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IMPORTANTE\CAMPEONATOS\velafest26\Docs\"/>
    </mc:Choice>
  </mc:AlternateContent>
  <xr:revisionPtr revIDLastSave="0" documentId="13_ncr:1_{02613F4D-AC46-4997-9F5F-921CEE760F5A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Hoja 2" sheetId="4" state="hidden" r:id="rId1"/>
    <sheet name="ILCA 7" sheetId="8" r:id="rId2"/>
    <sheet name="ILCA 6" sheetId="9" r:id="rId3"/>
    <sheet name="ILCA 4" sheetId="10" r:id="rId4"/>
    <sheet name="49er" sheetId="12" state="hidden" r:id="rId5"/>
    <sheet name="Nacra 17" sheetId="13" state="hidden" r:id="rId6"/>
  </sheets>
  <definedNames>
    <definedName name="CategoryCompetitors">#REF!</definedName>
    <definedName name="HeadersCompetitors">#REF!</definedName>
    <definedName name="ResponsesCompetito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/>
  <c r="AS1" i="13"/>
  <c r="AR1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  <c r="A2" i="12"/>
  <c r="AS1" i="12"/>
  <c r="AR1" i="12"/>
  <c r="AQ1" i="12"/>
  <c r="AP1" i="12"/>
  <c r="AO1" i="12"/>
  <c r="AN1" i="12"/>
  <c r="AM1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</calcChain>
</file>

<file path=xl/sharedStrings.xml><?xml version="1.0" encoding="utf-8"?>
<sst xmlns="http://schemas.openxmlformats.org/spreadsheetml/2006/main" count="431" uniqueCount="113">
  <si>
    <t>Club</t>
  </si>
  <si>
    <t>Sexo</t>
  </si>
  <si>
    <t>Pais</t>
  </si>
  <si>
    <t>ARG</t>
  </si>
  <si>
    <t>Timonel</t>
  </si>
  <si>
    <t>Vela</t>
  </si>
  <si>
    <t>VUGDELIJA Juan</t>
  </si>
  <si>
    <t>GORIS Manuel</t>
  </si>
  <si>
    <t>RODRIGUEZ REYNOSO Pedro</t>
  </si>
  <si>
    <t>ELÍAS Tomas B</t>
  </si>
  <si>
    <t>DEHO Thomas</t>
  </si>
  <si>
    <t xml:space="preserve">MEDRANO PIZARRO Matías </t>
  </si>
  <si>
    <t>FINSTERBUSCH Cristian</t>
  </si>
  <si>
    <t>YCA</t>
  </si>
  <si>
    <t>CUBA</t>
  </si>
  <si>
    <t>CNZ</t>
  </si>
  <si>
    <t>CNO</t>
  </si>
  <si>
    <t>YCO</t>
  </si>
  <si>
    <t>CVR</t>
  </si>
  <si>
    <t>Nac</t>
  </si>
  <si>
    <t xml:space="preserve">ÁLVAREZ GALLESIO Pedro </t>
  </si>
  <si>
    <t xml:space="preserve">LATORRE Santiago </t>
  </si>
  <si>
    <t>Cat</t>
  </si>
  <si>
    <t>GABAGLIO Agustin</t>
  </si>
  <si>
    <t>PIERSON Dante</t>
  </si>
  <si>
    <t>TORO Gaspar Leo</t>
  </si>
  <si>
    <t>MASSA GALLI Felipe</t>
  </si>
  <si>
    <t>VIALE PONZO Santiago</t>
  </si>
  <si>
    <t>FALCONE Franco</t>
  </si>
  <si>
    <t>FEBRÉ PRIETO Federico</t>
  </si>
  <si>
    <t>GARCIA CANTELI Damasia</t>
  </si>
  <si>
    <t>GARCIA CANTELI Ignacio</t>
  </si>
  <si>
    <t>BENEDETTO Julieta</t>
  </si>
  <si>
    <t>CUSINATO Santiago</t>
  </si>
  <si>
    <t>FAVERO Justino</t>
  </si>
  <si>
    <t xml:space="preserve">GONZALEZ VILLALBA Agustín </t>
  </si>
  <si>
    <t>ALBARELLO ARENA Augusto</t>
  </si>
  <si>
    <t>FERNÁNDEZ ALONSO Simon</t>
  </si>
  <si>
    <t>RONCHI Santi</t>
  </si>
  <si>
    <t>TOKER Santiago</t>
  </si>
  <si>
    <t>MIRABELLI Luis</t>
  </si>
  <si>
    <t>PINEDO CHIAPPA Facundo</t>
  </si>
  <si>
    <t>RIVERA Jose Antonio</t>
  </si>
  <si>
    <t>KUTTEL Delfina</t>
  </si>
  <si>
    <t>SPOLIANSKY KETEN Ivan</t>
  </si>
  <si>
    <t>PINOSA PERCOSSI Nicolas</t>
  </si>
  <si>
    <t>LLAURO Felipe</t>
  </si>
  <si>
    <t xml:space="preserve">GARCIA Alejandro </t>
  </si>
  <si>
    <t xml:space="preserve">MONES RUIZ Lucas </t>
  </si>
  <si>
    <t>PINTO Maggie Maria</t>
  </si>
  <si>
    <t>BIZET Benjamin</t>
  </si>
  <si>
    <t xml:space="preserve">DEHO Ignacio </t>
  </si>
  <si>
    <t>BUSCH Isabel</t>
  </si>
  <si>
    <t xml:space="preserve">PIS Adrian </t>
  </si>
  <si>
    <t>BRANZ Edy</t>
  </si>
  <si>
    <t>JORDANA Verónica</t>
  </si>
  <si>
    <t>PINTO Pedro</t>
  </si>
  <si>
    <t>BRUNO Felipe</t>
  </si>
  <si>
    <t xml:space="preserve">MAY Fran </t>
  </si>
  <si>
    <t>SOARES NETTO Guillermo</t>
  </si>
  <si>
    <t xml:space="preserve">DÓMINE ZEANO Angela </t>
  </si>
  <si>
    <t>GRUENBERG Martin</t>
  </si>
  <si>
    <t>AGNOLETTI Martin</t>
  </si>
  <si>
    <t>CERRATO Luis</t>
  </si>
  <si>
    <t>TARIGO Mateo</t>
  </si>
  <si>
    <t>ALDAYA Gonzalo</t>
  </si>
  <si>
    <t>LOZANO Manuel</t>
  </si>
  <si>
    <t>CASSESE Nicolás</t>
  </si>
  <si>
    <t>LOZANO Edgardo</t>
  </si>
  <si>
    <t>SANTAMBROGIO Eduardo</t>
  </si>
  <si>
    <t>CVB</t>
  </si>
  <si>
    <t>CNSI</t>
  </si>
  <si>
    <t>CPNLB</t>
  </si>
  <si>
    <t>CRLP</t>
  </si>
  <si>
    <t>CNSP</t>
  </si>
  <si>
    <t>CNAs</t>
  </si>
  <si>
    <t>YCR</t>
  </si>
  <si>
    <t xml:space="preserve">MOLINARI Josefina </t>
  </si>
  <si>
    <t xml:space="preserve">SANTORSOLA Matías </t>
  </si>
  <si>
    <t xml:space="preserve">GONZALEZ VILLALBA Felipe </t>
  </si>
  <si>
    <t xml:space="preserve">VILLAR Andrés </t>
  </si>
  <si>
    <t xml:space="preserve">VÁZQUEZ FONTANA Franco </t>
  </si>
  <si>
    <t>ALVAREZ GALLESIO Pedro</t>
  </si>
  <si>
    <t>FOLGUERA Alejo</t>
  </si>
  <si>
    <t xml:space="preserve">DE VALAIS Juan Cruz </t>
  </si>
  <si>
    <t xml:space="preserve">DEMAESTRI Adriana </t>
  </si>
  <si>
    <t>SILVA ROBINSON Juan</t>
  </si>
  <si>
    <t>D’ONOFRIO LORENZO Sofía Belen</t>
  </si>
  <si>
    <t>WENZEL Valentino</t>
  </si>
  <si>
    <t xml:space="preserve">LENZETTI Grecia </t>
  </si>
  <si>
    <t>PINEDO CHIAPPA Lautaro</t>
  </si>
  <si>
    <t>COUYET María</t>
  </si>
  <si>
    <t>BONILAURI Luciano</t>
  </si>
  <si>
    <t>GONZALEZ Lola</t>
  </si>
  <si>
    <t>VIDELA TEJO Yago</t>
  </si>
  <si>
    <t xml:space="preserve">MAC GOWAN Juliana </t>
  </si>
  <si>
    <t>PERROTTA ROSALES Agostina</t>
  </si>
  <si>
    <t>MORENO PANZINO Manuel</t>
  </si>
  <si>
    <t>GALLI Valentina</t>
  </si>
  <si>
    <t>DEL CARRIL Camila</t>
  </si>
  <si>
    <t xml:space="preserve">GONZALEZ Santiago </t>
  </si>
  <si>
    <t xml:space="preserve">BADORREY Mateo </t>
  </si>
  <si>
    <t xml:space="preserve">PEREYRA IRAOLA Felix </t>
  </si>
  <si>
    <t xml:space="preserve">SARAVÍ Santiago </t>
  </si>
  <si>
    <t xml:space="preserve">LUEG Thiago </t>
  </si>
  <si>
    <t>F</t>
  </si>
  <si>
    <t>M</t>
  </si>
  <si>
    <t>U17</t>
  </si>
  <si>
    <t/>
  </si>
  <si>
    <t>Ap. Master</t>
  </si>
  <si>
    <t>Master</t>
  </si>
  <si>
    <t>Grand Master</t>
  </si>
  <si>
    <t>Grand Grand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</si>
</sst>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Competidores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Entrenadores-style" pivot="0" count="4" xr9:uid="{00000000-0011-0000-FFFF-FFFF01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Entrenadores-style 2" pivot="0" count="2" xr9:uid="{00000000-0011-0000-FFFF-FFFF02000000}">
      <tableStyleElement type="firstRowStripe" dxfId="8"/>
      <tableStyleElement type="secondRowStripe" dxfId="7"/>
    </tableStyle>
    <tableStyle name="Entrenadores-style 3" pivot="0" count="2" xr9:uid="{00000000-0011-0000-FFFF-FFFF03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L6000"/>
  <sheetViews>
    <sheetView workbookViewId="0">
      <selection activeCell="D13" sqref="D13"/>
    </sheetView>
  </sheetViews>
  <sheetFormatPr defaultColWidth="12.6640625" defaultRowHeight="15.75" customHeight="1" x14ac:dyDescent="0.25"/>
  <cols>
    <col min="1" max="1" width="6.77734375" customWidth="1"/>
    <col min="2" max="2" width="9.109375" customWidth="1"/>
    <col min="3" max="3" width="32" customWidth="1"/>
    <col min="4" max="4" width="14.21875" customWidth="1"/>
    <col min="5" max="5" width="17.44140625" customWidth="1"/>
    <col min="6" max="6" width="12.6640625" customWidth="1"/>
  </cols>
  <sheetData>
    <row r="1" spans="1:38" x14ac:dyDescent="0.25">
      <c r="A1" s="1" t="s">
        <v>2</v>
      </c>
      <c r="B1" s="1" t="s">
        <v>5</v>
      </c>
      <c r="C1" s="1" t="s">
        <v>4</v>
      </c>
      <c r="D1" s="1" t="s">
        <v>0</v>
      </c>
      <c r="E1" s="1" t="s">
        <v>19</v>
      </c>
      <c r="F1" s="1" t="s">
        <v>22</v>
      </c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1" t="s">
        <v>3</v>
      </c>
      <c r="B2" s="1">
        <v>2</v>
      </c>
      <c r="C2" s="1" t="s">
        <v>11</v>
      </c>
      <c r="D2" s="1" t="s">
        <v>18</v>
      </c>
      <c r="E2" s="2">
        <v>36959</v>
      </c>
      <c r="F2" s="1" t="s">
        <v>108</v>
      </c>
    </row>
    <row r="3" spans="1:38" x14ac:dyDescent="0.25">
      <c r="A3" s="1" t="s">
        <v>3</v>
      </c>
      <c r="B3" s="1">
        <v>12</v>
      </c>
      <c r="C3" s="1" t="s">
        <v>8</v>
      </c>
      <c r="D3" s="1" t="s">
        <v>16</v>
      </c>
      <c r="E3" s="2">
        <v>33578</v>
      </c>
      <c r="F3" s="1" t="s">
        <v>109</v>
      </c>
    </row>
    <row r="4" spans="1:38" x14ac:dyDescent="0.25">
      <c r="A4" s="1" t="s">
        <v>3</v>
      </c>
      <c r="B4" s="1">
        <v>186971</v>
      </c>
      <c r="C4" s="1" t="s">
        <v>7</v>
      </c>
      <c r="D4" s="1" t="s">
        <v>15</v>
      </c>
      <c r="E4" s="2">
        <v>35805</v>
      </c>
      <c r="F4" s="1" t="s">
        <v>108</v>
      </c>
    </row>
    <row r="5" spans="1:38" x14ac:dyDescent="0.25">
      <c r="A5" s="1" t="s">
        <v>3</v>
      </c>
      <c r="B5" s="1">
        <v>210184</v>
      </c>
      <c r="C5" s="1" t="s">
        <v>9</v>
      </c>
      <c r="D5" s="1" t="s">
        <v>14</v>
      </c>
      <c r="E5" s="2">
        <v>38777</v>
      </c>
      <c r="F5" s="1" t="s">
        <v>108</v>
      </c>
    </row>
    <row r="6" spans="1:38" x14ac:dyDescent="0.25">
      <c r="A6" s="1" t="s">
        <v>3</v>
      </c>
      <c r="B6" s="1">
        <v>213390</v>
      </c>
      <c r="C6" s="1" t="s">
        <v>10</v>
      </c>
      <c r="D6" s="1" t="s">
        <v>17</v>
      </c>
      <c r="E6" s="2">
        <v>39329</v>
      </c>
      <c r="F6" s="1" t="s">
        <v>108</v>
      </c>
    </row>
    <row r="7" spans="1:38" x14ac:dyDescent="0.25">
      <c r="A7" s="1" t="s">
        <v>3</v>
      </c>
      <c r="B7" s="1">
        <v>213981</v>
      </c>
      <c r="C7" s="1" t="s">
        <v>20</v>
      </c>
      <c r="D7" s="1" t="s">
        <v>13</v>
      </c>
      <c r="E7" s="2">
        <v>38600</v>
      </c>
      <c r="F7" s="1" t="s">
        <v>108</v>
      </c>
    </row>
    <row r="8" spans="1:38" x14ac:dyDescent="0.25">
      <c r="A8" s="1" t="s">
        <v>3</v>
      </c>
      <c r="B8" s="1">
        <v>220556</v>
      </c>
      <c r="C8" s="1" t="s">
        <v>12</v>
      </c>
      <c r="D8" s="1" t="s">
        <v>13</v>
      </c>
      <c r="E8" s="2">
        <v>39575</v>
      </c>
      <c r="F8" s="1" t="s">
        <v>108</v>
      </c>
    </row>
    <row r="9" spans="1:38" x14ac:dyDescent="0.25">
      <c r="A9" s="1" t="s">
        <v>3</v>
      </c>
      <c r="B9" s="1">
        <v>223035</v>
      </c>
      <c r="C9" s="1" t="s">
        <v>6</v>
      </c>
      <c r="D9" s="1" t="s">
        <v>14</v>
      </c>
      <c r="E9" s="2">
        <v>36997</v>
      </c>
      <c r="F9" s="1" t="s">
        <v>108</v>
      </c>
    </row>
    <row r="10" spans="1:38" x14ac:dyDescent="0.25">
      <c r="A10" s="1" t="s">
        <v>3</v>
      </c>
      <c r="B10" s="1">
        <v>224856</v>
      </c>
      <c r="C10" s="1" t="s">
        <v>21</v>
      </c>
      <c r="D10" s="1" t="s">
        <v>13</v>
      </c>
      <c r="E10" s="2">
        <v>25733</v>
      </c>
      <c r="F10" s="1" t="s">
        <v>111</v>
      </c>
    </row>
    <row r="11" spans="1:38" x14ac:dyDescent="0.25"/>
    <row r="12" spans="1:38" x14ac:dyDescent="0.25"/>
    <row r="13" spans="1:38" x14ac:dyDescent="0.25"/>
    <row r="14" spans="1:38" x14ac:dyDescent="0.25"/>
    <row r="15" spans="1:38" x14ac:dyDescent="0.25"/>
    <row r="16" spans="1:38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</sheetData>
  <sortState xmlns:xlrd2="http://schemas.microsoft.com/office/spreadsheetml/2017/richdata2" ref="A2:D10">
    <sortCondition ref="B2:B10"/>
  </sortState>
  <conditionalFormatting sqref="A2:AL6000">
    <cfRule type="expression" dxfId="4" priority="2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N6000"/>
  <sheetViews>
    <sheetView workbookViewId="0">
      <selection activeCell="I5" sqref="I5"/>
    </sheetView>
  </sheetViews>
  <sheetFormatPr defaultColWidth="12.6640625" defaultRowHeight="15.75" customHeight="1" x14ac:dyDescent="0.25"/>
  <cols>
    <col min="1" max="1" width="5.77734375" customWidth="1"/>
    <col min="2" max="2" width="10.109375" customWidth="1"/>
    <col min="3" max="3" width="34.44140625" customWidth="1"/>
    <col min="5" max="5" width="12.6640625" style="4" customWidth="1"/>
    <col min="6" max="6" width="12.6640625" customWidth="1"/>
    <col min="7" max="7" width="9.33203125" customWidth="1"/>
    <col min="8" max="8" width="12.6640625" customWidth="1"/>
  </cols>
  <sheetData>
    <row r="1" spans="1:40" x14ac:dyDescent="0.25">
      <c r="A1" s="1" t="s">
        <v>2</v>
      </c>
      <c r="B1" s="1" t="s">
        <v>5</v>
      </c>
      <c r="C1" s="1" t="s">
        <v>4</v>
      </c>
      <c r="D1" s="1" t="s">
        <v>0</v>
      </c>
      <c r="E1" s="2" t="s">
        <v>19</v>
      </c>
      <c r="F1" s="1" t="s">
        <v>22</v>
      </c>
      <c r="G1" s="1" t="s">
        <v>1</v>
      </c>
      <c r="H1" s="1"/>
      <c r="I1" s="1"/>
      <c r="J1" s="1"/>
      <c r="K1" s="1"/>
      <c r="L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3</v>
      </c>
      <c r="B2" s="1">
        <v>7</v>
      </c>
      <c r="C2" s="1" t="s">
        <v>36</v>
      </c>
      <c r="D2" s="1" t="s">
        <v>14</v>
      </c>
      <c r="E2" s="2">
        <v>38950</v>
      </c>
      <c r="F2" s="1" t="s">
        <v>108</v>
      </c>
      <c r="G2" s="1" t="s">
        <v>106</v>
      </c>
    </row>
    <row r="3" spans="1:40" x14ac:dyDescent="0.25">
      <c r="A3" s="1" t="s">
        <v>3</v>
      </c>
      <c r="B3" s="1">
        <v>21</v>
      </c>
      <c r="C3" s="1" t="s">
        <v>41</v>
      </c>
      <c r="D3" s="1" t="s">
        <v>73</v>
      </c>
      <c r="E3" s="2">
        <v>38919</v>
      </c>
      <c r="F3" s="1" t="s">
        <v>108</v>
      </c>
      <c r="G3" s="1" t="s">
        <v>106</v>
      </c>
    </row>
    <row r="4" spans="1:40" x14ac:dyDescent="0.25">
      <c r="A4" s="1" t="s">
        <v>3</v>
      </c>
      <c r="B4" s="1">
        <v>48</v>
      </c>
      <c r="C4" s="1" t="s">
        <v>59</v>
      </c>
      <c r="D4" s="1" t="s">
        <v>72</v>
      </c>
      <c r="E4" s="2">
        <v>25092</v>
      </c>
      <c r="F4" s="1" t="s">
        <v>111</v>
      </c>
      <c r="G4" s="1" t="s">
        <v>106</v>
      </c>
    </row>
    <row r="5" spans="1:40" x14ac:dyDescent="0.25">
      <c r="A5" s="1" t="s">
        <v>3</v>
      </c>
      <c r="B5" s="1">
        <v>21992</v>
      </c>
      <c r="C5" s="1" t="s">
        <v>56</v>
      </c>
      <c r="D5" s="1" t="s">
        <v>16</v>
      </c>
      <c r="E5" s="2">
        <v>36770</v>
      </c>
      <c r="F5" s="1" t="s">
        <v>108</v>
      </c>
      <c r="G5" s="1" t="s">
        <v>105</v>
      </c>
    </row>
    <row r="6" spans="1:40" x14ac:dyDescent="0.25">
      <c r="A6" s="1" t="s">
        <v>3</v>
      </c>
      <c r="B6" s="1">
        <v>142205</v>
      </c>
      <c r="C6" s="1" t="s">
        <v>64</v>
      </c>
      <c r="D6" s="1" t="s">
        <v>72</v>
      </c>
      <c r="E6" s="2">
        <v>39681</v>
      </c>
      <c r="F6" s="1" t="s">
        <v>108</v>
      </c>
      <c r="G6" s="1" t="s">
        <v>106</v>
      </c>
    </row>
    <row r="7" spans="1:40" x14ac:dyDescent="0.25">
      <c r="A7" s="1" t="s">
        <v>3</v>
      </c>
      <c r="B7" s="1">
        <v>164031</v>
      </c>
      <c r="C7" s="1" t="s">
        <v>78</v>
      </c>
      <c r="D7" s="1" t="s">
        <v>15</v>
      </c>
      <c r="E7" s="2">
        <v>31420</v>
      </c>
      <c r="F7" s="1" t="s">
        <v>109</v>
      </c>
      <c r="G7" s="1" t="s">
        <v>106</v>
      </c>
    </row>
    <row r="8" spans="1:40" x14ac:dyDescent="0.25">
      <c r="A8" s="1" t="s">
        <v>3</v>
      </c>
      <c r="B8" s="1">
        <v>169450</v>
      </c>
      <c r="C8" s="1" t="s">
        <v>50</v>
      </c>
      <c r="D8" s="1" t="s">
        <v>73</v>
      </c>
      <c r="E8" s="2">
        <v>39077</v>
      </c>
      <c r="F8" s="1" t="s">
        <v>108</v>
      </c>
      <c r="G8" s="1" t="s">
        <v>106</v>
      </c>
    </row>
    <row r="9" spans="1:40" x14ac:dyDescent="0.25">
      <c r="A9" s="1" t="s">
        <v>3</v>
      </c>
      <c r="B9" s="1">
        <v>182710</v>
      </c>
      <c r="C9" s="1" t="s">
        <v>82</v>
      </c>
      <c r="D9" s="1" t="s">
        <v>13</v>
      </c>
      <c r="E9" s="2">
        <v>36959</v>
      </c>
      <c r="F9" s="1" t="s">
        <v>108</v>
      </c>
      <c r="G9" s="1" t="s">
        <v>106</v>
      </c>
    </row>
    <row r="10" spans="1:40" x14ac:dyDescent="0.25">
      <c r="A10" s="1" t="s">
        <v>3</v>
      </c>
      <c r="B10" s="1">
        <v>184274</v>
      </c>
      <c r="C10" s="1" t="s">
        <v>54</v>
      </c>
      <c r="D10" s="1" t="s">
        <v>17</v>
      </c>
      <c r="E10" s="2">
        <v>22119</v>
      </c>
      <c r="F10" s="1" t="s">
        <v>112</v>
      </c>
      <c r="G10" s="1" t="s">
        <v>106</v>
      </c>
    </row>
    <row r="11" spans="1:40" x14ac:dyDescent="0.25">
      <c r="A11" s="1" t="s">
        <v>3</v>
      </c>
      <c r="B11" s="1">
        <v>184290</v>
      </c>
      <c r="C11" s="1" t="s">
        <v>63</v>
      </c>
      <c r="D11" s="1" t="s">
        <v>17</v>
      </c>
      <c r="E11" s="2">
        <v>23867</v>
      </c>
      <c r="F11" s="1" t="s">
        <v>111</v>
      </c>
      <c r="G11" s="1" t="s">
        <v>106</v>
      </c>
    </row>
    <row r="12" spans="1:40" x14ac:dyDescent="0.25">
      <c r="A12" s="1" t="s">
        <v>3</v>
      </c>
      <c r="B12" s="1">
        <v>192117</v>
      </c>
      <c r="C12" s="1" t="s">
        <v>58</v>
      </c>
      <c r="D12" s="1" t="s">
        <v>72</v>
      </c>
      <c r="E12" s="2">
        <v>30873</v>
      </c>
      <c r="F12" s="1" t="s">
        <v>109</v>
      </c>
      <c r="G12" s="1" t="s">
        <v>106</v>
      </c>
    </row>
    <row r="13" spans="1:40" x14ac:dyDescent="0.25">
      <c r="A13" s="1" t="s">
        <v>3</v>
      </c>
      <c r="B13" s="1">
        <v>195351</v>
      </c>
      <c r="C13" s="1" t="s">
        <v>30</v>
      </c>
      <c r="D13" s="1" t="s">
        <v>71</v>
      </c>
      <c r="E13" s="2">
        <v>40374</v>
      </c>
      <c r="F13" s="1" t="s">
        <v>107</v>
      </c>
      <c r="G13" s="1" t="s">
        <v>105</v>
      </c>
    </row>
    <row r="14" spans="1:40" x14ac:dyDescent="0.25">
      <c r="A14" s="1" t="s">
        <v>3</v>
      </c>
      <c r="B14" s="1">
        <v>195408</v>
      </c>
      <c r="C14" s="1" t="s">
        <v>32</v>
      </c>
      <c r="D14" s="1" t="s">
        <v>70</v>
      </c>
      <c r="E14" s="2">
        <v>39626</v>
      </c>
      <c r="F14" s="1" t="s">
        <v>108</v>
      </c>
      <c r="G14" s="1" t="s">
        <v>105</v>
      </c>
    </row>
    <row r="15" spans="1:40" x14ac:dyDescent="0.25">
      <c r="A15" s="1" t="s">
        <v>3</v>
      </c>
      <c r="B15" s="1">
        <v>199535</v>
      </c>
      <c r="C15" s="1" t="s">
        <v>66</v>
      </c>
      <c r="D15" s="1" t="s">
        <v>70</v>
      </c>
      <c r="E15" s="2">
        <v>39183</v>
      </c>
      <c r="F15" s="1" t="s">
        <v>108</v>
      </c>
      <c r="G15" s="1" t="s">
        <v>106</v>
      </c>
    </row>
    <row r="16" spans="1:40" x14ac:dyDescent="0.25">
      <c r="A16" s="1" t="s">
        <v>3</v>
      </c>
      <c r="B16" s="1">
        <v>200514</v>
      </c>
      <c r="C16" s="1" t="s">
        <v>52</v>
      </c>
      <c r="D16" s="1" t="s">
        <v>71</v>
      </c>
      <c r="E16" s="2">
        <v>38525</v>
      </c>
      <c r="F16" s="1" t="s">
        <v>108</v>
      </c>
      <c r="G16" s="1" t="s">
        <v>105</v>
      </c>
    </row>
    <row r="17" spans="1:7" x14ac:dyDescent="0.25">
      <c r="A17" s="1" t="s">
        <v>3</v>
      </c>
      <c r="B17" s="1">
        <v>200516</v>
      </c>
      <c r="C17" s="1" t="s">
        <v>55</v>
      </c>
      <c r="D17" s="1" t="s">
        <v>72</v>
      </c>
      <c r="E17" s="2">
        <v>28590</v>
      </c>
      <c r="F17" s="1" t="s">
        <v>110</v>
      </c>
      <c r="G17" s="1" t="s">
        <v>105</v>
      </c>
    </row>
    <row r="18" spans="1:7" x14ac:dyDescent="0.25">
      <c r="A18" s="1" t="s">
        <v>3</v>
      </c>
      <c r="B18" s="1">
        <v>202568</v>
      </c>
      <c r="C18" s="1" t="s">
        <v>68</v>
      </c>
      <c r="D18" s="1" t="s">
        <v>70</v>
      </c>
      <c r="E18" s="2">
        <v>25212</v>
      </c>
      <c r="F18" s="1" t="s">
        <v>111</v>
      </c>
      <c r="G18" s="1" t="s">
        <v>106</v>
      </c>
    </row>
    <row r="19" spans="1:7" x14ac:dyDescent="0.25">
      <c r="A19" s="1" t="s">
        <v>3</v>
      </c>
      <c r="B19" s="1">
        <v>202570</v>
      </c>
      <c r="C19" s="1" t="s">
        <v>61</v>
      </c>
      <c r="D19" s="1" t="s">
        <v>13</v>
      </c>
      <c r="E19" s="2">
        <v>23494</v>
      </c>
      <c r="F19" s="1" t="s">
        <v>111</v>
      </c>
      <c r="G19" s="1" t="s">
        <v>106</v>
      </c>
    </row>
    <row r="20" spans="1:7" x14ac:dyDescent="0.25">
      <c r="A20" s="1" t="s">
        <v>3</v>
      </c>
      <c r="B20" s="1">
        <v>203193</v>
      </c>
      <c r="C20" s="1" t="s">
        <v>77</v>
      </c>
      <c r="D20" s="1" t="s">
        <v>70</v>
      </c>
      <c r="E20" s="2">
        <v>38766</v>
      </c>
      <c r="F20" s="1" t="s">
        <v>108</v>
      </c>
      <c r="G20" s="1" t="s">
        <v>105</v>
      </c>
    </row>
    <row r="21" spans="1:7" x14ac:dyDescent="0.25">
      <c r="A21" s="1" t="s">
        <v>3</v>
      </c>
      <c r="B21" s="1">
        <v>204849</v>
      </c>
      <c r="C21" s="1" t="s">
        <v>84</v>
      </c>
      <c r="D21" s="1" t="s">
        <v>70</v>
      </c>
      <c r="E21" s="2">
        <v>40367</v>
      </c>
      <c r="F21" s="1" t="s">
        <v>107</v>
      </c>
      <c r="G21" s="1" t="s">
        <v>106</v>
      </c>
    </row>
    <row r="22" spans="1:7" x14ac:dyDescent="0.25">
      <c r="A22" s="1" t="s">
        <v>3</v>
      </c>
      <c r="B22" s="1">
        <v>205491</v>
      </c>
      <c r="C22" s="1" t="s">
        <v>39</v>
      </c>
      <c r="D22" s="1" t="s">
        <v>13</v>
      </c>
      <c r="E22" s="2">
        <v>37411</v>
      </c>
      <c r="F22" s="1" t="s">
        <v>108</v>
      </c>
      <c r="G22" s="1" t="s">
        <v>106</v>
      </c>
    </row>
    <row r="23" spans="1:7" x14ac:dyDescent="0.25">
      <c r="A23" s="1" t="s">
        <v>3</v>
      </c>
      <c r="B23" s="1">
        <v>205492</v>
      </c>
      <c r="C23" s="1" t="s">
        <v>53</v>
      </c>
      <c r="D23" s="1" t="s">
        <v>17</v>
      </c>
      <c r="E23" s="2">
        <v>25156</v>
      </c>
      <c r="F23" s="1" t="s">
        <v>111</v>
      </c>
      <c r="G23" s="1" t="s">
        <v>106</v>
      </c>
    </row>
    <row r="24" spans="1:7" x14ac:dyDescent="0.25">
      <c r="A24" s="1" t="s">
        <v>3</v>
      </c>
      <c r="B24" s="1">
        <v>206076</v>
      </c>
      <c r="C24" s="1" t="s">
        <v>62</v>
      </c>
      <c r="D24" s="1" t="s">
        <v>13</v>
      </c>
      <c r="E24" s="2">
        <v>23771</v>
      </c>
      <c r="F24" s="1" t="s">
        <v>111</v>
      </c>
      <c r="G24" s="1" t="s">
        <v>106</v>
      </c>
    </row>
    <row r="25" spans="1:7" x14ac:dyDescent="0.25">
      <c r="A25" s="1" t="s">
        <v>3</v>
      </c>
      <c r="B25" s="1">
        <v>206708</v>
      </c>
      <c r="C25" s="1" t="s">
        <v>29</v>
      </c>
      <c r="D25" s="1" t="s">
        <v>71</v>
      </c>
      <c r="E25" s="2">
        <v>40819</v>
      </c>
      <c r="F25" s="1" t="s">
        <v>107</v>
      </c>
      <c r="G25" s="1" t="s">
        <v>106</v>
      </c>
    </row>
    <row r="26" spans="1:7" x14ac:dyDescent="0.25">
      <c r="A26" s="1" t="s">
        <v>3</v>
      </c>
      <c r="B26" s="1">
        <v>207305</v>
      </c>
      <c r="C26" s="1" t="s">
        <v>26</v>
      </c>
      <c r="D26" s="1" t="s">
        <v>70</v>
      </c>
      <c r="E26" s="2">
        <v>40149</v>
      </c>
      <c r="F26" s="1" t="s">
        <v>107</v>
      </c>
      <c r="G26" s="1" t="s">
        <v>106</v>
      </c>
    </row>
    <row r="27" spans="1:7" x14ac:dyDescent="0.25">
      <c r="A27" s="1" t="s">
        <v>3</v>
      </c>
      <c r="B27" s="1">
        <v>209401</v>
      </c>
      <c r="C27" s="1" t="s">
        <v>86</v>
      </c>
      <c r="D27" s="1" t="s">
        <v>71</v>
      </c>
      <c r="E27" s="2">
        <v>40282</v>
      </c>
      <c r="F27" s="1" t="s">
        <v>107</v>
      </c>
      <c r="G27" s="1" t="s">
        <v>106</v>
      </c>
    </row>
    <row r="28" spans="1:7" x14ac:dyDescent="0.25">
      <c r="A28" s="1" t="s">
        <v>3</v>
      </c>
      <c r="B28" s="1">
        <v>210051</v>
      </c>
      <c r="C28" s="1" t="s">
        <v>46</v>
      </c>
      <c r="D28" s="1" t="s">
        <v>71</v>
      </c>
      <c r="E28" s="2">
        <v>40526</v>
      </c>
      <c r="F28" s="1" t="s">
        <v>107</v>
      </c>
      <c r="G28" s="1" t="s">
        <v>106</v>
      </c>
    </row>
    <row r="29" spans="1:7" x14ac:dyDescent="0.25">
      <c r="A29" s="1" t="s">
        <v>3</v>
      </c>
      <c r="B29" s="1">
        <v>210052</v>
      </c>
      <c r="C29" s="1" t="s">
        <v>48</v>
      </c>
      <c r="D29" s="1" t="s">
        <v>16</v>
      </c>
      <c r="E29" s="2">
        <v>38610</v>
      </c>
      <c r="F29" s="1" t="s">
        <v>108</v>
      </c>
      <c r="G29" s="1" t="s">
        <v>106</v>
      </c>
    </row>
    <row r="30" spans="1:7" x14ac:dyDescent="0.25">
      <c r="A30" s="1" t="s">
        <v>3</v>
      </c>
      <c r="B30" s="1">
        <v>210806</v>
      </c>
      <c r="C30" s="1" t="s">
        <v>34</v>
      </c>
      <c r="D30" s="1" t="s">
        <v>73</v>
      </c>
      <c r="E30" s="2">
        <v>40112</v>
      </c>
      <c r="F30" s="1" t="s">
        <v>107</v>
      </c>
      <c r="G30" s="1" t="s">
        <v>106</v>
      </c>
    </row>
    <row r="31" spans="1:7" x14ac:dyDescent="0.25">
      <c r="A31" s="1" t="s">
        <v>3</v>
      </c>
      <c r="B31" s="1">
        <v>211551</v>
      </c>
      <c r="C31" s="1" t="s">
        <v>44</v>
      </c>
      <c r="D31" s="1" t="s">
        <v>17</v>
      </c>
      <c r="E31" s="2">
        <v>38468</v>
      </c>
      <c r="F31" s="1" t="s">
        <v>108</v>
      </c>
      <c r="G31" s="1" t="s">
        <v>106</v>
      </c>
    </row>
    <row r="32" spans="1:7" x14ac:dyDescent="0.25">
      <c r="A32" s="1" t="s">
        <v>3</v>
      </c>
      <c r="B32" s="1">
        <v>213395</v>
      </c>
      <c r="C32" s="1" t="s">
        <v>31</v>
      </c>
      <c r="D32" s="1" t="s">
        <v>71</v>
      </c>
      <c r="E32" s="2">
        <v>28458</v>
      </c>
      <c r="F32" s="1" t="s">
        <v>110</v>
      </c>
      <c r="G32" s="1" t="s">
        <v>106</v>
      </c>
    </row>
    <row r="33" spans="1:7" x14ac:dyDescent="0.25">
      <c r="A33" s="1" t="s">
        <v>3</v>
      </c>
      <c r="B33" s="1">
        <v>216677</v>
      </c>
      <c r="C33" s="1" t="s">
        <v>67</v>
      </c>
      <c r="D33" s="1" t="s">
        <v>71</v>
      </c>
      <c r="E33" s="2">
        <v>27099</v>
      </c>
      <c r="F33" s="1" t="s">
        <v>110</v>
      </c>
      <c r="G33" s="1" t="s">
        <v>106</v>
      </c>
    </row>
    <row r="34" spans="1:7" x14ac:dyDescent="0.25">
      <c r="A34" s="1" t="s">
        <v>3</v>
      </c>
      <c r="B34" s="1">
        <v>217115</v>
      </c>
      <c r="C34" s="1" t="s">
        <v>49</v>
      </c>
      <c r="D34" s="1" t="s">
        <v>16</v>
      </c>
      <c r="E34" s="2">
        <v>39517</v>
      </c>
      <c r="F34" s="1" t="s">
        <v>108</v>
      </c>
      <c r="G34" s="1" t="s">
        <v>105</v>
      </c>
    </row>
    <row r="35" spans="1:7" x14ac:dyDescent="0.25">
      <c r="A35" s="1" t="s">
        <v>3</v>
      </c>
      <c r="B35" s="1">
        <v>218076</v>
      </c>
      <c r="C35" s="1" t="s">
        <v>35</v>
      </c>
      <c r="D35" s="1" t="s">
        <v>70</v>
      </c>
      <c r="E35" s="2">
        <v>40504</v>
      </c>
      <c r="F35" s="1" t="s">
        <v>107</v>
      </c>
      <c r="G35" s="1" t="s">
        <v>106</v>
      </c>
    </row>
    <row r="36" spans="1:7" x14ac:dyDescent="0.25">
      <c r="A36" s="1" t="s">
        <v>3</v>
      </c>
      <c r="B36" s="1">
        <v>218280</v>
      </c>
      <c r="C36" s="1" t="s">
        <v>85</v>
      </c>
      <c r="D36" s="1" t="s">
        <v>16</v>
      </c>
      <c r="E36" s="2">
        <v>24959</v>
      </c>
      <c r="F36" s="1" t="s">
        <v>111</v>
      </c>
      <c r="G36" s="1" t="s">
        <v>105</v>
      </c>
    </row>
    <row r="37" spans="1:7" x14ac:dyDescent="0.25">
      <c r="A37" s="1" t="s">
        <v>3</v>
      </c>
      <c r="B37" s="1">
        <v>219355</v>
      </c>
      <c r="C37" s="1" t="s">
        <v>51</v>
      </c>
      <c r="D37" s="1" t="s">
        <v>75</v>
      </c>
      <c r="E37" s="2">
        <v>40630</v>
      </c>
      <c r="F37" s="1" t="s">
        <v>107</v>
      </c>
      <c r="G37" s="1" t="s">
        <v>106</v>
      </c>
    </row>
    <row r="38" spans="1:7" x14ac:dyDescent="0.25">
      <c r="A38" s="1" t="s">
        <v>3</v>
      </c>
      <c r="B38" s="1">
        <v>219921</v>
      </c>
      <c r="C38" s="1" t="s">
        <v>37</v>
      </c>
      <c r="D38" s="1" t="s">
        <v>71</v>
      </c>
      <c r="E38" s="2">
        <v>39949</v>
      </c>
      <c r="F38" s="1" t="s">
        <v>107</v>
      </c>
      <c r="G38" s="1" t="s">
        <v>106</v>
      </c>
    </row>
    <row r="39" spans="1:7" x14ac:dyDescent="0.25">
      <c r="A39" s="1" t="s">
        <v>3</v>
      </c>
      <c r="B39" s="1">
        <v>220260</v>
      </c>
      <c r="C39" s="1" t="s">
        <v>28</v>
      </c>
      <c r="D39" s="1" t="s">
        <v>15</v>
      </c>
      <c r="E39" s="2">
        <v>34607</v>
      </c>
      <c r="F39" s="1" t="s">
        <v>109</v>
      </c>
      <c r="G39" s="1" t="s">
        <v>106</v>
      </c>
    </row>
    <row r="40" spans="1:7" x14ac:dyDescent="0.25">
      <c r="A40" s="1" t="s">
        <v>3</v>
      </c>
      <c r="B40" s="1">
        <v>220260</v>
      </c>
      <c r="C40" s="1" t="s">
        <v>80</v>
      </c>
      <c r="D40" s="1" t="s">
        <v>16</v>
      </c>
      <c r="E40" s="2">
        <v>38723</v>
      </c>
      <c r="F40" s="1" t="s">
        <v>108</v>
      </c>
      <c r="G40" s="1" t="s">
        <v>106</v>
      </c>
    </row>
    <row r="41" spans="1:7" x14ac:dyDescent="0.25">
      <c r="A41" s="1" t="s">
        <v>3</v>
      </c>
      <c r="B41" s="1">
        <v>220571</v>
      </c>
      <c r="C41" s="1" t="s">
        <v>69</v>
      </c>
      <c r="D41" s="1" t="s">
        <v>17</v>
      </c>
      <c r="E41" s="2">
        <v>23516</v>
      </c>
      <c r="F41" s="1" t="s">
        <v>111</v>
      </c>
      <c r="G41" s="1" t="s">
        <v>106</v>
      </c>
    </row>
    <row r="42" spans="1:7" x14ac:dyDescent="0.25">
      <c r="A42" s="1" t="s">
        <v>3</v>
      </c>
      <c r="B42" s="1">
        <v>221117</v>
      </c>
      <c r="C42" s="1" t="s">
        <v>47</v>
      </c>
      <c r="D42" s="1" t="s">
        <v>75</v>
      </c>
      <c r="E42" s="2">
        <v>28571</v>
      </c>
      <c r="F42" s="1" t="s">
        <v>110</v>
      </c>
      <c r="G42" s="1" t="s">
        <v>106</v>
      </c>
    </row>
    <row r="43" spans="1:7" x14ac:dyDescent="0.25">
      <c r="A43" s="1" t="s">
        <v>3</v>
      </c>
      <c r="B43" s="1">
        <v>221911</v>
      </c>
      <c r="C43" s="1" t="s">
        <v>33</v>
      </c>
      <c r="D43" s="1" t="s">
        <v>72</v>
      </c>
      <c r="E43" s="2">
        <v>40502</v>
      </c>
      <c r="F43" s="1" t="s">
        <v>107</v>
      </c>
      <c r="G43" s="1" t="s">
        <v>106</v>
      </c>
    </row>
    <row r="44" spans="1:7" x14ac:dyDescent="0.25">
      <c r="A44" s="1" t="s">
        <v>3</v>
      </c>
      <c r="B44" s="1">
        <v>221952</v>
      </c>
      <c r="C44" s="1" t="s">
        <v>81</v>
      </c>
      <c r="D44" s="1" t="s">
        <v>70</v>
      </c>
      <c r="E44" s="2">
        <v>40893</v>
      </c>
      <c r="F44" s="1" t="s">
        <v>107</v>
      </c>
      <c r="G44" s="1" t="s">
        <v>106</v>
      </c>
    </row>
    <row r="45" spans="1:7" x14ac:dyDescent="0.25">
      <c r="A45" s="1" t="s">
        <v>3</v>
      </c>
      <c r="B45" s="1">
        <v>221976</v>
      </c>
      <c r="C45" s="1" t="s">
        <v>57</v>
      </c>
      <c r="D45" s="1" t="s">
        <v>17</v>
      </c>
      <c r="E45" s="2">
        <v>40534</v>
      </c>
      <c r="F45" s="1" t="s">
        <v>107</v>
      </c>
      <c r="G45" s="1" t="s">
        <v>106</v>
      </c>
    </row>
    <row r="46" spans="1:7" x14ac:dyDescent="0.25">
      <c r="A46" s="1" t="s">
        <v>3</v>
      </c>
      <c r="B46" s="1">
        <v>222112</v>
      </c>
      <c r="C46" s="1" t="s">
        <v>83</v>
      </c>
      <c r="D46" s="1" t="s">
        <v>72</v>
      </c>
      <c r="E46" s="2">
        <v>38665</v>
      </c>
      <c r="F46" s="1" t="s">
        <v>108</v>
      </c>
      <c r="G46" s="1" t="s">
        <v>106</v>
      </c>
    </row>
    <row r="47" spans="1:7" x14ac:dyDescent="0.25">
      <c r="A47" s="1" t="s">
        <v>3</v>
      </c>
      <c r="B47" s="1">
        <v>222880</v>
      </c>
      <c r="C47" s="1" t="s">
        <v>40</v>
      </c>
      <c r="D47" s="1" t="s">
        <v>71</v>
      </c>
      <c r="E47" s="2">
        <v>24720</v>
      </c>
      <c r="F47" s="1" t="s">
        <v>111</v>
      </c>
      <c r="G47" s="1" t="s">
        <v>106</v>
      </c>
    </row>
    <row r="48" spans="1:7" x14ac:dyDescent="0.25">
      <c r="A48" s="1" t="s">
        <v>3</v>
      </c>
      <c r="B48" s="1">
        <v>223025</v>
      </c>
      <c r="C48" s="1" t="s">
        <v>60</v>
      </c>
      <c r="D48" s="1" t="s">
        <v>76</v>
      </c>
      <c r="E48" s="2">
        <v>40052</v>
      </c>
      <c r="F48" s="1" t="s">
        <v>107</v>
      </c>
      <c r="G48" s="1" t="s">
        <v>105</v>
      </c>
    </row>
    <row r="49" spans="1:7" x14ac:dyDescent="0.25">
      <c r="A49" s="1" t="s">
        <v>3</v>
      </c>
      <c r="B49" s="1">
        <v>223625</v>
      </c>
      <c r="C49" s="1" t="s">
        <v>25</v>
      </c>
      <c r="D49" s="1" t="s">
        <v>13</v>
      </c>
      <c r="E49" s="2">
        <v>39686</v>
      </c>
      <c r="F49" s="1" t="s">
        <v>108</v>
      </c>
      <c r="G49" s="1" t="s">
        <v>106</v>
      </c>
    </row>
    <row r="50" spans="1:7" x14ac:dyDescent="0.25">
      <c r="A50" s="1" t="s">
        <v>3</v>
      </c>
      <c r="B50" s="1">
        <v>224587</v>
      </c>
      <c r="C50" s="1" t="s">
        <v>38</v>
      </c>
      <c r="D50" s="1" t="s">
        <v>16</v>
      </c>
      <c r="E50" s="2">
        <v>40127</v>
      </c>
      <c r="F50" s="1" t="s">
        <v>107</v>
      </c>
      <c r="G50" s="1" t="s">
        <v>106</v>
      </c>
    </row>
    <row r="51" spans="1:7" x14ac:dyDescent="0.25">
      <c r="A51" s="1" t="s">
        <v>3</v>
      </c>
      <c r="B51" s="1">
        <v>224766</v>
      </c>
      <c r="C51" s="1" t="s">
        <v>65</v>
      </c>
      <c r="D51" s="1" t="s">
        <v>17</v>
      </c>
      <c r="E51" s="2">
        <v>40486</v>
      </c>
      <c r="F51" s="1" t="s">
        <v>107</v>
      </c>
      <c r="G51" s="1" t="s">
        <v>106</v>
      </c>
    </row>
    <row r="52" spans="1:7" x14ac:dyDescent="0.25">
      <c r="A52" s="1" t="s">
        <v>3</v>
      </c>
      <c r="B52" s="1">
        <v>224767</v>
      </c>
      <c r="C52" s="1" t="s">
        <v>79</v>
      </c>
      <c r="D52" s="1" t="s">
        <v>70</v>
      </c>
      <c r="E52" s="2">
        <v>40448</v>
      </c>
      <c r="F52" s="1" t="s">
        <v>107</v>
      </c>
      <c r="G52" s="1" t="s">
        <v>106</v>
      </c>
    </row>
    <row r="53" spans="1:7" x14ac:dyDescent="0.25">
      <c r="A53" s="1" t="s">
        <v>3</v>
      </c>
      <c r="B53" s="1">
        <v>224778</v>
      </c>
      <c r="C53" s="1" t="s">
        <v>23</v>
      </c>
      <c r="D53" s="1" t="s">
        <v>13</v>
      </c>
      <c r="E53" s="2">
        <v>40289</v>
      </c>
      <c r="F53" s="1" t="s">
        <v>107</v>
      </c>
      <c r="G53" s="1" t="s">
        <v>106</v>
      </c>
    </row>
    <row r="54" spans="1:7" x14ac:dyDescent="0.25">
      <c r="A54" s="1" t="s">
        <v>3</v>
      </c>
      <c r="B54" s="1">
        <v>224796</v>
      </c>
      <c r="C54" s="1" t="s">
        <v>27</v>
      </c>
      <c r="D54" s="1" t="s">
        <v>70</v>
      </c>
      <c r="E54" s="2">
        <v>40376</v>
      </c>
      <c r="F54" s="1" t="s">
        <v>107</v>
      </c>
      <c r="G54" s="1" t="s">
        <v>106</v>
      </c>
    </row>
    <row r="55" spans="1:7" x14ac:dyDescent="0.25">
      <c r="A55" s="1" t="s">
        <v>3</v>
      </c>
      <c r="B55" s="1">
        <v>224816</v>
      </c>
      <c r="C55" s="1" t="s">
        <v>24</v>
      </c>
      <c r="D55" s="1" t="s">
        <v>18</v>
      </c>
      <c r="E55" s="2">
        <v>40273</v>
      </c>
      <c r="F55" s="1" t="s">
        <v>107</v>
      </c>
      <c r="G55" s="1" t="s">
        <v>106</v>
      </c>
    </row>
    <row r="56" spans="1:7" x14ac:dyDescent="0.25">
      <c r="A56" s="1" t="s">
        <v>3</v>
      </c>
      <c r="B56" s="1">
        <v>224823</v>
      </c>
      <c r="C56" s="1" t="s">
        <v>42</v>
      </c>
      <c r="D56" s="1" t="s">
        <v>17</v>
      </c>
      <c r="E56" s="2">
        <v>28919</v>
      </c>
      <c r="F56" s="1" t="s">
        <v>110</v>
      </c>
      <c r="G56" s="1" t="s">
        <v>106</v>
      </c>
    </row>
    <row r="57" spans="1:7" x14ac:dyDescent="0.25">
      <c r="A57" s="1" t="s">
        <v>3</v>
      </c>
      <c r="B57" s="1">
        <v>226497</v>
      </c>
      <c r="C57" s="1" t="s">
        <v>45</v>
      </c>
      <c r="D57" s="1" t="s">
        <v>16</v>
      </c>
      <c r="E57" s="2">
        <v>41198</v>
      </c>
      <c r="F57" s="1" t="s">
        <v>107</v>
      </c>
      <c r="G57" s="1" t="s">
        <v>106</v>
      </c>
    </row>
    <row r="58" spans="1:7" x14ac:dyDescent="0.25">
      <c r="A58" s="1" t="s">
        <v>3</v>
      </c>
      <c r="B58" s="1">
        <v>228201</v>
      </c>
      <c r="C58" s="1" t="s">
        <v>43</v>
      </c>
      <c r="D58" s="1" t="s">
        <v>74</v>
      </c>
      <c r="E58" s="2">
        <v>39421</v>
      </c>
      <c r="F58" s="1" t="s">
        <v>108</v>
      </c>
      <c r="G58" s="1" t="s">
        <v>105</v>
      </c>
    </row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</sheetData>
  <sortState xmlns:xlrd2="http://schemas.microsoft.com/office/spreadsheetml/2017/richdata2" ref="A2:G58">
    <sortCondition ref="B2:B58"/>
  </sortState>
  <conditionalFormatting sqref="A2:AN6000">
    <cfRule type="expression" dxfId="3" priority="1">
      <formula>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M6000"/>
  <sheetViews>
    <sheetView tabSelected="1" workbookViewId="0">
      <selection activeCell="J7" sqref="J7"/>
    </sheetView>
  </sheetViews>
  <sheetFormatPr defaultColWidth="12.6640625" defaultRowHeight="15.75" customHeight="1" x14ac:dyDescent="0.25"/>
  <cols>
    <col min="1" max="1" width="6.6640625" customWidth="1"/>
    <col min="2" max="2" width="9.33203125" customWidth="1"/>
    <col min="3" max="3" width="30.109375" customWidth="1"/>
    <col min="4" max="4" width="11" customWidth="1"/>
    <col min="5" max="5" width="12.6640625" style="4" customWidth="1"/>
    <col min="6" max="6" width="12.6640625" customWidth="1"/>
    <col min="7" max="7" width="8.21875" customWidth="1"/>
  </cols>
  <sheetData>
    <row r="1" spans="1:39" x14ac:dyDescent="0.25">
      <c r="A1" s="1" t="s">
        <v>2</v>
      </c>
      <c r="B1" s="1" t="s">
        <v>5</v>
      </c>
      <c r="C1" s="1" t="s">
        <v>4</v>
      </c>
      <c r="D1" s="1" t="s">
        <v>0</v>
      </c>
      <c r="E1" s="2" t="s">
        <v>19</v>
      </c>
      <c r="F1" s="1" t="s">
        <v>22</v>
      </c>
      <c r="G1" s="1" t="s">
        <v>1</v>
      </c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 t="s">
        <v>3</v>
      </c>
      <c r="B2" s="1">
        <v>11</v>
      </c>
      <c r="C2" s="1" t="s">
        <v>99</v>
      </c>
      <c r="D2" s="1" t="s">
        <v>71</v>
      </c>
      <c r="E2" s="2">
        <v>39631</v>
      </c>
      <c r="F2" s="1" t="s">
        <v>108</v>
      </c>
      <c r="G2" s="1" t="s">
        <v>105</v>
      </c>
    </row>
    <row r="3" spans="1:39" x14ac:dyDescent="0.25">
      <c r="A3" s="1" t="s">
        <v>3</v>
      </c>
      <c r="B3" s="1">
        <v>19</v>
      </c>
      <c r="C3" s="1" t="s">
        <v>95</v>
      </c>
      <c r="D3" s="1" t="s">
        <v>13</v>
      </c>
      <c r="E3" s="2">
        <v>39087</v>
      </c>
      <c r="F3" s="1" t="s">
        <v>108</v>
      </c>
      <c r="G3" s="1" t="s">
        <v>105</v>
      </c>
    </row>
    <row r="4" spans="1:39" x14ac:dyDescent="0.25">
      <c r="A4" s="1" t="s">
        <v>3</v>
      </c>
      <c r="B4" s="1">
        <v>52</v>
      </c>
      <c r="C4" s="1" t="s">
        <v>103</v>
      </c>
      <c r="D4" s="1" t="s">
        <v>73</v>
      </c>
      <c r="E4" s="2">
        <v>40221</v>
      </c>
      <c r="F4" s="1" t="s">
        <v>107</v>
      </c>
      <c r="G4" s="1" t="s">
        <v>106</v>
      </c>
    </row>
    <row r="5" spans="1:39" x14ac:dyDescent="0.25">
      <c r="A5" s="1" t="s">
        <v>3</v>
      </c>
      <c r="B5" s="1">
        <v>1321</v>
      </c>
      <c r="C5" s="1" t="s">
        <v>97</v>
      </c>
      <c r="D5" s="1" t="s">
        <v>71</v>
      </c>
      <c r="E5" s="2">
        <v>40358</v>
      </c>
      <c r="F5" s="1" t="s">
        <v>107</v>
      </c>
      <c r="G5" s="1" t="s">
        <v>106</v>
      </c>
    </row>
    <row r="6" spans="1:39" x14ac:dyDescent="0.25">
      <c r="A6" s="1" t="s">
        <v>3</v>
      </c>
      <c r="B6" s="1">
        <v>182312</v>
      </c>
      <c r="C6" s="1" t="s">
        <v>88</v>
      </c>
      <c r="D6" s="1" t="s">
        <v>73</v>
      </c>
      <c r="E6" s="2">
        <v>40446</v>
      </c>
      <c r="F6" s="1" t="s">
        <v>107</v>
      </c>
      <c r="G6" s="1" t="s">
        <v>106</v>
      </c>
    </row>
    <row r="7" spans="1:39" x14ac:dyDescent="0.25">
      <c r="A7" s="1" t="s">
        <v>3</v>
      </c>
      <c r="B7" s="1">
        <v>195348</v>
      </c>
      <c r="C7" s="1" t="s">
        <v>91</v>
      </c>
      <c r="D7" s="1" t="s">
        <v>73</v>
      </c>
      <c r="E7" s="2">
        <v>39203</v>
      </c>
      <c r="F7" s="1" t="s">
        <v>108</v>
      </c>
      <c r="G7" s="1" t="s">
        <v>105</v>
      </c>
    </row>
    <row r="8" spans="1:39" x14ac:dyDescent="0.25">
      <c r="A8" s="1" t="s">
        <v>3</v>
      </c>
      <c r="B8" s="1">
        <v>195408</v>
      </c>
      <c r="C8" s="1" t="s">
        <v>90</v>
      </c>
      <c r="D8" s="1" t="s">
        <v>73</v>
      </c>
      <c r="E8" s="2">
        <v>40787</v>
      </c>
      <c r="F8" s="1" t="s">
        <v>107</v>
      </c>
      <c r="G8" s="1" t="s">
        <v>106</v>
      </c>
    </row>
    <row r="9" spans="1:39" x14ac:dyDescent="0.25">
      <c r="A9" s="1" t="s">
        <v>3</v>
      </c>
      <c r="B9" s="1">
        <v>201304</v>
      </c>
      <c r="C9" s="1" t="s">
        <v>101</v>
      </c>
      <c r="D9" s="1" t="s">
        <v>73</v>
      </c>
      <c r="E9" s="2">
        <v>39937</v>
      </c>
      <c r="F9" s="1" t="s">
        <v>107</v>
      </c>
      <c r="G9" s="1" t="s">
        <v>106</v>
      </c>
    </row>
    <row r="10" spans="1:39" x14ac:dyDescent="0.25">
      <c r="A10" s="1" t="s">
        <v>3</v>
      </c>
      <c r="B10" s="1">
        <v>201979</v>
      </c>
      <c r="C10" s="1" t="s">
        <v>92</v>
      </c>
      <c r="D10" s="1" t="s">
        <v>75</v>
      </c>
      <c r="E10" s="2">
        <v>40252</v>
      </c>
      <c r="F10" s="1" t="s">
        <v>107</v>
      </c>
      <c r="G10" s="1" t="s">
        <v>106</v>
      </c>
    </row>
    <row r="11" spans="1:39" x14ac:dyDescent="0.25">
      <c r="A11" s="1" t="s">
        <v>3</v>
      </c>
      <c r="B11" s="1">
        <v>205492</v>
      </c>
      <c r="C11" s="1" t="s">
        <v>94</v>
      </c>
      <c r="D11" s="1" t="s">
        <v>17</v>
      </c>
      <c r="E11" s="2">
        <v>40638</v>
      </c>
      <c r="F11" s="1" t="s">
        <v>107</v>
      </c>
      <c r="G11" s="1" t="s">
        <v>106</v>
      </c>
    </row>
    <row r="12" spans="1:39" x14ac:dyDescent="0.25">
      <c r="A12" s="1" t="s">
        <v>3</v>
      </c>
      <c r="B12" s="1">
        <v>207305</v>
      </c>
      <c r="C12" s="1" t="s">
        <v>104</v>
      </c>
      <c r="D12" s="1" t="s">
        <v>71</v>
      </c>
      <c r="E12" s="2">
        <v>40539</v>
      </c>
      <c r="F12" s="1" t="s">
        <v>107</v>
      </c>
      <c r="G12" s="1" t="s">
        <v>106</v>
      </c>
    </row>
    <row r="13" spans="1:39" x14ac:dyDescent="0.25">
      <c r="A13" s="1" t="s">
        <v>3</v>
      </c>
      <c r="B13" s="1">
        <v>209400</v>
      </c>
      <c r="C13" s="1" t="s">
        <v>98</v>
      </c>
      <c r="D13" s="1" t="s">
        <v>70</v>
      </c>
      <c r="E13" s="2">
        <v>40055</v>
      </c>
      <c r="F13" s="1" t="s">
        <v>107</v>
      </c>
      <c r="G13" s="1" t="s">
        <v>105</v>
      </c>
    </row>
    <row r="14" spans="1:39" x14ac:dyDescent="0.25">
      <c r="A14" s="1" t="s">
        <v>3</v>
      </c>
      <c r="B14" s="1">
        <v>219922</v>
      </c>
      <c r="C14" s="1" t="s">
        <v>96</v>
      </c>
      <c r="D14" s="1" t="s">
        <v>17</v>
      </c>
      <c r="E14" s="2">
        <v>40511</v>
      </c>
      <c r="F14" s="1" t="s">
        <v>107</v>
      </c>
      <c r="G14" s="1" t="s">
        <v>105</v>
      </c>
    </row>
    <row r="15" spans="1:39" x14ac:dyDescent="0.25">
      <c r="A15" s="1" t="s">
        <v>3</v>
      </c>
      <c r="B15" s="1">
        <v>221267</v>
      </c>
      <c r="C15" s="1" t="s">
        <v>89</v>
      </c>
      <c r="D15" s="1" t="s">
        <v>73</v>
      </c>
      <c r="E15" s="2">
        <v>39692</v>
      </c>
      <c r="F15" s="1" t="s">
        <v>108</v>
      </c>
      <c r="G15" s="1" t="s">
        <v>105</v>
      </c>
    </row>
    <row r="16" spans="1:39" x14ac:dyDescent="0.25">
      <c r="A16" s="1" t="s">
        <v>3</v>
      </c>
      <c r="B16" s="1">
        <v>223625</v>
      </c>
      <c r="C16" s="1" t="s">
        <v>87</v>
      </c>
      <c r="D16" s="1" t="s">
        <v>13</v>
      </c>
      <c r="E16" s="2">
        <v>40078</v>
      </c>
      <c r="F16" s="1" t="s">
        <v>107</v>
      </c>
      <c r="G16" s="1" t="s">
        <v>105</v>
      </c>
    </row>
    <row r="17" spans="1:7" x14ac:dyDescent="0.25">
      <c r="A17" s="1" t="s">
        <v>3</v>
      </c>
      <c r="B17" s="1">
        <v>224764</v>
      </c>
      <c r="C17" s="1" t="s">
        <v>100</v>
      </c>
      <c r="D17" s="1" t="s">
        <v>17</v>
      </c>
      <c r="E17" s="2">
        <v>40773</v>
      </c>
      <c r="F17" s="1" t="s">
        <v>107</v>
      </c>
      <c r="G17" s="1" t="s">
        <v>106</v>
      </c>
    </row>
    <row r="18" spans="1:7" x14ac:dyDescent="0.25">
      <c r="A18" s="1" t="s">
        <v>3</v>
      </c>
      <c r="B18" s="1">
        <v>224775</v>
      </c>
      <c r="C18" s="1" t="s">
        <v>102</v>
      </c>
      <c r="D18" s="1" t="s">
        <v>13</v>
      </c>
      <c r="E18" s="2">
        <v>39489</v>
      </c>
      <c r="F18" s="1" t="s">
        <v>108</v>
      </c>
      <c r="G18" s="1" t="s">
        <v>106</v>
      </c>
    </row>
    <row r="19" spans="1:7" x14ac:dyDescent="0.25">
      <c r="A19" s="1" t="s">
        <v>3</v>
      </c>
      <c r="B19" s="1">
        <v>224815</v>
      </c>
      <c r="C19" s="1" t="s">
        <v>93</v>
      </c>
      <c r="D19" s="1" t="s">
        <v>17</v>
      </c>
      <c r="E19" s="2">
        <v>40169</v>
      </c>
      <c r="F19" s="1" t="s">
        <v>107</v>
      </c>
      <c r="G19" s="1" t="s">
        <v>105</v>
      </c>
    </row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</sheetData>
  <sortState xmlns:xlrd2="http://schemas.microsoft.com/office/spreadsheetml/2017/richdata2" ref="A2:G19">
    <sortCondition ref="B2:B19"/>
  </sortState>
  <conditionalFormatting sqref="A2:AM6000">
    <cfRule type="expression" dxfId="2" priority="1">
      <formula>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A6000"/>
  <sheetViews>
    <sheetView workbookViewId="0"/>
  </sheetViews>
  <sheetFormatPr defaultColWidth="12.6640625" defaultRowHeight="15.75" customHeight="1" x14ac:dyDescent="0.25"/>
  <cols>
    <col min="1" max="1" width="6.88671875" customWidth="1"/>
    <col min="2" max="2" width="15.33203125" customWidth="1"/>
    <col min="3" max="3" width="24" customWidth="1"/>
    <col min="4" max="4" width="33.44140625" customWidth="1"/>
  </cols>
  <sheetData>
    <row r="1" spans="1:79" x14ac:dyDescent="0.25">
      <c r="A1" s="1" t="str">
        <f ca="1">IFERROR(__xludf.DUMMYFUNCTION("QUERY(HeadersCompetitors)"),"Pago?")</f>
        <v>Pago?</v>
      </c>
      <c r="B1" s="1" t="str">
        <f ca="1">IFERROR(__xludf.DUMMYFUNCTION("""COMPUTED_VALUE"""),"Dirección de correo electrónico")</f>
        <v>Dirección de correo electrónico</v>
      </c>
      <c r="C1" s="1" t="str">
        <f ca="1">IFERROR(__xludf.DUMMYFUNCTION("""COMPUTED_VALUE"""),"Seleccione la categoria en la que inscribirse")</f>
        <v>Seleccione la categoria en la que inscribirse</v>
      </c>
      <c r="D1" s="1" t="str">
        <f ca="1">IFERROR(__xludf.DUMMYFUNCTION("""COMPUTED_VALUE"""),"Nombre")</f>
        <v>Nombre</v>
      </c>
      <c r="E1" s="1" t="str">
        <f ca="1">IFERROR(__xludf.DUMMYFUNCTION("""COMPUTED_VALUE"""),"Apellido")</f>
        <v>Apellido</v>
      </c>
      <c r="F1" s="1" t="str">
        <f ca="1">IFERROR(__xludf.DUMMYFUNCTION("""COMPUTED_VALUE"""),"Numero de Vela")</f>
        <v>Numero de Vela</v>
      </c>
      <c r="G1" s="1" t="str">
        <f ca="1">IFERROR(__xludf.DUMMYFUNCTION("""COMPUTED_VALUE"""),"Club")</f>
        <v>Club</v>
      </c>
      <c r="H1" s="1" t="str">
        <f ca="1">IFERROR(__xludf.DUMMYFUNCTION("""COMPUTED_VALUE"""),"DNI")</f>
        <v>DNI</v>
      </c>
      <c r="I1" s="1" t="str">
        <f ca="1">IFERROR(__xludf.DUMMYFUNCTION("""COMPUTED_VALUE"""),"Feha nacimiento")</f>
        <v>Feha nacimiento</v>
      </c>
      <c r="J1" s="1" t="str">
        <f ca="1">IFERROR(__xludf.DUMMYFUNCTION("""COMPUTED_VALUE"""),"Correo electronico")</f>
        <v>Correo electronico</v>
      </c>
      <c r="K1" s="1" t="str">
        <f ca="1">IFERROR(__xludf.DUMMYFUNCTION("""COMPUTED_VALUE"""),"Sexo")</f>
        <v>Sexo</v>
      </c>
      <c r="L1" s="1" t="str">
        <f ca="1">IFERROR(__xludf.DUMMYFUNCTION("""COMPUTED_VALUE"""),"Pais")</f>
        <v>Pais</v>
      </c>
      <c r="M1" s="1" t="str">
        <f ca="1">IFERROR(__xludf.DUMMYFUNCTION("""COMPUTED_VALUE"""),"Region / Provincia")</f>
        <v>Region / Provincia</v>
      </c>
      <c r="N1" s="1" t="str">
        <f ca="1">IFERROR(__xludf.DUMMYFUNCTION("""COMPUTED_VALUE"""),"Localidad / Ciudad")</f>
        <v>Localidad / Ciudad</v>
      </c>
      <c r="O1" s="1" t="str">
        <f ca="1">IFERROR(__xludf.DUMMYFUNCTION("""COMPUTED_VALUE"""),"Direccion")</f>
        <v>Direccion</v>
      </c>
      <c r="P1" s="1" t="str">
        <f ca="1">IFERROR(__xludf.DUMMYFUNCTION("""COMPUTED_VALUE"""),"Codigo postal")</f>
        <v>Codigo postal</v>
      </c>
      <c r="Q1" s="1" t="str">
        <f ca="1">IFERROR(__xludf.DUMMYFUNCTION("""COMPUTED_VALUE"""),"Nombre del Padre o Madre (Solo para competidores menores)")</f>
        <v>Nombre del Padre o Madre (Solo para competidores menores)</v>
      </c>
      <c r="R1" s="1" t="str">
        <f ca="1">IFERROR(__xludf.DUMMYFUNCTION("""COMPUTED_VALUE"""),"Apellido del Padre o Madre (Solo para competidores menores)")</f>
        <v>Apellido del Padre o Madre (Solo para competidores menores)</v>
      </c>
      <c r="S1" s="1" t="str">
        <f ca="1">IFERROR(__xludf.DUMMYFUNCTION("""COMPUTED_VALUE"""),"Email del Padre o Madre (Solo para competidores menores)")</f>
        <v>Email del Padre o Madre (Solo para competidores menores)</v>
      </c>
      <c r="T1" s="1" t="str">
        <f ca="1">IFERROR(__xludf.DUMMYFUNCTION("""COMPUTED_VALUE"""),"Numero de contacto del Padre o Madre (Solo para competidores menores)")</f>
        <v>Numero de contacto del Padre o Madre (Solo para competidores menores)</v>
      </c>
      <c r="U1" s="1" t="str">
        <f ca="1">IFERROR(__xludf.DUMMYFUNCTION("""COMPUTED_VALUE"""),"Contacto de emergencia 1")</f>
        <v>Contacto de emergencia 1</v>
      </c>
      <c r="V1" s="1" t="str">
        <f ca="1">IFERROR(__xludf.DUMMYFUNCTION("""COMPUTED_VALUE"""),"Contacto de emergencia 2")</f>
        <v>Contacto de emergencia 2</v>
      </c>
      <c r="W1" s="1" t="str">
        <f ca="1">IFERROR(__xludf.DUMMYFUNCTION("""COMPUTED_VALUE"""),"Obra social")</f>
        <v>Obra social</v>
      </c>
      <c r="X1" s="1" t="str">
        <f ca="1">IFERROR(__xludf.DUMMYFUNCTION("""COMPUTED_VALUE"""),"Numero de afiliado")</f>
        <v>Numero de afiliado</v>
      </c>
      <c r="Y1" s="1" t="str">
        <f ca="1">IFERROR(__xludf.DUMMYFUNCTION("""COMPUTED_VALUE"""),"Nombre")</f>
        <v>Nombre</v>
      </c>
      <c r="Z1" s="1" t="str">
        <f ca="1">IFERROR(__xludf.DUMMYFUNCTION("""COMPUTED_VALUE"""),"Apellido")</f>
        <v>Apellido</v>
      </c>
      <c r="AA1" s="1" t="str">
        <f ca="1">IFERROR(__xludf.DUMMYFUNCTION("""COMPUTED_VALUE"""),"Numero de Vela")</f>
        <v>Numero de Vela</v>
      </c>
      <c r="AB1" s="1" t="str">
        <f ca="1">IFERROR(__xludf.DUMMYFUNCTION("""COMPUTED_VALUE"""),"Club")</f>
        <v>Club</v>
      </c>
      <c r="AC1" s="1" t="str">
        <f ca="1">IFERROR(__xludf.DUMMYFUNCTION("""COMPUTED_VALUE"""),"DNI")</f>
        <v>DNI</v>
      </c>
      <c r="AD1" s="1" t="str">
        <f ca="1">IFERROR(__xludf.DUMMYFUNCTION("""COMPUTED_VALUE"""),"Feha nacimiento")</f>
        <v>Feha nacimiento</v>
      </c>
      <c r="AE1" s="1" t="str">
        <f ca="1">IFERROR(__xludf.DUMMYFUNCTION("""COMPUTED_VALUE"""),"Correo electronico")</f>
        <v>Correo electronico</v>
      </c>
      <c r="AF1" s="1" t="str">
        <f ca="1">IFERROR(__xludf.DUMMYFUNCTION("""COMPUTED_VALUE"""),"Sexo")</f>
        <v>Sexo</v>
      </c>
      <c r="AG1" s="1" t="str">
        <f ca="1">IFERROR(__xludf.DUMMYFUNCTION("""COMPUTED_VALUE"""),"Pais")</f>
        <v>Pais</v>
      </c>
      <c r="AH1" s="1" t="str">
        <f ca="1">IFERROR(__xludf.DUMMYFUNCTION("""COMPUTED_VALUE"""),"Region / Provincia")</f>
        <v>Region / Provincia</v>
      </c>
      <c r="AI1" s="1" t="str">
        <f ca="1">IFERROR(__xludf.DUMMYFUNCTION("""COMPUTED_VALUE"""),"Localidad / Ciudad")</f>
        <v>Localidad / Ciudad</v>
      </c>
      <c r="AJ1" s="1" t="str">
        <f ca="1">IFERROR(__xludf.DUMMYFUNCTION("""COMPUTED_VALUE"""),"Direccion")</f>
        <v>Direccion</v>
      </c>
      <c r="AK1" s="1" t="str">
        <f ca="1">IFERROR(__xludf.DUMMYFUNCTION("""COMPUTED_VALUE"""),"Codigo postal")</f>
        <v>Codigo postal</v>
      </c>
      <c r="AL1" s="1" t="str">
        <f ca="1">IFERROR(__xludf.DUMMYFUNCTION("""COMPUTED_VALUE"""),"Nombre del Padre o Madre (Solo para competidores menores)")</f>
        <v>Nombre del Padre o Madre (Solo para competidores menores)</v>
      </c>
      <c r="AM1" s="1" t="str">
        <f ca="1">IFERROR(__xludf.DUMMYFUNCTION("""COMPUTED_VALUE"""),"Apellido del Padre o Madre (Solo para competidores menores)")</f>
        <v>Apellido del Padre o Madre (Solo para competidores menores)</v>
      </c>
      <c r="AN1" s="1" t="str">
        <f ca="1">IFERROR(__xludf.DUMMYFUNCTION("""COMPUTED_VALUE"""),"Email del Padre o Madre (Solo para competidores menores)")</f>
        <v>Email del Padre o Madre (Solo para competidores menores)</v>
      </c>
      <c r="AO1" s="1" t="str">
        <f ca="1">IFERROR(__xludf.DUMMYFUNCTION("""COMPUTED_VALUE"""),"Numero de contacto del Padre o Madre (Solo para competidores menores)")</f>
        <v>Numero de contacto del Padre o Madre (Solo para competidores menores)</v>
      </c>
      <c r="AP1" s="1" t="str">
        <f ca="1">IFERROR(__xludf.DUMMYFUNCTION("""COMPUTED_VALUE"""),"Contacto de emergencia 1")</f>
        <v>Contacto de emergencia 1</v>
      </c>
      <c r="AQ1" s="1" t="str">
        <f ca="1">IFERROR(__xludf.DUMMYFUNCTION("""COMPUTED_VALUE"""),"Contacto de emergencia 2")</f>
        <v>Contacto de emergencia 2</v>
      </c>
      <c r="AR1" s="1" t="str">
        <f ca="1">IFERROR(__xludf.DUMMYFUNCTION("""COMPUTED_VALUE"""),"Obra social")</f>
        <v>Obra social</v>
      </c>
      <c r="AS1" s="1" t="str">
        <f ca="1">IFERROR(__xludf.DUMMYFUNCTION("""COMPUTED_VALUE"""),"Numero de afiliado")</f>
        <v>Numero de afiliado</v>
      </c>
      <c r="AT1" s="1"/>
      <c r="AU1" s="1"/>
      <c r="AV1" s="1"/>
      <c r="AW1" s="1"/>
      <c r="AX1" s="1"/>
      <c r="AY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3" t="str">
        <f ca="1">IFERROR(__xludf.DUMMYFUNCTION("IFERROR(ARRAYFORMULA(SUBSTITUTE(SUBSTITUTE(FILTER(ResponsesCompetitors,CategoryCompetitors=""49er""),TRUE,""✅""),FALSE,""❌"")),"""")"),"")</f>
        <v/>
      </c>
    </row>
    <row r="3" spans="1:79" x14ac:dyDescent="0.25">
      <c r="A3" s="3"/>
    </row>
    <row r="4" spans="1:79" x14ac:dyDescent="0.25">
      <c r="A4" s="3"/>
    </row>
    <row r="5" spans="1:79" x14ac:dyDescent="0.25">
      <c r="A5" s="3"/>
    </row>
    <row r="6" spans="1:79" x14ac:dyDescent="0.25">
      <c r="A6" s="3"/>
    </row>
    <row r="7" spans="1:79" x14ac:dyDescent="0.25">
      <c r="A7" s="3"/>
    </row>
    <row r="8" spans="1:79" x14ac:dyDescent="0.25">
      <c r="A8" s="3"/>
    </row>
    <row r="9" spans="1:79" x14ac:dyDescent="0.25">
      <c r="A9" s="3"/>
    </row>
    <row r="10" spans="1:79" x14ac:dyDescent="0.25">
      <c r="A10" s="3"/>
    </row>
    <row r="11" spans="1:79" x14ac:dyDescent="0.25">
      <c r="A11" s="3"/>
    </row>
    <row r="12" spans="1:79" x14ac:dyDescent="0.25">
      <c r="A12" s="3"/>
    </row>
    <row r="13" spans="1:79" x14ac:dyDescent="0.25">
      <c r="A13" s="3"/>
    </row>
    <row r="14" spans="1:79" x14ac:dyDescent="0.25">
      <c r="A14" s="3"/>
    </row>
    <row r="15" spans="1:79" x14ac:dyDescent="0.25">
      <c r="A15" s="3"/>
    </row>
    <row r="16" spans="1:79" x14ac:dyDescent="0.25">
      <c r="A16" s="3"/>
    </row>
    <row r="17" spans="1:4" x14ac:dyDescent="0.25">
      <c r="A17" s="3"/>
    </row>
    <row r="18" spans="1:4" x14ac:dyDescent="0.25">
      <c r="A18" s="3"/>
      <c r="D18" s="1"/>
    </row>
    <row r="19" spans="1:4" x14ac:dyDescent="0.25">
      <c r="A19" s="3"/>
    </row>
    <row r="20" spans="1:4" x14ac:dyDescent="0.25">
      <c r="A20" s="3"/>
    </row>
    <row r="21" spans="1:4" x14ac:dyDescent="0.25">
      <c r="A21" s="3"/>
    </row>
    <row r="22" spans="1:4" x14ac:dyDescent="0.25">
      <c r="A22" s="3"/>
    </row>
    <row r="23" spans="1:4" x14ac:dyDescent="0.25">
      <c r="A23" s="3"/>
    </row>
    <row r="24" spans="1:4" x14ac:dyDescent="0.25">
      <c r="A24" s="3"/>
    </row>
    <row r="25" spans="1:4" x14ac:dyDescent="0.25">
      <c r="A25" s="3"/>
    </row>
    <row r="26" spans="1:4" x14ac:dyDescent="0.25">
      <c r="A26" s="3"/>
    </row>
    <row r="27" spans="1:4" x14ac:dyDescent="0.25">
      <c r="A27" s="3"/>
    </row>
    <row r="28" spans="1:4" x14ac:dyDescent="0.25">
      <c r="A28" s="3"/>
    </row>
    <row r="29" spans="1:4" x14ac:dyDescent="0.25">
      <c r="A29" s="3"/>
    </row>
    <row r="30" spans="1:4" x14ac:dyDescent="0.25">
      <c r="A30" s="3"/>
    </row>
    <row r="31" spans="1:4" x14ac:dyDescent="0.25">
      <c r="A31" s="3"/>
    </row>
    <row r="32" spans="1:4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</sheetData>
  <conditionalFormatting sqref="A2:CA6000">
    <cfRule type="expression" dxfId="1" priority="1">
      <formula>$A:$A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A6000"/>
  <sheetViews>
    <sheetView workbookViewId="0"/>
  </sheetViews>
  <sheetFormatPr defaultColWidth="12.6640625" defaultRowHeight="15.75" customHeight="1" x14ac:dyDescent="0.25"/>
  <cols>
    <col min="1" max="1" width="6.88671875" customWidth="1"/>
    <col min="2" max="2" width="15.33203125" customWidth="1"/>
    <col min="3" max="3" width="24" customWidth="1"/>
    <col min="4" max="4" width="33.44140625" customWidth="1"/>
  </cols>
  <sheetData>
    <row r="1" spans="1:79" x14ac:dyDescent="0.25">
      <c r="A1" s="1" t="str">
        <f ca="1">IFERROR(__xludf.DUMMYFUNCTION("QUERY(HeadersCompetitors)"),"Pago?")</f>
        <v>Pago?</v>
      </c>
      <c r="B1" s="1" t="str">
        <f ca="1">IFERROR(__xludf.DUMMYFUNCTION("""COMPUTED_VALUE"""),"Dirección de correo electrónico")</f>
        <v>Dirección de correo electrónico</v>
      </c>
      <c r="C1" s="1" t="str">
        <f ca="1">IFERROR(__xludf.DUMMYFUNCTION("""COMPUTED_VALUE"""),"Seleccione la categoria en la que inscribirse")</f>
        <v>Seleccione la categoria en la que inscribirse</v>
      </c>
      <c r="D1" s="1" t="str">
        <f ca="1">IFERROR(__xludf.DUMMYFUNCTION("""COMPUTED_VALUE"""),"Nombre")</f>
        <v>Nombre</v>
      </c>
      <c r="E1" s="1" t="str">
        <f ca="1">IFERROR(__xludf.DUMMYFUNCTION("""COMPUTED_VALUE"""),"Apellido")</f>
        <v>Apellido</v>
      </c>
      <c r="F1" s="1" t="str">
        <f ca="1">IFERROR(__xludf.DUMMYFUNCTION("""COMPUTED_VALUE"""),"Numero de Vela")</f>
        <v>Numero de Vela</v>
      </c>
      <c r="G1" s="1" t="str">
        <f ca="1">IFERROR(__xludf.DUMMYFUNCTION("""COMPUTED_VALUE"""),"Club")</f>
        <v>Club</v>
      </c>
      <c r="H1" s="1" t="str">
        <f ca="1">IFERROR(__xludf.DUMMYFUNCTION("""COMPUTED_VALUE"""),"DNI")</f>
        <v>DNI</v>
      </c>
      <c r="I1" s="1" t="str">
        <f ca="1">IFERROR(__xludf.DUMMYFUNCTION("""COMPUTED_VALUE"""),"Feha nacimiento")</f>
        <v>Feha nacimiento</v>
      </c>
      <c r="J1" s="1" t="str">
        <f ca="1">IFERROR(__xludf.DUMMYFUNCTION("""COMPUTED_VALUE"""),"Correo electronico")</f>
        <v>Correo electronico</v>
      </c>
      <c r="K1" s="1" t="str">
        <f ca="1">IFERROR(__xludf.DUMMYFUNCTION("""COMPUTED_VALUE"""),"Sexo")</f>
        <v>Sexo</v>
      </c>
      <c r="L1" s="1" t="str">
        <f ca="1">IFERROR(__xludf.DUMMYFUNCTION("""COMPUTED_VALUE"""),"Pais")</f>
        <v>Pais</v>
      </c>
      <c r="M1" s="1" t="str">
        <f ca="1">IFERROR(__xludf.DUMMYFUNCTION("""COMPUTED_VALUE"""),"Region / Provincia")</f>
        <v>Region / Provincia</v>
      </c>
      <c r="N1" s="1" t="str">
        <f ca="1">IFERROR(__xludf.DUMMYFUNCTION("""COMPUTED_VALUE"""),"Localidad / Ciudad")</f>
        <v>Localidad / Ciudad</v>
      </c>
      <c r="O1" s="1" t="str">
        <f ca="1">IFERROR(__xludf.DUMMYFUNCTION("""COMPUTED_VALUE"""),"Direccion")</f>
        <v>Direccion</v>
      </c>
      <c r="P1" s="1" t="str">
        <f ca="1">IFERROR(__xludf.DUMMYFUNCTION("""COMPUTED_VALUE"""),"Codigo postal")</f>
        <v>Codigo postal</v>
      </c>
      <c r="Q1" s="1" t="str">
        <f ca="1">IFERROR(__xludf.DUMMYFUNCTION("""COMPUTED_VALUE"""),"Nombre del Padre o Madre (Solo para competidores menores)")</f>
        <v>Nombre del Padre o Madre (Solo para competidores menores)</v>
      </c>
      <c r="R1" s="1" t="str">
        <f ca="1">IFERROR(__xludf.DUMMYFUNCTION("""COMPUTED_VALUE"""),"Apellido del Padre o Madre (Solo para competidores menores)")</f>
        <v>Apellido del Padre o Madre (Solo para competidores menores)</v>
      </c>
      <c r="S1" s="1" t="str">
        <f ca="1">IFERROR(__xludf.DUMMYFUNCTION("""COMPUTED_VALUE"""),"Email del Padre o Madre (Solo para competidores menores)")</f>
        <v>Email del Padre o Madre (Solo para competidores menores)</v>
      </c>
      <c r="T1" s="1" t="str">
        <f ca="1">IFERROR(__xludf.DUMMYFUNCTION("""COMPUTED_VALUE"""),"Numero de contacto del Padre o Madre (Solo para competidores menores)")</f>
        <v>Numero de contacto del Padre o Madre (Solo para competidores menores)</v>
      </c>
      <c r="U1" s="1" t="str">
        <f ca="1">IFERROR(__xludf.DUMMYFUNCTION("""COMPUTED_VALUE"""),"Contacto de emergencia 1")</f>
        <v>Contacto de emergencia 1</v>
      </c>
      <c r="V1" s="1" t="str">
        <f ca="1">IFERROR(__xludf.DUMMYFUNCTION("""COMPUTED_VALUE"""),"Contacto de emergencia 2")</f>
        <v>Contacto de emergencia 2</v>
      </c>
      <c r="W1" s="1" t="str">
        <f ca="1">IFERROR(__xludf.DUMMYFUNCTION("""COMPUTED_VALUE"""),"Obra social")</f>
        <v>Obra social</v>
      </c>
      <c r="X1" s="1" t="str">
        <f ca="1">IFERROR(__xludf.DUMMYFUNCTION("""COMPUTED_VALUE"""),"Numero de afiliado")</f>
        <v>Numero de afiliado</v>
      </c>
      <c r="Y1" s="1" t="str">
        <f ca="1">IFERROR(__xludf.DUMMYFUNCTION("""COMPUTED_VALUE"""),"Nombre")</f>
        <v>Nombre</v>
      </c>
      <c r="Z1" s="1" t="str">
        <f ca="1">IFERROR(__xludf.DUMMYFUNCTION("""COMPUTED_VALUE"""),"Apellido")</f>
        <v>Apellido</v>
      </c>
      <c r="AA1" s="1" t="str">
        <f ca="1">IFERROR(__xludf.DUMMYFUNCTION("""COMPUTED_VALUE"""),"Numero de Vela")</f>
        <v>Numero de Vela</v>
      </c>
      <c r="AB1" s="1" t="str">
        <f ca="1">IFERROR(__xludf.DUMMYFUNCTION("""COMPUTED_VALUE"""),"Club")</f>
        <v>Club</v>
      </c>
      <c r="AC1" s="1" t="str">
        <f ca="1">IFERROR(__xludf.DUMMYFUNCTION("""COMPUTED_VALUE"""),"DNI")</f>
        <v>DNI</v>
      </c>
      <c r="AD1" s="1" t="str">
        <f ca="1">IFERROR(__xludf.DUMMYFUNCTION("""COMPUTED_VALUE"""),"Feha nacimiento")</f>
        <v>Feha nacimiento</v>
      </c>
      <c r="AE1" s="1" t="str">
        <f ca="1">IFERROR(__xludf.DUMMYFUNCTION("""COMPUTED_VALUE"""),"Correo electronico")</f>
        <v>Correo electronico</v>
      </c>
      <c r="AF1" s="1" t="str">
        <f ca="1">IFERROR(__xludf.DUMMYFUNCTION("""COMPUTED_VALUE"""),"Sexo")</f>
        <v>Sexo</v>
      </c>
      <c r="AG1" s="1" t="str">
        <f ca="1">IFERROR(__xludf.DUMMYFUNCTION("""COMPUTED_VALUE"""),"Pais")</f>
        <v>Pais</v>
      </c>
      <c r="AH1" s="1" t="str">
        <f ca="1">IFERROR(__xludf.DUMMYFUNCTION("""COMPUTED_VALUE"""),"Region / Provincia")</f>
        <v>Region / Provincia</v>
      </c>
      <c r="AI1" s="1" t="str">
        <f ca="1">IFERROR(__xludf.DUMMYFUNCTION("""COMPUTED_VALUE"""),"Localidad / Ciudad")</f>
        <v>Localidad / Ciudad</v>
      </c>
      <c r="AJ1" s="1" t="str">
        <f ca="1">IFERROR(__xludf.DUMMYFUNCTION("""COMPUTED_VALUE"""),"Direccion")</f>
        <v>Direccion</v>
      </c>
      <c r="AK1" s="1" t="str">
        <f ca="1">IFERROR(__xludf.DUMMYFUNCTION("""COMPUTED_VALUE"""),"Codigo postal")</f>
        <v>Codigo postal</v>
      </c>
      <c r="AL1" s="1" t="str">
        <f ca="1">IFERROR(__xludf.DUMMYFUNCTION("""COMPUTED_VALUE"""),"Nombre del Padre o Madre (Solo para competidores menores)")</f>
        <v>Nombre del Padre o Madre (Solo para competidores menores)</v>
      </c>
      <c r="AM1" s="1" t="str">
        <f ca="1">IFERROR(__xludf.DUMMYFUNCTION("""COMPUTED_VALUE"""),"Apellido del Padre o Madre (Solo para competidores menores)")</f>
        <v>Apellido del Padre o Madre (Solo para competidores menores)</v>
      </c>
      <c r="AN1" s="1" t="str">
        <f ca="1">IFERROR(__xludf.DUMMYFUNCTION("""COMPUTED_VALUE"""),"Email del Padre o Madre (Solo para competidores menores)")</f>
        <v>Email del Padre o Madre (Solo para competidores menores)</v>
      </c>
      <c r="AO1" s="1" t="str">
        <f ca="1">IFERROR(__xludf.DUMMYFUNCTION("""COMPUTED_VALUE"""),"Numero de contacto del Padre o Madre (Solo para competidores menores)")</f>
        <v>Numero de contacto del Padre o Madre (Solo para competidores menores)</v>
      </c>
      <c r="AP1" s="1" t="str">
        <f ca="1">IFERROR(__xludf.DUMMYFUNCTION("""COMPUTED_VALUE"""),"Contacto de emergencia 1")</f>
        <v>Contacto de emergencia 1</v>
      </c>
      <c r="AQ1" s="1" t="str">
        <f ca="1">IFERROR(__xludf.DUMMYFUNCTION("""COMPUTED_VALUE"""),"Contacto de emergencia 2")</f>
        <v>Contacto de emergencia 2</v>
      </c>
      <c r="AR1" s="1" t="str">
        <f ca="1">IFERROR(__xludf.DUMMYFUNCTION("""COMPUTED_VALUE"""),"Obra social")</f>
        <v>Obra social</v>
      </c>
      <c r="AS1" s="1" t="str">
        <f ca="1">IFERROR(__xludf.DUMMYFUNCTION("""COMPUTED_VALUE"""),"Numero de afiliado")</f>
        <v>Numero de afiliado</v>
      </c>
      <c r="AT1" s="1"/>
      <c r="AU1" s="1"/>
      <c r="AV1" s="1"/>
      <c r="AW1" s="1"/>
      <c r="AX1" s="1"/>
      <c r="AY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3" t="str">
        <f ca="1">IFERROR(__xludf.DUMMYFUNCTION("IFERROR(ARRAYFORMULA(SUBSTITUTE(SUBSTITUTE(FILTER(ResponsesCompetitors,CategoryCompetitors=""Nacra 17""),TRUE,""✅""),FALSE,""❌"")),"""")"),"")</f>
        <v/>
      </c>
    </row>
    <row r="3" spans="1:79" x14ac:dyDescent="0.25">
      <c r="A3" s="3"/>
    </row>
    <row r="4" spans="1:79" x14ac:dyDescent="0.25">
      <c r="A4" s="3"/>
    </row>
    <row r="5" spans="1:79" x14ac:dyDescent="0.25">
      <c r="A5" s="3"/>
    </row>
    <row r="6" spans="1:79" x14ac:dyDescent="0.25">
      <c r="A6" s="3"/>
    </row>
    <row r="7" spans="1:79" x14ac:dyDescent="0.25">
      <c r="A7" s="3"/>
    </row>
    <row r="8" spans="1:79" x14ac:dyDescent="0.25">
      <c r="A8" s="3"/>
    </row>
    <row r="9" spans="1:79" x14ac:dyDescent="0.25">
      <c r="A9" s="3"/>
    </row>
    <row r="10" spans="1:79" x14ac:dyDescent="0.25">
      <c r="A10" s="3"/>
    </row>
    <row r="11" spans="1:79" x14ac:dyDescent="0.25">
      <c r="A11" s="3"/>
    </row>
    <row r="12" spans="1:79" x14ac:dyDescent="0.25">
      <c r="A12" s="3"/>
    </row>
    <row r="13" spans="1:79" x14ac:dyDescent="0.25">
      <c r="A13" s="3"/>
    </row>
    <row r="14" spans="1:79" x14ac:dyDescent="0.25">
      <c r="A14" s="3"/>
    </row>
    <row r="15" spans="1:79" x14ac:dyDescent="0.25">
      <c r="A15" s="3"/>
    </row>
    <row r="16" spans="1:79" x14ac:dyDescent="0.25">
      <c r="A16" s="3"/>
    </row>
    <row r="17" spans="1:4" x14ac:dyDescent="0.25">
      <c r="A17" s="3"/>
    </row>
    <row r="18" spans="1:4" x14ac:dyDescent="0.25">
      <c r="A18" s="3"/>
      <c r="D18" s="1"/>
    </row>
    <row r="19" spans="1:4" x14ac:dyDescent="0.25">
      <c r="A19" s="3"/>
    </row>
    <row r="20" spans="1:4" x14ac:dyDescent="0.25">
      <c r="A20" s="3"/>
    </row>
    <row r="21" spans="1:4" x14ac:dyDescent="0.25">
      <c r="A21" s="3"/>
    </row>
    <row r="22" spans="1:4" x14ac:dyDescent="0.25">
      <c r="A22" s="3"/>
    </row>
    <row r="23" spans="1:4" x14ac:dyDescent="0.25">
      <c r="A23" s="3"/>
    </row>
    <row r="24" spans="1:4" x14ac:dyDescent="0.25">
      <c r="A24" s="3"/>
    </row>
    <row r="25" spans="1:4" x14ac:dyDescent="0.25">
      <c r="A25" s="3"/>
    </row>
    <row r="26" spans="1:4" x14ac:dyDescent="0.25">
      <c r="A26" s="3"/>
    </row>
    <row r="27" spans="1:4" x14ac:dyDescent="0.25">
      <c r="A27" s="3"/>
    </row>
    <row r="28" spans="1:4" x14ac:dyDescent="0.25">
      <c r="A28" s="3"/>
    </row>
    <row r="29" spans="1:4" x14ac:dyDescent="0.25">
      <c r="A29" s="3"/>
    </row>
    <row r="30" spans="1:4" x14ac:dyDescent="0.25">
      <c r="A30" s="3"/>
    </row>
    <row r="31" spans="1:4" x14ac:dyDescent="0.25">
      <c r="A31" s="3"/>
    </row>
    <row r="32" spans="1:4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</sheetData>
  <conditionalFormatting sqref="A2:CA6000">
    <cfRule type="expression" dxfId="0" priority="1">
      <formula>$A:$A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Hoja 2</vt:lpstr>
      <vt:lpstr>ILCA 7</vt:lpstr>
      <vt:lpstr>ILCA 6</vt:lpstr>
      <vt:lpstr>ILCA 4</vt:lpstr>
      <vt:lpstr>49er</vt:lpstr>
      <vt:lpstr>Nacra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Cloos</cp:lastModifiedBy>
  <dcterms:modified xsi:type="dcterms:W3CDTF">2026-03-07T13:50:04Z</dcterms:modified>
</cp:coreProperties>
</file>