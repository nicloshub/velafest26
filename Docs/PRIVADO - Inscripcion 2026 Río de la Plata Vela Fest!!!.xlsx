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IMPORTANTE\CAMPEONATOS\velafest26\Docs\"/>
    </mc:Choice>
  </mc:AlternateContent>
  <xr:revisionPtr revIDLastSave="0" documentId="13_ncr:1_{B8764D86-CAFA-4F3F-B5E7-796041AA006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ompetidores" sheetId="1" r:id="rId1"/>
    <sheet name="Optimist Timoneles" sheetId="3" r:id="rId2"/>
    <sheet name="Hoja 2" sheetId="4" state="hidden" r:id="rId3"/>
    <sheet name="Optimist Principiantes" sheetId="5" r:id="rId4"/>
    <sheet name="ILCA 7" sheetId="8" r:id="rId5"/>
    <sheet name="ILCA 6" sheetId="9" r:id="rId6"/>
    <sheet name="ILCA 4" sheetId="10" r:id="rId7"/>
    <sheet name="49er" sheetId="12" state="hidden" r:id="rId8"/>
    <sheet name="Nacra 17" sheetId="13" state="hidden" r:id="rId9"/>
  </sheets>
  <definedNames>
    <definedName name="CategoryCompetitors">Competidores!$D$2:$D$1257</definedName>
    <definedName name="HeadersCompetitors">Competidores!$B$1:$BO$1</definedName>
    <definedName name="ResponsesCompetitors">Competidores!$B$2:$AT$1257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3" l="1"/>
  <c r="AS1" i="13"/>
  <c r="AR1" i="13"/>
  <c r="AQ1" i="13"/>
  <c r="AP1" i="13"/>
  <c r="AO1" i="13"/>
  <c r="AN1" i="13"/>
  <c r="AM1" i="13"/>
  <c r="AL1" i="13"/>
  <c r="AK1" i="13"/>
  <c r="AJ1" i="13"/>
  <c r="AI1" i="13"/>
  <c r="AH1" i="13"/>
  <c r="AG1" i="13"/>
  <c r="AF1" i="13"/>
  <c r="AE1" i="13"/>
  <c r="AD1" i="13"/>
  <c r="AC1" i="13"/>
  <c r="AB1" i="13"/>
  <c r="AA1" i="13"/>
  <c r="Z1" i="13"/>
  <c r="Y1" i="13"/>
  <c r="X1" i="13"/>
  <c r="W1" i="13"/>
  <c r="V1" i="13"/>
  <c r="U1" i="13"/>
  <c r="T1" i="13"/>
  <c r="S1" i="13"/>
  <c r="R1" i="13"/>
  <c r="Q1" i="13"/>
  <c r="P1" i="13"/>
  <c r="O1" i="13"/>
  <c r="N1" i="13"/>
  <c r="M1" i="13"/>
  <c r="L1" i="13"/>
  <c r="K1" i="13"/>
  <c r="J1" i="13"/>
  <c r="I1" i="13"/>
  <c r="H1" i="13"/>
  <c r="G1" i="13"/>
  <c r="F1" i="13"/>
  <c r="E1" i="13"/>
  <c r="D1" i="13"/>
  <c r="C1" i="13"/>
  <c r="B1" i="13"/>
  <c r="A1" i="13"/>
  <c r="A2" i="12"/>
  <c r="AS1" i="12"/>
  <c r="AR1" i="12"/>
  <c r="AQ1" i="12"/>
  <c r="AP1" i="12"/>
  <c r="AO1" i="12"/>
  <c r="AN1" i="12"/>
  <c r="AM1" i="12"/>
  <c r="AL1" i="12"/>
  <c r="AK1" i="12"/>
  <c r="AJ1" i="12"/>
  <c r="AI1" i="12"/>
  <c r="AH1" i="12"/>
  <c r="AG1" i="12"/>
  <c r="AF1" i="12"/>
  <c r="AE1" i="12"/>
  <c r="AD1" i="12"/>
  <c r="AC1" i="12"/>
  <c r="AB1" i="12"/>
  <c r="AA1" i="12"/>
  <c r="Z1" i="12"/>
  <c r="Y1" i="12"/>
  <c r="X1" i="12"/>
  <c r="W1" i="12"/>
  <c r="V1" i="12"/>
  <c r="U1" i="12"/>
  <c r="T1" i="12"/>
  <c r="S1" i="12"/>
  <c r="R1" i="12"/>
  <c r="Q1" i="12"/>
  <c r="P1" i="12"/>
  <c r="O1" i="12"/>
  <c r="N1" i="12"/>
  <c r="M1" i="12"/>
  <c r="L1" i="12"/>
  <c r="K1" i="12"/>
  <c r="J1" i="12"/>
  <c r="I1" i="12"/>
  <c r="H1" i="12"/>
  <c r="G1" i="12"/>
  <c r="F1" i="12"/>
  <c r="E1" i="12"/>
  <c r="D1" i="12"/>
  <c r="C1" i="12"/>
  <c r="B1" i="12"/>
  <c r="A1" i="12"/>
</calcChain>
</file>

<file path=xl/sharedStrings.xml><?xml version="1.0" encoding="utf-8"?>
<sst xmlns="http://schemas.openxmlformats.org/spreadsheetml/2006/main" count="13867" uniqueCount="4112">
  <si>
    <t>Marca temporal</t>
  </si>
  <si>
    <t>Pago?</t>
  </si>
  <si>
    <t>Dirección de correo electrónico</t>
  </si>
  <si>
    <t>Seleccione la categoria en la que inscribirse</t>
  </si>
  <si>
    <t>Nombre</t>
  </si>
  <si>
    <t>Apellido</t>
  </si>
  <si>
    <t>Numero de Vela</t>
  </si>
  <si>
    <t>Club</t>
  </si>
  <si>
    <t>DNI</t>
  </si>
  <si>
    <t>Feha nacimiento</t>
  </si>
  <si>
    <t>Correo electronico</t>
  </si>
  <si>
    <t>Sexo</t>
  </si>
  <si>
    <t>Pais</t>
  </si>
  <si>
    <t>Region / Provincia</t>
  </si>
  <si>
    <t>Localidad / Ciudad</t>
  </si>
  <si>
    <t>Direccion</t>
  </si>
  <si>
    <t>Codigo postal</t>
  </si>
  <si>
    <t>Nombre del Padre o Madre (Solo para competidores menores)</t>
  </si>
  <si>
    <t>Apellido del Padre o Madre (Solo para competidores menores)</t>
  </si>
  <si>
    <t>Email del Padre o Madre (Solo para competidores menores)</t>
  </si>
  <si>
    <t>Numero de contacto del Padre o Madre (Solo para competidores menores)</t>
  </si>
  <si>
    <t>Contacto de emergencia 1</t>
  </si>
  <si>
    <t>Contacto de emergencia 2</t>
  </si>
  <si>
    <t>Obra social</t>
  </si>
  <si>
    <t>Numero de afiliado</t>
  </si>
  <si>
    <t>soniainesmariani@gmail.com</t>
  </si>
  <si>
    <t>Optimist Timoneles</t>
  </si>
  <si>
    <t xml:space="preserve">HELENA </t>
  </si>
  <si>
    <t>KATZ</t>
  </si>
  <si>
    <t>YCR - Yacht Club Rosario</t>
  </si>
  <si>
    <t>Femenino</t>
  </si>
  <si>
    <t>Argentina</t>
  </si>
  <si>
    <t>Santa Fe</t>
  </si>
  <si>
    <t>Rosario</t>
  </si>
  <si>
    <t>juan agustin maza 1816</t>
  </si>
  <si>
    <t xml:space="preserve">SONIA </t>
  </si>
  <si>
    <t>MARIANI</t>
  </si>
  <si>
    <t>OSUNR</t>
  </si>
  <si>
    <t>0025819684B</t>
  </si>
  <si>
    <t>vanesamledo@gmail.com</t>
  </si>
  <si>
    <t>MAXIMO</t>
  </si>
  <si>
    <t>COROMINAS</t>
  </si>
  <si>
    <t>CNZ - Club Náutico Zarate</t>
  </si>
  <si>
    <t>Masculino</t>
  </si>
  <si>
    <t>Buenos Aires</t>
  </si>
  <si>
    <t>Zarate</t>
  </si>
  <si>
    <t>Ruta 6 km 207. 3 Zarate</t>
  </si>
  <si>
    <t>Vanesa</t>
  </si>
  <si>
    <t>Ledo</t>
  </si>
  <si>
    <t>Swiss Medical</t>
  </si>
  <si>
    <t>800006 1669598 03 0005</t>
  </si>
  <si>
    <t>euge611@gmail.com</t>
  </si>
  <si>
    <t xml:space="preserve">Francisco </t>
  </si>
  <si>
    <t xml:space="preserve">Balbuena </t>
  </si>
  <si>
    <t>CPNLB - Club de Pesca y Náutica Las Barrancas</t>
  </si>
  <si>
    <t>BUENOS AIRES</t>
  </si>
  <si>
    <t>SAN ISIDRO - ACASSUSO</t>
  </si>
  <si>
    <t>Sebastian Elcano 468</t>
  </si>
  <si>
    <t>Eugenio</t>
  </si>
  <si>
    <t>Eugenia</t>
  </si>
  <si>
    <t xml:space="preserve">Swiss Medical </t>
  </si>
  <si>
    <t>800006 7249956 03 0030</t>
  </si>
  <si>
    <t>noelmuntane@yahoo.es</t>
  </si>
  <si>
    <t>Catalina</t>
  </si>
  <si>
    <t>Gomez</t>
  </si>
  <si>
    <t>CNSP - Club Náutico San Pedro</t>
  </si>
  <si>
    <t>SAN PEDRO</t>
  </si>
  <si>
    <t>Irlanda 850</t>
  </si>
  <si>
    <t>María Noel Muntane</t>
  </si>
  <si>
    <t>Martín Eduardo Gomez</t>
  </si>
  <si>
    <t>IOMA</t>
  </si>
  <si>
    <t>pppantin@gmail.com</t>
  </si>
  <si>
    <t xml:space="preserve">Luján Agustina </t>
  </si>
  <si>
    <t>Pantin</t>
  </si>
  <si>
    <t>YCA - Yacht Club Argentino</t>
  </si>
  <si>
    <t>Ppantin@perezizquierdo.com.ar</t>
  </si>
  <si>
    <t xml:space="preserve">Argentina </t>
  </si>
  <si>
    <t xml:space="preserve">Bs As </t>
  </si>
  <si>
    <t>Lanus</t>
  </si>
  <si>
    <t>Carlos tejedor 66 piso 2</t>
  </si>
  <si>
    <t>Patricio Pantin</t>
  </si>
  <si>
    <t>María Agustina Pérez Izquierdo</t>
  </si>
  <si>
    <t>Pppantin@gmail.com</t>
  </si>
  <si>
    <t>11 3064 8081</t>
  </si>
  <si>
    <t>11 6675 2350</t>
  </si>
  <si>
    <t xml:space="preserve">Colescba </t>
  </si>
  <si>
    <t>5340/3</t>
  </si>
  <si>
    <t>joakito3150@gmail.com</t>
  </si>
  <si>
    <t>Manuel</t>
  </si>
  <si>
    <t xml:space="preserve">Chichowolski iribas </t>
  </si>
  <si>
    <t>Cichomanu@gmail.com</t>
  </si>
  <si>
    <t>Bs As</t>
  </si>
  <si>
    <t>CABA</t>
  </si>
  <si>
    <t>Núñez 2172</t>
  </si>
  <si>
    <t>Laura</t>
  </si>
  <si>
    <t>Iribas</t>
  </si>
  <si>
    <t>Laudgiribas@gmail.com</t>
  </si>
  <si>
    <t xml:space="preserve"> 11 5641-9068</t>
  </si>
  <si>
    <t>DOSUBA</t>
  </si>
  <si>
    <t>Joaquin</t>
  </si>
  <si>
    <t>Balbuena</t>
  </si>
  <si>
    <t>Joakito3150@gmail.com</t>
  </si>
  <si>
    <t>San Isidro</t>
  </si>
  <si>
    <t xml:space="preserve">Sebastián elcano </t>
  </si>
  <si>
    <t>Euge611@gmail.com</t>
  </si>
  <si>
    <t>11 3196391</t>
  </si>
  <si>
    <t>Swiss medical</t>
  </si>
  <si>
    <t>mechi10@yahoo.com</t>
  </si>
  <si>
    <t>Tomas</t>
  </si>
  <si>
    <t>Quesada</t>
  </si>
  <si>
    <t>Mechi10@yahoo.com</t>
  </si>
  <si>
    <t>Tigre</t>
  </si>
  <si>
    <t>Agustin Garcia 6649</t>
  </si>
  <si>
    <t xml:space="preserve">Mercedes </t>
  </si>
  <si>
    <t>Iglesias</t>
  </si>
  <si>
    <t>Osde</t>
  </si>
  <si>
    <t>jmagnani3511@gmail.com</t>
  </si>
  <si>
    <t>Juliana</t>
  </si>
  <si>
    <t>Magnani</t>
  </si>
  <si>
    <t>córdoba 2345</t>
  </si>
  <si>
    <t xml:space="preserve">Diego </t>
  </si>
  <si>
    <t>dfmagnani@e3arq.com.ar</t>
  </si>
  <si>
    <t>+54 9 3415 86-1817</t>
  </si>
  <si>
    <t>+54 9 3416 61-2002</t>
  </si>
  <si>
    <t xml:space="preserve">osde </t>
  </si>
  <si>
    <t>Delfina</t>
  </si>
  <si>
    <t xml:space="preserve">Cots </t>
  </si>
  <si>
    <t xml:space="preserve">buenos aires </t>
  </si>
  <si>
    <t xml:space="preserve">Buenos aires </t>
  </si>
  <si>
    <t xml:space="preserve">Norberto </t>
  </si>
  <si>
    <t xml:space="preserve">cots </t>
  </si>
  <si>
    <t>+54 9 11 4419-9860</t>
  </si>
  <si>
    <t>luciano.schere@gmail.com</t>
  </si>
  <si>
    <t xml:space="preserve">Agustina </t>
  </si>
  <si>
    <t>Schere Pena</t>
  </si>
  <si>
    <t>Villanueva 1353 7A</t>
  </si>
  <si>
    <t xml:space="preserve">Luciano </t>
  </si>
  <si>
    <t>Schere</t>
  </si>
  <si>
    <t>11 4491 5661</t>
  </si>
  <si>
    <t>11 6528 4512</t>
  </si>
  <si>
    <t>OSDE</t>
  </si>
  <si>
    <t>60 950760 4 03</t>
  </si>
  <si>
    <t>Caba</t>
  </si>
  <si>
    <t>Villanueva 1353 7a</t>
  </si>
  <si>
    <t>Luciano</t>
  </si>
  <si>
    <t>011 4491 5661</t>
  </si>
  <si>
    <t>011 6528 4512</t>
  </si>
  <si>
    <t>andreafriedlander@hotmail.com</t>
  </si>
  <si>
    <t>Tiziano</t>
  </si>
  <si>
    <t>Laise</t>
  </si>
  <si>
    <t>ARG 3946</t>
  </si>
  <si>
    <t>Andreafriedlander@hotmail.com</t>
  </si>
  <si>
    <t>Mariano Acha 2878</t>
  </si>
  <si>
    <t xml:space="preserve">Andrea </t>
  </si>
  <si>
    <t>Friedlander</t>
  </si>
  <si>
    <t>Madre 1140759121</t>
  </si>
  <si>
    <t>Padre (César Laise) 1140444113</t>
  </si>
  <si>
    <t>Osde 310</t>
  </si>
  <si>
    <t>pablo.357404@gmail.com</t>
  </si>
  <si>
    <t>Nina</t>
  </si>
  <si>
    <t>Raineri Taverna</t>
  </si>
  <si>
    <t>CVR - Club de Velas Rosario</t>
  </si>
  <si>
    <t>Pabloraineri@icloud.com</t>
  </si>
  <si>
    <t>Carballo 112</t>
  </si>
  <si>
    <t>Pablo Raineri</t>
  </si>
  <si>
    <t>+5493415157095</t>
  </si>
  <si>
    <t>+5493415632090</t>
  </si>
  <si>
    <t>800006 0800694 03 1024</t>
  </si>
  <si>
    <t>gabysorribas@hotmail.com</t>
  </si>
  <si>
    <t>Agustina Mariel</t>
  </si>
  <si>
    <t>Vicente</t>
  </si>
  <si>
    <t>CNAs - Club Náutico Albatros</t>
  </si>
  <si>
    <t>San isidro</t>
  </si>
  <si>
    <t xml:space="preserve">Martinez </t>
  </si>
  <si>
    <t>EMILIO FRERS 1156</t>
  </si>
  <si>
    <t xml:space="preserve">Gabriela Sorribas </t>
  </si>
  <si>
    <t xml:space="preserve">Vicente Ricardo </t>
  </si>
  <si>
    <t>Madre_15 5773 7268</t>
  </si>
  <si>
    <t>Padre_15 45773643</t>
  </si>
  <si>
    <t>andres25raviola@gmail.com</t>
  </si>
  <si>
    <t>Optimist Principiantes</t>
  </si>
  <si>
    <t xml:space="preserve">Juana </t>
  </si>
  <si>
    <t>Raviola Garcia</t>
  </si>
  <si>
    <t>San pedro</t>
  </si>
  <si>
    <t>Anibal de Antón 395</t>
  </si>
  <si>
    <t xml:space="preserve">Luján Maria del Rosario </t>
  </si>
  <si>
    <t xml:space="preserve">García </t>
  </si>
  <si>
    <t xml:space="preserve">Swiss medical </t>
  </si>
  <si>
    <t>800006 1053704 03 1001</t>
  </si>
  <si>
    <t>alejandro.fuhrmann@gmail.com</t>
  </si>
  <si>
    <t>Renata</t>
  </si>
  <si>
    <t>Fuhrmann</t>
  </si>
  <si>
    <t>Ramos Mejia</t>
  </si>
  <si>
    <t>Chacabuco 470</t>
  </si>
  <si>
    <t xml:space="preserve">Alejandro </t>
  </si>
  <si>
    <t>vickydennin@gmail.com</t>
  </si>
  <si>
    <t xml:space="preserve">Martin </t>
  </si>
  <si>
    <t>Vieytez</t>
  </si>
  <si>
    <t>CUBA - Club Universitario de Buenos Aires</t>
  </si>
  <si>
    <t>Posadas 1301</t>
  </si>
  <si>
    <t>Victoria</t>
  </si>
  <si>
    <t>Dennin</t>
  </si>
  <si>
    <t>APSOT</t>
  </si>
  <si>
    <t>11569/D</t>
  </si>
  <si>
    <t>juandiegofigueroa78@gmail.com</t>
  </si>
  <si>
    <t>joaquin</t>
  </si>
  <si>
    <t>figueroa</t>
  </si>
  <si>
    <t>CNMP - Club Náutico Mar del Plata</t>
  </si>
  <si>
    <t>mar del plata</t>
  </si>
  <si>
    <t>Laprida 4113</t>
  </si>
  <si>
    <t>juan diego</t>
  </si>
  <si>
    <t>osde</t>
  </si>
  <si>
    <t>jdfigueroa@agroelcandil.com.ar</t>
  </si>
  <si>
    <t>juan bautista</t>
  </si>
  <si>
    <t>Laprida</t>
  </si>
  <si>
    <t>ana.inesc@hotmail.com</t>
  </si>
  <si>
    <t>Gino</t>
  </si>
  <si>
    <t>Pichetti</t>
  </si>
  <si>
    <t>JUNIN</t>
  </si>
  <si>
    <t>Brasil 439</t>
  </si>
  <si>
    <t>Ana Inés</t>
  </si>
  <si>
    <t>CAMACHO</t>
  </si>
  <si>
    <t>62 851836 5 03</t>
  </si>
  <si>
    <t>Donato</t>
  </si>
  <si>
    <t>62 851836 5 04</t>
  </si>
  <si>
    <t>valeritacerra@gmail.com</t>
  </si>
  <si>
    <t>Guido</t>
  </si>
  <si>
    <t xml:space="preserve">Pierson </t>
  </si>
  <si>
    <t>CRR - Club de Regatas Rosario</t>
  </si>
  <si>
    <t xml:space="preserve">Rosario </t>
  </si>
  <si>
    <t>Prol. A. Schilla Ruta 34S 1902</t>
  </si>
  <si>
    <t xml:space="preserve">Gustavo </t>
  </si>
  <si>
    <t>341 6987797  (padre)</t>
  </si>
  <si>
    <t>3416987798  (madre)</t>
  </si>
  <si>
    <t>341 5314642  (entrenador)</t>
  </si>
  <si>
    <t>0026538900D</t>
  </si>
  <si>
    <t>marcela.domato@gmail.com</t>
  </si>
  <si>
    <t xml:space="preserve">FRANCISCO </t>
  </si>
  <si>
    <t xml:space="preserve">CALABRESE </t>
  </si>
  <si>
    <t>Marcela.domato@gmail.com</t>
  </si>
  <si>
    <t>Buenos aires</t>
  </si>
  <si>
    <t xml:space="preserve">Tigre </t>
  </si>
  <si>
    <t>Av de.los lagos 4900</t>
  </si>
  <si>
    <t>Marcela</t>
  </si>
  <si>
    <t>Domato</t>
  </si>
  <si>
    <t xml:space="preserve">112160-0067 </t>
  </si>
  <si>
    <t>sergiolfernandez@hotmail.com</t>
  </si>
  <si>
    <t>Fernandez</t>
  </si>
  <si>
    <t>Pilar</t>
  </si>
  <si>
    <t>El Ñandú 1300</t>
  </si>
  <si>
    <t>Sergio</t>
  </si>
  <si>
    <t>OSDE (plan 210)</t>
  </si>
  <si>
    <t xml:space="preserve">MORA </t>
  </si>
  <si>
    <t>Av del lagos</t>
  </si>
  <si>
    <t>marconeandres@hotmail.com</t>
  </si>
  <si>
    <t>Andres Benjamin</t>
  </si>
  <si>
    <t>Marcone</t>
  </si>
  <si>
    <t>Marconeandres@hotmail.com</t>
  </si>
  <si>
    <t>Libertador 5092 8b</t>
  </si>
  <si>
    <t>Andres Marcone</t>
  </si>
  <si>
    <t>Johana Ballario</t>
  </si>
  <si>
    <t>Marconeandrea@hotmail.com</t>
  </si>
  <si>
    <t>011 50974625</t>
  </si>
  <si>
    <t>011 2462 1595</t>
  </si>
  <si>
    <t>011 50974626</t>
  </si>
  <si>
    <t>8000061470765020014</t>
  </si>
  <si>
    <t>11/28/1014</t>
  </si>
  <si>
    <t>115097 4625</t>
  </si>
  <si>
    <t>112462 1595</t>
  </si>
  <si>
    <t>11 5097 4626</t>
  </si>
  <si>
    <t>odonto_car1981@hotmail.com</t>
  </si>
  <si>
    <t xml:space="preserve">Agustín Alejandro </t>
  </si>
  <si>
    <t>Cerviño</t>
  </si>
  <si>
    <t>Odonto_car1981@hotmail.com</t>
  </si>
  <si>
    <t>Loma hermosa</t>
  </si>
  <si>
    <t>Rivadavia 6179</t>
  </si>
  <si>
    <t>Carla mariela</t>
  </si>
  <si>
    <t>Ferreyra achigar</t>
  </si>
  <si>
    <t>Cober</t>
  </si>
  <si>
    <t>870225-02</t>
  </si>
  <si>
    <t>santiago.doval@dovamar.com.ar</t>
  </si>
  <si>
    <t>Felix</t>
  </si>
  <si>
    <t>Doval</t>
  </si>
  <si>
    <t>Arg 4198</t>
  </si>
  <si>
    <t>Santiago.doval@dovamar.com.ar</t>
  </si>
  <si>
    <t xml:space="preserve">Buenos Aires </t>
  </si>
  <si>
    <t>Beccar</t>
  </si>
  <si>
    <t>Treinta y tres orientales 911</t>
  </si>
  <si>
    <t xml:space="preserve">Santiago </t>
  </si>
  <si>
    <t xml:space="preserve">Doval </t>
  </si>
  <si>
    <t>guada.r@hotmail.com</t>
  </si>
  <si>
    <t>SANTIAGO NICOLAS</t>
  </si>
  <si>
    <t>GARCIA</t>
  </si>
  <si>
    <t>ARGENTINA</t>
  </si>
  <si>
    <t>MERCEDES 4516</t>
  </si>
  <si>
    <t>GUADALUPE</t>
  </si>
  <si>
    <t>RAMON</t>
  </si>
  <si>
    <t>OMINT</t>
  </si>
  <si>
    <t xml:space="preserve"> 1 1852225 01 01 5</t>
  </si>
  <si>
    <t>marucenturion1989@gmail.com</t>
  </si>
  <si>
    <t>Felipe</t>
  </si>
  <si>
    <t>Blas</t>
  </si>
  <si>
    <t>San Pedro</t>
  </si>
  <si>
    <t>Independencia 775</t>
  </si>
  <si>
    <t xml:space="preserve">María de los Ángeles centurión </t>
  </si>
  <si>
    <t>Pablo Horacio Blas</t>
  </si>
  <si>
    <t xml:space="preserve">IOMA </t>
  </si>
  <si>
    <t>cozarmarcelo@hotmail.com</t>
  </si>
  <si>
    <t>Paloma</t>
  </si>
  <si>
    <t>Cozar Giuliani</t>
  </si>
  <si>
    <t>ARG4261</t>
  </si>
  <si>
    <t>argentina</t>
  </si>
  <si>
    <t>caba</t>
  </si>
  <si>
    <t>nogoya 3355</t>
  </si>
  <si>
    <t>Marcelo Cozar</t>
  </si>
  <si>
    <t>Agustina Giuliani</t>
  </si>
  <si>
    <t>molinaricv@gmail.com</t>
  </si>
  <si>
    <t>Molinari</t>
  </si>
  <si>
    <t>CVB - Club de Veleros Barlovento</t>
  </si>
  <si>
    <t>Lugones 4550</t>
  </si>
  <si>
    <t>Juan Pablo Molinari</t>
  </si>
  <si>
    <t>+5491168526245</t>
  </si>
  <si>
    <t>+5491168526235</t>
  </si>
  <si>
    <t>martin.lenzetti@gmail.com</t>
  </si>
  <si>
    <t>Emma</t>
  </si>
  <si>
    <t>Lenzetti</t>
  </si>
  <si>
    <t>CRLP - Club de Regatas La Plata</t>
  </si>
  <si>
    <t>La Plata</t>
  </si>
  <si>
    <t>58 1101</t>
  </si>
  <si>
    <t>8000063965174040014</t>
  </si>
  <si>
    <t>fbravo1357@gmail.com</t>
  </si>
  <si>
    <t>Francisco</t>
  </si>
  <si>
    <t>Bravo</t>
  </si>
  <si>
    <t>franbravo20122024@icloud.com</t>
  </si>
  <si>
    <t>Ciudad Autónoma de Buenos Aires</t>
  </si>
  <si>
    <t>Montevideo 1520 5B</t>
  </si>
  <si>
    <t>C1018ACH</t>
  </si>
  <si>
    <t>Federico</t>
  </si>
  <si>
    <t>Fbravo1357@gmail.com</t>
  </si>
  <si>
    <t>silcarusoprahl@gmail.com</t>
  </si>
  <si>
    <t>Tomás</t>
  </si>
  <si>
    <t>Morteo</t>
  </si>
  <si>
    <t>ARG4286</t>
  </si>
  <si>
    <t>BA</t>
  </si>
  <si>
    <t>Gral Pacheco, Tigre</t>
  </si>
  <si>
    <t>Echeverría 1200, Talar del Lago 1, lote 499</t>
  </si>
  <si>
    <t>Silvina</t>
  </si>
  <si>
    <t>Caruso Prahl</t>
  </si>
  <si>
    <t>01168572158</t>
  </si>
  <si>
    <t>01144751046</t>
  </si>
  <si>
    <t>rjcastiglioni@hotmail.com</t>
  </si>
  <si>
    <t xml:space="preserve">Castiglioni </t>
  </si>
  <si>
    <t>CNSI - Club Náutico San Isidro</t>
  </si>
  <si>
    <t xml:space="preserve">Recoleta </t>
  </si>
  <si>
    <t>Larrea 1367</t>
  </si>
  <si>
    <t xml:space="preserve">Ricardo </t>
  </si>
  <si>
    <t>Castiglioni</t>
  </si>
  <si>
    <t>agus.gabaglio21@gmail.com</t>
  </si>
  <si>
    <t>ILCA 6</t>
  </si>
  <si>
    <t>Agustin</t>
  </si>
  <si>
    <t>Gabaglio</t>
  </si>
  <si>
    <t>Bsas</t>
  </si>
  <si>
    <t>Bartolome Mitre 836 (manzanares, pilar)</t>
  </si>
  <si>
    <t>Gbackup@atesrl.com.ar</t>
  </si>
  <si>
    <t>800006 0862445 02 0029</t>
  </si>
  <si>
    <t>pedroalvarezgallesio@gmail.com</t>
  </si>
  <si>
    <t>ILCA 7</t>
  </si>
  <si>
    <t xml:space="preserve">Pedro </t>
  </si>
  <si>
    <t xml:space="preserve">Álvarez Gallesio </t>
  </si>
  <si>
    <t>Pedroalvarezgallesio@gmail.com</t>
  </si>
  <si>
    <t xml:space="preserve">Caba </t>
  </si>
  <si>
    <t>Juncal 1403</t>
  </si>
  <si>
    <t>Gaston.astoul@gmail.com</t>
  </si>
  <si>
    <t xml:space="preserve">Gastón Félix </t>
  </si>
  <si>
    <t xml:space="preserve">Astoul </t>
  </si>
  <si>
    <t>Gaston.f.astoul@gmail.com</t>
  </si>
  <si>
    <t xml:space="preserve">San Isidro </t>
  </si>
  <si>
    <t>Treinta y tres Orientales 911</t>
  </si>
  <si>
    <t xml:space="preserve">Gastón Alejandro </t>
  </si>
  <si>
    <t>Astoul</t>
  </si>
  <si>
    <t xml:space="preserve">Medicus </t>
  </si>
  <si>
    <t>olibrunetta@gmail.com</t>
  </si>
  <si>
    <t>olivia</t>
  </si>
  <si>
    <t>brunetta</t>
  </si>
  <si>
    <t>buenos aires</t>
  </si>
  <si>
    <t>san isidro</t>
  </si>
  <si>
    <t>washington 349</t>
  </si>
  <si>
    <t>florencia</t>
  </si>
  <si>
    <t>burgo</t>
  </si>
  <si>
    <t>burgoflorencia@gmail.com</t>
  </si>
  <si>
    <t>+59911 4060-9749</t>
  </si>
  <si>
    <t>+59911 5799-6370</t>
  </si>
  <si>
    <t>osde 410</t>
  </si>
  <si>
    <t>escribaniarossi@escribaniarossi.com.ar</t>
  </si>
  <si>
    <t xml:space="preserve">Augusto </t>
  </si>
  <si>
    <t xml:space="preserve">Rossi Galizzi </t>
  </si>
  <si>
    <t>ARG 3888</t>
  </si>
  <si>
    <t>Escribaniarossi@escribaniarossi.com.ar</t>
  </si>
  <si>
    <t>Hipolito Yrigoyen 850 piso 3</t>
  </si>
  <si>
    <t xml:space="preserve">Rossi </t>
  </si>
  <si>
    <t>Caja Notarial Colegio de Escribanos de capital federal</t>
  </si>
  <si>
    <t>E 4464/02</t>
  </si>
  <si>
    <t>Dante</t>
  </si>
  <si>
    <t>Pierson</t>
  </si>
  <si>
    <t>Valeritacerra@gmail.com</t>
  </si>
  <si>
    <t xml:space="preserve">Santa Fe </t>
  </si>
  <si>
    <t>Prol. A. Schilla 1902</t>
  </si>
  <si>
    <t>3416987797 (padre)</t>
  </si>
  <si>
    <t>3416987798 (madre)</t>
  </si>
  <si>
    <t>3415695444 (entrenador)</t>
  </si>
  <si>
    <t>0026538900C</t>
  </si>
  <si>
    <t>fcastex@gmail.com</t>
  </si>
  <si>
    <t>CATALINA</t>
  </si>
  <si>
    <t>CASTEX</t>
  </si>
  <si>
    <t>FCASTEX@GMAIL.COM</t>
  </si>
  <si>
    <t>ARG</t>
  </si>
  <si>
    <t>CERRITO 1290 9</t>
  </si>
  <si>
    <t>FRANCISCO</t>
  </si>
  <si>
    <t>FCASTEX@GMAIL,COM</t>
  </si>
  <si>
    <t>MIGUEL</t>
  </si>
  <si>
    <t>CERRITO 1290</t>
  </si>
  <si>
    <t>juanvugdelija@gmail.com</t>
  </si>
  <si>
    <t>Juan</t>
  </si>
  <si>
    <t>Vugdelija</t>
  </si>
  <si>
    <t>Juam</t>
  </si>
  <si>
    <t>charcas 3321</t>
  </si>
  <si>
    <t>José Luis vugdelija</t>
  </si>
  <si>
    <t>00000000</t>
  </si>
  <si>
    <t>albornozpr@gmail.com</t>
  </si>
  <si>
    <t>Nuria</t>
  </si>
  <si>
    <t xml:space="preserve">López Bustos </t>
  </si>
  <si>
    <t>Albornozpr@gmail.com</t>
  </si>
  <si>
    <t>Doblas 129 4 A</t>
  </si>
  <si>
    <t xml:space="preserve">Patricia </t>
  </si>
  <si>
    <t>Albornoz</t>
  </si>
  <si>
    <t>noelvaca@gmail.com</t>
  </si>
  <si>
    <t>Antoni</t>
  </si>
  <si>
    <t>Noelvaca@gmail.com</t>
  </si>
  <si>
    <t>Virasoro 1212</t>
  </si>
  <si>
    <t>Maria Noel</t>
  </si>
  <si>
    <t>Vacarezza</t>
  </si>
  <si>
    <t>ivi25tai@gmail.com</t>
  </si>
  <si>
    <t xml:space="preserve">Catalina </t>
  </si>
  <si>
    <t>Caviglia</t>
  </si>
  <si>
    <t>Ivi25tai@gmail.com</t>
  </si>
  <si>
    <t>Ibañes 2426</t>
  </si>
  <si>
    <t xml:space="preserve">Ivonne  </t>
  </si>
  <si>
    <t>Tailhade</t>
  </si>
  <si>
    <t>Medicus</t>
  </si>
  <si>
    <t>sronchi@gmail.com</t>
  </si>
  <si>
    <t>Nicolas  Augusto</t>
  </si>
  <si>
    <t>Ronchi</t>
  </si>
  <si>
    <t>CNAs- Club Náutico Albatros</t>
  </si>
  <si>
    <t>Echeverria 2764</t>
  </si>
  <si>
    <t xml:space="preserve">Sergio </t>
  </si>
  <si>
    <t>mariagraciaramirezm@gmail.com</t>
  </si>
  <si>
    <t xml:space="preserve">Florencia Aylen </t>
  </si>
  <si>
    <t xml:space="preserve">Ruiz Díaz Ramírez </t>
  </si>
  <si>
    <t>RRC - Rosario Rowing Club</t>
  </si>
  <si>
    <t>Dr RIVA 774</t>
  </si>
  <si>
    <t>Ruiz Díaz Gonzalo</t>
  </si>
  <si>
    <t xml:space="preserve">Ramírez Micheletti, María Gracia </t>
  </si>
  <si>
    <t>manuelfgoris@gmail.com</t>
  </si>
  <si>
    <t>MANUEL</t>
  </si>
  <si>
    <t>GORIS</t>
  </si>
  <si>
    <t>Dorrego 1523</t>
  </si>
  <si>
    <t>Sancor</t>
  </si>
  <si>
    <t>jagherghi@gmail.com</t>
  </si>
  <si>
    <t>Lara</t>
  </si>
  <si>
    <t xml:space="preserve">Gherghi </t>
  </si>
  <si>
    <t>YCO - Yacht Club Olivos</t>
  </si>
  <si>
    <t xml:space="preserve">Martínez </t>
  </si>
  <si>
    <t>Monteagudo 1205</t>
  </si>
  <si>
    <t>Gherghi</t>
  </si>
  <si>
    <t xml:space="preserve">Hospital Alemán </t>
  </si>
  <si>
    <t>ppvugde@gmail.com</t>
  </si>
  <si>
    <t xml:space="preserve">SOFIA </t>
  </si>
  <si>
    <t>VUGDELIJA</t>
  </si>
  <si>
    <t>Virrey Loreto 2548</t>
  </si>
  <si>
    <t>Jose Luis</t>
  </si>
  <si>
    <t>Virginia Matias</t>
  </si>
  <si>
    <t>61 472762 504</t>
  </si>
  <si>
    <t>Emilia</t>
  </si>
  <si>
    <t>Virrey Lotero 2548</t>
  </si>
  <si>
    <t>José Luis</t>
  </si>
  <si>
    <t>Virginia Matias  1158081265</t>
  </si>
  <si>
    <t>61 472762 5 02</t>
  </si>
  <si>
    <t>ibargurenfrancisca@gmail.com</t>
  </si>
  <si>
    <t xml:space="preserve">Rufino </t>
  </si>
  <si>
    <t xml:space="preserve">Castilla </t>
  </si>
  <si>
    <t>Ibargurenfrancisca@gmail.com</t>
  </si>
  <si>
    <t>Provincia de Buenos Aires</t>
  </si>
  <si>
    <t xml:space="preserve">San isidro </t>
  </si>
  <si>
    <t>Suipacha 3584</t>
  </si>
  <si>
    <t>Francisca</t>
  </si>
  <si>
    <t>Ibarguren</t>
  </si>
  <si>
    <t>sofibelendonofriolorenzo@gmail.com</t>
  </si>
  <si>
    <t>ILCA 4</t>
  </si>
  <si>
    <t>Sofía Belen</t>
  </si>
  <si>
    <t>D’Onofrio Lorenzo</t>
  </si>
  <si>
    <t>libertador 6270</t>
  </si>
  <si>
    <t>Alberto Armando D’Onofrio</t>
  </si>
  <si>
    <t>María Eva Lorenzo</t>
  </si>
  <si>
    <t>draadonofrio@gmail.com</t>
  </si>
  <si>
    <t>delfinafreixas@hotmail.com</t>
  </si>
  <si>
    <t xml:space="preserve">Josefina </t>
  </si>
  <si>
    <t xml:space="preserve">Elizondo </t>
  </si>
  <si>
    <t>Esp 3540</t>
  </si>
  <si>
    <t>josefinaelizondo@mallinckrodt.com.ar</t>
  </si>
  <si>
    <t xml:space="preserve">Cerrito 1364 1 a </t>
  </si>
  <si>
    <t xml:space="preserve">Delfina Maria Freixas </t>
  </si>
  <si>
    <t xml:space="preserve">Ezequiel elizondo </t>
  </si>
  <si>
    <t>Delfinafreixas@hotmail.com</t>
  </si>
  <si>
    <t>+54 9 11 6795-2429</t>
  </si>
  <si>
    <t>Osdipp</t>
  </si>
  <si>
    <t>03229904327</t>
  </si>
  <si>
    <t>cristinadubra@gmail.com</t>
  </si>
  <si>
    <t xml:space="preserve">NAcho </t>
  </si>
  <si>
    <t>Panasci</t>
  </si>
  <si>
    <t>ARG4136</t>
  </si>
  <si>
    <t>arenales 1882</t>
  </si>
  <si>
    <t>cristina dubra</t>
  </si>
  <si>
    <t>Juan Pablo Panasci</t>
  </si>
  <si>
    <t>smg</t>
  </si>
  <si>
    <t>800006 0447732 04 1027</t>
  </si>
  <si>
    <t>Panasci Dubra</t>
  </si>
  <si>
    <t>ARG4195</t>
  </si>
  <si>
    <t>arg</t>
  </si>
  <si>
    <t>800006 0447732 05 1034</t>
  </si>
  <si>
    <t>hernan_sfo@hotmail.com</t>
  </si>
  <si>
    <t>Facundo Tomas</t>
  </si>
  <si>
    <t>Sfoggia Nuño</t>
  </si>
  <si>
    <t>Caseros</t>
  </si>
  <si>
    <t>W. de tata 4470</t>
  </si>
  <si>
    <t>hernan pablo sfoggia</t>
  </si>
  <si>
    <t>araceli nancy nuño</t>
  </si>
  <si>
    <t>ventas2096@gmail.com</t>
  </si>
  <si>
    <t>Gianni</t>
  </si>
  <si>
    <t xml:space="preserve">Andrés </t>
  </si>
  <si>
    <t>Ventas2096@gmail.com</t>
  </si>
  <si>
    <t>Santa fe</t>
  </si>
  <si>
    <t>Joaquín v González 1007</t>
  </si>
  <si>
    <t xml:space="preserve">Alejandra </t>
  </si>
  <si>
    <t>Gabay</t>
  </si>
  <si>
    <t>Avalian</t>
  </si>
  <si>
    <t>agustinbian@hotmail.com</t>
  </si>
  <si>
    <t>Agustín</t>
  </si>
  <si>
    <t>Bianchi</t>
  </si>
  <si>
    <t>Chingolo 113</t>
  </si>
  <si>
    <t>Magda</t>
  </si>
  <si>
    <t xml:space="preserve">Caranti </t>
  </si>
  <si>
    <t xml:space="preserve">CABA </t>
  </si>
  <si>
    <t>Talcahuano 716</t>
  </si>
  <si>
    <t xml:space="preserve">Molinari </t>
  </si>
  <si>
    <t>Lugones y Arias 4550</t>
  </si>
  <si>
    <t xml:space="preserve">Juan Pablo </t>
  </si>
  <si>
    <t xml:space="preserve">molinaricv@gmail.com </t>
  </si>
  <si>
    <t>gutijavier@hotmail.com</t>
  </si>
  <si>
    <t xml:space="preserve">Gutierrez </t>
  </si>
  <si>
    <t>rosario</t>
  </si>
  <si>
    <t>drago 1349</t>
  </si>
  <si>
    <t xml:space="preserve">Javier </t>
  </si>
  <si>
    <t>GUTIERREZ</t>
  </si>
  <si>
    <t>lois.luciana@gmail.com</t>
  </si>
  <si>
    <t>Ignacio</t>
  </si>
  <si>
    <t>Ojeda Lois</t>
  </si>
  <si>
    <t>YCCN - Yacht Club Centro Naval</t>
  </si>
  <si>
    <t>ignacio.ojedalois@gmail.com</t>
  </si>
  <si>
    <t>Capital Federal</t>
  </si>
  <si>
    <t>Palermo</t>
  </si>
  <si>
    <t>Concepción Arenal 2387 6 C</t>
  </si>
  <si>
    <t>Luciana Valeria</t>
  </si>
  <si>
    <t>Lois</t>
  </si>
  <si>
    <t>1157090309  (madre)</t>
  </si>
  <si>
    <t>1156244452 (Padre)</t>
  </si>
  <si>
    <t>60 907365 5 03</t>
  </si>
  <si>
    <t>igarcialaborde@gmail.com</t>
  </si>
  <si>
    <t>Fatima</t>
  </si>
  <si>
    <t>Garcia Laborde</t>
  </si>
  <si>
    <t>ARG 4100</t>
  </si>
  <si>
    <t>Rodríguez Peña 1015</t>
  </si>
  <si>
    <t>Ivan</t>
  </si>
  <si>
    <t>800006 1603582 04 0001</t>
  </si>
  <si>
    <t xml:space="preserve">Camila </t>
  </si>
  <si>
    <t>Igarcialaborde@gmail.com</t>
  </si>
  <si>
    <t>Rodriguez Peña `1015</t>
  </si>
  <si>
    <t>800006 1603582 03 0001</t>
  </si>
  <si>
    <t>alfredobertani@gmail.com</t>
  </si>
  <si>
    <t xml:space="preserve">Simón </t>
  </si>
  <si>
    <t xml:space="preserve">Bertani </t>
  </si>
  <si>
    <t>CVSI - Club de Veleros San Isidro</t>
  </si>
  <si>
    <t xml:space="preserve">Victoria </t>
  </si>
  <si>
    <t>Don orione 1213</t>
  </si>
  <si>
    <t xml:space="preserve">Alfredo Bertani </t>
  </si>
  <si>
    <t xml:space="preserve">María Florencia Kronberg </t>
  </si>
  <si>
    <t>Unión personal</t>
  </si>
  <si>
    <t>02731081016</t>
  </si>
  <si>
    <t>leandrorepetto@hotmail.com</t>
  </si>
  <si>
    <t>VALENTINO</t>
  </si>
  <si>
    <t>REPETTO</t>
  </si>
  <si>
    <t>BECCAR</t>
  </si>
  <si>
    <t>TREINTA Y TRES ORIENTALES 1152</t>
  </si>
  <si>
    <t>REPETTO LEANDRO</t>
  </si>
  <si>
    <t>FAGNANI LUCIANA</t>
  </si>
  <si>
    <t>chechi24@hotmail.com</t>
  </si>
  <si>
    <t xml:space="preserve">Benjamin </t>
  </si>
  <si>
    <t>Garcia Delatour</t>
  </si>
  <si>
    <t>Chechi24@hotmail.com</t>
  </si>
  <si>
    <t>Caba. Belgrano</t>
  </si>
  <si>
    <t xml:space="preserve">Virrey del pino </t>
  </si>
  <si>
    <t>Cecilia. [Madre]</t>
  </si>
  <si>
    <t>Bacci</t>
  </si>
  <si>
    <t>caromarsella76@gmail.com</t>
  </si>
  <si>
    <t>Julia</t>
  </si>
  <si>
    <t>Vidal</t>
  </si>
  <si>
    <t>HS Huapi Sailors</t>
  </si>
  <si>
    <t>Río Negro</t>
  </si>
  <si>
    <t>BARILOCHE</t>
  </si>
  <si>
    <t>Av. Los Pioneros 7104</t>
  </si>
  <si>
    <t xml:space="preserve">Carolina </t>
  </si>
  <si>
    <t>MARSELLA</t>
  </si>
  <si>
    <t xml:space="preserve">294 453-4229 </t>
  </si>
  <si>
    <t>patriciamaggio143@yahoo.com.ar</t>
  </si>
  <si>
    <t xml:space="preserve">Valci </t>
  </si>
  <si>
    <t>Patriciamaggio143@yahoo.com.ar</t>
  </si>
  <si>
    <t xml:space="preserve">Santa fe </t>
  </si>
  <si>
    <t>Olmos 632 bis</t>
  </si>
  <si>
    <t xml:space="preserve">Maggio </t>
  </si>
  <si>
    <t>Sancor salud</t>
  </si>
  <si>
    <t>117/113</t>
  </si>
  <si>
    <t>pikicernic@gmail.com</t>
  </si>
  <si>
    <t xml:space="preserve">AMELIA MATEA </t>
  </si>
  <si>
    <t>BELARDI DE LEON</t>
  </si>
  <si>
    <t>ARG4096</t>
  </si>
  <si>
    <t>Bariloche 1315</t>
  </si>
  <si>
    <t>Eugenia Cernic</t>
  </si>
  <si>
    <t xml:space="preserve">Belardi de Leon Matias </t>
  </si>
  <si>
    <t>anabellasg33@gmail.com</t>
  </si>
  <si>
    <t>Luca</t>
  </si>
  <si>
    <t xml:space="preserve">Salvatierra </t>
  </si>
  <si>
    <t>Tiscornia 923</t>
  </si>
  <si>
    <t>Anabella</t>
  </si>
  <si>
    <t>Gesualdi</t>
  </si>
  <si>
    <t>Omint linea "F"</t>
  </si>
  <si>
    <t>damianjaimovich@gmail.com</t>
  </si>
  <si>
    <t xml:space="preserve">Thaya </t>
  </si>
  <si>
    <t>Jaimovich Landeo</t>
  </si>
  <si>
    <t>Av Libertador 5164</t>
  </si>
  <si>
    <t>Damián Guillermo</t>
  </si>
  <si>
    <t>Jaimovich</t>
  </si>
  <si>
    <t>drpjrosso77@gmail.com</t>
  </si>
  <si>
    <t xml:space="preserve">Juan Ignacio </t>
  </si>
  <si>
    <t xml:space="preserve">Rosso </t>
  </si>
  <si>
    <t>Mitre 955</t>
  </si>
  <si>
    <t xml:space="preserve">Rosso Pablo Joaquín </t>
  </si>
  <si>
    <t xml:space="preserve">Martinel Lamas Maria Jimena </t>
  </si>
  <si>
    <t>Jmartinellamas@gmail.com</t>
  </si>
  <si>
    <t xml:space="preserve">341-6806683 </t>
  </si>
  <si>
    <t>341-6806679</t>
  </si>
  <si>
    <t xml:space="preserve">Avalian </t>
  </si>
  <si>
    <t>gasparleotoro@gmail.com</t>
  </si>
  <si>
    <t>Gaspar Leo</t>
  </si>
  <si>
    <t>Toro</t>
  </si>
  <si>
    <t>Argen</t>
  </si>
  <si>
    <t>Escobar</t>
  </si>
  <si>
    <t>Libertad 1399, Belén de Escobar, Provincia de Buenos Aires</t>
  </si>
  <si>
    <t>B1625</t>
  </si>
  <si>
    <t>Juan Leonardo</t>
  </si>
  <si>
    <t>Juantorocreativo@gmail.com</t>
  </si>
  <si>
    <t>Swis Medical</t>
  </si>
  <si>
    <t>800006 0712618 03 1024</t>
  </si>
  <si>
    <t>emainero@mainerowicht.com.ar</t>
  </si>
  <si>
    <t>FEDERICO</t>
  </si>
  <si>
    <t>MAINERO</t>
  </si>
  <si>
    <t>Martinez</t>
  </si>
  <si>
    <t>Entre Rios 1060</t>
  </si>
  <si>
    <t>EDUARDO</t>
  </si>
  <si>
    <t>telizalde@gmail.com</t>
  </si>
  <si>
    <t>Ana Camelia</t>
  </si>
  <si>
    <t>Biasi</t>
  </si>
  <si>
    <t>CabA</t>
  </si>
  <si>
    <t>Juramento 1310</t>
  </si>
  <si>
    <t>TERESA</t>
  </si>
  <si>
    <t>Elizalde</t>
  </si>
  <si>
    <t>0SDE</t>
  </si>
  <si>
    <t xml:space="preserve">AZUL </t>
  </si>
  <si>
    <t>BIASI</t>
  </si>
  <si>
    <t>matiasluzuriaga@gmail.com</t>
  </si>
  <si>
    <t>Lorenzo Agustín</t>
  </si>
  <si>
    <t>Luzuriaga</t>
  </si>
  <si>
    <t>Roseti 261, PB 1</t>
  </si>
  <si>
    <t>Matías</t>
  </si>
  <si>
    <t>1155882998 (padre)</t>
  </si>
  <si>
    <t>1163082638 (madre)</t>
  </si>
  <si>
    <t>Accord Salud</t>
  </si>
  <si>
    <t>00649274 020</t>
  </si>
  <si>
    <t>geraldineberler73@gmail.com</t>
  </si>
  <si>
    <t xml:space="preserve">Tomás Uriel </t>
  </si>
  <si>
    <t>Materin</t>
  </si>
  <si>
    <t>Ciudad Autnoma de Buenos Aires</t>
  </si>
  <si>
    <t>araucaurias 176</t>
  </si>
  <si>
    <t>Geradine</t>
  </si>
  <si>
    <t>Berler</t>
  </si>
  <si>
    <t>mapauladani@gmail.com</t>
  </si>
  <si>
    <t xml:space="preserve">Matías </t>
  </si>
  <si>
    <t>Murgia</t>
  </si>
  <si>
    <t>CNJ - Club Náutico Junin</t>
  </si>
  <si>
    <t>Junin</t>
  </si>
  <si>
    <t>Hipólito Yrigoyen 115, Junín, Provincia de Buenos Aires, Argentina</t>
  </si>
  <si>
    <t xml:space="preserve">María Paula Dani </t>
  </si>
  <si>
    <t xml:space="preserve">Manuel Ignacio Murgia </t>
  </si>
  <si>
    <t>gabrielmassa7@gmail.com</t>
  </si>
  <si>
    <t>Valentin</t>
  </si>
  <si>
    <t>Massa Galli</t>
  </si>
  <si>
    <t>Avenida Benavídez 1199</t>
  </si>
  <si>
    <t>gabriel</t>
  </si>
  <si>
    <t>massa</t>
  </si>
  <si>
    <t>SMG</t>
  </si>
  <si>
    <t>800006 1556071 03 0026</t>
  </si>
  <si>
    <t>12/2/1009</t>
  </si>
  <si>
    <t>tigre</t>
  </si>
  <si>
    <t>av benavidez 1199</t>
  </si>
  <si>
    <t>800006 1556071 02 0027</t>
  </si>
  <si>
    <t>arandarodolfo090@gmail.com</t>
  </si>
  <si>
    <t>Allegra Juliana</t>
  </si>
  <si>
    <t>Aranda</t>
  </si>
  <si>
    <t>Entre Ríos</t>
  </si>
  <si>
    <t>Parana</t>
  </si>
  <si>
    <t>Cura alvarez 90 5 D</t>
  </si>
  <si>
    <t>Rodolfo</t>
  </si>
  <si>
    <t>343 4468375</t>
  </si>
  <si>
    <t>Particular</t>
  </si>
  <si>
    <t>marie_palumbo@hotmail.com</t>
  </si>
  <si>
    <t>Valentino</t>
  </si>
  <si>
    <t>Wenzel</t>
  </si>
  <si>
    <t>Marie_palumbo@hotmail.com</t>
  </si>
  <si>
    <t xml:space="preserve">ARGENTINA </t>
  </si>
  <si>
    <t>La plata</t>
  </si>
  <si>
    <t>71 n1767</t>
  </si>
  <si>
    <t xml:space="preserve"> Mariela </t>
  </si>
  <si>
    <t>Palumbo</t>
  </si>
  <si>
    <t>Ioma</t>
  </si>
  <si>
    <t>B28452337402</t>
  </si>
  <si>
    <t>carcassoncarolina@gmail.com</t>
  </si>
  <si>
    <t>Maria</t>
  </si>
  <si>
    <t>Maine</t>
  </si>
  <si>
    <t>Carcassoncarolina@gmail.com</t>
  </si>
  <si>
    <t>Buenos airea</t>
  </si>
  <si>
    <t>Manzanares</t>
  </si>
  <si>
    <t>Av.Villa Mayor</t>
  </si>
  <si>
    <t>Carcasson</t>
  </si>
  <si>
    <t>econosmdq@gmail.com</t>
  </si>
  <si>
    <t xml:space="preserve">Imanol </t>
  </si>
  <si>
    <t>Gonzalez Negri</t>
  </si>
  <si>
    <t>acosta 5959</t>
  </si>
  <si>
    <t>Mariano</t>
  </si>
  <si>
    <t>Gonzalez</t>
  </si>
  <si>
    <t>anitatedeschi1984@gmail.com</t>
  </si>
  <si>
    <t xml:space="preserve">Dante </t>
  </si>
  <si>
    <t>Romero Tedeschi</t>
  </si>
  <si>
    <t>H.pueyrredon 465</t>
  </si>
  <si>
    <t>Ana Clara</t>
  </si>
  <si>
    <t>Tedeschi</t>
  </si>
  <si>
    <t>ramiro.rodriguez.seoane@gmail.com</t>
  </si>
  <si>
    <t>Rodriguez Thevenon</t>
  </si>
  <si>
    <t>Mar del Plata</t>
  </si>
  <si>
    <t>Azcuenaga 942</t>
  </si>
  <si>
    <t>Ramiro</t>
  </si>
  <si>
    <t>Rodriguez Seoane</t>
  </si>
  <si>
    <t>Medife</t>
  </si>
  <si>
    <t>3-06541812-01/000</t>
  </si>
  <si>
    <t>Lucila</t>
  </si>
  <si>
    <t xml:space="preserve"> bizzozero</t>
  </si>
  <si>
    <t>Constanza simone</t>
  </si>
  <si>
    <t xml:space="preserve">Maria ines </t>
  </si>
  <si>
    <t>arg57450</t>
  </si>
  <si>
    <t>dubra pallas</t>
  </si>
  <si>
    <t>800006 0447732 02 1037</t>
  </si>
  <si>
    <t>maggiegatti@gmail.com</t>
  </si>
  <si>
    <t>Bartolome</t>
  </si>
  <si>
    <t>Lozano</t>
  </si>
  <si>
    <t>Maggiegatti@gmail.com</t>
  </si>
  <si>
    <t>Washington 523</t>
  </si>
  <si>
    <t xml:space="preserve">Magdalena </t>
  </si>
  <si>
    <t>Gatti farizano</t>
  </si>
  <si>
    <t>11 3664-3708</t>
  </si>
  <si>
    <t>Maggie 11 3664-3708</t>
  </si>
  <si>
    <t>Diego 11 41457961</t>
  </si>
  <si>
    <t>mechicanofrers@hotmail.com</t>
  </si>
  <si>
    <t>DELFINA</t>
  </si>
  <si>
    <t>BECERRA</t>
  </si>
  <si>
    <t>San Fernando</t>
  </si>
  <si>
    <t>Cullen 3671</t>
  </si>
  <si>
    <t>Cano Frers</t>
  </si>
  <si>
    <t xml:space="preserve">Osde </t>
  </si>
  <si>
    <t>merceliamez@gmail.com</t>
  </si>
  <si>
    <t>Lautaro Tomas</t>
  </si>
  <si>
    <t>Vanin</t>
  </si>
  <si>
    <t>Benavidez</t>
  </si>
  <si>
    <t>Dean Funes 3701 lote 236</t>
  </si>
  <si>
    <t>Mercedes Velia</t>
  </si>
  <si>
    <t>Mezzanotte</t>
  </si>
  <si>
    <t>Hospital Aleman</t>
  </si>
  <si>
    <t>nati15rey@gmail.com</t>
  </si>
  <si>
    <t>Matilde</t>
  </si>
  <si>
    <t>Korendij</t>
  </si>
  <si>
    <t>Griveo 2529 5A</t>
  </si>
  <si>
    <t xml:space="preserve">Natalia </t>
  </si>
  <si>
    <t>Rey</t>
  </si>
  <si>
    <t>11 49749379</t>
  </si>
  <si>
    <t>11 32719080 Lucas</t>
  </si>
  <si>
    <t xml:space="preserve">11 49749379 Natalia </t>
  </si>
  <si>
    <t>OSDE 210</t>
  </si>
  <si>
    <t>60 829686 3 02</t>
  </si>
  <si>
    <t>fers79@gmail.com</t>
  </si>
  <si>
    <t xml:space="preserve">Justina </t>
  </si>
  <si>
    <t xml:space="preserve">Boz </t>
  </si>
  <si>
    <t>Mendoza 2277</t>
  </si>
  <si>
    <t xml:space="preserve">Pablo Raúl Boz </t>
  </si>
  <si>
    <t xml:space="preserve">Schwarzstein Fernanda </t>
  </si>
  <si>
    <t>deleosabino@gmail.com</t>
  </si>
  <si>
    <t>CLARA</t>
  </si>
  <si>
    <t>DELEO</t>
  </si>
  <si>
    <t>ENSENADA</t>
  </si>
  <si>
    <t>REGATAS 13</t>
  </si>
  <si>
    <t>SABINO</t>
  </si>
  <si>
    <t>monicaponzo@gmail.com</t>
  </si>
  <si>
    <t>Santiago</t>
  </si>
  <si>
    <t>Viale Ponzo</t>
  </si>
  <si>
    <t>Boulogne</t>
  </si>
  <si>
    <t>Manuel Obarrio 845</t>
  </si>
  <si>
    <t>Monica</t>
  </si>
  <si>
    <t>Ponzo</t>
  </si>
  <si>
    <t>palitojensen@gmail.com</t>
  </si>
  <si>
    <t>Tania Maitén</t>
  </si>
  <si>
    <t>Jensen</t>
  </si>
  <si>
    <t>Calle 21 N 6117 Entre 655 Y 656</t>
  </si>
  <si>
    <t>Roberto Francisco Jensen</t>
  </si>
  <si>
    <t>María Ayelen Lutz</t>
  </si>
  <si>
    <t>00945605018</t>
  </si>
  <si>
    <t>dearribam@gmail.com</t>
  </si>
  <si>
    <t>Isabel</t>
  </si>
  <si>
    <t xml:space="preserve">de Arriba </t>
  </si>
  <si>
    <t>CGLNM - Centro de Graduados del Liceo Naval Militar</t>
  </si>
  <si>
    <t>dearribaisabel@gmail.com</t>
  </si>
  <si>
    <t>Saavedra</t>
  </si>
  <si>
    <t>Chajarí 4624</t>
  </si>
  <si>
    <t>de Arriba</t>
  </si>
  <si>
    <t>1131710227 Florencia Imposti es la madre</t>
  </si>
  <si>
    <t xml:space="preserve">OSDE </t>
  </si>
  <si>
    <t>miguelcicho@hotmail.com</t>
  </si>
  <si>
    <t>Cichowolski</t>
  </si>
  <si>
    <t>Nuñez 2172</t>
  </si>
  <si>
    <t>Miguel</t>
  </si>
  <si>
    <t>Dosuba</t>
  </si>
  <si>
    <t>acocozza@lartirigoyen.com</t>
  </si>
  <si>
    <t>Cocozza</t>
  </si>
  <si>
    <t>Primera Junta 2591</t>
  </si>
  <si>
    <t>Ana Goñi 1159965995</t>
  </si>
  <si>
    <t>josefinaesturla@gmail.com</t>
  </si>
  <si>
    <t>TESONE</t>
  </si>
  <si>
    <t>5/17/0011</t>
  </si>
  <si>
    <t>coke_esturla@hotmail.com</t>
  </si>
  <si>
    <t>Larrea 1327</t>
  </si>
  <si>
    <t>Alejandro Tesone</t>
  </si>
  <si>
    <t>Josefina Esturla</t>
  </si>
  <si>
    <t>osde 210</t>
  </si>
  <si>
    <t>diego.s.mendo@gmail.com</t>
  </si>
  <si>
    <t>Justina</t>
  </si>
  <si>
    <t>Mendo</t>
  </si>
  <si>
    <t>Avenida de la Libertad 318</t>
  </si>
  <si>
    <t xml:space="preserve">Diego Sebastián </t>
  </si>
  <si>
    <t>Ospac</t>
  </si>
  <si>
    <t>franconob74@live.com</t>
  </si>
  <si>
    <t>Franco</t>
  </si>
  <si>
    <t>Falcone</t>
  </si>
  <si>
    <t xml:space="preserve">Avellaneda 1255 </t>
  </si>
  <si>
    <t>Dusuba</t>
  </si>
  <si>
    <t>martin.kundig@gmail.com</t>
  </si>
  <si>
    <t>Facundo</t>
  </si>
  <si>
    <t>Kundig</t>
  </si>
  <si>
    <t>ARG 4028</t>
  </si>
  <si>
    <t>Dique Lujan</t>
  </si>
  <si>
    <t>Aristobulo Del Valle 5155, Lote 320</t>
  </si>
  <si>
    <t>Martin</t>
  </si>
  <si>
    <t>jcostaurquiza@gmail.com</t>
  </si>
  <si>
    <t>Pepo</t>
  </si>
  <si>
    <t>Costa Urquiza</t>
  </si>
  <si>
    <t>R de escalada 2378</t>
  </si>
  <si>
    <t>Marcos</t>
  </si>
  <si>
    <t>REMEDIOS DE ESCALADA 2378</t>
  </si>
  <si>
    <t>xiaoxiaozhao.xxz@hotmail.com</t>
  </si>
  <si>
    <t>Yuanxi</t>
  </si>
  <si>
    <t>ZHAO</t>
  </si>
  <si>
    <t>mendoza 955</t>
  </si>
  <si>
    <t>Xiaoxiao</t>
  </si>
  <si>
    <t>swiss medical</t>
  </si>
  <si>
    <t>000</t>
  </si>
  <si>
    <t>febrenico@gmail.com</t>
  </si>
  <si>
    <t>Nicolás</t>
  </si>
  <si>
    <t>Febré Prieto</t>
  </si>
  <si>
    <t>Acassuso</t>
  </si>
  <si>
    <t>Las Heras 1048</t>
  </si>
  <si>
    <t>Darío</t>
  </si>
  <si>
    <t>Febré</t>
  </si>
  <si>
    <t>dmfebre@gmail.com</t>
  </si>
  <si>
    <t>Clara Prieto</t>
  </si>
  <si>
    <t>Darío Febré</t>
  </si>
  <si>
    <t>fedefebre@gmail.com</t>
  </si>
  <si>
    <t>cotizaciones@ortopediaintegral.com.ar</t>
  </si>
  <si>
    <t xml:space="preserve">Ignacio </t>
  </si>
  <si>
    <t>Gentili</t>
  </si>
  <si>
    <t>Buchanan 546</t>
  </si>
  <si>
    <t>S2005</t>
  </si>
  <si>
    <t>Cecilia</t>
  </si>
  <si>
    <t>Cuerdo</t>
  </si>
  <si>
    <t>800006 2009344 04 1007</t>
  </si>
  <si>
    <t>lorena.guardati@gmail.com</t>
  </si>
  <si>
    <t>Alfonso Guardati</t>
  </si>
  <si>
    <t>ARG 3817</t>
  </si>
  <si>
    <t>Vicente López / Olivos</t>
  </si>
  <si>
    <t>Ayacucho 2287</t>
  </si>
  <si>
    <t xml:space="preserve">Lorena </t>
  </si>
  <si>
    <t>Guardati</t>
  </si>
  <si>
    <t>11-6766-6994</t>
  </si>
  <si>
    <t>11-6287-3815</t>
  </si>
  <si>
    <t>OSDE 310</t>
  </si>
  <si>
    <t>carlabenitezjc@gmail.com</t>
  </si>
  <si>
    <t xml:space="preserve">Jerónimo </t>
  </si>
  <si>
    <t xml:space="preserve">Barrionuevo </t>
  </si>
  <si>
    <t>barrionuevosamuel@gmail.com</t>
  </si>
  <si>
    <t>LA PLATA</t>
  </si>
  <si>
    <t>Calle 46 325</t>
  </si>
  <si>
    <t xml:space="preserve">Samuel </t>
  </si>
  <si>
    <t>Barrionuevo</t>
  </si>
  <si>
    <t>cristinarosalespc@gmail.com</t>
  </si>
  <si>
    <t xml:space="preserve">Emma </t>
  </si>
  <si>
    <t xml:space="preserve">De Cesaris </t>
  </si>
  <si>
    <t>ARG 4225</t>
  </si>
  <si>
    <t xml:space="preserve">CNPA/WIND - Club Náutico Puerto Del Aguila </t>
  </si>
  <si>
    <t xml:space="preserve">Cristinarosalespc@gmail.com  </t>
  </si>
  <si>
    <t xml:space="preserve">Córdoba </t>
  </si>
  <si>
    <t xml:space="preserve">Calamuchita </t>
  </si>
  <si>
    <t xml:space="preserve">Tintoretto S-N Punto Claro , Villa Ciudad  Parque </t>
  </si>
  <si>
    <t xml:space="preserve">Cristina </t>
  </si>
  <si>
    <t xml:space="preserve">Rosales </t>
  </si>
  <si>
    <t xml:space="preserve">Cristinarosalespc@gmail.com </t>
  </si>
  <si>
    <t xml:space="preserve">MET Medicina Privada </t>
  </si>
  <si>
    <t>belen.laurence@gmail.com</t>
  </si>
  <si>
    <t xml:space="preserve">Gala </t>
  </si>
  <si>
    <t xml:space="preserve">Portal </t>
  </si>
  <si>
    <t>Arg</t>
  </si>
  <si>
    <t xml:space="preserve">Bs as </t>
  </si>
  <si>
    <t>Av Libertador 2235</t>
  </si>
  <si>
    <t xml:space="preserve">Belén </t>
  </si>
  <si>
    <t xml:space="preserve">Laurence </t>
  </si>
  <si>
    <t>belén.laurence@gmail.com</t>
  </si>
  <si>
    <t xml:space="preserve">OSDE 310 </t>
  </si>
  <si>
    <t>peruilh.christian@gmail.com</t>
  </si>
  <si>
    <t>Milagros</t>
  </si>
  <si>
    <t>Peruilh</t>
  </si>
  <si>
    <t>Callo 2073</t>
  </si>
  <si>
    <t>Christian</t>
  </si>
  <si>
    <t>0sde 310</t>
  </si>
  <si>
    <t>ignagcanteli@yahoo.com.ar</t>
  </si>
  <si>
    <t>Damasia</t>
  </si>
  <si>
    <t>Garcia Canteli</t>
  </si>
  <si>
    <t>Corredor Bancalari 3801</t>
  </si>
  <si>
    <t>OSDE 410</t>
  </si>
  <si>
    <t>guidobicocca@gmail.com</t>
  </si>
  <si>
    <t>Julieta</t>
  </si>
  <si>
    <t>Bicocca</t>
  </si>
  <si>
    <t xml:space="preserve"> Argentina</t>
  </si>
  <si>
    <t>Florida, Vicente Lopez</t>
  </si>
  <si>
    <t>Caseros 1752</t>
  </si>
  <si>
    <t>+5491155779228</t>
  </si>
  <si>
    <t>+5491155779229</t>
  </si>
  <si>
    <t>Gabriela</t>
  </si>
  <si>
    <t>Martinez Schnaider</t>
  </si>
  <si>
    <t>mingote_elo@hotmail.com</t>
  </si>
  <si>
    <t>Homero</t>
  </si>
  <si>
    <t>Elorriaga</t>
  </si>
  <si>
    <t>Pinto 854</t>
  </si>
  <si>
    <t>Gustavo Elorriaga</t>
  </si>
  <si>
    <t>Mariana Sarradell</t>
  </si>
  <si>
    <t>3487 699411</t>
  </si>
  <si>
    <t>3487 302617</t>
  </si>
  <si>
    <t>8000060383959040006</t>
  </si>
  <si>
    <t>8000060383959030023</t>
  </si>
  <si>
    <t>pedropiran@hotmail.com</t>
  </si>
  <si>
    <t>Pedro M.</t>
  </si>
  <si>
    <t>Pirán</t>
  </si>
  <si>
    <t>Peña 2580</t>
  </si>
  <si>
    <t>Pedro F.</t>
  </si>
  <si>
    <t>OSPJN</t>
  </si>
  <si>
    <t>83722/1</t>
  </si>
  <si>
    <t>lauramadueno@gmail.com</t>
  </si>
  <si>
    <t xml:space="preserve">Travería </t>
  </si>
  <si>
    <t>isabeltraveria@gmail.com</t>
  </si>
  <si>
    <t>Calle 16 N681</t>
  </si>
  <si>
    <t xml:space="preserve">Laura </t>
  </si>
  <si>
    <t>Madueño</t>
  </si>
  <si>
    <t>J27235524102</t>
  </si>
  <si>
    <t>albertohanono@gmail.com</t>
  </si>
  <si>
    <t>Lucio</t>
  </si>
  <si>
    <t>Hanono</t>
  </si>
  <si>
    <t>Martínez</t>
  </si>
  <si>
    <t>azcuenaga 2234</t>
  </si>
  <si>
    <t>Alberto</t>
  </si>
  <si>
    <t xml:space="preserve"> Hanono</t>
  </si>
  <si>
    <t>omint</t>
  </si>
  <si>
    <t>1 7944653 01 01 5</t>
  </si>
  <si>
    <t>carloslacchini@gmail.com</t>
  </si>
  <si>
    <t xml:space="preserve">Fausto </t>
  </si>
  <si>
    <t>Lacchini</t>
  </si>
  <si>
    <t>Carloslacchini@gmail.com</t>
  </si>
  <si>
    <t>10 n 5734</t>
  </si>
  <si>
    <t>Carlos</t>
  </si>
  <si>
    <t>Galeno</t>
  </si>
  <si>
    <t>0233997602</t>
  </si>
  <si>
    <t>agusrp@gmail.com</t>
  </si>
  <si>
    <t>Josa</t>
  </si>
  <si>
    <t>Bertres 449</t>
  </si>
  <si>
    <t>Gonzalo</t>
  </si>
  <si>
    <t>Josa Scorza</t>
  </si>
  <si>
    <t>gonzalojosa@gmail.com</t>
  </si>
  <si>
    <t>Obra Social Luis Pasteur</t>
  </si>
  <si>
    <t>04766/8/02-01-5</t>
  </si>
  <si>
    <t>Valentín</t>
  </si>
  <si>
    <t>Bertres449</t>
  </si>
  <si>
    <t>04766/8/03-01-3</t>
  </si>
  <si>
    <t>adribarbera@gmail.com</t>
  </si>
  <si>
    <t xml:space="preserve">Miguel Ignacio </t>
  </si>
  <si>
    <t xml:space="preserve">Aldatz </t>
  </si>
  <si>
    <t>Adribarbera@gmail.com</t>
  </si>
  <si>
    <t>Avellaneda</t>
  </si>
  <si>
    <t>Laprida 249</t>
  </si>
  <si>
    <t>Adriana</t>
  </si>
  <si>
    <t xml:space="preserve">Barbera </t>
  </si>
  <si>
    <t>flotalaser@gmail.com</t>
  </si>
  <si>
    <t>Heredia</t>
  </si>
  <si>
    <t>11 de Septiembre 2930</t>
  </si>
  <si>
    <t>Andres</t>
  </si>
  <si>
    <t>+5491161347543</t>
  </si>
  <si>
    <t>+5491166479800</t>
  </si>
  <si>
    <t>gachygea@gmail.com</t>
  </si>
  <si>
    <t>Palmese</t>
  </si>
  <si>
    <t>Maestro massa</t>
  </si>
  <si>
    <t>Graciela</t>
  </si>
  <si>
    <t xml:space="preserve">Zanchetta </t>
  </si>
  <si>
    <t xml:space="preserve">Iapos </t>
  </si>
  <si>
    <t>julietabenedetto3950@gmail.com</t>
  </si>
  <si>
    <t>Benedetto</t>
  </si>
  <si>
    <t>Comodoro Rivadavia 3301</t>
  </si>
  <si>
    <t xml:space="preserve">Rodrigo </t>
  </si>
  <si>
    <t>rbenedetto6@gmail.com</t>
  </si>
  <si>
    <t>00326276 02 5</t>
  </si>
  <si>
    <t>maria47111945@gmail.com</t>
  </si>
  <si>
    <t>Cusinato</t>
  </si>
  <si>
    <t>La Lucila</t>
  </si>
  <si>
    <t>Dr. T. De Anchorena 1175</t>
  </si>
  <si>
    <t>Maria Cristina Fuentes</t>
  </si>
  <si>
    <t>Raul a. Cusinato</t>
  </si>
  <si>
    <t>01151086001</t>
  </si>
  <si>
    <t>01123131604</t>
  </si>
  <si>
    <t>maratana80@gmail.com</t>
  </si>
  <si>
    <t>Atanasopulos</t>
  </si>
  <si>
    <t>ARG 417</t>
  </si>
  <si>
    <t>Ramon Falcon 1618</t>
  </si>
  <si>
    <t>matiassantorsola_@hotmail.com</t>
  </si>
  <si>
    <t xml:space="preserve">Santorsola </t>
  </si>
  <si>
    <t>Argentino</t>
  </si>
  <si>
    <t xml:space="preserve">Bueno aires </t>
  </si>
  <si>
    <t xml:space="preserve">Zarate </t>
  </si>
  <si>
    <t>Valentín alsina 1637</t>
  </si>
  <si>
    <t xml:space="preserve">Sancos Salud </t>
  </si>
  <si>
    <t>110001/0</t>
  </si>
  <si>
    <t>saacarolina@hotmail.com</t>
  </si>
  <si>
    <t>Sofia</t>
  </si>
  <si>
    <t>Weir</t>
  </si>
  <si>
    <t>Av Los Incas 4203</t>
  </si>
  <si>
    <t>Gerardo</t>
  </si>
  <si>
    <t>weir.kayaks@gmail.com</t>
  </si>
  <si>
    <t>Esencial</t>
  </si>
  <si>
    <t>javiervv22@icloud.com</t>
  </si>
  <si>
    <t>José</t>
  </si>
  <si>
    <t>Vazquez del Campo</t>
  </si>
  <si>
    <t>Bolivar 523</t>
  </si>
  <si>
    <t>Javier</t>
  </si>
  <si>
    <t>Vazquez</t>
  </si>
  <si>
    <t>Cemic</t>
  </si>
  <si>
    <t>ifr@funes.com.ar</t>
  </si>
  <si>
    <t>Lucia</t>
  </si>
  <si>
    <t>Funes De Rioja</t>
  </si>
  <si>
    <t>Ifr@funes.com.ar</t>
  </si>
  <si>
    <t>Aristobulo del valle 1375</t>
  </si>
  <si>
    <t>11 4083 4086</t>
  </si>
  <si>
    <t>mariaeugeniagarciaf@gmail.com</t>
  </si>
  <si>
    <t>Justino</t>
  </si>
  <si>
    <t>Favero</t>
  </si>
  <si>
    <t>Mariaeugeniagarciaf@gmail.com</t>
  </si>
  <si>
    <t>Berisso</t>
  </si>
  <si>
    <t xml:space="preserve">García María Eugenia </t>
  </si>
  <si>
    <t xml:space="preserve">Favero Baltasar </t>
  </si>
  <si>
    <t>26846320 02</t>
  </si>
  <si>
    <t>caro_more@yahoo.com</t>
  </si>
  <si>
    <t>Milo</t>
  </si>
  <si>
    <t>Messina</t>
  </si>
  <si>
    <t>Caro_more@yahoo.com</t>
  </si>
  <si>
    <t>Corvalan 952</t>
  </si>
  <si>
    <t>Moreno</t>
  </si>
  <si>
    <t>exequielcallegari@hotmail.com</t>
  </si>
  <si>
    <t xml:space="preserve">María Victoria </t>
  </si>
  <si>
    <t xml:space="preserve">Callegari </t>
  </si>
  <si>
    <t>CNP - Club Náutico Paraná</t>
  </si>
  <si>
    <t>Exequielcallegari@hotmail.com</t>
  </si>
  <si>
    <t>San Juan 2473</t>
  </si>
  <si>
    <t xml:space="preserve">Exequiel domingo </t>
  </si>
  <si>
    <t xml:space="preserve">Csllegari </t>
  </si>
  <si>
    <t>Iapos</t>
  </si>
  <si>
    <t>aegnzlz@gmail.com</t>
  </si>
  <si>
    <t xml:space="preserve">Agustín </t>
  </si>
  <si>
    <t>Gonzalez Villalba</t>
  </si>
  <si>
    <t>Rivarola 184</t>
  </si>
  <si>
    <t xml:space="preserve">Felipe </t>
  </si>
  <si>
    <t xml:space="preserve">Gonzalez Villalba </t>
  </si>
  <si>
    <t>Ariel</t>
  </si>
  <si>
    <t>González Villalba</t>
  </si>
  <si>
    <t>feliiiixbuurg@gmail.com</t>
  </si>
  <si>
    <t xml:space="preserve">Bürg </t>
  </si>
  <si>
    <t>Feliiiixbuurg@gmail.com</t>
  </si>
  <si>
    <t>San isidro labrador 70</t>
  </si>
  <si>
    <t xml:space="preserve">Evangelina </t>
  </si>
  <si>
    <t>Keshishian</t>
  </si>
  <si>
    <t>Evangelinakeshishian@gmail.com</t>
  </si>
  <si>
    <t>Silva</t>
  </si>
  <si>
    <t>Catalinasilvarobinson@gmail.com</t>
  </si>
  <si>
    <t>Blanco encalada 967</t>
  </si>
  <si>
    <t>Robinson</t>
  </si>
  <si>
    <t>robinson.milagros82@gmail.com</t>
  </si>
  <si>
    <t>lulipalau@hotmail.com</t>
  </si>
  <si>
    <t xml:space="preserve">Delfina </t>
  </si>
  <si>
    <t xml:space="preserve">Luque </t>
  </si>
  <si>
    <t>Lulipalau@hotmail.com</t>
  </si>
  <si>
    <t xml:space="preserve">Olivos </t>
  </si>
  <si>
    <t xml:space="preserve">Rosales 2729 1 B . Olivos </t>
  </si>
  <si>
    <t xml:space="preserve">Luz </t>
  </si>
  <si>
    <t xml:space="preserve">Palau </t>
  </si>
  <si>
    <t>gastonmarquez@live.com.ar</t>
  </si>
  <si>
    <t>Marquez Suarez</t>
  </si>
  <si>
    <t>USA236</t>
  </si>
  <si>
    <t>176 48 y 49 4970</t>
  </si>
  <si>
    <t>Gaston Federico</t>
  </si>
  <si>
    <t>Marquez</t>
  </si>
  <si>
    <t>ioma</t>
  </si>
  <si>
    <t>abrildeve@gmail.com</t>
  </si>
  <si>
    <t xml:space="preserve">Abril </t>
  </si>
  <si>
    <t>Della Vecchia</t>
  </si>
  <si>
    <t>Esquiu 4493</t>
  </si>
  <si>
    <t>Gabriel</t>
  </si>
  <si>
    <t>gerardodv@gmail.com</t>
  </si>
  <si>
    <t>Maria Trinidad</t>
  </si>
  <si>
    <t>Leon Herran</t>
  </si>
  <si>
    <t>triniguinileon@gmail.com</t>
  </si>
  <si>
    <t>Maure 2126</t>
  </si>
  <si>
    <t>juanaherran@hotmail.com</t>
  </si>
  <si>
    <t>15 53232370</t>
  </si>
  <si>
    <t>+54 9 11 5584-2334</t>
  </si>
  <si>
    <t>gustavo.muzzio@gmail.com</t>
  </si>
  <si>
    <t>Ambar</t>
  </si>
  <si>
    <t>Muzzio</t>
  </si>
  <si>
    <t>Béccar</t>
  </si>
  <si>
    <t>Juan B Justo 933</t>
  </si>
  <si>
    <t>Gustavo</t>
  </si>
  <si>
    <t>TVSalud</t>
  </si>
  <si>
    <t>augustoalbarelloarena@gmail.com</t>
  </si>
  <si>
    <t>Augusto</t>
  </si>
  <si>
    <t>Albarello Arena</t>
  </si>
  <si>
    <t>Argentin</t>
  </si>
  <si>
    <t>Aguas Buenas 3171</t>
  </si>
  <si>
    <t>11 4411 3915</t>
  </si>
  <si>
    <t>OSDE410</t>
  </si>
  <si>
    <t>martin.paulucci@gmail.com</t>
  </si>
  <si>
    <t>Sol</t>
  </si>
  <si>
    <t>Paulucci</t>
  </si>
  <si>
    <t>tronador 3430</t>
  </si>
  <si>
    <t>josetedin@gmail.com</t>
  </si>
  <si>
    <t>Jeronimo</t>
  </si>
  <si>
    <t>Tedin</t>
  </si>
  <si>
    <t>Josetedin@gmail.com</t>
  </si>
  <si>
    <t>Husares 922</t>
  </si>
  <si>
    <t>Jose</t>
  </si>
  <si>
    <t>Angeles Madero - 1149383707</t>
  </si>
  <si>
    <t>franciscohariri@gmail.com</t>
  </si>
  <si>
    <t>Juana</t>
  </si>
  <si>
    <t>Hariri</t>
  </si>
  <si>
    <t>Bustamante 2346</t>
  </si>
  <si>
    <t>Sara</t>
  </si>
  <si>
    <t xml:space="preserve">Hospital Aleman </t>
  </si>
  <si>
    <t>Pedro</t>
  </si>
  <si>
    <t>mansilla_laura@hotmail.com</t>
  </si>
  <si>
    <t xml:space="preserve">Pini Bellaubi </t>
  </si>
  <si>
    <t>Mansilla_oaura@hotmail.com</t>
  </si>
  <si>
    <t>74 nro 1484</t>
  </si>
  <si>
    <t xml:space="preserve">María Laura Mansilla </t>
  </si>
  <si>
    <t xml:space="preserve">Walter Pini Bellaubi </t>
  </si>
  <si>
    <t>mansila_laura@hotmail.com</t>
  </si>
  <si>
    <t>I244819702/02</t>
  </si>
  <si>
    <t>vanesa.sangoi@gmail.com</t>
  </si>
  <si>
    <t xml:space="preserve">LORENZO </t>
  </si>
  <si>
    <t xml:space="preserve">KAPLUN </t>
  </si>
  <si>
    <t>USA 111</t>
  </si>
  <si>
    <t>Av. Rivadavia 4121</t>
  </si>
  <si>
    <t xml:space="preserve">Vanesa Sangoi </t>
  </si>
  <si>
    <t xml:space="preserve">Martin Kaplun </t>
  </si>
  <si>
    <t>Martin.kaplun@gmail.com</t>
  </si>
  <si>
    <t xml:space="preserve">Hospital Italiano </t>
  </si>
  <si>
    <t>noeliafmartinez@gmail.com</t>
  </si>
  <si>
    <t>Bernarda</t>
  </si>
  <si>
    <t>MERCERAT</t>
  </si>
  <si>
    <t xml:space="preserve">Calle 22 572 </t>
  </si>
  <si>
    <t>Noelia Fernanda</t>
  </si>
  <si>
    <t>Carmela</t>
  </si>
  <si>
    <t xml:space="preserve">Noelia Fernanda </t>
  </si>
  <si>
    <t xml:space="preserve">MERCERAT </t>
  </si>
  <si>
    <t>leonorperezfranco82@gmail.com</t>
  </si>
  <si>
    <t xml:space="preserve">Segundo </t>
  </si>
  <si>
    <t xml:space="preserve">Ellemberger </t>
  </si>
  <si>
    <t>Entre Rios</t>
  </si>
  <si>
    <t>Santa Fe 635</t>
  </si>
  <si>
    <t xml:space="preserve">Perez Franco Leonor </t>
  </si>
  <si>
    <t xml:space="preserve">Ellemberger Segundo </t>
  </si>
  <si>
    <t>61 445802 0 04</t>
  </si>
  <si>
    <t>chelcich@gmail.com</t>
  </si>
  <si>
    <t>Silvio</t>
  </si>
  <si>
    <t>Folguera</t>
  </si>
  <si>
    <t>silviofolguera@gmail.com</t>
  </si>
  <si>
    <t>Manuela Pedraza 2276</t>
  </si>
  <si>
    <t xml:space="preserve">Marcela </t>
  </si>
  <si>
    <t>800006 0595969 04 0029</t>
  </si>
  <si>
    <t>riverofabiana1975@hotmail.com</t>
  </si>
  <si>
    <t>Matilda</t>
  </si>
  <si>
    <t>Lukascheuski</t>
  </si>
  <si>
    <t>B San Sebastián a7l73</t>
  </si>
  <si>
    <t>Rivero Fabiana</t>
  </si>
  <si>
    <t xml:space="preserve">Lukascheuski Jonathan </t>
  </si>
  <si>
    <t>Omint linea 0</t>
  </si>
  <si>
    <t xml:space="preserve">Lukascheuski </t>
  </si>
  <si>
    <t>B San Sebastián a7</t>
  </si>
  <si>
    <t>Omint linea o</t>
  </si>
  <si>
    <t>pazverdeicaza@gmail.com</t>
  </si>
  <si>
    <t xml:space="preserve">Benja </t>
  </si>
  <si>
    <t>Furman</t>
  </si>
  <si>
    <t>Pazverdeicaza@gmail.com</t>
  </si>
  <si>
    <t>Primera Junta 2878</t>
  </si>
  <si>
    <t xml:space="preserve">Maria Paz </t>
  </si>
  <si>
    <t>Verde Icaza</t>
  </si>
  <si>
    <t>federico.perez.muzzio@gmail.com</t>
  </si>
  <si>
    <t>Maite</t>
  </si>
  <si>
    <t>Perez Bonadonna</t>
  </si>
  <si>
    <t>Federico.perez.muzzio@gmail.com</t>
  </si>
  <si>
    <t>Intendente Alfaro 725</t>
  </si>
  <si>
    <t>Perez</t>
  </si>
  <si>
    <t>11-3639-0898</t>
  </si>
  <si>
    <t>+54 9 11 6183 8688</t>
  </si>
  <si>
    <t>diegomul@hotmail.com</t>
  </si>
  <si>
    <t>Mul</t>
  </si>
  <si>
    <t>ARG 4240</t>
  </si>
  <si>
    <t>Diegomul@hotmail.com</t>
  </si>
  <si>
    <t>Los ombues 17</t>
  </si>
  <si>
    <t xml:space="preserve">Diego Andrés </t>
  </si>
  <si>
    <t>03487330425</t>
  </si>
  <si>
    <t>02612405285</t>
  </si>
  <si>
    <t>andygvillar@gmail.com</t>
  </si>
  <si>
    <t xml:space="preserve">Villar </t>
  </si>
  <si>
    <t>CNO - Club Náutico Olivos</t>
  </si>
  <si>
    <t>Velez Sarsfield 3020</t>
  </si>
  <si>
    <t>15 4446 4233</t>
  </si>
  <si>
    <t>60 695252 6 03</t>
  </si>
  <si>
    <t>conniegrossi007@gmail.com</t>
  </si>
  <si>
    <t>Saner</t>
  </si>
  <si>
    <t>ARG 4020</t>
  </si>
  <si>
    <t>Marta Lynch 551 piso 23 rio</t>
  </si>
  <si>
    <t xml:space="preserve">Constanza </t>
  </si>
  <si>
    <t>Grossi</t>
  </si>
  <si>
    <t>carifari3@gmail.com</t>
  </si>
  <si>
    <t>Constantino</t>
  </si>
  <si>
    <t>Maffei</t>
  </si>
  <si>
    <t xml:space="preserve">Villa Sarmiento </t>
  </si>
  <si>
    <t>Diaz Velez 384 Villa Sarmiento</t>
  </si>
  <si>
    <t xml:space="preserve">Carina </t>
  </si>
  <si>
    <t>Farinelli</t>
  </si>
  <si>
    <t>simon.fernandezalonso@gmail.com</t>
  </si>
  <si>
    <t>Simon</t>
  </si>
  <si>
    <t>Fernández Alonso</t>
  </si>
  <si>
    <t>Simon.fernandezalonso@gmail.com</t>
  </si>
  <si>
    <t>Héroes de Malvinas 362</t>
  </si>
  <si>
    <t>Rodrigo</t>
  </si>
  <si>
    <t xml:space="preserve">Fernández Alonso </t>
  </si>
  <si>
    <t>Rfernandezalonso@gmail.com</t>
  </si>
  <si>
    <t>Francesco</t>
  </si>
  <si>
    <t>Villa Sarmienro</t>
  </si>
  <si>
    <t>Diaz Velez 384</t>
  </si>
  <si>
    <t>Carina</t>
  </si>
  <si>
    <t>swoloj@yahoo.com.ar</t>
  </si>
  <si>
    <t>Woloj</t>
  </si>
  <si>
    <t>Swoloj@yahoo.com.ar</t>
  </si>
  <si>
    <t>Pasaje suiza 2049</t>
  </si>
  <si>
    <t>Natasha tuvi</t>
  </si>
  <si>
    <t>Rafael tuvi</t>
  </si>
  <si>
    <t>Dasuten</t>
  </si>
  <si>
    <t>18-75855/22</t>
  </si>
  <si>
    <t>gzorraquin@gmail.com</t>
  </si>
  <si>
    <t>Zorraquin</t>
  </si>
  <si>
    <t xml:space="preserve">General Pacheco </t>
  </si>
  <si>
    <t>Av constituyentes 4175</t>
  </si>
  <si>
    <t>Guillermo</t>
  </si>
  <si>
    <t>8003-4567343</t>
  </si>
  <si>
    <t>Iñaki</t>
  </si>
  <si>
    <t>Fernández alonso</t>
  </si>
  <si>
    <t>Simón.fernandezalonso</t>
  </si>
  <si>
    <t>Romero bruno</t>
  </si>
  <si>
    <t>Cecilia.romerobruno@hotmail.com</t>
  </si>
  <si>
    <t>santinorde@gmail.com</t>
  </si>
  <si>
    <t>Santi</t>
  </si>
  <si>
    <t>CNO/AMAROK V6</t>
  </si>
  <si>
    <t>Acasusso</t>
  </si>
  <si>
    <t xml:space="preserve">José Manuel Estrada 1023 </t>
  </si>
  <si>
    <t xml:space="preserve">De Croce </t>
  </si>
  <si>
    <t>andreafde@gmail.com</t>
  </si>
  <si>
    <t>+5491144293417</t>
  </si>
  <si>
    <t>tokersantiago@gmail.com</t>
  </si>
  <si>
    <t>SANTIAGO</t>
  </si>
  <si>
    <t>TOKER</t>
  </si>
  <si>
    <t>Conesa 1816</t>
  </si>
  <si>
    <t>CASA</t>
  </si>
  <si>
    <t>0060235011</t>
  </si>
  <si>
    <t>sabhidalgo21@gmail.com</t>
  </si>
  <si>
    <t xml:space="preserve">Lucas </t>
  </si>
  <si>
    <t>Calvo</t>
  </si>
  <si>
    <t>Sabhidalgo21@gmail.com</t>
  </si>
  <si>
    <t>Del Arca 249</t>
  </si>
  <si>
    <t xml:space="preserve">Sabrina </t>
  </si>
  <si>
    <t>Hidalgo</t>
  </si>
  <si>
    <t xml:space="preserve">Tomás </t>
  </si>
  <si>
    <t>Sabrina</t>
  </si>
  <si>
    <t>dermgerd@gmail.com</t>
  </si>
  <si>
    <t>Tobias</t>
  </si>
  <si>
    <t>Grinblat Dermgerd</t>
  </si>
  <si>
    <t>dermgrrd@gmail.com</t>
  </si>
  <si>
    <t>Reguera 1899</t>
  </si>
  <si>
    <t>Carlos Dermgerd</t>
  </si>
  <si>
    <t xml:space="preserve">Alejandro Grinblat </t>
  </si>
  <si>
    <t>alegrinblat@gmail.com</t>
  </si>
  <si>
    <t>Seis Medical</t>
  </si>
  <si>
    <t>800006 1948663 03 0003</t>
  </si>
  <si>
    <t>luis.mirabelli@gmail.com</t>
  </si>
  <si>
    <t>Luis</t>
  </si>
  <si>
    <t>Mirabelli</t>
  </si>
  <si>
    <t>Luis.Mirabelli@gmail.com</t>
  </si>
  <si>
    <t>Clemente Onelli 650</t>
  </si>
  <si>
    <t>01154692452</t>
  </si>
  <si>
    <t>anacottini@gmail.com</t>
  </si>
  <si>
    <t>Giuliana</t>
  </si>
  <si>
    <t>Careaga Cottini</t>
  </si>
  <si>
    <t>Los Cardales</t>
  </si>
  <si>
    <t>Puente del Inca 8163, Barrio Las Lomadas, Los Cardales, Campana</t>
  </si>
  <si>
    <t>Ana</t>
  </si>
  <si>
    <t>COTTINI</t>
  </si>
  <si>
    <t>Omint</t>
  </si>
  <si>
    <t>sol@nidolab.com.ar</t>
  </si>
  <si>
    <t>Clavijo</t>
  </si>
  <si>
    <t>Almafuerte 1437</t>
  </si>
  <si>
    <t xml:space="preserve">Sol </t>
  </si>
  <si>
    <t xml:space="preserve">García del rio </t>
  </si>
  <si>
    <t>grecia.lenzetti@gmail.com</t>
  </si>
  <si>
    <t xml:space="preserve">Grecia </t>
  </si>
  <si>
    <t xml:space="preserve">58 diagonal 74 1101 </t>
  </si>
  <si>
    <t xml:space="preserve">Martín </t>
  </si>
  <si>
    <t>221 357 3333</t>
  </si>
  <si>
    <t>221 564 2750</t>
  </si>
  <si>
    <t>800006 3965174 03 0015</t>
  </si>
  <si>
    <t>franco.vazquez.fontana@gmail.com</t>
  </si>
  <si>
    <t xml:space="preserve">Franco </t>
  </si>
  <si>
    <t xml:space="preserve">Vázquez Fontana </t>
  </si>
  <si>
    <t>SUI 221952</t>
  </si>
  <si>
    <t>Av. García del Río 2645</t>
  </si>
  <si>
    <t xml:space="preserve">Valeria </t>
  </si>
  <si>
    <t>Fontana</t>
  </si>
  <si>
    <t>valefon72@gmail.com</t>
  </si>
  <si>
    <t>+54 911 6487 5771</t>
  </si>
  <si>
    <t>+54 911 3094 8999</t>
  </si>
  <si>
    <t>Osseg</t>
  </si>
  <si>
    <t>yor575@yahoo.com.ar</t>
  </si>
  <si>
    <t>Dominguez</t>
  </si>
  <si>
    <t>CRSN - Club de Regatas San Nicolas</t>
  </si>
  <si>
    <t>Muñiz 1084</t>
  </si>
  <si>
    <t>Georgina</t>
  </si>
  <si>
    <t>Avalis</t>
  </si>
  <si>
    <t>maramonti17@gmail.com</t>
  </si>
  <si>
    <t>Galeazzi</t>
  </si>
  <si>
    <t>CNSA - Club Náutico Sportivo Avellaneda</t>
  </si>
  <si>
    <t>Mara</t>
  </si>
  <si>
    <t>Avellaneda bis 776</t>
  </si>
  <si>
    <t>Mara monti</t>
  </si>
  <si>
    <t>Monti</t>
  </si>
  <si>
    <t>Maramonti17@gmail.com</t>
  </si>
  <si>
    <t>Jerarquicos salud</t>
  </si>
  <si>
    <t>245839-02</t>
  </si>
  <si>
    <t xml:space="preserve">Francesco </t>
  </si>
  <si>
    <t xml:space="preserve">Mara </t>
  </si>
  <si>
    <t>agustinpinedo@gmail.com</t>
  </si>
  <si>
    <t>Lautaro</t>
  </si>
  <si>
    <t>Pinedo Chiappa</t>
  </si>
  <si>
    <t>Calle 600 n° 828</t>
  </si>
  <si>
    <t>Pinedo</t>
  </si>
  <si>
    <t>221 4196396</t>
  </si>
  <si>
    <t>Calle 600 n°828</t>
  </si>
  <si>
    <t>jlemos@cema.edu.ar</t>
  </si>
  <si>
    <t>Lemos Viviant</t>
  </si>
  <si>
    <t>Capital</t>
  </si>
  <si>
    <t>Belgrano</t>
  </si>
  <si>
    <t>Montañeses 1960</t>
  </si>
  <si>
    <t>Jorge</t>
  </si>
  <si>
    <t>Lemos</t>
  </si>
  <si>
    <t>Jorge lemos</t>
  </si>
  <si>
    <t>Swiss</t>
  </si>
  <si>
    <t>800006 7068363 04 0048</t>
  </si>
  <si>
    <t>gfrogone@gmail.com</t>
  </si>
  <si>
    <t>Frogone</t>
  </si>
  <si>
    <t>ARG3762</t>
  </si>
  <si>
    <t>Recoleta</t>
  </si>
  <si>
    <t>José Antonio Cabrera 3340</t>
  </si>
  <si>
    <t>C1186AAL</t>
  </si>
  <si>
    <t>Guillermo Frogone</t>
  </si>
  <si>
    <t>Florencia Secondo</t>
  </si>
  <si>
    <t>GALENO</t>
  </si>
  <si>
    <t>017102590210</t>
  </si>
  <si>
    <t>melisavignale@gmail.com</t>
  </si>
  <si>
    <t>Bautista</t>
  </si>
  <si>
    <t>Peruzzi</t>
  </si>
  <si>
    <t>Av. Cerviño 4502 - 1ro RIO</t>
  </si>
  <si>
    <t>Melisa</t>
  </si>
  <si>
    <t>Vignale</t>
  </si>
  <si>
    <t>carloskrenek@yahoo.com.ar</t>
  </si>
  <si>
    <t>Krenek</t>
  </si>
  <si>
    <t>Vicente López</t>
  </si>
  <si>
    <t>Italia 436</t>
  </si>
  <si>
    <t>Carlos Krenek</t>
  </si>
  <si>
    <t>Leticia Cortes</t>
  </si>
  <si>
    <t>japeperivera@gmail.com</t>
  </si>
  <si>
    <t>Jose Antonio</t>
  </si>
  <si>
    <t>Rivera</t>
  </si>
  <si>
    <t>Olivos</t>
  </si>
  <si>
    <t>Juan Diaz de Solis 2222</t>
  </si>
  <si>
    <t>mariacouyet1@gmail.com</t>
  </si>
  <si>
    <t>maría</t>
  </si>
  <si>
    <t>couyet</t>
  </si>
  <si>
    <t>la plata</t>
  </si>
  <si>
    <t>4 entre 38 y 39 n344</t>
  </si>
  <si>
    <t>6107160019665281</t>
  </si>
  <si>
    <t>macarenafe@hotmail.com</t>
  </si>
  <si>
    <t>Stella</t>
  </si>
  <si>
    <t>Macarenafe@hotmail.com</t>
  </si>
  <si>
    <t xml:space="preserve">Av diaz velez 4145 1A </t>
  </si>
  <si>
    <t xml:space="preserve">Macarena Fernandez </t>
  </si>
  <si>
    <t xml:space="preserve">Jorge Stella </t>
  </si>
  <si>
    <t>1144006748 / 1144734415</t>
  </si>
  <si>
    <t xml:space="preserve"> 11 5636-8464 Daniel Maffei</t>
  </si>
  <si>
    <t xml:space="preserve"> 11 2189-4757 Karen Nobile</t>
  </si>
  <si>
    <t>800006 0516154 02 1038</t>
  </si>
  <si>
    <t>delfikuttel3@gmail.com</t>
  </si>
  <si>
    <t>delfina</t>
  </si>
  <si>
    <t>kuttel</t>
  </si>
  <si>
    <t>san pedro</t>
  </si>
  <si>
    <t>chivilcoy 2190</t>
  </si>
  <si>
    <t>ssbenitez@gmial.com</t>
  </si>
  <si>
    <t>Catarina</t>
  </si>
  <si>
    <t>Benitez Baronti</t>
  </si>
  <si>
    <t>ssbenitez@gmail.com</t>
  </si>
  <si>
    <t>Entre Ríos 311 Piso 9</t>
  </si>
  <si>
    <t>Sebastian Benitez</t>
  </si>
  <si>
    <t>Carolina Baronti</t>
  </si>
  <si>
    <t>OSPAC</t>
  </si>
  <si>
    <t>48077/21</t>
  </si>
  <si>
    <t>emiliastrunz@hotmail.com</t>
  </si>
  <si>
    <t>Evangelina</t>
  </si>
  <si>
    <t>Maeso</t>
  </si>
  <si>
    <t>Emiliastrunz@hotmail.com</t>
  </si>
  <si>
    <t>Argentins</t>
  </si>
  <si>
    <t>Ayacucho 1807</t>
  </si>
  <si>
    <t>Strunz</t>
  </si>
  <si>
    <t>Federico Maeso</t>
  </si>
  <si>
    <t>Emilia Strunz</t>
  </si>
  <si>
    <t>Federico Maeso 1150050707</t>
  </si>
  <si>
    <t>noeraffin@hotmail.com</t>
  </si>
  <si>
    <t xml:space="preserve">PROPERZI </t>
  </si>
  <si>
    <t xml:space="preserve">Pérez </t>
  </si>
  <si>
    <t>San Lorenzo 861</t>
  </si>
  <si>
    <t xml:space="preserve">Federico Properzi </t>
  </si>
  <si>
    <t xml:space="preserve">Mara Noelia Raffin </t>
  </si>
  <si>
    <t>341 6637382</t>
  </si>
  <si>
    <t>Mas osdop</t>
  </si>
  <si>
    <t>xtorroba@hotmail.com</t>
  </si>
  <si>
    <t xml:space="preserve">JOAQUIN </t>
  </si>
  <si>
    <t xml:space="preserve">CARRETTO </t>
  </si>
  <si>
    <t>Xtorroba@hotmail.com</t>
  </si>
  <si>
    <t xml:space="preserve">San Nicolas </t>
  </si>
  <si>
    <t>Brown 182</t>
  </si>
  <si>
    <t xml:space="preserve">Maria Ximena </t>
  </si>
  <si>
    <t xml:space="preserve">Torroba </t>
  </si>
  <si>
    <t>sole_mz@yahoo.com.ar</t>
  </si>
  <si>
    <t>Lola</t>
  </si>
  <si>
    <t>Barceló</t>
  </si>
  <si>
    <t>CASEROS 2625</t>
  </si>
  <si>
    <t>Guillermo Barceló</t>
  </si>
  <si>
    <t>Soledad Muñoz</t>
  </si>
  <si>
    <t xml:space="preserve">willygpb@hotmail.com </t>
  </si>
  <si>
    <t>8000061229406040009</t>
  </si>
  <si>
    <t>comercial@escogreen.com.ar</t>
  </si>
  <si>
    <t xml:space="preserve">Cuenca Esmaiman </t>
  </si>
  <si>
    <t>Secuenca79@gmail.com</t>
  </si>
  <si>
    <t xml:space="preserve">Escobar </t>
  </si>
  <si>
    <t>Jazmin 1170</t>
  </si>
  <si>
    <t xml:space="preserve">Sebastián </t>
  </si>
  <si>
    <t xml:space="preserve">Cuenca </t>
  </si>
  <si>
    <t xml:space="preserve">3489-684660 </t>
  </si>
  <si>
    <t>Austral salud</t>
  </si>
  <si>
    <t>lopul75@gmail.com</t>
  </si>
  <si>
    <t>Davenia</t>
  </si>
  <si>
    <t>Lopul75@gmail.com</t>
  </si>
  <si>
    <t>Nuñez</t>
  </si>
  <si>
    <t>Av del Libertador 7670</t>
  </si>
  <si>
    <t>Pablo</t>
  </si>
  <si>
    <t>+5491157065575</t>
  </si>
  <si>
    <t>+5491157654770</t>
  </si>
  <si>
    <t>silhurti2@gmail.com</t>
  </si>
  <si>
    <t>Elena</t>
  </si>
  <si>
    <t>Micelotta</t>
  </si>
  <si>
    <t>Silhurti2@gmail.com</t>
  </si>
  <si>
    <t>Calle 27N 1526</t>
  </si>
  <si>
    <t>Hurtado Silvina</t>
  </si>
  <si>
    <t>Micelotta Esteban</t>
  </si>
  <si>
    <t>221 4288574</t>
  </si>
  <si>
    <t>11 3873-3791</t>
  </si>
  <si>
    <t>020410780107</t>
  </si>
  <si>
    <t>Nenez</t>
  </si>
  <si>
    <t>Av del libertador 7670</t>
  </si>
  <si>
    <t>afadanelli@gmail.com</t>
  </si>
  <si>
    <t>Buccolo</t>
  </si>
  <si>
    <t>Ciudad de Buenos Aires</t>
  </si>
  <si>
    <t>Tomas Le Breton 4249 piso 4 depto 420</t>
  </si>
  <si>
    <t xml:space="preserve">Fadanelli </t>
  </si>
  <si>
    <t>ivanspoliansky@gmail.com</t>
  </si>
  <si>
    <t>Spoliansky keten</t>
  </si>
  <si>
    <t>Ivanspoliansky@gmail.com</t>
  </si>
  <si>
    <t>Capital federal</t>
  </si>
  <si>
    <t>Bazurco 2861</t>
  </si>
  <si>
    <t>C1419FKM</t>
  </si>
  <si>
    <t>+54 9 11 6796-0137</t>
  </si>
  <si>
    <t>Poder judicial</t>
  </si>
  <si>
    <t>52698/21</t>
  </si>
  <si>
    <t>alejdepaz@gmail.com</t>
  </si>
  <si>
    <t>Ciro</t>
  </si>
  <si>
    <t>Juan de Paz</t>
  </si>
  <si>
    <t>ARG4053</t>
  </si>
  <si>
    <t>Maipu 832</t>
  </si>
  <si>
    <t>Alejandro Juan De Paz</t>
  </si>
  <si>
    <t>rafaeldemartin@gmail.com</t>
  </si>
  <si>
    <t>Jean Lucca</t>
  </si>
  <si>
    <t>Reis Demartin</t>
  </si>
  <si>
    <t>Pringles 2437</t>
  </si>
  <si>
    <t>Rafael</t>
  </si>
  <si>
    <t>1131876969 (Padre)</t>
  </si>
  <si>
    <t>1167317737 (Madre)</t>
  </si>
  <si>
    <t>glenda00@gmail.com</t>
  </si>
  <si>
    <t>Elian</t>
  </si>
  <si>
    <t>Elkayam</t>
  </si>
  <si>
    <t>Bulne</t>
  </si>
  <si>
    <t>Glenda</t>
  </si>
  <si>
    <t>Douer</t>
  </si>
  <si>
    <t>08000060340189041014</t>
  </si>
  <si>
    <t xml:space="preserve">Gael </t>
  </si>
  <si>
    <t>Bulnes 1580</t>
  </si>
  <si>
    <t xml:space="preserve">Glenda </t>
  </si>
  <si>
    <t>8000060340189031023</t>
  </si>
  <si>
    <t>facundomayorga@hotmail.com</t>
  </si>
  <si>
    <t>Martina</t>
  </si>
  <si>
    <t>Mayorga</t>
  </si>
  <si>
    <t>Facundomayorga@hotmail.com</t>
  </si>
  <si>
    <t>Copernico 2361</t>
  </si>
  <si>
    <t xml:space="preserve">Facundo </t>
  </si>
  <si>
    <t>diego.admin@coelarcables.com</t>
  </si>
  <si>
    <t>NICOLAS</t>
  </si>
  <si>
    <t>PINOSA PERCOSSI</t>
  </si>
  <si>
    <t>dpinosa@hotmail.com</t>
  </si>
  <si>
    <t>BS AS</t>
  </si>
  <si>
    <t>VICENTE LOPEZ</t>
  </si>
  <si>
    <t>JUAN CARLOS CRUZ 100 TORRE 3 1901</t>
  </si>
  <si>
    <t>DIEGO</t>
  </si>
  <si>
    <t>PAULA</t>
  </si>
  <si>
    <t>analia.montes@hotmail.com</t>
  </si>
  <si>
    <t xml:space="preserve">Barré </t>
  </si>
  <si>
    <t>bernardabarre@gmail.com</t>
  </si>
  <si>
    <t>Fray Cayetano Rodríguez 1060</t>
  </si>
  <si>
    <t xml:space="preserve">Analía </t>
  </si>
  <si>
    <t>Montes</t>
  </si>
  <si>
    <t xml:space="preserve">Unión Personal </t>
  </si>
  <si>
    <t>00743944015</t>
  </si>
  <si>
    <t>sofiaarteta@gmail.com</t>
  </si>
  <si>
    <t xml:space="preserve">Tomas </t>
  </si>
  <si>
    <t>Paoli</t>
  </si>
  <si>
    <t xml:space="preserve">sofiaarteta@hotmail.com </t>
  </si>
  <si>
    <t>Heroes de Malvinas 267</t>
  </si>
  <si>
    <t>Sofia Arteta 1153114252</t>
  </si>
  <si>
    <t>Lucas Paoli 1155770173</t>
  </si>
  <si>
    <t>61 264020403</t>
  </si>
  <si>
    <t>sofiaarteta@hotmail.com</t>
  </si>
  <si>
    <t>Héroes de Malvinas 267</t>
  </si>
  <si>
    <t>Lucas</t>
  </si>
  <si>
    <t>61 264020404</t>
  </si>
  <si>
    <t>pedrorodriguezreynoso54@gmail.com</t>
  </si>
  <si>
    <t>Rodriguez Reynoso</t>
  </si>
  <si>
    <t>Italia</t>
  </si>
  <si>
    <t>Los polvorines</t>
  </si>
  <si>
    <t>Av del Sesquicentenario 4540</t>
  </si>
  <si>
    <t>.</t>
  </si>
  <si>
    <t>Smg</t>
  </si>
  <si>
    <t>felipellauro@gmail.com</t>
  </si>
  <si>
    <t>Llauro</t>
  </si>
  <si>
    <t>Linier 2247</t>
  </si>
  <si>
    <t>Pllauro@gmail.com</t>
  </si>
  <si>
    <t>+54 9 11 6220-0871</t>
  </si>
  <si>
    <t>+54 9 11 6099-0154</t>
  </si>
  <si>
    <t>claudiascavo@hotmail.com</t>
  </si>
  <si>
    <t>TOMAS B</t>
  </si>
  <si>
    <t>ELÍAS</t>
  </si>
  <si>
    <t>SEGUROLA 4398</t>
  </si>
  <si>
    <t>CLAUDIA</t>
  </si>
  <si>
    <t>SCAVO</t>
  </si>
  <si>
    <t>+54 9 11 4993-6115</t>
  </si>
  <si>
    <t>+54 9 11 4186-0639</t>
  </si>
  <si>
    <t>HOSPITAL ALEMAN</t>
  </si>
  <si>
    <t>fabriciobearzotti@hotmail.com</t>
  </si>
  <si>
    <t>Bearzotti</t>
  </si>
  <si>
    <t>ROSARIO</t>
  </si>
  <si>
    <t>Álvarez Thomas 1702</t>
  </si>
  <si>
    <t>Fabricio Bearzotti</t>
  </si>
  <si>
    <t>Clara Mariani</t>
  </si>
  <si>
    <t>Caja Forense</t>
  </si>
  <si>
    <t>AB887/02</t>
  </si>
  <si>
    <t>solperuzzi@gmail.com</t>
  </si>
  <si>
    <t>Melendez Peruzzi</t>
  </si>
  <si>
    <t>Riglos 255, 4 A</t>
  </si>
  <si>
    <t>Hugo</t>
  </si>
  <si>
    <t>Melendez</t>
  </si>
  <si>
    <t>hmelendez@gmail.com</t>
  </si>
  <si>
    <t>luchoarocena@gmail.com</t>
  </si>
  <si>
    <t>Joaco</t>
  </si>
  <si>
    <t>Arocena</t>
  </si>
  <si>
    <t>Miguens 3659</t>
  </si>
  <si>
    <t xml:space="preserve">Poder Judicial de la Nacion </t>
  </si>
  <si>
    <t>88946/21</t>
  </si>
  <si>
    <t>martincorral.arg@gmail.com</t>
  </si>
  <si>
    <t>Corral</t>
  </si>
  <si>
    <t>24 # 1376</t>
  </si>
  <si>
    <t>Martin Corral</t>
  </si>
  <si>
    <t>Victoria Mattano</t>
  </si>
  <si>
    <t>martincorral.arg@gmail.cim</t>
  </si>
  <si>
    <t>Vmattano@gmail.com</t>
  </si>
  <si>
    <t>macui66495@gmail.com</t>
  </si>
  <si>
    <t>Garcia</t>
  </si>
  <si>
    <t>Alejandro_19788@hotmail.com</t>
  </si>
  <si>
    <t>Mercedes 4516</t>
  </si>
  <si>
    <t xml:space="preserve">Omint </t>
  </si>
  <si>
    <t>1852225 00 02</t>
  </si>
  <si>
    <t>AZUL</t>
  </si>
  <si>
    <t>DE ELIZALDE</t>
  </si>
  <si>
    <t>mceciherbst@gmail.com</t>
  </si>
  <si>
    <t>SOFIA</t>
  </si>
  <si>
    <t>GUILLE</t>
  </si>
  <si>
    <t>ZARATE</t>
  </si>
  <si>
    <t>ITUZAINGO 328</t>
  </si>
  <si>
    <t>HERBST</t>
  </si>
  <si>
    <t>MARIA CECILIA</t>
  </si>
  <si>
    <t>MATEO</t>
  </si>
  <si>
    <t>CECILIA HERBST</t>
  </si>
  <si>
    <t>tridelpi@yahoo.com</t>
  </si>
  <si>
    <t>Bonilauri</t>
  </si>
  <si>
    <t>Vicente lopez</t>
  </si>
  <si>
    <t>Bouchard 834 - La Lucila</t>
  </si>
  <si>
    <t>Trinidad</t>
  </si>
  <si>
    <t>Del Pino</t>
  </si>
  <si>
    <t>gonzalezmartin1977@gmail.com</t>
  </si>
  <si>
    <t xml:space="preserve">Juan Sebastián </t>
  </si>
  <si>
    <t xml:space="preserve">González Espínola </t>
  </si>
  <si>
    <t>Ciudad d Buenos Aires</t>
  </si>
  <si>
    <t>Blanco Encalada 3877</t>
  </si>
  <si>
    <t xml:space="preserve">OMINT </t>
  </si>
  <si>
    <t>luchi.ferrante09@gmail.com</t>
  </si>
  <si>
    <t>29er</t>
  </si>
  <si>
    <t xml:space="preserve">Mia </t>
  </si>
  <si>
    <t>De Bernardis</t>
  </si>
  <si>
    <t>debernardismia@gmail.com</t>
  </si>
  <si>
    <t>ogiggins 1730</t>
  </si>
  <si>
    <t xml:space="preserve">Pablo </t>
  </si>
  <si>
    <t xml:space="preserve">De Bernardis </t>
  </si>
  <si>
    <t>pmdebernardis@gmail.com</t>
  </si>
  <si>
    <t>11 4091-8515</t>
  </si>
  <si>
    <t>omit</t>
  </si>
  <si>
    <t xml:space="preserve">Lucia </t>
  </si>
  <si>
    <t>Ferrante</t>
  </si>
  <si>
    <t>Coronel Rosales 1055</t>
  </si>
  <si>
    <t>ferrante3011@gmail.com</t>
  </si>
  <si>
    <t>11 54206644</t>
  </si>
  <si>
    <t>11 32723553</t>
  </si>
  <si>
    <t xml:space="preserve">Alvarez Gallesio </t>
  </si>
  <si>
    <t xml:space="preserve">Juncal 1404 </t>
  </si>
  <si>
    <t>abracco@mac.com</t>
  </si>
  <si>
    <t>Justo</t>
  </si>
  <si>
    <t>Bracco</t>
  </si>
  <si>
    <t>ARG 4057</t>
  </si>
  <si>
    <t>Abraco@mac.com</t>
  </si>
  <si>
    <t>Acassuso 1965</t>
  </si>
  <si>
    <t>Carolina</t>
  </si>
  <si>
    <t>lucas.suar@gmail.com</t>
  </si>
  <si>
    <t>Suar Volco</t>
  </si>
  <si>
    <t>3 de Febrero 2708</t>
  </si>
  <si>
    <t>Suar</t>
  </si>
  <si>
    <t>Caja Notarial (CABA)</t>
  </si>
  <si>
    <t>E-4959-02</t>
  </si>
  <si>
    <t>politoag@hotmail.com</t>
  </si>
  <si>
    <t xml:space="preserve">Giannuzzi </t>
  </si>
  <si>
    <t xml:space="preserve">ARG </t>
  </si>
  <si>
    <t>Sarmiento 4831</t>
  </si>
  <si>
    <t>1785258 03</t>
  </si>
  <si>
    <t xml:space="preserve">Joaquin </t>
  </si>
  <si>
    <t xml:space="preserve">Suar Volco </t>
  </si>
  <si>
    <t>E-4959-03</t>
  </si>
  <si>
    <t>macarena_pita@yahoo.com.ar</t>
  </si>
  <si>
    <t>Pons Pita</t>
  </si>
  <si>
    <t>CNSE - Club Náutico Sudeste</t>
  </si>
  <si>
    <t>Bordieu 65</t>
  </si>
  <si>
    <t>Maria Macarena</t>
  </si>
  <si>
    <t>Pita</t>
  </si>
  <si>
    <t>11 49914203</t>
  </si>
  <si>
    <t>OSDIPP</t>
  </si>
  <si>
    <t>04870704800</t>
  </si>
  <si>
    <t>lucasmonesruiz@gmail.com</t>
  </si>
  <si>
    <t>Mones Ruiz</t>
  </si>
  <si>
    <t>Lucasmonesruiz@gmail.com</t>
  </si>
  <si>
    <t>Arenales 2669</t>
  </si>
  <si>
    <t xml:space="preserve">Hugh </t>
  </si>
  <si>
    <t xml:space="preserve">Hefner </t>
  </si>
  <si>
    <t>Playboy@gmail.com</t>
  </si>
  <si>
    <t>Osde cuál va a ser</t>
  </si>
  <si>
    <t>stabilec026@gmail.com</t>
  </si>
  <si>
    <t>Stabile</t>
  </si>
  <si>
    <t>Acassuso 1577</t>
  </si>
  <si>
    <t>Santos</t>
  </si>
  <si>
    <t>villamarinramiro@gmail.com</t>
  </si>
  <si>
    <t>Ema</t>
  </si>
  <si>
    <t>Villamarin</t>
  </si>
  <si>
    <t>Villamarinramiro@gmail.com</t>
  </si>
  <si>
    <t>Av libertador 17438</t>
  </si>
  <si>
    <t>pinto0pedro1paulo9@gmail.com</t>
  </si>
  <si>
    <t>Maggie Maria</t>
  </si>
  <si>
    <t>Pinto</t>
  </si>
  <si>
    <t>BsAs</t>
  </si>
  <si>
    <t>Int Neyer 2729</t>
  </si>
  <si>
    <t>CEBAS</t>
  </si>
  <si>
    <t>claritasabattini@gmail.com</t>
  </si>
  <si>
    <t>Clara</t>
  </si>
  <si>
    <t>Sabattini</t>
  </si>
  <si>
    <t>CVR-YCR</t>
  </si>
  <si>
    <t>Silva 1276</t>
  </si>
  <si>
    <t>Yanina</t>
  </si>
  <si>
    <t>Gomez Leunda</t>
  </si>
  <si>
    <t>yanina.gleunda@gmail.com</t>
  </si>
  <si>
    <t>swiis medical</t>
  </si>
  <si>
    <t>800006 2065280 03 1006</t>
  </si>
  <si>
    <t xml:space="preserve">Maria Emilia </t>
  </si>
  <si>
    <t>D’ottavio</t>
  </si>
  <si>
    <t>dottaviomariaemilia.csp@gmail</t>
  </si>
  <si>
    <t>Av.caseros 145 bis torre paz</t>
  </si>
  <si>
    <t>Vicentin</t>
  </si>
  <si>
    <t>gabrielavicentin467@gmail.com</t>
  </si>
  <si>
    <t>ospac</t>
  </si>
  <si>
    <t>31982/21 plan b</t>
  </si>
  <si>
    <t>zorraquinfacundo@gmail.com</t>
  </si>
  <si>
    <t>av constituyentes 4175</t>
  </si>
  <si>
    <t>Guillermo Zorraquin</t>
  </si>
  <si>
    <t>Carolina Pell</t>
  </si>
  <si>
    <t>carolinapell@gmail.com</t>
  </si>
  <si>
    <t>8000060520208041117</t>
  </si>
  <si>
    <t>felipehariri2010@gmail.com</t>
  </si>
  <si>
    <t>Sanchez de bustamante</t>
  </si>
  <si>
    <t>Fran Hariri</t>
  </si>
  <si>
    <t>Franciscohariri@gmail.com</t>
  </si>
  <si>
    <t>+54 9 11 6046-4440</t>
  </si>
  <si>
    <t>barbaracasanova07@gmail.com</t>
  </si>
  <si>
    <t>Eva</t>
  </si>
  <si>
    <t>Oliver</t>
  </si>
  <si>
    <t>Barbaracasanova07@gmail.com</t>
  </si>
  <si>
    <t>Vito Dumas 584</t>
  </si>
  <si>
    <t xml:space="preserve">Fernando </t>
  </si>
  <si>
    <t>Fernandooliver@pragmat.com.ar</t>
  </si>
  <si>
    <t>800006 1986316 03 0012</t>
  </si>
  <si>
    <t>mateo.amespil@gmail.com</t>
  </si>
  <si>
    <t xml:space="preserve">Marcos </t>
  </si>
  <si>
    <t>Amespil</t>
  </si>
  <si>
    <t>CIUDAD AUTÓNOMA DE BS. AS.</t>
  </si>
  <si>
    <t>JUEZ ESTRADA 2883</t>
  </si>
  <si>
    <t xml:space="preserve">Mateo </t>
  </si>
  <si>
    <t>AMESPIL</t>
  </si>
  <si>
    <t>benjabizet22@gmail.com</t>
  </si>
  <si>
    <t>benjamin</t>
  </si>
  <si>
    <t>bizet</t>
  </si>
  <si>
    <t>421 n1530</t>
  </si>
  <si>
    <t>marcelomirey@hotmail.com</t>
  </si>
  <si>
    <t xml:space="preserve">Mirey </t>
  </si>
  <si>
    <t>Luis Agote  679</t>
  </si>
  <si>
    <t xml:space="preserve">Marcelo </t>
  </si>
  <si>
    <t xml:space="preserve">Mira </t>
  </si>
  <si>
    <t xml:space="preserve">3487-308488 </t>
  </si>
  <si>
    <t xml:space="preserve">3487-308487 </t>
  </si>
  <si>
    <t xml:space="preserve">COMEI </t>
  </si>
  <si>
    <t>050863-02-0</t>
  </si>
  <si>
    <t xml:space="preserve">Juan Francisco </t>
  </si>
  <si>
    <t>Luis Agote 679</t>
  </si>
  <si>
    <t xml:space="preserve">050863-03-7 </t>
  </si>
  <si>
    <t>eugebottos@hotmail.com</t>
  </si>
  <si>
    <t>Velez</t>
  </si>
  <si>
    <t>Eugebottos@hotmail.com</t>
  </si>
  <si>
    <t>Dorrego 916</t>
  </si>
  <si>
    <t xml:space="preserve">María Eugenia </t>
  </si>
  <si>
    <t xml:space="preserve">Bottos </t>
  </si>
  <si>
    <t>0111569565152</t>
  </si>
  <si>
    <t>0111562742958</t>
  </si>
  <si>
    <t>agustinagropp@gmail.com</t>
  </si>
  <si>
    <t>Mones</t>
  </si>
  <si>
    <t>AV. DE LOS LAGOS 5845</t>
  </si>
  <si>
    <t>Groppa</t>
  </si>
  <si>
    <t>+13057933880</t>
  </si>
  <si>
    <t>swissmedical</t>
  </si>
  <si>
    <t>8000061842995040006</t>
  </si>
  <si>
    <t>martin@adlercreutz.org</t>
  </si>
  <si>
    <t>Ines</t>
  </si>
  <si>
    <t>Adlercreutz</t>
  </si>
  <si>
    <t xml:space="preserve">CABA - Ciudad Autónoma de Buenos Aires </t>
  </si>
  <si>
    <t>Vicente López 1828</t>
  </si>
  <si>
    <t xml:space="preserve">SMG </t>
  </si>
  <si>
    <t>800006 5002826 05 0015</t>
  </si>
  <si>
    <t>mjthamm4@gmail.com</t>
  </si>
  <si>
    <t xml:space="preserve">Isabel </t>
  </si>
  <si>
    <t xml:space="preserve">Hariri </t>
  </si>
  <si>
    <t>Av las Heras 2691</t>
  </si>
  <si>
    <t xml:space="preserve">María Julia Thamm </t>
  </si>
  <si>
    <t xml:space="preserve">Juan Pablo Hariri </t>
  </si>
  <si>
    <t>Osde 210</t>
  </si>
  <si>
    <t>mpakrause@gmail.com</t>
  </si>
  <si>
    <t>Margarita</t>
  </si>
  <si>
    <t xml:space="preserve">Mussel </t>
  </si>
  <si>
    <t xml:space="preserve">ARG 3536 </t>
  </si>
  <si>
    <t xml:space="preserve">mpakrause@gmail.com </t>
  </si>
  <si>
    <t>Billinghurst 2238</t>
  </si>
  <si>
    <t>Docthos</t>
  </si>
  <si>
    <t>8000067202434050021</t>
  </si>
  <si>
    <t>lolavarelacardinali@gmail.com</t>
  </si>
  <si>
    <t>Varela</t>
  </si>
  <si>
    <t>Francisco Alvarez</t>
  </si>
  <si>
    <t>almafuerte 1402</t>
  </si>
  <si>
    <t>mvarela@tycsports.com.ar</t>
  </si>
  <si>
    <t>1163289 0 004</t>
  </si>
  <si>
    <t>Fausto</t>
  </si>
  <si>
    <t>Peralta</t>
  </si>
  <si>
    <t>Faustoperalta3129@gmail.com</t>
  </si>
  <si>
    <t>armenia 2259</t>
  </si>
  <si>
    <t>Hospital Alemán</t>
  </si>
  <si>
    <t>Olivia</t>
  </si>
  <si>
    <t xml:space="preserve">ARG 4239 </t>
  </si>
  <si>
    <t>8000067202434040048</t>
  </si>
  <si>
    <t>mgfossatti@gmail.com</t>
  </si>
  <si>
    <t xml:space="preserve">Sofía Guillermina </t>
  </si>
  <si>
    <t xml:space="preserve">Fossatti </t>
  </si>
  <si>
    <t>ARG 3775</t>
  </si>
  <si>
    <t>Mgfossatti@gmail.com</t>
  </si>
  <si>
    <t>Burela 2168 Piso 7A</t>
  </si>
  <si>
    <t>esperonpatricia@gmail.com</t>
  </si>
  <si>
    <t>Gael</t>
  </si>
  <si>
    <t>Pmdebernardis@gmail.com</t>
  </si>
  <si>
    <t>O’Higgins 1730</t>
  </si>
  <si>
    <t>Pablo De Bernardis</t>
  </si>
  <si>
    <t xml:space="preserve">Patricia Esperon </t>
  </si>
  <si>
    <t>constanza.simone@gmail.com</t>
  </si>
  <si>
    <t xml:space="preserve">Bizzozero </t>
  </si>
  <si>
    <t>Constanza.simone@gmail.com</t>
  </si>
  <si>
    <t>Conesa 1971 piso 3A</t>
  </si>
  <si>
    <t>Constanza</t>
  </si>
  <si>
    <t>Simone</t>
  </si>
  <si>
    <t>mariaveronicalelli@gmail.com</t>
  </si>
  <si>
    <t>Simona</t>
  </si>
  <si>
    <t>Blanco</t>
  </si>
  <si>
    <t>Mariaveronicalelli@gmail.com</t>
  </si>
  <si>
    <t>Trieste 640</t>
  </si>
  <si>
    <t>veronica</t>
  </si>
  <si>
    <t>Lelli</t>
  </si>
  <si>
    <t xml:space="preserve">PAMI </t>
  </si>
  <si>
    <t>145203844016 00</t>
  </si>
  <si>
    <t>fduranonav@gmail.com</t>
  </si>
  <si>
    <t>FELIPE</t>
  </si>
  <si>
    <t>DURAÑONA</t>
  </si>
  <si>
    <t>BOULOGNE</t>
  </si>
  <si>
    <t>LUIS MARIA CAMPOS 569</t>
  </si>
  <si>
    <t>FACUNDO</t>
  </si>
  <si>
    <t>alecichowolski@gmail.com</t>
  </si>
  <si>
    <t>Alejo</t>
  </si>
  <si>
    <t xml:space="preserve">Folguera </t>
  </si>
  <si>
    <t>C.A.B.A</t>
  </si>
  <si>
    <t>8000060595969020062</t>
  </si>
  <si>
    <t>laspenelopes2011@gmail.com</t>
  </si>
  <si>
    <t>Joaquina</t>
  </si>
  <si>
    <t xml:space="preserve">Loureyro Morgenstern </t>
  </si>
  <si>
    <t>laspenelopes@hotmail.com</t>
  </si>
  <si>
    <t>Ciudad Autónoma de Bueosn Aires</t>
  </si>
  <si>
    <t>Congreso 1661 14 A</t>
  </si>
  <si>
    <t>Marina</t>
  </si>
  <si>
    <t>Morgenstern</t>
  </si>
  <si>
    <t>lasoenelopes@hotmail.com</t>
  </si>
  <si>
    <t>Lisandro</t>
  </si>
  <si>
    <t xml:space="preserve">Ciudad Autónoma </t>
  </si>
  <si>
    <t>Núñez</t>
  </si>
  <si>
    <t>mateo.duranona@gmail.com</t>
  </si>
  <si>
    <t>PILAR</t>
  </si>
  <si>
    <t>BPULOGNE</t>
  </si>
  <si>
    <t>yesistepancic@gmail.com</t>
  </si>
  <si>
    <t>Ruiz Stepancic</t>
  </si>
  <si>
    <t>hurlingham</t>
  </si>
  <si>
    <t>williams 1663</t>
  </si>
  <si>
    <t>yesica</t>
  </si>
  <si>
    <t>stepancic</t>
  </si>
  <si>
    <t>hernanboeri@gmail.com</t>
  </si>
  <si>
    <t xml:space="preserve">Boeri Di Giorgio </t>
  </si>
  <si>
    <t>Caracas 1060</t>
  </si>
  <si>
    <t xml:space="preserve">Hernan </t>
  </si>
  <si>
    <t>Boeri</t>
  </si>
  <si>
    <t xml:space="preserve">154 096 0504 </t>
  </si>
  <si>
    <t xml:space="preserve">155 466 5349 </t>
  </si>
  <si>
    <t xml:space="preserve">61 934840 1 03 </t>
  </si>
  <si>
    <t>Camilo</t>
  </si>
  <si>
    <t>Boeri Di Giorgio</t>
  </si>
  <si>
    <t>Hernan</t>
  </si>
  <si>
    <t xml:space="preserve">61 934840 1 04 </t>
  </si>
  <si>
    <t xml:space="preserve">yesica </t>
  </si>
  <si>
    <t>adonofr@gmail.com</t>
  </si>
  <si>
    <t xml:space="preserve">Janko </t>
  </si>
  <si>
    <t>DONOFRIO FREYTES</t>
  </si>
  <si>
    <t xml:space="preserve">Villa Urquiza </t>
  </si>
  <si>
    <t>Blanco Encalada 4236</t>
  </si>
  <si>
    <t>DONOFRIO</t>
  </si>
  <si>
    <t>lolaagonzaleez22@gmail.com</t>
  </si>
  <si>
    <t xml:space="preserve">Vicente López </t>
  </si>
  <si>
    <t>Gutiérrez 474</t>
  </si>
  <si>
    <t xml:space="preserve">Nestor </t>
  </si>
  <si>
    <t>Nestor2072@yahoo.com.ar</t>
  </si>
  <si>
    <t xml:space="preserve">Galeno </t>
  </si>
  <si>
    <t>023020740201</t>
  </si>
  <si>
    <t>ELIDESCHAMPS@GMAIL.COM</t>
  </si>
  <si>
    <t>BRUNA</t>
  </si>
  <si>
    <t>GASCON DESCHAMPS</t>
  </si>
  <si>
    <t>BUE</t>
  </si>
  <si>
    <t>33 672</t>
  </si>
  <si>
    <t>ELISA</t>
  </si>
  <si>
    <t>DESCHAMPS</t>
  </si>
  <si>
    <t>Sacha</t>
  </si>
  <si>
    <t xml:space="preserve">DONOFRIO </t>
  </si>
  <si>
    <t>fabegino@gmail.com</t>
  </si>
  <si>
    <t>Juan Francisco</t>
  </si>
  <si>
    <t>Begino Morero</t>
  </si>
  <si>
    <t>Huapi Sailors</t>
  </si>
  <si>
    <t>jubegino@gmail.com</t>
  </si>
  <si>
    <t>Rio Negro</t>
  </si>
  <si>
    <t>San Carlos de Bariloche</t>
  </si>
  <si>
    <t>Arelauquen golf lote Q26</t>
  </si>
  <si>
    <t>Begino</t>
  </si>
  <si>
    <t>Sancor Salud</t>
  </si>
  <si>
    <t>valeria.fassa@gmail.com</t>
  </si>
  <si>
    <t>Zoppi De Franceschini</t>
  </si>
  <si>
    <t>Arg 3846</t>
  </si>
  <si>
    <t xml:space="preserve">Valeria.fassa@gmail.com </t>
  </si>
  <si>
    <t>Olazabal 4325</t>
  </si>
  <si>
    <t>Valeria</t>
  </si>
  <si>
    <t>Fassa</t>
  </si>
  <si>
    <t>lucianovictorel@gmail.com</t>
  </si>
  <si>
    <t>Amador</t>
  </si>
  <si>
    <t>Victorel</t>
  </si>
  <si>
    <t>Urquiza 89</t>
  </si>
  <si>
    <t>+5491159119062</t>
  </si>
  <si>
    <t>+5491131379444</t>
  </si>
  <si>
    <t>Obra Social del Poder Judicial de la Nación</t>
  </si>
  <si>
    <t>54850/21</t>
  </si>
  <si>
    <t>claudiodeho@gmail.com</t>
  </si>
  <si>
    <t xml:space="preserve">ignacio </t>
  </si>
  <si>
    <t>deho</t>
  </si>
  <si>
    <t>ignaciodeho@gmail.com</t>
  </si>
  <si>
    <t>ayacucho 926</t>
  </si>
  <si>
    <t>Claudio</t>
  </si>
  <si>
    <t>5551651899/04</t>
  </si>
  <si>
    <t>ignacio</t>
  </si>
  <si>
    <t>CNA - Club Náutico Albatros</t>
  </si>
  <si>
    <t>claudio</t>
  </si>
  <si>
    <t>hospital aleman</t>
  </si>
  <si>
    <t>5551651899-04</t>
  </si>
  <si>
    <t>thomas</t>
  </si>
  <si>
    <t>thomasdeho@gmail.com</t>
  </si>
  <si>
    <t>5551651899-03</t>
  </si>
  <si>
    <t>fmeiller@hotmail.com</t>
  </si>
  <si>
    <t xml:space="preserve">Juan Cruz </t>
  </si>
  <si>
    <t xml:space="preserve">de Valais </t>
  </si>
  <si>
    <t>juancruzdevalais@gmail.com</t>
  </si>
  <si>
    <t>Juncal 2431, 4°C</t>
  </si>
  <si>
    <t>Florencia</t>
  </si>
  <si>
    <t>Meiller</t>
  </si>
  <si>
    <t xml:space="preserve">Plan medico de hospital alemán </t>
  </si>
  <si>
    <t>lilipenafort76@gmail.com</t>
  </si>
  <si>
    <t>Alma</t>
  </si>
  <si>
    <t>Plou Peñafort</t>
  </si>
  <si>
    <t>La maranza</t>
  </si>
  <si>
    <t>El macasito 169</t>
  </si>
  <si>
    <t xml:space="preserve">Liliana </t>
  </si>
  <si>
    <t>Peñafort</t>
  </si>
  <si>
    <t>gabrielbelossi@hotmail.com</t>
  </si>
  <si>
    <t>Benjamin Eugenio</t>
  </si>
  <si>
    <t>Belossi</t>
  </si>
  <si>
    <t>HAEDO</t>
  </si>
  <si>
    <t>Reconquista 22 5toA</t>
  </si>
  <si>
    <t xml:space="preserve">Osmar Gabriel Gaston </t>
  </si>
  <si>
    <t>061387982 0 05</t>
  </si>
  <si>
    <t>sgonzalez3533@gmail.com</t>
  </si>
  <si>
    <t xml:space="preserve">Gonzalez </t>
  </si>
  <si>
    <t xml:space="preserve">Vicente lópez </t>
  </si>
  <si>
    <t>Gramajo gutiérrez 474</t>
  </si>
  <si>
    <t>Nestor Gonzalez</t>
  </si>
  <si>
    <t>Herminia Di Batista</t>
  </si>
  <si>
    <t>nestor2072@gmail.com</t>
  </si>
  <si>
    <t xml:space="preserve">Galeno oro </t>
  </si>
  <si>
    <t>023020740301</t>
  </si>
  <si>
    <t>ilcaterco@gmail.com</t>
  </si>
  <si>
    <t xml:space="preserve">Adriana </t>
  </si>
  <si>
    <t xml:space="preserve">Demaestri </t>
  </si>
  <si>
    <t>Ilcaterco@gamil.com</t>
  </si>
  <si>
    <t xml:space="preserve">Arg </t>
  </si>
  <si>
    <t>Chiclana 464</t>
  </si>
  <si>
    <t>B1643</t>
  </si>
  <si>
    <t>velafest.armful991@simplelogin.com</t>
  </si>
  <si>
    <t>Salgado Calandrelli</t>
  </si>
  <si>
    <t>Diag. Salta 579</t>
  </si>
  <si>
    <t>Sebastián</t>
  </si>
  <si>
    <t>Salgado</t>
  </si>
  <si>
    <t>61 216484 4 02</t>
  </si>
  <si>
    <t>marcelojbadorrey@gmail.com</t>
  </si>
  <si>
    <t xml:space="preserve">Badorrey </t>
  </si>
  <si>
    <t>Calle 63 N° 605 P 12 Dto D</t>
  </si>
  <si>
    <t>Badorrey</t>
  </si>
  <si>
    <t>OSPe Plan A604</t>
  </si>
  <si>
    <t>23141877259/01</t>
  </si>
  <si>
    <t>silvestre@indictum.com.ar</t>
  </si>
  <si>
    <t>Silvestre</t>
  </si>
  <si>
    <t>BERMUDEZ FIORITI</t>
  </si>
  <si>
    <t>ARG 4070</t>
  </si>
  <si>
    <t>ACASSUSO</t>
  </si>
  <si>
    <t>Camino de la Ribera Norte 398</t>
  </si>
  <si>
    <t>MEDIFE</t>
  </si>
  <si>
    <t>1-06579498-03/000</t>
  </si>
  <si>
    <t>toribio@indictum.com.ar</t>
  </si>
  <si>
    <t>Toribio</t>
  </si>
  <si>
    <t>1-06579498-02/000</t>
  </si>
  <si>
    <t>Blanco Encalada 967</t>
  </si>
  <si>
    <t xml:space="preserve">Milagros </t>
  </si>
  <si>
    <t>marianogibert3@gmail.com</t>
  </si>
  <si>
    <t>Fermin</t>
  </si>
  <si>
    <t>Gibert</t>
  </si>
  <si>
    <t>Cantilo 3215</t>
  </si>
  <si>
    <t>juansilvarobinson@gmail.com</t>
  </si>
  <si>
    <t xml:space="preserve">Silva Robinson </t>
  </si>
  <si>
    <t>isa09arg@gmail.com</t>
  </si>
  <si>
    <t>cantilo 3215</t>
  </si>
  <si>
    <t>Miranda</t>
  </si>
  <si>
    <t>Juramento 1300</t>
  </si>
  <si>
    <t>Teresa</t>
  </si>
  <si>
    <t>11 2170-0524</t>
  </si>
  <si>
    <t>Camila</t>
  </si>
  <si>
    <t>15-6766-6994</t>
  </si>
  <si>
    <t>15-6287-3815</t>
  </si>
  <si>
    <t>tifamilia@gmail.com</t>
  </si>
  <si>
    <t>MARCOS</t>
  </si>
  <si>
    <t xml:space="preserve">TEJADA IBAÑEZ </t>
  </si>
  <si>
    <t>63 n2289</t>
  </si>
  <si>
    <t xml:space="preserve">Mercedes de Cano Funes </t>
  </si>
  <si>
    <t xml:space="preserve">Javier Tejada Ibañez </t>
  </si>
  <si>
    <t>juanpablocvr@gmail.com</t>
  </si>
  <si>
    <t xml:space="preserve">Estefanía </t>
  </si>
  <si>
    <t>Guerra Weder</t>
  </si>
  <si>
    <t>Urquiza 1014</t>
  </si>
  <si>
    <t xml:space="preserve">Guerra </t>
  </si>
  <si>
    <t>AMR</t>
  </si>
  <si>
    <t>luciograham@hotmail.com</t>
  </si>
  <si>
    <t xml:space="preserve">Quinto </t>
  </si>
  <si>
    <t>Graham</t>
  </si>
  <si>
    <t>ARG 3969</t>
  </si>
  <si>
    <t>luciograham@hormail.com</t>
  </si>
  <si>
    <t>Jorge Newbery 881</t>
  </si>
  <si>
    <t>sofig397@gmail.com</t>
  </si>
  <si>
    <t>Av Canitlo 3215</t>
  </si>
  <si>
    <t>Mia</t>
  </si>
  <si>
    <t>Lopez Oriolo</t>
  </si>
  <si>
    <t xml:space="preserve">Virginiaorio@gmail.com </t>
  </si>
  <si>
    <t>Av Cantilo 3215</t>
  </si>
  <si>
    <t>Lopez</t>
  </si>
  <si>
    <t>11 6691-0296</t>
  </si>
  <si>
    <t>juanma_cpl@yahoo.com</t>
  </si>
  <si>
    <t>Alvaro</t>
  </si>
  <si>
    <t>Romero</t>
  </si>
  <si>
    <t>Libertador 6422 Depto 5</t>
  </si>
  <si>
    <t>Roxana</t>
  </si>
  <si>
    <t>Oxilia</t>
  </si>
  <si>
    <t>800006 2098049 04 0018</t>
  </si>
  <si>
    <t>arqgiselaben@gmail.com</t>
  </si>
  <si>
    <t>Vesperini</t>
  </si>
  <si>
    <t>ARG 4246</t>
  </si>
  <si>
    <t>santa fe</t>
  </si>
  <si>
    <t>villa constitucion</t>
  </si>
  <si>
    <t>cordoba 450</t>
  </si>
  <si>
    <t>Sebastian Vesperini</t>
  </si>
  <si>
    <t>Gisela Ben</t>
  </si>
  <si>
    <t>mutual acindar</t>
  </si>
  <si>
    <t>20484/02</t>
  </si>
  <si>
    <t>dmemergencias@gmail.com</t>
  </si>
  <si>
    <t>Valentina</t>
  </si>
  <si>
    <t>Austria 1970</t>
  </si>
  <si>
    <t>Daniel Maffei</t>
  </si>
  <si>
    <t>Karen Nobile</t>
  </si>
  <si>
    <t>federico.volco@gmail.com</t>
  </si>
  <si>
    <t>Volco</t>
  </si>
  <si>
    <t>Olazabal 3286</t>
  </si>
  <si>
    <t>Federcio</t>
  </si>
  <si>
    <t>Federico Volco // 114073 1020</t>
  </si>
  <si>
    <t>Victoria Martinez Nuñez // 11 5754 7288</t>
  </si>
  <si>
    <t>62 939097 4 03</t>
  </si>
  <si>
    <t>2rvidela@gmail.com</t>
  </si>
  <si>
    <t>Yago</t>
  </si>
  <si>
    <t>Videla Tejo</t>
  </si>
  <si>
    <t>Caldas 1370 Dto 3</t>
  </si>
  <si>
    <t xml:space="preserve">Roberto </t>
  </si>
  <si>
    <t>Videla</t>
  </si>
  <si>
    <t>javierignaciopadilla@gmail.com</t>
  </si>
  <si>
    <t>Padilla</t>
  </si>
  <si>
    <t>Casero 1034</t>
  </si>
  <si>
    <t>miaschmitz@gmail.com</t>
  </si>
  <si>
    <t>Lorenzo</t>
  </si>
  <si>
    <t xml:space="preserve">Roccatagliata </t>
  </si>
  <si>
    <t>Junín 1269</t>
  </si>
  <si>
    <t>María</t>
  </si>
  <si>
    <t>Schmitz</t>
  </si>
  <si>
    <t>isabel.busch22@gmail.com</t>
  </si>
  <si>
    <t>Busch</t>
  </si>
  <si>
    <t>Ex de la cruz</t>
  </si>
  <si>
    <t>El cielito 58</t>
  </si>
  <si>
    <t>+54 9 11 6382-9647</t>
  </si>
  <si>
    <t>mpoggio@allaria.com.ar</t>
  </si>
  <si>
    <t>Poggio</t>
  </si>
  <si>
    <t>ARG4191</t>
  </si>
  <si>
    <t>BSAS</t>
  </si>
  <si>
    <t>Acassuso - San Isidro</t>
  </si>
  <si>
    <t>Gral. Paunero 1234</t>
  </si>
  <si>
    <t>POGGIO Maximo</t>
  </si>
  <si>
    <t>LAGOS Susana</t>
  </si>
  <si>
    <t>maximop@hotmail.com</t>
  </si>
  <si>
    <t>011 15 3075 4065</t>
  </si>
  <si>
    <t>011 15 5481 1747</t>
  </si>
  <si>
    <t>60 723328 1 06</t>
  </si>
  <si>
    <t>capozuccaignacio@gmail.com</t>
  </si>
  <si>
    <t>LIS</t>
  </si>
  <si>
    <t>CAPOZUCCA</t>
  </si>
  <si>
    <t>ANIBAL DE ANTON 1060</t>
  </si>
  <si>
    <t>Capozucca Ignacio</t>
  </si>
  <si>
    <t>Etcheverry mMaria Cecilia</t>
  </si>
  <si>
    <t>Icap99@yahoo.com</t>
  </si>
  <si>
    <t>OSECAC</t>
  </si>
  <si>
    <t>CAPOZUCCA IGNACIO</t>
  </si>
  <si>
    <t>ETCHEVERRY MARIA CECILIA</t>
  </si>
  <si>
    <t>veronicasanchez79@gmail.com</t>
  </si>
  <si>
    <t>Aguirre Gari</t>
  </si>
  <si>
    <t>Buenos</t>
  </si>
  <si>
    <t>Jose ingenieros 1572</t>
  </si>
  <si>
    <t xml:space="preserve">Verónica </t>
  </si>
  <si>
    <t xml:space="preserve">Sánchez </t>
  </si>
  <si>
    <t xml:space="preserve">1168563686 Norberto </t>
  </si>
  <si>
    <t>santilatorre08@gmail.com</t>
  </si>
  <si>
    <t xml:space="preserve">Latorre </t>
  </si>
  <si>
    <t>Santilatorre08@gmail.com</t>
  </si>
  <si>
    <t>Williams 1808</t>
  </si>
  <si>
    <t>Mariana</t>
  </si>
  <si>
    <t>Nasrala</t>
  </si>
  <si>
    <t>Mariananasrala69@gmail.com</t>
  </si>
  <si>
    <t>Osde210</t>
  </si>
  <si>
    <t>fJOCHOIAN@YAHOO.COM.AR</t>
  </si>
  <si>
    <t>Jochoian</t>
  </si>
  <si>
    <t xml:space="preserve">MARTINEZ </t>
  </si>
  <si>
    <t>Pedro Goyena 2670</t>
  </si>
  <si>
    <t>61 866415 6 03</t>
  </si>
  <si>
    <t>luferrer@hotmail.com</t>
  </si>
  <si>
    <t>Farber</t>
  </si>
  <si>
    <t>Llavallol 2453</t>
  </si>
  <si>
    <t>Luciana Ferrer</t>
  </si>
  <si>
    <t>Ernesto Farber</t>
  </si>
  <si>
    <t>Plan Medico Hospital Aleman</t>
  </si>
  <si>
    <t>Llavallol2453</t>
  </si>
  <si>
    <t>episcopo.n@gmail.com</t>
  </si>
  <si>
    <t>Episcopo</t>
  </si>
  <si>
    <t>ARG3857</t>
  </si>
  <si>
    <t>Cno. Bancalari 36900</t>
  </si>
  <si>
    <t>rzardini@hotmail.com</t>
  </si>
  <si>
    <t>Zardini</t>
  </si>
  <si>
    <t>Libertador 17344</t>
  </si>
  <si>
    <t>Zardini Rodolfo</t>
  </si>
  <si>
    <t xml:space="preserve">Suárez Carolina </t>
  </si>
  <si>
    <t>francisco_arcuri@mac.com</t>
  </si>
  <si>
    <t>Chiara</t>
  </si>
  <si>
    <t>Arcuri</t>
  </si>
  <si>
    <t>ARG 4226</t>
  </si>
  <si>
    <t>don Bosco 2329</t>
  </si>
  <si>
    <t>Francisco Arcuri</t>
  </si>
  <si>
    <t>Andrea paparatto</t>
  </si>
  <si>
    <t>drturimd@gmail.com</t>
  </si>
  <si>
    <t>medicus</t>
  </si>
  <si>
    <t>santinimarina@gmail.com</t>
  </si>
  <si>
    <t>Eastman</t>
  </si>
  <si>
    <t>Cordoba 2662 3ro C</t>
  </si>
  <si>
    <t xml:space="preserve">Marina </t>
  </si>
  <si>
    <t>Santini</t>
  </si>
  <si>
    <t>800006 0565921 03 0038</t>
  </si>
  <si>
    <t>Av Libertador 17344</t>
  </si>
  <si>
    <t>ARG 3614</t>
  </si>
  <si>
    <t>Don Bosco 2329</t>
  </si>
  <si>
    <t>Francesca</t>
  </si>
  <si>
    <t>pisadrian@hotmail.com</t>
  </si>
  <si>
    <t xml:space="preserve">Adrian </t>
  </si>
  <si>
    <t>Pis</t>
  </si>
  <si>
    <t xml:space="preserve">Temperley </t>
  </si>
  <si>
    <t>Vicente Fidel Lopez 173</t>
  </si>
  <si>
    <t>Comei</t>
  </si>
  <si>
    <t xml:space="preserve">023173-01-3 </t>
  </si>
  <si>
    <t>matymedranop@hotmail.com</t>
  </si>
  <si>
    <t>Medrano pizarro</t>
  </si>
  <si>
    <t>Rondeau 4276</t>
  </si>
  <si>
    <t>manuvillanueva@hotmail.com</t>
  </si>
  <si>
    <t>Catinari</t>
  </si>
  <si>
    <t>int. tirigal 1800</t>
  </si>
  <si>
    <t>Manuela</t>
  </si>
  <si>
    <t>Villanueva</t>
  </si>
  <si>
    <t>pablolopezoriolo@gmail.com</t>
  </si>
  <si>
    <t>PAZ</t>
  </si>
  <si>
    <t>LOPEZ ORIOLO</t>
  </si>
  <si>
    <t>GALVAN 2877</t>
  </si>
  <si>
    <t>Pablo Andres Lopez Oriolo</t>
  </si>
  <si>
    <t>Maria Virginia Orio</t>
  </si>
  <si>
    <t>034150001011</t>
  </si>
  <si>
    <t>doloresgm@gmail.com</t>
  </si>
  <si>
    <t>Pereiro</t>
  </si>
  <si>
    <t>Av Las Heras 1888 7A</t>
  </si>
  <si>
    <t>Dolores Gonzalez Moron</t>
  </si>
  <si>
    <t>mdebagge@hotmail.com</t>
  </si>
  <si>
    <t>Cozar</t>
  </si>
  <si>
    <t>oliviacozar55@gmail.com</t>
  </si>
  <si>
    <t>Luis Piedra Buena 3565</t>
  </si>
  <si>
    <t>Antonella</t>
  </si>
  <si>
    <t>De Bagge</t>
  </si>
  <si>
    <t>antodebagge@gmail.com</t>
  </si>
  <si>
    <t>Franklin 2126</t>
  </si>
  <si>
    <t xml:space="preserve">Mariano </t>
  </si>
  <si>
    <t>julimacgowan@gmail.com</t>
  </si>
  <si>
    <t xml:space="preserve">Juliana </t>
  </si>
  <si>
    <t>Mac Gowan</t>
  </si>
  <si>
    <t>Tucumán 2954</t>
  </si>
  <si>
    <t>franciscozabala@gmail.com</t>
  </si>
  <si>
    <t>Zabala</t>
  </si>
  <si>
    <t>Eduardo Acevedo 308 piso 8A</t>
  </si>
  <si>
    <t>Juliana Cibalerio 11 5640 1702</t>
  </si>
  <si>
    <t xml:space="preserve">Zabala </t>
  </si>
  <si>
    <t>Cibalerio</t>
  </si>
  <si>
    <t>Francisco Zabala 11 6160 7139</t>
  </si>
  <si>
    <t>juansorzana@gmail.com</t>
  </si>
  <si>
    <t>Sorzana</t>
  </si>
  <si>
    <t>Juanisorzana@gmail.com</t>
  </si>
  <si>
    <t>Dique Luján</t>
  </si>
  <si>
    <t>Bv De Todos Los Santos 5601</t>
  </si>
  <si>
    <t xml:space="preserve">Juan </t>
  </si>
  <si>
    <t xml:space="preserve">11-3375-8434 </t>
  </si>
  <si>
    <t>11-6039-0872</t>
  </si>
  <si>
    <t>800006 1161746 06 0001</t>
  </si>
  <si>
    <t>ebranz@hotmail.com</t>
  </si>
  <si>
    <t>Edy</t>
  </si>
  <si>
    <t>Branz</t>
  </si>
  <si>
    <t>Nordelta</t>
  </si>
  <si>
    <t>La nutria 12 castores</t>
  </si>
  <si>
    <t>m.a.cuestas@live.com.ar</t>
  </si>
  <si>
    <t xml:space="preserve">Astor </t>
  </si>
  <si>
    <t>Cuestas</t>
  </si>
  <si>
    <t>m.a.cuestas@ live.com.ar</t>
  </si>
  <si>
    <t>San Nicolás</t>
  </si>
  <si>
    <t>Olleros 31</t>
  </si>
  <si>
    <t>Miguel Angel Cueatas</t>
  </si>
  <si>
    <t>Carina Chaves</t>
  </si>
  <si>
    <t>caranti@gmail.com</t>
  </si>
  <si>
    <t>isabel</t>
  </si>
  <si>
    <t>caranti</t>
  </si>
  <si>
    <t>carantiisabel@gmail.com</t>
  </si>
  <si>
    <t>clara</t>
  </si>
  <si>
    <t>11 3232 0706</t>
  </si>
  <si>
    <t>vjordana@gmail.com</t>
  </si>
  <si>
    <t>Verónica</t>
  </si>
  <si>
    <t>Jordana</t>
  </si>
  <si>
    <t>Buenos Aires (provincia)</t>
  </si>
  <si>
    <t>Acassuso 799</t>
  </si>
  <si>
    <t>+54 9 11 5313-5241</t>
  </si>
  <si>
    <t>andylopezoriolo@gmail.com</t>
  </si>
  <si>
    <t xml:space="preserve">Andres </t>
  </si>
  <si>
    <t>galvan 2877</t>
  </si>
  <si>
    <t>C1431FVB</t>
  </si>
  <si>
    <t xml:space="preserve">Pito </t>
  </si>
  <si>
    <t>Torino</t>
  </si>
  <si>
    <t>vitotorino6@gmail.com</t>
  </si>
  <si>
    <t xml:space="preserve">el rio </t>
  </si>
  <si>
    <t>Gustavo Torino</t>
  </si>
  <si>
    <t>+54 911 6862-1228</t>
  </si>
  <si>
    <t>hechi2000@yahoo.com.ar</t>
  </si>
  <si>
    <t>Dono</t>
  </si>
  <si>
    <t>BS As</t>
  </si>
  <si>
    <t>Vte lopez</t>
  </si>
  <si>
    <t>José María Paz 381</t>
  </si>
  <si>
    <t xml:space="preserve">Dono Nicolás </t>
  </si>
  <si>
    <t>Moya Malena</t>
  </si>
  <si>
    <t>Accord salud</t>
  </si>
  <si>
    <t>00320698026</t>
  </si>
  <si>
    <t>florenciabalbarrey@hotmail.com</t>
  </si>
  <si>
    <t>ROSSI</t>
  </si>
  <si>
    <t>Las Guindas 5977</t>
  </si>
  <si>
    <t>FLORENCIA</t>
  </si>
  <si>
    <t>BALBARREY</t>
  </si>
  <si>
    <t>Jerarquicos Salud</t>
  </si>
  <si>
    <t>88509-03</t>
  </si>
  <si>
    <t>Intendente Neyer 2729</t>
  </si>
  <si>
    <t>Colegio de Escribanos de la provincia</t>
  </si>
  <si>
    <t>00163700416</t>
  </si>
  <si>
    <t>mluzvarela@hotmail.com</t>
  </si>
  <si>
    <t>Martin Segundo</t>
  </si>
  <si>
    <t>Curutchet</t>
  </si>
  <si>
    <t>ciudad Autónoma de Buenos Aires</t>
  </si>
  <si>
    <t>Azcuenaga 1051</t>
  </si>
  <si>
    <t>María Luz / Martin</t>
  </si>
  <si>
    <t>Varela /curutchet</t>
  </si>
  <si>
    <t>155-668-9111</t>
  </si>
  <si>
    <t>OSPJN/William Hope</t>
  </si>
  <si>
    <t>55130/22  y 152769391</t>
  </si>
  <si>
    <t>cariolalla@yahoo.com</t>
  </si>
  <si>
    <t>Tizziano Valentino</t>
  </si>
  <si>
    <t>Bieler</t>
  </si>
  <si>
    <t>Maipu 2289</t>
  </si>
  <si>
    <t>Olalla</t>
  </si>
  <si>
    <t>Plan de Salud Sanatorio Santa Fe</t>
  </si>
  <si>
    <t>felipebrunodemel21@gmail.com</t>
  </si>
  <si>
    <t>felipe</t>
  </si>
  <si>
    <t>bruno</t>
  </si>
  <si>
    <t>felipebrunodemel21@gmaul.com</t>
  </si>
  <si>
    <t>juncal 2067</t>
  </si>
  <si>
    <t>gisela</t>
  </si>
  <si>
    <t>demel</t>
  </si>
  <si>
    <t>GIMADE@HOTMAIL.COM</t>
  </si>
  <si>
    <t>+54 9 11 5599-8816</t>
  </si>
  <si>
    <t>hospital alemán</t>
  </si>
  <si>
    <t>22913677/2</t>
  </si>
  <si>
    <t>franciscomay84@gmail.com</t>
  </si>
  <si>
    <t xml:space="preserve">Fran </t>
  </si>
  <si>
    <t>May</t>
  </si>
  <si>
    <t>San Isidro - BA</t>
  </si>
  <si>
    <t>lynch 849</t>
  </si>
  <si>
    <t>cozarpatricio4@gmail.com</t>
  </si>
  <si>
    <t>Sofi</t>
  </si>
  <si>
    <t>patriciocozar@hotmail.com</t>
  </si>
  <si>
    <t>Piedra Buena 3565, Olivos</t>
  </si>
  <si>
    <t>Patricio</t>
  </si>
  <si>
    <t xml:space="preserve">Cozar </t>
  </si>
  <si>
    <t>Cozarpatricio4@gmail.com</t>
  </si>
  <si>
    <t>juanpablo.fidanza@gmail.com</t>
  </si>
  <si>
    <t>Agustina</t>
  </si>
  <si>
    <t>Fidanza Lagarde</t>
  </si>
  <si>
    <t>berny_lagarde@yahoo.com.ar</t>
  </si>
  <si>
    <t>Teniente General Lonardi 153</t>
  </si>
  <si>
    <t>Juan Pablo</t>
  </si>
  <si>
    <t>Fidanza</t>
  </si>
  <si>
    <t>1569983112 celular madre</t>
  </si>
  <si>
    <t>60 904170 2 03</t>
  </si>
  <si>
    <t>gustavonieva26@gmail.com</t>
  </si>
  <si>
    <t xml:space="preserve">Nieva Quinteros </t>
  </si>
  <si>
    <t>Gustavonieva26@gmail.com</t>
  </si>
  <si>
    <t>José Ingenieros 553</t>
  </si>
  <si>
    <t>800006 1476725 03 1009</t>
  </si>
  <si>
    <t>rosalesliliana@gmail.com</t>
  </si>
  <si>
    <t>Agostina</t>
  </si>
  <si>
    <t>Perrotta Rosales</t>
  </si>
  <si>
    <t>ARG 219922</t>
  </si>
  <si>
    <t>agosperrotta@gmail.com</t>
  </si>
  <si>
    <t>Echeverría 3105 15C</t>
  </si>
  <si>
    <t>Perrotta C.</t>
  </si>
  <si>
    <t>andresperrotta@gmail.com</t>
  </si>
  <si>
    <t>1535592065 / 1539569434</t>
  </si>
  <si>
    <t>1535592065 / 1539569434 (padres)</t>
  </si>
  <si>
    <t>0800-777-7800 / 4344-1500 (Obra Social)</t>
  </si>
  <si>
    <t>Swiss Medical. Plan Nubial</t>
  </si>
  <si>
    <t>800006 3367765 03 0027</t>
  </si>
  <si>
    <t>appu014@gmail.com</t>
  </si>
  <si>
    <t xml:space="preserve">DAFNE </t>
  </si>
  <si>
    <t>ZIBELL</t>
  </si>
  <si>
    <t>CAPITAL FEDERAL</t>
  </si>
  <si>
    <t>PALERMO</t>
  </si>
  <si>
    <t>MAURE 1560</t>
  </si>
  <si>
    <t>MARIELA</t>
  </si>
  <si>
    <t>GARAYO</t>
  </si>
  <si>
    <t>OSDE310</t>
  </si>
  <si>
    <t>tomasmaine4180@gmail.com</t>
  </si>
  <si>
    <t>Donó Moya</t>
  </si>
  <si>
    <t>Tommymaine4180@gemail.com</t>
  </si>
  <si>
    <t xml:space="preserve">Vicente Lopez </t>
  </si>
  <si>
    <t>José Maria paz 381 florida</t>
  </si>
  <si>
    <t xml:space="preserve">Nicolas </t>
  </si>
  <si>
    <t>Carcasson carolina@gmail.com</t>
  </si>
  <si>
    <t>Acord salud</t>
  </si>
  <si>
    <t>00320698 01 8</t>
  </si>
  <si>
    <t>Tomasmaine4180@gemail.com</t>
  </si>
  <si>
    <t xml:space="preserve">Manzanares </t>
  </si>
  <si>
    <t>Avenida villa mayor 1201</t>
  </si>
  <si>
    <t>diegogauna1975@gmail.com</t>
  </si>
  <si>
    <t xml:space="preserve">Julian </t>
  </si>
  <si>
    <t xml:space="preserve">Gauna </t>
  </si>
  <si>
    <t>Laprida 643</t>
  </si>
  <si>
    <t>Gauna</t>
  </si>
  <si>
    <t xml:space="preserve">Osecac </t>
  </si>
  <si>
    <t>sbalbuena@mcca.com.ar</t>
  </si>
  <si>
    <t>Cayetana</t>
  </si>
  <si>
    <t>Balbuenacay@gmail.com</t>
  </si>
  <si>
    <t>Pcia. BS.AS:</t>
  </si>
  <si>
    <t>Lopez y planes</t>
  </si>
  <si>
    <t>Sebastián/Sofía</t>
  </si>
  <si>
    <t xml:space="preserve">+54 9 11 5463 8567 </t>
  </si>
  <si>
    <t xml:space="preserve">+54 9 11 4069 2753 </t>
  </si>
  <si>
    <t>+ 54 9 11 5463 8567</t>
  </si>
  <si>
    <t>Díaz</t>
  </si>
  <si>
    <t xml:space="preserve">Melincué 4737 </t>
  </si>
  <si>
    <t>+54 9 11 3624 1849</t>
  </si>
  <si>
    <t>unión personal</t>
  </si>
  <si>
    <t>tobiaslp3880@gmail.com</t>
  </si>
  <si>
    <t xml:space="preserve">Tobias </t>
  </si>
  <si>
    <t>Pozzo</t>
  </si>
  <si>
    <t xml:space="preserve">argentina </t>
  </si>
  <si>
    <t>ibera 2853</t>
  </si>
  <si>
    <t>mlpozzo14@gmail.com</t>
  </si>
  <si>
    <t>62 181746 4 02</t>
  </si>
  <si>
    <t>Sofía</t>
  </si>
  <si>
    <t>Orella</t>
  </si>
  <si>
    <t>carogalu@gmail.com</t>
  </si>
  <si>
    <t>Soares Netto</t>
  </si>
  <si>
    <t xml:space="preserve">SoaresNettoGuille@gmail.com </t>
  </si>
  <si>
    <t>CUBA 2133</t>
  </si>
  <si>
    <t xml:space="preserve">Caro Gallucci 1130315602 </t>
  </si>
  <si>
    <t>SWISS MEDICAL</t>
  </si>
  <si>
    <t>800006 0935129 01 0001</t>
  </si>
  <si>
    <t>anaconstantin125@gmail.com</t>
  </si>
  <si>
    <t>ana</t>
  </si>
  <si>
    <t>constantin</t>
  </si>
  <si>
    <t xml:space="preserve">caba </t>
  </si>
  <si>
    <t>libertador 5062</t>
  </si>
  <si>
    <t xml:space="preserve">anello </t>
  </si>
  <si>
    <t>canello7787@gmail.com</t>
  </si>
  <si>
    <t xml:space="preserve">medicus </t>
  </si>
  <si>
    <t>sol</t>
  </si>
  <si>
    <t xml:space="preserve">pilipis </t>
  </si>
  <si>
    <t>gnral enrique martinez 2150</t>
  </si>
  <si>
    <t>MVZEANO@GMAIL.COM</t>
  </si>
  <si>
    <t xml:space="preserve">ANGELA </t>
  </si>
  <si>
    <t>DÓMINE ZEANO</t>
  </si>
  <si>
    <t>SANTA FE</t>
  </si>
  <si>
    <t>FREYRE 599</t>
  </si>
  <si>
    <t>MARIA VIRGINIA</t>
  </si>
  <si>
    <t>ZEANO</t>
  </si>
  <si>
    <t>carinavtizi@gmail.com</t>
  </si>
  <si>
    <t>HELENA</t>
  </si>
  <si>
    <t>LEZANA</t>
  </si>
  <si>
    <t>CARINAVERONICATIZI@GMAIL.COM</t>
  </si>
  <si>
    <t xml:space="preserve">ITUZAINGO 351-4 A </t>
  </si>
  <si>
    <t xml:space="preserve">CARINA </t>
  </si>
  <si>
    <t>TIZI</t>
  </si>
  <si>
    <t>3487-291980</t>
  </si>
  <si>
    <t>uriartemuniz427@est.derecho.uba.ar</t>
  </si>
  <si>
    <t>MIA MILAGROS</t>
  </si>
  <si>
    <t>HUANAY MEZA</t>
  </si>
  <si>
    <t>ARG 4109</t>
  </si>
  <si>
    <t>TIRSO DE MOLINA 2617</t>
  </si>
  <si>
    <t>Rufino</t>
  </si>
  <si>
    <t>Huanay</t>
  </si>
  <si>
    <t>-</t>
  </si>
  <si>
    <t>OSDEPYM</t>
  </si>
  <si>
    <t>lucreciadelcampo@gmail.com</t>
  </si>
  <si>
    <t xml:space="preserve">Fermín </t>
  </si>
  <si>
    <t xml:space="preserve">Vázquez del Campo </t>
  </si>
  <si>
    <t>Bolívar 523</t>
  </si>
  <si>
    <t xml:space="preserve">Lucrecia del Campo </t>
  </si>
  <si>
    <t>CEMIC</t>
  </si>
  <si>
    <t>06060</t>
  </si>
  <si>
    <t>drvamosadormir@gmail.com</t>
  </si>
  <si>
    <t>martin</t>
  </si>
  <si>
    <t>gruenberg</t>
  </si>
  <si>
    <t>godoy cruz 3261 1</t>
  </si>
  <si>
    <t>800006 0268721011106</t>
  </si>
  <si>
    <t>pereyrairaolafelixd@gmail.com</t>
  </si>
  <si>
    <t xml:space="preserve">Felix </t>
  </si>
  <si>
    <t xml:space="preserve">Pereyra Iraola </t>
  </si>
  <si>
    <t>Cerviño 3421</t>
  </si>
  <si>
    <t>magnoletti@consejo.org.ar</t>
  </si>
  <si>
    <t>agnoletti</t>
  </si>
  <si>
    <t>Av highland 725</t>
  </si>
  <si>
    <t>na</t>
  </si>
  <si>
    <t>01157667796</t>
  </si>
  <si>
    <t>607992629-01</t>
  </si>
  <si>
    <t>rftommasi@gmail.com</t>
  </si>
  <si>
    <t xml:space="preserve">TOMMASI </t>
  </si>
  <si>
    <t xml:space="preserve">SAN ISIDRO PBA </t>
  </si>
  <si>
    <t>RODRIGUEZ PENA 1190 13 A CABA</t>
  </si>
  <si>
    <t xml:space="preserve">REYNALDO FELIX TOMMASI </t>
  </si>
  <si>
    <t xml:space="preserve">PODER JUDICIAL DE LA NACION </t>
  </si>
  <si>
    <t>cfinsterbusch@gmail.com</t>
  </si>
  <si>
    <t>Cristian</t>
  </si>
  <si>
    <t>Finsterbusch</t>
  </si>
  <si>
    <t>Cfinsterbusch@gmail.com</t>
  </si>
  <si>
    <t>Chile 263</t>
  </si>
  <si>
    <t>+54 9 11 3210 3308</t>
  </si>
  <si>
    <t>roysly@gmail.com</t>
  </si>
  <si>
    <t>Ian</t>
  </si>
  <si>
    <t>Sly</t>
  </si>
  <si>
    <t>9/6/0012</t>
  </si>
  <si>
    <t>Albarellos 1543</t>
  </si>
  <si>
    <t>Roy Sly</t>
  </si>
  <si>
    <t>Leyla Salim Sad</t>
  </si>
  <si>
    <t>Roysly@gmail.com</t>
  </si>
  <si>
    <t>Unión Personal</t>
  </si>
  <si>
    <t>02514231 02 8</t>
  </si>
  <si>
    <t>anaylari@hotmail.com</t>
  </si>
  <si>
    <t>Aimé</t>
  </si>
  <si>
    <t xml:space="preserve">Barceló </t>
  </si>
  <si>
    <t>Litoral 946</t>
  </si>
  <si>
    <t>Analia Blas</t>
  </si>
  <si>
    <t xml:space="preserve">Eduardo Enrique Barceló </t>
  </si>
  <si>
    <t>COMEI</t>
  </si>
  <si>
    <t>060994-02-6</t>
  </si>
  <si>
    <t>bianchiclaudiam@gmail.com</t>
  </si>
  <si>
    <t>francesca</t>
  </si>
  <si>
    <t>montauvan</t>
  </si>
  <si>
    <t>arg7</t>
  </si>
  <si>
    <t>claudia.bianchi@hudsoncocina.com</t>
  </si>
  <si>
    <t>argetina</t>
  </si>
  <si>
    <t>magallanes 969</t>
  </si>
  <si>
    <t>Eduardo</t>
  </si>
  <si>
    <t xml:space="preserve"> Montauvan</t>
  </si>
  <si>
    <t>116365 8885</t>
  </si>
  <si>
    <t>1106365 8885</t>
  </si>
  <si>
    <t>luegstiftung@yahoo.com.ar</t>
  </si>
  <si>
    <t>Franz</t>
  </si>
  <si>
    <t>Lueg</t>
  </si>
  <si>
    <t>Madame curie 554</t>
  </si>
  <si>
    <t>Maria marta Real</t>
  </si>
  <si>
    <t>Rodrigo Lueg</t>
  </si>
  <si>
    <t>ignacio.varisco@gmail.com</t>
  </si>
  <si>
    <t>Bruno</t>
  </si>
  <si>
    <t xml:space="preserve"> ARG 3513</t>
  </si>
  <si>
    <t>CPNLB- CBRIO</t>
  </si>
  <si>
    <t>Camino de La Ribera Norte 62</t>
  </si>
  <si>
    <t>Ignacio Varisco</t>
  </si>
  <si>
    <t>N/t</t>
  </si>
  <si>
    <t>martina</t>
  </si>
  <si>
    <t xml:space="preserve">eduardo </t>
  </si>
  <si>
    <t>1163 65 8885</t>
  </si>
  <si>
    <t>luis.a.cerrato@gmail.com</t>
  </si>
  <si>
    <t>Cerrato</t>
  </si>
  <si>
    <t>Ayacucho 2184</t>
  </si>
  <si>
    <t>Samuel</t>
  </si>
  <si>
    <t>Cordoba</t>
  </si>
  <si>
    <t>Río Bamba 1576</t>
  </si>
  <si>
    <t>+54 9 11 33943846</t>
  </si>
  <si>
    <t xml:space="preserve"> </t>
  </si>
  <si>
    <t>matiasocarizagenda@gmail.com</t>
  </si>
  <si>
    <t>JUAN CRUZ</t>
  </si>
  <si>
    <t>OCARIZ</t>
  </si>
  <si>
    <t>matiasocariz@gmail.com</t>
  </si>
  <si>
    <t>Paraguay 610 Piso 3</t>
  </si>
  <si>
    <t>Ocariz</t>
  </si>
  <si>
    <t>Poder Judicial de la Nación</t>
  </si>
  <si>
    <t>63369/22</t>
  </si>
  <si>
    <t>Romeo</t>
  </si>
  <si>
    <t>Nieva Orellana</t>
  </si>
  <si>
    <t>2/17/0004</t>
  </si>
  <si>
    <t>Coronel Obarrio 1194</t>
  </si>
  <si>
    <t>maximo.moreno@gmail.com</t>
  </si>
  <si>
    <t>Moreno Panzino</t>
  </si>
  <si>
    <t>ARG1321</t>
  </si>
  <si>
    <t>Tiscornia 1037</t>
  </si>
  <si>
    <t>Maximo</t>
  </si>
  <si>
    <t>rosreneandres@gmail.com</t>
  </si>
  <si>
    <t>Ros</t>
  </si>
  <si>
    <t>Puertos del Lago - Riberas - 38</t>
  </si>
  <si>
    <t>René</t>
  </si>
  <si>
    <t>+5491158838945</t>
  </si>
  <si>
    <t>+5491137642839</t>
  </si>
  <si>
    <t>800006 1122419 03 0069</t>
  </si>
  <si>
    <t>conradojavierbruno@gmail.com</t>
  </si>
  <si>
    <t>Bruno Quiroz</t>
  </si>
  <si>
    <t>bqoptimist@gmail.com</t>
  </si>
  <si>
    <t>Del Valle Iberlucea Sur 450</t>
  </si>
  <si>
    <t>Conrado Bruno</t>
  </si>
  <si>
    <t>Maria Carolina Quiroz</t>
  </si>
  <si>
    <t>Mateo</t>
  </si>
  <si>
    <t>+54 9 11 40960504</t>
  </si>
  <si>
    <t>Brandon</t>
  </si>
  <si>
    <t>Herrera Barrera</t>
  </si>
  <si>
    <t>Rolon 1506</t>
  </si>
  <si>
    <t>colo.ngk826@gmail.com</t>
  </si>
  <si>
    <t xml:space="preserve">Godoy </t>
  </si>
  <si>
    <t>Paraná</t>
  </si>
  <si>
    <t>Feliciano 814</t>
  </si>
  <si>
    <t xml:space="preserve">Mariano Godoy </t>
  </si>
  <si>
    <t xml:space="preserve">Sol coronel </t>
  </si>
  <si>
    <t>Oser</t>
  </si>
  <si>
    <t>Joscelyn</t>
  </si>
  <si>
    <t>Barrera</t>
  </si>
  <si>
    <t>USA 22942</t>
  </si>
  <si>
    <t>+54 9 11 3394-3846</t>
  </si>
  <si>
    <t>N//t</t>
  </si>
  <si>
    <t>Benicio</t>
  </si>
  <si>
    <t>Bruno Quiróz</t>
  </si>
  <si>
    <t>DEL VALLE IBERLUCEA SUR 450</t>
  </si>
  <si>
    <t>Conrado</t>
  </si>
  <si>
    <t>matutarigo@yahoo.com</t>
  </si>
  <si>
    <t>Tarigo</t>
  </si>
  <si>
    <t>acassuso 749</t>
  </si>
  <si>
    <t xml:space="preserve">Barbara </t>
  </si>
  <si>
    <t>Aimo</t>
  </si>
  <si>
    <t>aimobarby@yahoo.com.ar</t>
  </si>
  <si>
    <t xml:space="preserve">colegio de escribanos de provincia </t>
  </si>
  <si>
    <t>00149610302</t>
  </si>
  <si>
    <t>ani1407@yahoo.com.ar</t>
  </si>
  <si>
    <t>Indiana</t>
  </si>
  <si>
    <t>Garro</t>
  </si>
  <si>
    <t>Colon 301</t>
  </si>
  <si>
    <t>Ana Ines Sanchez</t>
  </si>
  <si>
    <t>franciscobradley@gmail.com</t>
  </si>
  <si>
    <t>rufina</t>
  </si>
  <si>
    <t>Bradley</t>
  </si>
  <si>
    <t>beccar</t>
  </si>
  <si>
    <t>españa 1222</t>
  </si>
  <si>
    <t xml:space="preserve">francisco </t>
  </si>
  <si>
    <t>chipi275@hotmail.com</t>
  </si>
  <si>
    <t>juan martin</t>
  </si>
  <si>
    <t>aguilar</t>
  </si>
  <si>
    <t>parana</t>
  </si>
  <si>
    <t>ayacucho 4015</t>
  </si>
  <si>
    <t>elizabeth</t>
  </si>
  <si>
    <t>cuadra</t>
  </si>
  <si>
    <t>sb02</t>
  </si>
  <si>
    <t>roldanmatu@gmail.com</t>
  </si>
  <si>
    <t>Cav</t>
  </si>
  <si>
    <t>pBA</t>
  </si>
  <si>
    <t>SI</t>
  </si>
  <si>
    <t>ibanes</t>
  </si>
  <si>
    <t>no</t>
  </si>
  <si>
    <t>Pelado</t>
  </si>
  <si>
    <t>martinianogalli@gmail.com</t>
  </si>
  <si>
    <t>Galli</t>
  </si>
  <si>
    <t>valengallikluge2009@gmail.com</t>
  </si>
  <si>
    <t>Colegiales</t>
  </si>
  <si>
    <t>Delgado 1380</t>
  </si>
  <si>
    <t>Martiniano</t>
  </si>
  <si>
    <t>Soledad</t>
  </si>
  <si>
    <t>icarolinaalassia@gmail.com</t>
  </si>
  <si>
    <t>Chloé</t>
  </si>
  <si>
    <t>Cella</t>
  </si>
  <si>
    <t>WSS/Puerto del Aguila</t>
  </si>
  <si>
    <t xml:space="preserve">Villa Ciudad Parque </t>
  </si>
  <si>
    <t xml:space="preserve">Ruta provincial 5 km 66 </t>
  </si>
  <si>
    <t xml:space="preserve">Cella Adrián </t>
  </si>
  <si>
    <t xml:space="preserve">Carolina Alassia </t>
  </si>
  <si>
    <t>8000062206197041007</t>
  </si>
  <si>
    <t xml:space="preserve"> WSS/ Puerto del Aguila </t>
  </si>
  <si>
    <t xml:space="preserve">Villa ciudad parque </t>
  </si>
  <si>
    <t xml:space="preserve">Adrian cella </t>
  </si>
  <si>
    <t>Vito</t>
  </si>
  <si>
    <t xml:space="preserve">Cella </t>
  </si>
  <si>
    <t xml:space="preserve">WSS/ Puerto del Aguila </t>
  </si>
  <si>
    <t>8000062206197031008</t>
  </si>
  <si>
    <t>correodelpecy@gmail.com</t>
  </si>
  <si>
    <t>Peciña</t>
  </si>
  <si>
    <t>Independencia 1002</t>
  </si>
  <si>
    <t>2272357439/06</t>
  </si>
  <si>
    <t>ancdres@hotmail.com</t>
  </si>
  <si>
    <t>Vera</t>
  </si>
  <si>
    <t>Cano Ricciardi</t>
  </si>
  <si>
    <t>Ancdres@hotmail.com</t>
  </si>
  <si>
    <t xml:space="preserve">Villa Martelli </t>
  </si>
  <si>
    <t>Las Heras 3524</t>
  </si>
  <si>
    <t>Andrés</t>
  </si>
  <si>
    <t>Cano</t>
  </si>
  <si>
    <t>estudiojuridicolozano@hotmail.com</t>
  </si>
  <si>
    <t>Ensenada</t>
  </si>
  <si>
    <t>13 44 y 48</t>
  </si>
  <si>
    <t xml:space="preserve">Rafael </t>
  </si>
  <si>
    <t>caiguas@gmail.com</t>
  </si>
  <si>
    <t>9 de julio 500</t>
  </si>
  <si>
    <t>Mario Sebastián</t>
  </si>
  <si>
    <t>11 5151 3138</t>
  </si>
  <si>
    <t>0000001212121212</t>
  </si>
  <si>
    <t>Dmemergencias@gmail.com</t>
  </si>
  <si>
    <t>IGNACIO</t>
  </si>
  <si>
    <t>pauladargenio@gmail.com</t>
  </si>
  <si>
    <t xml:space="preserve">Saraví </t>
  </si>
  <si>
    <t>2020.santi.s@gmail.com</t>
  </si>
  <si>
    <t>Calle 116 N249 entre 529 y 530</t>
  </si>
  <si>
    <t xml:space="preserve">Paula </t>
  </si>
  <si>
    <t>D'Argenio</t>
  </si>
  <si>
    <t>K251906043/02</t>
  </si>
  <si>
    <t>verocriston@gmail.com</t>
  </si>
  <si>
    <t>Mora</t>
  </si>
  <si>
    <t>Berard</t>
  </si>
  <si>
    <t xml:space="preserve">Verocriston@gmail.com </t>
  </si>
  <si>
    <t>Vito Dumas 1</t>
  </si>
  <si>
    <t>Veronica Criston</t>
  </si>
  <si>
    <t>Carlos Berard</t>
  </si>
  <si>
    <t xml:space="preserve">Union personal </t>
  </si>
  <si>
    <t>gealdaya@gmail.com</t>
  </si>
  <si>
    <t>Aldaya</t>
  </si>
  <si>
    <t>Parque Leloir</t>
  </si>
  <si>
    <t>De los Baqueanos 960</t>
  </si>
  <si>
    <t>gealdaya@gmail.com.</t>
  </si>
  <si>
    <t>800006 3173212 03 0044</t>
  </si>
  <si>
    <t>guslg1@gmail.com</t>
  </si>
  <si>
    <t xml:space="preserve">Gaibrois </t>
  </si>
  <si>
    <t>French 2380</t>
  </si>
  <si>
    <t xml:space="preserve">Gustavo Gaibrois </t>
  </si>
  <si>
    <t>Isabel Masllorens</t>
  </si>
  <si>
    <t>34837/21</t>
  </si>
  <si>
    <t>milagrossellares@yahoo.com.ar</t>
  </si>
  <si>
    <t>Candelaria</t>
  </si>
  <si>
    <t>Micel</t>
  </si>
  <si>
    <t>Milagrossellares@yahoo.com.ar</t>
  </si>
  <si>
    <t>General Arias 2769</t>
  </si>
  <si>
    <t>Sellarés</t>
  </si>
  <si>
    <t>valentincatani@gmail.com</t>
  </si>
  <si>
    <t>Ferreyra</t>
  </si>
  <si>
    <t>Zárate</t>
  </si>
  <si>
    <t>Moreno 635</t>
  </si>
  <si>
    <t xml:space="preserve">Lisandro </t>
  </si>
  <si>
    <t>ramirogori1@gmail.com</t>
  </si>
  <si>
    <t xml:space="preserve">Lorenzo </t>
  </si>
  <si>
    <t xml:space="preserve">Gori </t>
  </si>
  <si>
    <t>Santa</t>
  </si>
  <si>
    <t>Villa Constitución</t>
  </si>
  <si>
    <t>Salta 430</t>
  </si>
  <si>
    <t xml:space="preserve">Gori Ramiro </t>
  </si>
  <si>
    <t xml:space="preserve">Abrigo Celia </t>
  </si>
  <si>
    <t>caetanotoursrl@hotmail.com</t>
  </si>
  <si>
    <t xml:space="preserve">Acindar </t>
  </si>
  <si>
    <t>lorna.jovanovich@gmail.com</t>
  </si>
  <si>
    <t>Lorna</t>
  </si>
  <si>
    <t>Jovanovich</t>
  </si>
  <si>
    <t>Berazategui</t>
  </si>
  <si>
    <t>JM Gutiérrez calle 63</t>
  </si>
  <si>
    <t>Lorena Minoretti</t>
  </si>
  <si>
    <t>Juan Martín Jovanovich</t>
  </si>
  <si>
    <t>lorenaminoretti@yahoo.ca</t>
  </si>
  <si>
    <t>Stocik</t>
  </si>
  <si>
    <t>mar.stocik@gmail.com</t>
  </si>
  <si>
    <t>Comandante Franco 390</t>
  </si>
  <si>
    <t xml:space="preserve">Coppola </t>
  </si>
  <si>
    <t>adrianacoppola@gmail.com</t>
  </si>
  <si>
    <t>+5491166223070</t>
  </si>
  <si>
    <t>+5491168822194</t>
  </si>
  <si>
    <t>alejochoian@gmail.com</t>
  </si>
  <si>
    <t>Castañer</t>
  </si>
  <si>
    <t>mateocasta3953@gmail.com</t>
  </si>
  <si>
    <t>Oldaman 704</t>
  </si>
  <si>
    <t>Alejandro Jochoian</t>
  </si>
  <si>
    <t>Pilar Igarreta</t>
  </si>
  <si>
    <t>igarretapilar@gmail.com</t>
  </si>
  <si>
    <t>Alejandro Jochoian 1168046314</t>
  </si>
  <si>
    <t>Pilar 1150525990</t>
  </si>
  <si>
    <t>SAMI</t>
  </si>
  <si>
    <t>171271/02</t>
  </si>
  <si>
    <t>Matias</t>
  </si>
  <si>
    <t>Oldman 704</t>
  </si>
  <si>
    <t>Alejandro 1168046314</t>
  </si>
  <si>
    <t>8000061484022041002</t>
  </si>
  <si>
    <t>ejpittaluga@gmail.com</t>
  </si>
  <si>
    <t>Pittaluga</t>
  </si>
  <si>
    <t>ARG-3970</t>
  </si>
  <si>
    <t>CABA/Buenos Aires</t>
  </si>
  <si>
    <t>REPUBLICA ARABE SIRIA 2737</t>
  </si>
  <si>
    <t>Enrique</t>
  </si>
  <si>
    <t>Enrique Pittaluga</t>
  </si>
  <si>
    <t>Eliana Enrique 1168054686</t>
  </si>
  <si>
    <t>javiercalliari@gmail.com</t>
  </si>
  <si>
    <t>Lucía</t>
  </si>
  <si>
    <t>Calliari</t>
  </si>
  <si>
    <t>Sam Fernando</t>
  </si>
  <si>
    <t>sebasleo2001@gmail.com</t>
  </si>
  <si>
    <t>LEONARDO</t>
  </si>
  <si>
    <t>ARG 2576</t>
  </si>
  <si>
    <t>CVR - CRSN</t>
  </si>
  <si>
    <t>nicolasleonardo009@gmail.com</t>
  </si>
  <si>
    <t>San Nicolas de los Arroyos</t>
  </si>
  <si>
    <t>Italia 260</t>
  </si>
  <si>
    <t xml:space="preserve">Senastian </t>
  </si>
  <si>
    <t>Leonardo</t>
  </si>
  <si>
    <t>+5493364570356</t>
  </si>
  <si>
    <t>+5493364014335</t>
  </si>
  <si>
    <t>Apsot</t>
  </si>
  <si>
    <t>00145650311</t>
  </si>
  <si>
    <t>HORMAIZTEGUI</t>
  </si>
  <si>
    <t>YCE - Yacht Club Entrerriano</t>
  </si>
  <si>
    <t>Concepcion del Uruguay</t>
  </si>
  <si>
    <t>No lo se</t>
  </si>
  <si>
    <t>E3260</t>
  </si>
  <si>
    <t>Hormaiztegui</t>
  </si>
  <si>
    <t>+5493442643084</t>
  </si>
  <si>
    <t>+5493424403334</t>
  </si>
  <si>
    <t>Ospe</t>
  </si>
  <si>
    <t>Av. Federico Lacroze 1752</t>
  </si>
  <si>
    <t>lozanoedgardo@gmail.com</t>
  </si>
  <si>
    <t>manuel</t>
  </si>
  <si>
    <t>lozano</t>
  </si>
  <si>
    <t>manulozabera@gmail.com</t>
  </si>
  <si>
    <t>bs as</t>
  </si>
  <si>
    <t>s isisdro</t>
  </si>
  <si>
    <t>3 stos 2332</t>
  </si>
  <si>
    <t>edgardo</t>
  </si>
  <si>
    <t>nicolascozar4106@gmail.com</t>
  </si>
  <si>
    <t>Nicolas</t>
  </si>
  <si>
    <t>cozar</t>
  </si>
  <si>
    <t>007</t>
  </si>
  <si>
    <t>YCA/RODEPAU S.R.L</t>
  </si>
  <si>
    <t xml:space="preserve">olivos </t>
  </si>
  <si>
    <t>ugarte 1874</t>
  </si>
  <si>
    <t>olivos</t>
  </si>
  <si>
    <t>lautarolipani@gmail.com</t>
  </si>
  <si>
    <t>Battista</t>
  </si>
  <si>
    <t>Lipani</t>
  </si>
  <si>
    <t>Nuestras Malvinas 730</t>
  </si>
  <si>
    <t>800006 1824275 03 0014</t>
  </si>
  <si>
    <t>santinopilipis@gmail.com</t>
  </si>
  <si>
    <t>manteca</t>
  </si>
  <si>
    <t>general enrique martinez 2150</t>
  </si>
  <si>
    <t>ospjn</t>
  </si>
  <si>
    <t>36978/22</t>
  </si>
  <si>
    <t>alonso</t>
  </si>
  <si>
    <t>pilipis</t>
  </si>
  <si>
    <t>osde 310</t>
  </si>
  <si>
    <t>bian.dimartino@gmail.com</t>
  </si>
  <si>
    <t>Bianca</t>
  </si>
  <si>
    <t>Di Martino</t>
  </si>
  <si>
    <t>pilar</t>
  </si>
  <si>
    <t>barrio privado el molino, chile 990</t>
  </si>
  <si>
    <t>romina</t>
  </si>
  <si>
    <t>bolis</t>
  </si>
  <si>
    <t>romix.b@gmail.com</t>
  </si>
  <si>
    <t>+54 9 11 7014-0244</t>
  </si>
  <si>
    <t>ayleen</t>
  </si>
  <si>
    <t>lemos</t>
  </si>
  <si>
    <t>ayleen.lemos.viviant@gmail.com</t>
  </si>
  <si>
    <t>montañeses 1964</t>
  </si>
  <si>
    <t>jorge</t>
  </si>
  <si>
    <t>+54 9 11 4176-5020</t>
  </si>
  <si>
    <t>swiss</t>
  </si>
  <si>
    <t>80000670688363030072</t>
  </si>
  <si>
    <t>miguelchavarria673@yahoo.com</t>
  </si>
  <si>
    <t>VALENTIN</t>
  </si>
  <si>
    <t>CHAVARRIA</t>
  </si>
  <si>
    <t>Esposo curie 1878</t>
  </si>
  <si>
    <t>Chavarria</t>
  </si>
  <si>
    <t>000125170401</t>
  </si>
  <si>
    <t>camiladelcarril55@gmail.com</t>
  </si>
  <si>
    <t>camila</t>
  </si>
  <si>
    <t>del carril</t>
  </si>
  <si>
    <t>talcahuano 1525</t>
  </si>
  <si>
    <t>Amalia</t>
  </si>
  <si>
    <t>Girola</t>
  </si>
  <si>
    <t>amaliagirola@gmail.com</t>
  </si>
  <si>
    <t xml:space="preserve">hospital alemán </t>
  </si>
  <si>
    <t>bernarditafa@gmail.com</t>
  </si>
  <si>
    <t xml:space="preserve">Amancio </t>
  </si>
  <si>
    <t>Toso</t>
  </si>
  <si>
    <t>Bernarditafa@gmail.com</t>
  </si>
  <si>
    <t>Los sauces 1044</t>
  </si>
  <si>
    <t>Bernardita Fernández alonso</t>
  </si>
  <si>
    <t xml:space="preserve">Tomás Enrique toso </t>
  </si>
  <si>
    <t>Amancio</t>
  </si>
  <si>
    <t>bernardita fernandez alonso</t>
  </si>
  <si>
    <t>tomas enrique toso</t>
  </si>
  <si>
    <t>florencia.hermida@gmail.com</t>
  </si>
  <si>
    <t>Benicio Isidro</t>
  </si>
  <si>
    <t>Cuevas Hermida</t>
  </si>
  <si>
    <t>Beruti 2765</t>
  </si>
  <si>
    <t>Hermida</t>
  </si>
  <si>
    <t>ncassese@gmail.com</t>
  </si>
  <si>
    <t>Cassese</t>
  </si>
  <si>
    <t>Ruben Dario 2532</t>
  </si>
  <si>
    <t>t.gonzlez@icloud.com</t>
  </si>
  <si>
    <t xml:space="preserve">González </t>
  </si>
  <si>
    <t>Córdoba 2750</t>
  </si>
  <si>
    <t xml:space="preserve">Tomás González </t>
  </si>
  <si>
    <t xml:space="preserve">Romina Pavlicic </t>
  </si>
  <si>
    <t xml:space="preserve">Esencial </t>
  </si>
  <si>
    <t>Edgardo</t>
  </si>
  <si>
    <t>1/9/1069</t>
  </si>
  <si>
    <t>sisidro</t>
  </si>
  <si>
    <t>tiagofedetf08@gmail.com</t>
  </si>
  <si>
    <t>Tiago</t>
  </si>
  <si>
    <t>Troilo</t>
  </si>
  <si>
    <t>Marcos sastre 2264</t>
  </si>
  <si>
    <t xml:space="preserve">Matias </t>
  </si>
  <si>
    <t>Barrio las barrancas</t>
  </si>
  <si>
    <t>jblousson@gmail.com</t>
  </si>
  <si>
    <t>Blousson</t>
  </si>
  <si>
    <t>Juncal 970</t>
  </si>
  <si>
    <t>Maria de los Angeles</t>
  </si>
  <si>
    <t>Garcia Varona</t>
  </si>
  <si>
    <t>angiegarciavarona@gmail.com</t>
  </si>
  <si>
    <t>fblousson@gmail.com</t>
  </si>
  <si>
    <t>ppineyro@distritec.com.ar</t>
  </si>
  <si>
    <t>PIÑEYRO</t>
  </si>
  <si>
    <t>PPINEYRO@DISTRITEC.COM.AR</t>
  </si>
  <si>
    <t>C.A.B.A.</t>
  </si>
  <si>
    <t>RIO SALADO 3435</t>
  </si>
  <si>
    <t xml:space="preserve">PABLO </t>
  </si>
  <si>
    <t>8000060262178030065</t>
  </si>
  <si>
    <t>MATIAS</t>
  </si>
  <si>
    <t>PABLO</t>
  </si>
  <si>
    <t>0800056622888</t>
  </si>
  <si>
    <t>beneschetes@yahoo.com.ar</t>
  </si>
  <si>
    <t>Benesch</t>
  </si>
  <si>
    <t>Beneschetes@yahoo.com.ar</t>
  </si>
  <si>
    <t>San Fernand</t>
  </si>
  <si>
    <t>Miguel cane 1309</t>
  </si>
  <si>
    <t>08006664509</t>
  </si>
  <si>
    <t>043976-01-4</t>
  </si>
  <si>
    <t>esinex@esinex.com</t>
  </si>
  <si>
    <t>Santambrogio</t>
  </si>
  <si>
    <t>YCO-YCA</t>
  </si>
  <si>
    <t xml:space="preserve">Beccar </t>
  </si>
  <si>
    <t>Bariloche 1667</t>
  </si>
  <si>
    <t>josefina.lafolie@gmail.com</t>
  </si>
  <si>
    <t>bahia</t>
  </si>
  <si>
    <t>gonzalez montalvo</t>
  </si>
  <si>
    <t>leloir 962</t>
  </si>
  <si>
    <t>jeronimo</t>
  </si>
  <si>
    <t>Gonzalez Montalvo</t>
  </si>
  <si>
    <t>jeronimomontalvo@gmail.com</t>
  </si>
  <si>
    <t xml:space="preserve">Thiago </t>
  </si>
  <si>
    <t xml:space="preserve">Lueg </t>
  </si>
  <si>
    <t>Luegstiftung@yahoo.com.ar</t>
  </si>
  <si>
    <t xml:space="preserve">María Marta real </t>
  </si>
  <si>
    <t>pachucostaurquiza@gmail.com</t>
  </si>
  <si>
    <t xml:space="preserve">María Paz </t>
  </si>
  <si>
    <t>C osta Urquiza</t>
  </si>
  <si>
    <t xml:space="preserve">remedios de escalada </t>
  </si>
  <si>
    <t>juan costa urquiza</t>
  </si>
  <si>
    <t>costa jcostaurquiza@gmail.com</t>
  </si>
  <si>
    <t>+54 9 11 3697 2482</t>
  </si>
  <si>
    <t>Tania</t>
  </si>
  <si>
    <t>López Obejero</t>
  </si>
  <si>
    <t>demian.badin@gmail.com</t>
  </si>
  <si>
    <t>Badin</t>
  </si>
  <si>
    <t>2726/3988</t>
  </si>
  <si>
    <t>Villa Adelina</t>
  </si>
  <si>
    <t>Piedrabuena 1561</t>
  </si>
  <si>
    <t>11 6102-5893</t>
  </si>
  <si>
    <t xml:space="preserve">11 6102-5893 </t>
  </si>
  <si>
    <t>61 196198 8 02</t>
  </si>
  <si>
    <t>matifedefin@gmail.net</t>
  </si>
  <si>
    <t>Barone</t>
  </si>
  <si>
    <t>francobaronec@gmail.com</t>
  </si>
  <si>
    <t>Bariloche 1327</t>
  </si>
  <si>
    <t>Parodi</t>
  </si>
  <si>
    <t>+54 9 11 6803-2403</t>
  </si>
  <si>
    <t xml:space="preserve">Finsterbusch </t>
  </si>
  <si>
    <t>gurruchaga 68</t>
  </si>
  <si>
    <t>11 3210 3308</t>
  </si>
  <si>
    <t>nmazzola@gmail.com</t>
  </si>
  <si>
    <t>F18</t>
  </si>
  <si>
    <t>Mazzola</t>
  </si>
  <si>
    <t>Aguila</t>
  </si>
  <si>
    <t>Superi 2290 Dto 5</t>
  </si>
  <si>
    <t>Giselle +54 9 11 5821-4836</t>
  </si>
  <si>
    <t>Fischer</t>
  </si>
  <si>
    <t>Santiagotfischer@hotmail.com</t>
  </si>
  <si>
    <t>Av las heras 2417 3 a</t>
  </si>
  <si>
    <t>Sofia 1151230930</t>
  </si>
  <si>
    <t>melisaalvarez1979@gmail.com</t>
  </si>
  <si>
    <t>Musumeci</t>
  </si>
  <si>
    <t>Av Colombres 995</t>
  </si>
  <si>
    <t xml:space="preserve">Melisa </t>
  </si>
  <si>
    <t>Alvarez</t>
  </si>
  <si>
    <t>341 619 8000</t>
  </si>
  <si>
    <t>000999000999</t>
  </si>
  <si>
    <t>felixllauro@gmail.com</t>
  </si>
  <si>
    <t>bsas</t>
  </si>
  <si>
    <t xml:space="preserve">juncal </t>
  </si>
  <si>
    <t>….</t>
  </si>
  <si>
    <t>…</t>
  </si>
  <si>
    <t>Pruden</t>
  </si>
  <si>
    <t xml:space="preserve">bsas </t>
  </si>
  <si>
    <t xml:space="preserve">barrio cerrado </t>
  </si>
  <si>
    <t>…..</t>
  </si>
  <si>
    <t>wmbambill@gmail.com</t>
  </si>
  <si>
    <t>gregorio</t>
  </si>
  <si>
    <t>belli</t>
  </si>
  <si>
    <t>grego20102@gmail.co</t>
  </si>
  <si>
    <t>av de las conchas 4249</t>
  </si>
  <si>
    <t>diego alejandro</t>
  </si>
  <si>
    <t>diegobelli@yahoo.com</t>
  </si>
  <si>
    <t>+54 9 11 61271977</t>
  </si>
  <si>
    <t>+54 9 11 21832075</t>
  </si>
  <si>
    <t>iñaki</t>
  </si>
  <si>
    <t>bambill</t>
  </si>
  <si>
    <t>inakibambill@gmail.com</t>
  </si>
  <si>
    <t>av callao 1383 13 b</t>
  </si>
  <si>
    <t xml:space="preserve">marcelo </t>
  </si>
  <si>
    <t>11 6 4043756</t>
  </si>
  <si>
    <t>11 3 3177824</t>
  </si>
  <si>
    <t>galeno oro</t>
  </si>
  <si>
    <t>00077870208</t>
  </si>
  <si>
    <t>mingo@palacio.com.ar</t>
  </si>
  <si>
    <t>AGUSTIN</t>
  </si>
  <si>
    <t>PALACIO CANTO</t>
  </si>
  <si>
    <t>a.palaciocanto@smcn.edu.ar</t>
  </si>
  <si>
    <t>PROVINCIA DE BUENOS AIRES</t>
  </si>
  <si>
    <t>Caamaño 699</t>
  </si>
  <si>
    <t>HECTOR DOMINGO</t>
  </si>
  <si>
    <t>PALACIO</t>
  </si>
  <si>
    <t xml:space="preserve">Bautista </t>
  </si>
  <si>
    <t>D'Ottavio</t>
  </si>
  <si>
    <t>Av Colombres 900</t>
  </si>
  <si>
    <t>341 5694188</t>
  </si>
  <si>
    <t>0000222200002222</t>
  </si>
  <si>
    <t>fguaglianone@fi.uba.ar</t>
  </si>
  <si>
    <t>Facu</t>
  </si>
  <si>
    <t>Guaglianone</t>
  </si>
  <si>
    <t>Buenos Aires Province</t>
  </si>
  <si>
    <t>Avenida Santa Fe</t>
  </si>
  <si>
    <t xml:space="preserve">Nico </t>
  </si>
  <si>
    <t>Careaga</t>
  </si>
  <si>
    <t>2/05/2014</t>
  </si>
  <si>
    <t>2/03/2012</t>
  </si>
  <si>
    <t>1/08/2012</t>
  </si>
  <si>
    <t>27/07/2011</t>
  </si>
  <si>
    <t>6/01/2011</t>
  </si>
  <si>
    <t>10/06/2013</t>
  </si>
  <si>
    <t>3/02/2013</t>
  </si>
  <si>
    <t>17/05/2014</t>
  </si>
  <si>
    <t>2/03/2013</t>
  </si>
  <si>
    <t>4/11/2011</t>
  </si>
  <si>
    <t>15/05/2014</t>
  </si>
  <si>
    <t>6/11/2012</t>
  </si>
  <si>
    <t>10/08/2011</t>
  </si>
  <si>
    <t>26/11/2013</t>
  </si>
  <si>
    <t>3/01/2011</t>
  </si>
  <si>
    <t>9/08/2013</t>
  </si>
  <si>
    <t>18/05/2015</t>
  </si>
  <si>
    <t>21/05/2013</t>
  </si>
  <si>
    <t>29/08/2013</t>
  </si>
  <si>
    <t>13/02/2012</t>
  </si>
  <si>
    <t>25/10/2012</t>
  </si>
  <si>
    <t>11/04/2012</t>
  </si>
  <si>
    <t>31/07/2011</t>
  </si>
  <si>
    <t>25/09/2011</t>
  </si>
  <si>
    <t>25/11/2013</t>
  </si>
  <si>
    <t>21/01/2011</t>
  </si>
  <si>
    <t>29/10/2013</t>
  </si>
  <si>
    <t>24/11/2011</t>
  </si>
  <si>
    <t>6/09/2012</t>
  </si>
  <si>
    <t>22/01/2014</t>
  </si>
  <si>
    <t>17/03/2011</t>
  </si>
  <si>
    <t>8/04/2012</t>
  </si>
  <si>
    <t>21/08/2012</t>
  </si>
  <si>
    <t>9/03/2013</t>
  </si>
  <si>
    <t>23/04/2012</t>
  </si>
  <si>
    <t>9/02/2015</t>
  </si>
  <si>
    <t>12/11/2013</t>
  </si>
  <si>
    <t>3/07/2011</t>
  </si>
  <si>
    <t>31/08/2012</t>
  </si>
  <si>
    <t>11/05/2012</t>
  </si>
  <si>
    <t>13/06/2012</t>
  </si>
  <si>
    <t>14/01/2016</t>
  </si>
  <si>
    <t>26/07/2012</t>
  </si>
  <si>
    <t>15/02/2012</t>
  </si>
  <si>
    <t>20/09/2011</t>
  </si>
  <si>
    <t>18/05/2013</t>
  </si>
  <si>
    <t>24/04/2013</t>
  </si>
  <si>
    <t>1/07/2011</t>
  </si>
  <si>
    <t>20/05/2012</t>
  </si>
  <si>
    <t>10/05/2015</t>
  </si>
  <si>
    <t>4/05/2013</t>
  </si>
  <si>
    <t>2/09/2013</t>
  </si>
  <si>
    <t>7/10/2012</t>
  </si>
  <si>
    <t>3/10/2012</t>
  </si>
  <si>
    <t>3/10/2011</t>
  </si>
  <si>
    <t>5/04/2011</t>
  </si>
  <si>
    <t>9/07/2011</t>
  </si>
  <si>
    <t>5/02/2013</t>
  </si>
  <si>
    <t>5/01/2013</t>
  </si>
  <si>
    <t>15/09/2012</t>
  </si>
  <si>
    <t>16/04/2012</t>
  </si>
  <si>
    <t>11/04/2013</t>
  </si>
  <si>
    <t>24/05/2013</t>
  </si>
  <si>
    <t>21/06/2014</t>
  </si>
  <si>
    <t>8/10/2012</t>
  </si>
  <si>
    <t>5/12/2011</t>
  </si>
  <si>
    <t>27/03/2013</t>
  </si>
  <si>
    <t>6/10/2011</t>
  </si>
  <si>
    <t>12/02/2012</t>
  </si>
  <si>
    <t>10/06/2014</t>
  </si>
  <si>
    <t>14/02/2011</t>
  </si>
  <si>
    <t>3/11/2013</t>
  </si>
  <si>
    <t>18/09/2013</t>
  </si>
  <si>
    <t>27/03/2014</t>
  </si>
  <si>
    <t>10/12/2012</t>
  </si>
  <si>
    <t>11/02/2014</t>
  </si>
  <si>
    <t>16/02/2012</t>
  </si>
  <si>
    <t>11/09/2014</t>
  </si>
  <si>
    <t>5/02/2014</t>
  </si>
  <si>
    <t>26/09/2012</t>
  </si>
  <si>
    <t>9/02/2012</t>
  </si>
  <si>
    <t>28/06/2012</t>
  </si>
  <si>
    <t>15/08/2012</t>
  </si>
  <si>
    <t>7/06/2015</t>
  </si>
  <si>
    <t>18/10/2012</t>
  </si>
  <si>
    <t>17/10/2011</t>
  </si>
  <si>
    <t>19/09/2013</t>
  </si>
  <si>
    <t>27/11/2012</t>
  </si>
  <si>
    <t>11/06/2014</t>
  </si>
  <si>
    <t>30/03/2014</t>
  </si>
  <si>
    <t>13/09/2011</t>
  </si>
  <si>
    <t>12/10/2011</t>
  </si>
  <si>
    <t>29/06/2012</t>
  </si>
  <si>
    <t>23/05/2013</t>
  </si>
  <si>
    <t>5/11/2011</t>
  </si>
  <si>
    <t>30/07/2011</t>
  </si>
  <si>
    <t>6/03/2011</t>
  </si>
  <si>
    <t>25/11/2012</t>
  </si>
  <si>
    <t>30/07/2012</t>
  </si>
  <si>
    <t>2/04/2011</t>
  </si>
  <si>
    <t>26/05/2011</t>
  </si>
  <si>
    <t>24/08/2012</t>
  </si>
  <si>
    <t>16/12/2013</t>
  </si>
  <si>
    <t>8/01/2011</t>
  </si>
  <si>
    <t>7/10/2013</t>
  </si>
  <si>
    <t>19/03/2012</t>
  </si>
  <si>
    <t>19/07/2014</t>
  </si>
  <si>
    <t>29/08/2011</t>
  </si>
  <si>
    <t>23/03/2011</t>
  </si>
  <si>
    <t>29/05/2013</t>
  </si>
  <si>
    <t>4/09/2014</t>
  </si>
  <si>
    <t>9/01/2012</t>
  </si>
  <si>
    <t>12/10/2012</t>
  </si>
  <si>
    <t>25/06/2011</t>
  </si>
  <si>
    <t>19/01/2014</t>
  </si>
  <si>
    <t>2/02/2012</t>
  </si>
  <si>
    <t>19/06/2014</t>
  </si>
  <si>
    <t>20/08/2011</t>
  </si>
  <si>
    <t>2/06/2015</t>
  </si>
  <si>
    <t>18/08/2011</t>
  </si>
  <si>
    <t>16/11/2013</t>
  </si>
  <si>
    <t>29/10/2011</t>
  </si>
  <si>
    <t>18/06/2014</t>
  </si>
  <si>
    <t>30/05/2012</t>
  </si>
  <si>
    <t>20/12/2013</t>
  </si>
  <si>
    <t>17/02/2012</t>
  </si>
  <si>
    <t>25/10/2011</t>
  </si>
  <si>
    <t>28/03/2011</t>
  </si>
  <si>
    <t>25/07/2014</t>
  </si>
  <si>
    <t>26/12/2012</t>
  </si>
  <si>
    <t>9/06/2013</t>
  </si>
  <si>
    <t>21/11/2013</t>
  </si>
  <si>
    <t>22/06/2011</t>
  </si>
  <si>
    <t>2/01/2011</t>
  </si>
  <si>
    <t>4/12/2013</t>
  </si>
  <si>
    <t>2/10/2012</t>
  </si>
  <si>
    <t>24/11/2012</t>
  </si>
  <si>
    <t>2/01/2015</t>
  </si>
  <si>
    <t>16/12/2011</t>
  </si>
  <si>
    <t>29/06/2011</t>
  </si>
  <si>
    <t>28/07/2014</t>
  </si>
  <si>
    <t>18/03/2012</t>
  </si>
  <si>
    <t>23/02/2012</t>
  </si>
  <si>
    <t>17/12/2013</t>
  </si>
  <si>
    <t>13/11/2012</t>
  </si>
  <si>
    <t>14/02/2014</t>
  </si>
  <si>
    <t>31/01/2012</t>
  </si>
  <si>
    <t>1/04/2011</t>
  </si>
  <si>
    <t>6/02/2013</t>
  </si>
  <si>
    <t>30/11/2012</t>
  </si>
  <si>
    <t>29/05/2012</t>
  </si>
  <si>
    <t>29/08/2012</t>
  </si>
  <si>
    <t>13/07/2011</t>
  </si>
  <si>
    <t>8/11/2011</t>
  </si>
  <si>
    <t>22/12/2013</t>
  </si>
  <si>
    <t>7/10/2011</t>
  </si>
  <si>
    <t>15/08/2014</t>
  </si>
  <si>
    <t>16/02/2013</t>
  </si>
  <si>
    <t>25/01/2013</t>
  </si>
  <si>
    <t>7/11/2011</t>
  </si>
  <si>
    <t>27/04/2015</t>
  </si>
  <si>
    <t>30/03/2012</t>
  </si>
  <si>
    <t>25/02/2013</t>
  </si>
  <si>
    <t>6/01/2014</t>
  </si>
  <si>
    <t>15/08/2011</t>
  </si>
  <si>
    <t>24/02/2012</t>
  </si>
  <si>
    <t>Timonel</t>
  </si>
  <si>
    <t>Vela</t>
  </si>
  <si>
    <t xml:space="preserve">USA </t>
  </si>
  <si>
    <t>Nac</t>
  </si>
  <si>
    <t>Cod</t>
  </si>
  <si>
    <t xml:space="preserve">KATZ Helena </t>
  </si>
  <si>
    <t>COROMINAS Maximo</t>
  </si>
  <si>
    <t>GOMEZ Catalina</t>
  </si>
  <si>
    <t xml:space="preserve">PANTIN Luján Agustina </t>
  </si>
  <si>
    <t>QUESADA Tomas</t>
  </si>
  <si>
    <t xml:space="preserve">SCHERE PENA Agustina </t>
  </si>
  <si>
    <t>LAISE Tiziano</t>
  </si>
  <si>
    <t>RAINERI TAVERNA Nina</t>
  </si>
  <si>
    <t>VICENTE Agustina Mariel</t>
  </si>
  <si>
    <t>FUHRMANN Renata</t>
  </si>
  <si>
    <t xml:space="preserve">VIEYTEZ Martin </t>
  </si>
  <si>
    <t>FIGUEROA Joaquin</t>
  </si>
  <si>
    <t>FIGUEROA Juan Bautista</t>
  </si>
  <si>
    <t>PICHETTI Gino</t>
  </si>
  <si>
    <t>PICHETTI Donato</t>
  </si>
  <si>
    <t>DOVAL Felix</t>
  </si>
  <si>
    <t>BLAS Felipe</t>
  </si>
  <si>
    <t>COZAR GIULIANI Paloma</t>
  </si>
  <si>
    <t>MOLINARI Tomas</t>
  </si>
  <si>
    <t>LENZETTI Emma</t>
  </si>
  <si>
    <t>MORTEO Tomás</t>
  </si>
  <si>
    <t>BRUNETTA Olivia</t>
  </si>
  <si>
    <t>CASTEX Catalina</t>
  </si>
  <si>
    <t>ANTONI Manuel</t>
  </si>
  <si>
    <t>VUGDELIJA Emilia</t>
  </si>
  <si>
    <t xml:space="preserve">PANASCI Nacho </t>
  </si>
  <si>
    <t>PANASCI DUBRA Agustin</t>
  </si>
  <si>
    <t>OJEDA LOIS Ignacio</t>
  </si>
  <si>
    <t xml:space="preserve">GARCIA LABORDE Camila </t>
  </si>
  <si>
    <t>REPETTO Valentino</t>
  </si>
  <si>
    <t>VIDAL Julia</t>
  </si>
  <si>
    <t xml:space="preserve">BELARDI DE LEON Amelia Matea </t>
  </si>
  <si>
    <t xml:space="preserve">JAIMOVICH LANDEO Thaya </t>
  </si>
  <si>
    <t>MAINERO Federico</t>
  </si>
  <si>
    <t xml:space="preserve">MURGIA Matías </t>
  </si>
  <si>
    <t>MASSA GALLI Valentin</t>
  </si>
  <si>
    <t>ARANDA Allegra Juliana</t>
  </si>
  <si>
    <t>MAINE Maria</t>
  </si>
  <si>
    <t xml:space="preserve">GONZALEZ NEGRI Imanol </t>
  </si>
  <si>
    <t>RODRIGUEZ THEVENON Valentin</t>
  </si>
  <si>
    <t>LOZANO Bartolome</t>
  </si>
  <si>
    <t>BECERRA Delfina</t>
  </si>
  <si>
    <t>KORENDIJ Matilde</t>
  </si>
  <si>
    <t>DELEO Clara</t>
  </si>
  <si>
    <t>CICHOWOLSKI Santiago</t>
  </si>
  <si>
    <t>COCOZZA Julia</t>
  </si>
  <si>
    <t>TESONE Delfina</t>
  </si>
  <si>
    <t>MENDO Justina</t>
  </si>
  <si>
    <t>COSTA URQUIZA Marcos</t>
  </si>
  <si>
    <t xml:space="preserve">GENTILI Ignacio </t>
  </si>
  <si>
    <t>ALFONSO GUARDATI Santiago</t>
  </si>
  <si>
    <t>PERUILH Milagros</t>
  </si>
  <si>
    <t>ELORRIAGA Felipe</t>
  </si>
  <si>
    <t>HANONO Lucio</t>
  </si>
  <si>
    <t xml:space="preserve">LACCHINI Fausto </t>
  </si>
  <si>
    <t>HEREDIA Marcos</t>
  </si>
  <si>
    <t xml:space="preserve">PALMESE Francisco </t>
  </si>
  <si>
    <t>ATANASOPULOS Juan</t>
  </si>
  <si>
    <t>WEIR Sofia</t>
  </si>
  <si>
    <t>VAZQUEZ DEL CAMPO José</t>
  </si>
  <si>
    <t>FUNES DE RIOJA Lucia</t>
  </si>
  <si>
    <t>MESSINA Milo</t>
  </si>
  <si>
    <t>MUZZIO Ambar</t>
  </si>
  <si>
    <t>HARIRI Pedro</t>
  </si>
  <si>
    <t>MERCERAT Bernarda</t>
  </si>
  <si>
    <t>FOLGUERA Silvio</t>
  </si>
  <si>
    <t>MUL Martin</t>
  </si>
  <si>
    <t>SANER Tomás</t>
  </si>
  <si>
    <t>MAFFEI Constantino</t>
  </si>
  <si>
    <t>MAFFEI Francesco</t>
  </si>
  <si>
    <t>ZORRAQUIN Marcos</t>
  </si>
  <si>
    <t>FERNÁNDEZ ALONSO Iñaki</t>
  </si>
  <si>
    <t xml:space="preserve">CALVO Tomás </t>
  </si>
  <si>
    <t>GRINBLAT DERMGERD Tobias</t>
  </si>
  <si>
    <t>CAREAGA COTTINI Giuliana</t>
  </si>
  <si>
    <t>DOMINGUEZ Catalina</t>
  </si>
  <si>
    <t>GALEAZZI Francesco</t>
  </si>
  <si>
    <t>LEMOS VIVIANT Agustin</t>
  </si>
  <si>
    <t>FROGONE Sofia</t>
  </si>
  <si>
    <t>KRENEK Francisco</t>
  </si>
  <si>
    <t>BENITEZ BARONTI Catarina</t>
  </si>
  <si>
    <t>MAESO Evangelina</t>
  </si>
  <si>
    <t>BARCELÓ Lola</t>
  </si>
  <si>
    <t>JUAN DE PAZ Ciro</t>
  </si>
  <si>
    <t>REIS DEMARTIN Jean Lucca</t>
  </si>
  <si>
    <t xml:space="preserve">ELKAYAM Gael </t>
  </si>
  <si>
    <t xml:space="preserve">PAOLI Tomas </t>
  </si>
  <si>
    <t xml:space="preserve">PAOLI Santiago </t>
  </si>
  <si>
    <t>BEARZOTTI Pedro</t>
  </si>
  <si>
    <t>AROCENA Joaco</t>
  </si>
  <si>
    <t>BIASI Azul</t>
  </si>
  <si>
    <t>GUILLE Sofia</t>
  </si>
  <si>
    <t>GUILLE Mateo</t>
  </si>
  <si>
    <t>BRACCO Justo</t>
  </si>
  <si>
    <t>STABILE Marcos</t>
  </si>
  <si>
    <t>STABILE Santos</t>
  </si>
  <si>
    <t>VILLAMARIN Ema</t>
  </si>
  <si>
    <t xml:space="preserve">AMESPIL Marcos </t>
  </si>
  <si>
    <t xml:space="preserve">VELEZ Agustina </t>
  </si>
  <si>
    <t>MONES Rafael</t>
  </si>
  <si>
    <t>ADLERCREUTZ Ines</t>
  </si>
  <si>
    <t>DE BERNARDIS Gael</t>
  </si>
  <si>
    <t>DURAÑONA Felipe</t>
  </si>
  <si>
    <t xml:space="preserve">DONOFRIO FREYTES Janko </t>
  </si>
  <si>
    <t>BEGINO MORERO Juan Francisco</t>
  </si>
  <si>
    <t>PLOU PEÑAFORT Alma</t>
  </si>
  <si>
    <t xml:space="preserve">SILVA Marcos </t>
  </si>
  <si>
    <t>GIBERT Fermin</t>
  </si>
  <si>
    <t xml:space="preserve">GUERRA WEDER Estefanía </t>
  </si>
  <si>
    <t xml:space="preserve">GRAHAM Quinto </t>
  </si>
  <si>
    <t>VESPERINI Tiziano</t>
  </si>
  <si>
    <t>MAFFEI Valentina</t>
  </si>
  <si>
    <t>PADILLA Ramiro</t>
  </si>
  <si>
    <t>POGGIO Santiago</t>
  </si>
  <si>
    <t xml:space="preserve">ZARDINI Fernando </t>
  </si>
  <si>
    <t>ARCURI Chiara</t>
  </si>
  <si>
    <t>ARCURI Lucia</t>
  </si>
  <si>
    <t>PEREIRO Bautista</t>
  </si>
  <si>
    <t>ZABALA Pilar</t>
  </si>
  <si>
    <t xml:space="preserve">CUESTAS Astor </t>
  </si>
  <si>
    <t>CARANTI Isabel</t>
  </si>
  <si>
    <t>ROSSI Sofia</t>
  </si>
  <si>
    <t>CURUTCHET Martin Segundo</t>
  </si>
  <si>
    <t>BIELER Tizziano Valentino</t>
  </si>
  <si>
    <t>LEZANA Helena</t>
  </si>
  <si>
    <t>SLY Ian</t>
  </si>
  <si>
    <t>MONTAUVAN Martina</t>
  </si>
  <si>
    <t>OCARIZ Juan Cruz</t>
  </si>
  <si>
    <t>NIEVA ORELLANA Romeo</t>
  </si>
  <si>
    <t>BARRERA Joscelyn</t>
  </si>
  <si>
    <t>GARRO Indiana</t>
  </si>
  <si>
    <t>AGUILAR Olivia</t>
  </si>
  <si>
    <t>CELLA Chloé</t>
  </si>
  <si>
    <t>PECIÑA Lucia</t>
  </si>
  <si>
    <t>FERREYRA Valentina</t>
  </si>
  <si>
    <t>PITTALUGA Martina</t>
  </si>
  <si>
    <t>CHAVARRIA Valentin</t>
  </si>
  <si>
    <t>MUSUMECI Lucía</t>
  </si>
  <si>
    <t>PALACIO CANTO Agustin</t>
  </si>
  <si>
    <t xml:space="preserve">D'OTTAVIO Bautista </t>
  </si>
  <si>
    <t>F</t>
  </si>
  <si>
    <t>M</t>
  </si>
  <si>
    <t>Edad</t>
  </si>
  <si>
    <t>HS - Huapi Sailors</t>
  </si>
  <si>
    <t xml:space="preserve">BALBUENA Francisco </t>
  </si>
  <si>
    <t>PIERSON Guido</t>
  </si>
  <si>
    <t xml:space="preserve">CALABRESE Francisco </t>
  </si>
  <si>
    <t xml:space="preserve">CASTIGLIONI Francisco </t>
  </si>
  <si>
    <t xml:space="preserve">ASTOUL Gastón Félix </t>
  </si>
  <si>
    <t>LÓPEZ BUSTOS Nuria</t>
  </si>
  <si>
    <t>RONCHI Nicolas Augusto</t>
  </si>
  <si>
    <t xml:space="preserve">RUIZ DÍAZ RAMÍREZ Florencia Aylen </t>
  </si>
  <si>
    <t>GHERGHI Lara</t>
  </si>
  <si>
    <t>ANDRÉS Gianni</t>
  </si>
  <si>
    <t xml:space="preserve">GUTIERREZ Juana </t>
  </si>
  <si>
    <t xml:space="preserve">BERTANI Simón </t>
  </si>
  <si>
    <t xml:space="preserve">VALCI Catalina </t>
  </si>
  <si>
    <t>SALVATIERRA Luca</t>
  </si>
  <si>
    <t xml:space="preserve">ROSSO Juan Ignacio </t>
  </si>
  <si>
    <t xml:space="preserve">BOZ Justina </t>
  </si>
  <si>
    <t>DE ARRIBA Isabel</t>
  </si>
  <si>
    <t xml:space="preserve">DE CESARIS Emma </t>
  </si>
  <si>
    <t xml:space="preserve">PORTAL Gala </t>
  </si>
  <si>
    <t>TRAVERÍA Isabel</t>
  </si>
  <si>
    <t xml:space="preserve">CALLEGARI María Victoria </t>
  </si>
  <si>
    <t xml:space="preserve">LUQUE Delfina </t>
  </si>
  <si>
    <t>PINI BELLAUBI Matilde</t>
  </si>
  <si>
    <t xml:space="preserve">KAPLUN Lorenzo </t>
  </si>
  <si>
    <t>PROPERZI Lucia</t>
  </si>
  <si>
    <t xml:space="preserve">CARRETTO Joaquin </t>
  </si>
  <si>
    <t xml:space="preserve">GONZÁLEZ ESPÍNOLA Juan Sebastián </t>
  </si>
  <si>
    <t xml:space="preserve">GIANNUZZI Ignacio </t>
  </si>
  <si>
    <t xml:space="preserve">MIREY Josefina </t>
  </si>
  <si>
    <t xml:space="preserve">MIREY Juan Francisco </t>
  </si>
  <si>
    <t>MUSSEL Olivia</t>
  </si>
  <si>
    <t>BIZZOZERO Tomás</t>
  </si>
  <si>
    <t xml:space="preserve">BOERI DI GIORGIO Lucas </t>
  </si>
  <si>
    <t>TEJADA IBAÑEZ Marcos</t>
  </si>
  <si>
    <t>ROCCATAGLIATA Lorenzo</t>
  </si>
  <si>
    <t xml:space="preserve">ZABALA Rodrigo </t>
  </si>
  <si>
    <t>NIEVA QUINTEROS Santiago</t>
  </si>
  <si>
    <t xml:space="preserve">GAUNA Julian </t>
  </si>
  <si>
    <t xml:space="preserve">VÁZQUEZ DEL CAMPO Fermín </t>
  </si>
  <si>
    <t xml:space="preserve">TOMMASI Joaquin </t>
  </si>
  <si>
    <t>BARCELÓ Aimé</t>
  </si>
  <si>
    <t>GODOY Renata</t>
  </si>
  <si>
    <t xml:space="preserve">GORI Lorenzo </t>
  </si>
  <si>
    <t xml:space="preserve">GONZÁLEZ Felipe </t>
  </si>
  <si>
    <t>CPNLB - CBRIO</t>
  </si>
  <si>
    <t>WSS - Puerto del Aguila</t>
  </si>
  <si>
    <t>YCR</t>
  </si>
  <si>
    <t>CNZ</t>
  </si>
  <si>
    <t>CPNLB</t>
  </si>
  <si>
    <t>CNSP</t>
  </si>
  <si>
    <t>YCA</t>
  </si>
  <si>
    <t>CVR</t>
  </si>
  <si>
    <t>CNAs</t>
  </si>
  <si>
    <t>CUBA</t>
  </si>
  <si>
    <t>CNMP</t>
  </si>
  <si>
    <t>CRR</t>
  </si>
  <si>
    <t>CVB</t>
  </si>
  <si>
    <t>CRLP</t>
  </si>
  <si>
    <t>CNSI</t>
  </si>
  <si>
    <t>RRC</t>
  </si>
  <si>
    <t>YCO</t>
  </si>
  <si>
    <t>YCCN</t>
  </si>
  <si>
    <t>CVSI</t>
  </si>
  <si>
    <t>HS</t>
  </si>
  <si>
    <t>CNJ</t>
  </si>
  <si>
    <t>CGLNM</t>
  </si>
  <si>
    <t>CNPA/WIND</t>
  </si>
  <si>
    <t>CNP</t>
  </si>
  <si>
    <t>CRSN</t>
  </si>
  <si>
    <t>CNSA</t>
  </si>
  <si>
    <t>CNSE</t>
  </si>
  <si>
    <t>WSS</t>
  </si>
  <si>
    <t>Club1</t>
  </si>
  <si>
    <t>S</t>
  </si>
  <si>
    <t>Azul</t>
  </si>
  <si>
    <t>Amarillo</t>
  </si>
  <si>
    <t>Rojo</t>
  </si>
  <si>
    <t>Flota D1</t>
  </si>
  <si>
    <t>27/11/2013</t>
  </si>
  <si>
    <t>25/11/2014</t>
  </si>
  <si>
    <t>20/01/2016</t>
  </si>
  <si>
    <t>28/11/2014</t>
  </si>
  <si>
    <t>29/10/2012</t>
  </si>
  <si>
    <t>15/07/2014</t>
  </si>
  <si>
    <t>18/07/2014</t>
  </si>
  <si>
    <t>20/08/2015</t>
  </si>
  <si>
    <t>2/03/2014</t>
  </si>
  <si>
    <t>29/06/2015</t>
  </si>
  <si>
    <t>7/03/2015</t>
  </si>
  <si>
    <t>28/01/2012</t>
  </si>
  <si>
    <t>25/02/2015</t>
  </si>
  <si>
    <t>6/08/2014</t>
  </si>
  <si>
    <t>21/10/2014</t>
  </si>
  <si>
    <t>15/08/2013</t>
  </si>
  <si>
    <t>9/06/2015</t>
  </si>
  <si>
    <t>28/06/2016</t>
  </si>
  <si>
    <t>5/07/2013</t>
  </si>
  <si>
    <t>7/06/2014</t>
  </si>
  <si>
    <t>30/08/2013</t>
  </si>
  <si>
    <t>27/03/2015</t>
  </si>
  <si>
    <t>15/10/2015</t>
  </si>
  <si>
    <t>3/03/2014</t>
  </si>
  <si>
    <t>6/06/2015</t>
  </si>
  <si>
    <t>8/02/2012</t>
  </si>
  <si>
    <t>10/07/2013</t>
  </si>
  <si>
    <t>10/06/2015</t>
  </si>
  <si>
    <t>23/03/2017</t>
  </si>
  <si>
    <t>1/12/2014</t>
  </si>
  <si>
    <t>6/03/2013</t>
  </si>
  <si>
    <t>3/04/2015</t>
  </si>
  <si>
    <t>25/08/2014</t>
  </si>
  <si>
    <t>18/11/2013</t>
  </si>
  <si>
    <t>11/05/2015</t>
  </si>
  <si>
    <t>26/03/2026</t>
  </si>
  <si>
    <t>12/01/2016</t>
  </si>
  <si>
    <t>27/12/2013</t>
  </si>
  <si>
    <t>17/11/2015</t>
  </si>
  <si>
    <t>31/05/2014</t>
  </si>
  <si>
    <t>21/10/2015</t>
  </si>
  <si>
    <t>26/02/2015</t>
  </si>
  <si>
    <t>7/04/2016</t>
  </si>
  <si>
    <t>5/08/2014</t>
  </si>
  <si>
    <t>8/01/2015</t>
  </si>
  <si>
    <t>23/09/2016</t>
  </si>
  <si>
    <t>8/06/2016</t>
  </si>
  <si>
    <t>16/03/2014</t>
  </si>
  <si>
    <t>18/10/2013</t>
  </si>
  <si>
    <t>19/02/2026</t>
  </si>
  <si>
    <t>24/10/2014</t>
  </si>
  <si>
    <t>23/12/2015</t>
  </si>
  <si>
    <t>31/12/2015</t>
  </si>
  <si>
    <t>5/04/2017</t>
  </si>
  <si>
    <t>20/03/2016</t>
  </si>
  <si>
    <t>17/03/2016</t>
  </si>
  <si>
    <t>11/10/2011</t>
  </si>
  <si>
    <t>17/03/2014</t>
  </si>
  <si>
    <t>3/03/2015</t>
  </si>
  <si>
    <t>7/09/2015</t>
  </si>
  <si>
    <t>26/07/2017</t>
  </si>
  <si>
    <t>12/06/2013</t>
  </si>
  <si>
    <t>3/12/2015</t>
  </si>
  <si>
    <t>24/05/2014</t>
  </si>
  <si>
    <t>20/11/2014</t>
  </si>
  <si>
    <t>29/07/2015</t>
  </si>
  <si>
    <t>19/01/2015</t>
  </si>
  <si>
    <t>23/10/2014</t>
  </si>
  <si>
    <t>19/09/2015</t>
  </si>
  <si>
    <t>23/03/2015</t>
  </si>
  <si>
    <t>26/12/2014</t>
  </si>
  <si>
    <t>2/10/2013</t>
  </si>
  <si>
    <t>18/08/2014</t>
  </si>
  <si>
    <t>17/03/2015</t>
  </si>
  <si>
    <t>31/03/2013</t>
  </si>
  <si>
    <t>9/11/2015</t>
  </si>
  <si>
    <t>5/10/2015</t>
  </si>
  <si>
    <t>3/11/2015</t>
  </si>
  <si>
    <t>6/11/2013</t>
  </si>
  <si>
    <t>3/10/2013</t>
  </si>
  <si>
    <t>16/02/2016</t>
  </si>
  <si>
    <t>1/11/2016</t>
  </si>
  <si>
    <t>9/08/2015</t>
  </si>
  <si>
    <t>25/01/2014</t>
  </si>
  <si>
    <t>28/06/2013</t>
  </si>
  <si>
    <t>6/06/2016</t>
  </si>
  <si>
    <t>5/05/2013</t>
  </si>
  <si>
    <t>22/10/2015</t>
  </si>
  <si>
    <t>4/10/2013</t>
  </si>
  <si>
    <t>27/05/2015</t>
  </si>
  <si>
    <t>6/05/2014</t>
  </si>
  <si>
    <t>24/09/2014</t>
  </si>
  <si>
    <t>5/12/2015</t>
  </si>
  <si>
    <t>19/02/2015</t>
  </si>
  <si>
    <t>18/09/2016</t>
  </si>
  <si>
    <t>25/06/2015</t>
  </si>
  <si>
    <t>6/01/2017</t>
  </si>
  <si>
    <t>9/02/2016</t>
  </si>
  <si>
    <t>21/10/2013</t>
  </si>
  <si>
    <t>16/09/2015</t>
  </si>
  <si>
    <t>8/04/2014</t>
  </si>
  <si>
    <t>30/05/2014</t>
  </si>
  <si>
    <t>28/05/2015</t>
  </si>
  <si>
    <t>28/01/2015</t>
  </si>
  <si>
    <t>30/01/2015</t>
  </si>
  <si>
    <t>18/03/2016</t>
  </si>
  <si>
    <t>29/04/2015</t>
  </si>
  <si>
    <t>22/11/2014</t>
  </si>
  <si>
    <t>8/11/2014</t>
  </si>
  <si>
    <t xml:space="preserve">RAVIOLA GARCIA Juana </t>
  </si>
  <si>
    <t>FERNANDEZ Manuel</t>
  </si>
  <si>
    <t>MARCONE Andres Benjamin</t>
  </si>
  <si>
    <t xml:space="preserve">CERVIÑO Agustín Alejandro </t>
  </si>
  <si>
    <t>GARCIA Santiago Nicolas</t>
  </si>
  <si>
    <t>BRAVO Francisco</t>
  </si>
  <si>
    <t>CASTEX Miguel</t>
  </si>
  <si>
    <t xml:space="preserve">CAVIGLIA Catalina </t>
  </si>
  <si>
    <t xml:space="preserve">VUGDELIJA Sofia </t>
  </si>
  <si>
    <t>SFOGGIA NUÑO Facundo Tomas</t>
  </si>
  <si>
    <t>GARCIA LABORDE Fatima</t>
  </si>
  <si>
    <t xml:space="preserve">GARCIA DELATOUR Benjamin </t>
  </si>
  <si>
    <t>BIASI Ana Camelia</t>
  </si>
  <si>
    <t>LUZURIAGA Lorenzo Agustín</t>
  </si>
  <si>
    <t xml:space="preserve">MATERIN Tomás Uriel </t>
  </si>
  <si>
    <t xml:space="preserve">ROMERO TEDESCHI Dante </t>
  </si>
  <si>
    <t>VANIN Lautaro Tomas</t>
  </si>
  <si>
    <t>JENSEN Tania Maitén</t>
  </si>
  <si>
    <t>KUNDIG Facundo</t>
  </si>
  <si>
    <t>KUNDIG Santiago</t>
  </si>
  <si>
    <t>COSTA URQUIZA Pepo</t>
  </si>
  <si>
    <t>ZHAO Yuanxi</t>
  </si>
  <si>
    <t>FEBRÉ PRIETO Nicolás</t>
  </si>
  <si>
    <t>BICOCCA Julieta</t>
  </si>
  <si>
    <t>BICOCCA Franco</t>
  </si>
  <si>
    <t>ELORRIAGA Homero</t>
  </si>
  <si>
    <t>PIRÁN Pedro M.</t>
  </si>
  <si>
    <t>JOSA Santiago</t>
  </si>
  <si>
    <t>JOSA Valentín</t>
  </si>
  <si>
    <t>MARQUEZ SUAREZ Felipe</t>
  </si>
  <si>
    <t>PAULUCCI Sol</t>
  </si>
  <si>
    <t>TEDIN Jeronimo</t>
  </si>
  <si>
    <t>HARIRI Juana</t>
  </si>
  <si>
    <t>MERCERAT Carmela</t>
  </si>
  <si>
    <t>LUKASCHEUSKI Matilda</t>
  </si>
  <si>
    <t xml:space="preserve">FURMAN Benja </t>
  </si>
  <si>
    <t>PEREZ BONADONNA Maite</t>
  </si>
  <si>
    <t>WOLOJ Emilia</t>
  </si>
  <si>
    <t xml:space="preserve">CALVO Lucas </t>
  </si>
  <si>
    <t>CLAVIJO Felix</t>
  </si>
  <si>
    <t>PERUZZI Bautista</t>
  </si>
  <si>
    <t>STELLA Juana</t>
  </si>
  <si>
    <t>MAESO Felix</t>
  </si>
  <si>
    <t>MAESO Ignacio</t>
  </si>
  <si>
    <t>DAVENIA Santiago</t>
  </si>
  <si>
    <t>MICELOTTA Elena</t>
  </si>
  <si>
    <t>DAVENIA Delfina</t>
  </si>
  <si>
    <t>BUCCOLO Catalina</t>
  </si>
  <si>
    <t>ELKAYAM Elian</t>
  </si>
  <si>
    <t>MAYORGA Martina</t>
  </si>
  <si>
    <t>MAYORGA Catalina</t>
  </si>
  <si>
    <t>MELENDEZ PERUZZI Santiago</t>
  </si>
  <si>
    <t>CORRAL Isabel</t>
  </si>
  <si>
    <t xml:space="preserve">SUAR VOLCO Justina </t>
  </si>
  <si>
    <t>PONS PITA Francisco</t>
  </si>
  <si>
    <t>STABILE Julia</t>
  </si>
  <si>
    <t>OLIVER Eva</t>
  </si>
  <si>
    <t>BLANCO Simona</t>
  </si>
  <si>
    <t>RUIZ STEPANCIC Catalina</t>
  </si>
  <si>
    <t xml:space="preserve">RUIZ STEPANCIC Lucia </t>
  </si>
  <si>
    <t>GASCON DESCHAMPS Bruna</t>
  </si>
  <si>
    <t>DONOFRIO FREYTES Sacha</t>
  </si>
  <si>
    <t>ZOPPI DE FRANCESCHINI Santiago</t>
  </si>
  <si>
    <t>VICTOREL Amador</t>
  </si>
  <si>
    <t>BELOSSI Benjamin Eugenio</t>
  </si>
  <si>
    <t>SALGADO CALANDRELLI Facundo</t>
  </si>
  <si>
    <t>BERMUDEZ FIORITI Silvestre</t>
  </si>
  <si>
    <t>BERMUDEZ FIORITI Toribio</t>
  </si>
  <si>
    <t>ALFONSO GUARDATI Camila</t>
  </si>
  <si>
    <t>ROMERO Alvaro</t>
  </si>
  <si>
    <t>VOLCO Martina</t>
  </si>
  <si>
    <t>CAPOZUCCA Lis</t>
  </si>
  <si>
    <t>AGUIRRE GARI Camila</t>
  </si>
  <si>
    <t>JOCHOIAN Santiago</t>
  </si>
  <si>
    <t>FARBER Julia</t>
  </si>
  <si>
    <t>EPISCOPO Pedro</t>
  </si>
  <si>
    <t>EASTMAN Tomas</t>
  </si>
  <si>
    <t xml:space="preserve">ZARDINI Carolina </t>
  </si>
  <si>
    <t>ZARDINI Francesca</t>
  </si>
  <si>
    <t>CATINARI Santos</t>
  </si>
  <si>
    <t>LOPEZ ORIOLO Paz</t>
  </si>
  <si>
    <t>SORZANA Juana</t>
  </si>
  <si>
    <t xml:space="preserve">DONO Santiago </t>
  </si>
  <si>
    <t>COZAR Sofi</t>
  </si>
  <si>
    <t>FIDANZA LAGARDE Agustina</t>
  </si>
  <si>
    <t xml:space="preserve">ZIBELL Dafne </t>
  </si>
  <si>
    <t>HUANAY MEZA Mia Milagros</t>
  </si>
  <si>
    <t>MONTAUVAN Francesca</t>
  </si>
  <si>
    <t>LUEG Franz</t>
  </si>
  <si>
    <t>BRUNO Ambar</t>
  </si>
  <si>
    <t>CORDOBA Samuel</t>
  </si>
  <si>
    <t>ROS Milo</t>
  </si>
  <si>
    <t>BRUNO QUIROZ Valentino</t>
  </si>
  <si>
    <t>BRUNO QUIRÓZ Benicio</t>
  </si>
  <si>
    <t>BRADLEY Rufina</t>
  </si>
  <si>
    <t>AGUILAR Juan Martin</t>
  </si>
  <si>
    <t>CANO RICCIARDI Vera</t>
  </si>
  <si>
    <t>LOZANO Pilar</t>
  </si>
  <si>
    <t>TORINO Sol</t>
  </si>
  <si>
    <t>BERARD Mora</t>
  </si>
  <si>
    <t>MICEL Candelaria</t>
  </si>
  <si>
    <t>CALLIARI Lucía</t>
  </si>
  <si>
    <t>HEREDIA Pedro</t>
  </si>
  <si>
    <t>LIPANI Battista</t>
  </si>
  <si>
    <t xml:space="preserve">TOSO Amancio </t>
  </si>
  <si>
    <t>CUEVAS HERMIDA Benicio Isidro</t>
  </si>
  <si>
    <t>BENESCH Emilia</t>
  </si>
  <si>
    <t>GONZALEZ MONTALVO Bahia</t>
  </si>
  <si>
    <t>BADIN Pedro</t>
  </si>
  <si>
    <t xml:space="preserve">WSS - Puerto del Aguila </t>
  </si>
  <si>
    <t>7</t>
  </si>
  <si>
    <t>ESP</t>
  </si>
  <si>
    <t>USA</t>
  </si>
  <si>
    <t xml:space="preserve">CALABRESE Mora </t>
  </si>
  <si>
    <t xml:space="preserve">ROSSI GALIZZI Augusto </t>
  </si>
  <si>
    <t xml:space="preserve">CASTILLA Rufino </t>
  </si>
  <si>
    <t xml:space="preserve">ELIZONDO Josefina </t>
  </si>
  <si>
    <t xml:space="preserve">BARRIONUEVO Jerónimo </t>
  </si>
  <si>
    <t xml:space="preserve">ALDATZ Miguel Ignacio </t>
  </si>
  <si>
    <t xml:space="preserve">MERCERAT Magdalena </t>
  </si>
  <si>
    <t xml:space="preserve">ELLEMBERGER Segundo </t>
  </si>
  <si>
    <t>CUENCA ESMAIMAN Renata</t>
  </si>
  <si>
    <t>BARRÉ Bernarda</t>
  </si>
  <si>
    <t xml:space="preserve">SUAR VOLCO Joaquin </t>
  </si>
  <si>
    <t xml:space="preserve">HARIRI Isabel </t>
  </si>
  <si>
    <t>MUSSEL Margarita</t>
  </si>
  <si>
    <t xml:space="preserve">FOSSATTI Sofía Guillermina </t>
  </si>
  <si>
    <t>LOUREYRO MORGENSTERN Joaquina</t>
  </si>
  <si>
    <t>CELLA Vito</t>
  </si>
  <si>
    <t>GAIBROIS Tomas</t>
  </si>
  <si>
    <t>❌</t>
  </si>
  <si>
    <t>213981</t>
  </si>
  <si>
    <t>43243582</t>
  </si>
  <si>
    <t>9/03/2001</t>
  </si>
  <si>
    <t>1062</t>
  </si>
  <si>
    <t/>
  </si>
  <si>
    <t>1551201238</t>
  </si>
  <si>
    <t>1562549150</t>
  </si>
  <si>
    <t>62741179603</t>
  </si>
  <si>
    <t>223035</t>
  </si>
  <si>
    <t>36594987</t>
  </si>
  <si>
    <t>6/12/1991</t>
  </si>
  <si>
    <t>1180</t>
  </si>
  <si>
    <t>✅</t>
  </si>
  <si>
    <t>186971</t>
  </si>
  <si>
    <t>41548534</t>
  </si>
  <si>
    <t>10/01/1998</t>
  </si>
  <si>
    <t>2800</t>
  </si>
  <si>
    <t>3487239634</t>
  </si>
  <si>
    <t>12</t>
  </si>
  <si>
    <t>47436764</t>
  </si>
  <si>
    <t>1/03/2026</t>
  </si>
  <si>
    <t>1613</t>
  </si>
  <si>
    <t>210184</t>
  </si>
  <si>
    <t>47866955</t>
  </si>
  <si>
    <t>4/09/2007</t>
  </si>
  <si>
    <t>1419</t>
  </si>
  <si>
    <t>213390</t>
  </si>
  <si>
    <t>46958758</t>
  </si>
  <si>
    <t>5/09/2005</t>
  </si>
  <si>
    <t>1111</t>
  </si>
  <si>
    <t>1160965644</t>
  </si>
  <si>
    <t>224856</t>
  </si>
  <si>
    <t>48715531</t>
  </si>
  <si>
    <t>7/05/2008</t>
  </si>
  <si>
    <t>1640</t>
  </si>
  <si>
    <t>1556687314</t>
  </si>
  <si>
    <t>489635703</t>
  </si>
  <si>
    <t>2</t>
  </si>
  <si>
    <t>43008721</t>
  </si>
  <si>
    <t>16/04/2001</t>
  </si>
  <si>
    <t>2000</t>
  </si>
  <si>
    <t>3415142461</t>
  </si>
  <si>
    <t>613794</t>
  </si>
  <si>
    <t>61379481703</t>
  </si>
  <si>
    <t>220556</t>
  </si>
  <si>
    <t>21671441</t>
  </si>
  <si>
    <t>14/06/1970</t>
  </si>
  <si>
    <t>1642</t>
  </si>
  <si>
    <t>61695259102</t>
  </si>
  <si>
    <t>224778</t>
  </si>
  <si>
    <t>50132497</t>
  </si>
  <si>
    <t>21/04/2010</t>
  </si>
  <si>
    <t>1629</t>
  </si>
  <si>
    <t>1153797433</t>
  </si>
  <si>
    <t>1157544737</t>
  </si>
  <si>
    <t>228197</t>
  </si>
  <si>
    <t>50241942</t>
  </si>
  <si>
    <t>5/04/2010</t>
  </si>
  <si>
    <t>2143</t>
  </si>
  <si>
    <t>203193</t>
  </si>
  <si>
    <t>50156147</t>
  </si>
  <si>
    <t>18/02/2026</t>
  </si>
  <si>
    <t>1430</t>
  </si>
  <si>
    <t>1568526245</t>
  </si>
  <si>
    <t>62732372203</t>
  </si>
  <si>
    <t>223625</t>
  </si>
  <si>
    <t>48860170</t>
  </si>
  <si>
    <t>26/08/2008</t>
  </si>
  <si>
    <t>1559387963</t>
  </si>
  <si>
    <t>1130405070</t>
  </si>
  <si>
    <t>207305</t>
  </si>
  <si>
    <t>49951554</t>
  </si>
  <si>
    <t>2/12/1009</t>
  </si>
  <si>
    <t>1621</t>
  </si>
  <si>
    <t>1150609690</t>
  </si>
  <si>
    <t>1157029766</t>
  </si>
  <si>
    <t>224796</t>
  </si>
  <si>
    <t>50434935</t>
  </si>
  <si>
    <t>17/07/2010</t>
  </si>
  <si>
    <t>1609</t>
  </si>
  <si>
    <t>1153207320</t>
  </si>
  <si>
    <t>1159946423</t>
  </si>
  <si>
    <t>12609231003</t>
  </si>
  <si>
    <t>220260</t>
  </si>
  <si>
    <t>38448069</t>
  </si>
  <si>
    <t>30/09/1994</t>
  </si>
  <si>
    <t>3487509039</t>
  </si>
  <si>
    <t>12678</t>
  </si>
  <si>
    <t>206708</t>
  </si>
  <si>
    <t>52220949</t>
  </si>
  <si>
    <t>1641</t>
  </si>
  <si>
    <t>1170545184</t>
  </si>
  <si>
    <t>61083552003</t>
  </si>
  <si>
    <t>195351</t>
  </si>
  <si>
    <t>50435599</t>
  </si>
  <si>
    <t>15/07/2010</t>
  </si>
  <si>
    <t>1608</t>
  </si>
  <si>
    <t>1144379842</t>
  </si>
  <si>
    <t>61064708202</t>
  </si>
  <si>
    <t>213395</t>
  </si>
  <si>
    <t>26371685</t>
  </si>
  <si>
    <t>29/11/1977</t>
  </si>
  <si>
    <t>61064708204</t>
  </si>
  <si>
    <t>195408</t>
  </si>
  <si>
    <t>48839440</t>
  </si>
  <si>
    <t>27/06/2008</t>
  </si>
  <si>
    <t>1141990059</t>
  </si>
  <si>
    <t>1135695808</t>
  </si>
  <si>
    <t>209398</t>
  </si>
  <si>
    <t>50704565</t>
  </si>
  <si>
    <t>20/11/2010</t>
  </si>
  <si>
    <t>1637</t>
  </si>
  <si>
    <t>61314705603</t>
  </si>
  <si>
    <t>164031</t>
  </si>
  <si>
    <t>32018495</t>
  </si>
  <si>
    <t>8/01/1986</t>
  </si>
  <si>
    <t>3487679619</t>
  </si>
  <si>
    <t>210806</t>
  </si>
  <si>
    <t>49833927</t>
  </si>
  <si>
    <t>26/10/2009</t>
  </si>
  <si>
    <t>124</t>
  </si>
  <si>
    <t>1923</t>
  </si>
  <si>
    <t>2215741651</t>
  </si>
  <si>
    <t>2215222133</t>
  </si>
  <si>
    <t>218076</t>
  </si>
  <si>
    <t>47573646</t>
  </si>
  <si>
    <t>22/11/2010</t>
  </si>
  <si>
    <t>1015</t>
  </si>
  <si>
    <t>11540044972</t>
  </si>
  <si>
    <t>224767</t>
  </si>
  <si>
    <t>50681138</t>
  </si>
  <si>
    <t>27/09/2010</t>
  </si>
  <si>
    <t>1154004972</t>
  </si>
  <si>
    <t>47394399</t>
  </si>
  <si>
    <t>21/08/2006</t>
  </si>
  <si>
    <t>1431</t>
  </si>
  <si>
    <t>61578660903</t>
  </si>
  <si>
    <t>47070205</t>
  </si>
  <si>
    <t>6/01/2006</t>
  </si>
  <si>
    <t>1644</t>
  </si>
  <si>
    <t>219921</t>
  </si>
  <si>
    <t>49600281</t>
  </si>
  <si>
    <t>16/05/2009</t>
  </si>
  <si>
    <t>1164145042</t>
  </si>
  <si>
    <t>1164145028</t>
  </si>
  <si>
    <t>61326794903</t>
  </si>
  <si>
    <t>224587</t>
  </si>
  <si>
    <t>49422694</t>
  </si>
  <si>
    <t>10/11/2009</t>
  </si>
  <si>
    <t>60869896104</t>
  </si>
  <si>
    <t>205491</t>
  </si>
  <si>
    <t>43992484</t>
  </si>
  <si>
    <t>4/06/2002</t>
  </si>
  <si>
    <t>1428</t>
  </si>
  <si>
    <t>1161032754</t>
  </si>
  <si>
    <t>222880</t>
  </si>
  <si>
    <t>17850833</t>
  </si>
  <si>
    <t>5/09/1967</t>
  </si>
  <si>
    <t>60902796301</t>
  </si>
  <si>
    <t>52092349</t>
  </si>
  <si>
    <t>1429</t>
  </si>
  <si>
    <t>21</t>
  </si>
  <si>
    <t>51717346</t>
  </si>
  <si>
    <t>21/07/2006</t>
  </si>
  <si>
    <t>1914</t>
  </si>
  <si>
    <t>222851257202</t>
  </si>
  <si>
    <t>224823</t>
  </si>
  <si>
    <t>94515687</t>
  </si>
  <si>
    <t>5/03/1979</t>
  </si>
  <si>
    <t>1636</t>
  </si>
  <si>
    <t>1155712034</t>
  </si>
  <si>
    <t>61763927101</t>
  </si>
  <si>
    <t>228201</t>
  </si>
  <si>
    <t>48162295</t>
  </si>
  <si>
    <t>5/12/2007</t>
  </si>
  <si>
    <t>2930</t>
  </si>
  <si>
    <t>3329510868</t>
  </si>
  <si>
    <t>61169263402</t>
  </si>
  <si>
    <t>211551</t>
  </si>
  <si>
    <t>46586199</t>
  </si>
  <si>
    <t>26/04/2005</t>
  </si>
  <si>
    <t>226497</t>
  </si>
  <si>
    <t>52768323</t>
  </si>
  <si>
    <t>16/10/2012</t>
  </si>
  <si>
    <t>1638</t>
  </si>
  <si>
    <t>5491154107295</t>
  </si>
  <si>
    <t>5491144175793</t>
  </si>
  <si>
    <t>60870545304</t>
  </si>
  <si>
    <t>210051</t>
  </si>
  <si>
    <t>50701994</t>
  </si>
  <si>
    <t>14/12/2010</t>
  </si>
  <si>
    <t>1648</t>
  </si>
  <si>
    <t>61022833003</t>
  </si>
  <si>
    <t>221117</t>
  </si>
  <si>
    <t>26562029</t>
  </si>
  <si>
    <t>22/03/1978</t>
  </si>
  <si>
    <t>1168827987</t>
  </si>
  <si>
    <t>182710</t>
  </si>
  <si>
    <t>210052</t>
  </si>
  <si>
    <t>46872477</t>
  </si>
  <si>
    <t>15/09/2005</t>
  </si>
  <si>
    <t>1425</t>
  </si>
  <si>
    <t>1108006769</t>
  </si>
  <si>
    <t>1169830052</t>
  </si>
  <si>
    <t>62698449003</t>
  </si>
  <si>
    <t>217115</t>
  </si>
  <si>
    <t>48578167</t>
  </si>
  <si>
    <t>10/03/2008</t>
  </si>
  <si>
    <t>1643</t>
  </si>
  <si>
    <t>1163044368</t>
  </si>
  <si>
    <t>81651</t>
  </si>
  <si>
    <t>169450</t>
  </si>
  <si>
    <t>47551873</t>
  </si>
  <si>
    <t>26/12/2006</t>
  </si>
  <si>
    <t>1894</t>
  </si>
  <si>
    <t>2215663201</t>
  </si>
  <si>
    <t>2215663203</t>
  </si>
  <si>
    <t>220518919104</t>
  </si>
  <si>
    <t>222112</t>
  </si>
  <si>
    <t>47026601</t>
  </si>
  <si>
    <t>9/11/2005</t>
  </si>
  <si>
    <t>1426</t>
  </si>
  <si>
    <t>1161649489</t>
  </si>
  <si>
    <t>1144072609</t>
  </si>
  <si>
    <t>219355</t>
  </si>
  <si>
    <t>50600838</t>
  </si>
  <si>
    <t>204849</t>
  </si>
  <si>
    <t>50414789</t>
  </si>
  <si>
    <t>8/07/2010</t>
  </si>
  <si>
    <t>1144345575</t>
  </si>
  <si>
    <t>1140290151</t>
  </si>
  <si>
    <t>537835018806</t>
  </si>
  <si>
    <t>218280</t>
  </si>
  <si>
    <t>20383836</t>
  </si>
  <si>
    <t>1/05/1968</t>
  </si>
  <si>
    <t>1566102090</t>
  </si>
  <si>
    <t>22</t>
  </si>
  <si>
    <t>209401</t>
  </si>
  <si>
    <t>50305055</t>
  </si>
  <si>
    <t>14/04/2010</t>
  </si>
  <si>
    <t>1165347596</t>
  </si>
  <si>
    <t>1161858660</t>
  </si>
  <si>
    <t>61460659302</t>
  </si>
  <si>
    <t>200514</t>
  </si>
  <si>
    <t>46571854</t>
  </si>
  <si>
    <t>22/06/2005</t>
  </si>
  <si>
    <t>812</t>
  </si>
  <si>
    <t>22544244502</t>
  </si>
  <si>
    <t>205492</t>
  </si>
  <si>
    <t>20215237</t>
  </si>
  <si>
    <t>14/11/1968</t>
  </si>
  <si>
    <t>1834</t>
  </si>
  <si>
    <t>1150230481</t>
  </si>
  <si>
    <t>184274</t>
  </si>
  <si>
    <t>14126492</t>
  </si>
  <si>
    <t>22/07/1960</t>
  </si>
  <si>
    <t>1670</t>
  </si>
  <si>
    <t>1168313351</t>
  </si>
  <si>
    <t>60621223902</t>
  </si>
  <si>
    <t>200516</t>
  </si>
  <si>
    <t>26583473</t>
  </si>
  <si>
    <t>10/04/1978</t>
  </si>
  <si>
    <t>1</t>
  </si>
  <si>
    <t>21992</t>
  </si>
  <si>
    <t>51705498</t>
  </si>
  <si>
    <t>1/09/2000</t>
  </si>
  <si>
    <t>221976</t>
  </si>
  <si>
    <t>50705487</t>
  </si>
  <si>
    <t>22/12/2010</t>
  </si>
  <si>
    <t>1116</t>
  </si>
  <si>
    <t>192117</t>
  </si>
  <si>
    <t>31089637</t>
  </si>
  <si>
    <t>10/07/1984</t>
  </si>
  <si>
    <t>1135900259</t>
  </si>
  <si>
    <t>1000616107024</t>
  </si>
  <si>
    <t>48</t>
  </si>
  <si>
    <t>92418808</t>
  </si>
  <si>
    <t>11/09/1968</t>
  </si>
  <si>
    <t>223025</t>
  </si>
  <si>
    <t>49817837</t>
  </si>
  <si>
    <t>27/08/2009</t>
  </si>
  <si>
    <t>3415917678</t>
  </si>
  <si>
    <t>3415194625</t>
  </si>
  <si>
    <t>341906060</t>
  </si>
  <si>
    <t>16111</t>
  </si>
  <si>
    <t>202570</t>
  </si>
  <si>
    <t>16821229</t>
  </si>
  <si>
    <t>27/04/1964</t>
  </si>
  <si>
    <t>1154576993</t>
  </si>
  <si>
    <t>206076</t>
  </si>
  <si>
    <t>17370924</t>
  </si>
  <si>
    <t>29/01/1965</t>
  </si>
  <si>
    <t>1669</t>
  </si>
  <si>
    <t>184290</t>
  </si>
  <si>
    <t>17749448</t>
  </si>
  <si>
    <t>5/05/1965</t>
  </si>
  <si>
    <t>1121939562</t>
  </si>
  <si>
    <t>60590674102</t>
  </si>
  <si>
    <t>142205</t>
  </si>
  <si>
    <t>48802814</t>
  </si>
  <si>
    <t>21/08/2008</t>
  </si>
  <si>
    <t>1140948203</t>
  </si>
  <si>
    <t>1144348224</t>
  </si>
  <si>
    <t>224766</t>
  </si>
  <si>
    <t>50703202</t>
  </si>
  <si>
    <t>4/11/2010</t>
  </si>
  <si>
    <t>1713</t>
  </si>
  <si>
    <t>1150478199</t>
  </si>
  <si>
    <t>1144191617</t>
  </si>
  <si>
    <t>199535</t>
  </si>
  <si>
    <t>48031552</t>
  </si>
  <si>
    <t>11/04/2007</t>
  </si>
  <si>
    <t>58791952</t>
  </si>
  <si>
    <t>68183562</t>
  </si>
  <si>
    <t>60885442406</t>
  </si>
  <si>
    <t>216677</t>
  </si>
  <si>
    <t>23903120</t>
  </si>
  <si>
    <t>11/03/1974</t>
  </si>
  <si>
    <t>1150056628</t>
  </si>
  <si>
    <t>6128048271</t>
  </si>
  <si>
    <t>202568</t>
  </si>
  <si>
    <t>20619369</t>
  </si>
  <si>
    <t>9/01/1069</t>
  </si>
  <si>
    <t>608854422</t>
  </si>
  <si>
    <t>220571</t>
  </si>
  <si>
    <t>17200545</t>
  </si>
  <si>
    <t>19/05/1964</t>
  </si>
  <si>
    <t>1145639000</t>
  </si>
  <si>
    <t>61308526302</t>
  </si>
  <si>
    <t>49761435</t>
  </si>
  <si>
    <t>22/09/2009</t>
  </si>
  <si>
    <t>1150031823</t>
  </si>
  <si>
    <t>1170054274</t>
  </si>
  <si>
    <t>61482067602</t>
  </si>
  <si>
    <t>182312</t>
  </si>
  <si>
    <t>50609852</t>
  </si>
  <si>
    <t>25/09/2010</t>
  </si>
  <si>
    <t>1900</t>
  </si>
  <si>
    <t>2215485768</t>
  </si>
  <si>
    <t>2215033161</t>
  </si>
  <si>
    <t>221267</t>
  </si>
  <si>
    <t>48922460</t>
  </si>
  <si>
    <t>1/09/2008</t>
  </si>
  <si>
    <t>2213573333</t>
  </si>
  <si>
    <t>51261261</t>
  </si>
  <si>
    <t>1/09/2011</t>
  </si>
  <si>
    <t>222851257203</t>
  </si>
  <si>
    <t>195348</t>
  </si>
  <si>
    <t>48094863</t>
  </si>
  <si>
    <t>1/05/2007</t>
  </si>
  <si>
    <t>2214635268</t>
  </si>
  <si>
    <t>201979</t>
  </si>
  <si>
    <t>50233575</t>
  </si>
  <si>
    <t>15/03/2010</t>
  </si>
  <si>
    <t>1131802356</t>
  </si>
  <si>
    <t>1131802228</t>
  </si>
  <si>
    <t>60932542503</t>
  </si>
  <si>
    <t>224815</t>
  </si>
  <si>
    <t>49888359</t>
  </si>
  <si>
    <t>22/12/2009</t>
  </si>
  <si>
    <t>1603</t>
  </si>
  <si>
    <t>1167049500</t>
  </si>
  <si>
    <t>224764</t>
  </si>
  <si>
    <t>51390049</t>
  </si>
  <si>
    <t>1167059500</t>
  </si>
  <si>
    <t>201304</t>
  </si>
  <si>
    <t>49426277</t>
  </si>
  <si>
    <t>4/05/2009</t>
  </si>
  <si>
    <t>2215066655</t>
  </si>
  <si>
    <t>2215866141</t>
  </si>
  <si>
    <t>51073305</t>
  </si>
  <si>
    <t>1427</t>
  </si>
  <si>
    <t>1144061301</t>
  </si>
  <si>
    <t>113226531</t>
  </si>
  <si>
    <t>60936294104</t>
  </si>
  <si>
    <t>19</t>
  </si>
  <si>
    <t>47787098</t>
  </si>
  <si>
    <t>5/01/2007</t>
  </si>
  <si>
    <t>1150043162</t>
  </si>
  <si>
    <t>1096100101010</t>
  </si>
  <si>
    <t>50701819</t>
  </si>
  <si>
    <t>29/11/2010</t>
  </si>
  <si>
    <t>224775</t>
  </si>
  <si>
    <t>48462484</t>
  </si>
  <si>
    <t>11/02/2008</t>
  </si>
  <si>
    <t>1167438705</t>
  </si>
  <si>
    <t>1153244102</t>
  </si>
  <si>
    <t>61571468304</t>
  </si>
  <si>
    <t>50417527</t>
  </si>
  <si>
    <t>29/06/2010</t>
  </si>
  <si>
    <t>1154789906</t>
  </si>
  <si>
    <t>61868549802</t>
  </si>
  <si>
    <t>209400</t>
  </si>
  <si>
    <t>49703324</t>
  </si>
  <si>
    <t>30/08/2009</t>
  </si>
  <si>
    <t>1131637901</t>
  </si>
  <si>
    <t>61472857502</t>
  </si>
  <si>
    <t>52</t>
  </si>
  <si>
    <t>50098931</t>
  </si>
  <si>
    <t>12/02/2010</t>
  </si>
  <si>
    <t>2215584734</t>
  </si>
  <si>
    <t>2215582411</t>
  </si>
  <si>
    <t>11</t>
  </si>
  <si>
    <t>48793632</t>
  </si>
  <si>
    <t>2/07/2008</t>
  </si>
  <si>
    <t>1550575173</t>
  </si>
  <si>
    <t>1165318147</t>
  </si>
  <si>
    <t>10639810773803</t>
  </si>
  <si>
    <t>49825462</t>
  </si>
  <si>
    <t>27/12/2010</t>
  </si>
  <si>
    <t>1524973959</t>
  </si>
  <si>
    <t>61129936305</t>
  </si>
  <si>
    <t>LOUREYRO Lisandro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</si>
</sst>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/d/yyyy\ h:mm:ss"/>
    <numFmt numFmtId="165" formatCode="dd/mm/yyyy"/>
  </numFmts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theme="1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/>
    <xf numFmtId="0" fontId="1" fillId="0" borderId="0" xfId="0" applyFont="1"/>
    <xf numFmtId="14" fontId="1" fillId="0" borderId="0" xfId="0" applyNumberFormat="1" applyFont="1"/>
    <xf numFmtId="0" fontId="1" fillId="0" borderId="0" xfId="0" quotePrefix="1" applyFont="1"/>
    <xf numFmtId="0" fontId="1" fillId="0" borderId="1" xfId="0" applyFont="1" applyBorder="1"/>
    <xf numFmtId="165" fontId="1" fillId="0" borderId="0" xfId="0" applyNumberFormat="1" applyFont="1"/>
    <xf numFmtId="0" fontId="2" fillId="0" borderId="0" xfId="0" applyFont="1" applyAlignment="1">
      <alignment horizontal="center"/>
    </xf>
    <xf numFmtId="2" fontId="1" fillId="0" borderId="0" xfId="0" applyNumberFormat="1" applyFont="1"/>
    <xf numFmtId="2" fontId="0" fillId="0" borderId="0" xfId="0" applyNumberFormat="1"/>
    <xf numFmtId="0" fontId="3" fillId="0" borderId="0" xfId="0" applyFont="1"/>
    <xf numFmtId="1" fontId="0" fillId="0" borderId="0" xfId="0" applyNumberFormat="1"/>
    <xf numFmtId="0" fontId="4" fillId="0" borderId="0" xfId="0" applyFont="1"/>
    <xf numFmtId="14" fontId="4" fillId="0" borderId="0" xfId="0" applyNumberFormat="1" applyFont="1"/>
  </cellXfs>
  <cellStyles count="1">
    <cellStyle name="Normal" xfId="0" builtinId="0"/>
  </cellStyles>
  <dxfs count="20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4">
    <tableStyle name="Competidores-style" pivot="0" count="4" xr9:uid="{00000000-0011-0000-FFFF-FFFF00000000}">
      <tableStyleElement type="wholeTable" size="0" dxfId="19"/>
      <tableStyleElement type="headerRow" dxfId="18"/>
      <tableStyleElement type="firstRowStripe" dxfId="17"/>
      <tableStyleElement type="secondRowStripe" dxfId="16"/>
    </tableStyle>
    <tableStyle name="Entrenadores-style" pivot="0" count="4" xr9:uid="{00000000-0011-0000-FFFF-FFFF01000000}">
      <tableStyleElement type="wholeTable" size="0" dxfId="15"/>
      <tableStyleElement type="headerRow" dxfId="14"/>
      <tableStyleElement type="firstRowStripe" dxfId="13"/>
      <tableStyleElement type="secondRowStripe" dxfId="12"/>
    </tableStyle>
    <tableStyle name="Entrenadores-style 2" pivot="0" count="2" xr9:uid="{00000000-0011-0000-FFFF-FFFF02000000}">
      <tableStyleElement type="firstRowStripe" dxfId="11"/>
      <tableStyleElement type="secondRowStripe" dxfId="10"/>
    </tableStyle>
    <tableStyle name="Entrenadores-style 3" pivot="0" count="2" xr9:uid="{00000000-0011-0000-FFFF-FFFF03000000}">
      <tableStyleElement type="firstRowStripe" dxfId="9"/>
      <tableStyleElement type="secondRowStripe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scripcion_competidores" displayName="Inscripcion_competidores" ref="A1:AT1" headerRowCount="0">
  <tableColumns count="46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  <tableColumn id="14" xr3:uid="{00000000-0010-0000-0000-00000E000000}" name="Column14"/>
    <tableColumn id="15" xr3:uid="{00000000-0010-0000-0000-00000F000000}" name="Column15"/>
    <tableColumn id="16" xr3:uid="{00000000-0010-0000-0000-000010000000}" name="Column16"/>
    <tableColumn id="17" xr3:uid="{00000000-0010-0000-0000-000011000000}" name="Column17"/>
    <tableColumn id="18" xr3:uid="{00000000-0010-0000-0000-000012000000}" name="Column18"/>
    <tableColumn id="19" xr3:uid="{00000000-0010-0000-0000-000013000000}" name="Column19"/>
    <tableColumn id="20" xr3:uid="{00000000-0010-0000-0000-000014000000}" name="Column20"/>
    <tableColumn id="21" xr3:uid="{00000000-0010-0000-0000-000015000000}" name="Column21"/>
    <tableColumn id="22" xr3:uid="{00000000-0010-0000-0000-000016000000}" name="Column22"/>
    <tableColumn id="23" xr3:uid="{00000000-0010-0000-0000-000017000000}" name="Column23"/>
    <tableColumn id="24" xr3:uid="{00000000-0010-0000-0000-000018000000}" name="Column24"/>
    <tableColumn id="25" xr3:uid="{00000000-0010-0000-0000-000019000000}" name="Column25"/>
    <tableColumn id="26" xr3:uid="{00000000-0010-0000-0000-00001A000000}" name="Column26"/>
    <tableColumn id="27" xr3:uid="{00000000-0010-0000-0000-00001B000000}" name="Column27"/>
    <tableColumn id="28" xr3:uid="{00000000-0010-0000-0000-00001C000000}" name="Column28"/>
    <tableColumn id="29" xr3:uid="{00000000-0010-0000-0000-00001D000000}" name="Column29"/>
    <tableColumn id="30" xr3:uid="{00000000-0010-0000-0000-00001E000000}" name="Column30"/>
    <tableColumn id="31" xr3:uid="{00000000-0010-0000-0000-00001F000000}" name="Column31"/>
    <tableColumn id="32" xr3:uid="{00000000-0010-0000-0000-000020000000}" name="Column32"/>
    <tableColumn id="33" xr3:uid="{00000000-0010-0000-0000-000021000000}" name="Column33"/>
    <tableColumn id="34" xr3:uid="{00000000-0010-0000-0000-000022000000}" name="Column34"/>
    <tableColumn id="35" xr3:uid="{00000000-0010-0000-0000-000023000000}" name="Column35"/>
    <tableColumn id="36" xr3:uid="{00000000-0010-0000-0000-000024000000}" name="Column36"/>
    <tableColumn id="37" xr3:uid="{00000000-0010-0000-0000-000025000000}" name="Column37"/>
    <tableColumn id="38" xr3:uid="{00000000-0010-0000-0000-000026000000}" name="Column38"/>
    <tableColumn id="39" xr3:uid="{00000000-0010-0000-0000-000027000000}" name="Column39"/>
    <tableColumn id="40" xr3:uid="{00000000-0010-0000-0000-000028000000}" name="Column40"/>
    <tableColumn id="41" xr3:uid="{00000000-0010-0000-0000-000029000000}" name="Column41"/>
    <tableColumn id="42" xr3:uid="{00000000-0010-0000-0000-00002A000000}" name="Column42"/>
    <tableColumn id="43" xr3:uid="{00000000-0010-0000-0000-00002B000000}" name="Column43"/>
    <tableColumn id="44" xr3:uid="{00000000-0010-0000-0000-00002C000000}" name="Column44"/>
    <tableColumn id="45" xr3:uid="{00000000-0010-0000-0000-00002D000000}" name="Column45"/>
    <tableColumn id="46" xr3:uid="{00000000-0010-0000-0000-00002E000000}" name="Column46"/>
  </tableColumns>
  <tableStyleInfo name="Competidores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T4529"/>
  <sheetViews>
    <sheetView workbookViewId="0">
      <pane ySplit="1" topLeftCell="A2" activePane="bottomLeft" state="frozen"/>
      <selection pane="bottomLeft" activeCell="F15" sqref="F15"/>
    </sheetView>
  </sheetViews>
  <sheetFormatPr defaultColWidth="12.5546875" defaultRowHeight="15.75" customHeight="1" x14ac:dyDescent="0.25"/>
  <cols>
    <col min="1" max="1" width="17.33203125" customWidth="1"/>
    <col min="2" max="2" width="10.109375" customWidth="1"/>
    <col min="3" max="3" width="30" customWidth="1"/>
    <col min="4" max="4" width="26.88671875" customWidth="1"/>
    <col min="5" max="5" width="14.88671875" customWidth="1"/>
    <col min="6" max="6" width="18.88671875" customWidth="1"/>
    <col min="7" max="7" width="10.6640625" customWidth="1"/>
    <col min="8" max="8" width="87.44140625" customWidth="1"/>
    <col min="9" max="14" width="18.88671875" customWidth="1"/>
    <col min="15" max="15" width="19" customWidth="1"/>
    <col min="16" max="17" width="18.88671875" customWidth="1"/>
    <col min="18" max="21" width="37.5546875" customWidth="1"/>
    <col min="22" max="23" width="24.44140625" customWidth="1"/>
    <col min="24" max="24" width="18.88671875" customWidth="1"/>
    <col min="25" max="25" width="19.109375" customWidth="1"/>
    <col min="26" max="35" width="18.88671875" customWidth="1"/>
    <col min="36" max="36" width="19" customWidth="1"/>
    <col min="37" max="38" width="18.88671875" customWidth="1"/>
    <col min="39" max="42" width="37.5546875" customWidth="1"/>
    <col min="43" max="44" width="24.44140625" customWidth="1"/>
    <col min="45" max="45" width="18.88671875" customWidth="1"/>
    <col min="46" max="46" width="19.109375" customWidth="1"/>
    <col min="47" max="52" width="18.88671875" customWidth="1"/>
  </cols>
  <sheetData>
    <row r="1" spans="1:46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4</v>
      </c>
      <c r="AA1" s="1" t="s">
        <v>5</v>
      </c>
      <c r="AB1" s="1" t="s">
        <v>6</v>
      </c>
      <c r="AC1" s="1" t="s">
        <v>7</v>
      </c>
      <c r="AD1" s="1" t="s">
        <v>8</v>
      </c>
      <c r="AE1" s="1" t="s">
        <v>9</v>
      </c>
      <c r="AF1" s="1" t="s">
        <v>10</v>
      </c>
      <c r="AG1" s="1" t="s">
        <v>11</v>
      </c>
      <c r="AH1" s="1" t="s">
        <v>12</v>
      </c>
      <c r="AI1" s="1" t="s">
        <v>13</v>
      </c>
      <c r="AJ1" s="1" t="s">
        <v>14</v>
      </c>
      <c r="AK1" s="1" t="s">
        <v>15</v>
      </c>
      <c r="AL1" s="1" t="s">
        <v>16</v>
      </c>
      <c r="AM1" s="1" t="s">
        <v>17</v>
      </c>
      <c r="AN1" s="1" t="s">
        <v>18</v>
      </c>
      <c r="AO1" s="1" t="s">
        <v>19</v>
      </c>
      <c r="AP1" s="1" t="s">
        <v>20</v>
      </c>
      <c r="AQ1" s="1" t="s">
        <v>21</v>
      </c>
      <c r="AR1" s="1" t="s">
        <v>22</v>
      </c>
      <c r="AS1" s="1" t="s">
        <v>23</v>
      </c>
      <c r="AT1" s="1" t="s">
        <v>24</v>
      </c>
    </row>
    <row r="2" spans="1:46" ht="13.2" x14ac:dyDescent="0.25">
      <c r="A2" s="2">
        <v>46062.396216724534</v>
      </c>
      <c r="B2" s="3" t="b">
        <v>1</v>
      </c>
      <c r="C2" s="3" t="s">
        <v>25</v>
      </c>
      <c r="D2" s="3" t="s">
        <v>26</v>
      </c>
      <c r="E2" s="3" t="s">
        <v>27</v>
      </c>
      <c r="F2" s="3" t="s">
        <v>28</v>
      </c>
      <c r="G2" s="3">
        <v>4104</v>
      </c>
      <c r="H2" s="3" t="s">
        <v>29</v>
      </c>
      <c r="I2" s="3">
        <v>54029308</v>
      </c>
      <c r="J2" s="4">
        <v>41761</v>
      </c>
      <c r="K2" s="3" t="s">
        <v>25</v>
      </c>
      <c r="L2" s="3" t="s">
        <v>30</v>
      </c>
      <c r="M2" s="3" t="s">
        <v>31</v>
      </c>
      <c r="N2" s="3" t="s">
        <v>32</v>
      </c>
      <c r="O2" s="3" t="s">
        <v>33</v>
      </c>
      <c r="P2" s="3" t="s">
        <v>34</v>
      </c>
      <c r="Q2" s="3">
        <v>2000</v>
      </c>
      <c r="R2" s="3" t="s">
        <v>35</v>
      </c>
      <c r="S2" s="3" t="s">
        <v>36</v>
      </c>
      <c r="T2" s="3" t="s">
        <v>25</v>
      </c>
      <c r="U2" s="3">
        <v>3416184611</v>
      </c>
      <c r="V2" s="3">
        <v>3416184611</v>
      </c>
      <c r="W2" s="3">
        <v>3416285192</v>
      </c>
      <c r="X2" s="3" t="s">
        <v>37</v>
      </c>
      <c r="Y2" s="3" t="s">
        <v>38</v>
      </c>
    </row>
    <row r="3" spans="1:46" ht="13.2" x14ac:dyDescent="0.25">
      <c r="A3" s="2">
        <v>46064.436972696756</v>
      </c>
      <c r="B3" s="3" t="b">
        <v>1</v>
      </c>
      <c r="C3" s="3" t="s">
        <v>39</v>
      </c>
      <c r="D3" s="3" t="s">
        <v>26</v>
      </c>
      <c r="E3" s="3" t="s">
        <v>40</v>
      </c>
      <c r="F3" s="3" t="s">
        <v>41</v>
      </c>
      <c r="G3" s="3">
        <v>4282</v>
      </c>
      <c r="H3" s="3" t="s">
        <v>42</v>
      </c>
      <c r="I3" s="3">
        <v>52192618</v>
      </c>
      <c r="J3" s="4">
        <v>40970</v>
      </c>
      <c r="K3" s="3" t="s">
        <v>39</v>
      </c>
      <c r="L3" s="3" t="s">
        <v>43</v>
      </c>
      <c r="M3" s="3" t="s">
        <v>31</v>
      </c>
      <c r="N3" s="3" t="s">
        <v>44</v>
      </c>
      <c r="O3" s="3" t="s">
        <v>45</v>
      </c>
      <c r="P3" s="3" t="s">
        <v>46</v>
      </c>
      <c r="Q3" s="3">
        <v>2800</v>
      </c>
      <c r="R3" s="3" t="s">
        <v>47</v>
      </c>
      <c r="S3" s="3" t="s">
        <v>48</v>
      </c>
      <c r="T3" s="3" t="s">
        <v>39</v>
      </c>
      <c r="U3" s="3">
        <v>3487314537</v>
      </c>
      <c r="V3" s="3">
        <v>3487314537</v>
      </c>
      <c r="W3" s="3">
        <v>3487315499</v>
      </c>
      <c r="X3" s="3" t="s">
        <v>49</v>
      </c>
      <c r="Y3" s="3" t="s">
        <v>50</v>
      </c>
    </row>
    <row r="4" spans="1:46" ht="13.2" x14ac:dyDescent="0.25">
      <c r="A4" s="2">
        <v>46066.295534050922</v>
      </c>
      <c r="B4" s="3" t="b">
        <v>1</v>
      </c>
      <c r="C4" s="3" t="s">
        <v>51</v>
      </c>
      <c r="D4" s="3" t="s">
        <v>26</v>
      </c>
      <c r="E4" s="3" t="s">
        <v>52</v>
      </c>
      <c r="F4" s="3" t="s">
        <v>53</v>
      </c>
      <c r="G4" s="3">
        <v>4092</v>
      </c>
      <c r="H4" s="3" t="s">
        <v>54</v>
      </c>
      <c r="I4" s="3">
        <v>52676878</v>
      </c>
      <c r="J4" s="4">
        <v>41122</v>
      </c>
      <c r="K4" s="3" t="s">
        <v>51</v>
      </c>
      <c r="L4" s="3" t="s">
        <v>43</v>
      </c>
      <c r="M4" s="3" t="s">
        <v>31</v>
      </c>
      <c r="N4" s="3" t="s">
        <v>55</v>
      </c>
      <c r="O4" s="3" t="s">
        <v>56</v>
      </c>
      <c r="P4" s="3" t="s">
        <v>57</v>
      </c>
      <c r="Q4" s="3">
        <v>1641</v>
      </c>
      <c r="R4" s="3" t="s">
        <v>58</v>
      </c>
      <c r="S4" s="3" t="s">
        <v>59</v>
      </c>
      <c r="T4" s="3" t="s">
        <v>51</v>
      </c>
      <c r="U4" s="3">
        <v>1131963911</v>
      </c>
      <c r="V4" s="3">
        <v>1131963911</v>
      </c>
      <c r="W4" s="3">
        <v>1138408445</v>
      </c>
      <c r="X4" s="3" t="s">
        <v>60</v>
      </c>
      <c r="Y4" s="3" t="s">
        <v>61</v>
      </c>
    </row>
    <row r="5" spans="1:46" ht="13.2" x14ac:dyDescent="0.25">
      <c r="A5" s="2">
        <v>46066.303334166667</v>
      </c>
      <c r="B5" s="3" t="b">
        <v>1</v>
      </c>
      <c r="C5" s="3" t="s">
        <v>62</v>
      </c>
      <c r="D5" s="3" t="s">
        <v>26</v>
      </c>
      <c r="E5" s="3" t="s">
        <v>63</v>
      </c>
      <c r="F5" s="3" t="s">
        <v>64</v>
      </c>
      <c r="G5" s="3">
        <v>4209</v>
      </c>
      <c r="H5" s="3" t="s">
        <v>65</v>
      </c>
      <c r="I5" s="3">
        <v>51049622</v>
      </c>
      <c r="J5" s="4">
        <v>40751</v>
      </c>
      <c r="K5" s="3" t="s">
        <v>62</v>
      </c>
      <c r="L5" s="3" t="s">
        <v>30</v>
      </c>
      <c r="M5" s="3" t="s">
        <v>31</v>
      </c>
      <c r="N5" s="3" t="s">
        <v>44</v>
      </c>
      <c r="O5" s="3" t="s">
        <v>66</v>
      </c>
      <c r="P5" s="3" t="s">
        <v>67</v>
      </c>
      <c r="Q5" s="3">
        <v>2930</v>
      </c>
      <c r="R5" s="3" t="s">
        <v>68</v>
      </c>
      <c r="S5" s="3" t="s">
        <v>69</v>
      </c>
      <c r="T5" s="3" t="s">
        <v>62</v>
      </c>
      <c r="U5" s="3">
        <v>3329310498</v>
      </c>
      <c r="V5" s="3">
        <v>3329605497</v>
      </c>
      <c r="X5" s="3" t="s">
        <v>70</v>
      </c>
      <c r="Y5" s="3">
        <v>226524238203</v>
      </c>
    </row>
    <row r="6" spans="1:46" ht="13.2" x14ac:dyDescent="0.25">
      <c r="A6" s="2">
        <v>46066.566405439815</v>
      </c>
      <c r="B6" s="3" t="b">
        <v>1</v>
      </c>
      <c r="C6" s="3" t="s">
        <v>71</v>
      </c>
      <c r="D6" s="3" t="s">
        <v>26</v>
      </c>
      <c r="E6" s="3" t="s">
        <v>72</v>
      </c>
      <c r="F6" s="3" t="s">
        <v>73</v>
      </c>
      <c r="G6" s="3">
        <v>4134</v>
      </c>
      <c r="H6" s="3" t="s">
        <v>74</v>
      </c>
      <c r="I6" s="3">
        <v>50805416</v>
      </c>
      <c r="J6" s="4">
        <v>40549</v>
      </c>
      <c r="K6" s="3" t="s">
        <v>75</v>
      </c>
      <c r="L6" s="3" t="s">
        <v>30</v>
      </c>
      <c r="M6" s="3" t="s">
        <v>76</v>
      </c>
      <c r="N6" s="3" t="s">
        <v>77</v>
      </c>
      <c r="O6" s="3" t="s">
        <v>78</v>
      </c>
      <c r="P6" s="3" t="s">
        <v>79</v>
      </c>
      <c r="Q6" s="3">
        <v>1824</v>
      </c>
      <c r="R6" s="3" t="s">
        <v>80</v>
      </c>
      <c r="S6" s="3" t="s">
        <v>81</v>
      </c>
      <c r="T6" s="3" t="s">
        <v>82</v>
      </c>
      <c r="U6" s="3" t="s">
        <v>83</v>
      </c>
      <c r="V6" s="3" t="s">
        <v>83</v>
      </c>
      <c r="W6" s="3" t="s">
        <v>84</v>
      </c>
      <c r="X6" s="3" t="s">
        <v>85</v>
      </c>
      <c r="Y6" s="5" t="s">
        <v>86</v>
      </c>
    </row>
    <row r="7" spans="1:46" ht="13.2" x14ac:dyDescent="0.25">
      <c r="A7" s="2">
        <v>46070.518855347225</v>
      </c>
      <c r="B7" s="3" t="b">
        <v>1</v>
      </c>
      <c r="C7" s="3" t="s">
        <v>87</v>
      </c>
      <c r="D7" s="3">
        <v>420</v>
      </c>
      <c r="E7" s="3" t="s">
        <v>88</v>
      </c>
      <c r="F7" s="3" t="s">
        <v>89</v>
      </c>
      <c r="G7" s="3">
        <v>57027</v>
      </c>
      <c r="H7" s="3" t="s">
        <v>54</v>
      </c>
      <c r="I7" s="3">
        <v>50155666</v>
      </c>
      <c r="J7" s="4">
        <v>40202</v>
      </c>
      <c r="K7" s="3" t="s">
        <v>90</v>
      </c>
      <c r="L7" s="3" t="s">
        <v>43</v>
      </c>
      <c r="M7" s="3" t="s">
        <v>31</v>
      </c>
      <c r="N7" s="3" t="s">
        <v>91</v>
      </c>
      <c r="O7" s="3" t="s">
        <v>92</v>
      </c>
      <c r="P7" s="3" t="s">
        <v>93</v>
      </c>
      <c r="Q7" s="3">
        <v>1429</v>
      </c>
      <c r="R7" s="3" t="s">
        <v>94</v>
      </c>
      <c r="S7" s="3" t="s">
        <v>95</v>
      </c>
      <c r="T7" s="3" t="s">
        <v>96</v>
      </c>
      <c r="U7" s="3" t="s">
        <v>97</v>
      </c>
      <c r="V7" s="3">
        <v>116102439</v>
      </c>
      <c r="X7" s="3" t="s">
        <v>98</v>
      </c>
      <c r="Y7" s="3">
        <v>16176502</v>
      </c>
      <c r="Z7" s="3" t="s">
        <v>99</v>
      </c>
      <c r="AA7" s="3" t="s">
        <v>100</v>
      </c>
      <c r="AB7" s="3">
        <v>57027</v>
      </c>
      <c r="AC7" s="3" t="s">
        <v>54</v>
      </c>
      <c r="AD7" s="3">
        <v>49835037</v>
      </c>
      <c r="AE7" s="4">
        <v>40080</v>
      </c>
      <c r="AF7" s="3" t="s">
        <v>101</v>
      </c>
      <c r="AG7" s="3" t="s">
        <v>43</v>
      </c>
      <c r="AH7" s="3" t="s">
        <v>31</v>
      </c>
      <c r="AI7" s="3" t="s">
        <v>44</v>
      </c>
      <c r="AJ7" s="3" t="s">
        <v>102</v>
      </c>
      <c r="AK7" s="3" t="s">
        <v>103</v>
      </c>
      <c r="AL7" s="3">
        <v>1641</v>
      </c>
      <c r="AM7" s="3" t="s">
        <v>58</v>
      </c>
      <c r="AN7" s="3" t="s">
        <v>100</v>
      </c>
      <c r="AO7" s="3" t="s">
        <v>104</v>
      </c>
      <c r="AP7" s="3" t="s">
        <v>105</v>
      </c>
      <c r="AQ7" s="3" t="s">
        <v>105</v>
      </c>
      <c r="AS7" s="3" t="s">
        <v>106</v>
      </c>
      <c r="AT7" s="3">
        <v>7249956020064</v>
      </c>
    </row>
    <row r="8" spans="1:46" ht="13.2" x14ac:dyDescent="0.25">
      <c r="A8" s="2">
        <v>46070.524723599534</v>
      </c>
      <c r="B8" s="3" t="b">
        <v>1</v>
      </c>
      <c r="C8" s="3" t="s">
        <v>107</v>
      </c>
      <c r="D8" s="3" t="s">
        <v>26</v>
      </c>
      <c r="E8" s="3" t="s">
        <v>108</v>
      </c>
      <c r="F8" s="3" t="s">
        <v>109</v>
      </c>
      <c r="G8" s="3">
        <v>4072</v>
      </c>
      <c r="H8" s="3" t="s">
        <v>74</v>
      </c>
      <c r="I8" s="3">
        <v>53327460</v>
      </c>
      <c r="J8" s="4">
        <v>41435</v>
      </c>
      <c r="K8" s="3" t="s">
        <v>110</v>
      </c>
      <c r="L8" s="3" t="s">
        <v>43</v>
      </c>
      <c r="M8" s="3" t="s">
        <v>31</v>
      </c>
      <c r="N8" s="3" t="s">
        <v>44</v>
      </c>
      <c r="O8" s="3" t="s">
        <v>111</v>
      </c>
      <c r="P8" s="3" t="s">
        <v>112</v>
      </c>
      <c r="Q8" s="3">
        <v>1624</v>
      </c>
      <c r="R8" s="3" t="s">
        <v>113</v>
      </c>
      <c r="S8" s="3" t="s">
        <v>114</v>
      </c>
      <c r="T8" s="3" t="s">
        <v>107</v>
      </c>
      <c r="U8" s="3">
        <v>1169826373</v>
      </c>
      <c r="V8" s="3">
        <v>1151033539</v>
      </c>
      <c r="X8" s="3" t="s">
        <v>115</v>
      </c>
      <c r="Y8" s="3">
        <v>61364525005</v>
      </c>
    </row>
    <row r="9" spans="1:46" ht="13.2" x14ac:dyDescent="0.25">
      <c r="A9" s="2">
        <v>46070.558315254631</v>
      </c>
      <c r="B9" s="3" t="b">
        <v>1</v>
      </c>
      <c r="C9" s="3" t="s">
        <v>116</v>
      </c>
      <c r="D9" s="3">
        <v>420</v>
      </c>
      <c r="E9" s="3" t="s">
        <v>117</v>
      </c>
      <c r="F9" s="3" t="s">
        <v>118</v>
      </c>
      <c r="G9" s="3">
        <v>57447</v>
      </c>
      <c r="H9" s="3" t="s">
        <v>74</v>
      </c>
      <c r="I9" s="3">
        <v>49874599</v>
      </c>
      <c r="J9" s="4">
        <v>40099</v>
      </c>
      <c r="K9" s="3" t="s">
        <v>116</v>
      </c>
      <c r="L9" s="3" t="s">
        <v>30</v>
      </c>
      <c r="M9" s="3" t="s">
        <v>76</v>
      </c>
      <c r="N9" s="3" t="s">
        <v>32</v>
      </c>
      <c r="O9" s="3" t="s">
        <v>33</v>
      </c>
      <c r="P9" s="3" t="s">
        <v>119</v>
      </c>
      <c r="Q9" s="3">
        <v>2000</v>
      </c>
      <c r="R9" s="3" t="s">
        <v>120</v>
      </c>
      <c r="S9" s="3" t="s">
        <v>118</v>
      </c>
      <c r="T9" s="3" t="s">
        <v>121</v>
      </c>
      <c r="U9" s="3" t="s">
        <v>122</v>
      </c>
      <c r="V9" s="3" t="s">
        <v>122</v>
      </c>
      <c r="W9" s="3" t="s">
        <v>123</v>
      </c>
      <c r="X9" s="3" t="s">
        <v>124</v>
      </c>
      <c r="Y9" s="3">
        <v>61284297402</v>
      </c>
      <c r="Z9" s="3" t="s">
        <v>125</v>
      </c>
      <c r="AA9" s="3" t="s">
        <v>126</v>
      </c>
      <c r="AB9" s="3">
        <v>57447</v>
      </c>
      <c r="AC9" s="3" t="s">
        <v>74</v>
      </c>
      <c r="AD9" s="3">
        <v>49759542</v>
      </c>
      <c r="AE9" s="4">
        <v>40045</v>
      </c>
      <c r="AG9" s="3" t="s">
        <v>30</v>
      </c>
      <c r="AH9" s="3" t="s">
        <v>76</v>
      </c>
      <c r="AI9" s="3" t="s">
        <v>127</v>
      </c>
      <c r="AJ9" s="3" t="s">
        <v>128</v>
      </c>
      <c r="AM9" s="3" t="s">
        <v>129</v>
      </c>
      <c r="AN9" s="3" t="s">
        <v>130</v>
      </c>
      <c r="AP9" s="3" t="s">
        <v>131</v>
      </c>
      <c r="AQ9" s="3" t="s">
        <v>131</v>
      </c>
      <c r="AS9" s="3" t="s">
        <v>124</v>
      </c>
    </row>
    <row r="10" spans="1:46" ht="13.2" x14ac:dyDescent="0.25">
      <c r="A10" s="2">
        <v>46070.567355694446</v>
      </c>
      <c r="B10" s="3" t="b">
        <v>1</v>
      </c>
      <c r="C10" s="3" t="s">
        <v>132</v>
      </c>
      <c r="D10" s="3" t="s">
        <v>26</v>
      </c>
      <c r="E10" s="3" t="s">
        <v>133</v>
      </c>
      <c r="F10" s="3" t="s">
        <v>134</v>
      </c>
      <c r="G10" s="3">
        <v>4085</v>
      </c>
      <c r="H10" s="3" t="s">
        <v>74</v>
      </c>
      <c r="I10" s="3">
        <v>53087006</v>
      </c>
      <c r="J10" s="4">
        <v>41308</v>
      </c>
      <c r="K10" s="3" t="s">
        <v>132</v>
      </c>
      <c r="L10" s="3" t="s">
        <v>30</v>
      </c>
      <c r="M10" s="3" t="s">
        <v>31</v>
      </c>
      <c r="N10" s="3" t="s">
        <v>92</v>
      </c>
      <c r="O10" s="3" t="s">
        <v>92</v>
      </c>
      <c r="P10" s="3" t="s">
        <v>135</v>
      </c>
      <c r="Q10" s="3">
        <v>1426</v>
      </c>
      <c r="R10" s="3" t="s">
        <v>136</v>
      </c>
      <c r="S10" s="3" t="s">
        <v>137</v>
      </c>
      <c r="T10" s="3" t="s">
        <v>132</v>
      </c>
      <c r="U10" s="3" t="s">
        <v>138</v>
      </c>
      <c r="V10" s="3" t="s">
        <v>138</v>
      </c>
      <c r="W10" s="3" t="s">
        <v>139</v>
      </c>
      <c r="X10" s="3" t="s">
        <v>140</v>
      </c>
      <c r="Y10" s="3" t="s">
        <v>141</v>
      </c>
      <c r="Z10" s="3" t="s">
        <v>133</v>
      </c>
      <c r="AA10" s="3" t="s">
        <v>134</v>
      </c>
      <c r="AB10" s="3">
        <v>4085</v>
      </c>
      <c r="AC10" s="3" t="s">
        <v>74</v>
      </c>
      <c r="AD10" s="3">
        <v>53087006</v>
      </c>
      <c r="AE10" s="4">
        <v>41308</v>
      </c>
      <c r="AF10" s="3" t="s">
        <v>132</v>
      </c>
      <c r="AG10" s="3" t="s">
        <v>30</v>
      </c>
      <c r="AH10" s="3" t="s">
        <v>76</v>
      </c>
      <c r="AI10" s="3" t="s">
        <v>142</v>
      </c>
      <c r="AJ10" s="3" t="s">
        <v>142</v>
      </c>
      <c r="AK10" s="3" t="s">
        <v>143</v>
      </c>
      <c r="AL10" s="3">
        <v>1426</v>
      </c>
      <c r="AM10" s="3" t="s">
        <v>144</v>
      </c>
      <c r="AN10" s="3" t="s">
        <v>137</v>
      </c>
      <c r="AO10" s="3" t="s">
        <v>132</v>
      </c>
      <c r="AP10" s="3" t="s">
        <v>145</v>
      </c>
      <c r="AQ10" s="3" t="s">
        <v>145</v>
      </c>
      <c r="AR10" s="3" t="s">
        <v>146</v>
      </c>
      <c r="AS10" s="3" t="s">
        <v>140</v>
      </c>
      <c r="AT10" s="3" t="s">
        <v>141</v>
      </c>
    </row>
    <row r="11" spans="1:46" ht="13.2" x14ac:dyDescent="0.25">
      <c r="A11" s="2">
        <v>46070.625137002316</v>
      </c>
      <c r="B11" s="3" t="b">
        <v>1</v>
      </c>
      <c r="C11" s="3" t="s">
        <v>147</v>
      </c>
      <c r="D11" s="3" t="s">
        <v>26</v>
      </c>
      <c r="E11" s="3" t="s">
        <v>148</v>
      </c>
      <c r="F11" s="3" t="s">
        <v>149</v>
      </c>
      <c r="G11" s="3" t="s">
        <v>150</v>
      </c>
      <c r="H11" s="3" t="s">
        <v>74</v>
      </c>
      <c r="I11" s="3">
        <v>53957972</v>
      </c>
      <c r="J11" s="4">
        <v>41776</v>
      </c>
      <c r="K11" s="3" t="s">
        <v>151</v>
      </c>
      <c r="L11" s="3" t="s">
        <v>43</v>
      </c>
      <c r="M11" s="3" t="s">
        <v>31</v>
      </c>
      <c r="N11" s="3" t="s">
        <v>44</v>
      </c>
      <c r="O11" s="3" t="s">
        <v>142</v>
      </c>
      <c r="P11" s="3" t="s">
        <v>152</v>
      </c>
      <c r="Q11" s="3">
        <v>1430</v>
      </c>
      <c r="R11" s="3" t="s">
        <v>153</v>
      </c>
      <c r="S11" s="3" t="s">
        <v>154</v>
      </c>
      <c r="T11" s="3" t="s">
        <v>151</v>
      </c>
      <c r="U11" s="3">
        <v>1140759121</v>
      </c>
      <c r="V11" s="3" t="s">
        <v>155</v>
      </c>
      <c r="W11" s="3" t="s">
        <v>156</v>
      </c>
      <c r="X11" s="3" t="s">
        <v>157</v>
      </c>
      <c r="Y11" s="3">
        <v>61888025803</v>
      </c>
    </row>
    <row r="12" spans="1:46" ht="13.2" x14ac:dyDescent="0.25">
      <c r="A12" s="2">
        <v>46070.820502199073</v>
      </c>
      <c r="B12" s="3" t="b">
        <v>1</v>
      </c>
      <c r="C12" s="3" t="s">
        <v>158</v>
      </c>
      <c r="D12" s="3" t="s">
        <v>26</v>
      </c>
      <c r="E12" s="3" t="s">
        <v>159</v>
      </c>
      <c r="F12" s="3" t="s">
        <v>160</v>
      </c>
      <c r="G12" s="3">
        <v>3938</v>
      </c>
      <c r="H12" s="3" t="s">
        <v>161</v>
      </c>
      <c r="I12" s="3">
        <v>53185733</v>
      </c>
      <c r="J12" s="4">
        <v>41335</v>
      </c>
      <c r="K12" s="3" t="s">
        <v>162</v>
      </c>
      <c r="L12" s="3" t="s">
        <v>43</v>
      </c>
      <c r="M12" s="3" t="s">
        <v>76</v>
      </c>
      <c r="N12" s="3" t="s">
        <v>32</v>
      </c>
      <c r="O12" s="3" t="s">
        <v>33</v>
      </c>
      <c r="P12" s="3" t="s">
        <v>163</v>
      </c>
      <c r="Q12" s="3">
        <v>2000</v>
      </c>
      <c r="R12" s="3" t="s">
        <v>164</v>
      </c>
      <c r="T12" s="3" t="s">
        <v>158</v>
      </c>
      <c r="U12" s="3" t="s">
        <v>165</v>
      </c>
      <c r="V12" s="3" t="s">
        <v>165</v>
      </c>
      <c r="W12" s="3" t="s">
        <v>166</v>
      </c>
      <c r="X12" s="3" t="s">
        <v>60</v>
      </c>
      <c r="Y12" s="3" t="s">
        <v>167</v>
      </c>
    </row>
    <row r="13" spans="1:46" ht="13.2" x14ac:dyDescent="0.25">
      <c r="A13" s="2">
        <v>46070.850034629635</v>
      </c>
      <c r="B13" s="3" t="b">
        <v>1</v>
      </c>
      <c r="C13" s="3" t="s">
        <v>168</v>
      </c>
      <c r="D13" s="3" t="s">
        <v>26</v>
      </c>
      <c r="E13" s="3" t="s">
        <v>169</v>
      </c>
      <c r="F13" s="3" t="s">
        <v>170</v>
      </c>
      <c r="G13" s="3">
        <v>3790</v>
      </c>
      <c r="H13" s="3" t="s">
        <v>171</v>
      </c>
      <c r="I13" s="3">
        <v>51583086</v>
      </c>
      <c r="J13" s="4">
        <v>40851</v>
      </c>
      <c r="K13" s="3" t="s">
        <v>168</v>
      </c>
      <c r="L13" s="3" t="s">
        <v>30</v>
      </c>
      <c r="M13" s="3" t="s">
        <v>31</v>
      </c>
      <c r="N13" s="3" t="s">
        <v>172</v>
      </c>
      <c r="O13" s="3" t="s">
        <v>173</v>
      </c>
      <c r="P13" s="3" t="s">
        <v>174</v>
      </c>
      <c r="Q13" s="3">
        <v>1640</v>
      </c>
      <c r="R13" s="3" t="s">
        <v>175</v>
      </c>
      <c r="S13" s="3" t="s">
        <v>176</v>
      </c>
      <c r="T13" s="3" t="s">
        <v>168</v>
      </c>
      <c r="U13" s="3">
        <v>1157737268</v>
      </c>
      <c r="V13" s="3" t="s">
        <v>177</v>
      </c>
      <c r="W13" s="3" t="s">
        <v>178</v>
      </c>
      <c r="X13" s="3" t="s">
        <v>115</v>
      </c>
      <c r="Y13" s="3">
        <v>60916572004</v>
      </c>
    </row>
    <row r="14" spans="1:46" ht="13.2" x14ac:dyDescent="0.25">
      <c r="A14" s="2">
        <v>46070.899939178242</v>
      </c>
      <c r="B14" s="3" t="b">
        <v>1</v>
      </c>
      <c r="C14" s="3" t="s">
        <v>179</v>
      </c>
      <c r="D14" s="3" t="s">
        <v>180</v>
      </c>
      <c r="E14" s="3" t="s">
        <v>181</v>
      </c>
      <c r="F14" s="3" t="s">
        <v>182</v>
      </c>
      <c r="G14" s="3">
        <v>3586</v>
      </c>
      <c r="H14" s="3" t="s">
        <v>65</v>
      </c>
      <c r="I14" s="3">
        <v>54354129</v>
      </c>
      <c r="J14" s="4">
        <v>41605</v>
      </c>
      <c r="K14" s="3" t="s">
        <v>179</v>
      </c>
      <c r="L14" s="3" t="s">
        <v>30</v>
      </c>
      <c r="M14" s="3" t="s">
        <v>31</v>
      </c>
      <c r="N14" s="3" t="s">
        <v>44</v>
      </c>
      <c r="O14" s="3" t="s">
        <v>183</v>
      </c>
      <c r="P14" s="3" t="s">
        <v>184</v>
      </c>
      <c r="Q14" s="3">
        <v>2930</v>
      </c>
      <c r="R14" s="3" t="s">
        <v>185</v>
      </c>
      <c r="S14" s="3" t="s">
        <v>186</v>
      </c>
      <c r="T14" s="3" t="s">
        <v>179</v>
      </c>
      <c r="U14" s="3">
        <v>3329639972</v>
      </c>
      <c r="V14" s="3">
        <v>3329469063</v>
      </c>
      <c r="W14" s="3">
        <v>3329423738</v>
      </c>
      <c r="X14" s="3" t="s">
        <v>187</v>
      </c>
      <c r="Y14" s="3" t="s">
        <v>188</v>
      </c>
    </row>
    <row r="15" spans="1:46" ht="13.2" x14ac:dyDescent="0.25">
      <c r="A15" s="2">
        <v>46071.357248194443</v>
      </c>
      <c r="B15" s="3" t="b">
        <v>1</v>
      </c>
      <c r="C15" s="3" t="s">
        <v>189</v>
      </c>
      <c r="D15" s="3" t="s">
        <v>26</v>
      </c>
      <c r="E15" s="3" t="s">
        <v>190</v>
      </c>
      <c r="F15" s="3" t="s">
        <v>191</v>
      </c>
      <c r="G15" s="3">
        <v>3832</v>
      </c>
      <c r="H15" s="3" t="s">
        <v>171</v>
      </c>
      <c r="I15" s="3">
        <v>53956527</v>
      </c>
      <c r="J15" s="4">
        <v>41774</v>
      </c>
      <c r="K15" s="3" t="s">
        <v>189</v>
      </c>
      <c r="L15" s="3" t="s">
        <v>30</v>
      </c>
      <c r="M15" s="3" t="s">
        <v>31</v>
      </c>
      <c r="N15" s="3" t="s">
        <v>44</v>
      </c>
      <c r="O15" s="3" t="s">
        <v>192</v>
      </c>
      <c r="P15" s="3" t="s">
        <v>193</v>
      </c>
      <c r="Q15" s="3">
        <v>1704</v>
      </c>
      <c r="R15" s="3" t="s">
        <v>194</v>
      </c>
      <c r="S15" s="3" t="s">
        <v>191</v>
      </c>
      <c r="T15" s="3" t="s">
        <v>189</v>
      </c>
      <c r="U15" s="3">
        <v>1160235442</v>
      </c>
      <c r="V15" s="3">
        <v>1167433488</v>
      </c>
      <c r="W15" s="3">
        <v>1160251424</v>
      </c>
      <c r="X15" s="3" t="s">
        <v>140</v>
      </c>
      <c r="Y15" s="3">
        <v>61115544202</v>
      </c>
    </row>
    <row r="16" spans="1:46" ht="13.2" x14ac:dyDescent="0.25">
      <c r="A16" s="2">
        <v>46071.381480405093</v>
      </c>
      <c r="B16" s="3" t="b">
        <v>1</v>
      </c>
      <c r="C16" s="3" t="s">
        <v>195</v>
      </c>
      <c r="D16" s="3" t="s">
        <v>26</v>
      </c>
      <c r="E16" s="3" t="s">
        <v>196</v>
      </c>
      <c r="F16" s="3" t="s">
        <v>197</v>
      </c>
      <c r="G16" s="3">
        <v>3962</v>
      </c>
      <c r="H16" s="3" t="s">
        <v>198</v>
      </c>
      <c r="I16" s="3">
        <v>52834659</v>
      </c>
      <c r="J16" s="4">
        <v>41219</v>
      </c>
      <c r="K16" s="3" t="s">
        <v>195</v>
      </c>
      <c r="L16" s="3" t="s">
        <v>43</v>
      </c>
      <c r="M16" s="3" t="s">
        <v>31</v>
      </c>
      <c r="N16" s="3" t="s">
        <v>44</v>
      </c>
      <c r="O16" s="3" t="s">
        <v>92</v>
      </c>
      <c r="P16" s="3" t="s">
        <v>199</v>
      </c>
      <c r="Q16" s="3">
        <v>1011</v>
      </c>
      <c r="R16" s="3" t="s">
        <v>200</v>
      </c>
      <c r="S16" s="3" t="s">
        <v>201</v>
      </c>
      <c r="T16" s="3" t="s">
        <v>195</v>
      </c>
      <c r="U16" s="3">
        <v>1157189034</v>
      </c>
      <c r="V16" s="3">
        <v>1160189038</v>
      </c>
      <c r="X16" s="3" t="s">
        <v>202</v>
      </c>
      <c r="Y16" s="3" t="s">
        <v>203</v>
      </c>
    </row>
    <row r="17" spans="1:46" ht="13.2" x14ac:dyDescent="0.25">
      <c r="A17" s="2">
        <v>46071.384205902781</v>
      </c>
      <c r="B17" s="3" t="b">
        <v>1</v>
      </c>
      <c r="C17" s="3" t="s">
        <v>204</v>
      </c>
      <c r="D17" s="3" t="s">
        <v>26</v>
      </c>
      <c r="E17" s="3" t="s">
        <v>205</v>
      </c>
      <c r="F17" s="3" t="s">
        <v>206</v>
      </c>
      <c r="G17" s="3">
        <v>4182</v>
      </c>
      <c r="H17" s="3" t="s">
        <v>207</v>
      </c>
      <c r="I17" s="3">
        <v>51336821</v>
      </c>
      <c r="J17" s="4">
        <v>40765</v>
      </c>
      <c r="K17" s="3" t="s">
        <v>204</v>
      </c>
      <c r="L17" s="3" t="s">
        <v>43</v>
      </c>
      <c r="M17" s="3" t="s">
        <v>31</v>
      </c>
      <c r="N17" s="3" t="s">
        <v>44</v>
      </c>
      <c r="O17" s="3" t="s">
        <v>208</v>
      </c>
      <c r="P17" s="3" t="s">
        <v>209</v>
      </c>
      <c r="Q17" s="3">
        <v>7600</v>
      </c>
      <c r="R17" s="3" t="s">
        <v>210</v>
      </c>
      <c r="S17" s="3" t="s">
        <v>206</v>
      </c>
      <c r="T17" s="3" t="s">
        <v>204</v>
      </c>
      <c r="U17" s="3">
        <v>2235509728</v>
      </c>
      <c r="V17" s="3">
        <v>2235509728</v>
      </c>
      <c r="X17" s="3" t="s">
        <v>211</v>
      </c>
      <c r="Y17" s="3">
        <v>1</v>
      </c>
    </row>
    <row r="18" spans="1:46" ht="13.2" x14ac:dyDescent="0.25">
      <c r="A18" s="2">
        <v>46071.385860740746</v>
      </c>
      <c r="B18" s="3" t="b">
        <v>1</v>
      </c>
      <c r="C18" s="3" t="s">
        <v>212</v>
      </c>
      <c r="D18" s="3" t="s">
        <v>26</v>
      </c>
      <c r="E18" s="3" t="s">
        <v>213</v>
      </c>
      <c r="F18" s="3" t="s">
        <v>206</v>
      </c>
      <c r="G18" s="3">
        <v>4185</v>
      </c>
      <c r="H18" s="3" t="s">
        <v>207</v>
      </c>
      <c r="I18" s="3">
        <v>53831603</v>
      </c>
      <c r="J18" s="4">
        <v>41604</v>
      </c>
      <c r="K18" s="3" t="s">
        <v>204</v>
      </c>
      <c r="L18" s="3" t="s">
        <v>43</v>
      </c>
      <c r="M18" s="3" t="s">
        <v>31</v>
      </c>
      <c r="N18" s="3" t="s">
        <v>44</v>
      </c>
      <c r="O18" s="3" t="s">
        <v>208</v>
      </c>
      <c r="P18" s="3" t="s">
        <v>214</v>
      </c>
      <c r="Q18" s="3">
        <v>7600</v>
      </c>
      <c r="R18" s="3" t="s">
        <v>210</v>
      </c>
      <c r="S18" s="3" t="s">
        <v>206</v>
      </c>
      <c r="T18" s="3" t="s">
        <v>204</v>
      </c>
      <c r="V18" s="3">
        <v>2235509728</v>
      </c>
      <c r="X18" s="3" t="s">
        <v>211</v>
      </c>
      <c r="Y18" s="3">
        <v>1</v>
      </c>
    </row>
    <row r="19" spans="1:46" ht="13.2" x14ac:dyDescent="0.25">
      <c r="A19" s="2">
        <v>46071.444250717592</v>
      </c>
      <c r="B19" s="3" t="b">
        <v>1</v>
      </c>
      <c r="C19" s="3" t="s">
        <v>215</v>
      </c>
      <c r="D19" s="3" t="s">
        <v>26</v>
      </c>
      <c r="E19" s="3" t="s">
        <v>216</v>
      </c>
      <c r="F19" s="3" t="s">
        <v>217</v>
      </c>
      <c r="G19" s="3">
        <v>4260</v>
      </c>
      <c r="H19" s="3" t="s">
        <v>65</v>
      </c>
      <c r="I19" s="3">
        <v>50668849</v>
      </c>
      <c r="J19" s="4">
        <v>40546</v>
      </c>
      <c r="K19" s="3" t="s">
        <v>215</v>
      </c>
      <c r="L19" s="3" t="s">
        <v>43</v>
      </c>
      <c r="M19" s="3" t="s">
        <v>31</v>
      </c>
      <c r="N19" s="3" t="s">
        <v>55</v>
      </c>
      <c r="O19" s="3" t="s">
        <v>218</v>
      </c>
      <c r="P19" s="3" t="s">
        <v>219</v>
      </c>
      <c r="Q19" s="3">
        <v>6000</v>
      </c>
      <c r="R19" s="3" t="s">
        <v>220</v>
      </c>
      <c r="S19" s="3" t="s">
        <v>221</v>
      </c>
      <c r="T19" s="3" t="s">
        <v>215</v>
      </c>
      <c r="U19" s="3">
        <v>2364692280</v>
      </c>
      <c r="V19" s="3">
        <v>247415677979</v>
      </c>
      <c r="W19" s="3">
        <v>1123726293</v>
      </c>
      <c r="X19" s="3" t="s">
        <v>140</v>
      </c>
      <c r="Y19" s="3" t="s">
        <v>222</v>
      </c>
    </row>
    <row r="20" spans="1:46" ht="13.2" x14ac:dyDescent="0.25">
      <c r="A20" s="2">
        <v>46071.447267916665</v>
      </c>
      <c r="B20" s="3" t="b">
        <v>1</v>
      </c>
      <c r="C20" s="3" t="s">
        <v>215</v>
      </c>
      <c r="D20" s="3" t="s">
        <v>26</v>
      </c>
      <c r="E20" s="3" t="s">
        <v>223</v>
      </c>
      <c r="F20" s="3" t="s">
        <v>217</v>
      </c>
      <c r="G20" s="3">
        <v>4175</v>
      </c>
      <c r="H20" s="3" t="s">
        <v>65</v>
      </c>
      <c r="I20" s="3">
        <v>53218075</v>
      </c>
      <c r="J20" s="4">
        <v>41495</v>
      </c>
      <c r="K20" s="3" t="s">
        <v>215</v>
      </c>
      <c r="L20" s="3" t="s">
        <v>43</v>
      </c>
      <c r="M20" s="3" t="s">
        <v>31</v>
      </c>
      <c r="N20" s="3" t="s">
        <v>55</v>
      </c>
      <c r="O20" s="3" t="s">
        <v>218</v>
      </c>
      <c r="P20" s="3" t="s">
        <v>219</v>
      </c>
      <c r="Q20" s="3">
        <v>6000</v>
      </c>
      <c r="R20" s="3" t="s">
        <v>220</v>
      </c>
      <c r="S20" s="3" t="s">
        <v>221</v>
      </c>
      <c r="T20" s="3" t="s">
        <v>215</v>
      </c>
      <c r="U20" s="3">
        <v>2364692280</v>
      </c>
      <c r="V20" s="3">
        <v>247415677979</v>
      </c>
      <c r="W20" s="3">
        <v>1139159220</v>
      </c>
      <c r="X20" s="3" t="s">
        <v>140</v>
      </c>
      <c r="Y20" s="3" t="s">
        <v>224</v>
      </c>
    </row>
    <row r="21" spans="1:46" ht="13.2" x14ac:dyDescent="0.25">
      <c r="A21" s="2">
        <v>46071.464642997686</v>
      </c>
      <c r="B21" s="3" t="b">
        <v>1</v>
      </c>
      <c r="C21" s="3" t="s">
        <v>225</v>
      </c>
      <c r="D21" s="3" t="s">
        <v>26</v>
      </c>
      <c r="E21" s="3" t="s">
        <v>226</v>
      </c>
      <c r="F21" s="3" t="s">
        <v>227</v>
      </c>
      <c r="G21" s="3">
        <v>3999</v>
      </c>
      <c r="H21" s="3" t="s">
        <v>228</v>
      </c>
      <c r="I21" s="3">
        <v>54765545</v>
      </c>
      <c r="J21" s="4">
        <v>42142</v>
      </c>
      <c r="K21" s="3" t="s">
        <v>225</v>
      </c>
      <c r="L21" s="3" t="s">
        <v>43</v>
      </c>
      <c r="M21" s="3" t="s">
        <v>76</v>
      </c>
      <c r="N21" s="3" t="s">
        <v>32</v>
      </c>
      <c r="O21" s="3" t="s">
        <v>229</v>
      </c>
      <c r="P21" s="3" t="s">
        <v>230</v>
      </c>
      <c r="Q21" s="3">
        <v>2143</v>
      </c>
      <c r="R21" s="3" t="s">
        <v>231</v>
      </c>
      <c r="S21" s="3" t="s">
        <v>227</v>
      </c>
      <c r="T21" s="3" t="s">
        <v>225</v>
      </c>
      <c r="U21" s="3" t="s">
        <v>232</v>
      </c>
      <c r="V21" s="3" t="s">
        <v>233</v>
      </c>
      <c r="W21" s="3" t="s">
        <v>234</v>
      </c>
      <c r="X21" s="3" t="s">
        <v>37</v>
      </c>
      <c r="Y21" s="3" t="s">
        <v>235</v>
      </c>
    </row>
    <row r="22" spans="1:46" ht="13.2" x14ac:dyDescent="0.25">
      <c r="A22" s="2">
        <v>46071.60601181713</v>
      </c>
      <c r="B22" s="3" t="b">
        <v>1</v>
      </c>
      <c r="C22" s="3" t="s">
        <v>236</v>
      </c>
      <c r="D22" s="3" t="s">
        <v>26</v>
      </c>
      <c r="E22" s="3" t="s">
        <v>237</v>
      </c>
      <c r="F22" s="3" t="s">
        <v>238</v>
      </c>
      <c r="G22" s="3">
        <v>4201</v>
      </c>
      <c r="H22" s="3" t="s">
        <v>74</v>
      </c>
      <c r="I22" s="3">
        <v>53202237</v>
      </c>
      <c r="J22" s="4">
        <v>41415</v>
      </c>
      <c r="K22" s="3" t="s">
        <v>239</v>
      </c>
      <c r="L22" s="3" t="s">
        <v>43</v>
      </c>
      <c r="M22" s="3" t="s">
        <v>76</v>
      </c>
      <c r="N22" s="3" t="s">
        <v>240</v>
      </c>
      <c r="O22" s="3" t="s">
        <v>241</v>
      </c>
      <c r="P22" s="3" t="s">
        <v>242</v>
      </c>
      <c r="Q22" s="3">
        <v>1670</v>
      </c>
      <c r="R22" s="3" t="s">
        <v>243</v>
      </c>
      <c r="S22" s="3" t="s">
        <v>244</v>
      </c>
      <c r="T22" s="3" t="s">
        <v>239</v>
      </c>
      <c r="U22" s="3" t="s">
        <v>245</v>
      </c>
      <c r="V22" s="3">
        <v>1163054041</v>
      </c>
      <c r="X22" s="3" t="s">
        <v>115</v>
      </c>
      <c r="Y22" s="3">
        <v>61011049603</v>
      </c>
    </row>
    <row r="23" spans="1:46" ht="13.2" x14ac:dyDescent="0.25">
      <c r="A23" s="2">
        <v>46071.606652743052</v>
      </c>
      <c r="B23" s="3" t="b">
        <v>0</v>
      </c>
      <c r="C23" s="3" t="s">
        <v>246</v>
      </c>
      <c r="D23" s="3" t="s">
        <v>180</v>
      </c>
      <c r="E23" s="3" t="s">
        <v>88</v>
      </c>
      <c r="F23" s="3" t="s">
        <v>247</v>
      </c>
      <c r="G23" s="3">
        <v>3140</v>
      </c>
      <c r="H23" s="3" t="s">
        <v>74</v>
      </c>
      <c r="I23" s="3">
        <v>54381722</v>
      </c>
      <c r="J23" s="4">
        <v>41968</v>
      </c>
      <c r="K23" s="3" t="s">
        <v>246</v>
      </c>
      <c r="L23" s="3" t="s">
        <v>43</v>
      </c>
      <c r="M23" s="3" t="s">
        <v>31</v>
      </c>
      <c r="N23" s="3" t="s">
        <v>44</v>
      </c>
      <c r="O23" s="3" t="s">
        <v>248</v>
      </c>
      <c r="P23" s="3" t="s">
        <v>249</v>
      </c>
      <c r="Q23" s="3">
        <v>1629</v>
      </c>
      <c r="R23" s="3" t="s">
        <v>250</v>
      </c>
      <c r="S23" s="3" t="s">
        <v>247</v>
      </c>
      <c r="T23" s="3" t="s">
        <v>246</v>
      </c>
      <c r="U23" s="3">
        <v>1161412443</v>
      </c>
      <c r="V23" s="3">
        <v>1161412443</v>
      </c>
      <c r="W23" s="3">
        <v>1167111984</v>
      </c>
      <c r="X23" s="3" t="s">
        <v>251</v>
      </c>
      <c r="Y23" s="3">
        <v>60768850401</v>
      </c>
    </row>
    <row r="24" spans="1:46" ht="13.2" x14ac:dyDescent="0.25">
      <c r="A24" s="2">
        <v>46071.610652361109</v>
      </c>
      <c r="B24" s="3" t="b">
        <v>1</v>
      </c>
      <c r="C24" s="3" t="s">
        <v>236</v>
      </c>
      <c r="D24" s="3" t="s">
        <v>180</v>
      </c>
      <c r="E24" s="3" t="s">
        <v>252</v>
      </c>
      <c r="F24" s="3" t="s">
        <v>238</v>
      </c>
      <c r="G24" s="3">
        <v>4201</v>
      </c>
      <c r="H24" s="3" t="s">
        <v>74</v>
      </c>
      <c r="I24" s="3">
        <v>55341062</v>
      </c>
      <c r="J24" s="4">
        <v>42389</v>
      </c>
      <c r="K24" s="3" t="s">
        <v>239</v>
      </c>
      <c r="L24" s="3" t="s">
        <v>30</v>
      </c>
      <c r="M24" s="3" t="s">
        <v>76</v>
      </c>
      <c r="N24" s="3" t="s">
        <v>240</v>
      </c>
      <c r="O24" s="3" t="s">
        <v>111</v>
      </c>
      <c r="P24" s="3" t="s">
        <v>253</v>
      </c>
      <c r="Q24" s="3">
        <v>1670</v>
      </c>
      <c r="R24" s="3" t="s">
        <v>243</v>
      </c>
      <c r="S24" s="3" t="s">
        <v>244</v>
      </c>
      <c r="T24" s="3" t="s">
        <v>239</v>
      </c>
      <c r="U24" s="3" t="s">
        <v>245</v>
      </c>
      <c r="V24" s="3">
        <v>1163054041</v>
      </c>
      <c r="X24" s="3" t="s">
        <v>115</v>
      </c>
      <c r="Y24" s="3">
        <v>61011049603</v>
      </c>
    </row>
    <row r="25" spans="1:46" ht="13.2" x14ac:dyDescent="0.25">
      <c r="A25" s="2">
        <v>46071.618575138884</v>
      </c>
      <c r="B25" s="3" t="b">
        <v>1</v>
      </c>
      <c r="C25" s="3" t="s">
        <v>254</v>
      </c>
      <c r="D25" s="3" t="s">
        <v>180</v>
      </c>
      <c r="E25" s="3" t="s">
        <v>255</v>
      </c>
      <c r="F25" s="3" t="s">
        <v>256</v>
      </c>
      <c r="G25" s="3">
        <v>106</v>
      </c>
      <c r="H25" s="3" t="s">
        <v>74</v>
      </c>
      <c r="I25" s="3">
        <v>54451438</v>
      </c>
      <c r="J25" s="4">
        <v>41971</v>
      </c>
      <c r="K25" s="3" t="s">
        <v>257</v>
      </c>
      <c r="L25" s="3" t="s">
        <v>43</v>
      </c>
      <c r="M25" s="3" t="s">
        <v>31</v>
      </c>
      <c r="N25" s="3" t="s">
        <v>44</v>
      </c>
      <c r="O25" s="3" t="s">
        <v>142</v>
      </c>
      <c r="P25" s="3" t="s">
        <v>258</v>
      </c>
      <c r="Q25" s="3">
        <v>1426</v>
      </c>
      <c r="R25" s="3" t="s">
        <v>259</v>
      </c>
      <c r="S25" s="3" t="s">
        <v>260</v>
      </c>
      <c r="T25" s="3" t="s">
        <v>261</v>
      </c>
      <c r="U25" s="3" t="s">
        <v>262</v>
      </c>
      <c r="V25" s="3" t="s">
        <v>263</v>
      </c>
      <c r="W25" s="3" t="s">
        <v>264</v>
      </c>
      <c r="X25" s="3" t="s">
        <v>106</v>
      </c>
      <c r="Y25" s="3" t="s">
        <v>265</v>
      </c>
      <c r="Z25" s="3" t="s">
        <v>255</v>
      </c>
      <c r="AA25" s="3" t="s">
        <v>256</v>
      </c>
      <c r="AB25" s="3">
        <v>106</v>
      </c>
      <c r="AC25" s="3" t="s">
        <v>74</v>
      </c>
      <c r="AD25" s="3">
        <v>54451438</v>
      </c>
      <c r="AE25" s="4" t="s">
        <v>266</v>
      </c>
      <c r="AF25" s="3" t="s">
        <v>257</v>
      </c>
      <c r="AG25" s="3" t="s">
        <v>43</v>
      </c>
      <c r="AH25" s="3" t="s">
        <v>31</v>
      </c>
      <c r="AI25" s="3" t="s">
        <v>240</v>
      </c>
      <c r="AJ25" s="3" t="s">
        <v>142</v>
      </c>
      <c r="AK25" s="3" t="s">
        <v>258</v>
      </c>
      <c r="AL25" s="3">
        <v>1426</v>
      </c>
      <c r="AM25" s="3" t="s">
        <v>259</v>
      </c>
      <c r="AN25" s="3" t="s">
        <v>260</v>
      </c>
      <c r="AO25" s="3" t="s">
        <v>257</v>
      </c>
      <c r="AP25" s="3" t="s">
        <v>267</v>
      </c>
      <c r="AQ25" s="3" t="s">
        <v>268</v>
      </c>
      <c r="AR25" s="3" t="s">
        <v>269</v>
      </c>
      <c r="AS25" s="3" t="s">
        <v>106</v>
      </c>
      <c r="AT25" s="3" t="s">
        <v>265</v>
      </c>
    </row>
    <row r="26" spans="1:46" ht="13.2" x14ac:dyDescent="0.25">
      <c r="A26" s="2">
        <v>46071.796320833339</v>
      </c>
      <c r="B26" s="3" t="b">
        <v>1</v>
      </c>
      <c r="C26" s="3" t="s">
        <v>270</v>
      </c>
      <c r="D26" s="3" t="s">
        <v>180</v>
      </c>
      <c r="E26" s="3" t="s">
        <v>271</v>
      </c>
      <c r="F26" s="3" t="s">
        <v>272</v>
      </c>
      <c r="G26" s="3">
        <v>3532</v>
      </c>
      <c r="H26" s="3" t="s">
        <v>171</v>
      </c>
      <c r="I26" s="3">
        <v>52828018</v>
      </c>
      <c r="J26" s="4">
        <v>41211</v>
      </c>
      <c r="K26" s="3" t="s">
        <v>273</v>
      </c>
      <c r="L26" s="3" t="s">
        <v>43</v>
      </c>
      <c r="M26" s="3" t="s">
        <v>31</v>
      </c>
      <c r="N26" s="3" t="s">
        <v>240</v>
      </c>
      <c r="O26" s="3" t="s">
        <v>274</v>
      </c>
      <c r="P26" s="3" t="s">
        <v>275</v>
      </c>
      <c r="Q26" s="3">
        <v>1657</v>
      </c>
      <c r="R26" s="3" t="s">
        <v>276</v>
      </c>
      <c r="S26" s="3" t="s">
        <v>277</v>
      </c>
      <c r="T26" s="3" t="s">
        <v>273</v>
      </c>
      <c r="U26" s="3">
        <v>1132994857</v>
      </c>
      <c r="V26" s="3">
        <v>1132994857</v>
      </c>
      <c r="W26" s="3">
        <v>1136412578</v>
      </c>
      <c r="X26" s="3" t="s">
        <v>278</v>
      </c>
      <c r="Y26" s="3" t="s">
        <v>279</v>
      </c>
    </row>
    <row r="27" spans="1:46" ht="13.2" x14ac:dyDescent="0.25">
      <c r="A27" s="2">
        <v>46072.005678425921</v>
      </c>
      <c r="B27" s="3" t="b">
        <v>1</v>
      </c>
      <c r="C27" s="3" t="s">
        <v>280</v>
      </c>
      <c r="D27" s="3" t="s">
        <v>26</v>
      </c>
      <c r="E27" s="3" t="s">
        <v>281</v>
      </c>
      <c r="F27" s="3" t="s">
        <v>282</v>
      </c>
      <c r="G27" s="3" t="s">
        <v>283</v>
      </c>
      <c r="H27" s="3" t="s">
        <v>74</v>
      </c>
      <c r="I27" s="3">
        <v>53454414</v>
      </c>
      <c r="J27" s="4">
        <v>41515</v>
      </c>
      <c r="K27" s="3" t="s">
        <v>284</v>
      </c>
      <c r="L27" s="3" t="s">
        <v>43</v>
      </c>
      <c r="M27" s="3" t="s">
        <v>31</v>
      </c>
      <c r="N27" s="3" t="s">
        <v>285</v>
      </c>
      <c r="O27" s="3" t="s">
        <v>286</v>
      </c>
      <c r="P27" s="3" t="s">
        <v>287</v>
      </c>
      <c r="Q27" s="3">
        <v>1643</v>
      </c>
      <c r="R27" s="3" t="s">
        <v>288</v>
      </c>
      <c r="S27" s="3" t="s">
        <v>289</v>
      </c>
      <c r="T27" s="3" t="s">
        <v>284</v>
      </c>
      <c r="U27" s="3">
        <v>1150022001</v>
      </c>
      <c r="V27" s="3">
        <v>1150022001</v>
      </c>
      <c r="W27" s="3">
        <v>1145286305</v>
      </c>
      <c r="X27" s="3" t="s">
        <v>115</v>
      </c>
      <c r="Y27" s="3">
        <v>60875617103</v>
      </c>
    </row>
    <row r="28" spans="1:46" ht="13.2" x14ac:dyDescent="0.25">
      <c r="A28" s="2">
        <v>46072.415115613425</v>
      </c>
      <c r="B28" s="3" t="b">
        <v>1</v>
      </c>
      <c r="C28" s="3" t="s">
        <v>290</v>
      </c>
      <c r="D28" s="3" t="s">
        <v>180</v>
      </c>
      <c r="E28" s="3" t="s">
        <v>291</v>
      </c>
      <c r="F28" s="3" t="s">
        <v>292</v>
      </c>
      <c r="G28" s="3">
        <v>4120</v>
      </c>
      <c r="H28" s="3" t="s">
        <v>171</v>
      </c>
      <c r="I28" s="3">
        <v>54182928</v>
      </c>
      <c r="J28" s="4">
        <v>41835</v>
      </c>
      <c r="K28" s="3" t="s">
        <v>290</v>
      </c>
      <c r="L28" s="3" t="s">
        <v>43</v>
      </c>
      <c r="M28" s="3" t="s">
        <v>293</v>
      </c>
      <c r="N28" s="3" t="s">
        <v>92</v>
      </c>
      <c r="O28" s="3" t="s">
        <v>92</v>
      </c>
      <c r="P28" s="3" t="s">
        <v>294</v>
      </c>
      <c r="Q28" s="3">
        <v>1419</v>
      </c>
      <c r="R28" s="3" t="s">
        <v>295</v>
      </c>
      <c r="S28" s="3" t="s">
        <v>296</v>
      </c>
      <c r="T28" s="3" t="s">
        <v>290</v>
      </c>
      <c r="U28" s="3">
        <v>1168827987</v>
      </c>
      <c r="V28" s="3">
        <v>1168827987</v>
      </c>
      <c r="W28" s="3">
        <v>1161245840</v>
      </c>
      <c r="X28" s="3" t="s">
        <v>297</v>
      </c>
      <c r="Y28" s="3" t="s">
        <v>298</v>
      </c>
    </row>
    <row r="29" spans="1:46" ht="13.2" x14ac:dyDescent="0.25">
      <c r="A29" s="2">
        <v>46072.454072222223</v>
      </c>
      <c r="B29" s="3" t="b">
        <v>0</v>
      </c>
      <c r="C29" s="3" t="s">
        <v>299</v>
      </c>
      <c r="D29" s="3" t="s">
        <v>26</v>
      </c>
      <c r="E29" s="3" t="s">
        <v>300</v>
      </c>
      <c r="F29" s="3" t="s">
        <v>301</v>
      </c>
      <c r="G29" s="3">
        <v>4152</v>
      </c>
      <c r="H29" s="3" t="s">
        <v>65</v>
      </c>
      <c r="I29" s="3">
        <v>52003396</v>
      </c>
      <c r="J29" s="4">
        <v>40952</v>
      </c>
      <c r="K29" s="3" t="s">
        <v>299</v>
      </c>
      <c r="L29" s="3" t="s">
        <v>43</v>
      </c>
      <c r="M29" s="3" t="s">
        <v>293</v>
      </c>
      <c r="N29" s="3" t="s">
        <v>44</v>
      </c>
      <c r="O29" s="3" t="s">
        <v>302</v>
      </c>
      <c r="P29" s="3" t="s">
        <v>303</v>
      </c>
      <c r="Q29" s="3">
        <v>2930</v>
      </c>
      <c r="R29" s="3" t="s">
        <v>304</v>
      </c>
      <c r="S29" s="3" t="s">
        <v>305</v>
      </c>
      <c r="T29" s="3" t="s">
        <v>299</v>
      </c>
      <c r="U29" s="3">
        <v>3329640146</v>
      </c>
      <c r="V29" s="3">
        <v>3329566454</v>
      </c>
      <c r="X29" s="3" t="s">
        <v>306</v>
      </c>
      <c r="Y29" s="3">
        <v>127214109702</v>
      </c>
    </row>
    <row r="30" spans="1:46" ht="13.2" x14ac:dyDescent="0.25">
      <c r="A30" s="2">
        <v>46072.507790185184</v>
      </c>
      <c r="B30" s="3" t="b">
        <v>1</v>
      </c>
      <c r="C30" s="3" t="s">
        <v>307</v>
      </c>
      <c r="D30" s="3" t="s">
        <v>26</v>
      </c>
      <c r="E30" s="3" t="s">
        <v>308</v>
      </c>
      <c r="F30" s="3" t="s">
        <v>309</v>
      </c>
      <c r="G30" s="3" t="s">
        <v>310</v>
      </c>
      <c r="H30" s="3" t="s">
        <v>171</v>
      </c>
      <c r="I30" s="3">
        <v>52762420</v>
      </c>
      <c r="J30" s="4">
        <v>41207</v>
      </c>
      <c r="K30" s="3" t="s">
        <v>307</v>
      </c>
      <c r="L30" s="3" t="s">
        <v>30</v>
      </c>
      <c r="M30" s="3" t="s">
        <v>311</v>
      </c>
      <c r="N30" s="3" t="s">
        <v>312</v>
      </c>
      <c r="O30" s="3" t="s">
        <v>312</v>
      </c>
      <c r="P30" s="3" t="s">
        <v>313</v>
      </c>
      <c r="Q30" s="3">
        <v>1417</v>
      </c>
      <c r="R30" s="3" t="s">
        <v>314</v>
      </c>
      <c r="S30" s="3" t="s">
        <v>315</v>
      </c>
      <c r="T30" s="3" t="s">
        <v>307</v>
      </c>
      <c r="U30" s="3">
        <v>115428116</v>
      </c>
      <c r="V30" s="3">
        <v>1154284469</v>
      </c>
      <c r="W30" s="3">
        <v>1161298429</v>
      </c>
      <c r="X30" s="3" t="s">
        <v>211</v>
      </c>
      <c r="Y30" s="3">
        <v>61231427703</v>
      </c>
    </row>
    <row r="31" spans="1:46" ht="13.2" x14ac:dyDescent="0.25">
      <c r="A31" s="2">
        <v>46072.536826678246</v>
      </c>
      <c r="B31" s="3" t="b">
        <v>1</v>
      </c>
      <c r="C31" s="3" t="s">
        <v>316</v>
      </c>
      <c r="D31" s="3" t="s">
        <v>26</v>
      </c>
      <c r="E31" s="3" t="s">
        <v>108</v>
      </c>
      <c r="F31" s="3" t="s">
        <v>317</v>
      </c>
      <c r="G31" s="3">
        <v>4165</v>
      </c>
      <c r="H31" s="3" t="s">
        <v>318</v>
      </c>
      <c r="I31" s="3">
        <v>52440028</v>
      </c>
      <c r="J31" s="4">
        <v>41010</v>
      </c>
      <c r="K31" s="3" t="s">
        <v>316</v>
      </c>
      <c r="L31" s="3" t="s">
        <v>43</v>
      </c>
      <c r="M31" s="3" t="s">
        <v>31</v>
      </c>
      <c r="N31" s="3" t="s">
        <v>44</v>
      </c>
      <c r="O31" s="3" t="s">
        <v>92</v>
      </c>
      <c r="P31" s="3" t="s">
        <v>319</v>
      </c>
      <c r="Q31" s="3">
        <v>1430</v>
      </c>
      <c r="R31" s="3" t="s">
        <v>320</v>
      </c>
      <c r="T31" s="3" t="s">
        <v>316</v>
      </c>
      <c r="U31" s="3" t="s">
        <v>321</v>
      </c>
      <c r="V31" s="3" t="s">
        <v>322</v>
      </c>
      <c r="X31" s="3" t="s">
        <v>140</v>
      </c>
      <c r="Y31" s="3">
        <v>62732372204</v>
      </c>
    </row>
    <row r="32" spans="1:46" ht="13.2" x14ac:dyDescent="0.25">
      <c r="A32" s="2">
        <v>46072.644885543981</v>
      </c>
      <c r="B32" s="3" t="b">
        <v>1</v>
      </c>
      <c r="C32" s="3" t="s">
        <v>323</v>
      </c>
      <c r="D32" s="3" t="s">
        <v>26</v>
      </c>
      <c r="E32" s="3" t="s">
        <v>324</v>
      </c>
      <c r="F32" s="3" t="s">
        <v>325</v>
      </c>
      <c r="G32" s="3">
        <v>4193</v>
      </c>
      <c r="H32" s="3" t="s">
        <v>326</v>
      </c>
      <c r="I32" s="3">
        <v>51261170</v>
      </c>
      <c r="J32" s="4">
        <v>40755</v>
      </c>
      <c r="K32" s="3" t="s">
        <v>323</v>
      </c>
      <c r="L32" s="3" t="s">
        <v>30</v>
      </c>
      <c r="M32" s="3" t="s">
        <v>31</v>
      </c>
      <c r="N32" s="3" t="s">
        <v>44</v>
      </c>
      <c r="O32" s="3" t="s">
        <v>327</v>
      </c>
      <c r="P32" s="3" t="s">
        <v>328</v>
      </c>
      <c r="Q32" s="3">
        <v>1900</v>
      </c>
      <c r="R32" s="3" t="s">
        <v>196</v>
      </c>
      <c r="S32" s="3" t="s">
        <v>325</v>
      </c>
      <c r="T32" s="3" t="s">
        <v>323</v>
      </c>
      <c r="U32" s="3">
        <v>2213573333</v>
      </c>
      <c r="V32" s="3">
        <v>2213573333</v>
      </c>
      <c r="W32" s="3">
        <v>2215642750</v>
      </c>
      <c r="X32" s="3" t="s">
        <v>49</v>
      </c>
      <c r="Y32" s="3" t="s">
        <v>329</v>
      </c>
    </row>
    <row r="33" spans="1:25" ht="13.2" x14ac:dyDescent="0.25">
      <c r="A33" s="2">
        <v>46072.780430949075</v>
      </c>
      <c r="B33" s="3" t="b">
        <v>1</v>
      </c>
      <c r="C33" s="3" t="s">
        <v>330</v>
      </c>
      <c r="D33" s="3" t="s">
        <v>180</v>
      </c>
      <c r="E33" s="3" t="s">
        <v>331</v>
      </c>
      <c r="F33" s="3" t="s">
        <v>332</v>
      </c>
      <c r="G33" s="3">
        <v>3752</v>
      </c>
      <c r="H33" s="3" t="s">
        <v>74</v>
      </c>
      <c r="I33" s="3">
        <v>52697523</v>
      </c>
      <c r="J33" s="4">
        <v>41152</v>
      </c>
      <c r="K33" s="3" t="s">
        <v>333</v>
      </c>
      <c r="L33" s="3" t="s">
        <v>43</v>
      </c>
      <c r="M33" s="3" t="s">
        <v>31</v>
      </c>
      <c r="N33" s="3" t="s">
        <v>334</v>
      </c>
      <c r="O33" s="3" t="s">
        <v>92</v>
      </c>
      <c r="P33" s="3" t="s">
        <v>335</v>
      </c>
      <c r="Q33" s="3" t="s">
        <v>336</v>
      </c>
      <c r="R33" s="3" t="s">
        <v>337</v>
      </c>
      <c r="S33" s="3" t="s">
        <v>332</v>
      </c>
      <c r="T33" s="3" t="s">
        <v>338</v>
      </c>
      <c r="U33" s="3">
        <v>1169168368</v>
      </c>
      <c r="V33" s="3">
        <v>1144400533</v>
      </c>
      <c r="W33" s="3">
        <v>1169168368</v>
      </c>
      <c r="X33" s="3" t="s">
        <v>115</v>
      </c>
      <c r="Y33" s="3">
        <v>62466954703</v>
      </c>
    </row>
    <row r="34" spans="1:25" ht="13.2" x14ac:dyDescent="0.25">
      <c r="A34" s="2">
        <v>46072.847583460651</v>
      </c>
      <c r="B34" s="3" t="b">
        <v>1</v>
      </c>
      <c r="C34" s="3" t="s">
        <v>339</v>
      </c>
      <c r="D34" s="3" t="s">
        <v>26</v>
      </c>
      <c r="E34" s="3" t="s">
        <v>340</v>
      </c>
      <c r="F34" s="3" t="s">
        <v>341</v>
      </c>
      <c r="G34" s="3" t="s">
        <v>342</v>
      </c>
      <c r="H34" s="3" t="s">
        <v>74</v>
      </c>
      <c r="I34" s="3">
        <v>51432202</v>
      </c>
      <c r="J34" s="4">
        <v>40811</v>
      </c>
      <c r="K34" s="3" t="s">
        <v>339</v>
      </c>
      <c r="L34" s="3" t="s">
        <v>43</v>
      </c>
      <c r="M34" s="3" t="s">
        <v>31</v>
      </c>
      <c r="N34" s="3" t="s">
        <v>343</v>
      </c>
      <c r="O34" s="3" t="s">
        <v>344</v>
      </c>
      <c r="P34" s="3" t="s">
        <v>345</v>
      </c>
      <c r="Q34" s="3">
        <v>1617</v>
      </c>
      <c r="R34" s="3" t="s">
        <v>346</v>
      </c>
      <c r="S34" s="3" t="s">
        <v>347</v>
      </c>
      <c r="T34" s="3" t="s">
        <v>339</v>
      </c>
      <c r="U34" s="5" t="s">
        <v>348</v>
      </c>
      <c r="V34" s="5" t="s">
        <v>348</v>
      </c>
      <c r="W34" s="5" t="s">
        <v>349</v>
      </c>
      <c r="X34" s="3" t="s">
        <v>115</v>
      </c>
      <c r="Y34" s="3">
        <v>61397553605</v>
      </c>
    </row>
    <row r="35" spans="1:25" ht="13.2" x14ac:dyDescent="0.25">
      <c r="A35" s="2">
        <v>46073.028928321757</v>
      </c>
      <c r="B35" s="3" t="b">
        <v>1</v>
      </c>
      <c r="C35" s="3" t="s">
        <v>350</v>
      </c>
      <c r="D35" s="3" t="s">
        <v>26</v>
      </c>
      <c r="E35" s="3" t="s">
        <v>52</v>
      </c>
      <c r="F35" s="3" t="s">
        <v>351</v>
      </c>
      <c r="G35" s="3">
        <v>4274</v>
      </c>
      <c r="H35" s="3" t="s">
        <v>352</v>
      </c>
      <c r="I35" s="3">
        <v>53584723</v>
      </c>
      <c r="J35" s="4">
        <v>41603</v>
      </c>
      <c r="K35" s="3" t="s">
        <v>350</v>
      </c>
      <c r="L35" s="3" t="s">
        <v>43</v>
      </c>
      <c r="M35" s="3" t="s">
        <v>31</v>
      </c>
      <c r="N35" s="3" t="s">
        <v>92</v>
      </c>
      <c r="O35" s="3" t="s">
        <v>353</v>
      </c>
      <c r="P35" s="3" t="s">
        <v>354</v>
      </c>
      <c r="Q35" s="3">
        <v>1117</v>
      </c>
      <c r="R35" s="3" t="s">
        <v>355</v>
      </c>
      <c r="S35" s="3" t="s">
        <v>356</v>
      </c>
      <c r="T35" s="3" t="s">
        <v>350</v>
      </c>
      <c r="U35" s="3">
        <v>1130061435</v>
      </c>
      <c r="V35" s="3">
        <v>1130961905</v>
      </c>
      <c r="X35" s="3" t="s">
        <v>140</v>
      </c>
      <c r="Y35" s="3">
        <v>61153581402</v>
      </c>
    </row>
    <row r="36" spans="1:25" ht="13.2" x14ac:dyDescent="0.25">
      <c r="A36" s="2">
        <v>46073.533203229163</v>
      </c>
      <c r="B36" s="3" t="b">
        <v>1</v>
      </c>
      <c r="C36" s="3" t="s">
        <v>357</v>
      </c>
      <c r="D36" s="3" t="s">
        <v>358</v>
      </c>
      <c r="E36" s="3" t="s">
        <v>359</v>
      </c>
      <c r="F36" s="3" t="s">
        <v>360</v>
      </c>
      <c r="G36" s="3">
        <v>224778</v>
      </c>
      <c r="H36" s="3" t="s">
        <v>74</v>
      </c>
      <c r="I36" s="3">
        <v>50132497</v>
      </c>
      <c r="J36" s="4">
        <v>40289</v>
      </c>
      <c r="K36" s="3" t="s">
        <v>357</v>
      </c>
      <c r="L36" s="3" t="s">
        <v>43</v>
      </c>
      <c r="M36" s="3" t="s">
        <v>31</v>
      </c>
      <c r="N36" s="3" t="s">
        <v>361</v>
      </c>
      <c r="O36" s="3" t="s">
        <v>248</v>
      </c>
      <c r="P36" s="3" t="s">
        <v>362</v>
      </c>
      <c r="Q36" s="3">
        <v>1629</v>
      </c>
      <c r="R36" s="3" t="s">
        <v>231</v>
      </c>
      <c r="S36" s="3" t="s">
        <v>360</v>
      </c>
      <c r="T36" s="3" t="s">
        <v>363</v>
      </c>
      <c r="U36" s="3">
        <v>1153797433</v>
      </c>
      <c r="V36" s="3">
        <v>1153797433</v>
      </c>
      <c r="W36" s="3">
        <v>1157544737</v>
      </c>
      <c r="X36" s="3" t="s">
        <v>106</v>
      </c>
      <c r="Y36" s="3" t="s">
        <v>364</v>
      </c>
    </row>
    <row r="37" spans="1:25" ht="13.2" x14ac:dyDescent="0.25">
      <c r="A37" s="2">
        <v>46073.647902905097</v>
      </c>
      <c r="B37" s="3" t="b">
        <v>0</v>
      </c>
      <c r="C37" s="3" t="s">
        <v>365</v>
      </c>
      <c r="D37" s="3" t="s">
        <v>366</v>
      </c>
      <c r="E37" s="3" t="s">
        <v>367</v>
      </c>
      <c r="F37" s="3" t="s">
        <v>368</v>
      </c>
      <c r="G37" s="3">
        <v>213981</v>
      </c>
      <c r="H37" s="3" t="s">
        <v>74</v>
      </c>
      <c r="I37" s="3">
        <v>43243582</v>
      </c>
      <c r="J37" s="4">
        <v>36959</v>
      </c>
      <c r="K37" s="3" t="s">
        <v>369</v>
      </c>
      <c r="L37" s="3" t="s">
        <v>43</v>
      </c>
      <c r="M37" s="3" t="s">
        <v>76</v>
      </c>
      <c r="N37" s="3" t="s">
        <v>285</v>
      </c>
      <c r="O37" s="3" t="s">
        <v>370</v>
      </c>
      <c r="P37" s="3" t="s">
        <v>371</v>
      </c>
      <c r="Q37" s="3">
        <v>1062</v>
      </c>
      <c r="V37" s="3">
        <v>1551201238</v>
      </c>
      <c r="W37" s="3">
        <v>1562549150</v>
      </c>
      <c r="X37" s="3" t="s">
        <v>115</v>
      </c>
      <c r="Y37" s="3">
        <v>62741179603</v>
      </c>
    </row>
    <row r="38" spans="1:25" ht="13.2" x14ac:dyDescent="0.25">
      <c r="A38" s="2">
        <v>46073.703486736107</v>
      </c>
      <c r="B38" s="3" t="b">
        <v>0</v>
      </c>
      <c r="C38" s="3" t="s">
        <v>372</v>
      </c>
      <c r="D38" s="3" t="s">
        <v>26</v>
      </c>
      <c r="E38" s="3" t="s">
        <v>373</v>
      </c>
      <c r="F38" s="3" t="s">
        <v>374</v>
      </c>
      <c r="G38" s="3">
        <v>4189</v>
      </c>
      <c r="H38" s="3" t="s">
        <v>352</v>
      </c>
      <c r="I38" s="3">
        <v>50805092</v>
      </c>
      <c r="J38" s="4">
        <v>40564</v>
      </c>
      <c r="K38" s="3" t="s">
        <v>375</v>
      </c>
      <c r="L38" s="3" t="s">
        <v>43</v>
      </c>
      <c r="M38" s="3" t="s">
        <v>76</v>
      </c>
      <c r="N38" s="3" t="s">
        <v>285</v>
      </c>
      <c r="O38" s="3" t="s">
        <v>376</v>
      </c>
      <c r="P38" s="3" t="s">
        <v>377</v>
      </c>
      <c r="Q38" s="3">
        <v>1643</v>
      </c>
      <c r="R38" s="3" t="s">
        <v>378</v>
      </c>
      <c r="S38" s="3" t="s">
        <v>379</v>
      </c>
      <c r="T38" s="3" t="s">
        <v>372</v>
      </c>
      <c r="U38" s="3">
        <v>1158001473</v>
      </c>
      <c r="V38" s="3">
        <v>1140887912</v>
      </c>
      <c r="X38" s="3" t="s">
        <v>380</v>
      </c>
      <c r="Y38" s="3">
        <v>13028401001</v>
      </c>
    </row>
    <row r="39" spans="1:25" ht="13.2" x14ac:dyDescent="0.25">
      <c r="A39" s="2">
        <v>46073.918334502319</v>
      </c>
      <c r="B39" s="3" t="b">
        <v>1</v>
      </c>
      <c r="C39" s="3" t="s">
        <v>381</v>
      </c>
      <c r="D39" s="3" t="s">
        <v>26</v>
      </c>
      <c r="E39" s="3" t="s">
        <v>382</v>
      </c>
      <c r="F39" s="3" t="s">
        <v>383</v>
      </c>
      <c r="G39" s="3">
        <v>4238</v>
      </c>
      <c r="H39" s="3" t="s">
        <v>352</v>
      </c>
      <c r="I39" s="3">
        <v>53586158</v>
      </c>
      <c r="J39" s="4">
        <v>41576</v>
      </c>
      <c r="K39" s="3" t="s">
        <v>381</v>
      </c>
      <c r="L39" s="3" t="s">
        <v>30</v>
      </c>
      <c r="M39" s="3" t="s">
        <v>311</v>
      </c>
      <c r="N39" s="3" t="s">
        <v>384</v>
      </c>
      <c r="O39" s="3" t="s">
        <v>385</v>
      </c>
      <c r="P39" s="3" t="s">
        <v>386</v>
      </c>
      <c r="Q39" s="3">
        <v>1643</v>
      </c>
      <c r="R39" s="3" t="s">
        <v>387</v>
      </c>
      <c r="S39" s="3" t="s">
        <v>388</v>
      </c>
      <c r="T39" s="3" t="s">
        <v>389</v>
      </c>
      <c r="U39" s="3" t="s">
        <v>390</v>
      </c>
      <c r="V39" s="3" t="s">
        <v>390</v>
      </c>
      <c r="W39" s="3" t="s">
        <v>391</v>
      </c>
      <c r="X39" s="3" t="s">
        <v>392</v>
      </c>
      <c r="Y39" s="3">
        <v>60755505904</v>
      </c>
    </row>
    <row r="40" spans="1:25" ht="13.2" x14ac:dyDescent="0.25">
      <c r="A40" s="2">
        <v>46073.924719131945</v>
      </c>
      <c r="B40" s="3" t="b">
        <v>1</v>
      </c>
      <c r="C40" s="3" t="s">
        <v>393</v>
      </c>
      <c r="D40" s="3" t="s">
        <v>180</v>
      </c>
      <c r="E40" s="3" t="s">
        <v>394</v>
      </c>
      <c r="F40" s="3" t="s">
        <v>395</v>
      </c>
      <c r="G40" s="3" t="s">
        <v>396</v>
      </c>
      <c r="H40" s="3" t="s">
        <v>74</v>
      </c>
      <c r="I40" s="3">
        <v>54184555</v>
      </c>
      <c r="J40" s="4">
        <v>41838</v>
      </c>
      <c r="K40" s="3" t="s">
        <v>397</v>
      </c>
      <c r="L40" s="3" t="s">
        <v>43</v>
      </c>
      <c r="M40" s="3" t="s">
        <v>76</v>
      </c>
      <c r="N40" s="3" t="s">
        <v>142</v>
      </c>
      <c r="O40" s="3" t="s">
        <v>142</v>
      </c>
      <c r="P40" s="3" t="s">
        <v>398</v>
      </c>
      <c r="Q40" s="3">
        <v>1086</v>
      </c>
      <c r="R40" s="3" t="s">
        <v>394</v>
      </c>
      <c r="S40" s="3" t="s">
        <v>399</v>
      </c>
      <c r="T40" s="3" t="s">
        <v>397</v>
      </c>
      <c r="U40" s="3">
        <v>1155706030</v>
      </c>
      <c r="V40" s="3">
        <v>1155706030</v>
      </c>
      <c r="W40" s="3">
        <v>1155706040</v>
      </c>
      <c r="X40" s="3" t="s">
        <v>400</v>
      </c>
      <c r="Y40" s="3" t="s">
        <v>401</v>
      </c>
    </row>
    <row r="41" spans="1:25" ht="13.2" x14ac:dyDescent="0.25">
      <c r="A41" s="2">
        <v>46074.329142835646</v>
      </c>
      <c r="B41" s="3" t="b">
        <v>1</v>
      </c>
      <c r="C41" s="3" t="s">
        <v>225</v>
      </c>
      <c r="D41" s="3" t="s">
        <v>358</v>
      </c>
      <c r="E41" s="3" t="s">
        <v>402</v>
      </c>
      <c r="F41" s="3" t="s">
        <v>403</v>
      </c>
      <c r="G41" s="3">
        <v>228197</v>
      </c>
      <c r="H41" s="3" t="s">
        <v>161</v>
      </c>
      <c r="I41" s="3">
        <v>50241942</v>
      </c>
      <c r="J41" s="4">
        <v>40273</v>
      </c>
      <c r="K41" s="3" t="s">
        <v>404</v>
      </c>
      <c r="L41" s="3" t="s">
        <v>43</v>
      </c>
      <c r="M41" s="3" t="s">
        <v>76</v>
      </c>
      <c r="N41" s="3" t="s">
        <v>405</v>
      </c>
      <c r="O41" s="3" t="s">
        <v>229</v>
      </c>
      <c r="P41" s="3" t="s">
        <v>406</v>
      </c>
      <c r="Q41" s="3">
        <v>2143</v>
      </c>
      <c r="R41" s="3" t="s">
        <v>231</v>
      </c>
      <c r="S41" s="3" t="s">
        <v>227</v>
      </c>
      <c r="T41" s="3" t="s">
        <v>225</v>
      </c>
      <c r="U41" s="3" t="s">
        <v>407</v>
      </c>
      <c r="V41" s="3" t="s">
        <v>408</v>
      </c>
      <c r="W41" s="3" t="s">
        <v>409</v>
      </c>
      <c r="X41" s="3" t="s">
        <v>37</v>
      </c>
      <c r="Y41" s="3" t="s">
        <v>410</v>
      </c>
    </row>
    <row r="42" spans="1:25" ht="13.2" x14ac:dyDescent="0.25">
      <c r="A42" s="2">
        <v>46074.438801446755</v>
      </c>
      <c r="B42" s="3" t="b">
        <v>1</v>
      </c>
      <c r="C42" s="3" t="s">
        <v>411</v>
      </c>
      <c r="D42" s="3" t="s">
        <v>26</v>
      </c>
      <c r="E42" s="3" t="s">
        <v>412</v>
      </c>
      <c r="F42" s="3" t="s">
        <v>413</v>
      </c>
      <c r="G42" s="3">
        <v>4194</v>
      </c>
      <c r="H42" s="3" t="s">
        <v>198</v>
      </c>
      <c r="I42" s="3">
        <v>51586146</v>
      </c>
      <c r="J42" s="4">
        <v>40871</v>
      </c>
      <c r="K42" s="3" t="s">
        <v>414</v>
      </c>
      <c r="L42" s="3" t="s">
        <v>30</v>
      </c>
      <c r="M42" s="3" t="s">
        <v>415</v>
      </c>
      <c r="N42" s="3" t="s">
        <v>92</v>
      </c>
      <c r="O42" s="3" t="s">
        <v>92</v>
      </c>
      <c r="P42" s="3" t="s">
        <v>416</v>
      </c>
      <c r="Q42" s="3">
        <v>1010</v>
      </c>
      <c r="R42" s="3" t="s">
        <v>417</v>
      </c>
      <c r="S42" s="3" t="s">
        <v>413</v>
      </c>
      <c r="T42" s="3" t="s">
        <v>418</v>
      </c>
      <c r="U42" s="3">
        <v>1141910792</v>
      </c>
      <c r="V42" s="3">
        <v>1150566302</v>
      </c>
      <c r="X42" s="3" t="s">
        <v>115</v>
      </c>
      <c r="Y42" s="3">
        <v>111111</v>
      </c>
    </row>
    <row r="43" spans="1:25" ht="13.2" x14ac:dyDescent="0.25">
      <c r="A43" s="2">
        <v>46074.441729745369</v>
      </c>
      <c r="B43" s="3" t="b">
        <v>1</v>
      </c>
      <c r="C43" s="3" t="s">
        <v>411</v>
      </c>
      <c r="D43" s="3" t="s">
        <v>180</v>
      </c>
      <c r="E43" s="3" t="s">
        <v>419</v>
      </c>
      <c r="F43" s="3" t="s">
        <v>413</v>
      </c>
      <c r="G43" s="3">
        <v>3860</v>
      </c>
      <c r="H43" s="3" t="s">
        <v>198</v>
      </c>
      <c r="I43" s="3">
        <v>55072196</v>
      </c>
      <c r="J43" s="4">
        <v>42236</v>
      </c>
      <c r="K43" s="3" t="s">
        <v>414</v>
      </c>
      <c r="L43" s="3" t="s">
        <v>43</v>
      </c>
      <c r="M43" s="3" t="s">
        <v>415</v>
      </c>
      <c r="N43" s="3" t="s">
        <v>92</v>
      </c>
      <c r="O43" s="3" t="s">
        <v>92</v>
      </c>
      <c r="P43" s="3" t="s">
        <v>420</v>
      </c>
      <c r="Q43" s="3">
        <v>1010</v>
      </c>
      <c r="R43" s="3" t="s">
        <v>417</v>
      </c>
      <c r="S43" s="3" t="s">
        <v>413</v>
      </c>
      <c r="T43" s="3" t="s">
        <v>414</v>
      </c>
      <c r="U43" s="3">
        <v>1141910792</v>
      </c>
      <c r="V43" s="3">
        <v>1150566302</v>
      </c>
      <c r="X43" s="3" t="s">
        <v>140</v>
      </c>
      <c r="Y43" s="3">
        <v>111111</v>
      </c>
    </row>
    <row r="44" spans="1:25" ht="13.2" x14ac:dyDescent="0.25">
      <c r="A44" s="2">
        <v>46074.549204212963</v>
      </c>
      <c r="B44" s="3" t="b">
        <v>0</v>
      </c>
      <c r="C44" s="3" t="s">
        <v>421</v>
      </c>
      <c r="D44" s="3" t="s">
        <v>366</v>
      </c>
      <c r="E44" s="3" t="s">
        <v>422</v>
      </c>
      <c r="F44" s="3" t="s">
        <v>423</v>
      </c>
      <c r="G44" s="3">
        <v>223035</v>
      </c>
      <c r="H44" s="3" t="s">
        <v>198</v>
      </c>
      <c r="I44" s="3">
        <v>36594987</v>
      </c>
      <c r="J44" s="4">
        <v>33578</v>
      </c>
      <c r="K44" s="3" t="s">
        <v>424</v>
      </c>
      <c r="L44" s="3" t="s">
        <v>43</v>
      </c>
      <c r="M44" s="3" t="s">
        <v>31</v>
      </c>
      <c r="N44" s="3" t="s">
        <v>142</v>
      </c>
      <c r="O44" s="3" t="s">
        <v>92</v>
      </c>
      <c r="P44" s="3" t="s">
        <v>425</v>
      </c>
      <c r="Q44" s="3">
        <v>1180</v>
      </c>
      <c r="V44" s="3" t="s">
        <v>426</v>
      </c>
      <c r="X44" s="3" t="s">
        <v>140</v>
      </c>
      <c r="Y44" s="5" t="s">
        <v>427</v>
      </c>
    </row>
    <row r="45" spans="1:25" ht="13.2" x14ac:dyDescent="0.25">
      <c r="A45" s="2">
        <v>46074.887724456014</v>
      </c>
      <c r="B45" s="3" t="b">
        <v>1</v>
      </c>
      <c r="C45" s="3" t="s">
        <v>428</v>
      </c>
      <c r="D45" s="3" t="s">
        <v>26</v>
      </c>
      <c r="E45" s="3" t="s">
        <v>429</v>
      </c>
      <c r="F45" s="3" t="s">
        <v>430</v>
      </c>
      <c r="G45" s="3">
        <v>4181</v>
      </c>
      <c r="H45" s="3" t="s">
        <v>198</v>
      </c>
      <c r="I45" s="3">
        <v>52699830</v>
      </c>
      <c r="J45" s="4">
        <v>41158</v>
      </c>
      <c r="K45" s="3" t="s">
        <v>431</v>
      </c>
      <c r="L45" s="3" t="s">
        <v>30</v>
      </c>
      <c r="M45" s="3" t="s">
        <v>76</v>
      </c>
      <c r="N45" s="3" t="s">
        <v>44</v>
      </c>
      <c r="O45" s="3" t="s">
        <v>285</v>
      </c>
      <c r="P45" s="3" t="s">
        <v>432</v>
      </c>
      <c r="Q45" s="3">
        <v>1424</v>
      </c>
      <c r="R45" s="3" t="s">
        <v>433</v>
      </c>
      <c r="S45" s="3" t="s">
        <v>434</v>
      </c>
      <c r="T45" s="3" t="s">
        <v>428</v>
      </c>
      <c r="U45" s="3">
        <v>1140607992</v>
      </c>
      <c r="V45" s="3">
        <v>1140607992</v>
      </c>
      <c r="X45" s="3" t="s">
        <v>115</v>
      </c>
      <c r="Y45" s="3">
        <v>11227380203</v>
      </c>
    </row>
    <row r="46" spans="1:25" ht="13.2" x14ac:dyDescent="0.25">
      <c r="A46" s="2">
        <v>46075.348805451387</v>
      </c>
      <c r="B46" s="3" t="b">
        <v>1</v>
      </c>
      <c r="C46" s="3" t="s">
        <v>435</v>
      </c>
      <c r="D46" s="3" t="s">
        <v>26</v>
      </c>
      <c r="E46" s="3" t="s">
        <v>88</v>
      </c>
      <c r="F46" s="3" t="s">
        <v>436</v>
      </c>
      <c r="G46" s="3">
        <v>4290</v>
      </c>
      <c r="H46" s="3" t="s">
        <v>198</v>
      </c>
      <c r="I46" s="3">
        <v>53761156</v>
      </c>
      <c r="J46" s="4">
        <v>41661</v>
      </c>
      <c r="K46" s="3" t="s">
        <v>437</v>
      </c>
      <c r="L46" s="3" t="s">
        <v>43</v>
      </c>
      <c r="M46" s="3" t="s">
        <v>76</v>
      </c>
      <c r="N46" s="3" t="s">
        <v>285</v>
      </c>
      <c r="O46" s="3" t="s">
        <v>172</v>
      </c>
      <c r="P46" s="3" t="s">
        <v>438</v>
      </c>
      <c r="Q46" s="3">
        <v>1642</v>
      </c>
      <c r="R46" s="3" t="s">
        <v>439</v>
      </c>
      <c r="S46" s="3" t="s">
        <v>440</v>
      </c>
      <c r="T46" s="3" t="s">
        <v>435</v>
      </c>
      <c r="U46" s="3">
        <v>1144921544</v>
      </c>
      <c r="V46" s="3">
        <v>1144921544</v>
      </c>
      <c r="W46" s="3">
        <v>1161959900</v>
      </c>
      <c r="X46" s="3" t="s">
        <v>140</v>
      </c>
      <c r="Y46" s="3">
        <v>61352163205</v>
      </c>
    </row>
    <row r="47" spans="1:25" ht="13.2" x14ac:dyDescent="0.25">
      <c r="A47" s="2">
        <v>46075.487427592598</v>
      </c>
      <c r="B47" s="3" t="b">
        <v>1</v>
      </c>
      <c r="C47" s="3" t="s">
        <v>441</v>
      </c>
      <c r="D47" s="3" t="s">
        <v>180</v>
      </c>
      <c r="E47" s="3" t="s">
        <v>442</v>
      </c>
      <c r="F47" s="3" t="s">
        <v>443</v>
      </c>
      <c r="G47" s="3">
        <v>3631</v>
      </c>
      <c r="H47" s="3" t="s">
        <v>352</v>
      </c>
      <c r="I47" s="3">
        <v>53856509</v>
      </c>
      <c r="J47" s="4">
        <v>41700</v>
      </c>
      <c r="K47" s="3" t="s">
        <v>444</v>
      </c>
      <c r="L47" s="3" t="s">
        <v>30</v>
      </c>
      <c r="M47" s="3" t="s">
        <v>31</v>
      </c>
      <c r="N47" s="3" t="s">
        <v>44</v>
      </c>
      <c r="O47" s="3" t="s">
        <v>286</v>
      </c>
      <c r="P47" s="3" t="s">
        <v>445</v>
      </c>
      <c r="Q47" s="3">
        <v>1642</v>
      </c>
      <c r="R47" s="3" t="s">
        <v>446</v>
      </c>
      <c r="S47" s="3" t="s">
        <v>447</v>
      </c>
      <c r="T47" s="3" t="s">
        <v>444</v>
      </c>
      <c r="U47" s="3">
        <v>1167074475</v>
      </c>
      <c r="V47" s="3">
        <v>1167074475</v>
      </c>
      <c r="W47" s="3">
        <v>1167074415</v>
      </c>
      <c r="X47" s="3" t="s">
        <v>448</v>
      </c>
      <c r="Y47" s="3">
        <v>17904295001</v>
      </c>
    </row>
    <row r="48" spans="1:25" ht="13.2" x14ac:dyDescent="0.25">
      <c r="A48" s="2">
        <v>46075.765746331017</v>
      </c>
      <c r="B48" s="3" t="b">
        <v>1</v>
      </c>
      <c r="C48" s="3" t="s">
        <v>449</v>
      </c>
      <c r="D48" s="3" t="s">
        <v>26</v>
      </c>
      <c r="E48" s="3" t="s">
        <v>450</v>
      </c>
      <c r="F48" s="3" t="s">
        <v>451</v>
      </c>
      <c r="G48" s="3">
        <v>4095</v>
      </c>
      <c r="H48" s="3" t="s">
        <v>452</v>
      </c>
      <c r="I48" s="3">
        <v>50988984</v>
      </c>
      <c r="J48" s="4">
        <v>40619</v>
      </c>
      <c r="K48" s="3" t="s">
        <v>449</v>
      </c>
      <c r="L48" s="3" t="s">
        <v>43</v>
      </c>
      <c r="M48" s="3" t="s">
        <v>31</v>
      </c>
      <c r="N48" s="3" t="s">
        <v>92</v>
      </c>
      <c r="O48" s="3" t="s">
        <v>92</v>
      </c>
      <c r="P48" s="3" t="s">
        <v>453</v>
      </c>
      <c r="Q48" s="3">
        <v>1428</v>
      </c>
      <c r="R48" s="3" t="s">
        <v>454</v>
      </c>
      <c r="S48" s="3" t="s">
        <v>451</v>
      </c>
      <c r="T48" s="3" t="s">
        <v>449</v>
      </c>
      <c r="U48" s="3">
        <v>1136853342</v>
      </c>
      <c r="V48" s="3">
        <v>1144141412</v>
      </c>
      <c r="W48" s="3">
        <v>1136853342</v>
      </c>
      <c r="X48" s="3" t="s">
        <v>140</v>
      </c>
      <c r="Y48" s="3">
        <v>61839812005</v>
      </c>
    </row>
    <row r="49" spans="1:38" ht="13.2" x14ac:dyDescent="0.25">
      <c r="A49" s="2">
        <v>46075.792017581014</v>
      </c>
      <c r="B49" s="3" t="b">
        <v>0</v>
      </c>
      <c r="C49" s="3" t="s">
        <v>455</v>
      </c>
      <c r="D49" s="3" t="s">
        <v>26</v>
      </c>
      <c r="E49" s="3" t="s">
        <v>456</v>
      </c>
      <c r="F49" s="3" t="s">
        <v>457</v>
      </c>
      <c r="G49" s="3">
        <v>4264</v>
      </c>
      <c r="H49" s="3" t="s">
        <v>458</v>
      </c>
      <c r="I49" s="3">
        <v>52373551</v>
      </c>
      <c r="J49" s="4">
        <v>41007</v>
      </c>
      <c r="K49" s="3" t="s">
        <v>455</v>
      </c>
      <c r="L49" s="3" t="s">
        <v>30</v>
      </c>
      <c r="M49" s="3" t="s">
        <v>76</v>
      </c>
      <c r="N49" s="3" t="s">
        <v>32</v>
      </c>
      <c r="O49" s="3" t="s">
        <v>229</v>
      </c>
      <c r="P49" s="3" t="s">
        <v>459</v>
      </c>
      <c r="Q49" s="3">
        <v>2000</v>
      </c>
      <c r="R49" s="3" t="s">
        <v>460</v>
      </c>
      <c r="S49" s="3" t="s">
        <v>461</v>
      </c>
      <c r="T49" s="3" t="s">
        <v>455</v>
      </c>
      <c r="U49" s="3">
        <v>3413824918</v>
      </c>
      <c r="V49" s="3">
        <v>3415190149</v>
      </c>
      <c r="W49" s="3">
        <v>3416687327</v>
      </c>
      <c r="X49" s="3" t="s">
        <v>115</v>
      </c>
      <c r="Y49" s="3">
        <v>63234536404</v>
      </c>
    </row>
    <row r="50" spans="1:38" ht="13.2" x14ac:dyDescent="0.25">
      <c r="A50" s="2">
        <v>46075.864615185186</v>
      </c>
      <c r="B50" s="3" t="b">
        <v>1</v>
      </c>
      <c r="C50" s="3" t="s">
        <v>462</v>
      </c>
      <c r="D50" s="3" t="s">
        <v>366</v>
      </c>
      <c r="E50" s="3" t="s">
        <v>463</v>
      </c>
      <c r="F50" s="3" t="s">
        <v>464</v>
      </c>
      <c r="G50" s="3">
        <v>186971</v>
      </c>
      <c r="H50" s="3" t="s">
        <v>42</v>
      </c>
      <c r="I50" s="3">
        <v>41548534</v>
      </c>
      <c r="J50" s="4">
        <v>35805</v>
      </c>
      <c r="K50" s="3" t="s">
        <v>462</v>
      </c>
      <c r="L50" s="3" t="s">
        <v>43</v>
      </c>
      <c r="M50" s="3" t="s">
        <v>31</v>
      </c>
      <c r="N50" s="3" t="s">
        <v>240</v>
      </c>
      <c r="O50" s="3" t="s">
        <v>45</v>
      </c>
      <c r="P50" s="3" t="s">
        <v>465</v>
      </c>
      <c r="Q50" s="3">
        <v>2800</v>
      </c>
      <c r="V50" s="3">
        <v>3487239634</v>
      </c>
      <c r="X50" s="3" t="s">
        <v>466</v>
      </c>
      <c r="Y50" s="3">
        <v>41548534</v>
      </c>
    </row>
    <row r="51" spans="1:38" ht="13.2" x14ac:dyDescent="0.25">
      <c r="A51" s="2">
        <v>46075.893386620373</v>
      </c>
      <c r="B51" s="3" t="b">
        <v>1</v>
      </c>
      <c r="C51" s="3" t="s">
        <v>467</v>
      </c>
      <c r="D51" s="3" t="s">
        <v>26</v>
      </c>
      <c r="E51" s="3" t="s">
        <v>468</v>
      </c>
      <c r="F51" s="3" t="s">
        <v>469</v>
      </c>
      <c r="G51" s="3">
        <v>4245</v>
      </c>
      <c r="H51" s="3" t="s">
        <v>470</v>
      </c>
      <c r="I51" s="3">
        <v>52672616</v>
      </c>
      <c r="J51" s="4">
        <v>41142</v>
      </c>
      <c r="K51" s="3" t="s">
        <v>467</v>
      </c>
      <c r="L51" s="3" t="s">
        <v>30</v>
      </c>
      <c r="M51" s="3" t="s">
        <v>31</v>
      </c>
      <c r="N51" s="3" t="s">
        <v>44</v>
      </c>
      <c r="O51" s="3" t="s">
        <v>471</v>
      </c>
      <c r="P51" s="3" t="s">
        <v>472</v>
      </c>
      <c r="Q51" s="3">
        <v>1640</v>
      </c>
      <c r="R51" s="3" t="s">
        <v>194</v>
      </c>
      <c r="S51" s="3" t="s">
        <v>473</v>
      </c>
      <c r="T51" s="3" t="s">
        <v>467</v>
      </c>
      <c r="U51" s="3">
        <v>1158200952</v>
      </c>
      <c r="V51" s="3">
        <v>1158200952</v>
      </c>
      <c r="W51" s="3">
        <v>1140307230</v>
      </c>
      <c r="X51" s="3" t="s">
        <v>474</v>
      </c>
      <c r="Y51" s="3">
        <v>10838210972203</v>
      </c>
    </row>
    <row r="52" spans="1:38" ht="13.2" x14ac:dyDescent="0.25">
      <c r="A52" s="2">
        <v>46075.90199027778</v>
      </c>
      <c r="B52" s="3" t="b">
        <v>1</v>
      </c>
      <c r="C52" s="3" t="s">
        <v>475</v>
      </c>
      <c r="D52" s="3" t="s">
        <v>180</v>
      </c>
      <c r="E52" s="3" t="s">
        <v>476</v>
      </c>
      <c r="F52" s="3" t="s">
        <v>477</v>
      </c>
      <c r="G52" s="3">
        <v>3495</v>
      </c>
      <c r="H52" s="3" t="s">
        <v>198</v>
      </c>
      <c r="I52" s="3">
        <v>54995572</v>
      </c>
      <c r="J52" s="4">
        <v>42184</v>
      </c>
      <c r="K52" s="3" t="s">
        <v>475</v>
      </c>
      <c r="L52" s="3" t="s">
        <v>30</v>
      </c>
      <c r="M52" s="3" t="s">
        <v>31</v>
      </c>
      <c r="N52" s="3" t="s">
        <v>92</v>
      </c>
      <c r="O52" s="3" t="s">
        <v>92</v>
      </c>
      <c r="P52" s="3" t="s">
        <v>478</v>
      </c>
      <c r="Q52" s="3">
        <v>1426</v>
      </c>
      <c r="R52" s="3" t="s">
        <v>479</v>
      </c>
      <c r="S52" s="3" t="s">
        <v>423</v>
      </c>
      <c r="T52" s="3" t="s">
        <v>475</v>
      </c>
      <c r="U52" s="3">
        <v>1140304773</v>
      </c>
      <c r="V52" s="3" t="s">
        <v>480</v>
      </c>
      <c r="X52" s="3" t="s">
        <v>140</v>
      </c>
      <c r="Y52" s="3" t="s">
        <v>481</v>
      </c>
    </row>
    <row r="53" spans="1:38" ht="13.2" x14ac:dyDescent="0.25">
      <c r="A53" s="2">
        <v>46075.908376493055</v>
      </c>
      <c r="B53" s="3" t="b">
        <v>1</v>
      </c>
      <c r="C53" s="3" t="s">
        <v>475</v>
      </c>
      <c r="D53" s="3" t="s">
        <v>26</v>
      </c>
      <c r="E53" s="3" t="s">
        <v>482</v>
      </c>
      <c r="F53" s="3" t="s">
        <v>423</v>
      </c>
      <c r="G53" s="3">
        <v>3872</v>
      </c>
      <c r="H53" s="3" t="s">
        <v>198</v>
      </c>
      <c r="I53" s="3">
        <v>53083955</v>
      </c>
      <c r="J53" s="4">
        <v>41342</v>
      </c>
      <c r="K53" s="3" t="s">
        <v>475</v>
      </c>
      <c r="L53" s="3" t="s">
        <v>30</v>
      </c>
      <c r="M53" s="3" t="s">
        <v>31</v>
      </c>
      <c r="N53" s="3" t="s">
        <v>44</v>
      </c>
      <c r="O53" s="3" t="s">
        <v>92</v>
      </c>
      <c r="P53" s="3" t="s">
        <v>483</v>
      </c>
      <c r="Q53" s="3">
        <v>1426</v>
      </c>
      <c r="R53" s="3" t="s">
        <v>484</v>
      </c>
      <c r="S53" s="3" t="s">
        <v>423</v>
      </c>
      <c r="T53" s="3" t="s">
        <v>475</v>
      </c>
      <c r="U53" s="3">
        <v>1140304773</v>
      </c>
      <c r="V53" s="3" t="s">
        <v>485</v>
      </c>
      <c r="X53" s="3" t="s">
        <v>140</v>
      </c>
      <c r="Y53" s="3" t="s">
        <v>486</v>
      </c>
    </row>
    <row r="54" spans="1:38" ht="13.2" x14ac:dyDescent="0.25">
      <c r="A54" s="2">
        <v>46076.363213182871</v>
      </c>
      <c r="B54" s="3" t="b">
        <v>1</v>
      </c>
      <c r="C54" s="3" t="s">
        <v>487</v>
      </c>
      <c r="D54" s="3" t="s">
        <v>180</v>
      </c>
      <c r="E54" s="3" t="s">
        <v>488</v>
      </c>
      <c r="F54" s="3" t="s">
        <v>489</v>
      </c>
      <c r="G54" s="3">
        <v>3925</v>
      </c>
      <c r="H54" s="3" t="s">
        <v>352</v>
      </c>
      <c r="I54" s="3">
        <v>54700015</v>
      </c>
      <c r="J54" s="4">
        <v>42070</v>
      </c>
      <c r="K54" s="3" t="s">
        <v>490</v>
      </c>
      <c r="L54" s="3" t="s">
        <v>43</v>
      </c>
      <c r="M54" s="3" t="s">
        <v>76</v>
      </c>
      <c r="N54" s="3" t="s">
        <v>491</v>
      </c>
      <c r="O54" s="3" t="s">
        <v>492</v>
      </c>
      <c r="P54" s="3" t="s">
        <v>493</v>
      </c>
      <c r="Q54" s="3">
        <v>1643</v>
      </c>
      <c r="R54" s="3" t="s">
        <v>494</v>
      </c>
      <c r="S54" s="3" t="s">
        <v>495</v>
      </c>
      <c r="T54" s="3" t="s">
        <v>487</v>
      </c>
      <c r="U54" s="3">
        <v>1156594826</v>
      </c>
      <c r="V54" s="3">
        <v>1159821937</v>
      </c>
      <c r="X54" s="3" t="s">
        <v>115</v>
      </c>
      <c r="Y54" s="3">
        <v>61137092004</v>
      </c>
    </row>
    <row r="55" spans="1:38" ht="13.2" x14ac:dyDescent="0.25">
      <c r="A55" s="2">
        <v>46076.45618361111</v>
      </c>
      <c r="B55" s="3" t="b">
        <v>1</v>
      </c>
      <c r="C55" s="3" t="s">
        <v>496</v>
      </c>
      <c r="D55" s="3" t="s">
        <v>497</v>
      </c>
      <c r="E55" s="3" t="s">
        <v>498</v>
      </c>
      <c r="F55" s="3" t="s">
        <v>499</v>
      </c>
      <c r="G55" s="3">
        <v>223625</v>
      </c>
      <c r="H55" s="3" t="s">
        <v>74</v>
      </c>
      <c r="I55" s="3">
        <v>49761435</v>
      </c>
      <c r="J55" s="4">
        <v>40078</v>
      </c>
      <c r="K55" s="3" t="s">
        <v>496</v>
      </c>
      <c r="L55" s="3" t="s">
        <v>30</v>
      </c>
      <c r="M55" s="3" t="s">
        <v>31</v>
      </c>
      <c r="N55" s="3" t="s">
        <v>92</v>
      </c>
      <c r="O55" s="3" t="s">
        <v>240</v>
      </c>
      <c r="P55" s="3" t="s">
        <v>500</v>
      </c>
      <c r="Q55" s="3">
        <v>1428</v>
      </c>
      <c r="R55" s="3" t="s">
        <v>501</v>
      </c>
      <c r="S55" s="3" t="s">
        <v>502</v>
      </c>
      <c r="T55" s="3" t="s">
        <v>503</v>
      </c>
      <c r="U55" s="3">
        <v>1150031823</v>
      </c>
      <c r="V55" s="3">
        <v>1150031823</v>
      </c>
      <c r="W55" s="3">
        <v>1170054274</v>
      </c>
      <c r="X55" s="3" t="s">
        <v>211</v>
      </c>
      <c r="Y55" s="3">
        <v>61482067602</v>
      </c>
    </row>
    <row r="56" spans="1:38" ht="13.2" x14ac:dyDescent="0.25">
      <c r="A56" s="2">
        <v>46076.467998356486</v>
      </c>
      <c r="B56" s="3" t="b">
        <v>1</v>
      </c>
      <c r="C56" s="3" t="s">
        <v>504</v>
      </c>
      <c r="D56" s="3" t="s">
        <v>180</v>
      </c>
      <c r="E56" s="3" t="s">
        <v>505</v>
      </c>
      <c r="F56" s="3" t="s">
        <v>506</v>
      </c>
      <c r="G56" s="3" t="s">
        <v>507</v>
      </c>
      <c r="H56" s="3" t="s">
        <v>198</v>
      </c>
      <c r="I56" s="3">
        <v>52095733</v>
      </c>
      <c r="J56" s="4">
        <v>40936</v>
      </c>
      <c r="K56" s="3" t="s">
        <v>508</v>
      </c>
      <c r="L56" s="3" t="s">
        <v>30</v>
      </c>
      <c r="M56" s="3" t="s">
        <v>76</v>
      </c>
      <c r="N56" s="3" t="s">
        <v>142</v>
      </c>
      <c r="O56" s="3" t="s">
        <v>142</v>
      </c>
      <c r="P56" s="3" t="s">
        <v>509</v>
      </c>
      <c r="Q56" s="3">
        <v>1010</v>
      </c>
      <c r="R56" s="3" t="s">
        <v>510</v>
      </c>
      <c r="S56" s="3" t="s">
        <v>511</v>
      </c>
      <c r="T56" s="3" t="s">
        <v>512</v>
      </c>
      <c r="U56" s="3">
        <v>1135123051</v>
      </c>
      <c r="V56" s="3" t="s">
        <v>513</v>
      </c>
      <c r="X56" s="3" t="s">
        <v>514</v>
      </c>
      <c r="Y56" s="5" t="s">
        <v>515</v>
      </c>
    </row>
    <row r="57" spans="1:38" ht="13.2" x14ac:dyDescent="0.25">
      <c r="A57" s="2">
        <v>46076.578313831022</v>
      </c>
      <c r="B57" s="3" t="b">
        <v>1</v>
      </c>
      <c r="C57" s="3" t="s">
        <v>516</v>
      </c>
      <c r="D57" s="3" t="s">
        <v>26</v>
      </c>
      <c r="E57" s="3" t="s">
        <v>517</v>
      </c>
      <c r="F57" s="3" t="s">
        <v>518</v>
      </c>
      <c r="G57" s="3" t="s">
        <v>519</v>
      </c>
      <c r="H57" s="3" t="s">
        <v>470</v>
      </c>
      <c r="I57" s="3">
        <v>52448420</v>
      </c>
      <c r="J57" s="4">
        <v>41022</v>
      </c>
      <c r="K57" s="3" t="s">
        <v>516</v>
      </c>
      <c r="L57" s="3" t="s">
        <v>43</v>
      </c>
      <c r="M57" s="3" t="s">
        <v>31</v>
      </c>
      <c r="N57" s="3" t="s">
        <v>312</v>
      </c>
      <c r="O57" s="3" t="s">
        <v>312</v>
      </c>
      <c r="P57" s="3" t="s">
        <v>520</v>
      </c>
      <c r="Q57" s="3">
        <v>1024</v>
      </c>
      <c r="R57" s="3" t="s">
        <v>521</v>
      </c>
      <c r="S57" s="3" t="s">
        <v>522</v>
      </c>
      <c r="T57" s="3" t="s">
        <v>516</v>
      </c>
      <c r="U57" s="3">
        <v>1162296144</v>
      </c>
      <c r="V57" s="3">
        <v>1162292995</v>
      </c>
      <c r="X57" s="3" t="s">
        <v>523</v>
      </c>
      <c r="Y57" s="3" t="s">
        <v>524</v>
      </c>
    </row>
    <row r="58" spans="1:38" ht="13.2" x14ac:dyDescent="0.25">
      <c r="A58" s="2">
        <v>46076.579824189816</v>
      </c>
      <c r="B58" s="3" t="b">
        <v>1</v>
      </c>
      <c r="C58" s="3" t="s">
        <v>516</v>
      </c>
      <c r="D58" s="3" t="s">
        <v>26</v>
      </c>
      <c r="E58" s="3" t="s">
        <v>359</v>
      </c>
      <c r="F58" s="3" t="s">
        <v>525</v>
      </c>
      <c r="G58" s="3" t="s">
        <v>526</v>
      </c>
      <c r="H58" s="3" t="s">
        <v>318</v>
      </c>
      <c r="I58" s="3">
        <v>54627320</v>
      </c>
      <c r="J58" s="4">
        <v>42044</v>
      </c>
      <c r="K58" s="3" t="s">
        <v>516</v>
      </c>
      <c r="L58" s="3" t="s">
        <v>43</v>
      </c>
      <c r="M58" s="3" t="s">
        <v>527</v>
      </c>
      <c r="N58" s="3" t="s">
        <v>312</v>
      </c>
      <c r="O58" s="3" t="s">
        <v>312</v>
      </c>
      <c r="P58" s="3" t="s">
        <v>520</v>
      </c>
      <c r="Q58" s="3">
        <v>1024</v>
      </c>
      <c r="R58" s="3" t="s">
        <v>521</v>
      </c>
      <c r="T58" s="3" t="s">
        <v>516</v>
      </c>
      <c r="U58" s="3">
        <v>1162296144</v>
      </c>
      <c r="V58" s="3">
        <v>1162292995</v>
      </c>
      <c r="X58" s="3" t="s">
        <v>523</v>
      </c>
      <c r="Y58" s="3" t="s">
        <v>528</v>
      </c>
    </row>
    <row r="59" spans="1:38" ht="13.2" x14ac:dyDescent="0.25">
      <c r="A59" s="2">
        <v>46076.628362708332</v>
      </c>
      <c r="B59" s="3" t="b">
        <v>1</v>
      </c>
      <c r="C59" s="3" t="s">
        <v>529</v>
      </c>
      <c r="D59" s="3" t="s">
        <v>180</v>
      </c>
      <c r="E59" s="3" t="s">
        <v>530</v>
      </c>
      <c r="F59" s="3" t="s">
        <v>531</v>
      </c>
      <c r="G59" s="3">
        <v>4051</v>
      </c>
      <c r="H59" s="3" t="s">
        <v>54</v>
      </c>
      <c r="I59" s="3">
        <v>54625867</v>
      </c>
      <c r="J59" s="4">
        <v>42060</v>
      </c>
      <c r="K59" s="3" t="s">
        <v>529</v>
      </c>
      <c r="L59" s="3" t="s">
        <v>43</v>
      </c>
      <c r="M59" s="3" t="s">
        <v>31</v>
      </c>
      <c r="N59" s="3" t="s">
        <v>44</v>
      </c>
      <c r="O59" s="3" t="s">
        <v>532</v>
      </c>
      <c r="P59" s="3" t="s">
        <v>533</v>
      </c>
      <c r="Q59" s="3">
        <v>1678</v>
      </c>
      <c r="R59" s="3" t="s">
        <v>534</v>
      </c>
      <c r="S59" s="3" t="s">
        <v>535</v>
      </c>
      <c r="T59" s="3" t="s">
        <v>529</v>
      </c>
      <c r="U59" s="3">
        <v>1169086827</v>
      </c>
      <c r="V59" s="3">
        <v>1155703275</v>
      </c>
      <c r="X59" s="3" t="s">
        <v>140</v>
      </c>
      <c r="Y59" s="3">
        <v>61532561003</v>
      </c>
    </row>
    <row r="60" spans="1:38" ht="13.2" x14ac:dyDescent="0.25">
      <c r="A60" s="2">
        <v>46076.695918460653</v>
      </c>
      <c r="B60" s="3" t="b">
        <v>1</v>
      </c>
      <c r="C60" s="3" t="s">
        <v>536</v>
      </c>
      <c r="D60" s="3" t="s">
        <v>26</v>
      </c>
      <c r="E60" s="3" t="s">
        <v>537</v>
      </c>
      <c r="F60" s="3" t="s">
        <v>538</v>
      </c>
      <c r="G60" s="3">
        <v>4275</v>
      </c>
      <c r="H60" s="3" t="s">
        <v>228</v>
      </c>
      <c r="I60" s="3">
        <v>53623848</v>
      </c>
      <c r="J60" s="4">
        <v>41590</v>
      </c>
      <c r="K60" s="3" t="s">
        <v>539</v>
      </c>
      <c r="L60" s="3" t="s">
        <v>43</v>
      </c>
      <c r="M60" s="3" t="s">
        <v>31</v>
      </c>
      <c r="N60" s="3" t="s">
        <v>540</v>
      </c>
      <c r="O60" s="3" t="s">
        <v>33</v>
      </c>
      <c r="P60" s="3" t="s">
        <v>541</v>
      </c>
      <c r="Q60" s="3">
        <v>2000</v>
      </c>
      <c r="R60" s="3" t="s">
        <v>542</v>
      </c>
      <c r="S60" s="3" t="s">
        <v>543</v>
      </c>
      <c r="T60" s="3" t="s">
        <v>536</v>
      </c>
      <c r="V60" s="3">
        <v>3413819921</v>
      </c>
      <c r="X60" s="3" t="s">
        <v>544</v>
      </c>
      <c r="Y60" s="3">
        <v>20594323</v>
      </c>
    </row>
    <row r="61" spans="1:38" ht="13.2" x14ac:dyDescent="0.25">
      <c r="A61" s="2">
        <v>46076.776894953699</v>
      </c>
      <c r="B61" s="3" t="b">
        <v>0</v>
      </c>
      <c r="C61" s="3" t="s">
        <v>545</v>
      </c>
      <c r="D61" s="3">
        <v>420</v>
      </c>
      <c r="E61" s="3" t="s">
        <v>546</v>
      </c>
      <c r="F61" s="3" t="s">
        <v>547</v>
      </c>
      <c r="G61" s="3">
        <v>54838</v>
      </c>
      <c r="H61" s="3" t="s">
        <v>74</v>
      </c>
      <c r="I61" s="3">
        <v>26523170</v>
      </c>
      <c r="J61" s="4">
        <v>28645</v>
      </c>
      <c r="K61" s="3" t="s">
        <v>545</v>
      </c>
      <c r="L61" s="3" t="s">
        <v>43</v>
      </c>
      <c r="M61" s="3" t="s">
        <v>31</v>
      </c>
      <c r="N61" s="3" t="s">
        <v>44</v>
      </c>
      <c r="O61" s="3" t="s">
        <v>111</v>
      </c>
      <c r="P61" s="3" t="s">
        <v>548</v>
      </c>
      <c r="Q61" s="3">
        <v>1648</v>
      </c>
      <c r="V61" s="3">
        <v>1168302939</v>
      </c>
      <c r="X61" s="3" t="s">
        <v>380</v>
      </c>
      <c r="Y61" s="3">
        <v>10077740002</v>
      </c>
      <c r="Z61" s="3" t="s">
        <v>549</v>
      </c>
      <c r="AA61" s="3" t="s">
        <v>550</v>
      </c>
      <c r="AB61" s="3">
        <v>54838</v>
      </c>
      <c r="AC61" s="3" t="s">
        <v>352</v>
      </c>
      <c r="AD61" s="3">
        <v>47806637</v>
      </c>
      <c r="AE61" s="4">
        <v>39175</v>
      </c>
      <c r="AG61" s="3" t="s">
        <v>30</v>
      </c>
      <c r="AH61" s="3" t="s">
        <v>31</v>
      </c>
      <c r="AI61" s="3" t="s">
        <v>44</v>
      </c>
      <c r="AJ61" s="3" t="s">
        <v>551</v>
      </c>
      <c r="AK61" s="3" t="s">
        <v>552</v>
      </c>
      <c r="AL61" s="3">
        <v>1642</v>
      </c>
    </row>
    <row r="62" spans="1:38" ht="13.2" x14ac:dyDescent="0.25">
      <c r="A62" s="2">
        <v>46076.839409050925</v>
      </c>
      <c r="B62" s="3" t="b">
        <v>1</v>
      </c>
      <c r="C62" s="3" t="s">
        <v>316</v>
      </c>
      <c r="D62" s="3" t="s">
        <v>358</v>
      </c>
      <c r="E62" s="3" t="s">
        <v>505</v>
      </c>
      <c r="F62" s="3" t="s">
        <v>553</v>
      </c>
      <c r="G62" s="3">
        <v>203193</v>
      </c>
      <c r="H62" s="3" t="s">
        <v>318</v>
      </c>
      <c r="I62" s="3">
        <v>50156147</v>
      </c>
      <c r="J62" s="4">
        <v>46071</v>
      </c>
      <c r="K62" s="3" t="s">
        <v>316</v>
      </c>
      <c r="L62" s="3" t="s">
        <v>30</v>
      </c>
      <c r="M62" s="3" t="s">
        <v>76</v>
      </c>
      <c r="N62" s="3" t="s">
        <v>285</v>
      </c>
      <c r="O62" s="3" t="s">
        <v>92</v>
      </c>
      <c r="P62" s="3" t="s">
        <v>554</v>
      </c>
      <c r="Q62" s="3">
        <v>1430</v>
      </c>
      <c r="R62" s="3" t="s">
        <v>555</v>
      </c>
      <c r="S62" s="3" t="s">
        <v>553</v>
      </c>
      <c r="T62" s="3" t="s">
        <v>556</v>
      </c>
      <c r="U62" s="3">
        <v>1568526245</v>
      </c>
      <c r="V62" s="3">
        <v>1568526245</v>
      </c>
      <c r="X62" s="3" t="s">
        <v>115</v>
      </c>
      <c r="Y62" s="3">
        <v>62732372203</v>
      </c>
    </row>
    <row r="63" spans="1:38" ht="13.2" x14ac:dyDescent="0.25">
      <c r="A63" s="2">
        <v>46077.011542939814</v>
      </c>
      <c r="B63" s="3" t="b">
        <v>1</v>
      </c>
      <c r="C63" s="3" t="s">
        <v>557</v>
      </c>
      <c r="D63" s="3" t="s">
        <v>26</v>
      </c>
      <c r="E63" s="3" t="s">
        <v>181</v>
      </c>
      <c r="F63" s="3" t="s">
        <v>558</v>
      </c>
      <c r="G63" s="3">
        <v>4073</v>
      </c>
      <c r="H63" s="3" t="s">
        <v>29</v>
      </c>
      <c r="I63" s="3">
        <v>51270746</v>
      </c>
      <c r="J63" s="4">
        <v>40727</v>
      </c>
      <c r="K63" s="3" t="s">
        <v>557</v>
      </c>
      <c r="L63" s="3" t="s">
        <v>30</v>
      </c>
      <c r="M63" s="3" t="s">
        <v>31</v>
      </c>
      <c r="N63" s="3" t="s">
        <v>32</v>
      </c>
      <c r="O63" s="3" t="s">
        <v>559</v>
      </c>
      <c r="P63" s="3" t="s">
        <v>560</v>
      </c>
      <c r="Q63" s="3">
        <v>2000</v>
      </c>
      <c r="R63" s="3" t="s">
        <v>561</v>
      </c>
      <c r="S63" s="3" t="s">
        <v>562</v>
      </c>
      <c r="T63" s="3" t="s">
        <v>557</v>
      </c>
      <c r="U63" s="3">
        <v>1130266168</v>
      </c>
      <c r="V63" s="3">
        <v>1130266156</v>
      </c>
      <c r="X63" s="3" t="s">
        <v>115</v>
      </c>
      <c r="Y63" s="3">
        <v>61935179802</v>
      </c>
    </row>
    <row r="64" spans="1:38" ht="13.2" x14ac:dyDescent="0.25">
      <c r="A64" s="2">
        <v>46077.361821423612</v>
      </c>
      <c r="B64" s="3" t="b">
        <v>1</v>
      </c>
      <c r="C64" s="3" t="s">
        <v>563</v>
      </c>
      <c r="D64" s="3" t="s">
        <v>26</v>
      </c>
      <c r="E64" s="3" t="s">
        <v>564</v>
      </c>
      <c r="F64" s="3" t="s">
        <v>565</v>
      </c>
      <c r="G64" s="3">
        <v>4076</v>
      </c>
      <c r="H64" s="3" t="s">
        <v>566</v>
      </c>
      <c r="I64" s="3">
        <v>52697921</v>
      </c>
      <c r="J64" s="4">
        <v>41152</v>
      </c>
      <c r="K64" s="3" t="s">
        <v>567</v>
      </c>
      <c r="L64" s="3" t="s">
        <v>43</v>
      </c>
      <c r="M64" s="3" t="s">
        <v>31</v>
      </c>
      <c r="N64" s="3" t="s">
        <v>568</v>
      </c>
      <c r="O64" s="3" t="s">
        <v>569</v>
      </c>
      <c r="P64" s="3" t="s">
        <v>570</v>
      </c>
      <c r="Q64" s="3">
        <v>1426</v>
      </c>
      <c r="R64" s="3" t="s">
        <v>571</v>
      </c>
      <c r="S64" s="3" t="s">
        <v>572</v>
      </c>
      <c r="T64" s="3" t="s">
        <v>563</v>
      </c>
      <c r="U64" s="3">
        <v>1157090309</v>
      </c>
      <c r="V64" s="3" t="s">
        <v>573</v>
      </c>
      <c r="W64" s="3" t="s">
        <v>574</v>
      </c>
      <c r="X64" s="3" t="s">
        <v>140</v>
      </c>
      <c r="Y64" s="3" t="s">
        <v>575</v>
      </c>
    </row>
    <row r="65" spans="1:46" ht="13.2" x14ac:dyDescent="0.25">
      <c r="A65" s="2">
        <v>46077.407311087962</v>
      </c>
      <c r="B65" s="3" t="b">
        <v>1</v>
      </c>
      <c r="C65" s="3" t="s">
        <v>576</v>
      </c>
      <c r="D65" s="3" t="s">
        <v>180</v>
      </c>
      <c r="E65" s="3" t="s">
        <v>577</v>
      </c>
      <c r="F65" s="3" t="s">
        <v>578</v>
      </c>
      <c r="G65" s="3" t="s">
        <v>579</v>
      </c>
      <c r="H65" s="3" t="s">
        <v>352</v>
      </c>
      <c r="I65" s="3">
        <v>54207303</v>
      </c>
      <c r="J65" s="4">
        <v>41857</v>
      </c>
      <c r="K65" s="3" t="s">
        <v>576</v>
      </c>
      <c r="L65" s="3" t="s">
        <v>30</v>
      </c>
      <c r="M65" s="3" t="s">
        <v>311</v>
      </c>
      <c r="N65" s="3" t="s">
        <v>92</v>
      </c>
      <c r="O65" s="3" t="s">
        <v>92</v>
      </c>
      <c r="P65" s="3" t="s">
        <v>580</v>
      </c>
      <c r="Q65" s="3">
        <v>1020</v>
      </c>
      <c r="R65" s="3" t="s">
        <v>581</v>
      </c>
      <c r="S65" s="3" t="s">
        <v>578</v>
      </c>
      <c r="T65" s="3" t="s">
        <v>576</v>
      </c>
      <c r="U65" s="3">
        <v>1140624064</v>
      </c>
      <c r="V65" s="3">
        <v>1140624064</v>
      </c>
      <c r="X65" s="3" t="s">
        <v>49</v>
      </c>
      <c r="Y65" s="3" t="s">
        <v>582</v>
      </c>
    </row>
    <row r="66" spans="1:46" ht="13.2" x14ac:dyDescent="0.25">
      <c r="A66" s="2">
        <v>46077.408973923608</v>
      </c>
      <c r="B66" s="3" t="b">
        <v>1</v>
      </c>
      <c r="C66" s="3" t="s">
        <v>576</v>
      </c>
      <c r="D66" s="3" t="s">
        <v>26</v>
      </c>
      <c r="E66" s="3" t="s">
        <v>583</v>
      </c>
      <c r="F66" s="3" t="s">
        <v>578</v>
      </c>
      <c r="G66" s="3" t="s">
        <v>579</v>
      </c>
      <c r="H66" s="3" t="s">
        <v>352</v>
      </c>
      <c r="I66" s="3">
        <v>52613001</v>
      </c>
      <c r="J66" s="4">
        <v>41040</v>
      </c>
      <c r="K66" s="3" t="s">
        <v>584</v>
      </c>
      <c r="L66" s="3" t="s">
        <v>30</v>
      </c>
      <c r="M66" s="3" t="s">
        <v>31</v>
      </c>
      <c r="N66" s="3" t="s">
        <v>92</v>
      </c>
      <c r="O66" s="3" t="s">
        <v>92</v>
      </c>
      <c r="P66" s="3" t="s">
        <v>585</v>
      </c>
      <c r="Q66" s="3">
        <v>1020</v>
      </c>
      <c r="R66" s="3" t="s">
        <v>581</v>
      </c>
      <c r="S66" s="3" t="s">
        <v>578</v>
      </c>
      <c r="T66" s="3" t="s">
        <v>576</v>
      </c>
      <c r="U66" s="3">
        <v>1140624064</v>
      </c>
      <c r="V66" s="3">
        <v>1140624064</v>
      </c>
      <c r="X66" s="3" t="s">
        <v>49</v>
      </c>
      <c r="Y66" s="3" t="s">
        <v>586</v>
      </c>
    </row>
    <row r="67" spans="1:46" ht="13.2" x14ac:dyDescent="0.25">
      <c r="A67" s="2">
        <v>46077.527591944439</v>
      </c>
      <c r="B67" s="3" t="b">
        <v>1</v>
      </c>
      <c r="C67" s="3" t="s">
        <v>587</v>
      </c>
      <c r="D67" s="3" t="s">
        <v>26</v>
      </c>
      <c r="E67" s="3" t="s">
        <v>588</v>
      </c>
      <c r="F67" s="3" t="s">
        <v>589</v>
      </c>
      <c r="G67" s="3">
        <v>3918</v>
      </c>
      <c r="H67" s="3" t="s">
        <v>590</v>
      </c>
      <c r="I67" s="3">
        <v>52456716</v>
      </c>
      <c r="J67" s="4">
        <v>41073</v>
      </c>
      <c r="K67" s="3" t="s">
        <v>587</v>
      </c>
      <c r="L67" s="3" t="s">
        <v>43</v>
      </c>
      <c r="M67" s="3" t="s">
        <v>31</v>
      </c>
      <c r="N67" s="3" t="s">
        <v>44</v>
      </c>
      <c r="O67" s="3" t="s">
        <v>591</v>
      </c>
      <c r="P67" s="3" t="s">
        <v>592</v>
      </c>
      <c r="Q67" s="3">
        <v>1644</v>
      </c>
      <c r="R67" s="3" t="s">
        <v>593</v>
      </c>
      <c r="S67" s="3" t="s">
        <v>594</v>
      </c>
      <c r="T67" s="3" t="s">
        <v>587</v>
      </c>
      <c r="U67" s="3">
        <v>1136916512</v>
      </c>
      <c r="V67" s="3">
        <v>1136916512</v>
      </c>
      <c r="W67" s="3">
        <v>1158888268</v>
      </c>
      <c r="X67" s="3" t="s">
        <v>595</v>
      </c>
      <c r="Y67" s="5" t="s">
        <v>596</v>
      </c>
    </row>
    <row r="68" spans="1:46" ht="13.2" x14ac:dyDescent="0.25">
      <c r="A68" s="2">
        <v>46077.552904050928</v>
      </c>
      <c r="B68" s="3" t="b">
        <v>1</v>
      </c>
      <c r="C68" s="3" t="s">
        <v>597</v>
      </c>
      <c r="D68" s="3" t="s">
        <v>26</v>
      </c>
      <c r="E68" s="3" t="s">
        <v>598</v>
      </c>
      <c r="F68" s="3" t="s">
        <v>599</v>
      </c>
      <c r="G68" s="3">
        <v>3788</v>
      </c>
      <c r="H68" s="3" t="s">
        <v>590</v>
      </c>
      <c r="I68" s="3">
        <v>55270307</v>
      </c>
      <c r="J68" s="4">
        <v>42383</v>
      </c>
      <c r="K68" s="3" t="s">
        <v>597</v>
      </c>
      <c r="L68" s="3" t="s">
        <v>43</v>
      </c>
      <c r="M68" s="3" t="s">
        <v>293</v>
      </c>
      <c r="N68" s="3" t="s">
        <v>55</v>
      </c>
      <c r="O68" s="3" t="s">
        <v>600</v>
      </c>
      <c r="P68" s="3" t="s">
        <v>601</v>
      </c>
      <c r="Q68" s="3">
        <v>1643</v>
      </c>
      <c r="R68" s="3" t="s">
        <v>602</v>
      </c>
      <c r="S68" s="3" t="s">
        <v>603</v>
      </c>
      <c r="T68" s="3" t="s">
        <v>597</v>
      </c>
      <c r="U68" s="3">
        <v>1158461098</v>
      </c>
      <c r="V68" s="3">
        <v>1158461098</v>
      </c>
      <c r="W68" s="3">
        <v>1140253343</v>
      </c>
      <c r="X68" s="3" t="s">
        <v>140</v>
      </c>
      <c r="Y68" s="3">
        <v>61150499403</v>
      </c>
    </row>
    <row r="69" spans="1:46" ht="13.2" x14ac:dyDescent="0.25">
      <c r="A69" s="2">
        <v>46077.591112662034</v>
      </c>
      <c r="B69" s="3" t="b">
        <v>1</v>
      </c>
      <c r="C69" s="3" t="s">
        <v>604</v>
      </c>
      <c r="D69" s="3" t="s">
        <v>180</v>
      </c>
      <c r="E69" s="3" t="s">
        <v>605</v>
      </c>
      <c r="F69" s="3" t="s">
        <v>606</v>
      </c>
      <c r="G69" s="3">
        <v>3771</v>
      </c>
      <c r="H69" s="3" t="s">
        <v>198</v>
      </c>
      <c r="I69" s="3">
        <v>54382069</v>
      </c>
      <c r="J69" s="4">
        <v>41933</v>
      </c>
      <c r="K69" s="3" t="s">
        <v>607</v>
      </c>
      <c r="L69" s="3" t="s">
        <v>43</v>
      </c>
      <c r="M69" s="3" t="s">
        <v>31</v>
      </c>
      <c r="N69" s="3" t="s">
        <v>44</v>
      </c>
      <c r="O69" s="3" t="s">
        <v>608</v>
      </c>
      <c r="P69" s="3" t="s">
        <v>609</v>
      </c>
      <c r="Q69" s="3">
        <v>1426</v>
      </c>
      <c r="R69" s="3" t="s">
        <v>610</v>
      </c>
      <c r="S69" s="3" t="s">
        <v>611</v>
      </c>
      <c r="T69" s="3" t="s">
        <v>607</v>
      </c>
      <c r="U69" s="3">
        <v>1140554442</v>
      </c>
      <c r="V69" s="3">
        <v>1166445294</v>
      </c>
      <c r="W69" s="3">
        <v>1140554442</v>
      </c>
      <c r="X69" s="3" t="s">
        <v>115</v>
      </c>
      <c r="Y69" s="3">
        <v>61013892703</v>
      </c>
    </row>
    <row r="70" spans="1:46" ht="13.2" x14ac:dyDescent="0.25">
      <c r="A70" s="2">
        <v>46077.644841215282</v>
      </c>
      <c r="B70" s="3" t="b">
        <v>1</v>
      </c>
      <c r="C70" s="3" t="s">
        <v>612</v>
      </c>
      <c r="D70" s="3" t="s">
        <v>26</v>
      </c>
      <c r="E70" s="3" t="s">
        <v>613</v>
      </c>
      <c r="F70" s="3" t="s">
        <v>614</v>
      </c>
      <c r="G70" s="3">
        <v>4138</v>
      </c>
      <c r="H70" s="3" t="s">
        <v>615</v>
      </c>
      <c r="I70" s="3">
        <v>52325904</v>
      </c>
      <c r="J70" s="4">
        <v>41116</v>
      </c>
      <c r="K70" s="3" t="s">
        <v>612</v>
      </c>
      <c r="L70" s="3" t="s">
        <v>30</v>
      </c>
      <c r="M70" s="3" t="s">
        <v>31</v>
      </c>
      <c r="N70" s="3" t="s">
        <v>616</v>
      </c>
      <c r="O70" s="3" t="s">
        <v>617</v>
      </c>
      <c r="P70" s="3" t="s">
        <v>618</v>
      </c>
      <c r="Q70" s="3">
        <v>8400</v>
      </c>
      <c r="R70" s="3" t="s">
        <v>619</v>
      </c>
      <c r="S70" s="3" t="s">
        <v>620</v>
      </c>
      <c r="T70" s="3" t="s">
        <v>612</v>
      </c>
      <c r="U70" s="3" t="s">
        <v>621</v>
      </c>
      <c r="V70" s="3">
        <v>1150030037</v>
      </c>
      <c r="X70" s="3" t="s">
        <v>140</v>
      </c>
      <c r="Y70" s="3">
        <v>624529842</v>
      </c>
    </row>
    <row r="71" spans="1:46" ht="13.2" x14ac:dyDescent="0.25">
      <c r="A71" s="2">
        <v>46077.685758692125</v>
      </c>
      <c r="B71" s="3" t="b">
        <v>1</v>
      </c>
      <c r="C71" s="3" t="s">
        <v>622</v>
      </c>
      <c r="D71" s="3" t="s">
        <v>26</v>
      </c>
      <c r="E71" s="3" t="s">
        <v>442</v>
      </c>
      <c r="F71" s="3" t="s">
        <v>623</v>
      </c>
      <c r="G71" s="3">
        <v>4167</v>
      </c>
      <c r="H71" s="3" t="s">
        <v>458</v>
      </c>
      <c r="I71" s="3">
        <v>52366875</v>
      </c>
      <c r="J71" s="4">
        <v>40954</v>
      </c>
      <c r="K71" s="3" t="s">
        <v>624</v>
      </c>
      <c r="L71" s="3" t="s">
        <v>30</v>
      </c>
      <c r="M71" s="3" t="s">
        <v>76</v>
      </c>
      <c r="N71" s="3" t="s">
        <v>625</v>
      </c>
      <c r="O71" s="3" t="s">
        <v>229</v>
      </c>
      <c r="P71" s="3" t="s">
        <v>626</v>
      </c>
      <c r="Q71" s="3">
        <v>2000</v>
      </c>
      <c r="R71" s="3" t="s">
        <v>433</v>
      </c>
      <c r="S71" s="3" t="s">
        <v>627</v>
      </c>
      <c r="T71" s="3" t="s">
        <v>624</v>
      </c>
      <c r="U71" s="3">
        <v>3412660525</v>
      </c>
      <c r="V71" s="3">
        <v>3412660540</v>
      </c>
      <c r="X71" s="3" t="s">
        <v>628</v>
      </c>
      <c r="Y71" s="3" t="s">
        <v>629</v>
      </c>
    </row>
    <row r="72" spans="1:46" ht="13.2" x14ac:dyDescent="0.25">
      <c r="A72" s="2">
        <v>46077.784021493055</v>
      </c>
      <c r="B72" s="3" t="b">
        <v>1</v>
      </c>
      <c r="C72" s="3" t="s">
        <v>630</v>
      </c>
      <c r="D72" s="3" t="s">
        <v>26</v>
      </c>
      <c r="E72" s="3" t="s">
        <v>631</v>
      </c>
      <c r="F72" s="3" t="s">
        <v>632</v>
      </c>
      <c r="G72" s="3" t="s">
        <v>633</v>
      </c>
      <c r="H72" s="3" t="s">
        <v>352</v>
      </c>
      <c r="I72" s="3">
        <v>51397535</v>
      </c>
      <c r="J72" s="4">
        <v>40806</v>
      </c>
      <c r="K72" s="3" t="s">
        <v>630</v>
      </c>
      <c r="L72" s="3" t="s">
        <v>30</v>
      </c>
      <c r="M72" s="3" t="s">
        <v>31</v>
      </c>
      <c r="N72" s="3" t="s">
        <v>285</v>
      </c>
      <c r="O72" s="3" t="s">
        <v>285</v>
      </c>
      <c r="P72" s="3" t="s">
        <v>634</v>
      </c>
      <c r="Q72" s="3">
        <v>1643</v>
      </c>
      <c r="R72" s="3" t="s">
        <v>635</v>
      </c>
      <c r="S72" s="3" t="s">
        <v>636</v>
      </c>
      <c r="U72" s="3">
        <v>1534037248</v>
      </c>
      <c r="V72" s="3">
        <v>1534195571</v>
      </c>
      <c r="X72" s="3" t="s">
        <v>211</v>
      </c>
      <c r="Y72" s="3">
        <v>60844562103</v>
      </c>
    </row>
    <row r="73" spans="1:46" ht="13.2" x14ac:dyDescent="0.25">
      <c r="A73" s="2">
        <v>46077.831607488421</v>
      </c>
      <c r="B73" s="3" t="b">
        <v>1</v>
      </c>
      <c r="C73" s="3" t="s">
        <v>637</v>
      </c>
      <c r="D73" s="3" t="s">
        <v>26</v>
      </c>
      <c r="E73" s="3" t="s">
        <v>638</v>
      </c>
      <c r="F73" s="3" t="s">
        <v>639</v>
      </c>
      <c r="G73" s="3">
        <v>4054</v>
      </c>
      <c r="H73" s="3" t="s">
        <v>54</v>
      </c>
      <c r="I73" s="3">
        <v>53285019</v>
      </c>
      <c r="J73" s="4">
        <v>41412</v>
      </c>
      <c r="K73" s="3" t="s">
        <v>637</v>
      </c>
      <c r="L73" s="3" t="s">
        <v>43</v>
      </c>
      <c r="M73" s="3" t="s">
        <v>31</v>
      </c>
      <c r="N73" s="3" t="s">
        <v>44</v>
      </c>
      <c r="O73" s="3" t="s">
        <v>102</v>
      </c>
      <c r="P73" s="3" t="s">
        <v>640</v>
      </c>
      <c r="Q73" s="3">
        <v>1642</v>
      </c>
      <c r="R73" s="3" t="s">
        <v>641</v>
      </c>
      <c r="S73" s="3" t="s">
        <v>642</v>
      </c>
      <c r="T73" s="3" t="s">
        <v>637</v>
      </c>
      <c r="U73" s="3">
        <v>1133688160</v>
      </c>
      <c r="V73" s="3">
        <v>1160151347</v>
      </c>
      <c r="W73" s="3">
        <v>1160151345</v>
      </c>
      <c r="X73" s="3" t="s">
        <v>643</v>
      </c>
      <c r="Y73" s="3">
        <v>1820230900011</v>
      </c>
    </row>
    <row r="74" spans="1:46" ht="13.2" x14ac:dyDescent="0.25">
      <c r="A74" s="2">
        <v>46078.482398206019</v>
      </c>
      <c r="B74" s="3" t="b">
        <v>0</v>
      </c>
      <c r="C74" s="3" t="s">
        <v>644</v>
      </c>
      <c r="D74" s="3" t="s">
        <v>26</v>
      </c>
      <c r="E74" s="3" t="s">
        <v>645</v>
      </c>
      <c r="F74" s="3" t="s">
        <v>646</v>
      </c>
      <c r="G74" s="3">
        <v>3675</v>
      </c>
      <c r="H74" s="3" t="s">
        <v>470</v>
      </c>
      <c r="I74" s="3">
        <v>53236008</v>
      </c>
      <c r="J74" s="4">
        <v>41388</v>
      </c>
      <c r="K74" s="3" t="s">
        <v>644</v>
      </c>
      <c r="L74" s="3" t="s">
        <v>30</v>
      </c>
      <c r="M74" s="3" t="s">
        <v>31</v>
      </c>
      <c r="N74" s="3" t="s">
        <v>92</v>
      </c>
      <c r="O74" s="3" t="s">
        <v>569</v>
      </c>
      <c r="P74" s="3" t="s">
        <v>647</v>
      </c>
      <c r="Q74" s="3">
        <v>1426</v>
      </c>
      <c r="R74" s="3" t="s">
        <v>648</v>
      </c>
      <c r="S74" s="3" t="s">
        <v>649</v>
      </c>
      <c r="T74" s="3" t="s">
        <v>644</v>
      </c>
      <c r="U74" s="3">
        <v>1140883466</v>
      </c>
      <c r="V74" s="3">
        <v>1140883466</v>
      </c>
      <c r="W74" s="3">
        <v>1162890733</v>
      </c>
      <c r="X74" s="3" t="s">
        <v>448</v>
      </c>
      <c r="Y74" s="3">
        <v>14084792001</v>
      </c>
    </row>
    <row r="75" spans="1:46" ht="13.2" x14ac:dyDescent="0.25">
      <c r="A75" s="2">
        <v>46078.514130312498</v>
      </c>
      <c r="B75" s="3" t="b">
        <v>1</v>
      </c>
      <c r="C75" s="3" t="s">
        <v>650</v>
      </c>
      <c r="D75" s="3" t="s">
        <v>26</v>
      </c>
      <c r="E75" s="3" t="s">
        <v>651</v>
      </c>
      <c r="F75" s="3" t="s">
        <v>652</v>
      </c>
      <c r="G75" s="3">
        <v>3977</v>
      </c>
      <c r="H75" s="3" t="s">
        <v>458</v>
      </c>
      <c r="I75" s="3">
        <v>51281593</v>
      </c>
      <c r="J75" s="4">
        <v>40725</v>
      </c>
      <c r="K75" s="3" t="s">
        <v>650</v>
      </c>
      <c r="L75" s="3" t="s">
        <v>43</v>
      </c>
      <c r="M75" s="3" t="s">
        <v>76</v>
      </c>
      <c r="N75" s="3" t="s">
        <v>625</v>
      </c>
      <c r="O75" s="3" t="s">
        <v>229</v>
      </c>
      <c r="P75" s="3" t="s">
        <v>653</v>
      </c>
      <c r="Q75" s="3">
        <v>2000</v>
      </c>
      <c r="R75" s="3" t="s">
        <v>654</v>
      </c>
      <c r="S75" s="3" t="s">
        <v>655</v>
      </c>
      <c r="T75" s="3" t="s">
        <v>650</v>
      </c>
      <c r="U75" s="3" t="s">
        <v>656</v>
      </c>
      <c r="V75" s="3" t="s">
        <v>657</v>
      </c>
      <c r="W75" s="3" t="s">
        <v>658</v>
      </c>
      <c r="X75" s="3" t="s">
        <v>659</v>
      </c>
      <c r="Y75" s="3">
        <v>46383752</v>
      </c>
    </row>
    <row r="76" spans="1:46" ht="13.2" x14ac:dyDescent="0.25">
      <c r="A76" s="2">
        <v>46078.552631944447</v>
      </c>
      <c r="B76" s="3" t="b">
        <v>1</v>
      </c>
      <c r="C76" s="3" t="s">
        <v>660</v>
      </c>
      <c r="D76" s="3" t="s">
        <v>358</v>
      </c>
      <c r="E76" s="3" t="s">
        <v>661</v>
      </c>
      <c r="F76" s="3" t="s">
        <v>662</v>
      </c>
      <c r="G76" s="3">
        <v>223625</v>
      </c>
      <c r="H76" s="3" t="s">
        <v>74</v>
      </c>
      <c r="I76" s="3">
        <v>48860170</v>
      </c>
      <c r="J76" s="4">
        <v>39686</v>
      </c>
      <c r="K76" s="3" t="s">
        <v>660</v>
      </c>
      <c r="L76" s="3" t="s">
        <v>43</v>
      </c>
      <c r="M76" s="3" t="s">
        <v>663</v>
      </c>
      <c r="N76" s="3" t="s">
        <v>44</v>
      </c>
      <c r="O76" s="3" t="s">
        <v>664</v>
      </c>
      <c r="P76" s="3" t="s">
        <v>665</v>
      </c>
      <c r="Q76" s="3" t="s">
        <v>666</v>
      </c>
      <c r="R76" s="3" t="s">
        <v>667</v>
      </c>
      <c r="S76" s="3" t="s">
        <v>662</v>
      </c>
      <c r="T76" s="3" t="s">
        <v>668</v>
      </c>
      <c r="U76" s="3">
        <v>1559387963</v>
      </c>
      <c r="V76" s="3">
        <v>1130405070</v>
      </c>
      <c r="X76" s="3" t="s">
        <v>669</v>
      </c>
      <c r="Y76" s="3" t="s">
        <v>670</v>
      </c>
    </row>
    <row r="77" spans="1:46" ht="13.2" x14ac:dyDescent="0.25">
      <c r="A77" s="2">
        <v>46078.587646238426</v>
      </c>
      <c r="B77" s="3" t="b">
        <v>1</v>
      </c>
      <c r="C77" s="3" t="s">
        <v>671</v>
      </c>
      <c r="D77" s="3" t="s">
        <v>26</v>
      </c>
      <c r="E77" s="3" t="s">
        <v>672</v>
      </c>
      <c r="F77" s="3" t="s">
        <v>673</v>
      </c>
      <c r="G77" s="3">
        <v>4243</v>
      </c>
      <c r="H77" s="3" t="s">
        <v>566</v>
      </c>
      <c r="I77" s="3">
        <v>52448630</v>
      </c>
      <c r="J77" s="4">
        <v>41049</v>
      </c>
      <c r="K77" s="3" t="s">
        <v>671</v>
      </c>
      <c r="L77" s="3" t="s">
        <v>43</v>
      </c>
      <c r="M77" s="3" t="s">
        <v>31</v>
      </c>
      <c r="N77" s="3" t="s">
        <v>44</v>
      </c>
      <c r="O77" s="3" t="s">
        <v>674</v>
      </c>
      <c r="P77" s="3" t="s">
        <v>675</v>
      </c>
      <c r="Q77" s="3">
        <v>1640</v>
      </c>
      <c r="R77" s="3" t="s">
        <v>676</v>
      </c>
      <c r="S77" s="3" t="s">
        <v>673</v>
      </c>
      <c r="T77" s="3" t="s">
        <v>671</v>
      </c>
      <c r="U77" s="3">
        <v>1149924264</v>
      </c>
      <c r="V77" s="3">
        <v>1161929890</v>
      </c>
      <c r="X77" s="3" t="s">
        <v>297</v>
      </c>
      <c r="Y77" s="3">
        <v>1760375405</v>
      </c>
    </row>
    <row r="78" spans="1:46" ht="13.2" x14ac:dyDescent="0.25">
      <c r="A78" s="2">
        <v>46078.644727777777</v>
      </c>
      <c r="B78" s="3" t="b">
        <v>1</v>
      </c>
      <c r="C78" s="3" t="s">
        <v>677</v>
      </c>
      <c r="D78" s="3" t="s">
        <v>180</v>
      </c>
      <c r="E78" s="3" t="s">
        <v>678</v>
      </c>
      <c r="F78" s="3" t="s">
        <v>679</v>
      </c>
      <c r="G78" s="3">
        <v>4112</v>
      </c>
      <c r="H78" s="3" t="s">
        <v>74</v>
      </c>
      <c r="I78" s="3">
        <v>54796546</v>
      </c>
      <c r="J78" s="4">
        <v>42142</v>
      </c>
      <c r="K78" s="3" t="s">
        <v>677</v>
      </c>
      <c r="L78" s="3" t="s">
        <v>30</v>
      </c>
      <c r="M78" s="3" t="s">
        <v>31</v>
      </c>
      <c r="N78" s="3" t="s">
        <v>680</v>
      </c>
      <c r="O78" s="3" t="s">
        <v>92</v>
      </c>
      <c r="P78" s="3" t="s">
        <v>681</v>
      </c>
      <c r="Q78" s="3">
        <v>1428</v>
      </c>
      <c r="R78" s="3" t="s">
        <v>682</v>
      </c>
      <c r="S78" s="3" t="s">
        <v>683</v>
      </c>
      <c r="T78" s="3" t="s">
        <v>677</v>
      </c>
      <c r="U78" s="3">
        <v>1121700524</v>
      </c>
      <c r="V78" s="3">
        <v>1121700524</v>
      </c>
      <c r="X78" s="3" t="s">
        <v>684</v>
      </c>
      <c r="Y78" s="3">
        <v>61360212804</v>
      </c>
      <c r="Z78" s="3" t="s">
        <v>685</v>
      </c>
      <c r="AA78" s="3" t="s">
        <v>686</v>
      </c>
      <c r="AB78" s="3">
        <v>4048</v>
      </c>
      <c r="AC78" s="3" t="s">
        <v>74</v>
      </c>
      <c r="AD78" s="3">
        <v>53240699</v>
      </c>
      <c r="AE78" s="4">
        <v>41423</v>
      </c>
      <c r="AF78" s="3" t="s">
        <v>677</v>
      </c>
      <c r="AG78" s="3" t="s">
        <v>30</v>
      </c>
      <c r="AH78" s="3" t="s">
        <v>31</v>
      </c>
      <c r="AI78" s="3" t="s">
        <v>680</v>
      </c>
      <c r="AJ78" s="3" t="s">
        <v>92</v>
      </c>
      <c r="AL78" s="3">
        <v>1428</v>
      </c>
      <c r="AM78" s="3" t="s">
        <v>682</v>
      </c>
      <c r="AN78" s="3" t="s">
        <v>683</v>
      </c>
      <c r="AO78" s="3" t="s">
        <v>677</v>
      </c>
      <c r="AP78" s="3">
        <v>1121700524</v>
      </c>
      <c r="AS78" s="3" t="s">
        <v>140</v>
      </c>
      <c r="AT78" s="3">
        <v>61360212803</v>
      </c>
    </row>
    <row r="79" spans="1:46" ht="13.2" x14ac:dyDescent="0.25">
      <c r="A79" s="2">
        <v>46078.680571898149</v>
      </c>
      <c r="B79" s="3" t="b">
        <v>1</v>
      </c>
      <c r="C79" s="3" t="s">
        <v>687</v>
      </c>
      <c r="D79" s="3" t="s">
        <v>180</v>
      </c>
      <c r="E79" s="3" t="s">
        <v>688</v>
      </c>
      <c r="F79" s="3" t="s">
        <v>689</v>
      </c>
      <c r="G79" s="3">
        <v>3749</v>
      </c>
      <c r="H79" s="3" t="s">
        <v>198</v>
      </c>
      <c r="I79" s="3">
        <v>53412958</v>
      </c>
      <c r="J79" s="4">
        <v>41501</v>
      </c>
      <c r="K79" s="3" t="s">
        <v>687</v>
      </c>
      <c r="L79" s="3" t="s">
        <v>43</v>
      </c>
      <c r="M79" s="3" t="s">
        <v>31</v>
      </c>
      <c r="N79" s="3" t="s">
        <v>92</v>
      </c>
      <c r="O79" s="3" t="s">
        <v>92</v>
      </c>
      <c r="P79" s="3" t="s">
        <v>690</v>
      </c>
      <c r="Q79" s="3">
        <v>1427</v>
      </c>
      <c r="R79" s="3" t="s">
        <v>691</v>
      </c>
      <c r="S79" s="3" t="s">
        <v>689</v>
      </c>
      <c r="T79" s="3" t="s">
        <v>687</v>
      </c>
      <c r="U79" s="3">
        <v>1155882998</v>
      </c>
      <c r="V79" s="3" t="s">
        <v>692</v>
      </c>
      <c r="W79" s="3" t="s">
        <v>693</v>
      </c>
      <c r="X79" s="3" t="s">
        <v>694</v>
      </c>
      <c r="Y79" s="3" t="s">
        <v>695</v>
      </c>
    </row>
    <row r="80" spans="1:46" ht="13.2" x14ac:dyDescent="0.25">
      <c r="A80" s="2">
        <v>46078.871468773148</v>
      </c>
      <c r="B80" s="3" t="b">
        <v>0</v>
      </c>
      <c r="C80" s="3" t="s">
        <v>696</v>
      </c>
      <c r="D80" s="3" t="s">
        <v>180</v>
      </c>
      <c r="E80" s="3" t="s">
        <v>697</v>
      </c>
      <c r="F80" s="3" t="s">
        <v>698</v>
      </c>
      <c r="G80" s="3">
        <v>3598</v>
      </c>
      <c r="H80" s="3" t="s">
        <v>590</v>
      </c>
      <c r="I80" s="3">
        <v>54892685</v>
      </c>
      <c r="J80" s="4">
        <v>42164</v>
      </c>
      <c r="K80" s="3" t="s">
        <v>696</v>
      </c>
      <c r="L80" s="3" t="s">
        <v>43</v>
      </c>
      <c r="M80" s="3" t="s">
        <v>31</v>
      </c>
      <c r="N80" s="3" t="s">
        <v>44</v>
      </c>
      <c r="O80" s="3" t="s">
        <v>699</v>
      </c>
      <c r="P80" s="3" t="s">
        <v>700</v>
      </c>
      <c r="Q80" s="3">
        <v>1625</v>
      </c>
      <c r="R80" s="3" t="s">
        <v>701</v>
      </c>
      <c r="S80" s="3" t="s">
        <v>702</v>
      </c>
      <c r="T80" s="3" t="s">
        <v>696</v>
      </c>
      <c r="U80" s="3">
        <v>1125500915</v>
      </c>
      <c r="V80" s="3">
        <v>1131732337</v>
      </c>
      <c r="X80" s="3" t="s">
        <v>448</v>
      </c>
      <c r="Y80" s="3">
        <v>15004149000</v>
      </c>
    </row>
    <row r="81" spans="1:46" ht="13.2" x14ac:dyDescent="0.25">
      <c r="A81" s="2">
        <v>46079.314774895829</v>
      </c>
      <c r="B81" s="3" t="b">
        <v>1</v>
      </c>
      <c r="C81" s="3" t="s">
        <v>703</v>
      </c>
      <c r="D81" s="6" t="s">
        <v>26</v>
      </c>
      <c r="E81" s="3" t="s">
        <v>704</v>
      </c>
      <c r="F81" s="3" t="s">
        <v>705</v>
      </c>
      <c r="G81" s="3">
        <v>4232</v>
      </c>
      <c r="H81" s="3" t="s">
        <v>706</v>
      </c>
      <c r="I81" s="3">
        <v>54602290</v>
      </c>
      <c r="J81" s="4">
        <v>42134</v>
      </c>
      <c r="K81" s="3" t="s">
        <v>703</v>
      </c>
      <c r="L81" s="3" t="s">
        <v>43</v>
      </c>
      <c r="M81" s="3" t="s">
        <v>31</v>
      </c>
      <c r="N81" s="3" t="s">
        <v>44</v>
      </c>
      <c r="O81" s="3" t="s">
        <v>707</v>
      </c>
      <c r="P81" s="3" t="s">
        <v>708</v>
      </c>
      <c r="Q81" s="3">
        <v>6000</v>
      </c>
      <c r="R81" s="3" t="s">
        <v>709</v>
      </c>
      <c r="S81" s="3" t="s">
        <v>710</v>
      </c>
      <c r="V81" s="3">
        <v>2364603752</v>
      </c>
      <c r="W81" s="3">
        <v>2364662821</v>
      </c>
      <c r="X81" s="3" t="s">
        <v>115</v>
      </c>
      <c r="Y81" s="3">
        <v>62541254004</v>
      </c>
    </row>
    <row r="82" spans="1:46" ht="13.2" x14ac:dyDescent="0.25">
      <c r="A82" s="2">
        <v>46079.349111412041</v>
      </c>
      <c r="B82" s="3" t="b">
        <v>1</v>
      </c>
      <c r="C82" s="3" t="s">
        <v>711</v>
      </c>
      <c r="D82" s="3" t="s">
        <v>26</v>
      </c>
      <c r="E82" s="3" t="s">
        <v>712</v>
      </c>
      <c r="F82" s="3" t="s">
        <v>713</v>
      </c>
      <c r="G82" s="3">
        <v>3688</v>
      </c>
      <c r="H82" s="3" t="s">
        <v>318</v>
      </c>
      <c r="I82" s="3">
        <v>53242979</v>
      </c>
      <c r="J82" s="4">
        <v>41398</v>
      </c>
      <c r="K82" s="3" t="s">
        <v>711</v>
      </c>
      <c r="L82" s="3" t="s">
        <v>43</v>
      </c>
      <c r="M82" s="3" t="s">
        <v>711</v>
      </c>
      <c r="N82" s="3" t="s">
        <v>711</v>
      </c>
      <c r="O82" s="3" t="s">
        <v>711</v>
      </c>
      <c r="P82" s="3" t="s">
        <v>714</v>
      </c>
      <c r="Q82" s="3">
        <v>1621</v>
      </c>
      <c r="R82" s="3" t="s">
        <v>715</v>
      </c>
      <c r="S82" s="3" t="s">
        <v>716</v>
      </c>
      <c r="T82" s="3" t="s">
        <v>711</v>
      </c>
      <c r="U82" s="3">
        <v>1150609690</v>
      </c>
      <c r="V82" s="3">
        <v>1150609690</v>
      </c>
      <c r="W82" s="3">
        <v>1157029766</v>
      </c>
      <c r="X82" s="3" t="s">
        <v>717</v>
      </c>
      <c r="Y82" s="3" t="s">
        <v>718</v>
      </c>
    </row>
    <row r="83" spans="1:46" ht="13.2" x14ac:dyDescent="0.25">
      <c r="A83" s="2">
        <v>46079.352651805559</v>
      </c>
      <c r="B83" s="3" t="b">
        <v>1</v>
      </c>
      <c r="C83" s="3" t="s">
        <v>711</v>
      </c>
      <c r="D83" s="3" t="s">
        <v>358</v>
      </c>
      <c r="E83" s="3" t="s">
        <v>300</v>
      </c>
      <c r="F83" s="3" t="s">
        <v>713</v>
      </c>
      <c r="G83" s="3">
        <v>207305</v>
      </c>
      <c r="H83" s="3" t="s">
        <v>318</v>
      </c>
      <c r="I83" s="3">
        <v>49951554</v>
      </c>
      <c r="J83" s="4" t="s">
        <v>719</v>
      </c>
      <c r="K83" s="3" t="s">
        <v>711</v>
      </c>
      <c r="L83" s="3" t="s">
        <v>43</v>
      </c>
      <c r="M83" s="3" t="s">
        <v>311</v>
      </c>
      <c r="N83" s="3" t="s">
        <v>384</v>
      </c>
      <c r="O83" s="3" t="s">
        <v>720</v>
      </c>
      <c r="P83" s="3" t="s">
        <v>721</v>
      </c>
      <c r="Q83" s="3">
        <v>1621</v>
      </c>
      <c r="R83" s="3" t="s">
        <v>715</v>
      </c>
      <c r="S83" s="3" t="s">
        <v>716</v>
      </c>
      <c r="T83" s="3" t="s">
        <v>711</v>
      </c>
      <c r="U83" s="3">
        <v>1150609690</v>
      </c>
      <c r="V83" s="3">
        <v>1150609690</v>
      </c>
      <c r="W83" s="3">
        <v>1157029766</v>
      </c>
      <c r="X83" s="3" t="s">
        <v>717</v>
      </c>
      <c r="Y83" s="3" t="s">
        <v>722</v>
      </c>
    </row>
    <row r="84" spans="1:46" ht="13.2" x14ac:dyDescent="0.25">
      <c r="A84" s="2">
        <v>46079.390302118059</v>
      </c>
      <c r="B84" s="3" t="b">
        <v>1</v>
      </c>
      <c r="C84" s="3" t="s">
        <v>723</v>
      </c>
      <c r="D84" s="3" t="s">
        <v>26</v>
      </c>
      <c r="E84" s="3" t="s">
        <v>724</v>
      </c>
      <c r="F84" s="3" t="s">
        <v>725</v>
      </c>
      <c r="G84" s="3">
        <v>4055</v>
      </c>
      <c r="H84" s="3" t="s">
        <v>161</v>
      </c>
      <c r="I84" s="3">
        <v>53477120</v>
      </c>
      <c r="J84" s="4">
        <v>41519</v>
      </c>
      <c r="K84" s="3" t="s">
        <v>723</v>
      </c>
      <c r="L84" s="3" t="s">
        <v>30</v>
      </c>
      <c r="M84" s="3" t="s">
        <v>31</v>
      </c>
      <c r="N84" s="3" t="s">
        <v>726</v>
      </c>
      <c r="O84" s="3" t="s">
        <v>727</v>
      </c>
      <c r="P84" s="3" t="s">
        <v>728</v>
      </c>
      <c r="Q84" s="3">
        <v>3100</v>
      </c>
      <c r="R84" s="3" t="s">
        <v>729</v>
      </c>
      <c r="S84" s="3" t="s">
        <v>725</v>
      </c>
      <c r="T84" s="3" t="s">
        <v>723</v>
      </c>
      <c r="U84" s="3" t="s">
        <v>730</v>
      </c>
      <c r="V84" s="3" t="s">
        <v>730</v>
      </c>
      <c r="W84" s="3" t="s">
        <v>730</v>
      </c>
      <c r="X84" s="3" t="s">
        <v>731</v>
      </c>
      <c r="Y84" s="3">
        <v>66549</v>
      </c>
    </row>
    <row r="85" spans="1:46" ht="13.2" x14ac:dyDescent="0.25">
      <c r="A85" s="2">
        <v>46079.404445173612</v>
      </c>
      <c r="B85" s="3" t="b">
        <v>1</v>
      </c>
      <c r="C85" s="3" t="s">
        <v>732</v>
      </c>
      <c r="D85" s="3" t="s">
        <v>497</v>
      </c>
      <c r="E85" s="3" t="s">
        <v>733</v>
      </c>
      <c r="F85" s="3" t="s">
        <v>734</v>
      </c>
      <c r="G85" s="3">
        <v>182312</v>
      </c>
      <c r="H85" s="3" t="s">
        <v>326</v>
      </c>
      <c r="I85" s="3">
        <v>50609852</v>
      </c>
      <c r="J85" s="4">
        <v>40446</v>
      </c>
      <c r="K85" s="3" t="s">
        <v>735</v>
      </c>
      <c r="L85" s="3" t="s">
        <v>43</v>
      </c>
      <c r="M85" s="3" t="s">
        <v>736</v>
      </c>
      <c r="N85" s="3" t="s">
        <v>285</v>
      </c>
      <c r="O85" s="3" t="s">
        <v>737</v>
      </c>
      <c r="P85" s="3" t="s">
        <v>738</v>
      </c>
      <c r="Q85" s="3">
        <v>1900</v>
      </c>
      <c r="R85" s="3" t="s">
        <v>739</v>
      </c>
      <c r="S85" s="3" t="s">
        <v>740</v>
      </c>
      <c r="T85" s="3" t="s">
        <v>735</v>
      </c>
      <c r="U85" s="3">
        <v>2215485768</v>
      </c>
      <c r="V85" s="3">
        <v>2215033161</v>
      </c>
      <c r="X85" s="3" t="s">
        <v>741</v>
      </c>
      <c r="Y85" s="3" t="s">
        <v>742</v>
      </c>
    </row>
    <row r="86" spans="1:46" ht="13.2" x14ac:dyDescent="0.25">
      <c r="A86" s="2">
        <v>46079.410263379628</v>
      </c>
      <c r="B86" s="3" t="b">
        <v>1</v>
      </c>
      <c r="C86" s="3" t="s">
        <v>743</v>
      </c>
      <c r="D86" s="3" t="s">
        <v>26</v>
      </c>
      <c r="E86" s="3" t="s">
        <v>744</v>
      </c>
      <c r="F86" s="3" t="s">
        <v>745</v>
      </c>
      <c r="G86" s="3">
        <v>4187</v>
      </c>
      <c r="H86" s="3" t="s">
        <v>590</v>
      </c>
      <c r="I86" s="3">
        <v>52764600</v>
      </c>
      <c r="J86" s="4">
        <v>41189</v>
      </c>
      <c r="K86" s="3" t="s">
        <v>746</v>
      </c>
      <c r="L86" s="3" t="s">
        <v>30</v>
      </c>
      <c r="M86" s="3" t="s">
        <v>31</v>
      </c>
      <c r="N86" s="3" t="s">
        <v>747</v>
      </c>
      <c r="O86" s="3" t="s">
        <v>748</v>
      </c>
      <c r="P86" s="3" t="s">
        <v>749</v>
      </c>
      <c r="Q86" s="3">
        <v>1629</v>
      </c>
      <c r="R86" s="3" t="s">
        <v>619</v>
      </c>
      <c r="S86" s="3" t="s">
        <v>750</v>
      </c>
      <c r="T86" s="3" t="s">
        <v>743</v>
      </c>
      <c r="U86" s="3">
        <v>1144130196</v>
      </c>
      <c r="V86" s="3">
        <v>141665305</v>
      </c>
      <c r="W86" s="3">
        <v>1144130196</v>
      </c>
      <c r="X86" s="3" t="s">
        <v>140</v>
      </c>
      <c r="Y86" s="3">
        <v>61157100506</v>
      </c>
    </row>
    <row r="87" spans="1:46" ht="13.2" x14ac:dyDescent="0.25">
      <c r="A87" s="2">
        <v>46079.416763043977</v>
      </c>
      <c r="B87" s="3" t="b">
        <v>1</v>
      </c>
      <c r="C87" s="3" t="s">
        <v>751</v>
      </c>
      <c r="D87" s="3" t="s">
        <v>26</v>
      </c>
      <c r="E87" s="3" t="s">
        <v>752</v>
      </c>
      <c r="F87" s="3" t="s">
        <v>753</v>
      </c>
      <c r="G87" s="3">
        <v>4099</v>
      </c>
      <c r="H87" s="3" t="s">
        <v>207</v>
      </c>
      <c r="I87" s="3">
        <v>52786122</v>
      </c>
      <c r="J87" s="4">
        <v>41185</v>
      </c>
      <c r="K87" s="3" t="s">
        <v>751</v>
      </c>
      <c r="L87" s="3" t="s">
        <v>43</v>
      </c>
      <c r="M87" s="3" t="s">
        <v>31</v>
      </c>
      <c r="N87" s="3" t="s">
        <v>44</v>
      </c>
      <c r="O87" s="3" t="s">
        <v>208</v>
      </c>
      <c r="P87" s="3" t="s">
        <v>754</v>
      </c>
      <c r="Q87" s="3">
        <v>7600</v>
      </c>
      <c r="R87" s="3" t="s">
        <v>755</v>
      </c>
      <c r="S87" s="3" t="s">
        <v>756</v>
      </c>
      <c r="T87" s="3" t="s">
        <v>751</v>
      </c>
      <c r="U87" s="3">
        <v>2235192855</v>
      </c>
      <c r="V87" s="3">
        <v>2234367497</v>
      </c>
      <c r="X87" s="3" t="s">
        <v>140</v>
      </c>
      <c r="Y87" s="3">
        <v>24221686803</v>
      </c>
    </row>
    <row r="88" spans="1:46" ht="13.2" x14ac:dyDescent="0.25">
      <c r="A88" s="2">
        <v>46079.417908680553</v>
      </c>
      <c r="B88" s="3" t="b">
        <v>1</v>
      </c>
      <c r="C88" s="3" t="s">
        <v>757</v>
      </c>
      <c r="D88" s="3" t="s">
        <v>180</v>
      </c>
      <c r="E88" s="3" t="s">
        <v>758</v>
      </c>
      <c r="F88" s="3" t="s">
        <v>759</v>
      </c>
      <c r="G88" s="3">
        <v>3715</v>
      </c>
      <c r="H88" s="3" t="s">
        <v>65</v>
      </c>
      <c r="I88" s="3">
        <v>55529776</v>
      </c>
      <c r="J88" s="4">
        <v>42549</v>
      </c>
      <c r="K88" s="3" t="s">
        <v>757</v>
      </c>
      <c r="L88" s="3" t="s">
        <v>43</v>
      </c>
      <c r="M88" s="3" t="s">
        <v>293</v>
      </c>
      <c r="N88" s="3" t="s">
        <v>44</v>
      </c>
      <c r="O88" s="3" t="s">
        <v>302</v>
      </c>
      <c r="P88" s="3" t="s">
        <v>760</v>
      </c>
      <c r="Q88" s="3">
        <v>2930</v>
      </c>
      <c r="R88" s="3" t="s">
        <v>761</v>
      </c>
      <c r="S88" s="3" t="s">
        <v>762</v>
      </c>
      <c r="T88" s="3" t="s">
        <v>757</v>
      </c>
      <c r="U88" s="3">
        <v>3329333252</v>
      </c>
      <c r="V88" s="3">
        <v>3329333252</v>
      </c>
      <c r="W88" s="3">
        <v>2478445667</v>
      </c>
      <c r="X88" s="3" t="s">
        <v>115</v>
      </c>
      <c r="Y88" s="3">
        <v>62115663004</v>
      </c>
    </row>
    <row r="89" spans="1:46" ht="13.2" x14ac:dyDescent="0.25">
      <c r="A89" s="2">
        <v>46079.456730069447</v>
      </c>
      <c r="B89" s="3" t="b">
        <v>1</v>
      </c>
      <c r="C89" s="3" t="s">
        <v>763</v>
      </c>
      <c r="D89" s="3" t="s">
        <v>26</v>
      </c>
      <c r="E89" s="3" t="s">
        <v>712</v>
      </c>
      <c r="F89" s="3" t="s">
        <v>764</v>
      </c>
      <c r="G89" s="3">
        <v>4247</v>
      </c>
      <c r="H89" s="3" t="s">
        <v>207</v>
      </c>
      <c r="I89" s="3">
        <v>51429146</v>
      </c>
      <c r="J89" s="4">
        <v>40819</v>
      </c>
      <c r="K89" s="3" t="s">
        <v>763</v>
      </c>
      <c r="L89" s="3" t="s">
        <v>43</v>
      </c>
      <c r="M89" s="3" t="s">
        <v>31</v>
      </c>
      <c r="N89" s="3" t="s">
        <v>44</v>
      </c>
      <c r="O89" s="3" t="s">
        <v>765</v>
      </c>
      <c r="P89" s="3" t="s">
        <v>766</v>
      </c>
      <c r="Q89" s="3">
        <v>7600</v>
      </c>
      <c r="R89" s="3" t="s">
        <v>767</v>
      </c>
      <c r="S89" s="3" t="s">
        <v>768</v>
      </c>
      <c r="T89" s="3" t="s">
        <v>763</v>
      </c>
      <c r="U89" s="3">
        <v>1153763786</v>
      </c>
      <c r="V89" s="3">
        <v>2235127768</v>
      </c>
      <c r="X89" s="3" t="s">
        <v>769</v>
      </c>
      <c r="Y89" s="3" t="s">
        <v>770</v>
      </c>
    </row>
    <row r="90" spans="1:46" ht="13.2" x14ac:dyDescent="0.25">
      <c r="A90" s="2">
        <v>46079.478070821759</v>
      </c>
      <c r="B90" s="3" t="b">
        <v>1</v>
      </c>
      <c r="C90" s="3" t="s">
        <v>516</v>
      </c>
      <c r="D90" s="3">
        <v>420</v>
      </c>
      <c r="E90" s="3" t="s">
        <v>771</v>
      </c>
      <c r="F90" s="3" t="s">
        <v>772</v>
      </c>
      <c r="G90" s="3">
        <v>57450</v>
      </c>
      <c r="H90" s="3" t="s">
        <v>74</v>
      </c>
      <c r="I90" s="3">
        <v>50416906</v>
      </c>
      <c r="J90" s="4">
        <v>40354</v>
      </c>
      <c r="K90" s="3" t="s">
        <v>516</v>
      </c>
      <c r="L90" s="3" t="s">
        <v>30</v>
      </c>
      <c r="M90" s="3" t="s">
        <v>311</v>
      </c>
      <c r="N90" s="3" t="s">
        <v>312</v>
      </c>
      <c r="O90" s="3" t="s">
        <v>312</v>
      </c>
      <c r="P90" s="3" t="s">
        <v>520</v>
      </c>
      <c r="Q90" s="3">
        <v>1024</v>
      </c>
      <c r="R90" s="3" t="s">
        <v>773</v>
      </c>
      <c r="T90" s="3" t="s">
        <v>516</v>
      </c>
      <c r="U90" s="3">
        <v>1162296144</v>
      </c>
      <c r="V90" s="3">
        <v>1162292995</v>
      </c>
      <c r="X90" s="3" t="s">
        <v>211</v>
      </c>
      <c r="Y90" s="3">
        <v>61612694702</v>
      </c>
      <c r="Z90" s="3" t="s">
        <v>774</v>
      </c>
      <c r="AA90" s="3" t="s">
        <v>525</v>
      </c>
      <c r="AB90" s="3" t="s">
        <v>775</v>
      </c>
      <c r="AC90" s="3" t="s">
        <v>74</v>
      </c>
      <c r="AD90" s="3">
        <v>50030333</v>
      </c>
      <c r="AE90" s="4">
        <v>40192</v>
      </c>
      <c r="AF90" s="3" t="s">
        <v>516</v>
      </c>
      <c r="AG90" s="3" t="s">
        <v>30</v>
      </c>
      <c r="AH90" s="3" t="s">
        <v>311</v>
      </c>
      <c r="AI90" s="3" t="s">
        <v>312</v>
      </c>
      <c r="AJ90" s="3" t="s">
        <v>312</v>
      </c>
      <c r="AK90" s="3" t="s">
        <v>520</v>
      </c>
      <c r="AL90" s="3">
        <v>1024</v>
      </c>
      <c r="AM90" s="3" t="s">
        <v>521</v>
      </c>
      <c r="AN90" s="3" t="s">
        <v>776</v>
      </c>
      <c r="AO90" s="3" t="s">
        <v>516</v>
      </c>
      <c r="AP90" s="3">
        <v>1162296144</v>
      </c>
      <c r="AQ90" s="3">
        <v>1162292995</v>
      </c>
      <c r="AS90" s="3" t="s">
        <v>523</v>
      </c>
      <c r="AT90" s="3" t="s">
        <v>777</v>
      </c>
    </row>
    <row r="91" spans="1:46" ht="13.2" x14ac:dyDescent="0.25">
      <c r="A91" s="2">
        <v>46079.558351782413</v>
      </c>
      <c r="B91" s="3" t="b">
        <v>1</v>
      </c>
      <c r="C91" s="3" t="s">
        <v>778</v>
      </c>
      <c r="D91" s="3" t="s">
        <v>26</v>
      </c>
      <c r="E91" s="3" t="s">
        <v>779</v>
      </c>
      <c r="F91" s="3" t="s">
        <v>780</v>
      </c>
      <c r="G91" s="3">
        <v>4228</v>
      </c>
      <c r="H91" s="3" t="s">
        <v>318</v>
      </c>
      <c r="I91" s="3">
        <v>51121535</v>
      </c>
      <c r="J91" s="4">
        <v>40638</v>
      </c>
      <c r="K91" s="3" t="s">
        <v>781</v>
      </c>
      <c r="L91" s="3" t="s">
        <v>43</v>
      </c>
      <c r="M91" s="3" t="s">
        <v>76</v>
      </c>
      <c r="N91" s="3" t="s">
        <v>240</v>
      </c>
      <c r="O91" s="3" t="s">
        <v>492</v>
      </c>
      <c r="P91" s="3" t="s">
        <v>782</v>
      </c>
      <c r="Q91" s="3">
        <v>1643</v>
      </c>
      <c r="R91" s="3" t="s">
        <v>783</v>
      </c>
      <c r="S91" s="3" t="s">
        <v>784</v>
      </c>
      <c r="T91" s="3" t="s">
        <v>781</v>
      </c>
      <c r="U91" s="3" t="s">
        <v>785</v>
      </c>
      <c r="V91" s="3" t="s">
        <v>786</v>
      </c>
      <c r="W91" s="3" t="s">
        <v>787</v>
      </c>
      <c r="X91" s="3" t="s">
        <v>448</v>
      </c>
      <c r="Y91" s="3">
        <v>13133921002</v>
      </c>
    </row>
    <row r="92" spans="1:46" ht="13.2" x14ac:dyDescent="0.25">
      <c r="A92" s="2">
        <v>46079.603045057869</v>
      </c>
      <c r="B92" s="3" t="b">
        <v>1</v>
      </c>
      <c r="C92" s="3" t="s">
        <v>788</v>
      </c>
      <c r="D92" s="3" t="s">
        <v>26</v>
      </c>
      <c r="E92" s="3" t="s">
        <v>789</v>
      </c>
      <c r="F92" s="3" t="s">
        <v>790</v>
      </c>
      <c r="G92" s="3">
        <v>4171</v>
      </c>
      <c r="H92" s="3" t="s">
        <v>352</v>
      </c>
      <c r="I92" s="3">
        <v>51183098</v>
      </c>
      <c r="J92" s="4">
        <v>40733</v>
      </c>
      <c r="K92" s="3" t="s">
        <v>788</v>
      </c>
      <c r="L92" s="3" t="s">
        <v>30</v>
      </c>
      <c r="M92" s="3" t="s">
        <v>415</v>
      </c>
      <c r="N92" s="3" t="s">
        <v>285</v>
      </c>
      <c r="O92" s="3" t="s">
        <v>791</v>
      </c>
      <c r="P92" s="3" t="s">
        <v>792</v>
      </c>
      <c r="Q92" s="3">
        <v>1646</v>
      </c>
      <c r="R92" s="3" t="s">
        <v>113</v>
      </c>
      <c r="S92" s="3" t="s">
        <v>793</v>
      </c>
      <c r="T92" s="3" t="s">
        <v>788</v>
      </c>
      <c r="U92" s="3">
        <v>1154522861</v>
      </c>
      <c r="V92" s="3">
        <v>1154522871</v>
      </c>
      <c r="W92" s="3">
        <v>1149916084</v>
      </c>
      <c r="X92" s="3" t="s">
        <v>794</v>
      </c>
      <c r="Y92" s="3">
        <v>60796880905</v>
      </c>
    </row>
    <row r="93" spans="1:46" ht="13.2" x14ac:dyDescent="0.25">
      <c r="A93" s="2">
        <v>46079.677818136573</v>
      </c>
      <c r="B93" s="3" t="b">
        <v>1</v>
      </c>
      <c r="C93" s="3" t="s">
        <v>795</v>
      </c>
      <c r="D93" s="3" t="s">
        <v>180</v>
      </c>
      <c r="E93" s="3" t="s">
        <v>796</v>
      </c>
      <c r="F93" s="3" t="s">
        <v>797</v>
      </c>
      <c r="G93" s="3">
        <v>4253</v>
      </c>
      <c r="H93" s="3" t="s">
        <v>590</v>
      </c>
      <c r="I93" s="3">
        <v>53371846</v>
      </c>
      <c r="J93" s="4">
        <v>41460</v>
      </c>
      <c r="K93" s="3" t="s">
        <v>795</v>
      </c>
      <c r="L93" s="3" t="s">
        <v>43</v>
      </c>
      <c r="M93" s="3" t="s">
        <v>31</v>
      </c>
      <c r="N93" s="3" t="s">
        <v>44</v>
      </c>
      <c r="O93" s="3" t="s">
        <v>798</v>
      </c>
      <c r="P93" s="3" t="s">
        <v>799</v>
      </c>
      <c r="Q93" s="3">
        <v>1621</v>
      </c>
      <c r="R93" s="3" t="s">
        <v>800</v>
      </c>
      <c r="S93" s="3" t="s">
        <v>801</v>
      </c>
      <c r="T93" s="3" t="s">
        <v>795</v>
      </c>
      <c r="U93" s="3">
        <v>1165224080</v>
      </c>
      <c r="V93" s="3">
        <v>1163592977</v>
      </c>
      <c r="X93" s="3" t="s">
        <v>802</v>
      </c>
      <c r="Y93" s="3">
        <v>11462911596203</v>
      </c>
    </row>
    <row r="94" spans="1:46" ht="13.2" x14ac:dyDescent="0.25">
      <c r="A94" s="2">
        <v>46079.76045710648</v>
      </c>
      <c r="B94" s="3" t="b">
        <v>1</v>
      </c>
      <c r="C94" s="3" t="s">
        <v>803</v>
      </c>
      <c r="D94" s="3" t="s">
        <v>26</v>
      </c>
      <c r="E94" s="3" t="s">
        <v>804</v>
      </c>
      <c r="F94" s="3" t="s">
        <v>805</v>
      </c>
      <c r="G94" s="3">
        <v>4098</v>
      </c>
      <c r="H94" s="3" t="s">
        <v>590</v>
      </c>
      <c r="I94" s="3">
        <v>52958381</v>
      </c>
      <c r="J94" s="4">
        <v>41310</v>
      </c>
      <c r="K94" s="3" t="s">
        <v>803</v>
      </c>
      <c r="L94" s="3" t="s">
        <v>30</v>
      </c>
      <c r="M94" s="3" t="s">
        <v>76</v>
      </c>
      <c r="N94" s="3" t="s">
        <v>551</v>
      </c>
      <c r="O94" s="3" t="s">
        <v>551</v>
      </c>
      <c r="P94" s="3" t="s">
        <v>806</v>
      </c>
      <c r="Q94" s="3">
        <v>1419</v>
      </c>
      <c r="R94" s="3" t="s">
        <v>807</v>
      </c>
      <c r="S94" s="3" t="s">
        <v>808</v>
      </c>
      <c r="T94" s="3" t="s">
        <v>803</v>
      </c>
      <c r="U94" s="3" t="s">
        <v>809</v>
      </c>
      <c r="V94" s="3" t="s">
        <v>810</v>
      </c>
      <c r="W94" s="3" t="s">
        <v>811</v>
      </c>
      <c r="X94" s="3" t="s">
        <v>812</v>
      </c>
      <c r="Y94" s="3" t="s">
        <v>813</v>
      </c>
    </row>
    <row r="95" spans="1:46" ht="13.2" x14ac:dyDescent="0.25">
      <c r="A95" s="2">
        <v>46079.786393622686</v>
      </c>
      <c r="B95" s="3" t="b">
        <v>1</v>
      </c>
      <c r="C95" s="3" t="s">
        <v>814</v>
      </c>
      <c r="D95" s="3" t="s">
        <v>26</v>
      </c>
      <c r="E95" s="3" t="s">
        <v>815</v>
      </c>
      <c r="F95" s="3" t="s">
        <v>816</v>
      </c>
      <c r="G95" s="3">
        <v>4087</v>
      </c>
      <c r="H95" s="3" t="s">
        <v>29</v>
      </c>
      <c r="I95" s="3">
        <v>52906229</v>
      </c>
      <c r="J95" s="4">
        <v>41279</v>
      </c>
      <c r="K95" s="3" t="s">
        <v>814</v>
      </c>
      <c r="L95" s="3" t="s">
        <v>30</v>
      </c>
      <c r="M95" s="3" t="s">
        <v>76</v>
      </c>
      <c r="N95" s="3" t="s">
        <v>405</v>
      </c>
      <c r="O95" s="3" t="s">
        <v>229</v>
      </c>
      <c r="P95" s="3" t="s">
        <v>817</v>
      </c>
      <c r="Q95" s="3">
        <v>2000</v>
      </c>
      <c r="R95" s="3" t="s">
        <v>818</v>
      </c>
      <c r="S95" s="3" t="s">
        <v>819</v>
      </c>
      <c r="T95" s="3" t="s">
        <v>814</v>
      </c>
      <c r="U95" s="3">
        <v>3416239137</v>
      </c>
      <c r="V95" s="3">
        <v>3416383000</v>
      </c>
      <c r="X95" s="3" t="s">
        <v>115</v>
      </c>
      <c r="Y95" s="3">
        <v>61089446204</v>
      </c>
    </row>
    <row r="96" spans="1:46" ht="13.2" x14ac:dyDescent="0.25">
      <c r="A96" s="2">
        <v>46079.798398391205</v>
      </c>
      <c r="B96" s="3" t="b">
        <v>1</v>
      </c>
      <c r="C96" s="3" t="s">
        <v>820</v>
      </c>
      <c r="D96" s="3" t="s">
        <v>26</v>
      </c>
      <c r="E96" s="3" t="s">
        <v>821</v>
      </c>
      <c r="F96" s="3" t="s">
        <v>822</v>
      </c>
      <c r="G96" s="3">
        <v>4160</v>
      </c>
      <c r="H96" s="3" t="s">
        <v>326</v>
      </c>
      <c r="I96" s="3">
        <v>52725158</v>
      </c>
      <c r="J96" s="4">
        <v>41167</v>
      </c>
      <c r="K96" s="3" t="s">
        <v>820</v>
      </c>
      <c r="L96" s="3" t="s">
        <v>30</v>
      </c>
      <c r="M96" s="3" t="s">
        <v>293</v>
      </c>
      <c r="N96" s="3" t="s">
        <v>55</v>
      </c>
      <c r="O96" s="3" t="s">
        <v>823</v>
      </c>
      <c r="P96" s="3" t="s">
        <v>824</v>
      </c>
      <c r="Q96" s="3">
        <v>1925</v>
      </c>
      <c r="R96" s="3" t="s">
        <v>825</v>
      </c>
      <c r="S96" s="3" t="s">
        <v>822</v>
      </c>
      <c r="T96" s="3" t="s">
        <v>820</v>
      </c>
      <c r="U96" s="3">
        <v>2215909668</v>
      </c>
      <c r="V96" s="3">
        <v>2216010051</v>
      </c>
      <c r="W96" s="3">
        <v>2215909668</v>
      </c>
      <c r="X96" s="3" t="s">
        <v>70</v>
      </c>
      <c r="Y96" s="3">
        <v>130426637802</v>
      </c>
    </row>
    <row r="97" spans="1:25" ht="13.2" x14ac:dyDescent="0.25">
      <c r="A97" s="2">
        <v>46079.800923888892</v>
      </c>
      <c r="B97" s="3" t="b">
        <v>1</v>
      </c>
      <c r="C97" s="3" t="s">
        <v>826</v>
      </c>
      <c r="D97" s="3" t="s">
        <v>358</v>
      </c>
      <c r="E97" s="3" t="s">
        <v>827</v>
      </c>
      <c r="F97" s="3" t="s">
        <v>828</v>
      </c>
      <c r="G97" s="3">
        <v>224796</v>
      </c>
      <c r="H97" s="3" t="s">
        <v>318</v>
      </c>
      <c r="I97" s="3">
        <v>50434935</v>
      </c>
      <c r="J97" s="4">
        <v>40376</v>
      </c>
      <c r="K97" s="3" t="s">
        <v>826</v>
      </c>
      <c r="L97" s="3" t="s">
        <v>43</v>
      </c>
      <c r="M97" s="3" t="s">
        <v>31</v>
      </c>
      <c r="N97" s="3" t="s">
        <v>44</v>
      </c>
      <c r="O97" s="3" t="s">
        <v>829</v>
      </c>
      <c r="P97" s="3" t="s">
        <v>830</v>
      </c>
      <c r="Q97" s="3">
        <v>1609</v>
      </c>
      <c r="R97" s="3" t="s">
        <v>831</v>
      </c>
      <c r="S97" s="3" t="s">
        <v>832</v>
      </c>
      <c r="T97" s="3" t="s">
        <v>826</v>
      </c>
      <c r="U97" s="3">
        <v>1153207320</v>
      </c>
      <c r="V97" s="3">
        <v>1153207320</v>
      </c>
      <c r="W97" s="3">
        <v>1159946423</v>
      </c>
      <c r="X97" s="3" t="s">
        <v>448</v>
      </c>
      <c r="Y97" s="3">
        <v>12609231003</v>
      </c>
    </row>
    <row r="98" spans="1:25" ht="13.2" x14ac:dyDescent="0.25">
      <c r="A98" s="2">
        <v>46079.924306365741</v>
      </c>
      <c r="B98" s="3" t="b">
        <v>1</v>
      </c>
      <c r="C98" s="3" t="s">
        <v>833</v>
      </c>
      <c r="D98" s="3" t="s">
        <v>180</v>
      </c>
      <c r="E98" s="3" t="s">
        <v>834</v>
      </c>
      <c r="F98" s="3" t="s">
        <v>835</v>
      </c>
      <c r="G98" s="3">
        <v>3903</v>
      </c>
      <c r="H98" s="3" t="s">
        <v>326</v>
      </c>
      <c r="I98" s="3">
        <v>54050047</v>
      </c>
      <c r="J98" s="4">
        <v>41797</v>
      </c>
      <c r="K98" s="3" t="s">
        <v>833</v>
      </c>
      <c r="L98" s="3" t="s">
        <v>30</v>
      </c>
      <c r="M98" s="3" t="s">
        <v>31</v>
      </c>
      <c r="N98" s="3" t="s">
        <v>44</v>
      </c>
      <c r="O98" s="3" t="s">
        <v>327</v>
      </c>
      <c r="P98" s="3" t="s">
        <v>836</v>
      </c>
      <c r="Q98" s="3">
        <v>1900</v>
      </c>
      <c r="R98" s="3" t="s">
        <v>837</v>
      </c>
      <c r="S98" s="3" t="s">
        <v>838</v>
      </c>
      <c r="T98" s="3" t="s">
        <v>833</v>
      </c>
      <c r="U98" s="3">
        <v>2215419561</v>
      </c>
      <c r="V98" s="3">
        <v>2215419561</v>
      </c>
      <c r="W98" s="3">
        <v>1162990954</v>
      </c>
      <c r="X98" s="3" t="s">
        <v>694</v>
      </c>
      <c r="Y98" s="5" t="s">
        <v>839</v>
      </c>
    </row>
    <row r="99" spans="1:25" ht="13.2" x14ac:dyDescent="0.25">
      <c r="A99" s="2">
        <v>46080.355073310187</v>
      </c>
      <c r="B99" s="3" t="b">
        <v>1</v>
      </c>
      <c r="C99" s="3" t="s">
        <v>840</v>
      </c>
      <c r="D99" s="3" t="s">
        <v>26</v>
      </c>
      <c r="E99" s="3" t="s">
        <v>841</v>
      </c>
      <c r="F99" s="3" t="s">
        <v>842</v>
      </c>
      <c r="G99" s="3">
        <v>3625</v>
      </c>
      <c r="H99" s="3" t="s">
        <v>843</v>
      </c>
      <c r="I99" s="3">
        <v>52440140</v>
      </c>
      <c r="J99" s="4">
        <v>41015</v>
      </c>
      <c r="K99" s="3" t="s">
        <v>844</v>
      </c>
      <c r="L99" s="3" t="s">
        <v>30</v>
      </c>
      <c r="M99" s="3" t="s">
        <v>31</v>
      </c>
      <c r="N99" s="3" t="s">
        <v>568</v>
      </c>
      <c r="O99" s="3" t="s">
        <v>845</v>
      </c>
      <c r="P99" s="3" t="s">
        <v>846</v>
      </c>
      <c r="Q99" s="3">
        <v>1430</v>
      </c>
      <c r="R99" s="3" t="s">
        <v>88</v>
      </c>
      <c r="S99" s="3" t="s">
        <v>847</v>
      </c>
      <c r="T99" s="3" t="s">
        <v>840</v>
      </c>
      <c r="U99" s="3">
        <v>1161681234</v>
      </c>
      <c r="V99" s="3" t="s">
        <v>848</v>
      </c>
      <c r="X99" s="3" t="s">
        <v>849</v>
      </c>
      <c r="Y99" s="3">
        <v>61407799002</v>
      </c>
    </row>
    <row r="100" spans="1:25" ht="13.2" x14ac:dyDescent="0.25">
      <c r="A100" s="2">
        <v>46080.384868298614</v>
      </c>
      <c r="B100" s="3" t="b">
        <v>1</v>
      </c>
      <c r="C100" s="3" t="s">
        <v>850</v>
      </c>
      <c r="D100" s="3" t="s">
        <v>26</v>
      </c>
      <c r="E100" s="3" t="s">
        <v>827</v>
      </c>
      <c r="F100" s="3" t="s">
        <v>851</v>
      </c>
      <c r="G100" s="3">
        <v>3992</v>
      </c>
      <c r="H100" s="3" t="s">
        <v>54</v>
      </c>
      <c r="I100" s="3">
        <v>53236907</v>
      </c>
      <c r="J100" s="4">
        <v>41375</v>
      </c>
      <c r="K100" s="3" t="s">
        <v>850</v>
      </c>
      <c r="L100" s="3" t="s">
        <v>43</v>
      </c>
      <c r="M100" s="3" t="s">
        <v>31</v>
      </c>
      <c r="N100" s="3" t="s">
        <v>92</v>
      </c>
      <c r="O100" s="3" t="s">
        <v>92</v>
      </c>
      <c r="P100" s="3" t="s">
        <v>852</v>
      </c>
      <c r="Q100" s="3">
        <v>1429</v>
      </c>
      <c r="R100" s="3" t="s">
        <v>853</v>
      </c>
      <c r="S100" s="3" t="s">
        <v>851</v>
      </c>
      <c r="T100" s="3" t="s">
        <v>850</v>
      </c>
      <c r="U100" s="3">
        <v>1132341376</v>
      </c>
      <c r="V100" s="3">
        <v>1156419068</v>
      </c>
      <c r="X100" s="3" t="s">
        <v>854</v>
      </c>
      <c r="Y100" s="3">
        <v>1735002</v>
      </c>
    </row>
    <row r="101" spans="1:25" ht="13.2" x14ac:dyDescent="0.25">
      <c r="A101" s="2">
        <v>46080.4147084375</v>
      </c>
      <c r="B101" s="3" t="b">
        <v>1</v>
      </c>
      <c r="C101" s="3" t="s">
        <v>855</v>
      </c>
      <c r="D101" s="3" t="s">
        <v>26</v>
      </c>
      <c r="E101" s="3" t="s">
        <v>613</v>
      </c>
      <c r="F101" s="3" t="s">
        <v>856</v>
      </c>
      <c r="G101" s="3">
        <v>4121</v>
      </c>
      <c r="H101" s="3" t="s">
        <v>74</v>
      </c>
      <c r="I101" s="3">
        <v>53204460</v>
      </c>
      <c r="J101" s="4">
        <v>41418</v>
      </c>
      <c r="K101" s="3" t="s">
        <v>855</v>
      </c>
      <c r="L101" s="3" t="s">
        <v>30</v>
      </c>
      <c r="M101" s="3" t="s">
        <v>31</v>
      </c>
      <c r="N101" s="3" t="s">
        <v>44</v>
      </c>
      <c r="O101" s="3" t="s">
        <v>200</v>
      </c>
      <c r="P101" s="3" t="s">
        <v>857</v>
      </c>
      <c r="Q101" s="3">
        <v>1644</v>
      </c>
      <c r="R101" s="3" t="s">
        <v>359</v>
      </c>
      <c r="S101" s="3" t="s">
        <v>856</v>
      </c>
      <c r="T101" s="3" t="s">
        <v>855</v>
      </c>
      <c r="U101" s="3">
        <v>1133431250</v>
      </c>
      <c r="V101" s="3" t="s">
        <v>858</v>
      </c>
      <c r="X101" s="3" t="s">
        <v>849</v>
      </c>
      <c r="Y101" s="3">
        <v>61132626304</v>
      </c>
    </row>
    <row r="102" spans="1:25" ht="13.2" x14ac:dyDescent="0.25">
      <c r="A102" s="2">
        <v>46080.425424502318</v>
      </c>
      <c r="B102" s="3" t="b">
        <v>1</v>
      </c>
      <c r="C102" s="3" t="s">
        <v>859</v>
      </c>
      <c r="D102" s="3" t="s">
        <v>26</v>
      </c>
      <c r="E102" s="3" t="s">
        <v>789</v>
      </c>
      <c r="F102" s="3" t="s">
        <v>860</v>
      </c>
      <c r="G102" s="3">
        <v>4179</v>
      </c>
      <c r="H102" s="3" t="s">
        <v>198</v>
      </c>
      <c r="I102" s="3">
        <v>51125913</v>
      </c>
      <c r="J102" s="4" t="s">
        <v>861</v>
      </c>
      <c r="K102" s="3" t="s">
        <v>862</v>
      </c>
      <c r="L102" s="3" t="s">
        <v>30</v>
      </c>
      <c r="M102" s="3" t="s">
        <v>31</v>
      </c>
      <c r="N102" s="3" t="s">
        <v>44</v>
      </c>
      <c r="O102" s="3" t="s">
        <v>142</v>
      </c>
      <c r="P102" s="3" t="s">
        <v>863</v>
      </c>
      <c r="Q102" s="3">
        <v>1117</v>
      </c>
      <c r="R102" s="3" t="s">
        <v>864</v>
      </c>
      <c r="S102" s="3" t="s">
        <v>865</v>
      </c>
      <c r="T102" s="3" t="s">
        <v>862</v>
      </c>
      <c r="U102" s="3">
        <v>1156347682</v>
      </c>
      <c r="V102" s="3">
        <v>1156347682</v>
      </c>
      <c r="W102" s="3">
        <v>1164486728</v>
      </c>
      <c r="X102" s="3" t="s">
        <v>866</v>
      </c>
      <c r="Y102" s="3">
        <v>61164745002</v>
      </c>
    </row>
    <row r="103" spans="1:25" ht="13.2" x14ac:dyDescent="0.25">
      <c r="A103" s="2">
        <v>46080.430651828705</v>
      </c>
      <c r="B103" s="3" t="b">
        <v>1</v>
      </c>
      <c r="C103" s="3" t="s">
        <v>867</v>
      </c>
      <c r="D103" s="3" t="s">
        <v>26</v>
      </c>
      <c r="E103" s="3" t="s">
        <v>868</v>
      </c>
      <c r="F103" s="3" t="s">
        <v>869</v>
      </c>
      <c r="G103" s="3">
        <v>4038</v>
      </c>
      <c r="H103" s="3" t="s">
        <v>458</v>
      </c>
      <c r="I103" s="3">
        <v>54116095</v>
      </c>
      <c r="J103" s="4">
        <v>41811</v>
      </c>
      <c r="K103" s="3" t="s">
        <v>867</v>
      </c>
      <c r="L103" s="3" t="s">
        <v>30</v>
      </c>
      <c r="M103" s="3" t="s">
        <v>76</v>
      </c>
      <c r="N103" s="3" t="s">
        <v>32</v>
      </c>
      <c r="O103" s="3" t="s">
        <v>33</v>
      </c>
      <c r="P103" s="3" t="s">
        <v>870</v>
      </c>
      <c r="Q103" s="3">
        <v>2000</v>
      </c>
      <c r="R103" s="3" t="s">
        <v>871</v>
      </c>
      <c r="S103" s="3" t="s">
        <v>869</v>
      </c>
      <c r="T103" s="3" t="s">
        <v>867</v>
      </c>
      <c r="U103" s="3">
        <v>3416251616</v>
      </c>
      <c r="V103" s="3">
        <v>3416251616</v>
      </c>
      <c r="X103" s="3" t="s">
        <v>872</v>
      </c>
      <c r="Y103" s="3">
        <v>3932422</v>
      </c>
    </row>
    <row r="104" spans="1:25" ht="13.2" x14ac:dyDescent="0.25">
      <c r="A104" s="2">
        <v>46080.436654618054</v>
      </c>
      <c r="B104" s="3" t="b">
        <v>1</v>
      </c>
      <c r="C104" s="3" t="s">
        <v>873</v>
      </c>
      <c r="D104" s="3" t="s">
        <v>358</v>
      </c>
      <c r="E104" s="3" t="s">
        <v>874</v>
      </c>
      <c r="F104" s="3" t="s">
        <v>875</v>
      </c>
      <c r="G104" s="3">
        <v>220260</v>
      </c>
      <c r="H104" s="3" t="s">
        <v>42</v>
      </c>
      <c r="I104" s="3">
        <v>38448069</v>
      </c>
      <c r="J104" s="4">
        <v>34607</v>
      </c>
      <c r="K104" s="3" t="s">
        <v>873</v>
      </c>
      <c r="L104" s="3" t="s">
        <v>43</v>
      </c>
      <c r="M104" s="3" t="s">
        <v>31</v>
      </c>
      <c r="N104" s="3" t="s">
        <v>285</v>
      </c>
      <c r="O104" s="3" t="s">
        <v>45</v>
      </c>
      <c r="P104" s="3" t="s">
        <v>876</v>
      </c>
      <c r="Q104" s="3">
        <v>2800</v>
      </c>
      <c r="V104" s="3">
        <v>3487509039</v>
      </c>
      <c r="X104" s="3" t="s">
        <v>877</v>
      </c>
      <c r="Y104" s="3">
        <v>12678</v>
      </c>
    </row>
    <row r="105" spans="1:25" ht="13.2" x14ac:dyDescent="0.25">
      <c r="A105" s="2">
        <v>46080.445199942129</v>
      </c>
      <c r="B105" s="3" t="b">
        <v>1</v>
      </c>
      <c r="C105" s="3" t="s">
        <v>878</v>
      </c>
      <c r="D105" s="3" t="s">
        <v>180</v>
      </c>
      <c r="E105" s="3" t="s">
        <v>879</v>
      </c>
      <c r="F105" s="3" t="s">
        <v>880</v>
      </c>
      <c r="G105" s="3" t="s">
        <v>881</v>
      </c>
      <c r="H105" s="3" t="s">
        <v>74</v>
      </c>
      <c r="I105" s="3">
        <v>53454458</v>
      </c>
      <c r="J105" s="4">
        <v>41516</v>
      </c>
      <c r="K105" s="3" t="s">
        <v>878</v>
      </c>
      <c r="L105" s="3" t="s">
        <v>43</v>
      </c>
      <c r="M105" s="3" t="s">
        <v>31</v>
      </c>
      <c r="N105" s="3" t="s">
        <v>44</v>
      </c>
      <c r="O105" s="3" t="s">
        <v>882</v>
      </c>
      <c r="P105" s="3" t="s">
        <v>883</v>
      </c>
      <c r="Q105" s="3">
        <v>1622</v>
      </c>
      <c r="R105" s="3" t="s">
        <v>884</v>
      </c>
      <c r="S105" s="3" t="s">
        <v>880</v>
      </c>
      <c r="T105" s="3" t="s">
        <v>878</v>
      </c>
      <c r="U105" s="3">
        <v>1136947841</v>
      </c>
      <c r="V105" s="3">
        <v>1136947841</v>
      </c>
      <c r="W105" s="3">
        <v>1132911607</v>
      </c>
      <c r="X105" s="3" t="s">
        <v>115</v>
      </c>
      <c r="Y105" s="3">
        <v>61097492003</v>
      </c>
    </row>
    <row r="106" spans="1:25" ht="13.2" x14ac:dyDescent="0.25">
      <c r="A106" s="2">
        <v>46080.446726956019</v>
      </c>
      <c r="B106" s="3" t="b">
        <v>1</v>
      </c>
      <c r="C106" s="3" t="s">
        <v>878</v>
      </c>
      <c r="D106" s="3" t="s">
        <v>180</v>
      </c>
      <c r="E106" s="3" t="s">
        <v>827</v>
      </c>
      <c r="F106" s="3" t="s">
        <v>880</v>
      </c>
      <c r="G106" s="3">
        <v>3976</v>
      </c>
      <c r="H106" s="3" t="s">
        <v>74</v>
      </c>
      <c r="I106" s="3">
        <v>54742019</v>
      </c>
      <c r="J106" s="4">
        <v>42090</v>
      </c>
      <c r="K106" s="3" t="s">
        <v>878</v>
      </c>
      <c r="L106" s="3" t="s">
        <v>43</v>
      </c>
      <c r="M106" s="3" t="s">
        <v>31</v>
      </c>
      <c r="N106" s="3" t="s">
        <v>44</v>
      </c>
      <c r="O106" s="3" t="s">
        <v>882</v>
      </c>
      <c r="P106" s="3" t="s">
        <v>883</v>
      </c>
      <c r="Q106" s="3">
        <v>1622</v>
      </c>
      <c r="R106" s="3" t="s">
        <v>884</v>
      </c>
      <c r="S106" s="3" t="s">
        <v>880</v>
      </c>
      <c r="T106" s="3" t="s">
        <v>878</v>
      </c>
      <c r="U106" s="3">
        <v>1146947841</v>
      </c>
      <c r="V106" s="3">
        <v>1136947841</v>
      </c>
      <c r="W106" s="3">
        <v>1132911607</v>
      </c>
      <c r="X106" s="3" t="s">
        <v>115</v>
      </c>
      <c r="Y106" s="3">
        <v>61097492004</v>
      </c>
    </row>
    <row r="107" spans="1:25" ht="13.2" x14ac:dyDescent="0.25">
      <c r="A107" s="2">
        <v>46080.448795671298</v>
      </c>
      <c r="B107" s="3" t="b">
        <v>1</v>
      </c>
      <c r="C107" s="3" t="s">
        <v>885</v>
      </c>
      <c r="D107" s="3" t="s">
        <v>180</v>
      </c>
      <c r="E107" s="3" t="s">
        <v>886</v>
      </c>
      <c r="F107" s="3" t="s">
        <v>887</v>
      </c>
      <c r="G107" s="3">
        <v>4163</v>
      </c>
      <c r="H107" s="3" t="s">
        <v>54</v>
      </c>
      <c r="I107" s="3">
        <v>55161432</v>
      </c>
      <c r="J107" s="4">
        <v>42292</v>
      </c>
      <c r="K107" s="3" t="s">
        <v>885</v>
      </c>
      <c r="L107" s="3" t="s">
        <v>43</v>
      </c>
      <c r="M107" s="3" t="s">
        <v>31</v>
      </c>
      <c r="N107" s="3" t="s">
        <v>44</v>
      </c>
      <c r="O107" s="3" t="s">
        <v>674</v>
      </c>
      <c r="P107" s="3" t="s">
        <v>888</v>
      </c>
      <c r="Q107" s="3">
        <v>1640</v>
      </c>
      <c r="R107" s="3" t="s">
        <v>422</v>
      </c>
      <c r="S107" s="3" t="s">
        <v>887</v>
      </c>
      <c r="T107" s="3" t="s">
        <v>885</v>
      </c>
      <c r="U107" s="3">
        <v>1136972482</v>
      </c>
      <c r="V107" s="3">
        <v>1150246852</v>
      </c>
      <c r="X107" s="3" t="s">
        <v>115</v>
      </c>
      <c r="Y107" s="3">
        <v>61096214005</v>
      </c>
    </row>
    <row r="108" spans="1:25" ht="13.2" x14ac:dyDescent="0.25">
      <c r="A108" s="2">
        <v>46080.451173148147</v>
      </c>
      <c r="B108" s="3" t="b">
        <v>1</v>
      </c>
      <c r="C108" s="3" t="s">
        <v>885</v>
      </c>
      <c r="D108" s="3" t="s">
        <v>26</v>
      </c>
      <c r="E108" s="3" t="s">
        <v>889</v>
      </c>
      <c r="F108" s="3" t="s">
        <v>887</v>
      </c>
      <c r="G108" s="3">
        <v>4163</v>
      </c>
      <c r="H108" s="3" t="s">
        <v>54</v>
      </c>
      <c r="I108" s="3">
        <v>52764604</v>
      </c>
      <c r="J108" s="4">
        <v>41190</v>
      </c>
      <c r="K108" s="3" t="s">
        <v>885</v>
      </c>
      <c r="L108" s="3" t="s">
        <v>43</v>
      </c>
      <c r="M108" s="3" t="s">
        <v>31</v>
      </c>
      <c r="N108" s="3" t="s">
        <v>44</v>
      </c>
      <c r="O108" s="3" t="s">
        <v>674</v>
      </c>
      <c r="P108" s="3" t="s">
        <v>890</v>
      </c>
      <c r="Q108" s="3">
        <v>1640</v>
      </c>
      <c r="R108" s="3" t="s">
        <v>422</v>
      </c>
      <c r="S108" s="3" t="s">
        <v>887</v>
      </c>
      <c r="T108" s="3" t="s">
        <v>885</v>
      </c>
      <c r="U108" s="3">
        <v>1136972482</v>
      </c>
      <c r="V108" s="3">
        <v>1150246852</v>
      </c>
      <c r="X108" s="3" t="s">
        <v>115</v>
      </c>
      <c r="Y108" s="3">
        <v>61096214004</v>
      </c>
    </row>
    <row r="109" spans="1:25" ht="13.2" x14ac:dyDescent="0.25">
      <c r="A109" s="2">
        <v>46080.480786736109</v>
      </c>
      <c r="B109" s="3" t="b">
        <v>1</v>
      </c>
      <c r="C109" s="3" t="s">
        <v>891</v>
      </c>
      <c r="D109" s="3" t="s">
        <v>180</v>
      </c>
      <c r="E109" s="3" t="s">
        <v>892</v>
      </c>
      <c r="F109" s="3" t="s">
        <v>893</v>
      </c>
      <c r="G109" s="3">
        <v>4016</v>
      </c>
      <c r="H109" s="3" t="s">
        <v>590</v>
      </c>
      <c r="I109" s="3">
        <v>96419202</v>
      </c>
      <c r="J109" s="4">
        <v>41701</v>
      </c>
      <c r="K109" s="3" t="s">
        <v>891</v>
      </c>
      <c r="L109" s="3" t="s">
        <v>43</v>
      </c>
      <c r="M109" s="3" t="s">
        <v>31</v>
      </c>
      <c r="N109" s="3" t="s">
        <v>92</v>
      </c>
      <c r="O109" s="3" t="s">
        <v>92</v>
      </c>
      <c r="P109" s="3" t="s">
        <v>894</v>
      </c>
      <c r="Q109" s="3">
        <v>1048</v>
      </c>
      <c r="R109" s="3" t="s">
        <v>895</v>
      </c>
      <c r="S109" s="3" t="s">
        <v>893</v>
      </c>
      <c r="T109" s="3" t="s">
        <v>891</v>
      </c>
      <c r="U109" s="3">
        <v>1124616806</v>
      </c>
      <c r="V109" s="3">
        <v>3873132661</v>
      </c>
      <c r="X109" s="3" t="s">
        <v>896</v>
      </c>
      <c r="Y109" s="5" t="s">
        <v>897</v>
      </c>
    </row>
    <row r="110" spans="1:25" ht="13.2" x14ac:dyDescent="0.25">
      <c r="A110" s="2">
        <v>46080.576990532412</v>
      </c>
      <c r="B110" s="3" t="b">
        <v>1</v>
      </c>
      <c r="C110" s="3" t="s">
        <v>898</v>
      </c>
      <c r="D110" s="3" t="s">
        <v>180</v>
      </c>
      <c r="E110" s="3" t="s">
        <v>899</v>
      </c>
      <c r="F110" s="3" t="s">
        <v>900</v>
      </c>
      <c r="G110" s="3">
        <v>4094</v>
      </c>
      <c r="H110" s="3" t="s">
        <v>352</v>
      </c>
      <c r="I110" s="3">
        <v>51606646</v>
      </c>
      <c r="J110" s="4">
        <v>42161</v>
      </c>
      <c r="K110" s="3" t="s">
        <v>898</v>
      </c>
      <c r="L110" s="3" t="s">
        <v>43</v>
      </c>
      <c r="M110" s="3" t="s">
        <v>31</v>
      </c>
      <c r="N110" s="3" t="s">
        <v>44</v>
      </c>
      <c r="O110" s="3" t="s">
        <v>901</v>
      </c>
      <c r="P110" s="3" t="s">
        <v>902</v>
      </c>
      <c r="Q110" s="3">
        <v>1641</v>
      </c>
      <c r="R110" s="3" t="s">
        <v>903</v>
      </c>
      <c r="S110" s="3" t="s">
        <v>904</v>
      </c>
      <c r="T110" s="3" t="s">
        <v>905</v>
      </c>
      <c r="U110" s="3">
        <v>1170545184</v>
      </c>
      <c r="V110" s="3" t="s">
        <v>906</v>
      </c>
      <c r="W110" s="3" t="s">
        <v>907</v>
      </c>
      <c r="X110" s="3" t="s">
        <v>140</v>
      </c>
      <c r="Y110" s="3">
        <v>61083552004</v>
      </c>
    </row>
    <row r="111" spans="1:25" ht="13.2" x14ac:dyDescent="0.25">
      <c r="A111" s="2">
        <v>46080.579742152782</v>
      </c>
      <c r="B111" s="3" t="b">
        <v>1</v>
      </c>
      <c r="C111" s="3" t="s">
        <v>905</v>
      </c>
      <c r="D111" s="3" t="s">
        <v>358</v>
      </c>
      <c r="E111" s="3" t="s">
        <v>337</v>
      </c>
      <c r="F111" s="3" t="s">
        <v>900</v>
      </c>
      <c r="G111" s="3">
        <v>206708</v>
      </c>
      <c r="H111" s="3" t="s">
        <v>352</v>
      </c>
      <c r="I111" s="3">
        <v>52220949</v>
      </c>
      <c r="J111" s="4">
        <v>40819</v>
      </c>
      <c r="K111" s="3" t="s">
        <v>908</v>
      </c>
      <c r="L111" s="3" t="s">
        <v>43</v>
      </c>
      <c r="M111" s="3" t="s">
        <v>31</v>
      </c>
      <c r="N111" s="3" t="s">
        <v>44</v>
      </c>
      <c r="O111" s="3" t="s">
        <v>901</v>
      </c>
      <c r="P111" s="3" t="s">
        <v>902</v>
      </c>
      <c r="Q111" s="3">
        <v>1641</v>
      </c>
      <c r="R111" s="3" t="s">
        <v>903</v>
      </c>
      <c r="S111" s="3" t="s">
        <v>904</v>
      </c>
      <c r="T111" s="3" t="s">
        <v>905</v>
      </c>
      <c r="U111" s="3">
        <v>1170545184</v>
      </c>
      <c r="V111" s="3" t="s">
        <v>906</v>
      </c>
      <c r="W111" s="3" t="s">
        <v>907</v>
      </c>
      <c r="X111" s="3" t="s">
        <v>140</v>
      </c>
      <c r="Y111" s="3">
        <v>61083552003</v>
      </c>
    </row>
    <row r="112" spans="1:25" ht="13.2" x14ac:dyDescent="0.25">
      <c r="A112" s="2">
        <v>46080.602913622686</v>
      </c>
      <c r="B112" s="3" t="b">
        <v>1</v>
      </c>
      <c r="C112" s="3" t="s">
        <v>909</v>
      </c>
      <c r="D112" s="3" t="s">
        <v>26</v>
      </c>
      <c r="E112" s="3" t="s">
        <v>910</v>
      </c>
      <c r="F112" s="3" t="s">
        <v>911</v>
      </c>
      <c r="G112" s="3">
        <v>4139</v>
      </c>
      <c r="H112" s="3" t="s">
        <v>29</v>
      </c>
      <c r="I112" s="3">
        <v>52073632</v>
      </c>
      <c r="J112" s="4">
        <v>40882</v>
      </c>
      <c r="K112" s="3" t="s">
        <v>909</v>
      </c>
      <c r="L112" s="3" t="s">
        <v>43</v>
      </c>
      <c r="M112" s="3" t="s">
        <v>76</v>
      </c>
      <c r="N112" s="3" t="s">
        <v>32</v>
      </c>
      <c r="O112" s="3" t="s">
        <v>33</v>
      </c>
      <c r="P112" s="3" t="s">
        <v>912</v>
      </c>
      <c r="Q112" s="3" t="s">
        <v>913</v>
      </c>
      <c r="R112" s="3" t="s">
        <v>914</v>
      </c>
      <c r="S112" s="3" t="s">
        <v>915</v>
      </c>
      <c r="T112" s="3" t="s">
        <v>909</v>
      </c>
      <c r="U112" s="3">
        <v>3413652026</v>
      </c>
      <c r="V112" s="3">
        <v>3416194600</v>
      </c>
      <c r="W112" s="3">
        <v>3413652026</v>
      </c>
      <c r="X112" s="3" t="s">
        <v>187</v>
      </c>
      <c r="Y112" s="3" t="s">
        <v>916</v>
      </c>
    </row>
    <row r="113" spans="1:25" ht="13.2" x14ac:dyDescent="0.25">
      <c r="A113" s="2">
        <v>46080.624812858798</v>
      </c>
      <c r="B113" s="3" t="b">
        <v>1</v>
      </c>
      <c r="C113" s="3" t="s">
        <v>917</v>
      </c>
      <c r="D113" s="3" t="s">
        <v>26</v>
      </c>
      <c r="E113" s="3" t="s">
        <v>827</v>
      </c>
      <c r="F113" s="3" t="s">
        <v>918</v>
      </c>
      <c r="G113" s="3" t="s">
        <v>919</v>
      </c>
      <c r="H113" s="3" t="s">
        <v>470</v>
      </c>
      <c r="I113" s="3">
        <v>52164756</v>
      </c>
      <c r="J113" s="4">
        <v>40952</v>
      </c>
      <c r="K113" s="3" t="s">
        <v>917</v>
      </c>
      <c r="L113" s="3" t="s">
        <v>43</v>
      </c>
      <c r="M113" s="3" t="s">
        <v>31</v>
      </c>
      <c r="N113" s="3" t="s">
        <v>44</v>
      </c>
      <c r="O113" s="3" t="s">
        <v>920</v>
      </c>
      <c r="P113" s="3" t="s">
        <v>921</v>
      </c>
      <c r="Q113" s="3">
        <v>1636</v>
      </c>
      <c r="R113" s="3" t="s">
        <v>922</v>
      </c>
      <c r="S113" s="3" t="s">
        <v>923</v>
      </c>
      <c r="T113" s="3" t="s">
        <v>917</v>
      </c>
      <c r="U113" s="3" t="s">
        <v>924</v>
      </c>
      <c r="V113" s="3" t="s">
        <v>924</v>
      </c>
      <c r="W113" s="3" t="s">
        <v>925</v>
      </c>
      <c r="X113" s="3" t="s">
        <v>926</v>
      </c>
      <c r="Y113" s="3">
        <v>60933910802</v>
      </c>
    </row>
    <row r="114" spans="1:25" ht="13.2" x14ac:dyDescent="0.25">
      <c r="A114" s="2">
        <v>46080.625562210647</v>
      </c>
      <c r="B114" s="3" t="b">
        <v>1</v>
      </c>
      <c r="C114" s="3" t="s">
        <v>927</v>
      </c>
      <c r="D114" s="3" t="s">
        <v>180</v>
      </c>
      <c r="E114" s="3" t="s">
        <v>928</v>
      </c>
      <c r="F114" s="3" t="s">
        <v>929</v>
      </c>
      <c r="G114" s="3">
        <v>3453</v>
      </c>
      <c r="H114" s="3" t="s">
        <v>326</v>
      </c>
      <c r="I114" s="3">
        <v>52007717</v>
      </c>
      <c r="J114" s="4">
        <v>40947</v>
      </c>
      <c r="K114" s="3" t="s">
        <v>930</v>
      </c>
      <c r="L114" s="3" t="s">
        <v>43</v>
      </c>
      <c r="M114" s="3" t="s">
        <v>76</v>
      </c>
      <c r="N114" s="3" t="s">
        <v>44</v>
      </c>
      <c r="O114" s="3" t="s">
        <v>931</v>
      </c>
      <c r="P114" s="3" t="s">
        <v>932</v>
      </c>
      <c r="Q114" s="3">
        <v>1900</v>
      </c>
      <c r="R114" s="3" t="s">
        <v>933</v>
      </c>
      <c r="S114" s="3" t="s">
        <v>934</v>
      </c>
      <c r="T114" s="3" t="s">
        <v>930</v>
      </c>
      <c r="U114" s="3">
        <v>2215051126</v>
      </c>
      <c r="V114" s="3">
        <v>2215406928</v>
      </c>
      <c r="W114" s="3">
        <v>2215347089</v>
      </c>
      <c r="X114" s="3" t="s">
        <v>306</v>
      </c>
      <c r="Y114" s="3">
        <v>128672281303</v>
      </c>
    </row>
    <row r="115" spans="1:25" ht="13.2" x14ac:dyDescent="0.25">
      <c r="A115" s="2">
        <v>46080.635657905092</v>
      </c>
      <c r="B115" s="3" t="b">
        <v>1</v>
      </c>
      <c r="C115" s="3" t="s">
        <v>935</v>
      </c>
      <c r="D115" s="3" t="s">
        <v>26</v>
      </c>
      <c r="E115" s="3" t="s">
        <v>936</v>
      </c>
      <c r="F115" s="3" t="s">
        <v>937</v>
      </c>
      <c r="G115" s="3" t="s">
        <v>938</v>
      </c>
      <c r="H115" s="3" t="s">
        <v>939</v>
      </c>
      <c r="I115" s="3">
        <v>52866577</v>
      </c>
      <c r="J115" s="4">
        <v>41360</v>
      </c>
      <c r="K115" s="3" t="s">
        <v>940</v>
      </c>
      <c r="L115" s="3" t="s">
        <v>30</v>
      </c>
      <c r="M115" s="3" t="s">
        <v>76</v>
      </c>
      <c r="N115" s="3" t="s">
        <v>941</v>
      </c>
      <c r="O115" s="3" t="s">
        <v>942</v>
      </c>
      <c r="P115" s="3" t="s">
        <v>943</v>
      </c>
      <c r="Q115" s="3">
        <v>5189</v>
      </c>
      <c r="R115" s="3" t="s">
        <v>944</v>
      </c>
      <c r="S115" s="3" t="s">
        <v>945</v>
      </c>
      <c r="T115" s="3" t="s">
        <v>946</v>
      </c>
      <c r="U115" s="3">
        <v>3513918010</v>
      </c>
      <c r="V115" s="3">
        <v>3512529939</v>
      </c>
      <c r="W115" s="3">
        <v>3515914590</v>
      </c>
      <c r="X115" s="3" t="s">
        <v>947</v>
      </c>
      <c r="Y115" s="3">
        <v>1025286657701</v>
      </c>
    </row>
    <row r="116" spans="1:25" ht="13.2" x14ac:dyDescent="0.25">
      <c r="A116" s="2">
        <v>46080.647151527781</v>
      </c>
      <c r="B116" s="3" t="b">
        <v>1</v>
      </c>
      <c r="C116" s="3" t="s">
        <v>948</v>
      </c>
      <c r="D116" s="3" t="s">
        <v>26</v>
      </c>
      <c r="E116" s="3" t="s">
        <v>949</v>
      </c>
      <c r="F116" s="3" t="s">
        <v>950</v>
      </c>
      <c r="G116" s="3">
        <v>3812</v>
      </c>
      <c r="H116" s="3" t="s">
        <v>198</v>
      </c>
      <c r="I116" s="3">
        <v>51432265</v>
      </c>
      <c r="J116" s="4">
        <v>40822</v>
      </c>
      <c r="K116" s="3" t="s">
        <v>948</v>
      </c>
      <c r="L116" s="3" t="s">
        <v>30</v>
      </c>
      <c r="M116" s="3" t="s">
        <v>951</v>
      </c>
      <c r="N116" s="3" t="s">
        <v>952</v>
      </c>
      <c r="O116" s="3" t="s">
        <v>370</v>
      </c>
      <c r="P116" s="3" t="s">
        <v>953</v>
      </c>
      <c r="Q116" s="3">
        <v>1425</v>
      </c>
      <c r="R116" s="3" t="s">
        <v>954</v>
      </c>
      <c r="S116" s="3" t="s">
        <v>955</v>
      </c>
      <c r="T116" s="3" t="s">
        <v>956</v>
      </c>
      <c r="U116" s="3">
        <v>1141736466</v>
      </c>
      <c r="V116" s="3">
        <v>1141736466</v>
      </c>
      <c r="X116" s="3" t="s">
        <v>957</v>
      </c>
      <c r="Y116" s="3">
        <v>61210639904</v>
      </c>
    </row>
    <row r="117" spans="1:25" ht="13.2" x14ac:dyDescent="0.25">
      <c r="A117" s="2">
        <v>46080.687371539352</v>
      </c>
      <c r="B117" s="3" t="b">
        <v>1</v>
      </c>
      <c r="C117" s="3" t="s">
        <v>958</v>
      </c>
      <c r="D117" s="3" t="s">
        <v>26</v>
      </c>
      <c r="E117" s="3" t="s">
        <v>959</v>
      </c>
      <c r="F117" s="3" t="s">
        <v>960</v>
      </c>
      <c r="G117" s="3">
        <v>4279</v>
      </c>
      <c r="H117" s="3" t="s">
        <v>198</v>
      </c>
      <c r="I117" s="3">
        <v>52141180</v>
      </c>
      <c r="J117" s="4">
        <v>40951</v>
      </c>
      <c r="K117" s="3" t="s">
        <v>958</v>
      </c>
      <c r="L117" s="3" t="s">
        <v>30</v>
      </c>
      <c r="M117" s="3" t="s">
        <v>31</v>
      </c>
      <c r="N117" s="3" t="s">
        <v>334</v>
      </c>
      <c r="O117" s="3" t="s">
        <v>92</v>
      </c>
      <c r="P117" s="3" t="s">
        <v>961</v>
      </c>
      <c r="Q117" s="3">
        <v>1024</v>
      </c>
      <c r="R117" s="3" t="s">
        <v>962</v>
      </c>
      <c r="S117" s="3" t="s">
        <v>960</v>
      </c>
      <c r="T117" s="3" t="s">
        <v>958</v>
      </c>
      <c r="U117" s="3">
        <v>1162529268</v>
      </c>
      <c r="V117" s="3">
        <v>1162529268</v>
      </c>
      <c r="W117" s="3">
        <v>1162529269</v>
      </c>
      <c r="X117" s="3" t="s">
        <v>963</v>
      </c>
      <c r="Y117" s="3">
        <v>61409265405</v>
      </c>
    </row>
    <row r="118" spans="1:25" ht="13.2" x14ac:dyDescent="0.25">
      <c r="A118" s="2">
        <v>46080.692250358799</v>
      </c>
      <c r="B118" s="3" t="b">
        <v>1</v>
      </c>
      <c r="C118" s="3" t="s">
        <v>964</v>
      </c>
      <c r="D118" s="3" t="s">
        <v>358</v>
      </c>
      <c r="E118" s="3" t="s">
        <v>965</v>
      </c>
      <c r="F118" s="3" t="s">
        <v>966</v>
      </c>
      <c r="G118" s="3">
        <v>195351</v>
      </c>
      <c r="H118" s="3" t="s">
        <v>352</v>
      </c>
      <c r="I118" s="3">
        <v>50435599</v>
      </c>
      <c r="J118" s="4">
        <v>40374</v>
      </c>
      <c r="K118" s="3" t="s">
        <v>964</v>
      </c>
      <c r="L118" s="3" t="s">
        <v>30</v>
      </c>
      <c r="M118" s="3" t="s">
        <v>31</v>
      </c>
      <c r="N118" s="3" t="s">
        <v>44</v>
      </c>
      <c r="O118" s="3" t="s">
        <v>111</v>
      </c>
      <c r="P118" s="3" t="s">
        <v>967</v>
      </c>
      <c r="Q118" s="3">
        <v>1608</v>
      </c>
      <c r="R118" s="3" t="s">
        <v>564</v>
      </c>
      <c r="S118" s="3" t="s">
        <v>966</v>
      </c>
      <c r="T118" s="3" t="s">
        <v>964</v>
      </c>
      <c r="U118" s="3">
        <v>1144379842</v>
      </c>
      <c r="V118" s="3">
        <v>1144379842</v>
      </c>
      <c r="X118" s="3" t="s">
        <v>968</v>
      </c>
      <c r="Y118" s="3">
        <v>61064708202</v>
      </c>
    </row>
    <row r="119" spans="1:25" ht="13.2" x14ac:dyDescent="0.25">
      <c r="A119" s="2">
        <v>46080.695548796299</v>
      </c>
      <c r="B119" s="3" t="b">
        <v>1</v>
      </c>
      <c r="C119" s="3" t="s">
        <v>964</v>
      </c>
      <c r="D119" s="3" t="s">
        <v>358</v>
      </c>
      <c r="E119" s="3" t="s">
        <v>564</v>
      </c>
      <c r="F119" s="3" t="s">
        <v>966</v>
      </c>
      <c r="G119" s="3">
        <v>213395</v>
      </c>
      <c r="H119" s="3" t="s">
        <v>352</v>
      </c>
      <c r="I119" s="3">
        <v>26371685</v>
      </c>
      <c r="J119" s="4">
        <v>28458</v>
      </c>
      <c r="K119" s="3" t="s">
        <v>964</v>
      </c>
      <c r="L119" s="3" t="s">
        <v>43</v>
      </c>
      <c r="M119" s="3" t="s">
        <v>31</v>
      </c>
      <c r="N119" s="3" t="s">
        <v>44</v>
      </c>
      <c r="O119" s="3" t="s">
        <v>111</v>
      </c>
      <c r="P119" s="3" t="s">
        <v>967</v>
      </c>
      <c r="Q119" s="3">
        <v>1608</v>
      </c>
      <c r="V119" s="3">
        <v>1144379842</v>
      </c>
      <c r="X119" s="3" t="s">
        <v>968</v>
      </c>
      <c r="Y119" s="3">
        <v>61064708204</v>
      </c>
    </row>
    <row r="120" spans="1:25" ht="13.2" x14ac:dyDescent="0.25">
      <c r="A120" s="2">
        <v>46080.70256075231</v>
      </c>
      <c r="B120" s="3" t="b">
        <v>1</v>
      </c>
      <c r="C120" s="3" t="s">
        <v>969</v>
      </c>
      <c r="D120" s="3" t="s">
        <v>180</v>
      </c>
      <c r="E120" s="3" t="s">
        <v>970</v>
      </c>
      <c r="F120" s="3" t="s">
        <v>971</v>
      </c>
      <c r="G120" s="3">
        <v>3994</v>
      </c>
      <c r="H120" s="3" t="s">
        <v>54</v>
      </c>
      <c r="I120" s="3">
        <v>53336003</v>
      </c>
      <c r="J120" s="4">
        <v>41465</v>
      </c>
      <c r="K120" s="3" t="s">
        <v>969</v>
      </c>
      <c r="L120" s="3" t="s">
        <v>30</v>
      </c>
      <c r="M120" s="3" t="s">
        <v>972</v>
      </c>
      <c r="N120" s="3" t="s">
        <v>44</v>
      </c>
      <c r="O120" s="3" t="s">
        <v>973</v>
      </c>
      <c r="P120" s="3" t="s">
        <v>974</v>
      </c>
      <c r="Q120" s="3">
        <v>1602</v>
      </c>
      <c r="R120" s="3" t="s">
        <v>226</v>
      </c>
      <c r="S120" s="3" t="s">
        <v>971</v>
      </c>
      <c r="T120" s="3" t="s">
        <v>969</v>
      </c>
      <c r="U120" s="3" t="s">
        <v>975</v>
      </c>
      <c r="V120" s="3" t="s">
        <v>975</v>
      </c>
      <c r="W120" s="3" t="s">
        <v>976</v>
      </c>
      <c r="X120" s="3" t="s">
        <v>140</v>
      </c>
      <c r="Y120" s="3">
        <v>61244065502</v>
      </c>
    </row>
    <row r="121" spans="1:25" ht="13.2" x14ac:dyDescent="0.25">
      <c r="A121" s="2">
        <v>46080.70426515046</v>
      </c>
      <c r="B121" s="3" t="b">
        <v>1</v>
      </c>
      <c r="C121" s="3" t="s">
        <v>969</v>
      </c>
      <c r="D121" s="3" t="s">
        <v>180</v>
      </c>
      <c r="E121" s="3" t="s">
        <v>874</v>
      </c>
      <c r="F121" s="3" t="s">
        <v>971</v>
      </c>
      <c r="G121" s="3">
        <v>3850</v>
      </c>
      <c r="H121" s="3" t="s">
        <v>54</v>
      </c>
      <c r="I121" s="3">
        <v>54893674</v>
      </c>
      <c r="J121" s="4">
        <v>42165</v>
      </c>
      <c r="K121" s="3" t="s">
        <v>969</v>
      </c>
      <c r="L121" s="3" t="s">
        <v>43</v>
      </c>
      <c r="M121" s="3" t="s">
        <v>31</v>
      </c>
      <c r="N121" s="3" t="s">
        <v>44</v>
      </c>
      <c r="O121" s="3" t="s">
        <v>973</v>
      </c>
      <c r="P121" s="3" t="s">
        <v>974</v>
      </c>
      <c r="Q121" s="3">
        <v>1602</v>
      </c>
      <c r="R121" s="3" t="s">
        <v>977</v>
      </c>
      <c r="S121" s="3" t="s">
        <v>978</v>
      </c>
      <c r="T121" s="3" t="s">
        <v>969</v>
      </c>
      <c r="U121" s="3" t="s">
        <v>976</v>
      </c>
      <c r="V121" s="3" t="s">
        <v>975</v>
      </c>
      <c r="X121" s="3" t="s">
        <v>140</v>
      </c>
      <c r="Y121" s="3">
        <v>61244065503</v>
      </c>
    </row>
    <row r="122" spans="1:25" ht="13.2" x14ac:dyDescent="0.25">
      <c r="A122" s="2">
        <v>46080.726828425926</v>
      </c>
      <c r="B122" s="3" t="b">
        <v>1</v>
      </c>
      <c r="C122" s="3" t="s">
        <v>979</v>
      </c>
      <c r="D122" s="3" t="s">
        <v>180</v>
      </c>
      <c r="E122" s="3" t="s">
        <v>980</v>
      </c>
      <c r="F122" s="3" t="s">
        <v>981</v>
      </c>
      <c r="G122" s="3">
        <v>3727</v>
      </c>
      <c r="H122" s="3" t="s">
        <v>42</v>
      </c>
      <c r="I122" s="3">
        <v>56178529</v>
      </c>
      <c r="J122" s="4">
        <v>42817</v>
      </c>
      <c r="K122" s="3" t="s">
        <v>979</v>
      </c>
      <c r="L122" s="3" t="s">
        <v>43</v>
      </c>
      <c r="M122" s="3" t="s">
        <v>31</v>
      </c>
      <c r="N122" s="3" t="s">
        <v>44</v>
      </c>
      <c r="O122" s="3" t="s">
        <v>45</v>
      </c>
      <c r="P122" s="3" t="s">
        <v>982</v>
      </c>
      <c r="Q122" s="3">
        <v>2800</v>
      </c>
      <c r="R122" s="3" t="s">
        <v>983</v>
      </c>
      <c r="S122" s="3" t="s">
        <v>984</v>
      </c>
      <c r="U122" s="3" t="s">
        <v>985</v>
      </c>
      <c r="V122" s="3" t="s">
        <v>985</v>
      </c>
      <c r="W122" s="3" t="s">
        <v>986</v>
      </c>
      <c r="X122" s="3" t="s">
        <v>49</v>
      </c>
      <c r="Y122" s="3" t="s">
        <v>987</v>
      </c>
    </row>
    <row r="123" spans="1:25" ht="13.2" x14ac:dyDescent="0.25">
      <c r="A123" s="2">
        <v>46080.730636342589</v>
      </c>
      <c r="B123" s="3" t="b">
        <v>1</v>
      </c>
      <c r="C123" s="3" t="s">
        <v>979</v>
      </c>
      <c r="D123" s="3" t="s">
        <v>26</v>
      </c>
      <c r="E123" s="3" t="s">
        <v>300</v>
      </c>
      <c r="F123" s="3" t="s">
        <v>981</v>
      </c>
      <c r="G123" s="3">
        <v>4241</v>
      </c>
      <c r="H123" s="3" t="s">
        <v>42</v>
      </c>
      <c r="I123" s="3">
        <v>54099646</v>
      </c>
      <c r="J123" s="4">
        <v>41800</v>
      </c>
      <c r="K123" s="3" t="s">
        <v>979</v>
      </c>
      <c r="L123" s="3" t="s">
        <v>43</v>
      </c>
      <c r="M123" s="3" t="s">
        <v>31</v>
      </c>
      <c r="N123" s="3" t="s">
        <v>44</v>
      </c>
      <c r="O123" s="3" t="s">
        <v>45</v>
      </c>
      <c r="P123" s="3" t="s">
        <v>982</v>
      </c>
      <c r="Q123" s="3">
        <v>2800</v>
      </c>
      <c r="R123" s="3" t="s">
        <v>983</v>
      </c>
      <c r="S123" s="3" t="s">
        <v>984</v>
      </c>
      <c r="T123" s="3" t="s">
        <v>979</v>
      </c>
      <c r="U123" s="3" t="s">
        <v>985</v>
      </c>
      <c r="V123" s="3" t="s">
        <v>985</v>
      </c>
      <c r="W123" s="3" t="s">
        <v>986</v>
      </c>
      <c r="X123" s="3" t="s">
        <v>49</v>
      </c>
      <c r="Y123" s="3" t="s">
        <v>988</v>
      </c>
    </row>
    <row r="124" spans="1:25" ht="13.2" x14ac:dyDescent="0.25">
      <c r="A124" s="2">
        <v>46080.741711192131</v>
      </c>
      <c r="B124" s="3" t="b">
        <v>1</v>
      </c>
      <c r="C124" s="3" t="s">
        <v>989</v>
      </c>
      <c r="D124" s="3" t="s">
        <v>180</v>
      </c>
      <c r="E124" s="3" t="s">
        <v>990</v>
      </c>
      <c r="F124" s="3" t="s">
        <v>991</v>
      </c>
      <c r="G124" s="3">
        <v>3682</v>
      </c>
      <c r="H124" s="3" t="s">
        <v>74</v>
      </c>
      <c r="I124" s="3">
        <v>54454596</v>
      </c>
      <c r="J124" s="4">
        <v>41974</v>
      </c>
      <c r="K124" s="3" t="s">
        <v>989</v>
      </c>
      <c r="L124" s="3" t="s">
        <v>43</v>
      </c>
      <c r="M124" s="3" t="s">
        <v>76</v>
      </c>
      <c r="N124" s="3" t="s">
        <v>92</v>
      </c>
      <c r="O124" s="3" t="s">
        <v>92</v>
      </c>
      <c r="P124" s="3" t="s">
        <v>992</v>
      </c>
      <c r="Q124" s="3">
        <v>1425</v>
      </c>
      <c r="R124" s="3" t="s">
        <v>993</v>
      </c>
      <c r="S124" s="3" t="s">
        <v>991</v>
      </c>
      <c r="T124" s="3" t="s">
        <v>989</v>
      </c>
      <c r="U124" s="3">
        <v>1140711511</v>
      </c>
      <c r="V124" s="3">
        <v>1140711511</v>
      </c>
      <c r="W124" s="3">
        <v>1167823884</v>
      </c>
      <c r="X124" s="3" t="s">
        <v>994</v>
      </c>
      <c r="Y124" s="3" t="s">
        <v>995</v>
      </c>
    </row>
    <row r="125" spans="1:25" ht="13.2" x14ac:dyDescent="0.25">
      <c r="A125" s="2">
        <v>46080.754654999997</v>
      </c>
      <c r="B125" s="3" t="b">
        <v>1</v>
      </c>
      <c r="C125" s="3" t="s">
        <v>996</v>
      </c>
      <c r="D125" s="3" t="s">
        <v>26</v>
      </c>
      <c r="E125" s="3" t="s">
        <v>841</v>
      </c>
      <c r="F125" s="3" t="s">
        <v>997</v>
      </c>
      <c r="G125" s="3">
        <v>3903</v>
      </c>
      <c r="H125" s="3" t="s">
        <v>326</v>
      </c>
      <c r="I125" s="3">
        <v>50901006</v>
      </c>
      <c r="J125" s="4">
        <v>40588</v>
      </c>
      <c r="K125" s="3" t="s">
        <v>998</v>
      </c>
      <c r="L125" s="3" t="s">
        <v>30</v>
      </c>
      <c r="M125" s="3" t="s">
        <v>31</v>
      </c>
      <c r="N125" s="3" t="s">
        <v>44</v>
      </c>
      <c r="O125" s="3" t="s">
        <v>327</v>
      </c>
      <c r="P125" s="3" t="s">
        <v>999</v>
      </c>
      <c r="Q125" s="3">
        <v>1900</v>
      </c>
      <c r="R125" s="3" t="s">
        <v>1000</v>
      </c>
      <c r="S125" s="3" t="s">
        <v>1001</v>
      </c>
      <c r="T125" s="3" t="s">
        <v>996</v>
      </c>
      <c r="U125" s="3">
        <v>2215638412</v>
      </c>
      <c r="V125" s="3">
        <v>2215906619</v>
      </c>
      <c r="W125" s="3">
        <v>2215638412</v>
      </c>
      <c r="X125" s="3" t="s">
        <v>306</v>
      </c>
      <c r="Y125" s="3" t="s">
        <v>1002</v>
      </c>
    </row>
    <row r="126" spans="1:25" ht="13.2" x14ac:dyDescent="0.25">
      <c r="A126" s="2">
        <v>46080.765195914355</v>
      </c>
      <c r="B126" s="3" t="b">
        <v>1</v>
      </c>
      <c r="C126" s="3" t="s">
        <v>1003</v>
      </c>
      <c r="D126" s="3" t="s">
        <v>26</v>
      </c>
      <c r="E126" s="3" t="s">
        <v>1004</v>
      </c>
      <c r="F126" s="3" t="s">
        <v>1005</v>
      </c>
      <c r="G126" s="3">
        <v>4244</v>
      </c>
      <c r="H126" s="3" t="s">
        <v>566</v>
      </c>
      <c r="I126" s="3">
        <v>53586402</v>
      </c>
      <c r="J126" s="4">
        <v>41581</v>
      </c>
      <c r="K126" s="3" t="s">
        <v>1003</v>
      </c>
      <c r="L126" s="3" t="s">
        <v>43</v>
      </c>
      <c r="M126" s="3" t="s">
        <v>31</v>
      </c>
      <c r="N126" s="3" t="s">
        <v>44</v>
      </c>
      <c r="O126" s="3" t="s">
        <v>1006</v>
      </c>
      <c r="P126" s="3" t="s">
        <v>1007</v>
      </c>
      <c r="Q126" s="3">
        <v>1640</v>
      </c>
      <c r="R126" s="3" t="s">
        <v>1008</v>
      </c>
      <c r="S126" s="3" t="s">
        <v>1009</v>
      </c>
      <c r="T126" s="3" t="s">
        <v>1003</v>
      </c>
      <c r="U126" s="3">
        <v>1149379080</v>
      </c>
      <c r="V126" s="3">
        <v>1149379080</v>
      </c>
      <c r="X126" s="3" t="s">
        <v>1010</v>
      </c>
      <c r="Y126" s="3" t="s">
        <v>1011</v>
      </c>
    </row>
    <row r="127" spans="1:25" ht="13.2" x14ac:dyDescent="0.25">
      <c r="A127" s="2">
        <v>46080.765950925925</v>
      </c>
      <c r="B127" s="3" t="b">
        <v>1</v>
      </c>
      <c r="C127" s="3" t="s">
        <v>1012</v>
      </c>
      <c r="D127" s="3" t="s">
        <v>26</v>
      </c>
      <c r="E127" s="3" t="s">
        <v>1013</v>
      </c>
      <c r="F127" s="3" t="s">
        <v>1014</v>
      </c>
      <c r="G127" s="3">
        <v>4263</v>
      </c>
      <c r="H127" s="3" t="s">
        <v>326</v>
      </c>
      <c r="I127" s="3">
        <v>53456040</v>
      </c>
      <c r="J127" s="4">
        <v>41535</v>
      </c>
      <c r="K127" s="3" t="s">
        <v>1015</v>
      </c>
      <c r="L127" s="3" t="s">
        <v>43</v>
      </c>
      <c r="M127" s="3" t="s">
        <v>31</v>
      </c>
      <c r="N127" s="3" t="s">
        <v>240</v>
      </c>
      <c r="O127" s="3" t="s">
        <v>737</v>
      </c>
      <c r="P127" s="3" t="s">
        <v>1016</v>
      </c>
      <c r="Q127" s="3">
        <v>1896</v>
      </c>
      <c r="R127" s="3" t="s">
        <v>1017</v>
      </c>
      <c r="S127" s="3" t="s">
        <v>1014</v>
      </c>
      <c r="T127" s="3" t="s">
        <v>1012</v>
      </c>
      <c r="U127" s="3">
        <v>2214188871</v>
      </c>
      <c r="V127" s="3">
        <v>2214188871</v>
      </c>
      <c r="W127" s="3">
        <v>2216371227</v>
      </c>
      <c r="X127" s="3" t="s">
        <v>1018</v>
      </c>
      <c r="Y127" s="5" t="s">
        <v>1019</v>
      </c>
    </row>
    <row r="128" spans="1:25" ht="13.2" x14ac:dyDescent="0.25">
      <c r="A128" s="2">
        <v>46080.767789675927</v>
      </c>
      <c r="B128" s="3" t="b">
        <v>1</v>
      </c>
      <c r="C128" s="3" t="s">
        <v>1020</v>
      </c>
      <c r="D128" s="3" t="s">
        <v>180</v>
      </c>
      <c r="E128" s="3" t="s">
        <v>827</v>
      </c>
      <c r="F128" s="3" t="s">
        <v>1021</v>
      </c>
      <c r="G128" s="3">
        <v>3693</v>
      </c>
      <c r="H128" s="3" t="s">
        <v>54</v>
      </c>
      <c r="I128" s="3">
        <v>53167705</v>
      </c>
      <c r="J128" s="4">
        <v>41339</v>
      </c>
      <c r="K128" s="3" t="s">
        <v>1020</v>
      </c>
      <c r="L128" s="3" t="s">
        <v>43</v>
      </c>
      <c r="M128" s="3" t="s">
        <v>31</v>
      </c>
      <c r="N128" s="3" t="s">
        <v>92</v>
      </c>
      <c r="O128" s="3" t="s">
        <v>92</v>
      </c>
      <c r="P128" s="3" t="s">
        <v>1022</v>
      </c>
      <c r="Q128" s="3">
        <v>1424</v>
      </c>
      <c r="R128" s="3" t="s">
        <v>1023</v>
      </c>
      <c r="S128" s="3" t="s">
        <v>1024</v>
      </c>
      <c r="T128" s="3" t="s">
        <v>1025</v>
      </c>
      <c r="U128" s="3">
        <v>1159890341</v>
      </c>
      <c r="V128" s="3">
        <v>1159890341</v>
      </c>
      <c r="W128" s="3">
        <v>1154978372</v>
      </c>
      <c r="X128" s="3" t="s">
        <v>1026</v>
      </c>
      <c r="Y128" s="3" t="s">
        <v>1027</v>
      </c>
    </row>
    <row r="129" spans="1:25" ht="13.2" x14ac:dyDescent="0.25">
      <c r="A129" s="2">
        <v>46080.769268414355</v>
      </c>
      <c r="B129" s="3" t="b">
        <v>1</v>
      </c>
      <c r="C129" s="3" t="s">
        <v>1020</v>
      </c>
      <c r="D129" s="3" t="s">
        <v>180</v>
      </c>
      <c r="E129" s="3" t="s">
        <v>1028</v>
      </c>
      <c r="F129" s="3" t="s">
        <v>1021</v>
      </c>
      <c r="G129" s="3">
        <v>3990</v>
      </c>
      <c r="H129" s="3" t="s">
        <v>54</v>
      </c>
      <c r="I129" s="3">
        <v>54700917</v>
      </c>
      <c r="J129" s="4">
        <v>42097</v>
      </c>
      <c r="K129" s="3" t="s">
        <v>1020</v>
      </c>
      <c r="L129" s="3" t="s">
        <v>43</v>
      </c>
      <c r="M129" s="3" t="s">
        <v>31</v>
      </c>
      <c r="N129" s="3" t="s">
        <v>92</v>
      </c>
      <c r="O129" s="3" t="s">
        <v>92</v>
      </c>
      <c r="P129" s="3" t="s">
        <v>1029</v>
      </c>
      <c r="Q129" s="3">
        <v>1424</v>
      </c>
      <c r="R129" s="3" t="s">
        <v>1023</v>
      </c>
      <c r="S129" s="3" t="s">
        <v>1021</v>
      </c>
      <c r="T129" s="3" t="s">
        <v>1025</v>
      </c>
      <c r="U129" s="3">
        <v>1159890341</v>
      </c>
      <c r="V129" s="3">
        <v>1159890341</v>
      </c>
      <c r="W129" s="3">
        <v>1154978372</v>
      </c>
      <c r="X129" s="3" t="s">
        <v>1026</v>
      </c>
      <c r="Y129" s="3" t="s">
        <v>1030</v>
      </c>
    </row>
    <row r="130" spans="1:25" ht="13.2" x14ac:dyDescent="0.25">
      <c r="A130" s="2">
        <v>46080.771845601848</v>
      </c>
      <c r="B130" s="3" t="b">
        <v>1</v>
      </c>
      <c r="C130" s="3" t="s">
        <v>1031</v>
      </c>
      <c r="D130" s="3" t="s">
        <v>180</v>
      </c>
      <c r="E130" s="3" t="s">
        <v>1032</v>
      </c>
      <c r="F130" s="3" t="s">
        <v>1033</v>
      </c>
      <c r="G130" s="3">
        <v>3468</v>
      </c>
      <c r="H130" s="3" t="s">
        <v>843</v>
      </c>
      <c r="I130" s="3">
        <v>54187126</v>
      </c>
      <c r="J130" s="4">
        <v>41876</v>
      </c>
      <c r="K130" s="3" t="s">
        <v>1034</v>
      </c>
      <c r="L130" s="3" t="s">
        <v>43</v>
      </c>
      <c r="M130" s="3" t="s">
        <v>31</v>
      </c>
      <c r="N130" s="3" t="s">
        <v>44</v>
      </c>
      <c r="O130" s="3" t="s">
        <v>1035</v>
      </c>
      <c r="P130" s="3" t="s">
        <v>1036</v>
      </c>
      <c r="Q130" s="3" t="s">
        <v>1035</v>
      </c>
      <c r="R130" s="3" t="s">
        <v>1037</v>
      </c>
      <c r="S130" s="3" t="s">
        <v>1038</v>
      </c>
      <c r="T130" s="3" t="s">
        <v>1034</v>
      </c>
      <c r="U130" s="3">
        <v>1150018050</v>
      </c>
      <c r="V130" s="3">
        <v>1150018050</v>
      </c>
      <c r="W130" s="3">
        <v>1150117685</v>
      </c>
      <c r="X130" s="3" t="s">
        <v>115</v>
      </c>
      <c r="Y130" s="3">
        <v>60907413903</v>
      </c>
    </row>
    <row r="131" spans="1:25" ht="13.2" x14ac:dyDescent="0.25">
      <c r="A131" s="2">
        <v>46080.800660486115</v>
      </c>
      <c r="B131" s="3" t="b">
        <v>1</v>
      </c>
      <c r="C131" s="3" t="s">
        <v>1039</v>
      </c>
      <c r="D131" s="3" t="s">
        <v>26</v>
      </c>
      <c r="E131" s="3" t="s">
        <v>889</v>
      </c>
      <c r="F131" s="3" t="s">
        <v>1040</v>
      </c>
      <c r="G131" s="3">
        <v>4011</v>
      </c>
      <c r="H131" s="3" t="s">
        <v>566</v>
      </c>
      <c r="I131" s="3">
        <v>53855489</v>
      </c>
      <c r="J131" s="4">
        <v>41725</v>
      </c>
      <c r="K131" s="3" t="s">
        <v>1039</v>
      </c>
      <c r="L131" s="3" t="s">
        <v>43</v>
      </c>
      <c r="M131" s="3" t="s">
        <v>31</v>
      </c>
      <c r="N131" s="3" t="s">
        <v>44</v>
      </c>
      <c r="O131" s="3" t="s">
        <v>92</v>
      </c>
      <c r="P131" s="5" t="s">
        <v>1041</v>
      </c>
      <c r="Q131" s="3">
        <v>1426</v>
      </c>
      <c r="R131" s="3" t="s">
        <v>1042</v>
      </c>
      <c r="S131" s="3" t="s">
        <v>1040</v>
      </c>
      <c r="T131" s="3" t="s">
        <v>1039</v>
      </c>
      <c r="U131" s="3" t="s">
        <v>1043</v>
      </c>
      <c r="V131" s="3" t="s">
        <v>1044</v>
      </c>
      <c r="W131" s="3" t="s">
        <v>1043</v>
      </c>
      <c r="X131" s="3" t="s">
        <v>140</v>
      </c>
      <c r="Y131" s="3">
        <v>61073542902</v>
      </c>
    </row>
    <row r="132" spans="1:25" ht="13.2" x14ac:dyDescent="0.25">
      <c r="A132" s="2">
        <v>46080.81063064815</v>
      </c>
      <c r="B132" s="3" t="b">
        <v>1</v>
      </c>
      <c r="C132" s="3" t="s">
        <v>1045</v>
      </c>
      <c r="D132" s="3" t="s">
        <v>26</v>
      </c>
      <c r="E132" s="3" t="s">
        <v>52</v>
      </c>
      <c r="F132" s="3" t="s">
        <v>1046</v>
      </c>
      <c r="G132" s="3">
        <v>4218</v>
      </c>
      <c r="H132" s="3" t="s">
        <v>29</v>
      </c>
      <c r="I132" s="3">
        <v>52085390</v>
      </c>
      <c r="J132" s="4">
        <v>41253</v>
      </c>
      <c r="K132" s="3" t="s">
        <v>1045</v>
      </c>
      <c r="L132" s="3" t="s">
        <v>43</v>
      </c>
      <c r="M132" s="3" t="s">
        <v>31</v>
      </c>
      <c r="N132" s="3" t="s">
        <v>540</v>
      </c>
      <c r="O132" s="3" t="s">
        <v>33</v>
      </c>
      <c r="P132" s="3" t="s">
        <v>1047</v>
      </c>
      <c r="Q132" s="3">
        <v>2000</v>
      </c>
      <c r="R132" s="3" t="s">
        <v>1048</v>
      </c>
      <c r="S132" s="3" t="s">
        <v>1049</v>
      </c>
      <c r="T132" s="3" t="s">
        <v>1045</v>
      </c>
      <c r="U132" s="3">
        <v>3416298695</v>
      </c>
      <c r="V132" s="3">
        <v>3416298695</v>
      </c>
      <c r="W132" s="3">
        <v>3415978164</v>
      </c>
      <c r="X132" s="3" t="s">
        <v>1050</v>
      </c>
      <c r="Y132" s="3">
        <v>52085390</v>
      </c>
    </row>
    <row r="133" spans="1:25" ht="13.2" x14ac:dyDescent="0.25">
      <c r="A133" s="2">
        <v>46080.813086064816</v>
      </c>
      <c r="B133" s="3" t="b">
        <v>1</v>
      </c>
      <c r="C133" s="3" t="s">
        <v>1051</v>
      </c>
      <c r="D133" s="3" t="s">
        <v>358</v>
      </c>
      <c r="E133" s="3" t="s">
        <v>970</v>
      </c>
      <c r="F133" s="3" t="s">
        <v>1052</v>
      </c>
      <c r="G133" s="3">
        <v>195408</v>
      </c>
      <c r="H133" s="3" t="s">
        <v>318</v>
      </c>
      <c r="I133" s="3">
        <v>48839440</v>
      </c>
      <c r="J133" s="4">
        <v>39626</v>
      </c>
      <c r="K133" s="3" t="s">
        <v>1051</v>
      </c>
      <c r="L133" s="3" t="s">
        <v>30</v>
      </c>
      <c r="M133" s="3" t="s">
        <v>76</v>
      </c>
      <c r="N133" s="3" t="s">
        <v>91</v>
      </c>
      <c r="O133" s="3" t="s">
        <v>248</v>
      </c>
      <c r="P133" s="3" t="s">
        <v>1053</v>
      </c>
      <c r="Q133" s="3">
        <v>1629</v>
      </c>
      <c r="R133" s="3" t="s">
        <v>1054</v>
      </c>
      <c r="S133" s="3" t="s">
        <v>1052</v>
      </c>
      <c r="T133" s="3" t="s">
        <v>1055</v>
      </c>
      <c r="U133" s="3">
        <v>1141990059</v>
      </c>
      <c r="V133" s="3">
        <v>1141990059</v>
      </c>
      <c r="W133" s="3">
        <v>1135695808</v>
      </c>
      <c r="X133" s="3" t="s">
        <v>694</v>
      </c>
      <c r="Y133" s="3" t="s">
        <v>1056</v>
      </c>
    </row>
    <row r="134" spans="1:25" ht="13.2" x14ac:dyDescent="0.25">
      <c r="A134" s="2">
        <v>46080.88265699074</v>
      </c>
      <c r="B134" s="3" t="b">
        <v>1</v>
      </c>
      <c r="C134" s="3" t="s">
        <v>1057</v>
      </c>
      <c r="D134" s="3" t="s">
        <v>358</v>
      </c>
      <c r="E134" s="3" t="s">
        <v>827</v>
      </c>
      <c r="F134" s="3" t="s">
        <v>1058</v>
      </c>
      <c r="G134" s="3">
        <v>209398</v>
      </c>
      <c r="H134" s="3" t="s">
        <v>54</v>
      </c>
      <c r="I134" s="3">
        <v>50704565</v>
      </c>
      <c r="J134" s="4">
        <v>40502</v>
      </c>
      <c r="K134" s="3" t="s">
        <v>1057</v>
      </c>
      <c r="L134" s="3" t="s">
        <v>43</v>
      </c>
      <c r="M134" s="3" t="s">
        <v>31</v>
      </c>
      <c r="N134" s="3" t="s">
        <v>44</v>
      </c>
      <c r="O134" s="3" t="s">
        <v>1059</v>
      </c>
      <c r="P134" s="3" t="s">
        <v>1060</v>
      </c>
      <c r="Q134" s="3">
        <v>1637</v>
      </c>
      <c r="R134" s="3" t="s">
        <v>1061</v>
      </c>
      <c r="S134" s="3" t="s">
        <v>1062</v>
      </c>
      <c r="U134" s="5" t="s">
        <v>1063</v>
      </c>
      <c r="V134" s="5" t="s">
        <v>1063</v>
      </c>
      <c r="W134" s="5" t="s">
        <v>1064</v>
      </c>
      <c r="X134" s="3" t="s">
        <v>211</v>
      </c>
      <c r="Y134" s="3">
        <v>61314705603</v>
      </c>
    </row>
    <row r="135" spans="1:25" ht="13.2" x14ac:dyDescent="0.25">
      <c r="A135" s="2">
        <v>46080.893810046298</v>
      </c>
      <c r="B135" s="3" t="b">
        <v>1</v>
      </c>
      <c r="C135" s="3" t="s">
        <v>1065</v>
      </c>
      <c r="D135" s="3" t="s">
        <v>26</v>
      </c>
      <c r="E135" s="3" t="s">
        <v>422</v>
      </c>
      <c r="F135" s="3" t="s">
        <v>1066</v>
      </c>
      <c r="G135" s="3" t="s">
        <v>1067</v>
      </c>
      <c r="H135" s="3" t="s">
        <v>54</v>
      </c>
      <c r="I135" s="3">
        <v>53718162</v>
      </c>
      <c r="J135" s="4">
        <v>41681</v>
      </c>
      <c r="K135" s="3" t="s">
        <v>1065</v>
      </c>
      <c r="L135" s="3" t="s">
        <v>43</v>
      </c>
      <c r="M135" s="3" t="s">
        <v>31</v>
      </c>
      <c r="N135" s="3" t="s">
        <v>44</v>
      </c>
      <c r="O135" s="3" t="s">
        <v>92</v>
      </c>
      <c r="P135" s="3" t="s">
        <v>1068</v>
      </c>
      <c r="Q135" s="3">
        <v>1406</v>
      </c>
      <c r="R135" s="3" t="s">
        <v>755</v>
      </c>
      <c r="S135" s="3" t="s">
        <v>1066</v>
      </c>
      <c r="T135" s="3" t="s">
        <v>1065</v>
      </c>
      <c r="V135" s="3">
        <v>1154882765</v>
      </c>
      <c r="W135" s="3">
        <v>5491130439934</v>
      </c>
      <c r="X135" s="3" t="s">
        <v>140</v>
      </c>
      <c r="Y135" s="3">
        <v>63148969903</v>
      </c>
    </row>
    <row r="136" spans="1:25" ht="13.2" x14ac:dyDescent="0.25">
      <c r="A136" s="2">
        <v>46080.957221412042</v>
      </c>
      <c r="B136" s="3" t="b">
        <v>0</v>
      </c>
      <c r="C136" s="3" t="s">
        <v>1069</v>
      </c>
      <c r="D136" s="3" t="s">
        <v>358</v>
      </c>
      <c r="E136" s="3" t="s">
        <v>704</v>
      </c>
      <c r="F136" s="3" t="s">
        <v>1070</v>
      </c>
      <c r="G136" s="3">
        <v>164031</v>
      </c>
      <c r="H136" s="3" t="s">
        <v>42</v>
      </c>
      <c r="I136" s="3">
        <v>32018495</v>
      </c>
      <c r="J136" s="4">
        <v>31420</v>
      </c>
      <c r="K136" s="3" t="s">
        <v>1069</v>
      </c>
      <c r="L136" s="3" t="s">
        <v>43</v>
      </c>
      <c r="M136" s="3" t="s">
        <v>1071</v>
      </c>
      <c r="N136" s="3" t="s">
        <v>1072</v>
      </c>
      <c r="O136" s="3" t="s">
        <v>1073</v>
      </c>
      <c r="P136" s="3" t="s">
        <v>1074</v>
      </c>
      <c r="Q136" s="3">
        <v>2800</v>
      </c>
      <c r="V136" s="3">
        <v>3487679619</v>
      </c>
      <c r="X136" s="3" t="s">
        <v>1075</v>
      </c>
      <c r="Y136" s="3" t="s">
        <v>1076</v>
      </c>
    </row>
    <row r="137" spans="1:25" ht="13.2" x14ac:dyDescent="0.25">
      <c r="A137" s="2">
        <v>46081.044198483796</v>
      </c>
      <c r="B137" s="3" t="b">
        <v>0</v>
      </c>
      <c r="C137" s="3" t="s">
        <v>1077</v>
      </c>
      <c r="D137" s="3" t="s">
        <v>26</v>
      </c>
      <c r="E137" s="3" t="s">
        <v>1078</v>
      </c>
      <c r="F137" s="3" t="s">
        <v>1079</v>
      </c>
      <c r="G137" s="3">
        <v>3920</v>
      </c>
      <c r="H137" s="3" t="s">
        <v>29</v>
      </c>
      <c r="I137" s="3">
        <v>52364453</v>
      </c>
      <c r="J137" s="4">
        <v>40955</v>
      </c>
      <c r="K137" s="3" t="s">
        <v>1077</v>
      </c>
      <c r="L137" s="3" t="s">
        <v>30</v>
      </c>
      <c r="M137" s="3" t="s">
        <v>31</v>
      </c>
      <c r="N137" s="3" t="s">
        <v>32</v>
      </c>
      <c r="O137" s="3" t="s">
        <v>33</v>
      </c>
      <c r="P137" s="3" t="s">
        <v>1080</v>
      </c>
      <c r="Q137" s="3">
        <v>2142</v>
      </c>
      <c r="R137" s="3" t="s">
        <v>1081</v>
      </c>
      <c r="S137" s="3" t="s">
        <v>1079</v>
      </c>
      <c r="T137" s="3" t="s">
        <v>1082</v>
      </c>
      <c r="U137" s="3">
        <v>3412114829</v>
      </c>
      <c r="V137" s="3">
        <v>3415442276</v>
      </c>
      <c r="W137" s="3">
        <v>3412114829</v>
      </c>
      <c r="X137" s="3" t="s">
        <v>1083</v>
      </c>
      <c r="Y137" s="3">
        <v>21339002</v>
      </c>
    </row>
    <row r="138" spans="1:25" ht="13.2" x14ac:dyDescent="0.25">
      <c r="A138" s="2">
        <v>46081.333054976851</v>
      </c>
      <c r="B138" s="3" t="b">
        <v>0</v>
      </c>
      <c r="C138" s="3" t="s">
        <v>1084</v>
      </c>
      <c r="D138" s="3" t="s">
        <v>26</v>
      </c>
      <c r="E138" s="3" t="s">
        <v>1085</v>
      </c>
      <c r="F138" s="3" t="s">
        <v>1086</v>
      </c>
      <c r="G138" s="3">
        <v>3844</v>
      </c>
      <c r="H138" s="3" t="s">
        <v>352</v>
      </c>
      <c r="I138" s="3">
        <v>54212950</v>
      </c>
      <c r="J138" s="4">
        <v>41893</v>
      </c>
      <c r="K138" s="3" t="s">
        <v>1084</v>
      </c>
      <c r="L138" s="3" t="s">
        <v>43</v>
      </c>
      <c r="M138" s="3" t="s">
        <v>76</v>
      </c>
      <c r="N138" s="3" t="s">
        <v>44</v>
      </c>
      <c r="O138" s="3" t="s">
        <v>111</v>
      </c>
      <c r="P138" s="3" t="s">
        <v>1087</v>
      </c>
      <c r="Q138" s="3">
        <v>1648</v>
      </c>
      <c r="R138" s="3" t="s">
        <v>1088</v>
      </c>
      <c r="S138" s="3" t="s">
        <v>1089</v>
      </c>
      <c r="T138" s="3" t="s">
        <v>1084</v>
      </c>
      <c r="U138" s="3">
        <v>1144094207</v>
      </c>
      <c r="V138" s="3">
        <v>1159948383</v>
      </c>
      <c r="X138" s="3" t="s">
        <v>1090</v>
      </c>
      <c r="Y138" s="3">
        <v>6060</v>
      </c>
    </row>
    <row r="139" spans="1:25" ht="13.2" x14ac:dyDescent="0.25">
      <c r="A139" s="2">
        <v>46081.405592407405</v>
      </c>
      <c r="B139" s="3" t="b">
        <v>0</v>
      </c>
      <c r="C139" s="3" t="s">
        <v>1091</v>
      </c>
      <c r="D139" s="3" t="s">
        <v>26</v>
      </c>
      <c r="E139" s="3" t="s">
        <v>1092</v>
      </c>
      <c r="F139" s="3" t="s">
        <v>1093</v>
      </c>
      <c r="G139" s="3">
        <v>3936</v>
      </c>
      <c r="H139" s="3" t="s">
        <v>74</v>
      </c>
      <c r="I139" s="3">
        <v>50670497</v>
      </c>
      <c r="J139" s="4">
        <v>40549</v>
      </c>
      <c r="K139" s="3" t="s">
        <v>1094</v>
      </c>
      <c r="L139" s="3" t="s">
        <v>30</v>
      </c>
      <c r="M139" s="3" t="s">
        <v>31</v>
      </c>
      <c r="N139" s="3" t="s">
        <v>44</v>
      </c>
      <c r="O139" s="3" t="s">
        <v>674</v>
      </c>
      <c r="P139" s="3" t="s">
        <v>1095</v>
      </c>
      <c r="Q139" s="3">
        <v>1640</v>
      </c>
      <c r="R139" s="3" t="s">
        <v>564</v>
      </c>
      <c r="S139" s="3" t="s">
        <v>1093</v>
      </c>
      <c r="T139" s="3" t="s">
        <v>1091</v>
      </c>
      <c r="V139" s="3" t="s">
        <v>1096</v>
      </c>
      <c r="X139" s="3" t="s">
        <v>794</v>
      </c>
      <c r="Y139" s="3">
        <v>310</v>
      </c>
    </row>
    <row r="140" spans="1:25" ht="13.2" x14ac:dyDescent="0.25">
      <c r="A140" s="2">
        <v>46081.427082592592</v>
      </c>
      <c r="B140" s="3" t="b">
        <v>1</v>
      </c>
      <c r="C140" s="3" t="s">
        <v>1097</v>
      </c>
      <c r="D140" s="3" t="s">
        <v>358</v>
      </c>
      <c r="E140" s="3" t="s">
        <v>1098</v>
      </c>
      <c r="F140" s="3" t="s">
        <v>1099</v>
      </c>
      <c r="G140" s="3">
        <v>210806</v>
      </c>
      <c r="H140" s="3" t="s">
        <v>326</v>
      </c>
      <c r="I140" s="3">
        <v>49833927</v>
      </c>
      <c r="J140" s="4">
        <v>40112</v>
      </c>
      <c r="K140" s="3" t="s">
        <v>1100</v>
      </c>
      <c r="L140" s="3" t="s">
        <v>43</v>
      </c>
      <c r="M140" s="3" t="s">
        <v>76</v>
      </c>
      <c r="N140" s="3" t="s">
        <v>285</v>
      </c>
      <c r="O140" s="3" t="s">
        <v>1101</v>
      </c>
      <c r="P140" s="3">
        <v>124</v>
      </c>
      <c r="Q140" s="3">
        <v>1923</v>
      </c>
      <c r="R140" s="3" t="s">
        <v>1102</v>
      </c>
      <c r="S140" s="3" t="s">
        <v>1103</v>
      </c>
      <c r="U140" s="3">
        <v>2215741651</v>
      </c>
      <c r="V140" s="3">
        <v>2215741651</v>
      </c>
      <c r="W140" s="3">
        <v>2215222133</v>
      </c>
      <c r="X140" s="3" t="s">
        <v>741</v>
      </c>
      <c r="Y140" s="3" t="s">
        <v>1104</v>
      </c>
    </row>
    <row r="141" spans="1:25" ht="13.2" x14ac:dyDescent="0.25">
      <c r="A141" s="2">
        <v>46081.432204849538</v>
      </c>
      <c r="B141" s="3" t="b">
        <v>1</v>
      </c>
      <c r="C141" s="3" t="s">
        <v>1105</v>
      </c>
      <c r="D141" s="3" t="s">
        <v>26</v>
      </c>
      <c r="E141" s="3" t="s">
        <v>1106</v>
      </c>
      <c r="F141" s="3" t="s">
        <v>1107</v>
      </c>
      <c r="G141" s="3">
        <v>4204</v>
      </c>
      <c r="H141" s="3" t="s">
        <v>318</v>
      </c>
      <c r="I141" s="3">
        <v>52122807</v>
      </c>
      <c r="J141" s="4">
        <v>40954</v>
      </c>
      <c r="K141" s="3" t="s">
        <v>1108</v>
      </c>
      <c r="L141" s="3" t="s">
        <v>43</v>
      </c>
      <c r="M141" s="3" t="s">
        <v>31</v>
      </c>
      <c r="N141" s="3" t="s">
        <v>44</v>
      </c>
      <c r="O141" s="3" t="s">
        <v>1006</v>
      </c>
      <c r="P141" s="3" t="s">
        <v>1109</v>
      </c>
      <c r="Q141" s="3">
        <v>1640</v>
      </c>
      <c r="R141" s="3" t="s">
        <v>619</v>
      </c>
      <c r="S141" s="3" t="s">
        <v>1110</v>
      </c>
      <c r="T141" s="3" t="s">
        <v>1108</v>
      </c>
      <c r="U141" s="3">
        <v>1162588124</v>
      </c>
      <c r="V141" s="3">
        <v>1162588124</v>
      </c>
      <c r="W141" s="3">
        <v>1145587913</v>
      </c>
      <c r="X141" s="3" t="s">
        <v>854</v>
      </c>
      <c r="Y141" s="3">
        <v>16960503</v>
      </c>
    </row>
    <row r="142" spans="1:25" ht="13.2" x14ac:dyDescent="0.25">
      <c r="A142" s="2">
        <v>46081.442648773147</v>
      </c>
      <c r="B142" s="3" t="b">
        <v>0</v>
      </c>
      <c r="C142" s="3" t="s">
        <v>1111</v>
      </c>
      <c r="D142" s="3" t="s">
        <v>26</v>
      </c>
      <c r="E142" s="3" t="s">
        <v>1112</v>
      </c>
      <c r="F142" s="3" t="s">
        <v>1113</v>
      </c>
      <c r="G142" s="3">
        <v>3138</v>
      </c>
      <c r="H142" s="3" t="s">
        <v>1114</v>
      </c>
      <c r="I142" s="3">
        <v>53778637</v>
      </c>
      <c r="J142" s="4">
        <v>41675</v>
      </c>
      <c r="K142" s="3" t="s">
        <v>1115</v>
      </c>
      <c r="L142" s="3" t="s">
        <v>30</v>
      </c>
      <c r="M142" s="3" t="s">
        <v>76</v>
      </c>
      <c r="N142" s="3" t="s">
        <v>405</v>
      </c>
      <c r="O142" s="3" t="s">
        <v>405</v>
      </c>
      <c r="P142" s="3" t="s">
        <v>1116</v>
      </c>
      <c r="Q142" s="3">
        <v>3000</v>
      </c>
      <c r="R142" s="3" t="s">
        <v>1117</v>
      </c>
      <c r="S142" s="3" t="s">
        <v>1118</v>
      </c>
      <c r="T142" s="3" t="s">
        <v>1111</v>
      </c>
      <c r="U142" s="3">
        <v>3426156666</v>
      </c>
      <c r="V142" s="3">
        <v>3426156666</v>
      </c>
      <c r="W142" s="3">
        <v>3426301234</v>
      </c>
      <c r="X142" s="3" t="s">
        <v>1119</v>
      </c>
      <c r="Y142" s="3">
        <v>53778637</v>
      </c>
    </row>
    <row r="143" spans="1:25" ht="13.2" x14ac:dyDescent="0.25">
      <c r="A143" s="2">
        <v>46081.447471006948</v>
      </c>
      <c r="B143" s="3" t="b">
        <v>1</v>
      </c>
      <c r="C143" s="3" t="s">
        <v>1120</v>
      </c>
      <c r="D143" s="3" t="s">
        <v>358</v>
      </c>
      <c r="E143" s="3" t="s">
        <v>1121</v>
      </c>
      <c r="F143" s="3" t="s">
        <v>1122</v>
      </c>
      <c r="G143" s="3">
        <v>218076</v>
      </c>
      <c r="H143" s="3" t="s">
        <v>318</v>
      </c>
      <c r="I143" s="3">
        <v>47573646</v>
      </c>
      <c r="J143" s="4">
        <v>40504</v>
      </c>
      <c r="K143" s="3" t="s">
        <v>1120</v>
      </c>
      <c r="L143" s="3" t="s">
        <v>43</v>
      </c>
      <c r="M143" s="3" t="s">
        <v>31</v>
      </c>
      <c r="N143" s="3" t="s">
        <v>312</v>
      </c>
      <c r="O143" s="3" t="s">
        <v>142</v>
      </c>
      <c r="P143" s="3" t="s">
        <v>1123</v>
      </c>
      <c r="Q143" s="3">
        <v>1015</v>
      </c>
      <c r="T143" s="3" t="s">
        <v>1120</v>
      </c>
      <c r="V143" s="3">
        <v>11540044972</v>
      </c>
      <c r="X143" s="3" t="s">
        <v>514</v>
      </c>
      <c r="Y143" s="3">
        <v>47573646</v>
      </c>
    </row>
    <row r="144" spans="1:25" ht="13.2" x14ac:dyDescent="0.25">
      <c r="A144" s="2">
        <v>46081.456678101851</v>
      </c>
      <c r="B144" s="3" t="b">
        <v>1</v>
      </c>
      <c r="C144" s="3" t="s">
        <v>1120</v>
      </c>
      <c r="D144" s="3" t="s">
        <v>358</v>
      </c>
      <c r="E144" s="3" t="s">
        <v>1124</v>
      </c>
      <c r="F144" s="3" t="s">
        <v>1125</v>
      </c>
      <c r="G144" s="3">
        <v>224767</v>
      </c>
      <c r="H144" s="3" t="s">
        <v>318</v>
      </c>
      <c r="I144" s="3">
        <v>50681138</v>
      </c>
      <c r="J144" s="4">
        <v>40448</v>
      </c>
      <c r="K144" s="3" t="s">
        <v>1120</v>
      </c>
      <c r="L144" s="3" t="s">
        <v>43</v>
      </c>
      <c r="M144" s="3" t="s">
        <v>31</v>
      </c>
      <c r="N144" s="3" t="s">
        <v>92</v>
      </c>
      <c r="O144" s="3" t="s">
        <v>92</v>
      </c>
      <c r="P144" s="3" t="s">
        <v>1123</v>
      </c>
      <c r="Q144" s="3">
        <v>1015</v>
      </c>
      <c r="R144" s="3" t="s">
        <v>1126</v>
      </c>
      <c r="S144" s="3" t="s">
        <v>1127</v>
      </c>
      <c r="T144" s="3" t="s">
        <v>1120</v>
      </c>
      <c r="U144" s="3">
        <v>1154004972</v>
      </c>
      <c r="V144" s="3">
        <v>1154004972</v>
      </c>
      <c r="X144" s="3" t="s">
        <v>514</v>
      </c>
      <c r="Y144" s="3">
        <v>50681138</v>
      </c>
    </row>
    <row r="145" spans="1:46" ht="13.2" x14ac:dyDescent="0.25">
      <c r="A145" s="2">
        <v>46081.467429837961</v>
      </c>
      <c r="B145" s="3" t="b">
        <v>1</v>
      </c>
      <c r="C145" s="3" t="s">
        <v>1128</v>
      </c>
      <c r="D145" s="3">
        <v>420</v>
      </c>
      <c r="E145" s="3" t="s">
        <v>281</v>
      </c>
      <c r="F145" s="3" t="s">
        <v>1129</v>
      </c>
      <c r="G145" s="3">
        <v>57442</v>
      </c>
      <c r="H145" s="3" t="s">
        <v>352</v>
      </c>
      <c r="I145" s="3">
        <v>49588515</v>
      </c>
      <c r="J145" s="4">
        <v>40308</v>
      </c>
      <c r="K145" s="3" t="s">
        <v>1130</v>
      </c>
      <c r="L145" s="3" t="s">
        <v>43</v>
      </c>
      <c r="M145" s="3" t="s">
        <v>76</v>
      </c>
      <c r="N145" s="3" t="s">
        <v>240</v>
      </c>
      <c r="O145" s="3" t="s">
        <v>172</v>
      </c>
      <c r="P145" s="3" t="s">
        <v>1131</v>
      </c>
      <c r="Q145" s="3">
        <v>1640</v>
      </c>
      <c r="R145" s="3" t="s">
        <v>1132</v>
      </c>
      <c r="S145" s="3" t="s">
        <v>1133</v>
      </c>
      <c r="T145" s="3" t="s">
        <v>1134</v>
      </c>
      <c r="U145" s="3">
        <v>1157224800</v>
      </c>
      <c r="V145" s="3">
        <v>1157224800</v>
      </c>
      <c r="W145" s="3">
        <v>1166611955</v>
      </c>
      <c r="X145" s="3" t="s">
        <v>115</v>
      </c>
      <c r="Y145" s="3">
        <v>60858218104</v>
      </c>
      <c r="Z145" s="3" t="s">
        <v>63</v>
      </c>
      <c r="AA145" s="3" t="s">
        <v>1135</v>
      </c>
      <c r="AB145" s="3">
        <v>57442</v>
      </c>
      <c r="AC145" s="3" t="s">
        <v>352</v>
      </c>
      <c r="AD145" s="3">
        <v>51455194</v>
      </c>
      <c r="AE145" s="4">
        <v>40861</v>
      </c>
      <c r="AF145" s="3" t="s">
        <v>1136</v>
      </c>
      <c r="AG145" s="3" t="s">
        <v>30</v>
      </c>
      <c r="AH145" s="3" t="s">
        <v>31</v>
      </c>
      <c r="AI145" s="3" t="s">
        <v>240</v>
      </c>
      <c r="AJ145" s="3" t="s">
        <v>492</v>
      </c>
      <c r="AK145" s="3" t="s">
        <v>1137</v>
      </c>
      <c r="AL145" s="3">
        <v>1642</v>
      </c>
      <c r="AM145" s="3" t="s">
        <v>959</v>
      </c>
      <c r="AN145" s="3" t="s">
        <v>1138</v>
      </c>
      <c r="AO145" s="3" t="s">
        <v>1139</v>
      </c>
      <c r="AP145" s="3">
        <v>1161858660</v>
      </c>
      <c r="AS145" s="3" t="s">
        <v>115</v>
      </c>
      <c r="AT145" s="3">
        <v>61460659303</v>
      </c>
    </row>
    <row r="146" spans="1:46" ht="13.2" x14ac:dyDescent="0.25">
      <c r="A146" s="2">
        <v>46081.475490787037</v>
      </c>
      <c r="B146" s="3" t="b">
        <v>1</v>
      </c>
      <c r="C146" s="3" t="s">
        <v>1140</v>
      </c>
      <c r="D146" s="3" t="s">
        <v>26</v>
      </c>
      <c r="E146" s="3" t="s">
        <v>1141</v>
      </c>
      <c r="F146" s="3" t="s">
        <v>1142</v>
      </c>
      <c r="G146" s="3">
        <v>4011</v>
      </c>
      <c r="H146" s="3" t="s">
        <v>470</v>
      </c>
      <c r="I146" s="3">
        <v>52768606</v>
      </c>
      <c r="J146" s="4">
        <v>41178</v>
      </c>
      <c r="K146" s="3" t="s">
        <v>1143</v>
      </c>
      <c r="L146" s="3" t="s">
        <v>30</v>
      </c>
      <c r="M146" s="3" t="s">
        <v>76</v>
      </c>
      <c r="N146" s="3" t="s">
        <v>285</v>
      </c>
      <c r="O146" s="3" t="s">
        <v>1144</v>
      </c>
      <c r="P146" s="3" t="s">
        <v>1145</v>
      </c>
      <c r="Q146" s="3">
        <v>1636</v>
      </c>
      <c r="R146" s="3" t="s">
        <v>1146</v>
      </c>
      <c r="S146" s="3" t="s">
        <v>1147</v>
      </c>
      <c r="T146" s="3" t="s">
        <v>1143</v>
      </c>
      <c r="U146" s="3">
        <v>1161879557</v>
      </c>
      <c r="V146" s="3">
        <v>1161879557</v>
      </c>
      <c r="W146" s="3">
        <v>1166855404</v>
      </c>
      <c r="X146" s="3" t="s">
        <v>794</v>
      </c>
      <c r="Y146" s="3">
        <v>611018721</v>
      </c>
    </row>
    <row r="147" spans="1:46" ht="13.2" x14ac:dyDescent="0.25">
      <c r="A147" s="2">
        <v>46081.478244930557</v>
      </c>
      <c r="B147" s="3" t="b">
        <v>1</v>
      </c>
      <c r="C147" s="3" t="s">
        <v>1148</v>
      </c>
      <c r="D147" s="3" t="s">
        <v>180</v>
      </c>
      <c r="E147" s="3" t="s">
        <v>300</v>
      </c>
      <c r="F147" s="3" t="s">
        <v>1149</v>
      </c>
      <c r="G147" s="3" t="s">
        <v>1150</v>
      </c>
      <c r="H147" s="3" t="s">
        <v>326</v>
      </c>
      <c r="I147" s="3">
        <v>53520594</v>
      </c>
      <c r="J147" s="4">
        <v>41596</v>
      </c>
      <c r="K147" s="3" t="s">
        <v>1148</v>
      </c>
      <c r="L147" s="3" t="s">
        <v>43</v>
      </c>
      <c r="M147" s="3" t="s">
        <v>31</v>
      </c>
      <c r="N147" s="3" t="s">
        <v>44</v>
      </c>
      <c r="O147" s="3" t="s">
        <v>1101</v>
      </c>
      <c r="P147" s="3" t="s">
        <v>1151</v>
      </c>
      <c r="Q147" s="3">
        <v>1923</v>
      </c>
      <c r="R147" s="3" t="s">
        <v>1152</v>
      </c>
      <c r="S147" s="3" t="s">
        <v>1153</v>
      </c>
      <c r="T147" s="3" t="s">
        <v>1148</v>
      </c>
      <c r="U147" s="3">
        <v>2215649627</v>
      </c>
      <c r="V147" s="3">
        <v>2215649627</v>
      </c>
      <c r="W147" s="3">
        <v>2215914955</v>
      </c>
      <c r="X147" s="3" t="s">
        <v>1154</v>
      </c>
      <c r="Y147" s="3">
        <v>234608988002</v>
      </c>
    </row>
    <row r="148" spans="1:46" ht="13.2" x14ac:dyDescent="0.25">
      <c r="A148" s="2">
        <v>46081.488629942134</v>
      </c>
      <c r="B148" s="3" t="b">
        <v>0</v>
      </c>
      <c r="C148" s="3" t="s">
        <v>1155</v>
      </c>
      <c r="D148" s="3">
        <v>420</v>
      </c>
      <c r="E148" s="3" t="s">
        <v>1156</v>
      </c>
      <c r="F148" s="3" t="s">
        <v>1157</v>
      </c>
      <c r="G148" s="3">
        <v>55350</v>
      </c>
      <c r="H148" s="3" t="s">
        <v>54</v>
      </c>
      <c r="I148" s="3">
        <v>49764378</v>
      </c>
      <c r="J148" s="4">
        <v>40085</v>
      </c>
      <c r="K148" s="3" t="s">
        <v>1155</v>
      </c>
      <c r="L148" s="3" t="s">
        <v>30</v>
      </c>
      <c r="M148" s="3" t="s">
        <v>31</v>
      </c>
      <c r="N148" s="3" t="s">
        <v>44</v>
      </c>
      <c r="O148" s="3" t="s">
        <v>532</v>
      </c>
      <c r="P148" s="3" t="s">
        <v>1158</v>
      </c>
      <c r="Q148" s="3">
        <v>1678</v>
      </c>
      <c r="R148" s="3" t="s">
        <v>1159</v>
      </c>
      <c r="S148" s="3" t="s">
        <v>1157</v>
      </c>
      <c r="T148" s="3" t="s">
        <v>1160</v>
      </c>
      <c r="U148" s="3">
        <v>1167239497</v>
      </c>
      <c r="V148" s="3">
        <v>1167239170</v>
      </c>
      <c r="X148" s="3" t="s">
        <v>1090</v>
      </c>
      <c r="Y148" s="3">
        <v>450090929004</v>
      </c>
      <c r="Z148" s="3" t="s">
        <v>1161</v>
      </c>
      <c r="AA148" s="3" t="s">
        <v>1162</v>
      </c>
      <c r="AC148" s="3" t="s">
        <v>198</v>
      </c>
      <c r="AD148" s="3">
        <v>49701997</v>
      </c>
      <c r="AE148" s="4">
        <v>40052</v>
      </c>
      <c r="AF148" s="3" t="s">
        <v>1163</v>
      </c>
      <c r="AG148" s="3" t="s">
        <v>30</v>
      </c>
      <c r="AH148" s="3" t="s">
        <v>31</v>
      </c>
      <c r="AI148" s="3" t="s">
        <v>142</v>
      </c>
      <c r="AJ148" s="3" t="s">
        <v>142</v>
      </c>
      <c r="AK148" s="3" t="s">
        <v>1164</v>
      </c>
      <c r="AL148" s="3">
        <v>1426</v>
      </c>
      <c r="AO148" s="3" t="s">
        <v>1165</v>
      </c>
      <c r="AP148" s="3" t="s">
        <v>1166</v>
      </c>
      <c r="AQ148" s="3" t="s">
        <v>1167</v>
      </c>
    </row>
    <row r="149" spans="1:46" ht="13.2" x14ac:dyDescent="0.25">
      <c r="A149" s="2">
        <v>46081.490821527783</v>
      </c>
      <c r="B149" s="3" t="b">
        <v>1</v>
      </c>
      <c r="C149" s="3" t="s">
        <v>1168</v>
      </c>
      <c r="D149" s="3" t="s">
        <v>26</v>
      </c>
      <c r="E149" s="3" t="s">
        <v>1169</v>
      </c>
      <c r="F149" s="3" t="s">
        <v>1170</v>
      </c>
      <c r="G149" s="3">
        <v>4162</v>
      </c>
      <c r="H149" s="3" t="s">
        <v>54</v>
      </c>
      <c r="I149" s="3">
        <v>52159528</v>
      </c>
      <c r="J149" s="4">
        <v>40948</v>
      </c>
      <c r="K149" s="3" t="s">
        <v>1168</v>
      </c>
      <c r="L149" s="3" t="s">
        <v>30</v>
      </c>
      <c r="M149" s="3" t="s">
        <v>31</v>
      </c>
      <c r="N149" s="3" t="s">
        <v>44</v>
      </c>
      <c r="O149" s="3" t="s">
        <v>1171</v>
      </c>
      <c r="P149" s="3" t="s">
        <v>1172</v>
      </c>
      <c r="Q149" s="3">
        <v>1643</v>
      </c>
      <c r="R149" s="3" t="s">
        <v>1173</v>
      </c>
      <c r="S149" s="3" t="s">
        <v>1170</v>
      </c>
      <c r="T149" s="3" t="s">
        <v>1168</v>
      </c>
      <c r="U149" s="3">
        <v>1133240918</v>
      </c>
      <c r="V149" s="3">
        <v>1133240903</v>
      </c>
      <c r="W149" s="3">
        <v>1133780684</v>
      </c>
      <c r="X149" s="3" t="s">
        <v>1174</v>
      </c>
      <c r="Y149" s="3">
        <v>52159528</v>
      </c>
    </row>
    <row r="150" spans="1:46" ht="13.2" x14ac:dyDescent="0.25">
      <c r="A150" s="2">
        <v>46081.495234386573</v>
      </c>
      <c r="B150" s="3" t="b">
        <v>1</v>
      </c>
      <c r="C150" s="3" t="s">
        <v>1175</v>
      </c>
      <c r="D150" s="3" t="s">
        <v>358</v>
      </c>
      <c r="E150" s="3" t="s">
        <v>1176</v>
      </c>
      <c r="F150" s="3" t="s">
        <v>1177</v>
      </c>
      <c r="G150" s="3">
        <v>7</v>
      </c>
      <c r="H150" s="3" t="s">
        <v>198</v>
      </c>
      <c r="I150" s="3">
        <v>47394399</v>
      </c>
      <c r="J150" s="4">
        <v>38950</v>
      </c>
      <c r="K150" s="3" t="s">
        <v>1175</v>
      </c>
      <c r="L150" s="3" t="s">
        <v>43</v>
      </c>
      <c r="M150" s="3" t="s">
        <v>1178</v>
      </c>
      <c r="N150" s="3" t="s">
        <v>92</v>
      </c>
      <c r="O150" s="3" t="s">
        <v>92</v>
      </c>
      <c r="P150" s="3" t="s">
        <v>1179</v>
      </c>
      <c r="Q150" s="3">
        <v>1431</v>
      </c>
      <c r="V150" s="3" t="s">
        <v>1180</v>
      </c>
      <c r="X150" s="3" t="s">
        <v>1181</v>
      </c>
      <c r="Y150" s="3">
        <v>61578660903</v>
      </c>
    </row>
    <row r="151" spans="1:46" ht="13.2" x14ac:dyDescent="0.25">
      <c r="A151" s="2">
        <v>46081.499421377317</v>
      </c>
      <c r="B151" s="3" t="b">
        <v>1</v>
      </c>
      <c r="C151" s="3" t="s">
        <v>1182</v>
      </c>
      <c r="D151" s="3" t="s">
        <v>180</v>
      </c>
      <c r="E151" s="3" t="s">
        <v>1183</v>
      </c>
      <c r="F151" s="3" t="s">
        <v>1184</v>
      </c>
      <c r="G151" s="3">
        <v>4272</v>
      </c>
      <c r="H151" s="3" t="s">
        <v>590</v>
      </c>
      <c r="I151" s="3">
        <v>54795594</v>
      </c>
      <c r="J151" s="4">
        <v>42135</v>
      </c>
      <c r="K151" s="3" t="s">
        <v>1182</v>
      </c>
      <c r="L151" s="3" t="s">
        <v>30</v>
      </c>
      <c r="M151" s="3" t="s">
        <v>31</v>
      </c>
      <c r="N151" s="3" t="s">
        <v>312</v>
      </c>
      <c r="O151" s="3" t="s">
        <v>127</v>
      </c>
      <c r="P151" s="3" t="s">
        <v>1185</v>
      </c>
      <c r="Q151" s="3">
        <v>1430</v>
      </c>
      <c r="R151" s="3" t="s">
        <v>884</v>
      </c>
      <c r="S151" s="3" t="s">
        <v>1184</v>
      </c>
      <c r="T151" s="3" t="s">
        <v>1182</v>
      </c>
      <c r="U151" s="3">
        <v>1169163526</v>
      </c>
      <c r="V151" s="3">
        <v>1196163526</v>
      </c>
      <c r="W151" s="3">
        <v>1169756185</v>
      </c>
      <c r="X151" s="3" t="s">
        <v>211</v>
      </c>
      <c r="Y151" s="3">
        <v>61129954103</v>
      </c>
    </row>
    <row r="152" spans="1:46" ht="13.2" x14ac:dyDescent="0.25">
      <c r="A152" s="2">
        <v>46081.508289907404</v>
      </c>
      <c r="B152" s="3" t="b">
        <v>1</v>
      </c>
      <c r="C152" s="3" t="s">
        <v>1186</v>
      </c>
      <c r="D152" s="3" t="s">
        <v>180</v>
      </c>
      <c r="E152" s="3" t="s">
        <v>1187</v>
      </c>
      <c r="F152" s="3" t="s">
        <v>1188</v>
      </c>
      <c r="G152" s="3">
        <v>3138</v>
      </c>
      <c r="H152" s="3" t="s">
        <v>352</v>
      </c>
      <c r="I152" s="3">
        <v>55484321</v>
      </c>
      <c r="J152" s="4">
        <v>46107</v>
      </c>
      <c r="K152" s="3" t="s">
        <v>1189</v>
      </c>
      <c r="L152" s="3" t="s">
        <v>43</v>
      </c>
      <c r="M152" s="3" t="s">
        <v>31</v>
      </c>
      <c r="N152" s="3" t="s">
        <v>240</v>
      </c>
      <c r="O152" s="3" t="s">
        <v>102</v>
      </c>
      <c r="P152" s="3" t="s">
        <v>1190</v>
      </c>
      <c r="Q152" s="3">
        <v>1642</v>
      </c>
      <c r="R152" s="3" t="s">
        <v>1191</v>
      </c>
      <c r="S152" s="3" t="s">
        <v>1188</v>
      </c>
      <c r="T152" s="3" t="s">
        <v>1189</v>
      </c>
      <c r="U152" s="3">
        <v>1141778506</v>
      </c>
      <c r="V152" s="3" t="s">
        <v>1192</v>
      </c>
      <c r="X152" s="3" t="s">
        <v>140</v>
      </c>
      <c r="Y152" s="3">
        <v>61801171303</v>
      </c>
    </row>
    <row r="153" spans="1:46" ht="13.2" x14ac:dyDescent="0.25">
      <c r="A153" s="2">
        <v>46081.57685247685</v>
      </c>
      <c r="B153" s="3" t="b">
        <v>1</v>
      </c>
      <c r="C153" s="3" t="s">
        <v>1193</v>
      </c>
      <c r="D153" s="3" t="s">
        <v>180</v>
      </c>
      <c r="E153" s="3" t="s">
        <v>1194</v>
      </c>
      <c r="F153" s="3" t="s">
        <v>1195</v>
      </c>
      <c r="G153" s="3">
        <v>3830</v>
      </c>
      <c r="H153" s="3" t="s">
        <v>198</v>
      </c>
      <c r="I153" s="3">
        <v>55297888</v>
      </c>
      <c r="J153" s="4">
        <v>42381</v>
      </c>
      <c r="K153" s="3" t="s">
        <v>1193</v>
      </c>
      <c r="L153" s="3" t="s">
        <v>30</v>
      </c>
      <c r="M153" s="3" t="s">
        <v>76</v>
      </c>
      <c r="N153" s="3" t="s">
        <v>44</v>
      </c>
      <c r="O153" s="3" t="s">
        <v>142</v>
      </c>
      <c r="P153" s="3" t="s">
        <v>1196</v>
      </c>
      <c r="Q153" s="3">
        <v>1425</v>
      </c>
      <c r="R153" s="3" t="s">
        <v>331</v>
      </c>
      <c r="S153" s="3" t="s">
        <v>1195</v>
      </c>
      <c r="T153" s="3" t="s">
        <v>1193</v>
      </c>
      <c r="U153" s="3">
        <v>1160464440</v>
      </c>
      <c r="V153" s="3" t="s">
        <v>52</v>
      </c>
      <c r="W153" s="3" t="s">
        <v>1197</v>
      </c>
      <c r="X153" s="3" t="s">
        <v>1198</v>
      </c>
      <c r="Y153" s="3">
        <v>52454489</v>
      </c>
    </row>
    <row r="154" spans="1:46" ht="13.2" x14ac:dyDescent="0.25">
      <c r="A154" s="2">
        <v>46081.579633368056</v>
      </c>
      <c r="B154" s="3" t="b">
        <v>1</v>
      </c>
      <c r="C154" s="3" t="s">
        <v>1193</v>
      </c>
      <c r="D154" s="3" t="s">
        <v>26</v>
      </c>
      <c r="E154" s="3" t="s">
        <v>1199</v>
      </c>
      <c r="F154" s="3" t="s">
        <v>1195</v>
      </c>
      <c r="G154" s="3">
        <v>4130</v>
      </c>
      <c r="H154" s="3" t="s">
        <v>198</v>
      </c>
      <c r="I154" s="3">
        <v>52454489</v>
      </c>
      <c r="J154" s="4">
        <v>41088</v>
      </c>
      <c r="K154" s="3" t="s">
        <v>1193</v>
      </c>
      <c r="L154" s="3" t="s">
        <v>43</v>
      </c>
      <c r="M154" s="3" t="s">
        <v>31</v>
      </c>
      <c r="N154" s="3" t="s">
        <v>142</v>
      </c>
      <c r="O154" s="3" t="s">
        <v>142</v>
      </c>
      <c r="P154" s="3" t="s">
        <v>1196</v>
      </c>
      <c r="Q154" s="3">
        <v>1425</v>
      </c>
      <c r="R154" s="3" t="s">
        <v>331</v>
      </c>
      <c r="S154" s="3" t="s">
        <v>1195</v>
      </c>
      <c r="T154" s="3" t="s">
        <v>1193</v>
      </c>
      <c r="U154" s="3">
        <v>1160464440</v>
      </c>
      <c r="V154" s="3" t="s">
        <v>331</v>
      </c>
      <c r="W154" s="3" t="s">
        <v>1197</v>
      </c>
      <c r="X154" s="3" t="s">
        <v>802</v>
      </c>
      <c r="Y154" s="3">
        <v>52454489</v>
      </c>
    </row>
    <row r="155" spans="1:46" ht="13.2" x14ac:dyDescent="0.25">
      <c r="A155" s="2">
        <v>46081.593310312499</v>
      </c>
      <c r="B155" s="3" t="b">
        <v>1</v>
      </c>
      <c r="C155" s="3" t="s">
        <v>1200</v>
      </c>
      <c r="D155" s="3" t="s">
        <v>26</v>
      </c>
      <c r="E155" s="3" t="s">
        <v>804</v>
      </c>
      <c r="F155" s="3" t="s">
        <v>1201</v>
      </c>
      <c r="G155" s="3">
        <v>3754</v>
      </c>
      <c r="H155" s="3" t="s">
        <v>326</v>
      </c>
      <c r="I155" s="3">
        <v>52619403</v>
      </c>
      <c r="J155" s="4">
        <v>41136</v>
      </c>
      <c r="K155" s="3" t="s">
        <v>1202</v>
      </c>
      <c r="L155" s="3" t="s">
        <v>30</v>
      </c>
      <c r="M155" s="3" t="s">
        <v>31</v>
      </c>
      <c r="N155" s="3" t="s">
        <v>285</v>
      </c>
      <c r="O155" s="3" t="s">
        <v>737</v>
      </c>
      <c r="P155" s="3" t="s">
        <v>1203</v>
      </c>
      <c r="Q155" s="3">
        <v>1900</v>
      </c>
      <c r="R155" s="3" t="s">
        <v>1204</v>
      </c>
      <c r="S155" s="3" t="s">
        <v>1205</v>
      </c>
      <c r="T155" s="3" t="s">
        <v>1206</v>
      </c>
      <c r="U155" s="3">
        <v>2215229881</v>
      </c>
      <c r="V155" s="3">
        <v>2215229881</v>
      </c>
      <c r="W155" s="3">
        <v>2214777851</v>
      </c>
      <c r="X155" s="3" t="s">
        <v>741</v>
      </c>
      <c r="Y155" s="3" t="s">
        <v>1207</v>
      </c>
    </row>
    <row r="156" spans="1:46" ht="13.2" x14ac:dyDescent="0.25">
      <c r="A156" s="2">
        <v>46081.597790057873</v>
      </c>
      <c r="B156" s="3" t="b">
        <v>1</v>
      </c>
      <c r="C156" s="3" t="s">
        <v>1208</v>
      </c>
      <c r="D156" s="3" t="s">
        <v>26</v>
      </c>
      <c r="E156" s="3" t="s">
        <v>1209</v>
      </c>
      <c r="F156" s="3" t="s">
        <v>1210</v>
      </c>
      <c r="G156" s="3" t="s">
        <v>1211</v>
      </c>
      <c r="H156" s="3" t="s">
        <v>590</v>
      </c>
      <c r="I156" s="3">
        <v>54794764</v>
      </c>
      <c r="J156" s="4">
        <v>42162</v>
      </c>
      <c r="K156" s="3" t="s">
        <v>1208</v>
      </c>
      <c r="L156" s="3" t="s">
        <v>43</v>
      </c>
      <c r="M156" s="3" t="s">
        <v>76</v>
      </c>
      <c r="N156" s="3" t="s">
        <v>142</v>
      </c>
      <c r="O156" s="3" t="s">
        <v>142</v>
      </c>
      <c r="P156" s="3" t="s">
        <v>1212</v>
      </c>
      <c r="Q156" s="3">
        <v>1205</v>
      </c>
      <c r="R156" s="3" t="s">
        <v>1213</v>
      </c>
      <c r="S156" s="3" t="s">
        <v>1214</v>
      </c>
      <c r="T156" s="3" t="s">
        <v>1208</v>
      </c>
      <c r="U156" s="3" t="s">
        <v>1215</v>
      </c>
      <c r="V156" s="3">
        <v>1160069263</v>
      </c>
      <c r="W156" s="3">
        <v>1164235910</v>
      </c>
      <c r="X156" s="3" t="s">
        <v>1216</v>
      </c>
      <c r="Y156" s="3">
        <v>448082</v>
      </c>
    </row>
    <row r="157" spans="1:46" ht="13.2" x14ac:dyDescent="0.25">
      <c r="A157" s="2">
        <v>46081.599235694448</v>
      </c>
      <c r="B157" s="3" t="b">
        <v>1</v>
      </c>
      <c r="C157" s="3" t="s">
        <v>1217</v>
      </c>
      <c r="D157" s="3" t="s">
        <v>26</v>
      </c>
      <c r="E157" s="3" t="s">
        <v>1218</v>
      </c>
      <c r="F157" s="3" t="s">
        <v>1219</v>
      </c>
      <c r="G157" s="3">
        <v>3827</v>
      </c>
      <c r="H157" s="3" t="s">
        <v>326</v>
      </c>
      <c r="I157" s="3">
        <v>52725071</v>
      </c>
      <c r="J157" s="4">
        <v>41200</v>
      </c>
      <c r="K157" s="3" t="s">
        <v>1217</v>
      </c>
      <c r="L157" s="3" t="s">
        <v>30</v>
      </c>
      <c r="M157" s="3" t="s">
        <v>415</v>
      </c>
      <c r="N157" s="3" t="s">
        <v>44</v>
      </c>
      <c r="O157" s="3" t="s">
        <v>327</v>
      </c>
      <c r="P157" s="3" t="s">
        <v>1220</v>
      </c>
      <c r="Q157" s="3">
        <v>1900</v>
      </c>
      <c r="R157" s="3" t="s">
        <v>1221</v>
      </c>
      <c r="S157" s="3" t="s">
        <v>674</v>
      </c>
      <c r="T157" s="3" t="s">
        <v>1217</v>
      </c>
      <c r="U157" s="3">
        <v>1125860224</v>
      </c>
      <c r="V157" s="3">
        <v>1125860224</v>
      </c>
      <c r="W157" s="3">
        <v>2215072690</v>
      </c>
      <c r="X157" s="3" t="s">
        <v>70</v>
      </c>
      <c r="Y157" s="3">
        <v>227146475602</v>
      </c>
    </row>
    <row r="158" spans="1:46" ht="13.2" x14ac:dyDescent="0.25">
      <c r="A158" s="2">
        <v>46081.60214988426</v>
      </c>
      <c r="B158" s="3" t="b">
        <v>1</v>
      </c>
      <c r="C158" s="3" t="s">
        <v>1217</v>
      </c>
      <c r="D158" s="3" t="s">
        <v>180</v>
      </c>
      <c r="E158" s="3" t="s">
        <v>1222</v>
      </c>
      <c r="F158" s="3" t="s">
        <v>1219</v>
      </c>
      <c r="G158" s="3">
        <v>2695</v>
      </c>
      <c r="H158" s="3" t="s">
        <v>326</v>
      </c>
      <c r="I158" s="3">
        <v>53747558</v>
      </c>
      <c r="J158" s="4">
        <v>41635</v>
      </c>
      <c r="K158" s="3" t="s">
        <v>1217</v>
      </c>
      <c r="L158" s="3" t="s">
        <v>30</v>
      </c>
      <c r="M158" s="3" t="s">
        <v>415</v>
      </c>
      <c r="N158" s="3" t="s">
        <v>44</v>
      </c>
      <c r="O158" s="3" t="s">
        <v>327</v>
      </c>
      <c r="P158" s="3" t="s">
        <v>1220</v>
      </c>
      <c r="Q158" s="3">
        <v>1900</v>
      </c>
      <c r="R158" s="3" t="s">
        <v>1223</v>
      </c>
      <c r="S158" s="3" t="s">
        <v>1006</v>
      </c>
      <c r="T158" s="3" t="s">
        <v>1217</v>
      </c>
      <c r="U158" s="3">
        <v>1125860224</v>
      </c>
      <c r="V158" s="3">
        <v>1125860224</v>
      </c>
      <c r="W158" s="3">
        <v>2215072690</v>
      </c>
      <c r="X158" s="3" t="s">
        <v>70</v>
      </c>
      <c r="Y158" s="3">
        <v>227146475603</v>
      </c>
    </row>
    <row r="159" spans="1:46" ht="13.2" x14ac:dyDescent="0.25">
      <c r="A159" s="2">
        <v>46081.606073935181</v>
      </c>
      <c r="B159" s="3" t="b">
        <v>1</v>
      </c>
      <c r="C159" s="3" t="s">
        <v>1217</v>
      </c>
      <c r="D159" s="3" t="s">
        <v>180</v>
      </c>
      <c r="E159" s="3" t="s">
        <v>783</v>
      </c>
      <c r="F159" s="3" t="s">
        <v>1224</v>
      </c>
      <c r="G159" s="3">
        <v>3985</v>
      </c>
      <c r="H159" s="3" t="s">
        <v>326</v>
      </c>
      <c r="I159" s="3">
        <v>55198717</v>
      </c>
      <c r="J159" s="4">
        <v>42325</v>
      </c>
      <c r="K159" s="3" t="s">
        <v>1217</v>
      </c>
      <c r="L159" s="3" t="s">
        <v>30</v>
      </c>
      <c r="M159" s="3" t="s">
        <v>31</v>
      </c>
      <c r="N159" s="3" t="s">
        <v>44</v>
      </c>
      <c r="O159" s="3" t="s">
        <v>327</v>
      </c>
      <c r="P159" s="3" t="s">
        <v>1220</v>
      </c>
      <c r="Q159" s="3">
        <v>1900</v>
      </c>
      <c r="R159" s="3" t="s">
        <v>1223</v>
      </c>
      <c r="S159" s="3" t="s">
        <v>1006</v>
      </c>
      <c r="T159" s="3" t="s">
        <v>1217</v>
      </c>
      <c r="U159" s="3">
        <v>1125860224</v>
      </c>
      <c r="V159" s="3">
        <v>1125860224</v>
      </c>
      <c r="W159" s="3">
        <v>2215072690</v>
      </c>
      <c r="X159" s="3" t="s">
        <v>70</v>
      </c>
      <c r="Y159" s="3">
        <v>227146475604</v>
      </c>
    </row>
    <row r="160" spans="1:46" ht="13.2" x14ac:dyDescent="0.25">
      <c r="A160" s="2">
        <v>46081.614894548606</v>
      </c>
      <c r="B160" s="3" t="b">
        <v>1</v>
      </c>
      <c r="C160" s="3" t="s">
        <v>1225</v>
      </c>
      <c r="D160" s="3" t="s">
        <v>180</v>
      </c>
      <c r="E160" s="3" t="s">
        <v>1226</v>
      </c>
      <c r="F160" s="3" t="s">
        <v>1227</v>
      </c>
      <c r="G160" s="3">
        <v>3624</v>
      </c>
      <c r="H160" s="3" t="s">
        <v>1114</v>
      </c>
      <c r="I160" s="3">
        <v>54009326</v>
      </c>
      <c r="J160" s="4">
        <v>41790</v>
      </c>
      <c r="K160" s="3" t="s">
        <v>1225</v>
      </c>
      <c r="L160" s="3" t="s">
        <v>43</v>
      </c>
      <c r="M160" s="3" t="s">
        <v>31</v>
      </c>
      <c r="N160" s="3" t="s">
        <v>1228</v>
      </c>
      <c r="O160" s="3" t="s">
        <v>727</v>
      </c>
      <c r="P160" s="3" t="s">
        <v>1229</v>
      </c>
      <c r="Q160" s="3">
        <v>3100</v>
      </c>
      <c r="R160" s="3" t="s">
        <v>1230</v>
      </c>
      <c r="S160" s="3" t="s">
        <v>1231</v>
      </c>
      <c r="U160" s="3">
        <v>3434694320</v>
      </c>
      <c r="V160" s="3">
        <v>3434694320</v>
      </c>
      <c r="W160" s="3">
        <v>3436118291</v>
      </c>
      <c r="X160" s="3" t="s">
        <v>115</v>
      </c>
      <c r="Y160" s="3" t="s">
        <v>1232</v>
      </c>
    </row>
    <row r="161" spans="1:46" ht="13.2" x14ac:dyDescent="0.25">
      <c r="A161" s="2">
        <v>46081.61537939815</v>
      </c>
      <c r="B161" s="3" t="b">
        <v>1</v>
      </c>
      <c r="C161" s="3" t="s">
        <v>1233</v>
      </c>
      <c r="D161" s="3" t="s">
        <v>26</v>
      </c>
      <c r="E161" s="3" t="s">
        <v>1234</v>
      </c>
      <c r="F161" s="3" t="s">
        <v>1235</v>
      </c>
      <c r="G161" s="3">
        <v>4197</v>
      </c>
      <c r="H161" s="3" t="s">
        <v>54</v>
      </c>
      <c r="I161" s="3">
        <v>51511518</v>
      </c>
      <c r="J161" s="4">
        <v>40833</v>
      </c>
      <c r="K161" s="3" t="s">
        <v>1236</v>
      </c>
      <c r="L161" s="3" t="s">
        <v>43</v>
      </c>
      <c r="M161" s="3" t="s">
        <v>31</v>
      </c>
      <c r="N161" s="3" t="s">
        <v>92</v>
      </c>
      <c r="O161" s="3" t="s">
        <v>92</v>
      </c>
      <c r="P161" s="3" t="s">
        <v>1237</v>
      </c>
      <c r="Q161" s="3">
        <v>1429</v>
      </c>
      <c r="R161" s="3" t="s">
        <v>1238</v>
      </c>
      <c r="S161" s="3" t="s">
        <v>851</v>
      </c>
      <c r="T161" s="3" t="s">
        <v>1233</v>
      </c>
      <c r="U161" s="3">
        <v>1161649489</v>
      </c>
      <c r="V161" s="3">
        <v>1151576844</v>
      </c>
      <c r="X161" s="3" t="s">
        <v>49</v>
      </c>
      <c r="Y161" s="3" t="s">
        <v>1239</v>
      </c>
    </row>
    <row r="162" spans="1:46" ht="13.2" x14ac:dyDescent="0.25">
      <c r="A162" s="2">
        <v>46081.649138136578</v>
      </c>
      <c r="B162" s="3" t="b">
        <v>1</v>
      </c>
      <c r="C162" s="3" t="s">
        <v>1240</v>
      </c>
      <c r="D162" s="3" t="s">
        <v>180</v>
      </c>
      <c r="E162" s="3" t="s">
        <v>1241</v>
      </c>
      <c r="F162" s="3" t="s">
        <v>1242</v>
      </c>
      <c r="G162" s="3">
        <v>3829</v>
      </c>
      <c r="H162" s="3" t="s">
        <v>590</v>
      </c>
      <c r="I162" s="3">
        <v>55116063</v>
      </c>
      <c r="J162" s="4">
        <v>42298</v>
      </c>
      <c r="K162" s="3" t="s">
        <v>1240</v>
      </c>
      <c r="L162" s="3" t="s">
        <v>30</v>
      </c>
      <c r="M162" s="3" t="s">
        <v>76</v>
      </c>
      <c r="N162" s="3" t="s">
        <v>44</v>
      </c>
      <c r="O162" s="3" t="s">
        <v>664</v>
      </c>
      <c r="P162" s="3" t="s">
        <v>1243</v>
      </c>
      <c r="Q162" s="3">
        <v>1627</v>
      </c>
      <c r="R162" s="3" t="s">
        <v>1244</v>
      </c>
      <c r="S162" s="3" t="s">
        <v>1245</v>
      </c>
      <c r="T162" s="3" t="s">
        <v>1240</v>
      </c>
      <c r="U162" s="3">
        <v>2966562577</v>
      </c>
      <c r="V162" s="3">
        <v>2966562577</v>
      </c>
      <c r="W162" s="3">
        <v>2966504293</v>
      </c>
      <c r="X162" s="3" t="s">
        <v>1246</v>
      </c>
      <c r="Y162" s="3">
        <v>1740038302014</v>
      </c>
      <c r="Z162" s="3" t="s">
        <v>1241</v>
      </c>
      <c r="AA162" s="3" t="s">
        <v>1247</v>
      </c>
      <c r="AB162" s="3">
        <v>3829</v>
      </c>
      <c r="AC162" s="3" t="s">
        <v>590</v>
      </c>
      <c r="AD162" s="3">
        <v>55116063</v>
      </c>
      <c r="AE162" s="4">
        <v>42298</v>
      </c>
      <c r="AF162" s="3" t="s">
        <v>1240</v>
      </c>
      <c r="AG162" s="3" t="s">
        <v>30</v>
      </c>
      <c r="AH162" s="3" t="s">
        <v>76</v>
      </c>
      <c r="AI162" s="3" t="s">
        <v>361</v>
      </c>
      <c r="AJ162" s="3" t="s">
        <v>248</v>
      </c>
      <c r="AK162" s="3" t="s">
        <v>1248</v>
      </c>
      <c r="AL162" s="3">
        <v>1627</v>
      </c>
      <c r="AM162" s="3" t="s">
        <v>1244</v>
      </c>
      <c r="AN162" s="3" t="s">
        <v>1245</v>
      </c>
      <c r="AO162" s="3" t="s">
        <v>1240</v>
      </c>
      <c r="AP162" s="3">
        <v>2966562577</v>
      </c>
      <c r="AQ162" s="3">
        <v>2966504293</v>
      </c>
      <c r="AR162" s="3">
        <v>2966562577</v>
      </c>
      <c r="AS162" s="3" t="s">
        <v>1249</v>
      </c>
      <c r="AT162" s="3">
        <v>1740038302014</v>
      </c>
    </row>
    <row r="163" spans="1:46" ht="13.2" x14ac:dyDescent="0.25">
      <c r="A163" s="2">
        <v>46081.656027673613</v>
      </c>
      <c r="B163" s="3" t="b">
        <v>0</v>
      </c>
      <c r="C163" s="3" t="s">
        <v>927</v>
      </c>
      <c r="D163" s="3" t="s">
        <v>180</v>
      </c>
      <c r="E163" s="3" t="s">
        <v>928</v>
      </c>
      <c r="F163" s="3" t="s">
        <v>929</v>
      </c>
      <c r="G163" s="3">
        <v>3453</v>
      </c>
      <c r="H163" s="3" t="s">
        <v>326</v>
      </c>
      <c r="I163" s="3">
        <v>52007171</v>
      </c>
      <c r="J163" s="4">
        <v>40947</v>
      </c>
      <c r="K163" s="3" t="s">
        <v>927</v>
      </c>
      <c r="L163" s="3" t="s">
        <v>43</v>
      </c>
      <c r="M163" s="3" t="s">
        <v>31</v>
      </c>
      <c r="N163" s="3" t="s">
        <v>44</v>
      </c>
      <c r="O163" s="3" t="s">
        <v>931</v>
      </c>
      <c r="P163" s="3" t="s">
        <v>932</v>
      </c>
      <c r="Q163" s="3">
        <v>1900</v>
      </c>
      <c r="R163" s="3" t="s">
        <v>933</v>
      </c>
      <c r="S163" s="3" t="s">
        <v>934</v>
      </c>
      <c r="T163" s="3" t="s">
        <v>930</v>
      </c>
      <c r="U163" s="3">
        <v>2215051126</v>
      </c>
      <c r="V163" s="3">
        <v>2215406928</v>
      </c>
      <c r="X163" s="3" t="s">
        <v>306</v>
      </c>
      <c r="Y163" s="3">
        <v>128672281303</v>
      </c>
    </row>
    <row r="164" spans="1:46" ht="13.2" x14ac:dyDescent="0.25">
      <c r="A164" s="2">
        <v>46081.662809120375</v>
      </c>
      <c r="B164" s="3" t="b">
        <v>1</v>
      </c>
      <c r="C164" s="3" t="s">
        <v>1250</v>
      </c>
      <c r="D164" s="3" t="s">
        <v>180</v>
      </c>
      <c r="E164" s="3" t="s">
        <v>1251</v>
      </c>
      <c r="F164" s="3" t="s">
        <v>1252</v>
      </c>
      <c r="G164" s="3">
        <v>3562</v>
      </c>
      <c r="H164" s="3" t="s">
        <v>318</v>
      </c>
      <c r="I164" s="3">
        <v>54696546</v>
      </c>
      <c r="J164" s="4">
        <v>42061</v>
      </c>
      <c r="K164" s="3" t="s">
        <v>1253</v>
      </c>
      <c r="L164" s="3" t="s">
        <v>43</v>
      </c>
      <c r="M164" s="3" t="s">
        <v>76</v>
      </c>
      <c r="N164" s="3" t="s">
        <v>77</v>
      </c>
      <c r="O164" s="3" t="s">
        <v>591</v>
      </c>
      <c r="P164" s="3" t="s">
        <v>1254</v>
      </c>
      <c r="Q164" s="3">
        <v>1644</v>
      </c>
      <c r="R164" s="3" t="s">
        <v>1255</v>
      </c>
      <c r="S164" s="3" t="s">
        <v>1256</v>
      </c>
      <c r="T164" s="3" t="s">
        <v>1250</v>
      </c>
      <c r="U164" s="3">
        <v>1150479403</v>
      </c>
      <c r="V164" s="3">
        <v>1141693638</v>
      </c>
      <c r="W164" s="3">
        <v>1169103698</v>
      </c>
      <c r="X164" s="3" t="s">
        <v>115</v>
      </c>
      <c r="Y164" s="3">
        <v>61353746066</v>
      </c>
    </row>
    <row r="165" spans="1:46" ht="13.2" x14ac:dyDescent="0.25">
      <c r="A165" s="2">
        <v>46081.662831469905</v>
      </c>
      <c r="B165" s="3" t="b">
        <v>1</v>
      </c>
      <c r="C165" s="3" t="s">
        <v>1257</v>
      </c>
      <c r="D165" s="3" t="s">
        <v>180</v>
      </c>
      <c r="E165" s="3" t="s">
        <v>1258</v>
      </c>
      <c r="F165" s="3" t="s">
        <v>1259</v>
      </c>
      <c r="G165" s="3">
        <v>3712</v>
      </c>
      <c r="H165" s="3" t="s">
        <v>352</v>
      </c>
      <c r="I165" s="3">
        <v>55603538</v>
      </c>
      <c r="J165" s="4">
        <v>42467</v>
      </c>
      <c r="K165" s="3" t="s">
        <v>1260</v>
      </c>
      <c r="L165" s="3" t="s">
        <v>30</v>
      </c>
      <c r="M165" s="3" t="s">
        <v>31</v>
      </c>
      <c r="N165" s="3" t="s">
        <v>44</v>
      </c>
      <c r="O165" s="3" t="s">
        <v>901</v>
      </c>
      <c r="P165" s="3" t="s">
        <v>1261</v>
      </c>
      <c r="Q165" s="3">
        <v>1641</v>
      </c>
      <c r="R165" s="3" t="s">
        <v>337</v>
      </c>
      <c r="S165" s="3" t="s">
        <v>1262</v>
      </c>
      <c r="T165" s="3" t="s">
        <v>1257</v>
      </c>
      <c r="U165" s="3" t="s">
        <v>1263</v>
      </c>
      <c r="V165" s="3" t="s">
        <v>1263</v>
      </c>
      <c r="W165" s="3" t="s">
        <v>1264</v>
      </c>
      <c r="X165" s="3" t="s">
        <v>157</v>
      </c>
      <c r="Y165" s="3">
        <v>61621338603</v>
      </c>
    </row>
    <row r="166" spans="1:46" ht="13.2" x14ac:dyDescent="0.25">
      <c r="A166" s="2">
        <v>46081.679927685182</v>
      </c>
      <c r="B166" s="3" t="b">
        <v>1</v>
      </c>
      <c r="C166" s="3" t="s">
        <v>1265</v>
      </c>
      <c r="D166" s="3" t="s">
        <v>26</v>
      </c>
      <c r="E166" s="3" t="s">
        <v>884</v>
      </c>
      <c r="F166" s="3" t="s">
        <v>1266</v>
      </c>
      <c r="G166" s="3" t="s">
        <v>1267</v>
      </c>
      <c r="H166" s="3" t="s">
        <v>42</v>
      </c>
      <c r="I166" s="3">
        <v>53417016</v>
      </c>
      <c r="J166" s="4">
        <v>41536</v>
      </c>
      <c r="K166" s="3" t="s">
        <v>1268</v>
      </c>
      <c r="L166" s="3" t="s">
        <v>43</v>
      </c>
      <c r="M166" s="3" t="s">
        <v>31</v>
      </c>
      <c r="N166" s="3" t="s">
        <v>240</v>
      </c>
      <c r="O166" s="3" t="s">
        <v>45</v>
      </c>
      <c r="P166" s="3" t="s">
        <v>1269</v>
      </c>
      <c r="Q166" s="3">
        <v>2800</v>
      </c>
      <c r="R166" s="3" t="s">
        <v>1270</v>
      </c>
      <c r="S166" s="3" t="s">
        <v>1266</v>
      </c>
      <c r="T166" s="3" t="s">
        <v>1268</v>
      </c>
      <c r="U166" s="5" t="s">
        <v>1271</v>
      </c>
      <c r="V166" s="5" t="s">
        <v>1271</v>
      </c>
      <c r="X166" s="3" t="s">
        <v>514</v>
      </c>
      <c r="Y166" s="5" t="s">
        <v>1272</v>
      </c>
    </row>
    <row r="167" spans="1:46" ht="13.2" x14ac:dyDescent="0.25">
      <c r="A167" s="2">
        <v>46081.680233576393</v>
      </c>
      <c r="B167" s="3" t="b">
        <v>1</v>
      </c>
      <c r="C167" s="3" t="s">
        <v>1273</v>
      </c>
      <c r="D167" s="3" t="s">
        <v>358</v>
      </c>
      <c r="E167" s="3" t="s">
        <v>538</v>
      </c>
      <c r="F167" s="3" t="s">
        <v>1274</v>
      </c>
      <c r="G167" s="3">
        <v>220260</v>
      </c>
      <c r="H167" s="3" t="s">
        <v>1275</v>
      </c>
      <c r="I167" s="3">
        <v>47070205</v>
      </c>
      <c r="J167" s="4">
        <v>38723</v>
      </c>
      <c r="K167" s="3" t="s">
        <v>1273</v>
      </c>
      <c r="L167" s="3" t="s">
        <v>43</v>
      </c>
      <c r="M167" s="3" t="s">
        <v>31</v>
      </c>
      <c r="N167" s="3" t="s">
        <v>44</v>
      </c>
      <c r="O167" s="3" t="s">
        <v>200</v>
      </c>
      <c r="P167" s="3" t="s">
        <v>1276</v>
      </c>
      <c r="Q167" s="3">
        <v>1644</v>
      </c>
      <c r="V167" s="3" t="s">
        <v>1277</v>
      </c>
      <c r="X167" s="3" t="s">
        <v>157</v>
      </c>
      <c r="Y167" s="3" t="s">
        <v>1278</v>
      </c>
    </row>
    <row r="168" spans="1:46" ht="13.2" x14ac:dyDescent="0.25">
      <c r="A168" s="2">
        <v>46081.695617037039</v>
      </c>
      <c r="B168" s="3" t="b">
        <v>1</v>
      </c>
      <c r="C168" s="3" t="s">
        <v>1279</v>
      </c>
      <c r="D168" s="3" t="s">
        <v>26</v>
      </c>
      <c r="E168" s="3" t="s">
        <v>340</v>
      </c>
      <c r="F168" s="3" t="s">
        <v>1280</v>
      </c>
      <c r="G168" s="3" t="s">
        <v>1281</v>
      </c>
      <c r="H168" s="3" t="s">
        <v>74</v>
      </c>
      <c r="I168" s="3">
        <v>52857832</v>
      </c>
      <c r="J168" s="4">
        <v>41240</v>
      </c>
      <c r="K168" s="3" t="s">
        <v>1279</v>
      </c>
      <c r="L168" s="3" t="s">
        <v>43</v>
      </c>
      <c r="M168" s="3" t="s">
        <v>31</v>
      </c>
      <c r="N168" s="3" t="s">
        <v>44</v>
      </c>
      <c r="O168" s="3" t="s">
        <v>92</v>
      </c>
      <c r="P168" s="3" t="s">
        <v>1282</v>
      </c>
      <c r="Q168" s="3">
        <v>1107</v>
      </c>
      <c r="R168" s="3" t="s">
        <v>1283</v>
      </c>
      <c r="S168" s="3" t="s">
        <v>1284</v>
      </c>
      <c r="T168" s="3" t="s">
        <v>1279</v>
      </c>
      <c r="U168" s="3">
        <v>1128385728</v>
      </c>
      <c r="V168" s="3">
        <v>1128385728</v>
      </c>
      <c r="X168" s="3" t="s">
        <v>849</v>
      </c>
      <c r="Y168" s="3">
        <v>61049639404</v>
      </c>
    </row>
    <row r="169" spans="1:46" ht="13.2" x14ac:dyDescent="0.25">
      <c r="A169" s="2">
        <v>46081.740614502312</v>
      </c>
      <c r="B169" s="3" t="b">
        <v>1</v>
      </c>
      <c r="C169" s="3" t="s">
        <v>1285</v>
      </c>
      <c r="D169" s="3" t="s">
        <v>26</v>
      </c>
      <c r="E169" s="3" t="s">
        <v>1286</v>
      </c>
      <c r="F169" s="3" t="s">
        <v>1287</v>
      </c>
      <c r="G169" s="3">
        <v>4047</v>
      </c>
      <c r="H169" s="3" t="s">
        <v>54</v>
      </c>
      <c r="I169" s="3">
        <v>51157369</v>
      </c>
      <c r="J169" s="4">
        <v>40725</v>
      </c>
      <c r="K169" s="3" t="s">
        <v>1285</v>
      </c>
      <c r="L169" s="3" t="s">
        <v>43</v>
      </c>
      <c r="M169" s="3" t="s">
        <v>31</v>
      </c>
      <c r="N169" s="3" t="s">
        <v>285</v>
      </c>
      <c r="O169" s="3" t="s">
        <v>1288</v>
      </c>
      <c r="P169" s="3" t="s">
        <v>1289</v>
      </c>
      <c r="Q169" s="3">
        <v>1707</v>
      </c>
      <c r="R169" s="3" t="s">
        <v>1290</v>
      </c>
      <c r="S169" s="3" t="s">
        <v>1291</v>
      </c>
      <c r="T169" s="3" t="s">
        <v>1285</v>
      </c>
      <c r="U169" s="3">
        <v>1159763843</v>
      </c>
      <c r="V169" s="3">
        <v>1151261100</v>
      </c>
      <c r="W169" s="3">
        <v>1159763843</v>
      </c>
      <c r="X169" s="3" t="s">
        <v>794</v>
      </c>
      <c r="Y169" s="3">
        <v>61295759304</v>
      </c>
    </row>
    <row r="170" spans="1:46" ht="13.2" x14ac:dyDescent="0.25">
      <c r="A170" s="2">
        <v>46081.742355289352</v>
      </c>
      <c r="B170" s="3" t="b">
        <v>1</v>
      </c>
      <c r="C170" s="3" t="s">
        <v>1292</v>
      </c>
      <c r="D170" s="3" t="s">
        <v>358</v>
      </c>
      <c r="E170" s="3" t="s">
        <v>1293</v>
      </c>
      <c r="F170" s="3" t="s">
        <v>1294</v>
      </c>
      <c r="G170" s="3">
        <v>219921</v>
      </c>
      <c r="H170" s="3" t="s">
        <v>352</v>
      </c>
      <c r="I170" s="3">
        <v>49600281</v>
      </c>
      <c r="J170" s="4">
        <v>39949</v>
      </c>
      <c r="K170" s="3" t="s">
        <v>1295</v>
      </c>
      <c r="L170" s="3" t="s">
        <v>43</v>
      </c>
      <c r="M170" s="3" t="s">
        <v>31</v>
      </c>
      <c r="N170" s="3" t="s">
        <v>240</v>
      </c>
      <c r="O170" s="3" t="s">
        <v>172</v>
      </c>
      <c r="P170" s="3" t="s">
        <v>1296</v>
      </c>
      <c r="Q170" s="3">
        <v>1642</v>
      </c>
      <c r="R170" s="3" t="s">
        <v>1297</v>
      </c>
      <c r="S170" s="3" t="s">
        <v>1298</v>
      </c>
      <c r="T170" s="3" t="s">
        <v>1299</v>
      </c>
      <c r="U170" s="3">
        <v>1164145042</v>
      </c>
      <c r="V170" s="3">
        <v>1164145042</v>
      </c>
      <c r="W170" s="3">
        <v>1164145028</v>
      </c>
      <c r="X170" s="3" t="s">
        <v>115</v>
      </c>
      <c r="Y170" s="3">
        <v>61326794903</v>
      </c>
    </row>
    <row r="171" spans="1:46" ht="13.2" x14ac:dyDescent="0.25">
      <c r="A171" s="2">
        <v>46081.743285671299</v>
      </c>
      <c r="B171" s="3" t="b">
        <v>1</v>
      </c>
      <c r="C171" s="3" t="s">
        <v>1285</v>
      </c>
      <c r="D171" s="3" t="s">
        <v>26</v>
      </c>
      <c r="E171" s="3" t="s">
        <v>1300</v>
      </c>
      <c r="F171" s="3" t="s">
        <v>1287</v>
      </c>
      <c r="G171" s="3">
        <v>4166</v>
      </c>
      <c r="H171" s="3" t="s">
        <v>54</v>
      </c>
      <c r="I171" s="3">
        <v>54055585</v>
      </c>
      <c r="J171" s="4">
        <v>41801</v>
      </c>
      <c r="K171" s="3" t="s">
        <v>1285</v>
      </c>
      <c r="L171" s="3" t="s">
        <v>43</v>
      </c>
      <c r="M171" s="3" t="s">
        <v>31</v>
      </c>
      <c r="N171" s="3" t="s">
        <v>44</v>
      </c>
      <c r="O171" s="3" t="s">
        <v>1301</v>
      </c>
      <c r="P171" s="3" t="s">
        <v>1302</v>
      </c>
      <c r="Q171" s="3">
        <v>1707</v>
      </c>
      <c r="R171" s="3" t="s">
        <v>1303</v>
      </c>
      <c r="S171" s="3" t="s">
        <v>1291</v>
      </c>
      <c r="T171" s="3" t="s">
        <v>1285</v>
      </c>
      <c r="U171" s="3">
        <v>1159763843</v>
      </c>
      <c r="V171" s="3">
        <v>1151261100</v>
      </c>
      <c r="W171" s="3">
        <v>1159763843</v>
      </c>
      <c r="X171" s="3" t="s">
        <v>140</v>
      </c>
      <c r="Y171" s="3">
        <v>61295</v>
      </c>
    </row>
    <row r="172" spans="1:46" ht="13.2" x14ac:dyDescent="0.25">
      <c r="A172" s="2">
        <v>46081.747851747685</v>
      </c>
      <c r="B172" s="3" t="b">
        <v>1</v>
      </c>
      <c r="C172" s="3" t="s">
        <v>1304</v>
      </c>
      <c r="D172" s="3" t="s">
        <v>180</v>
      </c>
      <c r="E172" s="3" t="s">
        <v>482</v>
      </c>
      <c r="F172" s="3" t="s">
        <v>1305</v>
      </c>
      <c r="G172" s="3">
        <v>2905</v>
      </c>
      <c r="H172" s="3" t="s">
        <v>318</v>
      </c>
      <c r="I172" s="3">
        <v>54188505</v>
      </c>
      <c r="J172" s="4">
        <v>41856</v>
      </c>
      <c r="K172" s="3" t="s">
        <v>1306</v>
      </c>
      <c r="L172" s="3" t="s">
        <v>30</v>
      </c>
      <c r="M172" s="3" t="s">
        <v>76</v>
      </c>
      <c r="N172" s="3" t="s">
        <v>142</v>
      </c>
      <c r="O172" s="3" t="s">
        <v>142</v>
      </c>
      <c r="P172" s="3" t="s">
        <v>1307</v>
      </c>
      <c r="Q172" s="3">
        <v>1416</v>
      </c>
      <c r="R172" s="3" t="s">
        <v>454</v>
      </c>
      <c r="S172" s="3" t="s">
        <v>1305</v>
      </c>
      <c r="T172" s="3" t="s">
        <v>1306</v>
      </c>
      <c r="U172" s="3">
        <v>1148898749</v>
      </c>
      <c r="V172" s="3" t="s">
        <v>1308</v>
      </c>
      <c r="W172" s="3" t="s">
        <v>1309</v>
      </c>
      <c r="X172" s="3" t="s">
        <v>1310</v>
      </c>
      <c r="Y172" s="3" t="s">
        <v>1311</v>
      </c>
    </row>
    <row r="173" spans="1:46" ht="13.2" x14ac:dyDescent="0.25">
      <c r="A173" s="2">
        <v>46081.758770740737</v>
      </c>
      <c r="B173" s="3" t="b">
        <v>0</v>
      </c>
      <c r="C173" s="3" t="s">
        <v>1312</v>
      </c>
      <c r="D173" s="3" t="s">
        <v>26</v>
      </c>
      <c r="E173" s="3" t="s">
        <v>889</v>
      </c>
      <c r="F173" s="3" t="s">
        <v>1313</v>
      </c>
      <c r="G173" s="3">
        <v>4271</v>
      </c>
      <c r="H173" s="3" t="s">
        <v>352</v>
      </c>
      <c r="I173" s="3">
        <v>53878557</v>
      </c>
      <c r="J173" s="4">
        <v>41728</v>
      </c>
      <c r="K173" s="3" t="s">
        <v>1312</v>
      </c>
      <c r="L173" s="3" t="s">
        <v>43</v>
      </c>
      <c r="M173" s="3" t="s">
        <v>31</v>
      </c>
      <c r="N173" s="3" t="s">
        <v>285</v>
      </c>
      <c r="O173" s="3" t="s">
        <v>1314</v>
      </c>
      <c r="P173" s="3" t="s">
        <v>1315</v>
      </c>
      <c r="Q173" s="3">
        <v>1617</v>
      </c>
      <c r="R173" s="3" t="s">
        <v>1316</v>
      </c>
      <c r="S173" s="3" t="s">
        <v>1313</v>
      </c>
      <c r="T173" s="3" t="s">
        <v>1312</v>
      </c>
      <c r="V173" s="3">
        <v>1541773095</v>
      </c>
      <c r="X173" s="3" t="s">
        <v>187</v>
      </c>
      <c r="Y173" s="3" t="s">
        <v>1317</v>
      </c>
    </row>
    <row r="174" spans="1:46" ht="13.2" x14ac:dyDescent="0.25">
      <c r="A174" s="2">
        <v>46081.759973888889</v>
      </c>
      <c r="B174" s="3" t="b">
        <v>1</v>
      </c>
      <c r="C174" s="3" t="s">
        <v>1292</v>
      </c>
      <c r="D174" s="3" t="s">
        <v>26</v>
      </c>
      <c r="E174" s="3" t="s">
        <v>1318</v>
      </c>
      <c r="F174" s="3" t="s">
        <v>1319</v>
      </c>
      <c r="G174" s="3">
        <v>4036</v>
      </c>
      <c r="H174" s="3" t="s">
        <v>352</v>
      </c>
      <c r="I174" s="3">
        <v>51400212</v>
      </c>
      <c r="J174" s="4">
        <v>40799</v>
      </c>
      <c r="K174" s="3" t="s">
        <v>1320</v>
      </c>
      <c r="L174" s="3" t="s">
        <v>43</v>
      </c>
      <c r="M174" s="3" t="s">
        <v>76</v>
      </c>
      <c r="N174" s="3" t="s">
        <v>240</v>
      </c>
      <c r="O174" s="3" t="s">
        <v>172</v>
      </c>
      <c r="P174" s="3" t="s">
        <v>1296</v>
      </c>
      <c r="Q174" s="3">
        <v>1642</v>
      </c>
      <c r="R174" s="3" t="s">
        <v>914</v>
      </c>
      <c r="S174" s="3" t="s">
        <v>1321</v>
      </c>
      <c r="T174" s="3" t="s">
        <v>1322</v>
      </c>
      <c r="U174" s="3">
        <v>1164145028</v>
      </c>
      <c r="V174" s="3">
        <v>1164145042</v>
      </c>
      <c r="W174" s="3">
        <v>1164145028</v>
      </c>
      <c r="X174" s="3" t="s">
        <v>115</v>
      </c>
      <c r="Y174" s="3">
        <v>189026882</v>
      </c>
    </row>
    <row r="175" spans="1:46" ht="13.2" x14ac:dyDescent="0.25">
      <c r="A175" s="2">
        <v>46081.764160856481</v>
      </c>
      <c r="B175" s="3" t="b">
        <v>1</v>
      </c>
      <c r="C175" s="3" t="s">
        <v>1323</v>
      </c>
      <c r="D175" s="3" t="s">
        <v>358</v>
      </c>
      <c r="E175" s="3" t="s">
        <v>1324</v>
      </c>
      <c r="F175" s="3" t="s">
        <v>451</v>
      </c>
      <c r="G175" s="3">
        <v>224587</v>
      </c>
      <c r="H175" s="3" t="s">
        <v>1325</v>
      </c>
      <c r="I175" s="3">
        <v>49422694</v>
      </c>
      <c r="J175" s="4">
        <v>40127</v>
      </c>
      <c r="K175" s="3" t="s">
        <v>1323</v>
      </c>
      <c r="L175" s="3" t="s">
        <v>43</v>
      </c>
      <c r="M175" s="3" t="s">
        <v>415</v>
      </c>
      <c r="N175" s="3" t="s">
        <v>285</v>
      </c>
      <c r="O175" s="3" t="s">
        <v>1326</v>
      </c>
      <c r="P175" s="3" t="s">
        <v>1327</v>
      </c>
      <c r="Q175" s="3">
        <v>1641</v>
      </c>
      <c r="R175" s="3" t="s">
        <v>153</v>
      </c>
      <c r="S175" s="3" t="s">
        <v>1328</v>
      </c>
      <c r="T175" s="3" t="s">
        <v>1329</v>
      </c>
      <c r="U175" s="3" t="s">
        <v>1330</v>
      </c>
      <c r="V175" s="3" t="s">
        <v>1330</v>
      </c>
      <c r="X175" s="3" t="s">
        <v>140</v>
      </c>
      <c r="Y175" s="3">
        <v>60869896104</v>
      </c>
    </row>
    <row r="176" spans="1:46" ht="13.2" x14ac:dyDescent="0.25">
      <c r="A176" s="2">
        <v>46081.801082754631</v>
      </c>
      <c r="B176" s="3" t="b">
        <v>1</v>
      </c>
      <c r="C176" s="3" t="s">
        <v>1331</v>
      </c>
      <c r="D176" s="3" t="s">
        <v>358</v>
      </c>
      <c r="E176" s="3" t="s">
        <v>1332</v>
      </c>
      <c r="F176" s="3" t="s">
        <v>1333</v>
      </c>
      <c r="G176" s="3">
        <v>205491</v>
      </c>
      <c r="H176" s="3" t="s">
        <v>74</v>
      </c>
      <c r="I176" s="3">
        <v>43992484</v>
      </c>
      <c r="J176" s="4">
        <v>37411</v>
      </c>
      <c r="K176" s="3" t="s">
        <v>1331</v>
      </c>
      <c r="L176" s="3" t="s">
        <v>43</v>
      </c>
      <c r="M176" s="3" t="s">
        <v>415</v>
      </c>
      <c r="N176" s="3" t="s">
        <v>92</v>
      </c>
      <c r="O176" s="3" t="s">
        <v>92</v>
      </c>
      <c r="P176" s="3" t="s">
        <v>1334</v>
      </c>
      <c r="Q176" s="3">
        <v>1428</v>
      </c>
      <c r="V176" s="3">
        <v>1161032754</v>
      </c>
      <c r="X176" s="3" t="s">
        <v>1335</v>
      </c>
      <c r="Y176" s="5" t="s">
        <v>1336</v>
      </c>
    </row>
    <row r="177" spans="1:46" ht="13.2" x14ac:dyDescent="0.25">
      <c r="A177" s="2">
        <v>46081.8037047338</v>
      </c>
      <c r="B177" s="3" t="b">
        <v>1</v>
      </c>
      <c r="C177" s="3" t="s">
        <v>1337</v>
      </c>
      <c r="D177" s="3" t="s">
        <v>180</v>
      </c>
      <c r="E177" s="3" t="s">
        <v>1338</v>
      </c>
      <c r="F177" s="3" t="s">
        <v>1339</v>
      </c>
      <c r="G177" s="3">
        <v>4056</v>
      </c>
      <c r="H177" s="3" t="s">
        <v>318</v>
      </c>
      <c r="I177" s="3">
        <v>54520706</v>
      </c>
      <c r="J177" s="4">
        <v>42012</v>
      </c>
      <c r="K177" s="3" t="s">
        <v>1340</v>
      </c>
      <c r="L177" s="3" t="s">
        <v>43</v>
      </c>
      <c r="M177" s="3" t="s">
        <v>31</v>
      </c>
      <c r="N177" s="3" t="s">
        <v>44</v>
      </c>
      <c r="O177" s="3" t="s">
        <v>200</v>
      </c>
      <c r="P177" s="3" t="s">
        <v>1341</v>
      </c>
      <c r="Q177" s="3">
        <v>1644</v>
      </c>
      <c r="R177" s="3" t="s">
        <v>1342</v>
      </c>
      <c r="S177" s="3" t="s">
        <v>1343</v>
      </c>
      <c r="T177" s="3" t="s">
        <v>1337</v>
      </c>
      <c r="U177" s="3">
        <v>115927873</v>
      </c>
      <c r="V177" s="3">
        <v>1153275636</v>
      </c>
      <c r="W177" s="3">
        <v>1159278173</v>
      </c>
      <c r="X177" s="3" t="s">
        <v>115</v>
      </c>
      <c r="Y177" s="3">
        <v>61790187104</v>
      </c>
    </row>
    <row r="178" spans="1:46" ht="13.2" x14ac:dyDescent="0.25">
      <c r="A178" s="2">
        <v>46081.807273171296</v>
      </c>
      <c r="B178" s="3" t="b">
        <v>1</v>
      </c>
      <c r="C178" s="3" t="s">
        <v>1337</v>
      </c>
      <c r="D178" s="3" t="s">
        <v>26</v>
      </c>
      <c r="E178" s="3" t="s">
        <v>1344</v>
      </c>
      <c r="F178" s="3" t="s">
        <v>1339</v>
      </c>
      <c r="G178" s="3">
        <v>4133</v>
      </c>
      <c r="H178" s="3" t="s">
        <v>318</v>
      </c>
      <c r="I178" s="3">
        <v>51431844</v>
      </c>
      <c r="J178" s="4">
        <v>40828</v>
      </c>
      <c r="K178" s="3" t="s">
        <v>1340</v>
      </c>
      <c r="L178" s="3" t="s">
        <v>43</v>
      </c>
      <c r="M178" s="3" t="s">
        <v>76</v>
      </c>
      <c r="N178" s="3" t="s">
        <v>44</v>
      </c>
      <c r="O178" s="3" t="s">
        <v>200</v>
      </c>
      <c r="P178" s="3" t="s">
        <v>1341</v>
      </c>
      <c r="Q178" s="3">
        <v>1644</v>
      </c>
      <c r="R178" s="3" t="s">
        <v>1345</v>
      </c>
      <c r="S178" s="3" t="s">
        <v>1343</v>
      </c>
      <c r="T178" s="3" t="s">
        <v>1337</v>
      </c>
      <c r="U178" s="3">
        <v>1159278173</v>
      </c>
      <c r="V178" s="3">
        <v>1153275637</v>
      </c>
      <c r="W178" s="3">
        <v>1159278173</v>
      </c>
      <c r="X178" s="3" t="s">
        <v>115</v>
      </c>
      <c r="Y178" s="3">
        <v>61790187102</v>
      </c>
    </row>
    <row r="179" spans="1:46" ht="13.2" x14ac:dyDescent="0.25">
      <c r="A179" s="2">
        <v>46081.830890694444</v>
      </c>
      <c r="B179" s="3" t="b">
        <v>0</v>
      </c>
      <c r="C179" s="3" t="s">
        <v>1346</v>
      </c>
      <c r="D179" s="3" t="s">
        <v>26</v>
      </c>
      <c r="E179" s="3" t="s">
        <v>1347</v>
      </c>
      <c r="F179" s="3" t="s">
        <v>1348</v>
      </c>
      <c r="G179" s="3">
        <v>3913</v>
      </c>
      <c r="H179" s="3" t="s">
        <v>452</v>
      </c>
      <c r="I179" s="3">
        <v>52700380</v>
      </c>
      <c r="J179" s="4">
        <v>41089</v>
      </c>
      <c r="K179" s="3" t="s">
        <v>1349</v>
      </c>
      <c r="L179" s="3" t="s">
        <v>43</v>
      </c>
      <c r="M179" s="3" t="s">
        <v>31</v>
      </c>
      <c r="N179" s="3" t="s">
        <v>91</v>
      </c>
      <c r="O179" s="3" t="s">
        <v>791</v>
      </c>
      <c r="P179" s="3" t="s">
        <v>1350</v>
      </c>
      <c r="Q179" s="3">
        <v>1646</v>
      </c>
      <c r="R179" s="3" t="s">
        <v>1351</v>
      </c>
      <c r="S179" s="3" t="s">
        <v>1352</v>
      </c>
      <c r="T179" s="3" t="s">
        <v>1353</v>
      </c>
      <c r="U179" s="3">
        <v>1155992233</v>
      </c>
      <c r="V179" s="3">
        <v>1254565555</v>
      </c>
      <c r="W179" s="3">
        <v>1155992222</v>
      </c>
      <c r="X179" s="3" t="s">
        <v>1354</v>
      </c>
      <c r="Y179" s="3" t="s">
        <v>1355</v>
      </c>
    </row>
    <row r="180" spans="1:46" ht="13.2" x14ac:dyDescent="0.25">
      <c r="A180" s="2">
        <v>46081.846075219903</v>
      </c>
      <c r="B180" s="3" t="b">
        <v>1</v>
      </c>
      <c r="C180" s="3" t="s">
        <v>1356</v>
      </c>
      <c r="D180" s="3" t="s">
        <v>358</v>
      </c>
      <c r="E180" s="3" t="s">
        <v>1357</v>
      </c>
      <c r="F180" s="3" t="s">
        <v>1358</v>
      </c>
      <c r="G180" s="3">
        <v>222880</v>
      </c>
      <c r="H180" s="3" t="s">
        <v>352</v>
      </c>
      <c r="I180" s="3">
        <v>17850833</v>
      </c>
      <c r="J180" s="4">
        <v>24720</v>
      </c>
      <c r="K180" s="3" t="s">
        <v>1359</v>
      </c>
      <c r="L180" s="3" t="s">
        <v>43</v>
      </c>
      <c r="M180" s="3" t="s">
        <v>76</v>
      </c>
      <c r="N180" s="3" t="s">
        <v>44</v>
      </c>
      <c r="O180" s="3" t="s">
        <v>102</v>
      </c>
      <c r="P180" s="3" t="s">
        <v>1360</v>
      </c>
      <c r="Q180" s="3">
        <v>1642</v>
      </c>
      <c r="V180" s="5" t="s">
        <v>1361</v>
      </c>
      <c r="X180" s="3" t="s">
        <v>115</v>
      </c>
      <c r="Y180" s="3">
        <v>60902796301</v>
      </c>
    </row>
    <row r="181" spans="1:46" ht="13.2" x14ac:dyDescent="0.25">
      <c r="A181" s="2">
        <v>46081.853666782408</v>
      </c>
      <c r="B181" s="3" t="b">
        <v>1</v>
      </c>
      <c r="C181" s="3" t="s">
        <v>1362</v>
      </c>
      <c r="D181" s="3" t="s">
        <v>26</v>
      </c>
      <c r="E181" s="3" t="s">
        <v>1363</v>
      </c>
      <c r="F181" s="3" t="s">
        <v>1364</v>
      </c>
      <c r="G181" s="3">
        <v>3458</v>
      </c>
      <c r="H181" s="3" t="s">
        <v>74</v>
      </c>
      <c r="I181" s="3">
        <v>53208064</v>
      </c>
      <c r="J181" s="4">
        <v>41417</v>
      </c>
      <c r="K181" s="3" t="s">
        <v>1362</v>
      </c>
      <c r="L181" s="3" t="s">
        <v>30</v>
      </c>
      <c r="M181" s="3" t="s">
        <v>31</v>
      </c>
      <c r="N181" s="3" t="s">
        <v>44</v>
      </c>
      <c r="O181" s="3" t="s">
        <v>1365</v>
      </c>
      <c r="P181" s="3" t="s">
        <v>1366</v>
      </c>
      <c r="Q181" s="3">
        <v>2804</v>
      </c>
      <c r="R181" s="3" t="s">
        <v>1367</v>
      </c>
      <c r="S181" s="3" t="s">
        <v>1368</v>
      </c>
      <c r="T181" s="3" t="s">
        <v>1362</v>
      </c>
      <c r="U181" s="3">
        <v>1155026751</v>
      </c>
      <c r="V181" s="3">
        <v>1155026751</v>
      </c>
      <c r="W181" s="3">
        <v>1151405968</v>
      </c>
      <c r="X181" s="3" t="s">
        <v>1369</v>
      </c>
      <c r="Y181" s="3">
        <v>1933374902</v>
      </c>
    </row>
    <row r="182" spans="1:46" ht="13.2" x14ac:dyDescent="0.25">
      <c r="A182" s="2">
        <v>46081.870968483796</v>
      </c>
      <c r="B182" s="3" t="b">
        <v>1</v>
      </c>
      <c r="C182" s="3" t="s">
        <v>1370</v>
      </c>
      <c r="D182" s="3" t="s">
        <v>180</v>
      </c>
      <c r="E182" s="3" t="s">
        <v>281</v>
      </c>
      <c r="F182" s="3" t="s">
        <v>1371</v>
      </c>
      <c r="G182" s="3">
        <v>3816</v>
      </c>
      <c r="H182" s="3" t="s">
        <v>352</v>
      </c>
      <c r="I182" s="3">
        <v>55823400</v>
      </c>
      <c r="J182" s="4">
        <v>42636</v>
      </c>
      <c r="K182" s="3" t="s">
        <v>1370</v>
      </c>
      <c r="L182" s="3" t="s">
        <v>30</v>
      </c>
      <c r="M182" s="3" t="s">
        <v>31</v>
      </c>
      <c r="N182" s="3" t="s">
        <v>240</v>
      </c>
      <c r="O182" s="3" t="s">
        <v>172</v>
      </c>
      <c r="P182" s="3" t="s">
        <v>1372</v>
      </c>
      <c r="Q182" s="3">
        <v>1641</v>
      </c>
      <c r="R182" s="3" t="s">
        <v>1373</v>
      </c>
      <c r="S182" s="3" t="s">
        <v>1374</v>
      </c>
      <c r="T182" s="3" t="s">
        <v>1370</v>
      </c>
      <c r="U182" s="3">
        <v>1140930786</v>
      </c>
      <c r="V182" s="3">
        <v>1139449325</v>
      </c>
      <c r="X182" s="3" t="s">
        <v>115</v>
      </c>
      <c r="Y182" s="3">
        <v>61584929503</v>
      </c>
    </row>
    <row r="183" spans="1:46" ht="13.2" x14ac:dyDescent="0.25">
      <c r="A183" s="2">
        <v>46081.889644201394</v>
      </c>
      <c r="B183" s="3" t="b">
        <v>1</v>
      </c>
      <c r="C183" s="3" t="s">
        <v>1375</v>
      </c>
      <c r="D183" s="3" t="s">
        <v>497</v>
      </c>
      <c r="E183" s="3" t="s">
        <v>1376</v>
      </c>
      <c r="F183" s="3" t="s">
        <v>325</v>
      </c>
      <c r="G183" s="3">
        <v>221267</v>
      </c>
      <c r="H183" s="3" t="s">
        <v>326</v>
      </c>
      <c r="I183" s="3">
        <v>48922460</v>
      </c>
      <c r="J183" s="4">
        <v>39692</v>
      </c>
      <c r="K183" s="3" t="s">
        <v>1375</v>
      </c>
      <c r="L183" s="3" t="s">
        <v>30</v>
      </c>
      <c r="M183" s="3" t="s">
        <v>31</v>
      </c>
      <c r="N183" s="3" t="s">
        <v>285</v>
      </c>
      <c r="O183" s="3" t="s">
        <v>737</v>
      </c>
      <c r="P183" s="3" t="s">
        <v>1377</v>
      </c>
      <c r="Q183" s="3">
        <v>1900</v>
      </c>
      <c r="R183" s="3" t="s">
        <v>1378</v>
      </c>
      <c r="S183" s="3" t="s">
        <v>325</v>
      </c>
      <c r="T183" s="3" t="s">
        <v>323</v>
      </c>
      <c r="U183" s="3">
        <v>2213573333</v>
      </c>
      <c r="V183" s="3" t="s">
        <v>1379</v>
      </c>
      <c r="W183" s="3" t="s">
        <v>1380</v>
      </c>
      <c r="X183" s="3" t="s">
        <v>106</v>
      </c>
      <c r="Y183" s="3" t="s">
        <v>1381</v>
      </c>
    </row>
    <row r="184" spans="1:46" ht="13.2" x14ac:dyDescent="0.25">
      <c r="A184" s="2">
        <v>46081.898783923607</v>
      </c>
      <c r="B184" s="3" t="b">
        <v>1</v>
      </c>
      <c r="C184" s="3" t="s">
        <v>1382</v>
      </c>
      <c r="D184" s="3" t="s">
        <v>358</v>
      </c>
      <c r="E184" s="3" t="s">
        <v>1383</v>
      </c>
      <c r="F184" s="3" t="s">
        <v>1384</v>
      </c>
      <c r="G184" s="3" t="s">
        <v>1385</v>
      </c>
      <c r="H184" s="3" t="s">
        <v>318</v>
      </c>
      <c r="I184" s="3">
        <v>52092349</v>
      </c>
      <c r="J184" s="4">
        <v>40893</v>
      </c>
      <c r="K184" s="3" t="s">
        <v>1382</v>
      </c>
      <c r="L184" s="3" t="s">
        <v>43</v>
      </c>
      <c r="M184" s="3" t="s">
        <v>31</v>
      </c>
      <c r="N184" s="3" t="s">
        <v>44</v>
      </c>
      <c r="O184" s="3" t="s">
        <v>92</v>
      </c>
      <c r="P184" s="3" t="s">
        <v>1386</v>
      </c>
      <c r="Q184" s="3">
        <v>1429</v>
      </c>
      <c r="R184" s="3" t="s">
        <v>1387</v>
      </c>
      <c r="S184" s="3" t="s">
        <v>1388</v>
      </c>
      <c r="T184" s="3" t="s">
        <v>1389</v>
      </c>
      <c r="U184" s="3" t="s">
        <v>1390</v>
      </c>
      <c r="V184" s="3" t="s">
        <v>1391</v>
      </c>
      <c r="X184" s="3" t="s">
        <v>1392</v>
      </c>
      <c r="Y184" s="3">
        <v>52092349</v>
      </c>
    </row>
    <row r="185" spans="1:46" ht="13.2" x14ac:dyDescent="0.25">
      <c r="A185" s="2">
        <v>46081.92319050926</v>
      </c>
      <c r="B185" s="3" t="b">
        <v>1</v>
      </c>
      <c r="C185" s="3" t="s">
        <v>1393</v>
      </c>
      <c r="D185" s="3" t="s">
        <v>26</v>
      </c>
      <c r="E185" s="3" t="s">
        <v>63</v>
      </c>
      <c r="F185" s="3" t="s">
        <v>1394</v>
      </c>
      <c r="G185" s="3">
        <v>4025</v>
      </c>
      <c r="H185" s="3" t="s">
        <v>1395</v>
      </c>
      <c r="I185" s="3">
        <v>52756455</v>
      </c>
      <c r="J185" s="4">
        <v>41152</v>
      </c>
      <c r="K185" s="3" t="s">
        <v>1393</v>
      </c>
      <c r="L185" s="3" t="s">
        <v>30</v>
      </c>
      <c r="M185" s="3" t="s">
        <v>31</v>
      </c>
      <c r="N185" s="3" t="s">
        <v>32</v>
      </c>
      <c r="O185" s="3" t="s">
        <v>33</v>
      </c>
      <c r="P185" s="3" t="s">
        <v>1396</v>
      </c>
      <c r="Q185" s="3">
        <v>2000</v>
      </c>
      <c r="R185" s="3" t="s">
        <v>1397</v>
      </c>
      <c r="S185" s="3" t="s">
        <v>1398</v>
      </c>
      <c r="T185" s="3" t="s">
        <v>1393</v>
      </c>
      <c r="U185" s="3">
        <v>2416215746</v>
      </c>
      <c r="V185" s="3">
        <v>4351111</v>
      </c>
      <c r="X185" s="3" t="s">
        <v>140</v>
      </c>
      <c r="Y185" s="3">
        <v>2323010000000</v>
      </c>
    </row>
    <row r="186" spans="1:46" ht="13.2" x14ac:dyDescent="0.25">
      <c r="A186" s="2">
        <v>46081.936329629629</v>
      </c>
      <c r="B186" s="3" t="b">
        <v>0</v>
      </c>
      <c r="C186" s="3" t="s">
        <v>1399</v>
      </c>
      <c r="D186" s="3" t="s">
        <v>26</v>
      </c>
      <c r="E186" s="3" t="s">
        <v>1300</v>
      </c>
      <c r="F186" s="3" t="s">
        <v>1400</v>
      </c>
      <c r="G186" s="3">
        <v>3935</v>
      </c>
      <c r="H186" s="3" t="s">
        <v>1401</v>
      </c>
      <c r="I186" s="3">
        <v>51505113</v>
      </c>
      <c r="J186" s="4">
        <v>40852</v>
      </c>
      <c r="K186" s="3" t="s">
        <v>1402</v>
      </c>
      <c r="L186" s="3" t="s">
        <v>43</v>
      </c>
      <c r="M186" s="3" t="s">
        <v>76</v>
      </c>
      <c r="N186" s="3" t="s">
        <v>540</v>
      </c>
      <c r="O186" s="3" t="s">
        <v>33</v>
      </c>
      <c r="P186" s="3" t="s">
        <v>1403</v>
      </c>
      <c r="Q186" s="3">
        <v>2000</v>
      </c>
      <c r="R186" s="3" t="s">
        <v>1404</v>
      </c>
      <c r="S186" s="3" t="s">
        <v>1405</v>
      </c>
      <c r="T186" s="3" t="s">
        <v>1406</v>
      </c>
      <c r="U186" s="3">
        <v>3413748343</v>
      </c>
      <c r="V186" s="3">
        <v>3416581919</v>
      </c>
      <c r="X186" s="3" t="s">
        <v>1407</v>
      </c>
      <c r="Y186" s="3" t="s">
        <v>1408</v>
      </c>
      <c r="Z186" s="3" t="s">
        <v>1409</v>
      </c>
      <c r="AA186" s="3" t="s">
        <v>1400</v>
      </c>
      <c r="AB186" s="3">
        <v>3935</v>
      </c>
      <c r="AC186" s="3" t="s">
        <v>1401</v>
      </c>
      <c r="AD186" s="3">
        <v>51505113</v>
      </c>
      <c r="AE186" s="4">
        <v>40852</v>
      </c>
      <c r="AG186" s="3" t="s">
        <v>43</v>
      </c>
      <c r="AH186" s="3" t="s">
        <v>31</v>
      </c>
      <c r="AI186" s="3" t="s">
        <v>540</v>
      </c>
      <c r="AJ186" s="3" t="s">
        <v>33</v>
      </c>
      <c r="AK186" s="3" t="s">
        <v>1403</v>
      </c>
      <c r="AL186" s="3">
        <v>2000</v>
      </c>
      <c r="AM186" s="3" t="s">
        <v>1410</v>
      </c>
      <c r="AN186" s="3" t="s">
        <v>1405</v>
      </c>
      <c r="AO186" s="3" t="s">
        <v>1406</v>
      </c>
      <c r="AP186" s="3">
        <v>3412748343</v>
      </c>
      <c r="AQ186" s="3">
        <v>3416581919</v>
      </c>
      <c r="AS186" s="3" t="s">
        <v>1407</v>
      </c>
      <c r="AT186" s="3" t="s">
        <v>1408</v>
      </c>
    </row>
    <row r="187" spans="1:46" ht="13.2" x14ac:dyDescent="0.25">
      <c r="A187" s="2">
        <v>46081.953419050929</v>
      </c>
      <c r="B187" s="3" t="b">
        <v>1</v>
      </c>
      <c r="C187" s="3" t="s">
        <v>1411</v>
      </c>
      <c r="D187" s="3" t="s">
        <v>497</v>
      </c>
      <c r="E187" s="3" t="s">
        <v>1412</v>
      </c>
      <c r="F187" s="3" t="s">
        <v>1413</v>
      </c>
      <c r="G187" s="3">
        <v>195408</v>
      </c>
      <c r="H187" s="3" t="s">
        <v>326</v>
      </c>
      <c r="I187" s="3">
        <v>51261261</v>
      </c>
      <c r="J187" s="4">
        <v>40787</v>
      </c>
      <c r="K187" s="3" t="s">
        <v>1411</v>
      </c>
      <c r="L187" s="3" t="s">
        <v>43</v>
      </c>
      <c r="M187" s="3" t="s">
        <v>31</v>
      </c>
      <c r="N187" s="3" t="s">
        <v>44</v>
      </c>
      <c r="O187" s="3" t="s">
        <v>327</v>
      </c>
      <c r="P187" s="3" t="s">
        <v>1414</v>
      </c>
      <c r="Q187" s="3">
        <v>1914</v>
      </c>
      <c r="R187" s="3" t="s">
        <v>546</v>
      </c>
      <c r="S187" s="3" t="s">
        <v>1415</v>
      </c>
      <c r="T187" s="3" t="s">
        <v>1411</v>
      </c>
      <c r="U187" s="3" t="s">
        <v>1416</v>
      </c>
      <c r="V187" s="3" t="s">
        <v>1416</v>
      </c>
      <c r="X187" s="3" t="s">
        <v>70</v>
      </c>
      <c r="Y187" s="3">
        <v>222851257203</v>
      </c>
    </row>
    <row r="188" spans="1:46" ht="13.2" x14ac:dyDescent="0.25">
      <c r="A188" s="2">
        <v>46081.955394293982</v>
      </c>
      <c r="B188" s="3" t="b">
        <v>1</v>
      </c>
      <c r="C188" s="3" t="s">
        <v>1411</v>
      </c>
      <c r="D188" s="3" t="s">
        <v>358</v>
      </c>
      <c r="E188" s="3" t="s">
        <v>879</v>
      </c>
      <c r="F188" s="3" t="s">
        <v>1413</v>
      </c>
      <c r="G188" s="3">
        <v>21</v>
      </c>
      <c r="H188" s="3" t="s">
        <v>326</v>
      </c>
      <c r="I188" s="3">
        <v>51717346</v>
      </c>
      <c r="J188" s="4">
        <v>38919</v>
      </c>
      <c r="K188" s="3" t="s">
        <v>1411</v>
      </c>
      <c r="L188" s="3" t="s">
        <v>43</v>
      </c>
      <c r="M188" s="3" t="s">
        <v>31</v>
      </c>
      <c r="N188" s="3" t="s">
        <v>44</v>
      </c>
      <c r="O188" s="3" t="s">
        <v>327</v>
      </c>
      <c r="P188" s="3" t="s">
        <v>1417</v>
      </c>
      <c r="Q188" s="3">
        <v>1914</v>
      </c>
      <c r="R188" s="3" t="s">
        <v>546</v>
      </c>
      <c r="S188" s="3" t="s">
        <v>1415</v>
      </c>
      <c r="V188" s="3" t="s">
        <v>1416</v>
      </c>
      <c r="X188" s="3" t="s">
        <v>70</v>
      </c>
      <c r="Y188" s="3">
        <v>222851257202</v>
      </c>
    </row>
    <row r="189" spans="1:46" ht="13.2" x14ac:dyDescent="0.25">
      <c r="A189" s="2">
        <v>46081.977822048611</v>
      </c>
      <c r="B189" s="3" t="b">
        <v>1</v>
      </c>
      <c r="C189" s="3" t="s">
        <v>1418</v>
      </c>
      <c r="D189" s="3" t="s">
        <v>26</v>
      </c>
      <c r="E189" s="3" t="s">
        <v>359</v>
      </c>
      <c r="F189" s="3" t="s">
        <v>1419</v>
      </c>
      <c r="G189" s="3">
        <v>3856</v>
      </c>
      <c r="H189" s="3" t="s">
        <v>318</v>
      </c>
      <c r="I189" s="3">
        <v>51183107</v>
      </c>
      <c r="J189" s="4">
        <v>40754</v>
      </c>
      <c r="K189" s="3" t="s">
        <v>1418</v>
      </c>
      <c r="L189" s="3" t="s">
        <v>43</v>
      </c>
      <c r="M189" s="3" t="s">
        <v>31</v>
      </c>
      <c r="N189" s="3" t="s">
        <v>1420</v>
      </c>
      <c r="O189" s="3" t="s">
        <v>1421</v>
      </c>
      <c r="P189" s="3" t="s">
        <v>1422</v>
      </c>
      <c r="Q189" s="3">
        <v>1820</v>
      </c>
      <c r="R189" s="3" t="s">
        <v>1423</v>
      </c>
      <c r="S189" s="3" t="s">
        <v>1424</v>
      </c>
      <c r="T189" s="3" t="s">
        <v>1418</v>
      </c>
      <c r="U189" s="3">
        <v>1122407512</v>
      </c>
      <c r="V189" s="3" t="s">
        <v>1425</v>
      </c>
      <c r="X189" s="3" t="s">
        <v>1426</v>
      </c>
      <c r="Y189" s="3" t="s">
        <v>1427</v>
      </c>
    </row>
    <row r="190" spans="1:46" ht="13.2" x14ac:dyDescent="0.25">
      <c r="A190" s="2">
        <v>46082.03338508102</v>
      </c>
      <c r="B190" s="3" t="b">
        <v>1</v>
      </c>
      <c r="C190" s="3" t="s">
        <v>1428</v>
      </c>
      <c r="D190" s="3" t="s">
        <v>26</v>
      </c>
      <c r="E190" s="3" t="s">
        <v>1078</v>
      </c>
      <c r="F190" s="3" t="s">
        <v>1429</v>
      </c>
      <c r="G190" s="3" t="s">
        <v>1430</v>
      </c>
      <c r="H190" s="3" t="s">
        <v>566</v>
      </c>
      <c r="I190" s="3">
        <v>51066023</v>
      </c>
      <c r="J190" s="4">
        <v>40608</v>
      </c>
      <c r="K190" s="3" t="s">
        <v>1428</v>
      </c>
      <c r="L190" s="3" t="s">
        <v>30</v>
      </c>
      <c r="M190" s="3" t="s">
        <v>31</v>
      </c>
      <c r="N190" s="3" t="s">
        <v>92</v>
      </c>
      <c r="O190" s="3" t="s">
        <v>1431</v>
      </c>
      <c r="P190" s="3" t="s">
        <v>1432</v>
      </c>
      <c r="Q190" s="3" t="s">
        <v>1433</v>
      </c>
      <c r="R190" s="3" t="s">
        <v>1434</v>
      </c>
      <c r="S190" s="3" t="s">
        <v>1435</v>
      </c>
      <c r="T190" s="3" t="s">
        <v>1428</v>
      </c>
      <c r="U190" s="3">
        <v>1165586633</v>
      </c>
      <c r="V190" s="3">
        <v>1165586633</v>
      </c>
      <c r="W190" s="3">
        <v>1164726333</v>
      </c>
      <c r="X190" s="3" t="s">
        <v>1436</v>
      </c>
      <c r="Y190" s="5" t="s">
        <v>1437</v>
      </c>
    </row>
    <row r="191" spans="1:46" ht="13.2" x14ac:dyDescent="0.25">
      <c r="A191" s="2">
        <v>46082.335557638886</v>
      </c>
      <c r="B191" s="3" t="b">
        <v>1</v>
      </c>
      <c r="C191" s="3" t="s">
        <v>1438</v>
      </c>
      <c r="D191" s="3" t="s">
        <v>180</v>
      </c>
      <c r="E191" s="3" t="s">
        <v>1439</v>
      </c>
      <c r="F191" s="3" t="s">
        <v>1440</v>
      </c>
      <c r="G191" s="3">
        <v>3732</v>
      </c>
      <c r="H191" s="3" t="s">
        <v>318</v>
      </c>
      <c r="I191" s="3">
        <v>55687786</v>
      </c>
      <c r="J191" s="4">
        <v>42529</v>
      </c>
      <c r="K191" s="3" t="s">
        <v>1438</v>
      </c>
      <c r="L191" s="3" t="s">
        <v>43</v>
      </c>
      <c r="M191" s="3" t="s">
        <v>31</v>
      </c>
      <c r="N191" s="3" t="s">
        <v>142</v>
      </c>
      <c r="O191" s="3" t="s">
        <v>569</v>
      </c>
      <c r="P191" s="3" t="s">
        <v>1441</v>
      </c>
      <c r="Q191" s="3">
        <v>1425</v>
      </c>
      <c r="R191" s="3" t="s">
        <v>1442</v>
      </c>
      <c r="S191" s="3" t="s">
        <v>1443</v>
      </c>
      <c r="T191" s="3" t="s">
        <v>1438</v>
      </c>
      <c r="U191" s="3">
        <v>116882778</v>
      </c>
      <c r="V191" s="3">
        <v>1165882778</v>
      </c>
      <c r="W191" s="3">
        <v>1157611415</v>
      </c>
      <c r="X191" s="3" t="s">
        <v>140</v>
      </c>
      <c r="Y191" s="3">
        <v>61559812803</v>
      </c>
    </row>
    <row r="192" spans="1:46" ht="13.2" x14ac:dyDescent="0.25">
      <c r="A192" s="2">
        <v>46082.352570069444</v>
      </c>
      <c r="B192" s="3" t="b">
        <v>1</v>
      </c>
      <c r="C192" s="3" t="s">
        <v>1444</v>
      </c>
      <c r="D192" s="3" t="s">
        <v>26</v>
      </c>
      <c r="E192" s="3" t="s">
        <v>331</v>
      </c>
      <c r="F192" s="3" t="s">
        <v>1445</v>
      </c>
      <c r="G192" s="3">
        <v>4049</v>
      </c>
      <c r="H192" s="3" t="s">
        <v>470</v>
      </c>
      <c r="I192" s="3">
        <v>52856304</v>
      </c>
      <c r="J192" s="4">
        <v>41238</v>
      </c>
      <c r="K192" s="3" t="s">
        <v>1444</v>
      </c>
      <c r="L192" s="3" t="s">
        <v>43</v>
      </c>
      <c r="M192" s="3" t="s">
        <v>31</v>
      </c>
      <c r="N192" s="3" t="s">
        <v>44</v>
      </c>
      <c r="O192" s="3" t="s">
        <v>1446</v>
      </c>
      <c r="P192" s="3" t="s">
        <v>1447</v>
      </c>
      <c r="Q192" s="3">
        <v>1638</v>
      </c>
      <c r="R192" s="3" t="s">
        <v>1448</v>
      </c>
      <c r="S192" s="3" t="s">
        <v>1449</v>
      </c>
      <c r="T192" s="3" t="s">
        <v>1444</v>
      </c>
      <c r="U192" s="3">
        <v>1165688066</v>
      </c>
      <c r="V192" s="3">
        <v>1162859402</v>
      </c>
      <c r="X192" s="3" t="s">
        <v>140</v>
      </c>
      <c r="Y192" s="3">
        <v>61063547503</v>
      </c>
    </row>
    <row r="193" spans="1:25" ht="13.2" x14ac:dyDescent="0.25">
      <c r="A193" s="2">
        <v>46082.384902662037</v>
      </c>
      <c r="B193" s="3" t="b">
        <v>1</v>
      </c>
      <c r="C193" s="3" t="s">
        <v>1450</v>
      </c>
      <c r="D193" s="3" t="s">
        <v>358</v>
      </c>
      <c r="E193" s="3" t="s">
        <v>1451</v>
      </c>
      <c r="F193" s="3" t="s">
        <v>1452</v>
      </c>
      <c r="G193" s="3">
        <v>224823</v>
      </c>
      <c r="H193" s="3" t="s">
        <v>470</v>
      </c>
      <c r="I193" s="3">
        <v>94515687</v>
      </c>
      <c r="J193" s="4">
        <v>28919</v>
      </c>
      <c r="K193" s="3" t="s">
        <v>1450</v>
      </c>
      <c r="L193" s="3" t="s">
        <v>43</v>
      </c>
      <c r="M193" s="3" t="s">
        <v>31</v>
      </c>
      <c r="N193" s="3" t="s">
        <v>44</v>
      </c>
      <c r="O193" s="3" t="s">
        <v>1453</v>
      </c>
      <c r="P193" s="3" t="s">
        <v>1454</v>
      </c>
      <c r="Q193" s="3">
        <v>1636</v>
      </c>
      <c r="V193" s="3">
        <v>1155712034</v>
      </c>
      <c r="X193" s="3" t="s">
        <v>140</v>
      </c>
      <c r="Y193" s="3">
        <v>61763927101</v>
      </c>
    </row>
    <row r="194" spans="1:25" ht="13.2" x14ac:dyDescent="0.25">
      <c r="A194" s="2">
        <v>46082.391892395834</v>
      </c>
      <c r="B194" s="3" t="b">
        <v>1</v>
      </c>
      <c r="C194" s="3" t="s">
        <v>1455</v>
      </c>
      <c r="D194" s="3" t="s">
        <v>497</v>
      </c>
      <c r="E194" s="3" t="s">
        <v>1456</v>
      </c>
      <c r="F194" s="3" t="s">
        <v>1457</v>
      </c>
      <c r="G194" s="3">
        <v>195348</v>
      </c>
      <c r="H194" s="3" t="s">
        <v>326</v>
      </c>
      <c r="I194" s="3">
        <v>48094863</v>
      </c>
      <c r="J194" s="4">
        <v>39203</v>
      </c>
      <c r="K194" s="3" t="s">
        <v>1455</v>
      </c>
      <c r="L194" s="3" t="s">
        <v>30</v>
      </c>
      <c r="M194" s="3" t="s">
        <v>31</v>
      </c>
      <c r="N194" s="3" t="s">
        <v>384</v>
      </c>
      <c r="O194" s="3" t="s">
        <v>1458</v>
      </c>
      <c r="P194" s="3" t="s">
        <v>1459</v>
      </c>
      <c r="Q194" s="3">
        <v>1900</v>
      </c>
      <c r="V194" s="3">
        <v>2214635268</v>
      </c>
      <c r="X194" s="3" t="s">
        <v>70</v>
      </c>
      <c r="Y194" s="3" t="s">
        <v>1460</v>
      </c>
    </row>
    <row r="195" spans="1:25" ht="13.2" x14ac:dyDescent="0.25">
      <c r="A195" s="2">
        <v>46082.403899131939</v>
      </c>
      <c r="B195" s="3" t="b">
        <v>1</v>
      </c>
      <c r="C195" s="3" t="s">
        <v>1461</v>
      </c>
      <c r="D195" s="3" t="s">
        <v>180</v>
      </c>
      <c r="E195" s="3" t="s">
        <v>1194</v>
      </c>
      <c r="F195" s="3" t="s">
        <v>1462</v>
      </c>
      <c r="G195" s="3">
        <v>3633</v>
      </c>
      <c r="H195" s="3" t="s">
        <v>318</v>
      </c>
      <c r="I195" s="3">
        <v>53856601</v>
      </c>
      <c r="J195" s="4">
        <v>41714</v>
      </c>
      <c r="K195" s="3" t="s">
        <v>1463</v>
      </c>
      <c r="L195" s="3" t="s">
        <v>30</v>
      </c>
      <c r="M195" s="3" t="s">
        <v>76</v>
      </c>
      <c r="N195" s="3" t="s">
        <v>142</v>
      </c>
      <c r="O195" s="3" t="s">
        <v>142</v>
      </c>
      <c r="P195" s="3" t="s">
        <v>1464</v>
      </c>
      <c r="Q195" s="3">
        <v>1200</v>
      </c>
      <c r="R195" s="3" t="s">
        <v>1465</v>
      </c>
      <c r="S195" s="3" t="s">
        <v>1466</v>
      </c>
      <c r="T195" s="3" t="s">
        <v>1463</v>
      </c>
      <c r="U195" s="3" t="s">
        <v>1467</v>
      </c>
      <c r="V195" s="3" t="s">
        <v>1468</v>
      </c>
      <c r="W195" s="3" t="s">
        <v>1469</v>
      </c>
      <c r="X195" s="3" t="s">
        <v>60</v>
      </c>
      <c r="Y195" s="3" t="s">
        <v>1470</v>
      </c>
    </row>
    <row r="196" spans="1:25" ht="13.2" x14ac:dyDescent="0.25">
      <c r="A196" s="2">
        <v>46082.435003321763</v>
      </c>
      <c r="B196" s="3" t="b">
        <v>1</v>
      </c>
      <c r="C196" s="3" t="s">
        <v>1471</v>
      </c>
      <c r="D196" s="3" t="s">
        <v>358</v>
      </c>
      <c r="E196" s="3" t="s">
        <v>1472</v>
      </c>
      <c r="F196" s="3" t="s">
        <v>1473</v>
      </c>
      <c r="G196" s="3">
        <v>228201</v>
      </c>
      <c r="H196" s="3" t="s">
        <v>65</v>
      </c>
      <c r="I196" s="3">
        <v>48162295</v>
      </c>
      <c r="J196" s="4">
        <v>39421</v>
      </c>
      <c r="K196" s="3" t="s">
        <v>1471</v>
      </c>
      <c r="L196" s="3" t="s">
        <v>30</v>
      </c>
      <c r="M196" s="3" t="s">
        <v>311</v>
      </c>
      <c r="N196" s="3" t="s">
        <v>384</v>
      </c>
      <c r="O196" s="3" t="s">
        <v>1474</v>
      </c>
      <c r="P196" s="3" t="s">
        <v>1475</v>
      </c>
      <c r="Q196" s="3">
        <v>2930</v>
      </c>
      <c r="V196" s="3">
        <v>3329510868</v>
      </c>
      <c r="X196" s="3" t="s">
        <v>211</v>
      </c>
      <c r="Y196" s="3">
        <v>61169263402</v>
      </c>
    </row>
    <row r="197" spans="1:25" ht="13.2" x14ac:dyDescent="0.25">
      <c r="A197" s="2">
        <v>46082.465137326391</v>
      </c>
      <c r="B197" s="3" t="b">
        <v>1</v>
      </c>
      <c r="C197" s="3" t="s">
        <v>1476</v>
      </c>
      <c r="D197" s="3" t="s">
        <v>26</v>
      </c>
      <c r="E197" s="3" t="s">
        <v>1477</v>
      </c>
      <c r="F197" s="3" t="s">
        <v>1478</v>
      </c>
      <c r="G197" s="3">
        <v>3849</v>
      </c>
      <c r="H197" s="3" t="s">
        <v>161</v>
      </c>
      <c r="I197" s="3">
        <v>52636932</v>
      </c>
      <c r="J197" s="4">
        <v>41120</v>
      </c>
      <c r="K197" s="3" t="s">
        <v>1479</v>
      </c>
      <c r="L197" s="3" t="s">
        <v>30</v>
      </c>
      <c r="M197" s="3" t="s">
        <v>31</v>
      </c>
      <c r="N197" s="3" t="s">
        <v>32</v>
      </c>
      <c r="O197" s="3" t="s">
        <v>33</v>
      </c>
      <c r="P197" s="3" t="s">
        <v>1480</v>
      </c>
      <c r="Q197" s="3">
        <v>2000</v>
      </c>
      <c r="R197" s="3" t="s">
        <v>1481</v>
      </c>
      <c r="S197" s="3" t="s">
        <v>1482</v>
      </c>
      <c r="T197" s="3" t="s">
        <v>1479</v>
      </c>
      <c r="V197" s="3">
        <v>3413341128</v>
      </c>
      <c r="W197" s="3">
        <v>3415602671</v>
      </c>
      <c r="X197" s="3" t="s">
        <v>1483</v>
      </c>
      <c r="Y197" s="3" t="s">
        <v>1484</v>
      </c>
    </row>
    <row r="198" spans="1:25" ht="13.2" x14ac:dyDescent="0.25">
      <c r="A198" s="2">
        <v>46082.466476134257</v>
      </c>
      <c r="B198" s="3" t="b">
        <v>1</v>
      </c>
      <c r="C198" s="3" t="s">
        <v>1485</v>
      </c>
      <c r="D198" s="3" t="s">
        <v>26</v>
      </c>
      <c r="E198" s="3" t="s">
        <v>1486</v>
      </c>
      <c r="F198" s="3" t="s">
        <v>1487</v>
      </c>
      <c r="G198" s="3">
        <v>4091</v>
      </c>
      <c r="H198" s="3" t="s">
        <v>198</v>
      </c>
      <c r="I198" s="3">
        <v>51069814</v>
      </c>
      <c r="J198" s="4">
        <v>40635</v>
      </c>
      <c r="K198" s="3" t="s">
        <v>1488</v>
      </c>
      <c r="L198" s="3" t="s">
        <v>30</v>
      </c>
      <c r="M198" s="3" t="s">
        <v>1489</v>
      </c>
      <c r="N198" s="3" t="s">
        <v>92</v>
      </c>
      <c r="O198" s="3" t="s">
        <v>92</v>
      </c>
      <c r="P198" s="3" t="s">
        <v>1490</v>
      </c>
      <c r="Q198" s="3">
        <v>1112</v>
      </c>
      <c r="R198" s="3" t="s">
        <v>482</v>
      </c>
      <c r="S198" s="3" t="s">
        <v>1491</v>
      </c>
      <c r="T198" s="3" t="s">
        <v>1488</v>
      </c>
      <c r="U198" s="3">
        <v>1131501011</v>
      </c>
      <c r="V198" s="3" t="s">
        <v>1492</v>
      </c>
      <c r="X198" s="3" t="s">
        <v>140</v>
      </c>
      <c r="Y198" s="3">
        <v>61142218103</v>
      </c>
    </row>
    <row r="199" spans="1:25" ht="13.2" x14ac:dyDescent="0.25">
      <c r="A199" s="2">
        <v>46082.468035787038</v>
      </c>
      <c r="B199" s="3" t="b">
        <v>1</v>
      </c>
      <c r="C199" s="3" t="s">
        <v>1485</v>
      </c>
      <c r="D199" s="3" t="s">
        <v>180</v>
      </c>
      <c r="E199" s="3" t="s">
        <v>281</v>
      </c>
      <c r="F199" s="3" t="s">
        <v>1487</v>
      </c>
      <c r="G199" s="3">
        <v>3754</v>
      </c>
      <c r="H199" s="3" t="s">
        <v>198</v>
      </c>
      <c r="I199" s="3">
        <v>53581531</v>
      </c>
      <c r="J199" s="4">
        <v>41565</v>
      </c>
      <c r="K199" s="3" t="s">
        <v>1488</v>
      </c>
      <c r="L199" s="3" t="s">
        <v>43</v>
      </c>
      <c r="M199" s="3" t="s">
        <v>31</v>
      </c>
      <c r="N199" s="3" t="s">
        <v>92</v>
      </c>
      <c r="O199" s="3" t="s">
        <v>92</v>
      </c>
      <c r="P199" s="3" t="s">
        <v>1490</v>
      </c>
      <c r="Q199" s="3">
        <v>1113</v>
      </c>
      <c r="R199" s="3" t="s">
        <v>337</v>
      </c>
      <c r="S199" s="3" t="s">
        <v>1487</v>
      </c>
      <c r="T199" s="3" t="s">
        <v>1485</v>
      </c>
      <c r="U199" s="3">
        <v>1150050707</v>
      </c>
      <c r="V199" s="3" t="s">
        <v>1493</v>
      </c>
      <c r="X199" s="3" t="s">
        <v>115</v>
      </c>
      <c r="Y199" s="3">
        <v>61142218104</v>
      </c>
    </row>
    <row r="200" spans="1:25" ht="13.2" x14ac:dyDescent="0.25">
      <c r="A200" s="2">
        <v>46082.469429155091</v>
      </c>
      <c r="B200" s="3" t="b">
        <v>1</v>
      </c>
      <c r="C200" s="3" t="s">
        <v>1485</v>
      </c>
      <c r="D200" s="3" t="s">
        <v>180</v>
      </c>
      <c r="E200" s="3" t="s">
        <v>564</v>
      </c>
      <c r="F200" s="3" t="s">
        <v>1487</v>
      </c>
      <c r="G200" s="3">
        <v>3911</v>
      </c>
      <c r="H200" s="3" t="s">
        <v>198</v>
      </c>
      <c r="I200" s="3">
        <v>55079394</v>
      </c>
      <c r="J200" s="4">
        <v>46072</v>
      </c>
      <c r="K200" s="3" t="s">
        <v>1488</v>
      </c>
      <c r="L200" s="3" t="s">
        <v>43</v>
      </c>
      <c r="M200" s="3" t="s">
        <v>31</v>
      </c>
      <c r="N200" s="3" t="s">
        <v>92</v>
      </c>
      <c r="O200" s="3" t="s">
        <v>92</v>
      </c>
      <c r="P200" s="3" t="s">
        <v>1490</v>
      </c>
      <c r="Q200" s="3">
        <v>1112</v>
      </c>
      <c r="R200" s="3" t="s">
        <v>482</v>
      </c>
      <c r="S200" s="3" t="s">
        <v>1491</v>
      </c>
      <c r="T200" s="3" t="s">
        <v>1485</v>
      </c>
      <c r="U200" s="3">
        <v>1131501011</v>
      </c>
      <c r="V200" s="3" t="s">
        <v>1494</v>
      </c>
      <c r="X200" s="3" t="s">
        <v>115</v>
      </c>
      <c r="Y200" s="3">
        <v>61142218105</v>
      </c>
    </row>
    <row r="201" spans="1:25" ht="13.2" x14ac:dyDescent="0.25">
      <c r="A201" s="2">
        <v>46082.472844699078</v>
      </c>
      <c r="B201" s="3" t="b">
        <v>0</v>
      </c>
      <c r="C201" s="3" t="s">
        <v>1495</v>
      </c>
      <c r="D201" s="3" t="s">
        <v>26</v>
      </c>
      <c r="E201" s="3" t="s">
        <v>1092</v>
      </c>
      <c r="F201" s="3" t="s">
        <v>1496</v>
      </c>
      <c r="G201" s="3">
        <v>4234</v>
      </c>
      <c r="H201" s="3" t="s">
        <v>458</v>
      </c>
      <c r="I201" s="3">
        <v>52755200</v>
      </c>
      <c r="J201" s="4">
        <v>41158</v>
      </c>
      <c r="K201" s="3" t="s">
        <v>1495</v>
      </c>
      <c r="L201" s="3" t="s">
        <v>30</v>
      </c>
      <c r="M201" s="3" t="s">
        <v>31</v>
      </c>
      <c r="N201" s="3" t="s">
        <v>32</v>
      </c>
      <c r="O201" s="3" t="s">
        <v>1497</v>
      </c>
      <c r="P201" s="3" t="s">
        <v>1498</v>
      </c>
      <c r="Q201" s="3">
        <v>2121</v>
      </c>
      <c r="R201" s="3" t="s">
        <v>1499</v>
      </c>
      <c r="S201" s="3" t="s">
        <v>1500</v>
      </c>
      <c r="T201" s="3" t="s">
        <v>1495</v>
      </c>
      <c r="U201" s="3">
        <v>3416946202</v>
      </c>
      <c r="V201" s="3" t="s">
        <v>1501</v>
      </c>
      <c r="W201" s="3">
        <v>3416946202</v>
      </c>
      <c r="X201" s="3" t="s">
        <v>1502</v>
      </c>
      <c r="Y201" s="3">
        <v>2818383007</v>
      </c>
    </row>
    <row r="202" spans="1:25" ht="13.2" x14ac:dyDescent="0.25">
      <c r="A202" s="2">
        <v>46082.483188009261</v>
      </c>
      <c r="B202" s="3" t="b">
        <v>1</v>
      </c>
      <c r="C202" s="3" t="s">
        <v>1503</v>
      </c>
      <c r="D202" s="3" t="s">
        <v>26</v>
      </c>
      <c r="E202" s="3" t="s">
        <v>1504</v>
      </c>
      <c r="F202" s="3" t="s">
        <v>1505</v>
      </c>
      <c r="G202" s="3">
        <v>3953</v>
      </c>
      <c r="H202" s="3" t="s">
        <v>1395</v>
      </c>
      <c r="I202" s="3">
        <v>50899423</v>
      </c>
      <c r="J202" s="4">
        <v>40689</v>
      </c>
      <c r="K202" s="3" t="s">
        <v>1506</v>
      </c>
      <c r="L202" s="3" t="s">
        <v>43</v>
      </c>
      <c r="M202" s="3" t="s">
        <v>76</v>
      </c>
      <c r="N202" s="3" t="s">
        <v>285</v>
      </c>
      <c r="O202" s="3" t="s">
        <v>1507</v>
      </c>
      <c r="P202" s="3" t="s">
        <v>1508</v>
      </c>
      <c r="Q202" s="3">
        <v>2900</v>
      </c>
      <c r="R202" s="3" t="s">
        <v>1509</v>
      </c>
      <c r="S202" s="3" t="s">
        <v>1510</v>
      </c>
      <c r="T202" s="3" t="s">
        <v>1506</v>
      </c>
      <c r="U202" s="3">
        <v>3364511554</v>
      </c>
      <c r="V202" s="3">
        <v>3364511513</v>
      </c>
      <c r="X202" s="3" t="s">
        <v>741</v>
      </c>
      <c r="Y202" s="3">
        <v>123262210902</v>
      </c>
    </row>
    <row r="203" spans="1:25" ht="13.2" x14ac:dyDescent="0.25">
      <c r="A203" s="2">
        <v>46082.487175486109</v>
      </c>
      <c r="B203" s="3" t="b">
        <v>1</v>
      </c>
      <c r="C203" s="3" t="s">
        <v>1511</v>
      </c>
      <c r="D203" s="3" t="s">
        <v>26</v>
      </c>
      <c r="E203" s="3" t="s">
        <v>1512</v>
      </c>
      <c r="F203" s="3" t="s">
        <v>1513</v>
      </c>
      <c r="G203" s="3">
        <v>3908</v>
      </c>
      <c r="H203" s="3" t="s">
        <v>65</v>
      </c>
      <c r="I203" s="3">
        <v>52698988</v>
      </c>
      <c r="J203" s="4">
        <v>41145</v>
      </c>
      <c r="K203" s="3" t="s">
        <v>1511</v>
      </c>
      <c r="L203" s="3" t="s">
        <v>30</v>
      </c>
      <c r="M203" s="3" t="s">
        <v>76</v>
      </c>
      <c r="N203" s="3" t="s">
        <v>44</v>
      </c>
      <c r="O203" s="3" t="s">
        <v>302</v>
      </c>
      <c r="P203" s="3" t="s">
        <v>1514</v>
      </c>
      <c r="Q203" s="3">
        <v>2930</v>
      </c>
      <c r="R203" s="3" t="s">
        <v>1515</v>
      </c>
      <c r="S203" s="3" t="s">
        <v>1516</v>
      </c>
      <c r="T203" s="3" t="s">
        <v>1511</v>
      </c>
      <c r="U203" s="3" t="s">
        <v>1517</v>
      </c>
      <c r="V203" s="3">
        <v>1153395588</v>
      </c>
      <c r="W203" s="3">
        <v>1158355770</v>
      </c>
      <c r="X203" s="3" t="s">
        <v>49</v>
      </c>
      <c r="Y203" s="3" t="s">
        <v>1518</v>
      </c>
    </row>
    <row r="204" spans="1:25" ht="13.2" x14ac:dyDescent="0.25">
      <c r="A204" s="2">
        <v>46082.516580694442</v>
      </c>
      <c r="B204" s="3" t="b">
        <v>1</v>
      </c>
      <c r="C204" s="3" t="s">
        <v>1519</v>
      </c>
      <c r="D204" s="3" t="s">
        <v>180</v>
      </c>
      <c r="E204" s="3" t="s">
        <v>190</v>
      </c>
      <c r="F204" s="3" t="s">
        <v>1520</v>
      </c>
      <c r="G204" s="3">
        <v>4114</v>
      </c>
      <c r="H204" s="3" t="s">
        <v>590</v>
      </c>
      <c r="I204" s="3">
        <v>54382176</v>
      </c>
      <c r="J204" s="4">
        <v>41936</v>
      </c>
      <c r="K204" s="3" t="s">
        <v>1521</v>
      </c>
      <c r="L204" s="3" t="s">
        <v>30</v>
      </c>
      <c r="M204" s="3" t="s">
        <v>76</v>
      </c>
      <c r="N204" s="3" t="s">
        <v>285</v>
      </c>
      <c r="O204" s="3" t="s">
        <v>1522</v>
      </c>
      <c r="P204" s="3" t="s">
        <v>1523</v>
      </c>
      <c r="Q204" s="3">
        <v>1625</v>
      </c>
      <c r="R204" s="3" t="s">
        <v>1524</v>
      </c>
      <c r="S204" s="3" t="s">
        <v>1525</v>
      </c>
      <c r="T204" s="3" t="s">
        <v>1521</v>
      </c>
      <c r="U204" s="3" t="s">
        <v>1526</v>
      </c>
      <c r="V204" s="3">
        <v>1130083182</v>
      </c>
      <c r="X204" s="3" t="s">
        <v>1527</v>
      </c>
      <c r="Y204" s="3">
        <v>32148010</v>
      </c>
    </row>
    <row r="205" spans="1:25" ht="13.2" x14ac:dyDescent="0.25">
      <c r="A205" s="2">
        <v>46082.526550277777</v>
      </c>
      <c r="B205" s="3" t="b">
        <v>1</v>
      </c>
      <c r="C205" s="3" t="s">
        <v>1528</v>
      </c>
      <c r="D205" s="3" t="s">
        <v>180</v>
      </c>
      <c r="E205" s="3" t="s">
        <v>827</v>
      </c>
      <c r="F205" s="3" t="s">
        <v>1529</v>
      </c>
      <c r="G205" s="3">
        <v>4015</v>
      </c>
      <c r="H205" s="3" t="s">
        <v>318</v>
      </c>
      <c r="I205" s="3">
        <v>55298771</v>
      </c>
      <c r="J205" s="4">
        <v>42361</v>
      </c>
      <c r="K205" s="3" t="s">
        <v>1530</v>
      </c>
      <c r="L205" s="3" t="s">
        <v>43</v>
      </c>
      <c r="M205" s="3" t="s">
        <v>31</v>
      </c>
      <c r="N205" s="3" t="s">
        <v>142</v>
      </c>
      <c r="O205" s="3" t="s">
        <v>1531</v>
      </c>
      <c r="P205" s="3" t="s">
        <v>1532</v>
      </c>
      <c r="Q205" s="3">
        <v>1429</v>
      </c>
      <c r="R205" s="3" t="s">
        <v>1533</v>
      </c>
      <c r="S205" s="3" t="s">
        <v>1529</v>
      </c>
      <c r="T205" s="3" t="s">
        <v>1530</v>
      </c>
      <c r="U205" s="3" t="s">
        <v>1534</v>
      </c>
      <c r="V205" s="3" t="s">
        <v>1534</v>
      </c>
      <c r="W205" s="3" t="s">
        <v>1535</v>
      </c>
      <c r="X205" s="3" t="s">
        <v>115</v>
      </c>
      <c r="Y205" s="3">
        <v>62797083303</v>
      </c>
    </row>
    <row r="206" spans="1:25" ht="13.2" x14ac:dyDescent="0.25">
      <c r="A206" s="2">
        <v>46082.529985023153</v>
      </c>
      <c r="B206" s="3" t="b">
        <v>1</v>
      </c>
      <c r="C206" s="3" t="s">
        <v>1536</v>
      </c>
      <c r="D206" s="3" t="s">
        <v>180</v>
      </c>
      <c r="E206" s="3" t="s">
        <v>1537</v>
      </c>
      <c r="F206" s="3" t="s">
        <v>1538</v>
      </c>
      <c r="G206" s="3">
        <v>2991</v>
      </c>
      <c r="H206" s="3" t="s">
        <v>326</v>
      </c>
      <c r="I206" s="3">
        <v>55275010</v>
      </c>
      <c r="J206" s="4">
        <v>42369</v>
      </c>
      <c r="K206" s="3" t="s">
        <v>1539</v>
      </c>
      <c r="L206" s="3" t="s">
        <v>30</v>
      </c>
      <c r="M206" s="3" t="s">
        <v>31</v>
      </c>
      <c r="N206" s="3" t="s">
        <v>44</v>
      </c>
      <c r="O206" s="3" t="s">
        <v>737</v>
      </c>
      <c r="P206" s="3" t="s">
        <v>1540</v>
      </c>
      <c r="Q206" s="3">
        <v>1900</v>
      </c>
      <c r="R206" s="3" t="s">
        <v>1541</v>
      </c>
      <c r="S206" s="3" t="s">
        <v>1542</v>
      </c>
      <c r="T206" s="3" t="s">
        <v>1539</v>
      </c>
      <c r="U206" s="3" t="s">
        <v>1543</v>
      </c>
      <c r="V206" s="3">
        <v>2214288574</v>
      </c>
      <c r="W206" s="3" t="s">
        <v>1544</v>
      </c>
      <c r="X206" s="3" t="s">
        <v>1018</v>
      </c>
      <c r="Y206" s="5" t="s">
        <v>1545</v>
      </c>
    </row>
    <row r="207" spans="1:25" ht="13.2" x14ac:dyDescent="0.25">
      <c r="A207" s="2">
        <v>46082.530252152777</v>
      </c>
      <c r="B207" s="3" t="b">
        <v>1</v>
      </c>
      <c r="C207" s="3" t="s">
        <v>1528</v>
      </c>
      <c r="D207" s="3" t="s">
        <v>180</v>
      </c>
      <c r="E207" s="3" t="s">
        <v>125</v>
      </c>
      <c r="F207" s="3" t="s">
        <v>1529</v>
      </c>
      <c r="G207" s="3">
        <v>4101</v>
      </c>
      <c r="H207" s="3" t="s">
        <v>318</v>
      </c>
      <c r="I207" s="3">
        <v>56179576</v>
      </c>
      <c r="J207" s="4">
        <v>42830</v>
      </c>
      <c r="K207" s="3" t="s">
        <v>1530</v>
      </c>
      <c r="L207" s="3" t="s">
        <v>30</v>
      </c>
      <c r="M207" s="3" t="s">
        <v>31</v>
      </c>
      <c r="N207" s="3" t="s">
        <v>142</v>
      </c>
      <c r="O207" s="3" t="s">
        <v>1546</v>
      </c>
      <c r="P207" s="3" t="s">
        <v>1547</v>
      </c>
      <c r="Q207" s="3">
        <v>1429</v>
      </c>
      <c r="R207" s="3" t="s">
        <v>1533</v>
      </c>
      <c r="S207" s="3" t="s">
        <v>1529</v>
      </c>
      <c r="T207" s="3" t="s">
        <v>1530</v>
      </c>
      <c r="U207" s="3" t="s">
        <v>1534</v>
      </c>
      <c r="V207" s="3" t="s">
        <v>1534</v>
      </c>
      <c r="W207" s="3" t="s">
        <v>1535</v>
      </c>
      <c r="X207" s="3" t="s">
        <v>115</v>
      </c>
      <c r="Y207" s="3">
        <v>2797083304</v>
      </c>
    </row>
    <row r="208" spans="1:25" ht="13.2" x14ac:dyDescent="0.25">
      <c r="A208" s="2">
        <v>46082.537282719903</v>
      </c>
      <c r="B208" s="3" t="b">
        <v>1</v>
      </c>
      <c r="C208" s="3" t="s">
        <v>1548</v>
      </c>
      <c r="D208" s="3" t="s">
        <v>180</v>
      </c>
      <c r="E208" s="3" t="s">
        <v>63</v>
      </c>
      <c r="F208" s="3" t="s">
        <v>1549</v>
      </c>
      <c r="G208" s="3">
        <v>3648</v>
      </c>
      <c r="H208" s="3" t="s">
        <v>590</v>
      </c>
      <c r="I208" s="3">
        <v>55484541</v>
      </c>
      <c r="J208" s="4">
        <v>42449</v>
      </c>
      <c r="K208" s="3" t="s">
        <v>1548</v>
      </c>
      <c r="L208" s="3" t="s">
        <v>30</v>
      </c>
      <c r="M208" s="3" t="s">
        <v>31</v>
      </c>
      <c r="N208" s="3" t="s">
        <v>1550</v>
      </c>
      <c r="O208" s="3" t="s">
        <v>1550</v>
      </c>
      <c r="P208" s="3" t="s">
        <v>1551</v>
      </c>
      <c r="Q208" s="3">
        <v>1430</v>
      </c>
      <c r="R208" s="3" t="s">
        <v>542</v>
      </c>
      <c r="S208" s="3" t="s">
        <v>1552</v>
      </c>
      <c r="T208" s="3" t="s">
        <v>1548</v>
      </c>
      <c r="U208" s="3">
        <v>1161424723</v>
      </c>
      <c r="V208" s="3">
        <v>1136591148</v>
      </c>
      <c r="W208" s="3">
        <v>1161424723</v>
      </c>
      <c r="X208" s="3" t="s">
        <v>140</v>
      </c>
      <c r="Y208" s="3">
        <v>61434327403</v>
      </c>
    </row>
    <row r="209" spans="1:25" ht="13.2" x14ac:dyDescent="0.25">
      <c r="A209" s="2">
        <v>46082.540477604169</v>
      </c>
      <c r="B209" s="3" t="b">
        <v>1</v>
      </c>
      <c r="C209" s="3" t="s">
        <v>1553</v>
      </c>
      <c r="D209" s="3" t="s">
        <v>358</v>
      </c>
      <c r="E209" s="3" t="s">
        <v>581</v>
      </c>
      <c r="F209" s="3" t="s">
        <v>1554</v>
      </c>
      <c r="G209" s="3">
        <v>211551</v>
      </c>
      <c r="H209" s="3" t="s">
        <v>470</v>
      </c>
      <c r="I209" s="3">
        <v>46586199</v>
      </c>
      <c r="J209" s="4">
        <v>38468</v>
      </c>
      <c r="K209" s="3" t="s">
        <v>1555</v>
      </c>
      <c r="L209" s="3" t="s">
        <v>43</v>
      </c>
      <c r="M209" s="3" t="s">
        <v>31</v>
      </c>
      <c r="N209" s="3" t="s">
        <v>240</v>
      </c>
      <c r="O209" s="3" t="s">
        <v>1556</v>
      </c>
      <c r="P209" s="3" t="s">
        <v>1557</v>
      </c>
      <c r="Q209" s="3" t="s">
        <v>1558</v>
      </c>
      <c r="V209" s="3" t="s">
        <v>1559</v>
      </c>
      <c r="X209" s="3" t="s">
        <v>1560</v>
      </c>
      <c r="Y209" s="3" t="s">
        <v>1561</v>
      </c>
    </row>
    <row r="210" spans="1:25" ht="13.2" x14ac:dyDescent="0.25">
      <c r="A210" s="2">
        <v>46082.5637790162</v>
      </c>
      <c r="B210" s="3" t="b">
        <v>1</v>
      </c>
      <c r="C210" s="3" t="s">
        <v>1562</v>
      </c>
      <c r="D210" s="3" t="s">
        <v>26</v>
      </c>
      <c r="E210" s="3" t="s">
        <v>1563</v>
      </c>
      <c r="F210" s="3" t="s">
        <v>1564</v>
      </c>
      <c r="G210" s="3" t="s">
        <v>1565</v>
      </c>
      <c r="H210" s="3" t="s">
        <v>42</v>
      </c>
      <c r="I210" s="3">
        <v>53595476</v>
      </c>
      <c r="J210" s="4">
        <v>41624</v>
      </c>
      <c r="K210" s="3" t="s">
        <v>1562</v>
      </c>
      <c r="L210" s="3" t="s">
        <v>43</v>
      </c>
      <c r="M210" s="3" t="s">
        <v>76</v>
      </c>
      <c r="N210" s="3" t="s">
        <v>44</v>
      </c>
      <c r="O210" s="3" t="s">
        <v>45</v>
      </c>
      <c r="P210" s="3" t="s">
        <v>1566</v>
      </c>
      <c r="Q210" s="3">
        <v>2800</v>
      </c>
      <c r="R210" s="3" t="s">
        <v>1567</v>
      </c>
      <c r="T210" s="3" t="s">
        <v>1562</v>
      </c>
      <c r="U210" s="3">
        <v>1141749061</v>
      </c>
      <c r="V210" s="3">
        <v>1141749061</v>
      </c>
      <c r="X210" s="3" t="s">
        <v>115</v>
      </c>
      <c r="Y210" s="3">
        <v>60947983003</v>
      </c>
    </row>
    <row r="211" spans="1:25" ht="13.2" x14ac:dyDescent="0.25">
      <c r="A211" s="2">
        <v>46082.588040891205</v>
      </c>
      <c r="B211" s="3" t="b">
        <v>1</v>
      </c>
      <c r="C211" s="3" t="s">
        <v>1568</v>
      </c>
      <c r="D211" s="3" t="s">
        <v>26</v>
      </c>
      <c r="E211" s="3" t="s">
        <v>1569</v>
      </c>
      <c r="F211" s="3" t="s">
        <v>1570</v>
      </c>
      <c r="G211" s="3">
        <v>4215</v>
      </c>
      <c r="H211" s="3" t="s">
        <v>318</v>
      </c>
      <c r="I211" s="3">
        <v>50610292</v>
      </c>
      <c r="J211" s="4">
        <v>40551</v>
      </c>
      <c r="K211" s="3" t="s">
        <v>1568</v>
      </c>
      <c r="L211" s="3" t="s">
        <v>43</v>
      </c>
      <c r="M211" s="3" t="s">
        <v>31</v>
      </c>
      <c r="N211" s="3" t="s">
        <v>44</v>
      </c>
      <c r="O211" s="3" t="s">
        <v>1006</v>
      </c>
      <c r="P211" s="3" t="s">
        <v>1571</v>
      </c>
      <c r="Q211" s="3">
        <v>1640</v>
      </c>
      <c r="R211" s="3" t="s">
        <v>1572</v>
      </c>
      <c r="S211" s="3" t="s">
        <v>1570</v>
      </c>
      <c r="T211" s="3" t="s">
        <v>1568</v>
      </c>
      <c r="U211" s="3">
        <v>1131876969</v>
      </c>
      <c r="V211" s="3" t="s">
        <v>1573</v>
      </c>
      <c r="W211" s="3" t="s">
        <v>1574</v>
      </c>
      <c r="X211" s="3" t="s">
        <v>140</v>
      </c>
      <c r="Y211" s="3">
        <v>60841875604</v>
      </c>
    </row>
    <row r="212" spans="1:25" ht="13.2" x14ac:dyDescent="0.25">
      <c r="A212" s="2">
        <v>46082.60040708333</v>
      </c>
      <c r="B212" s="3" t="b">
        <v>0</v>
      </c>
      <c r="C212" s="3" t="s">
        <v>1575</v>
      </c>
      <c r="D212" s="3" t="s">
        <v>180</v>
      </c>
      <c r="E212" s="3" t="s">
        <v>1576</v>
      </c>
      <c r="F212" s="3" t="s">
        <v>1577</v>
      </c>
      <c r="G212" s="3">
        <v>4052</v>
      </c>
      <c r="H212" s="3" t="s">
        <v>452</v>
      </c>
      <c r="I212" s="3">
        <v>55484451</v>
      </c>
      <c r="J212" s="4">
        <v>42446</v>
      </c>
      <c r="K212" s="3" t="s">
        <v>1575</v>
      </c>
      <c r="L212" s="3" t="s">
        <v>43</v>
      </c>
      <c r="M212" s="3" t="s">
        <v>31</v>
      </c>
      <c r="N212" s="3" t="s">
        <v>44</v>
      </c>
      <c r="O212" s="3" t="s">
        <v>44</v>
      </c>
      <c r="P212" s="3" t="s">
        <v>1578</v>
      </c>
      <c r="Q212" s="3">
        <v>1425</v>
      </c>
      <c r="R212" s="3" t="s">
        <v>1579</v>
      </c>
      <c r="S212" s="3" t="s">
        <v>1580</v>
      </c>
      <c r="T212" s="3" t="s">
        <v>1575</v>
      </c>
      <c r="U212" s="3">
        <v>1168020284</v>
      </c>
      <c r="V212" s="3">
        <v>43441500</v>
      </c>
      <c r="X212" s="3" t="s">
        <v>106</v>
      </c>
      <c r="Y212" s="5" t="s">
        <v>1581</v>
      </c>
    </row>
    <row r="213" spans="1:25" ht="13.2" x14ac:dyDescent="0.25">
      <c r="A213" s="2">
        <v>46082.604055462958</v>
      </c>
      <c r="B213" s="3" t="b">
        <v>0</v>
      </c>
      <c r="C213" s="3" t="s">
        <v>1575</v>
      </c>
      <c r="D213" s="3" t="s">
        <v>26</v>
      </c>
      <c r="E213" s="3" t="s">
        <v>1582</v>
      </c>
      <c r="F213" s="3" t="s">
        <v>1577</v>
      </c>
      <c r="G213" s="3">
        <v>4183</v>
      </c>
      <c r="H213" s="3" t="s">
        <v>452</v>
      </c>
      <c r="I213" s="3">
        <v>53583314</v>
      </c>
      <c r="J213" s="4">
        <v>41554</v>
      </c>
      <c r="K213" s="3" t="s">
        <v>1575</v>
      </c>
      <c r="L213" s="3" t="s">
        <v>43</v>
      </c>
      <c r="M213" s="3" t="s">
        <v>31</v>
      </c>
      <c r="N213" s="3" t="s">
        <v>44</v>
      </c>
      <c r="O213" s="3" t="s">
        <v>44</v>
      </c>
      <c r="P213" s="3" t="s">
        <v>1583</v>
      </c>
      <c r="Q213" s="3">
        <v>1425</v>
      </c>
      <c r="R213" s="3" t="s">
        <v>1584</v>
      </c>
      <c r="S213" s="3" t="s">
        <v>1580</v>
      </c>
      <c r="T213" s="3" t="s">
        <v>1575</v>
      </c>
      <c r="U213" s="3">
        <v>1168020284</v>
      </c>
      <c r="V213" s="3">
        <v>43441500</v>
      </c>
      <c r="X213" s="3" t="s">
        <v>106</v>
      </c>
      <c r="Y213" s="3" t="s">
        <v>1585</v>
      </c>
    </row>
    <row r="214" spans="1:25" ht="13.2" x14ac:dyDescent="0.25">
      <c r="A214" s="2">
        <v>46082.619089768516</v>
      </c>
      <c r="B214" s="3" t="b">
        <v>1</v>
      </c>
      <c r="C214" s="3" t="s">
        <v>1586</v>
      </c>
      <c r="D214" s="3" t="s">
        <v>180</v>
      </c>
      <c r="E214" s="3" t="s">
        <v>1587</v>
      </c>
      <c r="F214" s="3" t="s">
        <v>1588</v>
      </c>
      <c r="G214" s="3">
        <v>3694</v>
      </c>
      <c r="H214" s="3" t="s">
        <v>198</v>
      </c>
      <c r="I214" s="3">
        <v>51510602</v>
      </c>
      <c r="J214" s="4">
        <v>40827</v>
      </c>
      <c r="K214" s="3" t="s">
        <v>1589</v>
      </c>
      <c r="L214" s="3" t="s">
        <v>30</v>
      </c>
      <c r="M214" s="3" t="s">
        <v>31</v>
      </c>
      <c r="N214" s="3" t="s">
        <v>142</v>
      </c>
      <c r="O214" s="3" t="s">
        <v>142</v>
      </c>
      <c r="P214" s="3" t="s">
        <v>1590</v>
      </c>
      <c r="Q214" s="3">
        <v>1425</v>
      </c>
      <c r="R214" s="3" t="s">
        <v>1591</v>
      </c>
      <c r="S214" s="3" t="s">
        <v>1588</v>
      </c>
      <c r="T214" s="3" t="s">
        <v>1589</v>
      </c>
      <c r="U214" s="3">
        <v>1149285313</v>
      </c>
      <c r="V214" s="3">
        <v>1149285313</v>
      </c>
      <c r="X214" s="3" t="s">
        <v>115</v>
      </c>
      <c r="Y214" s="3">
        <v>61015142704</v>
      </c>
    </row>
    <row r="215" spans="1:25" ht="13.2" x14ac:dyDescent="0.25">
      <c r="A215" s="2">
        <v>46082.620052199076</v>
      </c>
      <c r="B215" s="3" t="b">
        <v>1</v>
      </c>
      <c r="C215" s="3" t="s">
        <v>1592</v>
      </c>
      <c r="D215" s="3" t="s">
        <v>358</v>
      </c>
      <c r="E215" s="3" t="s">
        <v>1593</v>
      </c>
      <c r="F215" s="3" t="s">
        <v>1594</v>
      </c>
      <c r="G215" s="3">
        <v>226497</v>
      </c>
      <c r="H215" s="3" t="s">
        <v>1275</v>
      </c>
      <c r="I215" s="3">
        <v>52768323</v>
      </c>
      <c r="J215" s="4">
        <v>41198</v>
      </c>
      <c r="K215" s="3" t="s">
        <v>1595</v>
      </c>
      <c r="L215" s="3" t="s">
        <v>43</v>
      </c>
      <c r="M215" s="3" t="s">
        <v>31</v>
      </c>
      <c r="N215" s="3" t="s">
        <v>1596</v>
      </c>
      <c r="O215" s="3" t="s">
        <v>1597</v>
      </c>
      <c r="P215" s="3" t="s">
        <v>1598</v>
      </c>
      <c r="Q215" s="3">
        <v>1638</v>
      </c>
      <c r="R215" s="3" t="s">
        <v>1599</v>
      </c>
      <c r="S215" s="3" t="s">
        <v>1600</v>
      </c>
      <c r="T215" s="3" t="s">
        <v>1595</v>
      </c>
      <c r="U215" s="3">
        <v>5491154107295</v>
      </c>
      <c r="V215" s="3">
        <v>5491144175793</v>
      </c>
      <c r="W215" s="3">
        <v>5491154107295</v>
      </c>
      <c r="X215" s="3" t="s">
        <v>968</v>
      </c>
      <c r="Y215" s="3">
        <v>60870545304</v>
      </c>
    </row>
    <row r="216" spans="1:25" ht="13.2" x14ac:dyDescent="0.25">
      <c r="A216" s="2">
        <v>46082.621177534718</v>
      </c>
      <c r="B216" s="3" t="b">
        <v>1</v>
      </c>
      <c r="C216" s="3" t="s">
        <v>1586</v>
      </c>
      <c r="D216" s="3" t="s">
        <v>180</v>
      </c>
      <c r="E216" s="3" t="s">
        <v>63</v>
      </c>
      <c r="F216" s="3" t="s">
        <v>1588</v>
      </c>
      <c r="G216" s="3">
        <v>3137</v>
      </c>
      <c r="H216" s="3" t="s">
        <v>198</v>
      </c>
      <c r="I216" s="3">
        <v>51510603</v>
      </c>
      <c r="J216" s="4">
        <v>40827</v>
      </c>
      <c r="K216" s="3" t="s">
        <v>1589</v>
      </c>
      <c r="L216" s="3" t="s">
        <v>30</v>
      </c>
      <c r="M216" s="3" t="s">
        <v>31</v>
      </c>
      <c r="N216" s="3" t="s">
        <v>142</v>
      </c>
      <c r="O216" s="3" t="s">
        <v>142</v>
      </c>
      <c r="P216" s="3" t="s">
        <v>1590</v>
      </c>
      <c r="Q216" s="3">
        <v>1425</v>
      </c>
      <c r="R216" s="3" t="s">
        <v>879</v>
      </c>
      <c r="S216" s="3" t="s">
        <v>1588</v>
      </c>
      <c r="T216" s="3" t="s">
        <v>1589</v>
      </c>
      <c r="U216" s="3">
        <v>1149285313</v>
      </c>
      <c r="V216" s="3">
        <v>1149285313</v>
      </c>
      <c r="X216" s="3" t="s">
        <v>115</v>
      </c>
      <c r="Y216" s="3">
        <v>61015142703</v>
      </c>
    </row>
    <row r="217" spans="1:25" ht="13.2" x14ac:dyDescent="0.25">
      <c r="A217" s="2">
        <v>46082.653039756944</v>
      </c>
      <c r="B217" s="3" t="b">
        <v>1</v>
      </c>
      <c r="C217" s="3" t="s">
        <v>1601</v>
      </c>
      <c r="D217" s="3" t="s">
        <v>180</v>
      </c>
      <c r="E217" s="3" t="s">
        <v>1218</v>
      </c>
      <c r="F217" s="3" t="s">
        <v>1602</v>
      </c>
      <c r="G217" s="3">
        <v>3742</v>
      </c>
      <c r="H217" s="3" t="s">
        <v>65</v>
      </c>
      <c r="I217" s="3">
        <v>54124225</v>
      </c>
      <c r="J217" s="4">
        <v>41838</v>
      </c>
      <c r="K217" s="3" t="s">
        <v>1603</v>
      </c>
      <c r="L217" s="3" t="s">
        <v>30</v>
      </c>
      <c r="M217" s="3" t="s">
        <v>76</v>
      </c>
      <c r="N217" s="3" t="s">
        <v>44</v>
      </c>
      <c r="O217" s="3" t="s">
        <v>302</v>
      </c>
      <c r="P217" s="3" t="s">
        <v>1604</v>
      </c>
      <c r="Q217" s="3">
        <v>2930</v>
      </c>
      <c r="R217" s="3" t="s">
        <v>1605</v>
      </c>
      <c r="S217" s="3" t="s">
        <v>1606</v>
      </c>
      <c r="T217" s="3" t="s">
        <v>1601</v>
      </c>
      <c r="U217" s="3">
        <v>3329669841</v>
      </c>
      <c r="V217" s="3">
        <v>3329598620</v>
      </c>
      <c r="X217" s="3" t="s">
        <v>1607</v>
      </c>
      <c r="Y217" s="5" t="s">
        <v>1608</v>
      </c>
    </row>
    <row r="218" spans="1:25" ht="13.2" x14ac:dyDescent="0.25">
      <c r="A218" s="2">
        <v>46082.658347280092</v>
      </c>
      <c r="B218" s="3" t="b">
        <v>1</v>
      </c>
      <c r="C218" s="3" t="s">
        <v>1609</v>
      </c>
      <c r="D218" s="3" t="s">
        <v>26</v>
      </c>
      <c r="E218" s="3" t="s">
        <v>1610</v>
      </c>
      <c r="F218" s="3" t="s">
        <v>1611</v>
      </c>
      <c r="G218" s="3">
        <v>3685</v>
      </c>
      <c r="H218" s="3" t="s">
        <v>352</v>
      </c>
      <c r="I218" s="3">
        <v>52168000</v>
      </c>
      <c r="J218" s="4">
        <v>40987</v>
      </c>
      <c r="K218" s="3" t="s">
        <v>1612</v>
      </c>
      <c r="L218" s="3" t="s">
        <v>43</v>
      </c>
      <c r="M218" s="3" t="s">
        <v>76</v>
      </c>
      <c r="N218" s="3" t="s">
        <v>285</v>
      </c>
      <c r="O218" s="3" t="s">
        <v>102</v>
      </c>
      <c r="P218" s="3" t="s">
        <v>1613</v>
      </c>
      <c r="Q218" s="3">
        <v>1641</v>
      </c>
      <c r="R218" s="3" t="s">
        <v>1338</v>
      </c>
      <c r="S218" s="3" t="s">
        <v>1611</v>
      </c>
      <c r="T218" s="3" t="s">
        <v>1609</v>
      </c>
      <c r="U218" s="3">
        <v>1155770173</v>
      </c>
      <c r="V218" s="3" t="s">
        <v>1614</v>
      </c>
      <c r="W218" s="3" t="s">
        <v>1615</v>
      </c>
      <c r="X218" s="3" t="s">
        <v>115</v>
      </c>
      <c r="Y218" s="3" t="s">
        <v>1616</v>
      </c>
    </row>
    <row r="219" spans="1:25" ht="13.2" x14ac:dyDescent="0.25">
      <c r="A219" s="2">
        <v>46082.663486724538</v>
      </c>
      <c r="B219" s="3" t="b">
        <v>1</v>
      </c>
      <c r="C219" s="3" t="s">
        <v>1617</v>
      </c>
      <c r="D219" s="3" t="s">
        <v>26</v>
      </c>
      <c r="E219" s="3" t="s">
        <v>288</v>
      </c>
      <c r="F219" s="3" t="s">
        <v>1611</v>
      </c>
      <c r="G219" s="3">
        <v>3620</v>
      </c>
      <c r="H219" s="3" t="s">
        <v>352</v>
      </c>
      <c r="I219" s="3">
        <v>53972454</v>
      </c>
      <c r="J219" s="4">
        <v>41839</v>
      </c>
      <c r="K219" s="3" t="s">
        <v>1612</v>
      </c>
      <c r="L219" s="3" t="s">
        <v>43</v>
      </c>
      <c r="M219" s="3" t="s">
        <v>76</v>
      </c>
      <c r="N219" s="3" t="s">
        <v>285</v>
      </c>
      <c r="O219" s="3" t="s">
        <v>172</v>
      </c>
      <c r="P219" s="3" t="s">
        <v>1618</v>
      </c>
      <c r="Q219" s="3">
        <v>1641</v>
      </c>
      <c r="R219" s="3" t="s">
        <v>1619</v>
      </c>
      <c r="S219" s="3" t="s">
        <v>1611</v>
      </c>
      <c r="T219" s="3" t="s">
        <v>1609</v>
      </c>
      <c r="U219" s="3">
        <v>1155770173</v>
      </c>
      <c r="V219" s="3" t="s">
        <v>1614</v>
      </c>
      <c r="W219" s="3" t="s">
        <v>1615</v>
      </c>
      <c r="X219" s="3" t="s">
        <v>115</v>
      </c>
      <c r="Y219" s="3" t="s">
        <v>1620</v>
      </c>
    </row>
    <row r="220" spans="1:25" ht="13.2" x14ac:dyDescent="0.25">
      <c r="A220" s="2">
        <v>46082.700765416666</v>
      </c>
      <c r="B220" s="3" t="b">
        <v>0</v>
      </c>
      <c r="C220" s="3" t="s">
        <v>1621</v>
      </c>
      <c r="D220" s="3" t="s">
        <v>366</v>
      </c>
      <c r="E220" s="3" t="s">
        <v>1199</v>
      </c>
      <c r="F220" s="3" t="s">
        <v>1622</v>
      </c>
      <c r="G220" s="3">
        <v>12</v>
      </c>
      <c r="H220" s="3" t="s">
        <v>1275</v>
      </c>
      <c r="I220" s="3">
        <v>47436764</v>
      </c>
      <c r="J220" s="4">
        <v>46082</v>
      </c>
      <c r="K220" s="3" t="s">
        <v>1621</v>
      </c>
      <c r="L220" s="3" t="s">
        <v>43</v>
      </c>
      <c r="M220" s="3" t="s">
        <v>1623</v>
      </c>
      <c r="N220" s="3" t="s">
        <v>240</v>
      </c>
      <c r="O220" s="3" t="s">
        <v>1624</v>
      </c>
      <c r="P220" s="3" t="s">
        <v>1625</v>
      </c>
      <c r="Q220" s="3">
        <v>1613</v>
      </c>
      <c r="R220" s="3" t="s">
        <v>1626</v>
      </c>
      <c r="S220" s="3" t="s">
        <v>1626</v>
      </c>
      <c r="T220" s="3" t="s">
        <v>1626</v>
      </c>
      <c r="U220" s="3" t="s">
        <v>1626</v>
      </c>
      <c r="V220" s="3" t="s">
        <v>1626</v>
      </c>
      <c r="W220" s="3" t="s">
        <v>1626</v>
      </c>
      <c r="X220" s="3" t="s">
        <v>1627</v>
      </c>
      <c r="Y220" s="3" t="s">
        <v>1626</v>
      </c>
    </row>
    <row r="221" spans="1:25" ht="13.2" x14ac:dyDescent="0.25">
      <c r="A221" s="2">
        <v>46082.70340648148</v>
      </c>
      <c r="B221" s="3" t="b">
        <v>1</v>
      </c>
      <c r="C221" s="3" t="s">
        <v>1628</v>
      </c>
      <c r="D221" s="3" t="s">
        <v>358</v>
      </c>
      <c r="E221" s="3" t="s">
        <v>300</v>
      </c>
      <c r="F221" s="3" t="s">
        <v>1629</v>
      </c>
      <c r="G221" s="3">
        <v>210051</v>
      </c>
      <c r="H221" s="3" t="s">
        <v>352</v>
      </c>
      <c r="I221" s="3">
        <v>50701994</v>
      </c>
      <c r="J221" s="4">
        <v>40526</v>
      </c>
      <c r="K221" s="3" t="s">
        <v>1628</v>
      </c>
      <c r="L221" s="3" t="s">
        <v>43</v>
      </c>
      <c r="M221" s="3" t="s">
        <v>31</v>
      </c>
      <c r="N221" s="3" t="s">
        <v>44</v>
      </c>
      <c r="O221" s="3" t="s">
        <v>111</v>
      </c>
      <c r="P221" s="3" t="s">
        <v>1630</v>
      </c>
      <c r="Q221" s="3">
        <v>1648</v>
      </c>
      <c r="R221" s="3" t="s">
        <v>1199</v>
      </c>
      <c r="S221" s="3" t="s">
        <v>1629</v>
      </c>
      <c r="T221" s="3" t="s">
        <v>1631</v>
      </c>
      <c r="U221" s="3" t="s">
        <v>1632</v>
      </c>
      <c r="V221" s="3" t="s">
        <v>1632</v>
      </c>
      <c r="W221" s="3" t="s">
        <v>1633</v>
      </c>
      <c r="X221" s="3" t="s">
        <v>115</v>
      </c>
      <c r="Y221" s="3">
        <v>61022833003</v>
      </c>
    </row>
    <row r="222" spans="1:25" ht="13.2" x14ac:dyDescent="0.25">
      <c r="A222" s="2">
        <v>46082.709126134258</v>
      </c>
      <c r="B222" s="3" t="b">
        <v>0</v>
      </c>
      <c r="C222" s="3" t="s">
        <v>1634</v>
      </c>
      <c r="D222" s="3" t="s">
        <v>366</v>
      </c>
      <c r="E222" s="3" t="s">
        <v>1635</v>
      </c>
      <c r="F222" s="3" t="s">
        <v>1636</v>
      </c>
      <c r="G222" s="3">
        <v>210184</v>
      </c>
      <c r="H222" s="3" t="s">
        <v>198</v>
      </c>
      <c r="I222" s="3">
        <v>47866955</v>
      </c>
      <c r="J222" s="4">
        <v>39329</v>
      </c>
      <c r="K222" s="3" t="s">
        <v>1634</v>
      </c>
      <c r="L222" s="3" t="s">
        <v>43</v>
      </c>
      <c r="M222" s="3" t="s">
        <v>31</v>
      </c>
      <c r="N222" s="3" t="s">
        <v>92</v>
      </c>
      <c r="O222" s="3" t="s">
        <v>92</v>
      </c>
      <c r="P222" s="3" t="s">
        <v>1637</v>
      </c>
      <c r="Q222" s="3">
        <v>1419</v>
      </c>
      <c r="R222" s="3" t="s">
        <v>1638</v>
      </c>
      <c r="S222" s="3" t="s">
        <v>1639</v>
      </c>
      <c r="T222" s="3" t="s">
        <v>1634</v>
      </c>
      <c r="U222" s="3" t="s">
        <v>1640</v>
      </c>
      <c r="V222" s="3" t="s">
        <v>1640</v>
      </c>
      <c r="W222" s="3" t="s">
        <v>1641</v>
      </c>
      <c r="X222" s="3" t="s">
        <v>1642</v>
      </c>
      <c r="Y222" s="3">
        <v>47866955</v>
      </c>
    </row>
    <row r="223" spans="1:25" ht="13.2" x14ac:dyDescent="0.25">
      <c r="A223" s="2">
        <v>46082.71203145833</v>
      </c>
      <c r="B223" s="3" t="b">
        <v>1</v>
      </c>
      <c r="C223" s="3" t="s">
        <v>1643</v>
      </c>
      <c r="D223" s="3" t="s">
        <v>26</v>
      </c>
      <c r="E223" s="3" t="s">
        <v>1199</v>
      </c>
      <c r="F223" s="3" t="s">
        <v>1644</v>
      </c>
      <c r="G223" s="3">
        <v>4030</v>
      </c>
      <c r="H223" s="3" t="s">
        <v>458</v>
      </c>
      <c r="I223" s="3">
        <v>51358051</v>
      </c>
      <c r="J223" s="4">
        <v>40784</v>
      </c>
      <c r="K223" s="3" t="s">
        <v>1643</v>
      </c>
      <c r="L223" s="3" t="s">
        <v>43</v>
      </c>
      <c r="M223" s="3" t="s">
        <v>31</v>
      </c>
      <c r="N223" s="3" t="s">
        <v>32</v>
      </c>
      <c r="O223" s="3" t="s">
        <v>1645</v>
      </c>
      <c r="P223" s="3" t="s">
        <v>1646</v>
      </c>
      <c r="Q223" s="3">
        <v>2000</v>
      </c>
      <c r="R223" s="3" t="s">
        <v>1647</v>
      </c>
      <c r="S223" s="3" t="s">
        <v>1648</v>
      </c>
      <c r="T223" s="3" t="s">
        <v>1643</v>
      </c>
      <c r="U223" s="3">
        <v>3413213222</v>
      </c>
      <c r="V223" s="3">
        <v>3413213222</v>
      </c>
      <c r="W223" s="3">
        <v>3416754930</v>
      </c>
      <c r="X223" s="3" t="s">
        <v>1649</v>
      </c>
      <c r="Y223" s="3" t="s">
        <v>1650</v>
      </c>
    </row>
    <row r="224" spans="1:25" ht="13.2" x14ac:dyDescent="0.25">
      <c r="A224" s="2">
        <v>46082.713557662035</v>
      </c>
      <c r="B224" s="3" t="b">
        <v>1</v>
      </c>
      <c r="C224" s="3" t="s">
        <v>1651</v>
      </c>
      <c r="D224" s="3" t="s">
        <v>180</v>
      </c>
      <c r="E224" s="3" t="s">
        <v>827</v>
      </c>
      <c r="F224" s="3" t="s">
        <v>1652</v>
      </c>
      <c r="G224" s="5" t="s">
        <v>897</v>
      </c>
      <c r="H224" s="3" t="s">
        <v>318</v>
      </c>
      <c r="I224" s="3">
        <v>53856876</v>
      </c>
      <c r="J224" s="4">
        <v>41715</v>
      </c>
      <c r="K224" s="3" t="s">
        <v>1651</v>
      </c>
      <c r="L224" s="3" t="s">
        <v>43</v>
      </c>
      <c r="M224" s="3" t="s">
        <v>31</v>
      </c>
      <c r="N224" s="3" t="s">
        <v>92</v>
      </c>
      <c r="O224" s="3" t="s">
        <v>92</v>
      </c>
      <c r="P224" s="3" t="s">
        <v>1653</v>
      </c>
      <c r="Q224" s="3">
        <v>1424</v>
      </c>
      <c r="R224" s="3" t="s">
        <v>1654</v>
      </c>
      <c r="S224" s="3" t="s">
        <v>1655</v>
      </c>
      <c r="T224" s="3" t="s">
        <v>1656</v>
      </c>
      <c r="U224" s="3">
        <v>1135905608</v>
      </c>
      <c r="V224" s="3">
        <v>1135905608</v>
      </c>
      <c r="W224" s="3">
        <v>1140281690</v>
      </c>
      <c r="X224" s="3" t="s">
        <v>392</v>
      </c>
      <c r="Y224" s="3">
        <v>60737624304</v>
      </c>
    </row>
    <row r="225" spans="1:46" ht="13.2" x14ac:dyDescent="0.25">
      <c r="A225" s="2">
        <v>46082.759289525464</v>
      </c>
      <c r="B225" s="3" t="b">
        <v>1</v>
      </c>
      <c r="C225" s="3" t="s">
        <v>1657</v>
      </c>
      <c r="D225" s="3" t="s">
        <v>26</v>
      </c>
      <c r="E225" s="3" t="s">
        <v>1658</v>
      </c>
      <c r="F225" s="3" t="s">
        <v>1659</v>
      </c>
      <c r="G225" s="3">
        <v>4257</v>
      </c>
      <c r="H225" s="3" t="s">
        <v>352</v>
      </c>
      <c r="I225" s="3">
        <v>51066390</v>
      </c>
      <c r="J225" s="4">
        <v>40625</v>
      </c>
      <c r="K225" s="3" t="s">
        <v>1657</v>
      </c>
      <c r="L225" s="3" t="s">
        <v>43</v>
      </c>
      <c r="M225" s="3" t="s">
        <v>31</v>
      </c>
      <c r="N225" s="3" t="s">
        <v>44</v>
      </c>
      <c r="O225" s="3" t="s">
        <v>791</v>
      </c>
      <c r="P225" s="3" t="s">
        <v>1660</v>
      </c>
      <c r="Q225" s="3">
        <v>1644</v>
      </c>
      <c r="R225" s="3" t="s">
        <v>1357</v>
      </c>
      <c r="S225" s="3" t="s">
        <v>1659</v>
      </c>
      <c r="T225" s="3" t="s">
        <v>1657</v>
      </c>
      <c r="U225" s="3">
        <v>1164825593</v>
      </c>
      <c r="V225" s="3">
        <v>1164825593</v>
      </c>
      <c r="X225" s="3" t="s">
        <v>1661</v>
      </c>
      <c r="Y225" s="3" t="s">
        <v>1662</v>
      </c>
    </row>
    <row r="226" spans="1:46" ht="13.2" x14ac:dyDescent="0.25">
      <c r="A226" s="2">
        <v>46082.765971643516</v>
      </c>
      <c r="B226" s="3" t="b">
        <v>1</v>
      </c>
      <c r="C226" s="3" t="s">
        <v>1663</v>
      </c>
      <c r="D226" s="3" t="s">
        <v>180</v>
      </c>
      <c r="E226" s="3" t="s">
        <v>841</v>
      </c>
      <c r="F226" s="3" t="s">
        <v>1664</v>
      </c>
      <c r="G226" s="3">
        <v>3433</v>
      </c>
      <c r="H226" s="3" t="s">
        <v>326</v>
      </c>
      <c r="I226" s="3">
        <v>55657887</v>
      </c>
      <c r="J226" s="4">
        <v>42066</v>
      </c>
      <c r="K226" s="3" t="s">
        <v>1663</v>
      </c>
      <c r="L226" s="3" t="s">
        <v>30</v>
      </c>
      <c r="M226" s="3" t="s">
        <v>31</v>
      </c>
      <c r="N226" s="3" t="s">
        <v>285</v>
      </c>
      <c r="O226" s="3" t="s">
        <v>327</v>
      </c>
      <c r="P226" s="3" t="s">
        <v>1665</v>
      </c>
      <c r="Q226" s="3">
        <v>1900</v>
      </c>
      <c r="R226" s="3" t="s">
        <v>1666</v>
      </c>
      <c r="S226" s="3" t="s">
        <v>1667</v>
      </c>
      <c r="T226" s="3" t="s">
        <v>1668</v>
      </c>
      <c r="U226" s="3" t="s">
        <v>1669</v>
      </c>
      <c r="V226" s="3">
        <v>2214956406</v>
      </c>
      <c r="W226" s="3">
        <v>2215734427</v>
      </c>
      <c r="X226" s="3" t="s">
        <v>115</v>
      </c>
      <c r="Y226" s="3">
        <v>3433</v>
      </c>
    </row>
    <row r="227" spans="1:46" ht="13.2" x14ac:dyDescent="0.25">
      <c r="A227" s="2">
        <v>46082.787512812502</v>
      </c>
      <c r="B227" s="3" t="b">
        <v>0</v>
      </c>
      <c r="C227" s="3" t="s">
        <v>1670</v>
      </c>
      <c r="D227" s="3" t="s">
        <v>358</v>
      </c>
      <c r="E227" s="3" t="s">
        <v>194</v>
      </c>
      <c r="F227" s="3" t="s">
        <v>1671</v>
      </c>
      <c r="G227" s="3">
        <v>221117</v>
      </c>
      <c r="H227" s="3" t="s">
        <v>452</v>
      </c>
      <c r="I227" s="3">
        <v>26562029</v>
      </c>
      <c r="J227" s="4">
        <v>28571</v>
      </c>
      <c r="K227" s="3" t="s">
        <v>1672</v>
      </c>
      <c r="L227" s="3" t="s">
        <v>43</v>
      </c>
      <c r="M227" s="3" t="s">
        <v>76</v>
      </c>
      <c r="N227" s="3" t="s">
        <v>551</v>
      </c>
      <c r="O227" s="3" t="s">
        <v>551</v>
      </c>
      <c r="P227" s="3" t="s">
        <v>1673</v>
      </c>
      <c r="Q227" s="3">
        <v>1419</v>
      </c>
      <c r="V227" s="3">
        <v>1168827987</v>
      </c>
      <c r="X227" s="3" t="s">
        <v>1674</v>
      </c>
      <c r="Y227" s="3" t="s">
        <v>1675</v>
      </c>
    </row>
    <row r="228" spans="1:46" ht="13.2" x14ac:dyDescent="0.25">
      <c r="A228" s="2">
        <v>46082.798475856485</v>
      </c>
      <c r="B228" s="3" t="b">
        <v>0</v>
      </c>
      <c r="C228" s="3" t="s">
        <v>677</v>
      </c>
      <c r="D228" s="3" t="s">
        <v>26</v>
      </c>
      <c r="E228" s="3" t="s">
        <v>1676</v>
      </c>
      <c r="F228" s="3" t="s">
        <v>686</v>
      </c>
      <c r="G228" s="3">
        <v>4048</v>
      </c>
      <c r="H228" s="3" t="s">
        <v>74</v>
      </c>
      <c r="I228" s="3">
        <v>53240699</v>
      </c>
      <c r="J228" s="4">
        <v>41423</v>
      </c>
      <c r="K228" s="3" t="s">
        <v>677</v>
      </c>
      <c r="L228" s="3" t="s">
        <v>30</v>
      </c>
      <c r="M228" s="3" t="s">
        <v>31</v>
      </c>
      <c r="N228" s="3" t="s">
        <v>680</v>
      </c>
      <c r="O228" s="3" t="s">
        <v>92</v>
      </c>
      <c r="P228" s="3" t="s">
        <v>681</v>
      </c>
      <c r="Q228" s="3">
        <v>1428</v>
      </c>
      <c r="R228" s="3" t="s">
        <v>682</v>
      </c>
      <c r="S228" s="3" t="s">
        <v>1677</v>
      </c>
      <c r="T228" s="3" t="s">
        <v>677</v>
      </c>
      <c r="U228" s="3">
        <v>1121700524</v>
      </c>
      <c r="V228" s="3">
        <v>1121700524</v>
      </c>
      <c r="X228" s="3" t="s">
        <v>211</v>
      </c>
      <c r="Y228" s="3">
        <v>61360212803</v>
      </c>
    </row>
    <row r="229" spans="1:46" ht="13.2" x14ac:dyDescent="0.25">
      <c r="A229" s="2">
        <v>46082.808547164357</v>
      </c>
      <c r="B229" s="3" t="b">
        <v>1</v>
      </c>
      <c r="C229" s="3" t="s">
        <v>1678</v>
      </c>
      <c r="D229" s="3" t="s">
        <v>26</v>
      </c>
      <c r="E229" s="3" t="s">
        <v>1679</v>
      </c>
      <c r="F229" s="3" t="s">
        <v>1680</v>
      </c>
      <c r="G229" s="3">
        <v>4064</v>
      </c>
      <c r="H229" s="3" t="s">
        <v>42</v>
      </c>
      <c r="I229" s="3">
        <v>54297764</v>
      </c>
      <c r="J229" s="4">
        <v>41886</v>
      </c>
      <c r="K229" s="3" t="s">
        <v>1678</v>
      </c>
      <c r="L229" s="3" t="s">
        <v>30</v>
      </c>
      <c r="M229" s="3" t="s">
        <v>293</v>
      </c>
      <c r="N229" s="3" t="s">
        <v>55</v>
      </c>
      <c r="O229" s="3" t="s">
        <v>1681</v>
      </c>
      <c r="P229" s="3" t="s">
        <v>1682</v>
      </c>
      <c r="Q229" s="3">
        <v>2800</v>
      </c>
      <c r="R229" s="3" t="s">
        <v>1683</v>
      </c>
      <c r="S229" s="3" t="s">
        <v>1684</v>
      </c>
      <c r="T229" s="3" t="s">
        <v>1678</v>
      </c>
      <c r="U229" s="3">
        <v>3487536965</v>
      </c>
      <c r="V229" s="3">
        <v>3487471784</v>
      </c>
      <c r="W229" s="3">
        <v>3487537556</v>
      </c>
      <c r="X229" s="3" t="s">
        <v>70</v>
      </c>
      <c r="Y229" s="3">
        <v>228267863803</v>
      </c>
    </row>
    <row r="230" spans="1:46" ht="13.2" x14ac:dyDescent="0.25">
      <c r="A230" s="2">
        <v>46082.810732731479</v>
      </c>
      <c r="B230" s="3" t="b">
        <v>1</v>
      </c>
      <c r="C230" s="3" t="s">
        <v>1678</v>
      </c>
      <c r="D230" s="3" t="s">
        <v>26</v>
      </c>
      <c r="E230" s="3" t="s">
        <v>1685</v>
      </c>
      <c r="F230" s="3" t="s">
        <v>1680</v>
      </c>
      <c r="G230" s="3">
        <v>4093</v>
      </c>
      <c r="H230" s="3" t="s">
        <v>42</v>
      </c>
      <c r="I230" s="3">
        <v>52136031</v>
      </c>
      <c r="J230" s="4">
        <v>40917</v>
      </c>
      <c r="K230" s="3" t="s">
        <v>1678</v>
      </c>
      <c r="L230" s="3" t="s">
        <v>43</v>
      </c>
      <c r="M230" s="3" t="s">
        <v>293</v>
      </c>
      <c r="N230" s="3" t="s">
        <v>55</v>
      </c>
      <c r="O230" s="3" t="s">
        <v>1681</v>
      </c>
      <c r="P230" s="3" t="s">
        <v>1682</v>
      </c>
      <c r="Q230" s="3">
        <v>2800</v>
      </c>
      <c r="R230" s="3" t="s">
        <v>1686</v>
      </c>
      <c r="S230" s="3" t="s">
        <v>1683</v>
      </c>
      <c r="T230" s="3" t="s">
        <v>1678</v>
      </c>
      <c r="U230" s="3">
        <v>3487536965</v>
      </c>
      <c r="V230" s="3">
        <v>3487471784</v>
      </c>
      <c r="W230" s="3">
        <v>3487537556</v>
      </c>
      <c r="X230" s="3" t="s">
        <v>70</v>
      </c>
      <c r="Y230" s="3">
        <v>228267863802</v>
      </c>
    </row>
    <row r="231" spans="1:46" ht="13.2" x14ac:dyDescent="0.25">
      <c r="A231" s="2">
        <v>46082.818629398149</v>
      </c>
      <c r="B231" s="3" t="b">
        <v>1</v>
      </c>
      <c r="C231" s="3" t="s">
        <v>1687</v>
      </c>
      <c r="D231" s="3" t="s">
        <v>497</v>
      </c>
      <c r="E231" s="3" t="s">
        <v>144</v>
      </c>
      <c r="F231" s="3" t="s">
        <v>1688</v>
      </c>
      <c r="G231" s="3">
        <v>201979</v>
      </c>
      <c r="H231" s="3" t="s">
        <v>452</v>
      </c>
      <c r="I231" s="3">
        <v>50233575</v>
      </c>
      <c r="J231" s="4">
        <v>40252</v>
      </c>
      <c r="K231" s="3" t="s">
        <v>1687</v>
      </c>
      <c r="L231" s="3" t="s">
        <v>43</v>
      </c>
      <c r="M231" s="3" t="s">
        <v>31</v>
      </c>
      <c r="N231" s="3" t="s">
        <v>44</v>
      </c>
      <c r="O231" s="3" t="s">
        <v>1689</v>
      </c>
      <c r="P231" s="3" t="s">
        <v>1690</v>
      </c>
      <c r="Q231" s="3">
        <v>1636</v>
      </c>
      <c r="R231" s="3" t="s">
        <v>1691</v>
      </c>
      <c r="S231" s="3" t="s">
        <v>1692</v>
      </c>
      <c r="T231" s="3" t="s">
        <v>1687</v>
      </c>
      <c r="U231" s="3">
        <v>1131802356</v>
      </c>
      <c r="V231" s="3">
        <v>1131802356</v>
      </c>
      <c r="W231" s="3">
        <v>1131802228</v>
      </c>
      <c r="X231" s="3" t="s">
        <v>211</v>
      </c>
      <c r="Y231" s="3">
        <v>60932542503</v>
      </c>
    </row>
    <row r="232" spans="1:46" ht="13.2" x14ac:dyDescent="0.25">
      <c r="A232" s="2">
        <v>46082.820505162032</v>
      </c>
      <c r="B232" s="3" t="b">
        <v>1</v>
      </c>
      <c r="C232" s="3" t="s">
        <v>1693</v>
      </c>
      <c r="D232" s="3" t="s">
        <v>26</v>
      </c>
      <c r="E232" s="3" t="s">
        <v>1694</v>
      </c>
      <c r="F232" s="3" t="s">
        <v>1695</v>
      </c>
      <c r="G232" s="3">
        <v>4196</v>
      </c>
      <c r="H232" s="3" t="s">
        <v>843</v>
      </c>
      <c r="I232" s="3">
        <v>52764512</v>
      </c>
      <c r="J232" s="4">
        <v>41194</v>
      </c>
      <c r="K232" s="3" t="s">
        <v>1693</v>
      </c>
      <c r="L232" s="3" t="s">
        <v>43</v>
      </c>
      <c r="M232" s="3" t="s">
        <v>31</v>
      </c>
      <c r="N232" s="3" t="s">
        <v>44</v>
      </c>
      <c r="O232" s="3" t="s">
        <v>1696</v>
      </c>
      <c r="P232" s="3" t="s">
        <v>1697</v>
      </c>
      <c r="Q232" s="3">
        <v>1430</v>
      </c>
      <c r="R232" s="3" t="s">
        <v>1378</v>
      </c>
      <c r="S232" s="3" t="s">
        <v>756</v>
      </c>
      <c r="T232" s="3" t="s">
        <v>1693</v>
      </c>
      <c r="U232" s="3">
        <v>1151082053</v>
      </c>
      <c r="V232" s="3">
        <v>1151082053</v>
      </c>
      <c r="W232" s="3">
        <v>1151014498</v>
      </c>
      <c r="X232" s="3" t="s">
        <v>1698</v>
      </c>
      <c r="Y232" s="3">
        <v>1886469403019</v>
      </c>
    </row>
    <row r="233" spans="1:46" ht="13.2" x14ac:dyDescent="0.25">
      <c r="A233" s="2">
        <v>46082.828464178237</v>
      </c>
      <c r="B233" s="3" t="b">
        <v>0</v>
      </c>
      <c r="C233" s="3" t="s">
        <v>1699</v>
      </c>
      <c r="D233" s="3" t="s">
        <v>1700</v>
      </c>
      <c r="E233" s="3" t="s">
        <v>1701</v>
      </c>
      <c r="F233" s="3" t="s">
        <v>1702</v>
      </c>
      <c r="G233" s="3">
        <v>3042</v>
      </c>
      <c r="H233" s="3" t="s">
        <v>74</v>
      </c>
      <c r="I233" s="3">
        <v>50510057</v>
      </c>
      <c r="J233" s="4">
        <v>40431</v>
      </c>
      <c r="K233" s="3" t="s">
        <v>1703</v>
      </c>
      <c r="L233" s="3" t="s">
        <v>30</v>
      </c>
      <c r="M233" s="3" t="s">
        <v>31</v>
      </c>
      <c r="N233" s="3" t="s">
        <v>1550</v>
      </c>
      <c r="O233" s="3" t="s">
        <v>370</v>
      </c>
      <c r="P233" s="3" t="s">
        <v>1704</v>
      </c>
      <c r="Q233" s="3">
        <v>1426</v>
      </c>
      <c r="R233" s="3" t="s">
        <v>1705</v>
      </c>
      <c r="S233" s="3" t="s">
        <v>1706</v>
      </c>
      <c r="T233" s="3" t="s">
        <v>1707</v>
      </c>
      <c r="U233" s="3">
        <v>1160461122</v>
      </c>
      <c r="V233" s="3">
        <v>1160461122</v>
      </c>
      <c r="W233" s="3" t="s">
        <v>1708</v>
      </c>
      <c r="X233" s="3" t="s">
        <v>1709</v>
      </c>
      <c r="Y233" s="3">
        <v>1020833804039</v>
      </c>
      <c r="Z233" s="3" t="s">
        <v>1710</v>
      </c>
      <c r="AA233" s="3" t="s">
        <v>1711</v>
      </c>
      <c r="AB233" s="3">
        <v>3042</v>
      </c>
      <c r="AC233" s="3" t="s">
        <v>198</v>
      </c>
      <c r="AD233" s="3">
        <v>49932601</v>
      </c>
      <c r="AE233" s="4">
        <v>40147</v>
      </c>
      <c r="AF233" s="3" t="s">
        <v>1699</v>
      </c>
      <c r="AG233" s="3" t="s">
        <v>30</v>
      </c>
      <c r="AH233" s="3" t="s">
        <v>31</v>
      </c>
      <c r="AI233" s="3" t="s">
        <v>44</v>
      </c>
      <c r="AJ233" s="3" t="s">
        <v>102</v>
      </c>
      <c r="AK233" s="3" t="s">
        <v>1712</v>
      </c>
      <c r="AL233" s="3">
        <v>1642</v>
      </c>
      <c r="AM233" s="3" t="s">
        <v>561</v>
      </c>
      <c r="AN233" s="3" t="s">
        <v>1711</v>
      </c>
      <c r="AO233" s="3" t="s">
        <v>1713</v>
      </c>
      <c r="AP233" s="3" t="s">
        <v>1714</v>
      </c>
      <c r="AQ233" s="3" t="s">
        <v>1715</v>
      </c>
      <c r="AR233" s="3" t="s">
        <v>1714</v>
      </c>
      <c r="AS233" s="3" t="s">
        <v>115</v>
      </c>
      <c r="AT233" s="3">
        <v>61468747004</v>
      </c>
    </row>
    <row r="234" spans="1:46" ht="13.2" x14ac:dyDescent="0.25">
      <c r="A234" s="2">
        <v>46082.828591168982</v>
      </c>
      <c r="B234" s="3" t="b">
        <v>1</v>
      </c>
      <c r="C234" s="3" t="s">
        <v>365</v>
      </c>
      <c r="D234" s="3" t="s">
        <v>358</v>
      </c>
      <c r="E234" s="3" t="s">
        <v>1199</v>
      </c>
      <c r="F234" s="3" t="s">
        <v>1716</v>
      </c>
      <c r="G234" s="3">
        <v>182710</v>
      </c>
      <c r="H234" s="3" t="s">
        <v>74</v>
      </c>
      <c r="I234" s="3">
        <v>43243582</v>
      </c>
      <c r="J234" s="4">
        <v>36959</v>
      </c>
      <c r="K234" s="3" t="s">
        <v>365</v>
      </c>
      <c r="L234" s="3" t="s">
        <v>43</v>
      </c>
      <c r="M234" s="3" t="s">
        <v>31</v>
      </c>
      <c r="N234" s="3" t="s">
        <v>44</v>
      </c>
      <c r="O234" s="3" t="s">
        <v>142</v>
      </c>
      <c r="P234" s="3" t="s">
        <v>1717</v>
      </c>
      <c r="Q234" s="3">
        <v>1062</v>
      </c>
      <c r="V234" s="3">
        <v>1551201238</v>
      </c>
      <c r="X234" s="3" t="s">
        <v>392</v>
      </c>
      <c r="Y234" s="3">
        <v>62741179603</v>
      </c>
    </row>
    <row r="235" spans="1:46" ht="13.2" x14ac:dyDescent="0.25">
      <c r="A235" s="2">
        <v>46082.837210532409</v>
      </c>
      <c r="B235" s="3" t="b">
        <v>1</v>
      </c>
      <c r="C235" s="3" t="s">
        <v>1718</v>
      </c>
      <c r="D235" s="3" t="s">
        <v>26</v>
      </c>
      <c r="E235" s="3" t="s">
        <v>1719</v>
      </c>
      <c r="F235" s="3" t="s">
        <v>1720</v>
      </c>
      <c r="G235" s="3" t="s">
        <v>1721</v>
      </c>
      <c r="H235" s="3" t="s">
        <v>318</v>
      </c>
      <c r="I235" s="3">
        <v>51572732</v>
      </c>
      <c r="J235" s="4">
        <v>40719</v>
      </c>
      <c r="K235" s="3" t="s">
        <v>1722</v>
      </c>
      <c r="L235" s="3" t="s">
        <v>43</v>
      </c>
      <c r="M235" s="3" t="s">
        <v>951</v>
      </c>
      <c r="N235" s="3" t="s">
        <v>240</v>
      </c>
      <c r="O235" s="3" t="s">
        <v>286</v>
      </c>
      <c r="P235" s="3" t="s">
        <v>1723</v>
      </c>
      <c r="Q235" s="3">
        <v>1643</v>
      </c>
      <c r="R235" s="3" t="s">
        <v>359</v>
      </c>
      <c r="S235" s="3" t="s">
        <v>1720</v>
      </c>
      <c r="T235" s="3" t="s">
        <v>1718</v>
      </c>
      <c r="U235" s="3">
        <v>54587916</v>
      </c>
      <c r="V235" s="3" t="s">
        <v>1724</v>
      </c>
      <c r="W235" s="3" t="s">
        <v>346</v>
      </c>
      <c r="X235" s="3" t="s">
        <v>157</v>
      </c>
      <c r="Y235" s="3">
        <v>601574204</v>
      </c>
    </row>
    <row r="236" spans="1:46" ht="13.2" x14ac:dyDescent="0.25">
      <c r="A236" s="2">
        <v>46082.842246458335</v>
      </c>
      <c r="B236" s="3" t="b">
        <v>0</v>
      </c>
      <c r="C236" s="3" t="s">
        <v>1725</v>
      </c>
      <c r="D236" s="3" t="s">
        <v>180</v>
      </c>
      <c r="E236" s="3" t="s">
        <v>815</v>
      </c>
      <c r="F236" s="3" t="s">
        <v>1726</v>
      </c>
      <c r="G236" s="3">
        <v>4066</v>
      </c>
      <c r="H236" s="3" t="s">
        <v>318</v>
      </c>
      <c r="I236" s="3">
        <v>55069157</v>
      </c>
      <c r="J236" s="4">
        <v>42254</v>
      </c>
      <c r="K236" s="3" t="s">
        <v>1725</v>
      </c>
      <c r="L236" s="3" t="s">
        <v>30</v>
      </c>
      <c r="M236" s="3" t="s">
        <v>31</v>
      </c>
      <c r="N236" s="3" t="s">
        <v>92</v>
      </c>
      <c r="O236" s="3" t="s">
        <v>92</v>
      </c>
      <c r="P236" s="5" t="s">
        <v>1727</v>
      </c>
      <c r="Q236" s="3">
        <v>1428</v>
      </c>
      <c r="R236" s="3" t="s">
        <v>1619</v>
      </c>
      <c r="S236" s="3" t="s">
        <v>1728</v>
      </c>
      <c r="T236" s="3" t="s">
        <v>1725</v>
      </c>
      <c r="U236" s="3">
        <v>1169685759</v>
      </c>
      <c r="V236" s="3">
        <v>1154668166</v>
      </c>
      <c r="W236" s="3">
        <v>1169685759</v>
      </c>
      <c r="X236" s="3" t="s">
        <v>1729</v>
      </c>
      <c r="Y236" s="3" t="s">
        <v>1730</v>
      </c>
    </row>
    <row r="237" spans="1:46" ht="13.2" x14ac:dyDescent="0.25">
      <c r="A237" s="2">
        <v>46082.843331909724</v>
      </c>
      <c r="B237" s="3" t="b">
        <v>1</v>
      </c>
      <c r="C237" s="3" t="s">
        <v>1731</v>
      </c>
      <c r="D237" s="3" t="s">
        <v>26</v>
      </c>
      <c r="E237" s="3" t="s">
        <v>910</v>
      </c>
      <c r="F237" s="3" t="s">
        <v>1732</v>
      </c>
      <c r="G237" s="3">
        <v>4223</v>
      </c>
      <c r="H237" s="3" t="s">
        <v>1401</v>
      </c>
      <c r="I237" s="3">
        <v>53799215</v>
      </c>
      <c r="J237" s="4">
        <v>41658</v>
      </c>
      <c r="K237" s="3" t="s">
        <v>1731</v>
      </c>
      <c r="L237" s="3" t="s">
        <v>43</v>
      </c>
      <c r="M237" s="3" t="s">
        <v>1733</v>
      </c>
      <c r="N237" s="3" t="s">
        <v>32</v>
      </c>
      <c r="O237" s="3" t="s">
        <v>33</v>
      </c>
      <c r="P237" s="3" t="s">
        <v>1734</v>
      </c>
      <c r="Q237" s="3">
        <v>2000</v>
      </c>
      <c r="R237" s="3" t="s">
        <v>1705</v>
      </c>
      <c r="S237" s="3" t="s">
        <v>1732</v>
      </c>
      <c r="T237" s="3" t="s">
        <v>1731</v>
      </c>
      <c r="U237" s="3">
        <v>3413020680</v>
      </c>
      <c r="V237" s="3">
        <v>3413020681</v>
      </c>
      <c r="X237" s="3" t="s">
        <v>60</v>
      </c>
      <c r="Y237" s="3" t="s">
        <v>1735</v>
      </c>
    </row>
    <row r="238" spans="1:46" ht="13.2" x14ac:dyDescent="0.25">
      <c r="A238" s="2">
        <v>46082.845297291671</v>
      </c>
      <c r="B238" s="3" t="b">
        <v>0</v>
      </c>
      <c r="C238" s="3" t="s">
        <v>1725</v>
      </c>
      <c r="D238" s="3" t="s">
        <v>180</v>
      </c>
      <c r="E238" s="3" t="s">
        <v>1736</v>
      </c>
      <c r="F238" s="3" t="s">
        <v>1737</v>
      </c>
      <c r="G238" s="3">
        <v>4291</v>
      </c>
      <c r="H238" s="3" t="s">
        <v>318</v>
      </c>
      <c r="I238" s="3">
        <v>56479684</v>
      </c>
      <c r="J238" s="4">
        <v>42942</v>
      </c>
      <c r="K238" s="3" t="s">
        <v>1725</v>
      </c>
      <c r="L238" s="3" t="s">
        <v>43</v>
      </c>
      <c r="M238" s="3" t="s">
        <v>76</v>
      </c>
      <c r="N238" s="3" t="s">
        <v>92</v>
      </c>
      <c r="O238" s="3" t="s">
        <v>92</v>
      </c>
      <c r="P238" s="5" t="s">
        <v>1727</v>
      </c>
      <c r="Q238" s="3">
        <v>1428</v>
      </c>
      <c r="R238" s="3" t="s">
        <v>1338</v>
      </c>
      <c r="S238" s="3" t="s">
        <v>1728</v>
      </c>
      <c r="T238" s="3" t="s">
        <v>1725</v>
      </c>
      <c r="U238" s="3">
        <v>1169685759</v>
      </c>
      <c r="V238" s="3">
        <v>1154668166</v>
      </c>
      <c r="W238" s="3">
        <v>1169685759</v>
      </c>
      <c r="X238" s="3" t="s">
        <v>1729</v>
      </c>
      <c r="Y238" s="3" t="s">
        <v>1738</v>
      </c>
    </row>
    <row r="239" spans="1:46" ht="13.2" x14ac:dyDescent="0.25">
      <c r="A239" s="2">
        <v>46082.84601090278</v>
      </c>
      <c r="B239" s="3" t="b">
        <v>1</v>
      </c>
      <c r="C239" s="3" t="s">
        <v>1739</v>
      </c>
      <c r="D239" s="3" t="s">
        <v>180</v>
      </c>
      <c r="E239" s="3" t="s">
        <v>331</v>
      </c>
      <c r="F239" s="3" t="s">
        <v>1740</v>
      </c>
      <c r="G239" s="3">
        <v>4048</v>
      </c>
      <c r="H239" s="3" t="s">
        <v>1741</v>
      </c>
      <c r="I239" s="3">
        <v>53329524</v>
      </c>
      <c r="J239" s="4">
        <v>41437</v>
      </c>
      <c r="K239" s="3" t="s">
        <v>1739</v>
      </c>
      <c r="L239" s="3" t="s">
        <v>43</v>
      </c>
      <c r="M239" s="3" t="s">
        <v>31</v>
      </c>
      <c r="N239" s="3" t="s">
        <v>44</v>
      </c>
      <c r="O239" s="3" t="s">
        <v>791</v>
      </c>
      <c r="P239" s="3" t="s">
        <v>1742</v>
      </c>
      <c r="Q239" s="3">
        <v>6007</v>
      </c>
      <c r="R239" s="3" t="s">
        <v>1743</v>
      </c>
      <c r="S239" s="3" t="s">
        <v>1744</v>
      </c>
      <c r="T239" s="3" t="s">
        <v>1739</v>
      </c>
      <c r="U239" s="3" t="s">
        <v>1745</v>
      </c>
      <c r="V239" s="3">
        <v>1149914204</v>
      </c>
      <c r="W239" s="3">
        <v>1165015201</v>
      </c>
      <c r="X239" s="3" t="s">
        <v>1746</v>
      </c>
      <c r="Y239" s="5" t="s">
        <v>1747</v>
      </c>
    </row>
    <row r="240" spans="1:46" ht="13.2" x14ac:dyDescent="0.25">
      <c r="A240" s="2">
        <v>46082.846375717592</v>
      </c>
      <c r="B240" s="3" t="b">
        <v>1</v>
      </c>
      <c r="C240" s="3" t="s">
        <v>1748</v>
      </c>
      <c r="D240" s="3" t="s">
        <v>358</v>
      </c>
      <c r="E240" s="3" t="s">
        <v>1338</v>
      </c>
      <c r="F240" s="3" t="s">
        <v>1749</v>
      </c>
      <c r="G240" s="3">
        <v>210052</v>
      </c>
      <c r="H240" s="3" t="s">
        <v>1275</v>
      </c>
      <c r="I240" s="3">
        <v>46872477</v>
      </c>
      <c r="J240" s="4">
        <v>38610</v>
      </c>
      <c r="K240" s="3" t="s">
        <v>1750</v>
      </c>
      <c r="L240" s="3" t="s">
        <v>43</v>
      </c>
      <c r="M240" s="3" t="s">
        <v>76</v>
      </c>
      <c r="N240" s="3" t="s">
        <v>240</v>
      </c>
      <c r="O240" s="3" t="s">
        <v>142</v>
      </c>
      <c r="P240" s="3" t="s">
        <v>1751</v>
      </c>
      <c r="Q240" s="3">
        <v>1425</v>
      </c>
      <c r="R240" s="3" t="s">
        <v>1752</v>
      </c>
      <c r="S240" s="3" t="s">
        <v>1753</v>
      </c>
      <c r="T240" s="3" t="s">
        <v>1754</v>
      </c>
      <c r="U240" s="3">
        <v>1108006769</v>
      </c>
      <c r="V240" s="3">
        <v>1169830052</v>
      </c>
      <c r="X240" s="3" t="s">
        <v>1755</v>
      </c>
      <c r="Y240" s="3">
        <v>62698449003</v>
      </c>
    </row>
    <row r="241" spans="1:46" ht="13.2" x14ac:dyDescent="0.25">
      <c r="A241" s="2">
        <v>46082.863400115741</v>
      </c>
      <c r="B241" s="3" t="b">
        <v>1</v>
      </c>
      <c r="C241" s="3" t="s">
        <v>1756</v>
      </c>
      <c r="D241" s="3" t="s">
        <v>26</v>
      </c>
      <c r="E241" s="3" t="s">
        <v>889</v>
      </c>
      <c r="F241" s="3" t="s">
        <v>1757</v>
      </c>
      <c r="G241" s="3">
        <v>4267</v>
      </c>
      <c r="H241" s="3" t="s">
        <v>352</v>
      </c>
      <c r="I241" s="3">
        <v>52113290</v>
      </c>
      <c r="J241" s="4">
        <v>40941</v>
      </c>
      <c r="K241" s="3" t="s">
        <v>1756</v>
      </c>
      <c r="L241" s="3" t="s">
        <v>43</v>
      </c>
      <c r="M241" s="3" t="s">
        <v>31</v>
      </c>
      <c r="N241" s="3" t="s">
        <v>44</v>
      </c>
      <c r="O241" s="3" t="s">
        <v>286</v>
      </c>
      <c r="P241" s="3" t="s">
        <v>1758</v>
      </c>
      <c r="Q241" s="3">
        <v>1643</v>
      </c>
      <c r="R241" s="3" t="s">
        <v>1017</v>
      </c>
      <c r="S241" s="3" t="s">
        <v>1757</v>
      </c>
      <c r="U241" s="3">
        <v>1162594100</v>
      </c>
      <c r="V241" s="3">
        <v>1162594100</v>
      </c>
      <c r="X241" s="3" t="s">
        <v>49</v>
      </c>
      <c r="Y241" s="3">
        <v>52113290</v>
      </c>
    </row>
    <row r="242" spans="1:46" ht="13.2" x14ac:dyDescent="0.25">
      <c r="A242" s="2">
        <v>46082.865369374995</v>
      </c>
      <c r="B242" s="3" t="b">
        <v>1</v>
      </c>
      <c r="C242" s="3" t="s">
        <v>1756</v>
      </c>
      <c r="D242" s="3" t="s">
        <v>26</v>
      </c>
      <c r="E242" s="3" t="s">
        <v>1759</v>
      </c>
      <c r="F242" s="3" t="s">
        <v>1757</v>
      </c>
      <c r="G242" s="3">
        <v>3543</v>
      </c>
      <c r="H242" s="3" t="s">
        <v>352</v>
      </c>
      <c r="I242" s="3">
        <v>54059860</v>
      </c>
      <c r="J242" s="4">
        <v>41809</v>
      </c>
      <c r="K242" s="3" t="s">
        <v>1756</v>
      </c>
      <c r="L242" s="3" t="s">
        <v>43</v>
      </c>
      <c r="M242" s="3" t="s">
        <v>31</v>
      </c>
      <c r="N242" s="3" t="s">
        <v>44</v>
      </c>
      <c r="O242" s="3" t="s">
        <v>286</v>
      </c>
      <c r="P242" s="3" t="s">
        <v>1758</v>
      </c>
      <c r="Q242" s="3">
        <v>1643</v>
      </c>
      <c r="R242" s="3" t="s">
        <v>1017</v>
      </c>
      <c r="S242" s="3" t="s">
        <v>1757</v>
      </c>
      <c r="U242" s="3">
        <v>1162594100</v>
      </c>
      <c r="V242" s="3">
        <v>1162594100</v>
      </c>
      <c r="X242" s="3" t="s">
        <v>49</v>
      </c>
      <c r="Y242" s="3">
        <v>54059860</v>
      </c>
    </row>
    <row r="243" spans="1:46" ht="13.2" x14ac:dyDescent="0.25">
      <c r="A243" s="2">
        <v>46082.867673206019</v>
      </c>
      <c r="B243" s="3" t="b">
        <v>1</v>
      </c>
      <c r="C243" s="3" t="s">
        <v>1756</v>
      </c>
      <c r="D243" s="3" t="s">
        <v>180</v>
      </c>
      <c r="E243" s="3" t="s">
        <v>613</v>
      </c>
      <c r="F243" s="3" t="s">
        <v>1757</v>
      </c>
      <c r="G243" s="3">
        <v>354</v>
      </c>
      <c r="H243" s="3" t="s">
        <v>352</v>
      </c>
      <c r="I243" s="3">
        <v>54059861</v>
      </c>
      <c r="J243" s="4">
        <v>41809</v>
      </c>
      <c r="K243" s="3" t="s">
        <v>1756</v>
      </c>
      <c r="L243" s="3" t="s">
        <v>30</v>
      </c>
      <c r="M243" s="3" t="s">
        <v>31</v>
      </c>
      <c r="N243" s="3" t="s">
        <v>44</v>
      </c>
      <c r="O243" s="3" t="s">
        <v>286</v>
      </c>
      <c r="P243" s="3" t="s">
        <v>1758</v>
      </c>
      <c r="Q243" s="3">
        <v>1643</v>
      </c>
      <c r="R243" s="3" t="s">
        <v>1017</v>
      </c>
      <c r="S243" s="3" t="s">
        <v>1757</v>
      </c>
      <c r="V243" s="3">
        <v>1162594100</v>
      </c>
      <c r="X243" s="3" t="s">
        <v>49</v>
      </c>
      <c r="Y243" s="3">
        <v>54059861</v>
      </c>
    </row>
    <row r="244" spans="1:46" ht="13.2" x14ac:dyDescent="0.25">
      <c r="A244" s="2">
        <v>46082.875060081016</v>
      </c>
      <c r="B244" s="3" t="b">
        <v>1</v>
      </c>
      <c r="C244" s="3" t="s">
        <v>1760</v>
      </c>
      <c r="D244" s="3" t="s">
        <v>26</v>
      </c>
      <c r="E244" s="3" t="s">
        <v>1761</v>
      </c>
      <c r="F244" s="3" t="s">
        <v>1762</v>
      </c>
      <c r="G244" s="3">
        <v>4108</v>
      </c>
      <c r="H244" s="3" t="s">
        <v>352</v>
      </c>
      <c r="I244" s="3">
        <v>51253143</v>
      </c>
      <c r="J244" s="4">
        <v>40775</v>
      </c>
      <c r="K244" s="3" t="s">
        <v>1763</v>
      </c>
      <c r="L244" s="3" t="s">
        <v>30</v>
      </c>
      <c r="M244" s="3" t="s">
        <v>76</v>
      </c>
      <c r="N244" s="3" t="s">
        <v>240</v>
      </c>
      <c r="O244" s="3" t="s">
        <v>286</v>
      </c>
      <c r="P244" s="3" t="s">
        <v>1764</v>
      </c>
      <c r="Q244" s="3">
        <v>1643</v>
      </c>
      <c r="R244" s="3" t="s">
        <v>767</v>
      </c>
      <c r="S244" s="3" t="s">
        <v>1762</v>
      </c>
      <c r="T244" s="3" t="s">
        <v>1760</v>
      </c>
      <c r="U244" s="3">
        <v>50158275</v>
      </c>
      <c r="V244" s="3">
        <v>50158275</v>
      </c>
      <c r="W244" s="3">
        <v>62009757</v>
      </c>
      <c r="X244" s="3" t="s">
        <v>115</v>
      </c>
      <c r="Y244" s="3">
        <v>61188147003</v>
      </c>
    </row>
    <row r="245" spans="1:46" ht="13.2" x14ac:dyDescent="0.25">
      <c r="A245" s="2">
        <v>46082.878863333332</v>
      </c>
      <c r="B245" s="3" t="b">
        <v>1</v>
      </c>
      <c r="C245" s="3" t="s">
        <v>1765</v>
      </c>
      <c r="D245" s="3" t="s">
        <v>358</v>
      </c>
      <c r="E245" s="3" t="s">
        <v>1766</v>
      </c>
      <c r="F245" s="3" t="s">
        <v>1767</v>
      </c>
      <c r="G245" s="3">
        <v>217115</v>
      </c>
      <c r="H245" s="3" t="s">
        <v>1275</v>
      </c>
      <c r="I245" s="3">
        <v>48578167</v>
      </c>
      <c r="J245" s="4">
        <v>39517</v>
      </c>
      <c r="K245" s="3" t="s">
        <v>1765</v>
      </c>
      <c r="L245" s="3" t="s">
        <v>30</v>
      </c>
      <c r="M245" s="3" t="s">
        <v>415</v>
      </c>
      <c r="N245" s="3" t="s">
        <v>1768</v>
      </c>
      <c r="O245" s="3" t="s">
        <v>102</v>
      </c>
      <c r="P245" s="3" t="s">
        <v>1769</v>
      </c>
      <c r="Q245" s="3">
        <v>1643</v>
      </c>
      <c r="V245" s="3">
        <v>1163044368</v>
      </c>
      <c r="X245" s="3" t="s">
        <v>1770</v>
      </c>
      <c r="Y245" s="3">
        <v>81651</v>
      </c>
    </row>
    <row r="246" spans="1:46" ht="13.2" x14ac:dyDescent="0.25">
      <c r="A246" s="2">
        <v>46082.879182870369</v>
      </c>
      <c r="B246" s="3" t="b">
        <v>0</v>
      </c>
      <c r="C246" s="3" t="s">
        <v>1771</v>
      </c>
      <c r="D246" s="3" t="s">
        <v>1700</v>
      </c>
      <c r="E246" s="3" t="s">
        <v>1772</v>
      </c>
      <c r="F246" s="3" t="s">
        <v>1773</v>
      </c>
      <c r="G246" s="3">
        <v>2569</v>
      </c>
      <c r="H246" s="3" t="s">
        <v>1774</v>
      </c>
      <c r="I246" s="3">
        <v>49271674</v>
      </c>
      <c r="J246" s="4">
        <v>39832</v>
      </c>
      <c r="K246" s="3" t="s">
        <v>1771</v>
      </c>
      <c r="L246" s="3" t="s">
        <v>30</v>
      </c>
      <c r="M246" s="3" t="s">
        <v>415</v>
      </c>
      <c r="N246" s="3" t="s">
        <v>32</v>
      </c>
      <c r="O246" s="3" t="s">
        <v>229</v>
      </c>
      <c r="P246" s="3" t="s">
        <v>1775</v>
      </c>
      <c r="Q246" s="3">
        <v>2000</v>
      </c>
      <c r="R246" s="3" t="s">
        <v>1776</v>
      </c>
      <c r="S246" s="3" t="s">
        <v>1777</v>
      </c>
      <c r="T246" s="3" t="s">
        <v>1778</v>
      </c>
      <c r="U246" s="3">
        <v>3413927666</v>
      </c>
      <c r="V246" s="3">
        <v>3415090806</v>
      </c>
      <c r="W246" s="3">
        <v>3416098735</v>
      </c>
      <c r="X246" s="3" t="s">
        <v>1779</v>
      </c>
      <c r="Y246" s="3" t="s">
        <v>1780</v>
      </c>
      <c r="Z246" s="3" t="s">
        <v>1781</v>
      </c>
      <c r="AA246" s="3" t="s">
        <v>1782</v>
      </c>
      <c r="AB246" s="3">
        <v>2569</v>
      </c>
      <c r="AC246" s="3" t="s">
        <v>1774</v>
      </c>
      <c r="AD246" s="3">
        <v>50240962</v>
      </c>
      <c r="AE246" s="4">
        <v>40257</v>
      </c>
      <c r="AF246" s="3" t="s">
        <v>1783</v>
      </c>
      <c r="AG246" s="3" t="s">
        <v>30</v>
      </c>
      <c r="AH246" s="3" t="s">
        <v>415</v>
      </c>
      <c r="AI246" s="3" t="s">
        <v>32</v>
      </c>
      <c r="AJ246" s="3" t="s">
        <v>33</v>
      </c>
      <c r="AK246" s="3" t="s">
        <v>1784</v>
      </c>
      <c r="AL246" s="3">
        <v>2000</v>
      </c>
      <c r="AM246" s="3" t="s">
        <v>977</v>
      </c>
      <c r="AN246" s="3" t="s">
        <v>1785</v>
      </c>
      <c r="AO246" s="3" t="s">
        <v>1786</v>
      </c>
      <c r="AP246" s="3">
        <v>3415694198</v>
      </c>
      <c r="AQ246" s="3" t="s">
        <v>1626</v>
      </c>
      <c r="AR246" s="3" t="s">
        <v>1626</v>
      </c>
      <c r="AS246" s="3" t="s">
        <v>1787</v>
      </c>
      <c r="AT246" s="3" t="s">
        <v>1788</v>
      </c>
    </row>
    <row r="247" spans="1:46" ht="13.2" x14ac:dyDescent="0.25">
      <c r="A247" s="2">
        <v>46082.879194421301</v>
      </c>
      <c r="B247" s="3" t="b">
        <v>0</v>
      </c>
      <c r="C247" s="3" t="s">
        <v>1789</v>
      </c>
      <c r="D247" s="3">
        <v>420</v>
      </c>
      <c r="E247" s="3" t="s">
        <v>879</v>
      </c>
      <c r="F247" s="3" t="s">
        <v>1313</v>
      </c>
      <c r="G247" s="3">
        <v>52855</v>
      </c>
      <c r="H247" s="3" t="s">
        <v>352</v>
      </c>
      <c r="I247" s="3">
        <v>50075190</v>
      </c>
      <c r="J247" s="4">
        <v>40199</v>
      </c>
      <c r="K247" s="3" t="s">
        <v>1789</v>
      </c>
      <c r="L247" s="3" t="s">
        <v>43</v>
      </c>
      <c r="M247" s="3" t="s">
        <v>31</v>
      </c>
      <c r="N247" s="3" t="s">
        <v>384</v>
      </c>
      <c r="O247" s="3" t="s">
        <v>111</v>
      </c>
      <c r="P247" s="3" t="s">
        <v>1790</v>
      </c>
      <c r="Q247" s="3">
        <v>1621</v>
      </c>
      <c r="R247" s="3" t="s">
        <v>1791</v>
      </c>
      <c r="S247" s="3" t="s">
        <v>1792</v>
      </c>
      <c r="T247" s="3" t="s">
        <v>1312</v>
      </c>
      <c r="U247" s="3" t="s">
        <v>1793</v>
      </c>
      <c r="V247" s="3">
        <v>1135682980</v>
      </c>
      <c r="W247" s="3">
        <v>1149365363</v>
      </c>
      <c r="X247" s="3" t="s">
        <v>49</v>
      </c>
      <c r="Y247" s="3" t="s">
        <v>1794</v>
      </c>
      <c r="Z247" s="3" t="s">
        <v>300</v>
      </c>
      <c r="AA247" s="3" t="s">
        <v>1195</v>
      </c>
      <c r="AB247" s="3">
        <v>52885</v>
      </c>
      <c r="AC247" s="3" t="s">
        <v>198</v>
      </c>
      <c r="AD247" s="3">
        <v>50048657</v>
      </c>
      <c r="AE247" s="4">
        <v>40241</v>
      </c>
      <c r="AF247" s="3" t="s">
        <v>1795</v>
      </c>
      <c r="AG247" s="3" t="s">
        <v>43</v>
      </c>
      <c r="AH247" s="3" t="s">
        <v>31</v>
      </c>
      <c r="AI247" s="3" t="s">
        <v>44</v>
      </c>
      <c r="AJ247" s="3" t="s">
        <v>1431</v>
      </c>
      <c r="AK247" s="3" t="s">
        <v>1796</v>
      </c>
      <c r="AM247" s="3" t="s">
        <v>1797</v>
      </c>
      <c r="AO247" s="3" t="s">
        <v>1798</v>
      </c>
      <c r="AP247" s="3" t="s">
        <v>1799</v>
      </c>
      <c r="AQ247" s="3">
        <v>1149365363</v>
      </c>
      <c r="AS247" s="3" t="s">
        <v>802</v>
      </c>
      <c r="AT247" s="3">
        <v>50048657</v>
      </c>
    </row>
    <row r="248" spans="1:46" ht="13.2" x14ac:dyDescent="0.25">
      <c r="A248" s="2">
        <v>46082.886509525459</v>
      </c>
      <c r="B248" s="3" t="b">
        <v>1</v>
      </c>
      <c r="C248" s="3" t="s">
        <v>1800</v>
      </c>
      <c r="D248" s="3" t="s">
        <v>180</v>
      </c>
      <c r="E248" s="3" t="s">
        <v>1801</v>
      </c>
      <c r="F248" s="3" t="s">
        <v>1802</v>
      </c>
      <c r="G248" s="3">
        <v>3835</v>
      </c>
      <c r="H248" s="3" t="s">
        <v>318</v>
      </c>
      <c r="I248" s="3">
        <v>55168833</v>
      </c>
      <c r="J248" s="4">
        <v>42341</v>
      </c>
      <c r="K248" s="3" t="s">
        <v>1803</v>
      </c>
      <c r="L248" s="3" t="s">
        <v>30</v>
      </c>
      <c r="M248" s="3" t="s">
        <v>31</v>
      </c>
      <c r="N248" s="3" t="s">
        <v>44</v>
      </c>
      <c r="O248" s="3" t="s">
        <v>200</v>
      </c>
      <c r="P248" s="3" t="s">
        <v>1804</v>
      </c>
      <c r="Q248" s="3">
        <v>1644</v>
      </c>
      <c r="R248" s="3" t="s">
        <v>1805</v>
      </c>
      <c r="S248" s="3" t="s">
        <v>1802</v>
      </c>
      <c r="T248" s="3" t="s">
        <v>1806</v>
      </c>
      <c r="U248" s="3">
        <v>1155237077</v>
      </c>
      <c r="V248" s="3">
        <v>1155237077</v>
      </c>
      <c r="W248" s="3">
        <v>1131112012</v>
      </c>
      <c r="X248" s="3" t="s">
        <v>49</v>
      </c>
      <c r="Y248" s="3" t="s">
        <v>1807</v>
      </c>
      <c r="AC248" s="3" t="s">
        <v>318</v>
      </c>
    </row>
    <row r="249" spans="1:46" ht="13.2" x14ac:dyDescent="0.25">
      <c r="A249" s="2">
        <v>46082.887376018523</v>
      </c>
      <c r="B249" s="3" t="b">
        <v>1</v>
      </c>
      <c r="C249" s="3" t="s">
        <v>1808</v>
      </c>
      <c r="D249" s="3" t="s">
        <v>26</v>
      </c>
      <c r="E249" s="3" t="s">
        <v>1809</v>
      </c>
      <c r="F249" s="3" t="s">
        <v>1810</v>
      </c>
      <c r="G249" s="3">
        <v>4276</v>
      </c>
      <c r="H249" s="3" t="s">
        <v>198</v>
      </c>
      <c r="I249" s="3">
        <v>54892590</v>
      </c>
      <c r="J249" s="4">
        <v>42157</v>
      </c>
      <c r="K249" s="3" t="s">
        <v>1808</v>
      </c>
      <c r="L249" s="3" t="s">
        <v>43</v>
      </c>
      <c r="M249" s="3" t="s">
        <v>31</v>
      </c>
      <c r="N249" s="3" t="s">
        <v>1811</v>
      </c>
      <c r="O249" s="3" t="s">
        <v>1811</v>
      </c>
      <c r="P249" s="3" t="s">
        <v>1812</v>
      </c>
      <c r="Q249" s="3">
        <v>1425</v>
      </c>
      <c r="R249" s="3" t="s">
        <v>1813</v>
      </c>
      <c r="S249" s="3" t="s">
        <v>1814</v>
      </c>
      <c r="T249" s="3" t="s">
        <v>1808</v>
      </c>
      <c r="U249" s="3">
        <v>1144447565</v>
      </c>
      <c r="V249" s="3">
        <v>1144447565</v>
      </c>
      <c r="W249" s="3">
        <v>1157511245</v>
      </c>
      <c r="X249" s="3" t="s">
        <v>124</v>
      </c>
      <c r="Y249" s="3">
        <v>615864412004</v>
      </c>
      <c r="Z249" s="3" t="s">
        <v>1809</v>
      </c>
      <c r="AA249" s="3" t="s">
        <v>1810</v>
      </c>
      <c r="AB249" s="3">
        <v>4276</v>
      </c>
      <c r="AC249" s="3" t="s">
        <v>198</v>
      </c>
      <c r="AD249" s="3">
        <v>54892590</v>
      </c>
      <c r="AE249" s="4">
        <v>42157</v>
      </c>
      <c r="AF249" s="3" t="s">
        <v>1808</v>
      </c>
      <c r="AG249" s="3" t="s">
        <v>43</v>
      </c>
      <c r="AH249" s="3" t="s">
        <v>31</v>
      </c>
      <c r="AI249" s="3" t="s">
        <v>334</v>
      </c>
      <c r="AJ249" s="3" t="s">
        <v>1811</v>
      </c>
      <c r="AK249" s="3" t="s">
        <v>1812</v>
      </c>
      <c r="AL249" s="3">
        <v>1425</v>
      </c>
      <c r="AM249" s="3" t="s">
        <v>1813</v>
      </c>
      <c r="AN249" s="3" t="s">
        <v>1814</v>
      </c>
      <c r="AO249" s="3" t="s">
        <v>1808</v>
      </c>
      <c r="AP249" s="3">
        <v>1144447565</v>
      </c>
      <c r="AQ249" s="3">
        <v>1144447565</v>
      </c>
      <c r="AR249" s="3">
        <v>1157511245</v>
      </c>
      <c r="AS249" s="3" t="s">
        <v>211</v>
      </c>
      <c r="AT249" s="3">
        <v>615864412004</v>
      </c>
    </row>
    <row r="250" spans="1:46" ht="13.2" x14ac:dyDescent="0.25">
      <c r="A250" s="2">
        <v>46082.888274780096</v>
      </c>
      <c r="B250" s="3" t="b">
        <v>1</v>
      </c>
      <c r="C250" s="3" t="s">
        <v>1815</v>
      </c>
      <c r="D250" s="3" t="s">
        <v>358</v>
      </c>
      <c r="E250" s="3" t="s">
        <v>1816</v>
      </c>
      <c r="F250" s="3" t="s">
        <v>1817</v>
      </c>
      <c r="G250" s="3">
        <v>169450</v>
      </c>
      <c r="H250" s="3" t="s">
        <v>326</v>
      </c>
      <c r="I250" s="3">
        <v>47551873</v>
      </c>
      <c r="J250" s="4">
        <v>39077</v>
      </c>
      <c r="K250" s="3" t="s">
        <v>1815</v>
      </c>
      <c r="L250" s="3" t="s">
        <v>43</v>
      </c>
      <c r="M250" s="3" t="s">
        <v>311</v>
      </c>
      <c r="N250" s="3" t="s">
        <v>384</v>
      </c>
      <c r="O250" s="3" t="s">
        <v>1458</v>
      </c>
      <c r="P250" s="3" t="s">
        <v>1818</v>
      </c>
      <c r="Q250" s="3">
        <v>1894</v>
      </c>
      <c r="V250" s="3">
        <v>2215663201</v>
      </c>
      <c r="W250" s="3">
        <v>2215663203</v>
      </c>
      <c r="X250" s="3" t="s">
        <v>1154</v>
      </c>
      <c r="Y250" s="3">
        <v>220518919104</v>
      </c>
    </row>
    <row r="251" spans="1:46" ht="13.2" x14ac:dyDescent="0.25">
      <c r="A251" s="2">
        <v>46082.888752824074</v>
      </c>
      <c r="B251" s="3" t="b">
        <v>1</v>
      </c>
      <c r="C251" s="3" t="s">
        <v>1819</v>
      </c>
      <c r="D251" s="3" t="s">
        <v>26</v>
      </c>
      <c r="E251" s="3" t="s">
        <v>505</v>
      </c>
      <c r="F251" s="3" t="s">
        <v>1820</v>
      </c>
      <c r="G251" s="3">
        <v>4001</v>
      </c>
      <c r="H251" s="3" t="s">
        <v>42</v>
      </c>
      <c r="I251" s="3">
        <v>51167440</v>
      </c>
      <c r="J251" s="4">
        <v>40773</v>
      </c>
      <c r="K251" s="3" t="s">
        <v>1819</v>
      </c>
      <c r="L251" s="3" t="s">
        <v>30</v>
      </c>
      <c r="M251" s="3" t="s">
        <v>76</v>
      </c>
      <c r="N251" s="3" t="s">
        <v>285</v>
      </c>
      <c r="O251" s="3" t="s">
        <v>1073</v>
      </c>
      <c r="P251" s="3" t="s">
        <v>1821</v>
      </c>
      <c r="Q251" s="3">
        <v>2800</v>
      </c>
      <c r="R251" s="3" t="s">
        <v>1822</v>
      </c>
      <c r="S251" s="3" t="s">
        <v>1823</v>
      </c>
      <c r="T251" s="3" t="s">
        <v>1819</v>
      </c>
      <c r="U251" s="3" t="s">
        <v>1824</v>
      </c>
      <c r="V251" s="3" t="s">
        <v>1825</v>
      </c>
      <c r="X251" s="3" t="s">
        <v>1826</v>
      </c>
      <c r="Y251" s="3" t="s">
        <v>1827</v>
      </c>
    </row>
    <row r="252" spans="1:46" ht="13.2" x14ac:dyDescent="0.25">
      <c r="A252" s="2">
        <v>46082.890706342594</v>
      </c>
      <c r="B252" s="3" t="b">
        <v>1</v>
      </c>
      <c r="C252" s="3" t="s">
        <v>1819</v>
      </c>
      <c r="D252" s="3" t="s">
        <v>26</v>
      </c>
      <c r="E252" s="3" t="s">
        <v>1828</v>
      </c>
      <c r="F252" s="3" t="s">
        <v>1820</v>
      </c>
      <c r="G252" s="3">
        <v>3538</v>
      </c>
      <c r="H252" s="3" t="s">
        <v>42</v>
      </c>
      <c r="I252" s="3">
        <v>53610165</v>
      </c>
      <c r="J252" s="4">
        <v>41594</v>
      </c>
      <c r="K252" s="3" t="s">
        <v>1819</v>
      </c>
      <c r="L252" s="3" t="s">
        <v>43</v>
      </c>
      <c r="M252" s="3" t="s">
        <v>76</v>
      </c>
      <c r="N252" s="3" t="s">
        <v>285</v>
      </c>
      <c r="O252" s="3" t="s">
        <v>1073</v>
      </c>
      <c r="P252" s="3" t="s">
        <v>1829</v>
      </c>
      <c r="Q252" s="3">
        <v>2800</v>
      </c>
      <c r="R252" s="3" t="s">
        <v>1822</v>
      </c>
      <c r="S252" s="3" t="s">
        <v>1820</v>
      </c>
      <c r="T252" s="3" t="s">
        <v>1819</v>
      </c>
      <c r="U252" s="3" t="s">
        <v>1824</v>
      </c>
      <c r="V252" s="3" t="s">
        <v>1825</v>
      </c>
      <c r="X252" s="3" t="s">
        <v>1826</v>
      </c>
      <c r="Y252" s="5" t="s">
        <v>1830</v>
      </c>
    </row>
    <row r="253" spans="1:46" ht="13.2" x14ac:dyDescent="0.25">
      <c r="A253" s="2">
        <v>46082.892254803242</v>
      </c>
      <c r="B253" s="3" t="b">
        <v>1</v>
      </c>
      <c r="C253" s="3" t="s">
        <v>1831</v>
      </c>
      <c r="D253" s="3" t="s">
        <v>26</v>
      </c>
      <c r="E253" s="3" t="s">
        <v>133</v>
      </c>
      <c r="F253" s="3" t="s">
        <v>1832</v>
      </c>
      <c r="G253" s="3">
        <v>4249</v>
      </c>
      <c r="H253" s="3" t="s">
        <v>42</v>
      </c>
      <c r="I253" s="3">
        <v>51339874</v>
      </c>
      <c r="J253" s="4">
        <v>40845</v>
      </c>
      <c r="K253" s="3" t="s">
        <v>1833</v>
      </c>
      <c r="L253" s="3" t="s">
        <v>30</v>
      </c>
      <c r="M253" s="3" t="s">
        <v>76</v>
      </c>
      <c r="N253" s="3" t="s">
        <v>285</v>
      </c>
      <c r="O253" s="3" t="s">
        <v>1073</v>
      </c>
      <c r="P253" s="3" t="s">
        <v>1834</v>
      </c>
      <c r="Q253" s="3">
        <v>2800</v>
      </c>
      <c r="R253" s="3" t="s">
        <v>1835</v>
      </c>
      <c r="S253" s="3" t="s">
        <v>1836</v>
      </c>
      <c r="T253" s="3" t="s">
        <v>1831</v>
      </c>
      <c r="U253" s="5" t="s">
        <v>1837</v>
      </c>
      <c r="V253" s="5" t="s">
        <v>1837</v>
      </c>
      <c r="W253" s="5" t="s">
        <v>1838</v>
      </c>
      <c r="X253" s="3" t="s">
        <v>849</v>
      </c>
      <c r="Y253" s="3">
        <v>62012334504</v>
      </c>
    </row>
    <row r="254" spans="1:46" ht="13.2" x14ac:dyDescent="0.25">
      <c r="A254" s="2">
        <v>46082.894375902775</v>
      </c>
      <c r="B254" s="3" t="b">
        <v>0</v>
      </c>
      <c r="C254" s="3" t="s">
        <v>1839</v>
      </c>
      <c r="D254" s="3" t="s">
        <v>26</v>
      </c>
      <c r="E254" s="3" t="s">
        <v>1572</v>
      </c>
      <c r="F254" s="3" t="s">
        <v>1840</v>
      </c>
      <c r="G254" s="3">
        <v>4118</v>
      </c>
      <c r="H254" s="3" t="s">
        <v>74</v>
      </c>
      <c r="I254" s="3">
        <v>51723975</v>
      </c>
      <c r="J254" s="4">
        <v>41808</v>
      </c>
      <c r="K254" s="3" t="s">
        <v>1839</v>
      </c>
      <c r="L254" s="3" t="s">
        <v>43</v>
      </c>
      <c r="M254" s="3" t="s">
        <v>31</v>
      </c>
      <c r="N254" s="3" t="s">
        <v>55</v>
      </c>
      <c r="O254" s="3" t="s">
        <v>111</v>
      </c>
      <c r="P254" s="3" t="s">
        <v>1841</v>
      </c>
      <c r="Q254" s="3">
        <v>1670</v>
      </c>
      <c r="R254" s="3" t="s">
        <v>133</v>
      </c>
      <c r="S254" s="3" t="s">
        <v>1842</v>
      </c>
      <c r="T254" s="3" t="s">
        <v>1839</v>
      </c>
      <c r="U254" s="3">
        <v>1171632121</v>
      </c>
      <c r="V254" s="3">
        <v>1171632121</v>
      </c>
      <c r="W254" s="3" t="s">
        <v>1843</v>
      </c>
      <c r="X254" s="3" t="s">
        <v>1844</v>
      </c>
      <c r="Y254" s="3" t="s">
        <v>1845</v>
      </c>
    </row>
    <row r="255" spans="1:46" ht="13.2" x14ac:dyDescent="0.25">
      <c r="A255" s="2">
        <v>46082.894433171299</v>
      </c>
      <c r="B255" s="3" t="b">
        <v>1</v>
      </c>
      <c r="C255" s="3" t="s">
        <v>1846</v>
      </c>
      <c r="D255" s="3" t="s">
        <v>26</v>
      </c>
      <c r="E255" s="3" t="s">
        <v>1847</v>
      </c>
      <c r="F255" s="3" t="s">
        <v>1848</v>
      </c>
      <c r="G255" s="3">
        <v>4205</v>
      </c>
      <c r="H255" s="3" t="s">
        <v>198</v>
      </c>
      <c r="I255" s="3">
        <v>52454232</v>
      </c>
      <c r="J255" s="4">
        <v>41059</v>
      </c>
      <c r="K255" s="3" t="s">
        <v>1846</v>
      </c>
      <c r="L255" s="3" t="s">
        <v>30</v>
      </c>
      <c r="M255" s="3" t="s">
        <v>31</v>
      </c>
      <c r="N255" s="3" t="s">
        <v>285</v>
      </c>
      <c r="O255" s="3" t="s">
        <v>1849</v>
      </c>
      <c r="P255" s="3" t="s">
        <v>1850</v>
      </c>
      <c r="Q255" s="3">
        <v>1128</v>
      </c>
      <c r="R255" s="3" t="s">
        <v>1378</v>
      </c>
      <c r="S255" s="3" t="s">
        <v>1848</v>
      </c>
      <c r="T255" s="3" t="s">
        <v>1846</v>
      </c>
      <c r="U255" s="3">
        <v>1144078857</v>
      </c>
      <c r="V255" s="3">
        <v>1144079957</v>
      </c>
      <c r="W255" s="3">
        <v>1130054450</v>
      </c>
      <c r="X255" s="3" t="s">
        <v>1851</v>
      </c>
      <c r="Y255" s="3" t="s">
        <v>1852</v>
      </c>
    </row>
    <row r="256" spans="1:46" ht="13.2" x14ac:dyDescent="0.25">
      <c r="A256" s="2">
        <v>46082.895740601853</v>
      </c>
      <c r="B256" s="3" t="b">
        <v>1</v>
      </c>
      <c r="C256" s="3" t="s">
        <v>1853</v>
      </c>
      <c r="D256" s="3" t="s">
        <v>180</v>
      </c>
      <c r="E256" s="3" t="s">
        <v>1854</v>
      </c>
      <c r="F256" s="3" t="s">
        <v>1855</v>
      </c>
      <c r="G256" s="3">
        <v>3627</v>
      </c>
      <c r="H256" s="3" t="s">
        <v>198</v>
      </c>
      <c r="I256" s="3">
        <v>54097616</v>
      </c>
      <c r="J256" s="4">
        <v>41783</v>
      </c>
      <c r="K256" s="3" t="s">
        <v>1853</v>
      </c>
      <c r="L256" s="3" t="s">
        <v>30</v>
      </c>
      <c r="M256" s="3" t="s">
        <v>1853</v>
      </c>
      <c r="N256" s="3" t="s">
        <v>1853</v>
      </c>
      <c r="O256" s="3" t="s">
        <v>1853</v>
      </c>
      <c r="P256" s="3" t="s">
        <v>1856</v>
      </c>
      <c r="Q256" s="3">
        <v>1425</v>
      </c>
      <c r="R256" s="3" t="s">
        <v>1857</v>
      </c>
      <c r="S256" s="3" t="s">
        <v>1858</v>
      </c>
      <c r="T256" s="3" t="s">
        <v>1853</v>
      </c>
      <c r="U256" s="3">
        <v>1540499521</v>
      </c>
      <c r="V256" s="3">
        <v>1540499521</v>
      </c>
      <c r="W256" s="3">
        <v>1559912469</v>
      </c>
      <c r="X256" s="3" t="s">
        <v>1859</v>
      </c>
      <c r="Y256" s="3">
        <v>61586475804</v>
      </c>
    </row>
    <row r="257" spans="1:46" ht="13.2" x14ac:dyDescent="0.25">
      <c r="A257" s="2">
        <v>46082.897109965277</v>
      </c>
      <c r="B257" s="3" t="b">
        <v>1</v>
      </c>
      <c r="C257" s="3" t="s">
        <v>1860</v>
      </c>
      <c r="D257" s="3" t="s">
        <v>180</v>
      </c>
      <c r="E257" s="3" t="s">
        <v>1861</v>
      </c>
      <c r="F257" s="3" t="s">
        <v>1862</v>
      </c>
      <c r="G257" s="3" t="s">
        <v>1863</v>
      </c>
      <c r="H257" s="3" t="s">
        <v>198</v>
      </c>
      <c r="I257" s="3">
        <v>54386513</v>
      </c>
      <c r="J257" s="4">
        <v>41963</v>
      </c>
      <c r="K257" s="3" t="s">
        <v>1864</v>
      </c>
      <c r="L257" s="3" t="s">
        <v>30</v>
      </c>
      <c r="M257" s="3" t="s">
        <v>31</v>
      </c>
      <c r="N257" s="3" t="s">
        <v>92</v>
      </c>
      <c r="O257" s="3" t="s">
        <v>92</v>
      </c>
      <c r="P257" s="3" t="s">
        <v>1865</v>
      </c>
      <c r="Q257" s="3">
        <v>1425</v>
      </c>
      <c r="R257" s="3" t="s">
        <v>331</v>
      </c>
      <c r="S257" s="3" t="s">
        <v>1862</v>
      </c>
      <c r="T257" s="3" t="s">
        <v>1860</v>
      </c>
      <c r="U257" s="3">
        <v>1158303299</v>
      </c>
      <c r="V257" s="3">
        <v>1158303299</v>
      </c>
      <c r="W257" s="3">
        <v>1134640808</v>
      </c>
      <c r="X257" s="3" t="s">
        <v>1866</v>
      </c>
      <c r="Y257" s="3" t="s">
        <v>1867</v>
      </c>
    </row>
    <row r="258" spans="1:46" ht="13.2" x14ac:dyDescent="0.25">
      <c r="A258" s="2">
        <v>46082.898691493057</v>
      </c>
      <c r="B258" s="3" t="b">
        <v>0</v>
      </c>
      <c r="C258" s="3" t="s">
        <v>1868</v>
      </c>
      <c r="D258" s="3">
        <v>420</v>
      </c>
      <c r="E258" s="3" t="s">
        <v>1512</v>
      </c>
      <c r="F258" s="3" t="s">
        <v>1869</v>
      </c>
      <c r="G258" s="3">
        <v>55343</v>
      </c>
      <c r="H258" s="3" t="s">
        <v>74</v>
      </c>
      <c r="I258" s="3">
        <v>48801719</v>
      </c>
      <c r="J258" s="4">
        <v>39609</v>
      </c>
      <c r="K258" s="3" t="s">
        <v>1868</v>
      </c>
      <c r="L258" s="3" t="s">
        <v>30</v>
      </c>
      <c r="M258" s="3" t="s">
        <v>31</v>
      </c>
      <c r="N258" s="3" t="s">
        <v>44</v>
      </c>
      <c r="O258" s="3" t="s">
        <v>1870</v>
      </c>
      <c r="P258" s="3" t="s">
        <v>1871</v>
      </c>
      <c r="Q258" s="3">
        <v>1746</v>
      </c>
      <c r="R258" s="3" t="s">
        <v>755</v>
      </c>
      <c r="S258" s="3" t="s">
        <v>1869</v>
      </c>
      <c r="T258" s="3" t="s">
        <v>1872</v>
      </c>
      <c r="U258" s="3">
        <v>1157153611</v>
      </c>
      <c r="V258" s="3">
        <v>117153611</v>
      </c>
      <c r="X258" s="3" t="s">
        <v>448</v>
      </c>
      <c r="Y258" s="3" t="s">
        <v>1873</v>
      </c>
      <c r="Z258" s="3" t="s">
        <v>1874</v>
      </c>
      <c r="AA258" s="3" t="s">
        <v>1875</v>
      </c>
      <c r="AB258" s="3">
        <v>55343</v>
      </c>
      <c r="AC258" s="3" t="s">
        <v>74</v>
      </c>
      <c r="AD258" s="3">
        <v>41029016</v>
      </c>
      <c r="AE258" s="4">
        <v>35885</v>
      </c>
      <c r="AF258" s="3" t="s">
        <v>1876</v>
      </c>
      <c r="AG258" s="3" t="s">
        <v>43</v>
      </c>
      <c r="AH258" s="3" t="s">
        <v>31</v>
      </c>
      <c r="AI258" s="3" t="s">
        <v>44</v>
      </c>
      <c r="AJ258" s="3" t="s">
        <v>569</v>
      </c>
      <c r="AK258" s="3" t="s">
        <v>1877</v>
      </c>
      <c r="AL258" s="3">
        <v>1425</v>
      </c>
      <c r="AS258" s="3" t="s">
        <v>1878</v>
      </c>
      <c r="AT258" s="3">
        <v>13125913257901</v>
      </c>
    </row>
    <row r="259" spans="1:46" ht="13.2" x14ac:dyDescent="0.25">
      <c r="A259" s="2">
        <v>46082.899239548613</v>
      </c>
      <c r="B259" s="3" t="b">
        <v>0</v>
      </c>
      <c r="C259" s="3" t="s">
        <v>1860</v>
      </c>
      <c r="D259" s="3" t="s">
        <v>26</v>
      </c>
      <c r="E259" s="3" t="s">
        <v>1879</v>
      </c>
      <c r="F259" s="3" t="s">
        <v>1862</v>
      </c>
      <c r="G259" s="3" t="s">
        <v>1880</v>
      </c>
      <c r="H259" s="3" t="s">
        <v>198</v>
      </c>
      <c r="I259" s="3">
        <v>51269548</v>
      </c>
      <c r="J259" s="4">
        <v>40733</v>
      </c>
      <c r="K259" s="3" t="s">
        <v>1860</v>
      </c>
      <c r="L259" s="3" t="s">
        <v>30</v>
      </c>
      <c r="M259" s="3" t="s">
        <v>31</v>
      </c>
      <c r="N259" s="3" t="s">
        <v>92</v>
      </c>
      <c r="O259" s="3" t="s">
        <v>92</v>
      </c>
      <c r="P259" s="3" t="s">
        <v>1865</v>
      </c>
      <c r="Q259" s="3">
        <v>1425</v>
      </c>
      <c r="R259" s="3" t="s">
        <v>331</v>
      </c>
      <c r="S259" s="3" t="s">
        <v>1862</v>
      </c>
      <c r="T259" s="3" t="s">
        <v>1860</v>
      </c>
      <c r="U259" s="3">
        <v>1158303299</v>
      </c>
      <c r="V259" s="3">
        <v>1158303299</v>
      </c>
      <c r="W259" s="3">
        <v>1134640808</v>
      </c>
      <c r="X259" s="3" t="s">
        <v>1866</v>
      </c>
      <c r="Y259" s="3" t="s">
        <v>1881</v>
      </c>
    </row>
    <row r="260" spans="1:46" ht="13.2" x14ac:dyDescent="0.25">
      <c r="A260" s="2">
        <v>46082.900551307874</v>
      </c>
      <c r="B260" s="3" t="b">
        <v>1</v>
      </c>
      <c r="C260" s="3" t="s">
        <v>1882</v>
      </c>
      <c r="D260" s="3" t="s">
        <v>180</v>
      </c>
      <c r="E260" s="3" t="s">
        <v>1883</v>
      </c>
      <c r="F260" s="3" t="s">
        <v>1884</v>
      </c>
      <c r="G260" s="3" t="s">
        <v>1885</v>
      </c>
      <c r="H260" s="3" t="s">
        <v>318</v>
      </c>
      <c r="I260" s="3">
        <v>54998815</v>
      </c>
      <c r="J260" s="4">
        <v>42214</v>
      </c>
      <c r="K260" s="3" t="s">
        <v>1886</v>
      </c>
      <c r="L260" s="3" t="s">
        <v>30</v>
      </c>
      <c r="M260" s="3" t="s">
        <v>76</v>
      </c>
      <c r="N260" s="3" t="s">
        <v>44</v>
      </c>
      <c r="O260" s="3" t="s">
        <v>92</v>
      </c>
      <c r="P260" s="3" t="s">
        <v>1887</v>
      </c>
      <c r="Q260" s="3">
        <v>1431</v>
      </c>
      <c r="R260" s="3" t="s">
        <v>1378</v>
      </c>
      <c r="S260" s="3" t="s">
        <v>1884</v>
      </c>
      <c r="T260" s="3" t="s">
        <v>1882</v>
      </c>
      <c r="U260" s="3">
        <v>1156175319</v>
      </c>
      <c r="V260" s="3">
        <v>1156185319</v>
      </c>
      <c r="W260" s="3">
        <v>1130404158</v>
      </c>
      <c r="X260" s="3" t="s">
        <v>140</v>
      </c>
      <c r="Y260" s="3">
        <v>61369345003</v>
      </c>
    </row>
    <row r="261" spans="1:46" ht="13.2" x14ac:dyDescent="0.25">
      <c r="A261" s="2">
        <v>46082.903872581017</v>
      </c>
      <c r="B261" s="3" t="b">
        <v>1</v>
      </c>
      <c r="C261" s="3" t="s">
        <v>1888</v>
      </c>
      <c r="D261" s="3" t="s">
        <v>26</v>
      </c>
      <c r="E261" s="3" t="s">
        <v>1889</v>
      </c>
      <c r="F261" s="3" t="s">
        <v>1702</v>
      </c>
      <c r="G261" s="3">
        <v>4210</v>
      </c>
      <c r="H261" s="3" t="s">
        <v>74</v>
      </c>
      <c r="I261" s="3">
        <v>53645984</v>
      </c>
      <c r="J261" s="4">
        <v>41628</v>
      </c>
      <c r="K261" s="3" t="s">
        <v>1890</v>
      </c>
      <c r="L261" s="3" t="s">
        <v>43</v>
      </c>
      <c r="M261" s="3" t="s">
        <v>76</v>
      </c>
      <c r="N261" s="3" t="s">
        <v>142</v>
      </c>
      <c r="O261" s="3" t="s">
        <v>142</v>
      </c>
      <c r="P261" s="3" t="s">
        <v>1891</v>
      </c>
      <c r="Q261" s="3">
        <v>1426</v>
      </c>
      <c r="R261" s="3" t="s">
        <v>1892</v>
      </c>
      <c r="S261" s="3" t="s">
        <v>1893</v>
      </c>
      <c r="T261" s="3" t="s">
        <v>1888</v>
      </c>
      <c r="U261" s="3">
        <v>5491160461122</v>
      </c>
      <c r="V261" s="3">
        <v>5491140918515</v>
      </c>
      <c r="W261" s="3">
        <v>5491160461122</v>
      </c>
      <c r="X261" s="3" t="s">
        <v>1674</v>
      </c>
      <c r="Y261" s="3">
        <v>1020833806034</v>
      </c>
    </row>
    <row r="262" spans="1:46" ht="13.2" x14ac:dyDescent="0.25">
      <c r="A262" s="2">
        <v>46082.912099282403</v>
      </c>
      <c r="B262" s="3" t="b">
        <v>1</v>
      </c>
      <c r="C262" s="3" t="s">
        <v>1894</v>
      </c>
      <c r="D262" s="3" t="s">
        <v>26</v>
      </c>
      <c r="E262" s="3" t="s">
        <v>340</v>
      </c>
      <c r="F262" s="3" t="s">
        <v>1895</v>
      </c>
      <c r="G262" s="3">
        <v>4211</v>
      </c>
      <c r="H262" s="3" t="s">
        <v>74</v>
      </c>
      <c r="I262" s="3">
        <v>52768073</v>
      </c>
      <c r="J262" s="4">
        <v>41200</v>
      </c>
      <c r="K262" s="3" t="s">
        <v>1896</v>
      </c>
      <c r="L262" s="3" t="s">
        <v>43</v>
      </c>
      <c r="M262" s="3" t="s">
        <v>415</v>
      </c>
      <c r="N262" s="3" t="s">
        <v>285</v>
      </c>
      <c r="O262" s="3" t="s">
        <v>92</v>
      </c>
      <c r="P262" s="3" t="s">
        <v>1897</v>
      </c>
      <c r="Q262" s="3">
        <v>1428</v>
      </c>
      <c r="R262" s="3" t="s">
        <v>1898</v>
      </c>
      <c r="S262" s="3" t="s">
        <v>1899</v>
      </c>
      <c r="T262" s="3" t="s">
        <v>1896</v>
      </c>
      <c r="U262" s="3">
        <v>1151610316</v>
      </c>
      <c r="V262" s="3">
        <v>1151610316</v>
      </c>
      <c r="W262" s="3">
        <v>1140502016</v>
      </c>
      <c r="X262" s="3" t="s">
        <v>115</v>
      </c>
      <c r="Y262" s="3">
        <v>61612694703</v>
      </c>
    </row>
    <row r="263" spans="1:46" ht="13.2" x14ac:dyDescent="0.25">
      <c r="A263" s="2">
        <v>46082.914422268514</v>
      </c>
      <c r="B263" s="3" t="b">
        <v>1</v>
      </c>
      <c r="C263" s="3" t="s">
        <v>1900</v>
      </c>
      <c r="D263" s="3" t="s">
        <v>180</v>
      </c>
      <c r="E263" s="3" t="s">
        <v>1901</v>
      </c>
      <c r="F263" s="3" t="s">
        <v>1902</v>
      </c>
      <c r="G263" s="3">
        <v>2972</v>
      </c>
      <c r="H263" s="3" t="s">
        <v>326</v>
      </c>
      <c r="I263" s="3">
        <v>54659020</v>
      </c>
      <c r="J263" s="4">
        <v>42023</v>
      </c>
      <c r="K263" s="3" t="s">
        <v>1903</v>
      </c>
      <c r="L263" s="3" t="s">
        <v>30</v>
      </c>
      <c r="M263" s="3" t="s">
        <v>31</v>
      </c>
      <c r="N263" s="3" t="s">
        <v>44</v>
      </c>
      <c r="O263" s="3" t="s">
        <v>1101</v>
      </c>
      <c r="P263" s="3" t="s">
        <v>1904</v>
      </c>
      <c r="Q263" s="3">
        <v>1923</v>
      </c>
      <c r="R263" s="3" t="s">
        <v>1905</v>
      </c>
      <c r="S263" s="3" t="s">
        <v>1906</v>
      </c>
      <c r="T263" s="3" t="s">
        <v>1903</v>
      </c>
      <c r="U263" s="3">
        <v>2213073655</v>
      </c>
      <c r="V263" s="3">
        <v>2216186842</v>
      </c>
      <c r="X263" s="3" t="s">
        <v>1907</v>
      </c>
      <c r="Y263" s="3" t="s">
        <v>1908</v>
      </c>
    </row>
    <row r="264" spans="1:46" ht="13.2" x14ac:dyDescent="0.25">
      <c r="A264" s="2">
        <v>46082.915992210648</v>
      </c>
      <c r="B264" s="3" t="b">
        <v>1</v>
      </c>
      <c r="C264" s="3" t="s">
        <v>1909</v>
      </c>
      <c r="D264" s="3" t="s">
        <v>26</v>
      </c>
      <c r="E264" s="3" t="s">
        <v>1910</v>
      </c>
      <c r="F264" s="3" t="s">
        <v>1911</v>
      </c>
      <c r="G264" s="3">
        <v>3891</v>
      </c>
      <c r="H264" s="3" t="s">
        <v>74</v>
      </c>
      <c r="I264" s="3">
        <v>52703139</v>
      </c>
      <c r="J264" s="4">
        <v>41167</v>
      </c>
      <c r="K264" s="3" t="s">
        <v>1909</v>
      </c>
      <c r="L264" s="3" t="s">
        <v>43</v>
      </c>
      <c r="M264" s="3" t="s">
        <v>293</v>
      </c>
      <c r="N264" s="3" t="s">
        <v>55</v>
      </c>
      <c r="O264" s="3" t="s">
        <v>1912</v>
      </c>
      <c r="P264" s="3" t="s">
        <v>1913</v>
      </c>
      <c r="Q264" s="3">
        <v>1609</v>
      </c>
      <c r="R264" s="3" t="s">
        <v>1914</v>
      </c>
      <c r="S264" s="3" t="s">
        <v>1911</v>
      </c>
      <c r="T264" s="3" t="s">
        <v>1909</v>
      </c>
      <c r="U264" s="3">
        <v>1140276302</v>
      </c>
      <c r="V264" s="3">
        <v>1140276303</v>
      </c>
      <c r="W264" s="3">
        <v>1133244946</v>
      </c>
      <c r="X264" s="3" t="s">
        <v>140</v>
      </c>
      <c r="Y264" s="3">
        <v>62184993505</v>
      </c>
    </row>
    <row r="265" spans="1:46" ht="13.2" x14ac:dyDescent="0.25">
      <c r="A265" s="2">
        <v>46082.917330775468</v>
      </c>
      <c r="B265" s="3" t="b">
        <v>1</v>
      </c>
      <c r="C265" s="3" t="s">
        <v>1915</v>
      </c>
      <c r="D265" s="3" t="s">
        <v>358</v>
      </c>
      <c r="E265" s="3" t="s">
        <v>1916</v>
      </c>
      <c r="F265" s="3" t="s">
        <v>1917</v>
      </c>
      <c r="G265" s="3">
        <v>222112</v>
      </c>
      <c r="H265" s="3" t="s">
        <v>54</v>
      </c>
      <c r="I265" s="3">
        <v>47026601</v>
      </c>
      <c r="J265" s="4">
        <v>38665</v>
      </c>
      <c r="K265" s="3" t="s">
        <v>1915</v>
      </c>
      <c r="L265" s="3" t="s">
        <v>43</v>
      </c>
      <c r="M265" s="3" t="s">
        <v>31</v>
      </c>
      <c r="N265" s="3" t="s">
        <v>44</v>
      </c>
      <c r="O265" s="3" t="s">
        <v>1918</v>
      </c>
      <c r="P265" s="3" t="s">
        <v>1237</v>
      </c>
      <c r="Q265" s="3">
        <v>1426</v>
      </c>
      <c r="V265" s="3">
        <v>1161649489</v>
      </c>
      <c r="W265" s="3">
        <v>1144072609</v>
      </c>
      <c r="X265" s="3" t="s">
        <v>896</v>
      </c>
      <c r="Y265" s="3" t="s">
        <v>1919</v>
      </c>
    </row>
    <row r="266" spans="1:46" ht="13.2" x14ac:dyDescent="0.25">
      <c r="A266" s="2">
        <v>46082.918307465283</v>
      </c>
      <c r="B266" s="3" t="b">
        <v>1</v>
      </c>
      <c r="C266" s="3" t="s">
        <v>1920</v>
      </c>
      <c r="D266" s="3" t="s">
        <v>180</v>
      </c>
      <c r="E266" s="3" t="s">
        <v>1921</v>
      </c>
      <c r="F266" s="3" t="s">
        <v>1922</v>
      </c>
      <c r="G266" s="3">
        <v>4126</v>
      </c>
      <c r="H266" s="3" t="s">
        <v>318</v>
      </c>
      <c r="I266" s="3">
        <v>54383455</v>
      </c>
      <c r="J266" s="4">
        <v>41935</v>
      </c>
      <c r="K266" s="3" t="s">
        <v>1923</v>
      </c>
      <c r="L266" s="3" t="s">
        <v>30</v>
      </c>
      <c r="M266" s="3" t="s">
        <v>31</v>
      </c>
      <c r="N266" s="3" t="s">
        <v>1924</v>
      </c>
      <c r="O266" s="3" t="s">
        <v>1531</v>
      </c>
      <c r="P266" s="3" t="s">
        <v>1925</v>
      </c>
      <c r="Q266" s="3">
        <v>1428</v>
      </c>
      <c r="R266" s="3" t="s">
        <v>1926</v>
      </c>
      <c r="S266" s="3" t="s">
        <v>1927</v>
      </c>
      <c r="T266" s="3" t="s">
        <v>1928</v>
      </c>
      <c r="U266" s="3">
        <v>1552210801</v>
      </c>
      <c r="V266" s="3">
        <v>1552210801</v>
      </c>
      <c r="X266" s="3" t="s">
        <v>115</v>
      </c>
      <c r="Y266" s="3">
        <v>61017377301</v>
      </c>
      <c r="Z266" s="3" t="s">
        <v>1929</v>
      </c>
      <c r="AA266" s="3" t="s">
        <v>1922</v>
      </c>
      <c r="AB266" s="3">
        <v>4259</v>
      </c>
      <c r="AC266" s="3" t="s">
        <v>318</v>
      </c>
      <c r="AD266" s="3">
        <v>51125616</v>
      </c>
      <c r="AE266" s="4">
        <v>40658</v>
      </c>
      <c r="AF266" s="3" t="s">
        <v>1923</v>
      </c>
      <c r="AG266" s="3" t="s">
        <v>43</v>
      </c>
      <c r="AH266" s="3" t="s">
        <v>31</v>
      </c>
      <c r="AI266" s="3" t="s">
        <v>1930</v>
      </c>
      <c r="AJ266" s="3" t="s">
        <v>1931</v>
      </c>
      <c r="AK266" s="3" t="s">
        <v>1925</v>
      </c>
      <c r="AL266" s="3">
        <v>1428</v>
      </c>
      <c r="AM266" s="3" t="s">
        <v>1926</v>
      </c>
      <c r="AN266" s="3" t="s">
        <v>1927</v>
      </c>
      <c r="AO266" s="3" t="s">
        <v>1920</v>
      </c>
      <c r="AP266" s="3">
        <v>1552210801</v>
      </c>
      <c r="AS266" s="3" t="s">
        <v>115</v>
      </c>
      <c r="AT266" s="3">
        <v>63203650703</v>
      </c>
    </row>
    <row r="267" spans="1:46" ht="13.2" x14ac:dyDescent="0.25">
      <c r="A267" s="2">
        <v>46082.921226874998</v>
      </c>
      <c r="B267" s="3" t="b">
        <v>1</v>
      </c>
      <c r="C267" s="3" t="s">
        <v>1909</v>
      </c>
      <c r="D267" s="3">
        <v>420</v>
      </c>
      <c r="E267" s="3" t="s">
        <v>1685</v>
      </c>
      <c r="F267" s="3" t="s">
        <v>1911</v>
      </c>
      <c r="G267" s="3">
        <v>52654</v>
      </c>
      <c r="H267" s="3" t="s">
        <v>74</v>
      </c>
      <c r="I267" s="3">
        <v>50155530</v>
      </c>
      <c r="J267" s="4">
        <v>40218</v>
      </c>
      <c r="K267" s="3" t="s">
        <v>1932</v>
      </c>
      <c r="L267" s="3" t="s">
        <v>43</v>
      </c>
      <c r="M267" s="3" t="s">
        <v>293</v>
      </c>
      <c r="N267" s="3" t="s">
        <v>55</v>
      </c>
      <c r="O267" s="3" t="s">
        <v>1912</v>
      </c>
      <c r="P267" s="3" t="s">
        <v>1913</v>
      </c>
      <c r="Q267" s="3">
        <v>1609</v>
      </c>
      <c r="R267" s="3" t="s">
        <v>1914</v>
      </c>
      <c r="S267" s="3" t="s">
        <v>1911</v>
      </c>
      <c r="T267" s="3" t="s">
        <v>1909</v>
      </c>
      <c r="U267" s="3">
        <v>1140276302</v>
      </c>
      <c r="V267" s="3">
        <v>1140276303</v>
      </c>
      <c r="W267" s="3">
        <v>1133244946</v>
      </c>
      <c r="X267" s="3" t="s">
        <v>140</v>
      </c>
      <c r="Y267" s="3">
        <v>62184993503</v>
      </c>
      <c r="Z267" s="3" t="s">
        <v>1933</v>
      </c>
      <c r="AA267" s="3" t="s">
        <v>1911</v>
      </c>
      <c r="AB267" s="3">
        <v>52654</v>
      </c>
      <c r="AC267" s="3" t="s">
        <v>74</v>
      </c>
      <c r="AD267" s="3">
        <v>50155529</v>
      </c>
      <c r="AE267" s="4">
        <v>40218</v>
      </c>
      <c r="AG267" s="3" t="s">
        <v>30</v>
      </c>
      <c r="AH267" s="3" t="s">
        <v>293</v>
      </c>
      <c r="AI267" s="3" t="s">
        <v>55</v>
      </c>
      <c r="AJ267" s="3" t="s">
        <v>1934</v>
      </c>
      <c r="AK267" s="3" t="s">
        <v>1913</v>
      </c>
      <c r="AL267" s="3">
        <v>1609</v>
      </c>
      <c r="AM267" s="3" t="s">
        <v>1914</v>
      </c>
      <c r="AN267" s="3" t="s">
        <v>1911</v>
      </c>
      <c r="AO267" s="3" t="s">
        <v>1909</v>
      </c>
      <c r="AP267" s="3">
        <v>1140276302</v>
      </c>
      <c r="AQ267" s="3">
        <v>1140276303</v>
      </c>
      <c r="AR267" s="3">
        <v>1133244946</v>
      </c>
      <c r="AS267" s="3" t="s">
        <v>211</v>
      </c>
      <c r="AT267" s="3">
        <v>62184993504</v>
      </c>
    </row>
    <row r="268" spans="1:46" ht="13.2" x14ac:dyDescent="0.25">
      <c r="A268" s="2">
        <v>46082.923234351852</v>
      </c>
      <c r="B268" s="3" t="b">
        <v>0</v>
      </c>
      <c r="C268" s="3" t="s">
        <v>1935</v>
      </c>
      <c r="D268" s="3" t="s">
        <v>180</v>
      </c>
      <c r="E268" s="3" t="s">
        <v>63</v>
      </c>
      <c r="F268" s="3" t="s">
        <v>1936</v>
      </c>
      <c r="G268" s="3">
        <v>3596</v>
      </c>
      <c r="H268" s="3" t="s">
        <v>318</v>
      </c>
      <c r="I268" s="3">
        <v>52954005</v>
      </c>
      <c r="J268" s="4">
        <v>41269</v>
      </c>
      <c r="K268" s="3" t="s">
        <v>1935</v>
      </c>
      <c r="L268" s="3" t="s">
        <v>30</v>
      </c>
      <c r="M268" s="3" t="s">
        <v>311</v>
      </c>
      <c r="N268" s="3" t="s">
        <v>384</v>
      </c>
      <c r="O268" s="3" t="s">
        <v>1937</v>
      </c>
      <c r="P268" s="3" t="s">
        <v>1938</v>
      </c>
      <c r="Q268" s="3">
        <v>1686</v>
      </c>
      <c r="R268" s="3" t="s">
        <v>1939</v>
      </c>
      <c r="S268" s="3" t="s">
        <v>1940</v>
      </c>
      <c r="T268" s="3" t="s">
        <v>1935</v>
      </c>
      <c r="U268" s="3">
        <v>1140488904</v>
      </c>
      <c r="V268" s="3">
        <v>1140488904</v>
      </c>
      <c r="W268" s="3">
        <v>1144246342</v>
      </c>
      <c r="X268" s="3" t="s">
        <v>211</v>
      </c>
      <c r="Y268" s="3">
        <v>60927005103</v>
      </c>
    </row>
    <row r="269" spans="1:46" ht="13.2" x14ac:dyDescent="0.25">
      <c r="A269" s="2">
        <v>46082.925659328699</v>
      </c>
      <c r="B269" s="3" t="b">
        <v>1</v>
      </c>
      <c r="C269" s="3" t="s">
        <v>1941</v>
      </c>
      <c r="D269" s="3" t="s">
        <v>26</v>
      </c>
      <c r="E269" s="3" t="s">
        <v>1338</v>
      </c>
      <c r="F269" s="3" t="s">
        <v>1942</v>
      </c>
      <c r="G269" s="3">
        <v>4045</v>
      </c>
      <c r="H269" s="3" t="s">
        <v>54</v>
      </c>
      <c r="I269" s="3">
        <v>52030773</v>
      </c>
      <c r="J269" s="4">
        <v>40956</v>
      </c>
      <c r="K269" s="3" t="s">
        <v>1941</v>
      </c>
      <c r="L269" s="3" t="s">
        <v>43</v>
      </c>
      <c r="M269" s="3" t="s">
        <v>76</v>
      </c>
      <c r="N269" s="3" t="s">
        <v>44</v>
      </c>
      <c r="O269" s="3" t="s">
        <v>172</v>
      </c>
      <c r="P269" s="3" t="s">
        <v>1943</v>
      </c>
      <c r="Q269" s="3">
        <v>1640</v>
      </c>
      <c r="R269" s="3" t="s">
        <v>1944</v>
      </c>
      <c r="S269" s="3" t="s">
        <v>1945</v>
      </c>
      <c r="T269" s="3" t="s">
        <v>1941</v>
      </c>
      <c r="U269" s="3" t="s">
        <v>1946</v>
      </c>
      <c r="V269" s="3" t="s">
        <v>1947</v>
      </c>
      <c r="W269" s="3" t="s">
        <v>1946</v>
      </c>
      <c r="X269" s="3" t="s">
        <v>115</v>
      </c>
      <c r="Y269" s="3" t="s">
        <v>1948</v>
      </c>
      <c r="Z269" s="3" t="s">
        <v>1949</v>
      </c>
      <c r="AA269" s="3" t="s">
        <v>1950</v>
      </c>
      <c r="AB269" s="3">
        <v>3743</v>
      </c>
      <c r="AC269" s="3" t="s">
        <v>54</v>
      </c>
      <c r="AD269" s="3">
        <v>54038691</v>
      </c>
      <c r="AE269" s="4">
        <v>41779</v>
      </c>
      <c r="AF269" s="3" t="s">
        <v>1941</v>
      </c>
      <c r="AG269" s="3" t="s">
        <v>43</v>
      </c>
      <c r="AH269" s="3" t="s">
        <v>31</v>
      </c>
      <c r="AI269" s="3" t="s">
        <v>44</v>
      </c>
      <c r="AJ269" s="3" t="s">
        <v>102</v>
      </c>
      <c r="AK269" s="3" t="s">
        <v>1943</v>
      </c>
      <c r="AL269" s="3">
        <v>1640</v>
      </c>
      <c r="AM269" s="3" t="s">
        <v>1951</v>
      </c>
      <c r="AN269" s="3" t="s">
        <v>1945</v>
      </c>
      <c r="AO269" s="3" t="s">
        <v>1941</v>
      </c>
      <c r="AP269" s="3" t="s">
        <v>1946</v>
      </c>
      <c r="AQ269" s="3" t="s">
        <v>1947</v>
      </c>
      <c r="AR269" s="3" t="s">
        <v>1946</v>
      </c>
      <c r="AS269" s="3" t="s">
        <v>115</v>
      </c>
      <c r="AT269" s="3" t="s">
        <v>1952</v>
      </c>
    </row>
    <row r="270" spans="1:46" ht="13.2" x14ac:dyDescent="0.25">
      <c r="A270" s="2">
        <v>46082.92629393519</v>
      </c>
      <c r="B270" s="3" t="b">
        <v>0</v>
      </c>
      <c r="C270" s="3" t="s">
        <v>1935</v>
      </c>
      <c r="D270" s="3" t="s">
        <v>180</v>
      </c>
      <c r="E270" s="3" t="s">
        <v>1710</v>
      </c>
      <c r="F270" s="3" t="s">
        <v>1936</v>
      </c>
      <c r="G270" s="3">
        <v>3437</v>
      </c>
      <c r="H270" s="3" t="s">
        <v>318</v>
      </c>
      <c r="I270" s="3">
        <v>55072058</v>
      </c>
      <c r="J270" s="4">
        <v>42266</v>
      </c>
      <c r="K270" s="3" t="s">
        <v>1935</v>
      </c>
      <c r="L270" s="3" t="s">
        <v>30</v>
      </c>
      <c r="M270" s="3" t="s">
        <v>311</v>
      </c>
      <c r="N270" s="3" t="s">
        <v>384</v>
      </c>
      <c r="O270" s="3" t="s">
        <v>1937</v>
      </c>
      <c r="P270" s="3" t="s">
        <v>1938</v>
      </c>
      <c r="Q270" s="3">
        <v>1686</v>
      </c>
      <c r="R270" s="3" t="s">
        <v>1953</v>
      </c>
      <c r="S270" s="3" t="s">
        <v>1940</v>
      </c>
      <c r="T270" s="3" t="s">
        <v>1935</v>
      </c>
      <c r="U270" s="3">
        <v>1140488904</v>
      </c>
      <c r="V270" s="3">
        <v>1140488904</v>
      </c>
      <c r="W270" s="3">
        <v>1144246342</v>
      </c>
      <c r="X270" s="3" t="s">
        <v>211</v>
      </c>
      <c r="Y270" s="3">
        <v>60927005104</v>
      </c>
    </row>
    <row r="271" spans="1:46" ht="13.2" x14ac:dyDescent="0.25">
      <c r="A271" s="2">
        <v>46082.92688929398</v>
      </c>
      <c r="B271" s="3" t="b">
        <v>1</v>
      </c>
      <c r="C271" s="3" t="s">
        <v>1954</v>
      </c>
      <c r="D271" s="3" t="s">
        <v>26</v>
      </c>
      <c r="E271" s="3" t="s">
        <v>1955</v>
      </c>
      <c r="F271" s="3" t="s">
        <v>1956</v>
      </c>
      <c r="G271" s="3">
        <v>4192</v>
      </c>
      <c r="H271" s="3" t="s">
        <v>566</v>
      </c>
      <c r="I271" s="3">
        <v>50671157</v>
      </c>
      <c r="J271" s="4">
        <v>40841</v>
      </c>
      <c r="K271" s="3" t="s">
        <v>1954</v>
      </c>
      <c r="L271" s="3" t="s">
        <v>43</v>
      </c>
      <c r="M271" s="3" t="s">
        <v>31</v>
      </c>
      <c r="N271" s="3" t="s">
        <v>92</v>
      </c>
      <c r="O271" s="3" t="s">
        <v>1957</v>
      </c>
      <c r="P271" s="3" t="s">
        <v>1958</v>
      </c>
      <c r="Q271" s="3">
        <v>1430</v>
      </c>
      <c r="R271" s="3" t="s">
        <v>194</v>
      </c>
      <c r="S271" s="3" t="s">
        <v>1959</v>
      </c>
      <c r="T271" s="3" t="s">
        <v>1954</v>
      </c>
      <c r="U271" s="3">
        <v>1136571538</v>
      </c>
      <c r="V271" s="3">
        <v>1140654972</v>
      </c>
      <c r="X271" s="3" t="s">
        <v>849</v>
      </c>
      <c r="Y271" s="3">
        <v>61553937704</v>
      </c>
    </row>
    <row r="272" spans="1:46" ht="13.2" x14ac:dyDescent="0.25">
      <c r="A272" s="2">
        <v>46082.927455740741</v>
      </c>
      <c r="B272" s="3" t="b">
        <v>1</v>
      </c>
      <c r="C272" s="3" t="s">
        <v>1960</v>
      </c>
      <c r="D272" s="3" t="s">
        <v>497</v>
      </c>
      <c r="E272" s="3" t="s">
        <v>1512</v>
      </c>
      <c r="F272" s="3" t="s">
        <v>756</v>
      </c>
      <c r="G272" s="3">
        <v>224815</v>
      </c>
      <c r="H272" s="3" t="s">
        <v>470</v>
      </c>
      <c r="I272" s="3">
        <v>49888359</v>
      </c>
      <c r="J272" s="4">
        <v>40169</v>
      </c>
      <c r="K272" s="3" t="s">
        <v>1960</v>
      </c>
      <c r="L272" s="3" t="s">
        <v>30</v>
      </c>
      <c r="M272" s="3" t="s">
        <v>76</v>
      </c>
      <c r="N272" s="3" t="s">
        <v>285</v>
      </c>
      <c r="O272" s="3" t="s">
        <v>1961</v>
      </c>
      <c r="P272" s="3" t="s">
        <v>1962</v>
      </c>
      <c r="Q272" s="3">
        <v>1603</v>
      </c>
      <c r="R272" s="3" t="s">
        <v>1963</v>
      </c>
      <c r="S272" s="3" t="s">
        <v>756</v>
      </c>
      <c r="T272" s="3" t="s">
        <v>1964</v>
      </c>
      <c r="U272" s="3">
        <v>1167049500</v>
      </c>
      <c r="V272" s="3">
        <v>1167049500</v>
      </c>
      <c r="X272" s="3" t="s">
        <v>1965</v>
      </c>
      <c r="Y272" s="5" t="s">
        <v>1966</v>
      </c>
    </row>
    <row r="273" spans="1:46" ht="13.2" x14ac:dyDescent="0.25">
      <c r="A273" s="2">
        <v>46082.928487569443</v>
      </c>
      <c r="B273" s="3" t="b">
        <v>1</v>
      </c>
      <c r="C273" s="3" t="s">
        <v>1967</v>
      </c>
      <c r="D273" s="3" t="s">
        <v>180</v>
      </c>
      <c r="E273" s="3" t="s">
        <v>1968</v>
      </c>
      <c r="F273" s="3" t="s">
        <v>1969</v>
      </c>
      <c r="G273" s="3">
        <v>3529</v>
      </c>
      <c r="H273" s="3" t="s">
        <v>326</v>
      </c>
      <c r="I273" s="3">
        <v>54663710</v>
      </c>
      <c r="J273" s="4">
        <v>42086</v>
      </c>
      <c r="K273" s="3" t="s">
        <v>1967</v>
      </c>
      <c r="L273" s="3" t="s">
        <v>30</v>
      </c>
      <c r="M273" s="3" t="s">
        <v>415</v>
      </c>
      <c r="N273" s="3" t="s">
        <v>1970</v>
      </c>
      <c r="O273" s="3" t="s">
        <v>931</v>
      </c>
      <c r="P273" s="3" t="s">
        <v>1971</v>
      </c>
      <c r="Q273" s="3">
        <v>1900</v>
      </c>
      <c r="R273" s="3" t="s">
        <v>1972</v>
      </c>
      <c r="S273" s="3" t="s">
        <v>1973</v>
      </c>
      <c r="T273" s="3" t="s">
        <v>1967</v>
      </c>
      <c r="U273" s="3">
        <v>2215582050</v>
      </c>
      <c r="V273" s="3">
        <v>2214984022</v>
      </c>
      <c r="W273" s="3">
        <v>2215580750</v>
      </c>
      <c r="X273" s="3" t="s">
        <v>70</v>
      </c>
      <c r="Y273" s="3">
        <v>972684678102</v>
      </c>
      <c r="AB273" s="3">
        <v>3529</v>
      </c>
    </row>
    <row r="274" spans="1:46" ht="13.2" x14ac:dyDescent="0.25">
      <c r="A274" s="2">
        <v>46082.931198113423</v>
      </c>
      <c r="B274" s="3" t="b">
        <v>1</v>
      </c>
      <c r="C274" s="3" t="s">
        <v>1954</v>
      </c>
      <c r="D274" s="3" t="s">
        <v>180</v>
      </c>
      <c r="E274" s="3" t="s">
        <v>1974</v>
      </c>
      <c r="F274" s="3" t="s">
        <v>1956</v>
      </c>
      <c r="G274" s="3">
        <v>3876</v>
      </c>
      <c r="H274" s="3" t="s">
        <v>590</v>
      </c>
      <c r="I274" s="3">
        <v>54516525</v>
      </c>
      <c r="J274" s="4">
        <v>41999</v>
      </c>
      <c r="K274" s="3" t="s">
        <v>1954</v>
      </c>
      <c r="L274" s="3" t="s">
        <v>43</v>
      </c>
      <c r="M274" s="3" t="s">
        <v>76</v>
      </c>
      <c r="N274" s="3" t="s">
        <v>551</v>
      </c>
      <c r="O274" s="3" t="s">
        <v>1957</v>
      </c>
      <c r="P274" s="3" t="s">
        <v>1958</v>
      </c>
      <c r="Q274" s="3">
        <v>1430</v>
      </c>
      <c r="R274" s="3" t="s">
        <v>194</v>
      </c>
      <c r="S274" s="3" t="s">
        <v>1975</v>
      </c>
      <c r="T274" s="3" t="s">
        <v>1954</v>
      </c>
      <c r="U274" s="3">
        <v>1136571538</v>
      </c>
      <c r="V274" s="3">
        <v>1140654972</v>
      </c>
      <c r="X274" s="3" t="s">
        <v>849</v>
      </c>
      <c r="Y274" s="3">
        <v>61553937705</v>
      </c>
    </row>
    <row r="275" spans="1:46" ht="13.2" x14ac:dyDescent="0.25">
      <c r="A275" s="2">
        <v>46082.936417881945</v>
      </c>
      <c r="B275" s="3" t="b">
        <v>0</v>
      </c>
      <c r="C275" s="3" t="s">
        <v>1976</v>
      </c>
      <c r="D275" s="3" t="s">
        <v>26</v>
      </c>
      <c r="E275" s="3" t="s">
        <v>1977</v>
      </c>
      <c r="F275" s="3" t="s">
        <v>1978</v>
      </c>
      <c r="G275" s="3">
        <v>4143</v>
      </c>
      <c r="H275" s="3" t="s">
        <v>1979</v>
      </c>
      <c r="I275" s="3">
        <v>53274297</v>
      </c>
      <c r="J275" s="4">
        <v>41418</v>
      </c>
      <c r="K275" s="3" t="s">
        <v>1980</v>
      </c>
      <c r="L275" s="3" t="s">
        <v>43</v>
      </c>
      <c r="M275" s="3" t="s">
        <v>1071</v>
      </c>
      <c r="N275" s="3" t="s">
        <v>1981</v>
      </c>
      <c r="O275" s="3" t="s">
        <v>1982</v>
      </c>
      <c r="P275" s="3" t="s">
        <v>1983</v>
      </c>
      <c r="Q275" s="3">
        <v>8400</v>
      </c>
      <c r="R275" s="3" t="s">
        <v>331</v>
      </c>
      <c r="S275" s="3" t="s">
        <v>1984</v>
      </c>
      <c r="T275" s="3" t="s">
        <v>1976</v>
      </c>
      <c r="U275" s="3">
        <v>2944383669</v>
      </c>
      <c r="V275" s="3">
        <v>2944383418</v>
      </c>
      <c r="X275" s="3" t="s">
        <v>1985</v>
      </c>
      <c r="Y275" s="3">
        <v>1075688</v>
      </c>
    </row>
    <row r="276" spans="1:46" ht="13.2" x14ac:dyDescent="0.25">
      <c r="A276" s="2">
        <v>46082.936517395836</v>
      </c>
      <c r="B276" s="3" t="b">
        <v>1</v>
      </c>
      <c r="C276" s="3" t="s">
        <v>1986</v>
      </c>
      <c r="D276" s="3" t="s">
        <v>180</v>
      </c>
      <c r="E276" s="3" t="s">
        <v>827</v>
      </c>
      <c r="F276" s="3" t="s">
        <v>1987</v>
      </c>
      <c r="G276" s="3" t="s">
        <v>1988</v>
      </c>
      <c r="H276" s="3" t="s">
        <v>590</v>
      </c>
      <c r="I276" s="3">
        <v>53416633</v>
      </c>
      <c r="J276" s="4">
        <v>41549</v>
      </c>
      <c r="K276" s="3" t="s">
        <v>1989</v>
      </c>
      <c r="L276" s="3" t="s">
        <v>43</v>
      </c>
      <c r="M276" s="3" t="s">
        <v>31</v>
      </c>
      <c r="N276" s="3" t="s">
        <v>91</v>
      </c>
      <c r="O276" s="3" t="s">
        <v>92</v>
      </c>
      <c r="P276" s="3" t="s">
        <v>1990</v>
      </c>
      <c r="Q276" s="3">
        <v>1430</v>
      </c>
      <c r="R276" s="3" t="s">
        <v>1991</v>
      </c>
      <c r="S276" s="3" t="s">
        <v>1992</v>
      </c>
      <c r="T276" s="3" t="s">
        <v>1986</v>
      </c>
      <c r="U276" s="3">
        <v>1150003678</v>
      </c>
      <c r="V276" s="3">
        <v>1150003678</v>
      </c>
      <c r="W276" s="3">
        <v>1150614361</v>
      </c>
      <c r="X276" s="3" t="s">
        <v>115</v>
      </c>
      <c r="Y276" s="3">
        <v>60741217703</v>
      </c>
    </row>
    <row r="277" spans="1:46" ht="13.2" x14ac:dyDescent="0.25">
      <c r="A277" s="2">
        <v>46082.950800694445</v>
      </c>
      <c r="B277" s="3" t="b">
        <v>1</v>
      </c>
      <c r="C277" s="3" t="s">
        <v>1993</v>
      </c>
      <c r="D277" s="3" t="s">
        <v>180</v>
      </c>
      <c r="E277" s="3" t="s">
        <v>1994</v>
      </c>
      <c r="F277" s="3" t="s">
        <v>1995</v>
      </c>
      <c r="G277" s="3">
        <v>3334</v>
      </c>
      <c r="H277" s="3" t="s">
        <v>843</v>
      </c>
      <c r="I277" s="3">
        <v>54189270</v>
      </c>
      <c r="J277" s="4">
        <v>41869</v>
      </c>
      <c r="K277" s="3" t="s">
        <v>1993</v>
      </c>
      <c r="L277" s="3" t="s">
        <v>43</v>
      </c>
      <c r="M277" s="3" t="s">
        <v>31</v>
      </c>
      <c r="N277" s="3" t="s">
        <v>44</v>
      </c>
      <c r="O277" s="3" t="s">
        <v>44</v>
      </c>
      <c r="P277" s="3" t="s">
        <v>1996</v>
      </c>
      <c r="Q277" s="3">
        <v>1210</v>
      </c>
      <c r="R277" s="3" t="s">
        <v>136</v>
      </c>
      <c r="S277" s="3" t="s">
        <v>1995</v>
      </c>
      <c r="T277" s="3" t="s">
        <v>1993</v>
      </c>
      <c r="U277" s="3" t="s">
        <v>1997</v>
      </c>
      <c r="V277" s="3" t="s">
        <v>1998</v>
      </c>
      <c r="X277" s="3" t="s">
        <v>1999</v>
      </c>
      <c r="Y277" s="3" t="s">
        <v>2000</v>
      </c>
    </row>
    <row r="278" spans="1:46" ht="13.2" x14ac:dyDescent="0.25">
      <c r="A278" s="2">
        <v>46082.957258252311</v>
      </c>
      <c r="B278" s="3" t="b">
        <v>1</v>
      </c>
      <c r="C278" s="3" t="s">
        <v>2001</v>
      </c>
      <c r="D278" s="3" t="s">
        <v>358</v>
      </c>
      <c r="E278" s="3" t="s">
        <v>2002</v>
      </c>
      <c r="F278" s="3" t="s">
        <v>2003</v>
      </c>
      <c r="G278" s="3">
        <v>219355</v>
      </c>
      <c r="H278" s="3" t="s">
        <v>452</v>
      </c>
      <c r="I278" s="3">
        <v>50600838</v>
      </c>
      <c r="J278" s="4">
        <v>40630</v>
      </c>
      <c r="K278" s="3" t="s">
        <v>2004</v>
      </c>
      <c r="L278" s="3" t="s">
        <v>43</v>
      </c>
      <c r="M278" s="3" t="s">
        <v>311</v>
      </c>
      <c r="N278" s="3" t="s">
        <v>384</v>
      </c>
      <c r="O278" s="3" t="s">
        <v>312</v>
      </c>
      <c r="P278" s="3" t="s">
        <v>2005</v>
      </c>
      <c r="Q278" s="3">
        <v>1111</v>
      </c>
      <c r="R278" s="3" t="s">
        <v>2006</v>
      </c>
      <c r="S278" s="3" t="s">
        <v>2003</v>
      </c>
      <c r="T278" s="3" t="s">
        <v>2001</v>
      </c>
      <c r="U278" s="3">
        <v>1160965644</v>
      </c>
      <c r="V278" s="3">
        <v>1160965644</v>
      </c>
      <c r="X278" s="3" t="s">
        <v>802</v>
      </c>
      <c r="Y278" s="3" t="s">
        <v>2007</v>
      </c>
      <c r="Z278" s="3" t="s">
        <v>2008</v>
      </c>
      <c r="AA278" s="3" t="s">
        <v>2003</v>
      </c>
      <c r="AB278" s="3">
        <v>219355</v>
      </c>
      <c r="AC278" s="3" t="s">
        <v>2009</v>
      </c>
      <c r="AD278" s="3">
        <v>50600838</v>
      </c>
      <c r="AE278" s="4">
        <v>40630</v>
      </c>
      <c r="AF278" s="3" t="s">
        <v>2004</v>
      </c>
      <c r="AG278" s="3" t="s">
        <v>43</v>
      </c>
      <c r="AH278" s="3" t="s">
        <v>311</v>
      </c>
      <c r="AI278" s="3" t="s">
        <v>384</v>
      </c>
      <c r="AJ278" s="3" t="s">
        <v>312</v>
      </c>
      <c r="AK278" s="3" t="s">
        <v>2005</v>
      </c>
      <c r="AL278" s="3">
        <v>1111</v>
      </c>
      <c r="AM278" s="3" t="s">
        <v>2010</v>
      </c>
      <c r="AN278" s="3" t="s">
        <v>2003</v>
      </c>
      <c r="AO278" s="3" t="s">
        <v>2001</v>
      </c>
      <c r="AP278" s="3">
        <v>1160965644</v>
      </c>
      <c r="AQ278" s="3">
        <v>1160965644</v>
      </c>
      <c r="AS278" s="3" t="s">
        <v>2011</v>
      </c>
      <c r="AT278" s="3" t="s">
        <v>2012</v>
      </c>
    </row>
    <row r="279" spans="1:46" ht="13.2" x14ac:dyDescent="0.25">
      <c r="A279" s="2">
        <v>46082.963164305555</v>
      </c>
      <c r="B279" s="3" t="b">
        <v>1</v>
      </c>
      <c r="C279" s="3" t="s">
        <v>2001</v>
      </c>
      <c r="D279" s="3" t="s">
        <v>366</v>
      </c>
      <c r="E279" s="3" t="s">
        <v>2013</v>
      </c>
      <c r="F279" s="3" t="s">
        <v>2003</v>
      </c>
      <c r="G279" s="3">
        <v>213390</v>
      </c>
      <c r="H279" s="3" t="s">
        <v>470</v>
      </c>
      <c r="I279" s="3">
        <v>46958758</v>
      </c>
      <c r="J279" s="4">
        <v>38600</v>
      </c>
      <c r="K279" s="3" t="s">
        <v>2014</v>
      </c>
      <c r="L279" s="3" t="s">
        <v>43</v>
      </c>
      <c r="M279" s="3" t="s">
        <v>311</v>
      </c>
      <c r="N279" s="3" t="s">
        <v>384</v>
      </c>
      <c r="O279" s="3" t="s">
        <v>312</v>
      </c>
      <c r="P279" s="3" t="s">
        <v>2005</v>
      </c>
      <c r="Q279" s="3">
        <v>1111</v>
      </c>
      <c r="R279" s="3" t="s">
        <v>2010</v>
      </c>
      <c r="S279" s="3" t="s">
        <v>2003</v>
      </c>
      <c r="T279" s="3" t="s">
        <v>2001</v>
      </c>
      <c r="U279" s="3">
        <v>1160965644</v>
      </c>
      <c r="V279" s="3">
        <v>1160965644</v>
      </c>
      <c r="X279" s="3" t="s">
        <v>2011</v>
      </c>
      <c r="Y279" s="3" t="s">
        <v>2015</v>
      </c>
    </row>
    <row r="280" spans="1:46" ht="13.2" x14ac:dyDescent="0.25">
      <c r="A280" s="2">
        <v>46082.964602233798</v>
      </c>
      <c r="B280" s="3" t="b">
        <v>1</v>
      </c>
      <c r="C280" s="3" t="s">
        <v>2016</v>
      </c>
      <c r="D280" s="3" t="s">
        <v>358</v>
      </c>
      <c r="E280" s="3" t="s">
        <v>2017</v>
      </c>
      <c r="F280" s="3" t="s">
        <v>2018</v>
      </c>
      <c r="G280" s="3">
        <v>204849</v>
      </c>
      <c r="H280" s="3" t="s">
        <v>318</v>
      </c>
      <c r="I280" s="3">
        <v>50414789</v>
      </c>
      <c r="J280" s="4">
        <v>40367</v>
      </c>
      <c r="K280" s="3" t="s">
        <v>2019</v>
      </c>
      <c r="L280" s="3" t="s">
        <v>43</v>
      </c>
      <c r="M280" s="3" t="s">
        <v>31</v>
      </c>
      <c r="N280" s="3" t="s">
        <v>142</v>
      </c>
      <c r="O280" s="3" t="s">
        <v>142</v>
      </c>
      <c r="P280" s="3" t="s">
        <v>2020</v>
      </c>
      <c r="Q280" s="3">
        <v>1425</v>
      </c>
      <c r="R280" s="3" t="s">
        <v>2021</v>
      </c>
      <c r="S280" s="3" t="s">
        <v>2022</v>
      </c>
      <c r="T280" s="3" t="s">
        <v>2016</v>
      </c>
      <c r="U280" s="3">
        <v>1144345575</v>
      </c>
      <c r="V280" s="3">
        <v>1144345575</v>
      </c>
      <c r="W280" s="3">
        <v>1140290151</v>
      </c>
      <c r="X280" s="3" t="s">
        <v>2023</v>
      </c>
      <c r="Y280" s="3">
        <v>537835018806</v>
      </c>
    </row>
    <row r="281" spans="1:46" ht="13.2" x14ac:dyDescent="0.25">
      <c r="A281" s="2">
        <v>46082.966880763888</v>
      </c>
      <c r="B281" s="3" t="b">
        <v>1</v>
      </c>
      <c r="C281" s="3" t="s">
        <v>2024</v>
      </c>
      <c r="D281" s="3" t="s">
        <v>26</v>
      </c>
      <c r="E281" s="3" t="s">
        <v>2025</v>
      </c>
      <c r="F281" s="3" t="s">
        <v>2026</v>
      </c>
      <c r="G281" s="3">
        <v>4164</v>
      </c>
      <c r="H281" s="3" t="s">
        <v>54</v>
      </c>
      <c r="I281" s="3">
        <v>51069680</v>
      </c>
      <c r="J281" s="4">
        <v>40630</v>
      </c>
      <c r="K281" s="3" t="s">
        <v>2024</v>
      </c>
      <c r="L281" s="3" t="s">
        <v>30</v>
      </c>
      <c r="M281" s="3" t="s">
        <v>31</v>
      </c>
      <c r="N281" s="3" t="s">
        <v>44</v>
      </c>
      <c r="O281" s="3" t="s">
        <v>2027</v>
      </c>
      <c r="P281" s="3" t="s">
        <v>2028</v>
      </c>
      <c r="Q281" s="3">
        <v>1778</v>
      </c>
      <c r="R281" s="3" t="s">
        <v>2029</v>
      </c>
      <c r="S281" s="3" t="s">
        <v>2030</v>
      </c>
      <c r="T281" s="3" t="s">
        <v>2024</v>
      </c>
      <c r="U281" s="3">
        <v>1167024533</v>
      </c>
      <c r="V281" s="3">
        <v>1167024533</v>
      </c>
      <c r="W281" s="3">
        <v>1157811062</v>
      </c>
      <c r="X281" s="3" t="s">
        <v>115</v>
      </c>
      <c r="Y281" s="3">
        <v>60949517702</v>
      </c>
    </row>
    <row r="282" spans="1:46" ht="13.2" x14ac:dyDescent="0.25">
      <c r="A282" s="2">
        <v>46082.969167905088</v>
      </c>
      <c r="B282" s="3" t="b">
        <v>1</v>
      </c>
      <c r="C282" s="3" t="s">
        <v>2031</v>
      </c>
      <c r="D282" s="3" t="s">
        <v>180</v>
      </c>
      <c r="E282" s="3" t="s">
        <v>2032</v>
      </c>
      <c r="F282" s="3" t="s">
        <v>2033</v>
      </c>
      <c r="G282" s="3">
        <v>3525</v>
      </c>
      <c r="H282" s="3" t="s">
        <v>590</v>
      </c>
      <c r="I282" s="3">
        <v>52398482</v>
      </c>
      <c r="J282" s="4">
        <v>41007</v>
      </c>
      <c r="K282" s="3" t="s">
        <v>2031</v>
      </c>
      <c r="L282" s="3" t="s">
        <v>43</v>
      </c>
      <c r="M282" s="3" t="s">
        <v>31</v>
      </c>
      <c r="N282" s="3" t="s">
        <v>44</v>
      </c>
      <c r="O282" s="3" t="s">
        <v>2034</v>
      </c>
      <c r="P282" s="3" t="s">
        <v>2035</v>
      </c>
      <c r="Q282" s="3">
        <v>1706</v>
      </c>
      <c r="R282" s="3" t="s">
        <v>2036</v>
      </c>
      <c r="S282" s="3" t="s">
        <v>2033</v>
      </c>
      <c r="T282" s="3" t="s">
        <v>2031</v>
      </c>
      <c r="U282" s="3">
        <v>1545777933</v>
      </c>
      <c r="V282" s="3">
        <v>145572691</v>
      </c>
      <c r="W282" s="3">
        <v>1545777933</v>
      </c>
      <c r="X282" s="3" t="s">
        <v>140</v>
      </c>
      <c r="Y282" s="3" t="s">
        <v>2037</v>
      </c>
    </row>
    <row r="283" spans="1:46" ht="13.2" x14ac:dyDescent="0.25">
      <c r="A283" s="2">
        <v>46082.976803483798</v>
      </c>
      <c r="B283" s="3" t="b">
        <v>1</v>
      </c>
      <c r="C283" s="3" t="s">
        <v>2038</v>
      </c>
      <c r="D283" s="3" t="s">
        <v>497</v>
      </c>
      <c r="E283" s="3" t="s">
        <v>288</v>
      </c>
      <c r="F283" s="3" t="s">
        <v>2039</v>
      </c>
      <c r="G283" s="3">
        <v>224764</v>
      </c>
      <c r="H283" s="3" t="s">
        <v>470</v>
      </c>
      <c r="I283" s="3">
        <v>51390049</v>
      </c>
      <c r="J283" s="4">
        <v>40773</v>
      </c>
      <c r="K283" s="3" t="s">
        <v>2038</v>
      </c>
      <c r="L283" s="3" t="s">
        <v>43</v>
      </c>
      <c r="M283" s="3" t="s">
        <v>76</v>
      </c>
      <c r="N283" s="3" t="s">
        <v>128</v>
      </c>
      <c r="O283" s="3" t="s">
        <v>2040</v>
      </c>
      <c r="P283" s="3" t="s">
        <v>2041</v>
      </c>
      <c r="Q283" s="3">
        <v>1603</v>
      </c>
      <c r="R283" s="3" t="s">
        <v>2042</v>
      </c>
      <c r="S283" s="3" t="s">
        <v>2043</v>
      </c>
      <c r="T283" s="3" t="s">
        <v>2044</v>
      </c>
      <c r="U283" s="3">
        <v>1167049500</v>
      </c>
      <c r="V283" s="3">
        <v>1167049500</v>
      </c>
      <c r="W283" s="3">
        <v>1167059500</v>
      </c>
      <c r="X283" s="3" t="s">
        <v>2045</v>
      </c>
      <c r="Y283" s="5" t="s">
        <v>2046</v>
      </c>
    </row>
    <row r="284" spans="1:46" ht="13.2" x14ac:dyDescent="0.25">
      <c r="A284" s="2">
        <v>46082.991455150463</v>
      </c>
      <c r="B284" s="3" t="b">
        <v>0</v>
      </c>
      <c r="C284" s="3" t="s">
        <v>2047</v>
      </c>
      <c r="D284" s="3" t="s">
        <v>358</v>
      </c>
      <c r="E284" s="3" t="s">
        <v>2048</v>
      </c>
      <c r="F284" s="3" t="s">
        <v>2049</v>
      </c>
      <c r="G284" s="3">
        <v>218280</v>
      </c>
      <c r="H284" s="3" t="s">
        <v>1275</v>
      </c>
      <c r="I284" s="3">
        <v>20383836</v>
      </c>
      <c r="J284" s="4">
        <v>24959</v>
      </c>
      <c r="K284" s="3" t="s">
        <v>2050</v>
      </c>
      <c r="L284" s="3" t="s">
        <v>30</v>
      </c>
      <c r="M284" s="3" t="s">
        <v>2051</v>
      </c>
      <c r="N284" s="3" t="s">
        <v>952</v>
      </c>
      <c r="O284" s="3" t="s">
        <v>102</v>
      </c>
      <c r="P284" s="3" t="s">
        <v>2052</v>
      </c>
      <c r="Q284" s="3" t="s">
        <v>2053</v>
      </c>
      <c r="V284" s="3">
        <v>1566102090</v>
      </c>
      <c r="X284" s="3" t="s">
        <v>794</v>
      </c>
      <c r="Y284" s="3">
        <v>22</v>
      </c>
    </row>
    <row r="285" spans="1:46" ht="13.2" x14ac:dyDescent="0.25">
      <c r="A285" s="2">
        <v>46083.003592534718</v>
      </c>
      <c r="B285" s="3" t="b">
        <v>1</v>
      </c>
      <c r="C285" s="3" t="s">
        <v>2054</v>
      </c>
      <c r="D285" s="3" t="s">
        <v>180</v>
      </c>
      <c r="E285" s="3" t="s">
        <v>879</v>
      </c>
      <c r="F285" s="3" t="s">
        <v>2055</v>
      </c>
      <c r="G285" s="3">
        <v>3818</v>
      </c>
      <c r="H285" s="3" t="s">
        <v>452</v>
      </c>
      <c r="I285" s="3">
        <v>54698960</v>
      </c>
      <c r="J285" s="4">
        <v>42080</v>
      </c>
      <c r="K285" s="3" t="s">
        <v>2054</v>
      </c>
      <c r="L285" s="3" t="s">
        <v>43</v>
      </c>
      <c r="M285" s="3" t="s">
        <v>31</v>
      </c>
      <c r="N285" s="3" t="s">
        <v>44</v>
      </c>
      <c r="O285" s="3" t="s">
        <v>1006</v>
      </c>
      <c r="P285" s="3" t="s">
        <v>2056</v>
      </c>
      <c r="Q285" s="3">
        <v>1640</v>
      </c>
      <c r="R285" s="3" t="s">
        <v>2057</v>
      </c>
      <c r="S285" s="3" t="s">
        <v>2058</v>
      </c>
      <c r="T285" s="3" t="s">
        <v>2054</v>
      </c>
      <c r="U285" s="3">
        <v>1138530934</v>
      </c>
      <c r="V285" s="3">
        <v>1138530934</v>
      </c>
      <c r="W285" s="3">
        <v>1168118613</v>
      </c>
      <c r="X285" s="3" t="s">
        <v>140</v>
      </c>
      <c r="Y285" s="3" t="s">
        <v>2059</v>
      </c>
    </row>
    <row r="286" spans="1:46" ht="13.2" x14ac:dyDescent="0.25">
      <c r="A286" s="2">
        <v>46083.319116296298</v>
      </c>
      <c r="B286" s="3" t="b">
        <v>1</v>
      </c>
      <c r="C286" s="3" t="s">
        <v>2060</v>
      </c>
      <c r="D286" s="3" t="s">
        <v>497</v>
      </c>
      <c r="E286" s="3" t="s">
        <v>1813</v>
      </c>
      <c r="F286" s="3" t="s">
        <v>2061</v>
      </c>
      <c r="G286" s="3">
        <v>201304</v>
      </c>
      <c r="H286" s="3" t="s">
        <v>326</v>
      </c>
      <c r="I286" s="3">
        <v>49426277</v>
      </c>
      <c r="J286" s="4">
        <v>39937</v>
      </c>
      <c r="K286" s="3" t="s">
        <v>2060</v>
      </c>
      <c r="L286" s="3" t="s">
        <v>43</v>
      </c>
      <c r="M286" s="3" t="s">
        <v>31</v>
      </c>
      <c r="N286" s="3" t="s">
        <v>44</v>
      </c>
      <c r="O286" s="3" t="s">
        <v>327</v>
      </c>
      <c r="P286" s="3" t="s">
        <v>2062</v>
      </c>
      <c r="Q286" s="3">
        <v>1900</v>
      </c>
      <c r="R286" s="3" t="s">
        <v>1822</v>
      </c>
      <c r="S286" s="3" t="s">
        <v>2063</v>
      </c>
      <c r="T286" s="3" t="s">
        <v>2060</v>
      </c>
      <c r="U286" s="3">
        <v>2215066655</v>
      </c>
      <c r="V286" s="3">
        <v>2215866141</v>
      </c>
      <c r="X286" s="3" t="s">
        <v>2064</v>
      </c>
      <c r="Y286" s="3" t="s">
        <v>2065</v>
      </c>
    </row>
    <row r="287" spans="1:46" ht="13.2" x14ac:dyDescent="0.25">
      <c r="A287" s="2">
        <v>46083.337508472221</v>
      </c>
      <c r="B287" s="3" t="b">
        <v>1</v>
      </c>
      <c r="C287" s="3" t="s">
        <v>2066</v>
      </c>
      <c r="D287" s="3" t="s">
        <v>180</v>
      </c>
      <c r="E287" s="3" t="s">
        <v>2067</v>
      </c>
      <c r="F287" s="3" t="s">
        <v>2068</v>
      </c>
      <c r="G287" s="3" t="s">
        <v>2069</v>
      </c>
      <c r="H287" s="3" t="s">
        <v>54</v>
      </c>
      <c r="I287" s="3">
        <v>52979884</v>
      </c>
      <c r="J287" s="4">
        <v>41364</v>
      </c>
      <c r="K287" s="3" t="s">
        <v>2066</v>
      </c>
      <c r="L287" s="3" t="s">
        <v>43</v>
      </c>
      <c r="M287" s="3" t="s">
        <v>293</v>
      </c>
      <c r="N287" s="3" t="s">
        <v>55</v>
      </c>
      <c r="O287" s="3" t="s">
        <v>2070</v>
      </c>
      <c r="P287" s="3" t="s">
        <v>2071</v>
      </c>
      <c r="Q287" s="3">
        <v>1641</v>
      </c>
      <c r="V287" s="3">
        <v>1130701747</v>
      </c>
      <c r="W287" s="3">
        <v>1130900690</v>
      </c>
      <c r="X287" s="3" t="s">
        <v>2072</v>
      </c>
      <c r="Y287" s="3" t="s">
        <v>2073</v>
      </c>
    </row>
    <row r="288" spans="1:46" ht="13.2" x14ac:dyDescent="0.25">
      <c r="A288" s="2">
        <v>46083.338565335653</v>
      </c>
      <c r="B288" s="3" t="b">
        <v>1</v>
      </c>
      <c r="C288" s="3" t="s">
        <v>2074</v>
      </c>
      <c r="D288" s="3" t="s">
        <v>180</v>
      </c>
      <c r="E288" s="3" t="s">
        <v>2075</v>
      </c>
      <c r="F288" s="3" t="s">
        <v>2068</v>
      </c>
      <c r="G288" s="3" t="s">
        <v>1281</v>
      </c>
      <c r="H288" s="3" t="s">
        <v>54</v>
      </c>
      <c r="I288" s="3">
        <v>54816254</v>
      </c>
      <c r="J288" s="4">
        <v>42317</v>
      </c>
      <c r="K288" s="3" t="s">
        <v>2074</v>
      </c>
      <c r="L288" s="3" t="s">
        <v>43</v>
      </c>
      <c r="M288" s="3" t="s">
        <v>293</v>
      </c>
      <c r="N288" s="3" t="s">
        <v>55</v>
      </c>
      <c r="O288" s="3" t="s">
        <v>2070</v>
      </c>
      <c r="P288" s="3" t="s">
        <v>2071</v>
      </c>
      <c r="Q288" s="3">
        <v>1641</v>
      </c>
      <c r="V288" s="3">
        <v>1130701747</v>
      </c>
      <c r="W288" s="3">
        <v>1130900690</v>
      </c>
      <c r="X288" s="3" t="s">
        <v>2072</v>
      </c>
      <c r="Y288" s="3" t="s">
        <v>2076</v>
      </c>
    </row>
    <row r="289" spans="1:46" ht="13.2" x14ac:dyDescent="0.25">
      <c r="A289" s="2">
        <v>46083.348145891199</v>
      </c>
      <c r="B289" s="3" t="b">
        <v>1</v>
      </c>
      <c r="C289" s="3" t="s">
        <v>1139</v>
      </c>
      <c r="D289" s="3" t="s">
        <v>26</v>
      </c>
      <c r="E289" s="3" t="s">
        <v>1809</v>
      </c>
      <c r="F289" s="3" t="s">
        <v>1135</v>
      </c>
      <c r="G289" s="3">
        <v>4034</v>
      </c>
      <c r="H289" s="3" t="s">
        <v>352</v>
      </c>
      <c r="I289" s="3">
        <v>54222551</v>
      </c>
      <c r="J289" s="4">
        <v>41845</v>
      </c>
      <c r="K289" s="3" t="s">
        <v>1139</v>
      </c>
      <c r="L289" s="3" t="s">
        <v>43</v>
      </c>
      <c r="M289" s="3" t="s">
        <v>31</v>
      </c>
      <c r="N289" s="3" t="s">
        <v>44</v>
      </c>
      <c r="O289" s="3" t="s">
        <v>102</v>
      </c>
      <c r="P289" s="3" t="s">
        <v>2077</v>
      </c>
      <c r="Q289" s="3">
        <v>1642</v>
      </c>
      <c r="R289" s="3" t="s">
        <v>2078</v>
      </c>
      <c r="S289" s="3" t="s">
        <v>1138</v>
      </c>
      <c r="T289" s="3" t="s">
        <v>1139</v>
      </c>
      <c r="U289" s="3">
        <v>1161858660</v>
      </c>
      <c r="V289" s="3">
        <v>1165307596</v>
      </c>
      <c r="W289" s="3">
        <v>1161858660</v>
      </c>
      <c r="X289" s="3" t="s">
        <v>794</v>
      </c>
      <c r="Y289" s="3">
        <v>61460659304</v>
      </c>
    </row>
    <row r="290" spans="1:46" ht="13.2" x14ac:dyDescent="0.25">
      <c r="A290" s="2">
        <v>46083.350177870372</v>
      </c>
      <c r="B290" s="3" t="b">
        <v>1</v>
      </c>
      <c r="C290" s="3" t="s">
        <v>2079</v>
      </c>
      <c r="D290" s="3" t="s">
        <v>26</v>
      </c>
      <c r="E290" s="3" t="s">
        <v>2080</v>
      </c>
      <c r="F290" s="3" t="s">
        <v>2081</v>
      </c>
      <c r="G290" s="3">
        <v>3995</v>
      </c>
      <c r="H290" s="3" t="s">
        <v>198</v>
      </c>
      <c r="I290" s="3">
        <v>52861772</v>
      </c>
      <c r="J290" s="4">
        <v>41269</v>
      </c>
      <c r="K290" s="3" t="s">
        <v>2079</v>
      </c>
      <c r="L290" s="3" t="s">
        <v>43</v>
      </c>
      <c r="M290" s="3" t="s">
        <v>415</v>
      </c>
      <c r="N290" s="3" t="s">
        <v>92</v>
      </c>
      <c r="O290" s="3" t="s">
        <v>92</v>
      </c>
      <c r="P290" s="3" t="s">
        <v>2082</v>
      </c>
      <c r="Q290" s="3">
        <v>1426</v>
      </c>
      <c r="R290" s="3" t="s">
        <v>755</v>
      </c>
      <c r="S290" s="3" t="s">
        <v>2081</v>
      </c>
      <c r="T290" s="3" t="s">
        <v>2079</v>
      </c>
      <c r="U290" s="3">
        <v>1164117291</v>
      </c>
      <c r="V290" s="3">
        <v>1164117291</v>
      </c>
      <c r="W290" s="3">
        <v>1164117291</v>
      </c>
      <c r="X290" s="3" t="s">
        <v>140</v>
      </c>
      <c r="Y290" s="3">
        <v>52861772</v>
      </c>
    </row>
    <row r="291" spans="1:46" ht="13.2" x14ac:dyDescent="0.25">
      <c r="A291" s="2">
        <v>46083.356940844911</v>
      </c>
      <c r="B291" s="3" t="b">
        <v>0</v>
      </c>
      <c r="C291" s="3" t="s">
        <v>2083</v>
      </c>
      <c r="D291" s="3" t="s">
        <v>358</v>
      </c>
      <c r="E291" s="3" t="s">
        <v>422</v>
      </c>
      <c r="F291" s="3" t="s">
        <v>2084</v>
      </c>
      <c r="G291" s="3">
        <v>209401</v>
      </c>
      <c r="H291" s="3" t="s">
        <v>352</v>
      </c>
      <c r="I291" s="3">
        <v>50305055</v>
      </c>
      <c r="J291" s="4">
        <v>40282</v>
      </c>
      <c r="K291" s="3" t="s">
        <v>2083</v>
      </c>
      <c r="L291" s="3" t="s">
        <v>43</v>
      </c>
      <c r="M291" s="3" t="s">
        <v>31</v>
      </c>
      <c r="N291" s="3" t="s">
        <v>44</v>
      </c>
      <c r="O291" s="3" t="s">
        <v>102</v>
      </c>
      <c r="P291" s="3" t="s">
        <v>2077</v>
      </c>
      <c r="Q291" s="3">
        <v>1642</v>
      </c>
      <c r="R291" s="3" t="s">
        <v>2078</v>
      </c>
      <c r="S291" s="3" t="s">
        <v>1138</v>
      </c>
      <c r="T291" s="3" t="s">
        <v>1139</v>
      </c>
      <c r="U291" s="3">
        <v>1165347596</v>
      </c>
      <c r="V291" s="3">
        <v>1161858660</v>
      </c>
      <c r="X291" s="3" t="s">
        <v>794</v>
      </c>
      <c r="Y291" s="3">
        <v>61460659302</v>
      </c>
    </row>
    <row r="292" spans="1:46" ht="13.2" x14ac:dyDescent="0.25">
      <c r="A292" s="2">
        <v>46083.357265787039</v>
      </c>
      <c r="B292" s="3" t="b">
        <v>1</v>
      </c>
      <c r="C292" s="3" t="s">
        <v>2079</v>
      </c>
      <c r="D292" s="3">
        <v>420</v>
      </c>
      <c r="E292" s="3" t="s">
        <v>841</v>
      </c>
      <c r="F292" s="3" t="s">
        <v>2081</v>
      </c>
      <c r="G292" s="3">
        <v>56307</v>
      </c>
      <c r="H292" s="3" t="s">
        <v>198</v>
      </c>
      <c r="I292" s="3">
        <v>49759489</v>
      </c>
      <c r="J292" s="4">
        <v>40106</v>
      </c>
      <c r="K292" s="3" t="s">
        <v>2085</v>
      </c>
      <c r="L292" s="3" t="s">
        <v>30</v>
      </c>
      <c r="M292" s="3" t="s">
        <v>415</v>
      </c>
      <c r="N292" s="3" t="s">
        <v>92</v>
      </c>
      <c r="O292" s="3" t="s">
        <v>92</v>
      </c>
      <c r="P292" s="3" t="s">
        <v>2086</v>
      </c>
      <c r="Q292" s="3">
        <v>1426</v>
      </c>
      <c r="R292" s="3" t="s">
        <v>755</v>
      </c>
      <c r="S292" s="3" t="s">
        <v>2081</v>
      </c>
      <c r="T292" s="3" t="s">
        <v>2079</v>
      </c>
      <c r="U292" s="3">
        <v>1164117291</v>
      </c>
      <c r="V292" s="3">
        <v>1164117291</v>
      </c>
      <c r="W292" s="3">
        <v>1164117291</v>
      </c>
      <c r="X292" s="3" t="s">
        <v>140</v>
      </c>
      <c r="Y292" s="3">
        <v>60872820804</v>
      </c>
      <c r="Z292" s="3" t="s">
        <v>2087</v>
      </c>
      <c r="AA292" s="3" t="s">
        <v>679</v>
      </c>
      <c r="AB292" s="3">
        <v>56307</v>
      </c>
      <c r="AC292" s="3" t="s">
        <v>74</v>
      </c>
      <c r="AD292" s="3">
        <v>50513181</v>
      </c>
      <c r="AE292" s="4">
        <v>40431</v>
      </c>
      <c r="AF292" s="3" t="s">
        <v>677</v>
      </c>
      <c r="AG292" s="3" t="s">
        <v>30</v>
      </c>
      <c r="AH292" s="3" t="s">
        <v>415</v>
      </c>
      <c r="AI292" s="3" t="s">
        <v>92</v>
      </c>
      <c r="AJ292" s="3" t="s">
        <v>92</v>
      </c>
      <c r="AK292" s="3" t="s">
        <v>2088</v>
      </c>
      <c r="AL292" s="3">
        <v>1426</v>
      </c>
      <c r="AM292" s="3" t="s">
        <v>2089</v>
      </c>
      <c r="AN292" s="3" t="s">
        <v>683</v>
      </c>
      <c r="AO292" s="3" t="s">
        <v>677</v>
      </c>
      <c r="AP292" s="3" t="s">
        <v>2090</v>
      </c>
      <c r="AS292" s="3" t="s">
        <v>140</v>
      </c>
      <c r="AT292" s="3">
        <v>61360212802</v>
      </c>
    </row>
    <row r="293" spans="1:46" ht="13.2" x14ac:dyDescent="0.25">
      <c r="A293" s="2">
        <v>46083.368379687498</v>
      </c>
      <c r="B293" s="3" t="b">
        <v>1</v>
      </c>
      <c r="C293" s="3" t="s">
        <v>917</v>
      </c>
      <c r="D293" s="3" t="s">
        <v>180</v>
      </c>
      <c r="E293" s="3" t="s">
        <v>2091</v>
      </c>
      <c r="F293" s="3" t="s">
        <v>918</v>
      </c>
      <c r="G293" s="3">
        <v>3817</v>
      </c>
      <c r="H293" s="3" t="s">
        <v>470</v>
      </c>
      <c r="I293" s="3">
        <v>55073631</v>
      </c>
      <c r="J293" s="4">
        <v>42282</v>
      </c>
      <c r="K293" s="3" t="s">
        <v>917</v>
      </c>
      <c r="L293" s="3" t="s">
        <v>30</v>
      </c>
      <c r="M293" s="3" t="s">
        <v>31</v>
      </c>
      <c r="N293" s="3" t="s">
        <v>44</v>
      </c>
      <c r="O293" s="3" t="s">
        <v>920</v>
      </c>
      <c r="P293" s="3" t="s">
        <v>921</v>
      </c>
      <c r="Q293" s="3">
        <v>1636</v>
      </c>
      <c r="R293" s="3" t="s">
        <v>922</v>
      </c>
      <c r="S293" s="3" t="s">
        <v>923</v>
      </c>
      <c r="T293" s="3" t="s">
        <v>917</v>
      </c>
      <c r="U293" s="3" t="s">
        <v>2092</v>
      </c>
      <c r="V293" s="3" t="s">
        <v>2092</v>
      </c>
      <c r="W293" s="3" t="s">
        <v>2093</v>
      </c>
      <c r="X293" s="3" t="s">
        <v>140</v>
      </c>
      <c r="Y293" s="3">
        <v>60933910803</v>
      </c>
    </row>
    <row r="294" spans="1:46" ht="13.2" x14ac:dyDescent="0.25">
      <c r="A294" s="2">
        <v>46083.372918831017</v>
      </c>
      <c r="B294" s="3" t="b">
        <v>1</v>
      </c>
      <c r="C294" s="3" t="s">
        <v>2094</v>
      </c>
      <c r="D294" s="3" t="s">
        <v>26</v>
      </c>
      <c r="E294" s="3" t="s">
        <v>2095</v>
      </c>
      <c r="F294" s="3" t="s">
        <v>2096</v>
      </c>
      <c r="G294" s="3">
        <v>4202</v>
      </c>
      <c r="H294" s="3" t="s">
        <v>566</v>
      </c>
      <c r="I294" s="3">
        <v>53690319</v>
      </c>
      <c r="J294" s="4">
        <v>41434</v>
      </c>
      <c r="K294" s="3" t="s">
        <v>2094</v>
      </c>
      <c r="L294" s="3" t="s">
        <v>43</v>
      </c>
      <c r="M294" s="3" t="s">
        <v>76</v>
      </c>
      <c r="N294" s="3" t="s">
        <v>91</v>
      </c>
      <c r="O294" s="3" t="s">
        <v>91</v>
      </c>
      <c r="P294" s="3" t="s">
        <v>2097</v>
      </c>
      <c r="Q294" s="3">
        <v>1890</v>
      </c>
      <c r="R294" s="3" t="s">
        <v>2098</v>
      </c>
      <c r="S294" s="3" t="s">
        <v>2099</v>
      </c>
      <c r="T294" s="3" t="s">
        <v>2094</v>
      </c>
      <c r="U294" s="3">
        <v>2215036037</v>
      </c>
      <c r="V294" s="3">
        <v>2215036037</v>
      </c>
      <c r="W294" s="3">
        <v>2215700125</v>
      </c>
      <c r="X294" s="3" t="s">
        <v>140</v>
      </c>
      <c r="Y294" s="3">
        <v>25210998107</v>
      </c>
    </row>
    <row r="295" spans="1:46" ht="13.2" x14ac:dyDescent="0.25">
      <c r="A295" s="2">
        <v>46083.378600277778</v>
      </c>
      <c r="B295" s="3" t="b">
        <v>1</v>
      </c>
      <c r="C295" s="3" t="s">
        <v>2100</v>
      </c>
      <c r="D295" s="3" t="s">
        <v>26</v>
      </c>
      <c r="E295" s="3" t="s">
        <v>2101</v>
      </c>
      <c r="F295" s="3" t="s">
        <v>2102</v>
      </c>
      <c r="G295" s="3">
        <v>4159</v>
      </c>
      <c r="H295" s="3" t="s">
        <v>161</v>
      </c>
      <c r="I295" s="3">
        <v>53618936</v>
      </c>
      <c r="J295" s="4">
        <v>41599</v>
      </c>
      <c r="K295" s="3" t="s">
        <v>2100</v>
      </c>
      <c r="L295" s="3" t="s">
        <v>30</v>
      </c>
      <c r="M295" s="3" t="s">
        <v>1733</v>
      </c>
      <c r="N295" s="3" t="s">
        <v>625</v>
      </c>
      <c r="O295" s="3" t="s">
        <v>33</v>
      </c>
      <c r="P295" s="3" t="s">
        <v>2103</v>
      </c>
      <c r="Q295" s="3">
        <v>2000</v>
      </c>
      <c r="R295" s="3" t="s">
        <v>555</v>
      </c>
      <c r="S295" s="3" t="s">
        <v>2104</v>
      </c>
      <c r="T295" s="3" t="s">
        <v>2100</v>
      </c>
      <c r="U295" s="3">
        <v>3413195438</v>
      </c>
      <c r="V295" s="3">
        <v>3413195438</v>
      </c>
      <c r="W295" s="3">
        <v>3413195812</v>
      </c>
      <c r="X295" s="3" t="s">
        <v>2105</v>
      </c>
      <c r="Y295" s="3">
        <v>54618936</v>
      </c>
    </row>
    <row r="296" spans="1:46" ht="13.2" x14ac:dyDescent="0.25">
      <c r="A296" s="2">
        <v>46083.379384270833</v>
      </c>
      <c r="B296" s="3" t="b">
        <v>1</v>
      </c>
      <c r="C296" s="3" t="s">
        <v>2106</v>
      </c>
      <c r="D296" s="3" t="s">
        <v>26</v>
      </c>
      <c r="E296" s="3" t="s">
        <v>2107</v>
      </c>
      <c r="F296" s="3" t="s">
        <v>2108</v>
      </c>
      <c r="G296" s="3" t="s">
        <v>2109</v>
      </c>
      <c r="H296" s="3" t="s">
        <v>352</v>
      </c>
      <c r="I296" s="3">
        <v>53240593</v>
      </c>
      <c r="J296" s="4">
        <v>41417</v>
      </c>
      <c r="K296" s="3" t="s">
        <v>2110</v>
      </c>
      <c r="L296" s="3" t="s">
        <v>43</v>
      </c>
      <c r="M296" s="3" t="s">
        <v>76</v>
      </c>
      <c r="N296" s="3" t="s">
        <v>285</v>
      </c>
      <c r="O296" s="3" t="s">
        <v>376</v>
      </c>
      <c r="P296" s="3" t="s">
        <v>2111</v>
      </c>
      <c r="Q296" s="3">
        <v>1642</v>
      </c>
      <c r="R296" s="3" t="s">
        <v>1004</v>
      </c>
      <c r="S296" s="3" t="s">
        <v>2108</v>
      </c>
      <c r="T296" s="3" t="s">
        <v>2110</v>
      </c>
      <c r="U296" s="3">
        <v>44017277</v>
      </c>
      <c r="V296" s="3">
        <v>44017277</v>
      </c>
      <c r="W296" s="3">
        <v>40427317</v>
      </c>
      <c r="X296" s="3" t="s">
        <v>448</v>
      </c>
      <c r="Y296" s="3">
        <v>14148240001</v>
      </c>
    </row>
    <row r="297" spans="1:46" ht="13.2" x14ac:dyDescent="0.25">
      <c r="A297" s="2">
        <v>46083.382216238431</v>
      </c>
      <c r="B297" s="3" t="b">
        <v>1</v>
      </c>
      <c r="C297" s="3" t="s">
        <v>2079</v>
      </c>
      <c r="D297" s="3">
        <v>420</v>
      </c>
      <c r="E297" s="3" t="s">
        <v>1078</v>
      </c>
      <c r="F297" s="3" t="s">
        <v>2081</v>
      </c>
      <c r="G297" s="3">
        <v>57444</v>
      </c>
      <c r="H297" s="3" t="s">
        <v>198</v>
      </c>
      <c r="I297" s="3">
        <v>48178560</v>
      </c>
      <c r="J297" s="4">
        <v>39328</v>
      </c>
      <c r="K297" s="3" t="s">
        <v>2112</v>
      </c>
      <c r="L297" s="3" t="s">
        <v>30</v>
      </c>
      <c r="M297" s="3" t="s">
        <v>415</v>
      </c>
      <c r="N297" s="3" t="s">
        <v>92</v>
      </c>
      <c r="O297" s="3" t="s">
        <v>92</v>
      </c>
      <c r="P297" s="3" t="s">
        <v>2113</v>
      </c>
      <c r="Q297" s="3">
        <v>1429</v>
      </c>
      <c r="V297" s="3">
        <v>1164117291</v>
      </c>
      <c r="X297" s="3" t="s">
        <v>140</v>
      </c>
      <c r="Y297" s="3">
        <v>60872820803</v>
      </c>
      <c r="Z297" s="3" t="s">
        <v>2114</v>
      </c>
      <c r="AA297" s="3" t="s">
        <v>2115</v>
      </c>
      <c r="AB297" s="3">
        <v>57444</v>
      </c>
      <c r="AC297" s="3" t="s">
        <v>198</v>
      </c>
      <c r="AD297" s="3">
        <v>48858904</v>
      </c>
      <c r="AE297" s="4">
        <v>39725</v>
      </c>
      <c r="AF297" s="3" t="s">
        <v>2116</v>
      </c>
      <c r="AG297" s="3" t="s">
        <v>30</v>
      </c>
      <c r="AH297" s="3" t="s">
        <v>415</v>
      </c>
      <c r="AI297" s="3" t="s">
        <v>92</v>
      </c>
      <c r="AJ297" s="3" t="s">
        <v>92</v>
      </c>
      <c r="AK297" s="3" t="s">
        <v>2117</v>
      </c>
      <c r="AL297" s="3">
        <v>1429</v>
      </c>
      <c r="AM297" s="3" t="s">
        <v>1533</v>
      </c>
      <c r="AN297" s="3" t="s">
        <v>2118</v>
      </c>
      <c r="AO297" s="3" t="s">
        <v>2116</v>
      </c>
      <c r="AP297" s="3" t="s">
        <v>2119</v>
      </c>
      <c r="AS297" s="3" t="s">
        <v>140</v>
      </c>
      <c r="AT297" s="3">
        <v>48858904</v>
      </c>
    </row>
    <row r="298" spans="1:46" ht="13.2" x14ac:dyDescent="0.25">
      <c r="A298" s="2">
        <v>46083.386362627316</v>
      </c>
      <c r="B298" s="3" t="b">
        <v>1</v>
      </c>
      <c r="C298" s="3" t="s">
        <v>2120</v>
      </c>
      <c r="D298" s="3" t="s">
        <v>180</v>
      </c>
      <c r="E298" s="3" t="s">
        <v>2121</v>
      </c>
      <c r="F298" s="3" t="s">
        <v>2122</v>
      </c>
      <c r="G298" s="3">
        <v>4040</v>
      </c>
      <c r="H298" s="3" t="s">
        <v>843</v>
      </c>
      <c r="I298" s="3">
        <v>55165332</v>
      </c>
      <c r="J298" s="4">
        <v>42311</v>
      </c>
      <c r="K298" s="3" t="s">
        <v>2120</v>
      </c>
      <c r="L298" s="3" t="s">
        <v>43</v>
      </c>
      <c r="M298" s="3" t="s">
        <v>31</v>
      </c>
      <c r="N298" s="3" t="s">
        <v>92</v>
      </c>
      <c r="O298" s="3" t="s">
        <v>92</v>
      </c>
      <c r="P298" s="3" t="s">
        <v>2123</v>
      </c>
      <c r="Q298" s="3">
        <v>1428</v>
      </c>
      <c r="R298" s="3" t="s">
        <v>2124</v>
      </c>
      <c r="S298" s="3" t="s">
        <v>2125</v>
      </c>
      <c r="T298" s="3" t="s">
        <v>2120</v>
      </c>
      <c r="U298" s="3">
        <v>1169786563</v>
      </c>
      <c r="V298" s="3">
        <v>1130264666</v>
      </c>
      <c r="X298" s="3" t="s">
        <v>49</v>
      </c>
      <c r="Y298" s="3" t="s">
        <v>2126</v>
      </c>
      <c r="Z298" s="3" t="s">
        <v>2121</v>
      </c>
      <c r="AA298" s="3" t="s">
        <v>2122</v>
      </c>
      <c r="AB298" s="3">
        <v>4040</v>
      </c>
      <c r="AC298" s="3" t="s">
        <v>843</v>
      </c>
      <c r="AD298" s="3">
        <v>55165332</v>
      </c>
      <c r="AE298" s="4">
        <v>42311</v>
      </c>
      <c r="AF298" s="3" t="s">
        <v>2120</v>
      </c>
      <c r="AG298" s="3" t="s">
        <v>43</v>
      </c>
      <c r="AH298" s="3" t="s">
        <v>31</v>
      </c>
      <c r="AI298" s="3" t="s">
        <v>92</v>
      </c>
      <c r="AJ298" s="3" t="s">
        <v>92</v>
      </c>
      <c r="AK298" s="3" t="s">
        <v>2123</v>
      </c>
      <c r="AL298" s="3">
        <v>1428</v>
      </c>
      <c r="AM298" s="3" t="s">
        <v>2124</v>
      </c>
      <c r="AN298" s="3" t="s">
        <v>2125</v>
      </c>
      <c r="AO298" s="3" t="s">
        <v>2120</v>
      </c>
      <c r="AP298" s="3">
        <v>1169786563</v>
      </c>
      <c r="AQ298" s="3">
        <v>1130264666</v>
      </c>
      <c r="AS298" s="3" t="s">
        <v>106</v>
      </c>
      <c r="AT298" s="3" t="s">
        <v>2126</v>
      </c>
    </row>
    <row r="299" spans="1:46" ht="13.2" x14ac:dyDescent="0.25">
      <c r="A299" s="2">
        <v>46083.388494999999</v>
      </c>
      <c r="B299" s="3" t="b">
        <v>1</v>
      </c>
      <c r="C299" s="3" t="s">
        <v>2127</v>
      </c>
      <c r="D299" s="3" t="s">
        <v>26</v>
      </c>
      <c r="E299" s="3" t="s">
        <v>148</v>
      </c>
      <c r="F299" s="3" t="s">
        <v>2128</v>
      </c>
      <c r="G299" s="3" t="s">
        <v>2129</v>
      </c>
      <c r="H299" s="3" t="s">
        <v>458</v>
      </c>
      <c r="I299" s="3">
        <v>51281055</v>
      </c>
      <c r="J299" s="4">
        <v>40716</v>
      </c>
      <c r="K299" s="3" t="s">
        <v>2127</v>
      </c>
      <c r="L299" s="3" t="s">
        <v>43</v>
      </c>
      <c r="M299" s="3" t="s">
        <v>31</v>
      </c>
      <c r="N299" s="3" t="s">
        <v>2130</v>
      </c>
      <c r="O299" s="3" t="s">
        <v>2131</v>
      </c>
      <c r="P299" s="3" t="s">
        <v>2132</v>
      </c>
      <c r="Q299" s="3">
        <v>2919</v>
      </c>
      <c r="R299" s="3" t="s">
        <v>2133</v>
      </c>
      <c r="S299" s="3" t="s">
        <v>2134</v>
      </c>
      <c r="T299" s="3" t="s">
        <v>2127</v>
      </c>
      <c r="U299" s="3">
        <v>3400669870</v>
      </c>
      <c r="V299" s="3">
        <v>3400669870</v>
      </c>
      <c r="W299" s="3">
        <v>3400440603</v>
      </c>
      <c r="X299" s="3" t="s">
        <v>2135</v>
      </c>
      <c r="Y299" s="3" t="s">
        <v>2136</v>
      </c>
    </row>
    <row r="300" spans="1:46" ht="13.2" x14ac:dyDescent="0.25">
      <c r="A300" s="2">
        <v>46083.391413333331</v>
      </c>
      <c r="B300" s="3" t="b">
        <v>0</v>
      </c>
      <c r="C300" s="3" t="s">
        <v>2137</v>
      </c>
      <c r="D300" s="3" t="s">
        <v>26</v>
      </c>
      <c r="E300" s="3" t="s">
        <v>2138</v>
      </c>
      <c r="F300" s="3" t="s">
        <v>1287</v>
      </c>
      <c r="G300" s="3">
        <v>4237</v>
      </c>
      <c r="H300" s="3" t="s">
        <v>318</v>
      </c>
      <c r="I300" s="3">
        <v>18364669</v>
      </c>
      <c r="J300" s="4">
        <v>40545</v>
      </c>
      <c r="K300" s="3" t="s">
        <v>2137</v>
      </c>
      <c r="L300" s="3" t="s">
        <v>30</v>
      </c>
      <c r="M300" s="3" t="s">
        <v>31</v>
      </c>
      <c r="N300" s="3" t="s">
        <v>44</v>
      </c>
      <c r="O300" s="3" t="s">
        <v>92</v>
      </c>
      <c r="P300" s="3" t="s">
        <v>2139</v>
      </c>
      <c r="Q300" s="3">
        <v>1425</v>
      </c>
      <c r="R300" s="3" t="s">
        <v>2140</v>
      </c>
      <c r="S300" s="3" t="s">
        <v>2141</v>
      </c>
      <c r="T300" s="3" t="s">
        <v>2137</v>
      </c>
      <c r="U300" s="3">
        <v>1156368464</v>
      </c>
      <c r="V300" s="3">
        <v>1156368464</v>
      </c>
      <c r="W300" s="3">
        <v>1121894757</v>
      </c>
      <c r="X300" s="3" t="s">
        <v>140</v>
      </c>
      <c r="Y300" s="3">
        <v>63212639503</v>
      </c>
    </row>
    <row r="301" spans="1:46" ht="13.2" x14ac:dyDescent="0.25">
      <c r="A301" s="2">
        <v>46083.41301462963</v>
      </c>
      <c r="B301" s="3" t="b">
        <v>1</v>
      </c>
      <c r="C301" s="3" t="s">
        <v>2142</v>
      </c>
      <c r="D301" s="3" t="s">
        <v>180</v>
      </c>
      <c r="E301" s="3" t="s">
        <v>1587</v>
      </c>
      <c r="F301" s="3" t="s">
        <v>2143</v>
      </c>
      <c r="G301" s="3">
        <v>3958</v>
      </c>
      <c r="H301" s="3" t="s">
        <v>318</v>
      </c>
      <c r="I301" s="3">
        <v>53474977</v>
      </c>
      <c r="J301" s="4">
        <v>41584</v>
      </c>
      <c r="K301" s="3" t="s">
        <v>2142</v>
      </c>
      <c r="L301" s="3" t="s">
        <v>30</v>
      </c>
      <c r="M301" s="3" t="s">
        <v>31</v>
      </c>
      <c r="N301" s="3" t="s">
        <v>92</v>
      </c>
      <c r="O301" s="3" t="s">
        <v>92</v>
      </c>
      <c r="P301" s="3" t="s">
        <v>2144</v>
      </c>
      <c r="Q301" s="3">
        <v>1428</v>
      </c>
      <c r="R301" s="3" t="s">
        <v>2145</v>
      </c>
      <c r="S301" s="3" t="s">
        <v>2143</v>
      </c>
      <c r="T301" s="3" t="s">
        <v>2142</v>
      </c>
      <c r="U301" s="3">
        <v>1140731020</v>
      </c>
      <c r="V301" s="3" t="s">
        <v>2146</v>
      </c>
      <c r="W301" s="3" t="s">
        <v>2147</v>
      </c>
      <c r="X301" s="3" t="s">
        <v>140</v>
      </c>
      <c r="Y301" s="3" t="s">
        <v>2148</v>
      </c>
    </row>
    <row r="302" spans="1:46" ht="13.2" x14ac:dyDescent="0.25">
      <c r="A302" s="2">
        <v>46083.428415451388</v>
      </c>
      <c r="B302" s="3" t="b">
        <v>1</v>
      </c>
      <c r="C302" s="3" t="s">
        <v>2149</v>
      </c>
      <c r="D302" s="3" t="s">
        <v>497</v>
      </c>
      <c r="E302" s="3" t="s">
        <v>2150</v>
      </c>
      <c r="F302" s="3" t="s">
        <v>2151</v>
      </c>
      <c r="G302" s="3">
        <v>205492</v>
      </c>
      <c r="H302" s="3" t="s">
        <v>470</v>
      </c>
      <c r="I302" s="3">
        <v>51073305</v>
      </c>
      <c r="J302" s="4">
        <v>40638</v>
      </c>
      <c r="K302" s="3" t="s">
        <v>2149</v>
      </c>
      <c r="L302" s="3" t="s">
        <v>43</v>
      </c>
      <c r="M302" s="3" t="s">
        <v>31</v>
      </c>
      <c r="N302" s="3" t="s">
        <v>92</v>
      </c>
      <c r="O302" s="3" t="s">
        <v>92</v>
      </c>
      <c r="P302" s="3" t="s">
        <v>2152</v>
      </c>
      <c r="Q302" s="3">
        <v>1427</v>
      </c>
      <c r="R302" s="3" t="s">
        <v>2153</v>
      </c>
      <c r="S302" s="3" t="s">
        <v>2154</v>
      </c>
      <c r="T302" s="3" t="s">
        <v>2149</v>
      </c>
      <c r="U302" s="3">
        <v>1144061301</v>
      </c>
      <c r="V302" s="3">
        <v>1144061301</v>
      </c>
      <c r="W302" s="3">
        <v>113226531</v>
      </c>
      <c r="X302" s="3" t="s">
        <v>140</v>
      </c>
      <c r="Y302" s="3">
        <v>60936294104</v>
      </c>
    </row>
    <row r="303" spans="1:46" ht="13.2" x14ac:dyDescent="0.25">
      <c r="A303" s="2">
        <v>46083.428846898147</v>
      </c>
      <c r="B303" s="3" t="b">
        <v>1</v>
      </c>
      <c r="C303" s="3" t="s">
        <v>2155</v>
      </c>
      <c r="D303" s="3" t="s">
        <v>26</v>
      </c>
      <c r="E303" s="3" t="s">
        <v>767</v>
      </c>
      <c r="F303" s="3" t="s">
        <v>2156</v>
      </c>
      <c r="G303" s="3">
        <v>4111</v>
      </c>
      <c r="H303" s="3" t="s">
        <v>352</v>
      </c>
      <c r="I303" s="3">
        <v>53593300</v>
      </c>
      <c r="J303" s="4">
        <v>41612</v>
      </c>
      <c r="K303" s="3" t="s">
        <v>2155</v>
      </c>
      <c r="L303" s="3" t="s">
        <v>43</v>
      </c>
      <c r="M303" s="3" t="s">
        <v>31</v>
      </c>
      <c r="N303" s="3" t="s">
        <v>44</v>
      </c>
      <c r="O303" s="3" t="s">
        <v>102</v>
      </c>
      <c r="P303" s="3" t="s">
        <v>2157</v>
      </c>
      <c r="Q303" s="3">
        <v>1642</v>
      </c>
      <c r="R303" s="3" t="s">
        <v>1088</v>
      </c>
      <c r="S303" s="3" t="s">
        <v>2156</v>
      </c>
      <c r="T303" s="3" t="s">
        <v>2155</v>
      </c>
      <c r="U303" s="3">
        <v>1162446486</v>
      </c>
      <c r="V303" s="3">
        <v>1130070219</v>
      </c>
      <c r="X303" s="3" t="s">
        <v>140</v>
      </c>
      <c r="Y303" s="3">
        <v>61728138504</v>
      </c>
    </row>
    <row r="304" spans="1:46" ht="13.2" x14ac:dyDescent="0.25">
      <c r="A304" s="2">
        <v>46083.433159884255</v>
      </c>
      <c r="B304" s="3" t="b">
        <v>1</v>
      </c>
      <c r="C304" s="3" t="s">
        <v>2158</v>
      </c>
      <c r="D304" s="3" t="s">
        <v>26</v>
      </c>
      <c r="E304" s="3" t="s">
        <v>2159</v>
      </c>
      <c r="F304" s="3" t="s">
        <v>2160</v>
      </c>
      <c r="G304" s="3">
        <v>4174</v>
      </c>
      <c r="H304" s="3" t="s">
        <v>198</v>
      </c>
      <c r="I304" s="3">
        <v>52647669</v>
      </c>
      <c r="J304" s="4">
        <v>41136</v>
      </c>
      <c r="K304" s="3" t="s">
        <v>2158</v>
      </c>
      <c r="L304" s="3" t="s">
        <v>43</v>
      </c>
      <c r="M304" s="3" t="s">
        <v>31</v>
      </c>
      <c r="N304" s="3" t="s">
        <v>551</v>
      </c>
      <c r="O304" s="3" t="s">
        <v>551</v>
      </c>
      <c r="P304" s="3" t="s">
        <v>2161</v>
      </c>
      <c r="Q304" s="3">
        <v>1113</v>
      </c>
      <c r="R304" s="3" t="s">
        <v>2162</v>
      </c>
      <c r="S304" s="3" t="s">
        <v>2163</v>
      </c>
      <c r="T304" s="3" t="s">
        <v>2158</v>
      </c>
      <c r="U304" s="3">
        <v>1165373499</v>
      </c>
      <c r="V304" s="3">
        <v>1165396721</v>
      </c>
      <c r="X304" s="3" t="s">
        <v>115</v>
      </c>
      <c r="Y304" s="3">
        <v>61451519902</v>
      </c>
    </row>
    <row r="305" spans="1:46" ht="13.2" x14ac:dyDescent="0.25">
      <c r="A305" s="2">
        <v>46083.435706886579</v>
      </c>
      <c r="B305" s="3" t="b">
        <v>1</v>
      </c>
      <c r="C305" s="3" t="s">
        <v>2164</v>
      </c>
      <c r="D305" s="3" t="s">
        <v>358</v>
      </c>
      <c r="E305" s="3" t="s">
        <v>841</v>
      </c>
      <c r="F305" s="3" t="s">
        <v>2165</v>
      </c>
      <c r="G305" s="3">
        <v>200514</v>
      </c>
      <c r="H305" s="3" t="s">
        <v>352</v>
      </c>
      <c r="I305" s="3">
        <v>46571854</v>
      </c>
      <c r="J305" s="4">
        <v>38525</v>
      </c>
      <c r="K305" s="3" t="s">
        <v>2164</v>
      </c>
      <c r="L305" s="3" t="s">
        <v>30</v>
      </c>
      <c r="M305" s="3" t="s">
        <v>31</v>
      </c>
      <c r="N305" s="3" t="s">
        <v>240</v>
      </c>
      <c r="O305" s="3" t="s">
        <v>2166</v>
      </c>
      <c r="P305" s="3" t="s">
        <v>2167</v>
      </c>
      <c r="Q305" s="3">
        <v>812</v>
      </c>
      <c r="V305" s="3" t="s">
        <v>2168</v>
      </c>
      <c r="W305" s="3" t="s">
        <v>2168</v>
      </c>
      <c r="X305" s="3" t="s">
        <v>741</v>
      </c>
      <c r="Y305" s="3">
        <v>22544244502</v>
      </c>
    </row>
    <row r="306" spans="1:46" ht="13.2" x14ac:dyDescent="0.25">
      <c r="A306" s="2">
        <v>46083.445286516202</v>
      </c>
      <c r="B306" s="3" t="b">
        <v>1</v>
      </c>
      <c r="C306" s="3" t="s">
        <v>2169</v>
      </c>
      <c r="D306" s="3" t="s">
        <v>26</v>
      </c>
      <c r="E306" s="3" t="s">
        <v>827</v>
      </c>
      <c r="F306" s="3" t="s">
        <v>2170</v>
      </c>
      <c r="G306" s="3" t="s">
        <v>2171</v>
      </c>
      <c r="H306" s="3" t="s">
        <v>198</v>
      </c>
      <c r="I306" s="3">
        <v>52790163</v>
      </c>
      <c r="J306" s="4">
        <v>41184</v>
      </c>
      <c r="K306" s="3" t="s">
        <v>2169</v>
      </c>
      <c r="L306" s="3" t="s">
        <v>43</v>
      </c>
      <c r="M306" s="3" t="s">
        <v>293</v>
      </c>
      <c r="N306" s="3" t="s">
        <v>2172</v>
      </c>
      <c r="O306" s="3" t="s">
        <v>2173</v>
      </c>
      <c r="P306" s="3" t="s">
        <v>2174</v>
      </c>
      <c r="Q306" s="3">
        <v>1641</v>
      </c>
      <c r="R306" s="3" t="s">
        <v>2175</v>
      </c>
      <c r="S306" s="3" t="s">
        <v>2176</v>
      </c>
      <c r="T306" s="3" t="s">
        <v>2177</v>
      </c>
      <c r="U306" s="3" t="s">
        <v>2178</v>
      </c>
      <c r="V306" s="3" t="s">
        <v>2178</v>
      </c>
      <c r="W306" s="3" t="s">
        <v>2179</v>
      </c>
      <c r="X306" s="3" t="s">
        <v>812</v>
      </c>
      <c r="Y306" s="3" t="s">
        <v>2180</v>
      </c>
    </row>
    <row r="307" spans="1:46" ht="13.2" x14ac:dyDescent="0.25">
      <c r="A307" s="2">
        <v>46083.448424664355</v>
      </c>
      <c r="B307" s="3" t="b">
        <v>0</v>
      </c>
      <c r="C307" s="3" t="s">
        <v>2181</v>
      </c>
      <c r="D307" s="3" t="s">
        <v>180</v>
      </c>
      <c r="E307" s="3" t="s">
        <v>2182</v>
      </c>
      <c r="F307" s="3" t="s">
        <v>2183</v>
      </c>
      <c r="G307" s="3">
        <v>4141</v>
      </c>
      <c r="H307" s="3" t="s">
        <v>65</v>
      </c>
      <c r="I307" s="3">
        <v>54229881</v>
      </c>
      <c r="J307" s="4">
        <v>41933</v>
      </c>
      <c r="K307" s="3" t="s">
        <v>2181</v>
      </c>
      <c r="L307" s="3" t="s">
        <v>30</v>
      </c>
      <c r="M307" s="3" t="s">
        <v>31</v>
      </c>
      <c r="N307" s="3" t="s">
        <v>44</v>
      </c>
      <c r="O307" s="3" t="s">
        <v>66</v>
      </c>
      <c r="P307" s="3" t="s">
        <v>2184</v>
      </c>
      <c r="Q307" s="3">
        <v>2930</v>
      </c>
      <c r="R307" s="3" t="s">
        <v>2185</v>
      </c>
      <c r="S307" s="3" t="s">
        <v>2186</v>
      </c>
      <c r="T307" s="3" t="s">
        <v>2187</v>
      </c>
      <c r="V307" s="3">
        <v>3320663522</v>
      </c>
      <c r="X307" s="3" t="s">
        <v>2188</v>
      </c>
      <c r="Y307" s="3">
        <v>54229881</v>
      </c>
      <c r="Z307" s="3" t="s">
        <v>2182</v>
      </c>
      <c r="AA307" s="3" t="s">
        <v>2183</v>
      </c>
      <c r="AB307" s="3">
        <v>4141</v>
      </c>
      <c r="AC307" s="3" t="s">
        <v>65</v>
      </c>
      <c r="AD307" s="3">
        <v>54229881</v>
      </c>
      <c r="AE307" s="4">
        <v>41933</v>
      </c>
      <c r="AF307" s="3" t="s">
        <v>2181</v>
      </c>
      <c r="AG307" s="3" t="s">
        <v>30</v>
      </c>
      <c r="AH307" s="3" t="s">
        <v>31</v>
      </c>
      <c r="AI307" s="3" t="s">
        <v>44</v>
      </c>
      <c r="AJ307" s="3" t="s">
        <v>66</v>
      </c>
      <c r="AK307" s="3" t="s">
        <v>2184</v>
      </c>
      <c r="AL307" s="3">
        <v>2930</v>
      </c>
      <c r="AM307" s="3" t="s">
        <v>2189</v>
      </c>
      <c r="AN307" s="3" t="s">
        <v>2190</v>
      </c>
      <c r="AQ307" s="3">
        <v>3329663422</v>
      </c>
      <c r="AS307" s="3" t="s">
        <v>2188</v>
      </c>
      <c r="AT307" s="3">
        <v>54229881</v>
      </c>
    </row>
    <row r="308" spans="1:46" ht="13.2" x14ac:dyDescent="0.25">
      <c r="A308" s="2">
        <v>46083.453865289353</v>
      </c>
      <c r="B308" s="3" t="b">
        <v>1</v>
      </c>
      <c r="C308" s="3" t="s">
        <v>2191</v>
      </c>
      <c r="D308" s="3" t="s">
        <v>180</v>
      </c>
      <c r="E308" s="3" t="s">
        <v>2091</v>
      </c>
      <c r="F308" s="3" t="s">
        <v>2192</v>
      </c>
      <c r="G308" s="3">
        <v>3420</v>
      </c>
      <c r="H308" s="3" t="s">
        <v>452</v>
      </c>
      <c r="I308" s="3">
        <v>53472189</v>
      </c>
      <c r="J308" s="4">
        <v>41550</v>
      </c>
      <c r="K308" s="3" t="s">
        <v>2191</v>
      </c>
      <c r="L308" s="3" t="s">
        <v>30</v>
      </c>
      <c r="M308" s="3" t="s">
        <v>31</v>
      </c>
      <c r="N308" s="3" t="s">
        <v>2193</v>
      </c>
      <c r="O308" s="3" t="s">
        <v>1453</v>
      </c>
      <c r="P308" s="3" t="s">
        <v>2194</v>
      </c>
      <c r="Q308" s="3">
        <v>1636</v>
      </c>
      <c r="R308" s="3" t="s">
        <v>2195</v>
      </c>
      <c r="S308" s="3" t="s">
        <v>2196</v>
      </c>
      <c r="U308" s="3">
        <v>1123776469</v>
      </c>
      <c r="V308" s="3" t="s">
        <v>2197</v>
      </c>
      <c r="X308" s="3" t="s">
        <v>448</v>
      </c>
      <c r="Y308" s="3">
        <v>16657319000</v>
      </c>
    </row>
    <row r="309" spans="1:46" ht="13.2" x14ac:dyDescent="0.25">
      <c r="A309" s="2">
        <v>46083.454053263893</v>
      </c>
      <c r="B309" s="3" t="b">
        <v>1</v>
      </c>
      <c r="C309" s="3" t="s">
        <v>2198</v>
      </c>
      <c r="D309" s="3" t="s">
        <v>366</v>
      </c>
      <c r="E309" s="3" t="s">
        <v>288</v>
      </c>
      <c r="F309" s="3" t="s">
        <v>2199</v>
      </c>
      <c r="G309" s="3">
        <v>224856</v>
      </c>
      <c r="H309" s="3" t="s">
        <v>74</v>
      </c>
      <c r="I309" s="3">
        <v>48715531</v>
      </c>
      <c r="J309" s="4">
        <v>39575</v>
      </c>
      <c r="K309" s="3" t="s">
        <v>2200</v>
      </c>
      <c r="L309" s="3" t="s">
        <v>43</v>
      </c>
      <c r="M309" s="3" t="s">
        <v>31</v>
      </c>
      <c r="N309" s="3" t="s">
        <v>285</v>
      </c>
      <c r="O309" s="3" t="s">
        <v>111</v>
      </c>
      <c r="P309" s="3" t="s">
        <v>2201</v>
      </c>
      <c r="Q309" s="3">
        <v>1640</v>
      </c>
      <c r="R309" s="3" t="s">
        <v>2202</v>
      </c>
      <c r="S309" s="3" t="s">
        <v>2203</v>
      </c>
      <c r="T309" s="3" t="s">
        <v>2204</v>
      </c>
      <c r="U309" s="3">
        <v>1556687314</v>
      </c>
      <c r="V309" s="3">
        <v>1556687314</v>
      </c>
      <c r="X309" s="3" t="s">
        <v>2205</v>
      </c>
      <c r="Y309" s="3">
        <v>489635703</v>
      </c>
    </row>
    <row r="310" spans="1:46" ht="13.2" x14ac:dyDescent="0.25">
      <c r="A310" s="2">
        <v>46083.456357731484</v>
      </c>
      <c r="B310" s="3" t="b">
        <v>1</v>
      </c>
      <c r="C310" s="3" t="s">
        <v>2206</v>
      </c>
      <c r="D310" s="3" t="s">
        <v>180</v>
      </c>
      <c r="E310" s="3" t="s">
        <v>827</v>
      </c>
      <c r="F310" s="3" t="s">
        <v>2207</v>
      </c>
      <c r="G310" s="3">
        <v>4199</v>
      </c>
      <c r="H310" s="3" t="s">
        <v>452</v>
      </c>
      <c r="I310" s="3">
        <v>55478329</v>
      </c>
      <c r="J310" s="4">
        <v>42416</v>
      </c>
      <c r="K310" s="3" t="s">
        <v>2206</v>
      </c>
      <c r="L310" s="3" t="s">
        <v>43</v>
      </c>
      <c r="M310" s="3" t="s">
        <v>31</v>
      </c>
      <c r="N310" s="3" t="s">
        <v>44</v>
      </c>
      <c r="O310" s="3" t="s">
        <v>2208</v>
      </c>
      <c r="P310" s="3" t="s">
        <v>2209</v>
      </c>
      <c r="Q310" s="3">
        <v>1640</v>
      </c>
      <c r="R310" s="3" t="s">
        <v>1805</v>
      </c>
      <c r="S310" s="3" t="s">
        <v>2207</v>
      </c>
      <c r="T310" s="3" t="s">
        <v>2206</v>
      </c>
      <c r="U310" s="3">
        <v>1150358744</v>
      </c>
      <c r="V310" s="3">
        <v>1150358744</v>
      </c>
      <c r="W310" s="3">
        <v>1162104499</v>
      </c>
      <c r="X310" s="3" t="s">
        <v>926</v>
      </c>
      <c r="Y310" s="3" t="s">
        <v>2210</v>
      </c>
    </row>
    <row r="311" spans="1:46" ht="13.2" x14ac:dyDescent="0.25">
      <c r="A311" s="2">
        <v>46083.465478831014</v>
      </c>
      <c r="B311" s="3" t="b">
        <v>1</v>
      </c>
      <c r="C311" s="3" t="s">
        <v>2211</v>
      </c>
      <c r="D311" s="3" t="s">
        <v>180</v>
      </c>
      <c r="E311" s="3" t="s">
        <v>613</v>
      </c>
      <c r="F311" s="3" t="s">
        <v>2212</v>
      </c>
      <c r="G311" s="3">
        <v>3927</v>
      </c>
      <c r="H311" s="3" t="s">
        <v>452</v>
      </c>
      <c r="I311" s="3">
        <v>55872832</v>
      </c>
      <c r="J311" s="4">
        <v>42675</v>
      </c>
      <c r="K311" s="3" t="s">
        <v>2211</v>
      </c>
      <c r="L311" s="3" t="s">
        <v>30</v>
      </c>
      <c r="M311" s="3" t="s">
        <v>31</v>
      </c>
      <c r="N311" s="3" t="s">
        <v>44</v>
      </c>
      <c r="O311" s="3" t="s">
        <v>102</v>
      </c>
      <c r="P311" s="3" t="s">
        <v>2213</v>
      </c>
      <c r="Q311" s="3">
        <v>1643</v>
      </c>
      <c r="R311" s="3" t="s">
        <v>2214</v>
      </c>
      <c r="S311" s="3" t="s">
        <v>2215</v>
      </c>
      <c r="T311" s="3" t="s">
        <v>2211</v>
      </c>
      <c r="U311" s="3">
        <v>1167867351</v>
      </c>
      <c r="V311" s="3">
        <v>1167867351</v>
      </c>
      <c r="W311" s="3">
        <v>1149710231</v>
      </c>
      <c r="X311" s="3" t="s">
        <v>2216</v>
      </c>
      <c r="Y311" s="3">
        <v>575285391104</v>
      </c>
      <c r="Z311" s="3" t="s">
        <v>613</v>
      </c>
      <c r="AA311" s="3" t="s">
        <v>2212</v>
      </c>
      <c r="AB311" s="3">
        <v>3927</v>
      </c>
      <c r="AC311" s="3" t="s">
        <v>2009</v>
      </c>
      <c r="AD311" s="3">
        <v>55872832</v>
      </c>
      <c r="AE311" s="4">
        <v>42675</v>
      </c>
      <c r="AF311" s="3" t="s">
        <v>2211</v>
      </c>
      <c r="AG311" s="3" t="s">
        <v>30</v>
      </c>
      <c r="AH311" s="3" t="s">
        <v>31</v>
      </c>
      <c r="AI311" s="3" t="s">
        <v>44</v>
      </c>
      <c r="AJ311" s="3" t="s">
        <v>102</v>
      </c>
      <c r="AK311" s="3" t="s">
        <v>2217</v>
      </c>
      <c r="AL311" s="3">
        <v>1643</v>
      </c>
      <c r="AM311" s="3" t="s">
        <v>2214</v>
      </c>
      <c r="AN311" s="3" t="s">
        <v>2215</v>
      </c>
      <c r="AO311" s="3" t="s">
        <v>2211</v>
      </c>
      <c r="AP311" s="3">
        <v>1167867351</v>
      </c>
      <c r="AQ311" s="3">
        <v>1149710231</v>
      </c>
      <c r="AS311" s="3" t="s">
        <v>2216</v>
      </c>
      <c r="AT311" s="3">
        <v>575285391104</v>
      </c>
    </row>
    <row r="312" spans="1:46" ht="13.2" x14ac:dyDescent="0.25">
      <c r="A312" s="2">
        <v>46083.465748287039</v>
      </c>
      <c r="B312" s="3" t="b">
        <v>1</v>
      </c>
      <c r="C312" s="3" t="s">
        <v>2218</v>
      </c>
      <c r="D312" s="3" t="s">
        <v>180</v>
      </c>
      <c r="E312" s="3" t="s">
        <v>1199</v>
      </c>
      <c r="F312" s="3" t="s">
        <v>2219</v>
      </c>
      <c r="G312" s="3" t="s">
        <v>2220</v>
      </c>
      <c r="H312" s="3" t="s">
        <v>590</v>
      </c>
      <c r="I312" s="3">
        <v>55069124</v>
      </c>
      <c r="J312" s="4">
        <v>42225</v>
      </c>
      <c r="K312" s="3" t="s">
        <v>2218</v>
      </c>
      <c r="L312" s="3" t="s">
        <v>43</v>
      </c>
      <c r="M312" s="3" t="s">
        <v>31</v>
      </c>
      <c r="N312" s="3" t="s">
        <v>44</v>
      </c>
      <c r="O312" s="3" t="s">
        <v>111</v>
      </c>
      <c r="P312" s="3" t="s">
        <v>2221</v>
      </c>
      <c r="Q312" s="3">
        <v>1617</v>
      </c>
      <c r="R312" s="3" t="s">
        <v>899</v>
      </c>
      <c r="S312" s="3" t="s">
        <v>2219</v>
      </c>
      <c r="T312" s="3" t="s">
        <v>2218</v>
      </c>
      <c r="U312" s="3">
        <v>1150251359</v>
      </c>
      <c r="V312" s="3">
        <v>1150251359</v>
      </c>
      <c r="W312" s="3">
        <v>1134045005</v>
      </c>
      <c r="X312" s="3" t="s">
        <v>140</v>
      </c>
      <c r="Y312" s="3">
        <v>61917828003</v>
      </c>
    </row>
    <row r="313" spans="1:46" ht="13.2" x14ac:dyDescent="0.25">
      <c r="A313" s="2">
        <v>46083.493401678235</v>
      </c>
      <c r="B313" s="3" t="b">
        <v>1</v>
      </c>
      <c r="C313" s="3" t="s">
        <v>2222</v>
      </c>
      <c r="D313" s="3" t="s">
        <v>26</v>
      </c>
      <c r="E313" s="3" t="s">
        <v>1805</v>
      </c>
      <c r="F313" s="3" t="s">
        <v>2223</v>
      </c>
      <c r="G313" s="3">
        <v>3554</v>
      </c>
      <c r="H313" s="3" t="s">
        <v>843</v>
      </c>
      <c r="I313" s="3">
        <v>52697717</v>
      </c>
      <c r="J313" s="4">
        <v>41142</v>
      </c>
      <c r="K313" s="3" t="s">
        <v>2222</v>
      </c>
      <c r="L313" s="3" t="s">
        <v>43</v>
      </c>
      <c r="M313" s="3" t="s">
        <v>76</v>
      </c>
      <c r="N313" s="3" t="s">
        <v>142</v>
      </c>
      <c r="O313" s="3" t="s">
        <v>142</v>
      </c>
      <c r="P313" s="3" t="s">
        <v>2224</v>
      </c>
      <c r="Q313" s="3">
        <v>1643</v>
      </c>
      <c r="R313" s="3" t="s">
        <v>2225</v>
      </c>
      <c r="S313" s="3" t="s">
        <v>2226</v>
      </c>
      <c r="U313" s="3">
        <v>1167930157</v>
      </c>
      <c r="V313" s="3">
        <v>1167930157</v>
      </c>
      <c r="X313" s="3" t="s">
        <v>849</v>
      </c>
      <c r="Y313" s="3">
        <v>62902805103</v>
      </c>
    </row>
    <row r="314" spans="1:46" ht="13.2" x14ac:dyDescent="0.25">
      <c r="A314" s="2">
        <v>46083.495045601856</v>
      </c>
      <c r="B314" s="3" t="b">
        <v>1</v>
      </c>
      <c r="C314" s="3" t="s">
        <v>2227</v>
      </c>
      <c r="D314" s="3" t="s">
        <v>26</v>
      </c>
      <c r="E314" s="3" t="s">
        <v>2228</v>
      </c>
      <c r="F314" s="3" t="s">
        <v>2229</v>
      </c>
      <c r="G314" s="3" t="s">
        <v>2230</v>
      </c>
      <c r="H314" s="3" t="s">
        <v>74</v>
      </c>
      <c r="I314" s="3">
        <v>52854980</v>
      </c>
      <c r="J314" s="4">
        <v>41237</v>
      </c>
      <c r="K314" s="3" t="s">
        <v>2227</v>
      </c>
      <c r="L314" s="3" t="s">
        <v>30</v>
      </c>
      <c r="M314" s="3" t="s">
        <v>415</v>
      </c>
      <c r="N314" s="3" t="s">
        <v>44</v>
      </c>
      <c r="O314" s="3" t="s">
        <v>102</v>
      </c>
      <c r="P314" s="3" t="s">
        <v>2231</v>
      </c>
      <c r="Q314" s="3">
        <v>1642</v>
      </c>
      <c r="R314" s="3" t="s">
        <v>2232</v>
      </c>
      <c r="S314" s="3" t="s">
        <v>2233</v>
      </c>
      <c r="T314" s="3" t="s">
        <v>2234</v>
      </c>
      <c r="U314" s="3">
        <v>91133244946</v>
      </c>
      <c r="V314" s="3">
        <v>91133244946</v>
      </c>
      <c r="W314" s="3">
        <v>91133694093</v>
      </c>
      <c r="X314" s="3" t="s">
        <v>2235</v>
      </c>
      <c r="Y314" s="3">
        <v>13909441002</v>
      </c>
    </row>
    <row r="315" spans="1:46" ht="13.2" x14ac:dyDescent="0.25">
      <c r="A315" s="2">
        <v>46083.497279050927</v>
      </c>
      <c r="B315" s="3" t="b">
        <v>0</v>
      </c>
      <c r="C315" s="3" t="s">
        <v>2236</v>
      </c>
      <c r="D315" s="3" t="s">
        <v>180</v>
      </c>
      <c r="E315" s="3" t="s">
        <v>108</v>
      </c>
      <c r="F315" s="3" t="s">
        <v>2237</v>
      </c>
      <c r="G315" s="3">
        <v>382</v>
      </c>
      <c r="H315" s="3" t="s">
        <v>352</v>
      </c>
      <c r="I315" s="3">
        <v>53761011</v>
      </c>
      <c r="J315" s="4">
        <v>41664</v>
      </c>
      <c r="K315" s="3" t="s">
        <v>2236</v>
      </c>
      <c r="L315" s="3" t="s">
        <v>43</v>
      </c>
      <c r="M315" s="3" t="s">
        <v>31</v>
      </c>
      <c r="N315" s="3" t="s">
        <v>44</v>
      </c>
      <c r="O315" s="3" t="s">
        <v>1453</v>
      </c>
      <c r="P315" s="3" t="s">
        <v>2238</v>
      </c>
      <c r="Q315" s="3">
        <v>1636</v>
      </c>
      <c r="R315" s="3" t="s">
        <v>2239</v>
      </c>
      <c r="S315" s="3" t="s">
        <v>2240</v>
      </c>
      <c r="T315" s="3" t="s">
        <v>2236</v>
      </c>
      <c r="U315" s="3">
        <v>1157563322</v>
      </c>
      <c r="V315" s="3">
        <v>1150079600</v>
      </c>
      <c r="W315" s="3">
        <v>1157563322</v>
      </c>
      <c r="X315" s="3" t="s">
        <v>49</v>
      </c>
      <c r="Y315" s="3" t="s">
        <v>2241</v>
      </c>
    </row>
    <row r="316" spans="1:46" ht="13.2" x14ac:dyDescent="0.25">
      <c r="A316" s="2">
        <v>46083.498600787032</v>
      </c>
      <c r="B316" s="3" t="b">
        <v>1</v>
      </c>
      <c r="C316" s="3" t="s">
        <v>2222</v>
      </c>
      <c r="D316" s="3" t="s">
        <v>180</v>
      </c>
      <c r="E316" s="3" t="s">
        <v>619</v>
      </c>
      <c r="F316" s="3" t="s">
        <v>2223</v>
      </c>
      <c r="G316" s="3">
        <v>4230</v>
      </c>
      <c r="H316" s="3" t="s">
        <v>843</v>
      </c>
      <c r="I316" s="3">
        <v>53336217</v>
      </c>
      <c r="J316" s="4">
        <v>41453</v>
      </c>
      <c r="K316" s="3" t="s">
        <v>2222</v>
      </c>
      <c r="L316" s="3" t="s">
        <v>30</v>
      </c>
      <c r="M316" s="3" t="s">
        <v>76</v>
      </c>
      <c r="N316" s="3" t="s">
        <v>142</v>
      </c>
      <c r="O316" s="3" t="s">
        <v>142</v>
      </c>
      <c r="P316" s="3" t="s">
        <v>2242</v>
      </c>
      <c r="Q316" s="3">
        <v>1643</v>
      </c>
      <c r="R316" s="3" t="s">
        <v>729</v>
      </c>
      <c r="S316" s="3" t="s">
        <v>2223</v>
      </c>
      <c r="T316" s="3" t="s">
        <v>2222</v>
      </c>
      <c r="U316" s="3">
        <v>1167930157</v>
      </c>
      <c r="V316" s="3">
        <v>1167930157</v>
      </c>
      <c r="X316" s="3" t="s">
        <v>115</v>
      </c>
      <c r="Y316" s="3">
        <v>62902805104</v>
      </c>
    </row>
    <row r="317" spans="1:46" ht="13.2" x14ac:dyDescent="0.25">
      <c r="A317" s="2">
        <v>46083.499697812498</v>
      </c>
      <c r="B317" s="3" t="b">
        <v>1</v>
      </c>
      <c r="C317" s="3" t="s">
        <v>2227</v>
      </c>
      <c r="D317" s="3" t="s">
        <v>26</v>
      </c>
      <c r="E317" s="3" t="s">
        <v>1092</v>
      </c>
      <c r="F317" s="3" t="s">
        <v>2229</v>
      </c>
      <c r="G317" s="3" t="s">
        <v>2243</v>
      </c>
      <c r="H317" s="3" t="s">
        <v>74</v>
      </c>
      <c r="I317" s="3">
        <v>54460028</v>
      </c>
      <c r="J317" s="4">
        <v>42006</v>
      </c>
      <c r="K317" s="3" t="s">
        <v>2227</v>
      </c>
      <c r="L317" s="3" t="s">
        <v>30</v>
      </c>
      <c r="M317" s="3" t="s">
        <v>31</v>
      </c>
      <c r="N317" s="3" t="s">
        <v>44</v>
      </c>
      <c r="O317" s="3" t="s">
        <v>102</v>
      </c>
      <c r="P317" s="3" t="s">
        <v>2244</v>
      </c>
      <c r="Q317" s="3">
        <v>1642</v>
      </c>
      <c r="R317" s="3" t="s">
        <v>52</v>
      </c>
      <c r="S317" s="3" t="s">
        <v>2229</v>
      </c>
      <c r="T317" s="3" t="s">
        <v>2227</v>
      </c>
      <c r="U317" s="3">
        <v>91133244946</v>
      </c>
      <c r="V317" s="3">
        <v>91133244946</v>
      </c>
      <c r="W317" s="3">
        <v>91133694093</v>
      </c>
      <c r="X317" s="3" t="s">
        <v>448</v>
      </c>
      <c r="Y317" s="3">
        <v>14837666002</v>
      </c>
    </row>
    <row r="318" spans="1:46" ht="13.2" x14ac:dyDescent="0.25">
      <c r="A318" s="2">
        <v>46083.503686435186</v>
      </c>
      <c r="B318" s="3" t="b">
        <v>1</v>
      </c>
      <c r="C318" s="3" t="s">
        <v>2222</v>
      </c>
      <c r="D318" s="3" t="s">
        <v>180</v>
      </c>
      <c r="E318" s="3" t="s">
        <v>2245</v>
      </c>
      <c r="F318" s="3" t="s">
        <v>2223</v>
      </c>
      <c r="G318" s="3">
        <v>4273</v>
      </c>
      <c r="H318" s="3" t="s">
        <v>843</v>
      </c>
      <c r="I318" s="3">
        <v>55688830</v>
      </c>
      <c r="J318" s="4">
        <v>42527</v>
      </c>
      <c r="K318" s="3" t="s">
        <v>2222</v>
      </c>
      <c r="L318" s="3" t="s">
        <v>30</v>
      </c>
      <c r="M318" s="3" t="s">
        <v>76</v>
      </c>
      <c r="N318" s="3" t="s">
        <v>142</v>
      </c>
      <c r="O318" s="3" t="s">
        <v>142</v>
      </c>
      <c r="P318" s="3" t="s">
        <v>2242</v>
      </c>
      <c r="Q318" s="3">
        <v>1643</v>
      </c>
      <c r="R318" s="3" t="s">
        <v>729</v>
      </c>
      <c r="S318" s="3" t="s">
        <v>2223</v>
      </c>
      <c r="T318" s="3" t="s">
        <v>2222</v>
      </c>
      <c r="U318" s="3">
        <v>1167930157</v>
      </c>
      <c r="V318" s="3">
        <v>1167930157</v>
      </c>
      <c r="X318" s="3" t="s">
        <v>849</v>
      </c>
      <c r="Y318" s="3">
        <v>62902805105</v>
      </c>
    </row>
    <row r="319" spans="1:46" ht="13.2" x14ac:dyDescent="0.25">
      <c r="A319" s="2">
        <v>46083.505051377317</v>
      </c>
      <c r="B319" s="3" t="b">
        <v>1</v>
      </c>
      <c r="C319" s="3" t="s">
        <v>2246</v>
      </c>
      <c r="D319" s="3" t="s">
        <v>358</v>
      </c>
      <c r="E319" s="3" t="s">
        <v>2247</v>
      </c>
      <c r="F319" s="3" t="s">
        <v>2248</v>
      </c>
      <c r="G319" s="3">
        <v>205492</v>
      </c>
      <c r="H319" s="3" t="s">
        <v>470</v>
      </c>
      <c r="I319" s="3">
        <v>20215237</v>
      </c>
      <c r="J319" s="4">
        <v>25156</v>
      </c>
      <c r="K319" s="3" t="s">
        <v>2246</v>
      </c>
      <c r="L319" s="3" t="s">
        <v>43</v>
      </c>
      <c r="M319" s="3" t="s">
        <v>76</v>
      </c>
      <c r="N319" s="3" t="s">
        <v>285</v>
      </c>
      <c r="O319" s="3" t="s">
        <v>2249</v>
      </c>
      <c r="P319" s="3" t="s">
        <v>2250</v>
      </c>
      <c r="Q319" s="3">
        <v>1834</v>
      </c>
      <c r="V319" s="3">
        <v>1150230481</v>
      </c>
      <c r="X319" s="3" t="s">
        <v>2251</v>
      </c>
      <c r="Y319" s="5" t="s">
        <v>2252</v>
      </c>
    </row>
    <row r="320" spans="1:46" ht="13.2" x14ac:dyDescent="0.25">
      <c r="A320" s="2">
        <v>46083.514524976854</v>
      </c>
      <c r="B320" s="3" t="b">
        <v>0</v>
      </c>
      <c r="C320" s="3" t="s">
        <v>2253</v>
      </c>
      <c r="D320" s="3" t="s">
        <v>366</v>
      </c>
      <c r="E320" s="3" t="s">
        <v>704</v>
      </c>
      <c r="F320" s="3" t="s">
        <v>2254</v>
      </c>
      <c r="G320" s="3">
        <v>2</v>
      </c>
      <c r="H320" s="3" t="s">
        <v>161</v>
      </c>
      <c r="I320" s="3">
        <v>43008721</v>
      </c>
      <c r="J320" s="4">
        <v>36997</v>
      </c>
      <c r="K320" s="3" t="s">
        <v>2253</v>
      </c>
      <c r="L320" s="3" t="s">
        <v>43</v>
      </c>
      <c r="M320" s="3" t="s">
        <v>415</v>
      </c>
      <c r="N320" s="3" t="s">
        <v>540</v>
      </c>
      <c r="O320" s="3" t="s">
        <v>229</v>
      </c>
      <c r="P320" s="3" t="s">
        <v>2255</v>
      </c>
      <c r="Q320" s="3">
        <v>2000</v>
      </c>
      <c r="V320" s="3">
        <v>3415142461</v>
      </c>
      <c r="X320" s="3" t="s">
        <v>115</v>
      </c>
      <c r="Y320" s="3">
        <v>613794</v>
      </c>
      <c r="Z320" s="3" t="s">
        <v>704</v>
      </c>
      <c r="AA320" s="3" t="s">
        <v>2254</v>
      </c>
      <c r="AB320" s="3">
        <v>2</v>
      </c>
      <c r="AC320" s="3" t="s">
        <v>161</v>
      </c>
      <c r="AD320" s="3">
        <v>43008721</v>
      </c>
      <c r="AE320" s="4">
        <v>36997</v>
      </c>
      <c r="AF320" s="3" t="s">
        <v>2253</v>
      </c>
      <c r="AG320" s="3" t="s">
        <v>43</v>
      </c>
      <c r="AH320" s="3" t="s">
        <v>951</v>
      </c>
      <c r="AI320" s="3" t="s">
        <v>405</v>
      </c>
      <c r="AJ320" s="3" t="s">
        <v>229</v>
      </c>
      <c r="AK320" s="3" t="s">
        <v>2255</v>
      </c>
      <c r="AL320" s="3">
        <v>2000</v>
      </c>
      <c r="AQ320" s="3">
        <v>3415142461</v>
      </c>
      <c r="AS320" s="3" t="s">
        <v>115</v>
      </c>
      <c r="AT320" s="3">
        <v>61379481703</v>
      </c>
    </row>
    <row r="321" spans="1:46" ht="13.2" x14ac:dyDescent="0.25">
      <c r="A321" s="2">
        <v>46083.520856006944</v>
      </c>
      <c r="B321" s="3" t="b">
        <v>1</v>
      </c>
      <c r="C321" s="3" t="s">
        <v>2256</v>
      </c>
      <c r="D321" s="3" t="s">
        <v>180</v>
      </c>
      <c r="E321" s="3" t="s">
        <v>1759</v>
      </c>
      <c r="F321" s="3" t="s">
        <v>2257</v>
      </c>
      <c r="G321" s="3">
        <v>3533</v>
      </c>
      <c r="H321" s="3" t="s">
        <v>452</v>
      </c>
      <c r="I321" s="3">
        <v>53149880</v>
      </c>
      <c r="J321" s="4">
        <v>41399</v>
      </c>
      <c r="K321" s="3" t="s">
        <v>2256</v>
      </c>
      <c r="L321" s="3" t="s">
        <v>43</v>
      </c>
      <c r="M321" s="3" t="s">
        <v>31</v>
      </c>
      <c r="N321" s="3" t="s">
        <v>44</v>
      </c>
      <c r="O321" s="3" t="s">
        <v>102</v>
      </c>
      <c r="P321" s="3" t="s">
        <v>2258</v>
      </c>
      <c r="Q321" s="3">
        <v>1609</v>
      </c>
      <c r="R321" s="3" t="s">
        <v>2259</v>
      </c>
      <c r="S321" s="3" t="s">
        <v>2260</v>
      </c>
      <c r="T321" s="3" t="s">
        <v>2256</v>
      </c>
      <c r="U321" s="3">
        <v>1133359265</v>
      </c>
      <c r="V321" s="3">
        <v>1133359265</v>
      </c>
      <c r="W321" s="3">
        <v>1167316211</v>
      </c>
      <c r="X321" s="3" t="s">
        <v>49</v>
      </c>
      <c r="Y321" s="3">
        <v>800006123456789</v>
      </c>
    </row>
    <row r="322" spans="1:46" ht="13.2" x14ac:dyDescent="0.25">
      <c r="A322" s="2">
        <v>46083.525735856485</v>
      </c>
      <c r="B322" s="3" t="b">
        <v>1</v>
      </c>
      <c r="C322" s="3" t="s">
        <v>2261</v>
      </c>
      <c r="D322" s="3" t="s">
        <v>180</v>
      </c>
      <c r="E322" s="3" t="s">
        <v>2262</v>
      </c>
      <c r="F322" s="3" t="s">
        <v>2263</v>
      </c>
      <c r="G322" s="3">
        <v>3887</v>
      </c>
      <c r="H322" s="3" t="s">
        <v>198</v>
      </c>
      <c r="I322" s="3">
        <v>54101756</v>
      </c>
      <c r="J322" s="4">
        <v>41800</v>
      </c>
      <c r="K322" s="3" t="s">
        <v>2261</v>
      </c>
      <c r="L322" s="3" t="s">
        <v>30</v>
      </c>
      <c r="M322" s="3" t="s">
        <v>31</v>
      </c>
      <c r="N322" s="3" t="s">
        <v>92</v>
      </c>
      <c r="O322" s="3" t="s">
        <v>92</v>
      </c>
      <c r="P322" s="3" t="s">
        <v>2264</v>
      </c>
      <c r="Q322" s="3">
        <v>1431</v>
      </c>
      <c r="R322" s="3" t="s">
        <v>2265</v>
      </c>
      <c r="S322" s="3" t="s">
        <v>2266</v>
      </c>
      <c r="T322" s="3" t="s">
        <v>2261</v>
      </c>
      <c r="U322" s="3">
        <v>1166910296</v>
      </c>
      <c r="V322" s="5" t="s">
        <v>2267</v>
      </c>
      <c r="W322" s="3">
        <v>1166910296</v>
      </c>
      <c r="X322" s="3" t="s">
        <v>140</v>
      </c>
      <c r="Y322" s="3">
        <v>62330711004</v>
      </c>
    </row>
    <row r="323" spans="1:46" ht="13.2" x14ac:dyDescent="0.25">
      <c r="A323" s="2">
        <v>46083.531336909728</v>
      </c>
      <c r="B323" s="3" t="b">
        <v>1</v>
      </c>
      <c r="C323" s="3" t="s">
        <v>2268</v>
      </c>
      <c r="D323" s="3" t="s">
        <v>26</v>
      </c>
      <c r="E323" s="3" t="s">
        <v>1439</v>
      </c>
      <c r="F323" s="3" t="s">
        <v>2269</v>
      </c>
      <c r="G323" s="3">
        <v>4188</v>
      </c>
      <c r="H323" s="3" t="s">
        <v>198</v>
      </c>
      <c r="I323" s="3">
        <v>51588663</v>
      </c>
      <c r="J323" s="4">
        <v>40893</v>
      </c>
      <c r="K323" s="3" t="s">
        <v>2268</v>
      </c>
      <c r="L323" s="3" t="s">
        <v>43</v>
      </c>
      <c r="M323" s="3" t="s">
        <v>31</v>
      </c>
      <c r="N323" s="3" t="s">
        <v>92</v>
      </c>
      <c r="O323" s="3" t="s">
        <v>92</v>
      </c>
      <c r="P323" s="3" t="s">
        <v>2270</v>
      </c>
      <c r="Q323" s="3">
        <v>1127</v>
      </c>
      <c r="R323" s="3" t="s">
        <v>2271</v>
      </c>
      <c r="T323" s="3" t="s">
        <v>2268</v>
      </c>
      <c r="U323" s="3">
        <v>1126052540</v>
      </c>
      <c r="V323" s="3">
        <v>1126052540</v>
      </c>
      <c r="X323" s="3" t="s">
        <v>211</v>
      </c>
      <c r="Y323" s="3">
        <v>61274899404</v>
      </c>
    </row>
    <row r="324" spans="1:46" ht="13.2" x14ac:dyDescent="0.25">
      <c r="A324" s="2">
        <v>46083.533670138888</v>
      </c>
      <c r="B324" s="3" t="b">
        <v>1</v>
      </c>
      <c r="C324" s="3" t="s">
        <v>2272</v>
      </c>
      <c r="D324" s="3">
        <v>420</v>
      </c>
      <c r="E324" s="3" t="s">
        <v>1879</v>
      </c>
      <c r="F324" s="3" t="s">
        <v>2273</v>
      </c>
      <c r="G324" s="3">
        <v>54844</v>
      </c>
      <c r="H324" s="3" t="s">
        <v>318</v>
      </c>
      <c r="I324" s="3">
        <v>48461560</v>
      </c>
      <c r="J324" s="4">
        <v>39456</v>
      </c>
      <c r="K324" s="3" t="s">
        <v>2274</v>
      </c>
      <c r="L324" s="3" t="s">
        <v>30</v>
      </c>
      <c r="M324" s="3" t="s">
        <v>31</v>
      </c>
      <c r="N324" s="3" t="s">
        <v>44</v>
      </c>
      <c r="O324" s="3" t="s">
        <v>1453</v>
      </c>
      <c r="P324" s="3" t="s">
        <v>2275</v>
      </c>
      <c r="Q324" s="3">
        <v>1636</v>
      </c>
      <c r="V324" s="3">
        <v>1158744042</v>
      </c>
      <c r="W324" s="3">
        <v>1156549521</v>
      </c>
      <c r="X324" s="3" t="s">
        <v>140</v>
      </c>
      <c r="Y324" s="3">
        <v>61231431503</v>
      </c>
      <c r="Z324" s="3" t="s">
        <v>2276</v>
      </c>
      <c r="AA324" s="3" t="s">
        <v>2277</v>
      </c>
      <c r="AB324" s="3">
        <v>54844</v>
      </c>
      <c r="AC324" s="3" t="s">
        <v>318</v>
      </c>
      <c r="AD324" s="3">
        <v>48680931</v>
      </c>
      <c r="AE324" s="4">
        <v>39606</v>
      </c>
      <c r="AF324" s="3" t="s">
        <v>2278</v>
      </c>
      <c r="AG324" s="3" t="s">
        <v>30</v>
      </c>
      <c r="AH324" s="3" t="s">
        <v>31</v>
      </c>
      <c r="AI324" s="3" t="s">
        <v>92</v>
      </c>
      <c r="AJ324" s="3" t="s">
        <v>92</v>
      </c>
      <c r="AK324" s="3" t="s">
        <v>2279</v>
      </c>
      <c r="AL324" s="3">
        <v>1406</v>
      </c>
      <c r="AM324" s="3" t="s">
        <v>2280</v>
      </c>
      <c r="AN324" s="3" t="s">
        <v>2277</v>
      </c>
      <c r="AO324" s="3" t="s">
        <v>2272</v>
      </c>
      <c r="AP324" s="3">
        <v>1156549521</v>
      </c>
      <c r="AQ324" s="3">
        <v>1161737109</v>
      </c>
      <c r="AR324" s="3">
        <v>1156549521</v>
      </c>
      <c r="AS324" s="3" t="s">
        <v>140</v>
      </c>
      <c r="AT324" s="3">
        <v>61354126903</v>
      </c>
    </row>
    <row r="325" spans="1:46" ht="13.2" x14ac:dyDescent="0.25">
      <c r="A325" s="2">
        <v>46083.541042789351</v>
      </c>
      <c r="B325" s="3" t="b">
        <v>0</v>
      </c>
      <c r="C325" s="3" t="s">
        <v>2281</v>
      </c>
      <c r="D325" s="3" t="s">
        <v>497</v>
      </c>
      <c r="E325" s="3" t="s">
        <v>2282</v>
      </c>
      <c r="F325" s="3" t="s">
        <v>2283</v>
      </c>
      <c r="G325" s="3">
        <v>19</v>
      </c>
      <c r="H325" s="3" t="s">
        <v>74</v>
      </c>
      <c r="I325" s="3">
        <v>47787098</v>
      </c>
      <c r="J325" s="4">
        <v>39087</v>
      </c>
      <c r="K325" s="3" t="s">
        <v>2281</v>
      </c>
      <c r="L325" s="3" t="s">
        <v>30</v>
      </c>
      <c r="M325" s="3" t="s">
        <v>76</v>
      </c>
      <c r="N325" s="3" t="s">
        <v>285</v>
      </c>
      <c r="O325" s="3" t="s">
        <v>1144</v>
      </c>
      <c r="P325" s="3" t="s">
        <v>2284</v>
      </c>
      <c r="Q325" s="3">
        <v>1636</v>
      </c>
      <c r="V325" s="3">
        <v>1150043162</v>
      </c>
      <c r="X325" s="3" t="s">
        <v>1674</v>
      </c>
      <c r="Y325" s="3">
        <v>1096100101010</v>
      </c>
    </row>
    <row r="326" spans="1:46" ht="13.2" x14ac:dyDescent="0.25">
      <c r="A326" s="2">
        <v>46083.546174328701</v>
      </c>
      <c r="B326" s="3" t="b">
        <v>1</v>
      </c>
      <c r="C326" s="3" t="s">
        <v>2285</v>
      </c>
      <c r="D326" s="3" t="s">
        <v>26</v>
      </c>
      <c r="E326" s="3" t="s">
        <v>248</v>
      </c>
      <c r="F326" s="3" t="s">
        <v>2286</v>
      </c>
      <c r="G326" s="3">
        <v>4214</v>
      </c>
      <c r="H326" s="3" t="s">
        <v>198</v>
      </c>
      <c r="I326" s="3">
        <v>51267743</v>
      </c>
      <c r="J326" s="4">
        <v>40723</v>
      </c>
      <c r="K326" s="3" t="s">
        <v>2285</v>
      </c>
      <c r="L326" s="3" t="s">
        <v>30</v>
      </c>
      <c r="M326" s="3" t="s">
        <v>31</v>
      </c>
      <c r="N326" s="3" t="s">
        <v>92</v>
      </c>
      <c r="O326" s="3" t="s">
        <v>92</v>
      </c>
      <c r="P326" s="3" t="s">
        <v>2287</v>
      </c>
      <c r="Q326" s="3">
        <v>1405</v>
      </c>
      <c r="R326" s="3" t="s">
        <v>331</v>
      </c>
      <c r="S326" s="3" t="s">
        <v>2286</v>
      </c>
      <c r="T326" s="3" t="s">
        <v>2285</v>
      </c>
      <c r="U326" s="3">
        <v>1161607139</v>
      </c>
      <c r="V326" s="3" t="s">
        <v>2288</v>
      </c>
      <c r="X326" s="3" t="s">
        <v>140</v>
      </c>
      <c r="Y326" s="3">
        <v>61368940103</v>
      </c>
    </row>
    <row r="327" spans="1:46" ht="13.2" x14ac:dyDescent="0.25">
      <c r="A327" s="2">
        <v>46083.551899189813</v>
      </c>
      <c r="B327" s="3" t="b">
        <v>1</v>
      </c>
      <c r="C327" s="3" t="s">
        <v>2285</v>
      </c>
      <c r="D327" s="3" t="s">
        <v>26</v>
      </c>
      <c r="E327" s="3" t="s">
        <v>1054</v>
      </c>
      <c r="F327" s="3" t="s">
        <v>2289</v>
      </c>
      <c r="G327" s="3">
        <v>3895</v>
      </c>
      <c r="H327" s="3" t="s">
        <v>198</v>
      </c>
      <c r="I327" s="3">
        <v>54184438</v>
      </c>
      <c r="J327" s="4">
        <v>41848</v>
      </c>
      <c r="K327" s="3" t="s">
        <v>2285</v>
      </c>
      <c r="L327" s="3" t="s">
        <v>43</v>
      </c>
      <c r="M327" s="3" t="s">
        <v>31</v>
      </c>
      <c r="N327" s="3" t="s">
        <v>92</v>
      </c>
      <c r="O327" s="3" t="s">
        <v>92</v>
      </c>
      <c r="P327" s="3" t="s">
        <v>2287</v>
      </c>
      <c r="Q327" s="3">
        <v>1405</v>
      </c>
      <c r="R327" s="3" t="s">
        <v>117</v>
      </c>
      <c r="S327" s="3" t="s">
        <v>2290</v>
      </c>
      <c r="T327" s="3" t="s">
        <v>2285</v>
      </c>
      <c r="U327" s="3">
        <v>1156401702</v>
      </c>
      <c r="V327" s="3" t="s">
        <v>2291</v>
      </c>
      <c r="X327" s="3" t="s">
        <v>115</v>
      </c>
      <c r="Y327" s="3">
        <v>61368940104</v>
      </c>
    </row>
    <row r="328" spans="1:46" ht="13.2" x14ac:dyDescent="0.25">
      <c r="A328" s="2">
        <v>46083.557053113429</v>
      </c>
      <c r="B328" s="3" t="b">
        <v>1</v>
      </c>
      <c r="C328" s="3" t="s">
        <v>2292</v>
      </c>
      <c r="D328" s="3" t="s">
        <v>180</v>
      </c>
      <c r="E328" s="3" t="s">
        <v>1194</v>
      </c>
      <c r="F328" s="3" t="s">
        <v>2293</v>
      </c>
      <c r="G328" s="3">
        <v>4262</v>
      </c>
      <c r="H328" s="3" t="s">
        <v>352</v>
      </c>
      <c r="I328" s="3">
        <v>53725227</v>
      </c>
      <c r="J328" s="4">
        <v>41675</v>
      </c>
      <c r="K328" s="3" t="s">
        <v>2294</v>
      </c>
      <c r="L328" s="3" t="s">
        <v>30</v>
      </c>
      <c r="M328" s="3" t="s">
        <v>31</v>
      </c>
      <c r="N328" s="3" t="s">
        <v>44</v>
      </c>
      <c r="O328" s="3" t="s">
        <v>2295</v>
      </c>
      <c r="P328" s="3" t="s">
        <v>2296</v>
      </c>
      <c r="Q328" s="3">
        <v>1623</v>
      </c>
      <c r="R328" s="3" t="s">
        <v>2297</v>
      </c>
      <c r="S328" s="3" t="s">
        <v>2293</v>
      </c>
      <c r="T328" s="3" t="s">
        <v>2292</v>
      </c>
      <c r="U328" s="3" t="s">
        <v>2298</v>
      </c>
      <c r="V328" s="3" t="s">
        <v>2299</v>
      </c>
      <c r="X328" s="3" t="s">
        <v>49</v>
      </c>
      <c r="Y328" s="3" t="s">
        <v>2300</v>
      </c>
    </row>
    <row r="329" spans="1:46" ht="13.2" x14ac:dyDescent="0.25">
      <c r="A329" s="2">
        <v>46083.560227650465</v>
      </c>
      <c r="B329" s="3" t="b">
        <v>0</v>
      </c>
      <c r="C329" s="3" t="s">
        <v>2301</v>
      </c>
      <c r="D329" s="3" t="s">
        <v>358</v>
      </c>
      <c r="E329" s="3" t="s">
        <v>2302</v>
      </c>
      <c r="F329" s="3" t="s">
        <v>2303</v>
      </c>
      <c r="G329" s="3">
        <v>184274</v>
      </c>
      <c r="H329" s="3" t="s">
        <v>470</v>
      </c>
      <c r="I329" s="3">
        <v>14126492</v>
      </c>
      <c r="J329" s="4">
        <v>22119</v>
      </c>
      <c r="K329" s="3" t="s">
        <v>2301</v>
      </c>
      <c r="L329" s="3" t="s">
        <v>43</v>
      </c>
      <c r="M329" s="3" t="s">
        <v>31</v>
      </c>
      <c r="N329" s="3" t="s">
        <v>44</v>
      </c>
      <c r="O329" s="3" t="s">
        <v>2304</v>
      </c>
      <c r="P329" s="3" t="s">
        <v>2305</v>
      </c>
      <c r="Q329" s="3">
        <v>1670</v>
      </c>
      <c r="V329" s="3">
        <v>1168313351</v>
      </c>
      <c r="X329" s="3" t="s">
        <v>115</v>
      </c>
      <c r="Y329" s="3">
        <v>60621223902</v>
      </c>
      <c r="AB329" s="3">
        <v>184274</v>
      </c>
    </row>
    <row r="330" spans="1:46" ht="13.2" x14ac:dyDescent="0.25">
      <c r="A330" s="2">
        <v>46083.561211817127</v>
      </c>
      <c r="B330" s="3" t="b">
        <v>1</v>
      </c>
      <c r="C330" s="3" t="s">
        <v>2306</v>
      </c>
      <c r="D330" s="3" t="s">
        <v>26</v>
      </c>
      <c r="E330" s="3" t="s">
        <v>2307</v>
      </c>
      <c r="F330" s="3" t="s">
        <v>2308</v>
      </c>
      <c r="G330" s="3">
        <v>3793</v>
      </c>
      <c r="H330" s="3" t="s">
        <v>1395</v>
      </c>
      <c r="I330" s="3">
        <v>52119147</v>
      </c>
      <c r="J330" s="4">
        <v>40986</v>
      </c>
      <c r="K330" s="3" t="s">
        <v>2309</v>
      </c>
      <c r="L330" s="3" t="s">
        <v>43</v>
      </c>
      <c r="M330" s="3" t="s">
        <v>31</v>
      </c>
      <c r="N330" s="3" t="s">
        <v>285</v>
      </c>
      <c r="O330" s="3" t="s">
        <v>2310</v>
      </c>
      <c r="P330" s="3" t="s">
        <v>2311</v>
      </c>
      <c r="Q330" s="3">
        <v>2900</v>
      </c>
      <c r="R330" s="3" t="s">
        <v>2312</v>
      </c>
      <c r="S330" s="3" t="s">
        <v>2313</v>
      </c>
      <c r="T330" s="3" t="s">
        <v>2306</v>
      </c>
      <c r="U330" s="3">
        <v>3364580195</v>
      </c>
      <c r="V330" s="3">
        <v>3364580195</v>
      </c>
      <c r="W330" s="3">
        <v>3364599240</v>
      </c>
      <c r="X330" s="3" t="s">
        <v>306</v>
      </c>
      <c r="Y330" s="3">
        <v>22445613903</v>
      </c>
    </row>
    <row r="331" spans="1:46" ht="13.2" x14ac:dyDescent="0.25">
      <c r="A331" s="2">
        <v>46083.562591041671</v>
      </c>
      <c r="B331" s="3" t="b">
        <v>1</v>
      </c>
      <c r="C331" s="3" t="s">
        <v>2314</v>
      </c>
      <c r="D331" s="3" t="s">
        <v>26</v>
      </c>
      <c r="E331" s="3" t="s">
        <v>2315</v>
      </c>
      <c r="F331" s="3" t="s">
        <v>2316</v>
      </c>
      <c r="G331" s="3">
        <v>4117</v>
      </c>
      <c r="H331" s="3" t="s">
        <v>352</v>
      </c>
      <c r="I331" s="3">
        <v>52164372</v>
      </c>
      <c r="J331" s="4">
        <v>40962</v>
      </c>
      <c r="K331" s="3" t="s">
        <v>2317</v>
      </c>
      <c r="L331" s="3" t="s">
        <v>30</v>
      </c>
      <c r="M331" s="3" t="s">
        <v>31</v>
      </c>
      <c r="N331" s="3" t="s">
        <v>92</v>
      </c>
      <c r="O331" s="3" t="s">
        <v>92</v>
      </c>
      <c r="P331" s="3" t="s">
        <v>552</v>
      </c>
      <c r="Q331" s="3">
        <v>1013</v>
      </c>
      <c r="R331" s="3" t="s">
        <v>2318</v>
      </c>
      <c r="S331" s="3" t="s">
        <v>547</v>
      </c>
      <c r="V331" s="3" t="s">
        <v>2319</v>
      </c>
      <c r="X331" s="3" t="s">
        <v>211</v>
      </c>
      <c r="Y331" s="3">
        <v>60841185908</v>
      </c>
    </row>
    <row r="332" spans="1:46" ht="13.2" x14ac:dyDescent="0.25">
      <c r="A332" s="2">
        <v>46083.562703703705</v>
      </c>
      <c r="B332" s="3" t="b">
        <v>0</v>
      </c>
      <c r="C332" s="3" t="s">
        <v>2320</v>
      </c>
      <c r="D332" s="3" t="s">
        <v>358</v>
      </c>
      <c r="E332" s="3" t="s">
        <v>2321</v>
      </c>
      <c r="F332" s="3" t="s">
        <v>2322</v>
      </c>
      <c r="G332" s="3">
        <v>200516</v>
      </c>
      <c r="H332" s="3" t="s">
        <v>54</v>
      </c>
      <c r="I332" s="3">
        <v>26583473</v>
      </c>
      <c r="J332" s="4">
        <v>28590</v>
      </c>
      <c r="K332" s="3" t="s">
        <v>2320</v>
      </c>
      <c r="L332" s="3" t="s">
        <v>30</v>
      </c>
      <c r="M332" s="3" t="s">
        <v>31</v>
      </c>
      <c r="N332" s="3" t="s">
        <v>2323</v>
      </c>
      <c r="O332" s="3" t="s">
        <v>102</v>
      </c>
      <c r="P332" s="3" t="s">
        <v>2324</v>
      </c>
      <c r="Q332" s="3">
        <v>1642</v>
      </c>
      <c r="V332" s="3" t="s">
        <v>2325</v>
      </c>
      <c r="X332" s="3" t="s">
        <v>115</v>
      </c>
      <c r="Y332" s="3">
        <v>1</v>
      </c>
    </row>
    <row r="333" spans="1:46" ht="13.2" x14ac:dyDescent="0.25">
      <c r="A333" s="2">
        <v>46083.563710416667</v>
      </c>
      <c r="B333" s="3" t="b">
        <v>1</v>
      </c>
      <c r="C333" s="3" t="s">
        <v>2326</v>
      </c>
      <c r="D333" s="3">
        <v>420</v>
      </c>
      <c r="E333" s="3" t="s">
        <v>2327</v>
      </c>
      <c r="F333" s="3" t="s">
        <v>2115</v>
      </c>
      <c r="G333" s="3">
        <v>57297</v>
      </c>
      <c r="H333" s="3" t="s">
        <v>318</v>
      </c>
      <c r="I333" s="3">
        <v>47801314</v>
      </c>
      <c r="J333" s="4">
        <v>39105</v>
      </c>
      <c r="K333" s="3" t="s">
        <v>2326</v>
      </c>
      <c r="L333" s="3" t="s">
        <v>43</v>
      </c>
      <c r="M333" s="3" t="s">
        <v>31</v>
      </c>
      <c r="N333" s="3" t="s">
        <v>334</v>
      </c>
      <c r="O333" s="3" t="s">
        <v>312</v>
      </c>
      <c r="P333" s="3" t="s">
        <v>2328</v>
      </c>
      <c r="Q333" s="3" t="s">
        <v>2329</v>
      </c>
      <c r="V333" s="3">
        <v>1132348538</v>
      </c>
      <c r="W333" s="3">
        <v>1166910296</v>
      </c>
      <c r="X333" s="3" t="s">
        <v>211</v>
      </c>
      <c r="Y333" s="3">
        <v>62330711002</v>
      </c>
      <c r="Z333" s="3" t="s">
        <v>2330</v>
      </c>
      <c r="AA333" s="3" t="s">
        <v>2331</v>
      </c>
      <c r="AB333" s="3">
        <v>57297</v>
      </c>
      <c r="AC333" s="3" t="s">
        <v>198</v>
      </c>
      <c r="AD333" s="3">
        <v>49261296</v>
      </c>
      <c r="AE333" s="4">
        <v>39907</v>
      </c>
      <c r="AF333" s="3" t="s">
        <v>2332</v>
      </c>
      <c r="AG333" s="3" t="s">
        <v>43</v>
      </c>
      <c r="AH333" s="3" t="s">
        <v>31</v>
      </c>
      <c r="AI333" s="3" t="s">
        <v>44</v>
      </c>
      <c r="AJ333" s="3" t="s">
        <v>111</v>
      </c>
      <c r="AK333" s="3" t="s">
        <v>2333</v>
      </c>
      <c r="AM333" s="3" t="s">
        <v>2334</v>
      </c>
      <c r="AQ333" s="3">
        <v>1132348538</v>
      </c>
      <c r="AR333" s="3" t="s">
        <v>2335</v>
      </c>
      <c r="AS333" s="3" t="s">
        <v>211</v>
      </c>
    </row>
    <row r="334" spans="1:46" ht="13.2" x14ac:dyDescent="0.25">
      <c r="A334" s="2">
        <v>46083.56528649306</v>
      </c>
      <c r="B334" s="3" t="b">
        <v>1</v>
      </c>
      <c r="C334" s="3" t="s">
        <v>2336</v>
      </c>
      <c r="D334" s="3" t="s">
        <v>180</v>
      </c>
      <c r="E334" s="3" t="s">
        <v>288</v>
      </c>
      <c r="F334" s="3" t="s">
        <v>2337</v>
      </c>
      <c r="G334" s="3">
        <v>4131</v>
      </c>
      <c r="H334" s="3" t="s">
        <v>590</v>
      </c>
      <c r="I334" s="3">
        <v>55161477</v>
      </c>
      <c r="J334" s="4">
        <v>42299</v>
      </c>
      <c r="K334" s="3" t="s">
        <v>2336</v>
      </c>
      <c r="L334" s="3" t="s">
        <v>43</v>
      </c>
      <c r="M334" s="3" t="s">
        <v>31</v>
      </c>
      <c r="N334" s="3" t="s">
        <v>2338</v>
      </c>
      <c r="O334" s="3" t="s">
        <v>2339</v>
      </c>
      <c r="P334" s="3" t="s">
        <v>2340</v>
      </c>
      <c r="Q334" s="3">
        <v>1602</v>
      </c>
      <c r="R334" s="3" t="s">
        <v>2341</v>
      </c>
      <c r="S334" s="3" t="s">
        <v>2342</v>
      </c>
      <c r="T334" s="3" t="s">
        <v>2336</v>
      </c>
      <c r="U334" s="3">
        <v>1165078788</v>
      </c>
      <c r="V334" s="3">
        <v>1165078788</v>
      </c>
      <c r="X334" s="3" t="s">
        <v>2343</v>
      </c>
      <c r="Y334" s="5" t="s">
        <v>2344</v>
      </c>
    </row>
    <row r="335" spans="1:46" ht="13.2" x14ac:dyDescent="0.25">
      <c r="A335" s="2">
        <v>46083.571531956019</v>
      </c>
      <c r="B335" s="3" t="b">
        <v>1</v>
      </c>
      <c r="C335" s="3" t="s">
        <v>2345</v>
      </c>
      <c r="D335" s="3" t="s">
        <v>26</v>
      </c>
      <c r="E335" s="3" t="s">
        <v>1679</v>
      </c>
      <c r="F335" s="3" t="s">
        <v>2346</v>
      </c>
      <c r="G335" s="3">
        <v>3945</v>
      </c>
      <c r="H335" s="3" t="s">
        <v>1114</v>
      </c>
      <c r="I335" s="3">
        <v>53775904</v>
      </c>
      <c r="J335" s="4">
        <v>41625</v>
      </c>
      <c r="K335" s="3" t="s">
        <v>2345</v>
      </c>
      <c r="L335" s="3" t="s">
        <v>30</v>
      </c>
      <c r="M335" s="3" t="s">
        <v>31</v>
      </c>
      <c r="N335" s="3" t="s">
        <v>2130</v>
      </c>
      <c r="O335" s="3" t="s">
        <v>2130</v>
      </c>
      <c r="P335" s="3" t="s">
        <v>2347</v>
      </c>
      <c r="Q335" s="3">
        <v>3000</v>
      </c>
      <c r="R335" s="3" t="s">
        <v>2348</v>
      </c>
      <c r="S335" s="3" t="s">
        <v>2349</v>
      </c>
      <c r="T335" s="3" t="s">
        <v>2345</v>
      </c>
      <c r="U335" s="3">
        <v>3425459691</v>
      </c>
      <c r="V335" s="3">
        <v>3425459691</v>
      </c>
      <c r="W335" s="3">
        <v>3425452596</v>
      </c>
      <c r="X335" s="3" t="s">
        <v>2350</v>
      </c>
      <c r="Y335" s="3" t="s">
        <v>2351</v>
      </c>
    </row>
    <row r="336" spans="1:46" ht="13.2" x14ac:dyDescent="0.25">
      <c r="A336" s="2">
        <v>46083.583625601852</v>
      </c>
      <c r="B336" s="3" t="b">
        <v>0</v>
      </c>
      <c r="C336" s="3" t="s">
        <v>1765</v>
      </c>
      <c r="D336" s="3" t="s">
        <v>358</v>
      </c>
      <c r="E336" s="3" t="s">
        <v>1199</v>
      </c>
      <c r="F336" s="3" t="s">
        <v>1767</v>
      </c>
      <c r="G336" s="3">
        <v>21992</v>
      </c>
      <c r="H336" s="3" t="s">
        <v>1275</v>
      </c>
      <c r="I336" s="3">
        <v>51705498</v>
      </c>
      <c r="J336" s="4">
        <v>36770</v>
      </c>
      <c r="K336" s="3" t="s">
        <v>1765</v>
      </c>
      <c r="L336" s="3" t="s">
        <v>30</v>
      </c>
      <c r="M336" s="3" t="s">
        <v>31</v>
      </c>
      <c r="N336" s="3" t="s">
        <v>44</v>
      </c>
      <c r="O336" s="3" t="s">
        <v>286</v>
      </c>
      <c r="P336" s="3" t="s">
        <v>2352</v>
      </c>
      <c r="Q336" s="3">
        <v>1643</v>
      </c>
      <c r="V336" s="3">
        <v>1163044368</v>
      </c>
      <c r="X336" s="3" t="s">
        <v>2353</v>
      </c>
      <c r="Y336" s="5" t="s">
        <v>2354</v>
      </c>
    </row>
    <row r="337" spans="1:46" ht="13.2" x14ac:dyDescent="0.25">
      <c r="A337" s="2">
        <v>46083.585352627313</v>
      </c>
      <c r="B337" s="3" t="b">
        <v>1</v>
      </c>
      <c r="C337" s="3" t="s">
        <v>2355</v>
      </c>
      <c r="D337" s="3" t="s">
        <v>26</v>
      </c>
      <c r="E337" s="3" t="s">
        <v>2356</v>
      </c>
      <c r="F337" s="3" t="s">
        <v>2357</v>
      </c>
      <c r="G337" s="3">
        <v>3731</v>
      </c>
      <c r="H337" s="3" t="s">
        <v>198</v>
      </c>
      <c r="I337" s="3">
        <v>52769391</v>
      </c>
      <c r="J337" s="4">
        <v>41226</v>
      </c>
      <c r="K337" s="3" t="s">
        <v>2355</v>
      </c>
      <c r="L337" s="3" t="s">
        <v>43</v>
      </c>
      <c r="M337" s="3" t="s">
        <v>31</v>
      </c>
      <c r="N337" s="3" t="s">
        <v>44</v>
      </c>
      <c r="O337" s="3" t="s">
        <v>2358</v>
      </c>
      <c r="P337" s="3" t="s">
        <v>2359</v>
      </c>
      <c r="Q337" s="3">
        <v>1115</v>
      </c>
      <c r="R337" s="3" t="s">
        <v>2360</v>
      </c>
      <c r="S337" s="3" t="s">
        <v>2361</v>
      </c>
      <c r="T337" s="3" t="s">
        <v>2355</v>
      </c>
      <c r="U337" s="3" t="s">
        <v>2362</v>
      </c>
      <c r="V337" s="3">
        <v>1556689111</v>
      </c>
      <c r="W337" s="3">
        <v>1565701907</v>
      </c>
      <c r="X337" s="3" t="s">
        <v>2363</v>
      </c>
      <c r="Y337" s="3" t="s">
        <v>2364</v>
      </c>
    </row>
    <row r="338" spans="1:46" ht="13.2" x14ac:dyDescent="0.25">
      <c r="A338" s="2">
        <v>46083.587800162037</v>
      </c>
      <c r="B338" s="3" t="b">
        <v>0</v>
      </c>
      <c r="C338" s="3" t="s">
        <v>2365</v>
      </c>
      <c r="D338" s="3" t="s">
        <v>26</v>
      </c>
      <c r="E338" s="3" t="s">
        <v>2366</v>
      </c>
      <c r="F338" s="3" t="s">
        <v>2367</v>
      </c>
      <c r="G338" s="3">
        <v>3989</v>
      </c>
      <c r="H338" s="3" t="s">
        <v>161</v>
      </c>
      <c r="I338" s="3">
        <v>53801029</v>
      </c>
      <c r="J338" s="4">
        <v>41684</v>
      </c>
      <c r="K338" s="3" t="s">
        <v>2365</v>
      </c>
      <c r="L338" s="3" t="s">
        <v>43</v>
      </c>
      <c r="M338" s="3" t="s">
        <v>31</v>
      </c>
      <c r="N338" s="3" t="s">
        <v>32</v>
      </c>
      <c r="O338" s="3" t="s">
        <v>32</v>
      </c>
      <c r="P338" s="3" t="s">
        <v>2368</v>
      </c>
      <c r="Q338" s="3">
        <v>3000</v>
      </c>
      <c r="R338" s="3" t="s">
        <v>1303</v>
      </c>
      <c r="S338" s="3" t="s">
        <v>2369</v>
      </c>
      <c r="T338" s="3" t="s">
        <v>2365</v>
      </c>
      <c r="U338" s="3">
        <v>3424403334</v>
      </c>
      <c r="V338" s="3">
        <v>3424403334</v>
      </c>
      <c r="W338" s="3">
        <v>3425005183</v>
      </c>
      <c r="X338" s="3" t="s">
        <v>2370</v>
      </c>
      <c r="Y338" s="3">
        <v>940</v>
      </c>
    </row>
    <row r="339" spans="1:46" ht="13.2" x14ac:dyDescent="0.25">
      <c r="A339" s="2">
        <v>46083.599309351848</v>
      </c>
      <c r="B339" s="3" t="b">
        <v>0</v>
      </c>
      <c r="C339" s="3" t="s">
        <v>2371</v>
      </c>
      <c r="D339" s="3" t="s">
        <v>358</v>
      </c>
      <c r="E339" s="3" t="s">
        <v>2372</v>
      </c>
      <c r="F339" s="3" t="s">
        <v>2373</v>
      </c>
      <c r="G339" s="3">
        <v>221976</v>
      </c>
      <c r="H339" s="3" t="s">
        <v>470</v>
      </c>
      <c r="I339" s="3">
        <v>50705487</v>
      </c>
      <c r="J339" s="4">
        <v>40534</v>
      </c>
      <c r="K339" s="3" t="s">
        <v>2374</v>
      </c>
      <c r="L339" s="3" t="s">
        <v>43</v>
      </c>
      <c r="M339" s="3" t="s">
        <v>311</v>
      </c>
      <c r="N339" s="3" t="s">
        <v>384</v>
      </c>
      <c r="O339" s="3" t="s">
        <v>312</v>
      </c>
      <c r="P339" s="3" t="s">
        <v>2375</v>
      </c>
      <c r="Q339" s="3">
        <v>1116</v>
      </c>
      <c r="R339" s="3" t="s">
        <v>2376</v>
      </c>
      <c r="S339" s="3" t="s">
        <v>2377</v>
      </c>
      <c r="T339" s="3" t="s">
        <v>2378</v>
      </c>
      <c r="U339" s="3" t="s">
        <v>2379</v>
      </c>
      <c r="V339" s="3" t="s">
        <v>2379</v>
      </c>
      <c r="W339" s="3" t="s">
        <v>2379</v>
      </c>
      <c r="X339" s="3" t="s">
        <v>2380</v>
      </c>
      <c r="Y339" s="3" t="s">
        <v>2381</v>
      </c>
    </row>
    <row r="340" spans="1:46" ht="13.2" x14ac:dyDescent="0.25">
      <c r="A340" s="2">
        <v>46083.599466053245</v>
      </c>
      <c r="B340" s="3" t="b">
        <v>1</v>
      </c>
      <c r="C340" s="3" t="s">
        <v>2382</v>
      </c>
      <c r="D340" s="3" t="s">
        <v>358</v>
      </c>
      <c r="E340" s="3" t="s">
        <v>2383</v>
      </c>
      <c r="F340" s="3" t="s">
        <v>2384</v>
      </c>
      <c r="G340" s="3">
        <v>192117</v>
      </c>
      <c r="H340" s="3" t="s">
        <v>54</v>
      </c>
      <c r="I340" s="3">
        <v>31089637</v>
      </c>
      <c r="J340" s="4">
        <v>30873</v>
      </c>
      <c r="K340" s="3" t="s">
        <v>2382</v>
      </c>
      <c r="L340" s="3" t="s">
        <v>43</v>
      </c>
      <c r="M340" s="3" t="s">
        <v>951</v>
      </c>
      <c r="N340" s="3" t="s">
        <v>44</v>
      </c>
      <c r="O340" s="3" t="s">
        <v>2385</v>
      </c>
      <c r="P340" s="3" t="s">
        <v>2386</v>
      </c>
      <c r="Q340" s="3">
        <v>1642</v>
      </c>
      <c r="V340" s="3">
        <v>1135900259</v>
      </c>
      <c r="X340" s="3" t="s">
        <v>1369</v>
      </c>
      <c r="Y340" s="3">
        <v>1000616107024</v>
      </c>
    </row>
    <row r="341" spans="1:46" ht="13.2" x14ac:dyDescent="0.25">
      <c r="A341" s="2">
        <v>46083.600718668982</v>
      </c>
      <c r="B341" s="3" t="b">
        <v>0</v>
      </c>
      <c r="C341" s="3" t="s">
        <v>2387</v>
      </c>
      <c r="D341" s="3" t="s">
        <v>180</v>
      </c>
      <c r="E341" s="3" t="s">
        <v>2388</v>
      </c>
      <c r="F341" s="3" t="s">
        <v>2273</v>
      </c>
      <c r="G341" s="3">
        <v>4084</v>
      </c>
      <c r="H341" s="3" t="s">
        <v>452</v>
      </c>
      <c r="I341" s="3">
        <v>53472085</v>
      </c>
      <c r="J341" s="4">
        <v>41551</v>
      </c>
      <c r="K341" s="3" t="s">
        <v>2389</v>
      </c>
      <c r="L341" s="3" t="s">
        <v>30</v>
      </c>
      <c r="M341" s="3" t="s">
        <v>31</v>
      </c>
      <c r="N341" s="3" t="s">
        <v>44</v>
      </c>
      <c r="O341" s="3" t="s">
        <v>1144</v>
      </c>
      <c r="P341" s="3" t="s">
        <v>2390</v>
      </c>
      <c r="Q341" s="3">
        <v>1414</v>
      </c>
      <c r="R341" s="3" t="s">
        <v>2391</v>
      </c>
      <c r="S341" s="3" t="s">
        <v>2392</v>
      </c>
      <c r="T341" s="3" t="s">
        <v>2393</v>
      </c>
      <c r="U341" s="3">
        <v>1158744042</v>
      </c>
      <c r="V341" s="3">
        <v>1130636122</v>
      </c>
      <c r="X341" s="3" t="s">
        <v>115</v>
      </c>
      <c r="Y341" s="3">
        <v>61231431504</v>
      </c>
    </row>
    <row r="342" spans="1:46" ht="13.2" x14ac:dyDescent="0.25">
      <c r="A342" s="2">
        <v>46083.604843912035</v>
      </c>
      <c r="B342" s="3" t="b">
        <v>1</v>
      </c>
      <c r="C342" s="3" t="s">
        <v>2394</v>
      </c>
      <c r="D342" s="3" t="s">
        <v>180</v>
      </c>
      <c r="E342" s="3" t="s">
        <v>2395</v>
      </c>
      <c r="F342" s="3" t="s">
        <v>2396</v>
      </c>
      <c r="G342" s="3">
        <v>3229</v>
      </c>
      <c r="H342" s="3" t="s">
        <v>843</v>
      </c>
      <c r="I342" s="3">
        <v>53578375</v>
      </c>
      <c r="J342" s="4">
        <v>41554</v>
      </c>
      <c r="K342" s="3" t="s">
        <v>2397</v>
      </c>
      <c r="L342" s="3" t="s">
        <v>30</v>
      </c>
      <c r="M342" s="3" t="s">
        <v>31</v>
      </c>
      <c r="N342" s="3" t="s">
        <v>44</v>
      </c>
      <c r="O342" s="3" t="s">
        <v>286</v>
      </c>
      <c r="P342" s="3" t="s">
        <v>2398</v>
      </c>
      <c r="Q342" s="3">
        <v>1643</v>
      </c>
      <c r="R342" s="3" t="s">
        <v>2399</v>
      </c>
      <c r="S342" s="3" t="s">
        <v>2400</v>
      </c>
      <c r="T342" s="3" t="s">
        <v>2394</v>
      </c>
      <c r="U342" s="3" t="s">
        <v>2401</v>
      </c>
      <c r="V342" s="3">
        <v>1569983112</v>
      </c>
      <c r="W342" s="3">
        <v>1532388434</v>
      </c>
      <c r="X342" s="3" t="s">
        <v>157</v>
      </c>
      <c r="Y342" s="3" t="s">
        <v>2402</v>
      </c>
    </row>
    <row r="343" spans="1:46" ht="13.2" x14ac:dyDescent="0.25">
      <c r="A343" s="2">
        <v>46083.614367326387</v>
      </c>
      <c r="B343" s="3" t="b">
        <v>1</v>
      </c>
      <c r="C343" s="3" t="s">
        <v>2403</v>
      </c>
      <c r="D343" s="3" t="s">
        <v>26</v>
      </c>
      <c r="E343" s="3" t="s">
        <v>827</v>
      </c>
      <c r="F343" s="3" t="s">
        <v>2404</v>
      </c>
      <c r="G343" s="3">
        <v>4289</v>
      </c>
      <c r="H343" s="3" t="s">
        <v>42</v>
      </c>
      <c r="I343" s="3">
        <v>52099166</v>
      </c>
      <c r="J343" s="4">
        <v>40939</v>
      </c>
      <c r="K343" s="3" t="s">
        <v>2405</v>
      </c>
      <c r="L343" s="3" t="s">
        <v>43</v>
      </c>
      <c r="M343" s="3" t="s">
        <v>31</v>
      </c>
      <c r="N343" s="3" t="s">
        <v>44</v>
      </c>
      <c r="O343" s="3" t="s">
        <v>45</v>
      </c>
      <c r="P343" s="3" t="s">
        <v>2406</v>
      </c>
      <c r="Q343" s="3">
        <v>2800</v>
      </c>
      <c r="V343" s="3">
        <v>3515144974</v>
      </c>
      <c r="W343" s="3">
        <v>3487538295</v>
      </c>
      <c r="X343" s="3" t="s">
        <v>669</v>
      </c>
      <c r="Y343" s="3" t="s">
        <v>2407</v>
      </c>
    </row>
    <row r="344" spans="1:46" ht="13.2" x14ac:dyDescent="0.25">
      <c r="A344" s="2">
        <v>46083.61731159722</v>
      </c>
      <c r="B344" s="3" t="b">
        <v>0</v>
      </c>
      <c r="C344" s="3" t="s">
        <v>2408</v>
      </c>
      <c r="D344" s="3" t="s">
        <v>497</v>
      </c>
      <c r="E344" s="3" t="s">
        <v>2409</v>
      </c>
      <c r="F344" s="3" t="s">
        <v>2410</v>
      </c>
      <c r="G344" s="3" t="s">
        <v>2411</v>
      </c>
      <c r="H344" s="3" t="s">
        <v>470</v>
      </c>
      <c r="I344" s="3">
        <v>50701819</v>
      </c>
      <c r="J344" s="4">
        <v>40511</v>
      </c>
      <c r="K344" s="3" t="s">
        <v>2412</v>
      </c>
      <c r="L344" s="3" t="s">
        <v>30</v>
      </c>
      <c r="M344" s="3" t="s">
        <v>31</v>
      </c>
      <c r="N344" s="3" t="s">
        <v>92</v>
      </c>
      <c r="O344" s="3" t="s">
        <v>92</v>
      </c>
      <c r="P344" s="3" t="s">
        <v>2413</v>
      </c>
      <c r="Q344" s="3">
        <v>1428</v>
      </c>
      <c r="R344" s="3" t="s">
        <v>1042</v>
      </c>
      <c r="S344" s="3" t="s">
        <v>2414</v>
      </c>
      <c r="T344" s="3" t="s">
        <v>2415</v>
      </c>
      <c r="U344" s="3" t="s">
        <v>2416</v>
      </c>
      <c r="V344" s="3" t="s">
        <v>2417</v>
      </c>
      <c r="W344" s="3" t="s">
        <v>2418</v>
      </c>
      <c r="X344" s="3" t="s">
        <v>2419</v>
      </c>
      <c r="Y344" s="3" t="s">
        <v>2420</v>
      </c>
    </row>
    <row r="345" spans="1:46" ht="13.2" x14ac:dyDescent="0.25">
      <c r="A345" s="2">
        <v>46083.622560381948</v>
      </c>
      <c r="B345" s="3" t="b">
        <v>1</v>
      </c>
      <c r="C345" s="3" t="s">
        <v>2421</v>
      </c>
      <c r="D345" s="3" t="s">
        <v>180</v>
      </c>
      <c r="E345" s="3" t="s">
        <v>2422</v>
      </c>
      <c r="F345" s="3" t="s">
        <v>2423</v>
      </c>
      <c r="G345" s="3">
        <v>4229</v>
      </c>
      <c r="H345" s="3" t="s">
        <v>1741</v>
      </c>
      <c r="I345" s="3">
        <v>54795131</v>
      </c>
      <c r="J345" s="4">
        <v>42151</v>
      </c>
      <c r="K345" s="3" t="s">
        <v>2421</v>
      </c>
      <c r="L345" s="3" t="s">
        <v>30</v>
      </c>
      <c r="M345" s="3" t="s">
        <v>31</v>
      </c>
      <c r="N345" s="3" t="s">
        <v>2424</v>
      </c>
      <c r="O345" s="3" t="s">
        <v>2425</v>
      </c>
      <c r="P345" s="3" t="s">
        <v>2426</v>
      </c>
      <c r="Q345" s="3">
        <v>1426</v>
      </c>
      <c r="R345" s="3" t="s">
        <v>2427</v>
      </c>
      <c r="S345" s="3" t="s">
        <v>2428</v>
      </c>
      <c r="T345" s="3" t="s">
        <v>2421</v>
      </c>
      <c r="U345" s="3">
        <v>1130410210</v>
      </c>
      <c r="V345" s="3">
        <v>1144734218</v>
      </c>
      <c r="X345" s="3" t="s">
        <v>2429</v>
      </c>
      <c r="Y345" s="3">
        <v>62065372703</v>
      </c>
    </row>
    <row r="346" spans="1:46" ht="13.2" x14ac:dyDescent="0.25">
      <c r="A346" s="2">
        <v>46083.622754143522</v>
      </c>
      <c r="B346" s="3" t="b">
        <v>0</v>
      </c>
      <c r="C346" s="3" t="s">
        <v>2430</v>
      </c>
      <c r="D346" s="3">
        <v>420</v>
      </c>
      <c r="E346" s="3" t="s">
        <v>1736</v>
      </c>
      <c r="F346" s="3" t="s">
        <v>2431</v>
      </c>
      <c r="G346" s="3">
        <v>57023</v>
      </c>
      <c r="H346" s="3" t="s">
        <v>590</v>
      </c>
      <c r="I346" s="3">
        <v>50320674</v>
      </c>
      <c r="J346" s="4">
        <v>40341</v>
      </c>
      <c r="K346" s="3" t="s">
        <v>2432</v>
      </c>
      <c r="L346" s="3" t="s">
        <v>43</v>
      </c>
      <c r="M346" s="3" t="s">
        <v>76</v>
      </c>
      <c r="N346" s="3" t="s">
        <v>285</v>
      </c>
      <c r="O346" s="3" t="s">
        <v>2433</v>
      </c>
      <c r="P346" s="3" t="s">
        <v>2434</v>
      </c>
      <c r="Q346" s="3">
        <v>1602</v>
      </c>
      <c r="R346" s="3" t="s">
        <v>2435</v>
      </c>
      <c r="S346" s="3" t="s">
        <v>2337</v>
      </c>
      <c r="T346" s="3" t="s">
        <v>2436</v>
      </c>
      <c r="U346" s="3">
        <v>1166299486</v>
      </c>
      <c r="V346" s="3">
        <v>1144130196</v>
      </c>
      <c r="W346" s="3">
        <v>1141665305</v>
      </c>
      <c r="X346" s="3" t="s">
        <v>2437</v>
      </c>
      <c r="Y346" s="3" t="s">
        <v>2438</v>
      </c>
      <c r="Z346" s="3" t="s">
        <v>108</v>
      </c>
      <c r="AA346" s="3" t="s">
        <v>745</v>
      </c>
      <c r="AB346" s="3">
        <v>57023</v>
      </c>
      <c r="AC346" s="3" t="s">
        <v>590</v>
      </c>
      <c r="AD346" s="3">
        <v>50066899</v>
      </c>
      <c r="AE346" s="4">
        <v>40232</v>
      </c>
      <c r="AF346" s="3" t="s">
        <v>2439</v>
      </c>
      <c r="AG346" s="3" t="s">
        <v>43</v>
      </c>
      <c r="AH346" s="3" t="s">
        <v>76</v>
      </c>
      <c r="AI346" s="3" t="s">
        <v>285</v>
      </c>
      <c r="AJ346" s="3" t="s">
        <v>2440</v>
      </c>
      <c r="AK346" s="3" t="s">
        <v>2441</v>
      </c>
      <c r="AL346" s="3">
        <v>1629</v>
      </c>
      <c r="AM346" s="3" t="s">
        <v>619</v>
      </c>
      <c r="AN346" s="3" t="s">
        <v>750</v>
      </c>
      <c r="AO346" s="3" t="s">
        <v>743</v>
      </c>
      <c r="AP346" s="3">
        <v>1144130196</v>
      </c>
      <c r="AQ346" s="3">
        <v>1141665305</v>
      </c>
      <c r="AR346" s="3">
        <v>1165078788</v>
      </c>
      <c r="AS346" s="3" t="s">
        <v>115</v>
      </c>
      <c r="AT346" s="3">
        <v>61157100405</v>
      </c>
    </row>
    <row r="347" spans="1:46" ht="13.2" x14ac:dyDescent="0.25">
      <c r="A347" s="2">
        <v>46083.626201898151</v>
      </c>
      <c r="B347" s="3" t="b">
        <v>1</v>
      </c>
      <c r="C347" s="3" t="s">
        <v>2442</v>
      </c>
      <c r="D347" s="3" t="s">
        <v>26</v>
      </c>
      <c r="E347" s="3" t="s">
        <v>2443</v>
      </c>
      <c r="F347" s="3" t="s">
        <v>2444</v>
      </c>
      <c r="G347" s="3">
        <v>4146</v>
      </c>
      <c r="H347" s="3" t="s">
        <v>458</v>
      </c>
      <c r="I347" s="3">
        <v>51102204</v>
      </c>
      <c r="J347" s="4">
        <v>40634</v>
      </c>
      <c r="K347" s="3" t="s">
        <v>2442</v>
      </c>
      <c r="L347" s="3" t="s">
        <v>43</v>
      </c>
      <c r="M347" s="3" t="s">
        <v>31</v>
      </c>
      <c r="N347" s="3" t="s">
        <v>32</v>
      </c>
      <c r="O347" s="3" t="s">
        <v>33</v>
      </c>
      <c r="P347" s="3" t="s">
        <v>2445</v>
      </c>
      <c r="Q347" s="3">
        <v>2000</v>
      </c>
      <c r="R347" s="3" t="s">
        <v>120</v>
      </c>
      <c r="S347" s="3" t="s">
        <v>2446</v>
      </c>
      <c r="T347" s="3" t="s">
        <v>2442</v>
      </c>
      <c r="U347" s="3">
        <v>3413685110</v>
      </c>
      <c r="V347" s="3">
        <v>3413685110</v>
      </c>
      <c r="W347" s="3">
        <v>3413695110</v>
      </c>
      <c r="X347" s="3" t="s">
        <v>2447</v>
      </c>
      <c r="Y347" s="3">
        <v>51102204</v>
      </c>
    </row>
    <row r="348" spans="1:46" ht="13.2" x14ac:dyDescent="0.25">
      <c r="A348" s="2">
        <v>46083.629869560187</v>
      </c>
      <c r="B348" s="3" t="b">
        <v>1</v>
      </c>
      <c r="C348" s="3" t="s">
        <v>2448</v>
      </c>
      <c r="D348" s="3">
        <v>420</v>
      </c>
      <c r="E348" s="3" t="s">
        <v>2449</v>
      </c>
      <c r="F348" s="3" t="s">
        <v>100</v>
      </c>
      <c r="G348" s="3">
        <v>57294</v>
      </c>
      <c r="H348" s="3" t="s">
        <v>54</v>
      </c>
      <c r="I348" s="3">
        <v>50235461</v>
      </c>
      <c r="J348" s="4">
        <v>40517</v>
      </c>
      <c r="K348" s="3" t="s">
        <v>2450</v>
      </c>
      <c r="L348" s="3" t="s">
        <v>30</v>
      </c>
      <c r="M348" s="3" t="s">
        <v>31</v>
      </c>
      <c r="N348" s="3" t="s">
        <v>2451</v>
      </c>
      <c r="O348" s="3" t="s">
        <v>901</v>
      </c>
      <c r="P348" s="3" t="s">
        <v>2452</v>
      </c>
      <c r="Q348" s="3">
        <v>1641</v>
      </c>
      <c r="R348" s="3" t="s">
        <v>2453</v>
      </c>
      <c r="S348" s="3" t="s">
        <v>100</v>
      </c>
      <c r="T348" s="3" t="s">
        <v>2448</v>
      </c>
      <c r="U348" s="3" t="s">
        <v>2454</v>
      </c>
      <c r="V348" s="3" t="s">
        <v>2455</v>
      </c>
      <c r="W348" s="3" t="s">
        <v>2456</v>
      </c>
      <c r="X348" s="3" t="s">
        <v>211</v>
      </c>
      <c r="Y348" s="3">
        <v>60970128103</v>
      </c>
      <c r="Z348" s="3" t="s">
        <v>874</v>
      </c>
      <c r="AA348" s="3" t="s">
        <v>2457</v>
      </c>
      <c r="AB348" s="3">
        <v>57294</v>
      </c>
      <c r="AC348" s="3" t="s">
        <v>74</v>
      </c>
      <c r="AD348" s="3">
        <v>45013954</v>
      </c>
      <c r="AE348" s="4">
        <v>37963</v>
      </c>
      <c r="AG348" s="3" t="s">
        <v>43</v>
      </c>
      <c r="AH348" s="3" t="s">
        <v>31</v>
      </c>
      <c r="AI348" s="3" t="s">
        <v>92</v>
      </c>
      <c r="AJ348" s="3" t="s">
        <v>92</v>
      </c>
      <c r="AK348" s="3" t="s">
        <v>2458</v>
      </c>
      <c r="AL348" s="3">
        <v>2728</v>
      </c>
      <c r="AQ348" s="3" t="s">
        <v>2459</v>
      </c>
      <c r="AS348" s="3" t="s">
        <v>2460</v>
      </c>
    </row>
    <row r="349" spans="1:46" ht="13.2" x14ac:dyDescent="0.25">
      <c r="A349" s="2">
        <v>46083.630472418983</v>
      </c>
      <c r="B349" s="3" t="b">
        <v>0</v>
      </c>
      <c r="C349" s="3" t="s">
        <v>2461</v>
      </c>
      <c r="D349" s="3">
        <v>420</v>
      </c>
      <c r="E349" s="3" t="s">
        <v>2462</v>
      </c>
      <c r="F349" s="3" t="s">
        <v>2463</v>
      </c>
      <c r="G349" s="3">
        <v>57029</v>
      </c>
      <c r="H349" s="3" t="s">
        <v>198</v>
      </c>
      <c r="I349" s="3">
        <v>48799681</v>
      </c>
      <c r="J349" s="4">
        <v>39693</v>
      </c>
      <c r="K349" s="3" t="s">
        <v>2461</v>
      </c>
      <c r="L349" s="3" t="s">
        <v>43</v>
      </c>
      <c r="M349" s="3" t="s">
        <v>2464</v>
      </c>
      <c r="N349" s="3" t="s">
        <v>240</v>
      </c>
      <c r="O349" s="3" t="s">
        <v>312</v>
      </c>
      <c r="P349" s="3" t="s">
        <v>2465</v>
      </c>
      <c r="Q349" s="3">
        <v>1429</v>
      </c>
      <c r="R349" s="3" t="s">
        <v>196</v>
      </c>
      <c r="S349" s="3" t="s">
        <v>2463</v>
      </c>
      <c r="T349" s="3" t="s">
        <v>2466</v>
      </c>
      <c r="U349" s="3">
        <v>1161550979</v>
      </c>
      <c r="V349" s="3">
        <v>1161550979</v>
      </c>
      <c r="W349" s="3">
        <v>1140723637</v>
      </c>
      <c r="X349" s="3" t="s">
        <v>211</v>
      </c>
      <c r="Y349" s="3" t="s">
        <v>2467</v>
      </c>
      <c r="Z349" s="3" t="s">
        <v>2468</v>
      </c>
      <c r="AA349" s="3" t="s">
        <v>2469</v>
      </c>
      <c r="AB349" s="3">
        <v>57029</v>
      </c>
      <c r="AC349" s="3" t="s">
        <v>352</v>
      </c>
      <c r="AG349" s="3" t="s">
        <v>30</v>
      </c>
    </row>
    <row r="350" spans="1:46" ht="13.2" x14ac:dyDescent="0.25">
      <c r="A350" s="2">
        <v>46083.630905358797</v>
      </c>
      <c r="B350" s="3" t="b">
        <v>1</v>
      </c>
      <c r="C350" s="3" t="s">
        <v>2470</v>
      </c>
      <c r="D350" s="3" t="s">
        <v>358</v>
      </c>
      <c r="E350" s="3" t="s">
        <v>1316</v>
      </c>
      <c r="F350" s="3" t="s">
        <v>2471</v>
      </c>
      <c r="G350" s="3">
        <v>48</v>
      </c>
      <c r="H350" s="3" t="s">
        <v>54</v>
      </c>
      <c r="I350" s="3">
        <v>92418808</v>
      </c>
      <c r="J350" s="4">
        <v>25092</v>
      </c>
      <c r="K350" s="3" t="s">
        <v>2472</v>
      </c>
      <c r="L350" s="3" t="s">
        <v>43</v>
      </c>
      <c r="M350" s="3" t="s">
        <v>415</v>
      </c>
      <c r="N350" s="3" t="s">
        <v>92</v>
      </c>
      <c r="O350" s="3" t="s">
        <v>92</v>
      </c>
      <c r="P350" s="3" t="s">
        <v>2473</v>
      </c>
      <c r="Q350" s="3">
        <v>1428</v>
      </c>
      <c r="V350" s="3" t="s">
        <v>2474</v>
      </c>
      <c r="X350" s="3" t="s">
        <v>2475</v>
      </c>
      <c r="Y350" s="3" t="s">
        <v>2476</v>
      </c>
    </row>
    <row r="351" spans="1:46" ht="13.2" x14ac:dyDescent="0.25">
      <c r="A351" s="2">
        <v>46083.63217143518</v>
      </c>
      <c r="B351" s="3" t="b">
        <v>0</v>
      </c>
      <c r="C351" s="3" t="s">
        <v>2477</v>
      </c>
      <c r="D351" s="3">
        <v>420</v>
      </c>
      <c r="E351" s="3" t="s">
        <v>2478</v>
      </c>
      <c r="F351" s="3" t="s">
        <v>2479</v>
      </c>
      <c r="G351" s="3">
        <v>57293</v>
      </c>
      <c r="H351" s="3" t="s">
        <v>198</v>
      </c>
      <c r="I351" s="3">
        <v>48715917</v>
      </c>
      <c r="J351" s="4">
        <v>39607</v>
      </c>
      <c r="K351" s="3" t="s">
        <v>2477</v>
      </c>
      <c r="L351" s="3" t="s">
        <v>30</v>
      </c>
      <c r="M351" s="3" t="s">
        <v>311</v>
      </c>
      <c r="N351" s="3" t="s">
        <v>2480</v>
      </c>
      <c r="O351" s="3" t="s">
        <v>2480</v>
      </c>
      <c r="P351" s="3" t="s">
        <v>2481</v>
      </c>
      <c r="Q351" s="3">
        <v>1426</v>
      </c>
      <c r="R351" s="3" t="s">
        <v>914</v>
      </c>
      <c r="S351" s="3" t="s">
        <v>2482</v>
      </c>
      <c r="T351" s="3" t="s">
        <v>2483</v>
      </c>
      <c r="U351" s="3">
        <v>1158307491</v>
      </c>
      <c r="V351" s="3">
        <v>1158307491</v>
      </c>
      <c r="X351" s="3" t="s">
        <v>2484</v>
      </c>
      <c r="Y351" s="3">
        <v>11614158004</v>
      </c>
      <c r="Z351" s="3" t="s">
        <v>2485</v>
      </c>
      <c r="AA351" s="3" t="s">
        <v>2486</v>
      </c>
      <c r="AB351" s="3">
        <v>57293</v>
      </c>
      <c r="AC351" s="3" t="s">
        <v>198</v>
      </c>
      <c r="AD351" s="3">
        <v>47572663</v>
      </c>
      <c r="AE351" s="4">
        <v>39043</v>
      </c>
      <c r="AG351" s="3" t="s">
        <v>30</v>
      </c>
      <c r="AH351" s="3" t="s">
        <v>311</v>
      </c>
      <c r="AI351" s="3" t="s">
        <v>2480</v>
      </c>
      <c r="AJ351" s="3" t="s">
        <v>2480</v>
      </c>
      <c r="AK351" s="3" t="s">
        <v>2487</v>
      </c>
      <c r="AS351" s="3" t="s">
        <v>124</v>
      </c>
      <c r="AT351" s="3">
        <v>61487609404</v>
      </c>
    </row>
    <row r="352" spans="1:46" ht="13.2" x14ac:dyDescent="0.25">
      <c r="A352" s="2">
        <v>46083.632718136578</v>
      </c>
      <c r="B352" s="3" t="b">
        <v>0</v>
      </c>
      <c r="C352" s="3" t="s">
        <v>2488</v>
      </c>
      <c r="D352" s="3" t="s">
        <v>358</v>
      </c>
      <c r="E352" s="3" t="s">
        <v>2489</v>
      </c>
      <c r="F352" s="3" t="s">
        <v>2490</v>
      </c>
      <c r="G352" s="3">
        <v>223025</v>
      </c>
      <c r="H352" s="3" t="s">
        <v>29</v>
      </c>
      <c r="I352" s="3">
        <v>49817837</v>
      </c>
      <c r="J352" s="4">
        <v>40052</v>
      </c>
      <c r="K352" s="3" t="s">
        <v>2488</v>
      </c>
      <c r="L352" s="3" t="s">
        <v>30</v>
      </c>
      <c r="M352" s="3" t="s">
        <v>293</v>
      </c>
      <c r="N352" s="3" t="s">
        <v>2491</v>
      </c>
      <c r="O352" s="3" t="s">
        <v>1645</v>
      </c>
      <c r="P352" s="3" t="s">
        <v>2492</v>
      </c>
      <c r="Q352" s="3">
        <v>2000</v>
      </c>
      <c r="R352" s="3" t="s">
        <v>2493</v>
      </c>
      <c r="S352" s="3" t="s">
        <v>2494</v>
      </c>
      <c r="T352" s="3" t="s">
        <v>2488</v>
      </c>
      <c r="U352" s="3">
        <v>3415917678</v>
      </c>
      <c r="V352" s="3">
        <v>3415194625</v>
      </c>
      <c r="W352" s="3">
        <v>341906060</v>
      </c>
      <c r="X352" s="3" t="s">
        <v>849</v>
      </c>
      <c r="Y352" s="3">
        <v>16111</v>
      </c>
    </row>
    <row r="353" spans="1:33" ht="13.2" x14ac:dyDescent="0.25">
      <c r="A353" s="2">
        <v>46083.638012361116</v>
      </c>
      <c r="B353" s="3" t="b">
        <v>0</v>
      </c>
      <c r="C353" s="3" t="s">
        <v>2495</v>
      </c>
      <c r="D353" s="3" t="s">
        <v>26</v>
      </c>
      <c r="E353" s="3" t="s">
        <v>2496</v>
      </c>
      <c r="F353" s="3" t="s">
        <v>2497</v>
      </c>
      <c r="G353" s="3">
        <v>3819</v>
      </c>
      <c r="H353" s="3" t="s">
        <v>42</v>
      </c>
      <c r="I353" s="3">
        <v>52977090</v>
      </c>
      <c r="J353" s="4">
        <v>41311</v>
      </c>
      <c r="K353" s="3" t="s">
        <v>2498</v>
      </c>
      <c r="L353" s="3" t="s">
        <v>30</v>
      </c>
      <c r="M353" s="3" t="s">
        <v>293</v>
      </c>
      <c r="N353" s="3" t="s">
        <v>55</v>
      </c>
      <c r="O353" s="3" t="s">
        <v>1681</v>
      </c>
      <c r="P353" s="3" t="s">
        <v>2499</v>
      </c>
      <c r="Q353" s="3">
        <v>2800</v>
      </c>
      <c r="R353" s="3" t="s">
        <v>2500</v>
      </c>
      <c r="S353" s="3" t="s">
        <v>2501</v>
      </c>
      <c r="T353" s="3" t="s">
        <v>2498</v>
      </c>
      <c r="U353" s="3" t="s">
        <v>2502</v>
      </c>
      <c r="V353" s="3">
        <v>3487291980</v>
      </c>
      <c r="X353" s="3" t="s">
        <v>140</v>
      </c>
      <c r="Y353" s="3">
        <v>33220044905</v>
      </c>
    </row>
    <row r="354" spans="1:33" ht="13.2" x14ac:dyDescent="0.25">
      <c r="A354" s="2">
        <v>46083.650152407412</v>
      </c>
      <c r="B354" s="3" t="b">
        <v>0</v>
      </c>
      <c r="C354" s="3" t="s">
        <v>2503</v>
      </c>
      <c r="D354" s="3" t="s">
        <v>180</v>
      </c>
      <c r="E354" s="3" t="s">
        <v>2504</v>
      </c>
      <c r="F354" s="3" t="s">
        <v>2505</v>
      </c>
      <c r="G354" s="3" t="s">
        <v>2506</v>
      </c>
      <c r="H354" s="3" t="s">
        <v>470</v>
      </c>
      <c r="I354" s="3">
        <v>53986688</v>
      </c>
      <c r="J354" s="4">
        <v>41765</v>
      </c>
      <c r="K354" s="3" t="s">
        <v>2503</v>
      </c>
      <c r="L354" s="3" t="s">
        <v>30</v>
      </c>
      <c r="M354" s="3" t="s">
        <v>293</v>
      </c>
      <c r="N354" s="3" t="s">
        <v>55</v>
      </c>
      <c r="O354" s="3" t="s">
        <v>55</v>
      </c>
      <c r="P354" s="3" t="s">
        <v>2507</v>
      </c>
      <c r="Q354" s="3">
        <v>1648</v>
      </c>
      <c r="R354" s="3" t="s">
        <v>2508</v>
      </c>
      <c r="S354" s="3" t="s">
        <v>2509</v>
      </c>
      <c r="T354" s="3" t="s">
        <v>2510</v>
      </c>
      <c r="U354" s="3">
        <v>1159736059</v>
      </c>
      <c r="V354" s="3">
        <v>1159736059</v>
      </c>
      <c r="X354" s="3" t="s">
        <v>2511</v>
      </c>
      <c r="Y354" s="3" t="s">
        <v>2510</v>
      </c>
    </row>
    <row r="355" spans="1:33" ht="13.2" x14ac:dyDescent="0.25">
      <c r="A355" s="2">
        <v>46083.65160769676</v>
      </c>
      <c r="B355" s="3" t="b">
        <v>1</v>
      </c>
      <c r="C355" s="3" t="s">
        <v>2512</v>
      </c>
      <c r="D355" s="3" t="s">
        <v>26</v>
      </c>
      <c r="E355" s="3" t="s">
        <v>2513</v>
      </c>
      <c r="F355" s="3" t="s">
        <v>2514</v>
      </c>
      <c r="G355" s="3">
        <v>3583</v>
      </c>
      <c r="H355" s="3" t="s">
        <v>352</v>
      </c>
      <c r="I355" s="3">
        <v>52827436</v>
      </c>
      <c r="J355" s="4">
        <v>41243</v>
      </c>
      <c r="K355" s="3" t="s">
        <v>2512</v>
      </c>
      <c r="L355" s="3" t="s">
        <v>43</v>
      </c>
      <c r="M355" s="3" t="s">
        <v>31</v>
      </c>
      <c r="N355" s="3" t="s">
        <v>44</v>
      </c>
      <c r="O355" s="3" t="s">
        <v>111</v>
      </c>
      <c r="P355" s="3" t="s">
        <v>2515</v>
      </c>
      <c r="Q355" s="3">
        <v>1648</v>
      </c>
      <c r="T355" s="3" t="s">
        <v>2516</v>
      </c>
      <c r="U355" s="3">
        <v>1159948383</v>
      </c>
      <c r="V355" s="3">
        <v>1159948383</v>
      </c>
      <c r="X355" s="3" t="s">
        <v>2517</v>
      </c>
      <c r="Y355" s="5" t="s">
        <v>2518</v>
      </c>
    </row>
    <row r="356" spans="1:33" ht="13.2" x14ac:dyDescent="0.25">
      <c r="A356" s="2">
        <v>46083.654396192127</v>
      </c>
      <c r="B356" s="3" t="b">
        <v>0</v>
      </c>
      <c r="C356" s="3" t="s">
        <v>2519</v>
      </c>
      <c r="D356" s="3" t="s">
        <v>358</v>
      </c>
      <c r="E356" s="3" t="s">
        <v>2520</v>
      </c>
      <c r="F356" s="3" t="s">
        <v>2521</v>
      </c>
      <c r="G356" s="3">
        <v>202570</v>
      </c>
      <c r="H356" s="3" t="s">
        <v>74</v>
      </c>
      <c r="I356" s="3">
        <v>16821229</v>
      </c>
      <c r="J356" s="4">
        <v>23494</v>
      </c>
      <c r="K356" s="3" t="s">
        <v>2519</v>
      </c>
      <c r="L356" s="3" t="s">
        <v>43</v>
      </c>
      <c r="M356" s="3" t="s">
        <v>311</v>
      </c>
      <c r="N356" s="3" t="s">
        <v>312</v>
      </c>
      <c r="O356" s="3" t="s">
        <v>312</v>
      </c>
      <c r="P356" s="3" t="s">
        <v>2522</v>
      </c>
      <c r="Q356" s="3">
        <v>1425</v>
      </c>
      <c r="V356" s="3">
        <v>1154576993</v>
      </c>
      <c r="X356" s="3" t="s">
        <v>523</v>
      </c>
      <c r="Y356" s="3" t="s">
        <v>2523</v>
      </c>
    </row>
    <row r="357" spans="1:33" ht="13.2" x14ac:dyDescent="0.25">
      <c r="A357" s="2">
        <v>46083.658831898152</v>
      </c>
      <c r="B357" s="3" t="b">
        <v>0</v>
      </c>
      <c r="C357" s="3" t="s">
        <v>2524</v>
      </c>
      <c r="D357" s="3" t="s">
        <v>497</v>
      </c>
      <c r="E357" s="3" t="s">
        <v>2525</v>
      </c>
      <c r="F357" s="3" t="s">
        <v>2526</v>
      </c>
      <c r="G357" s="3">
        <v>224775</v>
      </c>
      <c r="H357" s="3" t="s">
        <v>74</v>
      </c>
      <c r="I357" s="3">
        <v>48462484</v>
      </c>
      <c r="J357" s="4">
        <v>39489</v>
      </c>
      <c r="K357" s="3" t="s">
        <v>2524</v>
      </c>
      <c r="L357" s="3" t="s">
        <v>43</v>
      </c>
      <c r="M357" s="3" t="s">
        <v>76</v>
      </c>
      <c r="N357" s="3" t="s">
        <v>92</v>
      </c>
      <c r="O357" s="3" t="s">
        <v>92</v>
      </c>
      <c r="P357" s="3" t="s">
        <v>2527</v>
      </c>
      <c r="Q357" s="3">
        <v>1425</v>
      </c>
      <c r="V357" s="3">
        <v>1167438705</v>
      </c>
      <c r="W357" s="3">
        <v>1153244102</v>
      </c>
      <c r="X357" s="3" t="s">
        <v>115</v>
      </c>
      <c r="Y357" s="3">
        <v>61571468304</v>
      </c>
    </row>
    <row r="358" spans="1:33" ht="13.2" x14ac:dyDescent="0.25">
      <c r="A358" s="2">
        <v>46083.660257719908</v>
      </c>
      <c r="B358" s="3" t="b">
        <v>0</v>
      </c>
      <c r="C358" s="3" t="s">
        <v>2528</v>
      </c>
      <c r="D358" s="3" t="s">
        <v>358</v>
      </c>
      <c r="E358" s="3" t="s">
        <v>2520</v>
      </c>
      <c r="F358" s="3" t="s">
        <v>2529</v>
      </c>
      <c r="G358" s="3">
        <v>206076</v>
      </c>
      <c r="H358" s="3" t="s">
        <v>74</v>
      </c>
      <c r="I358" s="3">
        <v>17370924</v>
      </c>
      <c r="J358" s="4">
        <v>23771</v>
      </c>
      <c r="K358" s="3" t="s">
        <v>2528</v>
      </c>
      <c r="L358" s="3" t="s">
        <v>43</v>
      </c>
      <c r="M358" s="3" t="s">
        <v>31</v>
      </c>
      <c r="N358" s="3" t="s">
        <v>44</v>
      </c>
      <c r="O358" s="3" t="s">
        <v>44</v>
      </c>
      <c r="P358" s="3" t="s">
        <v>2530</v>
      </c>
      <c r="Q358" s="3">
        <v>1669</v>
      </c>
      <c r="R358" s="3" t="s">
        <v>2531</v>
      </c>
      <c r="S358" s="3" t="s">
        <v>2531</v>
      </c>
      <c r="T358" s="3" t="s">
        <v>2531</v>
      </c>
      <c r="U358" s="3" t="s">
        <v>2531</v>
      </c>
      <c r="V358" s="5" t="s">
        <v>2532</v>
      </c>
      <c r="W358" s="5" t="s">
        <v>2532</v>
      </c>
      <c r="X358" s="3" t="s">
        <v>392</v>
      </c>
      <c r="Y358" s="3" t="s">
        <v>2533</v>
      </c>
    </row>
    <row r="359" spans="1:33" ht="13.2" x14ac:dyDescent="0.25">
      <c r="A359" s="2">
        <v>46083.660751620366</v>
      </c>
      <c r="B359" s="3" t="b">
        <v>1</v>
      </c>
      <c r="C359" s="3" t="s">
        <v>2534</v>
      </c>
      <c r="D359" s="3" t="s">
        <v>26</v>
      </c>
      <c r="E359" s="3" t="s">
        <v>1504</v>
      </c>
      <c r="F359" s="3" t="s">
        <v>2535</v>
      </c>
      <c r="G359" s="3">
        <v>3924</v>
      </c>
      <c r="H359" s="3" t="s">
        <v>352</v>
      </c>
      <c r="I359" s="3">
        <v>52763901</v>
      </c>
      <c r="J359" s="4">
        <v>41194</v>
      </c>
      <c r="K359" s="3" t="s">
        <v>2534</v>
      </c>
      <c r="L359" s="3" t="s">
        <v>43</v>
      </c>
      <c r="M359" s="3" t="s">
        <v>415</v>
      </c>
      <c r="N359" s="3" t="s">
        <v>2536</v>
      </c>
      <c r="O359" s="3" t="s">
        <v>92</v>
      </c>
      <c r="P359" s="3" t="s">
        <v>2537</v>
      </c>
      <c r="Q359" s="3">
        <v>1020</v>
      </c>
      <c r="R359" s="3" t="s">
        <v>2538</v>
      </c>
      <c r="T359" s="3" t="s">
        <v>2534</v>
      </c>
      <c r="U359" s="3">
        <v>1149485362</v>
      </c>
      <c r="V359" s="3">
        <v>1149485362</v>
      </c>
      <c r="W359" s="3">
        <v>1130454055</v>
      </c>
      <c r="X359" s="3" t="s">
        <v>2539</v>
      </c>
      <c r="Y359" s="3">
        <v>52763901</v>
      </c>
    </row>
    <row r="360" spans="1:33" ht="13.2" x14ac:dyDescent="0.25">
      <c r="A360" s="2">
        <v>46083.663195266199</v>
      </c>
      <c r="B360" s="3" t="b">
        <v>1</v>
      </c>
      <c r="C360" s="3" t="s">
        <v>2540</v>
      </c>
      <c r="D360" s="3" t="s">
        <v>366</v>
      </c>
      <c r="E360" s="3" t="s">
        <v>2541</v>
      </c>
      <c r="F360" s="3" t="s">
        <v>2542</v>
      </c>
      <c r="G360" s="3">
        <v>220556</v>
      </c>
      <c r="H360" s="3" t="s">
        <v>74</v>
      </c>
      <c r="I360" s="3">
        <v>21671441</v>
      </c>
      <c r="J360" s="4">
        <v>25733</v>
      </c>
      <c r="K360" s="3" t="s">
        <v>2543</v>
      </c>
      <c r="L360" s="3" t="s">
        <v>43</v>
      </c>
      <c r="M360" s="3" t="s">
        <v>31</v>
      </c>
      <c r="N360" s="3" t="s">
        <v>44</v>
      </c>
      <c r="O360" s="3" t="s">
        <v>102</v>
      </c>
      <c r="P360" s="3" t="s">
        <v>2544</v>
      </c>
      <c r="Q360" s="3">
        <v>1642</v>
      </c>
      <c r="V360" s="3" t="s">
        <v>2545</v>
      </c>
      <c r="X360" s="3" t="s">
        <v>968</v>
      </c>
      <c r="Y360" s="3">
        <v>61695259102</v>
      </c>
    </row>
    <row r="361" spans="1:33" ht="13.2" x14ac:dyDescent="0.25">
      <c r="A361" s="2">
        <v>46083.665934409721</v>
      </c>
      <c r="B361" s="3" t="b">
        <v>0</v>
      </c>
      <c r="C361" s="3" t="s">
        <v>2546</v>
      </c>
      <c r="D361" s="3" t="s">
        <v>26</v>
      </c>
      <c r="E361" s="3" t="s">
        <v>2547</v>
      </c>
      <c r="F361" s="3" t="s">
        <v>2548</v>
      </c>
      <c r="G361" s="3">
        <v>3527</v>
      </c>
      <c r="H361" s="3" t="s">
        <v>318</v>
      </c>
      <c r="I361" s="3">
        <v>52703564</v>
      </c>
      <c r="J361" s="4" t="s">
        <v>2549</v>
      </c>
      <c r="K361" s="3" t="s">
        <v>2546</v>
      </c>
      <c r="L361" s="3" t="s">
        <v>43</v>
      </c>
      <c r="M361" s="3" t="s">
        <v>31</v>
      </c>
      <c r="N361" s="3" t="s">
        <v>44</v>
      </c>
      <c r="O361" s="3" t="s">
        <v>674</v>
      </c>
      <c r="P361" s="3" t="s">
        <v>2550</v>
      </c>
      <c r="Q361" s="3">
        <v>1640</v>
      </c>
      <c r="R361" s="3" t="s">
        <v>2551</v>
      </c>
      <c r="S361" s="3" t="s">
        <v>2552</v>
      </c>
      <c r="T361" s="3" t="s">
        <v>2553</v>
      </c>
      <c r="U361" s="3">
        <v>1149747273</v>
      </c>
      <c r="V361" s="3">
        <v>1149747273</v>
      </c>
      <c r="W361" s="3">
        <v>119475214</v>
      </c>
      <c r="X361" s="3" t="s">
        <v>2554</v>
      </c>
      <c r="Y361" s="3" t="s">
        <v>2555</v>
      </c>
    </row>
    <row r="362" spans="1:33" ht="13.2" x14ac:dyDescent="0.25">
      <c r="A362" s="2">
        <v>46083.670941979166</v>
      </c>
      <c r="B362" s="3" t="b">
        <v>1</v>
      </c>
      <c r="C362" s="3" t="s">
        <v>2556</v>
      </c>
      <c r="D362" s="3" t="s">
        <v>26</v>
      </c>
      <c r="E362" s="3" t="s">
        <v>2557</v>
      </c>
      <c r="F362" s="3" t="s">
        <v>2558</v>
      </c>
      <c r="G362" s="3">
        <v>3767</v>
      </c>
      <c r="H362" s="3" t="s">
        <v>65</v>
      </c>
      <c r="I362" s="3">
        <v>52585613</v>
      </c>
      <c r="J362" s="4">
        <v>41058</v>
      </c>
      <c r="K362" s="3" t="s">
        <v>2556</v>
      </c>
      <c r="L362" s="3" t="s">
        <v>30</v>
      </c>
      <c r="M362" s="3" t="s">
        <v>76</v>
      </c>
      <c r="N362" s="3" t="s">
        <v>44</v>
      </c>
      <c r="O362" s="3" t="s">
        <v>302</v>
      </c>
      <c r="P362" s="3" t="s">
        <v>2559</v>
      </c>
      <c r="Q362" s="3">
        <v>2930</v>
      </c>
      <c r="R362" s="3" t="s">
        <v>2560</v>
      </c>
      <c r="S362" s="3" t="s">
        <v>2561</v>
      </c>
      <c r="T362" s="3" t="s">
        <v>2556</v>
      </c>
      <c r="U362" s="3">
        <v>3329339563</v>
      </c>
      <c r="V362" s="3">
        <v>3329339563</v>
      </c>
      <c r="W362" s="3">
        <v>3329332925</v>
      </c>
      <c r="X362" s="3" t="s">
        <v>2562</v>
      </c>
      <c r="Y362" s="5" t="s">
        <v>2563</v>
      </c>
    </row>
    <row r="363" spans="1:33" ht="13.2" x14ac:dyDescent="0.25">
      <c r="A363" s="2">
        <v>46083.676683796293</v>
      </c>
      <c r="B363" s="3" t="b">
        <v>0</v>
      </c>
      <c r="C363" s="3" t="s">
        <v>2564</v>
      </c>
      <c r="D363" s="3" t="s">
        <v>180</v>
      </c>
      <c r="E363" s="3" t="s">
        <v>2565</v>
      </c>
      <c r="F363" s="3" t="s">
        <v>2566</v>
      </c>
      <c r="G363" s="3" t="s">
        <v>2567</v>
      </c>
      <c r="H363" s="3" t="s">
        <v>1741</v>
      </c>
      <c r="I363" s="3">
        <v>54278136</v>
      </c>
      <c r="J363" s="4">
        <v>41906</v>
      </c>
      <c r="K363" s="3" t="s">
        <v>2568</v>
      </c>
      <c r="L363" s="3" t="s">
        <v>30</v>
      </c>
      <c r="M363" s="3" t="s">
        <v>2569</v>
      </c>
      <c r="N363" s="3" t="s">
        <v>44</v>
      </c>
      <c r="O363" s="3" t="s">
        <v>102</v>
      </c>
      <c r="P363" s="3" t="s">
        <v>2570</v>
      </c>
      <c r="Q363" s="3">
        <v>1642</v>
      </c>
      <c r="R363" s="3" t="s">
        <v>2571</v>
      </c>
      <c r="S363" s="3" t="s">
        <v>2572</v>
      </c>
      <c r="U363" s="3" t="s">
        <v>2573</v>
      </c>
      <c r="V363" s="3">
        <v>1169937066</v>
      </c>
      <c r="W363" s="3" t="s">
        <v>2574</v>
      </c>
      <c r="X363" s="3" t="s">
        <v>211</v>
      </c>
      <c r="Y363" s="3">
        <v>61136520004</v>
      </c>
    </row>
    <row r="364" spans="1:33" ht="13.2" x14ac:dyDescent="0.25">
      <c r="A364" s="2">
        <v>46083.677283900462</v>
      </c>
      <c r="B364" s="3" t="b">
        <v>0</v>
      </c>
      <c r="C364" s="3" t="s">
        <v>2575</v>
      </c>
      <c r="D364" s="3" t="s">
        <v>180</v>
      </c>
      <c r="E364" s="3" t="s">
        <v>2576</v>
      </c>
      <c r="F364" s="3" t="s">
        <v>2577</v>
      </c>
      <c r="G364" s="3">
        <v>4172</v>
      </c>
      <c r="H364" s="3" t="s">
        <v>352</v>
      </c>
      <c r="I364" s="3">
        <v>55295476</v>
      </c>
      <c r="J364" s="4">
        <v>42343</v>
      </c>
      <c r="K364" s="3" t="s">
        <v>2575</v>
      </c>
      <c r="L364" s="3" t="s">
        <v>43</v>
      </c>
      <c r="M364" s="3" t="s">
        <v>31</v>
      </c>
      <c r="N364" s="3" t="s">
        <v>44</v>
      </c>
      <c r="O364" s="3" t="s">
        <v>102</v>
      </c>
      <c r="P364" s="3" t="s">
        <v>2578</v>
      </c>
      <c r="Q364" s="3">
        <v>1642</v>
      </c>
      <c r="R364" s="3" t="s">
        <v>1054</v>
      </c>
      <c r="S364" s="3" t="s">
        <v>2577</v>
      </c>
      <c r="T364" s="3" t="s">
        <v>2575</v>
      </c>
      <c r="U364" s="3">
        <v>1524973959</v>
      </c>
      <c r="V364" s="3" t="s">
        <v>2579</v>
      </c>
      <c r="W364" s="3" t="s">
        <v>2580</v>
      </c>
      <c r="X364" s="3" t="s">
        <v>794</v>
      </c>
      <c r="Y364" s="3">
        <v>61129936306</v>
      </c>
    </row>
    <row r="365" spans="1:33" ht="13.2" x14ac:dyDescent="0.25">
      <c r="A365" s="2">
        <v>46083.678923553241</v>
      </c>
      <c r="B365" s="3" t="b">
        <v>0</v>
      </c>
      <c r="C365" s="3" t="s">
        <v>2581</v>
      </c>
      <c r="D365" s="3" t="s">
        <v>180</v>
      </c>
      <c r="E365" s="3" t="s">
        <v>1169</v>
      </c>
      <c r="F365" s="3" t="s">
        <v>2582</v>
      </c>
      <c r="G365" s="3" t="s">
        <v>2583</v>
      </c>
      <c r="H365" s="3" t="s">
        <v>2584</v>
      </c>
      <c r="I365" s="3">
        <v>54676731</v>
      </c>
      <c r="J365" s="4">
        <v>42054</v>
      </c>
      <c r="K365" s="3" t="s">
        <v>2581</v>
      </c>
      <c r="L365" s="3" t="s">
        <v>30</v>
      </c>
      <c r="M365" s="3" t="s">
        <v>31</v>
      </c>
      <c r="N365" s="3" t="s">
        <v>44</v>
      </c>
      <c r="O365" s="3" t="s">
        <v>102</v>
      </c>
      <c r="P365" s="3" t="s">
        <v>2585</v>
      </c>
      <c r="Q365" s="3">
        <v>1642</v>
      </c>
      <c r="V365" s="3" t="s">
        <v>2586</v>
      </c>
      <c r="X365" s="3" t="s">
        <v>2587</v>
      </c>
      <c r="Y365" s="3" t="s">
        <v>2587</v>
      </c>
      <c r="AG365" s="3" t="s">
        <v>43</v>
      </c>
    </row>
    <row r="366" spans="1:33" ht="13.2" x14ac:dyDescent="0.25">
      <c r="A366" s="2">
        <v>46083.679139722226</v>
      </c>
      <c r="B366" s="3" t="b">
        <v>0</v>
      </c>
      <c r="C366" s="3" t="s">
        <v>2564</v>
      </c>
      <c r="D366" s="3" t="s">
        <v>26</v>
      </c>
      <c r="E366" s="3" t="s">
        <v>2588</v>
      </c>
      <c r="F366" s="3" t="s">
        <v>2566</v>
      </c>
      <c r="G366" s="3">
        <v>3833</v>
      </c>
      <c r="H366" s="3" t="s">
        <v>1741</v>
      </c>
      <c r="I366" s="3">
        <v>52664667</v>
      </c>
      <c r="J366" s="4">
        <v>41150</v>
      </c>
      <c r="K366" s="3" t="s">
        <v>2568</v>
      </c>
      <c r="L366" s="3" t="s">
        <v>30</v>
      </c>
      <c r="M366" s="3" t="s">
        <v>311</v>
      </c>
      <c r="N366" s="3" t="s">
        <v>384</v>
      </c>
      <c r="O366" s="3" t="s">
        <v>385</v>
      </c>
      <c r="P366" s="3" t="s">
        <v>2570</v>
      </c>
      <c r="Q366" s="3">
        <v>1642</v>
      </c>
      <c r="R366" s="3" t="s">
        <v>2589</v>
      </c>
      <c r="S366" s="3" t="s">
        <v>2566</v>
      </c>
      <c r="T366" s="3" t="s">
        <v>2568</v>
      </c>
      <c r="U366" s="3" t="s">
        <v>2590</v>
      </c>
      <c r="V366" s="3">
        <v>1169937066</v>
      </c>
      <c r="X366" s="3" t="s">
        <v>211</v>
      </c>
      <c r="Y366" s="3">
        <v>61136520003</v>
      </c>
    </row>
    <row r="367" spans="1:33" ht="13.2" x14ac:dyDescent="0.25">
      <c r="A367" s="2">
        <v>46083.680582407411</v>
      </c>
      <c r="B367" s="3" t="b">
        <v>0</v>
      </c>
      <c r="C367" s="3" t="s">
        <v>2591</v>
      </c>
      <c r="D367" s="3" t="s">
        <v>358</v>
      </c>
      <c r="E367" s="3" t="s">
        <v>1357</v>
      </c>
      <c r="F367" s="3" t="s">
        <v>2592</v>
      </c>
      <c r="G367" s="3">
        <v>184290</v>
      </c>
      <c r="H367" s="3" t="s">
        <v>470</v>
      </c>
      <c r="I367" s="3">
        <v>17749448</v>
      </c>
      <c r="J367" s="4">
        <v>23867</v>
      </c>
      <c r="K367" s="3" t="s">
        <v>2591</v>
      </c>
      <c r="L367" s="3" t="s">
        <v>43</v>
      </c>
      <c r="M367" s="3" t="s">
        <v>31</v>
      </c>
      <c r="N367" s="3" t="s">
        <v>44</v>
      </c>
      <c r="O367" s="3" t="s">
        <v>1453</v>
      </c>
      <c r="P367" s="3" t="s">
        <v>2593</v>
      </c>
      <c r="Q367" s="3">
        <v>1636</v>
      </c>
      <c r="V367" s="3">
        <v>1121939562</v>
      </c>
      <c r="X367" s="3" t="s">
        <v>140</v>
      </c>
      <c r="Y367" s="3">
        <v>60590674102</v>
      </c>
    </row>
    <row r="368" spans="1:33" ht="13.2" x14ac:dyDescent="0.25">
      <c r="A368" s="2">
        <v>46083.680926412038</v>
      </c>
      <c r="B368" s="3" t="b">
        <v>0</v>
      </c>
      <c r="C368" s="3" t="s">
        <v>2581</v>
      </c>
      <c r="D368" s="3" t="s">
        <v>180</v>
      </c>
      <c r="E368" s="3" t="s">
        <v>2594</v>
      </c>
      <c r="F368" s="3" t="s">
        <v>2595</v>
      </c>
      <c r="G368" s="3">
        <v>3307</v>
      </c>
      <c r="H368" s="3" t="s">
        <v>2584</v>
      </c>
      <c r="I368" s="3">
        <v>54289294</v>
      </c>
      <c r="J368" s="4">
        <v>41933</v>
      </c>
      <c r="K368" s="3" t="s">
        <v>2581</v>
      </c>
      <c r="L368" s="3" t="s">
        <v>43</v>
      </c>
      <c r="M368" s="3" t="s">
        <v>31</v>
      </c>
      <c r="N368" s="3" t="s">
        <v>44</v>
      </c>
      <c r="O368" s="3" t="s">
        <v>102</v>
      </c>
      <c r="P368" s="3" t="s">
        <v>2596</v>
      </c>
      <c r="Q368" s="3">
        <v>1643</v>
      </c>
      <c r="V368" s="3" t="s">
        <v>2597</v>
      </c>
      <c r="W368" s="3" t="s">
        <v>2598</v>
      </c>
      <c r="X368" s="3" t="s">
        <v>2587</v>
      </c>
      <c r="Y368" s="3" t="s">
        <v>2587</v>
      </c>
    </row>
    <row r="369" spans="1:38" ht="13.2" x14ac:dyDescent="0.25">
      <c r="A369" s="2">
        <v>46083.682037592589</v>
      </c>
      <c r="B369" s="3" t="b">
        <v>0</v>
      </c>
      <c r="C369" s="3" t="s">
        <v>2599</v>
      </c>
      <c r="D369" s="3" t="s">
        <v>26</v>
      </c>
      <c r="E369" s="3" t="s">
        <v>2600</v>
      </c>
      <c r="F369" s="3" t="s">
        <v>2601</v>
      </c>
      <c r="G369" s="3">
        <v>3808</v>
      </c>
      <c r="H369" s="3" t="s">
        <v>161</v>
      </c>
      <c r="I369" s="3">
        <v>51324832</v>
      </c>
      <c r="J369" s="4">
        <v>40737</v>
      </c>
      <c r="K369" s="3" t="s">
        <v>2602</v>
      </c>
      <c r="L369" s="3" t="s">
        <v>43</v>
      </c>
      <c r="M369" s="3" t="s">
        <v>76</v>
      </c>
      <c r="N369" s="3" t="s">
        <v>32</v>
      </c>
      <c r="O369" s="3" t="s">
        <v>33</v>
      </c>
      <c r="P369" s="3" t="s">
        <v>2603</v>
      </c>
      <c r="Q369" s="3">
        <v>2000</v>
      </c>
      <c r="R369" s="3" t="s">
        <v>691</v>
      </c>
      <c r="S369" s="3" t="s">
        <v>2604</v>
      </c>
      <c r="T369" s="3" t="s">
        <v>2599</v>
      </c>
      <c r="U369" s="3">
        <v>3416937478</v>
      </c>
      <c r="V369" s="3">
        <v>3415983528</v>
      </c>
      <c r="W369" s="3">
        <v>3416937478</v>
      </c>
      <c r="X369" s="3" t="s">
        <v>2605</v>
      </c>
      <c r="Y369" s="3" t="s">
        <v>2606</v>
      </c>
    </row>
    <row r="370" spans="1:38" ht="13.2" x14ac:dyDescent="0.25">
      <c r="A370" s="2">
        <v>46083.687588761575</v>
      </c>
      <c r="B370" s="3" t="b">
        <v>0</v>
      </c>
      <c r="C370" s="3" t="s">
        <v>2581</v>
      </c>
      <c r="D370" s="3" t="s">
        <v>26</v>
      </c>
      <c r="E370" s="3" t="s">
        <v>2607</v>
      </c>
      <c r="F370" s="3" t="s">
        <v>2608</v>
      </c>
      <c r="G370" s="3">
        <v>3123</v>
      </c>
      <c r="H370" s="3" t="s">
        <v>2584</v>
      </c>
      <c r="I370" s="3">
        <v>53825401</v>
      </c>
      <c r="J370" s="4" t="s">
        <v>2609</v>
      </c>
      <c r="K370" s="3" t="s">
        <v>2581</v>
      </c>
      <c r="L370" s="3" t="s">
        <v>43</v>
      </c>
      <c r="M370" s="3" t="s">
        <v>31</v>
      </c>
      <c r="N370" s="3" t="s">
        <v>44</v>
      </c>
      <c r="O370" s="3" t="s">
        <v>102</v>
      </c>
      <c r="P370" s="3" t="s">
        <v>2610</v>
      </c>
      <c r="Q370" s="3">
        <v>1642</v>
      </c>
      <c r="V370" s="3" t="s">
        <v>2597</v>
      </c>
      <c r="X370" s="3" t="s">
        <v>2587</v>
      </c>
      <c r="Y370" s="3" t="s">
        <v>2587</v>
      </c>
    </row>
    <row r="371" spans="1:38" ht="13.2" x14ac:dyDescent="0.25">
      <c r="A371" s="2">
        <v>46083.688752025468</v>
      </c>
      <c r="B371" s="3" t="b">
        <v>0</v>
      </c>
      <c r="C371" s="3" t="s">
        <v>2611</v>
      </c>
      <c r="D371" s="3" t="s">
        <v>497</v>
      </c>
      <c r="E371" s="3" t="s">
        <v>88</v>
      </c>
      <c r="F371" s="3" t="s">
        <v>2612</v>
      </c>
      <c r="G371" s="3" t="s">
        <v>2613</v>
      </c>
      <c r="H371" s="3" t="s">
        <v>352</v>
      </c>
      <c r="I371" s="3">
        <v>50417527</v>
      </c>
      <c r="J371" s="4">
        <v>40358</v>
      </c>
      <c r="K371" s="3" t="s">
        <v>2611</v>
      </c>
      <c r="L371" s="3" t="s">
        <v>43</v>
      </c>
      <c r="M371" s="3" t="s">
        <v>31</v>
      </c>
      <c r="N371" s="3" t="s">
        <v>44</v>
      </c>
      <c r="O371" s="3" t="s">
        <v>102</v>
      </c>
      <c r="P371" s="3" t="s">
        <v>2614</v>
      </c>
      <c r="Q371" s="3">
        <v>1642</v>
      </c>
      <c r="R371" s="3" t="s">
        <v>2615</v>
      </c>
      <c r="S371" s="3" t="s">
        <v>1110</v>
      </c>
      <c r="T371" s="3" t="s">
        <v>2611</v>
      </c>
      <c r="U371" s="3">
        <v>1154789906</v>
      </c>
      <c r="V371" s="3">
        <v>1154789906</v>
      </c>
      <c r="X371" s="3" t="s">
        <v>211</v>
      </c>
      <c r="Y371" s="3">
        <v>61868549802</v>
      </c>
    </row>
    <row r="372" spans="1:38" ht="13.2" x14ac:dyDescent="0.25">
      <c r="A372" s="2">
        <v>46083.689865092594</v>
      </c>
      <c r="B372" s="3" t="b">
        <v>0</v>
      </c>
      <c r="C372" s="3" t="s">
        <v>2616</v>
      </c>
      <c r="D372" s="3" t="s">
        <v>180</v>
      </c>
      <c r="E372" s="3" t="s">
        <v>1106</v>
      </c>
      <c r="F372" s="3" t="s">
        <v>2617</v>
      </c>
      <c r="G372" s="3">
        <v>4106</v>
      </c>
      <c r="H372" s="3" t="s">
        <v>1741</v>
      </c>
      <c r="I372" s="3">
        <v>53653582</v>
      </c>
      <c r="J372" s="4">
        <v>41664</v>
      </c>
      <c r="K372" s="3" t="s">
        <v>2616</v>
      </c>
      <c r="L372" s="3" t="s">
        <v>43</v>
      </c>
      <c r="M372" s="3" t="s">
        <v>31</v>
      </c>
      <c r="N372" s="3" t="s">
        <v>44</v>
      </c>
      <c r="O372" s="3" t="s">
        <v>664</v>
      </c>
      <c r="P372" s="3" t="s">
        <v>2618</v>
      </c>
      <c r="Q372" s="3">
        <v>1625</v>
      </c>
      <c r="R372" s="3" t="s">
        <v>2619</v>
      </c>
      <c r="S372" s="3" t="s">
        <v>2617</v>
      </c>
      <c r="T372" s="3" t="s">
        <v>2616</v>
      </c>
      <c r="U372" s="3" t="s">
        <v>2620</v>
      </c>
      <c r="V372" s="3" t="s">
        <v>2621</v>
      </c>
      <c r="X372" s="3" t="s">
        <v>1627</v>
      </c>
      <c r="Y372" s="3" t="s">
        <v>2622</v>
      </c>
    </row>
    <row r="373" spans="1:38" ht="13.2" x14ac:dyDescent="0.25">
      <c r="A373" s="2">
        <v>46083.692763437502</v>
      </c>
      <c r="B373" s="3" t="b">
        <v>0</v>
      </c>
      <c r="C373" s="3" t="s">
        <v>2623</v>
      </c>
      <c r="D373" s="3" t="s">
        <v>180</v>
      </c>
      <c r="E373" s="3" t="s">
        <v>733</v>
      </c>
      <c r="F373" s="3" t="s">
        <v>2624</v>
      </c>
      <c r="G373" s="3">
        <v>2862</v>
      </c>
      <c r="H373" s="3" t="s">
        <v>1401</v>
      </c>
      <c r="I373" s="3">
        <v>54201879</v>
      </c>
      <c r="J373" s="4">
        <v>41886</v>
      </c>
      <c r="K373" s="3" t="s">
        <v>2625</v>
      </c>
      <c r="L373" s="3" t="s">
        <v>43</v>
      </c>
      <c r="M373" s="3" t="s">
        <v>31</v>
      </c>
      <c r="N373" s="3" t="s">
        <v>32</v>
      </c>
      <c r="O373" s="3" t="s">
        <v>33</v>
      </c>
      <c r="P373" s="3" t="s">
        <v>2626</v>
      </c>
      <c r="Q373" s="3">
        <v>2000</v>
      </c>
      <c r="R373" s="3" t="s">
        <v>2627</v>
      </c>
      <c r="S373" s="3" t="s">
        <v>2628</v>
      </c>
      <c r="T373" s="3" t="s">
        <v>2623</v>
      </c>
      <c r="U373" s="3">
        <v>3413106763</v>
      </c>
      <c r="V373" s="3">
        <v>3413106763</v>
      </c>
      <c r="W373" s="3">
        <v>1162555629</v>
      </c>
      <c r="X373" s="3" t="s">
        <v>849</v>
      </c>
      <c r="Y373" s="3">
        <v>62516078801</v>
      </c>
    </row>
    <row r="374" spans="1:38" ht="13.2" x14ac:dyDescent="0.25">
      <c r="A374" s="2">
        <v>46083.692911655089</v>
      </c>
      <c r="B374" s="3" t="b">
        <v>0</v>
      </c>
      <c r="C374" s="3" t="s">
        <v>2581</v>
      </c>
      <c r="D374" s="3">
        <v>420</v>
      </c>
      <c r="E374" s="3" t="s">
        <v>2629</v>
      </c>
      <c r="F374" s="3" t="s">
        <v>1950</v>
      </c>
      <c r="G374" s="3">
        <v>50484</v>
      </c>
      <c r="H374" s="3" t="s">
        <v>54</v>
      </c>
      <c r="I374" s="3">
        <v>50075107</v>
      </c>
      <c r="J374" s="4">
        <v>40197</v>
      </c>
      <c r="K374" s="3" t="s">
        <v>2581</v>
      </c>
      <c r="L374" s="3" t="s">
        <v>43</v>
      </c>
      <c r="M374" s="3" t="s">
        <v>31</v>
      </c>
      <c r="N374" s="3" t="s">
        <v>44</v>
      </c>
      <c r="O374" s="3" t="s">
        <v>674</v>
      </c>
      <c r="P374" s="3" t="s">
        <v>1943</v>
      </c>
      <c r="Q374" s="3">
        <v>1640</v>
      </c>
      <c r="V374" s="3" t="s">
        <v>2630</v>
      </c>
      <c r="X374" s="3" t="s">
        <v>140</v>
      </c>
      <c r="Y374" s="3">
        <v>61934840102</v>
      </c>
      <c r="Z374" s="3" t="s">
        <v>2631</v>
      </c>
      <c r="AA374" s="3" t="s">
        <v>2632</v>
      </c>
      <c r="AB374" s="3">
        <v>50484</v>
      </c>
      <c r="AC374" s="3" t="s">
        <v>2584</v>
      </c>
      <c r="AD374" s="3">
        <v>49264184</v>
      </c>
      <c r="AE374" s="4">
        <v>39876</v>
      </c>
      <c r="AF374" s="3" t="s">
        <v>2581</v>
      </c>
      <c r="AG374" s="3" t="s">
        <v>43</v>
      </c>
      <c r="AH374" s="3" t="s">
        <v>31</v>
      </c>
      <c r="AI374" s="3" t="s">
        <v>44</v>
      </c>
      <c r="AJ374" s="3" t="s">
        <v>102</v>
      </c>
      <c r="AK374" s="3" t="s">
        <v>2633</v>
      </c>
      <c r="AL374" s="3">
        <v>1643</v>
      </c>
    </row>
    <row r="375" spans="1:38" ht="13.2" x14ac:dyDescent="0.25">
      <c r="A375" s="2">
        <v>46083.693345671301</v>
      </c>
      <c r="B375" s="3" t="b">
        <v>0</v>
      </c>
      <c r="C375" s="3" t="s">
        <v>2634</v>
      </c>
      <c r="D375" s="3" t="s">
        <v>26</v>
      </c>
      <c r="E375" s="3" t="s">
        <v>190</v>
      </c>
      <c r="F375" s="3" t="s">
        <v>2635</v>
      </c>
      <c r="G375" s="3">
        <v>3862</v>
      </c>
      <c r="H375" s="3" t="s">
        <v>1114</v>
      </c>
      <c r="I375" s="3">
        <v>51422775</v>
      </c>
      <c r="J375" s="4">
        <v>40855</v>
      </c>
      <c r="K375" s="3" t="s">
        <v>2634</v>
      </c>
      <c r="L375" s="3" t="s">
        <v>30</v>
      </c>
      <c r="M375" s="3" t="s">
        <v>31</v>
      </c>
      <c r="N375" s="3" t="s">
        <v>726</v>
      </c>
      <c r="O375" s="3" t="s">
        <v>2636</v>
      </c>
      <c r="P375" s="3" t="s">
        <v>2637</v>
      </c>
      <c r="Q375" s="3">
        <v>3100</v>
      </c>
      <c r="R375" s="3" t="s">
        <v>2638</v>
      </c>
      <c r="S375" s="3" t="s">
        <v>2639</v>
      </c>
      <c r="T375" s="3" t="s">
        <v>2634</v>
      </c>
      <c r="U375" s="3">
        <v>3435213588</v>
      </c>
      <c r="V375" s="3">
        <v>3435213588</v>
      </c>
      <c r="W375" s="3">
        <v>3435213588</v>
      </c>
      <c r="X375" s="3" t="s">
        <v>2640</v>
      </c>
      <c r="Y375" s="3">
        <v>51422775</v>
      </c>
    </row>
    <row r="376" spans="1:38" ht="13.2" x14ac:dyDescent="0.25">
      <c r="A376" s="2">
        <v>46083.695448067127</v>
      </c>
      <c r="B376" s="3" t="b">
        <v>0</v>
      </c>
      <c r="C376" s="3" t="s">
        <v>2581</v>
      </c>
      <c r="D376" s="3" t="s">
        <v>26</v>
      </c>
      <c r="E376" s="3" t="s">
        <v>2641</v>
      </c>
      <c r="F376" s="3" t="s">
        <v>2642</v>
      </c>
      <c r="G376" s="3" t="s">
        <v>2643</v>
      </c>
      <c r="H376" s="3" t="s">
        <v>2584</v>
      </c>
      <c r="I376" s="3">
        <v>53610440</v>
      </c>
      <c r="J376" s="4">
        <v>41630</v>
      </c>
      <c r="K376" s="3" t="s">
        <v>2581</v>
      </c>
      <c r="L376" s="3" t="s">
        <v>30</v>
      </c>
      <c r="M376" s="3" t="s">
        <v>31</v>
      </c>
      <c r="N376" s="3" t="s">
        <v>44</v>
      </c>
      <c r="O376" s="3" t="s">
        <v>102</v>
      </c>
      <c r="P376" s="3" t="s">
        <v>2633</v>
      </c>
      <c r="Q376" s="3">
        <v>1647</v>
      </c>
      <c r="V376" s="3" t="s">
        <v>2644</v>
      </c>
      <c r="X376" s="3" t="s">
        <v>2645</v>
      </c>
      <c r="Y376" s="3" t="s">
        <v>2587</v>
      </c>
    </row>
    <row r="377" spans="1:38" ht="13.2" x14ac:dyDescent="0.25">
      <c r="A377" s="2">
        <v>46083.703082395834</v>
      </c>
      <c r="B377" s="3" t="b">
        <v>0</v>
      </c>
      <c r="C377" s="3" t="s">
        <v>2625</v>
      </c>
      <c r="D377" s="3" t="s">
        <v>180</v>
      </c>
      <c r="E377" s="3" t="s">
        <v>2646</v>
      </c>
      <c r="F377" s="3" t="s">
        <v>2647</v>
      </c>
      <c r="G377" s="3">
        <v>3810</v>
      </c>
      <c r="H377" s="3" t="s">
        <v>1401</v>
      </c>
      <c r="I377" s="3">
        <v>55655100</v>
      </c>
      <c r="J377" s="4">
        <v>42631</v>
      </c>
      <c r="K377" s="3" t="s">
        <v>2625</v>
      </c>
      <c r="L377" s="3" t="s">
        <v>43</v>
      </c>
      <c r="M377" s="3" t="s">
        <v>31</v>
      </c>
      <c r="N377" s="3" t="s">
        <v>32</v>
      </c>
      <c r="O377" s="3" t="s">
        <v>33</v>
      </c>
      <c r="P377" s="3" t="s">
        <v>2648</v>
      </c>
      <c r="Q377" s="3">
        <v>2000</v>
      </c>
      <c r="R377" s="3" t="s">
        <v>2649</v>
      </c>
      <c r="S377" s="3" t="s">
        <v>2582</v>
      </c>
      <c r="T377" s="3" t="s">
        <v>2623</v>
      </c>
      <c r="U377" s="3">
        <v>3413106763</v>
      </c>
      <c r="V377" s="3">
        <v>3413106763</v>
      </c>
      <c r="W377" s="3">
        <v>1162555629</v>
      </c>
      <c r="X377" s="3" t="s">
        <v>1859</v>
      </c>
      <c r="Y377" s="3">
        <v>62516078804</v>
      </c>
    </row>
    <row r="378" spans="1:38" ht="13.2" x14ac:dyDescent="0.25">
      <c r="A378" s="2">
        <v>46083.706554641205</v>
      </c>
      <c r="B378" s="3" t="b">
        <v>0</v>
      </c>
      <c r="C378" s="3" t="s">
        <v>2650</v>
      </c>
      <c r="D378" s="3" t="s">
        <v>358</v>
      </c>
      <c r="E378" s="3" t="s">
        <v>2629</v>
      </c>
      <c r="F378" s="3" t="s">
        <v>2651</v>
      </c>
      <c r="G378" s="3">
        <v>142205</v>
      </c>
      <c r="H378" s="3" t="s">
        <v>54</v>
      </c>
      <c r="I378" s="3">
        <v>48802814</v>
      </c>
      <c r="J378" s="4">
        <v>39681</v>
      </c>
      <c r="K378" s="3" t="s">
        <v>2650</v>
      </c>
      <c r="L378" s="3" t="s">
        <v>43</v>
      </c>
      <c r="M378" s="3" t="s">
        <v>31</v>
      </c>
      <c r="N378" s="3" t="s">
        <v>285</v>
      </c>
      <c r="O378" s="3" t="s">
        <v>1059</v>
      </c>
      <c r="P378" s="3" t="s">
        <v>2652</v>
      </c>
      <c r="Q378" s="3">
        <v>1637</v>
      </c>
      <c r="R378" s="3" t="s">
        <v>2653</v>
      </c>
      <c r="S378" s="3" t="s">
        <v>2654</v>
      </c>
      <c r="T378" s="3" t="s">
        <v>2655</v>
      </c>
      <c r="U378" s="3">
        <v>1140948203</v>
      </c>
      <c r="V378" s="3">
        <v>1140948203</v>
      </c>
      <c r="W378" s="3">
        <v>1144348224</v>
      </c>
      <c r="X378" s="3" t="s">
        <v>2656</v>
      </c>
      <c r="Y378" s="5" t="s">
        <v>2657</v>
      </c>
    </row>
    <row r="379" spans="1:38" ht="13.2" x14ac:dyDescent="0.25">
      <c r="A379" s="2">
        <v>46083.718823506948</v>
      </c>
      <c r="B379" s="3" t="b">
        <v>0</v>
      </c>
      <c r="C379" s="3" t="s">
        <v>2658</v>
      </c>
      <c r="D379" s="3" t="s">
        <v>26</v>
      </c>
      <c r="E379" s="3" t="s">
        <v>2659</v>
      </c>
      <c r="F379" s="3" t="s">
        <v>2660</v>
      </c>
      <c r="G379" s="3">
        <v>3630</v>
      </c>
      <c r="H379" s="3" t="s">
        <v>318</v>
      </c>
      <c r="I379" s="3">
        <v>51330536</v>
      </c>
      <c r="J379" s="4">
        <v>40823</v>
      </c>
      <c r="K379" s="3" t="s">
        <v>2658</v>
      </c>
      <c r="L379" s="3" t="s">
        <v>30</v>
      </c>
      <c r="M379" s="3" t="s">
        <v>31</v>
      </c>
      <c r="N379" s="3" t="s">
        <v>44</v>
      </c>
      <c r="O379" s="3" t="s">
        <v>111</v>
      </c>
      <c r="P379" s="3" t="s">
        <v>2661</v>
      </c>
      <c r="Q379" s="3">
        <v>1648</v>
      </c>
      <c r="R379" s="3" t="s">
        <v>2662</v>
      </c>
      <c r="T379" s="3" t="s">
        <v>2658</v>
      </c>
      <c r="U379" s="3">
        <v>1134070484</v>
      </c>
      <c r="V379" s="3">
        <v>1161577993</v>
      </c>
      <c r="X379" s="3" t="s">
        <v>140</v>
      </c>
      <c r="Y379" s="3">
        <v>61280029503</v>
      </c>
      <c r="AC379" s="3" t="s">
        <v>318</v>
      </c>
    </row>
    <row r="380" spans="1:38" ht="13.2" x14ac:dyDescent="0.25">
      <c r="A380" s="2">
        <v>46083.736182384258</v>
      </c>
      <c r="B380" s="3" t="b">
        <v>0</v>
      </c>
      <c r="C380" s="3" t="s">
        <v>2663</v>
      </c>
      <c r="D380" s="3" t="s">
        <v>180</v>
      </c>
      <c r="E380" s="3" t="s">
        <v>2664</v>
      </c>
      <c r="F380" s="3" t="s">
        <v>2665</v>
      </c>
      <c r="G380" s="3">
        <v>3799</v>
      </c>
      <c r="H380" s="3" t="s">
        <v>352</v>
      </c>
      <c r="I380" s="3">
        <v>54877642</v>
      </c>
      <c r="J380" s="4">
        <v>42180</v>
      </c>
      <c r="K380" s="3" t="s">
        <v>2663</v>
      </c>
      <c r="L380" s="3" t="s">
        <v>30</v>
      </c>
      <c r="M380" s="3" t="s">
        <v>31</v>
      </c>
      <c r="N380" s="3" t="s">
        <v>44</v>
      </c>
      <c r="O380" s="3" t="s">
        <v>2666</v>
      </c>
      <c r="P380" s="3" t="s">
        <v>2667</v>
      </c>
      <c r="Q380" s="3">
        <v>1642</v>
      </c>
      <c r="R380" s="3" t="s">
        <v>2668</v>
      </c>
      <c r="S380" s="3" t="s">
        <v>2665</v>
      </c>
      <c r="T380" s="3" t="s">
        <v>2663</v>
      </c>
      <c r="U380" s="3">
        <v>1165125393</v>
      </c>
      <c r="V380" s="3">
        <v>1165125393</v>
      </c>
      <c r="X380" s="3" t="s">
        <v>523</v>
      </c>
      <c r="Y380" s="3">
        <v>80006</v>
      </c>
    </row>
    <row r="381" spans="1:38" ht="13.2" x14ac:dyDescent="0.25">
      <c r="A381" s="2">
        <v>46083.769052962962</v>
      </c>
      <c r="B381" s="3" t="b">
        <v>0</v>
      </c>
      <c r="C381" s="3" t="s">
        <v>2669</v>
      </c>
      <c r="D381" s="3" t="s">
        <v>180</v>
      </c>
      <c r="E381" s="3" t="s">
        <v>2670</v>
      </c>
      <c r="F381" s="3" t="s">
        <v>2671</v>
      </c>
      <c r="G381" s="3">
        <v>3491</v>
      </c>
      <c r="H381" s="3" t="s">
        <v>1114</v>
      </c>
      <c r="I381" s="3">
        <v>55979422</v>
      </c>
      <c r="J381" s="4">
        <v>42741</v>
      </c>
      <c r="K381" s="3" t="s">
        <v>2669</v>
      </c>
      <c r="L381" s="3" t="s">
        <v>43</v>
      </c>
      <c r="M381" s="3" t="s">
        <v>31</v>
      </c>
      <c r="N381" s="3" t="s">
        <v>726</v>
      </c>
      <c r="O381" s="3" t="s">
        <v>2672</v>
      </c>
      <c r="P381" s="3" t="s">
        <v>2673</v>
      </c>
      <c r="Q381" s="3">
        <v>3100</v>
      </c>
      <c r="R381" s="3" t="s">
        <v>2674</v>
      </c>
      <c r="S381" s="3" t="s">
        <v>2675</v>
      </c>
      <c r="T381" s="3" t="s">
        <v>2669</v>
      </c>
      <c r="U381" s="3">
        <v>3435004422</v>
      </c>
      <c r="V381" s="3">
        <v>3435004422</v>
      </c>
      <c r="W381" s="3">
        <v>3434586804</v>
      </c>
      <c r="X381" s="3" t="s">
        <v>896</v>
      </c>
      <c r="Y381" s="3" t="s">
        <v>2676</v>
      </c>
    </row>
    <row r="382" spans="1:38" ht="13.2" x14ac:dyDescent="0.25">
      <c r="A382" s="2">
        <v>46083.771339872685</v>
      </c>
      <c r="B382" s="3" t="b">
        <v>0</v>
      </c>
      <c r="C382" s="3" t="s">
        <v>2677</v>
      </c>
      <c r="D382" s="3">
        <v>420</v>
      </c>
      <c r="E382" s="3" t="s">
        <v>1318</v>
      </c>
      <c r="F382" s="3" t="s">
        <v>2678</v>
      </c>
      <c r="G382" s="3">
        <v>52651</v>
      </c>
      <c r="H382" s="3" t="s">
        <v>352</v>
      </c>
      <c r="I382" s="3">
        <v>41213730</v>
      </c>
      <c r="J382" s="4">
        <v>38166</v>
      </c>
      <c r="K382" s="3" t="s">
        <v>2677</v>
      </c>
      <c r="L382" s="3" t="s">
        <v>43</v>
      </c>
      <c r="M382" s="3" t="s">
        <v>415</v>
      </c>
      <c r="N382" s="3" t="s">
        <v>2679</v>
      </c>
      <c r="O382" s="3" t="s">
        <v>2680</v>
      </c>
      <c r="P382" s="3" t="s">
        <v>2681</v>
      </c>
      <c r="Q382" s="3">
        <v>1642</v>
      </c>
      <c r="V382" s="3" t="s">
        <v>2682</v>
      </c>
      <c r="W382" s="3" t="s">
        <v>2682</v>
      </c>
      <c r="X382" s="3" t="s">
        <v>2682</v>
      </c>
      <c r="Y382" s="3" t="s">
        <v>2682</v>
      </c>
      <c r="Z382" s="3" t="s">
        <v>2683</v>
      </c>
      <c r="AB382" s="3">
        <v>52651</v>
      </c>
      <c r="AC382" s="3" t="s">
        <v>352</v>
      </c>
      <c r="AG382" s="3" t="s">
        <v>43</v>
      </c>
    </row>
    <row r="383" spans="1:38" ht="13.2" x14ac:dyDescent="0.25">
      <c r="A383" s="2">
        <v>46083.772327824074</v>
      </c>
      <c r="B383" s="3" t="b">
        <v>0</v>
      </c>
      <c r="C383" s="3" t="s">
        <v>2669</v>
      </c>
      <c r="D383" s="3" t="s">
        <v>26</v>
      </c>
      <c r="E383" s="3" t="s">
        <v>382</v>
      </c>
      <c r="F383" s="3" t="s">
        <v>2671</v>
      </c>
      <c r="G383" s="3">
        <v>4168</v>
      </c>
      <c r="H383" s="3" t="s">
        <v>1114</v>
      </c>
      <c r="I383" s="3">
        <v>54156323</v>
      </c>
      <c r="J383" s="4">
        <v>41866</v>
      </c>
      <c r="K383" s="3" t="s">
        <v>2669</v>
      </c>
      <c r="L383" s="3" t="s">
        <v>30</v>
      </c>
      <c r="M383" s="3" t="s">
        <v>31</v>
      </c>
      <c r="N383" s="3" t="s">
        <v>726</v>
      </c>
      <c r="O383" s="3" t="s">
        <v>2672</v>
      </c>
      <c r="P383" s="3" t="s">
        <v>2673</v>
      </c>
      <c r="Q383" s="3">
        <v>3100</v>
      </c>
      <c r="R383" s="3" t="s">
        <v>2674</v>
      </c>
      <c r="S383" s="3" t="s">
        <v>2675</v>
      </c>
      <c r="T383" s="3" t="s">
        <v>2669</v>
      </c>
      <c r="U383" s="3">
        <v>3435004422</v>
      </c>
      <c r="V383" s="3">
        <v>3435004422</v>
      </c>
      <c r="W383" s="3">
        <v>3434586804</v>
      </c>
      <c r="X383" s="3" t="s">
        <v>896</v>
      </c>
      <c r="Y383" s="3" t="s">
        <v>2676</v>
      </c>
    </row>
    <row r="384" spans="1:38" ht="13.2" x14ac:dyDescent="0.25">
      <c r="A384" s="2">
        <v>46083.802209375004</v>
      </c>
      <c r="B384" s="3" t="b">
        <v>0</v>
      </c>
      <c r="C384" s="3" t="s">
        <v>2684</v>
      </c>
      <c r="D384" s="3" t="s">
        <v>497</v>
      </c>
      <c r="E384" s="3" t="s">
        <v>2138</v>
      </c>
      <c r="F384" s="3" t="s">
        <v>2685</v>
      </c>
      <c r="G384" s="3">
        <v>209400</v>
      </c>
      <c r="H384" s="3" t="s">
        <v>318</v>
      </c>
      <c r="I384" s="3">
        <v>49703324</v>
      </c>
      <c r="J384" s="4">
        <v>40055</v>
      </c>
      <c r="K384" s="3" t="s">
        <v>2686</v>
      </c>
      <c r="L384" s="3" t="s">
        <v>30</v>
      </c>
      <c r="M384" s="3" t="s">
        <v>31</v>
      </c>
      <c r="N384" s="3" t="s">
        <v>92</v>
      </c>
      <c r="O384" s="3" t="s">
        <v>2687</v>
      </c>
      <c r="P384" s="3" t="s">
        <v>2688</v>
      </c>
      <c r="Q384" s="3">
        <v>1426</v>
      </c>
      <c r="R384" s="3" t="s">
        <v>2689</v>
      </c>
      <c r="S384" s="3" t="s">
        <v>2685</v>
      </c>
      <c r="T384" s="3" t="s">
        <v>2684</v>
      </c>
      <c r="U384" s="3">
        <v>1131637901</v>
      </c>
      <c r="V384" s="3" t="s">
        <v>2689</v>
      </c>
      <c r="W384" s="3" t="s">
        <v>2690</v>
      </c>
      <c r="X384" s="3" t="s">
        <v>849</v>
      </c>
      <c r="Y384" s="3">
        <v>61472857502</v>
      </c>
    </row>
    <row r="385" spans="1:46" ht="13.2" x14ac:dyDescent="0.25">
      <c r="A385" s="2">
        <v>46083.806320358795</v>
      </c>
      <c r="B385" s="3" t="b">
        <v>0</v>
      </c>
      <c r="C385" s="3" t="s">
        <v>2691</v>
      </c>
      <c r="D385" s="3" t="s">
        <v>26</v>
      </c>
      <c r="E385" s="3" t="s">
        <v>2692</v>
      </c>
      <c r="F385" s="3" t="s">
        <v>2693</v>
      </c>
      <c r="G385" s="3">
        <v>4157</v>
      </c>
      <c r="H385" s="3" t="s">
        <v>2694</v>
      </c>
      <c r="I385" s="3">
        <v>52964858</v>
      </c>
      <c r="J385" s="4">
        <v>41321</v>
      </c>
      <c r="K385" s="3" t="s">
        <v>2691</v>
      </c>
      <c r="L385" s="3" t="s">
        <v>30</v>
      </c>
      <c r="M385" s="3" t="s">
        <v>76</v>
      </c>
      <c r="N385" s="3" t="s">
        <v>941</v>
      </c>
      <c r="O385" s="3" t="s">
        <v>2695</v>
      </c>
      <c r="P385" s="3" t="s">
        <v>2696</v>
      </c>
      <c r="Q385" s="3">
        <v>5189</v>
      </c>
      <c r="R385" s="3" t="s">
        <v>2697</v>
      </c>
      <c r="S385" s="3" t="s">
        <v>2698</v>
      </c>
      <c r="T385" s="3" t="s">
        <v>2691</v>
      </c>
      <c r="U385" s="3">
        <v>3546523448</v>
      </c>
      <c r="V385" s="3">
        <v>3546404411</v>
      </c>
      <c r="W385" s="3">
        <v>3546523448</v>
      </c>
      <c r="X385" s="3" t="s">
        <v>60</v>
      </c>
      <c r="Y385" s="3" t="s">
        <v>2699</v>
      </c>
      <c r="Z385" s="3" t="s">
        <v>2692</v>
      </c>
      <c r="AA385" s="3" t="s">
        <v>2693</v>
      </c>
      <c r="AB385" s="3">
        <v>4157</v>
      </c>
      <c r="AC385" s="3" t="s">
        <v>2700</v>
      </c>
      <c r="AD385" s="3">
        <v>52964858</v>
      </c>
      <c r="AE385" s="4">
        <v>41321</v>
      </c>
      <c r="AF385" s="3" t="s">
        <v>2691</v>
      </c>
      <c r="AG385" s="3" t="s">
        <v>30</v>
      </c>
      <c r="AH385" s="3" t="s">
        <v>76</v>
      </c>
      <c r="AI385" s="3" t="s">
        <v>941</v>
      </c>
      <c r="AJ385" s="3" t="s">
        <v>2701</v>
      </c>
      <c r="AK385" s="3" t="s">
        <v>2696</v>
      </c>
      <c r="AL385" s="3">
        <v>5189</v>
      </c>
      <c r="AM385" s="3" t="s">
        <v>2698</v>
      </c>
      <c r="AN385" s="3" t="s">
        <v>2702</v>
      </c>
      <c r="AO385" s="3" t="s">
        <v>2691</v>
      </c>
      <c r="AP385" s="3">
        <v>3546523448</v>
      </c>
      <c r="AQ385" s="3">
        <v>3546404411</v>
      </c>
      <c r="AS385" s="3" t="s">
        <v>49</v>
      </c>
      <c r="AT385" s="3" t="s">
        <v>2699</v>
      </c>
    </row>
    <row r="386" spans="1:46" ht="13.2" x14ac:dyDescent="0.25">
      <c r="A386" s="2">
        <v>46083.808937766204</v>
      </c>
      <c r="B386" s="3" t="b">
        <v>0</v>
      </c>
      <c r="C386" s="3" t="s">
        <v>2691</v>
      </c>
      <c r="D386" s="3" t="s">
        <v>180</v>
      </c>
      <c r="E386" s="3" t="s">
        <v>2703</v>
      </c>
      <c r="F386" s="3" t="s">
        <v>2704</v>
      </c>
      <c r="G386" s="3">
        <v>4178</v>
      </c>
      <c r="H386" s="3" t="s">
        <v>2705</v>
      </c>
      <c r="I386" s="3">
        <v>55253495</v>
      </c>
      <c r="J386" s="4">
        <v>42409</v>
      </c>
      <c r="K386" s="3" t="s">
        <v>2691</v>
      </c>
      <c r="L386" s="3" t="s">
        <v>43</v>
      </c>
      <c r="M386" s="3" t="s">
        <v>76</v>
      </c>
      <c r="N386" s="3" t="s">
        <v>941</v>
      </c>
      <c r="O386" s="3" t="s">
        <v>2701</v>
      </c>
      <c r="P386" s="3" t="s">
        <v>2696</v>
      </c>
      <c r="Q386" s="3">
        <v>5189</v>
      </c>
      <c r="R386" s="3" t="s">
        <v>2698</v>
      </c>
      <c r="S386" s="3" t="s">
        <v>2702</v>
      </c>
      <c r="T386" s="3" t="s">
        <v>2691</v>
      </c>
      <c r="U386" s="3">
        <v>3546523448</v>
      </c>
      <c r="V386" s="3">
        <v>3546404411</v>
      </c>
      <c r="X386" s="3" t="s">
        <v>187</v>
      </c>
      <c r="Y386" s="3" t="s">
        <v>2706</v>
      </c>
    </row>
    <row r="387" spans="1:46" ht="13.2" x14ac:dyDescent="0.25">
      <c r="A387" s="2">
        <v>46083.824017430554</v>
      </c>
      <c r="B387" s="3" t="b">
        <v>0</v>
      </c>
      <c r="C387" s="3" t="s">
        <v>2707</v>
      </c>
      <c r="D387" s="3" t="s">
        <v>26</v>
      </c>
      <c r="E387" s="3" t="s">
        <v>1092</v>
      </c>
      <c r="F387" s="3" t="s">
        <v>2708</v>
      </c>
      <c r="G387" s="3">
        <v>3828</v>
      </c>
      <c r="H387" s="3" t="s">
        <v>65</v>
      </c>
      <c r="I387" s="3">
        <v>52909554</v>
      </c>
      <c r="J387" s="4">
        <v>41299</v>
      </c>
      <c r="K387" s="3" t="s">
        <v>2707</v>
      </c>
      <c r="L387" s="3" t="s">
        <v>30</v>
      </c>
      <c r="M387" s="3" t="s">
        <v>31</v>
      </c>
      <c r="N387" s="3" t="s">
        <v>44</v>
      </c>
      <c r="O387" s="3" t="s">
        <v>302</v>
      </c>
      <c r="P387" s="3" t="s">
        <v>2709</v>
      </c>
      <c r="Q387" s="3">
        <v>2930</v>
      </c>
      <c r="R387" s="3" t="s">
        <v>1572</v>
      </c>
      <c r="S387" s="3" t="s">
        <v>2708</v>
      </c>
      <c r="T387" s="3" t="s">
        <v>2707</v>
      </c>
      <c r="U387" s="3">
        <v>3329636785</v>
      </c>
      <c r="V387" s="3">
        <v>3329636785</v>
      </c>
      <c r="X387" s="3" t="s">
        <v>741</v>
      </c>
      <c r="Y387" s="3" t="s">
        <v>2710</v>
      </c>
    </row>
    <row r="388" spans="1:46" ht="13.2" x14ac:dyDescent="0.25">
      <c r="A388" s="2">
        <v>46083.869391284723</v>
      </c>
      <c r="B388" s="3" t="b">
        <v>0</v>
      </c>
      <c r="C388" s="3" t="s">
        <v>2711</v>
      </c>
      <c r="D388" s="3" t="s">
        <v>180</v>
      </c>
      <c r="E388" s="3" t="s">
        <v>2712</v>
      </c>
      <c r="F388" s="3" t="s">
        <v>2713</v>
      </c>
      <c r="G388" s="3">
        <v>3640</v>
      </c>
      <c r="H388" s="3" t="s">
        <v>54</v>
      </c>
      <c r="I388" s="3">
        <v>53470494</v>
      </c>
      <c r="J388" s="4">
        <v>41568</v>
      </c>
      <c r="K388" s="3" t="s">
        <v>2714</v>
      </c>
      <c r="L388" s="3" t="s">
        <v>30</v>
      </c>
      <c r="M388" s="3" t="s">
        <v>31</v>
      </c>
      <c r="N388" s="3" t="s">
        <v>44</v>
      </c>
      <c r="O388" s="3" t="s">
        <v>2715</v>
      </c>
      <c r="P388" s="3" t="s">
        <v>2716</v>
      </c>
      <c r="Q388" s="3">
        <v>1603</v>
      </c>
      <c r="R388" s="3" t="s">
        <v>2717</v>
      </c>
      <c r="S388" s="3" t="s">
        <v>2718</v>
      </c>
      <c r="T388" s="3" t="s">
        <v>2714</v>
      </c>
      <c r="U388" s="3">
        <v>1150298772</v>
      </c>
      <c r="V388" s="3">
        <v>1150298772</v>
      </c>
      <c r="W388" s="3">
        <v>1153112644</v>
      </c>
      <c r="X388" s="3" t="s">
        <v>926</v>
      </c>
      <c r="Y388" s="3">
        <v>62541782704</v>
      </c>
    </row>
    <row r="389" spans="1:46" ht="13.2" x14ac:dyDescent="0.25">
      <c r="A389" s="2">
        <v>46083.87302741898</v>
      </c>
      <c r="B389" s="3" t="b">
        <v>0</v>
      </c>
      <c r="C389" s="3" t="s">
        <v>2719</v>
      </c>
      <c r="D389" s="3" t="s">
        <v>180</v>
      </c>
      <c r="E389" s="3" t="s">
        <v>248</v>
      </c>
      <c r="F389" s="3" t="s">
        <v>780</v>
      </c>
      <c r="G389" s="3">
        <v>3578</v>
      </c>
      <c r="H389" s="3" t="s">
        <v>326</v>
      </c>
      <c r="I389" s="3">
        <v>55042878</v>
      </c>
      <c r="J389" s="4">
        <v>42263</v>
      </c>
      <c r="K389" s="3" t="s">
        <v>2719</v>
      </c>
      <c r="L389" s="3" t="s">
        <v>30</v>
      </c>
      <c r="M389" s="3" t="s">
        <v>76</v>
      </c>
      <c r="N389" s="3" t="s">
        <v>91</v>
      </c>
      <c r="O389" s="3" t="s">
        <v>2720</v>
      </c>
      <c r="P389" s="3" t="s">
        <v>2721</v>
      </c>
      <c r="Q389" s="3">
        <v>1931</v>
      </c>
      <c r="R389" s="3" t="s">
        <v>2722</v>
      </c>
      <c r="S389" s="3" t="s">
        <v>780</v>
      </c>
      <c r="T389" s="3" t="s">
        <v>2719</v>
      </c>
      <c r="U389" s="3">
        <v>2214119383</v>
      </c>
      <c r="V389" s="3">
        <v>2214119383</v>
      </c>
      <c r="X389" s="3" t="s">
        <v>1154</v>
      </c>
      <c r="Y389" s="3">
        <v>117992483008</v>
      </c>
    </row>
    <row r="390" spans="1:46" ht="13.2" x14ac:dyDescent="0.25">
      <c r="A390" s="2">
        <v>46083.883708321759</v>
      </c>
      <c r="B390" s="3" t="b">
        <v>1</v>
      </c>
      <c r="C390" s="3" t="s">
        <v>2723</v>
      </c>
      <c r="D390" s="3" t="s">
        <v>180</v>
      </c>
      <c r="E390" s="3" t="s">
        <v>1183</v>
      </c>
      <c r="F390" s="3" t="s">
        <v>2331</v>
      </c>
      <c r="G390" s="3">
        <v>3968</v>
      </c>
      <c r="H390" s="3" t="s">
        <v>318</v>
      </c>
      <c r="I390" s="3">
        <v>53771673</v>
      </c>
      <c r="J390" s="4">
        <v>41737</v>
      </c>
      <c r="K390" s="3" t="s">
        <v>2723</v>
      </c>
      <c r="L390" s="3" t="s">
        <v>30</v>
      </c>
      <c r="M390" s="3" t="s">
        <v>31</v>
      </c>
      <c r="N390" s="3" t="s">
        <v>44</v>
      </c>
      <c r="O390" s="3" t="s">
        <v>791</v>
      </c>
      <c r="P390" s="5" t="s">
        <v>2724</v>
      </c>
      <c r="Q390" s="3">
        <v>1646</v>
      </c>
      <c r="R390" s="3" t="s">
        <v>2725</v>
      </c>
      <c r="S390" s="3" t="s">
        <v>2331</v>
      </c>
      <c r="T390" s="3" t="s">
        <v>2723</v>
      </c>
      <c r="V390" s="3" t="s">
        <v>2726</v>
      </c>
      <c r="X390" s="3" t="s">
        <v>140</v>
      </c>
      <c r="Y390" s="5" t="s">
        <v>2727</v>
      </c>
    </row>
    <row r="391" spans="1:46" ht="13.2" x14ac:dyDescent="0.25">
      <c r="A391" s="2">
        <v>46083.890572025462</v>
      </c>
      <c r="B391" s="3" t="b">
        <v>0</v>
      </c>
      <c r="C391" s="3" t="s">
        <v>2137</v>
      </c>
      <c r="D391" s="3" t="s">
        <v>26</v>
      </c>
      <c r="E391" s="3" t="s">
        <v>2138</v>
      </c>
      <c r="F391" s="3" t="s">
        <v>1287</v>
      </c>
      <c r="G391" s="3">
        <v>4237</v>
      </c>
      <c r="H391" s="3" t="s">
        <v>318</v>
      </c>
      <c r="I391" s="3">
        <v>50903230</v>
      </c>
      <c r="J391" s="4">
        <v>40545</v>
      </c>
      <c r="K391" s="3" t="s">
        <v>2728</v>
      </c>
      <c r="L391" s="3" t="s">
        <v>30</v>
      </c>
      <c r="M391" s="3" t="s">
        <v>31</v>
      </c>
      <c r="N391" s="3" t="s">
        <v>44</v>
      </c>
      <c r="O391" s="3" t="s">
        <v>551</v>
      </c>
      <c r="P391" s="3" t="s">
        <v>2139</v>
      </c>
      <c r="Q391" s="3">
        <v>1425</v>
      </c>
      <c r="R391" s="3" t="s">
        <v>2140</v>
      </c>
      <c r="S391" s="3" t="s">
        <v>2141</v>
      </c>
      <c r="T391" s="3" t="s">
        <v>2728</v>
      </c>
      <c r="U391" s="3">
        <v>1156368464</v>
      </c>
      <c r="V391" s="3">
        <v>1156368464</v>
      </c>
      <c r="W391" s="3">
        <v>1121894757</v>
      </c>
      <c r="X391" s="3" t="s">
        <v>140</v>
      </c>
      <c r="Y391" s="3">
        <v>63212639503</v>
      </c>
    </row>
    <row r="392" spans="1:46" ht="13.2" x14ac:dyDescent="0.25">
      <c r="A392" s="2">
        <v>46083.893606504629</v>
      </c>
      <c r="B392" s="3" t="b">
        <v>0</v>
      </c>
      <c r="C392" s="3" t="s">
        <v>2181</v>
      </c>
      <c r="D392" s="3" t="s">
        <v>180</v>
      </c>
      <c r="E392" s="3" t="s">
        <v>2182</v>
      </c>
      <c r="F392" s="3" t="s">
        <v>2183</v>
      </c>
      <c r="G392" s="3">
        <v>4141</v>
      </c>
      <c r="H392" s="3" t="s">
        <v>65</v>
      </c>
      <c r="I392" s="3">
        <v>54229881</v>
      </c>
      <c r="J392" s="4">
        <v>41933</v>
      </c>
      <c r="K392" s="3" t="s">
        <v>2181</v>
      </c>
      <c r="L392" s="3" t="s">
        <v>30</v>
      </c>
      <c r="M392" s="3" t="s">
        <v>31</v>
      </c>
      <c r="N392" s="3" t="s">
        <v>44</v>
      </c>
      <c r="O392" s="3" t="s">
        <v>66</v>
      </c>
      <c r="P392" s="3" t="s">
        <v>2184</v>
      </c>
      <c r="Q392" s="3">
        <v>2930</v>
      </c>
      <c r="R392" s="3" t="s">
        <v>2729</v>
      </c>
      <c r="S392" s="3" t="s">
        <v>2183</v>
      </c>
      <c r="U392" s="3">
        <v>3329663421</v>
      </c>
      <c r="V392" s="3">
        <v>3329663422</v>
      </c>
      <c r="X392" s="3" t="s">
        <v>2188</v>
      </c>
      <c r="Y392" s="3">
        <v>54229881</v>
      </c>
    </row>
    <row r="393" spans="1:46" ht="13.2" x14ac:dyDescent="0.25">
      <c r="A393" s="2">
        <v>46083.895326087964</v>
      </c>
      <c r="B393" s="3" t="b">
        <v>0</v>
      </c>
      <c r="C393" s="3" t="s">
        <v>2730</v>
      </c>
      <c r="D393" s="3" t="s">
        <v>497</v>
      </c>
      <c r="E393" s="3" t="s">
        <v>288</v>
      </c>
      <c r="F393" s="3" t="s">
        <v>2731</v>
      </c>
      <c r="G393" s="3">
        <v>52</v>
      </c>
      <c r="H393" s="3" t="s">
        <v>326</v>
      </c>
      <c r="I393" s="3">
        <v>50098931</v>
      </c>
      <c r="J393" s="4">
        <v>40221</v>
      </c>
      <c r="K393" s="3" t="s">
        <v>2732</v>
      </c>
      <c r="L393" s="3" t="s">
        <v>43</v>
      </c>
      <c r="M393" s="3" t="s">
        <v>76</v>
      </c>
      <c r="N393" s="3" t="s">
        <v>285</v>
      </c>
      <c r="O393" s="3" t="s">
        <v>327</v>
      </c>
      <c r="P393" s="3" t="s">
        <v>2733</v>
      </c>
      <c r="Q393" s="3">
        <v>1900</v>
      </c>
      <c r="R393" s="3" t="s">
        <v>2734</v>
      </c>
      <c r="S393" s="3" t="s">
        <v>2735</v>
      </c>
      <c r="T393" s="3" t="s">
        <v>2730</v>
      </c>
      <c r="U393" s="3">
        <v>2215584734</v>
      </c>
      <c r="V393" s="3">
        <v>2215584734</v>
      </c>
      <c r="W393" s="3">
        <v>2215582411</v>
      </c>
      <c r="X393" s="3" t="s">
        <v>306</v>
      </c>
      <c r="Y393" s="3" t="s">
        <v>2736</v>
      </c>
    </row>
    <row r="394" spans="1:46" ht="13.2" x14ac:dyDescent="0.25">
      <c r="A394" s="2">
        <v>46083.904041354166</v>
      </c>
      <c r="B394" s="3" t="b">
        <v>0</v>
      </c>
      <c r="C394" s="3" t="s">
        <v>2737</v>
      </c>
      <c r="D394" s="3" t="s">
        <v>180</v>
      </c>
      <c r="E394" s="3" t="s">
        <v>2738</v>
      </c>
      <c r="F394" s="3" t="s">
        <v>2739</v>
      </c>
      <c r="G394" s="3">
        <v>3111</v>
      </c>
      <c r="H394" s="3" t="s">
        <v>318</v>
      </c>
      <c r="I394" s="3">
        <v>53742144</v>
      </c>
      <c r="J394" s="4">
        <v>41789</v>
      </c>
      <c r="K394" s="3" t="s">
        <v>2740</v>
      </c>
      <c r="L394" s="3" t="s">
        <v>30</v>
      </c>
      <c r="M394" s="3" t="s">
        <v>31</v>
      </c>
      <c r="N394" s="3" t="s">
        <v>44</v>
      </c>
      <c r="O394" s="3" t="s">
        <v>200</v>
      </c>
      <c r="P394" s="3" t="s">
        <v>2741</v>
      </c>
      <c r="Q394" s="3">
        <v>1642</v>
      </c>
      <c r="R394" s="3" t="s">
        <v>2742</v>
      </c>
      <c r="S394" s="3" t="s">
        <v>2743</v>
      </c>
      <c r="T394" s="3" t="s">
        <v>2740</v>
      </c>
      <c r="U394" s="3">
        <v>1153073821</v>
      </c>
      <c r="V394" s="3">
        <v>1153073821</v>
      </c>
      <c r="X394" s="3" t="s">
        <v>2744</v>
      </c>
      <c r="Y394" s="3">
        <v>0</v>
      </c>
    </row>
    <row r="395" spans="1:46" ht="13.2" x14ac:dyDescent="0.25">
      <c r="A395" s="2">
        <v>46083.910373842591</v>
      </c>
      <c r="B395" s="3" t="b">
        <v>0</v>
      </c>
      <c r="C395" s="3" t="s">
        <v>2745</v>
      </c>
      <c r="D395" s="3" t="s">
        <v>358</v>
      </c>
      <c r="E395" s="3" t="s">
        <v>1023</v>
      </c>
      <c r="F395" s="3" t="s">
        <v>2746</v>
      </c>
      <c r="G395" s="3">
        <v>224766</v>
      </c>
      <c r="H395" s="3" t="s">
        <v>470</v>
      </c>
      <c r="I395" s="3">
        <v>50703202</v>
      </c>
      <c r="J395" s="4">
        <v>40486</v>
      </c>
      <c r="K395" s="3" t="s">
        <v>2745</v>
      </c>
      <c r="L395" s="3" t="s">
        <v>43</v>
      </c>
      <c r="M395" s="3" t="s">
        <v>31</v>
      </c>
      <c r="N395" s="3" t="s">
        <v>44</v>
      </c>
      <c r="O395" s="3" t="s">
        <v>2747</v>
      </c>
      <c r="P395" s="3" t="s">
        <v>2748</v>
      </c>
      <c r="Q395" s="3">
        <v>1713</v>
      </c>
      <c r="R395" s="3" t="s">
        <v>1159</v>
      </c>
      <c r="S395" s="3" t="s">
        <v>2746</v>
      </c>
      <c r="T395" s="3" t="s">
        <v>2749</v>
      </c>
      <c r="U395" s="3">
        <v>1150478199</v>
      </c>
      <c r="V395" s="3">
        <v>1144191617</v>
      </c>
      <c r="X395" s="3" t="s">
        <v>49</v>
      </c>
      <c r="Y395" s="3" t="s">
        <v>2750</v>
      </c>
    </row>
    <row r="396" spans="1:46" ht="13.2" x14ac:dyDescent="0.25">
      <c r="A396" s="2">
        <v>46083.91773371528</v>
      </c>
      <c r="B396" s="3" t="b">
        <v>0</v>
      </c>
      <c r="C396" s="3" t="s">
        <v>2751</v>
      </c>
      <c r="D396" s="3" t="s">
        <v>180</v>
      </c>
      <c r="E396" s="3" t="s">
        <v>108</v>
      </c>
      <c r="F396" s="3" t="s">
        <v>2752</v>
      </c>
      <c r="G396" s="3">
        <v>3822</v>
      </c>
      <c r="H396" s="3" t="s">
        <v>452</v>
      </c>
      <c r="I396" s="3">
        <v>54892065</v>
      </c>
      <c r="J396" s="4">
        <v>42152</v>
      </c>
      <c r="K396" s="3" t="s">
        <v>2751</v>
      </c>
      <c r="L396" s="3" t="s">
        <v>43</v>
      </c>
      <c r="M396" s="3" t="s">
        <v>76</v>
      </c>
      <c r="N396" s="3" t="s">
        <v>142</v>
      </c>
      <c r="O396" s="3" t="s">
        <v>142</v>
      </c>
      <c r="P396" s="3" t="s">
        <v>2753</v>
      </c>
      <c r="Q396" s="3">
        <v>1125</v>
      </c>
      <c r="R396" s="3" t="s">
        <v>2754</v>
      </c>
      <c r="S396" s="3" t="s">
        <v>2755</v>
      </c>
      <c r="T396" s="3" t="s">
        <v>2751</v>
      </c>
      <c r="U396" s="3">
        <v>1144286381</v>
      </c>
      <c r="V396" s="3">
        <v>1144286381</v>
      </c>
      <c r="W396" s="3">
        <v>1165431733</v>
      </c>
      <c r="X396" s="3" t="s">
        <v>994</v>
      </c>
      <c r="Y396" s="3" t="s">
        <v>2756</v>
      </c>
    </row>
    <row r="397" spans="1:46" ht="13.2" x14ac:dyDescent="0.25">
      <c r="A397" s="2">
        <v>46083.922846319445</v>
      </c>
      <c r="B397" s="3" t="b">
        <v>0</v>
      </c>
      <c r="C397" s="3" t="s">
        <v>2757</v>
      </c>
      <c r="D397" s="3" t="s">
        <v>180</v>
      </c>
      <c r="E397" s="3" t="s">
        <v>2758</v>
      </c>
      <c r="F397" s="3" t="s">
        <v>2759</v>
      </c>
      <c r="G397" s="3">
        <v>3758</v>
      </c>
      <c r="H397" s="3" t="s">
        <v>352</v>
      </c>
      <c r="I397" s="3">
        <v>54904568</v>
      </c>
      <c r="J397" s="4">
        <v>42164</v>
      </c>
      <c r="K397" s="3" t="s">
        <v>2760</v>
      </c>
      <c r="L397" s="3" t="s">
        <v>30</v>
      </c>
      <c r="M397" s="3" t="s">
        <v>31</v>
      </c>
      <c r="N397" s="3" t="s">
        <v>240</v>
      </c>
      <c r="O397" s="3" t="s">
        <v>200</v>
      </c>
      <c r="P397" s="3" t="s">
        <v>2761</v>
      </c>
      <c r="Q397" s="3">
        <v>1644</v>
      </c>
      <c r="R397" s="3" t="s">
        <v>959</v>
      </c>
      <c r="S397" s="3" t="s">
        <v>2762</v>
      </c>
      <c r="T397" s="3" t="s">
        <v>2757</v>
      </c>
      <c r="U397" s="3">
        <v>1140347713</v>
      </c>
      <c r="V397" s="3">
        <v>1140347713</v>
      </c>
      <c r="W397" s="3">
        <v>1131918406</v>
      </c>
      <c r="X397" s="3" t="s">
        <v>115</v>
      </c>
      <c r="Y397" s="3">
        <v>60878308006</v>
      </c>
    </row>
    <row r="398" spans="1:46" ht="13.2" x14ac:dyDescent="0.25">
      <c r="A398" s="2">
        <v>46083.944033958338</v>
      </c>
      <c r="B398" s="3" t="b">
        <v>0</v>
      </c>
      <c r="C398" s="3" t="s">
        <v>2763</v>
      </c>
      <c r="D398" s="3" t="s">
        <v>26</v>
      </c>
      <c r="E398" s="3" t="s">
        <v>2138</v>
      </c>
      <c r="F398" s="3" t="s">
        <v>2764</v>
      </c>
      <c r="G398" s="3">
        <v>4144</v>
      </c>
      <c r="H398" s="3" t="s">
        <v>42</v>
      </c>
      <c r="I398" s="3">
        <v>51339867</v>
      </c>
      <c r="J398" s="4">
        <v>40854</v>
      </c>
      <c r="K398" s="3" t="s">
        <v>2763</v>
      </c>
      <c r="L398" s="3" t="s">
        <v>30</v>
      </c>
      <c r="M398" s="3" t="s">
        <v>31</v>
      </c>
      <c r="N398" s="3" t="s">
        <v>44</v>
      </c>
      <c r="O398" s="3" t="s">
        <v>2765</v>
      </c>
      <c r="P398" s="3" t="s">
        <v>2766</v>
      </c>
      <c r="Q398" s="3">
        <v>2800</v>
      </c>
      <c r="R398" s="3" t="s">
        <v>2767</v>
      </c>
      <c r="S398" s="3" t="s">
        <v>2764</v>
      </c>
      <c r="T398" s="3" t="s">
        <v>2763</v>
      </c>
      <c r="U398" s="3">
        <v>3487664811</v>
      </c>
      <c r="V398" s="3">
        <v>3487617188</v>
      </c>
      <c r="X398" s="3" t="s">
        <v>140</v>
      </c>
      <c r="Y398" s="3">
        <v>61904822002</v>
      </c>
    </row>
    <row r="399" spans="1:46" ht="13.2" x14ac:dyDescent="0.25">
      <c r="A399" s="2">
        <v>46083.963675370367</v>
      </c>
      <c r="B399" s="3" t="b">
        <v>0</v>
      </c>
      <c r="C399" s="3" t="s">
        <v>2768</v>
      </c>
      <c r="D399" s="3" t="s">
        <v>26</v>
      </c>
      <c r="E399" s="3" t="s">
        <v>2769</v>
      </c>
      <c r="F399" s="3" t="s">
        <v>2770</v>
      </c>
      <c r="G399" s="3">
        <v>4125</v>
      </c>
      <c r="H399" s="3" t="s">
        <v>1395</v>
      </c>
      <c r="I399" s="3">
        <v>54507457</v>
      </c>
      <c r="J399" s="4">
        <v>42121</v>
      </c>
      <c r="K399" s="3" t="s">
        <v>2768</v>
      </c>
      <c r="L399" s="3" t="s">
        <v>43</v>
      </c>
      <c r="M399" s="3" t="s">
        <v>31</v>
      </c>
      <c r="N399" s="3" t="s">
        <v>2771</v>
      </c>
      <c r="O399" s="3" t="s">
        <v>2772</v>
      </c>
      <c r="P399" s="3" t="s">
        <v>2773</v>
      </c>
      <c r="Q399" s="3">
        <v>2919</v>
      </c>
      <c r="R399" s="3" t="s">
        <v>2774</v>
      </c>
      <c r="S399" s="3" t="s">
        <v>2775</v>
      </c>
      <c r="T399" s="3" t="s">
        <v>2776</v>
      </c>
      <c r="U399" s="3">
        <v>3400659325</v>
      </c>
      <c r="V399" s="3">
        <v>3400474393</v>
      </c>
      <c r="X399" s="3" t="s">
        <v>2777</v>
      </c>
      <c r="Y399" s="3">
        <v>1234</v>
      </c>
    </row>
    <row r="400" spans="1:46" ht="13.2" x14ac:dyDescent="0.25">
      <c r="A400" s="2">
        <v>46084.275405856482</v>
      </c>
      <c r="B400" s="3" t="b">
        <v>0</v>
      </c>
      <c r="C400" s="3" t="s">
        <v>2778</v>
      </c>
      <c r="D400" s="3">
        <v>420</v>
      </c>
      <c r="E400" s="3" t="s">
        <v>2779</v>
      </c>
      <c r="F400" s="3" t="s">
        <v>2780</v>
      </c>
      <c r="G400" s="3">
        <v>54835</v>
      </c>
      <c r="H400" s="3" t="s">
        <v>74</v>
      </c>
      <c r="I400" s="3">
        <v>49123842</v>
      </c>
      <c r="J400" s="4">
        <v>39763</v>
      </c>
      <c r="K400" s="3" t="s">
        <v>2778</v>
      </c>
      <c r="L400" s="3" t="s">
        <v>30</v>
      </c>
      <c r="M400" s="3" t="s">
        <v>31</v>
      </c>
      <c r="N400" s="3" t="s">
        <v>44</v>
      </c>
      <c r="O400" s="3" t="s">
        <v>2781</v>
      </c>
      <c r="P400" s="3" t="s">
        <v>2782</v>
      </c>
      <c r="Q400" s="3">
        <v>2289</v>
      </c>
      <c r="R400" s="3" t="s">
        <v>2783</v>
      </c>
      <c r="S400" s="3" t="s">
        <v>2784</v>
      </c>
      <c r="T400" s="3" t="s">
        <v>2785</v>
      </c>
      <c r="U400" s="3">
        <v>1567852021</v>
      </c>
      <c r="V400" s="3">
        <v>1567852021</v>
      </c>
      <c r="W400" s="3">
        <v>1136922792</v>
      </c>
      <c r="X400" s="3" t="s">
        <v>140</v>
      </c>
      <c r="Y400" s="3">
        <v>61992527104</v>
      </c>
      <c r="Z400" s="3" t="s">
        <v>1926</v>
      </c>
      <c r="AA400" s="3" t="s">
        <v>2786</v>
      </c>
      <c r="AB400" s="3">
        <v>54835</v>
      </c>
      <c r="AC400" s="3" t="s">
        <v>74</v>
      </c>
      <c r="AD400" s="3">
        <v>48802463</v>
      </c>
      <c r="AE400" s="4">
        <v>39550</v>
      </c>
      <c r="AF400" s="3" t="s">
        <v>2787</v>
      </c>
      <c r="AG400" s="3" t="s">
        <v>30</v>
      </c>
      <c r="AH400" s="3" t="s">
        <v>31</v>
      </c>
      <c r="AI400" s="3" t="s">
        <v>285</v>
      </c>
      <c r="AJ400" s="3" t="s">
        <v>1059</v>
      </c>
      <c r="AK400" s="3" t="s">
        <v>2788</v>
      </c>
      <c r="AL400" s="3">
        <v>1636</v>
      </c>
      <c r="AM400" s="3" t="s">
        <v>1037</v>
      </c>
      <c r="AN400" s="3" t="s">
        <v>2789</v>
      </c>
      <c r="AO400" s="3" t="s">
        <v>2790</v>
      </c>
      <c r="AP400" s="3" t="s">
        <v>2791</v>
      </c>
      <c r="AQ400" s="3" t="s">
        <v>2791</v>
      </c>
      <c r="AR400" s="3" t="s">
        <v>2792</v>
      </c>
      <c r="AS400" s="3" t="s">
        <v>140</v>
      </c>
      <c r="AT400" s="3">
        <v>63235371503</v>
      </c>
    </row>
    <row r="401" spans="1:46" ht="13.2" x14ac:dyDescent="0.25">
      <c r="A401" s="2">
        <v>46084.348759525463</v>
      </c>
      <c r="B401" s="3" t="b">
        <v>0</v>
      </c>
      <c r="C401" s="3" t="s">
        <v>2793</v>
      </c>
      <c r="D401" s="3" t="s">
        <v>1700</v>
      </c>
      <c r="E401" s="3" t="s">
        <v>2629</v>
      </c>
      <c r="F401" s="3" t="s">
        <v>2794</v>
      </c>
      <c r="G401" s="3">
        <v>2571</v>
      </c>
      <c r="H401" s="3" t="s">
        <v>74</v>
      </c>
      <c r="I401" s="3">
        <v>48773227</v>
      </c>
      <c r="J401" s="4">
        <v>39586</v>
      </c>
      <c r="K401" s="3" t="s">
        <v>2795</v>
      </c>
      <c r="L401" s="3" t="s">
        <v>43</v>
      </c>
      <c r="M401" s="3" t="s">
        <v>31</v>
      </c>
      <c r="N401" s="3" t="s">
        <v>44</v>
      </c>
      <c r="O401" s="3" t="s">
        <v>664</v>
      </c>
      <c r="P401" s="3" t="s">
        <v>2796</v>
      </c>
      <c r="Q401" s="3">
        <v>1625</v>
      </c>
      <c r="R401" s="3" t="s">
        <v>2797</v>
      </c>
      <c r="S401" s="3" t="s">
        <v>2798</v>
      </c>
      <c r="T401" s="3" t="s">
        <v>2793</v>
      </c>
      <c r="U401" s="3" t="s">
        <v>2799</v>
      </c>
      <c r="V401" s="3" t="s">
        <v>2800</v>
      </c>
      <c r="W401" s="3" t="s">
        <v>2801</v>
      </c>
      <c r="X401" s="3" t="s">
        <v>2802</v>
      </c>
      <c r="Y401" s="3" t="s">
        <v>2803</v>
      </c>
      <c r="Z401" s="3" t="s">
        <v>2804</v>
      </c>
      <c r="AA401" s="3" t="s">
        <v>2207</v>
      </c>
      <c r="AB401" s="3">
        <v>2571</v>
      </c>
      <c r="AC401" s="3" t="s">
        <v>74</v>
      </c>
      <c r="AD401" s="3">
        <v>50805496</v>
      </c>
      <c r="AE401" s="4">
        <v>40564</v>
      </c>
      <c r="AF401" s="3" t="s">
        <v>2793</v>
      </c>
      <c r="AG401" s="3" t="s">
        <v>43</v>
      </c>
      <c r="AH401" s="3" t="s">
        <v>31</v>
      </c>
      <c r="AI401" s="3" t="s">
        <v>44</v>
      </c>
      <c r="AJ401" s="3" t="s">
        <v>664</v>
      </c>
      <c r="AK401" s="3" t="s">
        <v>2805</v>
      </c>
      <c r="AL401" s="3">
        <v>1625</v>
      </c>
      <c r="AM401" s="3" t="s">
        <v>2797</v>
      </c>
      <c r="AN401" s="3" t="s">
        <v>2798</v>
      </c>
      <c r="AO401" s="3" t="s">
        <v>2793</v>
      </c>
      <c r="AQ401" s="3" t="s">
        <v>2806</v>
      </c>
      <c r="AR401" s="3" t="s">
        <v>2801</v>
      </c>
      <c r="AS401" s="3" t="s">
        <v>49</v>
      </c>
      <c r="AT401" s="3" t="s">
        <v>2807</v>
      </c>
    </row>
    <row r="402" spans="1:46" ht="13.2" x14ac:dyDescent="0.25">
      <c r="A402" s="2">
        <v>46084.414542893515</v>
      </c>
      <c r="B402" s="3" t="b">
        <v>1</v>
      </c>
      <c r="C402" s="3" t="s">
        <v>2808</v>
      </c>
      <c r="D402" s="3" t="s">
        <v>26</v>
      </c>
      <c r="E402" s="3" t="s">
        <v>1587</v>
      </c>
      <c r="F402" s="3" t="s">
        <v>2809</v>
      </c>
      <c r="G402" s="3" t="s">
        <v>2810</v>
      </c>
      <c r="H402" s="3" t="s">
        <v>74</v>
      </c>
      <c r="I402" s="3">
        <v>52441977</v>
      </c>
      <c r="J402" s="4">
        <v>40998</v>
      </c>
      <c r="K402" s="3" t="s">
        <v>2808</v>
      </c>
      <c r="L402" s="3" t="s">
        <v>30</v>
      </c>
      <c r="M402" s="3" t="s">
        <v>31</v>
      </c>
      <c r="N402" s="3" t="s">
        <v>2811</v>
      </c>
      <c r="O402" s="3" t="s">
        <v>569</v>
      </c>
      <c r="P402" s="3" t="s">
        <v>2812</v>
      </c>
      <c r="Q402" s="3">
        <v>1425</v>
      </c>
      <c r="R402" s="3" t="s">
        <v>2813</v>
      </c>
      <c r="S402" s="3" t="s">
        <v>2809</v>
      </c>
      <c r="T402" s="3" t="s">
        <v>2808</v>
      </c>
      <c r="U402" s="3">
        <v>1163217878</v>
      </c>
      <c r="V402" s="3" t="s">
        <v>2814</v>
      </c>
      <c r="W402" s="3" t="s">
        <v>2815</v>
      </c>
      <c r="X402" s="3" t="s">
        <v>140</v>
      </c>
      <c r="Y402" s="3">
        <v>60916820602</v>
      </c>
    </row>
    <row r="403" spans="1:46" ht="13.2" x14ac:dyDescent="0.25">
      <c r="A403" s="2">
        <v>46084.455716886572</v>
      </c>
      <c r="B403" s="3" t="b">
        <v>0</v>
      </c>
      <c r="C403" s="3" t="s">
        <v>2816</v>
      </c>
      <c r="D403" s="3" t="s">
        <v>180</v>
      </c>
      <c r="E403" s="3" t="s">
        <v>2817</v>
      </c>
      <c r="F403" s="3" t="s">
        <v>2818</v>
      </c>
      <c r="G403" s="3">
        <v>3707</v>
      </c>
      <c r="H403" s="3" t="s">
        <v>1741</v>
      </c>
      <c r="I403" s="3">
        <v>54103444</v>
      </c>
      <c r="J403" s="4">
        <v>41801</v>
      </c>
      <c r="K403" s="3" t="s">
        <v>2816</v>
      </c>
      <c r="L403" s="3" t="s">
        <v>30</v>
      </c>
      <c r="M403" s="3" t="s">
        <v>31</v>
      </c>
      <c r="N403" s="3" t="s">
        <v>44</v>
      </c>
      <c r="O403" s="3" t="s">
        <v>791</v>
      </c>
      <c r="P403" s="3" t="s">
        <v>1350</v>
      </c>
      <c r="Q403" s="3">
        <v>1646</v>
      </c>
      <c r="R403" s="3" t="s">
        <v>1088</v>
      </c>
      <c r="S403" s="3" t="s">
        <v>2818</v>
      </c>
      <c r="T403" s="3" t="s">
        <v>2816</v>
      </c>
      <c r="U403" s="3">
        <v>1125260049</v>
      </c>
      <c r="V403" s="3">
        <v>1155010876</v>
      </c>
      <c r="W403" s="3">
        <v>1153320049</v>
      </c>
      <c r="X403" s="3" t="s">
        <v>211</v>
      </c>
      <c r="Y403" s="3">
        <v>63307319804</v>
      </c>
      <c r="Z403" s="3" t="s">
        <v>2817</v>
      </c>
      <c r="AA403" s="3" t="s">
        <v>2818</v>
      </c>
      <c r="AB403" s="3">
        <v>3707</v>
      </c>
      <c r="AC403" s="3" t="s">
        <v>1741</v>
      </c>
      <c r="AD403" s="3">
        <v>54103444</v>
      </c>
      <c r="AE403" s="4">
        <v>41801</v>
      </c>
      <c r="AF403" s="3" t="s">
        <v>2816</v>
      </c>
      <c r="AG403" s="3" t="s">
        <v>30</v>
      </c>
      <c r="AH403" s="3" t="s">
        <v>31</v>
      </c>
      <c r="AI403" s="3" t="s">
        <v>44</v>
      </c>
      <c r="AJ403" s="3" t="s">
        <v>2819</v>
      </c>
      <c r="AK403" s="3" t="s">
        <v>1350</v>
      </c>
      <c r="AL403" s="3">
        <v>1646</v>
      </c>
      <c r="AM403" s="3" t="s">
        <v>1088</v>
      </c>
      <c r="AN403" s="3" t="s">
        <v>2818</v>
      </c>
      <c r="AO403" s="3" t="s">
        <v>2816</v>
      </c>
      <c r="AP403" s="3">
        <v>1125260049</v>
      </c>
      <c r="AQ403" s="3">
        <v>1155010876</v>
      </c>
      <c r="AR403" s="3">
        <v>1153320049</v>
      </c>
      <c r="AS403" s="3" t="s">
        <v>211</v>
      </c>
      <c r="AT403" s="3">
        <v>63307319804</v>
      </c>
    </row>
    <row r="404" spans="1:46" ht="13.2" x14ac:dyDescent="0.25">
      <c r="A404" s="2">
        <v>46084.46032648148</v>
      </c>
      <c r="B404" s="3" t="b">
        <v>0</v>
      </c>
      <c r="C404" s="3" t="s">
        <v>2820</v>
      </c>
      <c r="D404" s="3" t="s">
        <v>1700</v>
      </c>
      <c r="E404" s="3" t="s">
        <v>1593</v>
      </c>
      <c r="F404" s="3" t="s">
        <v>2821</v>
      </c>
      <c r="G404" s="3" t="s">
        <v>2822</v>
      </c>
      <c r="H404" s="3" t="s">
        <v>2823</v>
      </c>
      <c r="I404" s="3">
        <v>49608568</v>
      </c>
      <c r="J404" s="4">
        <v>40071</v>
      </c>
      <c r="K404" s="3" t="s">
        <v>2824</v>
      </c>
      <c r="L404" s="3" t="s">
        <v>43</v>
      </c>
      <c r="M404" s="3" t="s">
        <v>31</v>
      </c>
      <c r="N404" s="3" t="s">
        <v>44</v>
      </c>
      <c r="O404" s="3" t="s">
        <v>2825</v>
      </c>
      <c r="P404" s="3" t="s">
        <v>2826</v>
      </c>
      <c r="Q404" s="3">
        <v>2900</v>
      </c>
      <c r="R404" s="3" t="s">
        <v>2827</v>
      </c>
      <c r="S404" s="3" t="s">
        <v>2828</v>
      </c>
      <c r="T404" s="3" t="s">
        <v>2820</v>
      </c>
      <c r="U404" s="3" t="s">
        <v>2829</v>
      </c>
      <c r="V404" s="3" t="s">
        <v>2829</v>
      </c>
      <c r="W404" s="3" t="s">
        <v>2830</v>
      </c>
      <c r="X404" s="3" t="s">
        <v>2831</v>
      </c>
      <c r="Y404" s="5" t="s">
        <v>2832</v>
      </c>
      <c r="Z404" s="3" t="s">
        <v>672</v>
      </c>
      <c r="AA404" s="3" t="s">
        <v>2833</v>
      </c>
      <c r="AB404" s="3" t="s">
        <v>2822</v>
      </c>
      <c r="AC404" s="3" t="s">
        <v>2834</v>
      </c>
      <c r="AD404" s="3">
        <v>49510850</v>
      </c>
      <c r="AE404" s="4">
        <v>39950</v>
      </c>
      <c r="AF404" s="3" t="s">
        <v>2820</v>
      </c>
      <c r="AG404" s="3" t="s">
        <v>43</v>
      </c>
      <c r="AH404" s="3" t="s">
        <v>31</v>
      </c>
      <c r="AI404" s="3" t="s">
        <v>1228</v>
      </c>
      <c r="AJ404" s="3" t="s">
        <v>2835</v>
      </c>
      <c r="AK404" s="3" t="s">
        <v>2836</v>
      </c>
      <c r="AL404" s="3" t="s">
        <v>2837</v>
      </c>
      <c r="AM404" s="3" t="s">
        <v>1423</v>
      </c>
      <c r="AN404" s="3" t="s">
        <v>2838</v>
      </c>
      <c r="AO404" s="3" t="s">
        <v>2820</v>
      </c>
      <c r="AP404" s="3" t="s">
        <v>2839</v>
      </c>
      <c r="AQ404" s="3" t="s">
        <v>2839</v>
      </c>
      <c r="AR404" s="3" t="s">
        <v>2840</v>
      </c>
      <c r="AS404" s="3" t="s">
        <v>2841</v>
      </c>
      <c r="AT404" s="3">
        <v>2017872330903</v>
      </c>
    </row>
    <row r="405" spans="1:46" ht="13.2" x14ac:dyDescent="0.25">
      <c r="A405" s="2">
        <v>46084.524201643522</v>
      </c>
      <c r="B405" s="3" t="b">
        <v>0</v>
      </c>
      <c r="C405" s="3" t="s">
        <v>1039</v>
      </c>
      <c r="D405" s="3" t="s">
        <v>180</v>
      </c>
      <c r="E405" s="3" t="s">
        <v>1199</v>
      </c>
      <c r="F405" s="3" t="s">
        <v>1040</v>
      </c>
      <c r="G405" s="3">
        <v>4905</v>
      </c>
      <c r="H405" s="3" t="s">
        <v>470</v>
      </c>
      <c r="I405" s="3">
        <v>55391838</v>
      </c>
      <c r="J405" s="4">
        <v>42032</v>
      </c>
      <c r="K405" s="3" t="s">
        <v>1039</v>
      </c>
      <c r="L405" s="3" t="s">
        <v>43</v>
      </c>
      <c r="M405" s="3" t="s">
        <v>31</v>
      </c>
      <c r="N405" s="3" t="s">
        <v>44</v>
      </c>
      <c r="O405" s="3" t="s">
        <v>92</v>
      </c>
      <c r="P405" s="3" t="s">
        <v>2842</v>
      </c>
      <c r="Q405" s="3">
        <v>1426</v>
      </c>
      <c r="R405" s="3" t="s">
        <v>1042</v>
      </c>
      <c r="S405" s="3" t="s">
        <v>1040</v>
      </c>
      <c r="T405" s="3" t="s">
        <v>1039</v>
      </c>
      <c r="U405" s="3" t="s">
        <v>1043</v>
      </c>
      <c r="V405" s="3" t="s">
        <v>1044</v>
      </c>
      <c r="W405" s="3" t="s">
        <v>1043</v>
      </c>
      <c r="X405" s="3" t="s">
        <v>140</v>
      </c>
      <c r="Y405" s="3">
        <v>61073542903</v>
      </c>
    </row>
    <row r="406" spans="1:46" ht="13.2" x14ac:dyDescent="0.25">
      <c r="A406" s="2">
        <v>46084.526383923614</v>
      </c>
      <c r="B406" s="3" t="b">
        <v>0</v>
      </c>
      <c r="C406" s="3" t="s">
        <v>2843</v>
      </c>
      <c r="D406" s="3" t="s">
        <v>358</v>
      </c>
      <c r="E406" s="3" t="s">
        <v>2844</v>
      </c>
      <c r="F406" s="3" t="s">
        <v>2845</v>
      </c>
      <c r="G406" s="3">
        <v>199535</v>
      </c>
      <c r="H406" s="3" t="s">
        <v>318</v>
      </c>
      <c r="I406" s="3">
        <v>48031552</v>
      </c>
      <c r="J406" s="4">
        <v>39183</v>
      </c>
      <c r="K406" s="3" t="s">
        <v>2846</v>
      </c>
      <c r="L406" s="3" t="s">
        <v>43</v>
      </c>
      <c r="M406" s="3" t="s">
        <v>311</v>
      </c>
      <c r="N406" s="3" t="s">
        <v>2847</v>
      </c>
      <c r="O406" s="3" t="s">
        <v>2848</v>
      </c>
      <c r="P406" s="3" t="s">
        <v>2849</v>
      </c>
      <c r="Q406" s="3">
        <v>1640</v>
      </c>
      <c r="R406" s="3" t="s">
        <v>2850</v>
      </c>
      <c r="S406" s="3" t="s">
        <v>2845</v>
      </c>
      <c r="T406" s="3" t="s">
        <v>2843</v>
      </c>
      <c r="U406" s="3">
        <v>58791952</v>
      </c>
      <c r="V406" s="3">
        <v>68183562</v>
      </c>
      <c r="X406" s="3" t="s">
        <v>211</v>
      </c>
      <c r="Y406" s="3">
        <v>60885442406</v>
      </c>
    </row>
    <row r="407" spans="1:46" ht="13.2" x14ac:dyDescent="0.25">
      <c r="A407" s="2">
        <v>46084.534424895828</v>
      </c>
      <c r="B407" s="3" t="b">
        <v>0</v>
      </c>
      <c r="C407" s="3" t="s">
        <v>2851</v>
      </c>
      <c r="D407" s="3" t="s">
        <v>1700</v>
      </c>
      <c r="E407" s="3" t="s">
        <v>2852</v>
      </c>
      <c r="F407" s="3" t="s">
        <v>2853</v>
      </c>
      <c r="G407" s="5" t="s">
        <v>2854</v>
      </c>
      <c r="H407" s="3" t="s">
        <v>2855</v>
      </c>
      <c r="I407" s="3">
        <v>47955823</v>
      </c>
      <c r="J407" s="4">
        <v>40390</v>
      </c>
      <c r="K407" s="3" t="s">
        <v>2851</v>
      </c>
      <c r="L407" s="3" t="s">
        <v>43</v>
      </c>
      <c r="M407" s="3" t="s">
        <v>415</v>
      </c>
      <c r="N407" s="3" t="s">
        <v>384</v>
      </c>
      <c r="O407" s="3" t="s">
        <v>2856</v>
      </c>
      <c r="P407" s="3" t="s">
        <v>2857</v>
      </c>
      <c r="Q407" s="3">
        <v>1636</v>
      </c>
      <c r="V407" s="3">
        <v>1141906581</v>
      </c>
      <c r="X407" s="3" t="s">
        <v>211</v>
      </c>
      <c r="Y407" s="3">
        <v>4838922</v>
      </c>
      <c r="Z407" s="3" t="s">
        <v>1619</v>
      </c>
      <c r="AA407" s="3" t="s">
        <v>2273</v>
      </c>
      <c r="AB407" s="5" t="s">
        <v>2854</v>
      </c>
      <c r="AC407" s="3" t="s">
        <v>2855</v>
      </c>
      <c r="AD407" s="3">
        <v>46873499</v>
      </c>
      <c r="AE407" s="4">
        <v>39510</v>
      </c>
      <c r="AF407" s="3" t="s">
        <v>2851</v>
      </c>
      <c r="AG407" s="3" t="s">
        <v>43</v>
      </c>
      <c r="AH407" s="3" t="s">
        <v>415</v>
      </c>
      <c r="AI407" s="3" t="s">
        <v>384</v>
      </c>
      <c r="AJ407" s="3" t="s">
        <v>2858</v>
      </c>
      <c r="AK407" s="3" t="s">
        <v>2857</v>
      </c>
      <c r="AL407" s="3">
        <v>1636</v>
      </c>
      <c r="AQ407" s="3">
        <v>1141906581</v>
      </c>
      <c r="AS407" s="3" t="s">
        <v>211</v>
      </c>
      <c r="AT407" s="3">
        <v>37474638</v>
      </c>
    </row>
    <row r="408" spans="1:46" ht="13.2" x14ac:dyDescent="0.25">
      <c r="A408" s="2">
        <v>46084.538249502315</v>
      </c>
      <c r="B408" s="3" t="b">
        <v>0</v>
      </c>
      <c r="C408" s="3" t="s">
        <v>2859</v>
      </c>
      <c r="D408" s="3" t="s">
        <v>180</v>
      </c>
      <c r="E408" s="3" t="s">
        <v>2860</v>
      </c>
      <c r="F408" s="3" t="s">
        <v>2861</v>
      </c>
      <c r="G408" s="3">
        <v>3879</v>
      </c>
      <c r="H408" s="3" t="s">
        <v>452</v>
      </c>
      <c r="I408" s="3">
        <v>54625202</v>
      </c>
      <c r="J408" s="4">
        <v>42034</v>
      </c>
      <c r="K408" s="3" t="s">
        <v>2859</v>
      </c>
      <c r="L408" s="3" t="s">
        <v>43</v>
      </c>
      <c r="M408" s="3" t="s">
        <v>31</v>
      </c>
      <c r="N408" s="3" t="s">
        <v>44</v>
      </c>
      <c r="O408" s="3" t="s">
        <v>829</v>
      </c>
      <c r="P408" s="3" t="s">
        <v>2862</v>
      </c>
      <c r="Q408" s="3">
        <v>1609</v>
      </c>
      <c r="R408" s="3" t="s">
        <v>1412</v>
      </c>
      <c r="S408" s="3" t="s">
        <v>2861</v>
      </c>
      <c r="T408" s="3" t="s">
        <v>2859</v>
      </c>
      <c r="U408" s="3">
        <v>1168631015</v>
      </c>
      <c r="V408" s="3">
        <v>1168631015</v>
      </c>
      <c r="W408" s="3">
        <v>1168625802</v>
      </c>
      <c r="X408" s="3" t="s">
        <v>717</v>
      </c>
      <c r="Y408" s="3" t="s">
        <v>2863</v>
      </c>
    </row>
    <row r="409" spans="1:46" ht="13.2" x14ac:dyDescent="0.25">
      <c r="A409" s="2">
        <v>46084.549928715278</v>
      </c>
      <c r="B409" s="3" t="b">
        <v>0</v>
      </c>
      <c r="C409" s="3" t="s">
        <v>2864</v>
      </c>
      <c r="D409" s="3">
        <v>420</v>
      </c>
      <c r="E409" s="3" t="s">
        <v>2844</v>
      </c>
      <c r="F409" s="3" t="s">
        <v>2865</v>
      </c>
      <c r="G409" s="3">
        <v>57292</v>
      </c>
      <c r="H409" s="3" t="s">
        <v>198</v>
      </c>
      <c r="I409" s="3">
        <v>47573048</v>
      </c>
      <c r="J409" s="4">
        <v>39027</v>
      </c>
      <c r="K409" s="3" t="s">
        <v>2864</v>
      </c>
      <c r="L409" s="3" t="s">
        <v>43</v>
      </c>
      <c r="M409" s="3" t="s">
        <v>311</v>
      </c>
      <c r="N409" s="3" t="s">
        <v>312</v>
      </c>
      <c r="O409" s="3" t="s">
        <v>312</v>
      </c>
      <c r="P409" s="3" t="s">
        <v>2866</v>
      </c>
      <c r="Q409" s="3">
        <v>1430</v>
      </c>
      <c r="V409" s="3">
        <v>1134668250</v>
      </c>
      <c r="W409" s="3">
        <v>1162696328</v>
      </c>
      <c r="X409" s="3" t="s">
        <v>2867</v>
      </c>
      <c r="Y409" s="3" t="s">
        <v>2868</v>
      </c>
      <c r="Z409" s="3" t="s">
        <v>2869</v>
      </c>
      <c r="AA409" s="3" t="s">
        <v>2870</v>
      </c>
      <c r="AB409" s="3">
        <v>57292</v>
      </c>
      <c r="AC409" s="3" t="s">
        <v>198</v>
      </c>
      <c r="AD409" s="3">
        <v>47572662</v>
      </c>
      <c r="AE409" s="4">
        <v>39043</v>
      </c>
      <c r="AF409" s="3" t="s">
        <v>2864</v>
      </c>
      <c r="AG409" s="3" t="s">
        <v>43</v>
      </c>
      <c r="AH409" s="3" t="s">
        <v>311</v>
      </c>
      <c r="AI409" s="3" t="s">
        <v>312</v>
      </c>
      <c r="AJ409" s="3" t="s">
        <v>312</v>
      </c>
      <c r="AK409" s="3" t="s">
        <v>2866</v>
      </c>
      <c r="AL409" s="3">
        <v>1430</v>
      </c>
      <c r="AQ409" s="3">
        <v>1134668250</v>
      </c>
      <c r="AR409" s="3">
        <v>1162696328</v>
      </c>
      <c r="AS409" s="3" t="s">
        <v>2871</v>
      </c>
      <c r="AT409" s="3">
        <v>61487609403</v>
      </c>
    </row>
    <row r="410" spans="1:46" ht="13.2" x14ac:dyDescent="0.25">
      <c r="A410" s="2">
        <v>46084.559491585649</v>
      </c>
      <c r="B410" s="3" t="b">
        <v>0</v>
      </c>
      <c r="C410" s="3" t="s">
        <v>2872</v>
      </c>
      <c r="D410" s="3">
        <v>420</v>
      </c>
      <c r="E410" s="3" t="s">
        <v>2873</v>
      </c>
      <c r="F410" s="3" t="s">
        <v>2874</v>
      </c>
      <c r="G410" s="3">
        <v>57448</v>
      </c>
      <c r="H410" s="3" t="s">
        <v>318</v>
      </c>
      <c r="I410" s="3">
        <v>54994617</v>
      </c>
      <c r="J410" s="4">
        <v>40307</v>
      </c>
      <c r="K410" s="3" t="s">
        <v>2872</v>
      </c>
      <c r="L410" s="3" t="s">
        <v>30</v>
      </c>
      <c r="M410" s="3" t="s">
        <v>311</v>
      </c>
      <c r="N410" s="3" t="s">
        <v>384</v>
      </c>
      <c r="O410" s="3" t="s">
        <v>2875</v>
      </c>
      <c r="P410" s="3" t="s">
        <v>2876</v>
      </c>
      <c r="Q410" s="3">
        <v>1629</v>
      </c>
      <c r="R410" s="3" t="s">
        <v>2877</v>
      </c>
      <c r="S410" s="3" t="s">
        <v>2878</v>
      </c>
      <c r="T410" s="3" t="s">
        <v>2879</v>
      </c>
      <c r="U410" s="3" t="s">
        <v>2880</v>
      </c>
      <c r="V410" s="3" t="s">
        <v>2880</v>
      </c>
      <c r="X410" s="3" t="s">
        <v>211</v>
      </c>
      <c r="Y410" s="3">
        <v>62659775005</v>
      </c>
      <c r="Z410" s="3" t="s">
        <v>2881</v>
      </c>
      <c r="AA410" s="3" t="s">
        <v>2882</v>
      </c>
      <c r="AB410" s="3">
        <v>57448</v>
      </c>
      <c r="AC410" s="3" t="s">
        <v>318</v>
      </c>
      <c r="AD410" s="3">
        <v>49257931</v>
      </c>
      <c r="AE410" s="4">
        <v>39847</v>
      </c>
      <c r="AF410" s="3" t="s">
        <v>2883</v>
      </c>
      <c r="AG410" s="3" t="s">
        <v>30</v>
      </c>
      <c r="AH410" s="3" t="s">
        <v>2464</v>
      </c>
      <c r="AI410" s="3" t="s">
        <v>92</v>
      </c>
      <c r="AK410" s="3" t="s">
        <v>2884</v>
      </c>
      <c r="AL410" s="3">
        <v>1428</v>
      </c>
      <c r="AM410" s="3" t="s">
        <v>2885</v>
      </c>
      <c r="AN410" s="3" t="s">
        <v>2882</v>
      </c>
      <c r="AO410" s="3" t="s">
        <v>2883</v>
      </c>
      <c r="AP410" s="3" t="s">
        <v>2886</v>
      </c>
      <c r="AQ410" s="3" t="s">
        <v>2886</v>
      </c>
      <c r="AS410" s="3" t="s">
        <v>2887</v>
      </c>
      <c r="AT410" s="3" t="s">
        <v>2888</v>
      </c>
    </row>
    <row r="411" spans="1:46" ht="13.2" x14ac:dyDescent="0.25">
      <c r="A411" s="2">
        <v>46084.668200810185</v>
      </c>
      <c r="B411" s="3" t="b">
        <v>0</v>
      </c>
      <c r="C411" s="3" t="s">
        <v>2889</v>
      </c>
      <c r="D411" s="3" t="s">
        <v>26</v>
      </c>
      <c r="E411" s="3" t="s">
        <v>2890</v>
      </c>
      <c r="F411" s="3" t="s">
        <v>2891</v>
      </c>
      <c r="G411" s="3">
        <v>4268</v>
      </c>
      <c r="H411" s="3" t="s">
        <v>42</v>
      </c>
      <c r="I411" s="3">
        <v>53084562</v>
      </c>
      <c r="J411" s="4">
        <v>41330</v>
      </c>
      <c r="K411" s="3" t="s">
        <v>2889</v>
      </c>
      <c r="L411" s="3" t="s">
        <v>43</v>
      </c>
      <c r="M411" s="3" t="s">
        <v>31</v>
      </c>
      <c r="N411" s="3" t="s">
        <v>44</v>
      </c>
      <c r="O411" s="3" t="s">
        <v>45</v>
      </c>
      <c r="P411" s="3" t="s">
        <v>2892</v>
      </c>
      <c r="Q411" s="3">
        <v>2800</v>
      </c>
      <c r="R411" s="3" t="s">
        <v>853</v>
      </c>
      <c r="S411" s="3" t="s">
        <v>2893</v>
      </c>
      <c r="T411" s="3" t="s">
        <v>2889</v>
      </c>
      <c r="U411" s="3">
        <v>3487675440</v>
      </c>
      <c r="V411" s="3">
        <v>3487675440</v>
      </c>
      <c r="X411" s="3" t="s">
        <v>1018</v>
      </c>
      <c r="Y411" s="5" t="s">
        <v>2894</v>
      </c>
    </row>
    <row r="412" spans="1:46" ht="13.2" x14ac:dyDescent="0.25">
      <c r="A412" s="2">
        <v>46084.729955613424</v>
      </c>
      <c r="B412" s="3" t="b">
        <v>0</v>
      </c>
      <c r="C412" s="3" t="s">
        <v>2895</v>
      </c>
      <c r="D412" s="3" t="s">
        <v>497</v>
      </c>
      <c r="E412" s="3" t="s">
        <v>2896</v>
      </c>
      <c r="F412" s="3" t="s">
        <v>2897</v>
      </c>
      <c r="G412" s="3">
        <v>11</v>
      </c>
      <c r="H412" s="3" t="s">
        <v>352</v>
      </c>
      <c r="I412" s="3">
        <v>48793632</v>
      </c>
      <c r="J412" s="4">
        <v>39631</v>
      </c>
      <c r="K412" s="3" t="s">
        <v>2895</v>
      </c>
      <c r="L412" s="3" t="s">
        <v>30</v>
      </c>
      <c r="M412" s="3" t="s">
        <v>2464</v>
      </c>
      <c r="N412" s="3" t="s">
        <v>384</v>
      </c>
      <c r="O412" s="3" t="s">
        <v>384</v>
      </c>
      <c r="P412" s="3" t="s">
        <v>2898</v>
      </c>
      <c r="Q412" s="3">
        <v>1640</v>
      </c>
      <c r="R412" s="3" t="s">
        <v>2899</v>
      </c>
      <c r="S412" s="3" t="s">
        <v>2900</v>
      </c>
      <c r="T412" s="3" t="s">
        <v>2901</v>
      </c>
      <c r="U412" s="3">
        <v>1550575173</v>
      </c>
      <c r="V412" s="3">
        <v>1165318147</v>
      </c>
      <c r="W412" s="3">
        <v>1550575173</v>
      </c>
      <c r="X412" s="3" t="s">
        <v>2902</v>
      </c>
      <c r="Y412" s="3">
        <v>10639810773803</v>
      </c>
    </row>
    <row r="413" spans="1:46" ht="13.2" x14ac:dyDescent="0.25">
      <c r="A413" s="2">
        <v>46084.766095254628</v>
      </c>
      <c r="B413" s="3" t="b">
        <v>1</v>
      </c>
      <c r="C413" s="3" t="s">
        <v>2903</v>
      </c>
      <c r="D413" s="3" t="s">
        <v>180</v>
      </c>
      <c r="E413" s="3" t="s">
        <v>2904</v>
      </c>
      <c r="F413" s="3" t="s">
        <v>2905</v>
      </c>
      <c r="G413" s="3">
        <v>4044</v>
      </c>
      <c r="H413" s="3" t="s">
        <v>352</v>
      </c>
      <c r="I413" s="3">
        <v>55495251</v>
      </c>
      <c r="J413" s="4">
        <v>42447</v>
      </c>
      <c r="K413" s="3" t="s">
        <v>2906</v>
      </c>
      <c r="L413" s="3" t="s">
        <v>43</v>
      </c>
      <c r="M413" s="3" t="s">
        <v>76</v>
      </c>
      <c r="N413" s="3" t="s">
        <v>285</v>
      </c>
      <c r="O413" s="3" t="s">
        <v>492</v>
      </c>
      <c r="P413" s="3" t="s">
        <v>2907</v>
      </c>
      <c r="Q413" s="3">
        <v>1642</v>
      </c>
      <c r="R413" s="3" t="s">
        <v>2908</v>
      </c>
      <c r="S413" s="3" t="s">
        <v>2909</v>
      </c>
      <c r="T413" s="3" t="s">
        <v>2903</v>
      </c>
      <c r="U413" s="3">
        <v>1167212633</v>
      </c>
      <c r="V413" s="3">
        <v>1130367980</v>
      </c>
      <c r="W413" s="3">
        <v>1167212633</v>
      </c>
      <c r="X413" s="3" t="s">
        <v>115</v>
      </c>
      <c r="Y413" s="3">
        <v>61614377904</v>
      </c>
      <c r="Z413" s="3" t="s">
        <v>2910</v>
      </c>
      <c r="AA413" s="3" t="s">
        <v>2905</v>
      </c>
      <c r="AB413" s="3">
        <v>4044</v>
      </c>
      <c r="AC413" s="3" t="s">
        <v>352</v>
      </c>
      <c r="AD413" s="3">
        <v>55495251</v>
      </c>
      <c r="AE413" s="4">
        <v>42447</v>
      </c>
      <c r="AF413" s="3" t="s">
        <v>2906</v>
      </c>
      <c r="AG413" s="3" t="s">
        <v>43</v>
      </c>
      <c r="AH413" s="3" t="s">
        <v>31</v>
      </c>
      <c r="AI413" s="3" t="s">
        <v>44</v>
      </c>
      <c r="AJ413" s="3" t="s">
        <v>172</v>
      </c>
      <c r="AK413" s="3" t="s">
        <v>2907</v>
      </c>
      <c r="AL413" s="3">
        <v>1642</v>
      </c>
      <c r="AM413" s="3" t="s">
        <v>2911</v>
      </c>
      <c r="AN413" s="3" t="s">
        <v>2912</v>
      </c>
      <c r="AO413" s="3" t="s">
        <v>2906</v>
      </c>
      <c r="AP413" s="3">
        <v>1167212633</v>
      </c>
      <c r="AQ413" s="3">
        <v>1130367980</v>
      </c>
      <c r="AR413" s="3">
        <v>1167212633</v>
      </c>
      <c r="AS413" s="3" t="s">
        <v>211</v>
      </c>
      <c r="AT413" s="3">
        <v>61614377904</v>
      </c>
    </row>
    <row r="414" spans="1:46" ht="13.2" x14ac:dyDescent="0.25">
      <c r="A414" s="2">
        <v>46084.797328692133</v>
      </c>
      <c r="B414" s="3" t="b">
        <v>1</v>
      </c>
      <c r="C414" s="3" t="s">
        <v>2913</v>
      </c>
      <c r="D414" s="3" t="s">
        <v>180</v>
      </c>
      <c r="E414" s="3" t="s">
        <v>2914</v>
      </c>
      <c r="F414" s="3" t="s">
        <v>2915</v>
      </c>
      <c r="G414" s="3">
        <v>3868</v>
      </c>
      <c r="H414" s="3" t="s">
        <v>352</v>
      </c>
      <c r="I414" s="3">
        <v>54797935</v>
      </c>
      <c r="J414" s="4">
        <v>42123</v>
      </c>
      <c r="K414" s="3" t="s">
        <v>2913</v>
      </c>
      <c r="L414" s="3" t="s">
        <v>43</v>
      </c>
      <c r="M414" s="3" t="s">
        <v>31</v>
      </c>
      <c r="N414" s="3" t="s">
        <v>44</v>
      </c>
      <c r="O414" s="3" t="s">
        <v>92</v>
      </c>
      <c r="P414" s="3" t="s">
        <v>2916</v>
      </c>
      <c r="Q414" s="3">
        <v>1425</v>
      </c>
      <c r="R414" s="3" t="s">
        <v>2021</v>
      </c>
      <c r="S414" s="3" t="s">
        <v>2917</v>
      </c>
      <c r="T414" s="3" t="s">
        <v>2913</v>
      </c>
      <c r="U414" s="3">
        <v>1141647489</v>
      </c>
      <c r="V414" s="3">
        <v>1141647489</v>
      </c>
      <c r="W414" s="3">
        <v>1155815965</v>
      </c>
      <c r="X414" s="3" t="s">
        <v>140</v>
      </c>
      <c r="Y414" s="3">
        <v>62150237404</v>
      </c>
    </row>
    <row r="415" spans="1:46" ht="13.2" x14ac:dyDescent="0.25">
      <c r="A415" s="2">
        <v>46085.340836678239</v>
      </c>
      <c r="B415" s="3" t="b">
        <v>0</v>
      </c>
      <c r="C415" s="3" t="s">
        <v>2918</v>
      </c>
      <c r="D415" s="3" t="s">
        <v>358</v>
      </c>
      <c r="E415" s="3" t="s">
        <v>899</v>
      </c>
      <c r="F415" s="3" t="s">
        <v>2919</v>
      </c>
      <c r="G415" s="3">
        <v>216677</v>
      </c>
      <c r="H415" s="3" t="s">
        <v>352</v>
      </c>
      <c r="I415" s="3">
        <v>23903120</v>
      </c>
      <c r="J415" s="4">
        <v>27099</v>
      </c>
      <c r="K415" s="3" t="s">
        <v>2918</v>
      </c>
      <c r="L415" s="3" t="s">
        <v>43</v>
      </c>
      <c r="M415" s="3" t="s">
        <v>31</v>
      </c>
      <c r="N415" s="3" t="s">
        <v>44</v>
      </c>
      <c r="O415" s="3" t="s">
        <v>44</v>
      </c>
      <c r="P415" s="3" t="s">
        <v>2920</v>
      </c>
      <c r="Q415" s="3">
        <v>1429</v>
      </c>
      <c r="V415" s="3">
        <v>1150056628</v>
      </c>
      <c r="X415" s="3" t="s">
        <v>115</v>
      </c>
      <c r="Y415" s="3">
        <v>6128048271</v>
      </c>
    </row>
    <row r="416" spans="1:46" ht="13.2" x14ac:dyDescent="0.25">
      <c r="A416" s="2">
        <v>46085.356569664349</v>
      </c>
      <c r="B416" s="3" t="b">
        <v>0</v>
      </c>
      <c r="C416" s="3" t="s">
        <v>2921</v>
      </c>
      <c r="D416" s="3" t="s">
        <v>26</v>
      </c>
      <c r="E416" s="3" t="s">
        <v>1124</v>
      </c>
      <c r="F416" s="3" t="s">
        <v>2922</v>
      </c>
      <c r="G416" s="3">
        <v>4285</v>
      </c>
      <c r="H416" s="3" t="s">
        <v>74</v>
      </c>
      <c r="I416" s="3">
        <v>52875058</v>
      </c>
      <c r="J416" s="4">
        <v>41243</v>
      </c>
      <c r="K416" s="3" t="s">
        <v>2921</v>
      </c>
      <c r="L416" s="3" t="s">
        <v>43</v>
      </c>
      <c r="M416" s="3" t="s">
        <v>76</v>
      </c>
      <c r="N416" s="3" t="s">
        <v>405</v>
      </c>
      <c r="O416" s="3" t="s">
        <v>33</v>
      </c>
      <c r="P416" s="3" t="s">
        <v>2923</v>
      </c>
      <c r="Q416" s="3">
        <v>2000</v>
      </c>
      <c r="R416" s="3" t="s">
        <v>2924</v>
      </c>
      <c r="S416" s="3" t="s">
        <v>2925</v>
      </c>
      <c r="V416" s="3">
        <v>3415459636</v>
      </c>
      <c r="X416" s="3" t="s">
        <v>2926</v>
      </c>
      <c r="Y416" s="3">
        <v>45167</v>
      </c>
    </row>
    <row r="417" spans="1:46" ht="13.2" x14ac:dyDescent="0.25">
      <c r="A417" s="2">
        <v>46085.429849722219</v>
      </c>
      <c r="B417" s="3" t="b">
        <v>0</v>
      </c>
      <c r="C417" s="3" t="s">
        <v>2843</v>
      </c>
      <c r="D417" s="3" t="s">
        <v>358</v>
      </c>
      <c r="E417" s="3" t="s">
        <v>2927</v>
      </c>
      <c r="F417" s="3" t="s">
        <v>780</v>
      </c>
      <c r="G417" s="3">
        <v>202568</v>
      </c>
      <c r="H417" s="3" t="s">
        <v>318</v>
      </c>
      <c r="I417" s="3">
        <v>20619369</v>
      </c>
      <c r="J417" s="4" t="s">
        <v>2928</v>
      </c>
      <c r="K417" s="3" t="s">
        <v>2843</v>
      </c>
      <c r="L417" s="3" t="s">
        <v>43</v>
      </c>
      <c r="M417" s="3" t="s">
        <v>527</v>
      </c>
      <c r="N417" s="3" t="s">
        <v>2847</v>
      </c>
      <c r="O417" s="3" t="s">
        <v>2929</v>
      </c>
      <c r="P417" s="3" t="s">
        <v>2849</v>
      </c>
      <c r="Q417" s="3">
        <v>1640</v>
      </c>
      <c r="V417" s="3">
        <v>68183562</v>
      </c>
      <c r="X417" s="3" t="s">
        <v>211</v>
      </c>
      <c r="Y417" s="3">
        <v>608854422</v>
      </c>
    </row>
    <row r="418" spans="1:46" ht="13.2" x14ac:dyDescent="0.25">
      <c r="A418" s="2">
        <v>46085.782708425926</v>
      </c>
      <c r="B418" s="3" t="b">
        <v>0</v>
      </c>
      <c r="C418" s="3" t="s">
        <v>2930</v>
      </c>
      <c r="D418" s="3">
        <v>420</v>
      </c>
      <c r="E418" s="3" t="s">
        <v>2931</v>
      </c>
      <c r="F418" s="3" t="s">
        <v>2932</v>
      </c>
      <c r="G418" s="3">
        <v>57449</v>
      </c>
      <c r="H418" s="3" t="s">
        <v>318</v>
      </c>
      <c r="I418" s="3">
        <v>48231861</v>
      </c>
      <c r="J418" s="4">
        <v>39455</v>
      </c>
      <c r="K418" s="3" t="s">
        <v>2930</v>
      </c>
      <c r="L418" s="3" t="s">
        <v>43</v>
      </c>
      <c r="M418" s="3" t="s">
        <v>1071</v>
      </c>
      <c r="N418" s="3" t="s">
        <v>240</v>
      </c>
      <c r="O418" s="3" t="s">
        <v>111</v>
      </c>
      <c r="P418" s="3" t="s">
        <v>2933</v>
      </c>
      <c r="Q418" s="3">
        <v>1648</v>
      </c>
      <c r="V418" s="3">
        <v>1165452744</v>
      </c>
      <c r="X418" s="3" t="s">
        <v>448</v>
      </c>
      <c r="Y418" s="3">
        <v>17013879000</v>
      </c>
      <c r="Z418" s="3" t="s">
        <v>2934</v>
      </c>
      <c r="AA418" s="3" t="s">
        <v>247</v>
      </c>
      <c r="AB418" s="3">
        <v>57449</v>
      </c>
      <c r="AC418" s="3" t="s">
        <v>318</v>
      </c>
      <c r="AD418" s="3">
        <v>48590122</v>
      </c>
      <c r="AE418" s="4">
        <v>39519</v>
      </c>
      <c r="AG418" s="3" t="s">
        <v>43</v>
      </c>
      <c r="AH418" s="3" t="s">
        <v>31</v>
      </c>
      <c r="AI418" s="3" t="s">
        <v>44</v>
      </c>
      <c r="AJ418" s="3" t="s">
        <v>102</v>
      </c>
      <c r="AK418" s="3" t="s">
        <v>2935</v>
      </c>
      <c r="AS418" s="3" t="s">
        <v>866</v>
      </c>
      <c r="AT418" s="3">
        <v>63015241004</v>
      </c>
    </row>
    <row r="419" spans="1:46" ht="13.2" x14ac:dyDescent="0.25">
      <c r="A419" s="2">
        <v>46085.812023622682</v>
      </c>
      <c r="B419" s="3" t="b">
        <v>0</v>
      </c>
      <c r="C419" s="3" t="s">
        <v>2936</v>
      </c>
      <c r="D419" s="3">
        <v>420</v>
      </c>
      <c r="E419" s="3" t="s">
        <v>1736</v>
      </c>
      <c r="F419" s="3" t="s">
        <v>2937</v>
      </c>
      <c r="G419" s="3">
        <v>54842</v>
      </c>
      <c r="H419" s="3" t="s">
        <v>74</v>
      </c>
      <c r="I419" s="3">
        <v>48857390</v>
      </c>
      <c r="J419" s="4">
        <v>39673</v>
      </c>
      <c r="K419" s="3" t="s">
        <v>2936</v>
      </c>
      <c r="L419" s="3" t="s">
        <v>43</v>
      </c>
      <c r="M419" s="3" t="s">
        <v>31</v>
      </c>
      <c r="N419" s="3" t="s">
        <v>44</v>
      </c>
      <c r="O419" s="3" t="s">
        <v>92</v>
      </c>
      <c r="P419" s="3" t="s">
        <v>2938</v>
      </c>
      <c r="Q419" s="3">
        <v>1062</v>
      </c>
      <c r="R419" s="3" t="s">
        <v>2939</v>
      </c>
      <c r="S419" s="3" t="s">
        <v>2940</v>
      </c>
      <c r="T419" s="3" t="s">
        <v>2941</v>
      </c>
      <c r="U419" s="3">
        <v>1178871153</v>
      </c>
      <c r="V419" s="3">
        <v>1178871153</v>
      </c>
      <c r="W419" s="3">
        <v>1158179367</v>
      </c>
      <c r="X419" s="3" t="s">
        <v>140</v>
      </c>
      <c r="Y419" s="3">
        <v>60769282006</v>
      </c>
      <c r="Z419" s="3" t="s">
        <v>874</v>
      </c>
      <c r="AA419" s="3" t="s">
        <v>2937</v>
      </c>
      <c r="AB419" s="3">
        <v>54842</v>
      </c>
      <c r="AC419" s="3" t="s">
        <v>74</v>
      </c>
      <c r="AD419" s="3">
        <v>48857391</v>
      </c>
      <c r="AE419" s="4">
        <v>39673</v>
      </c>
      <c r="AF419" s="3" t="s">
        <v>2942</v>
      </c>
      <c r="AG419" s="3" t="s">
        <v>43</v>
      </c>
      <c r="AH419" s="3" t="s">
        <v>31</v>
      </c>
      <c r="AI419" s="3" t="s">
        <v>44</v>
      </c>
      <c r="AJ419" s="3" t="s">
        <v>92</v>
      </c>
      <c r="AK419" s="3" t="s">
        <v>2938</v>
      </c>
      <c r="AL419" s="3">
        <v>1062</v>
      </c>
      <c r="AM419" s="3" t="s">
        <v>2939</v>
      </c>
      <c r="AN419" s="3" t="s">
        <v>2940</v>
      </c>
      <c r="AO419" s="3" t="s">
        <v>2941</v>
      </c>
      <c r="AP419" s="3">
        <v>1178871153</v>
      </c>
      <c r="AQ419" s="3">
        <v>1164170087</v>
      </c>
      <c r="AR419" s="3">
        <v>1158179367</v>
      </c>
      <c r="AS419" s="3" t="s">
        <v>140</v>
      </c>
      <c r="AT419" s="3">
        <v>60769282005</v>
      </c>
    </row>
    <row r="420" spans="1:46" ht="13.2" x14ac:dyDescent="0.25">
      <c r="A420" s="2">
        <v>46086.395998043983</v>
      </c>
      <c r="B420" s="3" t="b">
        <v>0</v>
      </c>
      <c r="C420" s="3" t="s">
        <v>2943</v>
      </c>
      <c r="D420" s="3">
        <v>420</v>
      </c>
      <c r="E420" s="3" t="s">
        <v>1914</v>
      </c>
      <c r="F420" s="3" t="s">
        <v>2944</v>
      </c>
      <c r="G420" s="3">
        <v>54245</v>
      </c>
      <c r="H420" s="3" t="s">
        <v>318</v>
      </c>
      <c r="I420" s="3">
        <v>48860856</v>
      </c>
      <c r="J420" s="4">
        <v>39720</v>
      </c>
      <c r="K420" s="3" t="s">
        <v>2945</v>
      </c>
      <c r="L420" s="3" t="s">
        <v>43</v>
      </c>
      <c r="M420" s="3" t="s">
        <v>293</v>
      </c>
      <c r="N420" s="3" t="s">
        <v>55</v>
      </c>
      <c r="O420" s="3" t="s">
        <v>2946</v>
      </c>
      <c r="P420" s="3" t="s">
        <v>2947</v>
      </c>
      <c r="Q420" s="3">
        <v>1419</v>
      </c>
      <c r="R420" s="3" t="s">
        <v>2948</v>
      </c>
      <c r="S420" s="3" t="s">
        <v>2944</v>
      </c>
      <c r="T420" s="3" t="s">
        <v>2945</v>
      </c>
      <c r="U420" s="3">
        <v>1165886303</v>
      </c>
      <c r="V420" s="3">
        <v>1165886303</v>
      </c>
      <c r="W420" s="3">
        <v>1153893333</v>
      </c>
      <c r="X420" s="3" t="s">
        <v>2475</v>
      </c>
      <c r="Y420" s="3" t="s">
        <v>2949</v>
      </c>
      <c r="Z420" s="3" t="s">
        <v>2950</v>
      </c>
      <c r="AA420" s="3" t="s">
        <v>292</v>
      </c>
      <c r="AB420" s="3">
        <v>54245</v>
      </c>
      <c r="AC420" s="3" t="s">
        <v>318</v>
      </c>
      <c r="AD420" s="3">
        <v>49313131</v>
      </c>
      <c r="AE420" s="4">
        <v>39860</v>
      </c>
      <c r="AF420" s="3" t="s">
        <v>2945</v>
      </c>
      <c r="AG420" s="3" t="s">
        <v>43</v>
      </c>
      <c r="AH420" s="3" t="s">
        <v>293</v>
      </c>
      <c r="AI420" s="3" t="s">
        <v>55</v>
      </c>
      <c r="AJ420" s="3" t="s">
        <v>92</v>
      </c>
      <c r="AK420" s="3" t="s">
        <v>2947</v>
      </c>
      <c r="AL420" s="3">
        <v>1419</v>
      </c>
      <c r="AM420" s="3" t="s">
        <v>2951</v>
      </c>
      <c r="AN420" s="3" t="s">
        <v>2944</v>
      </c>
      <c r="AO420" s="3" t="s">
        <v>2945</v>
      </c>
      <c r="AP420" s="3">
        <v>1165886303</v>
      </c>
      <c r="AQ420" s="3">
        <v>1153893333</v>
      </c>
      <c r="AR420" s="3">
        <v>1165886303</v>
      </c>
      <c r="AS420" s="3" t="s">
        <v>2475</v>
      </c>
      <c r="AT420" s="5" t="s">
        <v>2952</v>
      </c>
    </row>
    <row r="421" spans="1:46" ht="13.2" x14ac:dyDescent="0.25">
      <c r="A421" s="2">
        <v>46086.416994675921</v>
      </c>
      <c r="B421" s="3" t="b">
        <v>0</v>
      </c>
      <c r="C421" s="3" t="s">
        <v>2953</v>
      </c>
      <c r="D421" s="3" t="s">
        <v>180</v>
      </c>
      <c r="E421" s="3" t="s">
        <v>482</v>
      </c>
      <c r="F421" s="3" t="s">
        <v>2954</v>
      </c>
      <c r="G421" s="3">
        <v>3557</v>
      </c>
      <c r="H421" s="3" t="s">
        <v>1741</v>
      </c>
      <c r="I421" s="3">
        <v>53305995</v>
      </c>
      <c r="J421" s="4">
        <v>41501</v>
      </c>
      <c r="K421" s="3" t="s">
        <v>2955</v>
      </c>
      <c r="L421" s="3" t="s">
        <v>30</v>
      </c>
      <c r="M421" s="3" t="s">
        <v>76</v>
      </c>
      <c r="N421" s="3" t="s">
        <v>285</v>
      </c>
      <c r="O421" s="3" t="s">
        <v>2956</v>
      </c>
      <c r="P421" s="3" t="s">
        <v>2957</v>
      </c>
      <c r="Q421" s="3">
        <v>1646</v>
      </c>
      <c r="R421" s="3" t="s">
        <v>1042</v>
      </c>
      <c r="S421" s="3" t="s">
        <v>2954</v>
      </c>
      <c r="T421" s="3" t="s">
        <v>2955</v>
      </c>
      <c r="U421" s="3">
        <v>1558244399</v>
      </c>
      <c r="V421" s="5" t="s">
        <v>2958</v>
      </c>
      <c r="W421" s="5" t="s">
        <v>2958</v>
      </c>
      <c r="X421" s="3" t="s">
        <v>2251</v>
      </c>
      <c r="Y421" s="5" t="s">
        <v>2959</v>
      </c>
    </row>
    <row r="422" spans="1:46" ht="13.2" x14ac:dyDescent="0.25">
      <c r="A422" s="2">
        <v>46086.442866087964</v>
      </c>
      <c r="B422" s="3" t="b">
        <v>0</v>
      </c>
      <c r="C422" s="3" t="s">
        <v>2960</v>
      </c>
      <c r="D422" s="3" t="s">
        <v>358</v>
      </c>
      <c r="E422" s="3" t="s">
        <v>2571</v>
      </c>
      <c r="F422" s="3" t="s">
        <v>2961</v>
      </c>
      <c r="G422" s="3">
        <v>220571</v>
      </c>
      <c r="H422" s="3" t="s">
        <v>2962</v>
      </c>
      <c r="I422" s="3">
        <v>17200545</v>
      </c>
      <c r="J422" s="4">
        <v>23516</v>
      </c>
      <c r="K422" s="3" t="s">
        <v>2960</v>
      </c>
      <c r="L422" s="3" t="s">
        <v>43</v>
      </c>
      <c r="M422" s="3" t="s">
        <v>31</v>
      </c>
      <c r="N422" s="3" t="s">
        <v>44</v>
      </c>
      <c r="O422" s="3" t="s">
        <v>2963</v>
      </c>
      <c r="P422" s="3" t="s">
        <v>2964</v>
      </c>
      <c r="Q422" s="3">
        <v>1643</v>
      </c>
      <c r="V422" s="3">
        <v>1145639000</v>
      </c>
      <c r="X422" s="3" t="s">
        <v>115</v>
      </c>
      <c r="Y422" s="3">
        <v>61308526302</v>
      </c>
    </row>
    <row r="423" spans="1:46" ht="13.2" x14ac:dyDescent="0.25">
      <c r="A423" s="2">
        <v>46086.473607777778</v>
      </c>
      <c r="B423" s="3" t="b">
        <v>0</v>
      </c>
      <c r="C423" s="3" t="s">
        <v>2965</v>
      </c>
      <c r="D423" s="3" t="s">
        <v>180</v>
      </c>
      <c r="E423" s="3" t="s">
        <v>2966</v>
      </c>
      <c r="F423" s="3" t="s">
        <v>2967</v>
      </c>
      <c r="G423" s="3">
        <v>3759</v>
      </c>
      <c r="H423" s="3" t="s">
        <v>352</v>
      </c>
      <c r="I423" s="3">
        <v>56385170</v>
      </c>
      <c r="J423" s="4">
        <v>41965</v>
      </c>
      <c r="K423" s="3" t="s">
        <v>2965</v>
      </c>
      <c r="L423" s="3" t="s">
        <v>30</v>
      </c>
      <c r="M423" s="3" t="s">
        <v>311</v>
      </c>
      <c r="N423" s="3" t="s">
        <v>384</v>
      </c>
      <c r="O423" s="3" t="s">
        <v>385</v>
      </c>
      <c r="P423" s="3" t="s">
        <v>2968</v>
      </c>
      <c r="Q423" s="3">
        <v>1642</v>
      </c>
      <c r="R423" s="3" t="s">
        <v>2969</v>
      </c>
      <c r="S423" s="3" t="s">
        <v>2970</v>
      </c>
      <c r="T423" s="3" t="s">
        <v>2971</v>
      </c>
      <c r="U423" s="3">
        <v>1150020212</v>
      </c>
      <c r="V423" s="3">
        <v>1150020212</v>
      </c>
      <c r="W423" s="3">
        <v>1165521258</v>
      </c>
      <c r="X423" s="3" t="s">
        <v>963</v>
      </c>
      <c r="Y423" s="3">
        <v>61065094602</v>
      </c>
    </row>
    <row r="424" spans="1:46" ht="13.2" x14ac:dyDescent="0.25">
      <c r="A424" s="2">
        <v>46086.515363113431</v>
      </c>
      <c r="B424" s="3" t="b">
        <v>0</v>
      </c>
      <c r="C424" s="3" t="s">
        <v>2575</v>
      </c>
      <c r="D424" s="3" t="s">
        <v>497</v>
      </c>
      <c r="E424" s="3" t="s">
        <v>2972</v>
      </c>
      <c r="F424" s="3" t="s">
        <v>2973</v>
      </c>
      <c r="G424" s="3">
        <v>207305</v>
      </c>
      <c r="H424" s="3" t="s">
        <v>352</v>
      </c>
      <c r="I424" s="3">
        <v>49825462</v>
      </c>
      <c r="J424" s="4">
        <v>40539</v>
      </c>
      <c r="K424" s="3" t="s">
        <v>2974</v>
      </c>
      <c r="L424" s="3" t="s">
        <v>43</v>
      </c>
      <c r="M424" s="3" t="s">
        <v>76</v>
      </c>
      <c r="N424" s="3" t="s">
        <v>285</v>
      </c>
      <c r="O424" s="3" t="s">
        <v>492</v>
      </c>
      <c r="P424" s="3" t="s">
        <v>2578</v>
      </c>
      <c r="Q424" s="3">
        <v>1642</v>
      </c>
      <c r="R424" s="3" t="s">
        <v>1054</v>
      </c>
      <c r="S424" s="3" t="s">
        <v>2973</v>
      </c>
      <c r="T424" s="3" t="s">
        <v>2974</v>
      </c>
      <c r="U424" s="3">
        <v>1524973959</v>
      </c>
      <c r="V424" s="3" t="s">
        <v>2975</v>
      </c>
      <c r="X424" s="3" t="s">
        <v>794</v>
      </c>
      <c r="Y424" s="3">
        <v>61129936305</v>
      </c>
    </row>
    <row r="425" spans="1:46" ht="13.2" x14ac:dyDescent="0.25">
      <c r="A425" s="2">
        <v>46086.539865185186</v>
      </c>
      <c r="B425" s="3" t="b">
        <v>0</v>
      </c>
      <c r="C425" s="3" t="s">
        <v>2976</v>
      </c>
      <c r="D425" s="3" t="s">
        <v>1700</v>
      </c>
      <c r="E425" s="3" t="s">
        <v>2977</v>
      </c>
      <c r="F425" s="3" t="s">
        <v>2978</v>
      </c>
      <c r="G425" s="3">
        <v>3041</v>
      </c>
      <c r="H425" s="3" t="s">
        <v>452</v>
      </c>
      <c r="I425" s="3">
        <v>49951815</v>
      </c>
      <c r="J425" s="4">
        <v>40152</v>
      </c>
      <c r="K425" s="3" t="s">
        <v>2976</v>
      </c>
      <c r="L425" s="3" t="s">
        <v>30</v>
      </c>
      <c r="M425" s="3" t="s">
        <v>311</v>
      </c>
      <c r="N425" s="3" t="s">
        <v>127</v>
      </c>
      <c r="O425" s="3" t="s">
        <v>385</v>
      </c>
      <c r="P425" s="3" t="s">
        <v>2979</v>
      </c>
      <c r="Q425" s="3">
        <v>1640</v>
      </c>
      <c r="R425" s="3" t="s">
        <v>2980</v>
      </c>
      <c r="T425" s="3" t="s">
        <v>2981</v>
      </c>
      <c r="U425" s="3" t="s">
        <v>2982</v>
      </c>
      <c r="V425" s="3" t="s">
        <v>2982</v>
      </c>
      <c r="X425" s="3">
        <v>410</v>
      </c>
      <c r="Y425" s="3">
        <v>61096214003</v>
      </c>
      <c r="Z425" s="3" t="s">
        <v>2983</v>
      </c>
      <c r="AA425" s="3" t="s">
        <v>2984</v>
      </c>
      <c r="AB425" s="3">
        <v>3041</v>
      </c>
      <c r="AC425" s="3" t="s">
        <v>54</v>
      </c>
      <c r="AG425" s="3" t="s">
        <v>30</v>
      </c>
    </row>
    <row r="426" spans="1:46" ht="13.2" x14ac:dyDescent="0.25">
      <c r="A426" s="2">
        <v>46086.560955601853</v>
      </c>
      <c r="B426" s="3" t="b">
        <v>0</v>
      </c>
      <c r="C426" s="3" t="s">
        <v>2985</v>
      </c>
      <c r="D426" s="3" t="s">
        <v>180</v>
      </c>
      <c r="E426" s="3" t="s">
        <v>1199</v>
      </c>
      <c r="F426" s="3" t="s">
        <v>2986</v>
      </c>
      <c r="G426" s="3" t="s">
        <v>2987</v>
      </c>
      <c r="H426" s="3" t="s">
        <v>590</v>
      </c>
      <c r="I426" s="3">
        <v>54356026</v>
      </c>
      <c r="J426" s="4">
        <v>41951</v>
      </c>
      <c r="K426" s="3" t="s">
        <v>2985</v>
      </c>
      <c r="L426" s="3" t="s">
        <v>43</v>
      </c>
      <c r="M426" s="3" t="s">
        <v>31</v>
      </c>
      <c r="N426" s="3" t="s">
        <v>44</v>
      </c>
      <c r="O426" s="3" t="s">
        <v>2988</v>
      </c>
      <c r="P426" s="3" t="s">
        <v>2989</v>
      </c>
      <c r="Q426" s="3">
        <v>1607</v>
      </c>
      <c r="R426" s="3" t="s">
        <v>94</v>
      </c>
      <c r="S426" s="3" t="s">
        <v>2986</v>
      </c>
      <c r="T426" s="3" t="s">
        <v>2985</v>
      </c>
      <c r="U426" s="3" t="s">
        <v>2990</v>
      </c>
      <c r="V426" s="3" t="s">
        <v>2991</v>
      </c>
      <c r="W426" s="3">
        <v>1166649798</v>
      </c>
      <c r="X426" s="3" t="s">
        <v>140</v>
      </c>
      <c r="Y426" s="3" t="s">
        <v>2992</v>
      </c>
    </row>
    <row r="427" spans="1:46" ht="13.2" x14ac:dyDescent="0.25">
      <c r="A427" s="2">
        <v>46086.699937384255</v>
      </c>
      <c r="B427" s="3" t="b">
        <v>0</v>
      </c>
      <c r="C427" s="3" t="s">
        <v>2993</v>
      </c>
      <c r="D427" s="3">
        <v>420</v>
      </c>
      <c r="E427" s="3" t="s">
        <v>874</v>
      </c>
      <c r="F427" s="3" t="s">
        <v>2994</v>
      </c>
      <c r="G427" s="3">
        <v>56304</v>
      </c>
      <c r="H427" s="3" t="s">
        <v>590</v>
      </c>
      <c r="I427" s="3">
        <v>49090833</v>
      </c>
      <c r="J427" s="4">
        <v>39730</v>
      </c>
      <c r="K427" s="3" t="s">
        <v>2995</v>
      </c>
      <c r="L427" s="3" t="s">
        <v>43</v>
      </c>
      <c r="M427" s="3" t="s">
        <v>76</v>
      </c>
      <c r="N427" s="3" t="s">
        <v>240</v>
      </c>
      <c r="O427" s="3" t="s">
        <v>102</v>
      </c>
      <c r="P427" s="3" t="s">
        <v>2996</v>
      </c>
      <c r="Q427" s="3">
        <v>1643</v>
      </c>
      <c r="R427" s="3" t="s">
        <v>200</v>
      </c>
      <c r="S427" s="3" t="s">
        <v>2997</v>
      </c>
      <c r="U427" s="3" t="s">
        <v>2998</v>
      </c>
      <c r="V427" s="3" t="s">
        <v>2998</v>
      </c>
      <c r="X427" s="3" t="s">
        <v>115</v>
      </c>
      <c r="Y427" s="3">
        <v>60944239104</v>
      </c>
      <c r="Z427" s="3" t="s">
        <v>2934</v>
      </c>
      <c r="AA427" s="3" t="s">
        <v>2999</v>
      </c>
      <c r="AB427" s="3">
        <v>56304</v>
      </c>
      <c r="AC427" s="3" t="s">
        <v>590</v>
      </c>
      <c r="AD427" s="3">
        <v>47248958</v>
      </c>
      <c r="AE427" s="4">
        <v>38898</v>
      </c>
      <c r="AF427" s="3" t="s">
        <v>2993</v>
      </c>
      <c r="AG427" s="3" t="s">
        <v>43</v>
      </c>
      <c r="AH427" s="3" t="s">
        <v>76</v>
      </c>
      <c r="AI427" s="3" t="s">
        <v>240</v>
      </c>
      <c r="AJ427" s="3" t="s">
        <v>172</v>
      </c>
      <c r="AK427" s="3" t="s">
        <v>3000</v>
      </c>
      <c r="AL427" s="3">
        <v>1609</v>
      </c>
      <c r="AQ427" s="3" t="s">
        <v>3001</v>
      </c>
      <c r="AS427" s="3" t="s">
        <v>115</v>
      </c>
      <c r="AT427" s="3">
        <v>61685259103</v>
      </c>
    </row>
    <row r="428" spans="1:46" ht="13.2" x14ac:dyDescent="0.25">
      <c r="A428" s="2">
        <v>46086.71991226852</v>
      </c>
      <c r="B428" s="3" t="b">
        <v>0</v>
      </c>
      <c r="C428" s="3" t="s">
        <v>3002</v>
      </c>
      <c r="D428" s="3" t="s">
        <v>3003</v>
      </c>
      <c r="E428" s="3" t="s">
        <v>2435</v>
      </c>
      <c r="F428" s="3" t="s">
        <v>3004</v>
      </c>
      <c r="G428" s="3">
        <v>50</v>
      </c>
      <c r="H428" s="3" t="s">
        <v>3005</v>
      </c>
      <c r="I428" s="3">
        <v>28052279</v>
      </c>
      <c r="J428" s="4">
        <v>29288</v>
      </c>
      <c r="K428" s="3" t="s">
        <v>3002</v>
      </c>
      <c r="L428" s="3" t="s">
        <v>43</v>
      </c>
      <c r="M428" s="3" t="s">
        <v>31</v>
      </c>
      <c r="N428" s="3" t="s">
        <v>44</v>
      </c>
      <c r="O428" s="3" t="s">
        <v>142</v>
      </c>
      <c r="P428" s="3" t="s">
        <v>3006</v>
      </c>
      <c r="Q428" s="3">
        <v>1430</v>
      </c>
      <c r="V428" s="3" t="s">
        <v>3007</v>
      </c>
      <c r="X428" s="3" t="s">
        <v>115</v>
      </c>
      <c r="Y428" s="3">
        <v>61214510601</v>
      </c>
      <c r="Z428" s="3" t="s">
        <v>827</v>
      </c>
      <c r="AA428" s="3" t="s">
        <v>3008</v>
      </c>
      <c r="AB428" s="3">
        <v>50</v>
      </c>
      <c r="AC428" s="3" t="s">
        <v>74</v>
      </c>
      <c r="AD428" s="3">
        <v>37754740</v>
      </c>
      <c r="AE428" s="4">
        <v>34152</v>
      </c>
      <c r="AF428" s="3" t="s">
        <v>3009</v>
      </c>
      <c r="AG428" s="3" t="s">
        <v>43</v>
      </c>
      <c r="AH428" s="3" t="s">
        <v>31</v>
      </c>
      <c r="AI428" s="3" t="s">
        <v>44</v>
      </c>
      <c r="AJ428" s="3" t="s">
        <v>92</v>
      </c>
      <c r="AK428" s="3" t="s">
        <v>3010</v>
      </c>
      <c r="AL428" s="3">
        <v>1425</v>
      </c>
      <c r="AQ428" s="3" t="s">
        <v>3011</v>
      </c>
      <c r="AS428" s="3" t="s">
        <v>140</v>
      </c>
      <c r="AT428" s="3">
        <v>63026502901</v>
      </c>
    </row>
    <row r="429" spans="1:46" ht="13.2" x14ac:dyDescent="0.25">
      <c r="A429" s="2">
        <v>46086.742846145833</v>
      </c>
      <c r="B429" s="3" t="b">
        <v>0</v>
      </c>
      <c r="C429" s="3" t="s">
        <v>3012</v>
      </c>
      <c r="D429" s="3" t="s">
        <v>26</v>
      </c>
      <c r="E429" s="3" t="s">
        <v>2817</v>
      </c>
      <c r="F429" s="3" t="s">
        <v>3013</v>
      </c>
      <c r="G429" s="3">
        <v>3866</v>
      </c>
      <c r="H429" s="3" t="s">
        <v>458</v>
      </c>
      <c r="I429" s="3">
        <v>53774618</v>
      </c>
      <c r="J429" s="4">
        <v>41645</v>
      </c>
      <c r="K429" s="3" t="s">
        <v>3012</v>
      </c>
      <c r="L429" s="3" t="s">
        <v>30</v>
      </c>
      <c r="M429" s="3" t="s">
        <v>31</v>
      </c>
      <c r="N429" s="3" t="s">
        <v>32</v>
      </c>
      <c r="O429" s="3" t="s">
        <v>33</v>
      </c>
      <c r="P429" s="3" t="s">
        <v>3014</v>
      </c>
      <c r="Q429" s="3">
        <v>2000</v>
      </c>
      <c r="R429" s="3" t="s">
        <v>3015</v>
      </c>
      <c r="S429" s="3" t="s">
        <v>3016</v>
      </c>
      <c r="T429" s="3" t="s">
        <v>3012</v>
      </c>
      <c r="V429" s="3" t="s">
        <v>3017</v>
      </c>
      <c r="X429" s="3" t="s">
        <v>140</v>
      </c>
      <c r="Y429" s="5" t="s">
        <v>3018</v>
      </c>
    </row>
    <row r="430" spans="1:46" ht="13.2" x14ac:dyDescent="0.25">
      <c r="A430" s="2">
        <v>46087.314344745369</v>
      </c>
      <c r="B430" s="3" t="b">
        <v>0</v>
      </c>
      <c r="C430" s="3" t="s">
        <v>3019</v>
      </c>
      <c r="D430" s="3" t="s">
        <v>1700</v>
      </c>
      <c r="E430" s="3" t="s">
        <v>281</v>
      </c>
      <c r="F430" s="3" t="s">
        <v>1629</v>
      </c>
      <c r="G430" s="3">
        <v>21</v>
      </c>
      <c r="H430" s="3" t="s">
        <v>74</v>
      </c>
      <c r="I430" s="3">
        <v>48861778</v>
      </c>
      <c r="J430" s="4">
        <v>39725</v>
      </c>
      <c r="K430" s="3" t="s">
        <v>3019</v>
      </c>
      <c r="L430" s="3" t="s">
        <v>43</v>
      </c>
      <c r="M430" s="3" t="s">
        <v>527</v>
      </c>
      <c r="N430" s="3" t="s">
        <v>3020</v>
      </c>
      <c r="O430" s="3" t="s">
        <v>312</v>
      </c>
      <c r="P430" s="3" t="s">
        <v>3021</v>
      </c>
      <c r="Q430" s="3">
        <v>1425</v>
      </c>
      <c r="R430" s="3" t="s">
        <v>3022</v>
      </c>
      <c r="S430" s="3" t="s">
        <v>3022</v>
      </c>
      <c r="T430" s="3" t="s">
        <v>3023</v>
      </c>
      <c r="U430" s="3" t="s">
        <v>3022</v>
      </c>
      <c r="V430" s="3" t="s">
        <v>3023</v>
      </c>
      <c r="W430" s="3" t="s">
        <v>3023</v>
      </c>
      <c r="X430" s="3" t="s">
        <v>211</v>
      </c>
      <c r="Y430" s="3" t="s">
        <v>3023</v>
      </c>
      <c r="Z430" s="3" t="s">
        <v>889</v>
      </c>
      <c r="AA430" s="3" t="s">
        <v>3024</v>
      </c>
      <c r="AB430" s="3">
        <v>21</v>
      </c>
      <c r="AC430" s="3" t="s">
        <v>74</v>
      </c>
      <c r="AD430" s="3">
        <v>48861778</v>
      </c>
      <c r="AE430" s="4">
        <v>38799</v>
      </c>
      <c r="AF430" s="3" t="s">
        <v>3019</v>
      </c>
      <c r="AG430" s="3" t="s">
        <v>43</v>
      </c>
      <c r="AH430" s="3" t="s">
        <v>527</v>
      </c>
      <c r="AI430" s="3" t="s">
        <v>3025</v>
      </c>
      <c r="AJ430" s="3" t="s">
        <v>2875</v>
      </c>
      <c r="AK430" s="3" t="s">
        <v>3026</v>
      </c>
      <c r="AL430" s="3">
        <v>1425</v>
      </c>
      <c r="AM430" s="3" t="s">
        <v>3023</v>
      </c>
      <c r="AN430" s="3" t="s">
        <v>3023</v>
      </c>
      <c r="AO430" s="3" t="s">
        <v>3023</v>
      </c>
      <c r="AP430" s="3" t="s">
        <v>3023</v>
      </c>
      <c r="AQ430" s="3" t="s">
        <v>3023</v>
      </c>
      <c r="AR430" s="3" t="s">
        <v>3023</v>
      </c>
      <c r="AS430" s="3" t="s">
        <v>3027</v>
      </c>
      <c r="AT430" s="3" t="s">
        <v>3022</v>
      </c>
    </row>
    <row r="431" spans="1:46" ht="13.2" x14ac:dyDescent="0.25">
      <c r="A431" s="2">
        <v>46087.426651608796</v>
      </c>
      <c r="B431" s="3" t="b">
        <v>0</v>
      </c>
      <c r="C431" s="3" t="s">
        <v>3028</v>
      </c>
      <c r="D431" s="3">
        <v>420</v>
      </c>
      <c r="E431" s="3" t="s">
        <v>3029</v>
      </c>
      <c r="F431" s="3" t="s">
        <v>3030</v>
      </c>
      <c r="G431" s="3">
        <v>57022</v>
      </c>
      <c r="H431" s="3" t="s">
        <v>74</v>
      </c>
      <c r="I431" s="3">
        <v>50154722</v>
      </c>
      <c r="J431" s="4">
        <v>40239</v>
      </c>
      <c r="K431" s="3" t="s">
        <v>3031</v>
      </c>
      <c r="L431" s="3" t="s">
        <v>43</v>
      </c>
      <c r="M431" s="3" t="s">
        <v>311</v>
      </c>
      <c r="N431" s="3" t="s">
        <v>384</v>
      </c>
      <c r="O431" s="3" t="s">
        <v>720</v>
      </c>
      <c r="P431" s="3" t="s">
        <v>3032</v>
      </c>
      <c r="Q431" s="3">
        <v>1648</v>
      </c>
      <c r="R431" s="3" t="s">
        <v>3033</v>
      </c>
      <c r="S431" s="3" t="s">
        <v>3030</v>
      </c>
      <c r="T431" s="3" t="s">
        <v>3034</v>
      </c>
      <c r="U431" s="3" t="s">
        <v>3035</v>
      </c>
      <c r="V431" s="3" t="s">
        <v>3035</v>
      </c>
      <c r="W431" s="3" t="s">
        <v>3036</v>
      </c>
      <c r="X431" s="3" t="s">
        <v>211</v>
      </c>
      <c r="Y431" s="3">
        <v>60945891303</v>
      </c>
      <c r="Z431" s="3" t="s">
        <v>3037</v>
      </c>
      <c r="AA431" s="3" t="s">
        <v>3038</v>
      </c>
      <c r="AB431" s="3">
        <v>57022</v>
      </c>
      <c r="AC431" s="3" t="s">
        <v>74</v>
      </c>
      <c r="AD431" s="3">
        <v>50289063</v>
      </c>
      <c r="AE431" s="4">
        <v>40301</v>
      </c>
      <c r="AF431" s="3" t="s">
        <v>3039</v>
      </c>
      <c r="AG431" s="3" t="s">
        <v>43</v>
      </c>
      <c r="AH431" s="3" t="s">
        <v>311</v>
      </c>
      <c r="AI431" s="3" t="s">
        <v>384</v>
      </c>
      <c r="AJ431" s="3" t="s">
        <v>312</v>
      </c>
      <c r="AK431" s="3" t="s">
        <v>3040</v>
      </c>
      <c r="AL431" s="3">
        <v>1023</v>
      </c>
      <c r="AM431" s="3" t="s">
        <v>3041</v>
      </c>
      <c r="AN431" s="3" t="s">
        <v>3038</v>
      </c>
      <c r="AO431" s="3" t="s">
        <v>3028</v>
      </c>
      <c r="AP431" s="3" t="s">
        <v>3042</v>
      </c>
      <c r="AQ431" s="3" t="s">
        <v>3043</v>
      </c>
      <c r="AR431" s="3" t="s">
        <v>3042</v>
      </c>
      <c r="AS431" s="3" t="s">
        <v>3044</v>
      </c>
      <c r="AT431" s="5" t="s">
        <v>3045</v>
      </c>
    </row>
    <row r="432" spans="1:46" ht="13.2" x14ac:dyDescent="0.25">
      <c r="A432" s="2">
        <v>46087.466090196758</v>
      </c>
      <c r="B432" s="3" t="b">
        <v>0</v>
      </c>
      <c r="C432" s="3" t="s">
        <v>3046</v>
      </c>
      <c r="D432" s="3" t="s">
        <v>26</v>
      </c>
      <c r="E432" s="3" t="s">
        <v>3047</v>
      </c>
      <c r="F432" s="3" t="s">
        <v>3048</v>
      </c>
      <c r="G432" s="3">
        <v>4190</v>
      </c>
      <c r="H432" s="3" t="s">
        <v>198</v>
      </c>
      <c r="I432" s="3">
        <v>51358936</v>
      </c>
      <c r="J432" s="4">
        <v>40770</v>
      </c>
      <c r="K432" s="3" t="s">
        <v>3049</v>
      </c>
      <c r="L432" s="3" t="s">
        <v>43</v>
      </c>
      <c r="M432" s="3" t="s">
        <v>293</v>
      </c>
      <c r="N432" s="3" t="s">
        <v>3050</v>
      </c>
      <c r="O432" s="3" t="s">
        <v>1933</v>
      </c>
      <c r="P432" s="3" t="s">
        <v>3051</v>
      </c>
      <c r="Q432" s="3">
        <v>1631</v>
      </c>
      <c r="R432" s="3" t="s">
        <v>3052</v>
      </c>
      <c r="S432" s="3" t="s">
        <v>3053</v>
      </c>
      <c r="T432" s="3" t="s">
        <v>3046</v>
      </c>
      <c r="U432" s="3">
        <v>1164858331</v>
      </c>
      <c r="V432" s="3">
        <v>64858332</v>
      </c>
      <c r="X432" s="3" t="s">
        <v>926</v>
      </c>
      <c r="Y432" s="3">
        <v>61123574804</v>
      </c>
    </row>
    <row r="433" spans="1:29" ht="13.2" x14ac:dyDescent="0.25">
      <c r="A433" s="2">
        <v>46087.513611319446</v>
      </c>
      <c r="B433" s="3" t="b">
        <v>0</v>
      </c>
      <c r="C433" s="3" t="s">
        <v>1786</v>
      </c>
      <c r="D433" s="3" t="s">
        <v>26</v>
      </c>
      <c r="E433" s="3" t="s">
        <v>3054</v>
      </c>
      <c r="F433" s="3" t="s">
        <v>3055</v>
      </c>
      <c r="G433" s="3">
        <v>4280</v>
      </c>
      <c r="H433" s="3" t="s">
        <v>29</v>
      </c>
      <c r="I433" s="3">
        <v>52366183</v>
      </c>
      <c r="J433" s="4">
        <v>40963</v>
      </c>
      <c r="K433" s="3" t="s">
        <v>1786</v>
      </c>
      <c r="L433" s="3" t="s">
        <v>43</v>
      </c>
      <c r="M433" s="3" t="s">
        <v>31</v>
      </c>
      <c r="N433" s="3" t="s">
        <v>32</v>
      </c>
      <c r="O433" s="3" t="s">
        <v>33</v>
      </c>
      <c r="P433" s="3" t="s">
        <v>3056</v>
      </c>
      <c r="Q433" s="3">
        <v>2000</v>
      </c>
      <c r="R433" s="3" t="s">
        <v>977</v>
      </c>
      <c r="S433" s="3" t="s">
        <v>1785</v>
      </c>
      <c r="T433" s="3" t="s">
        <v>1786</v>
      </c>
      <c r="V433" s="3" t="s">
        <v>3057</v>
      </c>
      <c r="X433" s="3" t="s">
        <v>140</v>
      </c>
      <c r="Y433" s="5" t="s">
        <v>3058</v>
      </c>
    </row>
    <row r="434" spans="1:29" ht="13.2" x14ac:dyDescent="0.25">
      <c r="A434" s="2">
        <v>46087.540313425925</v>
      </c>
      <c r="B434" s="3" t="b">
        <v>0</v>
      </c>
      <c r="C434" s="3" t="s">
        <v>3059</v>
      </c>
      <c r="D434" s="3">
        <v>420</v>
      </c>
      <c r="E434" s="3" t="s">
        <v>3060</v>
      </c>
      <c r="F434" s="3" t="s">
        <v>3061</v>
      </c>
      <c r="G434" s="3">
        <v>50485</v>
      </c>
      <c r="H434" s="3" t="s">
        <v>74</v>
      </c>
      <c r="I434" s="3">
        <v>45522371</v>
      </c>
      <c r="J434" s="4">
        <v>38218</v>
      </c>
      <c r="K434" s="3" t="s">
        <v>3059</v>
      </c>
      <c r="L434" s="3" t="s">
        <v>43</v>
      </c>
      <c r="M434" s="3" t="s">
        <v>31</v>
      </c>
      <c r="N434" s="3" t="s">
        <v>3062</v>
      </c>
      <c r="O434" s="3" t="s">
        <v>102</v>
      </c>
      <c r="P434" s="3" t="s">
        <v>3063</v>
      </c>
      <c r="Q434" s="3">
        <v>1640</v>
      </c>
      <c r="V434" s="3">
        <v>1541903742</v>
      </c>
      <c r="X434" s="3" t="s">
        <v>866</v>
      </c>
      <c r="Y434" s="3">
        <v>60829327903</v>
      </c>
      <c r="Z434" s="3" t="s">
        <v>3064</v>
      </c>
      <c r="AA434" s="3" t="s">
        <v>3065</v>
      </c>
      <c r="AB434" s="3">
        <v>50485</v>
      </c>
      <c r="AC434" s="3" t="s">
        <v>74</v>
      </c>
    </row>
    <row r="435" spans="1:29" ht="13.2" x14ac:dyDescent="0.25">
      <c r="B435" s="3" t="b">
        <v>0</v>
      </c>
      <c r="J435" s="7"/>
    </row>
    <row r="436" spans="1:29" ht="13.2" x14ac:dyDescent="0.25">
      <c r="B436" s="3" t="b">
        <v>0</v>
      </c>
    </row>
    <row r="437" spans="1:29" ht="13.2" x14ac:dyDescent="0.25">
      <c r="B437" s="3" t="b">
        <v>0</v>
      </c>
    </row>
    <row r="438" spans="1:29" ht="13.2" x14ac:dyDescent="0.25">
      <c r="B438" s="3" t="b">
        <v>0</v>
      </c>
    </row>
    <row r="439" spans="1:29" ht="13.2" x14ac:dyDescent="0.25">
      <c r="B439" s="3" t="b">
        <v>0</v>
      </c>
    </row>
    <row r="440" spans="1:29" ht="13.2" x14ac:dyDescent="0.25">
      <c r="B440" s="3" t="b">
        <v>0</v>
      </c>
    </row>
    <row r="441" spans="1:29" ht="13.2" x14ac:dyDescent="0.25">
      <c r="B441" s="3" t="b">
        <v>0</v>
      </c>
    </row>
    <row r="442" spans="1:29" ht="13.2" x14ac:dyDescent="0.25">
      <c r="B442" s="3" t="b">
        <v>0</v>
      </c>
    </row>
    <row r="443" spans="1:29" ht="13.2" x14ac:dyDescent="0.25">
      <c r="B443" s="3" t="b">
        <v>0</v>
      </c>
    </row>
    <row r="444" spans="1:29" ht="13.2" x14ac:dyDescent="0.25">
      <c r="B444" s="3" t="b">
        <v>0</v>
      </c>
    </row>
    <row r="445" spans="1:29" ht="13.2" x14ac:dyDescent="0.25">
      <c r="B445" s="3" t="b">
        <v>0</v>
      </c>
    </row>
    <row r="446" spans="1:29" ht="13.2" x14ac:dyDescent="0.25">
      <c r="B446" s="3" t="b">
        <v>0</v>
      </c>
    </row>
    <row r="447" spans="1:29" ht="13.2" x14ac:dyDescent="0.25">
      <c r="B447" s="3" t="b">
        <v>0</v>
      </c>
    </row>
    <row r="448" spans="1:29" ht="13.2" x14ac:dyDescent="0.25">
      <c r="B448" s="3" t="b">
        <v>0</v>
      </c>
    </row>
    <row r="449" spans="2:2" ht="13.2" x14ac:dyDescent="0.25">
      <c r="B449" s="3" t="b">
        <v>0</v>
      </c>
    </row>
    <row r="450" spans="2:2" ht="13.2" x14ac:dyDescent="0.25">
      <c r="B450" s="3" t="b">
        <v>0</v>
      </c>
    </row>
    <row r="451" spans="2:2" ht="13.2" x14ac:dyDescent="0.25">
      <c r="B451" s="3" t="b">
        <v>0</v>
      </c>
    </row>
    <row r="452" spans="2:2" ht="13.2" x14ac:dyDescent="0.25">
      <c r="B452" s="3" t="b">
        <v>0</v>
      </c>
    </row>
    <row r="453" spans="2:2" ht="13.2" x14ac:dyDescent="0.25">
      <c r="B453" s="3" t="b">
        <v>0</v>
      </c>
    </row>
    <row r="454" spans="2:2" ht="13.2" x14ac:dyDescent="0.25">
      <c r="B454" s="3" t="b">
        <v>0</v>
      </c>
    </row>
    <row r="455" spans="2:2" ht="13.2" x14ac:dyDescent="0.25">
      <c r="B455" s="3" t="b">
        <v>0</v>
      </c>
    </row>
    <row r="456" spans="2:2" ht="13.2" x14ac:dyDescent="0.25">
      <c r="B456" s="3" t="b">
        <v>0</v>
      </c>
    </row>
    <row r="457" spans="2:2" ht="13.2" x14ac:dyDescent="0.25">
      <c r="B457" s="3" t="b">
        <v>0</v>
      </c>
    </row>
    <row r="458" spans="2:2" ht="13.2" x14ac:dyDescent="0.25">
      <c r="B458" s="3" t="b">
        <v>0</v>
      </c>
    </row>
    <row r="459" spans="2:2" ht="13.2" x14ac:dyDescent="0.25">
      <c r="B459" s="3" t="b">
        <v>0</v>
      </c>
    </row>
    <row r="460" spans="2:2" ht="13.2" x14ac:dyDescent="0.25">
      <c r="B460" s="3" t="b">
        <v>0</v>
      </c>
    </row>
    <row r="461" spans="2:2" ht="13.2" x14ac:dyDescent="0.25">
      <c r="B461" s="3" t="b">
        <v>0</v>
      </c>
    </row>
    <row r="462" spans="2:2" ht="13.2" x14ac:dyDescent="0.25">
      <c r="B462" s="3" t="b">
        <v>0</v>
      </c>
    </row>
    <row r="463" spans="2:2" ht="13.2" x14ac:dyDescent="0.25">
      <c r="B463" s="3" t="b">
        <v>0</v>
      </c>
    </row>
    <row r="464" spans="2:2" ht="13.2" x14ac:dyDescent="0.25">
      <c r="B464" s="3" t="b">
        <v>0</v>
      </c>
    </row>
    <row r="465" spans="2:2" ht="13.2" x14ac:dyDescent="0.25">
      <c r="B465" s="3" t="b">
        <v>0</v>
      </c>
    </row>
    <row r="466" spans="2:2" ht="13.2" x14ac:dyDescent="0.25">
      <c r="B466" s="3" t="b">
        <v>0</v>
      </c>
    </row>
    <row r="467" spans="2:2" ht="13.2" x14ac:dyDescent="0.25">
      <c r="B467" s="3" t="b">
        <v>0</v>
      </c>
    </row>
    <row r="468" spans="2:2" ht="13.2" x14ac:dyDescent="0.25">
      <c r="B468" s="3" t="b">
        <v>0</v>
      </c>
    </row>
    <row r="469" spans="2:2" ht="13.2" x14ac:dyDescent="0.25">
      <c r="B469" s="3" t="b">
        <v>0</v>
      </c>
    </row>
    <row r="470" spans="2:2" ht="13.2" x14ac:dyDescent="0.25">
      <c r="B470" s="3" t="b">
        <v>0</v>
      </c>
    </row>
    <row r="471" spans="2:2" ht="13.2" x14ac:dyDescent="0.25">
      <c r="B471" s="3" t="b">
        <v>0</v>
      </c>
    </row>
    <row r="472" spans="2:2" ht="13.2" x14ac:dyDescent="0.25">
      <c r="B472" s="3" t="b">
        <v>0</v>
      </c>
    </row>
    <row r="473" spans="2:2" ht="13.2" x14ac:dyDescent="0.25">
      <c r="B473" s="3" t="b">
        <v>0</v>
      </c>
    </row>
    <row r="474" spans="2:2" ht="13.2" x14ac:dyDescent="0.25">
      <c r="B474" s="3" t="b">
        <v>0</v>
      </c>
    </row>
    <row r="475" spans="2:2" ht="13.2" x14ac:dyDescent="0.25">
      <c r="B475" s="3" t="b">
        <v>0</v>
      </c>
    </row>
    <row r="476" spans="2:2" ht="13.2" x14ac:dyDescent="0.25">
      <c r="B476" s="3" t="b">
        <v>0</v>
      </c>
    </row>
    <row r="477" spans="2:2" ht="13.2" x14ac:dyDescent="0.25">
      <c r="B477" s="3" t="b">
        <v>0</v>
      </c>
    </row>
    <row r="478" spans="2:2" ht="13.2" x14ac:dyDescent="0.25">
      <c r="B478" s="3" t="b">
        <v>0</v>
      </c>
    </row>
    <row r="479" spans="2:2" ht="13.2" x14ac:dyDescent="0.25">
      <c r="B479" s="3" t="b">
        <v>0</v>
      </c>
    </row>
    <row r="480" spans="2:2" ht="13.2" x14ac:dyDescent="0.25">
      <c r="B480" s="3" t="b">
        <v>0</v>
      </c>
    </row>
    <row r="481" spans="2:2" ht="13.2" x14ac:dyDescent="0.25">
      <c r="B481" s="3" t="b">
        <v>0</v>
      </c>
    </row>
    <row r="482" spans="2:2" ht="13.2" x14ac:dyDescent="0.25">
      <c r="B482" s="3" t="b">
        <v>0</v>
      </c>
    </row>
    <row r="483" spans="2:2" ht="13.2" x14ac:dyDescent="0.25">
      <c r="B483" s="3" t="b">
        <v>0</v>
      </c>
    </row>
    <row r="484" spans="2:2" ht="13.2" x14ac:dyDescent="0.25">
      <c r="B484" s="3" t="b">
        <v>0</v>
      </c>
    </row>
    <row r="485" spans="2:2" ht="13.2" x14ac:dyDescent="0.25">
      <c r="B485" s="3" t="b">
        <v>0</v>
      </c>
    </row>
    <row r="486" spans="2:2" ht="13.2" x14ac:dyDescent="0.25">
      <c r="B486" s="3" t="b">
        <v>0</v>
      </c>
    </row>
    <row r="487" spans="2:2" ht="13.2" x14ac:dyDescent="0.25">
      <c r="B487" s="3" t="b">
        <v>0</v>
      </c>
    </row>
    <row r="488" spans="2:2" ht="13.2" x14ac:dyDescent="0.25">
      <c r="B488" s="3" t="b">
        <v>0</v>
      </c>
    </row>
    <row r="489" spans="2:2" ht="13.2" x14ac:dyDescent="0.25">
      <c r="B489" s="3" t="b">
        <v>0</v>
      </c>
    </row>
    <row r="490" spans="2:2" ht="13.2" x14ac:dyDescent="0.25">
      <c r="B490" s="3" t="b">
        <v>0</v>
      </c>
    </row>
    <row r="491" spans="2:2" ht="13.2" x14ac:dyDescent="0.25">
      <c r="B491" s="3" t="b">
        <v>0</v>
      </c>
    </row>
    <row r="492" spans="2:2" ht="13.2" x14ac:dyDescent="0.25">
      <c r="B492" s="3" t="b">
        <v>0</v>
      </c>
    </row>
    <row r="493" spans="2:2" ht="13.2" x14ac:dyDescent="0.25">
      <c r="B493" s="3" t="b">
        <v>0</v>
      </c>
    </row>
    <row r="494" spans="2:2" ht="13.2" x14ac:dyDescent="0.25">
      <c r="B494" s="3" t="b">
        <v>0</v>
      </c>
    </row>
    <row r="495" spans="2:2" ht="13.2" x14ac:dyDescent="0.25">
      <c r="B495" s="3" t="b">
        <v>0</v>
      </c>
    </row>
    <row r="496" spans="2:2" ht="13.2" x14ac:dyDescent="0.25">
      <c r="B496" s="3" t="b">
        <v>0</v>
      </c>
    </row>
    <row r="497" spans="2:2" ht="13.2" x14ac:dyDescent="0.25">
      <c r="B497" s="3" t="b">
        <v>0</v>
      </c>
    </row>
    <row r="498" spans="2:2" ht="13.2" x14ac:dyDescent="0.25">
      <c r="B498" s="3" t="b">
        <v>0</v>
      </c>
    </row>
    <row r="499" spans="2:2" ht="13.2" x14ac:dyDescent="0.25">
      <c r="B499" s="3" t="b">
        <v>0</v>
      </c>
    </row>
    <row r="500" spans="2:2" ht="13.2" x14ac:dyDescent="0.25">
      <c r="B500" s="3" t="b">
        <v>0</v>
      </c>
    </row>
    <row r="501" spans="2:2" ht="13.2" x14ac:dyDescent="0.25">
      <c r="B501" s="3" t="b">
        <v>0</v>
      </c>
    </row>
    <row r="502" spans="2:2" ht="13.2" x14ac:dyDescent="0.25">
      <c r="B502" s="3" t="b">
        <v>0</v>
      </c>
    </row>
    <row r="503" spans="2:2" ht="13.2" x14ac:dyDescent="0.25">
      <c r="B503" s="3" t="b">
        <v>0</v>
      </c>
    </row>
    <row r="504" spans="2:2" ht="13.2" x14ac:dyDescent="0.25">
      <c r="B504" s="3" t="b">
        <v>0</v>
      </c>
    </row>
    <row r="505" spans="2:2" ht="13.2" x14ac:dyDescent="0.25">
      <c r="B505" s="3" t="b">
        <v>0</v>
      </c>
    </row>
    <row r="506" spans="2:2" ht="13.2" x14ac:dyDescent="0.25">
      <c r="B506" s="3" t="b">
        <v>0</v>
      </c>
    </row>
    <row r="507" spans="2:2" ht="13.2" x14ac:dyDescent="0.25">
      <c r="B507" s="3" t="b">
        <v>0</v>
      </c>
    </row>
    <row r="508" spans="2:2" ht="13.2" x14ac:dyDescent="0.25">
      <c r="B508" s="3" t="b">
        <v>0</v>
      </c>
    </row>
    <row r="509" spans="2:2" ht="13.2" x14ac:dyDescent="0.25">
      <c r="B509" s="3" t="b">
        <v>0</v>
      </c>
    </row>
    <row r="510" spans="2:2" ht="13.2" x14ac:dyDescent="0.25">
      <c r="B510" s="3" t="b">
        <v>0</v>
      </c>
    </row>
    <row r="511" spans="2:2" ht="13.2" x14ac:dyDescent="0.25">
      <c r="B511" s="3" t="b">
        <v>0</v>
      </c>
    </row>
    <row r="512" spans="2:2" ht="13.2" x14ac:dyDescent="0.25">
      <c r="B512" s="3" t="b">
        <v>0</v>
      </c>
    </row>
    <row r="513" spans="2:2" ht="13.2" x14ac:dyDescent="0.25">
      <c r="B513" s="3" t="b">
        <v>0</v>
      </c>
    </row>
    <row r="514" spans="2:2" ht="13.2" x14ac:dyDescent="0.25">
      <c r="B514" s="3" t="b">
        <v>0</v>
      </c>
    </row>
    <row r="515" spans="2:2" ht="13.2" x14ac:dyDescent="0.25">
      <c r="B515" s="3" t="b">
        <v>0</v>
      </c>
    </row>
    <row r="516" spans="2:2" ht="13.2" x14ac:dyDescent="0.25">
      <c r="B516" s="3" t="b">
        <v>0</v>
      </c>
    </row>
    <row r="517" spans="2:2" ht="13.2" x14ac:dyDescent="0.25">
      <c r="B517" s="3" t="b">
        <v>0</v>
      </c>
    </row>
    <row r="518" spans="2:2" ht="13.2" x14ac:dyDescent="0.25">
      <c r="B518" s="3" t="b">
        <v>0</v>
      </c>
    </row>
    <row r="519" spans="2:2" ht="13.2" x14ac:dyDescent="0.25">
      <c r="B519" s="3" t="b">
        <v>0</v>
      </c>
    </row>
    <row r="520" spans="2:2" ht="13.2" x14ac:dyDescent="0.25">
      <c r="B520" s="3" t="b">
        <v>0</v>
      </c>
    </row>
    <row r="521" spans="2:2" ht="13.2" x14ac:dyDescent="0.25">
      <c r="B521" s="3" t="b">
        <v>0</v>
      </c>
    </row>
    <row r="522" spans="2:2" ht="13.2" x14ac:dyDescent="0.25">
      <c r="B522" s="3" t="b">
        <v>0</v>
      </c>
    </row>
    <row r="523" spans="2:2" ht="13.2" x14ac:dyDescent="0.25">
      <c r="B523" s="3" t="b">
        <v>0</v>
      </c>
    </row>
    <row r="524" spans="2:2" ht="13.2" x14ac:dyDescent="0.25">
      <c r="B524" s="3" t="b">
        <v>0</v>
      </c>
    </row>
    <row r="525" spans="2:2" ht="13.2" x14ac:dyDescent="0.25">
      <c r="B525" s="3" t="b">
        <v>0</v>
      </c>
    </row>
    <row r="526" spans="2:2" ht="13.2" x14ac:dyDescent="0.25">
      <c r="B526" s="3" t="b">
        <v>0</v>
      </c>
    </row>
    <row r="527" spans="2:2" ht="13.2" x14ac:dyDescent="0.25">
      <c r="B527" s="3" t="b">
        <v>0</v>
      </c>
    </row>
    <row r="528" spans="2:2" ht="13.2" x14ac:dyDescent="0.25">
      <c r="B528" s="3" t="b">
        <v>0</v>
      </c>
    </row>
    <row r="529" spans="2:2" ht="13.2" x14ac:dyDescent="0.25">
      <c r="B529" s="3" t="b">
        <v>0</v>
      </c>
    </row>
    <row r="530" spans="2:2" ht="13.2" x14ac:dyDescent="0.25">
      <c r="B530" s="3" t="b">
        <v>0</v>
      </c>
    </row>
    <row r="531" spans="2:2" ht="13.2" x14ac:dyDescent="0.25">
      <c r="B531" s="3" t="b">
        <v>0</v>
      </c>
    </row>
    <row r="532" spans="2:2" ht="13.2" x14ac:dyDescent="0.25">
      <c r="B532" s="3" t="b">
        <v>0</v>
      </c>
    </row>
    <row r="533" spans="2:2" ht="13.2" x14ac:dyDescent="0.25">
      <c r="B533" s="3" t="b">
        <v>0</v>
      </c>
    </row>
    <row r="534" spans="2:2" ht="13.2" x14ac:dyDescent="0.25">
      <c r="B534" s="3" t="b">
        <v>0</v>
      </c>
    </row>
    <row r="535" spans="2:2" ht="13.2" x14ac:dyDescent="0.25">
      <c r="B535" s="3" t="b">
        <v>0</v>
      </c>
    </row>
    <row r="536" spans="2:2" ht="13.2" x14ac:dyDescent="0.25">
      <c r="B536" s="3" t="b">
        <v>0</v>
      </c>
    </row>
    <row r="537" spans="2:2" ht="13.2" x14ac:dyDescent="0.25">
      <c r="B537" s="3" t="b">
        <v>0</v>
      </c>
    </row>
    <row r="538" spans="2:2" ht="13.2" x14ac:dyDescent="0.25">
      <c r="B538" s="3" t="b">
        <v>0</v>
      </c>
    </row>
    <row r="539" spans="2:2" ht="13.2" x14ac:dyDescent="0.25">
      <c r="B539" s="3" t="b">
        <v>0</v>
      </c>
    </row>
    <row r="540" spans="2:2" ht="13.2" x14ac:dyDescent="0.25">
      <c r="B540" s="3" t="b">
        <v>0</v>
      </c>
    </row>
    <row r="541" spans="2:2" ht="13.2" x14ac:dyDescent="0.25">
      <c r="B541" s="3" t="b">
        <v>0</v>
      </c>
    </row>
    <row r="542" spans="2:2" ht="13.2" x14ac:dyDescent="0.25">
      <c r="B542" s="3" t="b">
        <v>0</v>
      </c>
    </row>
    <row r="543" spans="2:2" ht="13.2" x14ac:dyDescent="0.25">
      <c r="B543" s="3" t="b">
        <v>0</v>
      </c>
    </row>
    <row r="544" spans="2:2" ht="13.2" x14ac:dyDescent="0.25">
      <c r="B544" s="3" t="b">
        <v>0</v>
      </c>
    </row>
    <row r="545" spans="2:2" ht="13.2" x14ac:dyDescent="0.25">
      <c r="B545" s="3" t="b">
        <v>0</v>
      </c>
    </row>
    <row r="546" spans="2:2" ht="13.2" x14ac:dyDescent="0.25">
      <c r="B546" s="3" t="b">
        <v>0</v>
      </c>
    </row>
    <row r="547" spans="2:2" ht="13.2" x14ac:dyDescent="0.25">
      <c r="B547" s="3" t="b">
        <v>0</v>
      </c>
    </row>
    <row r="548" spans="2:2" ht="13.2" x14ac:dyDescent="0.25">
      <c r="B548" s="3" t="b">
        <v>0</v>
      </c>
    </row>
    <row r="549" spans="2:2" ht="13.2" x14ac:dyDescent="0.25">
      <c r="B549" s="3" t="b">
        <v>0</v>
      </c>
    </row>
    <row r="550" spans="2:2" ht="13.2" x14ac:dyDescent="0.25">
      <c r="B550" s="3" t="b">
        <v>0</v>
      </c>
    </row>
    <row r="551" spans="2:2" ht="13.2" x14ac:dyDescent="0.25">
      <c r="B551" s="3" t="b">
        <v>0</v>
      </c>
    </row>
    <row r="552" spans="2:2" ht="13.2" x14ac:dyDescent="0.25">
      <c r="B552" s="3" t="b">
        <v>0</v>
      </c>
    </row>
    <row r="553" spans="2:2" ht="13.2" x14ac:dyDescent="0.25">
      <c r="B553" s="3" t="b">
        <v>0</v>
      </c>
    </row>
    <row r="554" spans="2:2" ht="13.2" x14ac:dyDescent="0.25">
      <c r="B554" s="3" t="b">
        <v>0</v>
      </c>
    </row>
    <row r="555" spans="2:2" ht="13.2" x14ac:dyDescent="0.25">
      <c r="B555" s="3" t="b">
        <v>0</v>
      </c>
    </row>
    <row r="556" spans="2:2" ht="13.2" x14ac:dyDescent="0.25">
      <c r="B556" s="3" t="b">
        <v>0</v>
      </c>
    </row>
    <row r="557" spans="2:2" ht="13.2" x14ac:dyDescent="0.25">
      <c r="B557" s="3" t="b">
        <v>0</v>
      </c>
    </row>
    <row r="558" spans="2:2" ht="13.2" x14ac:dyDescent="0.25">
      <c r="B558" s="3" t="b">
        <v>0</v>
      </c>
    </row>
    <row r="559" spans="2:2" ht="13.2" x14ac:dyDescent="0.25">
      <c r="B559" s="3" t="b">
        <v>0</v>
      </c>
    </row>
    <row r="560" spans="2:2" ht="13.2" x14ac:dyDescent="0.25">
      <c r="B560" s="3" t="b">
        <v>0</v>
      </c>
    </row>
    <row r="561" spans="2:2" ht="13.2" x14ac:dyDescent="0.25">
      <c r="B561" s="3" t="b">
        <v>0</v>
      </c>
    </row>
    <row r="562" spans="2:2" ht="13.2" x14ac:dyDescent="0.25">
      <c r="B562" s="3" t="b">
        <v>0</v>
      </c>
    </row>
    <row r="563" spans="2:2" ht="13.2" x14ac:dyDescent="0.25">
      <c r="B563" s="3" t="b">
        <v>0</v>
      </c>
    </row>
    <row r="564" spans="2:2" ht="13.2" x14ac:dyDescent="0.25">
      <c r="B564" s="3" t="b">
        <v>0</v>
      </c>
    </row>
    <row r="565" spans="2:2" ht="13.2" x14ac:dyDescent="0.25">
      <c r="B565" s="3" t="b">
        <v>0</v>
      </c>
    </row>
    <row r="566" spans="2:2" ht="13.2" x14ac:dyDescent="0.25">
      <c r="B566" s="3" t="b">
        <v>0</v>
      </c>
    </row>
    <row r="567" spans="2:2" ht="13.2" x14ac:dyDescent="0.25">
      <c r="B567" s="3" t="b">
        <v>0</v>
      </c>
    </row>
    <row r="568" spans="2:2" ht="13.2" x14ac:dyDescent="0.25">
      <c r="B568" s="3" t="b">
        <v>0</v>
      </c>
    </row>
    <row r="569" spans="2:2" ht="13.2" x14ac:dyDescent="0.25">
      <c r="B569" s="3" t="b">
        <v>0</v>
      </c>
    </row>
    <row r="570" spans="2:2" ht="13.2" x14ac:dyDescent="0.25">
      <c r="B570" s="3" t="b">
        <v>0</v>
      </c>
    </row>
    <row r="571" spans="2:2" ht="13.2" x14ac:dyDescent="0.25">
      <c r="B571" s="3" t="b">
        <v>0</v>
      </c>
    </row>
    <row r="572" spans="2:2" ht="13.2" x14ac:dyDescent="0.25">
      <c r="B572" s="3" t="b">
        <v>0</v>
      </c>
    </row>
    <row r="573" spans="2:2" ht="13.2" x14ac:dyDescent="0.25">
      <c r="B573" s="3" t="b">
        <v>0</v>
      </c>
    </row>
    <row r="574" spans="2:2" ht="13.2" x14ac:dyDescent="0.25">
      <c r="B574" s="3" t="b">
        <v>0</v>
      </c>
    </row>
    <row r="575" spans="2:2" ht="13.2" x14ac:dyDescent="0.25">
      <c r="B575" s="3" t="b">
        <v>0</v>
      </c>
    </row>
    <row r="576" spans="2:2" ht="13.2" x14ac:dyDescent="0.25">
      <c r="B576" s="3" t="b">
        <v>0</v>
      </c>
    </row>
    <row r="577" spans="2:2" ht="13.2" x14ac:dyDescent="0.25">
      <c r="B577" s="3" t="b">
        <v>0</v>
      </c>
    </row>
    <row r="578" spans="2:2" ht="13.2" x14ac:dyDescent="0.25">
      <c r="B578" s="3" t="b">
        <v>0</v>
      </c>
    </row>
    <row r="579" spans="2:2" ht="13.2" x14ac:dyDescent="0.25">
      <c r="B579" s="3" t="b">
        <v>0</v>
      </c>
    </row>
    <row r="580" spans="2:2" ht="13.2" x14ac:dyDescent="0.25">
      <c r="B580" s="3" t="b">
        <v>0</v>
      </c>
    </row>
    <row r="581" spans="2:2" ht="13.2" x14ac:dyDescent="0.25">
      <c r="B581" s="3" t="b">
        <v>0</v>
      </c>
    </row>
    <row r="582" spans="2:2" ht="13.2" x14ac:dyDescent="0.25">
      <c r="B582" s="3" t="b">
        <v>0</v>
      </c>
    </row>
    <row r="583" spans="2:2" ht="13.2" x14ac:dyDescent="0.25">
      <c r="B583" s="3" t="b">
        <v>0</v>
      </c>
    </row>
    <row r="584" spans="2:2" ht="13.2" x14ac:dyDescent="0.25">
      <c r="B584" s="3" t="b">
        <v>0</v>
      </c>
    </row>
    <row r="585" spans="2:2" ht="13.2" x14ac:dyDescent="0.25">
      <c r="B585" s="3" t="b">
        <v>0</v>
      </c>
    </row>
    <row r="586" spans="2:2" ht="13.2" x14ac:dyDescent="0.25">
      <c r="B586" s="3" t="b">
        <v>0</v>
      </c>
    </row>
    <row r="587" spans="2:2" ht="13.2" x14ac:dyDescent="0.25">
      <c r="B587" s="3" t="b">
        <v>0</v>
      </c>
    </row>
    <row r="588" spans="2:2" ht="13.2" x14ac:dyDescent="0.25">
      <c r="B588" s="3" t="b">
        <v>0</v>
      </c>
    </row>
    <row r="589" spans="2:2" ht="13.2" x14ac:dyDescent="0.25">
      <c r="B589" s="3" t="b">
        <v>0</v>
      </c>
    </row>
    <row r="590" spans="2:2" ht="13.2" x14ac:dyDescent="0.25">
      <c r="B590" s="3" t="b">
        <v>0</v>
      </c>
    </row>
    <row r="591" spans="2:2" ht="13.2" x14ac:dyDescent="0.25">
      <c r="B591" s="3" t="b">
        <v>0</v>
      </c>
    </row>
    <row r="592" spans="2:2" ht="13.2" x14ac:dyDescent="0.25">
      <c r="B592" s="3" t="b">
        <v>0</v>
      </c>
    </row>
    <row r="593" spans="2:2" ht="13.2" x14ac:dyDescent="0.25">
      <c r="B593" s="3" t="b">
        <v>0</v>
      </c>
    </row>
    <row r="594" spans="2:2" ht="13.2" x14ac:dyDescent="0.25">
      <c r="B594" s="3" t="b">
        <v>0</v>
      </c>
    </row>
    <row r="595" spans="2:2" ht="13.2" x14ac:dyDescent="0.25">
      <c r="B595" s="3" t="b">
        <v>0</v>
      </c>
    </row>
    <row r="596" spans="2:2" ht="13.2" x14ac:dyDescent="0.25">
      <c r="B596" s="3" t="b">
        <v>0</v>
      </c>
    </row>
    <row r="597" spans="2:2" ht="13.2" x14ac:dyDescent="0.25">
      <c r="B597" s="3" t="b">
        <v>0</v>
      </c>
    </row>
    <row r="598" spans="2:2" ht="13.2" x14ac:dyDescent="0.25">
      <c r="B598" s="3" t="b">
        <v>0</v>
      </c>
    </row>
    <row r="599" spans="2:2" ht="13.2" x14ac:dyDescent="0.25">
      <c r="B599" s="3" t="b">
        <v>0</v>
      </c>
    </row>
    <row r="600" spans="2:2" ht="13.2" x14ac:dyDescent="0.25">
      <c r="B600" s="3" t="b">
        <v>0</v>
      </c>
    </row>
    <row r="601" spans="2:2" ht="13.2" x14ac:dyDescent="0.25">
      <c r="B601" s="3" t="b">
        <v>0</v>
      </c>
    </row>
    <row r="602" spans="2:2" ht="13.2" x14ac:dyDescent="0.25">
      <c r="B602" s="3" t="b">
        <v>0</v>
      </c>
    </row>
    <row r="603" spans="2:2" ht="13.2" x14ac:dyDescent="0.25">
      <c r="B603" s="3" t="b">
        <v>0</v>
      </c>
    </row>
    <row r="604" spans="2:2" ht="13.2" x14ac:dyDescent="0.25">
      <c r="B604" s="3" t="b">
        <v>0</v>
      </c>
    </row>
    <row r="605" spans="2:2" ht="13.2" x14ac:dyDescent="0.25">
      <c r="B605" s="3" t="b">
        <v>0</v>
      </c>
    </row>
    <row r="606" spans="2:2" ht="13.2" x14ac:dyDescent="0.25">
      <c r="B606" s="3" t="b">
        <v>0</v>
      </c>
    </row>
    <row r="607" spans="2:2" ht="13.2" x14ac:dyDescent="0.25">
      <c r="B607" s="3" t="b">
        <v>0</v>
      </c>
    </row>
    <row r="608" spans="2:2" ht="13.2" x14ac:dyDescent="0.25">
      <c r="B608" s="3" t="b">
        <v>0</v>
      </c>
    </row>
    <row r="609" spans="2:2" ht="13.2" x14ac:dyDescent="0.25">
      <c r="B609" s="3" t="b">
        <v>0</v>
      </c>
    </row>
    <row r="610" spans="2:2" ht="13.2" x14ac:dyDescent="0.25">
      <c r="B610" s="3" t="b">
        <v>0</v>
      </c>
    </row>
    <row r="611" spans="2:2" ht="13.2" x14ac:dyDescent="0.25">
      <c r="B611" s="3" t="b">
        <v>0</v>
      </c>
    </row>
    <row r="612" spans="2:2" ht="13.2" x14ac:dyDescent="0.25">
      <c r="B612" s="3" t="b">
        <v>0</v>
      </c>
    </row>
    <row r="613" spans="2:2" ht="13.2" x14ac:dyDescent="0.25">
      <c r="B613" s="3" t="b">
        <v>0</v>
      </c>
    </row>
    <row r="614" spans="2:2" ht="13.2" x14ac:dyDescent="0.25">
      <c r="B614" s="3" t="b">
        <v>0</v>
      </c>
    </row>
    <row r="615" spans="2:2" ht="13.2" x14ac:dyDescent="0.25">
      <c r="B615" s="3" t="b">
        <v>0</v>
      </c>
    </row>
    <row r="616" spans="2:2" ht="13.2" x14ac:dyDescent="0.25">
      <c r="B616" s="3" t="b">
        <v>0</v>
      </c>
    </row>
    <row r="617" spans="2:2" ht="13.2" x14ac:dyDescent="0.25">
      <c r="B617" s="3" t="b">
        <v>0</v>
      </c>
    </row>
    <row r="618" spans="2:2" ht="13.2" x14ac:dyDescent="0.25">
      <c r="B618" s="3" t="b">
        <v>0</v>
      </c>
    </row>
    <row r="619" spans="2:2" ht="13.2" x14ac:dyDescent="0.25">
      <c r="B619" s="3" t="b">
        <v>0</v>
      </c>
    </row>
    <row r="620" spans="2:2" ht="13.2" x14ac:dyDescent="0.25">
      <c r="B620" s="3" t="b">
        <v>0</v>
      </c>
    </row>
    <row r="621" spans="2:2" ht="13.2" x14ac:dyDescent="0.25">
      <c r="B621" s="3" t="b">
        <v>0</v>
      </c>
    </row>
    <row r="622" spans="2:2" ht="13.2" x14ac:dyDescent="0.25">
      <c r="B622" s="3" t="b">
        <v>0</v>
      </c>
    </row>
    <row r="623" spans="2:2" ht="13.2" x14ac:dyDescent="0.25">
      <c r="B623" s="3" t="b">
        <v>0</v>
      </c>
    </row>
    <row r="624" spans="2:2" ht="13.2" x14ac:dyDescent="0.25">
      <c r="B624" s="3" t="b">
        <v>0</v>
      </c>
    </row>
    <row r="625" spans="2:2" ht="13.2" x14ac:dyDescent="0.25">
      <c r="B625" s="3" t="b">
        <v>0</v>
      </c>
    </row>
    <row r="626" spans="2:2" ht="13.2" x14ac:dyDescent="0.25">
      <c r="B626" s="3" t="b">
        <v>0</v>
      </c>
    </row>
    <row r="627" spans="2:2" ht="13.2" x14ac:dyDescent="0.25">
      <c r="B627" s="3" t="b">
        <v>0</v>
      </c>
    </row>
    <row r="628" spans="2:2" ht="13.2" x14ac:dyDescent="0.25">
      <c r="B628" s="3" t="b">
        <v>0</v>
      </c>
    </row>
    <row r="629" spans="2:2" ht="13.2" x14ac:dyDescent="0.25">
      <c r="B629" s="3" t="b">
        <v>0</v>
      </c>
    </row>
    <row r="630" spans="2:2" ht="13.2" x14ac:dyDescent="0.25">
      <c r="B630" s="3" t="b">
        <v>0</v>
      </c>
    </row>
    <row r="631" spans="2:2" ht="13.2" x14ac:dyDescent="0.25">
      <c r="B631" s="3" t="b">
        <v>0</v>
      </c>
    </row>
    <row r="632" spans="2:2" ht="13.2" x14ac:dyDescent="0.25">
      <c r="B632" s="3" t="b">
        <v>0</v>
      </c>
    </row>
    <row r="633" spans="2:2" ht="13.2" x14ac:dyDescent="0.25">
      <c r="B633" s="3" t="b">
        <v>0</v>
      </c>
    </row>
    <row r="634" spans="2:2" ht="13.2" x14ac:dyDescent="0.25">
      <c r="B634" s="3" t="b">
        <v>0</v>
      </c>
    </row>
    <row r="635" spans="2:2" ht="13.2" x14ac:dyDescent="0.25">
      <c r="B635" s="3" t="b">
        <v>0</v>
      </c>
    </row>
    <row r="636" spans="2:2" ht="13.2" x14ac:dyDescent="0.25">
      <c r="B636" s="3" t="b">
        <v>0</v>
      </c>
    </row>
    <row r="637" spans="2:2" ht="13.2" x14ac:dyDescent="0.25">
      <c r="B637" s="3" t="b">
        <v>0</v>
      </c>
    </row>
    <row r="638" spans="2:2" ht="13.2" x14ac:dyDescent="0.25">
      <c r="B638" s="3" t="b">
        <v>0</v>
      </c>
    </row>
    <row r="639" spans="2:2" ht="13.2" x14ac:dyDescent="0.25">
      <c r="B639" s="3" t="b">
        <v>0</v>
      </c>
    </row>
    <row r="640" spans="2:2" ht="13.2" x14ac:dyDescent="0.25">
      <c r="B640" s="3" t="b">
        <v>0</v>
      </c>
    </row>
    <row r="641" spans="2:2" ht="13.2" x14ac:dyDescent="0.25">
      <c r="B641" s="3" t="b">
        <v>0</v>
      </c>
    </row>
    <row r="642" spans="2:2" ht="13.2" x14ac:dyDescent="0.25">
      <c r="B642" s="3" t="b">
        <v>0</v>
      </c>
    </row>
    <row r="643" spans="2:2" ht="13.2" x14ac:dyDescent="0.25">
      <c r="B643" s="3" t="b">
        <v>0</v>
      </c>
    </row>
    <row r="644" spans="2:2" ht="13.2" x14ac:dyDescent="0.25">
      <c r="B644" s="3" t="b">
        <v>0</v>
      </c>
    </row>
    <row r="645" spans="2:2" ht="13.2" x14ac:dyDescent="0.25">
      <c r="B645" s="3" t="b">
        <v>0</v>
      </c>
    </row>
    <row r="646" spans="2:2" ht="13.2" x14ac:dyDescent="0.25">
      <c r="B646" s="3" t="b">
        <v>0</v>
      </c>
    </row>
    <row r="647" spans="2:2" ht="13.2" x14ac:dyDescent="0.25">
      <c r="B647" s="3" t="b">
        <v>0</v>
      </c>
    </row>
    <row r="648" spans="2:2" ht="13.2" x14ac:dyDescent="0.25">
      <c r="B648" s="3" t="b">
        <v>0</v>
      </c>
    </row>
    <row r="649" spans="2:2" ht="13.2" x14ac:dyDescent="0.25">
      <c r="B649" s="3" t="b">
        <v>0</v>
      </c>
    </row>
    <row r="650" spans="2:2" ht="13.2" x14ac:dyDescent="0.25">
      <c r="B650" s="3" t="b">
        <v>0</v>
      </c>
    </row>
    <row r="651" spans="2:2" ht="13.2" x14ac:dyDescent="0.25">
      <c r="B651" s="3" t="b">
        <v>0</v>
      </c>
    </row>
    <row r="652" spans="2:2" ht="13.2" x14ac:dyDescent="0.25">
      <c r="B652" s="3" t="b">
        <v>0</v>
      </c>
    </row>
    <row r="653" spans="2:2" ht="13.2" x14ac:dyDescent="0.25">
      <c r="B653" s="3" t="b">
        <v>0</v>
      </c>
    </row>
    <row r="654" spans="2:2" ht="13.2" x14ac:dyDescent="0.25">
      <c r="B654" s="3" t="b">
        <v>0</v>
      </c>
    </row>
    <row r="655" spans="2:2" ht="13.2" x14ac:dyDescent="0.25">
      <c r="B655" s="3" t="b">
        <v>0</v>
      </c>
    </row>
    <row r="656" spans="2:2" ht="13.2" x14ac:dyDescent="0.25">
      <c r="B656" s="3" t="b">
        <v>0</v>
      </c>
    </row>
    <row r="657" spans="2:2" ht="13.2" x14ac:dyDescent="0.25">
      <c r="B657" s="3" t="b">
        <v>0</v>
      </c>
    </row>
    <row r="658" spans="2:2" ht="13.2" x14ac:dyDescent="0.25">
      <c r="B658" s="3" t="b">
        <v>0</v>
      </c>
    </row>
    <row r="659" spans="2:2" ht="13.2" x14ac:dyDescent="0.25">
      <c r="B659" s="3" t="b">
        <v>0</v>
      </c>
    </row>
    <row r="660" spans="2:2" ht="13.2" x14ac:dyDescent="0.25">
      <c r="B660" s="3" t="b">
        <v>0</v>
      </c>
    </row>
    <row r="661" spans="2:2" ht="13.2" x14ac:dyDescent="0.25">
      <c r="B661" s="3" t="b">
        <v>0</v>
      </c>
    </row>
    <row r="662" spans="2:2" ht="13.2" x14ac:dyDescent="0.25">
      <c r="B662" s="3" t="b">
        <v>0</v>
      </c>
    </row>
    <row r="663" spans="2:2" ht="13.2" x14ac:dyDescent="0.25">
      <c r="B663" s="3" t="b">
        <v>0</v>
      </c>
    </row>
    <row r="664" spans="2:2" ht="13.2" x14ac:dyDescent="0.25">
      <c r="B664" s="3" t="b">
        <v>0</v>
      </c>
    </row>
    <row r="665" spans="2:2" ht="13.2" x14ac:dyDescent="0.25">
      <c r="B665" s="3" t="b">
        <v>0</v>
      </c>
    </row>
    <row r="666" spans="2:2" ht="13.2" x14ac:dyDescent="0.25">
      <c r="B666" s="3" t="b">
        <v>0</v>
      </c>
    </row>
    <row r="667" spans="2:2" ht="13.2" x14ac:dyDescent="0.25">
      <c r="B667" s="3" t="b">
        <v>0</v>
      </c>
    </row>
    <row r="668" spans="2:2" ht="13.2" x14ac:dyDescent="0.25">
      <c r="B668" s="3" t="b">
        <v>0</v>
      </c>
    </row>
    <row r="669" spans="2:2" ht="13.2" x14ac:dyDescent="0.25">
      <c r="B669" s="3" t="b">
        <v>0</v>
      </c>
    </row>
    <row r="670" spans="2:2" ht="13.2" x14ac:dyDescent="0.25">
      <c r="B670" s="3" t="b">
        <v>0</v>
      </c>
    </row>
    <row r="671" spans="2:2" ht="13.2" x14ac:dyDescent="0.25">
      <c r="B671" s="3" t="b">
        <v>0</v>
      </c>
    </row>
    <row r="672" spans="2:2" ht="13.2" x14ac:dyDescent="0.25">
      <c r="B672" s="3" t="b">
        <v>0</v>
      </c>
    </row>
    <row r="673" spans="2:2" ht="13.2" x14ac:dyDescent="0.25">
      <c r="B673" s="3" t="b">
        <v>0</v>
      </c>
    </row>
    <row r="674" spans="2:2" ht="13.2" x14ac:dyDescent="0.25">
      <c r="B674" s="3" t="b">
        <v>0</v>
      </c>
    </row>
    <row r="675" spans="2:2" ht="13.2" x14ac:dyDescent="0.25">
      <c r="B675" s="3" t="b">
        <v>0</v>
      </c>
    </row>
    <row r="676" spans="2:2" ht="13.2" x14ac:dyDescent="0.25">
      <c r="B676" s="3" t="b">
        <v>0</v>
      </c>
    </row>
    <row r="677" spans="2:2" ht="13.2" x14ac:dyDescent="0.25">
      <c r="B677" s="3" t="b">
        <v>0</v>
      </c>
    </row>
    <row r="678" spans="2:2" ht="13.2" x14ac:dyDescent="0.25">
      <c r="B678" s="3" t="b">
        <v>0</v>
      </c>
    </row>
    <row r="679" spans="2:2" ht="13.2" x14ac:dyDescent="0.25">
      <c r="B679" s="3" t="b">
        <v>0</v>
      </c>
    </row>
    <row r="680" spans="2:2" ht="13.2" x14ac:dyDescent="0.25">
      <c r="B680" s="3" t="b">
        <v>0</v>
      </c>
    </row>
    <row r="681" spans="2:2" ht="13.2" x14ac:dyDescent="0.25">
      <c r="B681" s="3" t="b">
        <v>0</v>
      </c>
    </row>
    <row r="682" spans="2:2" ht="13.2" x14ac:dyDescent="0.25">
      <c r="B682" s="3" t="b">
        <v>0</v>
      </c>
    </row>
    <row r="683" spans="2:2" ht="13.2" x14ac:dyDescent="0.25">
      <c r="B683" s="3" t="b">
        <v>0</v>
      </c>
    </row>
    <row r="684" spans="2:2" ht="13.2" x14ac:dyDescent="0.25">
      <c r="B684" s="3" t="b">
        <v>0</v>
      </c>
    </row>
    <row r="685" spans="2:2" ht="13.2" x14ac:dyDescent="0.25">
      <c r="B685" s="3" t="b">
        <v>0</v>
      </c>
    </row>
    <row r="686" spans="2:2" ht="13.2" x14ac:dyDescent="0.25">
      <c r="B686" s="3" t="b">
        <v>0</v>
      </c>
    </row>
    <row r="687" spans="2:2" ht="13.2" x14ac:dyDescent="0.25">
      <c r="B687" s="3" t="b">
        <v>0</v>
      </c>
    </row>
    <row r="688" spans="2:2" ht="13.2" x14ac:dyDescent="0.25">
      <c r="B688" s="3" t="b">
        <v>0</v>
      </c>
    </row>
    <row r="689" spans="2:2" ht="13.2" x14ac:dyDescent="0.25">
      <c r="B689" s="3" t="b">
        <v>0</v>
      </c>
    </row>
    <row r="690" spans="2:2" ht="13.2" x14ac:dyDescent="0.25">
      <c r="B690" s="3" t="b">
        <v>0</v>
      </c>
    </row>
    <row r="691" spans="2:2" ht="13.2" x14ac:dyDescent="0.25">
      <c r="B691" s="3" t="b">
        <v>0</v>
      </c>
    </row>
    <row r="692" spans="2:2" ht="13.2" x14ac:dyDescent="0.25">
      <c r="B692" s="3" t="b">
        <v>0</v>
      </c>
    </row>
    <row r="693" spans="2:2" ht="13.2" x14ac:dyDescent="0.25">
      <c r="B693" s="3" t="b">
        <v>0</v>
      </c>
    </row>
    <row r="694" spans="2:2" ht="13.2" x14ac:dyDescent="0.25">
      <c r="B694" s="3" t="b">
        <v>0</v>
      </c>
    </row>
    <row r="695" spans="2:2" ht="13.2" x14ac:dyDescent="0.25">
      <c r="B695" s="3" t="b">
        <v>0</v>
      </c>
    </row>
    <row r="696" spans="2:2" ht="13.2" x14ac:dyDescent="0.25">
      <c r="B696" s="3" t="b">
        <v>0</v>
      </c>
    </row>
    <row r="697" spans="2:2" ht="13.2" x14ac:dyDescent="0.25">
      <c r="B697" s="3" t="b">
        <v>0</v>
      </c>
    </row>
    <row r="698" spans="2:2" ht="13.2" x14ac:dyDescent="0.25">
      <c r="B698" s="3" t="b">
        <v>0</v>
      </c>
    </row>
    <row r="699" spans="2:2" ht="13.2" x14ac:dyDescent="0.25">
      <c r="B699" s="3" t="b">
        <v>0</v>
      </c>
    </row>
    <row r="700" spans="2:2" ht="13.2" x14ac:dyDescent="0.25">
      <c r="B700" s="3" t="b">
        <v>0</v>
      </c>
    </row>
    <row r="701" spans="2:2" ht="13.2" x14ac:dyDescent="0.25">
      <c r="B701" s="3" t="b">
        <v>0</v>
      </c>
    </row>
    <row r="702" spans="2:2" ht="13.2" x14ac:dyDescent="0.25">
      <c r="B702" s="3" t="b">
        <v>0</v>
      </c>
    </row>
    <row r="703" spans="2:2" ht="13.2" x14ac:dyDescent="0.25">
      <c r="B703" s="3" t="b">
        <v>0</v>
      </c>
    </row>
    <row r="704" spans="2:2" ht="13.2" x14ac:dyDescent="0.25">
      <c r="B704" s="3" t="b">
        <v>0</v>
      </c>
    </row>
    <row r="705" spans="2:2" ht="13.2" x14ac:dyDescent="0.25">
      <c r="B705" s="3" t="b">
        <v>0</v>
      </c>
    </row>
    <row r="706" spans="2:2" ht="13.2" x14ac:dyDescent="0.25">
      <c r="B706" s="3" t="b">
        <v>0</v>
      </c>
    </row>
    <row r="707" spans="2:2" ht="13.2" x14ac:dyDescent="0.25">
      <c r="B707" s="3" t="b">
        <v>0</v>
      </c>
    </row>
    <row r="708" spans="2:2" ht="13.2" x14ac:dyDescent="0.25">
      <c r="B708" s="3" t="b">
        <v>0</v>
      </c>
    </row>
    <row r="709" spans="2:2" ht="13.2" x14ac:dyDescent="0.25">
      <c r="B709" s="3" t="b">
        <v>0</v>
      </c>
    </row>
    <row r="710" spans="2:2" ht="13.2" x14ac:dyDescent="0.25">
      <c r="B710" s="3" t="b">
        <v>0</v>
      </c>
    </row>
    <row r="711" spans="2:2" ht="13.2" x14ac:dyDescent="0.25">
      <c r="B711" s="3" t="b">
        <v>0</v>
      </c>
    </row>
    <row r="712" spans="2:2" ht="13.2" x14ac:dyDescent="0.25">
      <c r="B712" s="3" t="b">
        <v>0</v>
      </c>
    </row>
    <row r="713" spans="2:2" ht="13.2" x14ac:dyDescent="0.25">
      <c r="B713" s="3" t="b">
        <v>0</v>
      </c>
    </row>
    <row r="714" spans="2:2" ht="13.2" x14ac:dyDescent="0.25">
      <c r="B714" s="3" t="b">
        <v>0</v>
      </c>
    </row>
    <row r="715" spans="2:2" ht="13.2" x14ac:dyDescent="0.25">
      <c r="B715" s="3" t="b">
        <v>0</v>
      </c>
    </row>
    <row r="716" spans="2:2" ht="13.2" x14ac:dyDescent="0.25">
      <c r="B716" s="3" t="b">
        <v>0</v>
      </c>
    </row>
    <row r="717" spans="2:2" ht="13.2" x14ac:dyDescent="0.25">
      <c r="B717" s="3" t="b">
        <v>0</v>
      </c>
    </row>
    <row r="718" spans="2:2" ht="13.2" x14ac:dyDescent="0.25">
      <c r="B718" s="3" t="b">
        <v>0</v>
      </c>
    </row>
    <row r="719" spans="2:2" ht="13.2" x14ac:dyDescent="0.25">
      <c r="B719" s="3" t="b">
        <v>0</v>
      </c>
    </row>
    <row r="720" spans="2:2" ht="13.2" x14ac:dyDescent="0.25">
      <c r="B720" s="3" t="b">
        <v>0</v>
      </c>
    </row>
    <row r="721" spans="2:2" ht="13.2" x14ac:dyDescent="0.25">
      <c r="B721" s="3" t="b">
        <v>0</v>
      </c>
    </row>
    <row r="722" spans="2:2" ht="13.2" x14ac:dyDescent="0.25">
      <c r="B722" s="3" t="b">
        <v>0</v>
      </c>
    </row>
    <row r="723" spans="2:2" ht="13.2" x14ac:dyDescent="0.25">
      <c r="B723" s="3" t="b">
        <v>0</v>
      </c>
    </row>
    <row r="724" spans="2:2" ht="13.2" x14ac:dyDescent="0.25">
      <c r="B724" s="3" t="b">
        <v>0</v>
      </c>
    </row>
    <row r="725" spans="2:2" ht="13.2" x14ac:dyDescent="0.25">
      <c r="B725" s="3" t="b">
        <v>0</v>
      </c>
    </row>
    <row r="726" spans="2:2" ht="13.2" x14ac:dyDescent="0.25">
      <c r="B726" s="3" t="b">
        <v>0</v>
      </c>
    </row>
    <row r="727" spans="2:2" ht="13.2" x14ac:dyDescent="0.25">
      <c r="B727" s="3" t="b">
        <v>0</v>
      </c>
    </row>
    <row r="728" spans="2:2" ht="13.2" x14ac:dyDescent="0.25">
      <c r="B728" s="3" t="b">
        <v>0</v>
      </c>
    </row>
    <row r="729" spans="2:2" ht="13.2" x14ac:dyDescent="0.25">
      <c r="B729" s="3" t="b">
        <v>0</v>
      </c>
    </row>
    <row r="730" spans="2:2" ht="13.2" x14ac:dyDescent="0.25">
      <c r="B730" s="3" t="b">
        <v>0</v>
      </c>
    </row>
    <row r="731" spans="2:2" ht="13.2" x14ac:dyDescent="0.25">
      <c r="B731" s="3" t="b">
        <v>0</v>
      </c>
    </row>
    <row r="732" spans="2:2" ht="13.2" x14ac:dyDescent="0.25">
      <c r="B732" s="3" t="b">
        <v>0</v>
      </c>
    </row>
    <row r="733" spans="2:2" ht="13.2" x14ac:dyDescent="0.25">
      <c r="B733" s="3" t="b">
        <v>0</v>
      </c>
    </row>
    <row r="734" spans="2:2" ht="13.2" x14ac:dyDescent="0.25">
      <c r="B734" s="3" t="b">
        <v>0</v>
      </c>
    </row>
    <row r="735" spans="2:2" ht="13.2" x14ac:dyDescent="0.25">
      <c r="B735" s="3" t="b">
        <v>0</v>
      </c>
    </row>
    <row r="736" spans="2:2" ht="13.2" x14ac:dyDescent="0.25">
      <c r="B736" s="3" t="b">
        <v>0</v>
      </c>
    </row>
    <row r="737" spans="2:2" ht="13.2" x14ac:dyDescent="0.25">
      <c r="B737" s="3" t="b">
        <v>0</v>
      </c>
    </row>
    <row r="738" spans="2:2" ht="13.2" x14ac:dyDescent="0.25">
      <c r="B738" s="3" t="b">
        <v>0</v>
      </c>
    </row>
    <row r="739" spans="2:2" ht="13.2" x14ac:dyDescent="0.25">
      <c r="B739" s="3" t="b">
        <v>0</v>
      </c>
    </row>
    <row r="740" spans="2:2" ht="13.2" x14ac:dyDescent="0.25">
      <c r="B740" s="3" t="b">
        <v>0</v>
      </c>
    </row>
    <row r="741" spans="2:2" ht="13.2" x14ac:dyDescent="0.25">
      <c r="B741" s="3" t="b">
        <v>0</v>
      </c>
    </row>
    <row r="742" spans="2:2" ht="13.2" x14ac:dyDescent="0.25">
      <c r="B742" s="3" t="b">
        <v>0</v>
      </c>
    </row>
    <row r="743" spans="2:2" ht="13.2" x14ac:dyDescent="0.25">
      <c r="B743" s="3" t="b">
        <v>0</v>
      </c>
    </row>
    <row r="744" spans="2:2" ht="13.2" x14ac:dyDescent="0.25">
      <c r="B744" s="3" t="b">
        <v>0</v>
      </c>
    </row>
    <row r="745" spans="2:2" ht="13.2" x14ac:dyDescent="0.25">
      <c r="B745" s="3" t="b">
        <v>0</v>
      </c>
    </row>
    <row r="746" spans="2:2" ht="13.2" x14ac:dyDescent="0.25">
      <c r="B746" s="3" t="b">
        <v>0</v>
      </c>
    </row>
    <row r="747" spans="2:2" ht="13.2" x14ac:dyDescent="0.25">
      <c r="B747" s="3" t="b">
        <v>0</v>
      </c>
    </row>
    <row r="748" spans="2:2" ht="13.2" x14ac:dyDescent="0.25">
      <c r="B748" s="3" t="b">
        <v>0</v>
      </c>
    </row>
    <row r="749" spans="2:2" ht="13.2" x14ac:dyDescent="0.25">
      <c r="B749" s="3" t="b">
        <v>0</v>
      </c>
    </row>
    <row r="750" spans="2:2" ht="13.2" x14ac:dyDescent="0.25">
      <c r="B750" s="3" t="b">
        <v>0</v>
      </c>
    </row>
    <row r="751" spans="2:2" ht="13.2" x14ac:dyDescent="0.25">
      <c r="B751" s="3" t="b">
        <v>0</v>
      </c>
    </row>
    <row r="752" spans="2:2" ht="13.2" x14ac:dyDescent="0.25">
      <c r="B752" s="3" t="b">
        <v>0</v>
      </c>
    </row>
    <row r="753" spans="2:2" ht="13.2" x14ac:dyDescent="0.25">
      <c r="B753" s="3" t="b">
        <v>0</v>
      </c>
    </row>
    <row r="754" spans="2:2" ht="13.2" x14ac:dyDescent="0.25">
      <c r="B754" s="3" t="b">
        <v>0</v>
      </c>
    </row>
    <row r="755" spans="2:2" ht="13.2" x14ac:dyDescent="0.25">
      <c r="B755" s="3" t="b">
        <v>0</v>
      </c>
    </row>
    <row r="756" spans="2:2" ht="13.2" x14ac:dyDescent="0.25">
      <c r="B756" s="3" t="b">
        <v>0</v>
      </c>
    </row>
    <row r="757" spans="2:2" ht="13.2" x14ac:dyDescent="0.25">
      <c r="B757" s="3" t="b">
        <v>0</v>
      </c>
    </row>
    <row r="758" spans="2:2" ht="13.2" x14ac:dyDescent="0.25">
      <c r="B758" s="3" t="b">
        <v>0</v>
      </c>
    </row>
    <row r="759" spans="2:2" ht="13.2" x14ac:dyDescent="0.25">
      <c r="B759" s="3" t="b">
        <v>0</v>
      </c>
    </row>
    <row r="760" spans="2:2" ht="13.2" x14ac:dyDescent="0.25">
      <c r="B760" s="3" t="b">
        <v>0</v>
      </c>
    </row>
    <row r="761" spans="2:2" ht="13.2" x14ac:dyDescent="0.25">
      <c r="B761" s="3" t="b">
        <v>0</v>
      </c>
    </row>
    <row r="762" spans="2:2" ht="13.2" x14ac:dyDescent="0.25">
      <c r="B762" s="3" t="b">
        <v>0</v>
      </c>
    </row>
    <row r="763" spans="2:2" ht="13.2" x14ac:dyDescent="0.25">
      <c r="B763" s="3" t="b">
        <v>0</v>
      </c>
    </row>
    <row r="764" spans="2:2" ht="13.2" x14ac:dyDescent="0.25">
      <c r="B764" s="3" t="b">
        <v>0</v>
      </c>
    </row>
    <row r="765" spans="2:2" ht="13.2" x14ac:dyDescent="0.25">
      <c r="B765" s="3" t="b">
        <v>0</v>
      </c>
    </row>
    <row r="766" spans="2:2" ht="13.2" x14ac:dyDescent="0.25">
      <c r="B766" s="3" t="b">
        <v>0</v>
      </c>
    </row>
    <row r="767" spans="2:2" ht="13.2" x14ac:dyDescent="0.25">
      <c r="B767" s="3" t="b">
        <v>0</v>
      </c>
    </row>
    <row r="768" spans="2:2" ht="13.2" x14ac:dyDescent="0.25">
      <c r="B768" s="3" t="b">
        <v>0</v>
      </c>
    </row>
    <row r="769" spans="2:2" ht="13.2" x14ac:dyDescent="0.25">
      <c r="B769" s="3" t="b">
        <v>0</v>
      </c>
    </row>
    <row r="770" spans="2:2" ht="13.2" x14ac:dyDescent="0.25">
      <c r="B770" s="3" t="b">
        <v>0</v>
      </c>
    </row>
    <row r="771" spans="2:2" ht="13.2" x14ac:dyDescent="0.25">
      <c r="B771" s="3" t="b">
        <v>0</v>
      </c>
    </row>
    <row r="772" spans="2:2" ht="13.2" x14ac:dyDescent="0.25">
      <c r="B772" s="3" t="b">
        <v>0</v>
      </c>
    </row>
    <row r="773" spans="2:2" ht="13.2" x14ac:dyDescent="0.25">
      <c r="B773" s="3" t="b">
        <v>0</v>
      </c>
    </row>
    <row r="774" spans="2:2" ht="13.2" x14ac:dyDescent="0.25">
      <c r="B774" s="3" t="b">
        <v>0</v>
      </c>
    </row>
    <row r="775" spans="2:2" ht="13.2" x14ac:dyDescent="0.25">
      <c r="B775" s="3" t="b">
        <v>0</v>
      </c>
    </row>
    <row r="776" spans="2:2" ht="13.2" x14ac:dyDescent="0.25">
      <c r="B776" s="3" t="b">
        <v>0</v>
      </c>
    </row>
    <row r="777" spans="2:2" ht="13.2" x14ac:dyDescent="0.25">
      <c r="B777" s="3" t="b">
        <v>0</v>
      </c>
    </row>
    <row r="778" spans="2:2" ht="13.2" x14ac:dyDescent="0.25">
      <c r="B778" s="3" t="b">
        <v>0</v>
      </c>
    </row>
    <row r="779" spans="2:2" ht="13.2" x14ac:dyDescent="0.25">
      <c r="B779" s="3" t="b">
        <v>0</v>
      </c>
    </row>
    <row r="780" spans="2:2" ht="13.2" x14ac:dyDescent="0.25">
      <c r="B780" s="3" t="b">
        <v>0</v>
      </c>
    </row>
    <row r="781" spans="2:2" ht="13.2" x14ac:dyDescent="0.25">
      <c r="B781" s="3" t="b">
        <v>0</v>
      </c>
    </row>
    <row r="782" spans="2:2" ht="13.2" x14ac:dyDescent="0.25">
      <c r="B782" s="3" t="b">
        <v>0</v>
      </c>
    </row>
    <row r="783" spans="2:2" ht="13.2" x14ac:dyDescent="0.25">
      <c r="B783" s="3" t="b">
        <v>0</v>
      </c>
    </row>
    <row r="784" spans="2:2" ht="13.2" x14ac:dyDescent="0.25">
      <c r="B784" s="3" t="b">
        <v>0</v>
      </c>
    </row>
    <row r="785" spans="2:2" ht="13.2" x14ac:dyDescent="0.25">
      <c r="B785" s="3" t="b">
        <v>0</v>
      </c>
    </row>
    <row r="786" spans="2:2" ht="13.2" x14ac:dyDescent="0.25">
      <c r="B786" s="3" t="b">
        <v>0</v>
      </c>
    </row>
    <row r="787" spans="2:2" ht="13.2" x14ac:dyDescent="0.25">
      <c r="B787" s="3" t="b">
        <v>0</v>
      </c>
    </row>
    <row r="788" spans="2:2" ht="13.2" x14ac:dyDescent="0.25">
      <c r="B788" s="3" t="b">
        <v>0</v>
      </c>
    </row>
    <row r="789" spans="2:2" ht="13.2" x14ac:dyDescent="0.25">
      <c r="B789" s="3" t="b">
        <v>0</v>
      </c>
    </row>
    <row r="790" spans="2:2" ht="13.2" x14ac:dyDescent="0.25">
      <c r="B790" s="3" t="b">
        <v>0</v>
      </c>
    </row>
    <row r="791" spans="2:2" ht="13.2" x14ac:dyDescent="0.25">
      <c r="B791" s="3" t="b">
        <v>0</v>
      </c>
    </row>
    <row r="792" spans="2:2" ht="13.2" x14ac:dyDescent="0.25">
      <c r="B792" s="3" t="b">
        <v>0</v>
      </c>
    </row>
    <row r="793" spans="2:2" ht="13.2" x14ac:dyDescent="0.25">
      <c r="B793" s="3" t="b">
        <v>0</v>
      </c>
    </row>
    <row r="794" spans="2:2" ht="13.2" x14ac:dyDescent="0.25">
      <c r="B794" s="3" t="b">
        <v>0</v>
      </c>
    </row>
    <row r="795" spans="2:2" ht="13.2" x14ac:dyDescent="0.25">
      <c r="B795" s="3" t="b">
        <v>0</v>
      </c>
    </row>
    <row r="796" spans="2:2" ht="13.2" x14ac:dyDescent="0.25">
      <c r="B796" s="3" t="b">
        <v>0</v>
      </c>
    </row>
    <row r="797" spans="2:2" ht="13.2" x14ac:dyDescent="0.25">
      <c r="B797" s="3" t="b">
        <v>0</v>
      </c>
    </row>
    <row r="798" spans="2:2" ht="13.2" x14ac:dyDescent="0.25">
      <c r="B798" s="3" t="b">
        <v>0</v>
      </c>
    </row>
    <row r="799" spans="2:2" ht="13.2" x14ac:dyDescent="0.25">
      <c r="B799" s="3" t="b">
        <v>0</v>
      </c>
    </row>
    <row r="800" spans="2:2" ht="13.2" x14ac:dyDescent="0.25">
      <c r="B800" s="3" t="b">
        <v>0</v>
      </c>
    </row>
    <row r="801" spans="2:2" ht="13.2" x14ac:dyDescent="0.25">
      <c r="B801" s="3" t="b">
        <v>0</v>
      </c>
    </row>
    <row r="802" spans="2:2" ht="13.2" x14ac:dyDescent="0.25">
      <c r="B802" s="3" t="b">
        <v>0</v>
      </c>
    </row>
    <row r="803" spans="2:2" ht="13.2" x14ac:dyDescent="0.25">
      <c r="B803" s="3" t="b">
        <v>0</v>
      </c>
    </row>
    <row r="804" spans="2:2" ht="13.2" x14ac:dyDescent="0.25">
      <c r="B804" s="3" t="b">
        <v>0</v>
      </c>
    </row>
    <row r="805" spans="2:2" ht="13.2" x14ac:dyDescent="0.25">
      <c r="B805" s="3" t="b">
        <v>0</v>
      </c>
    </row>
    <row r="806" spans="2:2" ht="13.2" x14ac:dyDescent="0.25">
      <c r="B806" s="3" t="b">
        <v>0</v>
      </c>
    </row>
    <row r="807" spans="2:2" ht="13.2" x14ac:dyDescent="0.25">
      <c r="B807" s="3" t="b">
        <v>0</v>
      </c>
    </row>
    <row r="808" spans="2:2" ht="13.2" x14ac:dyDescent="0.25">
      <c r="B808" s="3" t="b">
        <v>0</v>
      </c>
    </row>
    <row r="809" spans="2:2" ht="13.2" x14ac:dyDescent="0.25">
      <c r="B809" s="3" t="b">
        <v>0</v>
      </c>
    </row>
    <row r="810" spans="2:2" ht="13.2" x14ac:dyDescent="0.25">
      <c r="B810" s="3" t="b">
        <v>0</v>
      </c>
    </row>
    <row r="811" spans="2:2" ht="13.2" x14ac:dyDescent="0.25">
      <c r="B811" s="3" t="b">
        <v>0</v>
      </c>
    </row>
    <row r="812" spans="2:2" ht="13.2" x14ac:dyDescent="0.25">
      <c r="B812" s="3" t="b">
        <v>0</v>
      </c>
    </row>
    <row r="813" spans="2:2" ht="13.2" x14ac:dyDescent="0.25">
      <c r="B813" s="3" t="b">
        <v>0</v>
      </c>
    </row>
    <row r="814" spans="2:2" ht="13.2" x14ac:dyDescent="0.25">
      <c r="B814" s="3" t="b">
        <v>0</v>
      </c>
    </row>
    <row r="815" spans="2:2" ht="13.2" x14ac:dyDescent="0.25">
      <c r="B815" s="3" t="b">
        <v>0</v>
      </c>
    </row>
    <row r="816" spans="2:2" ht="13.2" x14ac:dyDescent="0.25">
      <c r="B816" s="3" t="b">
        <v>0</v>
      </c>
    </row>
    <row r="817" spans="2:2" ht="13.2" x14ac:dyDescent="0.25">
      <c r="B817" s="3" t="b">
        <v>0</v>
      </c>
    </row>
    <row r="818" spans="2:2" ht="13.2" x14ac:dyDescent="0.25">
      <c r="B818" s="3" t="b">
        <v>0</v>
      </c>
    </row>
    <row r="819" spans="2:2" ht="13.2" x14ac:dyDescent="0.25">
      <c r="B819" s="3" t="b">
        <v>0</v>
      </c>
    </row>
    <row r="820" spans="2:2" ht="13.2" x14ac:dyDescent="0.25">
      <c r="B820" s="3" t="b">
        <v>0</v>
      </c>
    </row>
    <row r="821" spans="2:2" ht="13.2" x14ac:dyDescent="0.25">
      <c r="B821" s="3" t="b">
        <v>0</v>
      </c>
    </row>
    <row r="822" spans="2:2" ht="13.2" x14ac:dyDescent="0.25">
      <c r="B822" s="3" t="b">
        <v>0</v>
      </c>
    </row>
    <row r="823" spans="2:2" ht="13.2" x14ac:dyDescent="0.25">
      <c r="B823" s="3" t="b">
        <v>0</v>
      </c>
    </row>
    <row r="824" spans="2:2" ht="13.2" x14ac:dyDescent="0.25">
      <c r="B824" s="3" t="b">
        <v>0</v>
      </c>
    </row>
    <row r="825" spans="2:2" ht="13.2" x14ac:dyDescent="0.25">
      <c r="B825" s="3" t="b">
        <v>0</v>
      </c>
    </row>
    <row r="826" spans="2:2" ht="13.2" x14ac:dyDescent="0.25">
      <c r="B826" s="3" t="b">
        <v>0</v>
      </c>
    </row>
    <row r="827" spans="2:2" ht="13.2" x14ac:dyDescent="0.25">
      <c r="B827" s="3" t="b">
        <v>0</v>
      </c>
    </row>
    <row r="828" spans="2:2" ht="13.2" x14ac:dyDescent="0.25">
      <c r="B828" s="3" t="b">
        <v>0</v>
      </c>
    </row>
    <row r="829" spans="2:2" ht="13.2" x14ac:dyDescent="0.25">
      <c r="B829" s="3" t="b">
        <v>0</v>
      </c>
    </row>
    <row r="830" spans="2:2" ht="13.2" x14ac:dyDescent="0.25">
      <c r="B830" s="3" t="b">
        <v>0</v>
      </c>
    </row>
    <row r="831" spans="2:2" ht="13.2" x14ac:dyDescent="0.25">
      <c r="B831" s="3" t="b">
        <v>0</v>
      </c>
    </row>
    <row r="832" spans="2:2" ht="13.2" x14ac:dyDescent="0.25">
      <c r="B832" s="3" t="b">
        <v>0</v>
      </c>
    </row>
    <row r="833" spans="2:2" ht="13.2" x14ac:dyDescent="0.25">
      <c r="B833" s="3" t="b">
        <v>0</v>
      </c>
    </row>
    <row r="834" spans="2:2" ht="13.2" x14ac:dyDescent="0.25">
      <c r="B834" s="3" t="b">
        <v>0</v>
      </c>
    </row>
    <row r="835" spans="2:2" ht="13.2" x14ac:dyDescent="0.25">
      <c r="B835" s="3" t="b">
        <v>0</v>
      </c>
    </row>
    <row r="836" spans="2:2" ht="13.2" x14ac:dyDescent="0.25">
      <c r="B836" s="3" t="b">
        <v>0</v>
      </c>
    </row>
    <row r="837" spans="2:2" ht="13.2" x14ac:dyDescent="0.25">
      <c r="B837" s="3" t="b">
        <v>0</v>
      </c>
    </row>
    <row r="838" spans="2:2" ht="13.2" x14ac:dyDescent="0.25">
      <c r="B838" s="3" t="b">
        <v>0</v>
      </c>
    </row>
    <row r="839" spans="2:2" ht="13.2" x14ac:dyDescent="0.25">
      <c r="B839" s="3" t="b">
        <v>0</v>
      </c>
    </row>
    <row r="840" spans="2:2" ht="13.2" x14ac:dyDescent="0.25">
      <c r="B840" s="3" t="b">
        <v>0</v>
      </c>
    </row>
    <row r="841" spans="2:2" ht="13.2" x14ac:dyDescent="0.25">
      <c r="B841" s="3" t="b">
        <v>0</v>
      </c>
    </row>
    <row r="842" spans="2:2" ht="13.2" x14ac:dyDescent="0.25">
      <c r="B842" s="3" t="b">
        <v>0</v>
      </c>
    </row>
    <row r="843" spans="2:2" ht="13.2" x14ac:dyDescent="0.25">
      <c r="B843" s="3" t="b">
        <v>0</v>
      </c>
    </row>
    <row r="844" spans="2:2" ht="13.2" x14ac:dyDescent="0.25">
      <c r="B844" s="3" t="b">
        <v>0</v>
      </c>
    </row>
    <row r="845" spans="2:2" ht="13.2" x14ac:dyDescent="0.25">
      <c r="B845" s="3" t="b">
        <v>0</v>
      </c>
    </row>
    <row r="846" spans="2:2" ht="13.2" x14ac:dyDescent="0.25">
      <c r="B846" s="3" t="b">
        <v>0</v>
      </c>
    </row>
    <row r="847" spans="2:2" ht="13.2" x14ac:dyDescent="0.25">
      <c r="B847" s="3" t="b">
        <v>0</v>
      </c>
    </row>
    <row r="848" spans="2:2" ht="13.2" x14ac:dyDescent="0.25">
      <c r="B848" s="3" t="b">
        <v>0</v>
      </c>
    </row>
    <row r="849" spans="2:2" ht="13.2" x14ac:dyDescent="0.25">
      <c r="B849" s="3" t="b">
        <v>0</v>
      </c>
    </row>
    <row r="850" spans="2:2" ht="13.2" x14ac:dyDescent="0.25">
      <c r="B850" s="3" t="b">
        <v>0</v>
      </c>
    </row>
    <row r="851" spans="2:2" ht="13.2" x14ac:dyDescent="0.25">
      <c r="B851" s="3" t="b">
        <v>0</v>
      </c>
    </row>
    <row r="852" spans="2:2" ht="13.2" x14ac:dyDescent="0.25">
      <c r="B852" s="3" t="b">
        <v>0</v>
      </c>
    </row>
    <row r="853" spans="2:2" ht="13.2" x14ac:dyDescent="0.25">
      <c r="B853" s="3" t="b">
        <v>0</v>
      </c>
    </row>
    <row r="854" spans="2:2" ht="13.2" x14ac:dyDescent="0.25">
      <c r="B854" s="3" t="b">
        <v>0</v>
      </c>
    </row>
    <row r="855" spans="2:2" ht="13.2" x14ac:dyDescent="0.25">
      <c r="B855" s="3" t="b">
        <v>0</v>
      </c>
    </row>
    <row r="856" spans="2:2" ht="13.2" x14ac:dyDescent="0.25">
      <c r="B856" s="3" t="b">
        <v>0</v>
      </c>
    </row>
    <row r="857" spans="2:2" ht="13.2" x14ac:dyDescent="0.25">
      <c r="B857" s="3" t="b">
        <v>0</v>
      </c>
    </row>
    <row r="858" spans="2:2" ht="13.2" x14ac:dyDescent="0.25">
      <c r="B858" s="3" t="b">
        <v>0</v>
      </c>
    </row>
    <row r="859" spans="2:2" ht="13.2" x14ac:dyDescent="0.25">
      <c r="B859" s="3" t="b">
        <v>0</v>
      </c>
    </row>
    <row r="860" spans="2:2" ht="13.2" x14ac:dyDescent="0.25">
      <c r="B860" s="3" t="b">
        <v>0</v>
      </c>
    </row>
    <row r="861" spans="2:2" ht="13.2" x14ac:dyDescent="0.25">
      <c r="B861" s="3" t="b">
        <v>0</v>
      </c>
    </row>
    <row r="862" spans="2:2" ht="13.2" x14ac:dyDescent="0.25">
      <c r="B862" s="3" t="b">
        <v>0</v>
      </c>
    </row>
    <row r="863" spans="2:2" ht="13.2" x14ac:dyDescent="0.25">
      <c r="B863" s="3" t="b">
        <v>0</v>
      </c>
    </row>
    <row r="864" spans="2:2" ht="13.2" x14ac:dyDescent="0.25">
      <c r="B864" s="3" t="b">
        <v>0</v>
      </c>
    </row>
    <row r="865" spans="2:2" ht="13.2" x14ac:dyDescent="0.25">
      <c r="B865" s="3" t="b">
        <v>0</v>
      </c>
    </row>
    <row r="866" spans="2:2" ht="13.2" x14ac:dyDescent="0.25">
      <c r="B866" s="3" t="b">
        <v>0</v>
      </c>
    </row>
    <row r="867" spans="2:2" ht="13.2" x14ac:dyDescent="0.25">
      <c r="B867" s="3" t="b">
        <v>0</v>
      </c>
    </row>
    <row r="868" spans="2:2" ht="13.2" x14ac:dyDescent="0.25">
      <c r="B868" s="3" t="b">
        <v>0</v>
      </c>
    </row>
    <row r="869" spans="2:2" ht="13.2" x14ac:dyDescent="0.25">
      <c r="B869" s="3" t="b">
        <v>0</v>
      </c>
    </row>
    <row r="870" spans="2:2" ht="13.2" x14ac:dyDescent="0.25">
      <c r="B870" s="3" t="b">
        <v>0</v>
      </c>
    </row>
    <row r="871" spans="2:2" ht="13.2" x14ac:dyDescent="0.25">
      <c r="B871" s="3" t="b">
        <v>0</v>
      </c>
    </row>
    <row r="872" spans="2:2" ht="13.2" x14ac:dyDescent="0.25">
      <c r="B872" s="3" t="b">
        <v>0</v>
      </c>
    </row>
    <row r="873" spans="2:2" ht="13.2" x14ac:dyDescent="0.25">
      <c r="B873" s="3" t="b">
        <v>0</v>
      </c>
    </row>
    <row r="874" spans="2:2" ht="13.2" x14ac:dyDescent="0.25">
      <c r="B874" s="3" t="b">
        <v>0</v>
      </c>
    </row>
    <row r="875" spans="2:2" ht="13.2" x14ac:dyDescent="0.25">
      <c r="B875" s="3" t="b">
        <v>0</v>
      </c>
    </row>
    <row r="876" spans="2:2" ht="13.2" x14ac:dyDescent="0.25">
      <c r="B876" s="3" t="b">
        <v>0</v>
      </c>
    </row>
    <row r="877" spans="2:2" ht="13.2" x14ac:dyDescent="0.25">
      <c r="B877" s="3" t="b">
        <v>0</v>
      </c>
    </row>
    <row r="878" spans="2:2" ht="13.2" x14ac:dyDescent="0.25">
      <c r="B878" s="3" t="b">
        <v>0</v>
      </c>
    </row>
    <row r="879" spans="2:2" ht="13.2" x14ac:dyDescent="0.25">
      <c r="B879" s="3" t="b">
        <v>0</v>
      </c>
    </row>
    <row r="880" spans="2:2" ht="13.2" x14ac:dyDescent="0.25">
      <c r="B880" s="3" t="b">
        <v>0</v>
      </c>
    </row>
    <row r="881" spans="2:2" ht="13.2" x14ac:dyDescent="0.25">
      <c r="B881" s="3" t="b">
        <v>0</v>
      </c>
    </row>
    <row r="882" spans="2:2" ht="13.2" x14ac:dyDescent="0.25">
      <c r="B882" s="3" t="b">
        <v>0</v>
      </c>
    </row>
    <row r="883" spans="2:2" ht="13.2" x14ac:dyDescent="0.25">
      <c r="B883" s="3" t="b">
        <v>0</v>
      </c>
    </row>
    <row r="884" spans="2:2" ht="13.2" x14ac:dyDescent="0.25">
      <c r="B884" s="3" t="b">
        <v>0</v>
      </c>
    </row>
    <row r="885" spans="2:2" ht="13.2" x14ac:dyDescent="0.25">
      <c r="B885" s="3" t="b">
        <v>0</v>
      </c>
    </row>
    <row r="886" spans="2:2" ht="13.2" x14ac:dyDescent="0.25">
      <c r="B886" s="3" t="b">
        <v>0</v>
      </c>
    </row>
    <row r="887" spans="2:2" ht="13.2" x14ac:dyDescent="0.25">
      <c r="B887" s="3" t="b">
        <v>0</v>
      </c>
    </row>
    <row r="888" spans="2:2" ht="13.2" x14ac:dyDescent="0.25">
      <c r="B888" s="3" t="b">
        <v>0</v>
      </c>
    </row>
    <row r="889" spans="2:2" ht="13.2" x14ac:dyDescent="0.25">
      <c r="B889" s="3" t="b">
        <v>0</v>
      </c>
    </row>
    <row r="890" spans="2:2" ht="13.2" x14ac:dyDescent="0.25">
      <c r="B890" s="3" t="b">
        <v>0</v>
      </c>
    </row>
    <row r="891" spans="2:2" ht="13.2" x14ac:dyDescent="0.25">
      <c r="B891" s="3" t="b">
        <v>0</v>
      </c>
    </row>
    <row r="892" spans="2:2" ht="13.2" x14ac:dyDescent="0.25">
      <c r="B892" s="3" t="b">
        <v>0</v>
      </c>
    </row>
    <row r="893" spans="2:2" ht="13.2" x14ac:dyDescent="0.25">
      <c r="B893" s="3" t="b">
        <v>0</v>
      </c>
    </row>
    <row r="894" spans="2:2" ht="13.2" x14ac:dyDescent="0.25">
      <c r="B894" s="3" t="b">
        <v>0</v>
      </c>
    </row>
    <row r="895" spans="2:2" ht="13.2" x14ac:dyDescent="0.25">
      <c r="B895" s="3" t="b">
        <v>0</v>
      </c>
    </row>
    <row r="896" spans="2:2" ht="13.2" x14ac:dyDescent="0.25">
      <c r="B896" s="3" t="b">
        <v>0</v>
      </c>
    </row>
    <row r="897" spans="2:2" ht="13.2" x14ac:dyDescent="0.25">
      <c r="B897" s="3" t="b">
        <v>0</v>
      </c>
    </row>
    <row r="898" spans="2:2" ht="13.2" x14ac:dyDescent="0.25">
      <c r="B898" s="3" t="b">
        <v>0</v>
      </c>
    </row>
    <row r="899" spans="2:2" ht="13.2" x14ac:dyDescent="0.25">
      <c r="B899" s="3" t="b">
        <v>0</v>
      </c>
    </row>
    <row r="900" spans="2:2" ht="13.2" x14ac:dyDescent="0.25">
      <c r="B900" s="3" t="b">
        <v>0</v>
      </c>
    </row>
    <row r="901" spans="2:2" ht="13.2" x14ac:dyDescent="0.25">
      <c r="B901" s="3" t="b">
        <v>0</v>
      </c>
    </row>
    <row r="902" spans="2:2" ht="13.2" x14ac:dyDescent="0.25">
      <c r="B902" s="3" t="b">
        <v>0</v>
      </c>
    </row>
    <row r="903" spans="2:2" ht="13.2" x14ac:dyDescent="0.25">
      <c r="B903" s="3" t="b">
        <v>0</v>
      </c>
    </row>
    <row r="904" spans="2:2" ht="13.2" x14ac:dyDescent="0.25">
      <c r="B904" s="3" t="b">
        <v>0</v>
      </c>
    </row>
    <row r="905" spans="2:2" ht="13.2" x14ac:dyDescent="0.25">
      <c r="B905" s="3" t="b">
        <v>0</v>
      </c>
    </row>
    <row r="906" spans="2:2" ht="13.2" x14ac:dyDescent="0.25">
      <c r="B906" s="3" t="b">
        <v>0</v>
      </c>
    </row>
    <row r="907" spans="2:2" ht="13.2" x14ac:dyDescent="0.25">
      <c r="B907" s="3" t="b">
        <v>0</v>
      </c>
    </row>
    <row r="908" spans="2:2" ht="13.2" x14ac:dyDescent="0.25">
      <c r="B908" s="3" t="b">
        <v>0</v>
      </c>
    </row>
    <row r="909" spans="2:2" ht="13.2" x14ac:dyDescent="0.25">
      <c r="B909" s="3" t="b">
        <v>0</v>
      </c>
    </row>
    <row r="910" spans="2:2" ht="13.2" x14ac:dyDescent="0.25">
      <c r="B910" s="3" t="b">
        <v>0</v>
      </c>
    </row>
    <row r="911" spans="2:2" ht="13.2" x14ac:dyDescent="0.25">
      <c r="B911" s="3" t="b">
        <v>0</v>
      </c>
    </row>
    <row r="912" spans="2:2" ht="13.2" x14ac:dyDescent="0.25">
      <c r="B912" s="3" t="b">
        <v>0</v>
      </c>
    </row>
    <row r="913" spans="2:2" ht="13.2" x14ac:dyDescent="0.25">
      <c r="B913" s="3" t="b">
        <v>0</v>
      </c>
    </row>
    <row r="914" spans="2:2" ht="13.2" x14ac:dyDescent="0.25">
      <c r="B914" s="3" t="b">
        <v>0</v>
      </c>
    </row>
    <row r="915" spans="2:2" ht="13.2" x14ac:dyDescent="0.25">
      <c r="B915" s="3" t="b">
        <v>0</v>
      </c>
    </row>
    <row r="916" spans="2:2" ht="13.2" x14ac:dyDescent="0.25">
      <c r="B916" s="3" t="b">
        <v>0</v>
      </c>
    </row>
    <row r="917" spans="2:2" ht="13.2" x14ac:dyDescent="0.25">
      <c r="B917" s="3" t="b">
        <v>0</v>
      </c>
    </row>
    <row r="918" spans="2:2" ht="13.2" x14ac:dyDescent="0.25">
      <c r="B918" s="3" t="b">
        <v>0</v>
      </c>
    </row>
    <row r="919" spans="2:2" ht="13.2" x14ac:dyDescent="0.25">
      <c r="B919" s="3" t="b">
        <v>0</v>
      </c>
    </row>
    <row r="920" spans="2:2" ht="13.2" x14ac:dyDescent="0.25">
      <c r="B920" s="3" t="b">
        <v>0</v>
      </c>
    </row>
    <row r="921" spans="2:2" ht="13.2" x14ac:dyDescent="0.25">
      <c r="B921" s="3" t="b">
        <v>0</v>
      </c>
    </row>
    <row r="922" spans="2:2" ht="13.2" x14ac:dyDescent="0.25">
      <c r="B922" s="3" t="b">
        <v>0</v>
      </c>
    </row>
    <row r="923" spans="2:2" ht="13.2" x14ac:dyDescent="0.25">
      <c r="B923" s="3" t="b">
        <v>0</v>
      </c>
    </row>
    <row r="924" spans="2:2" ht="13.2" x14ac:dyDescent="0.25">
      <c r="B924" s="3" t="b">
        <v>0</v>
      </c>
    </row>
    <row r="925" spans="2:2" ht="13.2" x14ac:dyDescent="0.25">
      <c r="B925" s="3" t="b">
        <v>0</v>
      </c>
    </row>
    <row r="926" spans="2:2" ht="13.2" x14ac:dyDescent="0.25">
      <c r="B926" s="3" t="b">
        <v>0</v>
      </c>
    </row>
    <row r="927" spans="2:2" ht="13.2" x14ac:dyDescent="0.25">
      <c r="B927" s="3" t="b">
        <v>0</v>
      </c>
    </row>
    <row r="928" spans="2:2" ht="13.2" x14ac:dyDescent="0.25">
      <c r="B928" s="3" t="b">
        <v>0</v>
      </c>
    </row>
    <row r="929" spans="2:2" ht="13.2" x14ac:dyDescent="0.25">
      <c r="B929" s="3" t="b">
        <v>0</v>
      </c>
    </row>
    <row r="930" spans="2:2" ht="13.2" x14ac:dyDescent="0.25">
      <c r="B930" s="3" t="b">
        <v>0</v>
      </c>
    </row>
    <row r="931" spans="2:2" ht="13.2" x14ac:dyDescent="0.25">
      <c r="B931" s="3" t="b">
        <v>0</v>
      </c>
    </row>
    <row r="932" spans="2:2" ht="13.2" x14ac:dyDescent="0.25">
      <c r="B932" s="3" t="b">
        <v>0</v>
      </c>
    </row>
    <row r="933" spans="2:2" ht="13.2" x14ac:dyDescent="0.25">
      <c r="B933" s="3" t="b">
        <v>0</v>
      </c>
    </row>
    <row r="934" spans="2:2" ht="13.2" x14ac:dyDescent="0.25">
      <c r="B934" s="3" t="b">
        <v>0</v>
      </c>
    </row>
    <row r="935" spans="2:2" ht="13.2" x14ac:dyDescent="0.25">
      <c r="B935" s="3" t="b">
        <v>0</v>
      </c>
    </row>
    <row r="936" spans="2:2" ht="13.2" x14ac:dyDescent="0.25">
      <c r="B936" s="3" t="b">
        <v>0</v>
      </c>
    </row>
    <row r="937" spans="2:2" ht="13.2" x14ac:dyDescent="0.25">
      <c r="B937" s="3" t="b">
        <v>0</v>
      </c>
    </row>
    <row r="938" spans="2:2" ht="13.2" x14ac:dyDescent="0.25">
      <c r="B938" s="3" t="b">
        <v>0</v>
      </c>
    </row>
    <row r="939" spans="2:2" ht="13.2" x14ac:dyDescent="0.25">
      <c r="B939" s="3" t="b">
        <v>0</v>
      </c>
    </row>
    <row r="940" spans="2:2" ht="13.2" x14ac:dyDescent="0.25">
      <c r="B940" s="3" t="b">
        <v>0</v>
      </c>
    </row>
    <row r="941" spans="2:2" ht="13.2" x14ac:dyDescent="0.25">
      <c r="B941" s="3" t="b">
        <v>0</v>
      </c>
    </row>
    <row r="942" spans="2:2" ht="13.2" x14ac:dyDescent="0.25">
      <c r="B942" s="3" t="b">
        <v>0</v>
      </c>
    </row>
    <row r="943" spans="2:2" ht="13.2" x14ac:dyDescent="0.25">
      <c r="B943" s="3" t="b">
        <v>0</v>
      </c>
    </row>
    <row r="944" spans="2:2" ht="13.2" x14ac:dyDescent="0.25">
      <c r="B944" s="3" t="b">
        <v>0</v>
      </c>
    </row>
    <row r="945" spans="2:2" ht="13.2" x14ac:dyDescent="0.25">
      <c r="B945" s="3" t="b">
        <v>0</v>
      </c>
    </row>
    <row r="946" spans="2:2" ht="13.2" x14ac:dyDescent="0.25">
      <c r="B946" s="3" t="b">
        <v>0</v>
      </c>
    </row>
    <row r="947" spans="2:2" ht="13.2" x14ac:dyDescent="0.25">
      <c r="B947" s="3" t="b">
        <v>0</v>
      </c>
    </row>
    <row r="948" spans="2:2" ht="13.2" x14ac:dyDescent="0.25">
      <c r="B948" s="3" t="b">
        <v>0</v>
      </c>
    </row>
    <row r="949" spans="2:2" ht="13.2" x14ac:dyDescent="0.25">
      <c r="B949" s="3" t="b">
        <v>0</v>
      </c>
    </row>
    <row r="950" spans="2:2" ht="13.2" x14ac:dyDescent="0.25">
      <c r="B950" s="3" t="b">
        <v>0</v>
      </c>
    </row>
    <row r="951" spans="2:2" ht="13.2" x14ac:dyDescent="0.25">
      <c r="B951" s="3" t="b">
        <v>0</v>
      </c>
    </row>
    <row r="952" spans="2:2" ht="13.2" x14ac:dyDescent="0.25">
      <c r="B952" s="3" t="b">
        <v>0</v>
      </c>
    </row>
    <row r="953" spans="2:2" ht="13.2" x14ac:dyDescent="0.25">
      <c r="B953" s="3" t="b">
        <v>0</v>
      </c>
    </row>
    <row r="954" spans="2:2" ht="13.2" x14ac:dyDescent="0.25">
      <c r="B954" s="3" t="b">
        <v>0</v>
      </c>
    </row>
    <row r="955" spans="2:2" ht="13.2" x14ac:dyDescent="0.25">
      <c r="B955" s="3" t="b">
        <v>0</v>
      </c>
    </row>
    <row r="956" spans="2:2" ht="13.2" x14ac:dyDescent="0.25">
      <c r="B956" s="3" t="b">
        <v>0</v>
      </c>
    </row>
    <row r="957" spans="2:2" ht="13.2" x14ac:dyDescent="0.25">
      <c r="B957" s="3" t="b">
        <v>0</v>
      </c>
    </row>
    <row r="958" spans="2:2" ht="13.2" x14ac:dyDescent="0.25">
      <c r="B958" s="3" t="b">
        <v>0</v>
      </c>
    </row>
    <row r="959" spans="2:2" ht="13.2" x14ac:dyDescent="0.25">
      <c r="B959" s="3" t="b">
        <v>0</v>
      </c>
    </row>
    <row r="960" spans="2:2" ht="13.2" x14ac:dyDescent="0.25">
      <c r="B960" s="3" t="b">
        <v>0</v>
      </c>
    </row>
    <row r="961" spans="2:2" ht="13.2" x14ac:dyDescent="0.25">
      <c r="B961" s="3" t="b">
        <v>0</v>
      </c>
    </row>
    <row r="962" spans="2:2" ht="13.2" x14ac:dyDescent="0.25">
      <c r="B962" s="3" t="b">
        <v>0</v>
      </c>
    </row>
    <row r="963" spans="2:2" ht="13.2" x14ac:dyDescent="0.25">
      <c r="B963" s="3" t="b">
        <v>0</v>
      </c>
    </row>
    <row r="964" spans="2:2" ht="13.2" x14ac:dyDescent="0.25">
      <c r="B964" s="3" t="b">
        <v>0</v>
      </c>
    </row>
    <row r="965" spans="2:2" ht="13.2" x14ac:dyDescent="0.25">
      <c r="B965" s="3" t="b">
        <v>0</v>
      </c>
    </row>
    <row r="966" spans="2:2" ht="13.2" x14ac:dyDescent="0.25">
      <c r="B966" s="3" t="b">
        <v>0</v>
      </c>
    </row>
    <row r="967" spans="2:2" ht="13.2" x14ac:dyDescent="0.25">
      <c r="B967" s="3" t="b">
        <v>0</v>
      </c>
    </row>
    <row r="968" spans="2:2" ht="13.2" x14ac:dyDescent="0.25">
      <c r="B968" s="3" t="b">
        <v>0</v>
      </c>
    </row>
    <row r="969" spans="2:2" ht="13.2" x14ac:dyDescent="0.25">
      <c r="B969" s="3" t="b">
        <v>0</v>
      </c>
    </row>
    <row r="970" spans="2:2" ht="13.2" x14ac:dyDescent="0.25">
      <c r="B970" s="3" t="b">
        <v>0</v>
      </c>
    </row>
    <row r="971" spans="2:2" ht="13.2" x14ac:dyDescent="0.25">
      <c r="B971" s="3" t="b">
        <v>0</v>
      </c>
    </row>
    <row r="972" spans="2:2" ht="13.2" x14ac:dyDescent="0.25">
      <c r="B972" s="3" t="b">
        <v>0</v>
      </c>
    </row>
    <row r="973" spans="2:2" ht="13.2" x14ac:dyDescent="0.25">
      <c r="B973" s="3" t="b">
        <v>0</v>
      </c>
    </row>
    <row r="974" spans="2:2" ht="13.2" x14ac:dyDescent="0.25">
      <c r="B974" s="3" t="b">
        <v>0</v>
      </c>
    </row>
    <row r="975" spans="2:2" ht="13.2" x14ac:dyDescent="0.25">
      <c r="B975" s="3" t="b">
        <v>0</v>
      </c>
    </row>
    <row r="976" spans="2:2" ht="13.2" x14ac:dyDescent="0.25">
      <c r="B976" s="3" t="b">
        <v>0</v>
      </c>
    </row>
    <row r="977" spans="2:2" ht="13.2" x14ac:dyDescent="0.25">
      <c r="B977" s="3" t="b">
        <v>0</v>
      </c>
    </row>
    <row r="978" spans="2:2" ht="13.2" x14ac:dyDescent="0.25">
      <c r="B978" s="3" t="b">
        <v>0</v>
      </c>
    </row>
    <row r="979" spans="2:2" ht="13.2" x14ac:dyDescent="0.25">
      <c r="B979" s="3" t="b">
        <v>0</v>
      </c>
    </row>
    <row r="980" spans="2:2" ht="13.2" x14ac:dyDescent="0.25">
      <c r="B980" s="3" t="b">
        <v>0</v>
      </c>
    </row>
    <row r="981" spans="2:2" ht="13.2" x14ac:dyDescent="0.25">
      <c r="B981" s="3" t="b">
        <v>0</v>
      </c>
    </row>
    <row r="982" spans="2:2" ht="13.2" x14ac:dyDescent="0.25">
      <c r="B982" s="3" t="b">
        <v>0</v>
      </c>
    </row>
    <row r="983" spans="2:2" ht="13.2" x14ac:dyDescent="0.25">
      <c r="B983" s="3" t="b">
        <v>0</v>
      </c>
    </row>
    <row r="984" spans="2:2" ht="13.2" x14ac:dyDescent="0.25">
      <c r="B984" s="3" t="b">
        <v>0</v>
      </c>
    </row>
    <row r="985" spans="2:2" ht="13.2" x14ac:dyDescent="0.25">
      <c r="B985" s="3" t="b">
        <v>0</v>
      </c>
    </row>
    <row r="986" spans="2:2" ht="13.2" x14ac:dyDescent="0.25">
      <c r="B986" s="3" t="b">
        <v>0</v>
      </c>
    </row>
    <row r="987" spans="2:2" ht="13.2" x14ac:dyDescent="0.25">
      <c r="B987" s="3" t="b">
        <v>0</v>
      </c>
    </row>
    <row r="988" spans="2:2" ht="13.2" x14ac:dyDescent="0.25">
      <c r="B988" s="3" t="b">
        <v>0</v>
      </c>
    </row>
    <row r="989" spans="2:2" ht="13.2" x14ac:dyDescent="0.25">
      <c r="B989" s="3" t="b">
        <v>0</v>
      </c>
    </row>
    <row r="990" spans="2:2" ht="13.2" x14ac:dyDescent="0.25">
      <c r="B990" s="3" t="b">
        <v>0</v>
      </c>
    </row>
    <row r="991" spans="2:2" ht="13.2" x14ac:dyDescent="0.25">
      <c r="B991" s="3" t="b">
        <v>0</v>
      </c>
    </row>
    <row r="992" spans="2:2" ht="13.2" x14ac:dyDescent="0.25">
      <c r="B992" s="3" t="b">
        <v>0</v>
      </c>
    </row>
    <row r="993" spans="2:2" ht="13.2" x14ac:dyDescent="0.25">
      <c r="B993" s="3" t="b">
        <v>0</v>
      </c>
    </row>
    <row r="994" spans="2:2" ht="13.2" x14ac:dyDescent="0.25">
      <c r="B994" s="3" t="b">
        <v>0</v>
      </c>
    </row>
    <row r="995" spans="2:2" ht="13.2" x14ac:dyDescent="0.25">
      <c r="B995" s="3" t="b">
        <v>0</v>
      </c>
    </row>
    <row r="996" spans="2:2" ht="13.2" x14ac:dyDescent="0.25">
      <c r="B996" s="3" t="b">
        <v>0</v>
      </c>
    </row>
    <row r="997" spans="2:2" ht="13.2" x14ac:dyDescent="0.25">
      <c r="B997" s="3" t="b">
        <v>0</v>
      </c>
    </row>
    <row r="998" spans="2:2" ht="13.2" x14ac:dyDescent="0.25">
      <c r="B998" s="3" t="b">
        <v>0</v>
      </c>
    </row>
    <row r="999" spans="2:2" ht="13.2" x14ac:dyDescent="0.25">
      <c r="B999" s="3" t="b">
        <v>0</v>
      </c>
    </row>
    <row r="1000" spans="2:2" ht="13.2" x14ac:dyDescent="0.25">
      <c r="B1000" s="3" t="b">
        <v>0</v>
      </c>
    </row>
    <row r="1001" spans="2:2" ht="13.2" x14ac:dyDescent="0.25">
      <c r="B1001" s="3" t="b">
        <v>0</v>
      </c>
    </row>
    <row r="1002" spans="2:2" ht="13.2" x14ac:dyDescent="0.25">
      <c r="B1002" s="3" t="b">
        <v>0</v>
      </c>
    </row>
    <row r="1003" spans="2:2" ht="13.2" x14ac:dyDescent="0.25">
      <c r="B1003" s="3" t="b">
        <v>0</v>
      </c>
    </row>
    <row r="1004" spans="2:2" ht="13.2" x14ac:dyDescent="0.25">
      <c r="B1004" s="3" t="b">
        <v>0</v>
      </c>
    </row>
    <row r="1005" spans="2:2" ht="13.2" x14ac:dyDescent="0.25">
      <c r="B1005" s="3" t="b">
        <v>0</v>
      </c>
    </row>
    <row r="1006" spans="2:2" ht="13.2" x14ac:dyDescent="0.25">
      <c r="B1006" s="3" t="b">
        <v>0</v>
      </c>
    </row>
    <row r="1007" spans="2:2" ht="13.2" x14ac:dyDescent="0.25">
      <c r="B1007" s="3" t="b">
        <v>0</v>
      </c>
    </row>
    <row r="1008" spans="2:2" ht="13.2" x14ac:dyDescent="0.25">
      <c r="B1008" s="3" t="b">
        <v>0</v>
      </c>
    </row>
    <row r="1009" spans="2:2" ht="13.2" x14ac:dyDescent="0.25">
      <c r="B1009" s="3" t="b">
        <v>0</v>
      </c>
    </row>
    <row r="1010" spans="2:2" ht="13.2" x14ac:dyDescent="0.25">
      <c r="B1010" s="3" t="b">
        <v>0</v>
      </c>
    </row>
    <row r="1011" spans="2:2" ht="13.2" x14ac:dyDescent="0.25">
      <c r="B1011" s="3" t="b">
        <v>0</v>
      </c>
    </row>
    <row r="1012" spans="2:2" ht="13.2" x14ac:dyDescent="0.25">
      <c r="B1012" s="3" t="b">
        <v>0</v>
      </c>
    </row>
    <row r="1013" spans="2:2" ht="13.2" x14ac:dyDescent="0.25">
      <c r="B1013" s="3" t="b">
        <v>0</v>
      </c>
    </row>
    <row r="1014" spans="2:2" ht="13.2" x14ac:dyDescent="0.25">
      <c r="B1014" s="3" t="b">
        <v>0</v>
      </c>
    </row>
    <row r="1015" spans="2:2" ht="13.2" x14ac:dyDescent="0.25">
      <c r="B1015" s="3" t="b">
        <v>0</v>
      </c>
    </row>
    <row r="1016" spans="2:2" ht="13.2" x14ac:dyDescent="0.25">
      <c r="B1016" s="3" t="b">
        <v>0</v>
      </c>
    </row>
    <row r="1017" spans="2:2" ht="13.2" x14ac:dyDescent="0.25">
      <c r="B1017" s="3" t="b">
        <v>0</v>
      </c>
    </row>
    <row r="1018" spans="2:2" ht="13.2" x14ac:dyDescent="0.25">
      <c r="B1018" s="3" t="b">
        <v>0</v>
      </c>
    </row>
    <row r="1019" spans="2:2" ht="13.2" x14ac:dyDescent="0.25">
      <c r="B1019" s="3" t="b">
        <v>0</v>
      </c>
    </row>
    <row r="1020" spans="2:2" ht="13.2" x14ac:dyDescent="0.25">
      <c r="B1020" s="3" t="b">
        <v>0</v>
      </c>
    </row>
    <row r="1021" spans="2:2" ht="13.2" x14ac:dyDescent="0.25">
      <c r="B1021" s="3" t="b">
        <v>0</v>
      </c>
    </row>
    <row r="1022" spans="2:2" ht="13.2" x14ac:dyDescent="0.25">
      <c r="B1022" s="3" t="b">
        <v>0</v>
      </c>
    </row>
    <row r="1023" spans="2:2" ht="13.2" x14ac:dyDescent="0.25">
      <c r="B1023" s="3" t="b">
        <v>0</v>
      </c>
    </row>
    <row r="1024" spans="2:2" ht="13.2" x14ac:dyDescent="0.25">
      <c r="B1024" s="3" t="b">
        <v>0</v>
      </c>
    </row>
    <row r="1025" spans="2:2" ht="13.2" x14ac:dyDescent="0.25">
      <c r="B1025" s="3" t="b">
        <v>0</v>
      </c>
    </row>
    <row r="1026" spans="2:2" ht="13.2" x14ac:dyDescent="0.25">
      <c r="B1026" s="3" t="b">
        <v>0</v>
      </c>
    </row>
    <row r="1027" spans="2:2" ht="13.2" x14ac:dyDescent="0.25">
      <c r="B1027" s="3" t="b">
        <v>0</v>
      </c>
    </row>
    <row r="1028" spans="2:2" ht="13.2" x14ac:dyDescent="0.25">
      <c r="B1028" s="3" t="b">
        <v>0</v>
      </c>
    </row>
    <row r="1029" spans="2:2" ht="13.2" x14ac:dyDescent="0.25">
      <c r="B1029" s="3" t="b">
        <v>0</v>
      </c>
    </row>
    <row r="1030" spans="2:2" ht="13.2" x14ac:dyDescent="0.25">
      <c r="B1030" s="3" t="b">
        <v>0</v>
      </c>
    </row>
    <row r="1031" spans="2:2" ht="13.2" x14ac:dyDescent="0.25">
      <c r="B1031" s="3" t="b">
        <v>0</v>
      </c>
    </row>
    <row r="1032" spans="2:2" ht="13.2" x14ac:dyDescent="0.25">
      <c r="B1032" s="3" t="b">
        <v>0</v>
      </c>
    </row>
    <row r="1033" spans="2:2" ht="13.2" x14ac:dyDescent="0.25">
      <c r="B1033" s="3" t="b">
        <v>0</v>
      </c>
    </row>
    <row r="1034" spans="2:2" ht="13.2" x14ac:dyDescent="0.25">
      <c r="B1034" s="3" t="b">
        <v>0</v>
      </c>
    </row>
    <row r="1035" spans="2:2" ht="13.2" x14ac:dyDescent="0.25">
      <c r="B1035" s="3" t="b">
        <v>0</v>
      </c>
    </row>
    <row r="1036" spans="2:2" ht="13.2" x14ac:dyDescent="0.25">
      <c r="B1036" s="3" t="b">
        <v>0</v>
      </c>
    </row>
    <row r="1037" spans="2:2" ht="13.2" x14ac:dyDescent="0.25">
      <c r="B1037" s="3" t="b">
        <v>0</v>
      </c>
    </row>
    <row r="1038" spans="2:2" ht="13.2" x14ac:dyDescent="0.25">
      <c r="B1038" s="3" t="b">
        <v>0</v>
      </c>
    </row>
    <row r="1039" spans="2:2" ht="13.2" x14ac:dyDescent="0.25">
      <c r="B1039" s="3" t="b">
        <v>0</v>
      </c>
    </row>
    <row r="1040" spans="2:2" ht="13.2" x14ac:dyDescent="0.25">
      <c r="B1040" s="3" t="b">
        <v>0</v>
      </c>
    </row>
    <row r="1041" spans="2:2" ht="13.2" x14ac:dyDescent="0.25">
      <c r="B1041" s="3" t="b">
        <v>0</v>
      </c>
    </row>
    <row r="1042" spans="2:2" ht="13.2" x14ac:dyDescent="0.25">
      <c r="B1042" s="3" t="b">
        <v>0</v>
      </c>
    </row>
    <row r="1043" spans="2:2" ht="13.2" x14ac:dyDescent="0.25">
      <c r="B1043" s="3" t="b">
        <v>0</v>
      </c>
    </row>
    <row r="1044" spans="2:2" ht="13.2" x14ac:dyDescent="0.25">
      <c r="B1044" s="3" t="b">
        <v>0</v>
      </c>
    </row>
    <row r="1045" spans="2:2" ht="13.2" x14ac:dyDescent="0.25">
      <c r="B1045" s="3" t="b">
        <v>0</v>
      </c>
    </row>
    <row r="1046" spans="2:2" ht="13.2" x14ac:dyDescent="0.25">
      <c r="B1046" s="3" t="b">
        <v>0</v>
      </c>
    </row>
    <row r="1047" spans="2:2" ht="13.2" x14ac:dyDescent="0.25">
      <c r="B1047" s="3" t="b">
        <v>0</v>
      </c>
    </row>
    <row r="1048" spans="2:2" ht="13.2" x14ac:dyDescent="0.25">
      <c r="B1048" s="3" t="b">
        <v>0</v>
      </c>
    </row>
    <row r="1049" spans="2:2" ht="13.2" x14ac:dyDescent="0.25">
      <c r="B1049" s="3" t="b">
        <v>0</v>
      </c>
    </row>
    <row r="1050" spans="2:2" ht="13.2" x14ac:dyDescent="0.25">
      <c r="B1050" s="3" t="b">
        <v>0</v>
      </c>
    </row>
    <row r="1051" spans="2:2" ht="13.2" x14ac:dyDescent="0.25">
      <c r="B1051" s="3" t="b">
        <v>0</v>
      </c>
    </row>
    <row r="1052" spans="2:2" ht="13.2" x14ac:dyDescent="0.25">
      <c r="B1052" s="3" t="b">
        <v>0</v>
      </c>
    </row>
    <row r="1053" spans="2:2" ht="13.2" x14ac:dyDescent="0.25">
      <c r="B1053" s="3" t="b">
        <v>0</v>
      </c>
    </row>
    <row r="1054" spans="2:2" ht="13.2" x14ac:dyDescent="0.25">
      <c r="B1054" s="3" t="b">
        <v>0</v>
      </c>
    </row>
    <row r="1055" spans="2:2" ht="13.2" x14ac:dyDescent="0.25">
      <c r="B1055" s="3" t="b">
        <v>0</v>
      </c>
    </row>
    <row r="1056" spans="2:2" ht="13.2" x14ac:dyDescent="0.25">
      <c r="B1056" s="3" t="b">
        <v>0</v>
      </c>
    </row>
    <row r="1057" spans="2:2" ht="13.2" x14ac:dyDescent="0.25">
      <c r="B1057" s="3" t="b">
        <v>0</v>
      </c>
    </row>
    <row r="1058" spans="2:2" ht="13.2" x14ac:dyDescent="0.25">
      <c r="B1058" s="3" t="b">
        <v>0</v>
      </c>
    </row>
    <row r="1059" spans="2:2" ht="13.2" x14ac:dyDescent="0.25">
      <c r="B1059" s="3" t="b">
        <v>0</v>
      </c>
    </row>
    <row r="1060" spans="2:2" ht="13.2" x14ac:dyDescent="0.25">
      <c r="B1060" s="3" t="b">
        <v>0</v>
      </c>
    </row>
    <row r="1061" spans="2:2" ht="13.2" x14ac:dyDescent="0.25">
      <c r="B1061" s="3" t="b">
        <v>0</v>
      </c>
    </row>
    <row r="1062" spans="2:2" ht="13.2" x14ac:dyDescent="0.25">
      <c r="B1062" s="3" t="b">
        <v>0</v>
      </c>
    </row>
    <row r="1063" spans="2:2" ht="13.2" x14ac:dyDescent="0.25">
      <c r="B1063" s="3" t="b">
        <v>0</v>
      </c>
    </row>
    <row r="1064" spans="2:2" ht="13.2" x14ac:dyDescent="0.25">
      <c r="B1064" s="3" t="b">
        <v>0</v>
      </c>
    </row>
    <row r="1065" spans="2:2" ht="13.2" x14ac:dyDescent="0.25">
      <c r="B1065" s="3" t="b">
        <v>0</v>
      </c>
    </row>
    <row r="1066" spans="2:2" ht="13.2" x14ac:dyDescent="0.25">
      <c r="B1066" s="3" t="b">
        <v>0</v>
      </c>
    </row>
    <row r="1067" spans="2:2" ht="13.2" x14ac:dyDescent="0.25">
      <c r="B1067" s="3" t="b">
        <v>0</v>
      </c>
    </row>
    <row r="1068" spans="2:2" ht="13.2" x14ac:dyDescent="0.25">
      <c r="B1068" s="3" t="b">
        <v>0</v>
      </c>
    </row>
    <row r="1069" spans="2:2" ht="13.2" x14ac:dyDescent="0.25">
      <c r="B1069" s="3" t="b">
        <v>0</v>
      </c>
    </row>
    <row r="1070" spans="2:2" ht="13.2" x14ac:dyDescent="0.25">
      <c r="B1070" s="3" t="b">
        <v>0</v>
      </c>
    </row>
    <row r="1071" spans="2:2" ht="13.2" x14ac:dyDescent="0.25">
      <c r="B1071" s="3" t="b">
        <v>0</v>
      </c>
    </row>
    <row r="1072" spans="2:2" ht="13.2" x14ac:dyDescent="0.25">
      <c r="B1072" s="3" t="b">
        <v>0</v>
      </c>
    </row>
    <row r="1073" spans="2:2" ht="13.2" x14ac:dyDescent="0.25">
      <c r="B1073" s="3" t="b">
        <v>0</v>
      </c>
    </row>
    <row r="1074" spans="2:2" ht="13.2" x14ac:dyDescent="0.25">
      <c r="B1074" s="3" t="b">
        <v>0</v>
      </c>
    </row>
    <row r="1075" spans="2:2" ht="13.2" x14ac:dyDescent="0.25">
      <c r="B1075" s="3" t="b">
        <v>0</v>
      </c>
    </row>
    <row r="1076" spans="2:2" ht="13.2" x14ac:dyDescent="0.25">
      <c r="B1076" s="3" t="b">
        <v>0</v>
      </c>
    </row>
    <row r="1077" spans="2:2" ht="13.2" x14ac:dyDescent="0.25">
      <c r="B1077" s="3" t="b">
        <v>0</v>
      </c>
    </row>
    <row r="1078" spans="2:2" ht="13.2" x14ac:dyDescent="0.25">
      <c r="B1078" s="3" t="b">
        <v>0</v>
      </c>
    </row>
    <row r="1079" spans="2:2" ht="13.2" x14ac:dyDescent="0.25">
      <c r="B1079" s="3" t="b">
        <v>0</v>
      </c>
    </row>
    <row r="1080" spans="2:2" ht="13.2" x14ac:dyDescent="0.25">
      <c r="B1080" s="3" t="b">
        <v>0</v>
      </c>
    </row>
    <row r="1081" spans="2:2" ht="13.2" x14ac:dyDescent="0.25">
      <c r="B1081" s="3" t="b">
        <v>0</v>
      </c>
    </row>
    <row r="1082" spans="2:2" ht="13.2" x14ac:dyDescent="0.25">
      <c r="B1082" s="3" t="b">
        <v>0</v>
      </c>
    </row>
    <row r="1083" spans="2:2" ht="13.2" x14ac:dyDescent="0.25">
      <c r="B1083" s="3" t="b">
        <v>0</v>
      </c>
    </row>
    <row r="1084" spans="2:2" ht="13.2" x14ac:dyDescent="0.25">
      <c r="B1084" s="3" t="b">
        <v>0</v>
      </c>
    </row>
    <row r="1085" spans="2:2" ht="13.2" x14ac:dyDescent="0.25">
      <c r="B1085" s="3" t="b">
        <v>0</v>
      </c>
    </row>
    <row r="1086" spans="2:2" ht="13.2" x14ac:dyDescent="0.25">
      <c r="B1086" s="3" t="b">
        <v>0</v>
      </c>
    </row>
    <row r="1087" spans="2:2" ht="13.2" x14ac:dyDescent="0.25">
      <c r="B1087" s="3" t="b">
        <v>0</v>
      </c>
    </row>
    <row r="1088" spans="2:2" ht="13.2" x14ac:dyDescent="0.25">
      <c r="B1088" s="3" t="b">
        <v>0</v>
      </c>
    </row>
    <row r="1089" spans="2:2" ht="13.2" x14ac:dyDescent="0.25">
      <c r="B1089" s="3" t="b">
        <v>0</v>
      </c>
    </row>
    <row r="1090" spans="2:2" ht="13.2" x14ac:dyDescent="0.25">
      <c r="B1090" s="3" t="b">
        <v>0</v>
      </c>
    </row>
    <row r="1091" spans="2:2" ht="13.2" x14ac:dyDescent="0.25">
      <c r="B1091" s="3" t="b">
        <v>0</v>
      </c>
    </row>
    <row r="1092" spans="2:2" ht="13.2" x14ac:dyDescent="0.25">
      <c r="B1092" s="3" t="b">
        <v>0</v>
      </c>
    </row>
    <row r="1093" spans="2:2" ht="13.2" x14ac:dyDescent="0.25">
      <c r="B1093" s="3" t="b">
        <v>0</v>
      </c>
    </row>
    <row r="1094" spans="2:2" ht="13.2" x14ac:dyDescent="0.25">
      <c r="B1094" s="3" t="b">
        <v>0</v>
      </c>
    </row>
    <row r="1095" spans="2:2" ht="13.2" x14ac:dyDescent="0.25">
      <c r="B1095" s="3" t="b">
        <v>0</v>
      </c>
    </row>
    <row r="1096" spans="2:2" ht="13.2" x14ac:dyDescent="0.25">
      <c r="B1096" s="3" t="b">
        <v>0</v>
      </c>
    </row>
    <row r="1097" spans="2:2" ht="13.2" x14ac:dyDescent="0.25">
      <c r="B1097" s="3" t="b">
        <v>0</v>
      </c>
    </row>
    <row r="1098" spans="2:2" ht="13.2" x14ac:dyDescent="0.25">
      <c r="B1098" s="3" t="b">
        <v>0</v>
      </c>
    </row>
    <row r="1099" spans="2:2" ht="13.2" x14ac:dyDescent="0.25">
      <c r="B1099" s="3" t="b">
        <v>0</v>
      </c>
    </row>
    <row r="1100" spans="2:2" ht="13.2" x14ac:dyDescent="0.25">
      <c r="B1100" s="3" t="b">
        <v>0</v>
      </c>
    </row>
    <row r="1101" spans="2:2" ht="13.2" x14ac:dyDescent="0.25">
      <c r="B1101" s="3" t="b">
        <v>0</v>
      </c>
    </row>
    <row r="1102" spans="2:2" ht="13.2" x14ac:dyDescent="0.25">
      <c r="B1102" s="3" t="b">
        <v>0</v>
      </c>
    </row>
    <row r="1103" spans="2:2" ht="13.2" x14ac:dyDescent="0.25">
      <c r="B1103" s="3" t="b">
        <v>0</v>
      </c>
    </row>
    <row r="1104" spans="2:2" ht="13.2" x14ac:dyDescent="0.25">
      <c r="B1104" s="3" t="b">
        <v>0</v>
      </c>
    </row>
    <row r="1105" spans="2:2" ht="13.2" x14ac:dyDescent="0.25">
      <c r="B1105" s="3" t="b">
        <v>0</v>
      </c>
    </row>
    <row r="1106" spans="2:2" ht="13.2" x14ac:dyDescent="0.25">
      <c r="B1106" s="3" t="b">
        <v>0</v>
      </c>
    </row>
    <row r="1107" spans="2:2" ht="13.2" x14ac:dyDescent="0.25">
      <c r="B1107" s="3" t="b">
        <v>0</v>
      </c>
    </row>
    <row r="1108" spans="2:2" ht="13.2" x14ac:dyDescent="0.25">
      <c r="B1108" s="3" t="b">
        <v>0</v>
      </c>
    </row>
    <row r="1109" spans="2:2" ht="13.2" x14ac:dyDescent="0.25">
      <c r="B1109" s="3" t="b">
        <v>0</v>
      </c>
    </row>
    <row r="1110" spans="2:2" ht="13.2" x14ac:dyDescent="0.25">
      <c r="B1110" s="3" t="b">
        <v>0</v>
      </c>
    </row>
    <row r="1111" spans="2:2" ht="13.2" x14ac:dyDescent="0.25">
      <c r="B1111" s="3" t="b">
        <v>0</v>
      </c>
    </row>
    <row r="1112" spans="2:2" ht="13.2" x14ac:dyDescent="0.25">
      <c r="B1112" s="3" t="b">
        <v>0</v>
      </c>
    </row>
    <row r="1113" spans="2:2" ht="13.2" x14ac:dyDescent="0.25">
      <c r="B1113" s="3" t="b">
        <v>0</v>
      </c>
    </row>
    <row r="1114" spans="2:2" ht="13.2" x14ac:dyDescent="0.25">
      <c r="B1114" s="3" t="b">
        <v>0</v>
      </c>
    </row>
    <row r="1115" spans="2:2" ht="13.2" x14ac:dyDescent="0.25">
      <c r="B1115" s="3" t="b">
        <v>0</v>
      </c>
    </row>
    <row r="1116" spans="2:2" ht="13.2" x14ac:dyDescent="0.25">
      <c r="B1116" s="3" t="b">
        <v>0</v>
      </c>
    </row>
    <row r="1117" spans="2:2" ht="13.2" x14ac:dyDescent="0.25">
      <c r="B1117" s="3" t="b">
        <v>0</v>
      </c>
    </row>
    <row r="1118" spans="2:2" ht="13.2" x14ac:dyDescent="0.25">
      <c r="B1118" s="3" t="b">
        <v>0</v>
      </c>
    </row>
    <row r="1119" spans="2:2" ht="13.2" x14ac:dyDescent="0.25">
      <c r="B1119" s="3" t="b">
        <v>0</v>
      </c>
    </row>
    <row r="1120" spans="2:2" ht="13.2" x14ac:dyDescent="0.25">
      <c r="B1120" s="3" t="b">
        <v>0</v>
      </c>
    </row>
    <row r="1121" spans="2:2" ht="13.2" x14ac:dyDescent="0.25">
      <c r="B1121" s="3" t="b">
        <v>0</v>
      </c>
    </row>
    <row r="1122" spans="2:2" ht="13.2" x14ac:dyDescent="0.25">
      <c r="B1122" s="3" t="b">
        <v>0</v>
      </c>
    </row>
    <row r="1123" spans="2:2" ht="13.2" x14ac:dyDescent="0.25">
      <c r="B1123" s="3" t="b">
        <v>0</v>
      </c>
    </row>
    <row r="1124" spans="2:2" ht="13.2" x14ac:dyDescent="0.25">
      <c r="B1124" s="3" t="b">
        <v>0</v>
      </c>
    </row>
    <row r="1125" spans="2:2" ht="13.2" x14ac:dyDescent="0.25">
      <c r="B1125" s="3" t="b">
        <v>0</v>
      </c>
    </row>
    <row r="1126" spans="2:2" ht="13.2" x14ac:dyDescent="0.25">
      <c r="B1126" s="3" t="b">
        <v>0</v>
      </c>
    </row>
    <row r="1127" spans="2:2" ht="13.2" x14ac:dyDescent="0.25">
      <c r="B1127" s="3" t="b">
        <v>0</v>
      </c>
    </row>
    <row r="1128" spans="2:2" ht="13.2" x14ac:dyDescent="0.25">
      <c r="B1128" s="3" t="b">
        <v>0</v>
      </c>
    </row>
    <row r="1129" spans="2:2" ht="13.2" x14ac:dyDescent="0.25">
      <c r="B1129" s="3" t="b">
        <v>0</v>
      </c>
    </row>
    <row r="1130" spans="2:2" ht="13.2" x14ac:dyDescent="0.25">
      <c r="B1130" s="3" t="b">
        <v>0</v>
      </c>
    </row>
    <row r="1131" spans="2:2" ht="13.2" x14ac:dyDescent="0.25">
      <c r="B1131" s="3" t="b">
        <v>0</v>
      </c>
    </row>
    <row r="1132" spans="2:2" ht="13.2" x14ac:dyDescent="0.25">
      <c r="B1132" s="3" t="b">
        <v>0</v>
      </c>
    </row>
    <row r="1133" spans="2:2" ht="13.2" x14ac:dyDescent="0.25">
      <c r="B1133" s="3" t="b">
        <v>0</v>
      </c>
    </row>
    <row r="1134" spans="2:2" ht="13.2" x14ac:dyDescent="0.25">
      <c r="B1134" s="3" t="b">
        <v>0</v>
      </c>
    </row>
    <row r="1135" spans="2:2" ht="13.2" x14ac:dyDescent="0.25">
      <c r="B1135" s="3" t="b">
        <v>0</v>
      </c>
    </row>
    <row r="1136" spans="2:2" ht="13.2" x14ac:dyDescent="0.25">
      <c r="B1136" s="3" t="b">
        <v>0</v>
      </c>
    </row>
    <row r="1137" spans="2:2" ht="13.2" x14ac:dyDescent="0.25">
      <c r="B1137" s="3" t="b">
        <v>0</v>
      </c>
    </row>
    <row r="1138" spans="2:2" ht="13.2" x14ac:dyDescent="0.25">
      <c r="B1138" s="3" t="b">
        <v>0</v>
      </c>
    </row>
    <row r="1139" spans="2:2" ht="13.2" x14ac:dyDescent="0.25">
      <c r="B1139" s="3" t="b">
        <v>0</v>
      </c>
    </row>
    <row r="1140" spans="2:2" ht="13.2" x14ac:dyDescent="0.25">
      <c r="B1140" s="3" t="b">
        <v>0</v>
      </c>
    </row>
    <row r="1141" spans="2:2" ht="13.2" x14ac:dyDescent="0.25">
      <c r="B1141" s="3" t="b">
        <v>0</v>
      </c>
    </row>
    <row r="1142" spans="2:2" ht="13.2" x14ac:dyDescent="0.25">
      <c r="B1142" s="3" t="b">
        <v>0</v>
      </c>
    </row>
    <row r="1143" spans="2:2" ht="13.2" x14ac:dyDescent="0.25">
      <c r="B1143" s="3" t="b">
        <v>0</v>
      </c>
    </row>
    <row r="1144" spans="2:2" ht="13.2" x14ac:dyDescent="0.25">
      <c r="B1144" s="3" t="b">
        <v>0</v>
      </c>
    </row>
    <row r="1145" spans="2:2" ht="13.2" x14ac:dyDescent="0.25">
      <c r="B1145" s="3" t="b">
        <v>0</v>
      </c>
    </row>
    <row r="1146" spans="2:2" ht="13.2" x14ac:dyDescent="0.25">
      <c r="B1146" s="3" t="b">
        <v>0</v>
      </c>
    </row>
    <row r="1147" spans="2:2" ht="13.2" x14ac:dyDescent="0.25">
      <c r="B1147" s="3" t="b">
        <v>0</v>
      </c>
    </row>
    <row r="1148" spans="2:2" ht="13.2" x14ac:dyDescent="0.25">
      <c r="B1148" s="3" t="b">
        <v>0</v>
      </c>
    </row>
    <row r="1149" spans="2:2" ht="13.2" x14ac:dyDescent="0.25">
      <c r="B1149" s="3" t="b">
        <v>0</v>
      </c>
    </row>
    <row r="1150" spans="2:2" ht="13.2" x14ac:dyDescent="0.25">
      <c r="B1150" s="3" t="b">
        <v>0</v>
      </c>
    </row>
    <row r="1151" spans="2:2" ht="13.2" x14ac:dyDescent="0.25">
      <c r="B1151" s="3" t="b">
        <v>0</v>
      </c>
    </row>
    <row r="1152" spans="2:2" ht="13.2" x14ac:dyDescent="0.25">
      <c r="B1152" s="3" t="b">
        <v>0</v>
      </c>
    </row>
    <row r="1153" spans="2:2" ht="13.2" x14ac:dyDescent="0.25">
      <c r="B1153" s="3" t="b">
        <v>0</v>
      </c>
    </row>
    <row r="1154" spans="2:2" ht="13.2" x14ac:dyDescent="0.25">
      <c r="B1154" s="3" t="b">
        <v>0</v>
      </c>
    </row>
    <row r="1155" spans="2:2" ht="13.2" x14ac:dyDescent="0.25">
      <c r="B1155" s="3" t="b">
        <v>0</v>
      </c>
    </row>
    <row r="1156" spans="2:2" ht="13.2" x14ac:dyDescent="0.25">
      <c r="B1156" s="3" t="b">
        <v>0</v>
      </c>
    </row>
    <row r="1157" spans="2:2" ht="13.2" x14ac:dyDescent="0.25">
      <c r="B1157" s="3" t="b">
        <v>0</v>
      </c>
    </row>
    <row r="1158" spans="2:2" ht="13.2" x14ac:dyDescent="0.25">
      <c r="B1158" s="3" t="b">
        <v>0</v>
      </c>
    </row>
    <row r="1159" spans="2:2" ht="13.2" x14ac:dyDescent="0.25">
      <c r="B1159" s="3" t="b">
        <v>0</v>
      </c>
    </row>
    <row r="1160" spans="2:2" ht="13.2" x14ac:dyDescent="0.25">
      <c r="B1160" s="3" t="b">
        <v>0</v>
      </c>
    </row>
    <row r="1161" spans="2:2" ht="13.2" x14ac:dyDescent="0.25">
      <c r="B1161" s="3" t="b">
        <v>0</v>
      </c>
    </row>
    <row r="1162" spans="2:2" ht="13.2" x14ac:dyDescent="0.25">
      <c r="B1162" s="3" t="b">
        <v>0</v>
      </c>
    </row>
    <row r="1163" spans="2:2" ht="13.2" x14ac:dyDescent="0.25">
      <c r="B1163" s="3" t="b">
        <v>0</v>
      </c>
    </row>
    <row r="1164" spans="2:2" ht="13.2" x14ac:dyDescent="0.25">
      <c r="B1164" s="3" t="b">
        <v>0</v>
      </c>
    </row>
    <row r="1165" spans="2:2" ht="13.2" x14ac:dyDescent="0.25">
      <c r="B1165" s="3" t="b">
        <v>0</v>
      </c>
    </row>
    <row r="1166" spans="2:2" ht="13.2" x14ac:dyDescent="0.25">
      <c r="B1166" s="3" t="b">
        <v>0</v>
      </c>
    </row>
    <row r="1167" spans="2:2" ht="13.2" x14ac:dyDescent="0.25">
      <c r="B1167" s="3" t="b">
        <v>0</v>
      </c>
    </row>
    <row r="1168" spans="2:2" ht="13.2" x14ac:dyDescent="0.25">
      <c r="B1168" s="3" t="b">
        <v>0</v>
      </c>
    </row>
    <row r="1169" spans="2:2" ht="13.2" x14ac:dyDescent="0.25">
      <c r="B1169" s="3" t="b">
        <v>0</v>
      </c>
    </row>
    <row r="1170" spans="2:2" ht="13.2" x14ac:dyDescent="0.25">
      <c r="B1170" s="3" t="b">
        <v>0</v>
      </c>
    </row>
    <row r="1171" spans="2:2" ht="13.2" x14ac:dyDescent="0.25">
      <c r="B1171" s="3" t="b">
        <v>0</v>
      </c>
    </row>
    <row r="1172" spans="2:2" ht="13.2" x14ac:dyDescent="0.25">
      <c r="B1172" s="3" t="b">
        <v>0</v>
      </c>
    </row>
    <row r="1173" spans="2:2" ht="13.2" x14ac:dyDescent="0.25">
      <c r="B1173" s="3" t="b">
        <v>0</v>
      </c>
    </row>
    <row r="1174" spans="2:2" ht="13.2" x14ac:dyDescent="0.25">
      <c r="B1174" s="3" t="b">
        <v>0</v>
      </c>
    </row>
    <row r="1175" spans="2:2" ht="13.2" x14ac:dyDescent="0.25">
      <c r="B1175" s="3" t="b">
        <v>0</v>
      </c>
    </row>
    <row r="1176" spans="2:2" ht="13.2" x14ac:dyDescent="0.25">
      <c r="B1176" s="3" t="b">
        <v>0</v>
      </c>
    </row>
    <row r="1177" spans="2:2" ht="13.2" x14ac:dyDescent="0.25">
      <c r="B1177" s="3" t="b">
        <v>0</v>
      </c>
    </row>
    <row r="1178" spans="2:2" ht="13.2" x14ac:dyDescent="0.25">
      <c r="B1178" s="3" t="b">
        <v>0</v>
      </c>
    </row>
    <row r="1179" spans="2:2" ht="13.2" x14ac:dyDescent="0.25">
      <c r="B1179" s="3" t="b">
        <v>0</v>
      </c>
    </row>
    <row r="1180" spans="2:2" ht="13.2" x14ac:dyDescent="0.25">
      <c r="B1180" s="3" t="b">
        <v>0</v>
      </c>
    </row>
    <row r="1181" spans="2:2" ht="13.2" x14ac:dyDescent="0.25">
      <c r="B1181" s="3" t="b">
        <v>0</v>
      </c>
    </row>
    <row r="1182" spans="2:2" ht="13.2" x14ac:dyDescent="0.25">
      <c r="B1182" s="3" t="b">
        <v>0</v>
      </c>
    </row>
    <row r="1183" spans="2:2" ht="13.2" x14ac:dyDescent="0.25">
      <c r="B1183" s="3" t="b">
        <v>0</v>
      </c>
    </row>
    <row r="1184" spans="2:2" ht="13.2" x14ac:dyDescent="0.25">
      <c r="B1184" s="3" t="b">
        <v>0</v>
      </c>
    </row>
    <row r="1185" spans="2:2" ht="13.2" x14ac:dyDescent="0.25">
      <c r="B1185" s="3" t="b">
        <v>0</v>
      </c>
    </row>
    <row r="1186" spans="2:2" ht="13.2" x14ac:dyDescent="0.25">
      <c r="B1186" s="3" t="b">
        <v>0</v>
      </c>
    </row>
    <row r="1187" spans="2:2" ht="13.2" x14ac:dyDescent="0.25">
      <c r="B1187" s="3" t="b">
        <v>0</v>
      </c>
    </row>
    <row r="1188" spans="2:2" ht="13.2" x14ac:dyDescent="0.25">
      <c r="B1188" s="3" t="b">
        <v>0</v>
      </c>
    </row>
    <row r="1189" spans="2:2" ht="13.2" x14ac:dyDescent="0.25">
      <c r="B1189" s="3" t="b">
        <v>0</v>
      </c>
    </row>
    <row r="1190" spans="2:2" ht="13.2" x14ac:dyDescent="0.25">
      <c r="B1190" s="3" t="b">
        <v>0</v>
      </c>
    </row>
    <row r="1191" spans="2:2" ht="13.2" x14ac:dyDescent="0.25">
      <c r="B1191" s="3" t="b">
        <v>0</v>
      </c>
    </row>
    <row r="1192" spans="2:2" ht="13.2" x14ac:dyDescent="0.25">
      <c r="B1192" s="3" t="b">
        <v>0</v>
      </c>
    </row>
    <row r="1193" spans="2:2" ht="13.2" x14ac:dyDescent="0.25">
      <c r="B1193" s="3" t="b">
        <v>0</v>
      </c>
    </row>
    <row r="1194" spans="2:2" ht="13.2" x14ac:dyDescent="0.25">
      <c r="B1194" s="3" t="b">
        <v>0</v>
      </c>
    </row>
    <row r="1195" spans="2:2" ht="13.2" x14ac:dyDescent="0.25">
      <c r="B1195" s="3" t="b">
        <v>0</v>
      </c>
    </row>
    <row r="1196" spans="2:2" ht="13.2" x14ac:dyDescent="0.25">
      <c r="B1196" s="3" t="b">
        <v>0</v>
      </c>
    </row>
    <row r="1197" spans="2:2" ht="13.2" x14ac:dyDescent="0.25">
      <c r="B1197" s="3" t="b">
        <v>0</v>
      </c>
    </row>
    <row r="1198" spans="2:2" ht="13.2" x14ac:dyDescent="0.25">
      <c r="B1198" s="3" t="b">
        <v>0</v>
      </c>
    </row>
    <row r="1199" spans="2:2" ht="13.2" x14ac:dyDescent="0.25">
      <c r="B1199" s="3" t="b">
        <v>0</v>
      </c>
    </row>
    <row r="1200" spans="2:2" ht="13.2" x14ac:dyDescent="0.25">
      <c r="B1200" s="3" t="b">
        <v>0</v>
      </c>
    </row>
    <row r="1201" spans="2:2" ht="13.2" x14ac:dyDescent="0.25">
      <c r="B1201" s="3" t="b">
        <v>0</v>
      </c>
    </row>
    <row r="1202" spans="2:2" ht="13.2" x14ac:dyDescent="0.25">
      <c r="B1202" s="3" t="b">
        <v>0</v>
      </c>
    </row>
    <row r="1203" spans="2:2" ht="13.2" x14ac:dyDescent="0.25">
      <c r="B1203" s="3" t="b">
        <v>0</v>
      </c>
    </row>
    <row r="1204" spans="2:2" ht="13.2" x14ac:dyDescent="0.25">
      <c r="B1204" s="3" t="b">
        <v>0</v>
      </c>
    </row>
    <row r="1205" spans="2:2" ht="13.2" x14ac:dyDescent="0.25">
      <c r="B1205" s="3" t="b">
        <v>0</v>
      </c>
    </row>
    <row r="1206" spans="2:2" ht="13.2" x14ac:dyDescent="0.25">
      <c r="B1206" s="3" t="b">
        <v>0</v>
      </c>
    </row>
    <row r="1207" spans="2:2" ht="13.2" x14ac:dyDescent="0.25">
      <c r="B1207" s="3" t="b">
        <v>0</v>
      </c>
    </row>
    <row r="1208" spans="2:2" ht="13.2" x14ac:dyDescent="0.25">
      <c r="B1208" s="3" t="b">
        <v>0</v>
      </c>
    </row>
    <row r="1209" spans="2:2" ht="13.2" x14ac:dyDescent="0.25">
      <c r="B1209" s="3" t="b">
        <v>0</v>
      </c>
    </row>
    <row r="1210" spans="2:2" ht="13.2" x14ac:dyDescent="0.25">
      <c r="B1210" s="3" t="b">
        <v>0</v>
      </c>
    </row>
    <row r="1211" spans="2:2" ht="13.2" x14ac:dyDescent="0.25">
      <c r="B1211" s="3" t="b">
        <v>0</v>
      </c>
    </row>
    <row r="1212" spans="2:2" ht="13.2" x14ac:dyDescent="0.25">
      <c r="B1212" s="3" t="b">
        <v>0</v>
      </c>
    </row>
    <row r="1213" spans="2:2" ht="13.2" x14ac:dyDescent="0.25">
      <c r="B1213" s="3" t="b">
        <v>0</v>
      </c>
    </row>
    <row r="1214" spans="2:2" ht="13.2" x14ac:dyDescent="0.25">
      <c r="B1214" s="3" t="b">
        <v>0</v>
      </c>
    </row>
    <row r="1215" spans="2:2" ht="13.2" x14ac:dyDescent="0.25">
      <c r="B1215" s="3" t="b">
        <v>0</v>
      </c>
    </row>
    <row r="1216" spans="2:2" ht="13.2" x14ac:dyDescent="0.25">
      <c r="B1216" s="3" t="b">
        <v>0</v>
      </c>
    </row>
    <row r="1217" spans="2:2" ht="13.2" x14ac:dyDescent="0.25">
      <c r="B1217" s="3" t="b">
        <v>0</v>
      </c>
    </row>
    <row r="1218" spans="2:2" ht="13.2" x14ac:dyDescent="0.25">
      <c r="B1218" s="3" t="b">
        <v>0</v>
      </c>
    </row>
    <row r="1219" spans="2:2" ht="13.2" x14ac:dyDescent="0.25">
      <c r="B1219" s="3" t="b">
        <v>0</v>
      </c>
    </row>
    <row r="1220" spans="2:2" ht="13.2" x14ac:dyDescent="0.25">
      <c r="B1220" s="3" t="b">
        <v>0</v>
      </c>
    </row>
    <row r="1221" spans="2:2" ht="13.2" x14ac:dyDescent="0.25">
      <c r="B1221" s="3" t="b">
        <v>0</v>
      </c>
    </row>
    <row r="1222" spans="2:2" ht="13.2" x14ac:dyDescent="0.25">
      <c r="B1222" s="3" t="b">
        <v>0</v>
      </c>
    </row>
    <row r="1223" spans="2:2" ht="13.2" x14ac:dyDescent="0.25">
      <c r="B1223" s="3" t="b">
        <v>0</v>
      </c>
    </row>
    <row r="1224" spans="2:2" ht="13.2" x14ac:dyDescent="0.25">
      <c r="B1224" s="3" t="b">
        <v>0</v>
      </c>
    </row>
    <row r="1225" spans="2:2" ht="13.2" x14ac:dyDescent="0.25">
      <c r="B1225" s="3" t="b">
        <v>0</v>
      </c>
    </row>
    <row r="1226" spans="2:2" ht="13.2" x14ac:dyDescent="0.25">
      <c r="B1226" s="3" t="b">
        <v>0</v>
      </c>
    </row>
    <row r="1227" spans="2:2" ht="13.2" x14ac:dyDescent="0.25">
      <c r="B1227" s="3" t="b">
        <v>0</v>
      </c>
    </row>
    <row r="1228" spans="2:2" ht="13.2" x14ac:dyDescent="0.25">
      <c r="B1228" s="3" t="b">
        <v>0</v>
      </c>
    </row>
    <row r="1229" spans="2:2" ht="13.2" x14ac:dyDescent="0.25">
      <c r="B1229" s="3" t="b">
        <v>0</v>
      </c>
    </row>
    <row r="1230" spans="2:2" ht="13.2" x14ac:dyDescent="0.25">
      <c r="B1230" s="3" t="b">
        <v>0</v>
      </c>
    </row>
    <row r="1231" spans="2:2" ht="13.2" x14ac:dyDescent="0.25">
      <c r="B1231" s="3" t="b">
        <v>0</v>
      </c>
    </row>
    <row r="1232" spans="2:2" ht="13.2" x14ac:dyDescent="0.25">
      <c r="B1232" s="3" t="b">
        <v>0</v>
      </c>
    </row>
    <row r="1233" spans="2:2" ht="13.2" x14ac:dyDescent="0.25">
      <c r="B1233" s="3" t="b">
        <v>0</v>
      </c>
    </row>
    <row r="1234" spans="2:2" ht="13.2" x14ac:dyDescent="0.25">
      <c r="B1234" s="3" t="b">
        <v>0</v>
      </c>
    </row>
    <row r="1235" spans="2:2" ht="13.2" x14ac:dyDescent="0.25">
      <c r="B1235" s="3" t="b">
        <v>0</v>
      </c>
    </row>
    <row r="1236" spans="2:2" ht="13.2" x14ac:dyDescent="0.25">
      <c r="B1236" s="3" t="b">
        <v>0</v>
      </c>
    </row>
    <row r="1237" spans="2:2" ht="13.2" x14ac:dyDescent="0.25">
      <c r="B1237" s="3" t="b">
        <v>0</v>
      </c>
    </row>
    <row r="1238" spans="2:2" ht="13.2" x14ac:dyDescent="0.25">
      <c r="B1238" s="3" t="b">
        <v>0</v>
      </c>
    </row>
    <row r="1239" spans="2:2" ht="13.2" x14ac:dyDescent="0.25">
      <c r="B1239" s="3" t="b">
        <v>0</v>
      </c>
    </row>
    <row r="1240" spans="2:2" ht="13.2" x14ac:dyDescent="0.25">
      <c r="B1240" s="3" t="b">
        <v>0</v>
      </c>
    </row>
    <row r="1241" spans="2:2" ht="13.2" x14ac:dyDescent="0.25">
      <c r="B1241" s="3" t="b">
        <v>0</v>
      </c>
    </row>
    <row r="1242" spans="2:2" ht="13.2" x14ac:dyDescent="0.25">
      <c r="B1242" s="3" t="b">
        <v>0</v>
      </c>
    </row>
    <row r="1243" spans="2:2" ht="13.2" x14ac:dyDescent="0.25">
      <c r="B1243" s="3" t="b">
        <v>0</v>
      </c>
    </row>
    <row r="1244" spans="2:2" ht="13.2" x14ac:dyDescent="0.25">
      <c r="B1244" s="3" t="b">
        <v>0</v>
      </c>
    </row>
    <row r="1245" spans="2:2" ht="13.2" x14ac:dyDescent="0.25">
      <c r="B1245" s="3" t="b">
        <v>0</v>
      </c>
    </row>
    <row r="1246" spans="2:2" ht="13.2" x14ac:dyDescent="0.25">
      <c r="B1246" s="3" t="b">
        <v>0</v>
      </c>
    </row>
    <row r="1247" spans="2:2" ht="13.2" x14ac:dyDescent="0.25">
      <c r="B1247" s="3" t="b">
        <v>0</v>
      </c>
    </row>
    <row r="1248" spans="2:2" ht="13.2" x14ac:dyDescent="0.25">
      <c r="B1248" s="3" t="b">
        <v>0</v>
      </c>
    </row>
    <row r="1249" spans="2:2" ht="13.2" x14ac:dyDescent="0.25">
      <c r="B1249" s="3" t="b">
        <v>0</v>
      </c>
    </row>
    <row r="1250" spans="2:2" ht="13.2" x14ac:dyDescent="0.25">
      <c r="B1250" s="3" t="b">
        <v>0</v>
      </c>
    </row>
    <row r="1251" spans="2:2" ht="13.2" x14ac:dyDescent="0.25">
      <c r="B1251" s="3" t="b">
        <v>0</v>
      </c>
    </row>
    <row r="1252" spans="2:2" ht="13.2" x14ac:dyDescent="0.25">
      <c r="B1252" s="3" t="b">
        <v>0</v>
      </c>
    </row>
    <row r="1253" spans="2:2" ht="13.2" x14ac:dyDescent="0.25">
      <c r="B1253" s="3" t="b">
        <v>0</v>
      </c>
    </row>
    <row r="1254" spans="2:2" ht="13.2" x14ac:dyDescent="0.25">
      <c r="B1254" s="3" t="b">
        <v>0</v>
      </c>
    </row>
    <row r="1255" spans="2:2" ht="13.2" x14ac:dyDescent="0.25">
      <c r="B1255" s="3" t="b">
        <v>0</v>
      </c>
    </row>
    <row r="1256" spans="2:2" ht="13.2" x14ac:dyDescent="0.25">
      <c r="B1256" s="3" t="b">
        <v>0</v>
      </c>
    </row>
    <row r="1257" spans="2:2" ht="13.2" x14ac:dyDescent="0.25">
      <c r="B1257" s="3" t="b">
        <v>0</v>
      </c>
    </row>
    <row r="1258" spans="2:2" ht="13.2" x14ac:dyDescent="0.25">
      <c r="B1258" s="3" t="b">
        <v>0</v>
      </c>
    </row>
    <row r="1259" spans="2:2" ht="13.2" x14ac:dyDescent="0.25">
      <c r="B1259" s="3" t="b">
        <v>0</v>
      </c>
    </row>
    <row r="1260" spans="2:2" ht="13.2" x14ac:dyDescent="0.25">
      <c r="B1260" s="3" t="b">
        <v>0</v>
      </c>
    </row>
    <row r="1261" spans="2:2" ht="13.2" x14ac:dyDescent="0.25">
      <c r="B1261" s="3" t="b">
        <v>0</v>
      </c>
    </row>
    <row r="1262" spans="2:2" ht="13.2" x14ac:dyDescent="0.25">
      <c r="B1262" s="3" t="b">
        <v>0</v>
      </c>
    </row>
    <row r="1263" spans="2:2" ht="13.2" x14ac:dyDescent="0.25">
      <c r="B1263" s="3" t="b">
        <v>0</v>
      </c>
    </row>
    <row r="1264" spans="2:2" ht="13.2" x14ac:dyDescent="0.25">
      <c r="B1264" s="3" t="b">
        <v>0</v>
      </c>
    </row>
    <row r="1265" spans="2:2" ht="13.2" x14ac:dyDescent="0.25">
      <c r="B1265" s="3" t="b">
        <v>0</v>
      </c>
    </row>
    <row r="1266" spans="2:2" ht="13.2" x14ac:dyDescent="0.25">
      <c r="B1266" s="3" t="b">
        <v>0</v>
      </c>
    </row>
    <row r="1267" spans="2:2" ht="13.2" x14ac:dyDescent="0.25">
      <c r="B1267" s="3" t="b">
        <v>0</v>
      </c>
    </row>
    <row r="1268" spans="2:2" ht="13.2" x14ac:dyDescent="0.25">
      <c r="B1268" s="3" t="b">
        <v>0</v>
      </c>
    </row>
    <row r="1269" spans="2:2" ht="13.2" x14ac:dyDescent="0.25">
      <c r="B1269" s="3" t="b">
        <v>0</v>
      </c>
    </row>
    <row r="1270" spans="2:2" ht="13.2" x14ac:dyDescent="0.25">
      <c r="B1270" s="3" t="b">
        <v>0</v>
      </c>
    </row>
    <row r="1271" spans="2:2" ht="13.2" x14ac:dyDescent="0.25">
      <c r="B1271" s="3" t="b">
        <v>0</v>
      </c>
    </row>
    <row r="1272" spans="2:2" ht="13.2" x14ac:dyDescent="0.25">
      <c r="B1272" s="3" t="b">
        <v>0</v>
      </c>
    </row>
    <row r="1273" spans="2:2" ht="13.2" x14ac:dyDescent="0.25">
      <c r="B1273" s="3" t="b">
        <v>0</v>
      </c>
    </row>
    <row r="1274" spans="2:2" ht="13.2" x14ac:dyDescent="0.25">
      <c r="B1274" s="3" t="b">
        <v>0</v>
      </c>
    </row>
    <row r="1275" spans="2:2" ht="13.2" x14ac:dyDescent="0.25">
      <c r="B1275" s="3" t="b">
        <v>0</v>
      </c>
    </row>
    <row r="1276" spans="2:2" ht="13.2" x14ac:dyDescent="0.25">
      <c r="B1276" s="3" t="b">
        <v>0</v>
      </c>
    </row>
    <row r="1277" spans="2:2" ht="13.2" x14ac:dyDescent="0.25">
      <c r="B1277" s="3" t="b">
        <v>0</v>
      </c>
    </row>
    <row r="1278" spans="2:2" ht="13.2" x14ac:dyDescent="0.25">
      <c r="B1278" s="3" t="b">
        <v>0</v>
      </c>
    </row>
    <row r="1279" spans="2:2" ht="13.2" x14ac:dyDescent="0.25">
      <c r="B1279" s="3" t="b">
        <v>0</v>
      </c>
    </row>
    <row r="1280" spans="2:2" ht="13.2" x14ac:dyDescent="0.25">
      <c r="B1280" s="3" t="b">
        <v>0</v>
      </c>
    </row>
    <row r="1281" spans="2:2" ht="13.2" x14ac:dyDescent="0.25">
      <c r="B1281" s="3" t="b">
        <v>0</v>
      </c>
    </row>
    <row r="1282" spans="2:2" ht="13.2" x14ac:dyDescent="0.25">
      <c r="B1282" s="3" t="b">
        <v>0</v>
      </c>
    </row>
    <row r="1283" spans="2:2" ht="13.2" x14ac:dyDescent="0.25">
      <c r="B1283" s="3" t="b">
        <v>0</v>
      </c>
    </row>
    <row r="1284" spans="2:2" ht="13.2" x14ac:dyDescent="0.25">
      <c r="B1284" s="3" t="b">
        <v>0</v>
      </c>
    </row>
    <row r="1285" spans="2:2" ht="13.2" x14ac:dyDescent="0.25">
      <c r="B1285" s="3" t="b">
        <v>0</v>
      </c>
    </row>
    <row r="1286" spans="2:2" ht="13.2" x14ac:dyDescent="0.25">
      <c r="B1286" s="3" t="b">
        <v>0</v>
      </c>
    </row>
    <row r="1287" spans="2:2" ht="13.2" x14ac:dyDescent="0.25">
      <c r="B1287" s="3" t="b">
        <v>0</v>
      </c>
    </row>
    <row r="1288" spans="2:2" ht="13.2" x14ac:dyDescent="0.25">
      <c r="B1288" s="3" t="b">
        <v>0</v>
      </c>
    </row>
    <row r="1289" spans="2:2" ht="13.2" x14ac:dyDescent="0.25">
      <c r="B1289" s="3" t="b">
        <v>0</v>
      </c>
    </row>
    <row r="1290" spans="2:2" ht="13.2" x14ac:dyDescent="0.25">
      <c r="B1290" s="3" t="b">
        <v>0</v>
      </c>
    </row>
    <row r="1291" spans="2:2" ht="13.2" x14ac:dyDescent="0.25">
      <c r="B1291" s="3" t="b">
        <v>0</v>
      </c>
    </row>
    <row r="1292" spans="2:2" ht="13.2" x14ac:dyDescent="0.25">
      <c r="B1292" s="3" t="b">
        <v>0</v>
      </c>
    </row>
    <row r="1293" spans="2:2" ht="13.2" x14ac:dyDescent="0.25">
      <c r="B1293" s="3" t="b">
        <v>0</v>
      </c>
    </row>
    <row r="1294" spans="2:2" ht="13.2" x14ac:dyDescent="0.25">
      <c r="B1294" s="3" t="b">
        <v>0</v>
      </c>
    </row>
    <row r="1295" spans="2:2" ht="13.2" x14ac:dyDescent="0.25">
      <c r="B1295" s="3" t="b">
        <v>0</v>
      </c>
    </row>
    <row r="1296" spans="2:2" ht="13.2" x14ac:dyDescent="0.25">
      <c r="B1296" s="3" t="b">
        <v>0</v>
      </c>
    </row>
    <row r="1297" spans="2:2" ht="13.2" x14ac:dyDescent="0.25">
      <c r="B1297" s="3" t="b">
        <v>0</v>
      </c>
    </row>
    <row r="1298" spans="2:2" ht="13.2" x14ac:dyDescent="0.25">
      <c r="B1298" s="3" t="b">
        <v>0</v>
      </c>
    </row>
    <row r="1299" spans="2:2" ht="13.2" x14ac:dyDescent="0.25">
      <c r="B1299" s="3" t="b">
        <v>0</v>
      </c>
    </row>
    <row r="1300" spans="2:2" ht="13.2" x14ac:dyDescent="0.25">
      <c r="B1300" s="3" t="b">
        <v>0</v>
      </c>
    </row>
    <row r="1301" spans="2:2" ht="13.2" x14ac:dyDescent="0.25">
      <c r="B1301" s="3" t="b">
        <v>0</v>
      </c>
    </row>
    <row r="1302" spans="2:2" ht="13.2" x14ac:dyDescent="0.25">
      <c r="B1302" s="3" t="b">
        <v>0</v>
      </c>
    </row>
    <row r="1303" spans="2:2" ht="13.2" x14ac:dyDescent="0.25">
      <c r="B1303" s="3" t="b">
        <v>0</v>
      </c>
    </row>
    <row r="1304" spans="2:2" ht="13.2" x14ac:dyDescent="0.25">
      <c r="B1304" s="3" t="b">
        <v>0</v>
      </c>
    </row>
    <row r="1305" spans="2:2" ht="13.2" x14ac:dyDescent="0.25">
      <c r="B1305" s="3" t="b">
        <v>0</v>
      </c>
    </row>
    <row r="1306" spans="2:2" ht="13.2" x14ac:dyDescent="0.25">
      <c r="B1306" s="3" t="b">
        <v>0</v>
      </c>
    </row>
    <row r="1307" spans="2:2" ht="13.2" x14ac:dyDescent="0.25">
      <c r="B1307" s="3" t="b">
        <v>0</v>
      </c>
    </row>
    <row r="1308" spans="2:2" ht="13.2" x14ac:dyDescent="0.25">
      <c r="B1308" s="3" t="b">
        <v>0</v>
      </c>
    </row>
    <row r="1309" spans="2:2" ht="13.2" x14ac:dyDescent="0.25">
      <c r="B1309" s="3" t="b">
        <v>0</v>
      </c>
    </row>
    <row r="1310" spans="2:2" ht="13.2" x14ac:dyDescent="0.25">
      <c r="B1310" s="3" t="b">
        <v>0</v>
      </c>
    </row>
    <row r="1311" spans="2:2" ht="13.2" x14ac:dyDescent="0.25">
      <c r="B1311" s="3" t="b">
        <v>0</v>
      </c>
    </row>
    <row r="1312" spans="2:2" ht="13.2" x14ac:dyDescent="0.25">
      <c r="B1312" s="3" t="b">
        <v>0</v>
      </c>
    </row>
    <row r="1313" spans="2:2" ht="13.2" x14ac:dyDescent="0.25">
      <c r="B1313" s="3" t="b">
        <v>0</v>
      </c>
    </row>
    <row r="1314" spans="2:2" ht="13.2" x14ac:dyDescent="0.25">
      <c r="B1314" s="3" t="b">
        <v>0</v>
      </c>
    </row>
    <row r="1315" spans="2:2" ht="13.2" x14ac:dyDescent="0.25">
      <c r="B1315" s="3" t="b">
        <v>0</v>
      </c>
    </row>
    <row r="1316" spans="2:2" ht="13.2" x14ac:dyDescent="0.25">
      <c r="B1316" s="3" t="b">
        <v>0</v>
      </c>
    </row>
    <row r="1317" spans="2:2" ht="13.2" x14ac:dyDescent="0.25">
      <c r="B1317" s="3" t="b">
        <v>0</v>
      </c>
    </row>
    <row r="1318" spans="2:2" ht="13.2" x14ac:dyDescent="0.25">
      <c r="B1318" s="3" t="b">
        <v>0</v>
      </c>
    </row>
    <row r="1319" spans="2:2" ht="13.2" x14ac:dyDescent="0.25">
      <c r="B1319" s="3" t="b">
        <v>0</v>
      </c>
    </row>
    <row r="1320" spans="2:2" ht="13.2" x14ac:dyDescent="0.25">
      <c r="B1320" s="3" t="b">
        <v>0</v>
      </c>
    </row>
    <row r="1321" spans="2:2" ht="13.2" x14ac:dyDescent="0.25">
      <c r="B1321" s="3" t="b">
        <v>0</v>
      </c>
    </row>
    <row r="1322" spans="2:2" ht="13.2" x14ac:dyDescent="0.25">
      <c r="B1322" s="3" t="b">
        <v>0</v>
      </c>
    </row>
    <row r="1323" spans="2:2" ht="13.2" x14ac:dyDescent="0.25">
      <c r="B1323" s="3" t="b">
        <v>0</v>
      </c>
    </row>
    <row r="1324" spans="2:2" ht="13.2" x14ac:dyDescent="0.25">
      <c r="B1324" s="3" t="b">
        <v>0</v>
      </c>
    </row>
    <row r="1325" spans="2:2" ht="13.2" x14ac:dyDescent="0.25">
      <c r="B1325" s="3" t="b">
        <v>0</v>
      </c>
    </row>
    <row r="1326" spans="2:2" ht="13.2" x14ac:dyDescent="0.25">
      <c r="B1326" s="3" t="b">
        <v>0</v>
      </c>
    </row>
    <row r="1327" spans="2:2" ht="13.2" x14ac:dyDescent="0.25">
      <c r="B1327" s="3" t="b">
        <v>0</v>
      </c>
    </row>
    <row r="1328" spans="2:2" ht="13.2" x14ac:dyDescent="0.25">
      <c r="B1328" s="3" t="b">
        <v>0</v>
      </c>
    </row>
    <row r="1329" spans="2:2" ht="13.2" x14ac:dyDescent="0.25">
      <c r="B1329" s="3" t="b">
        <v>0</v>
      </c>
    </row>
    <row r="1330" spans="2:2" ht="13.2" x14ac:dyDescent="0.25">
      <c r="B1330" s="3" t="b">
        <v>0</v>
      </c>
    </row>
    <row r="1331" spans="2:2" ht="13.2" x14ac:dyDescent="0.25">
      <c r="B1331" s="3" t="b">
        <v>0</v>
      </c>
    </row>
    <row r="1332" spans="2:2" ht="13.2" x14ac:dyDescent="0.25">
      <c r="B1332" s="3" t="b">
        <v>0</v>
      </c>
    </row>
    <row r="1333" spans="2:2" ht="13.2" x14ac:dyDescent="0.25">
      <c r="B1333" s="3" t="b">
        <v>0</v>
      </c>
    </row>
    <row r="1334" spans="2:2" ht="13.2" x14ac:dyDescent="0.25">
      <c r="B1334" s="3" t="b">
        <v>0</v>
      </c>
    </row>
    <row r="1335" spans="2:2" ht="13.2" x14ac:dyDescent="0.25">
      <c r="B1335" s="3" t="b">
        <v>0</v>
      </c>
    </row>
    <row r="1336" spans="2:2" ht="13.2" x14ac:dyDescent="0.25">
      <c r="B1336" s="3" t="b">
        <v>0</v>
      </c>
    </row>
    <row r="1337" spans="2:2" ht="13.2" x14ac:dyDescent="0.25">
      <c r="B1337" s="3" t="b">
        <v>0</v>
      </c>
    </row>
    <row r="1338" spans="2:2" ht="13.2" x14ac:dyDescent="0.25">
      <c r="B1338" s="3" t="b">
        <v>0</v>
      </c>
    </row>
    <row r="1339" spans="2:2" ht="13.2" x14ac:dyDescent="0.25">
      <c r="B1339" s="3" t="b">
        <v>0</v>
      </c>
    </row>
    <row r="1340" spans="2:2" ht="13.2" x14ac:dyDescent="0.25">
      <c r="B1340" s="3" t="b">
        <v>0</v>
      </c>
    </row>
    <row r="1341" spans="2:2" ht="13.2" x14ac:dyDescent="0.25">
      <c r="B1341" s="3" t="b">
        <v>0</v>
      </c>
    </row>
    <row r="1342" spans="2:2" ht="13.2" x14ac:dyDescent="0.25">
      <c r="B1342" s="3" t="b">
        <v>0</v>
      </c>
    </row>
    <row r="1343" spans="2:2" ht="13.2" x14ac:dyDescent="0.25">
      <c r="B1343" s="3" t="b">
        <v>0</v>
      </c>
    </row>
    <row r="1344" spans="2:2" ht="13.2" x14ac:dyDescent="0.25">
      <c r="B1344" s="3" t="b">
        <v>0</v>
      </c>
    </row>
    <row r="1345" spans="2:2" ht="13.2" x14ac:dyDescent="0.25">
      <c r="B1345" s="3" t="b">
        <v>0</v>
      </c>
    </row>
    <row r="1346" spans="2:2" ht="13.2" x14ac:dyDescent="0.25">
      <c r="B1346" s="3" t="b">
        <v>0</v>
      </c>
    </row>
    <row r="1347" spans="2:2" ht="13.2" x14ac:dyDescent="0.25">
      <c r="B1347" s="3" t="b">
        <v>0</v>
      </c>
    </row>
    <row r="1348" spans="2:2" ht="13.2" x14ac:dyDescent="0.25">
      <c r="B1348" s="3" t="b">
        <v>0</v>
      </c>
    </row>
    <row r="1349" spans="2:2" ht="13.2" x14ac:dyDescent="0.25">
      <c r="B1349" s="3" t="b">
        <v>0</v>
      </c>
    </row>
    <row r="1350" spans="2:2" ht="13.2" x14ac:dyDescent="0.25">
      <c r="B1350" s="3" t="b">
        <v>0</v>
      </c>
    </row>
    <row r="1351" spans="2:2" ht="13.2" x14ac:dyDescent="0.25">
      <c r="B1351" s="3" t="b">
        <v>0</v>
      </c>
    </row>
    <row r="1352" spans="2:2" ht="13.2" x14ac:dyDescent="0.25">
      <c r="B1352" s="3" t="b">
        <v>0</v>
      </c>
    </row>
    <row r="1353" spans="2:2" ht="13.2" x14ac:dyDescent="0.25">
      <c r="B1353" s="3" t="b">
        <v>0</v>
      </c>
    </row>
    <row r="1354" spans="2:2" ht="13.2" x14ac:dyDescent="0.25">
      <c r="B1354" s="3" t="b">
        <v>0</v>
      </c>
    </row>
    <row r="1355" spans="2:2" ht="13.2" x14ac:dyDescent="0.25">
      <c r="B1355" s="3" t="b">
        <v>0</v>
      </c>
    </row>
    <row r="1356" spans="2:2" ht="13.2" x14ac:dyDescent="0.25">
      <c r="B1356" s="3" t="b">
        <v>0</v>
      </c>
    </row>
    <row r="1357" spans="2:2" ht="13.2" x14ac:dyDescent="0.25">
      <c r="B1357" s="3" t="b">
        <v>0</v>
      </c>
    </row>
    <row r="1358" spans="2:2" ht="13.2" x14ac:dyDescent="0.25">
      <c r="B1358" s="3" t="b">
        <v>0</v>
      </c>
    </row>
    <row r="1359" spans="2:2" ht="13.2" x14ac:dyDescent="0.25">
      <c r="B1359" s="3" t="b">
        <v>0</v>
      </c>
    </row>
    <row r="1360" spans="2:2" ht="13.2" x14ac:dyDescent="0.25">
      <c r="B1360" s="3" t="b">
        <v>0</v>
      </c>
    </row>
    <row r="1361" spans="2:2" ht="13.2" x14ac:dyDescent="0.25">
      <c r="B1361" s="3" t="b">
        <v>0</v>
      </c>
    </row>
    <row r="1362" spans="2:2" ht="13.2" x14ac:dyDescent="0.25">
      <c r="B1362" s="3" t="b">
        <v>0</v>
      </c>
    </row>
    <row r="1363" spans="2:2" ht="13.2" x14ac:dyDescent="0.25">
      <c r="B1363" s="3" t="b">
        <v>0</v>
      </c>
    </row>
    <row r="1364" spans="2:2" ht="13.2" x14ac:dyDescent="0.25">
      <c r="B1364" s="3" t="b">
        <v>0</v>
      </c>
    </row>
    <row r="1365" spans="2:2" ht="13.2" x14ac:dyDescent="0.25">
      <c r="B1365" s="3" t="b">
        <v>0</v>
      </c>
    </row>
    <row r="1366" spans="2:2" ht="13.2" x14ac:dyDescent="0.25">
      <c r="B1366" s="3" t="b">
        <v>0</v>
      </c>
    </row>
    <row r="1367" spans="2:2" ht="13.2" x14ac:dyDescent="0.25">
      <c r="B1367" s="3" t="b">
        <v>0</v>
      </c>
    </row>
    <row r="1368" spans="2:2" ht="13.2" x14ac:dyDescent="0.25">
      <c r="B1368" s="3" t="b">
        <v>0</v>
      </c>
    </row>
    <row r="1369" spans="2:2" ht="13.2" x14ac:dyDescent="0.25">
      <c r="B1369" s="3" t="b">
        <v>0</v>
      </c>
    </row>
    <row r="1370" spans="2:2" ht="13.2" x14ac:dyDescent="0.25">
      <c r="B1370" s="3" t="b">
        <v>0</v>
      </c>
    </row>
    <row r="1371" spans="2:2" ht="13.2" x14ac:dyDescent="0.25">
      <c r="B1371" s="3" t="b">
        <v>0</v>
      </c>
    </row>
    <row r="1372" spans="2:2" ht="13.2" x14ac:dyDescent="0.25">
      <c r="B1372" s="3" t="b">
        <v>0</v>
      </c>
    </row>
    <row r="1373" spans="2:2" ht="13.2" x14ac:dyDescent="0.25">
      <c r="B1373" s="3" t="b">
        <v>0</v>
      </c>
    </row>
    <row r="1374" spans="2:2" ht="13.2" x14ac:dyDescent="0.25">
      <c r="B1374" s="3" t="b">
        <v>0</v>
      </c>
    </row>
    <row r="1375" spans="2:2" ht="13.2" x14ac:dyDescent="0.25">
      <c r="B1375" s="3" t="b">
        <v>0</v>
      </c>
    </row>
    <row r="1376" spans="2:2" ht="13.2" x14ac:dyDescent="0.25">
      <c r="B1376" s="3" t="b">
        <v>0</v>
      </c>
    </row>
    <row r="1377" spans="2:2" ht="13.2" x14ac:dyDescent="0.25">
      <c r="B1377" s="3" t="b">
        <v>0</v>
      </c>
    </row>
    <row r="1378" spans="2:2" ht="13.2" x14ac:dyDescent="0.25">
      <c r="B1378" s="3" t="b">
        <v>0</v>
      </c>
    </row>
    <row r="1379" spans="2:2" ht="13.2" x14ac:dyDescent="0.25">
      <c r="B1379" s="3" t="b">
        <v>0</v>
      </c>
    </row>
    <row r="1380" spans="2:2" ht="13.2" x14ac:dyDescent="0.25">
      <c r="B1380" s="3" t="b">
        <v>0</v>
      </c>
    </row>
    <row r="1381" spans="2:2" ht="13.2" x14ac:dyDescent="0.25">
      <c r="B1381" s="3" t="b">
        <v>0</v>
      </c>
    </row>
    <row r="1382" spans="2:2" ht="13.2" x14ac:dyDescent="0.25">
      <c r="B1382" s="3" t="b">
        <v>0</v>
      </c>
    </row>
    <row r="1383" spans="2:2" ht="13.2" x14ac:dyDescent="0.25">
      <c r="B1383" s="3" t="b">
        <v>0</v>
      </c>
    </row>
    <row r="1384" spans="2:2" ht="13.2" x14ac:dyDescent="0.25">
      <c r="B1384" s="3" t="b">
        <v>0</v>
      </c>
    </row>
    <row r="1385" spans="2:2" ht="13.2" x14ac:dyDescent="0.25">
      <c r="B1385" s="3" t="b">
        <v>0</v>
      </c>
    </row>
    <row r="1386" spans="2:2" ht="13.2" x14ac:dyDescent="0.25">
      <c r="B1386" s="3" t="b">
        <v>0</v>
      </c>
    </row>
    <row r="1387" spans="2:2" ht="13.2" x14ac:dyDescent="0.25">
      <c r="B1387" s="3" t="b">
        <v>0</v>
      </c>
    </row>
    <row r="1388" spans="2:2" ht="13.2" x14ac:dyDescent="0.25">
      <c r="B1388" s="3" t="b">
        <v>0</v>
      </c>
    </row>
    <row r="1389" spans="2:2" ht="13.2" x14ac:dyDescent="0.25">
      <c r="B1389" s="3" t="b">
        <v>0</v>
      </c>
    </row>
    <row r="1390" spans="2:2" ht="13.2" x14ac:dyDescent="0.25">
      <c r="B1390" s="3" t="b">
        <v>0</v>
      </c>
    </row>
    <row r="1391" spans="2:2" ht="13.2" x14ac:dyDescent="0.25">
      <c r="B1391" s="3" t="b">
        <v>0</v>
      </c>
    </row>
    <row r="1392" spans="2:2" ht="13.2" x14ac:dyDescent="0.25">
      <c r="B1392" s="3" t="b">
        <v>0</v>
      </c>
    </row>
    <row r="1393" spans="2:2" ht="13.2" x14ac:dyDescent="0.25">
      <c r="B1393" s="3" t="b">
        <v>0</v>
      </c>
    </row>
    <row r="1394" spans="2:2" ht="13.2" x14ac:dyDescent="0.25">
      <c r="B1394" s="3" t="b">
        <v>0</v>
      </c>
    </row>
    <row r="1395" spans="2:2" ht="13.2" x14ac:dyDescent="0.25">
      <c r="B1395" s="3" t="b">
        <v>0</v>
      </c>
    </row>
    <row r="1396" spans="2:2" ht="13.2" x14ac:dyDescent="0.25">
      <c r="B1396" s="3" t="b">
        <v>0</v>
      </c>
    </row>
    <row r="1397" spans="2:2" ht="13.2" x14ac:dyDescent="0.25">
      <c r="B1397" s="3" t="b">
        <v>0</v>
      </c>
    </row>
    <row r="1398" spans="2:2" ht="13.2" x14ac:dyDescent="0.25">
      <c r="B1398" s="3" t="b">
        <v>0</v>
      </c>
    </row>
    <row r="1399" spans="2:2" ht="13.2" x14ac:dyDescent="0.25">
      <c r="B1399" s="3" t="b">
        <v>0</v>
      </c>
    </row>
    <row r="1400" spans="2:2" ht="13.2" x14ac:dyDescent="0.25">
      <c r="B1400" s="3" t="b">
        <v>0</v>
      </c>
    </row>
    <row r="1401" spans="2:2" ht="13.2" x14ac:dyDescent="0.25">
      <c r="B1401" s="3" t="b">
        <v>0</v>
      </c>
    </row>
    <row r="1402" spans="2:2" ht="13.2" x14ac:dyDescent="0.25">
      <c r="B1402" s="3" t="b">
        <v>0</v>
      </c>
    </row>
    <row r="1403" spans="2:2" ht="13.2" x14ac:dyDescent="0.25">
      <c r="B1403" s="3" t="b">
        <v>0</v>
      </c>
    </row>
    <row r="1404" spans="2:2" ht="13.2" x14ac:dyDescent="0.25">
      <c r="B1404" s="3" t="b">
        <v>0</v>
      </c>
    </row>
    <row r="1405" spans="2:2" ht="13.2" x14ac:dyDescent="0.25">
      <c r="B1405" s="3" t="b">
        <v>0</v>
      </c>
    </row>
    <row r="1406" spans="2:2" ht="13.2" x14ac:dyDescent="0.25">
      <c r="B1406" s="3" t="b">
        <v>0</v>
      </c>
    </row>
    <row r="1407" spans="2:2" ht="13.2" x14ac:dyDescent="0.25">
      <c r="B1407" s="3" t="b">
        <v>0</v>
      </c>
    </row>
    <row r="1408" spans="2:2" ht="13.2" x14ac:dyDescent="0.25">
      <c r="B1408" s="3" t="b">
        <v>0</v>
      </c>
    </row>
    <row r="1409" spans="2:2" ht="13.2" x14ac:dyDescent="0.25">
      <c r="B1409" s="3" t="b">
        <v>0</v>
      </c>
    </row>
    <row r="1410" spans="2:2" ht="13.2" x14ac:dyDescent="0.25">
      <c r="B1410" s="3" t="b">
        <v>0</v>
      </c>
    </row>
    <row r="1411" spans="2:2" ht="13.2" x14ac:dyDescent="0.25">
      <c r="B1411" s="3" t="b">
        <v>0</v>
      </c>
    </row>
    <row r="1412" spans="2:2" ht="13.2" x14ac:dyDescent="0.25">
      <c r="B1412" s="3" t="b">
        <v>0</v>
      </c>
    </row>
    <row r="1413" spans="2:2" ht="13.2" x14ac:dyDescent="0.25">
      <c r="B1413" s="3" t="b">
        <v>0</v>
      </c>
    </row>
    <row r="1414" spans="2:2" ht="13.2" x14ac:dyDescent="0.25">
      <c r="B1414" s="3" t="b">
        <v>0</v>
      </c>
    </row>
    <row r="1415" spans="2:2" ht="13.2" x14ac:dyDescent="0.25">
      <c r="B1415" s="3" t="b">
        <v>0</v>
      </c>
    </row>
    <row r="1416" spans="2:2" ht="13.2" x14ac:dyDescent="0.25">
      <c r="B1416" s="3" t="b">
        <v>0</v>
      </c>
    </row>
    <row r="1417" spans="2:2" ht="13.2" x14ac:dyDescent="0.25">
      <c r="B1417" s="3" t="b">
        <v>0</v>
      </c>
    </row>
    <row r="1418" spans="2:2" ht="13.2" x14ac:dyDescent="0.25">
      <c r="B1418" s="3" t="b">
        <v>0</v>
      </c>
    </row>
    <row r="1419" spans="2:2" ht="13.2" x14ac:dyDescent="0.25">
      <c r="B1419" s="3" t="b">
        <v>0</v>
      </c>
    </row>
    <row r="1420" spans="2:2" ht="13.2" x14ac:dyDescent="0.25">
      <c r="B1420" s="3" t="b">
        <v>0</v>
      </c>
    </row>
    <row r="1421" spans="2:2" ht="13.2" x14ac:dyDescent="0.25">
      <c r="B1421" s="3" t="b">
        <v>0</v>
      </c>
    </row>
    <row r="1422" spans="2:2" ht="13.2" x14ac:dyDescent="0.25">
      <c r="B1422" s="3" t="b">
        <v>0</v>
      </c>
    </row>
    <row r="1423" spans="2:2" ht="13.2" x14ac:dyDescent="0.25">
      <c r="B1423" s="3" t="b">
        <v>0</v>
      </c>
    </row>
    <row r="1424" spans="2:2" ht="13.2" x14ac:dyDescent="0.25">
      <c r="B1424" s="3" t="b">
        <v>0</v>
      </c>
    </row>
    <row r="1425" spans="2:2" ht="13.2" x14ac:dyDescent="0.25">
      <c r="B1425" s="3" t="b">
        <v>0</v>
      </c>
    </row>
    <row r="1426" spans="2:2" ht="13.2" x14ac:dyDescent="0.25">
      <c r="B1426" s="3" t="b">
        <v>0</v>
      </c>
    </row>
    <row r="1427" spans="2:2" ht="13.2" x14ac:dyDescent="0.25">
      <c r="B1427" s="3" t="b">
        <v>0</v>
      </c>
    </row>
    <row r="1428" spans="2:2" ht="13.2" x14ac:dyDescent="0.25">
      <c r="B1428" s="3" t="b">
        <v>0</v>
      </c>
    </row>
    <row r="1429" spans="2:2" ht="13.2" x14ac:dyDescent="0.25">
      <c r="B1429" s="3" t="b">
        <v>0</v>
      </c>
    </row>
    <row r="1430" spans="2:2" ht="13.2" x14ac:dyDescent="0.25">
      <c r="B1430" s="3" t="b">
        <v>0</v>
      </c>
    </row>
    <row r="1431" spans="2:2" ht="13.2" x14ac:dyDescent="0.25">
      <c r="B1431" s="3" t="b">
        <v>0</v>
      </c>
    </row>
    <row r="1432" spans="2:2" ht="13.2" x14ac:dyDescent="0.25">
      <c r="B1432" s="3" t="b">
        <v>0</v>
      </c>
    </row>
    <row r="1433" spans="2:2" ht="13.2" x14ac:dyDescent="0.25">
      <c r="B1433" s="3" t="b">
        <v>0</v>
      </c>
    </row>
    <row r="1434" spans="2:2" ht="13.2" x14ac:dyDescent="0.25">
      <c r="B1434" s="3" t="b">
        <v>0</v>
      </c>
    </row>
    <row r="1435" spans="2:2" ht="13.2" x14ac:dyDescent="0.25">
      <c r="B1435" s="3" t="b">
        <v>0</v>
      </c>
    </row>
    <row r="1436" spans="2:2" ht="13.2" x14ac:dyDescent="0.25">
      <c r="B1436" s="3" t="b">
        <v>0</v>
      </c>
    </row>
    <row r="1437" spans="2:2" ht="13.2" x14ac:dyDescent="0.25">
      <c r="B1437" s="3" t="b">
        <v>0</v>
      </c>
    </row>
    <row r="1438" spans="2:2" ht="13.2" x14ac:dyDescent="0.25">
      <c r="B1438" s="3" t="b">
        <v>0</v>
      </c>
    </row>
    <row r="1439" spans="2:2" ht="13.2" x14ac:dyDescent="0.25">
      <c r="B1439" s="3" t="b">
        <v>0</v>
      </c>
    </row>
    <row r="1440" spans="2:2" ht="13.2" x14ac:dyDescent="0.25">
      <c r="B1440" s="3" t="b">
        <v>0</v>
      </c>
    </row>
    <row r="1441" spans="2:2" ht="13.2" x14ac:dyDescent="0.25">
      <c r="B1441" s="3" t="b">
        <v>0</v>
      </c>
    </row>
    <row r="1442" spans="2:2" ht="13.2" x14ac:dyDescent="0.25">
      <c r="B1442" s="3" t="b">
        <v>0</v>
      </c>
    </row>
    <row r="1443" spans="2:2" ht="13.2" x14ac:dyDescent="0.25">
      <c r="B1443" s="3" t="b">
        <v>0</v>
      </c>
    </row>
    <row r="1444" spans="2:2" ht="13.2" x14ac:dyDescent="0.25">
      <c r="B1444" s="3" t="b">
        <v>0</v>
      </c>
    </row>
    <row r="1445" spans="2:2" ht="13.2" x14ac:dyDescent="0.25">
      <c r="B1445" s="3" t="b">
        <v>0</v>
      </c>
    </row>
    <row r="1446" spans="2:2" ht="13.2" x14ac:dyDescent="0.25">
      <c r="B1446" s="3" t="b">
        <v>0</v>
      </c>
    </row>
    <row r="1447" spans="2:2" ht="13.2" x14ac:dyDescent="0.25">
      <c r="B1447" s="3" t="b">
        <v>0</v>
      </c>
    </row>
    <row r="1448" spans="2:2" ht="13.2" x14ac:dyDescent="0.25">
      <c r="B1448" s="3" t="b">
        <v>0</v>
      </c>
    </row>
    <row r="1449" spans="2:2" ht="13.2" x14ac:dyDescent="0.25">
      <c r="B1449" s="3" t="b">
        <v>0</v>
      </c>
    </row>
    <row r="1450" spans="2:2" ht="13.2" x14ac:dyDescent="0.25">
      <c r="B1450" s="3" t="b">
        <v>0</v>
      </c>
    </row>
    <row r="1451" spans="2:2" ht="13.2" x14ac:dyDescent="0.25">
      <c r="B1451" s="3" t="b">
        <v>0</v>
      </c>
    </row>
    <row r="1452" spans="2:2" ht="13.2" x14ac:dyDescent="0.25">
      <c r="B1452" s="3" t="b">
        <v>0</v>
      </c>
    </row>
    <row r="1453" spans="2:2" ht="13.2" x14ac:dyDescent="0.25">
      <c r="B1453" s="3" t="b">
        <v>0</v>
      </c>
    </row>
    <row r="1454" spans="2:2" ht="13.2" x14ac:dyDescent="0.25">
      <c r="B1454" s="3" t="b">
        <v>0</v>
      </c>
    </row>
    <row r="1455" spans="2:2" ht="13.2" x14ac:dyDescent="0.25">
      <c r="B1455" s="3" t="b">
        <v>0</v>
      </c>
    </row>
    <row r="1456" spans="2:2" ht="13.2" x14ac:dyDescent="0.25">
      <c r="B1456" s="3" t="b">
        <v>0</v>
      </c>
    </row>
    <row r="1457" spans="2:2" ht="13.2" x14ac:dyDescent="0.25">
      <c r="B1457" s="3" t="b">
        <v>0</v>
      </c>
    </row>
    <row r="1458" spans="2:2" ht="13.2" x14ac:dyDescent="0.25">
      <c r="B1458" s="3" t="b">
        <v>0</v>
      </c>
    </row>
    <row r="1459" spans="2:2" ht="13.2" x14ac:dyDescent="0.25">
      <c r="B1459" s="3" t="b">
        <v>0</v>
      </c>
    </row>
    <row r="1460" spans="2:2" ht="13.2" x14ac:dyDescent="0.25">
      <c r="B1460" s="3" t="b">
        <v>0</v>
      </c>
    </row>
    <row r="1461" spans="2:2" ht="13.2" x14ac:dyDescent="0.25">
      <c r="B1461" s="3" t="b">
        <v>0</v>
      </c>
    </row>
    <row r="1462" spans="2:2" ht="13.2" x14ac:dyDescent="0.25">
      <c r="B1462" s="3" t="b">
        <v>0</v>
      </c>
    </row>
    <row r="1463" spans="2:2" ht="13.2" x14ac:dyDescent="0.25">
      <c r="B1463" s="3" t="b">
        <v>0</v>
      </c>
    </row>
    <row r="1464" spans="2:2" ht="13.2" x14ac:dyDescent="0.25">
      <c r="B1464" s="3" t="b">
        <v>0</v>
      </c>
    </row>
    <row r="1465" spans="2:2" ht="13.2" x14ac:dyDescent="0.25">
      <c r="B1465" s="3" t="b">
        <v>0</v>
      </c>
    </row>
    <row r="1466" spans="2:2" ht="13.2" x14ac:dyDescent="0.25">
      <c r="B1466" s="3" t="b">
        <v>0</v>
      </c>
    </row>
    <row r="1467" spans="2:2" ht="13.2" x14ac:dyDescent="0.25">
      <c r="B1467" s="3" t="b">
        <v>0</v>
      </c>
    </row>
    <row r="1468" spans="2:2" ht="13.2" x14ac:dyDescent="0.25">
      <c r="B1468" s="3" t="b">
        <v>0</v>
      </c>
    </row>
    <row r="1469" spans="2:2" ht="13.2" x14ac:dyDescent="0.25">
      <c r="B1469" s="3" t="b">
        <v>0</v>
      </c>
    </row>
    <row r="1470" spans="2:2" ht="13.2" x14ac:dyDescent="0.25">
      <c r="B1470" s="3" t="b">
        <v>0</v>
      </c>
    </row>
    <row r="1471" spans="2:2" ht="13.2" x14ac:dyDescent="0.25">
      <c r="B1471" s="3" t="b">
        <v>0</v>
      </c>
    </row>
    <row r="1472" spans="2:2" ht="13.2" x14ac:dyDescent="0.25">
      <c r="B1472" s="3" t="b">
        <v>0</v>
      </c>
    </row>
    <row r="1473" spans="2:2" ht="13.2" x14ac:dyDescent="0.25">
      <c r="B1473" s="3" t="b">
        <v>0</v>
      </c>
    </row>
    <row r="1474" spans="2:2" ht="13.2" x14ac:dyDescent="0.25">
      <c r="B1474" s="3" t="b">
        <v>0</v>
      </c>
    </row>
    <row r="1475" spans="2:2" ht="13.2" x14ac:dyDescent="0.25">
      <c r="B1475" s="3" t="b">
        <v>0</v>
      </c>
    </row>
    <row r="1476" spans="2:2" ht="13.2" x14ac:dyDescent="0.25">
      <c r="B1476" s="3" t="b">
        <v>0</v>
      </c>
    </row>
    <row r="1477" spans="2:2" ht="13.2" x14ac:dyDescent="0.25">
      <c r="B1477" s="3" t="b">
        <v>0</v>
      </c>
    </row>
    <row r="1478" spans="2:2" ht="13.2" x14ac:dyDescent="0.25">
      <c r="B1478" s="3" t="b">
        <v>0</v>
      </c>
    </row>
    <row r="1479" spans="2:2" ht="13.2" x14ac:dyDescent="0.25">
      <c r="B1479" s="3" t="b">
        <v>0</v>
      </c>
    </row>
    <row r="1480" spans="2:2" ht="13.2" x14ac:dyDescent="0.25">
      <c r="B1480" s="3" t="b">
        <v>0</v>
      </c>
    </row>
    <row r="1481" spans="2:2" ht="13.2" x14ac:dyDescent="0.25">
      <c r="B1481" s="3" t="b">
        <v>0</v>
      </c>
    </row>
    <row r="1482" spans="2:2" ht="13.2" x14ac:dyDescent="0.25">
      <c r="B1482" s="3" t="b">
        <v>0</v>
      </c>
    </row>
    <row r="1483" spans="2:2" ht="13.2" x14ac:dyDescent="0.25">
      <c r="B1483" s="3" t="b">
        <v>0</v>
      </c>
    </row>
    <row r="1484" spans="2:2" ht="13.2" x14ac:dyDescent="0.25">
      <c r="B1484" s="3" t="b">
        <v>0</v>
      </c>
    </row>
    <row r="1485" spans="2:2" ht="13.2" x14ac:dyDescent="0.25">
      <c r="B1485" s="3" t="b">
        <v>0</v>
      </c>
    </row>
    <row r="1486" spans="2:2" ht="13.2" x14ac:dyDescent="0.25">
      <c r="B1486" s="3" t="b">
        <v>0</v>
      </c>
    </row>
    <row r="1487" spans="2:2" ht="13.2" x14ac:dyDescent="0.25">
      <c r="B1487" s="3" t="b">
        <v>0</v>
      </c>
    </row>
    <row r="1488" spans="2:2" ht="13.2" x14ac:dyDescent="0.25">
      <c r="B1488" s="3" t="b">
        <v>0</v>
      </c>
    </row>
    <row r="1489" spans="2:2" ht="13.2" x14ac:dyDescent="0.25">
      <c r="B1489" s="3" t="b">
        <v>0</v>
      </c>
    </row>
    <row r="1490" spans="2:2" ht="13.2" x14ac:dyDescent="0.25">
      <c r="B1490" s="3" t="b">
        <v>0</v>
      </c>
    </row>
    <row r="1491" spans="2:2" ht="13.2" x14ac:dyDescent="0.25">
      <c r="B1491" s="3" t="b">
        <v>0</v>
      </c>
    </row>
    <row r="1492" spans="2:2" ht="13.2" x14ac:dyDescent="0.25">
      <c r="B1492" s="3" t="b">
        <v>0</v>
      </c>
    </row>
    <row r="1493" spans="2:2" ht="13.2" x14ac:dyDescent="0.25">
      <c r="B1493" s="3" t="b">
        <v>0</v>
      </c>
    </row>
    <row r="1494" spans="2:2" ht="13.2" x14ac:dyDescent="0.25">
      <c r="B1494" s="3" t="b">
        <v>0</v>
      </c>
    </row>
    <row r="1495" spans="2:2" ht="13.2" x14ac:dyDescent="0.25">
      <c r="B1495" s="3" t="b">
        <v>0</v>
      </c>
    </row>
    <row r="1496" spans="2:2" ht="13.2" x14ac:dyDescent="0.25">
      <c r="B1496" s="3" t="b">
        <v>0</v>
      </c>
    </row>
    <row r="1497" spans="2:2" ht="13.2" x14ac:dyDescent="0.25">
      <c r="B1497" s="3" t="b">
        <v>0</v>
      </c>
    </row>
    <row r="1498" spans="2:2" ht="13.2" x14ac:dyDescent="0.25">
      <c r="B1498" s="3" t="b">
        <v>0</v>
      </c>
    </row>
    <row r="1499" spans="2:2" ht="13.2" x14ac:dyDescent="0.25">
      <c r="B1499" s="3" t="b">
        <v>0</v>
      </c>
    </row>
    <row r="1500" spans="2:2" ht="13.2" x14ac:dyDescent="0.25">
      <c r="B1500" s="3" t="b">
        <v>0</v>
      </c>
    </row>
    <row r="1501" spans="2:2" ht="13.2" x14ac:dyDescent="0.25">
      <c r="B1501" s="3" t="b">
        <v>0</v>
      </c>
    </row>
    <row r="1502" spans="2:2" ht="13.2" x14ac:dyDescent="0.25">
      <c r="B1502" s="3" t="b">
        <v>0</v>
      </c>
    </row>
    <row r="1503" spans="2:2" ht="13.2" x14ac:dyDescent="0.25">
      <c r="B1503" s="3" t="b">
        <v>0</v>
      </c>
    </row>
    <row r="1504" spans="2:2" ht="13.2" x14ac:dyDescent="0.25">
      <c r="B1504" s="3" t="b">
        <v>0</v>
      </c>
    </row>
    <row r="1505" spans="2:2" ht="13.2" x14ac:dyDescent="0.25">
      <c r="B1505" s="3" t="b">
        <v>0</v>
      </c>
    </row>
    <row r="1506" spans="2:2" ht="13.2" x14ac:dyDescent="0.25">
      <c r="B1506" s="3" t="b">
        <v>0</v>
      </c>
    </row>
    <row r="1507" spans="2:2" ht="13.2" x14ac:dyDescent="0.25">
      <c r="B1507" s="3" t="b">
        <v>0</v>
      </c>
    </row>
    <row r="1508" spans="2:2" ht="13.2" x14ac:dyDescent="0.25">
      <c r="B1508" s="3" t="b">
        <v>0</v>
      </c>
    </row>
    <row r="1509" spans="2:2" ht="13.2" x14ac:dyDescent="0.25">
      <c r="B1509" s="3" t="b">
        <v>0</v>
      </c>
    </row>
    <row r="1510" spans="2:2" ht="13.2" x14ac:dyDescent="0.25">
      <c r="B1510" s="3" t="b">
        <v>0</v>
      </c>
    </row>
    <row r="1511" spans="2:2" ht="13.2" x14ac:dyDescent="0.25">
      <c r="B1511" s="3" t="b">
        <v>0</v>
      </c>
    </row>
    <row r="1512" spans="2:2" ht="13.2" x14ac:dyDescent="0.25">
      <c r="B1512" s="3" t="b">
        <v>0</v>
      </c>
    </row>
    <row r="1513" spans="2:2" ht="13.2" x14ac:dyDescent="0.25">
      <c r="B1513" s="3" t="b">
        <v>0</v>
      </c>
    </row>
    <row r="1514" spans="2:2" ht="13.2" x14ac:dyDescent="0.25">
      <c r="B1514" s="3" t="b">
        <v>0</v>
      </c>
    </row>
    <row r="1515" spans="2:2" ht="13.2" x14ac:dyDescent="0.25">
      <c r="B1515" s="3" t="b">
        <v>0</v>
      </c>
    </row>
    <row r="1516" spans="2:2" ht="13.2" x14ac:dyDescent="0.25">
      <c r="B1516" s="3" t="b">
        <v>0</v>
      </c>
    </row>
    <row r="1517" spans="2:2" ht="13.2" x14ac:dyDescent="0.25">
      <c r="B1517" s="3" t="b">
        <v>0</v>
      </c>
    </row>
    <row r="1518" spans="2:2" ht="13.2" x14ac:dyDescent="0.25">
      <c r="B1518" s="3" t="b">
        <v>0</v>
      </c>
    </row>
    <row r="1519" spans="2:2" ht="13.2" x14ac:dyDescent="0.25">
      <c r="B1519" s="3" t="b">
        <v>0</v>
      </c>
    </row>
    <row r="1520" spans="2:2" ht="13.2" x14ac:dyDescent="0.25">
      <c r="B1520" s="3" t="b">
        <v>0</v>
      </c>
    </row>
    <row r="1521" spans="2:2" ht="13.2" x14ac:dyDescent="0.25">
      <c r="B1521" s="3" t="b">
        <v>0</v>
      </c>
    </row>
    <row r="1522" spans="2:2" ht="13.2" x14ac:dyDescent="0.25">
      <c r="B1522" s="3" t="b">
        <v>0</v>
      </c>
    </row>
    <row r="1523" spans="2:2" ht="13.2" x14ac:dyDescent="0.25">
      <c r="B1523" s="3" t="b">
        <v>0</v>
      </c>
    </row>
    <row r="1524" spans="2:2" ht="13.2" x14ac:dyDescent="0.25">
      <c r="B1524" s="3" t="b">
        <v>0</v>
      </c>
    </row>
    <row r="1525" spans="2:2" ht="13.2" x14ac:dyDescent="0.25">
      <c r="B1525" s="3" t="b">
        <v>0</v>
      </c>
    </row>
    <row r="1526" spans="2:2" ht="13.2" x14ac:dyDescent="0.25">
      <c r="B1526" s="3" t="b">
        <v>0</v>
      </c>
    </row>
    <row r="1527" spans="2:2" ht="13.2" x14ac:dyDescent="0.25">
      <c r="B1527" s="3" t="b">
        <v>0</v>
      </c>
    </row>
    <row r="1528" spans="2:2" ht="13.2" x14ac:dyDescent="0.25">
      <c r="B1528" s="3" t="b">
        <v>0</v>
      </c>
    </row>
    <row r="1529" spans="2:2" ht="13.2" x14ac:dyDescent="0.25">
      <c r="B1529" s="3" t="b">
        <v>0</v>
      </c>
    </row>
    <row r="1530" spans="2:2" ht="13.2" x14ac:dyDescent="0.25">
      <c r="B1530" s="3" t="b">
        <v>0</v>
      </c>
    </row>
    <row r="1531" spans="2:2" ht="13.2" x14ac:dyDescent="0.25">
      <c r="B1531" s="3" t="b">
        <v>0</v>
      </c>
    </row>
    <row r="1532" spans="2:2" ht="13.2" x14ac:dyDescent="0.25">
      <c r="B1532" s="3" t="b">
        <v>0</v>
      </c>
    </row>
    <row r="1533" spans="2:2" ht="13.2" x14ac:dyDescent="0.25">
      <c r="B1533" s="3" t="b">
        <v>0</v>
      </c>
    </row>
    <row r="1534" spans="2:2" ht="13.2" x14ac:dyDescent="0.25">
      <c r="B1534" s="3" t="b">
        <v>0</v>
      </c>
    </row>
    <row r="1535" spans="2:2" ht="13.2" x14ac:dyDescent="0.25">
      <c r="B1535" s="3" t="b">
        <v>0</v>
      </c>
    </row>
    <row r="1536" spans="2:2" ht="13.2" x14ac:dyDescent="0.25">
      <c r="B1536" s="3" t="b">
        <v>0</v>
      </c>
    </row>
    <row r="1537" spans="2:2" ht="13.2" x14ac:dyDescent="0.25">
      <c r="B1537" s="3" t="b">
        <v>0</v>
      </c>
    </row>
    <row r="1538" spans="2:2" ht="13.2" x14ac:dyDescent="0.25">
      <c r="B1538" s="3" t="b">
        <v>0</v>
      </c>
    </row>
    <row r="1539" spans="2:2" ht="13.2" x14ac:dyDescent="0.25">
      <c r="B1539" s="3" t="b">
        <v>0</v>
      </c>
    </row>
    <row r="1540" spans="2:2" ht="13.2" x14ac:dyDescent="0.25">
      <c r="B1540" s="3" t="b">
        <v>0</v>
      </c>
    </row>
    <row r="1541" spans="2:2" ht="13.2" x14ac:dyDescent="0.25">
      <c r="B1541" s="3" t="b">
        <v>0</v>
      </c>
    </row>
    <row r="1542" spans="2:2" ht="13.2" x14ac:dyDescent="0.25">
      <c r="B1542" s="3" t="b">
        <v>0</v>
      </c>
    </row>
    <row r="1543" spans="2:2" ht="13.2" x14ac:dyDescent="0.25">
      <c r="B1543" s="3" t="b">
        <v>0</v>
      </c>
    </row>
    <row r="1544" spans="2:2" ht="13.2" x14ac:dyDescent="0.25">
      <c r="B1544" s="3" t="b">
        <v>0</v>
      </c>
    </row>
    <row r="1545" spans="2:2" ht="13.2" x14ac:dyDescent="0.25">
      <c r="B1545" s="3" t="b">
        <v>0</v>
      </c>
    </row>
    <row r="1546" spans="2:2" ht="13.2" x14ac:dyDescent="0.25">
      <c r="B1546" s="3" t="b">
        <v>0</v>
      </c>
    </row>
    <row r="1547" spans="2:2" ht="13.2" x14ac:dyDescent="0.25">
      <c r="B1547" s="3" t="b">
        <v>0</v>
      </c>
    </row>
    <row r="1548" spans="2:2" ht="13.2" x14ac:dyDescent="0.25">
      <c r="B1548" s="3" t="b">
        <v>0</v>
      </c>
    </row>
    <row r="1549" spans="2:2" ht="13.2" x14ac:dyDescent="0.25">
      <c r="B1549" s="3" t="b">
        <v>0</v>
      </c>
    </row>
    <row r="1550" spans="2:2" ht="13.2" x14ac:dyDescent="0.25">
      <c r="B1550" s="3" t="b">
        <v>0</v>
      </c>
    </row>
    <row r="1551" spans="2:2" ht="13.2" x14ac:dyDescent="0.25">
      <c r="B1551" s="3" t="b">
        <v>0</v>
      </c>
    </row>
    <row r="1552" spans="2:2" ht="13.2" x14ac:dyDescent="0.25">
      <c r="B1552" s="3" t="b">
        <v>0</v>
      </c>
    </row>
    <row r="1553" spans="2:2" ht="13.2" x14ac:dyDescent="0.25">
      <c r="B1553" s="3" t="b">
        <v>0</v>
      </c>
    </row>
    <row r="1554" spans="2:2" ht="13.2" x14ac:dyDescent="0.25">
      <c r="B1554" s="3" t="b">
        <v>0</v>
      </c>
    </row>
    <row r="1555" spans="2:2" ht="13.2" x14ac:dyDescent="0.25">
      <c r="B1555" s="3" t="b">
        <v>0</v>
      </c>
    </row>
    <row r="1556" spans="2:2" ht="13.2" x14ac:dyDescent="0.25">
      <c r="B1556" s="3" t="b">
        <v>0</v>
      </c>
    </row>
    <row r="1557" spans="2:2" ht="13.2" x14ac:dyDescent="0.25">
      <c r="B1557" s="3" t="b">
        <v>0</v>
      </c>
    </row>
    <row r="1558" spans="2:2" ht="13.2" x14ac:dyDescent="0.25">
      <c r="B1558" s="3" t="b">
        <v>0</v>
      </c>
    </row>
    <row r="1559" spans="2:2" ht="13.2" x14ac:dyDescent="0.25">
      <c r="B1559" s="3" t="b">
        <v>0</v>
      </c>
    </row>
    <row r="1560" spans="2:2" ht="13.2" x14ac:dyDescent="0.25">
      <c r="B1560" s="3" t="b">
        <v>0</v>
      </c>
    </row>
    <row r="1561" spans="2:2" ht="13.2" x14ac:dyDescent="0.25">
      <c r="B1561" s="3" t="b">
        <v>0</v>
      </c>
    </row>
    <row r="1562" spans="2:2" ht="13.2" x14ac:dyDescent="0.25">
      <c r="B1562" s="3" t="b">
        <v>0</v>
      </c>
    </row>
    <row r="1563" spans="2:2" ht="13.2" x14ac:dyDescent="0.25">
      <c r="B1563" s="3" t="b">
        <v>0</v>
      </c>
    </row>
    <row r="1564" spans="2:2" ht="13.2" x14ac:dyDescent="0.25">
      <c r="B1564" s="3" t="b">
        <v>0</v>
      </c>
    </row>
    <row r="1565" spans="2:2" ht="13.2" x14ac:dyDescent="0.25">
      <c r="B1565" s="3" t="b">
        <v>0</v>
      </c>
    </row>
    <row r="1566" spans="2:2" ht="13.2" x14ac:dyDescent="0.25">
      <c r="B1566" s="3" t="b">
        <v>0</v>
      </c>
    </row>
    <row r="1567" spans="2:2" ht="13.2" x14ac:dyDescent="0.25">
      <c r="B1567" s="3" t="b">
        <v>0</v>
      </c>
    </row>
    <row r="1568" spans="2:2" ht="13.2" x14ac:dyDescent="0.25">
      <c r="B1568" s="3" t="b">
        <v>0</v>
      </c>
    </row>
    <row r="1569" spans="2:2" ht="13.2" x14ac:dyDescent="0.25">
      <c r="B1569" s="3" t="b">
        <v>0</v>
      </c>
    </row>
    <row r="1570" spans="2:2" ht="13.2" x14ac:dyDescent="0.25">
      <c r="B1570" s="3" t="b">
        <v>0</v>
      </c>
    </row>
    <row r="1571" spans="2:2" ht="13.2" x14ac:dyDescent="0.25">
      <c r="B1571" s="3" t="b">
        <v>0</v>
      </c>
    </row>
    <row r="1572" spans="2:2" ht="13.2" x14ac:dyDescent="0.25">
      <c r="B1572" s="3" t="b">
        <v>0</v>
      </c>
    </row>
    <row r="1573" spans="2:2" ht="13.2" x14ac:dyDescent="0.25">
      <c r="B1573" s="3" t="b">
        <v>0</v>
      </c>
    </row>
    <row r="1574" spans="2:2" ht="13.2" x14ac:dyDescent="0.25">
      <c r="B1574" s="3" t="b">
        <v>0</v>
      </c>
    </row>
    <row r="1575" spans="2:2" ht="13.2" x14ac:dyDescent="0.25">
      <c r="B1575" s="3" t="b">
        <v>0</v>
      </c>
    </row>
    <row r="1576" spans="2:2" ht="13.2" x14ac:dyDescent="0.25">
      <c r="B1576" s="3" t="b">
        <v>0</v>
      </c>
    </row>
    <row r="1577" spans="2:2" ht="13.2" x14ac:dyDescent="0.25">
      <c r="B1577" s="3" t="b">
        <v>0</v>
      </c>
    </row>
    <row r="1578" spans="2:2" ht="13.2" x14ac:dyDescent="0.25">
      <c r="B1578" s="3" t="b">
        <v>0</v>
      </c>
    </row>
    <row r="1579" spans="2:2" ht="13.2" x14ac:dyDescent="0.25">
      <c r="B1579" s="3" t="b">
        <v>0</v>
      </c>
    </row>
    <row r="1580" spans="2:2" ht="13.2" x14ac:dyDescent="0.25">
      <c r="B1580" s="3" t="b">
        <v>0</v>
      </c>
    </row>
    <row r="1581" spans="2:2" ht="13.2" x14ac:dyDescent="0.25">
      <c r="B1581" s="3" t="b">
        <v>0</v>
      </c>
    </row>
    <row r="1582" spans="2:2" ht="13.2" x14ac:dyDescent="0.25">
      <c r="B1582" s="3" t="b">
        <v>0</v>
      </c>
    </row>
    <row r="1583" spans="2:2" ht="13.2" x14ac:dyDescent="0.25">
      <c r="B1583" s="3" t="b">
        <v>0</v>
      </c>
    </row>
    <row r="1584" spans="2:2" ht="13.2" x14ac:dyDescent="0.25">
      <c r="B1584" s="3" t="b">
        <v>0</v>
      </c>
    </row>
    <row r="1585" spans="2:2" ht="13.2" x14ac:dyDescent="0.25">
      <c r="B1585" s="3" t="b">
        <v>0</v>
      </c>
    </row>
    <row r="1586" spans="2:2" ht="13.2" x14ac:dyDescent="0.25">
      <c r="B1586" s="3" t="b">
        <v>0</v>
      </c>
    </row>
    <row r="1587" spans="2:2" ht="13.2" x14ac:dyDescent="0.25">
      <c r="B1587" s="3" t="b">
        <v>0</v>
      </c>
    </row>
    <row r="1588" spans="2:2" ht="13.2" x14ac:dyDescent="0.25">
      <c r="B1588" s="3" t="b">
        <v>0</v>
      </c>
    </row>
    <row r="1589" spans="2:2" ht="13.2" x14ac:dyDescent="0.25">
      <c r="B1589" s="3" t="b">
        <v>0</v>
      </c>
    </row>
    <row r="1590" spans="2:2" ht="13.2" x14ac:dyDescent="0.25">
      <c r="B1590" s="3" t="b">
        <v>0</v>
      </c>
    </row>
    <row r="1591" spans="2:2" ht="13.2" x14ac:dyDescent="0.25">
      <c r="B1591" s="3" t="b">
        <v>0</v>
      </c>
    </row>
    <row r="1592" spans="2:2" ht="13.2" x14ac:dyDescent="0.25">
      <c r="B1592" s="3" t="b">
        <v>0</v>
      </c>
    </row>
    <row r="1593" spans="2:2" ht="13.2" x14ac:dyDescent="0.25">
      <c r="B1593" s="3" t="b">
        <v>0</v>
      </c>
    </row>
    <row r="1594" spans="2:2" ht="13.2" x14ac:dyDescent="0.25">
      <c r="B1594" s="3" t="b">
        <v>0</v>
      </c>
    </row>
    <row r="1595" spans="2:2" ht="13.2" x14ac:dyDescent="0.25">
      <c r="B1595" s="3" t="b">
        <v>0</v>
      </c>
    </row>
    <row r="1596" spans="2:2" ht="13.2" x14ac:dyDescent="0.25">
      <c r="B1596" s="3" t="b">
        <v>0</v>
      </c>
    </row>
    <row r="1597" spans="2:2" ht="13.2" x14ac:dyDescent="0.25">
      <c r="B1597" s="3" t="b">
        <v>0</v>
      </c>
    </row>
    <row r="1598" spans="2:2" ht="13.2" x14ac:dyDescent="0.25">
      <c r="B1598" s="3" t="b">
        <v>0</v>
      </c>
    </row>
    <row r="1599" spans="2:2" ht="13.2" x14ac:dyDescent="0.25">
      <c r="B1599" s="3" t="b">
        <v>0</v>
      </c>
    </row>
    <row r="1600" spans="2:2" ht="13.2" x14ac:dyDescent="0.25">
      <c r="B1600" s="3" t="b">
        <v>0</v>
      </c>
    </row>
    <row r="1601" spans="2:2" ht="13.2" x14ac:dyDescent="0.25">
      <c r="B1601" s="3" t="b">
        <v>0</v>
      </c>
    </row>
    <row r="1602" spans="2:2" ht="13.2" x14ac:dyDescent="0.25">
      <c r="B1602" s="3" t="b">
        <v>0</v>
      </c>
    </row>
    <row r="1603" spans="2:2" ht="13.2" x14ac:dyDescent="0.25">
      <c r="B1603" s="3" t="b">
        <v>0</v>
      </c>
    </row>
    <row r="1604" spans="2:2" ht="13.2" x14ac:dyDescent="0.25">
      <c r="B1604" s="3" t="b">
        <v>0</v>
      </c>
    </row>
    <row r="1605" spans="2:2" ht="13.2" x14ac:dyDescent="0.25">
      <c r="B1605" s="3" t="b">
        <v>0</v>
      </c>
    </row>
    <row r="1606" spans="2:2" ht="13.2" x14ac:dyDescent="0.25">
      <c r="B1606" s="3" t="b">
        <v>0</v>
      </c>
    </row>
    <row r="1607" spans="2:2" ht="13.2" x14ac:dyDescent="0.25">
      <c r="B1607" s="3" t="b">
        <v>0</v>
      </c>
    </row>
    <row r="1608" spans="2:2" ht="13.2" x14ac:dyDescent="0.25">
      <c r="B1608" s="3" t="b">
        <v>0</v>
      </c>
    </row>
    <row r="1609" spans="2:2" ht="13.2" x14ac:dyDescent="0.25">
      <c r="B1609" s="3" t="b">
        <v>0</v>
      </c>
    </row>
    <row r="1610" spans="2:2" ht="13.2" x14ac:dyDescent="0.25">
      <c r="B1610" s="3" t="b">
        <v>0</v>
      </c>
    </row>
    <row r="1611" spans="2:2" ht="13.2" x14ac:dyDescent="0.25">
      <c r="B1611" s="3" t="b">
        <v>0</v>
      </c>
    </row>
    <row r="1612" spans="2:2" ht="13.2" x14ac:dyDescent="0.25">
      <c r="B1612" s="3" t="b">
        <v>0</v>
      </c>
    </row>
    <row r="1613" spans="2:2" ht="13.2" x14ac:dyDescent="0.25">
      <c r="B1613" s="3" t="b">
        <v>0</v>
      </c>
    </row>
    <row r="1614" spans="2:2" ht="13.2" x14ac:dyDescent="0.25">
      <c r="B1614" s="3" t="b">
        <v>0</v>
      </c>
    </row>
    <row r="1615" spans="2:2" ht="13.2" x14ac:dyDescent="0.25">
      <c r="B1615" s="3" t="b">
        <v>0</v>
      </c>
    </row>
    <row r="1616" spans="2:2" ht="13.2" x14ac:dyDescent="0.25">
      <c r="B1616" s="3" t="b">
        <v>0</v>
      </c>
    </row>
    <row r="1617" spans="2:2" ht="13.2" x14ac:dyDescent="0.25">
      <c r="B1617" s="3" t="b">
        <v>0</v>
      </c>
    </row>
    <row r="1618" spans="2:2" ht="13.2" x14ac:dyDescent="0.25">
      <c r="B1618" s="3" t="b">
        <v>0</v>
      </c>
    </row>
    <row r="1619" spans="2:2" ht="13.2" x14ac:dyDescent="0.25">
      <c r="B1619" s="3" t="b">
        <v>0</v>
      </c>
    </row>
    <row r="1620" spans="2:2" ht="13.2" x14ac:dyDescent="0.25">
      <c r="B1620" s="3" t="b">
        <v>0</v>
      </c>
    </row>
    <row r="1621" spans="2:2" ht="13.2" x14ac:dyDescent="0.25">
      <c r="B1621" s="3" t="b">
        <v>0</v>
      </c>
    </row>
    <row r="1622" spans="2:2" ht="13.2" x14ac:dyDescent="0.25">
      <c r="B1622" s="3" t="b">
        <v>0</v>
      </c>
    </row>
    <row r="1623" spans="2:2" ht="13.2" x14ac:dyDescent="0.25">
      <c r="B1623" s="3" t="b">
        <v>0</v>
      </c>
    </row>
    <row r="1624" spans="2:2" ht="13.2" x14ac:dyDescent="0.25">
      <c r="B1624" s="3" t="b">
        <v>0</v>
      </c>
    </row>
    <row r="1625" spans="2:2" ht="13.2" x14ac:dyDescent="0.25">
      <c r="B1625" s="3" t="b">
        <v>0</v>
      </c>
    </row>
    <row r="1626" spans="2:2" ht="13.2" x14ac:dyDescent="0.25">
      <c r="B1626" s="3" t="b">
        <v>0</v>
      </c>
    </row>
    <row r="1627" spans="2:2" ht="13.2" x14ac:dyDescent="0.25">
      <c r="B1627" s="3" t="b">
        <v>0</v>
      </c>
    </row>
    <row r="1628" spans="2:2" ht="13.2" x14ac:dyDescent="0.25">
      <c r="B1628" s="3" t="b">
        <v>0</v>
      </c>
    </row>
    <row r="1629" spans="2:2" ht="13.2" x14ac:dyDescent="0.25">
      <c r="B1629" s="3" t="b">
        <v>0</v>
      </c>
    </row>
    <row r="1630" spans="2:2" ht="13.2" x14ac:dyDescent="0.25">
      <c r="B1630" s="3" t="b">
        <v>0</v>
      </c>
    </row>
    <row r="1631" spans="2:2" ht="13.2" x14ac:dyDescent="0.25">
      <c r="B1631" s="3" t="b">
        <v>0</v>
      </c>
    </row>
    <row r="1632" spans="2:2" ht="13.2" x14ac:dyDescent="0.25">
      <c r="B1632" s="3" t="b">
        <v>0</v>
      </c>
    </row>
    <row r="1633" spans="2:2" ht="13.2" x14ac:dyDescent="0.25">
      <c r="B1633" s="3" t="b">
        <v>0</v>
      </c>
    </row>
    <row r="1634" spans="2:2" ht="13.2" x14ac:dyDescent="0.25">
      <c r="B1634" s="3" t="b">
        <v>0</v>
      </c>
    </row>
    <row r="1635" spans="2:2" ht="13.2" x14ac:dyDescent="0.25">
      <c r="B1635" s="3" t="b">
        <v>0</v>
      </c>
    </row>
    <row r="1636" spans="2:2" ht="13.2" x14ac:dyDescent="0.25">
      <c r="B1636" s="3" t="b">
        <v>0</v>
      </c>
    </row>
    <row r="1637" spans="2:2" ht="13.2" x14ac:dyDescent="0.25">
      <c r="B1637" s="3" t="b">
        <v>0</v>
      </c>
    </row>
    <row r="1638" spans="2:2" ht="13.2" x14ac:dyDescent="0.25">
      <c r="B1638" s="3" t="b">
        <v>0</v>
      </c>
    </row>
    <row r="1639" spans="2:2" ht="13.2" x14ac:dyDescent="0.25">
      <c r="B1639" s="3" t="b">
        <v>0</v>
      </c>
    </row>
    <row r="1640" spans="2:2" ht="13.2" x14ac:dyDescent="0.25">
      <c r="B1640" s="3" t="b">
        <v>0</v>
      </c>
    </row>
    <row r="1641" spans="2:2" ht="13.2" x14ac:dyDescent="0.25">
      <c r="B1641" s="3" t="b">
        <v>0</v>
      </c>
    </row>
    <row r="1642" spans="2:2" ht="13.2" x14ac:dyDescent="0.25">
      <c r="B1642" s="3" t="b">
        <v>0</v>
      </c>
    </row>
    <row r="1643" spans="2:2" ht="13.2" x14ac:dyDescent="0.25">
      <c r="B1643" s="3" t="b">
        <v>0</v>
      </c>
    </row>
    <row r="1644" spans="2:2" ht="13.2" x14ac:dyDescent="0.25">
      <c r="B1644" s="3" t="b">
        <v>0</v>
      </c>
    </row>
    <row r="1645" spans="2:2" ht="13.2" x14ac:dyDescent="0.25">
      <c r="B1645" s="3" t="b">
        <v>0</v>
      </c>
    </row>
    <row r="1646" spans="2:2" ht="13.2" x14ac:dyDescent="0.25">
      <c r="B1646" s="3" t="b">
        <v>0</v>
      </c>
    </row>
    <row r="1647" spans="2:2" ht="13.2" x14ac:dyDescent="0.25">
      <c r="B1647" s="3" t="b">
        <v>0</v>
      </c>
    </row>
    <row r="1648" spans="2:2" ht="13.2" x14ac:dyDescent="0.25">
      <c r="B1648" s="3" t="b">
        <v>0</v>
      </c>
    </row>
    <row r="1649" spans="2:2" ht="13.2" x14ac:dyDescent="0.25">
      <c r="B1649" s="3" t="b">
        <v>0</v>
      </c>
    </row>
    <row r="1650" spans="2:2" ht="13.2" x14ac:dyDescent="0.25">
      <c r="B1650" s="3" t="b">
        <v>0</v>
      </c>
    </row>
    <row r="1651" spans="2:2" ht="13.2" x14ac:dyDescent="0.25">
      <c r="B1651" s="3" t="b">
        <v>0</v>
      </c>
    </row>
    <row r="1652" spans="2:2" ht="13.2" x14ac:dyDescent="0.25">
      <c r="B1652" s="3" t="b">
        <v>0</v>
      </c>
    </row>
    <row r="1653" spans="2:2" ht="13.2" x14ac:dyDescent="0.25">
      <c r="B1653" s="3" t="b">
        <v>0</v>
      </c>
    </row>
    <row r="1654" spans="2:2" ht="13.2" x14ac:dyDescent="0.25">
      <c r="B1654" s="3" t="b">
        <v>0</v>
      </c>
    </row>
    <row r="1655" spans="2:2" ht="13.2" x14ac:dyDescent="0.25">
      <c r="B1655" s="3" t="b">
        <v>0</v>
      </c>
    </row>
    <row r="1656" spans="2:2" ht="13.2" x14ac:dyDescent="0.25">
      <c r="B1656" s="3" t="b">
        <v>0</v>
      </c>
    </row>
    <row r="1657" spans="2:2" ht="13.2" x14ac:dyDescent="0.25">
      <c r="B1657" s="3" t="b">
        <v>0</v>
      </c>
    </row>
    <row r="1658" spans="2:2" ht="13.2" x14ac:dyDescent="0.25">
      <c r="B1658" s="3" t="b">
        <v>0</v>
      </c>
    </row>
    <row r="1659" spans="2:2" ht="13.2" x14ac:dyDescent="0.25">
      <c r="B1659" s="3" t="b">
        <v>0</v>
      </c>
    </row>
    <row r="1660" spans="2:2" ht="13.2" x14ac:dyDescent="0.25">
      <c r="B1660" s="3" t="b">
        <v>0</v>
      </c>
    </row>
    <row r="1661" spans="2:2" ht="13.2" x14ac:dyDescent="0.25">
      <c r="B1661" s="3" t="b">
        <v>0</v>
      </c>
    </row>
    <row r="1662" spans="2:2" ht="13.2" x14ac:dyDescent="0.25">
      <c r="B1662" s="3" t="b">
        <v>0</v>
      </c>
    </row>
    <row r="1663" spans="2:2" ht="13.2" x14ac:dyDescent="0.25">
      <c r="B1663" s="3" t="b">
        <v>0</v>
      </c>
    </row>
    <row r="1664" spans="2:2" ht="13.2" x14ac:dyDescent="0.25">
      <c r="B1664" s="3" t="b">
        <v>0</v>
      </c>
    </row>
    <row r="1665" spans="2:2" ht="13.2" x14ac:dyDescent="0.25">
      <c r="B1665" s="3" t="b">
        <v>0</v>
      </c>
    </row>
    <row r="1666" spans="2:2" ht="13.2" x14ac:dyDescent="0.25">
      <c r="B1666" s="3" t="b">
        <v>0</v>
      </c>
    </row>
    <row r="1667" spans="2:2" ht="13.2" x14ac:dyDescent="0.25">
      <c r="B1667" s="3" t="b">
        <v>0</v>
      </c>
    </row>
    <row r="1668" spans="2:2" ht="13.2" x14ac:dyDescent="0.25">
      <c r="B1668" s="3" t="b">
        <v>0</v>
      </c>
    </row>
    <row r="1669" spans="2:2" ht="13.2" x14ac:dyDescent="0.25">
      <c r="B1669" s="3" t="b">
        <v>0</v>
      </c>
    </row>
    <row r="1670" spans="2:2" ht="13.2" x14ac:dyDescent="0.25">
      <c r="B1670" s="3" t="b">
        <v>0</v>
      </c>
    </row>
    <row r="1671" spans="2:2" ht="13.2" x14ac:dyDescent="0.25">
      <c r="B1671" s="3" t="b">
        <v>0</v>
      </c>
    </row>
    <row r="1672" spans="2:2" ht="13.2" x14ac:dyDescent="0.25">
      <c r="B1672" s="3" t="b">
        <v>0</v>
      </c>
    </row>
    <row r="1673" spans="2:2" ht="13.2" x14ac:dyDescent="0.25">
      <c r="B1673" s="3" t="b">
        <v>0</v>
      </c>
    </row>
    <row r="1674" spans="2:2" ht="13.2" x14ac:dyDescent="0.25">
      <c r="B1674" s="3" t="b">
        <v>0</v>
      </c>
    </row>
    <row r="1675" spans="2:2" ht="13.2" x14ac:dyDescent="0.25">
      <c r="B1675" s="3" t="b">
        <v>0</v>
      </c>
    </row>
    <row r="1676" spans="2:2" ht="13.2" x14ac:dyDescent="0.25">
      <c r="B1676" s="3" t="b">
        <v>0</v>
      </c>
    </row>
    <row r="1677" spans="2:2" ht="13.2" x14ac:dyDescent="0.25">
      <c r="B1677" s="3" t="b">
        <v>0</v>
      </c>
    </row>
    <row r="1678" spans="2:2" ht="13.2" x14ac:dyDescent="0.25">
      <c r="B1678" s="3" t="b">
        <v>0</v>
      </c>
    </row>
    <row r="1679" spans="2:2" ht="13.2" x14ac:dyDescent="0.25">
      <c r="B1679" s="3" t="b">
        <v>0</v>
      </c>
    </row>
    <row r="1680" spans="2:2" ht="13.2" x14ac:dyDescent="0.25">
      <c r="B1680" s="3" t="b">
        <v>0</v>
      </c>
    </row>
    <row r="1681" spans="2:2" ht="13.2" x14ac:dyDescent="0.25">
      <c r="B1681" s="3" t="b">
        <v>0</v>
      </c>
    </row>
    <row r="1682" spans="2:2" ht="13.2" x14ac:dyDescent="0.25">
      <c r="B1682" s="3" t="b">
        <v>0</v>
      </c>
    </row>
    <row r="1683" spans="2:2" ht="13.2" x14ac:dyDescent="0.25">
      <c r="B1683" s="3" t="b">
        <v>0</v>
      </c>
    </row>
    <row r="1684" spans="2:2" ht="13.2" x14ac:dyDescent="0.25">
      <c r="B1684" s="3" t="b">
        <v>0</v>
      </c>
    </row>
    <row r="1685" spans="2:2" ht="13.2" x14ac:dyDescent="0.25">
      <c r="B1685" s="3" t="b">
        <v>0</v>
      </c>
    </row>
    <row r="1686" spans="2:2" ht="13.2" x14ac:dyDescent="0.25">
      <c r="B1686" s="3" t="b">
        <v>0</v>
      </c>
    </row>
    <row r="1687" spans="2:2" ht="13.2" x14ac:dyDescent="0.25">
      <c r="B1687" s="3" t="b">
        <v>0</v>
      </c>
    </row>
    <row r="1688" spans="2:2" ht="13.2" x14ac:dyDescent="0.25">
      <c r="B1688" s="3" t="b">
        <v>0</v>
      </c>
    </row>
    <row r="1689" spans="2:2" ht="13.2" x14ac:dyDescent="0.25">
      <c r="B1689" s="3" t="b">
        <v>0</v>
      </c>
    </row>
    <row r="1690" spans="2:2" ht="13.2" x14ac:dyDescent="0.25">
      <c r="B1690" s="3" t="b">
        <v>0</v>
      </c>
    </row>
    <row r="1691" spans="2:2" ht="13.2" x14ac:dyDescent="0.25">
      <c r="B1691" s="3" t="b">
        <v>0</v>
      </c>
    </row>
    <row r="1692" spans="2:2" ht="13.2" x14ac:dyDescent="0.25">
      <c r="B1692" s="3" t="b">
        <v>0</v>
      </c>
    </row>
    <row r="1693" spans="2:2" ht="13.2" x14ac:dyDescent="0.25">
      <c r="B1693" s="3" t="b">
        <v>0</v>
      </c>
    </row>
    <row r="1694" spans="2:2" ht="13.2" x14ac:dyDescent="0.25">
      <c r="B1694" s="3" t="b">
        <v>0</v>
      </c>
    </row>
    <row r="1695" spans="2:2" ht="13.2" x14ac:dyDescent="0.25">
      <c r="B1695" s="3" t="b">
        <v>0</v>
      </c>
    </row>
    <row r="1696" spans="2:2" ht="13.2" x14ac:dyDescent="0.25">
      <c r="B1696" s="3" t="b">
        <v>0</v>
      </c>
    </row>
    <row r="1697" spans="2:2" ht="13.2" x14ac:dyDescent="0.25">
      <c r="B1697" s="3" t="b">
        <v>0</v>
      </c>
    </row>
    <row r="1698" spans="2:2" ht="13.2" x14ac:dyDescent="0.25">
      <c r="B1698" s="3" t="b">
        <v>0</v>
      </c>
    </row>
    <row r="1699" spans="2:2" ht="13.2" x14ac:dyDescent="0.25">
      <c r="B1699" s="3" t="b">
        <v>0</v>
      </c>
    </row>
    <row r="1700" spans="2:2" ht="13.2" x14ac:dyDescent="0.25">
      <c r="B1700" s="3" t="b">
        <v>0</v>
      </c>
    </row>
    <row r="1701" spans="2:2" ht="13.2" x14ac:dyDescent="0.25">
      <c r="B1701" s="3" t="b">
        <v>0</v>
      </c>
    </row>
    <row r="1702" spans="2:2" ht="13.2" x14ac:dyDescent="0.25">
      <c r="B1702" s="3" t="b">
        <v>0</v>
      </c>
    </row>
    <row r="1703" spans="2:2" ht="13.2" x14ac:dyDescent="0.25">
      <c r="B1703" s="3" t="b">
        <v>0</v>
      </c>
    </row>
    <row r="1704" spans="2:2" ht="13.2" x14ac:dyDescent="0.25">
      <c r="B1704" s="3" t="b">
        <v>0</v>
      </c>
    </row>
    <row r="1705" spans="2:2" ht="13.2" x14ac:dyDescent="0.25">
      <c r="B1705" s="3" t="b">
        <v>0</v>
      </c>
    </row>
    <row r="1706" spans="2:2" ht="13.2" x14ac:dyDescent="0.25">
      <c r="B1706" s="3" t="b">
        <v>0</v>
      </c>
    </row>
    <row r="1707" spans="2:2" ht="13.2" x14ac:dyDescent="0.25">
      <c r="B1707" s="3" t="b">
        <v>0</v>
      </c>
    </row>
    <row r="1708" spans="2:2" ht="13.2" x14ac:dyDescent="0.25">
      <c r="B1708" s="3" t="b">
        <v>0</v>
      </c>
    </row>
    <row r="1709" spans="2:2" ht="13.2" x14ac:dyDescent="0.25">
      <c r="B1709" s="3" t="b">
        <v>0</v>
      </c>
    </row>
    <row r="1710" spans="2:2" ht="13.2" x14ac:dyDescent="0.25">
      <c r="B1710" s="3" t="b">
        <v>0</v>
      </c>
    </row>
    <row r="1711" spans="2:2" ht="13.2" x14ac:dyDescent="0.25">
      <c r="B1711" s="3" t="b">
        <v>0</v>
      </c>
    </row>
    <row r="1712" spans="2:2" ht="13.2" x14ac:dyDescent="0.25">
      <c r="B1712" s="3" t="b">
        <v>0</v>
      </c>
    </row>
    <row r="1713" spans="2:2" ht="13.2" x14ac:dyDescent="0.25">
      <c r="B1713" s="3" t="b">
        <v>0</v>
      </c>
    </row>
    <row r="1714" spans="2:2" ht="13.2" x14ac:dyDescent="0.25">
      <c r="B1714" s="3" t="b">
        <v>0</v>
      </c>
    </row>
    <row r="1715" spans="2:2" ht="13.2" x14ac:dyDescent="0.25">
      <c r="B1715" s="3" t="b">
        <v>0</v>
      </c>
    </row>
    <row r="1716" spans="2:2" ht="13.2" x14ac:dyDescent="0.25">
      <c r="B1716" s="3" t="b">
        <v>0</v>
      </c>
    </row>
    <row r="1717" spans="2:2" ht="13.2" x14ac:dyDescent="0.25">
      <c r="B1717" s="3" t="b">
        <v>0</v>
      </c>
    </row>
    <row r="1718" spans="2:2" ht="13.2" x14ac:dyDescent="0.25">
      <c r="B1718" s="3" t="b">
        <v>0</v>
      </c>
    </row>
    <row r="1719" spans="2:2" ht="13.2" x14ac:dyDescent="0.25">
      <c r="B1719" s="3" t="b">
        <v>0</v>
      </c>
    </row>
    <row r="1720" spans="2:2" ht="13.2" x14ac:dyDescent="0.25">
      <c r="B1720" s="3" t="b">
        <v>0</v>
      </c>
    </row>
    <row r="1721" spans="2:2" ht="13.2" x14ac:dyDescent="0.25">
      <c r="B1721" s="3" t="b">
        <v>0</v>
      </c>
    </row>
    <row r="1722" spans="2:2" ht="13.2" x14ac:dyDescent="0.25">
      <c r="B1722" s="3" t="b">
        <v>0</v>
      </c>
    </row>
    <row r="1723" spans="2:2" ht="13.2" x14ac:dyDescent="0.25">
      <c r="B1723" s="3" t="b">
        <v>0</v>
      </c>
    </row>
    <row r="1724" spans="2:2" ht="13.2" x14ac:dyDescent="0.25">
      <c r="B1724" s="3" t="b">
        <v>0</v>
      </c>
    </row>
    <row r="1725" spans="2:2" ht="13.2" x14ac:dyDescent="0.25">
      <c r="B1725" s="3" t="b">
        <v>0</v>
      </c>
    </row>
    <row r="1726" spans="2:2" ht="13.2" x14ac:dyDescent="0.25">
      <c r="B1726" s="3" t="b">
        <v>0</v>
      </c>
    </row>
    <row r="1727" spans="2:2" ht="13.2" x14ac:dyDescent="0.25">
      <c r="B1727" s="3" t="b">
        <v>0</v>
      </c>
    </row>
    <row r="1728" spans="2:2" ht="13.2" x14ac:dyDescent="0.25">
      <c r="B1728" s="3" t="b">
        <v>0</v>
      </c>
    </row>
    <row r="1729" spans="2:2" ht="13.2" x14ac:dyDescent="0.25">
      <c r="B1729" s="3" t="b">
        <v>0</v>
      </c>
    </row>
    <row r="1730" spans="2:2" ht="13.2" x14ac:dyDescent="0.25">
      <c r="B1730" s="3" t="b">
        <v>0</v>
      </c>
    </row>
    <row r="1731" spans="2:2" ht="13.2" x14ac:dyDescent="0.25">
      <c r="B1731" s="3" t="b">
        <v>0</v>
      </c>
    </row>
    <row r="1732" spans="2:2" ht="13.2" x14ac:dyDescent="0.25">
      <c r="B1732" s="3" t="b">
        <v>0</v>
      </c>
    </row>
    <row r="1733" spans="2:2" ht="13.2" x14ac:dyDescent="0.25">
      <c r="B1733" s="3" t="b">
        <v>0</v>
      </c>
    </row>
    <row r="1734" spans="2:2" ht="13.2" x14ac:dyDescent="0.25">
      <c r="B1734" s="3" t="b">
        <v>0</v>
      </c>
    </row>
    <row r="1735" spans="2:2" ht="13.2" x14ac:dyDescent="0.25">
      <c r="B1735" s="3" t="b">
        <v>0</v>
      </c>
    </row>
    <row r="1736" spans="2:2" ht="13.2" x14ac:dyDescent="0.25">
      <c r="B1736" s="3" t="b">
        <v>0</v>
      </c>
    </row>
    <row r="1737" spans="2:2" ht="13.2" x14ac:dyDescent="0.25">
      <c r="B1737" s="3" t="b">
        <v>0</v>
      </c>
    </row>
    <row r="1738" spans="2:2" ht="13.2" x14ac:dyDescent="0.25">
      <c r="B1738" s="3" t="b">
        <v>0</v>
      </c>
    </row>
    <row r="1739" spans="2:2" ht="13.2" x14ac:dyDescent="0.25">
      <c r="B1739" s="3" t="b">
        <v>0</v>
      </c>
    </row>
    <row r="1740" spans="2:2" ht="13.2" x14ac:dyDescent="0.25">
      <c r="B1740" s="3" t="b">
        <v>0</v>
      </c>
    </row>
    <row r="1741" spans="2:2" ht="13.2" x14ac:dyDescent="0.25">
      <c r="B1741" s="3" t="b">
        <v>0</v>
      </c>
    </row>
    <row r="1742" spans="2:2" ht="13.2" x14ac:dyDescent="0.25">
      <c r="B1742" s="3" t="b">
        <v>0</v>
      </c>
    </row>
    <row r="1743" spans="2:2" ht="13.2" x14ac:dyDescent="0.25">
      <c r="B1743" s="3" t="b">
        <v>0</v>
      </c>
    </row>
    <row r="1744" spans="2:2" ht="13.2" x14ac:dyDescent="0.25">
      <c r="B1744" s="3" t="b">
        <v>0</v>
      </c>
    </row>
    <row r="1745" spans="2:2" ht="13.2" x14ac:dyDescent="0.25">
      <c r="B1745" s="3" t="b">
        <v>0</v>
      </c>
    </row>
    <row r="1746" spans="2:2" ht="13.2" x14ac:dyDescent="0.25">
      <c r="B1746" s="3" t="b">
        <v>0</v>
      </c>
    </row>
    <row r="1747" spans="2:2" ht="13.2" x14ac:dyDescent="0.25">
      <c r="B1747" s="3" t="b">
        <v>0</v>
      </c>
    </row>
    <row r="1748" spans="2:2" ht="13.2" x14ac:dyDescent="0.25">
      <c r="B1748" s="3" t="b">
        <v>0</v>
      </c>
    </row>
    <row r="1749" spans="2:2" ht="13.2" x14ac:dyDescent="0.25">
      <c r="B1749" s="3" t="b">
        <v>0</v>
      </c>
    </row>
    <row r="1750" spans="2:2" ht="13.2" x14ac:dyDescent="0.25">
      <c r="B1750" s="3" t="b">
        <v>0</v>
      </c>
    </row>
    <row r="1751" spans="2:2" ht="13.2" x14ac:dyDescent="0.25">
      <c r="B1751" s="3" t="b">
        <v>0</v>
      </c>
    </row>
    <row r="1752" spans="2:2" ht="13.2" x14ac:dyDescent="0.25">
      <c r="B1752" s="3" t="b">
        <v>0</v>
      </c>
    </row>
    <row r="1753" spans="2:2" ht="13.2" x14ac:dyDescent="0.25">
      <c r="B1753" s="3" t="b">
        <v>0</v>
      </c>
    </row>
    <row r="1754" spans="2:2" ht="13.2" x14ac:dyDescent="0.25">
      <c r="B1754" s="3" t="b">
        <v>0</v>
      </c>
    </row>
    <row r="1755" spans="2:2" ht="13.2" x14ac:dyDescent="0.25">
      <c r="B1755" s="3" t="b">
        <v>0</v>
      </c>
    </row>
    <row r="1756" spans="2:2" ht="13.2" x14ac:dyDescent="0.25">
      <c r="B1756" s="3" t="b">
        <v>0</v>
      </c>
    </row>
    <row r="1757" spans="2:2" ht="13.2" x14ac:dyDescent="0.25">
      <c r="B1757" s="3" t="b">
        <v>0</v>
      </c>
    </row>
    <row r="1758" spans="2:2" ht="13.2" x14ac:dyDescent="0.25">
      <c r="B1758" s="3" t="b">
        <v>0</v>
      </c>
    </row>
    <row r="1759" spans="2:2" ht="13.2" x14ac:dyDescent="0.25">
      <c r="B1759" s="3" t="b">
        <v>0</v>
      </c>
    </row>
    <row r="1760" spans="2:2" ht="13.2" x14ac:dyDescent="0.25">
      <c r="B1760" s="3" t="b">
        <v>0</v>
      </c>
    </row>
    <row r="1761" spans="2:2" ht="13.2" x14ac:dyDescent="0.25">
      <c r="B1761" s="3" t="b">
        <v>0</v>
      </c>
    </row>
    <row r="1762" spans="2:2" ht="13.2" x14ac:dyDescent="0.25">
      <c r="B1762" s="3" t="b">
        <v>0</v>
      </c>
    </row>
    <row r="1763" spans="2:2" ht="13.2" x14ac:dyDescent="0.25">
      <c r="B1763" s="3" t="b">
        <v>0</v>
      </c>
    </row>
    <row r="1764" spans="2:2" ht="13.2" x14ac:dyDescent="0.25">
      <c r="B1764" s="3" t="b">
        <v>0</v>
      </c>
    </row>
    <row r="1765" spans="2:2" ht="13.2" x14ac:dyDescent="0.25">
      <c r="B1765" s="3" t="b">
        <v>0</v>
      </c>
    </row>
    <row r="1766" spans="2:2" ht="13.2" x14ac:dyDescent="0.25">
      <c r="B1766" s="3" t="b">
        <v>0</v>
      </c>
    </row>
    <row r="1767" spans="2:2" ht="13.2" x14ac:dyDescent="0.25">
      <c r="B1767" s="3" t="b">
        <v>0</v>
      </c>
    </row>
    <row r="1768" spans="2:2" ht="13.2" x14ac:dyDescent="0.25">
      <c r="B1768" s="3" t="b">
        <v>0</v>
      </c>
    </row>
    <row r="1769" spans="2:2" ht="13.2" x14ac:dyDescent="0.25">
      <c r="B1769" s="3" t="b">
        <v>0</v>
      </c>
    </row>
    <row r="1770" spans="2:2" ht="13.2" x14ac:dyDescent="0.25">
      <c r="B1770" s="3" t="b">
        <v>0</v>
      </c>
    </row>
    <row r="1771" spans="2:2" ht="13.2" x14ac:dyDescent="0.25">
      <c r="B1771" s="3" t="b">
        <v>0</v>
      </c>
    </row>
    <row r="1772" spans="2:2" ht="13.2" x14ac:dyDescent="0.25">
      <c r="B1772" s="3" t="b">
        <v>0</v>
      </c>
    </row>
    <row r="1773" spans="2:2" ht="13.2" x14ac:dyDescent="0.25">
      <c r="B1773" s="3" t="b">
        <v>0</v>
      </c>
    </row>
    <row r="1774" spans="2:2" ht="13.2" x14ac:dyDescent="0.25">
      <c r="B1774" s="3" t="b">
        <v>0</v>
      </c>
    </row>
    <row r="1775" spans="2:2" ht="13.2" x14ac:dyDescent="0.25">
      <c r="B1775" s="3" t="b">
        <v>0</v>
      </c>
    </row>
    <row r="1776" spans="2:2" ht="13.2" x14ac:dyDescent="0.25">
      <c r="B1776" s="3" t="b">
        <v>0</v>
      </c>
    </row>
    <row r="1777" spans="2:2" ht="13.2" x14ac:dyDescent="0.25">
      <c r="B1777" s="3" t="b">
        <v>0</v>
      </c>
    </row>
    <row r="1778" spans="2:2" ht="13.2" x14ac:dyDescent="0.25">
      <c r="B1778" s="3" t="b">
        <v>0</v>
      </c>
    </row>
    <row r="1779" spans="2:2" ht="13.2" x14ac:dyDescent="0.25">
      <c r="B1779" s="3" t="b">
        <v>0</v>
      </c>
    </row>
    <row r="1780" spans="2:2" ht="13.2" x14ac:dyDescent="0.25">
      <c r="B1780" s="3" t="b">
        <v>0</v>
      </c>
    </row>
    <row r="1781" spans="2:2" ht="13.2" x14ac:dyDescent="0.25">
      <c r="B1781" s="3" t="b">
        <v>0</v>
      </c>
    </row>
    <row r="1782" spans="2:2" ht="13.2" x14ac:dyDescent="0.25">
      <c r="B1782" s="3" t="b">
        <v>0</v>
      </c>
    </row>
    <row r="1783" spans="2:2" ht="13.2" x14ac:dyDescent="0.25">
      <c r="B1783" s="3" t="b">
        <v>0</v>
      </c>
    </row>
    <row r="1784" spans="2:2" ht="13.2" x14ac:dyDescent="0.25">
      <c r="B1784" s="3" t="b">
        <v>0</v>
      </c>
    </row>
    <row r="1785" spans="2:2" ht="13.2" x14ac:dyDescent="0.25">
      <c r="B1785" s="3" t="b">
        <v>0</v>
      </c>
    </row>
    <row r="1786" spans="2:2" ht="13.2" x14ac:dyDescent="0.25">
      <c r="B1786" s="3" t="b">
        <v>0</v>
      </c>
    </row>
    <row r="1787" spans="2:2" ht="13.2" x14ac:dyDescent="0.25">
      <c r="B1787" s="3" t="b">
        <v>0</v>
      </c>
    </row>
    <row r="1788" spans="2:2" ht="13.2" x14ac:dyDescent="0.25">
      <c r="B1788" s="3" t="b">
        <v>0</v>
      </c>
    </row>
    <row r="1789" spans="2:2" ht="13.2" x14ac:dyDescent="0.25">
      <c r="B1789" s="3" t="b">
        <v>0</v>
      </c>
    </row>
    <row r="1790" spans="2:2" ht="13.2" x14ac:dyDescent="0.25">
      <c r="B1790" s="3" t="b">
        <v>0</v>
      </c>
    </row>
    <row r="1791" spans="2:2" ht="13.2" x14ac:dyDescent="0.25">
      <c r="B1791" s="3" t="b">
        <v>0</v>
      </c>
    </row>
    <row r="1792" spans="2:2" ht="13.2" x14ac:dyDescent="0.25">
      <c r="B1792" s="3" t="b">
        <v>0</v>
      </c>
    </row>
    <row r="1793" spans="2:2" ht="13.2" x14ac:dyDescent="0.25">
      <c r="B1793" s="3" t="b">
        <v>0</v>
      </c>
    </row>
    <row r="1794" spans="2:2" ht="13.2" x14ac:dyDescent="0.25">
      <c r="B1794" s="3" t="b">
        <v>0</v>
      </c>
    </row>
    <row r="1795" spans="2:2" ht="13.2" x14ac:dyDescent="0.25">
      <c r="B1795" s="3" t="b">
        <v>0</v>
      </c>
    </row>
    <row r="1796" spans="2:2" ht="13.2" x14ac:dyDescent="0.25">
      <c r="B1796" s="3" t="b">
        <v>0</v>
      </c>
    </row>
    <row r="1797" spans="2:2" ht="13.2" x14ac:dyDescent="0.25">
      <c r="B1797" s="3" t="b">
        <v>0</v>
      </c>
    </row>
    <row r="1798" spans="2:2" ht="13.2" x14ac:dyDescent="0.25">
      <c r="B1798" s="3" t="b">
        <v>0</v>
      </c>
    </row>
    <row r="1799" spans="2:2" ht="13.2" x14ac:dyDescent="0.25">
      <c r="B1799" s="3" t="b">
        <v>0</v>
      </c>
    </row>
    <row r="1800" spans="2:2" ht="13.2" x14ac:dyDescent="0.25">
      <c r="B1800" s="3" t="b">
        <v>0</v>
      </c>
    </row>
    <row r="1801" spans="2:2" ht="13.2" x14ac:dyDescent="0.25">
      <c r="B1801" s="3" t="b">
        <v>0</v>
      </c>
    </row>
    <row r="1802" spans="2:2" ht="13.2" x14ac:dyDescent="0.25">
      <c r="B1802" s="3" t="b">
        <v>0</v>
      </c>
    </row>
    <row r="1803" spans="2:2" ht="13.2" x14ac:dyDescent="0.25">
      <c r="B1803" s="3" t="b">
        <v>0</v>
      </c>
    </row>
    <row r="1804" spans="2:2" ht="13.2" x14ac:dyDescent="0.25">
      <c r="B1804" s="3" t="b">
        <v>0</v>
      </c>
    </row>
    <row r="1805" spans="2:2" ht="13.2" x14ac:dyDescent="0.25">
      <c r="B1805" s="3" t="b">
        <v>0</v>
      </c>
    </row>
    <row r="1806" spans="2:2" ht="13.2" x14ac:dyDescent="0.25">
      <c r="B1806" s="3" t="b">
        <v>0</v>
      </c>
    </row>
    <row r="1807" spans="2:2" ht="13.2" x14ac:dyDescent="0.25">
      <c r="B1807" s="3" t="b">
        <v>0</v>
      </c>
    </row>
    <row r="1808" spans="2:2" ht="13.2" x14ac:dyDescent="0.25">
      <c r="B1808" s="3" t="b">
        <v>0</v>
      </c>
    </row>
    <row r="1809" spans="2:2" ht="13.2" x14ac:dyDescent="0.25">
      <c r="B1809" s="3" t="b">
        <v>0</v>
      </c>
    </row>
    <row r="1810" spans="2:2" ht="13.2" x14ac:dyDescent="0.25">
      <c r="B1810" s="3" t="b">
        <v>0</v>
      </c>
    </row>
    <row r="1811" spans="2:2" ht="13.2" x14ac:dyDescent="0.25">
      <c r="B1811" s="3" t="b">
        <v>0</v>
      </c>
    </row>
    <row r="1812" spans="2:2" ht="13.2" x14ac:dyDescent="0.25">
      <c r="B1812" s="3" t="b">
        <v>0</v>
      </c>
    </row>
    <row r="1813" spans="2:2" ht="13.2" x14ac:dyDescent="0.25">
      <c r="B1813" s="3" t="b">
        <v>0</v>
      </c>
    </row>
    <row r="1814" spans="2:2" ht="13.2" x14ac:dyDescent="0.25">
      <c r="B1814" s="3" t="b">
        <v>0</v>
      </c>
    </row>
    <row r="1815" spans="2:2" ht="13.2" x14ac:dyDescent="0.25">
      <c r="B1815" s="3" t="b">
        <v>0</v>
      </c>
    </row>
    <row r="1816" spans="2:2" ht="13.2" x14ac:dyDescent="0.25">
      <c r="B1816" s="3" t="b">
        <v>0</v>
      </c>
    </row>
    <row r="1817" spans="2:2" ht="13.2" x14ac:dyDescent="0.25">
      <c r="B1817" s="3" t="b">
        <v>0</v>
      </c>
    </row>
    <row r="1818" spans="2:2" ht="13.2" x14ac:dyDescent="0.25">
      <c r="B1818" s="3" t="b">
        <v>0</v>
      </c>
    </row>
    <row r="1819" spans="2:2" ht="13.2" x14ac:dyDescent="0.25">
      <c r="B1819" s="3" t="b">
        <v>0</v>
      </c>
    </row>
    <row r="1820" spans="2:2" ht="13.2" x14ac:dyDescent="0.25">
      <c r="B1820" s="3" t="b">
        <v>0</v>
      </c>
    </row>
    <row r="1821" spans="2:2" ht="13.2" x14ac:dyDescent="0.25">
      <c r="B1821" s="3" t="b">
        <v>0</v>
      </c>
    </row>
    <row r="1822" spans="2:2" ht="13.2" x14ac:dyDescent="0.25">
      <c r="B1822" s="3" t="b">
        <v>0</v>
      </c>
    </row>
    <row r="1823" spans="2:2" ht="13.2" x14ac:dyDescent="0.25">
      <c r="B1823" s="3" t="b">
        <v>0</v>
      </c>
    </row>
    <row r="1824" spans="2:2" ht="13.2" x14ac:dyDescent="0.25">
      <c r="B1824" s="3" t="b">
        <v>0</v>
      </c>
    </row>
    <row r="1825" spans="2:2" ht="13.2" x14ac:dyDescent="0.25">
      <c r="B1825" s="3" t="b">
        <v>0</v>
      </c>
    </row>
    <row r="1826" spans="2:2" ht="13.2" x14ac:dyDescent="0.25">
      <c r="B1826" s="3" t="b">
        <v>0</v>
      </c>
    </row>
    <row r="1827" spans="2:2" ht="13.2" x14ac:dyDescent="0.25">
      <c r="B1827" s="3" t="b">
        <v>0</v>
      </c>
    </row>
    <row r="1828" spans="2:2" ht="13.2" x14ac:dyDescent="0.25">
      <c r="B1828" s="3" t="b">
        <v>0</v>
      </c>
    </row>
    <row r="1829" spans="2:2" ht="13.2" x14ac:dyDescent="0.25">
      <c r="B1829" s="3" t="b">
        <v>0</v>
      </c>
    </row>
    <row r="1830" spans="2:2" ht="13.2" x14ac:dyDescent="0.25">
      <c r="B1830" s="3" t="b">
        <v>0</v>
      </c>
    </row>
    <row r="1831" spans="2:2" ht="13.2" x14ac:dyDescent="0.25">
      <c r="B1831" s="3" t="b">
        <v>0</v>
      </c>
    </row>
    <row r="1832" spans="2:2" ht="13.2" x14ac:dyDescent="0.25">
      <c r="B1832" s="3" t="b">
        <v>0</v>
      </c>
    </row>
    <row r="1833" spans="2:2" ht="13.2" x14ac:dyDescent="0.25">
      <c r="B1833" s="3" t="b">
        <v>0</v>
      </c>
    </row>
    <row r="1834" spans="2:2" ht="13.2" x14ac:dyDescent="0.25">
      <c r="B1834" s="3" t="b">
        <v>0</v>
      </c>
    </row>
    <row r="1835" spans="2:2" ht="13.2" x14ac:dyDescent="0.25">
      <c r="B1835" s="3" t="b">
        <v>0</v>
      </c>
    </row>
    <row r="1836" spans="2:2" ht="13.2" x14ac:dyDescent="0.25">
      <c r="B1836" s="3" t="b">
        <v>0</v>
      </c>
    </row>
    <row r="1837" spans="2:2" ht="13.2" x14ac:dyDescent="0.25">
      <c r="B1837" s="3" t="b">
        <v>0</v>
      </c>
    </row>
    <row r="1838" spans="2:2" ht="13.2" x14ac:dyDescent="0.25">
      <c r="B1838" s="3" t="b">
        <v>0</v>
      </c>
    </row>
    <row r="1839" spans="2:2" ht="13.2" x14ac:dyDescent="0.25">
      <c r="B1839" s="3" t="b">
        <v>0</v>
      </c>
    </row>
    <row r="1840" spans="2:2" ht="13.2" x14ac:dyDescent="0.25">
      <c r="B1840" s="3" t="b">
        <v>0</v>
      </c>
    </row>
    <row r="1841" spans="2:2" ht="13.2" x14ac:dyDescent="0.25">
      <c r="B1841" s="3" t="b">
        <v>0</v>
      </c>
    </row>
    <row r="1842" spans="2:2" ht="13.2" x14ac:dyDescent="0.25">
      <c r="B1842" s="3" t="b">
        <v>0</v>
      </c>
    </row>
    <row r="1843" spans="2:2" ht="13.2" x14ac:dyDescent="0.25">
      <c r="B1843" s="3" t="b">
        <v>0</v>
      </c>
    </row>
    <row r="1844" spans="2:2" ht="13.2" x14ac:dyDescent="0.25">
      <c r="B1844" s="3" t="b">
        <v>0</v>
      </c>
    </row>
    <row r="1845" spans="2:2" ht="13.2" x14ac:dyDescent="0.25">
      <c r="B1845" s="3" t="b">
        <v>0</v>
      </c>
    </row>
    <row r="1846" spans="2:2" ht="13.2" x14ac:dyDescent="0.25">
      <c r="B1846" s="3" t="b">
        <v>0</v>
      </c>
    </row>
    <row r="1847" spans="2:2" ht="13.2" x14ac:dyDescent="0.25">
      <c r="B1847" s="3" t="b">
        <v>0</v>
      </c>
    </row>
    <row r="1848" spans="2:2" ht="13.2" x14ac:dyDescent="0.25">
      <c r="B1848" s="3" t="b">
        <v>0</v>
      </c>
    </row>
    <row r="1849" spans="2:2" ht="13.2" x14ac:dyDescent="0.25">
      <c r="B1849" s="3" t="b">
        <v>0</v>
      </c>
    </row>
    <row r="1850" spans="2:2" ht="13.2" x14ac:dyDescent="0.25">
      <c r="B1850" s="3" t="b">
        <v>0</v>
      </c>
    </row>
    <row r="1851" spans="2:2" ht="13.2" x14ac:dyDescent="0.25">
      <c r="B1851" s="3" t="b">
        <v>0</v>
      </c>
    </row>
    <row r="1852" spans="2:2" ht="13.2" x14ac:dyDescent="0.25">
      <c r="B1852" s="3" t="b">
        <v>0</v>
      </c>
    </row>
    <row r="1853" spans="2:2" ht="13.2" x14ac:dyDescent="0.25">
      <c r="B1853" s="3" t="b">
        <v>0</v>
      </c>
    </row>
    <row r="1854" spans="2:2" ht="13.2" x14ac:dyDescent="0.25">
      <c r="B1854" s="3" t="b">
        <v>0</v>
      </c>
    </row>
    <row r="1855" spans="2:2" ht="13.2" x14ac:dyDescent="0.25">
      <c r="B1855" s="3" t="b">
        <v>0</v>
      </c>
    </row>
    <row r="1856" spans="2:2" ht="13.2" x14ac:dyDescent="0.25">
      <c r="B1856" s="3" t="b">
        <v>0</v>
      </c>
    </row>
    <row r="1857" spans="2:2" ht="13.2" x14ac:dyDescent="0.25">
      <c r="B1857" s="3" t="b">
        <v>0</v>
      </c>
    </row>
    <row r="1858" spans="2:2" ht="13.2" x14ac:dyDescent="0.25">
      <c r="B1858" s="3" t="b">
        <v>0</v>
      </c>
    </row>
    <row r="1859" spans="2:2" ht="13.2" x14ac:dyDescent="0.25">
      <c r="B1859" s="3" t="b">
        <v>0</v>
      </c>
    </row>
    <row r="1860" spans="2:2" ht="13.2" x14ac:dyDescent="0.25">
      <c r="B1860" s="3" t="b">
        <v>0</v>
      </c>
    </row>
    <row r="1861" spans="2:2" ht="13.2" x14ac:dyDescent="0.25">
      <c r="B1861" s="3" t="b">
        <v>0</v>
      </c>
    </row>
    <row r="1862" spans="2:2" ht="13.2" x14ac:dyDescent="0.25">
      <c r="B1862" s="3" t="b">
        <v>0</v>
      </c>
    </row>
    <row r="1863" spans="2:2" ht="13.2" x14ac:dyDescent="0.25">
      <c r="B1863" s="3" t="b">
        <v>0</v>
      </c>
    </row>
    <row r="1864" spans="2:2" ht="13.2" x14ac:dyDescent="0.25">
      <c r="B1864" s="3" t="b">
        <v>0</v>
      </c>
    </row>
    <row r="1865" spans="2:2" ht="13.2" x14ac:dyDescent="0.25">
      <c r="B1865" s="3" t="b">
        <v>0</v>
      </c>
    </row>
    <row r="1866" spans="2:2" ht="13.2" x14ac:dyDescent="0.25">
      <c r="B1866" s="3" t="b">
        <v>0</v>
      </c>
    </row>
    <row r="1867" spans="2:2" ht="13.2" x14ac:dyDescent="0.25">
      <c r="B1867" s="3" t="b">
        <v>0</v>
      </c>
    </row>
    <row r="1868" spans="2:2" ht="13.2" x14ac:dyDescent="0.25">
      <c r="B1868" s="3" t="b">
        <v>0</v>
      </c>
    </row>
    <row r="1869" spans="2:2" ht="13.2" x14ac:dyDescent="0.25">
      <c r="B1869" s="3" t="b">
        <v>0</v>
      </c>
    </row>
    <row r="1870" spans="2:2" ht="13.2" x14ac:dyDescent="0.25">
      <c r="B1870" s="3" t="b">
        <v>0</v>
      </c>
    </row>
    <row r="1871" spans="2:2" ht="13.2" x14ac:dyDescent="0.25">
      <c r="B1871" s="3" t="b">
        <v>0</v>
      </c>
    </row>
    <row r="1872" spans="2:2" ht="13.2" x14ac:dyDescent="0.25">
      <c r="B1872" s="3" t="b">
        <v>0</v>
      </c>
    </row>
    <row r="1873" spans="2:2" ht="13.2" x14ac:dyDescent="0.25">
      <c r="B1873" s="3" t="b">
        <v>0</v>
      </c>
    </row>
    <row r="1874" spans="2:2" ht="13.2" x14ac:dyDescent="0.25">
      <c r="B1874" s="3" t="b">
        <v>0</v>
      </c>
    </row>
    <row r="1875" spans="2:2" ht="13.2" x14ac:dyDescent="0.25">
      <c r="B1875" s="3" t="b">
        <v>0</v>
      </c>
    </row>
    <row r="1876" spans="2:2" ht="13.2" x14ac:dyDescent="0.25">
      <c r="B1876" s="3" t="b">
        <v>0</v>
      </c>
    </row>
    <row r="1877" spans="2:2" ht="13.2" x14ac:dyDescent="0.25">
      <c r="B1877" s="3" t="b">
        <v>0</v>
      </c>
    </row>
    <row r="1878" spans="2:2" ht="13.2" x14ac:dyDescent="0.25">
      <c r="B1878" s="3" t="b">
        <v>0</v>
      </c>
    </row>
    <row r="1879" spans="2:2" ht="13.2" x14ac:dyDescent="0.25">
      <c r="B1879" s="3" t="b">
        <v>0</v>
      </c>
    </row>
    <row r="1880" spans="2:2" ht="13.2" x14ac:dyDescent="0.25">
      <c r="B1880" s="3" t="b">
        <v>0</v>
      </c>
    </row>
    <row r="1881" spans="2:2" ht="13.2" x14ac:dyDescent="0.25">
      <c r="B1881" s="3" t="b">
        <v>0</v>
      </c>
    </row>
    <row r="1882" spans="2:2" ht="13.2" x14ac:dyDescent="0.25">
      <c r="B1882" s="3" t="b">
        <v>0</v>
      </c>
    </row>
    <row r="1883" spans="2:2" ht="13.2" x14ac:dyDescent="0.25">
      <c r="B1883" s="3" t="b">
        <v>0</v>
      </c>
    </row>
    <row r="1884" spans="2:2" ht="13.2" x14ac:dyDescent="0.25">
      <c r="B1884" s="3" t="b">
        <v>0</v>
      </c>
    </row>
    <row r="1885" spans="2:2" ht="13.2" x14ac:dyDescent="0.25">
      <c r="B1885" s="3" t="b">
        <v>0</v>
      </c>
    </row>
    <row r="1886" spans="2:2" ht="13.2" x14ac:dyDescent="0.25">
      <c r="B1886" s="3" t="b">
        <v>0</v>
      </c>
    </row>
    <row r="1887" spans="2:2" ht="13.2" x14ac:dyDescent="0.25">
      <c r="B1887" s="3" t="b">
        <v>0</v>
      </c>
    </row>
    <row r="1888" spans="2:2" ht="13.2" x14ac:dyDescent="0.25">
      <c r="B1888" s="3" t="b">
        <v>0</v>
      </c>
    </row>
    <row r="1889" spans="2:2" ht="13.2" x14ac:dyDescent="0.25">
      <c r="B1889" s="3" t="b">
        <v>0</v>
      </c>
    </row>
    <row r="1890" spans="2:2" ht="13.2" x14ac:dyDescent="0.25">
      <c r="B1890" s="3" t="b">
        <v>0</v>
      </c>
    </row>
    <row r="1891" spans="2:2" ht="13.2" x14ac:dyDescent="0.25">
      <c r="B1891" s="3" t="b">
        <v>0</v>
      </c>
    </row>
    <row r="1892" spans="2:2" ht="13.2" x14ac:dyDescent="0.25">
      <c r="B1892" s="3" t="b">
        <v>0</v>
      </c>
    </row>
    <row r="1893" spans="2:2" ht="13.2" x14ac:dyDescent="0.25">
      <c r="B1893" s="3" t="b">
        <v>0</v>
      </c>
    </row>
    <row r="1894" spans="2:2" ht="13.2" x14ac:dyDescent="0.25">
      <c r="B1894" s="3" t="b">
        <v>0</v>
      </c>
    </row>
    <row r="1895" spans="2:2" ht="13.2" x14ac:dyDescent="0.25">
      <c r="B1895" s="3" t="b">
        <v>0</v>
      </c>
    </row>
    <row r="1896" spans="2:2" ht="13.2" x14ac:dyDescent="0.25">
      <c r="B1896" s="3" t="b">
        <v>0</v>
      </c>
    </row>
    <row r="1897" spans="2:2" ht="13.2" x14ac:dyDescent="0.25">
      <c r="B1897" s="3" t="b">
        <v>0</v>
      </c>
    </row>
    <row r="1898" spans="2:2" ht="13.2" x14ac:dyDescent="0.25">
      <c r="B1898" s="3" t="b">
        <v>0</v>
      </c>
    </row>
    <row r="1899" spans="2:2" ht="13.2" x14ac:dyDescent="0.25">
      <c r="B1899" s="3" t="b">
        <v>0</v>
      </c>
    </row>
    <row r="1900" spans="2:2" ht="13.2" x14ac:dyDescent="0.25">
      <c r="B1900" s="3" t="b">
        <v>0</v>
      </c>
    </row>
    <row r="1901" spans="2:2" ht="13.2" x14ac:dyDescent="0.25">
      <c r="B1901" s="3" t="b">
        <v>0</v>
      </c>
    </row>
    <row r="1902" spans="2:2" ht="13.2" x14ac:dyDescent="0.25">
      <c r="B1902" s="3" t="b">
        <v>0</v>
      </c>
    </row>
    <row r="1903" spans="2:2" ht="13.2" x14ac:dyDescent="0.25">
      <c r="B1903" s="3" t="b">
        <v>0</v>
      </c>
    </row>
    <row r="1904" spans="2:2" ht="13.2" x14ac:dyDescent="0.25">
      <c r="B1904" s="3" t="b">
        <v>0</v>
      </c>
    </row>
    <row r="1905" spans="2:2" ht="13.2" x14ac:dyDescent="0.25">
      <c r="B1905" s="3" t="b">
        <v>0</v>
      </c>
    </row>
    <row r="1906" spans="2:2" ht="13.2" x14ac:dyDescent="0.25">
      <c r="B1906" s="3" t="b">
        <v>0</v>
      </c>
    </row>
    <row r="1907" spans="2:2" ht="13.2" x14ac:dyDescent="0.25">
      <c r="B1907" s="3" t="b">
        <v>0</v>
      </c>
    </row>
    <row r="1908" spans="2:2" ht="13.2" x14ac:dyDescent="0.25">
      <c r="B1908" s="3" t="b">
        <v>0</v>
      </c>
    </row>
    <row r="1909" spans="2:2" ht="13.2" x14ac:dyDescent="0.25">
      <c r="B1909" s="3" t="b">
        <v>0</v>
      </c>
    </row>
    <row r="1910" spans="2:2" ht="13.2" x14ac:dyDescent="0.25">
      <c r="B1910" s="3" t="b">
        <v>0</v>
      </c>
    </row>
    <row r="1911" spans="2:2" ht="13.2" x14ac:dyDescent="0.25">
      <c r="B1911" s="3" t="b">
        <v>0</v>
      </c>
    </row>
    <row r="1912" spans="2:2" ht="13.2" x14ac:dyDescent="0.25">
      <c r="B1912" s="3" t="b">
        <v>0</v>
      </c>
    </row>
    <row r="1913" spans="2:2" ht="13.2" x14ac:dyDescent="0.25">
      <c r="B1913" s="3" t="b">
        <v>0</v>
      </c>
    </row>
    <row r="1914" spans="2:2" ht="13.2" x14ac:dyDescent="0.25">
      <c r="B1914" s="3" t="b">
        <v>0</v>
      </c>
    </row>
    <row r="1915" spans="2:2" ht="13.2" x14ac:dyDescent="0.25">
      <c r="B1915" s="3" t="b">
        <v>0</v>
      </c>
    </row>
    <row r="1916" spans="2:2" ht="13.2" x14ac:dyDescent="0.25">
      <c r="B1916" s="3" t="b">
        <v>0</v>
      </c>
    </row>
    <row r="1917" spans="2:2" ht="13.2" x14ac:dyDescent="0.25">
      <c r="B1917" s="3" t="b">
        <v>0</v>
      </c>
    </row>
    <row r="1918" spans="2:2" ht="13.2" x14ac:dyDescent="0.25">
      <c r="B1918" s="3" t="b">
        <v>0</v>
      </c>
    </row>
    <row r="1919" spans="2:2" ht="13.2" x14ac:dyDescent="0.25">
      <c r="B1919" s="3" t="b">
        <v>0</v>
      </c>
    </row>
    <row r="1920" spans="2:2" ht="13.2" x14ac:dyDescent="0.25">
      <c r="B1920" s="3" t="b">
        <v>0</v>
      </c>
    </row>
    <row r="1921" spans="2:2" ht="13.2" x14ac:dyDescent="0.25">
      <c r="B1921" s="3" t="b">
        <v>0</v>
      </c>
    </row>
    <row r="1922" spans="2:2" ht="13.2" x14ac:dyDescent="0.25">
      <c r="B1922" s="3" t="b">
        <v>0</v>
      </c>
    </row>
    <row r="1923" spans="2:2" ht="13.2" x14ac:dyDescent="0.25">
      <c r="B1923" s="3" t="b">
        <v>0</v>
      </c>
    </row>
    <row r="1924" spans="2:2" ht="13.2" x14ac:dyDescent="0.25">
      <c r="B1924" s="3" t="b">
        <v>0</v>
      </c>
    </row>
    <row r="1925" spans="2:2" ht="13.2" x14ac:dyDescent="0.25">
      <c r="B1925" s="3" t="b">
        <v>0</v>
      </c>
    </row>
    <row r="1926" spans="2:2" ht="13.2" x14ac:dyDescent="0.25">
      <c r="B1926" s="3" t="b">
        <v>0</v>
      </c>
    </row>
    <row r="1927" spans="2:2" ht="13.2" x14ac:dyDescent="0.25">
      <c r="B1927" s="3" t="b">
        <v>0</v>
      </c>
    </row>
    <row r="1928" spans="2:2" ht="13.2" x14ac:dyDescent="0.25">
      <c r="B1928" s="3" t="b">
        <v>0</v>
      </c>
    </row>
    <row r="1929" spans="2:2" ht="13.2" x14ac:dyDescent="0.25">
      <c r="B1929" s="3" t="b">
        <v>0</v>
      </c>
    </row>
    <row r="1930" spans="2:2" ht="13.2" x14ac:dyDescent="0.25">
      <c r="B1930" s="3" t="b">
        <v>0</v>
      </c>
    </row>
    <row r="1931" spans="2:2" ht="13.2" x14ac:dyDescent="0.25">
      <c r="B1931" s="3" t="b">
        <v>0</v>
      </c>
    </row>
    <row r="1932" spans="2:2" ht="13.2" x14ac:dyDescent="0.25">
      <c r="B1932" s="3" t="b">
        <v>0</v>
      </c>
    </row>
    <row r="1933" spans="2:2" ht="13.2" x14ac:dyDescent="0.25">
      <c r="B1933" s="3" t="b">
        <v>0</v>
      </c>
    </row>
    <row r="1934" spans="2:2" ht="13.2" x14ac:dyDescent="0.25">
      <c r="B1934" s="3" t="b">
        <v>0</v>
      </c>
    </row>
    <row r="1935" spans="2:2" ht="13.2" x14ac:dyDescent="0.25">
      <c r="B1935" s="3" t="b">
        <v>0</v>
      </c>
    </row>
    <row r="1936" spans="2:2" ht="13.2" x14ac:dyDescent="0.25">
      <c r="B1936" s="3" t="b">
        <v>0</v>
      </c>
    </row>
    <row r="1937" spans="2:2" ht="13.2" x14ac:dyDescent="0.25">
      <c r="B1937" s="3" t="b">
        <v>0</v>
      </c>
    </row>
    <row r="1938" spans="2:2" ht="13.2" x14ac:dyDescent="0.25">
      <c r="B1938" s="3" t="b">
        <v>0</v>
      </c>
    </row>
    <row r="1939" spans="2:2" ht="13.2" x14ac:dyDescent="0.25">
      <c r="B1939" s="3" t="b">
        <v>0</v>
      </c>
    </row>
    <row r="1940" spans="2:2" ht="13.2" x14ac:dyDescent="0.25">
      <c r="B1940" s="3" t="b">
        <v>0</v>
      </c>
    </row>
    <row r="1941" spans="2:2" ht="13.2" x14ac:dyDescent="0.25">
      <c r="B1941" s="3" t="b">
        <v>0</v>
      </c>
    </row>
    <row r="1942" spans="2:2" ht="13.2" x14ac:dyDescent="0.25">
      <c r="B1942" s="3" t="b">
        <v>0</v>
      </c>
    </row>
    <row r="1943" spans="2:2" ht="13.2" x14ac:dyDescent="0.25">
      <c r="B1943" s="3" t="b">
        <v>0</v>
      </c>
    </row>
    <row r="1944" spans="2:2" ht="13.2" x14ac:dyDescent="0.25">
      <c r="B1944" s="3" t="b">
        <v>0</v>
      </c>
    </row>
    <row r="1945" spans="2:2" ht="13.2" x14ac:dyDescent="0.25">
      <c r="B1945" s="3" t="b">
        <v>0</v>
      </c>
    </row>
    <row r="1946" spans="2:2" ht="13.2" x14ac:dyDescent="0.25">
      <c r="B1946" s="3" t="b">
        <v>0</v>
      </c>
    </row>
    <row r="1947" spans="2:2" ht="13.2" x14ac:dyDescent="0.25">
      <c r="B1947" s="3" t="b">
        <v>0</v>
      </c>
    </row>
    <row r="1948" spans="2:2" ht="13.2" x14ac:dyDescent="0.25">
      <c r="B1948" s="3" t="b">
        <v>0</v>
      </c>
    </row>
    <row r="1949" spans="2:2" ht="13.2" x14ac:dyDescent="0.25">
      <c r="B1949" s="3" t="b">
        <v>0</v>
      </c>
    </row>
    <row r="1950" spans="2:2" ht="13.2" x14ac:dyDescent="0.25">
      <c r="B1950" s="3" t="b">
        <v>0</v>
      </c>
    </row>
    <row r="1951" spans="2:2" ht="13.2" x14ac:dyDescent="0.25">
      <c r="B1951" s="3" t="b">
        <v>0</v>
      </c>
    </row>
    <row r="1952" spans="2:2" ht="13.2" x14ac:dyDescent="0.25">
      <c r="B1952" s="3" t="b">
        <v>0</v>
      </c>
    </row>
    <row r="1953" spans="2:2" ht="13.2" x14ac:dyDescent="0.25">
      <c r="B1953" s="3" t="b">
        <v>0</v>
      </c>
    </row>
    <row r="1954" spans="2:2" ht="13.2" x14ac:dyDescent="0.25">
      <c r="B1954" s="3" t="b">
        <v>0</v>
      </c>
    </row>
    <row r="1955" spans="2:2" ht="13.2" x14ac:dyDescent="0.25">
      <c r="B1955" s="3" t="b">
        <v>0</v>
      </c>
    </row>
    <row r="1956" spans="2:2" ht="13.2" x14ac:dyDescent="0.25">
      <c r="B1956" s="3" t="b">
        <v>0</v>
      </c>
    </row>
    <row r="1957" spans="2:2" ht="13.2" x14ac:dyDescent="0.25">
      <c r="B1957" s="3" t="b">
        <v>0</v>
      </c>
    </row>
    <row r="1958" spans="2:2" ht="13.2" x14ac:dyDescent="0.25">
      <c r="B1958" s="3" t="b">
        <v>0</v>
      </c>
    </row>
    <row r="1959" spans="2:2" ht="13.2" x14ac:dyDescent="0.25">
      <c r="B1959" s="3" t="b">
        <v>0</v>
      </c>
    </row>
    <row r="1960" spans="2:2" ht="13.2" x14ac:dyDescent="0.25">
      <c r="B1960" s="3" t="b">
        <v>0</v>
      </c>
    </row>
    <row r="1961" spans="2:2" ht="13.2" x14ac:dyDescent="0.25">
      <c r="B1961" s="3" t="b">
        <v>0</v>
      </c>
    </row>
    <row r="1962" spans="2:2" ht="13.2" x14ac:dyDescent="0.25">
      <c r="B1962" s="3" t="b">
        <v>0</v>
      </c>
    </row>
    <row r="1963" spans="2:2" ht="13.2" x14ac:dyDescent="0.25">
      <c r="B1963" s="3" t="b">
        <v>0</v>
      </c>
    </row>
    <row r="1964" spans="2:2" ht="13.2" x14ac:dyDescent="0.25">
      <c r="B1964" s="3" t="b">
        <v>0</v>
      </c>
    </row>
    <row r="1965" spans="2:2" ht="13.2" x14ac:dyDescent="0.25">
      <c r="B1965" s="3" t="b">
        <v>0</v>
      </c>
    </row>
    <row r="1966" spans="2:2" ht="13.2" x14ac:dyDescent="0.25">
      <c r="B1966" s="3" t="b">
        <v>0</v>
      </c>
    </row>
    <row r="1967" spans="2:2" ht="13.2" x14ac:dyDescent="0.25">
      <c r="B1967" s="3" t="b">
        <v>0</v>
      </c>
    </row>
    <row r="1968" spans="2:2" ht="13.2" x14ac:dyDescent="0.25">
      <c r="B1968" s="3" t="b">
        <v>0</v>
      </c>
    </row>
    <row r="1969" spans="2:2" ht="13.2" x14ac:dyDescent="0.25">
      <c r="B1969" s="3" t="b">
        <v>0</v>
      </c>
    </row>
    <row r="1970" spans="2:2" ht="13.2" x14ac:dyDescent="0.25">
      <c r="B1970" s="3" t="b">
        <v>0</v>
      </c>
    </row>
    <row r="1971" spans="2:2" ht="13.2" x14ac:dyDescent="0.25">
      <c r="B1971" s="3" t="b">
        <v>0</v>
      </c>
    </row>
    <row r="1972" spans="2:2" ht="13.2" x14ac:dyDescent="0.25">
      <c r="B1972" s="3" t="b">
        <v>0</v>
      </c>
    </row>
    <row r="1973" spans="2:2" ht="13.2" x14ac:dyDescent="0.25">
      <c r="B1973" s="3" t="b">
        <v>0</v>
      </c>
    </row>
    <row r="1974" spans="2:2" ht="13.2" x14ac:dyDescent="0.25">
      <c r="B1974" s="3" t="b">
        <v>0</v>
      </c>
    </row>
    <row r="1975" spans="2:2" ht="13.2" x14ac:dyDescent="0.25">
      <c r="B1975" s="3" t="b">
        <v>0</v>
      </c>
    </row>
    <row r="1976" spans="2:2" ht="13.2" x14ac:dyDescent="0.25">
      <c r="B1976" s="3" t="b">
        <v>0</v>
      </c>
    </row>
    <row r="1977" spans="2:2" ht="13.2" x14ac:dyDescent="0.25">
      <c r="B1977" s="3" t="b">
        <v>0</v>
      </c>
    </row>
    <row r="1978" spans="2:2" ht="13.2" x14ac:dyDescent="0.25">
      <c r="B1978" s="3" t="b">
        <v>0</v>
      </c>
    </row>
    <row r="1979" spans="2:2" ht="13.2" x14ac:dyDescent="0.25">
      <c r="B1979" s="3" t="b">
        <v>0</v>
      </c>
    </row>
    <row r="1980" spans="2:2" ht="13.2" x14ac:dyDescent="0.25">
      <c r="B1980" s="3" t="b">
        <v>0</v>
      </c>
    </row>
    <row r="1981" spans="2:2" ht="13.2" x14ac:dyDescent="0.25">
      <c r="B1981" s="3" t="b">
        <v>0</v>
      </c>
    </row>
    <row r="1982" spans="2:2" ht="13.2" x14ac:dyDescent="0.25">
      <c r="B1982" s="3" t="b">
        <v>0</v>
      </c>
    </row>
    <row r="1983" spans="2:2" ht="13.2" x14ac:dyDescent="0.25">
      <c r="B1983" s="3" t="b">
        <v>0</v>
      </c>
    </row>
    <row r="1984" spans="2:2" ht="13.2" x14ac:dyDescent="0.25">
      <c r="B1984" s="3" t="b">
        <v>0</v>
      </c>
    </row>
    <row r="1985" spans="2:2" ht="13.2" x14ac:dyDescent="0.25">
      <c r="B1985" s="3" t="b">
        <v>0</v>
      </c>
    </row>
    <row r="1986" spans="2:2" ht="13.2" x14ac:dyDescent="0.25">
      <c r="B1986" s="3" t="b">
        <v>0</v>
      </c>
    </row>
    <row r="1987" spans="2:2" ht="13.2" x14ac:dyDescent="0.25">
      <c r="B1987" s="3" t="b">
        <v>0</v>
      </c>
    </row>
    <row r="1988" spans="2:2" ht="13.2" x14ac:dyDescent="0.25">
      <c r="B1988" s="3" t="b">
        <v>0</v>
      </c>
    </row>
    <row r="1989" spans="2:2" ht="13.2" x14ac:dyDescent="0.25">
      <c r="B1989" s="3" t="b">
        <v>0</v>
      </c>
    </row>
    <row r="1990" spans="2:2" ht="13.2" x14ac:dyDescent="0.25">
      <c r="B1990" s="3" t="b">
        <v>0</v>
      </c>
    </row>
    <row r="1991" spans="2:2" ht="13.2" x14ac:dyDescent="0.25">
      <c r="B1991" s="3" t="b">
        <v>0</v>
      </c>
    </row>
    <row r="1992" spans="2:2" ht="13.2" x14ac:dyDescent="0.25">
      <c r="B1992" s="3" t="b">
        <v>0</v>
      </c>
    </row>
    <row r="1993" spans="2:2" ht="13.2" x14ac:dyDescent="0.25">
      <c r="B1993" s="3" t="b">
        <v>0</v>
      </c>
    </row>
    <row r="1994" spans="2:2" ht="13.2" x14ac:dyDescent="0.25">
      <c r="B1994" s="3" t="b">
        <v>0</v>
      </c>
    </row>
    <row r="1995" spans="2:2" ht="13.2" x14ac:dyDescent="0.25">
      <c r="B1995" s="3" t="b">
        <v>0</v>
      </c>
    </row>
    <row r="1996" spans="2:2" ht="13.2" x14ac:dyDescent="0.25">
      <c r="B1996" s="3" t="b">
        <v>0</v>
      </c>
    </row>
    <row r="1997" spans="2:2" ht="13.2" x14ac:dyDescent="0.25">
      <c r="B1997" s="3" t="b">
        <v>0</v>
      </c>
    </row>
    <row r="1998" spans="2:2" ht="13.2" x14ac:dyDescent="0.25">
      <c r="B1998" s="3" t="b">
        <v>0</v>
      </c>
    </row>
    <row r="1999" spans="2:2" ht="13.2" x14ac:dyDescent="0.25">
      <c r="B1999" s="3" t="b">
        <v>0</v>
      </c>
    </row>
    <row r="2000" spans="2:2" ht="13.2" x14ac:dyDescent="0.25">
      <c r="B2000" s="3" t="b">
        <v>0</v>
      </c>
    </row>
    <row r="2001" spans="2:2" ht="13.2" x14ac:dyDescent="0.25">
      <c r="B2001" s="3" t="b">
        <v>0</v>
      </c>
    </row>
    <row r="2002" spans="2:2" ht="13.2" x14ac:dyDescent="0.25">
      <c r="B2002" s="3" t="b">
        <v>0</v>
      </c>
    </row>
    <row r="2003" spans="2:2" ht="13.2" x14ac:dyDescent="0.25">
      <c r="B2003" s="3" t="b">
        <v>0</v>
      </c>
    </row>
    <row r="2004" spans="2:2" ht="13.2" x14ac:dyDescent="0.25">
      <c r="B2004" s="3" t="b">
        <v>0</v>
      </c>
    </row>
    <row r="2005" spans="2:2" ht="13.2" x14ac:dyDescent="0.25">
      <c r="B2005" s="3" t="b">
        <v>0</v>
      </c>
    </row>
    <row r="2006" spans="2:2" ht="13.2" x14ac:dyDescent="0.25">
      <c r="B2006" s="3" t="b">
        <v>0</v>
      </c>
    </row>
    <row r="2007" spans="2:2" ht="13.2" x14ac:dyDescent="0.25">
      <c r="B2007" s="3" t="b">
        <v>0</v>
      </c>
    </row>
    <row r="2008" spans="2:2" ht="13.2" x14ac:dyDescent="0.25">
      <c r="B2008" s="3" t="b">
        <v>0</v>
      </c>
    </row>
    <row r="2009" spans="2:2" ht="13.2" x14ac:dyDescent="0.25">
      <c r="B2009" s="3" t="b">
        <v>0</v>
      </c>
    </row>
    <row r="2010" spans="2:2" ht="13.2" x14ac:dyDescent="0.25">
      <c r="B2010" s="3" t="b">
        <v>0</v>
      </c>
    </row>
    <row r="2011" spans="2:2" ht="13.2" x14ac:dyDescent="0.25">
      <c r="B2011" s="3" t="b">
        <v>0</v>
      </c>
    </row>
    <row r="2012" spans="2:2" ht="13.2" x14ac:dyDescent="0.25">
      <c r="B2012" s="3" t="b">
        <v>0</v>
      </c>
    </row>
    <row r="2013" spans="2:2" ht="13.2" x14ac:dyDescent="0.25">
      <c r="B2013" s="3" t="b">
        <v>0</v>
      </c>
    </row>
    <row r="2014" spans="2:2" ht="13.2" x14ac:dyDescent="0.25">
      <c r="B2014" s="3" t="b">
        <v>0</v>
      </c>
    </row>
    <row r="2015" spans="2:2" ht="13.2" x14ac:dyDescent="0.25">
      <c r="B2015" s="3" t="b">
        <v>0</v>
      </c>
    </row>
    <row r="2016" spans="2:2" ht="13.2" x14ac:dyDescent="0.25">
      <c r="B2016" s="3" t="b">
        <v>0</v>
      </c>
    </row>
    <row r="2017" spans="2:2" ht="13.2" x14ac:dyDescent="0.25">
      <c r="B2017" s="3" t="b">
        <v>0</v>
      </c>
    </row>
    <row r="2018" spans="2:2" ht="13.2" x14ac:dyDescent="0.25">
      <c r="B2018" s="3" t="b">
        <v>0</v>
      </c>
    </row>
    <row r="2019" spans="2:2" ht="13.2" x14ac:dyDescent="0.25">
      <c r="B2019" s="3" t="b">
        <v>0</v>
      </c>
    </row>
    <row r="2020" spans="2:2" ht="13.2" x14ac:dyDescent="0.25">
      <c r="B2020" s="3" t="b">
        <v>0</v>
      </c>
    </row>
    <row r="2021" spans="2:2" ht="13.2" x14ac:dyDescent="0.25">
      <c r="B2021" s="3" t="b">
        <v>0</v>
      </c>
    </row>
    <row r="2022" spans="2:2" ht="13.2" x14ac:dyDescent="0.25">
      <c r="B2022" s="3" t="b">
        <v>0</v>
      </c>
    </row>
    <row r="2023" spans="2:2" ht="13.2" x14ac:dyDescent="0.25">
      <c r="B2023" s="3" t="b">
        <v>0</v>
      </c>
    </row>
    <row r="2024" spans="2:2" ht="13.2" x14ac:dyDescent="0.25">
      <c r="B2024" s="3" t="b">
        <v>0</v>
      </c>
    </row>
    <row r="2025" spans="2:2" ht="13.2" x14ac:dyDescent="0.25">
      <c r="B2025" s="3" t="b">
        <v>0</v>
      </c>
    </row>
    <row r="2026" spans="2:2" ht="13.2" x14ac:dyDescent="0.25">
      <c r="B2026" s="3" t="b">
        <v>0</v>
      </c>
    </row>
    <row r="2027" spans="2:2" ht="13.2" x14ac:dyDescent="0.25">
      <c r="B2027" s="3" t="b">
        <v>0</v>
      </c>
    </row>
    <row r="2028" spans="2:2" ht="13.2" x14ac:dyDescent="0.25">
      <c r="B2028" s="3" t="b">
        <v>0</v>
      </c>
    </row>
    <row r="2029" spans="2:2" ht="13.2" x14ac:dyDescent="0.25">
      <c r="B2029" s="3" t="b">
        <v>0</v>
      </c>
    </row>
    <row r="2030" spans="2:2" ht="13.2" x14ac:dyDescent="0.25">
      <c r="B2030" s="3" t="b">
        <v>0</v>
      </c>
    </row>
    <row r="2031" spans="2:2" ht="13.2" x14ac:dyDescent="0.25">
      <c r="B2031" s="3" t="b">
        <v>0</v>
      </c>
    </row>
    <row r="2032" spans="2:2" ht="13.2" x14ac:dyDescent="0.25">
      <c r="B2032" s="3" t="b">
        <v>0</v>
      </c>
    </row>
    <row r="2033" spans="2:2" ht="13.2" x14ac:dyDescent="0.25">
      <c r="B2033" s="3" t="b">
        <v>0</v>
      </c>
    </row>
    <row r="2034" spans="2:2" ht="13.2" x14ac:dyDescent="0.25">
      <c r="B2034" s="3" t="b">
        <v>0</v>
      </c>
    </row>
    <row r="2035" spans="2:2" ht="13.2" x14ac:dyDescent="0.25">
      <c r="B2035" s="3" t="b">
        <v>0</v>
      </c>
    </row>
    <row r="2036" spans="2:2" ht="13.2" x14ac:dyDescent="0.25">
      <c r="B2036" s="3" t="b">
        <v>0</v>
      </c>
    </row>
    <row r="2037" spans="2:2" ht="13.2" x14ac:dyDescent="0.25">
      <c r="B2037" s="3" t="b">
        <v>0</v>
      </c>
    </row>
    <row r="2038" spans="2:2" ht="13.2" x14ac:dyDescent="0.25">
      <c r="B2038" s="3" t="b">
        <v>0</v>
      </c>
    </row>
    <row r="2039" spans="2:2" ht="13.2" x14ac:dyDescent="0.25">
      <c r="B2039" s="3" t="b">
        <v>0</v>
      </c>
    </row>
    <row r="2040" spans="2:2" ht="13.2" x14ac:dyDescent="0.25">
      <c r="B2040" s="3" t="b">
        <v>0</v>
      </c>
    </row>
    <row r="2041" spans="2:2" ht="13.2" x14ac:dyDescent="0.25">
      <c r="B2041" s="3" t="b">
        <v>0</v>
      </c>
    </row>
    <row r="2042" spans="2:2" ht="13.2" x14ac:dyDescent="0.25">
      <c r="B2042" s="3" t="b">
        <v>0</v>
      </c>
    </row>
    <row r="2043" spans="2:2" ht="13.2" x14ac:dyDescent="0.25">
      <c r="B2043" s="3" t="b">
        <v>0</v>
      </c>
    </row>
    <row r="2044" spans="2:2" ht="13.2" x14ac:dyDescent="0.25">
      <c r="B2044" s="3" t="b">
        <v>0</v>
      </c>
    </row>
    <row r="2045" spans="2:2" ht="13.2" x14ac:dyDescent="0.25">
      <c r="B2045" s="3" t="b">
        <v>0</v>
      </c>
    </row>
    <row r="2046" spans="2:2" ht="13.2" x14ac:dyDescent="0.25">
      <c r="B2046" s="3" t="b">
        <v>0</v>
      </c>
    </row>
    <row r="2047" spans="2:2" ht="13.2" x14ac:dyDescent="0.25">
      <c r="B2047" s="3" t="b">
        <v>0</v>
      </c>
    </row>
    <row r="2048" spans="2:2" ht="13.2" x14ac:dyDescent="0.25">
      <c r="B2048" s="3" t="b">
        <v>0</v>
      </c>
    </row>
    <row r="2049" spans="2:2" ht="13.2" x14ac:dyDescent="0.25">
      <c r="B2049" s="3" t="b">
        <v>0</v>
      </c>
    </row>
    <row r="2050" spans="2:2" ht="13.2" x14ac:dyDescent="0.25">
      <c r="B2050" s="3" t="b">
        <v>0</v>
      </c>
    </row>
    <row r="2051" spans="2:2" ht="13.2" x14ac:dyDescent="0.25">
      <c r="B2051" s="3" t="b">
        <v>0</v>
      </c>
    </row>
    <row r="2052" spans="2:2" ht="13.2" x14ac:dyDescent="0.25">
      <c r="B2052" s="3" t="b">
        <v>0</v>
      </c>
    </row>
    <row r="2053" spans="2:2" ht="13.2" x14ac:dyDescent="0.25">
      <c r="B2053" s="3" t="b">
        <v>0</v>
      </c>
    </row>
    <row r="2054" spans="2:2" ht="13.2" x14ac:dyDescent="0.25">
      <c r="B2054" s="3" t="b">
        <v>0</v>
      </c>
    </row>
    <row r="2055" spans="2:2" ht="13.2" x14ac:dyDescent="0.25">
      <c r="B2055" s="3" t="b">
        <v>0</v>
      </c>
    </row>
    <row r="2056" spans="2:2" ht="13.2" x14ac:dyDescent="0.25">
      <c r="B2056" s="3" t="b">
        <v>0</v>
      </c>
    </row>
    <row r="2057" spans="2:2" ht="13.2" x14ac:dyDescent="0.25">
      <c r="B2057" s="3" t="b">
        <v>0</v>
      </c>
    </row>
    <row r="2058" spans="2:2" ht="13.2" x14ac:dyDescent="0.25">
      <c r="B2058" s="3" t="b">
        <v>0</v>
      </c>
    </row>
    <row r="2059" spans="2:2" ht="13.2" x14ac:dyDescent="0.25">
      <c r="B2059" s="3" t="b">
        <v>0</v>
      </c>
    </row>
    <row r="2060" spans="2:2" ht="13.2" x14ac:dyDescent="0.25">
      <c r="B2060" s="3" t="b">
        <v>0</v>
      </c>
    </row>
    <row r="2061" spans="2:2" ht="13.2" x14ac:dyDescent="0.25">
      <c r="B2061" s="3" t="b">
        <v>0</v>
      </c>
    </row>
    <row r="2062" spans="2:2" ht="13.2" x14ac:dyDescent="0.25">
      <c r="B2062" s="3" t="b">
        <v>0</v>
      </c>
    </row>
    <row r="2063" spans="2:2" ht="13.2" x14ac:dyDescent="0.25">
      <c r="B2063" s="3" t="b">
        <v>0</v>
      </c>
    </row>
    <row r="2064" spans="2:2" ht="13.2" x14ac:dyDescent="0.25">
      <c r="B2064" s="3" t="b">
        <v>0</v>
      </c>
    </row>
    <row r="2065" spans="2:2" ht="13.2" x14ac:dyDescent="0.25">
      <c r="B2065" s="3" t="b">
        <v>0</v>
      </c>
    </row>
    <row r="2066" spans="2:2" ht="13.2" x14ac:dyDescent="0.25">
      <c r="B2066" s="3" t="b">
        <v>0</v>
      </c>
    </row>
    <row r="2067" spans="2:2" ht="13.2" x14ac:dyDescent="0.25">
      <c r="B2067" s="3" t="b">
        <v>0</v>
      </c>
    </row>
    <row r="2068" spans="2:2" ht="13.2" x14ac:dyDescent="0.25">
      <c r="B2068" s="3" t="b">
        <v>0</v>
      </c>
    </row>
    <row r="2069" spans="2:2" ht="13.2" x14ac:dyDescent="0.25">
      <c r="B2069" s="3" t="b">
        <v>0</v>
      </c>
    </row>
    <row r="2070" spans="2:2" ht="13.2" x14ac:dyDescent="0.25">
      <c r="B2070" s="3" t="b">
        <v>0</v>
      </c>
    </row>
    <row r="2071" spans="2:2" ht="13.2" x14ac:dyDescent="0.25">
      <c r="B2071" s="3" t="b">
        <v>0</v>
      </c>
    </row>
    <row r="2072" spans="2:2" ht="13.2" x14ac:dyDescent="0.25">
      <c r="B2072" s="3" t="b">
        <v>0</v>
      </c>
    </row>
    <row r="2073" spans="2:2" ht="13.2" x14ac:dyDescent="0.25">
      <c r="B2073" s="3" t="b">
        <v>0</v>
      </c>
    </row>
    <row r="2074" spans="2:2" ht="13.2" x14ac:dyDescent="0.25">
      <c r="B2074" s="3" t="b">
        <v>0</v>
      </c>
    </row>
    <row r="2075" spans="2:2" ht="13.2" x14ac:dyDescent="0.25">
      <c r="B2075" s="3" t="b">
        <v>0</v>
      </c>
    </row>
    <row r="2076" spans="2:2" ht="13.2" x14ac:dyDescent="0.25">
      <c r="B2076" s="3" t="b">
        <v>0</v>
      </c>
    </row>
    <row r="2077" spans="2:2" ht="13.2" x14ac:dyDescent="0.25">
      <c r="B2077" s="3" t="b">
        <v>0</v>
      </c>
    </row>
    <row r="2078" spans="2:2" ht="13.2" x14ac:dyDescent="0.25">
      <c r="B2078" s="3" t="b">
        <v>0</v>
      </c>
    </row>
    <row r="2079" spans="2:2" ht="13.2" x14ac:dyDescent="0.25">
      <c r="B2079" s="3" t="b">
        <v>0</v>
      </c>
    </row>
    <row r="2080" spans="2:2" ht="13.2" x14ac:dyDescent="0.25">
      <c r="B2080" s="3" t="b">
        <v>0</v>
      </c>
    </row>
    <row r="2081" spans="2:2" ht="13.2" x14ac:dyDescent="0.25">
      <c r="B2081" s="3" t="b">
        <v>0</v>
      </c>
    </row>
    <row r="2082" spans="2:2" ht="13.2" x14ac:dyDescent="0.25">
      <c r="B2082" s="3" t="b">
        <v>0</v>
      </c>
    </row>
    <row r="2083" spans="2:2" ht="13.2" x14ac:dyDescent="0.25">
      <c r="B2083" s="3" t="b">
        <v>0</v>
      </c>
    </row>
    <row r="2084" spans="2:2" ht="13.2" x14ac:dyDescent="0.25">
      <c r="B2084" s="3" t="b">
        <v>0</v>
      </c>
    </row>
    <row r="2085" spans="2:2" ht="13.2" x14ac:dyDescent="0.25">
      <c r="B2085" s="3" t="b">
        <v>0</v>
      </c>
    </row>
    <row r="2086" spans="2:2" ht="13.2" x14ac:dyDescent="0.25">
      <c r="B2086" s="3" t="b">
        <v>0</v>
      </c>
    </row>
    <row r="2087" spans="2:2" ht="13.2" x14ac:dyDescent="0.25">
      <c r="B2087" s="3" t="b">
        <v>0</v>
      </c>
    </row>
    <row r="2088" spans="2:2" ht="13.2" x14ac:dyDescent="0.25">
      <c r="B2088" s="3" t="b">
        <v>0</v>
      </c>
    </row>
    <row r="2089" spans="2:2" ht="13.2" x14ac:dyDescent="0.25">
      <c r="B2089" s="3" t="b">
        <v>0</v>
      </c>
    </row>
    <row r="2090" spans="2:2" ht="13.2" x14ac:dyDescent="0.25">
      <c r="B2090" s="3" t="b">
        <v>0</v>
      </c>
    </row>
    <row r="2091" spans="2:2" ht="13.2" x14ac:dyDescent="0.25">
      <c r="B2091" s="3" t="b">
        <v>0</v>
      </c>
    </row>
    <row r="2092" spans="2:2" ht="13.2" x14ac:dyDescent="0.25">
      <c r="B2092" s="3" t="b">
        <v>0</v>
      </c>
    </row>
    <row r="2093" spans="2:2" ht="13.2" x14ac:dyDescent="0.25">
      <c r="B2093" s="3" t="b">
        <v>0</v>
      </c>
    </row>
    <row r="2094" spans="2:2" ht="13.2" x14ac:dyDescent="0.25">
      <c r="B2094" s="3" t="b">
        <v>0</v>
      </c>
    </row>
    <row r="2095" spans="2:2" ht="13.2" x14ac:dyDescent="0.25">
      <c r="B2095" s="3" t="b">
        <v>0</v>
      </c>
    </row>
    <row r="2096" spans="2:2" ht="13.2" x14ac:dyDescent="0.25">
      <c r="B2096" s="3" t="b">
        <v>0</v>
      </c>
    </row>
    <row r="2097" spans="2:2" ht="13.2" x14ac:dyDescent="0.25">
      <c r="B2097" s="3" t="b">
        <v>0</v>
      </c>
    </row>
    <row r="2098" spans="2:2" ht="13.2" x14ac:dyDescent="0.25">
      <c r="B2098" s="3" t="b">
        <v>0</v>
      </c>
    </row>
    <row r="2099" spans="2:2" ht="13.2" x14ac:dyDescent="0.25">
      <c r="B2099" s="3" t="b">
        <v>0</v>
      </c>
    </row>
    <row r="2100" spans="2:2" ht="13.2" x14ac:dyDescent="0.25">
      <c r="B2100" s="3" t="b">
        <v>0</v>
      </c>
    </row>
    <row r="2101" spans="2:2" ht="13.2" x14ac:dyDescent="0.25">
      <c r="B2101" s="3" t="b">
        <v>0</v>
      </c>
    </row>
    <row r="2102" spans="2:2" ht="13.2" x14ac:dyDescent="0.25">
      <c r="B2102" s="3" t="b">
        <v>0</v>
      </c>
    </row>
    <row r="2103" spans="2:2" ht="13.2" x14ac:dyDescent="0.25">
      <c r="B2103" s="3" t="b">
        <v>0</v>
      </c>
    </row>
    <row r="2104" spans="2:2" ht="13.2" x14ac:dyDescent="0.25">
      <c r="B2104" s="3" t="b">
        <v>0</v>
      </c>
    </row>
    <row r="2105" spans="2:2" ht="13.2" x14ac:dyDescent="0.25">
      <c r="B2105" s="3" t="b">
        <v>0</v>
      </c>
    </row>
    <row r="2106" spans="2:2" ht="13.2" x14ac:dyDescent="0.25">
      <c r="B2106" s="3" t="b">
        <v>0</v>
      </c>
    </row>
    <row r="2107" spans="2:2" ht="13.2" x14ac:dyDescent="0.25">
      <c r="B2107" s="3" t="b">
        <v>0</v>
      </c>
    </row>
    <row r="2108" spans="2:2" ht="13.2" x14ac:dyDescent="0.25">
      <c r="B2108" s="3" t="b">
        <v>0</v>
      </c>
    </row>
    <row r="2109" spans="2:2" ht="13.2" x14ac:dyDescent="0.25">
      <c r="B2109" s="3" t="b">
        <v>0</v>
      </c>
    </row>
    <row r="2110" spans="2:2" ht="13.2" x14ac:dyDescent="0.25">
      <c r="B2110" s="3" t="b">
        <v>0</v>
      </c>
    </row>
    <row r="2111" spans="2:2" ht="13.2" x14ac:dyDescent="0.25">
      <c r="B2111" s="3" t="b">
        <v>0</v>
      </c>
    </row>
    <row r="2112" spans="2:2" ht="13.2" x14ac:dyDescent="0.25">
      <c r="B2112" s="3" t="b">
        <v>0</v>
      </c>
    </row>
    <row r="2113" spans="2:2" ht="13.2" x14ac:dyDescent="0.25">
      <c r="B2113" s="3" t="b">
        <v>0</v>
      </c>
    </row>
    <row r="2114" spans="2:2" ht="13.2" x14ac:dyDescent="0.25">
      <c r="B2114" s="3" t="b">
        <v>0</v>
      </c>
    </row>
    <row r="2115" spans="2:2" ht="13.2" x14ac:dyDescent="0.25">
      <c r="B2115" s="3" t="b">
        <v>0</v>
      </c>
    </row>
    <row r="2116" spans="2:2" ht="13.2" x14ac:dyDescent="0.25">
      <c r="B2116" s="3" t="b">
        <v>0</v>
      </c>
    </row>
    <row r="2117" spans="2:2" ht="13.2" x14ac:dyDescent="0.25">
      <c r="B2117" s="3" t="b">
        <v>0</v>
      </c>
    </row>
    <row r="2118" spans="2:2" ht="13.2" x14ac:dyDescent="0.25">
      <c r="B2118" s="3" t="b">
        <v>0</v>
      </c>
    </row>
    <row r="2119" spans="2:2" ht="13.2" x14ac:dyDescent="0.25">
      <c r="B2119" s="3" t="b">
        <v>0</v>
      </c>
    </row>
    <row r="2120" spans="2:2" ht="13.2" x14ac:dyDescent="0.25">
      <c r="B2120" s="3" t="b">
        <v>0</v>
      </c>
    </row>
    <row r="2121" spans="2:2" ht="13.2" x14ac:dyDescent="0.25">
      <c r="B2121" s="3" t="b">
        <v>0</v>
      </c>
    </row>
    <row r="2122" spans="2:2" ht="13.2" x14ac:dyDescent="0.25">
      <c r="B2122" s="3" t="b">
        <v>0</v>
      </c>
    </row>
    <row r="2123" spans="2:2" ht="13.2" x14ac:dyDescent="0.25">
      <c r="B2123" s="3" t="b">
        <v>0</v>
      </c>
    </row>
    <row r="2124" spans="2:2" ht="13.2" x14ac:dyDescent="0.25">
      <c r="B2124" s="3" t="b">
        <v>0</v>
      </c>
    </row>
    <row r="2125" spans="2:2" ht="13.2" x14ac:dyDescent="0.25">
      <c r="B2125" s="3" t="b">
        <v>0</v>
      </c>
    </row>
    <row r="2126" spans="2:2" ht="13.2" x14ac:dyDescent="0.25">
      <c r="B2126" s="3" t="b">
        <v>0</v>
      </c>
    </row>
    <row r="2127" spans="2:2" ht="13.2" x14ac:dyDescent="0.25">
      <c r="B2127" s="3" t="b">
        <v>0</v>
      </c>
    </row>
    <row r="2128" spans="2:2" ht="13.2" x14ac:dyDescent="0.25">
      <c r="B2128" s="3" t="b">
        <v>0</v>
      </c>
    </row>
    <row r="2129" spans="2:2" ht="13.2" x14ac:dyDescent="0.25">
      <c r="B2129" s="3" t="b">
        <v>0</v>
      </c>
    </row>
    <row r="2130" spans="2:2" ht="13.2" x14ac:dyDescent="0.25">
      <c r="B2130" s="3" t="b">
        <v>0</v>
      </c>
    </row>
    <row r="2131" spans="2:2" ht="13.2" x14ac:dyDescent="0.25">
      <c r="B2131" s="3" t="b">
        <v>0</v>
      </c>
    </row>
    <row r="2132" spans="2:2" ht="13.2" x14ac:dyDescent="0.25">
      <c r="B2132" s="3" t="b">
        <v>0</v>
      </c>
    </row>
    <row r="2133" spans="2:2" ht="13.2" x14ac:dyDescent="0.25">
      <c r="B2133" s="3" t="b">
        <v>0</v>
      </c>
    </row>
    <row r="2134" spans="2:2" ht="13.2" x14ac:dyDescent="0.25">
      <c r="B2134" s="3" t="b">
        <v>0</v>
      </c>
    </row>
    <row r="2135" spans="2:2" ht="13.2" x14ac:dyDescent="0.25">
      <c r="B2135" s="3" t="b">
        <v>0</v>
      </c>
    </row>
    <row r="2136" spans="2:2" ht="13.2" x14ac:dyDescent="0.25">
      <c r="B2136" s="3" t="b">
        <v>0</v>
      </c>
    </row>
    <row r="2137" spans="2:2" ht="13.2" x14ac:dyDescent="0.25">
      <c r="B2137" s="3" t="b">
        <v>0</v>
      </c>
    </row>
    <row r="2138" spans="2:2" ht="13.2" x14ac:dyDescent="0.25">
      <c r="B2138" s="3" t="b">
        <v>0</v>
      </c>
    </row>
    <row r="2139" spans="2:2" ht="13.2" x14ac:dyDescent="0.25">
      <c r="B2139" s="3" t="b">
        <v>0</v>
      </c>
    </row>
    <row r="2140" spans="2:2" ht="13.2" x14ac:dyDescent="0.25">
      <c r="B2140" s="3" t="b">
        <v>0</v>
      </c>
    </row>
    <row r="2141" spans="2:2" ht="13.2" x14ac:dyDescent="0.25">
      <c r="B2141" s="3" t="b">
        <v>0</v>
      </c>
    </row>
    <row r="2142" spans="2:2" ht="13.2" x14ac:dyDescent="0.25">
      <c r="B2142" s="3" t="b">
        <v>0</v>
      </c>
    </row>
    <row r="2143" spans="2:2" ht="13.2" x14ac:dyDescent="0.25">
      <c r="B2143" s="3" t="b">
        <v>0</v>
      </c>
    </row>
    <row r="2144" spans="2:2" ht="13.2" x14ac:dyDescent="0.25">
      <c r="B2144" s="3" t="b">
        <v>0</v>
      </c>
    </row>
    <row r="2145" spans="2:2" ht="13.2" x14ac:dyDescent="0.25">
      <c r="B2145" s="3" t="b">
        <v>0</v>
      </c>
    </row>
    <row r="2146" spans="2:2" ht="13.2" x14ac:dyDescent="0.25">
      <c r="B2146" s="3" t="b">
        <v>0</v>
      </c>
    </row>
    <row r="2147" spans="2:2" ht="13.2" x14ac:dyDescent="0.25">
      <c r="B2147" s="3" t="b">
        <v>0</v>
      </c>
    </row>
    <row r="2148" spans="2:2" ht="13.2" x14ac:dyDescent="0.25">
      <c r="B2148" s="3" t="b">
        <v>0</v>
      </c>
    </row>
    <row r="2149" spans="2:2" ht="13.2" x14ac:dyDescent="0.25">
      <c r="B2149" s="3" t="b">
        <v>0</v>
      </c>
    </row>
    <row r="2150" spans="2:2" ht="13.2" x14ac:dyDescent="0.25">
      <c r="B2150" s="3" t="b">
        <v>0</v>
      </c>
    </row>
    <row r="2151" spans="2:2" ht="13.2" x14ac:dyDescent="0.25">
      <c r="B2151" s="3" t="b">
        <v>0</v>
      </c>
    </row>
    <row r="2152" spans="2:2" ht="13.2" x14ac:dyDescent="0.25">
      <c r="B2152" s="3" t="b">
        <v>0</v>
      </c>
    </row>
    <row r="2153" spans="2:2" ht="13.2" x14ac:dyDescent="0.25">
      <c r="B2153" s="3" t="b">
        <v>0</v>
      </c>
    </row>
    <row r="2154" spans="2:2" ht="13.2" x14ac:dyDescent="0.25">
      <c r="B2154" s="3" t="b">
        <v>0</v>
      </c>
    </row>
    <row r="2155" spans="2:2" ht="13.2" x14ac:dyDescent="0.25">
      <c r="B2155" s="3" t="b">
        <v>0</v>
      </c>
    </row>
    <row r="2156" spans="2:2" ht="13.2" x14ac:dyDescent="0.25">
      <c r="B2156" s="3" t="b">
        <v>0</v>
      </c>
    </row>
    <row r="2157" spans="2:2" ht="13.2" x14ac:dyDescent="0.25">
      <c r="B2157" s="3" t="b">
        <v>0</v>
      </c>
    </row>
    <row r="2158" spans="2:2" ht="13.2" x14ac:dyDescent="0.25">
      <c r="B2158" s="3" t="b">
        <v>0</v>
      </c>
    </row>
    <row r="2159" spans="2:2" ht="13.2" x14ac:dyDescent="0.25">
      <c r="B2159" s="3" t="b">
        <v>0</v>
      </c>
    </row>
    <row r="2160" spans="2:2" ht="13.2" x14ac:dyDescent="0.25">
      <c r="B2160" s="3" t="b">
        <v>0</v>
      </c>
    </row>
    <row r="2161" spans="2:2" ht="13.2" x14ac:dyDescent="0.25">
      <c r="B2161" s="3" t="b">
        <v>0</v>
      </c>
    </row>
    <row r="2162" spans="2:2" ht="13.2" x14ac:dyDescent="0.25">
      <c r="B2162" s="3" t="b">
        <v>0</v>
      </c>
    </row>
    <row r="2163" spans="2:2" ht="13.2" x14ac:dyDescent="0.25">
      <c r="B2163" s="3" t="b">
        <v>0</v>
      </c>
    </row>
    <row r="2164" spans="2:2" ht="13.2" x14ac:dyDescent="0.25">
      <c r="B2164" s="3" t="b">
        <v>0</v>
      </c>
    </row>
    <row r="2165" spans="2:2" ht="13.2" x14ac:dyDescent="0.25">
      <c r="B2165" s="3" t="b">
        <v>0</v>
      </c>
    </row>
    <row r="2166" spans="2:2" ht="13.2" x14ac:dyDescent="0.25">
      <c r="B2166" s="3" t="b">
        <v>0</v>
      </c>
    </row>
    <row r="2167" spans="2:2" ht="13.2" x14ac:dyDescent="0.25">
      <c r="B2167" s="3" t="b">
        <v>0</v>
      </c>
    </row>
    <row r="2168" spans="2:2" ht="13.2" x14ac:dyDescent="0.25">
      <c r="B2168" s="3" t="b">
        <v>0</v>
      </c>
    </row>
    <row r="2169" spans="2:2" ht="13.2" x14ac:dyDescent="0.25">
      <c r="B2169" s="3" t="b">
        <v>0</v>
      </c>
    </row>
    <row r="2170" spans="2:2" ht="13.2" x14ac:dyDescent="0.25">
      <c r="B2170" s="3" t="b">
        <v>0</v>
      </c>
    </row>
    <row r="2171" spans="2:2" ht="13.2" x14ac:dyDescent="0.25">
      <c r="B2171" s="3" t="b">
        <v>0</v>
      </c>
    </row>
    <row r="2172" spans="2:2" ht="13.2" x14ac:dyDescent="0.25">
      <c r="B2172" s="3" t="b">
        <v>0</v>
      </c>
    </row>
    <row r="2173" spans="2:2" ht="13.2" x14ac:dyDescent="0.25">
      <c r="B2173" s="3" t="b">
        <v>0</v>
      </c>
    </row>
    <row r="2174" spans="2:2" ht="13.2" x14ac:dyDescent="0.25">
      <c r="B2174" s="3" t="b">
        <v>0</v>
      </c>
    </row>
    <row r="2175" spans="2:2" ht="13.2" x14ac:dyDescent="0.25">
      <c r="B2175" s="3" t="b">
        <v>0</v>
      </c>
    </row>
    <row r="2176" spans="2:2" ht="13.2" x14ac:dyDescent="0.25">
      <c r="B2176" s="3" t="b">
        <v>0</v>
      </c>
    </row>
    <row r="2177" spans="2:2" ht="13.2" x14ac:dyDescent="0.25">
      <c r="B2177" s="3" t="b">
        <v>0</v>
      </c>
    </row>
    <row r="2178" spans="2:2" ht="13.2" x14ac:dyDescent="0.25">
      <c r="B2178" s="3" t="b">
        <v>0</v>
      </c>
    </row>
    <row r="2179" spans="2:2" ht="13.2" x14ac:dyDescent="0.25">
      <c r="B2179" s="3" t="b">
        <v>0</v>
      </c>
    </row>
    <row r="2180" spans="2:2" ht="13.2" x14ac:dyDescent="0.25">
      <c r="B2180" s="3" t="b">
        <v>0</v>
      </c>
    </row>
    <row r="2181" spans="2:2" ht="13.2" x14ac:dyDescent="0.25">
      <c r="B2181" s="3" t="b">
        <v>0</v>
      </c>
    </row>
    <row r="2182" spans="2:2" ht="13.2" x14ac:dyDescent="0.25">
      <c r="B2182" s="3" t="b">
        <v>0</v>
      </c>
    </row>
    <row r="2183" spans="2:2" ht="13.2" x14ac:dyDescent="0.25">
      <c r="B2183" s="3" t="b">
        <v>0</v>
      </c>
    </row>
    <row r="2184" spans="2:2" ht="13.2" x14ac:dyDescent="0.25">
      <c r="B2184" s="3" t="b">
        <v>0</v>
      </c>
    </row>
    <row r="2185" spans="2:2" ht="13.2" x14ac:dyDescent="0.25">
      <c r="B2185" s="3" t="b">
        <v>0</v>
      </c>
    </row>
    <row r="2186" spans="2:2" ht="13.2" x14ac:dyDescent="0.25">
      <c r="B2186" s="3" t="b">
        <v>0</v>
      </c>
    </row>
    <row r="2187" spans="2:2" ht="13.2" x14ac:dyDescent="0.25">
      <c r="B2187" s="3" t="b">
        <v>0</v>
      </c>
    </row>
    <row r="2188" spans="2:2" ht="13.2" x14ac:dyDescent="0.25">
      <c r="B2188" s="3" t="b">
        <v>0</v>
      </c>
    </row>
    <row r="2189" spans="2:2" ht="13.2" x14ac:dyDescent="0.25">
      <c r="B2189" s="3" t="b">
        <v>0</v>
      </c>
    </row>
    <row r="2190" spans="2:2" ht="13.2" x14ac:dyDescent="0.25">
      <c r="B2190" s="3" t="b">
        <v>0</v>
      </c>
    </row>
    <row r="2191" spans="2:2" ht="13.2" x14ac:dyDescent="0.25">
      <c r="B2191" s="3" t="b">
        <v>0</v>
      </c>
    </row>
    <row r="2192" spans="2:2" ht="13.2" x14ac:dyDescent="0.25">
      <c r="B2192" s="3" t="b">
        <v>0</v>
      </c>
    </row>
    <row r="2193" spans="2:2" ht="13.2" x14ac:dyDescent="0.25">
      <c r="B2193" s="3" t="b">
        <v>0</v>
      </c>
    </row>
    <row r="2194" spans="2:2" ht="13.2" x14ac:dyDescent="0.25">
      <c r="B2194" s="3" t="b">
        <v>0</v>
      </c>
    </row>
    <row r="2195" spans="2:2" ht="13.2" x14ac:dyDescent="0.25">
      <c r="B2195" s="3" t="b">
        <v>0</v>
      </c>
    </row>
    <row r="2196" spans="2:2" ht="13.2" x14ac:dyDescent="0.25">
      <c r="B2196" s="3" t="b">
        <v>0</v>
      </c>
    </row>
    <row r="2197" spans="2:2" ht="13.2" x14ac:dyDescent="0.25">
      <c r="B2197" s="3" t="b">
        <v>0</v>
      </c>
    </row>
    <row r="2198" spans="2:2" ht="13.2" x14ac:dyDescent="0.25">
      <c r="B2198" s="3" t="b">
        <v>0</v>
      </c>
    </row>
    <row r="2199" spans="2:2" ht="13.2" x14ac:dyDescent="0.25">
      <c r="B2199" s="3" t="b">
        <v>0</v>
      </c>
    </row>
    <row r="2200" spans="2:2" ht="13.2" x14ac:dyDescent="0.25">
      <c r="B2200" s="3" t="b">
        <v>0</v>
      </c>
    </row>
    <row r="2201" spans="2:2" ht="13.2" x14ac:dyDescent="0.25">
      <c r="B2201" s="3" t="b">
        <v>0</v>
      </c>
    </row>
    <row r="2202" spans="2:2" ht="13.2" x14ac:dyDescent="0.25">
      <c r="B2202" s="3" t="b">
        <v>0</v>
      </c>
    </row>
    <row r="2203" spans="2:2" ht="13.2" x14ac:dyDescent="0.25">
      <c r="B2203" s="3" t="b">
        <v>0</v>
      </c>
    </row>
    <row r="2204" spans="2:2" ht="13.2" x14ac:dyDescent="0.25">
      <c r="B2204" s="3" t="b">
        <v>0</v>
      </c>
    </row>
    <row r="2205" spans="2:2" ht="13.2" x14ac:dyDescent="0.25">
      <c r="B2205" s="3" t="b">
        <v>0</v>
      </c>
    </row>
    <row r="2206" spans="2:2" ht="13.2" x14ac:dyDescent="0.25">
      <c r="B2206" s="3" t="b">
        <v>0</v>
      </c>
    </row>
    <row r="2207" spans="2:2" ht="13.2" x14ac:dyDescent="0.25">
      <c r="B2207" s="3" t="b">
        <v>0</v>
      </c>
    </row>
    <row r="2208" spans="2:2" ht="13.2" x14ac:dyDescent="0.25">
      <c r="B2208" s="3" t="b">
        <v>0</v>
      </c>
    </row>
    <row r="2209" spans="2:2" ht="13.2" x14ac:dyDescent="0.25">
      <c r="B2209" s="3" t="b">
        <v>0</v>
      </c>
    </row>
    <row r="2210" spans="2:2" ht="13.2" x14ac:dyDescent="0.25">
      <c r="B2210" s="3" t="b">
        <v>0</v>
      </c>
    </row>
    <row r="2211" spans="2:2" ht="13.2" x14ac:dyDescent="0.25">
      <c r="B2211" s="3" t="b">
        <v>0</v>
      </c>
    </row>
    <row r="2212" spans="2:2" ht="13.2" x14ac:dyDescent="0.25">
      <c r="B2212" s="3" t="b">
        <v>0</v>
      </c>
    </row>
    <row r="2213" spans="2:2" ht="13.2" x14ac:dyDescent="0.25">
      <c r="B2213" s="3" t="b">
        <v>0</v>
      </c>
    </row>
    <row r="2214" spans="2:2" ht="13.2" x14ac:dyDescent="0.25">
      <c r="B2214" s="3" t="b">
        <v>0</v>
      </c>
    </row>
    <row r="2215" spans="2:2" ht="13.2" x14ac:dyDescent="0.25">
      <c r="B2215" s="3" t="b">
        <v>0</v>
      </c>
    </row>
    <row r="2216" spans="2:2" ht="13.2" x14ac:dyDescent="0.25">
      <c r="B2216" s="3" t="b">
        <v>0</v>
      </c>
    </row>
    <row r="2217" spans="2:2" ht="13.2" x14ac:dyDescent="0.25">
      <c r="B2217" s="3" t="b">
        <v>0</v>
      </c>
    </row>
    <row r="2218" spans="2:2" ht="13.2" x14ac:dyDescent="0.25">
      <c r="B2218" s="3" t="b">
        <v>0</v>
      </c>
    </row>
    <row r="2219" spans="2:2" ht="13.2" x14ac:dyDescent="0.25">
      <c r="B2219" s="3" t="b">
        <v>0</v>
      </c>
    </row>
    <row r="2220" spans="2:2" ht="13.2" x14ac:dyDescent="0.25">
      <c r="B2220" s="3" t="b">
        <v>0</v>
      </c>
    </row>
    <row r="2221" spans="2:2" ht="13.2" x14ac:dyDescent="0.25">
      <c r="B2221" s="3" t="b">
        <v>0</v>
      </c>
    </row>
    <row r="2222" spans="2:2" ht="13.2" x14ac:dyDescent="0.25">
      <c r="B2222" s="3" t="b">
        <v>0</v>
      </c>
    </row>
    <row r="2223" spans="2:2" ht="13.2" x14ac:dyDescent="0.25">
      <c r="B2223" s="3" t="b">
        <v>0</v>
      </c>
    </row>
    <row r="2224" spans="2:2" ht="13.2" x14ac:dyDescent="0.25">
      <c r="B2224" s="3" t="b">
        <v>0</v>
      </c>
    </row>
    <row r="2225" spans="2:2" ht="13.2" x14ac:dyDescent="0.25">
      <c r="B2225" s="3" t="b">
        <v>0</v>
      </c>
    </row>
    <row r="2226" spans="2:2" ht="13.2" x14ac:dyDescent="0.25">
      <c r="B2226" s="3" t="b">
        <v>0</v>
      </c>
    </row>
    <row r="2227" spans="2:2" ht="13.2" x14ac:dyDescent="0.25">
      <c r="B2227" s="3" t="b">
        <v>0</v>
      </c>
    </row>
    <row r="2228" spans="2:2" ht="13.2" x14ac:dyDescent="0.25">
      <c r="B2228" s="3" t="b">
        <v>0</v>
      </c>
    </row>
    <row r="2229" spans="2:2" ht="13.2" x14ac:dyDescent="0.25">
      <c r="B2229" s="3" t="b">
        <v>0</v>
      </c>
    </row>
    <row r="2230" spans="2:2" ht="13.2" x14ac:dyDescent="0.25">
      <c r="B2230" s="3" t="b">
        <v>0</v>
      </c>
    </row>
    <row r="2231" spans="2:2" ht="13.2" x14ac:dyDescent="0.25">
      <c r="B2231" s="3" t="b">
        <v>0</v>
      </c>
    </row>
    <row r="2232" spans="2:2" ht="13.2" x14ac:dyDescent="0.25">
      <c r="B2232" s="3" t="b">
        <v>0</v>
      </c>
    </row>
    <row r="2233" spans="2:2" ht="13.2" x14ac:dyDescent="0.25">
      <c r="B2233" s="3" t="b">
        <v>0</v>
      </c>
    </row>
    <row r="2234" spans="2:2" ht="13.2" x14ac:dyDescent="0.25">
      <c r="B2234" s="3" t="b">
        <v>0</v>
      </c>
    </row>
    <row r="2235" spans="2:2" ht="13.2" x14ac:dyDescent="0.25">
      <c r="B2235" s="3" t="b">
        <v>0</v>
      </c>
    </row>
    <row r="2236" spans="2:2" ht="13.2" x14ac:dyDescent="0.25">
      <c r="B2236" s="3" t="b">
        <v>0</v>
      </c>
    </row>
    <row r="2237" spans="2:2" ht="13.2" x14ac:dyDescent="0.25">
      <c r="B2237" s="3" t="b">
        <v>0</v>
      </c>
    </row>
    <row r="2238" spans="2:2" ht="13.2" x14ac:dyDescent="0.25">
      <c r="B2238" s="3" t="b">
        <v>0</v>
      </c>
    </row>
    <row r="2239" spans="2:2" ht="13.2" x14ac:dyDescent="0.25">
      <c r="B2239" s="3" t="b">
        <v>0</v>
      </c>
    </row>
    <row r="2240" spans="2:2" ht="13.2" x14ac:dyDescent="0.25">
      <c r="B2240" s="3" t="b">
        <v>0</v>
      </c>
    </row>
    <row r="2241" spans="2:2" ht="13.2" x14ac:dyDescent="0.25">
      <c r="B2241" s="3" t="b">
        <v>0</v>
      </c>
    </row>
    <row r="2242" spans="2:2" ht="13.2" x14ac:dyDescent="0.25">
      <c r="B2242" s="3" t="b">
        <v>0</v>
      </c>
    </row>
    <row r="2243" spans="2:2" ht="13.2" x14ac:dyDescent="0.25">
      <c r="B2243" s="3" t="b">
        <v>0</v>
      </c>
    </row>
    <row r="2244" spans="2:2" ht="13.2" x14ac:dyDescent="0.25">
      <c r="B2244" s="3" t="b">
        <v>0</v>
      </c>
    </row>
    <row r="2245" spans="2:2" ht="13.2" x14ac:dyDescent="0.25">
      <c r="B2245" s="3" t="b">
        <v>0</v>
      </c>
    </row>
    <row r="2246" spans="2:2" ht="13.2" x14ac:dyDescent="0.25">
      <c r="B2246" s="3" t="b">
        <v>0</v>
      </c>
    </row>
    <row r="2247" spans="2:2" ht="13.2" x14ac:dyDescent="0.25">
      <c r="B2247" s="3" t="b">
        <v>0</v>
      </c>
    </row>
    <row r="2248" spans="2:2" ht="13.2" x14ac:dyDescent="0.25">
      <c r="B2248" s="3" t="b">
        <v>0</v>
      </c>
    </row>
    <row r="2249" spans="2:2" ht="13.2" x14ac:dyDescent="0.25">
      <c r="B2249" s="3" t="b">
        <v>0</v>
      </c>
    </row>
    <row r="2250" spans="2:2" ht="13.2" x14ac:dyDescent="0.25">
      <c r="B2250" s="3" t="b">
        <v>0</v>
      </c>
    </row>
    <row r="2251" spans="2:2" ht="13.2" x14ac:dyDescent="0.25">
      <c r="B2251" s="3" t="b">
        <v>0</v>
      </c>
    </row>
    <row r="2252" spans="2:2" ht="13.2" x14ac:dyDescent="0.25">
      <c r="B2252" s="3" t="b">
        <v>0</v>
      </c>
    </row>
    <row r="2253" spans="2:2" ht="13.2" x14ac:dyDescent="0.25">
      <c r="B2253" s="3" t="b">
        <v>0</v>
      </c>
    </row>
    <row r="2254" spans="2:2" ht="13.2" x14ac:dyDescent="0.25">
      <c r="B2254" s="3" t="b">
        <v>0</v>
      </c>
    </row>
    <row r="2255" spans="2:2" ht="13.2" x14ac:dyDescent="0.25">
      <c r="B2255" s="3" t="b">
        <v>0</v>
      </c>
    </row>
    <row r="2256" spans="2:2" ht="13.2" x14ac:dyDescent="0.25">
      <c r="B2256" s="3" t="b">
        <v>0</v>
      </c>
    </row>
    <row r="2257" spans="2:2" ht="13.2" x14ac:dyDescent="0.25">
      <c r="B2257" s="3" t="b">
        <v>0</v>
      </c>
    </row>
    <row r="2258" spans="2:2" ht="13.2" x14ac:dyDescent="0.25">
      <c r="B2258" s="3" t="b">
        <v>0</v>
      </c>
    </row>
    <row r="2259" spans="2:2" ht="13.2" x14ac:dyDescent="0.25">
      <c r="B2259" s="3" t="b">
        <v>0</v>
      </c>
    </row>
    <row r="2260" spans="2:2" ht="13.2" x14ac:dyDescent="0.25">
      <c r="B2260" s="3" t="b">
        <v>0</v>
      </c>
    </row>
    <row r="2261" spans="2:2" ht="13.2" x14ac:dyDescent="0.25">
      <c r="B2261" s="3" t="b">
        <v>0</v>
      </c>
    </row>
    <row r="2262" spans="2:2" ht="13.2" x14ac:dyDescent="0.25">
      <c r="B2262" s="3" t="b">
        <v>0</v>
      </c>
    </row>
    <row r="2263" spans="2:2" ht="13.2" x14ac:dyDescent="0.25">
      <c r="B2263" s="3" t="b">
        <v>0</v>
      </c>
    </row>
    <row r="2264" spans="2:2" ht="13.2" x14ac:dyDescent="0.25">
      <c r="B2264" s="3" t="b">
        <v>0</v>
      </c>
    </row>
    <row r="2265" spans="2:2" ht="13.2" x14ac:dyDescent="0.25">
      <c r="B2265" s="3" t="b">
        <v>0</v>
      </c>
    </row>
    <row r="2266" spans="2:2" ht="13.2" x14ac:dyDescent="0.25">
      <c r="B2266" s="3" t="b">
        <v>0</v>
      </c>
    </row>
    <row r="2267" spans="2:2" ht="13.2" x14ac:dyDescent="0.25">
      <c r="B2267" s="3" t="b">
        <v>0</v>
      </c>
    </row>
    <row r="2268" spans="2:2" ht="13.2" x14ac:dyDescent="0.25">
      <c r="B2268" s="3" t="b">
        <v>0</v>
      </c>
    </row>
    <row r="2269" spans="2:2" ht="13.2" x14ac:dyDescent="0.25">
      <c r="B2269" s="3" t="b">
        <v>0</v>
      </c>
    </row>
    <row r="2270" spans="2:2" ht="13.2" x14ac:dyDescent="0.25">
      <c r="B2270" s="3" t="b">
        <v>0</v>
      </c>
    </row>
    <row r="2271" spans="2:2" ht="13.2" x14ac:dyDescent="0.25">
      <c r="B2271" s="3" t="b">
        <v>0</v>
      </c>
    </row>
    <row r="2272" spans="2:2" ht="13.2" x14ac:dyDescent="0.25">
      <c r="B2272" s="3" t="b">
        <v>0</v>
      </c>
    </row>
    <row r="2273" spans="2:2" ht="13.2" x14ac:dyDescent="0.25">
      <c r="B2273" s="3" t="b">
        <v>0</v>
      </c>
    </row>
    <row r="2274" spans="2:2" ht="13.2" x14ac:dyDescent="0.25">
      <c r="B2274" s="3" t="b">
        <v>0</v>
      </c>
    </row>
    <row r="2275" spans="2:2" ht="13.2" x14ac:dyDescent="0.25">
      <c r="B2275" s="3" t="b">
        <v>0</v>
      </c>
    </row>
    <row r="2276" spans="2:2" ht="13.2" x14ac:dyDescent="0.25">
      <c r="B2276" s="3" t="b">
        <v>0</v>
      </c>
    </row>
    <row r="2277" spans="2:2" ht="13.2" x14ac:dyDescent="0.25">
      <c r="B2277" s="3" t="b">
        <v>0</v>
      </c>
    </row>
    <row r="2278" spans="2:2" ht="13.2" x14ac:dyDescent="0.25">
      <c r="B2278" s="3" t="b">
        <v>0</v>
      </c>
    </row>
    <row r="2279" spans="2:2" ht="13.2" x14ac:dyDescent="0.25">
      <c r="B2279" s="3" t="b">
        <v>0</v>
      </c>
    </row>
    <row r="2280" spans="2:2" ht="13.2" x14ac:dyDescent="0.25">
      <c r="B2280" s="3" t="b">
        <v>0</v>
      </c>
    </row>
    <row r="2281" spans="2:2" ht="13.2" x14ac:dyDescent="0.25">
      <c r="B2281" s="3" t="b">
        <v>0</v>
      </c>
    </row>
    <row r="2282" spans="2:2" ht="13.2" x14ac:dyDescent="0.25">
      <c r="B2282" s="3" t="b">
        <v>0</v>
      </c>
    </row>
    <row r="2283" spans="2:2" ht="13.2" x14ac:dyDescent="0.25">
      <c r="B2283" s="3" t="b">
        <v>0</v>
      </c>
    </row>
    <row r="2284" spans="2:2" ht="13.2" x14ac:dyDescent="0.25">
      <c r="B2284" s="3" t="b">
        <v>0</v>
      </c>
    </row>
    <row r="2285" spans="2:2" ht="13.2" x14ac:dyDescent="0.25">
      <c r="B2285" s="3" t="b">
        <v>0</v>
      </c>
    </row>
    <row r="2286" spans="2:2" ht="13.2" x14ac:dyDescent="0.25">
      <c r="B2286" s="3" t="b">
        <v>0</v>
      </c>
    </row>
    <row r="2287" spans="2:2" ht="13.2" x14ac:dyDescent="0.25">
      <c r="B2287" s="3" t="b">
        <v>0</v>
      </c>
    </row>
    <row r="2288" spans="2:2" ht="13.2" x14ac:dyDescent="0.25">
      <c r="B2288" s="3" t="b">
        <v>0</v>
      </c>
    </row>
    <row r="2289" spans="2:2" ht="13.2" x14ac:dyDescent="0.25">
      <c r="B2289" s="3" t="b">
        <v>0</v>
      </c>
    </row>
    <row r="2290" spans="2:2" ht="13.2" x14ac:dyDescent="0.25">
      <c r="B2290" s="3" t="b">
        <v>0</v>
      </c>
    </row>
    <row r="2291" spans="2:2" ht="13.2" x14ac:dyDescent="0.25">
      <c r="B2291" s="3" t="b">
        <v>0</v>
      </c>
    </row>
    <row r="2292" spans="2:2" ht="13.2" x14ac:dyDescent="0.25">
      <c r="B2292" s="3" t="b">
        <v>0</v>
      </c>
    </row>
    <row r="2293" spans="2:2" ht="13.2" x14ac:dyDescent="0.25">
      <c r="B2293" s="3" t="b">
        <v>0</v>
      </c>
    </row>
    <row r="2294" spans="2:2" ht="13.2" x14ac:dyDescent="0.25">
      <c r="B2294" s="3" t="b">
        <v>0</v>
      </c>
    </row>
    <row r="2295" spans="2:2" ht="13.2" x14ac:dyDescent="0.25">
      <c r="B2295" s="3" t="b">
        <v>0</v>
      </c>
    </row>
    <row r="2296" spans="2:2" ht="13.2" x14ac:dyDescent="0.25">
      <c r="B2296" s="3" t="b">
        <v>0</v>
      </c>
    </row>
    <row r="2297" spans="2:2" ht="13.2" x14ac:dyDescent="0.25">
      <c r="B2297" s="3" t="b">
        <v>0</v>
      </c>
    </row>
    <row r="2298" spans="2:2" ht="13.2" x14ac:dyDescent="0.25">
      <c r="B2298" s="3" t="b">
        <v>0</v>
      </c>
    </row>
    <row r="2299" spans="2:2" ht="13.2" x14ac:dyDescent="0.25">
      <c r="B2299" s="3" t="b">
        <v>0</v>
      </c>
    </row>
    <row r="2300" spans="2:2" ht="13.2" x14ac:dyDescent="0.25">
      <c r="B2300" s="3" t="b">
        <v>0</v>
      </c>
    </row>
    <row r="2301" spans="2:2" ht="13.2" x14ac:dyDescent="0.25">
      <c r="B2301" s="3" t="b">
        <v>0</v>
      </c>
    </row>
    <row r="2302" spans="2:2" ht="13.2" x14ac:dyDescent="0.25">
      <c r="B2302" s="3" t="b">
        <v>0</v>
      </c>
    </row>
    <row r="2303" spans="2:2" ht="13.2" x14ac:dyDescent="0.25">
      <c r="B2303" s="3" t="b">
        <v>0</v>
      </c>
    </row>
    <row r="2304" spans="2:2" ht="13.2" x14ac:dyDescent="0.25">
      <c r="B2304" s="3" t="b">
        <v>0</v>
      </c>
    </row>
    <row r="2305" spans="2:2" ht="13.2" x14ac:dyDescent="0.25">
      <c r="B2305" s="3" t="b">
        <v>0</v>
      </c>
    </row>
    <row r="2306" spans="2:2" ht="13.2" x14ac:dyDescent="0.25">
      <c r="B2306" s="3" t="b">
        <v>0</v>
      </c>
    </row>
    <row r="2307" spans="2:2" ht="13.2" x14ac:dyDescent="0.25">
      <c r="B2307" s="3" t="b">
        <v>0</v>
      </c>
    </row>
    <row r="2308" spans="2:2" ht="13.2" x14ac:dyDescent="0.25">
      <c r="B2308" s="3" t="b">
        <v>0</v>
      </c>
    </row>
    <row r="2309" spans="2:2" ht="13.2" x14ac:dyDescent="0.25">
      <c r="B2309" s="3" t="b">
        <v>0</v>
      </c>
    </row>
    <row r="2310" spans="2:2" ht="13.2" x14ac:dyDescent="0.25">
      <c r="B2310" s="3" t="b">
        <v>0</v>
      </c>
    </row>
    <row r="2311" spans="2:2" ht="13.2" x14ac:dyDescent="0.25">
      <c r="B2311" s="3" t="b">
        <v>0</v>
      </c>
    </row>
    <row r="2312" spans="2:2" ht="13.2" x14ac:dyDescent="0.25">
      <c r="B2312" s="3" t="b">
        <v>0</v>
      </c>
    </row>
    <row r="2313" spans="2:2" ht="13.2" x14ac:dyDescent="0.25">
      <c r="B2313" s="3" t="b">
        <v>0</v>
      </c>
    </row>
    <row r="2314" spans="2:2" ht="13.2" x14ac:dyDescent="0.25">
      <c r="B2314" s="3" t="b">
        <v>0</v>
      </c>
    </row>
    <row r="2315" spans="2:2" ht="13.2" x14ac:dyDescent="0.25">
      <c r="B2315" s="3" t="b">
        <v>0</v>
      </c>
    </row>
    <row r="2316" spans="2:2" ht="13.2" x14ac:dyDescent="0.25">
      <c r="B2316" s="3" t="b">
        <v>0</v>
      </c>
    </row>
    <row r="2317" spans="2:2" ht="13.2" x14ac:dyDescent="0.25">
      <c r="B2317" s="3" t="b">
        <v>0</v>
      </c>
    </row>
    <row r="2318" spans="2:2" ht="13.2" x14ac:dyDescent="0.25">
      <c r="B2318" s="3" t="b">
        <v>0</v>
      </c>
    </row>
    <row r="2319" spans="2:2" ht="13.2" x14ac:dyDescent="0.25">
      <c r="B2319" s="3" t="b">
        <v>0</v>
      </c>
    </row>
    <row r="2320" spans="2:2" ht="13.2" x14ac:dyDescent="0.25">
      <c r="B2320" s="3" t="b">
        <v>0</v>
      </c>
    </row>
    <row r="2321" spans="2:2" ht="13.2" x14ac:dyDescent="0.25">
      <c r="B2321" s="3" t="b">
        <v>0</v>
      </c>
    </row>
    <row r="2322" spans="2:2" ht="13.2" x14ac:dyDescent="0.25">
      <c r="B2322" s="3" t="b">
        <v>0</v>
      </c>
    </row>
    <row r="2323" spans="2:2" ht="13.2" x14ac:dyDescent="0.25">
      <c r="B2323" s="3" t="b">
        <v>0</v>
      </c>
    </row>
    <row r="2324" spans="2:2" ht="13.2" x14ac:dyDescent="0.25">
      <c r="B2324" s="3" t="b">
        <v>0</v>
      </c>
    </row>
    <row r="2325" spans="2:2" ht="13.2" x14ac:dyDescent="0.25">
      <c r="B2325" s="3" t="b">
        <v>0</v>
      </c>
    </row>
    <row r="2326" spans="2:2" ht="13.2" x14ac:dyDescent="0.25">
      <c r="B2326" s="3" t="b">
        <v>0</v>
      </c>
    </row>
    <row r="2327" spans="2:2" ht="13.2" x14ac:dyDescent="0.25">
      <c r="B2327" s="3" t="b">
        <v>0</v>
      </c>
    </row>
    <row r="2328" spans="2:2" ht="13.2" x14ac:dyDescent="0.25">
      <c r="B2328" s="3" t="b">
        <v>0</v>
      </c>
    </row>
    <row r="2329" spans="2:2" ht="13.2" x14ac:dyDescent="0.25">
      <c r="B2329" s="3" t="b">
        <v>0</v>
      </c>
    </row>
    <row r="2330" spans="2:2" ht="13.2" x14ac:dyDescent="0.25">
      <c r="B2330" s="3" t="b">
        <v>0</v>
      </c>
    </row>
    <row r="2331" spans="2:2" ht="13.2" x14ac:dyDescent="0.25">
      <c r="B2331" s="3" t="b">
        <v>0</v>
      </c>
    </row>
    <row r="2332" spans="2:2" ht="13.2" x14ac:dyDescent="0.25">
      <c r="B2332" s="3" t="b">
        <v>0</v>
      </c>
    </row>
    <row r="2333" spans="2:2" ht="13.2" x14ac:dyDescent="0.25">
      <c r="B2333" s="3" t="b">
        <v>0</v>
      </c>
    </row>
    <row r="2334" spans="2:2" ht="13.2" x14ac:dyDescent="0.25">
      <c r="B2334" s="3" t="b">
        <v>0</v>
      </c>
    </row>
    <row r="2335" spans="2:2" ht="13.2" x14ac:dyDescent="0.25">
      <c r="B2335" s="3" t="b">
        <v>0</v>
      </c>
    </row>
    <row r="2336" spans="2:2" ht="13.2" x14ac:dyDescent="0.25">
      <c r="B2336" s="3" t="b">
        <v>0</v>
      </c>
    </row>
    <row r="2337" spans="2:2" ht="13.2" x14ac:dyDescent="0.25">
      <c r="B2337" s="3" t="b">
        <v>0</v>
      </c>
    </row>
    <row r="2338" spans="2:2" ht="13.2" x14ac:dyDescent="0.25">
      <c r="B2338" s="3" t="b">
        <v>0</v>
      </c>
    </row>
    <row r="2339" spans="2:2" ht="13.2" x14ac:dyDescent="0.25">
      <c r="B2339" s="3" t="b">
        <v>0</v>
      </c>
    </row>
    <row r="2340" spans="2:2" ht="13.2" x14ac:dyDescent="0.25">
      <c r="B2340" s="3" t="b">
        <v>0</v>
      </c>
    </row>
    <row r="2341" spans="2:2" ht="13.2" x14ac:dyDescent="0.25">
      <c r="B2341" s="3" t="b">
        <v>0</v>
      </c>
    </row>
    <row r="2342" spans="2:2" ht="13.2" x14ac:dyDescent="0.25">
      <c r="B2342" s="3" t="b">
        <v>0</v>
      </c>
    </row>
    <row r="2343" spans="2:2" ht="13.2" x14ac:dyDescent="0.25">
      <c r="B2343" s="3" t="b">
        <v>0</v>
      </c>
    </row>
    <row r="2344" spans="2:2" ht="13.2" x14ac:dyDescent="0.25">
      <c r="B2344" s="3" t="b">
        <v>0</v>
      </c>
    </row>
    <row r="2345" spans="2:2" ht="13.2" x14ac:dyDescent="0.25">
      <c r="B2345" s="3" t="b">
        <v>0</v>
      </c>
    </row>
    <row r="2346" spans="2:2" ht="13.2" x14ac:dyDescent="0.25">
      <c r="B2346" s="3" t="b">
        <v>0</v>
      </c>
    </row>
    <row r="2347" spans="2:2" ht="13.2" x14ac:dyDescent="0.25">
      <c r="B2347" s="3" t="b">
        <v>0</v>
      </c>
    </row>
    <row r="2348" spans="2:2" ht="13.2" x14ac:dyDescent="0.25">
      <c r="B2348" s="3" t="b">
        <v>0</v>
      </c>
    </row>
    <row r="2349" spans="2:2" ht="13.2" x14ac:dyDescent="0.25">
      <c r="B2349" s="3" t="b">
        <v>0</v>
      </c>
    </row>
    <row r="2350" spans="2:2" ht="13.2" x14ac:dyDescent="0.25">
      <c r="B2350" s="3" t="b">
        <v>0</v>
      </c>
    </row>
    <row r="2351" spans="2:2" ht="13.2" x14ac:dyDescent="0.25">
      <c r="B2351" s="3" t="b">
        <v>0</v>
      </c>
    </row>
    <row r="2352" spans="2:2" ht="13.2" x14ac:dyDescent="0.25">
      <c r="B2352" s="3" t="b">
        <v>0</v>
      </c>
    </row>
    <row r="2353" spans="2:2" ht="13.2" x14ac:dyDescent="0.25">
      <c r="B2353" s="3" t="b">
        <v>0</v>
      </c>
    </row>
    <row r="2354" spans="2:2" ht="13.2" x14ac:dyDescent="0.25">
      <c r="B2354" s="3" t="b">
        <v>0</v>
      </c>
    </row>
    <row r="2355" spans="2:2" ht="13.2" x14ac:dyDescent="0.25">
      <c r="B2355" s="3" t="b">
        <v>0</v>
      </c>
    </row>
    <row r="2356" spans="2:2" ht="13.2" x14ac:dyDescent="0.25">
      <c r="B2356" s="3" t="b">
        <v>0</v>
      </c>
    </row>
    <row r="2357" spans="2:2" ht="13.2" x14ac:dyDescent="0.25">
      <c r="B2357" s="3" t="b">
        <v>0</v>
      </c>
    </row>
    <row r="2358" spans="2:2" ht="13.2" x14ac:dyDescent="0.25">
      <c r="B2358" s="3" t="b">
        <v>0</v>
      </c>
    </row>
    <row r="2359" spans="2:2" ht="13.2" x14ac:dyDescent="0.25">
      <c r="B2359" s="3" t="b">
        <v>0</v>
      </c>
    </row>
    <row r="2360" spans="2:2" ht="13.2" x14ac:dyDescent="0.25">
      <c r="B2360" s="3" t="b">
        <v>0</v>
      </c>
    </row>
    <row r="2361" spans="2:2" ht="13.2" x14ac:dyDescent="0.25">
      <c r="B2361" s="3" t="b">
        <v>0</v>
      </c>
    </row>
    <row r="2362" spans="2:2" ht="13.2" x14ac:dyDescent="0.25">
      <c r="B2362" s="3" t="b">
        <v>0</v>
      </c>
    </row>
    <row r="2363" spans="2:2" ht="13.2" x14ac:dyDescent="0.25">
      <c r="B2363" s="3" t="b">
        <v>0</v>
      </c>
    </row>
    <row r="2364" spans="2:2" ht="13.2" x14ac:dyDescent="0.25">
      <c r="B2364" s="3" t="b">
        <v>0</v>
      </c>
    </row>
    <row r="2365" spans="2:2" ht="13.2" x14ac:dyDescent="0.25">
      <c r="B2365" s="3" t="b">
        <v>0</v>
      </c>
    </row>
    <row r="2366" spans="2:2" ht="13.2" x14ac:dyDescent="0.25">
      <c r="B2366" s="3" t="b">
        <v>0</v>
      </c>
    </row>
    <row r="2367" spans="2:2" ht="13.2" x14ac:dyDescent="0.25">
      <c r="B2367" s="3" t="b">
        <v>0</v>
      </c>
    </row>
    <row r="2368" spans="2:2" ht="13.2" x14ac:dyDescent="0.25">
      <c r="B2368" s="3" t="b">
        <v>0</v>
      </c>
    </row>
    <row r="2369" spans="2:2" ht="13.2" x14ac:dyDescent="0.25">
      <c r="B2369" s="3" t="b">
        <v>0</v>
      </c>
    </row>
    <row r="2370" spans="2:2" ht="13.2" x14ac:dyDescent="0.25">
      <c r="B2370" s="3" t="b">
        <v>0</v>
      </c>
    </row>
    <row r="2371" spans="2:2" ht="13.2" x14ac:dyDescent="0.25">
      <c r="B2371" s="3" t="b">
        <v>0</v>
      </c>
    </row>
    <row r="2372" spans="2:2" ht="13.2" x14ac:dyDescent="0.25">
      <c r="B2372" s="3" t="b">
        <v>0</v>
      </c>
    </row>
    <row r="2373" spans="2:2" ht="13.2" x14ac:dyDescent="0.25">
      <c r="B2373" s="3" t="b">
        <v>0</v>
      </c>
    </row>
    <row r="2374" spans="2:2" ht="13.2" x14ac:dyDescent="0.25">
      <c r="B2374" s="3" t="b">
        <v>0</v>
      </c>
    </row>
    <row r="2375" spans="2:2" ht="13.2" x14ac:dyDescent="0.25">
      <c r="B2375" s="3" t="b">
        <v>0</v>
      </c>
    </row>
    <row r="2376" spans="2:2" ht="13.2" x14ac:dyDescent="0.25">
      <c r="B2376" s="3" t="b">
        <v>0</v>
      </c>
    </row>
    <row r="2377" spans="2:2" ht="13.2" x14ac:dyDescent="0.25">
      <c r="B2377" s="3" t="b">
        <v>0</v>
      </c>
    </row>
    <row r="2378" spans="2:2" ht="13.2" x14ac:dyDescent="0.25">
      <c r="B2378" s="3" t="b">
        <v>0</v>
      </c>
    </row>
    <row r="2379" spans="2:2" ht="13.2" x14ac:dyDescent="0.25">
      <c r="B2379" s="3" t="b">
        <v>0</v>
      </c>
    </row>
    <row r="2380" spans="2:2" ht="13.2" x14ac:dyDescent="0.25">
      <c r="B2380" s="3" t="b">
        <v>0</v>
      </c>
    </row>
    <row r="2381" spans="2:2" ht="13.2" x14ac:dyDescent="0.25">
      <c r="B2381" s="3" t="b">
        <v>0</v>
      </c>
    </row>
    <row r="2382" spans="2:2" ht="13.2" x14ac:dyDescent="0.25">
      <c r="B2382" s="3" t="b">
        <v>0</v>
      </c>
    </row>
    <row r="2383" spans="2:2" ht="13.2" x14ac:dyDescent="0.25">
      <c r="B2383" s="3" t="b">
        <v>0</v>
      </c>
    </row>
    <row r="2384" spans="2:2" ht="13.2" x14ac:dyDescent="0.25">
      <c r="B2384" s="3" t="b">
        <v>0</v>
      </c>
    </row>
    <row r="2385" spans="2:2" ht="13.2" x14ac:dyDescent="0.25">
      <c r="B2385" s="3" t="b">
        <v>0</v>
      </c>
    </row>
    <row r="2386" spans="2:2" ht="13.2" x14ac:dyDescent="0.25">
      <c r="B2386" s="3" t="b">
        <v>0</v>
      </c>
    </row>
    <row r="2387" spans="2:2" ht="13.2" x14ac:dyDescent="0.25">
      <c r="B2387" s="3" t="b">
        <v>0</v>
      </c>
    </row>
    <row r="2388" spans="2:2" ht="13.2" x14ac:dyDescent="0.25">
      <c r="B2388" s="3" t="b">
        <v>0</v>
      </c>
    </row>
    <row r="2389" spans="2:2" ht="13.2" x14ac:dyDescent="0.25">
      <c r="B2389" s="3" t="b">
        <v>0</v>
      </c>
    </row>
    <row r="2390" spans="2:2" ht="13.2" x14ac:dyDescent="0.25">
      <c r="B2390" s="3" t="b">
        <v>0</v>
      </c>
    </row>
    <row r="2391" spans="2:2" ht="13.2" x14ac:dyDescent="0.25">
      <c r="B2391" s="3" t="b">
        <v>0</v>
      </c>
    </row>
    <row r="2392" spans="2:2" ht="13.2" x14ac:dyDescent="0.25">
      <c r="B2392" s="3" t="b">
        <v>0</v>
      </c>
    </row>
    <row r="2393" spans="2:2" ht="13.2" x14ac:dyDescent="0.25">
      <c r="B2393" s="3" t="b">
        <v>0</v>
      </c>
    </row>
    <row r="2394" spans="2:2" ht="13.2" x14ac:dyDescent="0.25">
      <c r="B2394" s="3" t="b">
        <v>0</v>
      </c>
    </row>
    <row r="2395" spans="2:2" ht="13.2" x14ac:dyDescent="0.25">
      <c r="B2395" s="3" t="b">
        <v>0</v>
      </c>
    </row>
    <row r="2396" spans="2:2" ht="13.2" x14ac:dyDescent="0.25">
      <c r="B2396" s="3" t="b">
        <v>0</v>
      </c>
    </row>
    <row r="2397" spans="2:2" ht="13.2" x14ac:dyDescent="0.25">
      <c r="B2397" s="3" t="b">
        <v>0</v>
      </c>
    </row>
    <row r="2398" spans="2:2" ht="13.2" x14ac:dyDescent="0.25">
      <c r="B2398" s="3" t="b">
        <v>0</v>
      </c>
    </row>
    <row r="2399" spans="2:2" ht="13.2" x14ac:dyDescent="0.25">
      <c r="B2399" s="3" t="b">
        <v>0</v>
      </c>
    </row>
    <row r="2400" spans="2:2" ht="13.2" x14ac:dyDescent="0.25">
      <c r="B2400" s="3" t="b">
        <v>0</v>
      </c>
    </row>
    <row r="2401" spans="2:2" ht="13.2" x14ac:dyDescent="0.25">
      <c r="B2401" s="3" t="b">
        <v>0</v>
      </c>
    </row>
    <row r="2402" spans="2:2" ht="13.2" x14ac:dyDescent="0.25">
      <c r="B2402" s="3" t="b">
        <v>0</v>
      </c>
    </row>
    <row r="2403" spans="2:2" ht="13.2" x14ac:dyDescent="0.25">
      <c r="B2403" s="3" t="b">
        <v>0</v>
      </c>
    </row>
    <row r="2404" spans="2:2" ht="13.2" x14ac:dyDescent="0.25">
      <c r="B2404" s="3" t="b">
        <v>0</v>
      </c>
    </row>
    <row r="2405" spans="2:2" ht="13.2" x14ac:dyDescent="0.25">
      <c r="B2405" s="3" t="b">
        <v>0</v>
      </c>
    </row>
    <row r="2406" spans="2:2" ht="13.2" x14ac:dyDescent="0.25">
      <c r="B2406" s="3" t="b">
        <v>0</v>
      </c>
    </row>
    <row r="2407" spans="2:2" ht="13.2" x14ac:dyDescent="0.25">
      <c r="B2407" s="3" t="b">
        <v>0</v>
      </c>
    </row>
    <row r="2408" spans="2:2" ht="13.2" x14ac:dyDescent="0.25">
      <c r="B2408" s="3" t="b">
        <v>0</v>
      </c>
    </row>
    <row r="2409" spans="2:2" ht="13.2" x14ac:dyDescent="0.25">
      <c r="B2409" s="3" t="b">
        <v>0</v>
      </c>
    </row>
    <row r="2410" spans="2:2" ht="13.2" x14ac:dyDescent="0.25">
      <c r="B2410" s="3" t="b">
        <v>0</v>
      </c>
    </row>
    <row r="2411" spans="2:2" ht="13.2" x14ac:dyDescent="0.25">
      <c r="B2411" s="3" t="b">
        <v>0</v>
      </c>
    </row>
    <row r="2412" spans="2:2" ht="13.2" x14ac:dyDescent="0.25">
      <c r="B2412" s="3" t="b">
        <v>0</v>
      </c>
    </row>
    <row r="2413" spans="2:2" ht="13.2" x14ac:dyDescent="0.25">
      <c r="B2413" s="3" t="b">
        <v>0</v>
      </c>
    </row>
    <row r="2414" spans="2:2" ht="13.2" x14ac:dyDescent="0.25">
      <c r="B2414" s="3" t="b">
        <v>0</v>
      </c>
    </row>
    <row r="2415" spans="2:2" ht="13.2" x14ac:dyDescent="0.25">
      <c r="B2415" s="3" t="b">
        <v>0</v>
      </c>
    </row>
    <row r="2416" spans="2:2" ht="13.2" x14ac:dyDescent="0.25">
      <c r="B2416" s="3" t="b">
        <v>0</v>
      </c>
    </row>
    <row r="2417" spans="2:2" ht="13.2" x14ac:dyDescent="0.25">
      <c r="B2417" s="3" t="b">
        <v>0</v>
      </c>
    </row>
    <row r="2418" spans="2:2" ht="13.2" x14ac:dyDescent="0.25">
      <c r="B2418" s="3" t="b">
        <v>0</v>
      </c>
    </row>
    <row r="2419" spans="2:2" ht="13.2" x14ac:dyDescent="0.25">
      <c r="B2419" s="3" t="b">
        <v>0</v>
      </c>
    </row>
    <row r="2420" spans="2:2" ht="13.2" x14ac:dyDescent="0.25">
      <c r="B2420" s="3" t="b">
        <v>0</v>
      </c>
    </row>
    <row r="2421" spans="2:2" ht="13.2" x14ac:dyDescent="0.25">
      <c r="B2421" s="3" t="b">
        <v>0</v>
      </c>
    </row>
    <row r="2422" spans="2:2" ht="13.2" x14ac:dyDescent="0.25">
      <c r="B2422" s="3" t="b">
        <v>0</v>
      </c>
    </row>
    <row r="2423" spans="2:2" ht="13.2" x14ac:dyDescent="0.25">
      <c r="B2423" s="3" t="b">
        <v>0</v>
      </c>
    </row>
    <row r="2424" spans="2:2" ht="13.2" x14ac:dyDescent="0.25">
      <c r="B2424" s="3" t="b">
        <v>0</v>
      </c>
    </row>
    <row r="2425" spans="2:2" ht="13.2" x14ac:dyDescent="0.25">
      <c r="B2425" s="3" t="b">
        <v>0</v>
      </c>
    </row>
    <row r="2426" spans="2:2" ht="13.2" x14ac:dyDescent="0.25">
      <c r="B2426" s="3" t="b">
        <v>0</v>
      </c>
    </row>
    <row r="2427" spans="2:2" ht="13.2" x14ac:dyDescent="0.25">
      <c r="B2427" s="3" t="b">
        <v>0</v>
      </c>
    </row>
    <row r="2428" spans="2:2" ht="13.2" x14ac:dyDescent="0.25">
      <c r="B2428" s="3" t="b">
        <v>0</v>
      </c>
    </row>
    <row r="2429" spans="2:2" ht="13.2" x14ac:dyDescent="0.25">
      <c r="B2429" s="3" t="b">
        <v>0</v>
      </c>
    </row>
    <row r="2430" spans="2:2" ht="13.2" x14ac:dyDescent="0.25">
      <c r="B2430" s="3" t="b">
        <v>0</v>
      </c>
    </row>
    <row r="2431" spans="2:2" ht="13.2" x14ac:dyDescent="0.25">
      <c r="B2431" s="3" t="b">
        <v>0</v>
      </c>
    </row>
    <row r="2432" spans="2:2" ht="13.2" x14ac:dyDescent="0.25">
      <c r="B2432" s="3" t="b">
        <v>0</v>
      </c>
    </row>
    <row r="2433" spans="2:2" ht="13.2" x14ac:dyDescent="0.25">
      <c r="B2433" s="3" t="b">
        <v>0</v>
      </c>
    </row>
    <row r="2434" spans="2:2" ht="13.2" x14ac:dyDescent="0.25">
      <c r="B2434" s="3" t="b">
        <v>0</v>
      </c>
    </row>
    <row r="2435" spans="2:2" ht="13.2" x14ac:dyDescent="0.25">
      <c r="B2435" s="3" t="b">
        <v>0</v>
      </c>
    </row>
    <row r="2436" spans="2:2" ht="13.2" x14ac:dyDescent="0.25">
      <c r="B2436" s="3" t="b">
        <v>0</v>
      </c>
    </row>
    <row r="2437" spans="2:2" ht="13.2" x14ac:dyDescent="0.25">
      <c r="B2437" s="3" t="b">
        <v>0</v>
      </c>
    </row>
    <row r="2438" spans="2:2" ht="13.2" x14ac:dyDescent="0.25">
      <c r="B2438" s="3" t="b">
        <v>0</v>
      </c>
    </row>
    <row r="2439" spans="2:2" ht="13.2" x14ac:dyDescent="0.25">
      <c r="B2439" s="3" t="b">
        <v>0</v>
      </c>
    </row>
    <row r="2440" spans="2:2" ht="13.2" x14ac:dyDescent="0.25">
      <c r="B2440" s="3" t="b">
        <v>0</v>
      </c>
    </row>
    <row r="2441" spans="2:2" ht="13.2" x14ac:dyDescent="0.25">
      <c r="B2441" s="3" t="b">
        <v>0</v>
      </c>
    </row>
    <row r="2442" spans="2:2" ht="13.2" x14ac:dyDescent="0.25">
      <c r="B2442" s="3" t="b">
        <v>0</v>
      </c>
    </row>
    <row r="2443" spans="2:2" ht="13.2" x14ac:dyDescent="0.25">
      <c r="B2443" s="3" t="b">
        <v>0</v>
      </c>
    </row>
    <row r="2444" spans="2:2" ht="13.2" x14ac:dyDescent="0.25">
      <c r="B2444" s="3" t="b">
        <v>0</v>
      </c>
    </row>
    <row r="2445" spans="2:2" ht="13.2" x14ac:dyDescent="0.25">
      <c r="B2445" s="3" t="b">
        <v>0</v>
      </c>
    </row>
    <row r="2446" spans="2:2" ht="13.2" x14ac:dyDescent="0.25">
      <c r="B2446" s="3" t="b">
        <v>0</v>
      </c>
    </row>
    <row r="2447" spans="2:2" ht="13.2" x14ac:dyDescent="0.25">
      <c r="B2447" s="3" t="b">
        <v>0</v>
      </c>
    </row>
    <row r="2448" spans="2:2" ht="13.2" x14ac:dyDescent="0.25">
      <c r="B2448" s="3" t="b">
        <v>0</v>
      </c>
    </row>
    <row r="2449" spans="2:2" ht="13.2" x14ac:dyDescent="0.25">
      <c r="B2449" s="3" t="b">
        <v>0</v>
      </c>
    </row>
    <row r="2450" spans="2:2" ht="13.2" x14ac:dyDescent="0.25">
      <c r="B2450" s="3" t="b">
        <v>0</v>
      </c>
    </row>
    <row r="2451" spans="2:2" ht="13.2" x14ac:dyDescent="0.25">
      <c r="B2451" s="3" t="b">
        <v>0</v>
      </c>
    </row>
    <row r="2452" spans="2:2" ht="13.2" x14ac:dyDescent="0.25">
      <c r="B2452" s="3" t="b">
        <v>0</v>
      </c>
    </row>
    <row r="2453" spans="2:2" ht="13.2" x14ac:dyDescent="0.25">
      <c r="B2453" s="3" t="b">
        <v>0</v>
      </c>
    </row>
    <row r="2454" spans="2:2" ht="13.2" x14ac:dyDescent="0.25">
      <c r="B2454" s="3" t="b">
        <v>0</v>
      </c>
    </row>
    <row r="2455" spans="2:2" ht="13.2" x14ac:dyDescent="0.25">
      <c r="B2455" s="3" t="b">
        <v>0</v>
      </c>
    </row>
    <row r="2456" spans="2:2" ht="13.2" x14ac:dyDescent="0.25">
      <c r="B2456" s="3" t="b">
        <v>0</v>
      </c>
    </row>
    <row r="2457" spans="2:2" ht="13.2" x14ac:dyDescent="0.25">
      <c r="B2457" s="3" t="b">
        <v>0</v>
      </c>
    </row>
    <row r="2458" spans="2:2" ht="13.2" x14ac:dyDescent="0.25">
      <c r="B2458" s="3" t="b">
        <v>0</v>
      </c>
    </row>
    <row r="2459" spans="2:2" ht="13.2" x14ac:dyDescent="0.25">
      <c r="B2459" s="3" t="b">
        <v>0</v>
      </c>
    </row>
    <row r="2460" spans="2:2" ht="13.2" x14ac:dyDescent="0.25">
      <c r="B2460" s="3" t="b">
        <v>0</v>
      </c>
    </row>
    <row r="2461" spans="2:2" ht="13.2" x14ac:dyDescent="0.25">
      <c r="B2461" s="3" t="b">
        <v>0</v>
      </c>
    </row>
    <row r="2462" spans="2:2" ht="13.2" x14ac:dyDescent="0.25">
      <c r="B2462" s="3" t="b">
        <v>0</v>
      </c>
    </row>
    <row r="2463" spans="2:2" ht="13.2" x14ac:dyDescent="0.25">
      <c r="B2463" s="3" t="b">
        <v>0</v>
      </c>
    </row>
    <row r="2464" spans="2:2" ht="13.2" x14ac:dyDescent="0.25">
      <c r="B2464" s="3" t="b">
        <v>0</v>
      </c>
    </row>
    <row r="2465" spans="2:2" ht="13.2" x14ac:dyDescent="0.25">
      <c r="B2465" s="3" t="b">
        <v>0</v>
      </c>
    </row>
    <row r="2466" spans="2:2" ht="13.2" x14ac:dyDescent="0.25">
      <c r="B2466" s="3" t="b">
        <v>0</v>
      </c>
    </row>
    <row r="2467" spans="2:2" ht="13.2" x14ac:dyDescent="0.25">
      <c r="B2467" s="3" t="b">
        <v>0</v>
      </c>
    </row>
    <row r="2468" spans="2:2" ht="13.2" x14ac:dyDescent="0.25">
      <c r="B2468" s="3" t="b">
        <v>0</v>
      </c>
    </row>
    <row r="2469" spans="2:2" ht="13.2" x14ac:dyDescent="0.25">
      <c r="B2469" s="3" t="b">
        <v>0</v>
      </c>
    </row>
    <row r="2470" spans="2:2" ht="13.2" x14ac:dyDescent="0.25">
      <c r="B2470" s="3" t="b">
        <v>0</v>
      </c>
    </row>
    <row r="2471" spans="2:2" ht="13.2" x14ac:dyDescent="0.25">
      <c r="B2471" s="3" t="b">
        <v>0</v>
      </c>
    </row>
    <row r="2472" spans="2:2" ht="13.2" x14ac:dyDescent="0.25">
      <c r="B2472" s="3" t="b">
        <v>0</v>
      </c>
    </row>
    <row r="2473" spans="2:2" ht="13.2" x14ac:dyDescent="0.25">
      <c r="B2473" s="3" t="b">
        <v>0</v>
      </c>
    </row>
    <row r="2474" spans="2:2" ht="13.2" x14ac:dyDescent="0.25">
      <c r="B2474" s="3" t="b">
        <v>0</v>
      </c>
    </row>
    <row r="2475" spans="2:2" ht="13.2" x14ac:dyDescent="0.25">
      <c r="B2475" s="3" t="b">
        <v>0</v>
      </c>
    </row>
    <row r="2476" spans="2:2" ht="13.2" x14ac:dyDescent="0.25">
      <c r="B2476" s="3" t="b">
        <v>0</v>
      </c>
    </row>
    <row r="2477" spans="2:2" ht="13.2" x14ac:dyDescent="0.25">
      <c r="B2477" s="3" t="b">
        <v>0</v>
      </c>
    </row>
    <row r="2478" spans="2:2" ht="13.2" x14ac:dyDescent="0.25">
      <c r="B2478" s="3" t="b">
        <v>0</v>
      </c>
    </row>
    <row r="2479" spans="2:2" ht="13.2" x14ac:dyDescent="0.25">
      <c r="B2479" s="3" t="b">
        <v>0</v>
      </c>
    </row>
    <row r="2480" spans="2:2" ht="13.2" x14ac:dyDescent="0.25">
      <c r="B2480" s="3" t="b">
        <v>0</v>
      </c>
    </row>
    <row r="2481" spans="2:2" ht="13.2" x14ac:dyDescent="0.25">
      <c r="B2481" s="3" t="b">
        <v>0</v>
      </c>
    </row>
    <row r="2482" spans="2:2" ht="13.2" x14ac:dyDescent="0.25">
      <c r="B2482" s="3" t="b">
        <v>0</v>
      </c>
    </row>
    <row r="2483" spans="2:2" ht="13.2" x14ac:dyDescent="0.25">
      <c r="B2483" s="3" t="b">
        <v>0</v>
      </c>
    </row>
    <row r="2484" spans="2:2" ht="13.2" x14ac:dyDescent="0.25">
      <c r="B2484" s="3" t="b">
        <v>0</v>
      </c>
    </row>
    <row r="2485" spans="2:2" ht="13.2" x14ac:dyDescent="0.25">
      <c r="B2485" s="3" t="b">
        <v>0</v>
      </c>
    </row>
    <row r="2486" spans="2:2" ht="13.2" x14ac:dyDescent="0.25">
      <c r="B2486" s="3" t="b">
        <v>0</v>
      </c>
    </row>
    <row r="2487" spans="2:2" ht="13.2" x14ac:dyDescent="0.25">
      <c r="B2487" s="3" t="b">
        <v>0</v>
      </c>
    </row>
    <row r="2488" spans="2:2" ht="13.2" x14ac:dyDescent="0.25">
      <c r="B2488" s="3" t="b">
        <v>0</v>
      </c>
    </row>
    <row r="2489" spans="2:2" ht="13.2" x14ac:dyDescent="0.25">
      <c r="B2489" s="3" t="b">
        <v>0</v>
      </c>
    </row>
    <row r="2490" spans="2:2" ht="13.2" x14ac:dyDescent="0.25">
      <c r="B2490" s="3" t="b">
        <v>0</v>
      </c>
    </row>
    <row r="2491" spans="2:2" ht="13.2" x14ac:dyDescent="0.25">
      <c r="B2491" s="3" t="b">
        <v>0</v>
      </c>
    </row>
    <row r="2492" spans="2:2" ht="13.2" x14ac:dyDescent="0.25">
      <c r="B2492" s="3" t="b">
        <v>0</v>
      </c>
    </row>
    <row r="2493" spans="2:2" ht="13.2" x14ac:dyDescent="0.25">
      <c r="B2493" s="3" t="b">
        <v>0</v>
      </c>
    </row>
    <row r="2494" spans="2:2" ht="13.2" x14ac:dyDescent="0.25">
      <c r="B2494" s="3" t="b">
        <v>0</v>
      </c>
    </row>
    <row r="2495" spans="2:2" ht="13.2" x14ac:dyDescent="0.25">
      <c r="B2495" s="3" t="b">
        <v>0</v>
      </c>
    </row>
    <row r="2496" spans="2:2" ht="13.2" x14ac:dyDescent="0.25">
      <c r="B2496" s="3" t="b">
        <v>0</v>
      </c>
    </row>
    <row r="2497" spans="2:2" ht="13.2" x14ac:dyDescent="0.25">
      <c r="B2497" s="3" t="b">
        <v>0</v>
      </c>
    </row>
    <row r="2498" spans="2:2" ht="13.2" x14ac:dyDescent="0.25">
      <c r="B2498" s="3" t="b">
        <v>0</v>
      </c>
    </row>
    <row r="2499" spans="2:2" ht="13.2" x14ac:dyDescent="0.25">
      <c r="B2499" s="3" t="b">
        <v>0</v>
      </c>
    </row>
    <row r="2500" spans="2:2" ht="13.2" x14ac:dyDescent="0.25">
      <c r="B2500" s="3" t="b">
        <v>0</v>
      </c>
    </row>
    <row r="2501" spans="2:2" ht="13.2" x14ac:dyDescent="0.25">
      <c r="B2501" s="3" t="b">
        <v>0</v>
      </c>
    </row>
    <row r="2502" spans="2:2" ht="13.2" x14ac:dyDescent="0.25">
      <c r="B2502" s="3" t="b">
        <v>0</v>
      </c>
    </row>
    <row r="2503" spans="2:2" ht="13.2" x14ac:dyDescent="0.25">
      <c r="B2503" s="3" t="b">
        <v>0</v>
      </c>
    </row>
    <row r="2504" spans="2:2" ht="13.2" x14ac:dyDescent="0.25">
      <c r="B2504" s="3" t="b">
        <v>0</v>
      </c>
    </row>
    <row r="2505" spans="2:2" ht="13.2" x14ac:dyDescent="0.25">
      <c r="B2505" s="3" t="b">
        <v>0</v>
      </c>
    </row>
    <row r="2506" spans="2:2" ht="13.2" x14ac:dyDescent="0.25">
      <c r="B2506" s="3" t="b">
        <v>0</v>
      </c>
    </row>
    <row r="2507" spans="2:2" ht="13.2" x14ac:dyDescent="0.25">
      <c r="B2507" s="3" t="b">
        <v>0</v>
      </c>
    </row>
    <row r="2508" spans="2:2" ht="13.2" x14ac:dyDescent="0.25">
      <c r="B2508" s="3" t="b">
        <v>0</v>
      </c>
    </row>
    <row r="2509" spans="2:2" ht="13.2" x14ac:dyDescent="0.25">
      <c r="B2509" s="3" t="b">
        <v>0</v>
      </c>
    </row>
    <row r="2510" spans="2:2" ht="13.2" x14ac:dyDescent="0.25">
      <c r="B2510" s="3" t="b">
        <v>0</v>
      </c>
    </row>
    <row r="2511" spans="2:2" ht="13.2" x14ac:dyDescent="0.25">
      <c r="B2511" s="3" t="b">
        <v>0</v>
      </c>
    </row>
    <row r="2512" spans="2:2" ht="13.2" x14ac:dyDescent="0.25">
      <c r="B2512" s="3" t="b">
        <v>0</v>
      </c>
    </row>
    <row r="2513" spans="2:2" ht="13.2" x14ac:dyDescent="0.25">
      <c r="B2513" s="3" t="b">
        <v>0</v>
      </c>
    </row>
    <row r="2514" spans="2:2" ht="13.2" x14ac:dyDescent="0.25">
      <c r="B2514" s="3" t="b">
        <v>0</v>
      </c>
    </row>
    <row r="2515" spans="2:2" ht="13.2" x14ac:dyDescent="0.25">
      <c r="B2515" s="3" t="b">
        <v>0</v>
      </c>
    </row>
    <row r="2516" spans="2:2" ht="13.2" x14ac:dyDescent="0.25">
      <c r="B2516" s="3" t="b">
        <v>0</v>
      </c>
    </row>
    <row r="2517" spans="2:2" ht="13.2" x14ac:dyDescent="0.25">
      <c r="B2517" s="3" t="b">
        <v>0</v>
      </c>
    </row>
    <row r="2518" spans="2:2" ht="13.2" x14ac:dyDescent="0.25">
      <c r="B2518" s="3" t="b">
        <v>0</v>
      </c>
    </row>
    <row r="2519" spans="2:2" ht="13.2" x14ac:dyDescent="0.25">
      <c r="B2519" s="3" t="b">
        <v>0</v>
      </c>
    </row>
    <row r="2520" spans="2:2" ht="13.2" x14ac:dyDescent="0.25">
      <c r="B2520" s="3" t="b">
        <v>0</v>
      </c>
    </row>
    <row r="2521" spans="2:2" ht="13.2" x14ac:dyDescent="0.25">
      <c r="B2521" s="3" t="b">
        <v>0</v>
      </c>
    </row>
    <row r="2522" spans="2:2" ht="13.2" x14ac:dyDescent="0.25">
      <c r="B2522" s="3" t="b">
        <v>0</v>
      </c>
    </row>
    <row r="2523" spans="2:2" ht="13.2" x14ac:dyDescent="0.25">
      <c r="B2523" s="3" t="b">
        <v>0</v>
      </c>
    </row>
    <row r="2524" spans="2:2" ht="13.2" x14ac:dyDescent="0.25">
      <c r="B2524" s="3" t="b">
        <v>0</v>
      </c>
    </row>
    <row r="2525" spans="2:2" ht="13.2" x14ac:dyDescent="0.25">
      <c r="B2525" s="3" t="b">
        <v>0</v>
      </c>
    </row>
    <row r="2526" spans="2:2" ht="13.2" x14ac:dyDescent="0.25">
      <c r="B2526" s="3" t="b">
        <v>0</v>
      </c>
    </row>
    <row r="2527" spans="2:2" ht="13.2" x14ac:dyDescent="0.25">
      <c r="B2527" s="3" t="b">
        <v>0</v>
      </c>
    </row>
    <row r="2528" spans="2:2" ht="13.2" x14ac:dyDescent="0.25">
      <c r="B2528" s="3" t="b">
        <v>0</v>
      </c>
    </row>
    <row r="2529" spans="2:2" ht="13.2" x14ac:dyDescent="0.25">
      <c r="B2529" s="3" t="b">
        <v>0</v>
      </c>
    </row>
    <row r="2530" spans="2:2" ht="13.2" x14ac:dyDescent="0.25">
      <c r="B2530" s="3" t="b">
        <v>0</v>
      </c>
    </row>
    <row r="2531" spans="2:2" ht="13.2" x14ac:dyDescent="0.25">
      <c r="B2531" s="3" t="b">
        <v>0</v>
      </c>
    </row>
    <row r="2532" spans="2:2" ht="13.2" x14ac:dyDescent="0.25">
      <c r="B2532" s="3" t="b">
        <v>0</v>
      </c>
    </row>
    <row r="2533" spans="2:2" ht="13.2" x14ac:dyDescent="0.25">
      <c r="B2533" s="3" t="b">
        <v>0</v>
      </c>
    </row>
    <row r="2534" spans="2:2" ht="13.2" x14ac:dyDescent="0.25">
      <c r="B2534" s="3" t="b">
        <v>0</v>
      </c>
    </row>
    <row r="2535" spans="2:2" ht="13.2" x14ac:dyDescent="0.25">
      <c r="B2535" s="3" t="b">
        <v>0</v>
      </c>
    </row>
    <row r="2536" spans="2:2" ht="13.2" x14ac:dyDescent="0.25">
      <c r="B2536" s="3" t="b">
        <v>0</v>
      </c>
    </row>
    <row r="2537" spans="2:2" ht="13.2" x14ac:dyDescent="0.25">
      <c r="B2537" s="3" t="b">
        <v>0</v>
      </c>
    </row>
    <row r="2538" spans="2:2" ht="13.2" x14ac:dyDescent="0.25">
      <c r="B2538" s="3" t="b">
        <v>0</v>
      </c>
    </row>
    <row r="2539" spans="2:2" ht="13.2" x14ac:dyDescent="0.25">
      <c r="B2539" s="3" t="b">
        <v>0</v>
      </c>
    </row>
    <row r="2540" spans="2:2" ht="13.2" x14ac:dyDescent="0.25">
      <c r="B2540" s="3" t="b">
        <v>0</v>
      </c>
    </row>
    <row r="2541" spans="2:2" ht="13.2" x14ac:dyDescent="0.25">
      <c r="B2541" s="3" t="b">
        <v>0</v>
      </c>
    </row>
    <row r="2542" spans="2:2" ht="13.2" x14ac:dyDescent="0.25">
      <c r="B2542" s="3" t="b">
        <v>0</v>
      </c>
    </row>
    <row r="2543" spans="2:2" ht="13.2" x14ac:dyDescent="0.25">
      <c r="B2543" s="3" t="b">
        <v>0</v>
      </c>
    </row>
    <row r="2544" spans="2:2" ht="13.2" x14ac:dyDescent="0.25">
      <c r="B2544" s="3" t="b">
        <v>0</v>
      </c>
    </row>
    <row r="2545" spans="2:2" ht="13.2" x14ac:dyDescent="0.25">
      <c r="B2545" s="3" t="b">
        <v>0</v>
      </c>
    </row>
    <row r="2546" spans="2:2" ht="13.2" x14ac:dyDescent="0.25">
      <c r="B2546" s="3" t="b">
        <v>0</v>
      </c>
    </row>
    <row r="2547" spans="2:2" ht="13.2" x14ac:dyDescent="0.25">
      <c r="B2547" s="3" t="b">
        <v>0</v>
      </c>
    </row>
    <row r="2548" spans="2:2" ht="13.2" x14ac:dyDescent="0.25">
      <c r="B2548" s="3" t="b">
        <v>0</v>
      </c>
    </row>
    <row r="2549" spans="2:2" ht="13.2" x14ac:dyDescent="0.25">
      <c r="B2549" s="3" t="b">
        <v>0</v>
      </c>
    </row>
    <row r="2550" spans="2:2" ht="13.2" x14ac:dyDescent="0.25">
      <c r="B2550" s="3" t="b">
        <v>0</v>
      </c>
    </row>
    <row r="2551" spans="2:2" ht="13.2" x14ac:dyDescent="0.25">
      <c r="B2551" s="3" t="b">
        <v>0</v>
      </c>
    </row>
    <row r="2552" spans="2:2" ht="13.2" x14ac:dyDescent="0.25">
      <c r="B2552" s="3" t="b">
        <v>0</v>
      </c>
    </row>
    <row r="2553" spans="2:2" ht="13.2" x14ac:dyDescent="0.25">
      <c r="B2553" s="3" t="b">
        <v>0</v>
      </c>
    </row>
    <row r="2554" spans="2:2" ht="13.2" x14ac:dyDescent="0.25">
      <c r="B2554" s="3" t="b">
        <v>0</v>
      </c>
    </row>
    <row r="2555" spans="2:2" ht="13.2" x14ac:dyDescent="0.25">
      <c r="B2555" s="3" t="b">
        <v>0</v>
      </c>
    </row>
    <row r="2556" spans="2:2" ht="13.2" x14ac:dyDescent="0.25">
      <c r="B2556" s="3" t="b">
        <v>0</v>
      </c>
    </row>
    <row r="2557" spans="2:2" ht="13.2" x14ac:dyDescent="0.25">
      <c r="B2557" s="3" t="b">
        <v>0</v>
      </c>
    </row>
    <row r="2558" spans="2:2" ht="13.2" x14ac:dyDescent="0.25">
      <c r="B2558" s="3" t="b">
        <v>0</v>
      </c>
    </row>
    <row r="2559" spans="2:2" ht="13.2" x14ac:dyDescent="0.25">
      <c r="B2559" s="3" t="b">
        <v>0</v>
      </c>
    </row>
    <row r="2560" spans="2:2" ht="13.2" x14ac:dyDescent="0.25">
      <c r="B2560" s="3" t="b">
        <v>0</v>
      </c>
    </row>
    <row r="2561" spans="2:2" ht="13.2" x14ac:dyDescent="0.25">
      <c r="B2561" s="3" t="b">
        <v>0</v>
      </c>
    </row>
    <row r="2562" spans="2:2" ht="13.2" x14ac:dyDescent="0.25">
      <c r="B2562" s="3" t="b">
        <v>0</v>
      </c>
    </row>
    <row r="2563" spans="2:2" ht="13.2" x14ac:dyDescent="0.25">
      <c r="B2563" s="3" t="b">
        <v>0</v>
      </c>
    </row>
    <row r="2564" spans="2:2" ht="13.2" x14ac:dyDescent="0.25">
      <c r="B2564" s="3" t="b">
        <v>0</v>
      </c>
    </row>
    <row r="2565" spans="2:2" ht="13.2" x14ac:dyDescent="0.25">
      <c r="B2565" s="3" t="b">
        <v>0</v>
      </c>
    </row>
    <row r="2566" spans="2:2" ht="13.2" x14ac:dyDescent="0.25">
      <c r="B2566" s="3" t="b">
        <v>0</v>
      </c>
    </row>
    <row r="2567" spans="2:2" ht="13.2" x14ac:dyDescent="0.25">
      <c r="B2567" s="3" t="b">
        <v>0</v>
      </c>
    </row>
    <row r="2568" spans="2:2" ht="13.2" x14ac:dyDescent="0.25">
      <c r="B2568" s="3" t="b">
        <v>0</v>
      </c>
    </row>
    <row r="2569" spans="2:2" ht="13.2" x14ac:dyDescent="0.25">
      <c r="B2569" s="3" t="b">
        <v>0</v>
      </c>
    </row>
    <row r="2570" spans="2:2" ht="13.2" x14ac:dyDescent="0.25">
      <c r="B2570" s="3" t="b">
        <v>0</v>
      </c>
    </row>
    <row r="2571" spans="2:2" ht="13.2" x14ac:dyDescent="0.25">
      <c r="B2571" s="3" t="b">
        <v>0</v>
      </c>
    </row>
    <row r="2572" spans="2:2" ht="13.2" x14ac:dyDescent="0.25">
      <c r="B2572" s="3" t="b">
        <v>0</v>
      </c>
    </row>
    <row r="2573" spans="2:2" ht="13.2" x14ac:dyDescent="0.25">
      <c r="B2573" s="3" t="b">
        <v>0</v>
      </c>
    </row>
    <row r="2574" spans="2:2" ht="13.2" x14ac:dyDescent="0.25">
      <c r="B2574" s="3" t="b">
        <v>0</v>
      </c>
    </row>
    <row r="2575" spans="2:2" ht="13.2" x14ac:dyDescent="0.25">
      <c r="B2575" s="3" t="b">
        <v>0</v>
      </c>
    </row>
    <row r="2576" spans="2:2" ht="13.2" x14ac:dyDescent="0.25">
      <c r="B2576" s="3" t="b">
        <v>0</v>
      </c>
    </row>
    <row r="2577" spans="2:2" ht="13.2" x14ac:dyDescent="0.25">
      <c r="B2577" s="3" t="b">
        <v>0</v>
      </c>
    </row>
    <row r="2578" spans="2:2" ht="13.2" x14ac:dyDescent="0.25">
      <c r="B2578" s="3" t="b">
        <v>0</v>
      </c>
    </row>
    <row r="2579" spans="2:2" ht="13.2" x14ac:dyDescent="0.25">
      <c r="B2579" s="3" t="b">
        <v>0</v>
      </c>
    </row>
    <row r="2580" spans="2:2" ht="13.2" x14ac:dyDescent="0.25">
      <c r="B2580" s="3" t="b">
        <v>0</v>
      </c>
    </row>
    <row r="2581" spans="2:2" ht="13.2" x14ac:dyDescent="0.25">
      <c r="B2581" s="3" t="b">
        <v>0</v>
      </c>
    </row>
    <row r="2582" spans="2:2" ht="13.2" x14ac:dyDescent="0.25">
      <c r="B2582" s="3" t="b">
        <v>0</v>
      </c>
    </row>
    <row r="2583" spans="2:2" ht="13.2" x14ac:dyDescent="0.25">
      <c r="B2583" s="3" t="b">
        <v>0</v>
      </c>
    </row>
    <row r="2584" spans="2:2" ht="13.2" x14ac:dyDescent="0.25">
      <c r="B2584" s="3" t="b">
        <v>0</v>
      </c>
    </row>
    <row r="2585" spans="2:2" ht="13.2" x14ac:dyDescent="0.25">
      <c r="B2585" s="3" t="b">
        <v>0</v>
      </c>
    </row>
    <row r="2586" spans="2:2" ht="13.2" x14ac:dyDescent="0.25">
      <c r="B2586" s="3" t="b">
        <v>0</v>
      </c>
    </row>
    <row r="2587" spans="2:2" ht="13.2" x14ac:dyDescent="0.25">
      <c r="B2587" s="3" t="b">
        <v>0</v>
      </c>
    </row>
    <row r="2588" spans="2:2" ht="13.2" x14ac:dyDescent="0.25">
      <c r="B2588" s="3" t="b">
        <v>0</v>
      </c>
    </row>
    <row r="2589" spans="2:2" ht="13.2" x14ac:dyDescent="0.25">
      <c r="B2589" s="3" t="b">
        <v>0</v>
      </c>
    </row>
    <row r="2590" spans="2:2" ht="13.2" x14ac:dyDescent="0.25">
      <c r="B2590" s="3" t="b">
        <v>0</v>
      </c>
    </row>
    <row r="2591" spans="2:2" ht="13.2" x14ac:dyDescent="0.25">
      <c r="B2591" s="3" t="b">
        <v>0</v>
      </c>
    </row>
    <row r="2592" spans="2:2" ht="13.2" x14ac:dyDescent="0.25">
      <c r="B2592" s="3" t="b">
        <v>0</v>
      </c>
    </row>
    <row r="2593" spans="2:2" ht="13.2" x14ac:dyDescent="0.25">
      <c r="B2593" s="3" t="b">
        <v>0</v>
      </c>
    </row>
    <row r="2594" spans="2:2" ht="13.2" x14ac:dyDescent="0.25">
      <c r="B2594" s="3" t="b">
        <v>0</v>
      </c>
    </row>
    <row r="2595" spans="2:2" ht="13.2" x14ac:dyDescent="0.25">
      <c r="B2595" s="3" t="b">
        <v>0</v>
      </c>
    </row>
    <row r="2596" spans="2:2" ht="13.2" x14ac:dyDescent="0.25">
      <c r="B2596" s="3" t="b">
        <v>0</v>
      </c>
    </row>
    <row r="2597" spans="2:2" ht="13.2" x14ac:dyDescent="0.25">
      <c r="B2597" s="3" t="b">
        <v>0</v>
      </c>
    </row>
    <row r="2598" spans="2:2" ht="13.2" x14ac:dyDescent="0.25">
      <c r="B2598" s="3" t="b">
        <v>0</v>
      </c>
    </row>
    <row r="2599" spans="2:2" ht="13.2" x14ac:dyDescent="0.25">
      <c r="B2599" s="3" t="b">
        <v>0</v>
      </c>
    </row>
    <row r="2600" spans="2:2" ht="13.2" x14ac:dyDescent="0.25">
      <c r="B2600" s="3" t="b">
        <v>0</v>
      </c>
    </row>
    <row r="2601" spans="2:2" ht="13.2" x14ac:dyDescent="0.25">
      <c r="B2601" s="3" t="b">
        <v>0</v>
      </c>
    </row>
    <row r="2602" spans="2:2" ht="13.2" x14ac:dyDescent="0.25">
      <c r="B2602" s="3" t="b">
        <v>0</v>
      </c>
    </row>
    <row r="2603" spans="2:2" ht="13.2" x14ac:dyDescent="0.25">
      <c r="B2603" s="3" t="b">
        <v>0</v>
      </c>
    </row>
    <row r="2604" spans="2:2" ht="13.2" x14ac:dyDescent="0.25">
      <c r="B2604" s="3" t="b">
        <v>0</v>
      </c>
    </row>
    <row r="2605" spans="2:2" ht="13.2" x14ac:dyDescent="0.25">
      <c r="B2605" s="3" t="b">
        <v>0</v>
      </c>
    </row>
    <row r="2606" spans="2:2" ht="13.2" x14ac:dyDescent="0.25">
      <c r="B2606" s="3" t="b">
        <v>0</v>
      </c>
    </row>
    <row r="2607" spans="2:2" ht="13.2" x14ac:dyDescent="0.25">
      <c r="B2607" s="3" t="b">
        <v>0</v>
      </c>
    </row>
    <row r="2608" spans="2:2" ht="13.2" x14ac:dyDescent="0.25">
      <c r="B2608" s="3" t="b">
        <v>0</v>
      </c>
    </row>
    <row r="2609" spans="2:2" ht="13.2" x14ac:dyDescent="0.25">
      <c r="B2609" s="3" t="b">
        <v>0</v>
      </c>
    </row>
    <row r="2610" spans="2:2" ht="13.2" x14ac:dyDescent="0.25">
      <c r="B2610" s="3" t="b">
        <v>0</v>
      </c>
    </row>
    <row r="2611" spans="2:2" ht="13.2" x14ac:dyDescent="0.25">
      <c r="B2611" s="3" t="b">
        <v>0</v>
      </c>
    </row>
    <row r="2612" spans="2:2" ht="13.2" x14ac:dyDescent="0.25">
      <c r="B2612" s="3" t="b">
        <v>0</v>
      </c>
    </row>
    <row r="2613" spans="2:2" ht="13.2" x14ac:dyDescent="0.25">
      <c r="B2613" s="3" t="b">
        <v>0</v>
      </c>
    </row>
    <row r="2614" spans="2:2" ht="13.2" x14ac:dyDescent="0.25">
      <c r="B2614" s="3" t="b">
        <v>0</v>
      </c>
    </row>
    <row r="2615" spans="2:2" ht="13.2" x14ac:dyDescent="0.25">
      <c r="B2615" s="3" t="b">
        <v>0</v>
      </c>
    </row>
    <row r="2616" spans="2:2" ht="13.2" x14ac:dyDescent="0.25">
      <c r="B2616" s="3" t="b">
        <v>0</v>
      </c>
    </row>
    <row r="2617" spans="2:2" ht="13.2" x14ac:dyDescent="0.25">
      <c r="B2617" s="3" t="b">
        <v>0</v>
      </c>
    </row>
    <row r="2618" spans="2:2" ht="13.2" x14ac:dyDescent="0.25">
      <c r="B2618" s="3" t="b">
        <v>0</v>
      </c>
    </row>
    <row r="2619" spans="2:2" ht="13.2" x14ac:dyDescent="0.25">
      <c r="B2619" s="3" t="b">
        <v>0</v>
      </c>
    </row>
    <row r="2620" spans="2:2" ht="13.2" x14ac:dyDescent="0.25">
      <c r="B2620" s="3" t="b">
        <v>0</v>
      </c>
    </row>
    <row r="2621" spans="2:2" ht="13.2" x14ac:dyDescent="0.25">
      <c r="B2621" s="3" t="b">
        <v>0</v>
      </c>
    </row>
    <row r="2622" spans="2:2" ht="13.2" x14ac:dyDescent="0.25">
      <c r="B2622" s="3" t="b">
        <v>0</v>
      </c>
    </row>
    <row r="2623" spans="2:2" ht="13.2" x14ac:dyDescent="0.25">
      <c r="B2623" s="3" t="b">
        <v>0</v>
      </c>
    </row>
    <row r="2624" spans="2:2" ht="13.2" x14ac:dyDescent="0.25">
      <c r="B2624" s="3" t="b">
        <v>0</v>
      </c>
    </row>
    <row r="2625" spans="2:2" ht="13.2" x14ac:dyDescent="0.25">
      <c r="B2625" s="3" t="b">
        <v>0</v>
      </c>
    </row>
    <row r="2626" spans="2:2" ht="13.2" x14ac:dyDescent="0.25">
      <c r="B2626" s="3" t="b">
        <v>0</v>
      </c>
    </row>
    <row r="2627" spans="2:2" ht="13.2" x14ac:dyDescent="0.25">
      <c r="B2627" s="3" t="b">
        <v>0</v>
      </c>
    </row>
    <row r="2628" spans="2:2" ht="13.2" x14ac:dyDescent="0.25">
      <c r="B2628" s="3" t="b">
        <v>0</v>
      </c>
    </row>
    <row r="2629" spans="2:2" ht="13.2" x14ac:dyDescent="0.25">
      <c r="B2629" s="3" t="b">
        <v>0</v>
      </c>
    </row>
    <row r="2630" spans="2:2" ht="13.2" x14ac:dyDescent="0.25">
      <c r="B2630" s="3" t="b">
        <v>0</v>
      </c>
    </row>
    <row r="2631" spans="2:2" ht="13.2" x14ac:dyDescent="0.25">
      <c r="B2631" s="3" t="b">
        <v>0</v>
      </c>
    </row>
    <row r="2632" spans="2:2" ht="13.2" x14ac:dyDescent="0.25">
      <c r="B2632" s="3" t="b">
        <v>0</v>
      </c>
    </row>
    <row r="2633" spans="2:2" ht="13.2" x14ac:dyDescent="0.25">
      <c r="B2633" s="3" t="b">
        <v>0</v>
      </c>
    </row>
    <row r="2634" spans="2:2" ht="13.2" x14ac:dyDescent="0.25">
      <c r="B2634" s="3" t="b">
        <v>0</v>
      </c>
    </row>
    <row r="2635" spans="2:2" ht="13.2" x14ac:dyDescent="0.25">
      <c r="B2635" s="3" t="b">
        <v>0</v>
      </c>
    </row>
    <row r="2636" spans="2:2" ht="13.2" x14ac:dyDescent="0.25">
      <c r="B2636" s="3" t="b">
        <v>0</v>
      </c>
    </row>
    <row r="2637" spans="2:2" ht="13.2" x14ac:dyDescent="0.25">
      <c r="B2637" s="3" t="b">
        <v>0</v>
      </c>
    </row>
    <row r="2638" spans="2:2" ht="13.2" x14ac:dyDescent="0.25">
      <c r="B2638" s="3" t="b">
        <v>0</v>
      </c>
    </row>
    <row r="2639" spans="2:2" ht="13.2" x14ac:dyDescent="0.25">
      <c r="B2639" s="3" t="b">
        <v>0</v>
      </c>
    </row>
    <row r="2640" spans="2:2" ht="13.2" x14ac:dyDescent="0.25">
      <c r="B2640" s="3" t="b">
        <v>0</v>
      </c>
    </row>
    <row r="2641" spans="2:2" ht="13.2" x14ac:dyDescent="0.25">
      <c r="B2641" s="3" t="b">
        <v>0</v>
      </c>
    </row>
    <row r="2642" spans="2:2" ht="13.2" x14ac:dyDescent="0.25">
      <c r="B2642" s="3" t="b">
        <v>0</v>
      </c>
    </row>
    <row r="2643" spans="2:2" ht="13.2" x14ac:dyDescent="0.25">
      <c r="B2643" s="3" t="b">
        <v>0</v>
      </c>
    </row>
    <row r="2644" spans="2:2" ht="13.2" x14ac:dyDescent="0.25">
      <c r="B2644" s="3" t="b">
        <v>0</v>
      </c>
    </row>
    <row r="2645" spans="2:2" ht="13.2" x14ac:dyDescent="0.25">
      <c r="B2645" s="3" t="b">
        <v>0</v>
      </c>
    </row>
    <row r="2646" spans="2:2" ht="13.2" x14ac:dyDescent="0.25">
      <c r="B2646" s="3" t="b">
        <v>0</v>
      </c>
    </row>
    <row r="2647" spans="2:2" ht="13.2" x14ac:dyDescent="0.25">
      <c r="B2647" s="3" t="b">
        <v>0</v>
      </c>
    </row>
    <row r="2648" spans="2:2" ht="13.2" x14ac:dyDescent="0.25">
      <c r="B2648" s="3" t="b">
        <v>0</v>
      </c>
    </row>
    <row r="2649" spans="2:2" ht="13.2" x14ac:dyDescent="0.25">
      <c r="B2649" s="3" t="b">
        <v>0</v>
      </c>
    </row>
    <row r="2650" spans="2:2" ht="13.2" x14ac:dyDescent="0.25">
      <c r="B2650" s="3" t="b">
        <v>0</v>
      </c>
    </row>
    <row r="2651" spans="2:2" ht="13.2" x14ac:dyDescent="0.25">
      <c r="B2651" s="3" t="b">
        <v>0</v>
      </c>
    </row>
    <row r="2652" spans="2:2" ht="13.2" x14ac:dyDescent="0.25">
      <c r="B2652" s="3" t="b">
        <v>0</v>
      </c>
    </row>
    <row r="2653" spans="2:2" ht="13.2" x14ac:dyDescent="0.25">
      <c r="B2653" s="3" t="b">
        <v>0</v>
      </c>
    </row>
    <row r="2654" spans="2:2" ht="13.2" x14ac:dyDescent="0.25">
      <c r="B2654" s="3" t="b">
        <v>0</v>
      </c>
    </row>
    <row r="2655" spans="2:2" ht="13.2" x14ac:dyDescent="0.25">
      <c r="B2655" s="3" t="b">
        <v>0</v>
      </c>
    </row>
    <row r="2656" spans="2:2" ht="13.2" x14ac:dyDescent="0.25">
      <c r="B2656" s="3" t="b">
        <v>0</v>
      </c>
    </row>
    <row r="2657" spans="2:2" ht="13.2" x14ac:dyDescent="0.25">
      <c r="B2657" s="3" t="b">
        <v>0</v>
      </c>
    </row>
    <row r="2658" spans="2:2" ht="13.2" x14ac:dyDescent="0.25">
      <c r="B2658" s="3" t="b">
        <v>0</v>
      </c>
    </row>
    <row r="2659" spans="2:2" ht="13.2" x14ac:dyDescent="0.25">
      <c r="B2659" s="3" t="b">
        <v>0</v>
      </c>
    </row>
    <row r="2660" spans="2:2" ht="13.2" x14ac:dyDescent="0.25">
      <c r="B2660" s="3" t="b">
        <v>0</v>
      </c>
    </row>
    <row r="2661" spans="2:2" ht="13.2" x14ac:dyDescent="0.25">
      <c r="B2661" s="3" t="b">
        <v>0</v>
      </c>
    </row>
    <row r="2662" spans="2:2" ht="13.2" x14ac:dyDescent="0.25">
      <c r="B2662" s="3" t="b">
        <v>0</v>
      </c>
    </row>
    <row r="2663" spans="2:2" ht="13.2" x14ac:dyDescent="0.25">
      <c r="B2663" s="3" t="b">
        <v>0</v>
      </c>
    </row>
    <row r="2664" spans="2:2" ht="13.2" x14ac:dyDescent="0.25">
      <c r="B2664" s="3" t="b">
        <v>0</v>
      </c>
    </row>
    <row r="2665" spans="2:2" ht="13.2" x14ac:dyDescent="0.25">
      <c r="B2665" s="3" t="b">
        <v>0</v>
      </c>
    </row>
    <row r="2666" spans="2:2" ht="13.2" x14ac:dyDescent="0.25">
      <c r="B2666" s="3" t="b">
        <v>0</v>
      </c>
    </row>
    <row r="2667" spans="2:2" ht="13.2" x14ac:dyDescent="0.25">
      <c r="B2667" s="3" t="b">
        <v>0</v>
      </c>
    </row>
    <row r="2668" spans="2:2" ht="13.2" x14ac:dyDescent="0.25">
      <c r="B2668" s="3" t="b">
        <v>0</v>
      </c>
    </row>
    <row r="2669" spans="2:2" ht="13.2" x14ac:dyDescent="0.25">
      <c r="B2669" s="3" t="b">
        <v>0</v>
      </c>
    </row>
    <row r="2670" spans="2:2" ht="13.2" x14ac:dyDescent="0.25">
      <c r="B2670" s="3" t="b">
        <v>0</v>
      </c>
    </row>
    <row r="2671" spans="2:2" ht="13.2" x14ac:dyDescent="0.25">
      <c r="B2671" s="3" t="b">
        <v>0</v>
      </c>
    </row>
    <row r="2672" spans="2:2" ht="13.2" x14ac:dyDescent="0.25">
      <c r="B2672" s="3" t="b">
        <v>0</v>
      </c>
    </row>
    <row r="2673" spans="2:2" ht="13.2" x14ac:dyDescent="0.25">
      <c r="B2673" s="3" t="b">
        <v>0</v>
      </c>
    </row>
    <row r="2674" spans="2:2" ht="13.2" x14ac:dyDescent="0.25">
      <c r="B2674" s="3" t="b">
        <v>0</v>
      </c>
    </row>
    <row r="2675" spans="2:2" ht="13.2" x14ac:dyDescent="0.25">
      <c r="B2675" s="3" t="b">
        <v>0</v>
      </c>
    </row>
    <row r="2676" spans="2:2" ht="13.2" x14ac:dyDescent="0.25">
      <c r="B2676" s="3" t="b">
        <v>0</v>
      </c>
    </row>
    <row r="2677" spans="2:2" ht="13.2" x14ac:dyDescent="0.25">
      <c r="B2677" s="3" t="b">
        <v>0</v>
      </c>
    </row>
    <row r="2678" spans="2:2" ht="13.2" x14ac:dyDescent="0.25">
      <c r="B2678" s="3" t="b">
        <v>0</v>
      </c>
    </row>
    <row r="2679" spans="2:2" ht="13.2" x14ac:dyDescent="0.25">
      <c r="B2679" s="3" t="b">
        <v>0</v>
      </c>
    </row>
    <row r="2680" spans="2:2" ht="13.2" x14ac:dyDescent="0.25">
      <c r="B2680" s="3" t="b">
        <v>0</v>
      </c>
    </row>
    <row r="2681" spans="2:2" ht="13.2" x14ac:dyDescent="0.25">
      <c r="B2681" s="3" t="b">
        <v>0</v>
      </c>
    </row>
    <row r="2682" spans="2:2" ht="13.2" x14ac:dyDescent="0.25">
      <c r="B2682" s="3" t="b">
        <v>0</v>
      </c>
    </row>
    <row r="2683" spans="2:2" ht="13.2" x14ac:dyDescent="0.25">
      <c r="B2683" s="3" t="b">
        <v>0</v>
      </c>
    </row>
    <row r="2684" spans="2:2" ht="13.2" x14ac:dyDescent="0.25">
      <c r="B2684" s="3" t="b">
        <v>0</v>
      </c>
    </row>
    <row r="2685" spans="2:2" ht="13.2" x14ac:dyDescent="0.25">
      <c r="B2685" s="3" t="b">
        <v>0</v>
      </c>
    </row>
    <row r="2686" spans="2:2" ht="13.2" x14ac:dyDescent="0.25">
      <c r="B2686" s="3" t="b">
        <v>0</v>
      </c>
    </row>
    <row r="2687" spans="2:2" ht="13.2" x14ac:dyDescent="0.25">
      <c r="B2687" s="3" t="b">
        <v>0</v>
      </c>
    </row>
    <row r="2688" spans="2:2" ht="13.2" x14ac:dyDescent="0.25">
      <c r="B2688" s="3" t="b">
        <v>0</v>
      </c>
    </row>
    <row r="2689" spans="2:2" ht="13.2" x14ac:dyDescent="0.25">
      <c r="B2689" s="3" t="b">
        <v>0</v>
      </c>
    </row>
    <row r="2690" spans="2:2" ht="13.2" x14ac:dyDescent="0.25">
      <c r="B2690" s="3" t="b">
        <v>0</v>
      </c>
    </row>
    <row r="2691" spans="2:2" ht="13.2" x14ac:dyDescent="0.25">
      <c r="B2691" s="3" t="b">
        <v>0</v>
      </c>
    </row>
    <row r="2692" spans="2:2" ht="13.2" x14ac:dyDescent="0.25">
      <c r="B2692" s="3" t="b">
        <v>0</v>
      </c>
    </row>
    <row r="2693" spans="2:2" ht="13.2" x14ac:dyDescent="0.25">
      <c r="B2693" s="3" t="b">
        <v>0</v>
      </c>
    </row>
    <row r="2694" spans="2:2" ht="13.2" x14ac:dyDescent="0.25">
      <c r="B2694" s="3" t="b">
        <v>0</v>
      </c>
    </row>
    <row r="2695" spans="2:2" ht="13.2" x14ac:dyDescent="0.25">
      <c r="B2695" s="3" t="b">
        <v>0</v>
      </c>
    </row>
    <row r="2696" spans="2:2" ht="13.2" x14ac:dyDescent="0.25">
      <c r="B2696" s="3" t="b">
        <v>0</v>
      </c>
    </row>
    <row r="2697" spans="2:2" ht="13.2" x14ac:dyDescent="0.25">
      <c r="B2697" s="3" t="b">
        <v>0</v>
      </c>
    </row>
    <row r="2698" spans="2:2" ht="13.2" x14ac:dyDescent="0.25">
      <c r="B2698" s="3" t="b">
        <v>0</v>
      </c>
    </row>
    <row r="2699" spans="2:2" ht="13.2" x14ac:dyDescent="0.25">
      <c r="B2699" s="3" t="b">
        <v>0</v>
      </c>
    </row>
    <row r="2700" spans="2:2" ht="13.2" x14ac:dyDescent="0.25">
      <c r="B2700" s="3" t="b">
        <v>0</v>
      </c>
    </row>
    <row r="2701" spans="2:2" ht="13.2" x14ac:dyDescent="0.25">
      <c r="B2701" s="3" t="b">
        <v>0</v>
      </c>
    </row>
    <row r="2702" spans="2:2" ht="13.2" x14ac:dyDescent="0.25">
      <c r="B2702" s="3" t="b">
        <v>0</v>
      </c>
    </row>
    <row r="2703" spans="2:2" ht="13.2" x14ac:dyDescent="0.25">
      <c r="B2703" s="3" t="b">
        <v>0</v>
      </c>
    </row>
    <row r="2704" spans="2:2" ht="13.2" x14ac:dyDescent="0.25">
      <c r="B2704" s="3" t="b">
        <v>0</v>
      </c>
    </row>
    <row r="2705" spans="2:2" ht="13.2" x14ac:dyDescent="0.25">
      <c r="B2705" s="3" t="b">
        <v>0</v>
      </c>
    </row>
    <row r="2706" spans="2:2" ht="13.2" x14ac:dyDescent="0.25">
      <c r="B2706" s="3" t="b">
        <v>0</v>
      </c>
    </row>
    <row r="2707" spans="2:2" ht="13.2" x14ac:dyDescent="0.25">
      <c r="B2707" s="3" t="b">
        <v>0</v>
      </c>
    </row>
    <row r="2708" spans="2:2" ht="13.2" x14ac:dyDescent="0.25">
      <c r="B2708" s="3" t="b">
        <v>0</v>
      </c>
    </row>
    <row r="2709" spans="2:2" ht="13.2" x14ac:dyDescent="0.25">
      <c r="B2709" s="3" t="b">
        <v>0</v>
      </c>
    </row>
    <row r="2710" spans="2:2" ht="13.2" x14ac:dyDescent="0.25">
      <c r="B2710" s="3" t="b">
        <v>0</v>
      </c>
    </row>
    <row r="2711" spans="2:2" ht="13.2" x14ac:dyDescent="0.25">
      <c r="B2711" s="3" t="b">
        <v>0</v>
      </c>
    </row>
    <row r="2712" spans="2:2" ht="13.2" x14ac:dyDescent="0.25">
      <c r="B2712" s="3" t="b">
        <v>0</v>
      </c>
    </row>
    <row r="2713" spans="2:2" ht="13.2" x14ac:dyDescent="0.25">
      <c r="B2713" s="3" t="b">
        <v>0</v>
      </c>
    </row>
    <row r="2714" spans="2:2" ht="13.2" x14ac:dyDescent="0.25">
      <c r="B2714" s="3" t="b">
        <v>0</v>
      </c>
    </row>
    <row r="2715" spans="2:2" ht="13.2" x14ac:dyDescent="0.25">
      <c r="B2715" s="3" t="b">
        <v>0</v>
      </c>
    </row>
    <row r="2716" spans="2:2" ht="13.2" x14ac:dyDescent="0.25">
      <c r="B2716" s="3" t="b">
        <v>0</v>
      </c>
    </row>
    <row r="2717" spans="2:2" ht="13.2" x14ac:dyDescent="0.25">
      <c r="B2717" s="3" t="b">
        <v>0</v>
      </c>
    </row>
    <row r="2718" spans="2:2" ht="13.2" x14ac:dyDescent="0.25">
      <c r="B2718" s="3" t="b">
        <v>0</v>
      </c>
    </row>
    <row r="2719" spans="2:2" ht="13.2" x14ac:dyDescent="0.25">
      <c r="B2719" s="3" t="b">
        <v>0</v>
      </c>
    </row>
    <row r="2720" spans="2:2" ht="13.2" x14ac:dyDescent="0.25">
      <c r="B2720" s="3" t="b">
        <v>0</v>
      </c>
    </row>
    <row r="2721" spans="2:2" ht="13.2" x14ac:dyDescent="0.25">
      <c r="B2721" s="3" t="b">
        <v>0</v>
      </c>
    </row>
    <row r="2722" spans="2:2" ht="13.2" x14ac:dyDescent="0.25">
      <c r="B2722" s="3" t="b">
        <v>0</v>
      </c>
    </row>
    <row r="2723" spans="2:2" ht="13.2" x14ac:dyDescent="0.25">
      <c r="B2723" s="3" t="b">
        <v>0</v>
      </c>
    </row>
    <row r="2724" spans="2:2" ht="13.2" x14ac:dyDescent="0.25">
      <c r="B2724" s="3" t="b">
        <v>0</v>
      </c>
    </row>
    <row r="2725" spans="2:2" ht="13.2" x14ac:dyDescent="0.25">
      <c r="B2725" s="3" t="b">
        <v>0</v>
      </c>
    </row>
    <row r="2726" spans="2:2" ht="13.2" x14ac:dyDescent="0.25">
      <c r="B2726" s="3" t="b">
        <v>0</v>
      </c>
    </row>
    <row r="2727" spans="2:2" ht="13.2" x14ac:dyDescent="0.25">
      <c r="B2727" s="3" t="b">
        <v>0</v>
      </c>
    </row>
    <row r="2728" spans="2:2" ht="13.2" x14ac:dyDescent="0.25">
      <c r="B2728" s="3" t="b">
        <v>0</v>
      </c>
    </row>
    <row r="2729" spans="2:2" ht="13.2" x14ac:dyDescent="0.25">
      <c r="B2729" s="3" t="b">
        <v>0</v>
      </c>
    </row>
    <row r="2730" spans="2:2" ht="13.2" x14ac:dyDescent="0.25">
      <c r="B2730" s="3" t="b">
        <v>0</v>
      </c>
    </row>
    <row r="2731" spans="2:2" ht="13.2" x14ac:dyDescent="0.25">
      <c r="B2731" s="3" t="b">
        <v>0</v>
      </c>
    </row>
    <row r="2732" spans="2:2" ht="13.2" x14ac:dyDescent="0.25">
      <c r="B2732" s="3" t="b">
        <v>0</v>
      </c>
    </row>
    <row r="2733" spans="2:2" ht="13.2" x14ac:dyDescent="0.25">
      <c r="B2733" s="3" t="b">
        <v>0</v>
      </c>
    </row>
    <row r="2734" spans="2:2" ht="13.2" x14ac:dyDescent="0.25">
      <c r="B2734" s="3" t="b">
        <v>0</v>
      </c>
    </row>
    <row r="2735" spans="2:2" ht="13.2" x14ac:dyDescent="0.25">
      <c r="B2735" s="3" t="b">
        <v>0</v>
      </c>
    </row>
    <row r="2736" spans="2:2" ht="13.2" x14ac:dyDescent="0.25">
      <c r="B2736" s="3" t="b">
        <v>0</v>
      </c>
    </row>
    <row r="2737" spans="2:2" ht="13.2" x14ac:dyDescent="0.25">
      <c r="B2737" s="3" t="b">
        <v>0</v>
      </c>
    </row>
    <row r="2738" spans="2:2" ht="13.2" x14ac:dyDescent="0.25">
      <c r="B2738" s="3" t="b">
        <v>0</v>
      </c>
    </row>
    <row r="2739" spans="2:2" ht="13.2" x14ac:dyDescent="0.25">
      <c r="B2739" s="3" t="b">
        <v>0</v>
      </c>
    </row>
    <row r="2740" spans="2:2" ht="13.2" x14ac:dyDescent="0.25">
      <c r="B2740" s="3" t="b">
        <v>0</v>
      </c>
    </row>
    <row r="2741" spans="2:2" ht="13.2" x14ac:dyDescent="0.25">
      <c r="B2741" s="3" t="b">
        <v>0</v>
      </c>
    </row>
    <row r="2742" spans="2:2" ht="13.2" x14ac:dyDescent="0.25">
      <c r="B2742" s="3" t="b">
        <v>0</v>
      </c>
    </row>
    <row r="2743" spans="2:2" ht="13.2" x14ac:dyDescent="0.25">
      <c r="B2743" s="3" t="b">
        <v>0</v>
      </c>
    </row>
    <row r="2744" spans="2:2" ht="13.2" x14ac:dyDescent="0.25">
      <c r="B2744" s="3" t="b">
        <v>0</v>
      </c>
    </row>
    <row r="2745" spans="2:2" ht="13.2" x14ac:dyDescent="0.25">
      <c r="B2745" s="3" t="b">
        <v>0</v>
      </c>
    </row>
    <row r="2746" spans="2:2" ht="13.2" x14ac:dyDescent="0.25">
      <c r="B2746" s="3" t="b">
        <v>0</v>
      </c>
    </row>
    <row r="2747" spans="2:2" ht="13.2" x14ac:dyDescent="0.25">
      <c r="B2747" s="3" t="b">
        <v>0</v>
      </c>
    </row>
    <row r="2748" spans="2:2" ht="13.2" x14ac:dyDescent="0.25">
      <c r="B2748" s="3" t="b">
        <v>0</v>
      </c>
    </row>
    <row r="2749" spans="2:2" ht="13.2" x14ac:dyDescent="0.25">
      <c r="B2749" s="3" t="b">
        <v>0</v>
      </c>
    </row>
    <row r="2750" spans="2:2" ht="13.2" x14ac:dyDescent="0.25">
      <c r="B2750" s="3" t="b">
        <v>0</v>
      </c>
    </row>
    <row r="2751" spans="2:2" ht="13.2" x14ac:dyDescent="0.25">
      <c r="B2751" s="3" t="b">
        <v>0</v>
      </c>
    </row>
    <row r="2752" spans="2:2" ht="13.2" x14ac:dyDescent="0.25">
      <c r="B2752" s="3" t="b">
        <v>0</v>
      </c>
    </row>
    <row r="2753" spans="2:2" ht="13.2" x14ac:dyDescent="0.25">
      <c r="B2753" s="3" t="b">
        <v>0</v>
      </c>
    </row>
    <row r="2754" spans="2:2" ht="13.2" x14ac:dyDescent="0.25">
      <c r="B2754" s="3" t="b">
        <v>0</v>
      </c>
    </row>
    <row r="2755" spans="2:2" ht="13.2" x14ac:dyDescent="0.25">
      <c r="B2755" s="3" t="b">
        <v>0</v>
      </c>
    </row>
    <row r="2756" spans="2:2" ht="13.2" x14ac:dyDescent="0.25">
      <c r="B2756" s="3" t="b">
        <v>0</v>
      </c>
    </row>
    <row r="2757" spans="2:2" ht="13.2" x14ac:dyDescent="0.25">
      <c r="B2757" s="3" t="b">
        <v>0</v>
      </c>
    </row>
    <row r="2758" spans="2:2" ht="13.2" x14ac:dyDescent="0.25">
      <c r="B2758" s="3" t="b">
        <v>0</v>
      </c>
    </row>
    <row r="2759" spans="2:2" ht="13.2" x14ac:dyDescent="0.25">
      <c r="B2759" s="3" t="b">
        <v>0</v>
      </c>
    </row>
    <row r="2760" spans="2:2" ht="13.2" x14ac:dyDescent="0.25">
      <c r="B2760" s="3" t="b">
        <v>0</v>
      </c>
    </row>
    <row r="2761" spans="2:2" ht="13.2" x14ac:dyDescent="0.25">
      <c r="B2761" s="3" t="b">
        <v>0</v>
      </c>
    </row>
    <row r="2762" spans="2:2" ht="13.2" x14ac:dyDescent="0.25">
      <c r="B2762" s="3" t="b">
        <v>0</v>
      </c>
    </row>
    <row r="2763" spans="2:2" ht="13.2" x14ac:dyDescent="0.25">
      <c r="B2763" s="3" t="b">
        <v>0</v>
      </c>
    </row>
    <row r="2764" spans="2:2" ht="13.2" x14ac:dyDescent="0.25">
      <c r="B2764" s="3" t="b">
        <v>0</v>
      </c>
    </row>
    <row r="2765" spans="2:2" ht="13.2" x14ac:dyDescent="0.25">
      <c r="B2765" s="3" t="b">
        <v>0</v>
      </c>
    </row>
    <row r="2766" spans="2:2" ht="13.2" x14ac:dyDescent="0.25">
      <c r="B2766" s="3" t="b">
        <v>0</v>
      </c>
    </row>
    <row r="2767" spans="2:2" ht="13.2" x14ac:dyDescent="0.25">
      <c r="B2767" s="3" t="b">
        <v>0</v>
      </c>
    </row>
    <row r="2768" spans="2:2" ht="13.2" x14ac:dyDescent="0.25">
      <c r="B2768" s="3" t="b">
        <v>0</v>
      </c>
    </row>
    <row r="2769" spans="2:2" ht="13.2" x14ac:dyDescent="0.25">
      <c r="B2769" s="3" t="b">
        <v>0</v>
      </c>
    </row>
    <row r="2770" spans="2:2" ht="13.2" x14ac:dyDescent="0.25">
      <c r="B2770" s="3" t="b">
        <v>0</v>
      </c>
    </row>
    <row r="2771" spans="2:2" ht="13.2" x14ac:dyDescent="0.25">
      <c r="B2771" s="3" t="b">
        <v>0</v>
      </c>
    </row>
    <row r="2772" spans="2:2" ht="13.2" x14ac:dyDescent="0.25">
      <c r="B2772" s="3" t="b">
        <v>0</v>
      </c>
    </row>
    <row r="2773" spans="2:2" ht="13.2" x14ac:dyDescent="0.25">
      <c r="B2773" s="3" t="b">
        <v>0</v>
      </c>
    </row>
    <row r="2774" spans="2:2" ht="13.2" x14ac:dyDescent="0.25">
      <c r="B2774" s="3" t="b">
        <v>0</v>
      </c>
    </row>
    <row r="2775" spans="2:2" ht="13.2" x14ac:dyDescent="0.25">
      <c r="B2775" s="3" t="b">
        <v>0</v>
      </c>
    </row>
    <row r="2776" spans="2:2" ht="13.2" x14ac:dyDescent="0.25">
      <c r="B2776" s="3" t="b">
        <v>0</v>
      </c>
    </row>
    <row r="2777" spans="2:2" ht="13.2" x14ac:dyDescent="0.25">
      <c r="B2777" s="3" t="b">
        <v>0</v>
      </c>
    </row>
    <row r="2778" spans="2:2" ht="13.2" x14ac:dyDescent="0.25">
      <c r="B2778" s="3" t="b">
        <v>0</v>
      </c>
    </row>
    <row r="2779" spans="2:2" ht="13.2" x14ac:dyDescent="0.25">
      <c r="B2779" s="3" t="b">
        <v>0</v>
      </c>
    </row>
    <row r="2780" spans="2:2" ht="13.2" x14ac:dyDescent="0.25">
      <c r="B2780" s="3" t="b">
        <v>0</v>
      </c>
    </row>
    <row r="2781" spans="2:2" ht="13.2" x14ac:dyDescent="0.25">
      <c r="B2781" s="3" t="b">
        <v>0</v>
      </c>
    </row>
    <row r="2782" spans="2:2" ht="13.2" x14ac:dyDescent="0.25">
      <c r="B2782" s="3" t="b">
        <v>0</v>
      </c>
    </row>
    <row r="2783" spans="2:2" ht="13.2" x14ac:dyDescent="0.25">
      <c r="B2783" s="3" t="b">
        <v>0</v>
      </c>
    </row>
    <row r="2784" spans="2:2" ht="13.2" x14ac:dyDescent="0.25">
      <c r="B2784" s="3" t="b">
        <v>0</v>
      </c>
    </row>
    <row r="2785" spans="2:2" ht="13.2" x14ac:dyDescent="0.25">
      <c r="B2785" s="3" t="b">
        <v>0</v>
      </c>
    </row>
    <row r="2786" spans="2:2" ht="13.2" x14ac:dyDescent="0.25">
      <c r="B2786" s="3" t="b">
        <v>0</v>
      </c>
    </row>
    <row r="2787" spans="2:2" ht="13.2" x14ac:dyDescent="0.25">
      <c r="B2787" s="3" t="b">
        <v>0</v>
      </c>
    </row>
    <row r="2788" spans="2:2" ht="13.2" x14ac:dyDescent="0.25">
      <c r="B2788" s="3" t="b">
        <v>0</v>
      </c>
    </row>
    <row r="2789" spans="2:2" ht="13.2" x14ac:dyDescent="0.25">
      <c r="B2789" s="3" t="b">
        <v>0</v>
      </c>
    </row>
    <row r="2790" spans="2:2" ht="13.2" x14ac:dyDescent="0.25">
      <c r="B2790" s="3" t="b">
        <v>0</v>
      </c>
    </row>
    <row r="2791" spans="2:2" ht="13.2" x14ac:dyDescent="0.25">
      <c r="B2791" s="3" t="b">
        <v>0</v>
      </c>
    </row>
    <row r="2792" spans="2:2" ht="13.2" x14ac:dyDescent="0.25">
      <c r="B2792" s="3" t="b">
        <v>0</v>
      </c>
    </row>
    <row r="2793" spans="2:2" ht="13.2" x14ac:dyDescent="0.25">
      <c r="B2793" s="3" t="b">
        <v>0</v>
      </c>
    </row>
    <row r="2794" spans="2:2" ht="13.2" x14ac:dyDescent="0.25">
      <c r="B2794" s="3" t="b">
        <v>0</v>
      </c>
    </row>
    <row r="2795" spans="2:2" ht="13.2" x14ac:dyDescent="0.25">
      <c r="B2795" s="3" t="b">
        <v>0</v>
      </c>
    </row>
    <row r="2796" spans="2:2" ht="13.2" x14ac:dyDescent="0.25">
      <c r="B2796" s="3" t="b">
        <v>0</v>
      </c>
    </row>
    <row r="2797" spans="2:2" ht="13.2" x14ac:dyDescent="0.25">
      <c r="B2797" s="3" t="b">
        <v>0</v>
      </c>
    </row>
    <row r="2798" spans="2:2" ht="13.2" x14ac:dyDescent="0.25">
      <c r="B2798" s="3" t="b">
        <v>0</v>
      </c>
    </row>
    <row r="2799" spans="2:2" ht="13.2" x14ac:dyDescent="0.25">
      <c r="B2799" s="3" t="b">
        <v>0</v>
      </c>
    </row>
    <row r="2800" spans="2:2" ht="13.2" x14ac:dyDescent="0.25">
      <c r="B2800" s="3" t="b">
        <v>0</v>
      </c>
    </row>
    <row r="2801" spans="2:2" ht="13.2" x14ac:dyDescent="0.25">
      <c r="B2801" s="3" t="b">
        <v>0</v>
      </c>
    </row>
    <row r="2802" spans="2:2" ht="13.2" x14ac:dyDescent="0.25">
      <c r="B2802" s="3" t="b">
        <v>0</v>
      </c>
    </row>
    <row r="2803" spans="2:2" ht="13.2" x14ac:dyDescent="0.25">
      <c r="B2803" s="3" t="b">
        <v>0</v>
      </c>
    </row>
    <row r="2804" spans="2:2" ht="13.2" x14ac:dyDescent="0.25">
      <c r="B2804" s="3" t="b">
        <v>0</v>
      </c>
    </row>
    <row r="2805" spans="2:2" ht="13.2" x14ac:dyDescent="0.25">
      <c r="B2805" s="3" t="b">
        <v>0</v>
      </c>
    </row>
    <row r="2806" spans="2:2" ht="13.2" x14ac:dyDescent="0.25">
      <c r="B2806" s="3" t="b">
        <v>0</v>
      </c>
    </row>
    <row r="2807" spans="2:2" ht="13.2" x14ac:dyDescent="0.25">
      <c r="B2807" s="3" t="b">
        <v>0</v>
      </c>
    </row>
    <row r="2808" spans="2:2" ht="13.2" x14ac:dyDescent="0.25">
      <c r="B2808" s="3" t="b">
        <v>0</v>
      </c>
    </row>
    <row r="2809" spans="2:2" ht="13.2" x14ac:dyDescent="0.25">
      <c r="B2809" s="3" t="b">
        <v>0</v>
      </c>
    </row>
    <row r="2810" spans="2:2" ht="13.2" x14ac:dyDescent="0.25">
      <c r="B2810" s="3" t="b">
        <v>0</v>
      </c>
    </row>
    <row r="2811" spans="2:2" ht="13.2" x14ac:dyDescent="0.25">
      <c r="B2811" s="3" t="b">
        <v>0</v>
      </c>
    </row>
    <row r="2812" spans="2:2" ht="13.2" x14ac:dyDescent="0.25">
      <c r="B2812" s="3" t="b">
        <v>0</v>
      </c>
    </row>
    <row r="2813" spans="2:2" ht="13.2" x14ac:dyDescent="0.25">
      <c r="B2813" s="3" t="b">
        <v>0</v>
      </c>
    </row>
    <row r="2814" spans="2:2" ht="13.2" x14ac:dyDescent="0.25">
      <c r="B2814" s="3" t="b">
        <v>0</v>
      </c>
    </row>
    <row r="2815" spans="2:2" ht="13.2" x14ac:dyDescent="0.25">
      <c r="B2815" s="3" t="b">
        <v>0</v>
      </c>
    </row>
    <row r="2816" spans="2:2" ht="13.2" x14ac:dyDescent="0.25">
      <c r="B2816" s="3" t="b">
        <v>0</v>
      </c>
    </row>
    <row r="2817" spans="2:2" ht="13.2" x14ac:dyDescent="0.25">
      <c r="B2817" s="3" t="b">
        <v>0</v>
      </c>
    </row>
    <row r="2818" spans="2:2" ht="13.2" x14ac:dyDescent="0.25">
      <c r="B2818" s="3" t="b">
        <v>0</v>
      </c>
    </row>
    <row r="2819" spans="2:2" ht="13.2" x14ac:dyDescent="0.25">
      <c r="B2819" s="3" t="b">
        <v>0</v>
      </c>
    </row>
    <row r="2820" spans="2:2" ht="13.2" x14ac:dyDescent="0.25">
      <c r="B2820" s="3" t="b">
        <v>0</v>
      </c>
    </row>
    <row r="2821" spans="2:2" ht="13.2" x14ac:dyDescent="0.25">
      <c r="B2821" s="3" t="b">
        <v>0</v>
      </c>
    </row>
    <row r="2822" spans="2:2" ht="13.2" x14ac:dyDescent="0.25">
      <c r="B2822" s="3" t="b">
        <v>0</v>
      </c>
    </row>
    <row r="2823" spans="2:2" ht="13.2" x14ac:dyDescent="0.25">
      <c r="B2823" s="3" t="b">
        <v>0</v>
      </c>
    </row>
    <row r="2824" spans="2:2" ht="13.2" x14ac:dyDescent="0.25">
      <c r="B2824" s="3" t="b">
        <v>0</v>
      </c>
    </row>
    <row r="2825" spans="2:2" ht="13.2" x14ac:dyDescent="0.25">
      <c r="B2825" s="3" t="b">
        <v>0</v>
      </c>
    </row>
    <row r="2826" spans="2:2" ht="13.2" x14ac:dyDescent="0.25">
      <c r="B2826" s="3" t="b">
        <v>0</v>
      </c>
    </row>
    <row r="2827" spans="2:2" ht="13.2" x14ac:dyDescent="0.25">
      <c r="B2827" s="3" t="b">
        <v>0</v>
      </c>
    </row>
    <row r="2828" spans="2:2" ht="13.2" x14ac:dyDescent="0.25">
      <c r="B2828" s="3" t="b">
        <v>0</v>
      </c>
    </row>
    <row r="2829" spans="2:2" ht="13.2" x14ac:dyDescent="0.25">
      <c r="B2829" s="3" t="b">
        <v>0</v>
      </c>
    </row>
    <row r="2830" spans="2:2" ht="13.2" x14ac:dyDescent="0.25">
      <c r="B2830" s="3" t="b">
        <v>0</v>
      </c>
    </row>
    <row r="2831" spans="2:2" ht="13.2" x14ac:dyDescent="0.25">
      <c r="B2831" s="3" t="b">
        <v>0</v>
      </c>
    </row>
    <row r="2832" spans="2:2" ht="13.2" x14ac:dyDescent="0.25">
      <c r="B2832" s="3" t="b">
        <v>0</v>
      </c>
    </row>
    <row r="2833" spans="2:2" ht="13.2" x14ac:dyDescent="0.25">
      <c r="B2833" s="3" t="b">
        <v>0</v>
      </c>
    </row>
    <row r="2834" spans="2:2" ht="13.2" x14ac:dyDescent="0.25">
      <c r="B2834" s="3" t="b">
        <v>0</v>
      </c>
    </row>
    <row r="2835" spans="2:2" ht="13.2" x14ac:dyDescent="0.25">
      <c r="B2835" s="3" t="b">
        <v>0</v>
      </c>
    </row>
    <row r="2836" spans="2:2" ht="13.2" x14ac:dyDescent="0.25">
      <c r="B2836" s="3" t="b">
        <v>0</v>
      </c>
    </row>
    <row r="2837" spans="2:2" ht="13.2" x14ac:dyDescent="0.25">
      <c r="B2837" s="3" t="b">
        <v>0</v>
      </c>
    </row>
    <row r="2838" spans="2:2" ht="13.2" x14ac:dyDescent="0.25">
      <c r="B2838" s="3" t="b">
        <v>0</v>
      </c>
    </row>
    <row r="2839" spans="2:2" ht="13.2" x14ac:dyDescent="0.25">
      <c r="B2839" s="3" t="b">
        <v>0</v>
      </c>
    </row>
    <row r="2840" spans="2:2" ht="13.2" x14ac:dyDescent="0.25">
      <c r="B2840" s="3" t="b">
        <v>0</v>
      </c>
    </row>
    <row r="2841" spans="2:2" ht="13.2" x14ac:dyDescent="0.25">
      <c r="B2841" s="3" t="b">
        <v>0</v>
      </c>
    </row>
    <row r="2842" spans="2:2" ht="13.2" x14ac:dyDescent="0.25">
      <c r="B2842" s="3" t="b">
        <v>0</v>
      </c>
    </row>
    <row r="2843" spans="2:2" ht="13.2" x14ac:dyDescent="0.25">
      <c r="B2843" s="3" t="b">
        <v>0</v>
      </c>
    </row>
    <row r="2844" spans="2:2" ht="13.2" x14ac:dyDescent="0.25">
      <c r="B2844" s="3" t="b">
        <v>0</v>
      </c>
    </row>
    <row r="2845" spans="2:2" ht="13.2" x14ac:dyDescent="0.25">
      <c r="B2845" s="3" t="b">
        <v>0</v>
      </c>
    </row>
    <row r="2846" spans="2:2" ht="13.2" x14ac:dyDescent="0.25">
      <c r="B2846" s="3" t="b">
        <v>0</v>
      </c>
    </row>
    <row r="2847" spans="2:2" ht="13.2" x14ac:dyDescent="0.25">
      <c r="B2847" s="3" t="b">
        <v>0</v>
      </c>
    </row>
    <row r="2848" spans="2:2" ht="13.2" x14ac:dyDescent="0.25">
      <c r="B2848" s="3" t="b">
        <v>0</v>
      </c>
    </row>
    <row r="2849" spans="2:2" ht="13.2" x14ac:dyDescent="0.25">
      <c r="B2849" s="3" t="b">
        <v>0</v>
      </c>
    </row>
    <row r="2850" spans="2:2" ht="13.2" x14ac:dyDescent="0.25">
      <c r="B2850" s="3" t="b">
        <v>0</v>
      </c>
    </row>
    <row r="2851" spans="2:2" ht="13.2" x14ac:dyDescent="0.25">
      <c r="B2851" s="3" t="b">
        <v>0</v>
      </c>
    </row>
    <row r="2852" spans="2:2" ht="13.2" x14ac:dyDescent="0.25">
      <c r="B2852" s="3" t="b">
        <v>0</v>
      </c>
    </row>
    <row r="2853" spans="2:2" ht="13.2" x14ac:dyDescent="0.25">
      <c r="B2853" s="3" t="b">
        <v>0</v>
      </c>
    </row>
    <row r="2854" spans="2:2" ht="13.2" x14ac:dyDescent="0.25">
      <c r="B2854" s="3" t="b">
        <v>0</v>
      </c>
    </row>
    <row r="2855" spans="2:2" ht="13.2" x14ac:dyDescent="0.25">
      <c r="B2855" s="3" t="b">
        <v>0</v>
      </c>
    </row>
    <row r="2856" spans="2:2" ht="13.2" x14ac:dyDescent="0.25">
      <c r="B2856" s="3" t="b">
        <v>0</v>
      </c>
    </row>
    <row r="2857" spans="2:2" ht="13.2" x14ac:dyDescent="0.25">
      <c r="B2857" s="3" t="b">
        <v>0</v>
      </c>
    </row>
    <row r="2858" spans="2:2" ht="13.2" x14ac:dyDescent="0.25">
      <c r="B2858" s="3" t="b">
        <v>0</v>
      </c>
    </row>
    <row r="2859" spans="2:2" ht="13.2" x14ac:dyDescent="0.25">
      <c r="B2859" s="3" t="b">
        <v>0</v>
      </c>
    </row>
    <row r="2860" spans="2:2" ht="13.2" x14ac:dyDescent="0.25">
      <c r="B2860" s="3" t="b">
        <v>0</v>
      </c>
    </row>
    <row r="2861" spans="2:2" ht="13.2" x14ac:dyDescent="0.25">
      <c r="B2861" s="3" t="b">
        <v>0</v>
      </c>
    </row>
    <row r="2862" spans="2:2" ht="13.2" x14ac:dyDescent="0.25">
      <c r="B2862" s="3" t="b">
        <v>0</v>
      </c>
    </row>
    <row r="2863" spans="2:2" ht="13.2" x14ac:dyDescent="0.25">
      <c r="B2863" s="3" t="b">
        <v>0</v>
      </c>
    </row>
    <row r="2864" spans="2:2" ht="13.2" x14ac:dyDescent="0.25">
      <c r="B2864" s="3" t="b">
        <v>0</v>
      </c>
    </row>
    <row r="2865" spans="2:2" ht="13.2" x14ac:dyDescent="0.25">
      <c r="B2865" s="3" t="b">
        <v>0</v>
      </c>
    </row>
    <row r="2866" spans="2:2" ht="13.2" x14ac:dyDescent="0.25">
      <c r="B2866" s="3" t="b">
        <v>0</v>
      </c>
    </row>
    <row r="2867" spans="2:2" ht="13.2" x14ac:dyDescent="0.25">
      <c r="B2867" s="3" t="b">
        <v>0</v>
      </c>
    </row>
    <row r="2868" spans="2:2" ht="13.2" x14ac:dyDescent="0.25">
      <c r="B2868" s="3" t="b">
        <v>0</v>
      </c>
    </row>
    <row r="2869" spans="2:2" ht="13.2" x14ac:dyDescent="0.25">
      <c r="B2869" s="3" t="b">
        <v>0</v>
      </c>
    </row>
    <row r="2870" spans="2:2" ht="13.2" x14ac:dyDescent="0.25">
      <c r="B2870" s="3" t="b">
        <v>0</v>
      </c>
    </row>
    <row r="2871" spans="2:2" ht="13.2" x14ac:dyDescent="0.25">
      <c r="B2871" s="3" t="b">
        <v>0</v>
      </c>
    </row>
    <row r="2872" spans="2:2" ht="13.2" x14ac:dyDescent="0.25">
      <c r="B2872" s="3" t="b">
        <v>0</v>
      </c>
    </row>
    <row r="2873" spans="2:2" ht="13.2" x14ac:dyDescent="0.25">
      <c r="B2873" s="3" t="b">
        <v>0</v>
      </c>
    </row>
    <row r="2874" spans="2:2" ht="13.2" x14ac:dyDescent="0.25">
      <c r="B2874" s="3" t="b">
        <v>0</v>
      </c>
    </row>
    <row r="2875" spans="2:2" ht="13.2" x14ac:dyDescent="0.25">
      <c r="B2875" s="3" t="b">
        <v>0</v>
      </c>
    </row>
    <row r="2876" spans="2:2" ht="13.2" x14ac:dyDescent="0.25">
      <c r="B2876" s="3" t="b">
        <v>0</v>
      </c>
    </row>
    <row r="2877" spans="2:2" ht="13.2" x14ac:dyDescent="0.25">
      <c r="B2877" s="3" t="b">
        <v>0</v>
      </c>
    </row>
    <row r="2878" spans="2:2" ht="13.2" x14ac:dyDescent="0.25">
      <c r="B2878" s="3" t="b">
        <v>0</v>
      </c>
    </row>
    <row r="2879" spans="2:2" ht="13.2" x14ac:dyDescent="0.25">
      <c r="B2879" s="3" t="b">
        <v>0</v>
      </c>
    </row>
    <row r="2880" spans="2:2" ht="13.2" x14ac:dyDescent="0.25">
      <c r="B2880" s="3" t="b">
        <v>0</v>
      </c>
    </row>
    <row r="2881" spans="2:2" ht="13.2" x14ac:dyDescent="0.25">
      <c r="B2881" s="3" t="b">
        <v>0</v>
      </c>
    </row>
    <row r="2882" spans="2:2" ht="13.2" x14ac:dyDescent="0.25">
      <c r="B2882" s="3" t="b">
        <v>0</v>
      </c>
    </row>
    <row r="2883" spans="2:2" ht="13.2" x14ac:dyDescent="0.25">
      <c r="B2883" s="3" t="b">
        <v>0</v>
      </c>
    </row>
    <row r="2884" spans="2:2" ht="13.2" x14ac:dyDescent="0.25">
      <c r="B2884" s="3" t="b">
        <v>0</v>
      </c>
    </row>
    <row r="2885" spans="2:2" ht="13.2" x14ac:dyDescent="0.25">
      <c r="B2885" s="3" t="b">
        <v>0</v>
      </c>
    </row>
    <row r="2886" spans="2:2" ht="13.2" x14ac:dyDescent="0.25">
      <c r="B2886" s="3" t="b">
        <v>0</v>
      </c>
    </row>
    <row r="2887" spans="2:2" ht="13.2" x14ac:dyDescent="0.25">
      <c r="B2887" s="3" t="b">
        <v>0</v>
      </c>
    </row>
    <row r="2888" spans="2:2" ht="13.2" x14ac:dyDescent="0.25">
      <c r="B2888" s="3" t="b">
        <v>0</v>
      </c>
    </row>
    <row r="2889" spans="2:2" ht="13.2" x14ac:dyDescent="0.25">
      <c r="B2889" s="3" t="b">
        <v>0</v>
      </c>
    </row>
    <row r="2890" spans="2:2" ht="13.2" x14ac:dyDescent="0.25">
      <c r="B2890" s="3" t="b">
        <v>0</v>
      </c>
    </row>
    <row r="2891" spans="2:2" ht="13.2" x14ac:dyDescent="0.25">
      <c r="B2891" s="3" t="b">
        <v>0</v>
      </c>
    </row>
    <row r="2892" spans="2:2" ht="13.2" x14ac:dyDescent="0.25">
      <c r="B2892" s="3" t="b">
        <v>0</v>
      </c>
    </row>
    <row r="2893" spans="2:2" ht="13.2" x14ac:dyDescent="0.25">
      <c r="B2893" s="3" t="b">
        <v>0</v>
      </c>
    </row>
    <row r="2894" spans="2:2" ht="13.2" x14ac:dyDescent="0.25">
      <c r="B2894" s="3" t="b">
        <v>0</v>
      </c>
    </row>
    <row r="2895" spans="2:2" ht="13.2" x14ac:dyDescent="0.25">
      <c r="B2895" s="3" t="b">
        <v>0</v>
      </c>
    </row>
    <row r="2896" spans="2:2" ht="13.2" x14ac:dyDescent="0.25">
      <c r="B2896" s="3" t="b">
        <v>0</v>
      </c>
    </row>
    <row r="2897" spans="2:2" ht="13.2" x14ac:dyDescent="0.25">
      <c r="B2897" s="3" t="b">
        <v>0</v>
      </c>
    </row>
    <row r="2898" spans="2:2" ht="13.2" x14ac:dyDescent="0.25">
      <c r="B2898" s="3" t="b">
        <v>0</v>
      </c>
    </row>
    <row r="2899" spans="2:2" ht="13.2" x14ac:dyDescent="0.25">
      <c r="B2899" s="3" t="b">
        <v>0</v>
      </c>
    </row>
    <row r="2900" spans="2:2" ht="13.2" x14ac:dyDescent="0.25">
      <c r="B2900" s="3" t="b">
        <v>0</v>
      </c>
    </row>
    <row r="2901" spans="2:2" ht="13.2" x14ac:dyDescent="0.25">
      <c r="B2901" s="3" t="b">
        <v>0</v>
      </c>
    </row>
    <row r="2902" spans="2:2" ht="13.2" x14ac:dyDescent="0.25">
      <c r="B2902" s="3" t="b">
        <v>0</v>
      </c>
    </row>
    <row r="2903" spans="2:2" ht="13.2" x14ac:dyDescent="0.25">
      <c r="B2903" s="3" t="b">
        <v>0</v>
      </c>
    </row>
    <row r="2904" spans="2:2" ht="13.2" x14ac:dyDescent="0.25">
      <c r="B2904" s="3" t="b">
        <v>0</v>
      </c>
    </row>
    <row r="2905" spans="2:2" ht="13.2" x14ac:dyDescent="0.25">
      <c r="B2905" s="3" t="b">
        <v>0</v>
      </c>
    </row>
    <row r="2906" spans="2:2" ht="13.2" x14ac:dyDescent="0.25">
      <c r="B2906" s="3" t="b">
        <v>0</v>
      </c>
    </row>
    <row r="2907" spans="2:2" ht="13.2" x14ac:dyDescent="0.25">
      <c r="B2907" s="3" t="b">
        <v>0</v>
      </c>
    </row>
    <row r="2908" spans="2:2" ht="13.2" x14ac:dyDescent="0.25">
      <c r="B2908" s="3" t="b">
        <v>0</v>
      </c>
    </row>
    <row r="2909" spans="2:2" ht="13.2" x14ac:dyDescent="0.25">
      <c r="B2909" s="3" t="b">
        <v>0</v>
      </c>
    </row>
    <row r="2910" spans="2:2" ht="13.2" x14ac:dyDescent="0.25">
      <c r="B2910" s="3" t="b">
        <v>0</v>
      </c>
    </row>
    <row r="2911" spans="2:2" ht="13.2" x14ac:dyDescent="0.25">
      <c r="B2911" s="3" t="b">
        <v>0</v>
      </c>
    </row>
    <row r="2912" spans="2:2" ht="13.2" x14ac:dyDescent="0.25">
      <c r="B2912" s="3" t="b">
        <v>0</v>
      </c>
    </row>
    <row r="2913" spans="2:2" ht="13.2" x14ac:dyDescent="0.25">
      <c r="B2913" s="3" t="b">
        <v>0</v>
      </c>
    </row>
    <row r="2914" spans="2:2" ht="13.2" x14ac:dyDescent="0.25">
      <c r="B2914" s="3" t="b">
        <v>0</v>
      </c>
    </row>
    <row r="2915" spans="2:2" ht="13.2" x14ac:dyDescent="0.25">
      <c r="B2915" s="3" t="b">
        <v>0</v>
      </c>
    </row>
    <row r="2916" spans="2:2" ht="13.2" x14ac:dyDescent="0.25">
      <c r="B2916" s="3" t="b">
        <v>0</v>
      </c>
    </row>
    <row r="2917" spans="2:2" ht="13.2" x14ac:dyDescent="0.25">
      <c r="B2917" s="3" t="b">
        <v>0</v>
      </c>
    </row>
    <row r="2918" spans="2:2" ht="13.2" x14ac:dyDescent="0.25">
      <c r="B2918" s="3" t="b">
        <v>0</v>
      </c>
    </row>
    <row r="2919" spans="2:2" ht="13.2" x14ac:dyDescent="0.25">
      <c r="B2919" s="3" t="b">
        <v>0</v>
      </c>
    </row>
    <row r="2920" spans="2:2" ht="13.2" x14ac:dyDescent="0.25">
      <c r="B2920" s="3" t="b">
        <v>0</v>
      </c>
    </row>
    <row r="2921" spans="2:2" ht="13.2" x14ac:dyDescent="0.25">
      <c r="B2921" s="3" t="b">
        <v>0</v>
      </c>
    </row>
    <row r="2922" spans="2:2" ht="13.2" x14ac:dyDescent="0.25">
      <c r="B2922" s="3" t="b">
        <v>0</v>
      </c>
    </row>
    <row r="2923" spans="2:2" ht="13.2" x14ac:dyDescent="0.25">
      <c r="B2923" s="3" t="b">
        <v>0</v>
      </c>
    </row>
    <row r="2924" spans="2:2" ht="13.2" x14ac:dyDescent="0.25">
      <c r="B2924" s="3" t="b">
        <v>0</v>
      </c>
    </row>
    <row r="2925" spans="2:2" ht="13.2" x14ac:dyDescent="0.25">
      <c r="B2925" s="3" t="b">
        <v>0</v>
      </c>
    </row>
    <row r="2926" spans="2:2" ht="13.2" x14ac:dyDescent="0.25">
      <c r="B2926" s="3" t="b">
        <v>0</v>
      </c>
    </row>
    <row r="2927" spans="2:2" ht="13.2" x14ac:dyDescent="0.25">
      <c r="B2927" s="3" t="b">
        <v>0</v>
      </c>
    </row>
    <row r="2928" spans="2:2" ht="13.2" x14ac:dyDescent="0.25">
      <c r="B2928" s="3" t="b">
        <v>0</v>
      </c>
    </row>
    <row r="2929" spans="2:2" ht="13.2" x14ac:dyDescent="0.25">
      <c r="B2929" s="3" t="b">
        <v>0</v>
      </c>
    </row>
    <row r="2930" spans="2:2" ht="13.2" x14ac:dyDescent="0.25">
      <c r="B2930" s="3" t="b">
        <v>0</v>
      </c>
    </row>
    <row r="2931" spans="2:2" ht="13.2" x14ac:dyDescent="0.25">
      <c r="B2931" s="3" t="b">
        <v>0</v>
      </c>
    </row>
    <row r="2932" spans="2:2" ht="13.2" x14ac:dyDescent="0.25">
      <c r="B2932" s="3" t="b">
        <v>0</v>
      </c>
    </row>
    <row r="2933" spans="2:2" ht="13.2" x14ac:dyDescent="0.25">
      <c r="B2933" s="3" t="b">
        <v>0</v>
      </c>
    </row>
    <row r="2934" spans="2:2" ht="13.2" x14ac:dyDescent="0.25">
      <c r="B2934" s="3" t="b">
        <v>0</v>
      </c>
    </row>
    <row r="2935" spans="2:2" ht="13.2" x14ac:dyDescent="0.25">
      <c r="B2935" s="3" t="b">
        <v>0</v>
      </c>
    </row>
    <row r="2936" spans="2:2" ht="13.2" x14ac:dyDescent="0.25">
      <c r="B2936" s="3" t="b">
        <v>0</v>
      </c>
    </row>
    <row r="2937" spans="2:2" ht="13.2" x14ac:dyDescent="0.25">
      <c r="B2937" s="3" t="b">
        <v>0</v>
      </c>
    </row>
    <row r="2938" spans="2:2" ht="13.2" x14ac:dyDescent="0.25">
      <c r="B2938" s="3" t="b">
        <v>0</v>
      </c>
    </row>
    <row r="2939" spans="2:2" ht="13.2" x14ac:dyDescent="0.25">
      <c r="B2939" s="3" t="b">
        <v>0</v>
      </c>
    </row>
    <row r="2940" spans="2:2" ht="13.2" x14ac:dyDescent="0.25">
      <c r="B2940" s="3" t="b">
        <v>0</v>
      </c>
    </row>
    <row r="2941" spans="2:2" ht="13.2" x14ac:dyDescent="0.25">
      <c r="B2941" s="3" t="b">
        <v>0</v>
      </c>
    </row>
    <row r="2942" spans="2:2" ht="13.2" x14ac:dyDescent="0.25">
      <c r="B2942" s="3" t="b">
        <v>0</v>
      </c>
    </row>
    <row r="2943" spans="2:2" ht="13.2" x14ac:dyDescent="0.25">
      <c r="B2943" s="3" t="b">
        <v>0</v>
      </c>
    </row>
    <row r="2944" spans="2:2" ht="13.2" x14ac:dyDescent="0.25">
      <c r="B2944" s="3" t="b">
        <v>0</v>
      </c>
    </row>
    <row r="2945" spans="2:2" ht="13.2" x14ac:dyDescent="0.25">
      <c r="B2945" s="3" t="b">
        <v>0</v>
      </c>
    </row>
    <row r="2946" spans="2:2" ht="13.2" x14ac:dyDescent="0.25">
      <c r="B2946" s="3" t="b">
        <v>0</v>
      </c>
    </row>
    <row r="2947" spans="2:2" ht="13.2" x14ac:dyDescent="0.25">
      <c r="B2947" s="3" t="b">
        <v>0</v>
      </c>
    </row>
    <row r="2948" spans="2:2" ht="13.2" x14ac:dyDescent="0.25">
      <c r="B2948" s="3" t="b">
        <v>0</v>
      </c>
    </row>
    <row r="2949" spans="2:2" ht="13.2" x14ac:dyDescent="0.25">
      <c r="B2949" s="3" t="b">
        <v>0</v>
      </c>
    </row>
    <row r="2950" spans="2:2" ht="13.2" x14ac:dyDescent="0.25">
      <c r="B2950" s="3" t="b">
        <v>0</v>
      </c>
    </row>
    <row r="2951" spans="2:2" ht="13.2" x14ac:dyDescent="0.25">
      <c r="B2951" s="3" t="b">
        <v>0</v>
      </c>
    </row>
    <row r="2952" spans="2:2" ht="13.2" x14ac:dyDescent="0.25">
      <c r="B2952" s="3" t="b">
        <v>0</v>
      </c>
    </row>
    <row r="2953" spans="2:2" ht="13.2" x14ac:dyDescent="0.25">
      <c r="B2953" s="3" t="b">
        <v>0</v>
      </c>
    </row>
    <row r="2954" spans="2:2" ht="13.2" x14ac:dyDescent="0.25">
      <c r="B2954" s="3" t="b">
        <v>0</v>
      </c>
    </row>
    <row r="2955" spans="2:2" ht="13.2" x14ac:dyDescent="0.25">
      <c r="B2955" s="3" t="b">
        <v>0</v>
      </c>
    </row>
    <row r="2956" spans="2:2" ht="13.2" x14ac:dyDescent="0.25">
      <c r="B2956" s="3" t="b">
        <v>0</v>
      </c>
    </row>
    <row r="2957" spans="2:2" ht="13.2" x14ac:dyDescent="0.25">
      <c r="B2957" s="3" t="b">
        <v>0</v>
      </c>
    </row>
    <row r="2958" spans="2:2" ht="13.2" x14ac:dyDescent="0.25">
      <c r="B2958" s="3" t="b">
        <v>0</v>
      </c>
    </row>
    <row r="2959" spans="2:2" ht="13.2" x14ac:dyDescent="0.25">
      <c r="B2959" s="3" t="b">
        <v>0</v>
      </c>
    </row>
    <row r="2960" spans="2:2" ht="13.2" x14ac:dyDescent="0.25">
      <c r="B2960" s="3" t="b">
        <v>0</v>
      </c>
    </row>
    <row r="2961" spans="2:2" ht="13.2" x14ac:dyDescent="0.25">
      <c r="B2961" s="3" t="b">
        <v>0</v>
      </c>
    </row>
    <row r="2962" spans="2:2" ht="13.2" x14ac:dyDescent="0.25">
      <c r="B2962" s="3" t="b">
        <v>0</v>
      </c>
    </row>
    <row r="2963" spans="2:2" ht="13.2" x14ac:dyDescent="0.25">
      <c r="B2963" s="3" t="b">
        <v>0</v>
      </c>
    </row>
    <row r="2964" spans="2:2" ht="13.2" x14ac:dyDescent="0.25">
      <c r="B2964" s="3" t="b">
        <v>0</v>
      </c>
    </row>
    <row r="2965" spans="2:2" ht="13.2" x14ac:dyDescent="0.25">
      <c r="B2965" s="3" t="b">
        <v>0</v>
      </c>
    </row>
    <row r="2966" spans="2:2" ht="13.2" x14ac:dyDescent="0.25">
      <c r="B2966" s="3" t="b">
        <v>0</v>
      </c>
    </row>
    <row r="2967" spans="2:2" ht="13.2" x14ac:dyDescent="0.25">
      <c r="B2967" s="3" t="b">
        <v>0</v>
      </c>
    </row>
    <row r="2968" spans="2:2" ht="13.2" x14ac:dyDescent="0.25">
      <c r="B2968" s="3" t="b">
        <v>0</v>
      </c>
    </row>
    <row r="2969" spans="2:2" ht="13.2" x14ac:dyDescent="0.25">
      <c r="B2969" s="3" t="b">
        <v>0</v>
      </c>
    </row>
    <row r="2970" spans="2:2" ht="13.2" x14ac:dyDescent="0.25">
      <c r="B2970" s="3" t="b">
        <v>0</v>
      </c>
    </row>
    <row r="2971" spans="2:2" ht="13.2" x14ac:dyDescent="0.25">
      <c r="B2971" s="3" t="b">
        <v>0</v>
      </c>
    </row>
    <row r="2972" spans="2:2" ht="13.2" x14ac:dyDescent="0.25">
      <c r="B2972" s="3" t="b">
        <v>0</v>
      </c>
    </row>
    <row r="2973" spans="2:2" ht="13.2" x14ac:dyDescent="0.25">
      <c r="B2973" s="3" t="b">
        <v>0</v>
      </c>
    </row>
    <row r="2974" spans="2:2" ht="13.2" x14ac:dyDescent="0.25">
      <c r="B2974" s="3" t="b">
        <v>0</v>
      </c>
    </row>
    <row r="2975" spans="2:2" ht="13.2" x14ac:dyDescent="0.25">
      <c r="B2975" s="3" t="b">
        <v>0</v>
      </c>
    </row>
    <row r="2976" spans="2:2" ht="13.2" x14ac:dyDescent="0.25">
      <c r="B2976" s="3" t="b">
        <v>0</v>
      </c>
    </row>
    <row r="2977" spans="2:2" ht="13.2" x14ac:dyDescent="0.25">
      <c r="B2977" s="3" t="b">
        <v>0</v>
      </c>
    </row>
    <row r="2978" spans="2:2" ht="13.2" x14ac:dyDescent="0.25">
      <c r="B2978" s="3" t="b">
        <v>0</v>
      </c>
    </row>
    <row r="2979" spans="2:2" ht="13.2" x14ac:dyDescent="0.25">
      <c r="B2979" s="3" t="b">
        <v>0</v>
      </c>
    </row>
    <row r="2980" spans="2:2" ht="13.2" x14ac:dyDescent="0.25">
      <c r="B2980" s="3" t="b">
        <v>0</v>
      </c>
    </row>
    <row r="2981" spans="2:2" ht="13.2" x14ac:dyDescent="0.25">
      <c r="B2981" s="3" t="b">
        <v>0</v>
      </c>
    </row>
    <row r="2982" spans="2:2" ht="13.2" x14ac:dyDescent="0.25">
      <c r="B2982" s="3" t="b">
        <v>0</v>
      </c>
    </row>
    <row r="2983" spans="2:2" ht="13.2" x14ac:dyDescent="0.25">
      <c r="B2983" s="3" t="b">
        <v>0</v>
      </c>
    </row>
    <row r="2984" spans="2:2" ht="13.2" x14ac:dyDescent="0.25">
      <c r="B2984" s="3" t="b">
        <v>0</v>
      </c>
    </row>
    <row r="2985" spans="2:2" ht="13.2" x14ac:dyDescent="0.25">
      <c r="B2985" s="3" t="b">
        <v>0</v>
      </c>
    </row>
    <row r="2986" spans="2:2" ht="13.2" x14ac:dyDescent="0.25">
      <c r="B2986" s="3" t="b">
        <v>0</v>
      </c>
    </row>
    <row r="2987" spans="2:2" ht="13.2" x14ac:dyDescent="0.25">
      <c r="B2987" s="3" t="b">
        <v>0</v>
      </c>
    </row>
    <row r="2988" spans="2:2" ht="13.2" x14ac:dyDescent="0.25">
      <c r="B2988" s="3" t="b">
        <v>0</v>
      </c>
    </row>
    <row r="2989" spans="2:2" ht="13.2" x14ac:dyDescent="0.25">
      <c r="B2989" s="3" t="b">
        <v>0</v>
      </c>
    </row>
    <row r="2990" spans="2:2" ht="13.2" x14ac:dyDescent="0.25">
      <c r="B2990" s="3" t="b">
        <v>0</v>
      </c>
    </row>
    <row r="2991" spans="2:2" ht="13.2" x14ac:dyDescent="0.25">
      <c r="B2991" s="3" t="b">
        <v>0</v>
      </c>
    </row>
    <row r="2992" spans="2:2" ht="13.2" x14ac:dyDescent="0.25">
      <c r="B2992" s="3" t="b">
        <v>0</v>
      </c>
    </row>
    <row r="2993" spans="2:2" ht="13.2" x14ac:dyDescent="0.25">
      <c r="B2993" s="3" t="b">
        <v>0</v>
      </c>
    </row>
    <row r="2994" spans="2:2" ht="13.2" x14ac:dyDescent="0.25">
      <c r="B2994" s="3" t="b">
        <v>0</v>
      </c>
    </row>
    <row r="2995" spans="2:2" ht="13.2" x14ac:dyDescent="0.25">
      <c r="B2995" s="3" t="b">
        <v>0</v>
      </c>
    </row>
    <row r="2996" spans="2:2" ht="13.2" x14ac:dyDescent="0.25">
      <c r="B2996" s="3" t="b">
        <v>0</v>
      </c>
    </row>
    <row r="2997" spans="2:2" ht="13.2" x14ac:dyDescent="0.25">
      <c r="B2997" s="3" t="b">
        <v>0</v>
      </c>
    </row>
    <row r="2998" spans="2:2" ht="13.2" x14ac:dyDescent="0.25">
      <c r="B2998" s="3" t="b">
        <v>0</v>
      </c>
    </row>
    <row r="2999" spans="2:2" ht="13.2" x14ac:dyDescent="0.25">
      <c r="B2999" s="3" t="b">
        <v>0</v>
      </c>
    </row>
    <row r="3000" spans="2:2" ht="13.2" x14ac:dyDescent="0.25">
      <c r="B3000" s="3" t="b">
        <v>0</v>
      </c>
    </row>
    <row r="3001" spans="2:2" ht="13.2" x14ac:dyDescent="0.25">
      <c r="B3001" s="3" t="b">
        <v>0</v>
      </c>
    </row>
    <row r="3002" spans="2:2" ht="13.2" x14ac:dyDescent="0.25">
      <c r="B3002" s="3" t="b">
        <v>0</v>
      </c>
    </row>
    <row r="3003" spans="2:2" ht="13.2" x14ac:dyDescent="0.25">
      <c r="B3003" s="3" t="b">
        <v>0</v>
      </c>
    </row>
    <row r="3004" spans="2:2" ht="13.2" x14ac:dyDescent="0.25">
      <c r="B3004" s="3" t="b">
        <v>0</v>
      </c>
    </row>
    <row r="3005" spans="2:2" ht="13.2" x14ac:dyDescent="0.25">
      <c r="B3005" s="3" t="b">
        <v>0</v>
      </c>
    </row>
    <row r="3006" spans="2:2" ht="13.2" x14ac:dyDescent="0.25">
      <c r="B3006" s="3" t="b">
        <v>0</v>
      </c>
    </row>
    <row r="3007" spans="2:2" ht="13.2" x14ac:dyDescent="0.25">
      <c r="B3007" s="3" t="b">
        <v>0</v>
      </c>
    </row>
    <row r="3008" spans="2:2" ht="13.2" x14ac:dyDescent="0.25">
      <c r="B3008" s="3" t="b">
        <v>0</v>
      </c>
    </row>
    <row r="3009" spans="2:2" ht="13.2" x14ac:dyDescent="0.25">
      <c r="B3009" s="3" t="b">
        <v>0</v>
      </c>
    </row>
    <row r="3010" spans="2:2" ht="13.2" x14ac:dyDescent="0.25">
      <c r="B3010" s="3" t="b">
        <v>0</v>
      </c>
    </row>
    <row r="3011" spans="2:2" ht="13.2" x14ac:dyDescent="0.25">
      <c r="B3011" s="3" t="b">
        <v>0</v>
      </c>
    </row>
    <row r="3012" spans="2:2" ht="13.2" x14ac:dyDescent="0.25">
      <c r="B3012" s="3" t="b">
        <v>0</v>
      </c>
    </row>
    <row r="3013" spans="2:2" ht="13.2" x14ac:dyDescent="0.25">
      <c r="B3013" s="3" t="b">
        <v>0</v>
      </c>
    </row>
    <row r="3014" spans="2:2" ht="13.2" x14ac:dyDescent="0.25">
      <c r="B3014" s="3" t="b">
        <v>0</v>
      </c>
    </row>
    <row r="3015" spans="2:2" ht="13.2" x14ac:dyDescent="0.25">
      <c r="B3015" s="3" t="b">
        <v>0</v>
      </c>
    </row>
    <row r="3016" spans="2:2" ht="13.2" x14ac:dyDescent="0.25">
      <c r="B3016" s="3" t="b">
        <v>0</v>
      </c>
    </row>
    <row r="3017" spans="2:2" ht="13.2" x14ac:dyDescent="0.25">
      <c r="B3017" s="3" t="b">
        <v>0</v>
      </c>
    </row>
    <row r="3018" spans="2:2" ht="13.2" x14ac:dyDescent="0.25">
      <c r="B3018" s="3" t="b">
        <v>0</v>
      </c>
    </row>
    <row r="3019" spans="2:2" ht="13.2" x14ac:dyDescent="0.25">
      <c r="B3019" s="3" t="b">
        <v>0</v>
      </c>
    </row>
    <row r="3020" spans="2:2" ht="13.2" x14ac:dyDescent="0.25">
      <c r="B3020" s="3" t="b">
        <v>0</v>
      </c>
    </row>
    <row r="3021" spans="2:2" ht="13.2" x14ac:dyDescent="0.25">
      <c r="B3021" s="3" t="b">
        <v>0</v>
      </c>
    </row>
    <row r="3022" spans="2:2" ht="13.2" x14ac:dyDescent="0.25">
      <c r="B3022" s="3" t="b">
        <v>0</v>
      </c>
    </row>
    <row r="3023" spans="2:2" ht="13.2" x14ac:dyDescent="0.25">
      <c r="B3023" s="3" t="b">
        <v>0</v>
      </c>
    </row>
    <row r="3024" spans="2:2" ht="13.2" x14ac:dyDescent="0.25">
      <c r="B3024" s="3" t="b">
        <v>0</v>
      </c>
    </row>
    <row r="3025" spans="2:2" ht="13.2" x14ac:dyDescent="0.25">
      <c r="B3025" s="3" t="b">
        <v>0</v>
      </c>
    </row>
    <row r="3026" spans="2:2" ht="13.2" x14ac:dyDescent="0.25">
      <c r="B3026" s="3" t="b">
        <v>0</v>
      </c>
    </row>
    <row r="3027" spans="2:2" ht="13.2" x14ac:dyDescent="0.25">
      <c r="B3027" s="3" t="b">
        <v>0</v>
      </c>
    </row>
    <row r="3028" spans="2:2" ht="13.2" x14ac:dyDescent="0.25">
      <c r="B3028" s="3" t="b">
        <v>0</v>
      </c>
    </row>
    <row r="3029" spans="2:2" ht="13.2" x14ac:dyDescent="0.25">
      <c r="B3029" s="3" t="b">
        <v>0</v>
      </c>
    </row>
    <row r="3030" spans="2:2" ht="13.2" x14ac:dyDescent="0.25">
      <c r="B3030" s="3" t="b">
        <v>0</v>
      </c>
    </row>
    <row r="3031" spans="2:2" ht="13.2" x14ac:dyDescent="0.25">
      <c r="B3031" s="3" t="b">
        <v>0</v>
      </c>
    </row>
    <row r="3032" spans="2:2" ht="13.2" x14ac:dyDescent="0.25">
      <c r="B3032" s="3" t="b">
        <v>0</v>
      </c>
    </row>
    <row r="3033" spans="2:2" ht="13.2" x14ac:dyDescent="0.25">
      <c r="B3033" s="3" t="b">
        <v>0</v>
      </c>
    </row>
    <row r="3034" spans="2:2" ht="13.2" x14ac:dyDescent="0.25">
      <c r="B3034" s="3" t="b">
        <v>0</v>
      </c>
    </row>
    <row r="3035" spans="2:2" ht="13.2" x14ac:dyDescent="0.25">
      <c r="B3035" s="3" t="b">
        <v>0</v>
      </c>
    </row>
    <row r="3036" spans="2:2" ht="13.2" x14ac:dyDescent="0.25">
      <c r="B3036" s="3" t="b">
        <v>0</v>
      </c>
    </row>
    <row r="3037" spans="2:2" ht="13.2" x14ac:dyDescent="0.25">
      <c r="B3037" s="3" t="b">
        <v>0</v>
      </c>
    </row>
    <row r="3038" spans="2:2" ht="13.2" x14ac:dyDescent="0.25">
      <c r="B3038" s="3" t="b">
        <v>0</v>
      </c>
    </row>
    <row r="3039" spans="2:2" ht="13.2" x14ac:dyDescent="0.25">
      <c r="B3039" s="3" t="b">
        <v>0</v>
      </c>
    </row>
    <row r="3040" spans="2:2" ht="13.2" x14ac:dyDescent="0.25">
      <c r="B3040" s="3" t="b">
        <v>0</v>
      </c>
    </row>
    <row r="3041" spans="2:2" ht="13.2" x14ac:dyDescent="0.25">
      <c r="B3041" s="3" t="b">
        <v>0</v>
      </c>
    </row>
    <row r="3042" spans="2:2" ht="13.2" x14ac:dyDescent="0.25">
      <c r="B3042" s="3" t="b">
        <v>0</v>
      </c>
    </row>
    <row r="3043" spans="2:2" ht="13.2" x14ac:dyDescent="0.25">
      <c r="B3043" s="3" t="b">
        <v>0</v>
      </c>
    </row>
    <row r="3044" spans="2:2" ht="13.2" x14ac:dyDescent="0.25">
      <c r="B3044" s="3" t="b">
        <v>0</v>
      </c>
    </row>
    <row r="3045" spans="2:2" ht="13.2" x14ac:dyDescent="0.25">
      <c r="B3045" s="3" t="b">
        <v>0</v>
      </c>
    </row>
    <row r="3046" spans="2:2" ht="13.2" x14ac:dyDescent="0.25">
      <c r="B3046" s="3" t="b">
        <v>0</v>
      </c>
    </row>
    <row r="3047" spans="2:2" ht="13.2" x14ac:dyDescent="0.25">
      <c r="B3047" s="3" t="b">
        <v>0</v>
      </c>
    </row>
    <row r="3048" spans="2:2" ht="13.2" x14ac:dyDescent="0.25">
      <c r="B3048" s="3" t="b">
        <v>0</v>
      </c>
    </row>
    <row r="3049" spans="2:2" ht="13.2" x14ac:dyDescent="0.25">
      <c r="B3049" s="3" t="b">
        <v>0</v>
      </c>
    </row>
    <row r="3050" spans="2:2" ht="13.2" x14ac:dyDescent="0.25">
      <c r="B3050" s="3" t="b">
        <v>0</v>
      </c>
    </row>
    <row r="3051" spans="2:2" ht="13.2" x14ac:dyDescent="0.25">
      <c r="B3051" s="3" t="b">
        <v>0</v>
      </c>
    </row>
    <row r="3052" spans="2:2" ht="13.2" x14ac:dyDescent="0.25">
      <c r="B3052" s="3" t="b">
        <v>0</v>
      </c>
    </row>
    <row r="3053" spans="2:2" ht="13.2" x14ac:dyDescent="0.25">
      <c r="B3053" s="3" t="b">
        <v>0</v>
      </c>
    </row>
    <row r="3054" spans="2:2" ht="13.2" x14ac:dyDescent="0.25">
      <c r="B3054" s="3" t="b">
        <v>0</v>
      </c>
    </row>
    <row r="3055" spans="2:2" ht="13.2" x14ac:dyDescent="0.25">
      <c r="B3055" s="3" t="b">
        <v>0</v>
      </c>
    </row>
    <row r="3056" spans="2:2" ht="13.2" x14ac:dyDescent="0.25">
      <c r="B3056" s="3" t="b">
        <v>0</v>
      </c>
    </row>
    <row r="3057" spans="2:2" ht="13.2" x14ac:dyDescent="0.25">
      <c r="B3057" s="3" t="b">
        <v>0</v>
      </c>
    </row>
    <row r="3058" spans="2:2" ht="13.2" x14ac:dyDescent="0.25">
      <c r="B3058" s="3" t="b">
        <v>0</v>
      </c>
    </row>
    <row r="3059" spans="2:2" ht="13.2" x14ac:dyDescent="0.25">
      <c r="B3059" s="3" t="b">
        <v>0</v>
      </c>
    </row>
    <row r="3060" spans="2:2" ht="13.2" x14ac:dyDescent="0.25">
      <c r="B3060" s="3" t="b">
        <v>0</v>
      </c>
    </row>
    <row r="3061" spans="2:2" ht="13.2" x14ac:dyDescent="0.25">
      <c r="B3061" s="3" t="b">
        <v>0</v>
      </c>
    </row>
    <row r="3062" spans="2:2" ht="13.2" x14ac:dyDescent="0.25">
      <c r="B3062" s="3" t="b">
        <v>0</v>
      </c>
    </row>
    <row r="3063" spans="2:2" ht="13.2" x14ac:dyDescent="0.25">
      <c r="B3063" s="3" t="b">
        <v>0</v>
      </c>
    </row>
    <row r="3064" spans="2:2" ht="13.2" x14ac:dyDescent="0.25">
      <c r="B3064" s="3" t="b">
        <v>0</v>
      </c>
    </row>
    <row r="3065" spans="2:2" ht="13.2" x14ac:dyDescent="0.25">
      <c r="B3065" s="3" t="b">
        <v>0</v>
      </c>
    </row>
    <row r="3066" spans="2:2" ht="13.2" x14ac:dyDescent="0.25">
      <c r="B3066" s="3" t="b">
        <v>0</v>
      </c>
    </row>
    <row r="3067" spans="2:2" ht="13.2" x14ac:dyDescent="0.25">
      <c r="B3067" s="3" t="b">
        <v>0</v>
      </c>
    </row>
    <row r="3068" spans="2:2" ht="13.2" x14ac:dyDescent="0.25">
      <c r="B3068" s="3" t="b">
        <v>0</v>
      </c>
    </row>
    <row r="3069" spans="2:2" ht="13.2" x14ac:dyDescent="0.25">
      <c r="B3069" s="3" t="b">
        <v>0</v>
      </c>
    </row>
    <row r="3070" spans="2:2" ht="13.2" x14ac:dyDescent="0.25">
      <c r="B3070" s="3" t="b">
        <v>0</v>
      </c>
    </row>
    <row r="3071" spans="2:2" ht="13.2" x14ac:dyDescent="0.25">
      <c r="B3071" s="3" t="b">
        <v>0</v>
      </c>
    </row>
    <row r="3072" spans="2:2" ht="13.2" x14ac:dyDescent="0.25">
      <c r="B3072" s="3" t="b">
        <v>0</v>
      </c>
    </row>
    <row r="3073" spans="2:2" ht="13.2" x14ac:dyDescent="0.25">
      <c r="B3073" s="3" t="b">
        <v>0</v>
      </c>
    </row>
    <row r="3074" spans="2:2" ht="13.2" x14ac:dyDescent="0.25">
      <c r="B3074" s="3" t="b">
        <v>0</v>
      </c>
    </row>
    <row r="3075" spans="2:2" ht="13.2" x14ac:dyDescent="0.25">
      <c r="B3075" s="3" t="b">
        <v>0</v>
      </c>
    </row>
    <row r="3076" spans="2:2" ht="13.2" x14ac:dyDescent="0.25">
      <c r="B3076" s="3" t="b">
        <v>0</v>
      </c>
    </row>
    <row r="3077" spans="2:2" ht="13.2" x14ac:dyDescent="0.25">
      <c r="B3077" s="3" t="b">
        <v>0</v>
      </c>
    </row>
    <row r="3078" spans="2:2" ht="13.2" x14ac:dyDescent="0.25">
      <c r="B3078" s="3" t="b">
        <v>0</v>
      </c>
    </row>
    <row r="3079" spans="2:2" ht="13.2" x14ac:dyDescent="0.25">
      <c r="B3079" s="3" t="b">
        <v>0</v>
      </c>
    </row>
    <row r="3080" spans="2:2" ht="13.2" x14ac:dyDescent="0.25">
      <c r="B3080" s="3" t="b">
        <v>0</v>
      </c>
    </row>
    <row r="3081" spans="2:2" ht="13.2" x14ac:dyDescent="0.25">
      <c r="B3081" s="3" t="b">
        <v>0</v>
      </c>
    </row>
    <row r="3082" spans="2:2" ht="13.2" x14ac:dyDescent="0.25">
      <c r="B3082" s="3" t="b">
        <v>0</v>
      </c>
    </row>
    <row r="3083" spans="2:2" ht="13.2" x14ac:dyDescent="0.25">
      <c r="B3083" s="3" t="b">
        <v>0</v>
      </c>
    </row>
    <row r="3084" spans="2:2" ht="13.2" x14ac:dyDescent="0.25">
      <c r="B3084" s="3" t="b">
        <v>0</v>
      </c>
    </row>
    <row r="3085" spans="2:2" ht="13.2" x14ac:dyDescent="0.25">
      <c r="B3085" s="3" t="b">
        <v>0</v>
      </c>
    </row>
    <row r="3086" spans="2:2" ht="13.2" x14ac:dyDescent="0.25">
      <c r="B3086" s="3" t="b">
        <v>0</v>
      </c>
    </row>
    <row r="3087" spans="2:2" ht="13.2" x14ac:dyDescent="0.25">
      <c r="B3087" s="3" t="b">
        <v>0</v>
      </c>
    </row>
    <row r="3088" spans="2:2" ht="13.2" x14ac:dyDescent="0.25">
      <c r="B3088" s="3" t="b">
        <v>0</v>
      </c>
    </row>
    <row r="3089" spans="2:2" ht="13.2" x14ac:dyDescent="0.25">
      <c r="B3089" s="3" t="b">
        <v>0</v>
      </c>
    </row>
    <row r="3090" spans="2:2" ht="13.2" x14ac:dyDescent="0.25">
      <c r="B3090" s="3" t="b">
        <v>0</v>
      </c>
    </row>
    <row r="3091" spans="2:2" ht="13.2" x14ac:dyDescent="0.25">
      <c r="B3091" s="3" t="b">
        <v>0</v>
      </c>
    </row>
    <row r="3092" spans="2:2" ht="13.2" x14ac:dyDescent="0.25">
      <c r="B3092" s="3" t="b">
        <v>0</v>
      </c>
    </row>
    <row r="3093" spans="2:2" ht="13.2" x14ac:dyDescent="0.25">
      <c r="B3093" s="3" t="b">
        <v>0</v>
      </c>
    </row>
    <row r="3094" spans="2:2" ht="13.2" x14ac:dyDescent="0.25">
      <c r="B3094" s="3" t="b">
        <v>0</v>
      </c>
    </row>
    <row r="3095" spans="2:2" ht="13.2" x14ac:dyDescent="0.25">
      <c r="B3095" s="3" t="b">
        <v>0</v>
      </c>
    </row>
    <row r="3096" spans="2:2" ht="13.2" x14ac:dyDescent="0.25">
      <c r="B3096" s="3" t="b">
        <v>0</v>
      </c>
    </row>
    <row r="3097" spans="2:2" ht="13.2" x14ac:dyDescent="0.25">
      <c r="B3097" s="3" t="b">
        <v>0</v>
      </c>
    </row>
    <row r="3098" spans="2:2" ht="13.2" x14ac:dyDescent="0.25">
      <c r="B3098" s="3" t="b">
        <v>0</v>
      </c>
    </row>
    <row r="3099" spans="2:2" ht="13.2" x14ac:dyDescent="0.25">
      <c r="B3099" s="3" t="b">
        <v>0</v>
      </c>
    </row>
    <row r="3100" spans="2:2" ht="13.2" x14ac:dyDescent="0.25">
      <c r="B3100" s="3" t="b">
        <v>0</v>
      </c>
    </row>
    <row r="3101" spans="2:2" ht="13.2" x14ac:dyDescent="0.25">
      <c r="B3101" s="3" t="b">
        <v>0</v>
      </c>
    </row>
    <row r="3102" spans="2:2" ht="13.2" x14ac:dyDescent="0.25">
      <c r="B3102" s="3" t="b">
        <v>0</v>
      </c>
    </row>
    <row r="3103" spans="2:2" ht="13.2" x14ac:dyDescent="0.25">
      <c r="B3103" s="3" t="b">
        <v>0</v>
      </c>
    </row>
    <row r="3104" spans="2:2" ht="13.2" x14ac:dyDescent="0.25">
      <c r="B3104" s="3" t="b">
        <v>0</v>
      </c>
    </row>
    <row r="3105" spans="2:2" ht="13.2" x14ac:dyDescent="0.25">
      <c r="B3105" s="3" t="b">
        <v>0</v>
      </c>
    </row>
    <row r="3106" spans="2:2" ht="13.2" x14ac:dyDescent="0.25">
      <c r="B3106" s="3" t="b">
        <v>0</v>
      </c>
    </row>
    <row r="3107" spans="2:2" ht="13.2" x14ac:dyDescent="0.25">
      <c r="B3107" s="3" t="b">
        <v>0</v>
      </c>
    </row>
    <row r="3108" spans="2:2" ht="13.2" x14ac:dyDescent="0.25">
      <c r="B3108" s="3" t="b">
        <v>0</v>
      </c>
    </row>
    <row r="3109" spans="2:2" ht="13.2" x14ac:dyDescent="0.25">
      <c r="B3109" s="3" t="b">
        <v>0</v>
      </c>
    </row>
    <row r="3110" spans="2:2" ht="13.2" x14ac:dyDescent="0.25">
      <c r="B3110" s="3" t="b">
        <v>0</v>
      </c>
    </row>
    <row r="3111" spans="2:2" ht="13.2" x14ac:dyDescent="0.25">
      <c r="B3111" s="3" t="b">
        <v>0</v>
      </c>
    </row>
    <row r="3112" spans="2:2" ht="13.2" x14ac:dyDescent="0.25">
      <c r="B3112" s="3" t="b">
        <v>0</v>
      </c>
    </row>
    <row r="3113" spans="2:2" ht="13.2" x14ac:dyDescent="0.25">
      <c r="B3113" s="3" t="b">
        <v>0</v>
      </c>
    </row>
    <row r="3114" spans="2:2" ht="13.2" x14ac:dyDescent="0.25">
      <c r="B3114" s="3" t="b">
        <v>0</v>
      </c>
    </row>
    <row r="3115" spans="2:2" ht="13.2" x14ac:dyDescent="0.25">
      <c r="B3115" s="3" t="b">
        <v>0</v>
      </c>
    </row>
    <row r="3116" spans="2:2" ht="13.2" x14ac:dyDescent="0.25">
      <c r="B3116" s="3" t="b">
        <v>0</v>
      </c>
    </row>
    <row r="3117" spans="2:2" ht="13.2" x14ac:dyDescent="0.25">
      <c r="B3117" s="3" t="b">
        <v>0</v>
      </c>
    </row>
    <row r="3118" spans="2:2" ht="13.2" x14ac:dyDescent="0.25">
      <c r="B3118" s="3" t="b">
        <v>0</v>
      </c>
    </row>
    <row r="3119" spans="2:2" ht="13.2" x14ac:dyDescent="0.25">
      <c r="B3119" s="3" t="b">
        <v>0</v>
      </c>
    </row>
    <row r="3120" spans="2:2" ht="13.2" x14ac:dyDescent="0.25">
      <c r="B3120" s="3" t="b">
        <v>0</v>
      </c>
    </row>
    <row r="3121" spans="2:2" ht="13.2" x14ac:dyDescent="0.25">
      <c r="B3121" s="3" t="b">
        <v>0</v>
      </c>
    </row>
    <row r="3122" spans="2:2" ht="13.2" x14ac:dyDescent="0.25">
      <c r="B3122" s="3" t="b">
        <v>0</v>
      </c>
    </row>
    <row r="3123" spans="2:2" ht="13.2" x14ac:dyDescent="0.25">
      <c r="B3123" s="3" t="b">
        <v>0</v>
      </c>
    </row>
    <row r="3124" spans="2:2" ht="13.2" x14ac:dyDescent="0.25">
      <c r="B3124" s="3" t="b">
        <v>0</v>
      </c>
    </row>
    <row r="3125" spans="2:2" ht="13.2" x14ac:dyDescent="0.25">
      <c r="B3125" s="3" t="b">
        <v>0</v>
      </c>
    </row>
    <row r="3126" spans="2:2" ht="13.2" x14ac:dyDescent="0.25">
      <c r="B3126" s="3" t="b">
        <v>0</v>
      </c>
    </row>
    <row r="3127" spans="2:2" ht="13.2" x14ac:dyDescent="0.25">
      <c r="B3127" s="3" t="b">
        <v>0</v>
      </c>
    </row>
    <row r="3128" spans="2:2" ht="13.2" x14ac:dyDescent="0.25">
      <c r="B3128" s="3" t="b">
        <v>0</v>
      </c>
    </row>
    <row r="3129" spans="2:2" ht="13.2" x14ac:dyDescent="0.25">
      <c r="B3129" s="3" t="b">
        <v>0</v>
      </c>
    </row>
    <row r="3130" spans="2:2" ht="13.2" x14ac:dyDescent="0.25">
      <c r="B3130" s="3" t="b">
        <v>0</v>
      </c>
    </row>
    <row r="3131" spans="2:2" ht="13.2" x14ac:dyDescent="0.25">
      <c r="B3131" s="3" t="b">
        <v>0</v>
      </c>
    </row>
    <row r="3132" spans="2:2" ht="13.2" x14ac:dyDescent="0.25">
      <c r="B3132" s="3" t="b">
        <v>0</v>
      </c>
    </row>
    <row r="3133" spans="2:2" ht="13.2" x14ac:dyDescent="0.25">
      <c r="B3133" s="3" t="b">
        <v>0</v>
      </c>
    </row>
    <row r="3134" spans="2:2" ht="13.2" x14ac:dyDescent="0.25">
      <c r="B3134" s="3" t="b">
        <v>0</v>
      </c>
    </row>
    <row r="3135" spans="2:2" ht="13.2" x14ac:dyDescent="0.25">
      <c r="B3135" s="3" t="b">
        <v>0</v>
      </c>
    </row>
    <row r="3136" spans="2:2" ht="13.2" x14ac:dyDescent="0.25">
      <c r="B3136" s="3" t="b">
        <v>0</v>
      </c>
    </row>
    <row r="3137" spans="2:2" ht="13.2" x14ac:dyDescent="0.25">
      <c r="B3137" s="3" t="b">
        <v>0</v>
      </c>
    </row>
    <row r="3138" spans="2:2" ht="13.2" x14ac:dyDescent="0.25">
      <c r="B3138" s="3" t="b">
        <v>0</v>
      </c>
    </row>
    <row r="3139" spans="2:2" ht="13.2" x14ac:dyDescent="0.25">
      <c r="B3139" s="3" t="b">
        <v>0</v>
      </c>
    </row>
    <row r="3140" spans="2:2" ht="13.2" x14ac:dyDescent="0.25">
      <c r="B3140" s="3" t="b">
        <v>0</v>
      </c>
    </row>
    <row r="3141" spans="2:2" ht="13.2" x14ac:dyDescent="0.25">
      <c r="B3141" s="3" t="b">
        <v>0</v>
      </c>
    </row>
    <row r="3142" spans="2:2" ht="13.2" x14ac:dyDescent="0.25">
      <c r="B3142" s="3" t="b">
        <v>0</v>
      </c>
    </row>
    <row r="3143" spans="2:2" ht="13.2" x14ac:dyDescent="0.25">
      <c r="B3143" s="3" t="b">
        <v>0</v>
      </c>
    </row>
    <row r="3144" spans="2:2" ht="13.2" x14ac:dyDescent="0.25">
      <c r="B3144" s="3" t="b">
        <v>0</v>
      </c>
    </row>
    <row r="3145" spans="2:2" ht="13.2" x14ac:dyDescent="0.25">
      <c r="B3145" s="3" t="b">
        <v>0</v>
      </c>
    </row>
    <row r="3146" spans="2:2" ht="13.2" x14ac:dyDescent="0.25">
      <c r="B3146" s="3" t="b">
        <v>0</v>
      </c>
    </row>
    <row r="3147" spans="2:2" ht="13.2" x14ac:dyDescent="0.25">
      <c r="B3147" s="3" t="b">
        <v>0</v>
      </c>
    </row>
    <row r="3148" spans="2:2" ht="13.2" x14ac:dyDescent="0.25">
      <c r="B3148" s="3" t="b">
        <v>0</v>
      </c>
    </row>
    <row r="3149" spans="2:2" ht="13.2" x14ac:dyDescent="0.25">
      <c r="B3149" s="3" t="b">
        <v>0</v>
      </c>
    </row>
    <row r="3150" spans="2:2" ht="13.2" x14ac:dyDescent="0.25">
      <c r="B3150" s="3" t="b">
        <v>0</v>
      </c>
    </row>
    <row r="3151" spans="2:2" ht="13.2" x14ac:dyDescent="0.25">
      <c r="B3151" s="3" t="b">
        <v>0</v>
      </c>
    </row>
    <row r="3152" spans="2:2" ht="13.2" x14ac:dyDescent="0.25">
      <c r="B3152" s="3" t="b">
        <v>0</v>
      </c>
    </row>
    <row r="3153" spans="2:2" ht="13.2" x14ac:dyDescent="0.25">
      <c r="B3153" s="3" t="b">
        <v>0</v>
      </c>
    </row>
    <row r="3154" spans="2:2" ht="13.2" x14ac:dyDescent="0.25">
      <c r="B3154" s="3" t="b">
        <v>0</v>
      </c>
    </row>
    <row r="3155" spans="2:2" ht="13.2" x14ac:dyDescent="0.25">
      <c r="B3155" s="3" t="b">
        <v>0</v>
      </c>
    </row>
    <row r="3156" spans="2:2" ht="13.2" x14ac:dyDescent="0.25">
      <c r="B3156" s="3" t="b">
        <v>0</v>
      </c>
    </row>
    <row r="3157" spans="2:2" ht="13.2" x14ac:dyDescent="0.25">
      <c r="B3157" s="3" t="b">
        <v>0</v>
      </c>
    </row>
    <row r="3158" spans="2:2" ht="13.2" x14ac:dyDescent="0.25">
      <c r="B3158" s="3" t="b">
        <v>0</v>
      </c>
    </row>
    <row r="3159" spans="2:2" ht="13.2" x14ac:dyDescent="0.25">
      <c r="B3159" s="3" t="b">
        <v>0</v>
      </c>
    </row>
    <row r="3160" spans="2:2" ht="13.2" x14ac:dyDescent="0.25">
      <c r="B3160" s="3" t="b">
        <v>0</v>
      </c>
    </row>
    <row r="3161" spans="2:2" ht="13.2" x14ac:dyDescent="0.25">
      <c r="B3161" s="3" t="b">
        <v>0</v>
      </c>
    </row>
    <row r="3162" spans="2:2" ht="13.2" x14ac:dyDescent="0.25">
      <c r="B3162" s="3" t="b">
        <v>0</v>
      </c>
    </row>
    <row r="3163" spans="2:2" ht="13.2" x14ac:dyDescent="0.25">
      <c r="B3163" s="3" t="b">
        <v>0</v>
      </c>
    </row>
    <row r="3164" spans="2:2" ht="13.2" x14ac:dyDescent="0.25">
      <c r="B3164" s="3" t="b">
        <v>0</v>
      </c>
    </row>
    <row r="3165" spans="2:2" ht="13.2" x14ac:dyDescent="0.25">
      <c r="B3165" s="3" t="b">
        <v>0</v>
      </c>
    </row>
    <row r="3166" spans="2:2" ht="13.2" x14ac:dyDescent="0.25">
      <c r="B3166" s="3" t="b">
        <v>0</v>
      </c>
    </row>
    <row r="3167" spans="2:2" ht="13.2" x14ac:dyDescent="0.25">
      <c r="B3167" s="3" t="b">
        <v>0</v>
      </c>
    </row>
    <row r="3168" spans="2:2" ht="13.2" x14ac:dyDescent="0.25">
      <c r="B3168" s="3" t="b">
        <v>0</v>
      </c>
    </row>
    <row r="3169" spans="2:2" ht="13.2" x14ac:dyDescent="0.25">
      <c r="B3169" s="3" t="b">
        <v>0</v>
      </c>
    </row>
    <row r="3170" spans="2:2" ht="13.2" x14ac:dyDescent="0.25">
      <c r="B3170" s="3" t="b">
        <v>0</v>
      </c>
    </row>
    <row r="3171" spans="2:2" ht="13.2" x14ac:dyDescent="0.25">
      <c r="B3171" s="3" t="b">
        <v>0</v>
      </c>
    </row>
    <row r="3172" spans="2:2" ht="13.2" x14ac:dyDescent="0.25">
      <c r="B3172" s="3" t="b">
        <v>0</v>
      </c>
    </row>
    <row r="3173" spans="2:2" ht="13.2" x14ac:dyDescent="0.25">
      <c r="B3173" s="3" t="b">
        <v>0</v>
      </c>
    </row>
    <row r="3174" spans="2:2" ht="13.2" x14ac:dyDescent="0.25">
      <c r="B3174" s="3" t="b">
        <v>0</v>
      </c>
    </row>
    <row r="3175" spans="2:2" ht="13.2" x14ac:dyDescent="0.25">
      <c r="B3175" s="3" t="b">
        <v>0</v>
      </c>
    </row>
    <row r="3176" spans="2:2" ht="13.2" x14ac:dyDescent="0.25">
      <c r="B3176" s="3" t="b">
        <v>0</v>
      </c>
    </row>
    <row r="3177" spans="2:2" ht="13.2" x14ac:dyDescent="0.25">
      <c r="B3177" s="3" t="b">
        <v>0</v>
      </c>
    </row>
    <row r="3178" spans="2:2" ht="13.2" x14ac:dyDescent="0.25">
      <c r="B3178" s="3" t="b">
        <v>0</v>
      </c>
    </row>
    <row r="3179" spans="2:2" ht="13.2" x14ac:dyDescent="0.25">
      <c r="B3179" s="3" t="b">
        <v>0</v>
      </c>
    </row>
    <row r="3180" spans="2:2" ht="13.2" x14ac:dyDescent="0.25">
      <c r="B3180" s="3" t="b">
        <v>0</v>
      </c>
    </row>
    <row r="3181" spans="2:2" ht="13.2" x14ac:dyDescent="0.25">
      <c r="B3181" s="3" t="b">
        <v>0</v>
      </c>
    </row>
    <row r="3182" spans="2:2" ht="13.2" x14ac:dyDescent="0.25">
      <c r="B3182" s="3" t="b">
        <v>0</v>
      </c>
    </row>
    <row r="3183" spans="2:2" ht="13.2" x14ac:dyDescent="0.25">
      <c r="B3183" s="3" t="b">
        <v>0</v>
      </c>
    </row>
    <row r="3184" spans="2:2" ht="13.2" x14ac:dyDescent="0.25">
      <c r="B3184" s="3" t="b">
        <v>0</v>
      </c>
    </row>
    <row r="3185" spans="2:2" ht="13.2" x14ac:dyDescent="0.25">
      <c r="B3185" s="3" t="b">
        <v>0</v>
      </c>
    </row>
    <row r="3186" spans="2:2" ht="13.2" x14ac:dyDescent="0.25">
      <c r="B3186" s="3" t="b">
        <v>0</v>
      </c>
    </row>
    <row r="3187" spans="2:2" ht="13.2" x14ac:dyDescent="0.25">
      <c r="B3187" s="3" t="b">
        <v>0</v>
      </c>
    </row>
    <row r="3188" spans="2:2" ht="13.2" x14ac:dyDescent="0.25">
      <c r="B3188" s="3" t="b">
        <v>0</v>
      </c>
    </row>
    <row r="3189" spans="2:2" ht="13.2" x14ac:dyDescent="0.25">
      <c r="B3189" s="3" t="b">
        <v>0</v>
      </c>
    </row>
    <row r="3190" spans="2:2" ht="13.2" x14ac:dyDescent="0.25">
      <c r="B3190" s="3" t="b">
        <v>0</v>
      </c>
    </row>
    <row r="3191" spans="2:2" ht="13.2" x14ac:dyDescent="0.25">
      <c r="B3191" s="3" t="b">
        <v>0</v>
      </c>
    </row>
    <row r="3192" spans="2:2" ht="13.2" x14ac:dyDescent="0.25">
      <c r="B3192" s="3" t="b">
        <v>0</v>
      </c>
    </row>
    <row r="3193" spans="2:2" ht="13.2" x14ac:dyDescent="0.25">
      <c r="B3193" s="3" t="b">
        <v>0</v>
      </c>
    </row>
    <row r="3194" spans="2:2" ht="13.2" x14ac:dyDescent="0.25">
      <c r="B3194" s="3" t="b">
        <v>0</v>
      </c>
    </row>
    <row r="3195" spans="2:2" ht="13.2" x14ac:dyDescent="0.25">
      <c r="B3195" s="3" t="b">
        <v>0</v>
      </c>
    </row>
    <row r="3196" spans="2:2" ht="13.2" x14ac:dyDescent="0.25">
      <c r="B3196" s="3" t="b">
        <v>0</v>
      </c>
    </row>
    <row r="3197" spans="2:2" ht="13.2" x14ac:dyDescent="0.25">
      <c r="B3197" s="3" t="b">
        <v>0</v>
      </c>
    </row>
    <row r="3198" spans="2:2" ht="13.2" x14ac:dyDescent="0.25">
      <c r="B3198" s="3" t="b">
        <v>0</v>
      </c>
    </row>
    <row r="3199" spans="2:2" ht="13.2" x14ac:dyDescent="0.25">
      <c r="B3199" s="3" t="b">
        <v>0</v>
      </c>
    </row>
    <row r="3200" spans="2:2" ht="13.2" x14ac:dyDescent="0.25">
      <c r="B3200" s="3" t="b">
        <v>0</v>
      </c>
    </row>
    <row r="3201" spans="2:2" ht="13.2" x14ac:dyDescent="0.25">
      <c r="B3201" s="3" t="b">
        <v>0</v>
      </c>
    </row>
    <row r="3202" spans="2:2" ht="13.2" x14ac:dyDescent="0.25">
      <c r="B3202" s="3" t="b">
        <v>0</v>
      </c>
    </row>
    <row r="3203" spans="2:2" ht="13.2" x14ac:dyDescent="0.25">
      <c r="B3203" s="3" t="b">
        <v>0</v>
      </c>
    </row>
    <row r="3204" spans="2:2" ht="13.2" x14ac:dyDescent="0.25">
      <c r="B3204" s="3" t="b">
        <v>0</v>
      </c>
    </row>
    <row r="3205" spans="2:2" ht="13.2" x14ac:dyDescent="0.25">
      <c r="B3205" s="3" t="b">
        <v>0</v>
      </c>
    </row>
    <row r="3206" spans="2:2" ht="13.2" x14ac:dyDescent="0.25">
      <c r="B3206" s="3" t="b">
        <v>0</v>
      </c>
    </row>
    <row r="3207" spans="2:2" ht="13.2" x14ac:dyDescent="0.25">
      <c r="B3207" s="3" t="b">
        <v>0</v>
      </c>
    </row>
    <row r="3208" spans="2:2" ht="13.2" x14ac:dyDescent="0.25">
      <c r="B3208" s="3" t="b">
        <v>0</v>
      </c>
    </row>
    <row r="3209" spans="2:2" ht="13.2" x14ac:dyDescent="0.25">
      <c r="B3209" s="3" t="b">
        <v>0</v>
      </c>
    </row>
    <row r="3210" spans="2:2" ht="13.2" x14ac:dyDescent="0.25">
      <c r="B3210" s="3" t="b">
        <v>0</v>
      </c>
    </row>
    <row r="3211" spans="2:2" ht="13.2" x14ac:dyDescent="0.25">
      <c r="B3211" s="3" t="b">
        <v>0</v>
      </c>
    </row>
    <row r="3212" spans="2:2" ht="13.2" x14ac:dyDescent="0.25">
      <c r="B3212" s="3" t="b">
        <v>0</v>
      </c>
    </row>
    <row r="3213" spans="2:2" ht="13.2" x14ac:dyDescent="0.25">
      <c r="B3213" s="3" t="b">
        <v>0</v>
      </c>
    </row>
    <row r="3214" spans="2:2" ht="13.2" x14ac:dyDescent="0.25">
      <c r="B3214" s="3" t="b">
        <v>0</v>
      </c>
    </row>
    <row r="3215" spans="2:2" ht="13.2" x14ac:dyDescent="0.25">
      <c r="B3215" s="3" t="b">
        <v>0</v>
      </c>
    </row>
    <row r="3216" spans="2:2" ht="13.2" x14ac:dyDescent="0.25">
      <c r="B3216" s="3" t="b">
        <v>0</v>
      </c>
    </row>
    <row r="3217" spans="2:2" ht="13.2" x14ac:dyDescent="0.25">
      <c r="B3217" s="3" t="b">
        <v>0</v>
      </c>
    </row>
    <row r="3218" spans="2:2" ht="13.2" x14ac:dyDescent="0.25">
      <c r="B3218" s="3" t="b">
        <v>0</v>
      </c>
    </row>
    <row r="3219" spans="2:2" ht="13.2" x14ac:dyDescent="0.25">
      <c r="B3219" s="3" t="b">
        <v>0</v>
      </c>
    </row>
    <row r="3220" spans="2:2" ht="13.2" x14ac:dyDescent="0.25">
      <c r="B3220" s="3" t="b">
        <v>0</v>
      </c>
    </row>
    <row r="3221" spans="2:2" ht="13.2" x14ac:dyDescent="0.25">
      <c r="B3221" s="3" t="b">
        <v>0</v>
      </c>
    </row>
    <row r="3222" spans="2:2" ht="13.2" x14ac:dyDescent="0.25">
      <c r="B3222" s="3" t="b">
        <v>0</v>
      </c>
    </row>
    <row r="3223" spans="2:2" ht="13.2" x14ac:dyDescent="0.25">
      <c r="B3223" s="3" t="b">
        <v>0</v>
      </c>
    </row>
    <row r="3224" spans="2:2" ht="13.2" x14ac:dyDescent="0.25">
      <c r="B3224" s="3" t="b">
        <v>0</v>
      </c>
    </row>
    <row r="3225" spans="2:2" ht="13.2" x14ac:dyDescent="0.25">
      <c r="B3225" s="3" t="b">
        <v>0</v>
      </c>
    </row>
    <row r="3226" spans="2:2" ht="13.2" x14ac:dyDescent="0.25">
      <c r="B3226" s="3" t="b">
        <v>0</v>
      </c>
    </row>
    <row r="3227" spans="2:2" ht="13.2" x14ac:dyDescent="0.25">
      <c r="B3227" s="3" t="b">
        <v>0</v>
      </c>
    </row>
    <row r="3228" spans="2:2" ht="13.2" x14ac:dyDescent="0.25">
      <c r="B3228" s="3" t="b">
        <v>0</v>
      </c>
    </row>
    <row r="3229" spans="2:2" ht="13.2" x14ac:dyDescent="0.25">
      <c r="B3229" s="3" t="b">
        <v>0</v>
      </c>
    </row>
    <row r="3230" spans="2:2" ht="13.2" x14ac:dyDescent="0.25">
      <c r="B3230" s="3" t="b">
        <v>0</v>
      </c>
    </row>
    <row r="3231" spans="2:2" ht="13.2" x14ac:dyDescent="0.25">
      <c r="B3231" s="3" t="b">
        <v>0</v>
      </c>
    </row>
    <row r="3232" spans="2:2" ht="13.2" x14ac:dyDescent="0.25">
      <c r="B3232" s="3" t="b">
        <v>0</v>
      </c>
    </row>
    <row r="3233" spans="2:2" ht="13.2" x14ac:dyDescent="0.25">
      <c r="B3233" s="3" t="b">
        <v>0</v>
      </c>
    </row>
    <row r="3234" spans="2:2" ht="13.2" x14ac:dyDescent="0.25">
      <c r="B3234" s="3" t="b">
        <v>0</v>
      </c>
    </row>
    <row r="3235" spans="2:2" ht="13.2" x14ac:dyDescent="0.25">
      <c r="B3235" s="3" t="b">
        <v>0</v>
      </c>
    </row>
    <row r="3236" spans="2:2" ht="13.2" x14ac:dyDescent="0.25">
      <c r="B3236" s="3" t="b">
        <v>0</v>
      </c>
    </row>
    <row r="3237" spans="2:2" ht="13.2" x14ac:dyDescent="0.25">
      <c r="B3237" s="3" t="b">
        <v>0</v>
      </c>
    </row>
    <row r="3238" spans="2:2" ht="13.2" x14ac:dyDescent="0.25">
      <c r="B3238" s="3" t="b">
        <v>0</v>
      </c>
    </row>
    <row r="3239" spans="2:2" ht="13.2" x14ac:dyDescent="0.25">
      <c r="B3239" s="3" t="b">
        <v>0</v>
      </c>
    </row>
    <row r="3240" spans="2:2" ht="13.2" x14ac:dyDescent="0.25">
      <c r="B3240" s="3" t="b">
        <v>0</v>
      </c>
    </row>
    <row r="3241" spans="2:2" ht="13.2" x14ac:dyDescent="0.25">
      <c r="B3241" s="3" t="b">
        <v>0</v>
      </c>
    </row>
    <row r="3242" spans="2:2" ht="13.2" x14ac:dyDescent="0.25">
      <c r="B3242" s="3" t="b">
        <v>0</v>
      </c>
    </row>
    <row r="3243" spans="2:2" ht="13.2" x14ac:dyDescent="0.25">
      <c r="B3243" s="3" t="b">
        <v>0</v>
      </c>
    </row>
    <row r="3244" spans="2:2" ht="13.2" x14ac:dyDescent="0.25">
      <c r="B3244" s="3" t="b">
        <v>0</v>
      </c>
    </row>
    <row r="3245" spans="2:2" ht="13.2" x14ac:dyDescent="0.25">
      <c r="B3245" s="3" t="b">
        <v>0</v>
      </c>
    </row>
    <row r="3246" spans="2:2" ht="13.2" x14ac:dyDescent="0.25">
      <c r="B3246" s="3" t="b">
        <v>0</v>
      </c>
    </row>
    <row r="3247" spans="2:2" ht="13.2" x14ac:dyDescent="0.25">
      <c r="B3247" s="3" t="b">
        <v>0</v>
      </c>
    </row>
    <row r="3248" spans="2:2" ht="13.2" x14ac:dyDescent="0.25">
      <c r="B3248" s="3" t="b">
        <v>0</v>
      </c>
    </row>
    <row r="3249" spans="2:2" ht="13.2" x14ac:dyDescent="0.25">
      <c r="B3249" s="3" t="b">
        <v>0</v>
      </c>
    </row>
    <row r="3250" spans="2:2" ht="13.2" x14ac:dyDescent="0.25">
      <c r="B3250" s="3" t="b">
        <v>0</v>
      </c>
    </row>
    <row r="3251" spans="2:2" ht="13.2" x14ac:dyDescent="0.25">
      <c r="B3251" s="3" t="b">
        <v>0</v>
      </c>
    </row>
    <row r="3252" spans="2:2" ht="13.2" x14ac:dyDescent="0.25">
      <c r="B3252" s="3" t="b">
        <v>0</v>
      </c>
    </row>
    <row r="3253" spans="2:2" ht="13.2" x14ac:dyDescent="0.25">
      <c r="B3253" s="3" t="b">
        <v>0</v>
      </c>
    </row>
    <row r="3254" spans="2:2" ht="13.2" x14ac:dyDescent="0.25">
      <c r="B3254" s="3" t="b">
        <v>0</v>
      </c>
    </row>
    <row r="3255" spans="2:2" ht="13.2" x14ac:dyDescent="0.25">
      <c r="B3255" s="3" t="b">
        <v>0</v>
      </c>
    </row>
    <row r="3256" spans="2:2" ht="13.2" x14ac:dyDescent="0.25">
      <c r="B3256" s="3" t="b">
        <v>0</v>
      </c>
    </row>
    <row r="3257" spans="2:2" ht="13.2" x14ac:dyDescent="0.25">
      <c r="B3257" s="3" t="b">
        <v>0</v>
      </c>
    </row>
    <row r="3258" spans="2:2" ht="13.2" x14ac:dyDescent="0.25">
      <c r="B3258" s="3" t="b">
        <v>0</v>
      </c>
    </row>
    <row r="3259" spans="2:2" ht="13.2" x14ac:dyDescent="0.25">
      <c r="B3259" s="3" t="b">
        <v>0</v>
      </c>
    </row>
    <row r="3260" spans="2:2" ht="13.2" x14ac:dyDescent="0.25">
      <c r="B3260" s="3" t="b">
        <v>0</v>
      </c>
    </row>
    <row r="3261" spans="2:2" ht="13.2" x14ac:dyDescent="0.25">
      <c r="B3261" s="3" t="b">
        <v>0</v>
      </c>
    </row>
    <row r="3262" spans="2:2" ht="13.2" x14ac:dyDescent="0.25">
      <c r="B3262" s="3" t="b">
        <v>0</v>
      </c>
    </row>
    <row r="3263" spans="2:2" ht="13.2" x14ac:dyDescent="0.25">
      <c r="B3263" s="3" t="b">
        <v>0</v>
      </c>
    </row>
    <row r="3264" spans="2:2" ht="13.2" x14ac:dyDescent="0.25">
      <c r="B3264" s="3" t="b">
        <v>0</v>
      </c>
    </row>
    <row r="3265" spans="2:2" ht="13.2" x14ac:dyDescent="0.25">
      <c r="B3265" s="3" t="b">
        <v>0</v>
      </c>
    </row>
    <row r="3266" spans="2:2" ht="13.2" x14ac:dyDescent="0.25">
      <c r="B3266" s="3" t="b">
        <v>0</v>
      </c>
    </row>
    <row r="3267" spans="2:2" ht="13.2" x14ac:dyDescent="0.25">
      <c r="B3267" s="3" t="b">
        <v>0</v>
      </c>
    </row>
    <row r="3268" spans="2:2" ht="13.2" x14ac:dyDescent="0.25">
      <c r="B3268" s="3" t="b">
        <v>0</v>
      </c>
    </row>
    <row r="3269" spans="2:2" ht="13.2" x14ac:dyDescent="0.25">
      <c r="B3269" s="3" t="b">
        <v>0</v>
      </c>
    </row>
    <row r="3270" spans="2:2" ht="13.2" x14ac:dyDescent="0.25">
      <c r="B3270" s="3" t="b">
        <v>0</v>
      </c>
    </row>
    <row r="3271" spans="2:2" ht="13.2" x14ac:dyDescent="0.25">
      <c r="B3271" s="3" t="b">
        <v>0</v>
      </c>
    </row>
    <row r="3272" spans="2:2" ht="13.2" x14ac:dyDescent="0.25">
      <c r="B3272" s="3" t="b">
        <v>0</v>
      </c>
    </row>
    <row r="3273" spans="2:2" ht="13.2" x14ac:dyDescent="0.25">
      <c r="B3273" s="3" t="b">
        <v>0</v>
      </c>
    </row>
    <row r="3274" spans="2:2" ht="13.2" x14ac:dyDescent="0.25">
      <c r="B3274" s="3" t="b">
        <v>0</v>
      </c>
    </row>
    <row r="3275" spans="2:2" ht="13.2" x14ac:dyDescent="0.25">
      <c r="B3275" s="3" t="b">
        <v>0</v>
      </c>
    </row>
    <row r="3276" spans="2:2" ht="13.2" x14ac:dyDescent="0.25">
      <c r="B3276" s="3" t="b">
        <v>0</v>
      </c>
    </row>
    <row r="3277" spans="2:2" ht="13.2" x14ac:dyDescent="0.25">
      <c r="B3277" s="3" t="b">
        <v>0</v>
      </c>
    </row>
    <row r="3278" spans="2:2" ht="13.2" x14ac:dyDescent="0.25">
      <c r="B3278" s="3" t="b">
        <v>0</v>
      </c>
    </row>
    <row r="3279" spans="2:2" ht="13.2" x14ac:dyDescent="0.25">
      <c r="B3279" s="3" t="b">
        <v>0</v>
      </c>
    </row>
    <row r="3280" spans="2:2" ht="13.2" x14ac:dyDescent="0.25">
      <c r="B3280" s="3" t="b">
        <v>0</v>
      </c>
    </row>
    <row r="3281" spans="2:2" ht="13.2" x14ac:dyDescent="0.25">
      <c r="B3281" s="3" t="b">
        <v>0</v>
      </c>
    </row>
    <row r="3282" spans="2:2" ht="13.2" x14ac:dyDescent="0.25">
      <c r="B3282" s="3" t="b">
        <v>0</v>
      </c>
    </row>
    <row r="3283" spans="2:2" ht="13.2" x14ac:dyDescent="0.25">
      <c r="B3283" s="3" t="b">
        <v>0</v>
      </c>
    </row>
    <row r="3284" spans="2:2" ht="13.2" x14ac:dyDescent="0.25">
      <c r="B3284" s="3" t="b">
        <v>0</v>
      </c>
    </row>
    <row r="3285" spans="2:2" ht="13.2" x14ac:dyDescent="0.25">
      <c r="B3285" s="3" t="b">
        <v>0</v>
      </c>
    </row>
    <row r="3286" spans="2:2" ht="13.2" x14ac:dyDescent="0.25">
      <c r="B3286" s="3" t="b">
        <v>0</v>
      </c>
    </row>
    <row r="3287" spans="2:2" ht="13.2" x14ac:dyDescent="0.25">
      <c r="B3287" s="3" t="b">
        <v>0</v>
      </c>
    </row>
    <row r="3288" spans="2:2" ht="13.2" x14ac:dyDescent="0.25">
      <c r="B3288" s="3" t="b">
        <v>0</v>
      </c>
    </row>
    <row r="3289" spans="2:2" ht="13.2" x14ac:dyDescent="0.25">
      <c r="B3289" s="3" t="b">
        <v>0</v>
      </c>
    </row>
    <row r="3290" spans="2:2" ht="13.2" x14ac:dyDescent="0.25">
      <c r="B3290" s="3" t="b">
        <v>0</v>
      </c>
    </row>
    <row r="3291" spans="2:2" ht="13.2" x14ac:dyDescent="0.25">
      <c r="B3291" s="3" t="b">
        <v>0</v>
      </c>
    </row>
    <row r="3292" spans="2:2" ht="13.2" x14ac:dyDescent="0.25">
      <c r="B3292" s="3" t="b">
        <v>0</v>
      </c>
    </row>
    <row r="3293" spans="2:2" ht="13.2" x14ac:dyDescent="0.25">
      <c r="B3293" s="3" t="b">
        <v>0</v>
      </c>
    </row>
    <row r="3294" spans="2:2" ht="13.2" x14ac:dyDescent="0.25">
      <c r="B3294" s="3" t="b">
        <v>0</v>
      </c>
    </row>
    <row r="3295" spans="2:2" ht="13.2" x14ac:dyDescent="0.25">
      <c r="B3295" s="3" t="b">
        <v>0</v>
      </c>
    </row>
    <row r="3296" spans="2:2" ht="13.2" x14ac:dyDescent="0.25">
      <c r="B3296" s="3" t="b">
        <v>0</v>
      </c>
    </row>
    <row r="3297" spans="2:2" ht="13.2" x14ac:dyDescent="0.25">
      <c r="B3297" s="3" t="b">
        <v>0</v>
      </c>
    </row>
    <row r="3298" spans="2:2" ht="13.2" x14ac:dyDescent="0.25">
      <c r="B3298" s="3" t="b">
        <v>0</v>
      </c>
    </row>
    <row r="3299" spans="2:2" ht="13.2" x14ac:dyDescent="0.25">
      <c r="B3299" s="3" t="b">
        <v>0</v>
      </c>
    </row>
    <row r="3300" spans="2:2" ht="13.2" x14ac:dyDescent="0.25">
      <c r="B3300" s="3" t="b">
        <v>0</v>
      </c>
    </row>
    <row r="3301" spans="2:2" ht="13.2" x14ac:dyDescent="0.25">
      <c r="B3301" s="3" t="b">
        <v>0</v>
      </c>
    </row>
    <row r="3302" spans="2:2" ht="13.2" x14ac:dyDescent="0.25">
      <c r="B3302" s="3" t="b">
        <v>0</v>
      </c>
    </row>
    <row r="3303" spans="2:2" ht="13.2" x14ac:dyDescent="0.25">
      <c r="B3303" s="3" t="b">
        <v>0</v>
      </c>
    </row>
    <row r="3304" spans="2:2" ht="13.2" x14ac:dyDescent="0.25">
      <c r="B3304" s="3" t="b">
        <v>0</v>
      </c>
    </row>
    <row r="3305" spans="2:2" ht="13.2" x14ac:dyDescent="0.25">
      <c r="B3305" s="3" t="b">
        <v>0</v>
      </c>
    </row>
    <row r="3306" spans="2:2" ht="13.2" x14ac:dyDescent="0.25">
      <c r="B3306" s="3" t="b">
        <v>0</v>
      </c>
    </row>
    <row r="3307" spans="2:2" ht="13.2" x14ac:dyDescent="0.25">
      <c r="B3307" s="3" t="b">
        <v>0</v>
      </c>
    </row>
    <row r="3308" spans="2:2" ht="13.2" x14ac:dyDescent="0.25">
      <c r="B3308" s="3" t="b">
        <v>0</v>
      </c>
    </row>
    <row r="3309" spans="2:2" ht="13.2" x14ac:dyDescent="0.25">
      <c r="B3309" s="3" t="b">
        <v>0</v>
      </c>
    </row>
    <row r="3310" spans="2:2" ht="13.2" x14ac:dyDescent="0.25">
      <c r="B3310" s="3" t="b">
        <v>0</v>
      </c>
    </row>
    <row r="3311" spans="2:2" ht="13.2" x14ac:dyDescent="0.25">
      <c r="B3311" s="3" t="b">
        <v>0</v>
      </c>
    </row>
    <row r="3312" spans="2:2" ht="13.2" x14ac:dyDescent="0.25">
      <c r="B3312" s="3" t="b">
        <v>0</v>
      </c>
    </row>
    <row r="3313" spans="2:2" ht="13.2" x14ac:dyDescent="0.25">
      <c r="B3313" s="3" t="b">
        <v>0</v>
      </c>
    </row>
    <row r="3314" spans="2:2" ht="13.2" x14ac:dyDescent="0.25">
      <c r="B3314" s="3" t="b">
        <v>0</v>
      </c>
    </row>
    <row r="3315" spans="2:2" ht="13.2" x14ac:dyDescent="0.25">
      <c r="B3315" s="3" t="b">
        <v>0</v>
      </c>
    </row>
    <row r="3316" spans="2:2" ht="13.2" x14ac:dyDescent="0.25">
      <c r="B3316" s="3" t="b">
        <v>0</v>
      </c>
    </row>
    <row r="3317" spans="2:2" ht="13.2" x14ac:dyDescent="0.25">
      <c r="B3317" s="3" t="b">
        <v>0</v>
      </c>
    </row>
    <row r="3318" spans="2:2" ht="13.2" x14ac:dyDescent="0.25">
      <c r="B3318" s="3" t="b">
        <v>0</v>
      </c>
    </row>
    <row r="3319" spans="2:2" ht="13.2" x14ac:dyDescent="0.25">
      <c r="B3319" s="3" t="b">
        <v>0</v>
      </c>
    </row>
    <row r="3320" spans="2:2" ht="13.2" x14ac:dyDescent="0.25">
      <c r="B3320" s="3" t="b">
        <v>0</v>
      </c>
    </row>
    <row r="3321" spans="2:2" ht="13.2" x14ac:dyDescent="0.25">
      <c r="B3321" s="3" t="b">
        <v>0</v>
      </c>
    </row>
    <row r="3322" spans="2:2" ht="13.2" x14ac:dyDescent="0.25">
      <c r="B3322" s="3" t="b">
        <v>0</v>
      </c>
    </row>
    <row r="3323" spans="2:2" ht="13.2" x14ac:dyDescent="0.25">
      <c r="B3323" s="3" t="b">
        <v>0</v>
      </c>
    </row>
    <row r="3324" spans="2:2" ht="13.2" x14ac:dyDescent="0.25">
      <c r="B3324" s="3" t="b">
        <v>0</v>
      </c>
    </row>
    <row r="3325" spans="2:2" ht="13.2" x14ac:dyDescent="0.25">
      <c r="B3325" s="3" t="b">
        <v>0</v>
      </c>
    </row>
    <row r="3326" spans="2:2" ht="13.2" x14ac:dyDescent="0.25">
      <c r="B3326" s="3" t="b">
        <v>0</v>
      </c>
    </row>
    <row r="3327" spans="2:2" ht="13.2" x14ac:dyDescent="0.25">
      <c r="B3327" s="3" t="b">
        <v>0</v>
      </c>
    </row>
    <row r="3328" spans="2:2" ht="13.2" x14ac:dyDescent="0.25">
      <c r="B3328" s="3" t="b">
        <v>0</v>
      </c>
    </row>
    <row r="3329" spans="2:2" ht="13.2" x14ac:dyDescent="0.25">
      <c r="B3329" s="3" t="b">
        <v>0</v>
      </c>
    </row>
    <row r="3330" spans="2:2" ht="13.2" x14ac:dyDescent="0.25">
      <c r="B3330" s="3" t="b">
        <v>0</v>
      </c>
    </row>
    <row r="3331" spans="2:2" ht="13.2" x14ac:dyDescent="0.25">
      <c r="B3331" s="3" t="b">
        <v>0</v>
      </c>
    </row>
    <row r="3332" spans="2:2" ht="13.2" x14ac:dyDescent="0.25">
      <c r="B3332" s="3" t="b">
        <v>0</v>
      </c>
    </row>
    <row r="3333" spans="2:2" ht="13.2" x14ac:dyDescent="0.25">
      <c r="B3333" s="3" t="b">
        <v>0</v>
      </c>
    </row>
    <row r="3334" spans="2:2" ht="13.2" x14ac:dyDescent="0.25">
      <c r="B3334" s="3" t="b">
        <v>0</v>
      </c>
    </row>
    <row r="3335" spans="2:2" ht="13.2" x14ac:dyDescent="0.25">
      <c r="B3335" s="3" t="b">
        <v>0</v>
      </c>
    </row>
    <row r="3336" spans="2:2" ht="13.2" x14ac:dyDescent="0.25">
      <c r="B3336" s="3" t="b">
        <v>0</v>
      </c>
    </row>
    <row r="3337" spans="2:2" ht="13.2" x14ac:dyDescent="0.25">
      <c r="B3337" s="3" t="b">
        <v>0</v>
      </c>
    </row>
    <row r="3338" spans="2:2" ht="13.2" x14ac:dyDescent="0.25">
      <c r="B3338" s="3" t="b">
        <v>0</v>
      </c>
    </row>
    <row r="3339" spans="2:2" ht="13.2" x14ac:dyDescent="0.25">
      <c r="B3339" s="3" t="b">
        <v>0</v>
      </c>
    </row>
    <row r="3340" spans="2:2" ht="13.2" x14ac:dyDescent="0.25">
      <c r="B3340" s="3" t="b">
        <v>0</v>
      </c>
    </row>
    <row r="3341" spans="2:2" ht="13.2" x14ac:dyDescent="0.25">
      <c r="B3341" s="3" t="b">
        <v>0</v>
      </c>
    </row>
    <row r="3342" spans="2:2" ht="13.2" x14ac:dyDescent="0.25">
      <c r="B3342" s="3" t="b">
        <v>0</v>
      </c>
    </row>
    <row r="3343" spans="2:2" ht="13.2" x14ac:dyDescent="0.25">
      <c r="B3343" s="3" t="b">
        <v>0</v>
      </c>
    </row>
    <row r="3344" spans="2:2" ht="13.2" x14ac:dyDescent="0.25">
      <c r="B3344" s="3" t="b">
        <v>0</v>
      </c>
    </row>
    <row r="3345" spans="2:2" ht="13.2" x14ac:dyDescent="0.25">
      <c r="B3345" s="3" t="b">
        <v>0</v>
      </c>
    </row>
    <row r="3346" spans="2:2" ht="13.2" x14ac:dyDescent="0.25">
      <c r="B3346" s="3" t="b">
        <v>0</v>
      </c>
    </row>
    <row r="3347" spans="2:2" ht="13.2" x14ac:dyDescent="0.25">
      <c r="B3347" s="3" t="b">
        <v>0</v>
      </c>
    </row>
    <row r="3348" spans="2:2" ht="13.2" x14ac:dyDescent="0.25">
      <c r="B3348" s="3" t="b">
        <v>0</v>
      </c>
    </row>
    <row r="3349" spans="2:2" ht="13.2" x14ac:dyDescent="0.25">
      <c r="B3349" s="3" t="b">
        <v>0</v>
      </c>
    </row>
    <row r="3350" spans="2:2" ht="13.2" x14ac:dyDescent="0.25">
      <c r="B3350" s="3" t="b">
        <v>0</v>
      </c>
    </row>
    <row r="3351" spans="2:2" ht="13.2" x14ac:dyDescent="0.25">
      <c r="B3351" s="3" t="b">
        <v>0</v>
      </c>
    </row>
    <row r="3352" spans="2:2" ht="13.2" x14ac:dyDescent="0.25">
      <c r="B3352" s="3" t="b">
        <v>0</v>
      </c>
    </row>
    <row r="3353" spans="2:2" ht="13.2" x14ac:dyDescent="0.25">
      <c r="B3353" s="3" t="b">
        <v>0</v>
      </c>
    </row>
    <row r="3354" spans="2:2" ht="13.2" x14ac:dyDescent="0.25">
      <c r="B3354" s="3" t="b">
        <v>0</v>
      </c>
    </row>
    <row r="3355" spans="2:2" ht="13.2" x14ac:dyDescent="0.25">
      <c r="B3355" s="3" t="b">
        <v>0</v>
      </c>
    </row>
    <row r="3356" spans="2:2" ht="13.2" x14ac:dyDescent="0.25">
      <c r="B3356" s="3" t="b">
        <v>0</v>
      </c>
    </row>
    <row r="3357" spans="2:2" ht="13.2" x14ac:dyDescent="0.25">
      <c r="B3357" s="3" t="b">
        <v>0</v>
      </c>
    </row>
    <row r="3358" spans="2:2" ht="13.2" x14ac:dyDescent="0.25">
      <c r="B3358" s="3" t="b">
        <v>0</v>
      </c>
    </row>
    <row r="3359" spans="2:2" ht="13.2" x14ac:dyDescent="0.25">
      <c r="B3359" s="3" t="b">
        <v>0</v>
      </c>
    </row>
    <row r="3360" spans="2:2" ht="13.2" x14ac:dyDescent="0.25">
      <c r="B3360" s="3" t="b">
        <v>0</v>
      </c>
    </row>
    <row r="3361" spans="2:2" ht="13.2" x14ac:dyDescent="0.25">
      <c r="B3361" s="3" t="b">
        <v>0</v>
      </c>
    </row>
    <row r="3362" spans="2:2" ht="13.2" x14ac:dyDescent="0.25">
      <c r="B3362" s="3" t="b">
        <v>0</v>
      </c>
    </row>
    <row r="3363" spans="2:2" ht="13.2" x14ac:dyDescent="0.25">
      <c r="B3363" s="3" t="b">
        <v>0</v>
      </c>
    </row>
    <row r="3364" spans="2:2" ht="13.2" x14ac:dyDescent="0.25">
      <c r="B3364" s="3" t="b">
        <v>0</v>
      </c>
    </row>
    <row r="3365" spans="2:2" ht="13.2" x14ac:dyDescent="0.25">
      <c r="B3365" s="3" t="b">
        <v>0</v>
      </c>
    </row>
    <row r="3366" spans="2:2" ht="13.2" x14ac:dyDescent="0.25">
      <c r="B3366" s="3" t="b">
        <v>0</v>
      </c>
    </row>
    <row r="3367" spans="2:2" ht="13.2" x14ac:dyDescent="0.25">
      <c r="B3367" s="3" t="b">
        <v>0</v>
      </c>
    </row>
    <row r="3368" spans="2:2" ht="13.2" x14ac:dyDescent="0.25">
      <c r="B3368" s="3" t="b">
        <v>0</v>
      </c>
    </row>
    <row r="3369" spans="2:2" ht="13.2" x14ac:dyDescent="0.25">
      <c r="B3369" s="3" t="b">
        <v>0</v>
      </c>
    </row>
    <row r="3370" spans="2:2" ht="13.2" x14ac:dyDescent="0.25">
      <c r="B3370" s="3" t="b">
        <v>0</v>
      </c>
    </row>
    <row r="3371" spans="2:2" ht="13.2" x14ac:dyDescent="0.25">
      <c r="B3371" s="3" t="b">
        <v>0</v>
      </c>
    </row>
    <row r="3372" spans="2:2" ht="13.2" x14ac:dyDescent="0.25">
      <c r="B3372" s="3" t="b">
        <v>0</v>
      </c>
    </row>
    <row r="3373" spans="2:2" ht="13.2" x14ac:dyDescent="0.25">
      <c r="B3373" s="3" t="b">
        <v>0</v>
      </c>
    </row>
    <row r="3374" spans="2:2" ht="13.2" x14ac:dyDescent="0.25">
      <c r="B3374" s="3" t="b">
        <v>0</v>
      </c>
    </row>
    <row r="3375" spans="2:2" ht="13.2" x14ac:dyDescent="0.25">
      <c r="B3375" s="3" t="b">
        <v>0</v>
      </c>
    </row>
    <row r="3376" spans="2:2" ht="13.2" x14ac:dyDescent="0.25">
      <c r="B3376" s="3" t="b">
        <v>0</v>
      </c>
    </row>
    <row r="3377" spans="2:2" ht="13.2" x14ac:dyDescent="0.25">
      <c r="B3377" s="3" t="b">
        <v>0</v>
      </c>
    </row>
    <row r="3378" spans="2:2" ht="13.2" x14ac:dyDescent="0.25">
      <c r="B3378" s="3" t="b">
        <v>0</v>
      </c>
    </row>
    <row r="3379" spans="2:2" ht="13.2" x14ac:dyDescent="0.25">
      <c r="B3379" s="3" t="b">
        <v>0</v>
      </c>
    </row>
    <row r="3380" spans="2:2" ht="13.2" x14ac:dyDescent="0.25">
      <c r="B3380" s="3" t="b">
        <v>0</v>
      </c>
    </row>
    <row r="3381" spans="2:2" ht="13.2" x14ac:dyDescent="0.25">
      <c r="B3381" s="3" t="b">
        <v>0</v>
      </c>
    </row>
    <row r="3382" spans="2:2" ht="13.2" x14ac:dyDescent="0.25">
      <c r="B3382" s="3" t="b">
        <v>0</v>
      </c>
    </row>
    <row r="3383" spans="2:2" ht="13.2" x14ac:dyDescent="0.25">
      <c r="B3383" s="3" t="b">
        <v>0</v>
      </c>
    </row>
    <row r="3384" spans="2:2" ht="13.2" x14ac:dyDescent="0.25">
      <c r="B3384" s="3" t="b">
        <v>0</v>
      </c>
    </row>
    <row r="3385" spans="2:2" ht="13.2" x14ac:dyDescent="0.25">
      <c r="B3385" s="3" t="b">
        <v>0</v>
      </c>
    </row>
    <row r="3386" spans="2:2" ht="13.2" x14ac:dyDescent="0.25">
      <c r="B3386" s="3" t="b">
        <v>0</v>
      </c>
    </row>
    <row r="3387" spans="2:2" ht="13.2" x14ac:dyDescent="0.25">
      <c r="B3387" s="3" t="b">
        <v>0</v>
      </c>
    </row>
    <row r="3388" spans="2:2" ht="13.2" x14ac:dyDescent="0.25">
      <c r="B3388" s="3" t="b">
        <v>0</v>
      </c>
    </row>
    <row r="3389" spans="2:2" ht="13.2" x14ac:dyDescent="0.25">
      <c r="B3389" s="3" t="b">
        <v>0</v>
      </c>
    </row>
    <row r="3390" spans="2:2" ht="13.2" x14ac:dyDescent="0.25">
      <c r="B3390" s="3" t="b">
        <v>0</v>
      </c>
    </row>
    <row r="3391" spans="2:2" ht="13.2" x14ac:dyDescent="0.25">
      <c r="B3391" s="3" t="b">
        <v>0</v>
      </c>
    </row>
    <row r="3392" spans="2:2" ht="13.2" x14ac:dyDescent="0.25">
      <c r="B3392" s="3" t="b">
        <v>0</v>
      </c>
    </row>
    <row r="3393" spans="2:2" ht="13.2" x14ac:dyDescent="0.25">
      <c r="B3393" s="3" t="b">
        <v>0</v>
      </c>
    </row>
    <row r="3394" spans="2:2" ht="13.2" x14ac:dyDescent="0.25">
      <c r="B3394" s="3" t="b">
        <v>0</v>
      </c>
    </row>
    <row r="3395" spans="2:2" ht="13.2" x14ac:dyDescent="0.25">
      <c r="B3395" s="3" t="b">
        <v>0</v>
      </c>
    </row>
    <row r="3396" spans="2:2" ht="13.2" x14ac:dyDescent="0.25">
      <c r="B3396" s="3" t="b">
        <v>0</v>
      </c>
    </row>
    <row r="3397" spans="2:2" ht="13.2" x14ac:dyDescent="0.25">
      <c r="B3397" s="3" t="b">
        <v>0</v>
      </c>
    </row>
    <row r="3398" spans="2:2" ht="13.2" x14ac:dyDescent="0.25">
      <c r="B3398" s="3" t="b">
        <v>0</v>
      </c>
    </row>
    <row r="3399" spans="2:2" ht="13.2" x14ac:dyDescent="0.25">
      <c r="B3399" s="3" t="b">
        <v>0</v>
      </c>
    </row>
    <row r="3400" spans="2:2" ht="13.2" x14ac:dyDescent="0.25">
      <c r="B3400" s="3" t="b">
        <v>0</v>
      </c>
    </row>
    <row r="3401" spans="2:2" ht="13.2" x14ac:dyDescent="0.25">
      <c r="B3401" s="3" t="b">
        <v>0</v>
      </c>
    </row>
    <row r="3402" spans="2:2" ht="13.2" x14ac:dyDescent="0.25">
      <c r="B3402" s="3" t="b">
        <v>0</v>
      </c>
    </row>
    <row r="3403" spans="2:2" ht="13.2" x14ac:dyDescent="0.25">
      <c r="B3403" s="3" t="b">
        <v>0</v>
      </c>
    </row>
    <row r="3404" spans="2:2" ht="13.2" x14ac:dyDescent="0.25">
      <c r="B3404" s="3" t="b">
        <v>0</v>
      </c>
    </row>
    <row r="3405" spans="2:2" ht="13.2" x14ac:dyDescent="0.25">
      <c r="B3405" s="3" t="b">
        <v>0</v>
      </c>
    </row>
    <row r="3406" spans="2:2" ht="13.2" x14ac:dyDescent="0.25">
      <c r="B3406" s="3" t="b">
        <v>0</v>
      </c>
    </row>
    <row r="3407" spans="2:2" ht="13.2" x14ac:dyDescent="0.25">
      <c r="B3407" s="3" t="b">
        <v>0</v>
      </c>
    </row>
    <row r="3408" spans="2:2" ht="13.2" x14ac:dyDescent="0.25">
      <c r="B3408" s="3" t="b">
        <v>0</v>
      </c>
    </row>
    <row r="3409" spans="2:2" ht="13.2" x14ac:dyDescent="0.25">
      <c r="B3409" s="3" t="b">
        <v>0</v>
      </c>
    </row>
    <row r="3410" spans="2:2" ht="13.2" x14ac:dyDescent="0.25">
      <c r="B3410" s="3" t="b">
        <v>0</v>
      </c>
    </row>
    <row r="3411" spans="2:2" ht="13.2" x14ac:dyDescent="0.25">
      <c r="B3411" s="3" t="b">
        <v>0</v>
      </c>
    </row>
    <row r="3412" spans="2:2" ht="13.2" x14ac:dyDescent="0.25">
      <c r="B3412" s="3" t="b">
        <v>0</v>
      </c>
    </row>
    <row r="3413" spans="2:2" ht="13.2" x14ac:dyDescent="0.25">
      <c r="B3413" s="3" t="b">
        <v>0</v>
      </c>
    </row>
    <row r="3414" spans="2:2" ht="13.2" x14ac:dyDescent="0.25">
      <c r="B3414" s="3" t="b">
        <v>0</v>
      </c>
    </row>
    <row r="3415" spans="2:2" ht="13.2" x14ac:dyDescent="0.25">
      <c r="B3415" s="3" t="b">
        <v>0</v>
      </c>
    </row>
    <row r="3416" spans="2:2" ht="13.2" x14ac:dyDescent="0.25">
      <c r="B3416" s="3" t="b">
        <v>0</v>
      </c>
    </row>
    <row r="3417" spans="2:2" ht="13.2" x14ac:dyDescent="0.25">
      <c r="B3417" s="3" t="b">
        <v>0</v>
      </c>
    </row>
    <row r="3418" spans="2:2" ht="13.2" x14ac:dyDescent="0.25">
      <c r="B3418" s="3" t="b">
        <v>0</v>
      </c>
    </row>
    <row r="3419" spans="2:2" ht="13.2" x14ac:dyDescent="0.25">
      <c r="B3419" s="3" t="b">
        <v>0</v>
      </c>
    </row>
    <row r="3420" spans="2:2" ht="13.2" x14ac:dyDescent="0.25">
      <c r="B3420" s="3" t="b">
        <v>0</v>
      </c>
    </row>
    <row r="3421" spans="2:2" ht="13.2" x14ac:dyDescent="0.25">
      <c r="B3421" s="3" t="b">
        <v>0</v>
      </c>
    </row>
    <row r="3422" spans="2:2" ht="13.2" x14ac:dyDescent="0.25">
      <c r="B3422" s="3" t="b">
        <v>0</v>
      </c>
    </row>
    <row r="3423" spans="2:2" ht="13.2" x14ac:dyDescent="0.25">
      <c r="B3423" s="3" t="b">
        <v>0</v>
      </c>
    </row>
    <row r="3424" spans="2:2" ht="13.2" x14ac:dyDescent="0.25">
      <c r="B3424" s="3" t="b">
        <v>0</v>
      </c>
    </row>
    <row r="3425" spans="2:2" ht="13.2" x14ac:dyDescent="0.25">
      <c r="B3425" s="3" t="b">
        <v>0</v>
      </c>
    </row>
    <row r="3426" spans="2:2" ht="13.2" x14ac:dyDescent="0.25">
      <c r="B3426" s="3" t="b">
        <v>0</v>
      </c>
    </row>
    <row r="3427" spans="2:2" ht="13.2" x14ac:dyDescent="0.25">
      <c r="B3427" s="3" t="b">
        <v>0</v>
      </c>
    </row>
    <row r="3428" spans="2:2" ht="13.2" x14ac:dyDescent="0.25">
      <c r="B3428" s="3" t="b">
        <v>0</v>
      </c>
    </row>
    <row r="3429" spans="2:2" ht="13.2" x14ac:dyDescent="0.25">
      <c r="B3429" s="3" t="b">
        <v>0</v>
      </c>
    </row>
    <row r="3430" spans="2:2" ht="13.2" x14ac:dyDescent="0.25">
      <c r="B3430" s="3" t="b">
        <v>0</v>
      </c>
    </row>
    <row r="3431" spans="2:2" ht="13.2" x14ac:dyDescent="0.25">
      <c r="B3431" s="3" t="b">
        <v>0</v>
      </c>
    </row>
    <row r="3432" spans="2:2" ht="13.2" x14ac:dyDescent="0.25">
      <c r="B3432" s="3" t="b">
        <v>0</v>
      </c>
    </row>
    <row r="3433" spans="2:2" ht="13.2" x14ac:dyDescent="0.25">
      <c r="B3433" s="3" t="b">
        <v>0</v>
      </c>
    </row>
    <row r="3434" spans="2:2" ht="13.2" x14ac:dyDescent="0.25">
      <c r="B3434" s="3" t="b">
        <v>0</v>
      </c>
    </row>
    <row r="3435" spans="2:2" ht="13.2" x14ac:dyDescent="0.25">
      <c r="B3435" s="3" t="b">
        <v>0</v>
      </c>
    </row>
    <row r="3436" spans="2:2" ht="13.2" x14ac:dyDescent="0.25">
      <c r="B3436" s="3" t="b">
        <v>0</v>
      </c>
    </row>
    <row r="3437" spans="2:2" ht="13.2" x14ac:dyDescent="0.25">
      <c r="B3437" s="3" t="b">
        <v>0</v>
      </c>
    </row>
    <row r="3438" spans="2:2" ht="13.2" x14ac:dyDescent="0.25">
      <c r="B3438" s="3" t="b">
        <v>0</v>
      </c>
    </row>
    <row r="3439" spans="2:2" ht="13.2" x14ac:dyDescent="0.25">
      <c r="B3439" s="3" t="b">
        <v>0</v>
      </c>
    </row>
    <row r="3440" spans="2:2" ht="13.2" x14ac:dyDescent="0.25">
      <c r="B3440" s="3" t="b">
        <v>0</v>
      </c>
    </row>
    <row r="3441" spans="2:2" ht="13.2" x14ac:dyDescent="0.25">
      <c r="B3441" s="3" t="b">
        <v>0</v>
      </c>
    </row>
    <row r="3442" spans="2:2" ht="13.2" x14ac:dyDescent="0.25">
      <c r="B3442" s="3" t="b">
        <v>0</v>
      </c>
    </row>
    <row r="3443" spans="2:2" ht="13.2" x14ac:dyDescent="0.25">
      <c r="B3443" s="3" t="b">
        <v>0</v>
      </c>
    </row>
    <row r="3444" spans="2:2" ht="13.2" x14ac:dyDescent="0.25">
      <c r="B3444" s="3" t="b">
        <v>0</v>
      </c>
    </row>
    <row r="3445" spans="2:2" ht="13.2" x14ac:dyDescent="0.25">
      <c r="B3445" s="3" t="b">
        <v>0</v>
      </c>
    </row>
    <row r="3446" spans="2:2" ht="13.2" x14ac:dyDescent="0.25">
      <c r="B3446" s="3" t="b">
        <v>0</v>
      </c>
    </row>
    <row r="3447" spans="2:2" ht="13.2" x14ac:dyDescent="0.25">
      <c r="B3447" s="3" t="b">
        <v>0</v>
      </c>
    </row>
    <row r="3448" spans="2:2" ht="13.2" x14ac:dyDescent="0.25">
      <c r="B3448" s="3" t="b">
        <v>0</v>
      </c>
    </row>
    <row r="3449" spans="2:2" ht="13.2" x14ac:dyDescent="0.25">
      <c r="B3449" s="3" t="b">
        <v>0</v>
      </c>
    </row>
    <row r="3450" spans="2:2" ht="13.2" x14ac:dyDescent="0.25">
      <c r="B3450" s="3" t="b">
        <v>0</v>
      </c>
    </row>
    <row r="3451" spans="2:2" ht="13.2" x14ac:dyDescent="0.25">
      <c r="B3451" s="3" t="b">
        <v>0</v>
      </c>
    </row>
    <row r="3452" spans="2:2" ht="13.2" x14ac:dyDescent="0.25">
      <c r="B3452" s="3" t="b">
        <v>0</v>
      </c>
    </row>
    <row r="3453" spans="2:2" ht="13.2" x14ac:dyDescent="0.25">
      <c r="B3453" s="3" t="b">
        <v>0</v>
      </c>
    </row>
    <row r="3454" spans="2:2" ht="13.2" x14ac:dyDescent="0.25">
      <c r="B3454" s="3" t="b">
        <v>0</v>
      </c>
    </row>
    <row r="3455" spans="2:2" ht="13.2" x14ac:dyDescent="0.25">
      <c r="B3455" s="3" t="b">
        <v>0</v>
      </c>
    </row>
    <row r="3456" spans="2:2" ht="13.2" x14ac:dyDescent="0.25">
      <c r="B3456" s="3" t="b">
        <v>0</v>
      </c>
    </row>
    <row r="3457" spans="2:2" ht="13.2" x14ac:dyDescent="0.25">
      <c r="B3457" s="3" t="b">
        <v>0</v>
      </c>
    </row>
    <row r="3458" spans="2:2" ht="13.2" x14ac:dyDescent="0.25">
      <c r="B3458" s="3" t="b">
        <v>0</v>
      </c>
    </row>
    <row r="3459" spans="2:2" ht="13.2" x14ac:dyDescent="0.25">
      <c r="B3459" s="3" t="b">
        <v>0</v>
      </c>
    </row>
    <row r="3460" spans="2:2" ht="13.2" x14ac:dyDescent="0.25">
      <c r="B3460" s="3" t="b">
        <v>0</v>
      </c>
    </row>
    <row r="3461" spans="2:2" ht="13.2" x14ac:dyDescent="0.25">
      <c r="B3461" s="3" t="b">
        <v>0</v>
      </c>
    </row>
    <row r="3462" spans="2:2" ht="13.2" x14ac:dyDescent="0.25">
      <c r="B3462" s="3" t="b">
        <v>0</v>
      </c>
    </row>
    <row r="3463" spans="2:2" ht="13.2" x14ac:dyDescent="0.25">
      <c r="B3463" s="3" t="b">
        <v>0</v>
      </c>
    </row>
    <row r="3464" spans="2:2" ht="13.2" x14ac:dyDescent="0.25">
      <c r="B3464" s="3" t="b">
        <v>0</v>
      </c>
    </row>
    <row r="3465" spans="2:2" ht="13.2" x14ac:dyDescent="0.25">
      <c r="B3465" s="3" t="b">
        <v>0</v>
      </c>
    </row>
    <row r="3466" spans="2:2" ht="13.2" x14ac:dyDescent="0.25">
      <c r="B3466" s="3" t="b">
        <v>0</v>
      </c>
    </row>
    <row r="3467" spans="2:2" ht="13.2" x14ac:dyDescent="0.25">
      <c r="B3467" s="3" t="b">
        <v>0</v>
      </c>
    </row>
    <row r="3468" spans="2:2" ht="13.2" x14ac:dyDescent="0.25">
      <c r="B3468" s="3" t="b">
        <v>0</v>
      </c>
    </row>
    <row r="3469" spans="2:2" ht="13.2" x14ac:dyDescent="0.25">
      <c r="B3469" s="3" t="b">
        <v>0</v>
      </c>
    </row>
    <row r="3470" spans="2:2" ht="13.2" x14ac:dyDescent="0.25">
      <c r="B3470" s="3" t="b">
        <v>0</v>
      </c>
    </row>
    <row r="3471" spans="2:2" ht="13.2" x14ac:dyDescent="0.25">
      <c r="B3471" s="3" t="b">
        <v>0</v>
      </c>
    </row>
    <row r="3472" spans="2:2" ht="13.2" x14ac:dyDescent="0.25">
      <c r="B3472" s="3" t="b">
        <v>0</v>
      </c>
    </row>
    <row r="3473" spans="2:2" ht="13.2" x14ac:dyDescent="0.25">
      <c r="B3473" s="3" t="b">
        <v>0</v>
      </c>
    </row>
    <row r="3474" spans="2:2" ht="13.2" x14ac:dyDescent="0.25">
      <c r="B3474" s="3" t="b">
        <v>0</v>
      </c>
    </row>
    <row r="3475" spans="2:2" ht="13.2" x14ac:dyDescent="0.25">
      <c r="B3475" s="3" t="b">
        <v>0</v>
      </c>
    </row>
    <row r="3476" spans="2:2" ht="13.2" x14ac:dyDescent="0.25">
      <c r="B3476" s="3" t="b">
        <v>0</v>
      </c>
    </row>
    <row r="3477" spans="2:2" ht="13.2" x14ac:dyDescent="0.25">
      <c r="B3477" s="3" t="b">
        <v>0</v>
      </c>
    </row>
    <row r="3478" spans="2:2" ht="13.2" x14ac:dyDescent="0.25">
      <c r="B3478" s="3" t="b">
        <v>0</v>
      </c>
    </row>
    <row r="3479" spans="2:2" ht="13.2" x14ac:dyDescent="0.25">
      <c r="B3479" s="3" t="b">
        <v>0</v>
      </c>
    </row>
    <row r="3480" spans="2:2" ht="13.2" x14ac:dyDescent="0.25">
      <c r="B3480" s="3" t="b">
        <v>0</v>
      </c>
    </row>
    <row r="3481" spans="2:2" ht="13.2" x14ac:dyDescent="0.25">
      <c r="B3481" s="3" t="b">
        <v>0</v>
      </c>
    </row>
    <row r="3482" spans="2:2" ht="13.2" x14ac:dyDescent="0.25">
      <c r="B3482" s="3" t="b">
        <v>0</v>
      </c>
    </row>
    <row r="3483" spans="2:2" ht="13.2" x14ac:dyDescent="0.25">
      <c r="B3483" s="3" t="b">
        <v>0</v>
      </c>
    </row>
    <row r="3484" spans="2:2" ht="13.2" x14ac:dyDescent="0.25">
      <c r="B3484" s="3" t="b">
        <v>0</v>
      </c>
    </row>
    <row r="3485" spans="2:2" ht="13.2" x14ac:dyDescent="0.25">
      <c r="B3485" s="3" t="b">
        <v>0</v>
      </c>
    </row>
    <row r="3486" spans="2:2" ht="13.2" x14ac:dyDescent="0.25">
      <c r="B3486" s="3" t="b">
        <v>0</v>
      </c>
    </row>
    <row r="3487" spans="2:2" ht="13.2" x14ac:dyDescent="0.25">
      <c r="B3487" s="3" t="b">
        <v>0</v>
      </c>
    </row>
    <row r="3488" spans="2:2" ht="13.2" x14ac:dyDescent="0.25">
      <c r="B3488" s="3" t="b">
        <v>0</v>
      </c>
    </row>
    <row r="3489" spans="2:2" ht="13.2" x14ac:dyDescent="0.25">
      <c r="B3489" s="3" t="b">
        <v>0</v>
      </c>
    </row>
    <row r="3490" spans="2:2" ht="13.2" x14ac:dyDescent="0.25">
      <c r="B3490" s="3" t="b">
        <v>0</v>
      </c>
    </row>
    <row r="3491" spans="2:2" ht="13.2" x14ac:dyDescent="0.25">
      <c r="B3491" s="3" t="b">
        <v>0</v>
      </c>
    </row>
    <row r="3492" spans="2:2" ht="13.2" x14ac:dyDescent="0.25">
      <c r="B3492" s="3" t="b">
        <v>0</v>
      </c>
    </row>
    <row r="3493" spans="2:2" ht="13.2" x14ac:dyDescent="0.25">
      <c r="B3493" s="3" t="b">
        <v>0</v>
      </c>
    </row>
    <row r="3494" spans="2:2" ht="13.2" x14ac:dyDescent="0.25">
      <c r="B3494" s="3" t="b">
        <v>0</v>
      </c>
    </row>
    <row r="3495" spans="2:2" ht="13.2" x14ac:dyDescent="0.25">
      <c r="B3495" s="3" t="b">
        <v>0</v>
      </c>
    </row>
    <row r="3496" spans="2:2" ht="13.2" x14ac:dyDescent="0.25">
      <c r="B3496" s="3" t="b">
        <v>0</v>
      </c>
    </row>
    <row r="3497" spans="2:2" ht="13.2" x14ac:dyDescent="0.25">
      <c r="B3497" s="3" t="b">
        <v>0</v>
      </c>
    </row>
    <row r="3498" spans="2:2" ht="13.2" x14ac:dyDescent="0.25">
      <c r="B3498" s="3" t="b">
        <v>0</v>
      </c>
    </row>
    <row r="3499" spans="2:2" ht="13.2" x14ac:dyDescent="0.25">
      <c r="B3499" s="3" t="b">
        <v>0</v>
      </c>
    </row>
    <row r="3500" spans="2:2" ht="13.2" x14ac:dyDescent="0.25">
      <c r="B3500" s="3" t="b">
        <v>0</v>
      </c>
    </row>
    <row r="3501" spans="2:2" ht="13.2" x14ac:dyDescent="0.25">
      <c r="B3501" s="3" t="b">
        <v>0</v>
      </c>
    </row>
    <row r="3502" spans="2:2" ht="13.2" x14ac:dyDescent="0.25">
      <c r="B3502" s="3" t="b">
        <v>0</v>
      </c>
    </row>
    <row r="3503" spans="2:2" ht="13.2" x14ac:dyDescent="0.25">
      <c r="B3503" s="3" t="b">
        <v>0</v>
      </c>
    </row>
    <row r="3504" spans="2:2" ht="13.2" x14ac:dyDescent="0.25">
      <c r="B3504" s="3" t="b">
        <v>0</v>
      </c>
    </row>
    <row r="3505" spans="2:2" ht="13.2" x14ac:dyDescent="0.25">
      <c r="B3505" s="3" t="b">
        <v>0</v>
      </c>
    </row>
    <row r="3506" spans="2:2" ht="13.2" x14ac:dyDescent="0.25">
      <c r="B3506" s="3" t="b">
        <v>0</v>
      </c>
    </row>
    <row r="3507" spans="2:2" ht="13.2" x14ac:dyDescent="0.25">
      <c r="B3507" s="3" t="b">
        <v>0</v>
      </c>
    </row>
    <row r="3508" spans="2:2" ht="13.2" x14ac:dyDescent="0.25">
      <c r="B3508" s="3" t="b">
        <v>0</v>
      </c>
    </row>
    <row r="3509" spans="2:2" ht="13.2" x14ac:dyDescent="0.25">
      <c r="B3509" s="3" t="b">
        <v>0</v>
      </c>
    </row>
    <row r="3510" spans="2:2" ht="13.2" x14ac:dyDescent="0.25">
      <c r="B3510" s="3" t="b">
        <v>0</v>
      </c>
    </row>
    <row r="3511" spans="2:2" ht="13.2" x14ac:dyDescent="0.25">
      <c r="B3511" s="3" t="b">
        <v>0</v>
      </c>
    </row>
    <row r="3512" spans="2:2" ht="13.2" x14ac:dyDescent="0.25">
      <c r="B3512" s="3" t="b">
        <v>0</v>
      </c>
    </row>
    <row r="3513" spans="2:2" ht="13.2" x14ac:dyDescent="0.25">
      <c r="B3513" s="3" t="b">
        <v>0</v>
      </c>
    </row>
    <row r="3514" spans="2:2" ht="13.2" x14ac:dyDescent="0.25">
      <c r="B3514" s="3" t="b">
        <v>0</v>
      </c>
    </row>
    <row r="3515" spans="2:2" ht="13.2" x14ac:dyDescent="0.25">
      <c r="B3515" s="3" t="b">
        <v>0</v>
      </c>
    </row>
    <row r="3516" spans="2:2" ht="13.2" x14ac:dyDescent="0.25">
      <c r="B3516" s="3" t="b">
        <v>0</v>
      </c>
    </row>
    <row r="3517" spans="2:2" ht="13.2" x14ac:dyDescent="0.25">
      <c r="B3517" s="3" t="b">
        <v>0</v>
      </c>
    </row>
    <row r="3518" spans="2:2" ht="13.2" x14ac:dyDescent="0.25">
      <c r="B3518" s="3" t="b">
        <v>0</v>
      </c>
    </row>
    <row r="3519" spans="2:2" ht="13.2" x14ac:dyDescent="0.25">
      <c r="B3519" s="3" t="b">
        <v>0</v>
      </c>
    </row>
    <row r="3520" spans="2:2" ht="13.2" x14ac:dyDescent="0.25">
      <c r="B3520" s="3" t="b">
        <v>0</v>
      </c>
    </row>
    <row r="3521" spans="2:2" ht="13.2" x14ac:dyDescent="0.25">
      <c r="B3521" s="3" t="b">
        <v>0</v>
      </c>
    </row>
    <row r="3522" spans="2:2" ht="13.2" x14ac:dyDescent="0.25">
      <c r="B3522" s="3" t="b">
        <v>0</v>
      </c>
    </row>
    <row r="3523" spans="2:2" ht="13.2" x14ac:dyDescent="0.25">
      <c r="B3523" s="3" t="b">
        <v>0</v>
      </c>
    </row>
    <row r="3524" spans="2:2" ht="13.2" x14ac:dyDescent="0.25">
      <c r="B3524" s="3" t="b">
        <v>0</v>
      </c>
    </row>
    <row r="3525" spans="2:2" ht="13.2" x14ac:dyDescent="0.25">
      <c r="B3525" s="3" t="b">
        <v>0</v>
      </c>
    </row>
    <row r="3526" spans="2:2" ht="13.2" x14ac:dyDescent="0.25">
      <c r="B3526" s="3" t="b">
        <v>0</v>
      </c>
    </row>
    <row r="3527" spans="2:2" ht="13.2" x14ac:dyDescent="0.25">
      <c r="B3527" s="3" t="b">
        <v>0</v>
      </c>
    </row>
    <row r="3528" spans="2:2" ht="13.2" x14ac:dyDescent="0.25">
      <c r="B3528" s="3" t="b">
        <v>0</v>
      </c>
    </row>
    <row r="3529" spans="2:2" ht="13.2" x14ac:dyDescent="0.25">
      <c r="B3529" s="3" t="b">
        <v>0</v>
      </c>
    </row>
    <row r="3530" spans="2:2" ht="13.2" x14ac:dyDescent="0.25">
      <c r="B3530" s="3" t="b">
        <v>0</v>
      </c>
    </row>
    <row r="3531" spans="2:2" ht="13.2" x14ac:dyDescent="0.25">
      <c r="B3531" s="3" t="b">
        <v>0</v>
      </c>
    </row>
    <row r="3532" spans="2:2" ht="13.2" x14ac:dyDescent="0.25">
      <c r="B3532" s="3" t="b">
        <v>0</v>
      </c>
    </row>
    <row r="3533" spans="2:2" ht="13.2" x14ac:dyDescent="0.25">
      <c r="B3533" s="3" t="b">
        <v>0</v>
      </c>
    </row>
    <row r="3534" spans="2:2" ht="13.2" x14ac:dyDescent="0.25">
      <c r="B3534" s="3" t="b">
        <v>0</v>
      </c>
    </row>
    <row r="3535" spans="2:2" ht="13.2" x14ac:dyDescent="0.25">
      <c r="B3535" s="3" t="b">
        <v>0</v>
      </c>
    </row>
    <row r="3536" spans="2:2" ht="13.2" x14ac:dyDescent="0.25">
      <c r="B3536" s="3" t="b">
        <v>0</v>
      </c>
    </row>
    <row r="3537" spans="2:2" ht="13.2" x14ac:dyDescent="0.25">
      <c r="B3537" s="3" t="b">
        <v>0</v>
      </c>
    </row>
    <row r="3538" spans="2:2" ht="13.2" x14ac:dyDescent="0.25">
      <c r="B3538" s="3" t="b">
        <v>0</v>
      </c>
    </row>
    <row r="3539" spans="2:2" ht="13.2" x14ac:dyDescent="0.25">
      <c r="B3539" s="3" t="b">
        <v>0</v>
      </c>
    </row>
    <row r="3540" spans="2:2" ht="13.2" x14ac:dyDescent="0.25">
      <c r="B3540" s="3" t="b">
        <v>0</v>
      </c>
    </row>
    <row r="3541" spans="2:2" ht="13.2" x14ac:dyDescent="0.25">
      <c r="B3541" s="3" t="b">
        <v>0</v>
      </c>
    </row>
    <row r="3542" spans="2:2" ht="13.2" x14ac:dyDescent="0.25">
      <c r="B3542" s="3" t="b">
        <v>0</v>
      </c>
    </row>
    <row r="3543" spans="2:2" ht="13.2" x14ac:dyDescent="0.25">
      <c r="B3543" s="3" t="b">
        <v>0</v>
      </c>
    </row>
    <row r="3544" spans="2:2" ht="13.2" x14ac:dyDescent="0.25">
      <c r="B3544" s="3" t="b">
        <v>0</v>
      </c>
    </row>
    <row r="3545" spans="2:2" ht="13.2" x14ac:dyDescent="0.25">
      <c r="B3545" s="3" t="b">
        <v>0</v>
      </c>
    </row>
    <row r="3546" spans="2:2" ht="13.2" x14ac:dyDescent="0.25">
      <c r="B3546" s="3" t="b">
        <v>0</v>
      </c>
    </row>
    <row r="3547" spans="2:2" ht="13.2" x14ac:dyDescent="0.25">
      <c r="B3547" s="3" t="b">
        <v>0</v>
      </c>
    </row>
    <row r="3548" spans="2:2" ht="13.2" x14ac:dyDescent="0.25">
      <c r="B3548" s="3" t="b">
        <v>0</v>
      </c>
    </row>
    <row r="3549" spans="2:2" ht="13.2" x14ac:dyDescent="0.25">
      <c r="B3549" s="3" t="b">
        <v>0</v>
      </c>
    </row>
    <row r="3550" spans="2:2" ht="13.2" x14ac:dyDescent="0.25">
      <c r="B3550" s="3" t="b">
        <v>0</v>
      </c>
    </row>
    <row r="3551" spans="2:2" ht="13.2" x14ac:dyDescent="0.25">
      <c r="B3551" s="3" t="b">
        <v>0</v>
      </c>
    </row>
    <row r="3552" spans="2:2" ht="13.2" x14ac:dyDescent="0.25">
      <c r="B3552" s="3" t="b">
        <v>0</v>
      </c>
    </row>
    <row r="3553" spans="2:2" ht="13.2" x14ac:dyDescent="0.25">
      <c r="B3553" s="3" t="b">
        <v>0</v>
      </c>
    </row>
    <row r="3554" spans="2:2" ht="13.2" x14ac:dyDescent="0.25">
      <c r="B3554" s="3" t="b">
        <v>0</v>
      </c>
    </row>
    <row r="3555" spans="2:2" ht="13.2" x14ac:dyDescent="0.25">
      <c r="B3555" s="3" t="b">
        <v>0</v>
      </c>
    </row>
    <row r="3556" spans="2:2" ht="13.2" x14ac:dyDescent="0.25">
      <c r="B3556" s="3" t="b">
        <v>0</v>
      </c>
    </row>
    <row r="3557" spans="2:2" ht="13.2" x14ac:dyDescent="0.25">
      <c r="B3557" s="3" t="b">
        <v>0</v>
      </c>
    </row>
    <row r="3558" spans="2:2" ht="13.2" x14ac:dyDescent="0.25">
      <c r="B3558" s="3" t="b">
        <v>0</v>
      </c>
    </row>
    <row r="3559" spans="2:2" ht="13.2" x14ac:dyDescent="0.25">
      <c r="B3559" s="3" t="b">
        <v>0</v>
      </c>
    </row>
    <row r="3560" spans="2:2" ht="13.2" x14ac:dyDescent="0.25">
      <c r="B3560" s="3" t="b">
        <v>0</v>
      </c>
    </row>
    <row r="3561" spans="2:2" ht="13.2" x14ac:dyDescent="0.25">
      <c r="B3561" s="3" t="b">
        <v>0</v>
      </c>
    </row>
    <row r="3562" spans="2:2" ht="13.2" x14ac:dyDescent="0.25">
      <c r="B3562" s="3" t="b">
        <v>0</v>
      </c>
    </row>
    <row r="3563" spans="2:2" ht="13.2" x14ac:dyDescent="0.25">
      <c r="B3563" s="3" t="b">
        <v>0</v>
      </c>
    </row>
    <row r="3564" spans="2:2" ht="13.2" x14ac:dyDescent="0.25">
      <c r="B3564" s="3" t="b">
        <v>0</v>
      </c>
    </row>
    <row r="3565" spans="2:2" ht="13.2" x14ac:dyDescent="0.25">
      <c r="B3565" s="3" t="b">
        <v>0</v>
      </c>
    </row>
    <row r="3566" spans="2:2" ht="13.2" x14ac:dyDescent="0.25">
      <c r="B3566" s="3" t="b">
        <v>0</v>
      </c>
    </row>
    <row r="3567" spans="2:2" ht="13.2" x14ac:dyDescent="0.25">
      <c r="B3567" s="3" t="b">
        <v>0</v>
      </c>
    </row>
    <row r="3568" spans="2:2" ht="13.2" x14ac:dyDescent="0.25">
      <c r="B3568" s="3" t="b">
        <v>0</v>
      </c>
    </row>
    <row r="3569" spans="2:2" ht="13.2" x14ac:dyDescent="0.25">
      <c r="B3569" s="3" t="b">
        <v>0</v>
      </c>
    </row>
    <row r="3570" spans="2:2" ht="13.2" x14ac:dyDescent="0.25">
      <c r="B3570" s="3" t="b">
        <v>0</v>
      </c>
    </row>
    <row r="3571" spans="2:2" ht="13.2" x14ac:dyDescent="0.25">
      <c r="B3571" s="3" t="b">
        <v>0</v>
      </c>
    </row>
    <row r="3572" spans="2:2" ht="13.2" x14ac:dyDescent="0.25">
      <c r="B3572" s="3" t="b">
        <v>0</v>
      </c>
    </row>
    <row r="3573" spans="2:2" ht="13.2" x14ac:dyDescent="0.25">
      <c r="B3573" s="3" t="b">
        <v>0</v>
      </c>
    </row>
    <row r="3574" spans="2:2" ht="13.2" x14ac:dyDescent="0.25">
      <c r="B3574" s="3" t="b">
        <v>0</v>
      </c>
    </row>
    <row r="3575" spans="2:2" ht="13.2" x14ac:dyDescent="0.25">
      <c r="B3575" s="3" t="b">
        <v>0</v>
      </c>
    </row>
    <row r="3576" spans="2:2" ht="13.2" x14ac:dyDescent="0.25">
      <c r="B3576" s="3" t="b">
        <v>0</v>
      </c>
    </row>
    <row r="3577" spans="2:2" ht="13.2" x14ac:dyDescent="0.25">
      <c r="B3577" s="3" t="b">
        <v>0</v>
      </c>
    </row>
    <row r="3578" spans="2:2" ht="13.2" x14ac:dyDescent="0.25">
      <c r="B3578" s="3" t="b">
        <v>0</v>
      </c>
    </row>
    <row r="3579" spans="2:2" ht="13.2" x14ac:dyDescent="0.25">
      <c r="B3579" s="3" t="b">
        <v>0</v>
      </c>
    </row>
    <row r="3580" spans="2:2" ht="13.2" x14ac:dyDescent="0.25">
      <c r="B3580" s="3" t="b">
        <v>0</v>
      </c>
    </row>
    <row r="3581" spans="2:2" ht="13.2" x14ac:dyDescent="0.25">
      <c r="B3581" s="3" t="b">
        <v>0</v>
      </c>
    </row>
    <row r="3582" spans="2:2" ht="13.2" x14ac:dyDescent="0.25">
      <c r="B3582" s="3" t="b">
        <v>0</v>
      </c>
    </row>
    <row r="3583" spans="2:2" ht="13.2" x14ac:dyDescent="0.25">
      <c r="B3583" s="3" t="b">
        <v>0</v>
      </c>
    </row>
    <row r="3584" spans="2:2" ht="13.2" x14ac:dyDescent="0.25">
      <c r="B3584" s="3" t="b">
        <v>0</v>
      </c>
    </row>
    <row r="3585" spans="2:2" ht="13.2" x14ac:dyDescent="0.25">
      <c r="B3585" s="3" t="b">
        <v>0</v>
      </c>
    </row>
    <row r="3586" spans="2:2" ht="13.2" x14ac:dyDescent="0.25">
      <c r="B3586" s="3" t="b">
        <v>0</v>
      </c>
    </row>
    <row r="3587" spans="2:2" ht="13.2" x14ac:dyDescent="0.25">
      <c r="B3587" s="3" t="b">
        <v>0</v>
      </c>
    </row>
    <row r="3588" spans="2:2" ht="13.2" x14ac:dyDescent="0.25">
      <c r="B3588" s="3" t="b">
        <v>0</v>
      </c>
    </row>
    <row r="3589" spans="2:2" ht="13.2" x14ac:dyDescent="0.25">
      <c r="B3589" s="3" t="b">
        <v>0</v>
      </c>
    </row>
    <row r="3590" spans="2:2" ht="13.2" x14ac:dyDescent="0.25">
      <c r="B3590" s="3" t="b">
        <v>0</v>
      </c>
    </row>
    <row r="3591" spans="2:2" ht="13.2" x14ac:dyDescent="0.25">
      <c r="B3591" s="3" t="b">
        <v>0</v>
      </c>
    </row>
    <row r="3592" spans="2:2" ht="13.2" x14ac:dyDescent="0.25">
      <c r="B3592" s="3" t="b">
        <v>0</v>
      </c>
    </row>
    <row r="3593" spans="2:2" ht="13.2" x14ac:dyDescent="0.25">
      <c r="B3593" s="3" t="b">
        <v>0</v>
      </c>
    </row>
    <row r="3594" spans="2:2" ht="13.2" x14ac:dyDescent="0.25">
      <c r="B3594" s="3" t="b">
        <v>0</v>
      </c>
    </row>
    <row r="3595" spans="2:2" ht="13.2" x14ac:dyDescent="0.25">
      <c r="B3595" s="3" t="b">
        <v>0</v>
      </c>
    </row>
    <row r="3596" spans="2:2" ht="13.2" x14ac:dyDescent="0.25">
      <c r="B3596" s="3" t="b">
        <v>0</v>
      </c>
    </row>
    <row r="3597" spans="2:2" ht="13.2" x14ac:dyDescent="0.25">
      <c r="B3597" s="3" t="b">
        <v>0</v>
      </c>
    </row>
    <row r="3598" spans="2:2" ht="13.2" x14ac:dyDescent="0.25">
      <c r="B3598" s="3" t="b">
        <v>0</v>
      </c>
    </row>
    <row r="3599" spans="2:2" ht="13.2" x14ac:dyDescent="0.25">
      <c r="B3599" s="3" t="b">
        <v>0</v>
      </c>
    </row>
    <row r="3600" spans="2:2" ht="13.2" x14ac:dyDescent="0.25">
      <c r="B3600" s="3" t="b">
        <v>0</v>
      </c>
    </row>
    <row r="3601" spans="2:2" ht="13.2" x14ac:dyDescent="0.25">
      <c r="B3601" s="3" t="b">
        <v>0</v>
      </c>
    </row>
    <row r="3602" spans="2:2" ht="13.2" x14ac:dyDescent="0.25">
      <c r="B3602" s="3" t="b">
        <v>0</v>
      </c>
    </row>
    <row r="3603" spans="2:2" ht="13.2" x14ac:dyDescent="0.25">
      <c r="B3603" s="3" t="b">
        <v>0</v>
      </c>
    </row>
    <row r="3604" spans="2:2" ht="13.2" x14ac:dyDescent="0.25">
      <c r="B3604" s="3" t="b">
        <v>0</v>
      </c>
    </row>
    <row r="3605" spans="2:2" ht="13.2" x14ac:dyDescent="0.25">
      <c r="B3605" s="3" t="b">
        <v>0</v>
      </c>
    </row>
    <row r="3606" spans="2:2" ht="13.2" x14ac:dyDescent="0.25">
      <c r="B3606" s="3" t="b">
        <v>0</v>
      </c>
    </row>
    <row r="3607" spans="2:2" ht="13.2" x14ac:dyDescent="0.25">
      <c r="B3607" s="3" t="b">
        <v>0</v>
      </c>
    </row>
    <row r="3608" spans="2:2" ht="13.2" x14ac:dyDescent="0.25">
      <c r="B3608" s="3" t="b">
        <v>0</v>
      </c>
    </row>
    <row r="3609" spans="2:2" ht="13.2" x14ac:dyDescent="0.25">
      <c r="B3609" s="3" t="b">
        <v>0</v>
      </c>
    </row>
    <row r="3610" spans="2:2" ht="13.2" x14ac:dyDescent="0.25">
      <c r="B3610" s="3" t="b">
        <v>0</v>
      </c>
    </row>
    <row r="3611" spans="2:2" ht="13.2" x14ac:dyDescent="0.25">
      <c r="B3611" s="3" t="b">
        <v>0</v>
      </c>
    </row>
    <row r="3612" spans="2:2" ht="13.2" x14ac:dyDescent="0.25">
      <c r="B3612" s="3" t="b">
        <v>0</v>
      </c>
    </row>
    <row r="3613" spans="2:2" ht="13.2" x14ac:dyDescent="0.25">
      <c r="B3613" s="3" t="b">
        <v>0</v>
      </c>
    </row>
    <row r="3614" spans="2:2" ht="13.2" x14ac:dyDescent="0.25">
      <c r="B3614" s="3" t="b">
        <v>0</v>
      </c>
    </row>
    <row r="3615" spans="2:2" ht="13.2" x14ac:dyDescent="0.25">
      <c r="B3615" s="3" t="b">
        <v>0</v>
      </c>
    </row>
    <row r="3616" spans="2:2" ht="13.2" x14ac:dyDescent="0.25">
      <c r="B3616" s="3" t="b">
        <v>0</v>
      </c>
    </row>
    <row r="3617" spans="2:2" ht="13.2" x14ac:dyDescent="0.25">
      <c r="B3617" s="3" t="b">
        <v>0</v>
      </c>
    </row>
    <row r="3618" spans="2:2" ht="13.2" x14ac:dyDescent="0.25">
      <c r="B3618" s="3" t="b">
        <v>0</v>
      </c>
    </row>
    <row r="3619" spans="2:2" ht="13.2" x14ac:dyDescent="0.25">
      <c r="B3619" s="3" t="b">
        <v>0</v>
      </c>
    </row>
    <row r="3620" spans="2:2" ht="13.2" x14ac:dyDescent="0.25">
      <c r="B3620" s="3" t="b">
        <v>0</v>
      </c>
    </row>
    <row r="3621" spans="2:2" ht="13.2" x14ac:dyDescent="0.25">
      <c r="B3621" s="3" t="b">
        <v>0</v>
      </c>
    </row>
    <row r="3622" spans="2:2" ht="13.2" x14ac:dyDescent="0.25">
      <c r="B3622" s="3" t="b">
        <v>0</v>
      </c>
    </row>
    <row r="3623" spans="2:2" ht="13.2" x14ac:dyDescent="0.25">
      <c r="B3623" s="3" t="b">
        <v>0</v>
      </c>
    </row>
    <row r="3624" spans="2:2" ht="13.2" x14ac:dyDescent="0.25">
      <c r="B3624" s="3" t="b">
        <v>0</v>
      </c>
    </row>
    <row r="3625" spans="2:2" ht="13.2" x14ac:dyDescent="0.25">
      <c r="B3625" s="3" t="b">
        <v>0</v>
      </c>
    </row>
    <row r="3626" spans="2:2" ht="13.2" x14ac:dyDescent="0.25">
      <c r="B3626" s="3" t="b">
        <v>0</v>
      </c>
    </row>
    <row r="3627" spans="2:2" ht="13.2" x14ac:dyDescent="0.25">
      <c r="B3627" s="3" t="b">
        <v>0</v>
      </c>
    </row>
    <row r="3628" spans="2:2" ht="13.2" x14ac:dyDescent="0.25">
      <c r="B3628" s="3" t="b">
        <v>0</v>
      </c>
    </row>
    <row r="3629" spans="2:2" ht="13.2" x14ac:dyDescent="0.25">
      <c r="B3629" s="3" t="b">
        <v>0</v>
      </c>
    </row>
    <row r="3630" spans="2:2" ht="13.2" x14ac:dyDescent="0.25">
      <c r="B3630" s="3" t="b">
        <v>0</v>
      </c>
    </row>
    <row r="3631" spans="2:2" ht="13.2" x14ac:dyDescent="0.25">
      <c r="B3631" s="3" t="b">
        <v>0</v>
      </c>
    </row>
    <row r="3632" spans="2:2" ht="13.2" x14ac:dyDescent="0.25">
      <c r="B3632" s="3" t="b">
        <v>0</v>
      </c>
    </row>
    <row r="3633" spans="2:2" ht="13.2" x14ac:dyDescent="0.25">
      <c r="B3633" s="3" t="b">
        <v>0</v>
      </c>
    </row>
    <row r="3634" spans="2:2" ht="13.2" x14ac:dyDescent="0.25">
      <c r="B3634" s="3" t="b">
        <v>0</v>
      </c>
    </row>
    <row r="3635" spans="2:2" ht="13.2" x14ac:dyDescent="0.25">
      <c r="B3635" s="3" t="b">
        <v>0</v>
      </c>
    </row>
    <row r="3636" spans="2:2" ht="13.2" x14ac:dyDescent="0.25">
      <c r="B3636" s="3" t="b">
        <v>0</v>
      </c>
    </row>
    <row r="3637" spans="2:2" ht="13.2" x14ac:dyDescent="0.25">
      <c r="B3637" s="3" t="b">
        <v>0</v>
      </c>
    </row>
    <row r="3638" spans="2:2" ht="13.2" x14ac:dyDescent="0.25">
      <c r="B3638" s="3" t="b">
        <v>0</v>
      </c>
    </row>
    <row r="3639" spans="2:2" ht="13.2" x14ac:dyDescent="0.25">
      <c r="B3639" s="3" t="b">
        <v>0</v>
      </c>
    </row>
    <row r="3640" spans="2:2" ht="13.2" x14ac:dyDescent="0.25">
      <c r="B3640" s="3" t="b">
        <v>0</v>
      </c>
    </row>
    <row r="3641" spans="2:2" ht="13.2" x14ac:dyDescent="0.25">
      <c r="B3641" s="3" t="b">
        <v>0</v>
      </c>
    </row>
    <row r="3642" spans="2:2" ht="13.2" x14ac:dyDescent="0.25">
      <c r="B3642" s="3" t="b">
        <v>0</v>
      </c>
    </row>
    <row r="3643" spans="2:2" ht="13.2" x14ac:dyDescent="0.25">
      <c r="B3643" s="3" t="b">
        <v>0</v>
      </c>
    </row>
    <row r="3644" spans="2:2" ht="13.2" x14ac:dyDescent="0.25">
      <c r="B3644" s="3" t="b">
        <v>0</v>
      </c>
    </row>
    <row r="3645" spans="2:2" ht="13.2" x14ac:dyDescent="0.25">
      <c r="B3645" s="3" t="b">
        <v>0</v>
      </c>
    </row>
    <row r="3646" spans="2:2" ht="13.2" x14ac:dyDescent="0.25">
      <c r="B3646" s="3" t="b">
        <v>0</v>
      </c>
    </row>
    <row r="3647" spans="2:2" ht="13.2" x14ac:dyDescent="0.25">
      <c r="B3647" s="3" t="b">
        <v>0</v>
      </c>
    </row>
    <row r="3648" spans="2:2" ht="13.2" x14ac:dyDescent="0.25">
      <c r="B3648" s="3" t="b">
        <v>0</v>
      </c>
    </row>
    <row r="3649" spans="2:2" ht="13.2" x14ac:dyDescent="0.25">
      <c r="B3649" s="3" t="b">
        <v>0</v>
      </c>
    </row>
    <row r="3650" spans="2:2" ht="13.2" x14ac:dyDescent="0.25">
      <c r="B3650" s="3" t="b">
        <v>0</v>
      </c>
    </row>
    <row r="3651" spans="2:2" ht="13.2" x14ac:dyDescent="0.25">
      <c r="B3651" s="3" t="b">
        <v>0</v>
      </c>
    </row>
    <row r="3652" spans="2:2" ht="13.2" x14ac:dyDescent="0.25">
      <c r="B3652" s="3" t="b">
        <v>0</v>
      </c>
    </row>
    <row r="3653" spans="2:2" ht="13.2" x14ac:dyDescent="0.25">
      <c r="B3653" s="3" t="b">
        <v>0</v>
      </c>
    </row>
    <row r="3654" spans="2:2" ht="13.2" x14ac:dyDescent="0.25">
      <c r="B3654" s="3" t="b">
        <v>0</v>
      </c>
    </row>
    <row r="3655" spans="2:2" ht="13.2" x14ac:dyDescent="0.25">
      <c r="B3655" s="3" t="b">
        <v>0</v>
      </c>
    </row>
    <row r="3656" spans="2:2" ht="13.2" x14ac:dyDescent="0.25">
      <c r="B3656" s="3" t="b">
        <v>0</v>
      </c>
    </row>
    <row r="3657" spans="2:2" ht="13.2" x14ac:dyDescent="0.25">
      <c r="B3657" s="3" t="b">
        <v>0</v>
      </c>
    </row>
    <row r="3658" spans="2:2" ht="13.2" x14ac:dyDescent="0.25">
      <c r="B3658" s="3" t="b">
        <v>0</v>
      </c>
    </row>
    <row r="3659" spans="2:2" ht="13.2" x14ac:dyDescent="0.25">
      <c r="B3659" s="3" t="b">
        <v>0</v>
      </c>
    </row>
    <row r="3660" spans="2:2" ht="13.2" x14ac:dyDescent="0.25">
      <c r="B3660" s="3" t="b">
        <v>0</v>
      </c>
    </row>
    <row r="3661" spans="2:2" ht="13.2" x14ac:dyDescent="0.25">
      <c r="B3661" s="3" t="b">
        <v>0</v>
      </c>
    </row>
    <row r="3662" spans="2:2" ht="13.2" x14ac:dyDescent="0.25">
      <c r="B3662" s="3" t="b">
        <v>0</v>
      </c>
    </row>
    <row r="3663" spans="2:2" ht="13.2" x14ac:dyDescent="0.25">
      <c r="B3663" s="3" t="b">
        <v>0</v>
      </c>
    </row>
    <row r="3664" spans="2:2" ht="13.2" x14ac:dyDescent="0.25">
      <c r="B3664" s="3" t="b">
        <v>0</v>
      </c>
    </row>
    <row r="3665" spans="2:2" ht="13.2" x14ac:dyDescent="0.25">
      <c r="B3665" s="3" t="b">
        <v>0</v>
      </c>
    </row>
    <row r="3666" spans="2:2" ht="13.2" x14ac:dyDescent="0.25">
      <c r="B3666" s="3" t="b">
        <v>0</v>
      </c>
    </row>
    <row r="3667" spans="2:2" ht="13.2" x14ac:dyDescent="0.25">
      <c r="B3667" s="3" t="b">
        <v>0</v>
      </c>
    </row>
    <row r="3668" spans="2:2" ht="13.2" x14ac:dyDescent="0.25">
      <c r="B3668" s="3" t="b">
        <v>0</v>
      </c>
    </row>
    <row r="3669" spans="2:2" ht="13.2" x14ac:dyDescent="0.25">
      <c r="B3669" s="3" t="b">
        <v>0</v>
      </c>
    </row>
    <row r="3670" spans="2:2" ht="13.2" x14ac:dyDescent="0.25">
      <c r="B3670" s="3" t="b">
        <v>0</v>
      </c>
    </row>
    <row r="3671" spans="2:2" ht="13.2" x14ac:dyDescent="0.25">
      <c r="B3671" s="3" t="b">
        <v>0</v>
      </c>
    </row>
    <row r="3672" spans="2:2" ht="13.2" x14ac:dyDescent="0.25">
      <c r="B3672" s="3" t="b">
        <v>0</v>
      </c>
    </row>
    <row r="3673" spans="2:2" ht="13.2" x14ac:dyDescent="0.25">
      <c r="B3673" s="3" t="b">
        <v>0</v>
      </c>
    </row>
    <row r="3674" spans="2:2" ht="13.2" x14ac:dyDescent="0.25">
      <c r="B3674" s="3" t="b">
        <v>0</v>
      </c>
    </row>
    <row r="3675" spans="2:2" ht="13.2" x14ac:dyDescent="0.25">
      <c r="B3675" s="3" t="b">
        <v>0</v>
      </c>
    </row>
    <row r="3676" spans="2:2" ht="13.2" x14ac:dyDescent="0.25">
      <c r="B3676" s="3" t="b">
        <v>0</v>
      </c>
    </row>
    <row r="3677" spans="2:2" ht="13.2" x14ac:dyDescent="0.25">
      <c r="B3677" s="3" t="b">
        <v>0</v>
      </c>
    </row>
    <row r="3678" spans="2:2" ht="13.2" x14ac:dyDescent="0.25">
      <c r="B3678" s="3" t="b">
        <v>0</v>
      </c>
    </row>
    <row r="3679" spans="2:2" ht="13.2" x14ac:dyDescent="0.25">
      <c r="B3679" s="3" t="b">
        <v>0</v>
      </c>
    </row>
    <row r="3680" spans="2:2" ht="13.2" x14ac:dyDescent="0.25">
      <c r="B3680" s="3" t="b">
        <v>0</v>
      </c>
    </row>
    <row r="3681" spans="2:2" ht="13.2" x14ac:dyDescent="0.25">
      <c r="B3681" s="3" t="b">
        <v>0</v>
      </c>
    </row>
    <row r="3682" spans="2:2" ht="13.2" x14ac:dyDescent="0.25">
      <c r="B3682" s="3" t="b">
        <v>0</v>
      </c>
    </row>
    <row r="3683" spans="2:2" ht="13.2" x14ac:dyDescent="0.25">
      <c r="B3683" s="3" t="b">
        <v>0</v>
      </c>
    </row>
    <row r="3684" spans="2:2" ht="13.2" x14ac:dyDescent="0.25">
      <c r="B3684" s="3" t="b">
        <v>0</v>
      </c>
    </row>
    <row r="3685" spans="2:2" ht="13.2" x14ac:dyDescent="0.25">
      <c r="B3685" s="3" t="b">
        <v>0</v>
      </c>
    </row>
    <row r="3686" spans="2:2" ht="13.2" x14ac:dyDescent="0.25">
      <c r="B3686" s="3" t="b">
        <v>0</v>
      </c>
    </row>
    <row r="3687" spans="2:2" ht="13.2" x14ac:dyDescent="0.25">
      <c r="B3687" s="3" t="b">
        <v>0</v>
      </c>
    </row>
    <row r="3688" spans="2:2" ht="13.2" x14ac:dyDescent="0.25">
      <c r="B3688" s="3" t="b">
        <v>0</v>
      </c>
    </row>
    <row r="3689" spans="2:2" ht="13.2" x14ac:dyDescent="0.25">
      <c r="B3689" s="3" t="b">
        <v>0</v>
      </c>
    </row>
    <row r="3690" spans="2:2" ht="13.2" x14ac:dyDescent="0.25">
      <c r="B3690" s="3" t="b">
        <v>0</v>
      </c>
    </row>
    <row r="3691" spans="2:2" ht="13.2" x14ac:dyDescent="0.25">
      <c r="B3691" s="3" t="b">
        <v>0</v>
      </c>
    </row>
    <row r="3692" spans="2:2" ht="13.2" x14ac:dyDescent="0.25">
      <c r="B3692" s="3" t="b">
        <v>0</v>
      </c>
    </row>
    <row r="3693" spans="2:2" ht="13.2" x14ac:dyDescent="0.25">
      <c r="B3693" s="3" t="b">
        <v>0</v>
      </c>
    </row>
    <row r="3694" spans="2:2" ht="13.2" x14ac:dyDescent="0.25">
      <c r="B3694" s="3" t="b">
        <v>0</v>
      </c>
    </row>
    <row r="3695" spans="2:2" ht="13.2" x14ac:dyDescent="0.25">
      <c r="B3695" s="3" t="b">
        <v>0</v>
      </c>
    </row>
    <row r="3696" spans="2:2" ht="13.2" x14ac:dyDescent="0.25">
      <c r="B3696" s="3" t="b">
        <v>0</v>
      </c>
    </row>
    <row r="3697" spans="2:2" ht="13.2" x14ac:dyDescent="0.25">
      <c r="B3697" s="3" t="b">
        <v>0</v>
      </c>
    </row>
    <row r="3698" spans="2:2" ht="13.2" x14ac:dyDescent="0.25">
      <c r="B3698" s="3" t="b">
        <v>0</v>
      </c>
    </row>
    <row r="3699" spans="2:2" ht="13.2" x14ac:dyDescent="0.25">
      <c r="B3699" s="3" t="b">
        <v>0</v>
      </c>
    </row>
    <row r="3700" spans="2:2" ht="13.2" x14ac:dyDescent="0.25">
      <c r="B3700" s="3" t="b">
        <v>0</v>
      </c>
    </row>
    <row r="3701" spans="2:2" ht="13.2" x14ac:dyDescent="0.25">
      <c r="B3701" s="3" t="b">
        <v>0</v>
      </c>
    </row>
    <row r="3702" spans="2:2" ht="13.2" x14ac:dyDescent="0.25">
      <c r="B3702" s="3" t="b">
        <v>0</v>
      </c>
    </row>
    <row r="3703" spans="2:2" ht="13.2" x14ac:dyDescent="0.25">
      <c r="B3703" s="3" t="b">
        <v>0</v>
      </c>
    </row>
    <row r="3704" spans="2:2" ht="13.2" x14ac:dyDescent="0.25">
      <c r="B3704" s="3" t="b">
        <v>0</v>
      </c>
    </row>
    <row r="3705" spans="2:2" ht="13.2" x14ac:dyDescent="0.25">
      <c r="B3705" s="3" t="b">
        <v>0</v>
      </c>
    </row>
    <row r="3706" spans="2:2" ht="13.2" x14ac:dyDescent="0.25">
      <c r="B3706" s="3" t="b">
        <v>0</v>
      </c>
    </row>
    <row r="3707" spans="2:2" ht="13.2" x14ac:dyDescent="0.25">
      <c r="B3707" s="3" t="b">
        <v>0</v>
      </c>
    </row>
    <row r="3708" spans="2:2" ht="13.2" x14ac:dyDescent="0.25">
      <c r="B3708" s="3" t="b">
        <v>0</v>
      </c>
    </row>
    <row r="3709" spans="2:2" ht="13.2" x14ac:dyDescent="0.25">
      <c r="B3709" s="3" t="b">
        <v>0</v>
      </c>
    </row>
    <row r="3710" spans="2:2" ht="13.2" x14ac:dyDescent="0.25">
      <c r="B3710" s="3" t="b">
        <v>0</v>
      </c>
    </row>
    <row r="3711" spans="2:2" ht="13.2" x14ac:dyDescent="0.25">
      <c r="B3711" s="3" t="b">
        <v>0</v>
      </c>
    </row>
    <row r="3712" spans="2:2" ht="13.2" x14ac:dyDescent="0.25">
      <c r="B3712" s="3" t="b">
        <v>0</v>
      </c>
    </row>
    <row r="3713" spans="2:2" ht="13.2" x14ac:dyDescent="0.25">
      <c r="B3713" s="3" t="b">
        <v>0</v>
      </c>
    </row>
    <row r="3714" spans="2:2" ht="13.2" x14ac:dyDescent="0.25">
      <c r="B3714" s="3" t="b">
        <v>0</v>
      </c>
    </row>
    <row r="3715" spans="2:2" ht="13.2" x14ac:dyDescent="0.25">
      <c r="B3715" s="3" t="b">
        <v>0</v>
      </c>
    </row>
    <row r="3716" spans="2:2" ht="13.2" x14ac:dyDescent="0.25">
      <c r="B3716" s="3" t="b">
        <v>0</v>
      </c>
    </row>
    <row r="3717" spans="2:2" ht="13.2" x14ac:dyDescent="0.25">
      <c r="B3717" s="3" t="b">
        <v>0</v>
      </c>
    </row>
    <row r="3718" spans="2:2" ht="13.2" x14ac:dyDescent="0.25">
      <c r="B3718" s="3" t="b">
        <v>0</v>
      </c>
    </row>
    <row r="3719" spans="2:2" ht="13.2" x14ac:dyDescent="0.25">
      <c r="B3719" s="3" t="b">
        <v>0</v>
      </c>
    </row>
    <row r="3720" spans="2:2" ht="13.2" x14ac:dyDescent="0.25">
      <c r="B3720" s="3" t="b">
        <v>0</v>
      </c>
    </row>
    <row r="3721" spans="2:2" ht="13.2" x14ac:dyDescent="0.25">
      <c r="B3721" s="3" t="b">
        <v>0</v>
      </c>
    </row>
    <row r="3722" spans="2:2" ht="13.2" x14ac:dyDescent="0.25">
      <c r="B3722" s="3" t="b">
        <v>0</v>
      </c>
    </row>
    <row r="3723" spans="2:2" ht="13.2" x14ac:dyDescent="0.25">
      <c r="B3723" s="3" t="b">
        <v>0</v>
      </c>
    </row>
    <row r="3724" spans="2:2" ht="13.2" x14ac:dyDescent="0.25">
      <c r="B3724" s="3" t="b">
        <v>0</v>
      </c>
    </row>
    <row r="3725" spans="2:2" ht="13.2" x14ac:dyDescent="0.25">
      <c r="B3725" s="3" t="b">
        <v>0</v>
      </c>
    </row>
    <row r="3726" spans="2:2" ht="13.2" x14ac:dyDescent="0.25">
      <c r="B3726" s="3" t="b">
        <v>0</v>
      </c>
    </row>
    <row r="3727" spans="2:2" ht="13.2" x14ac:dyDescent="0.25">
      <c r="B3727" s="3" t="b">
        <v>0</v>
      </c>
    </row>
    <row r="3728" spans="2:2" ht="13.2" x14ac:dyDescent="0.25">
      <c r="B3728" s="3" t="b">
        <v>0</v>
      </c>
    </row>
    <row r="3729" spans="2:2" ht="13.2" x14ac:dyDescent="0.25">
      <c r="B3729" s="3" t="b">
        <v>0</v>
      </c>
    </row>
    <row r="3730" spans="2:2" ht="13.2" x14ac:dyDescent="0.25">
      <c r="B3730" s="3" t="b">
        <v>0</v>
      </c>
    </row>
    <row r="3731" spans="2:2" ht="13.2" x14ac:dyDescent="0.25">
      <c r="B3731" s="3" t="b">
        <v>0</v>
      </c>
    </row>
    <row r="3732" spans="2:2" ht="13.2" x14ac:dyDescent="0.25">
      <c r="B3732" s="3" t="b">
        <v>0</v>
      </c>
    </row>
    <row r="3733" spans="2:2" ht="13.2" x14ac:dyDescent="0.25">
      <c r="B3733" s="3" t="b">
        <v>0</v>
      </c>
    </row>
    <row r="3734" spans="2:2" ht="13.2" x14ac:dyDescent="0.25">
      <c r="B3734" s="3" t="b">
        <v>0</v>
      </c>
    </row>
    <row r="3735" spans="2:2" ht="13.2" x14ac:dyDescent="0.25">
      <c r="B3735" s="3" t="b">
        <v>0</v>
      </c>
    </row>
    <row r="3736" spans="2:2" ht="13.2" x14ac:dyDescent="0.25">
      <c r="B3736" s="3" t="b">
        <v>0</v>
      </c>
    </row>
    <row r="3737" spans="2:2" ht="13.2" x14ac:dyDescent="0.25">
      <c r="B3737" s="3" t="b">
        <v>0</v>
      </c>
    </row>
    <row r="3738" spans="2:2" ht="13.2" x14ac:dyDescent="0.25">
      <c r="B3738" s="3" t="b">
        <v>0</v>
      </c>
    </row>
    <row r="3739" spans="2:2" ht="13.2" x14ac:dyDescent="0.25">
      <c r="B3739" s="3" t="b">
        <v>0</v>
      </c>
    </row>
    <row r="3740" spans="2:2" ht="13.2" x14ac:dyDescent="0.25">
      <c r="B3740" s="3" t="b">
        <v>0</v>
      </c>
    </row>
    <row r="3741" spans="2:2" ht="13.2" x14ac:dyDescent="0.25">
      <c r="B3741" s="3" t="b">
        <v>0</v>
      </c>
    </row>
    <row r="3742" spans="2:2" ht="13.2" x14ac:dyDescent="0.25">
      <c r="B3742" s="3" t="b">
        <v>0</v>
      </c>
    </row>
    <row r="3743" spans="2:2" ht="13.2" x14ac:dyDescent="0.25">
      <c r="B3743" s="3" t="b">
        <v>0</v>
      </c>
    </row>
    <row r="3744" spans="2:2" ht="13.2" x14ac:dyDescent="0.25">
      <c r="B3744" s="3" t="b">
        <v>0</v>
      </c>
    </row>
    <row r="3745" spans="2:2" ht="13.2" x14ac:dyDescent="0.25">
      <c r="B3745" s="3" t="b">
        <v>0</v>
      </c>
    </row>
    <row r="3746" spans="2:2" ht="13.2" x14ac:dyDescent="0.25">
      <c r="B3746" s="3" t="b">
        <v>0</v>
      </c>
    </row>
    <row r="3747" spans="2:2" ht="13.2" x14ac:dyDescent="0.25">
      <c r="B3747" s="3" t="b">
        <v>0</v>
      </c>
    </row>
    <row r="3748" spans="2:2" ht="13.2" x14ac:dyDescent="0.25">
      <c r="B3748" s="3" t="b">
        <v>0</v>
      </c>
    </row>
    <row r="3749" spans="2:2" ht="13.2" x14ac:dyDescent="0.25">
      <c r="B3749" s="3" t="b">
        <v>0</v>
      </c>
    </row>
    <row r="3750" spans="2:2" ht="13.2" x14ac:dyDescent="0.25">
      <c r="B3750" s="3" t="b">
        <v>0</v>
      </c>
    </row>
    <row r="3751" spans="2:2" ht="13.2" x14ac:dyDescent="0.25">
      <c r="B3751" s="3" t="b">
        <v>0</v>
      </c>
    </row>
    <row r="3752" spans="2:2" ht="13.2" x14ac:dyDescent="0.25">
      <c r="B3752" s="3" t="b">
        <v>0</v>
      </c>
    </row>
    <row r="3753" spans="2:2" ht="13.2" x14ac:dyDescent="0.25">
      <c r="B3753" s="3" t="b">
        <v>0</v>
      </c>
    </row>
    <row r="3754" spans="2:2" ht="13.2" x14ac:dyDescent="0.25">
      <c r="B3754" s="3" t="b">
        <v>0</v>
      </c>
    </row>
    <row r="3755" spans="2:2" ht="13.2" x14ac:dyDescent="0.25">
      <c r="B3755" s="3" t="b">
        <v>0</v>
      </c>
    </row>
    <row r="3756" spans="2:2" ht="13.2" x14ac:dyDescent="0.25">
      <c r="B3756" s="3" t="b">
        <v>0</v>
      </c>
    </row>
    <row r="3757" spans="2:2" ht="13.2" x14ac:dyDescent="0.25">
      <c r="B3757" s="3" t="b">
        <v>0</v>
      </c>
    </row>
    <row r="3758" spans="2:2" ht="13.2" x14ac:dyDescent="0.25">
      <c r="B3758" s="3" t="b">
        <v>0</v>
      </c>
    </row>
    <row r="3759" spans="2:2" ht="13.2" x14ac:dyDescent="0.25">
      <c r="B3759" s="3" t="b">
        <v>0</v>
      </c>
    </row>
    <row r="3760" spans="2:2" ht="13.2" x14ac:dyDescent="0.25">
      <c r="B3760" s="3" t="b">
        <v>0</v>
      </c>
    </row>
    <row r="3761" spans="2:2" ht="13.2" x14ac:dyDescent="0.25">
      <c r="B3761" s="3" t="b">
        <v>0</v>
      </c>
    </row>
    <row r="3762" spans="2:2" ht="13.2" x14ac:dyDescent="0.25">
      <c r="B3762" s="3" t="b">
        <v>0</v>
      </c>
    </row>
    <row r="3763" spans="2:2" ht="13.2" x14ac:dyDescent="0.25">
      <c r="B3763" s="3" t="b">
        <v>0</v>
      </c>
    </row>
    <row r="3764" spans="2:2" ht="13.2" x14ac:dyDescent="0.25">
      <c r="B3764" s="3" t="b">
        <v>0</v>
      </c>
    </row>
    <row r="3765" spans="2:2" ht="13.2" x14ac:dyDescent="0.25">
      <c r="B3765" s="3" t="b">
        <v>0</v>
      </c>
    </row>
    <row r="3766" spans="2:2" ht="13.2" x14ac:dyDescent="0.25">
      <c r="B3766" s="3" t="b">
        <v>0</v>
      </c>
    </row>
    <row r="3767" spans="2:2" ht="13.2" x14ac:dyDescent="0.25">
      <c r="B3767" s="3" t="b">
        <v>0</v>
      </c>
    </row>
    <row r="3768" spans="2:2" ht="13.2" x14ac:dyDescent="0.25">
      <c r="B3768" s="3" t="b">
        <v>0</v>
      </c>
    </row>
    <row r="3769" spans="2:2" ht="13.2" x14ac:dyDescent="0.25">
      <c r="B3769" s="3" t="b">
        <v>0</v>
      </c>
    </row>
    <row r="3770" spans="2:2" ht="13.2" x14ac:dyDescent="0.25">
      <c r="B3770" s="3" t="b">
        <v>0</v>
      </c>
    </row>
    <row r="3771" spans="2:2" ht="13.2" x14ac:dyDescent="0.25">
      <c r="B3771" s="3" t="b">
        <v>0</v>
      </c>
    </row>
    <row r="3772" spans="2:2" ht="13.2" x14ac:dyDescent="0.25">
      <c r="B3772" s="3" t="b">
        <v>0</v>
      </c>
    </row>
    <row r="3773" spans="2:2" ht="13.2" x14ac:dyDescent="0.25">
      <c r="B3773" s="3" t="b">
        <v>0</v>
      </c>
    </row>
    <row r="3774" spans="2:2" ht="13.2" x14ac:dyDescent="0.25">
      <c r="B3774" s="3" t="b">
        <v>0</v>
      </c>
    </row>
    <row r="3775" spans="2:2" ht="13.2" x14ac:dyDescent="0.25">
      <c r="B3775" s="3" t="b">
        <v>0</v>
      </c>
    </row>
    <row r="3776" spans="2:2" ht="13.2" x14ac:dyDescent="0.25">
      <c r="B3776" s="3" t="b">
        <v>0</v>
      </c>
    </row>
    <row r="3777" spans="2:2" ht="13.2" x14ac:dyDescent="0.25">
      <c r="B3777" s="3" t="b">
        <v>0</v>
      </c>
    </row>
    <row r="3778" spans="2:2" ht="13.2" x14ac:dyDescent="0.25">
      <c r="B3778" s="3" t="b">
        <v>0</v>
      </c>
    </row>
    <row r="3779" spans="2:2" ht="13.2" x14ac:dyDescent="0.25">
      <c r="B3779" s="3" t="b">
        <v>0</v>
      </c>
    </row>
    <row r="3780" spans="2:2" ht="13.2" x14ac:dyDescent="0.25">
      <c r="B3780" s="3" t="b">
        <v>0</v>
      </c>
    </row>
    <row r="3781" spans="2:2" ht="13.2" x14ac:dyDescent="0.25">
      <c r="B3781" s="3" t="b">
        <v>0</v>
      </c>
    </row>
    <row r="3782" spans="2:2" ht="13.2" x14ac:dyDescent="0.25">
      <c r="B3782" s="3" t="b">
        <v>0</v>
      </c>
    </row>
    <row r="3783" spans="2:2" ht="13.2" x14ac:dyDescent="0.25">
      <c r="B3783" s="3" t="b">
        <v>0</v>
      </c>
    </row>
    <row r="3784" spans="2:2" ht="13.2" x14ac:dyDescent="0.25">
      <c r="B3784" s="3" t="b">
        <v>0</v>
      </c>
    </row>
    <row r="3785" spans="2:2" ht="13.2" x14ac:dyDescent="0.25">
      <c r="B3785" s="3" t="b">
        <v>0</v>
      </c>
    </row>
    <row r="3786" spans="2:2" ht="13.2" x14ac:dyDescent="0.25">
      <c r="B3786" s="3" t="b">
        <v>0</v>
      </c>
    </row>
    <row r="3787" spans="2:2" ht="13.2" x14ac:dyDescent="0.25">
      <c r="B3787" s="3" t="b">
        <v>0</v>
      </c>
    </row>
    <row r="3788" spans="2:2" ht="13.2" x14ac:dyDescent="0.25">
      <c r="B3788" s="3" t="b">
        <v>0</v>
      </c>
    </row>
    <row r="3789" spans="2:2" ht="13.2" x14ac:dyDescent="0.25">
      <c r="B3789" s="3" t="b">
        <v>0</v>
      </c>
    </row>
    <row r="3790" spans="2:2" ht="13.2" x14ac:dyDescent="0.25">
      <c r="B3790" s="3" t="b">
        <v>0</v>
      </c>
    </row>
    <row r="3791" spans="2:2" ht="13.2" x14ac:dyDescent="0.25">
      <c r="B3791" s="3" t="b">
        <v>0</v>
      </c>
    </row>
    <row r="3792" spans="2:2" ht="13.2" x14ac:dyDescent="0.25">
      <c r="B3792" s="3" t="b">
        <v>0</v>
      </c>
    </row>
    <row r="3793" spans="2:2" ht="13.2" x14ac:dyDescent="0.25">
      <c r="B3793" s="3" t="b">
        <v>0</v>
      </c>
    </row>
    <row r="3794" spans="2:2" ht="13.2" x14ac:dyDescent="0.25">
      <c r="B3794" s="3" t="b">
        <v>0</v>
      </c>
    </row>
    <row r="3795" spans="2:2" ht="13.2" x14ac:dyDescent="0.25">
      <c r="B3795" s="3" t="b">
        <v>0</v>
      </c>
    </row>
    <row r="3796" spans="2:2" ht="13.2" x14ac:dyDescent="0.25">
      <c r="B3796" s="3" t="b">
        <v>0</v>
      </c>
    </row>
    <row r="3797" spans="2:2" ht="13.2" x14ac:dyDescent="0.25">
      <c r="B3797" s="3" t="b">
        <v>0</v>
      </c>
    </row>
    <row r="3798" spans="2:2" ht="13.2" x14ac:dyDescent="0.25">
      <c r="B3798" s="3" t="b">
        <v>0</v>
      </c>
    </row>
    <row r="3799" spans="2:2" ht="13.2" x14ac:dyDescent="0.25">
      <c r="B3799" s="3" t="b">
        <v>0</v>
      </c>
    </row>
    <row r="3800" spans="2:2" ht="13.2" x14ac:dyDescent="0.25">
      <c r="B3800" s="3" t="b">
        <v>0</v>
      </c>
    </row>
    <row r="3801" spans="2:2" ht="13.2" x14ac:dyDescent="0.25">
      <c r="B3801" s="3" t="b">
        <v>0</v>
      </c>
    </row>
    <row r="3802" spans="2:2" ht="13.2" x14ac:dyDescent="0.25">
      <c r="B3802" s="3" t="b">
        <v>0</v>
      </c>
    </row>
    <row r="3803" spans="2:2" ht="13.2" x14ac:dyDescent="0.25">
      <c r="B3803" s="3" t="b">
        <v>0</v>
      </c>
    </row>
    <row r="3804" spans="2:2" ht="13.2" x14ac:dyDescent="0.25">
      <c r="B3804" s="3" t="b">
        <v>0</v>
      </c>
    </row>
    <row r="3805" spans="2:2" ht="13.2" x14ac:dyDescent="0.25">
      <c r="B3805" s="3" t="b">
        <v>0</v>
      </c>
    </row>
    <row r="3806" spans="2:2" ht="13.2" x14ac:dyDescent="0.25">
      <c r="B3806" s="3" t="b">
        <v>0</v>
      </c>
    </row>
    <row r="3807" spans="2:2" ht="13.2" x14ac:dyDescent="0.25">
      <c r="B3807" s="3" t="b">
        <v>0</v>
      </c>
    </row>
    <row r="3808" spans="2:2" ht="13.2" x14ac:dyDescent="0.25">
      <c r="B3808" s="3" t="b">
        <v>0</v>
      </c>
    </row>
    <row r="3809" spans="2:2" ht="13.2" x14ac:dyDescent="0.25">
      <c r="B3809" s="3" t="b">
        <v>0</v>
      </c>
    </row>
    <row r="3810" spans="2:2" ht="13.2" x14ac:dyDescent="0.25">
      <c r="B3810" s="3" t="b">
        <v>0</v>
      </c>
    </row>
    <row r="3811" spans="2:2" ht="13.2" x14ac:dyDescent="0.25">
      <c r="B3811" s="3" t="b">
        <v>0</v>
      </c>
    </row>
    <row r="3812" spans="2:2" ht="13.2" x14ac:dyDescent="0.25">
      <c r="B3812" s="3" t="b">
        <v>0</v>
      </c>
    </row>
    <row r="3813" spans="2:2" ht="13.2" x14ac:dyDescent="0.25">
      <c r="B3813" s="3" t="b">
        <v>0</v>
      </c>
    </row>
    <row r="3814" spans="2:2" ht="13.2" x14ac:dyDescent="0.25">
      <c r="B3814" s="3" t="b">
        <v>0</v>
      </c>
    </row>
    <row r="3815" spans="2:2" ht="13.2" x14ac:dyDescent="0.25">
      <c r="B3815" s="3" t="b">
        <v>0</v>
      </c>
    </row>
    <row r="3816" spans="2:2" ht="13.2" x14ac:dyDescent="0.25">
      <c r="B3816" s="3" t="b">
        <v>0</v>
      </c>
    </row>
    <row r="3817" spans="2:2" ht="13.2" x14ac:dyDescent="0.25">
      <c r="B3817" s="3" t="b">
        <v>0</v>
      </c>
    </row>
    <row r="3818" spans="2:2" ht="13.2" x14ac:dyDescent="0.25">
      <c r="B3818" s="3" t="b">
        <v>0</v>
      </c>
    </row>
    <row r="3819" spans="2:2" ht="13.2" x14ac:dyDescent="0.25">
      <c r="B3819" s="3" t="b">
        <v>0</v>
      </c>
    </row>
    <row r="3820" spans="2:2" ht="13.2" x14ac:dyDescent="0.25">
      <c r="B3820" s="3" t="b">
        <v>0</v>
      </c>
    </row>
    <row r="3821" spans="2:2" ht="13.2" x14ac:dyDescent="0.25">
      <c r="B3821" s="3" t="b">
        <v>0</v>
      </c>
    </row>
    <row r="3822" spans="2:2" ht="13.2" x14ac:dyDescent="0.25">
      <c r="B3822" s="3" t="b">
        <v>0</v>
      </c>
    </row>
    <row r="3823" spans="2:2" ht="13.2" x14ac:dyDescent="0.25">
      <c r="B3823" s="3" t="b">
        <v>0</v>
      </c>
    </row>
    <row r="3824" spans="2:2" ht="13.2" x14ac:dyDescent="0.25">
      <c r="B3824" s="3" t="b">
        <v>0</v>
      </c>
    </row>
    <row r="3825" spans="2:2" ht="13.2" x14ac:dyDescent="0.25">
      <c r="B3825" s="3" t="b">
        <v>0</v>
      </c>
    </row>
    <row r="3826" spans="2:2" ht="13.2" x14ac:dyDescent="0.25">
      <c r="B3826" s="3" t="b">
        <v>0</v>
      </c>
    </row>
    <row r="3827" spans="2:2" ht="13.2" x14ac:dyDescent="0.25">
      <c r="B3827" s="3" t="b">
        <v>0</v>
      </c>
    </row>
    <row r="3828" spans="2:2" ht="13.2" x14ac:dyDescent="0.25">
      <c r="B3828" s="3" t="b">
        <v>0</v>
      </c>
    </row>
    <row r="3829" spans="2:2" ht="13.2" x14ac:dyDescent="0.25">
      <c r="B3829" s="3" t="b">
        <v>0</v>
      </c>
    </row>
    <row r="3830" spans="2:2" ht="13.2" x14ac:dyDescent="0.25">
      <c r="B3830" s="3" t="b">
        <v>0</v>
      </c>
    </row>
    <row r="3831" spans="2:2" ht="13.2" x14ac:dyDescent="0.25">
      <c r="B3831" s="3" t="b">
        <v>0</v>
      </c>
    </row>
    <row r="3832" spans="2:2" ht="13.2" x14ac:dyDescent="0.25">
      <c r="B3832" s="3" t="b">
        <v>0</v>
      </c>
    </row>
    <row r="3833" spans="2:2" ht="13.2" x14ac:dyDescent="0.25">
      <c r="B3833" s="3" t="b">
        <v>0</v>
      </c>
    </row>
    <row r="3834" spans="2:2" ht="13.2" x14ac:dyDescent="0.25">
      <c r="B3834" s="3" t="b">
        <v>0</v>
      </c>
    </row>
    <row r="3835" spans="2:2" ht="13.2" x14ac:dyDescent="0.25">
      <c r="B3835" s="3" t="b">
        <v>0</v>
      </c>
    </row>
    <row r="3836" spans="2:2" ht="13.2" x14ac:dyDescent="0.25">
      <c r="B3836" s="3" t="b">
        <v>0</v>
      </c>
    </row>
    <row r="3837" spans="2:2" ht="13.2" x14ac:dyDescent="0.25">
      <c r="B3837" s="3" t="b">
        <v>0</v>
      </c>
    </row>
    <row r="3838" spans="2:2" ht="13.2" x14ac:dyDescent="0.25">
      <c r="B3838" s="3" t="b">
        <v>0</v>
      </c>
    </row>
    <row r="3839" spans="2:2" ht="13.2" x14ac:dyDescent="0.25">
      <c r="B3839" s="3" t="b">
        <v>0</v>
      </c>
    </row>
    <row r="3840" spans="2:2" ht="13.2" x14ac:dyDescent="0.25">
      <c r="B3840" s="3" t="b">
        <v>0</v>
      </c>
    </row>
    <row r="3841" spans="2:2" ht="13.2" x14ac:dyDescent="0.25">
      <c r="B3841" s="3" t="b">
        <v>0</v>
      </c>
    </row>
    <row r="3842" spans="2:2" ht="13.2" x14ac:dyDescent="0.25">
      <c r="B3842" s="3" t="b">
        <v>0</v>
      </c>
    </row>
    <row r="3843" spans="2:2" ht="13.2" x14ac:dyDescent="0.25">
      <c r="B3843" s="3" t="b">
        <v>0</v>
      </c>
    </row>
    <row r="3844" spans="2:2" ht="13.2" x14ac:dyDescent="0.25">
      <c r="B3844" s="3" t="b">
        <v>0</v>
      </c>
    </row>
    <row r="3845" spans="2:2" ht="13.2" x14ac:dyDescent="0.25">
      <c r="B3845" s="3" t="b">
        <v>0</v>
      </c>
    </row>
    <row r="3846" spans="2:2" ht="13.2" x14ac:dyDescent="0.25">
      <c r="B3846" s="3" t="b">
        <v>0</v>
      </c>
    </row>
    <row r="3847" spans="2:2" ht="13.2" x14ac:dyDescent="0.25">
      <c r="B3847" s="3" t="b">
        <v>0</v>
      </c>
    </row>
    <row r="3848" spans="2:2" ht="13.2" x14ac:dyDescent="0.25">
      <c r="B3848" s="3" t="b">
        <v>0</v>
      </c>
    </row>
    <row r="3849" spans="2:2" ht="13.2" x14ac:dyDescent="0.25">
      <c r="B3849" s="3" t="b">
        <v>0</v>
      </c>
    </row>
    <row r="3850" spans="2:2" ht="13.2" x14ac:dyDescent="0.25">
      <c r="B3850" s="3" t="b">
        <v>0</v>
      </c>
    </row>
    <row r="3851" spans="2:2" ht="13.2" x14ac:dyDescent="0.25">
      <c r="B3851" s="3" t="b">
        <v>0</v>
      </c>
    </row>
    <row r="3852" spans="2:2" ht="13.2" x14ac:dyDescent="0.25">
      <c r="B3852" s="3" t="b">
        <v>0</v>
      </c>
    </row>
    <row r="3853" spans="2:2" ht="13.2" x14ac:dyDescent="0.25">
      <c r="B3853" s="3" t="b">
        <v>0</v>
      </c>
    </row>
    <row r="3854" spans="2:2" ht="13.2" x14ac:dyDescent="0.25">
      <c r="B3854" s="3" t="b">
        <v>0</v>
      </c>
    </row>
    <row r="3855" spans="2:2" ht="13.2" x14ac:dyDescent="0.25">
      <c r="B3855" s="3" t="b">
        <v>0</v>
      </c>
    </row>
    <row r="3856" spans="2:2" ht="13.2" x14ac:dyDescent="0.25">
      <c r="B3856" s="3" t="b">
        <v>0</v>
      </c>
    </row>
    <row r="3857" spans="2:2" ht="13.2" x14ac:dyDescent="0.25">
      <c r="B3857" s="3" t="b">
        <v>0</v>
      </c>
    </row>
    <row r="3858" spans="2:2" ht="13.2" x14ac:dyDescent="0.25">
      <c r="B3858" s="3" t="b">
        <v>0</v>
      </c>
    </row>
    <row r="3859" spans="2:2" ht="13.2" x14ac:dyDescent="0.25">
      <c r="B3859" s="3" t="b">
        <v>0</v>
      </c>
    </row>
    <row r="3860" spans="2:2" ht="13.2" x14ac:dyDescent="0.25">
      <c r="B3860" s="3" t="b">
        <v>0</v>
      </c>
    </row>
    <row r="3861" spans="2:2" ht="13.2" x14ac:dyDescent="0.25">
      <c r="B3861" s="3" t="b">
        <v>0</v>
      </c>
    </row>
    <row r="3862" spans="2:2" ht="13.2" x14ac:dyDescent="0.25">
      <c r="B3862" s="3" t="b">
        <v>0</v>
      </c>
    </row>
    <row r="3863" spans="2:2" ht="13.2" x14ac:dyDescent="0.25">
      <c r="B3863" s="3" t="b">
        <v>0</v>
      </c>
    </row>
    <row r="3864" spans="2:2" ht="13.2" x14ac:dyDescent="0.25">
      <c r="B3864" s="3" t="b">
        <v>0</v>
      </c>
    </row>
    <row r="3865" spans="2:2" ht="13.2" x14ac:dyDescent="0.25">
      <c r="B3865" s="3" t="b">
        <v>0</v>
      </c>
    </row>
    <row r="3866" spans="2:2" ht="13.2" x14ac:dyDescent="0.25">
      <c r="B3866" s="3" t="b">
        <v>0</v>
      </c>
    </row>
    <row r="3867" spans="2:2" ht="13.2" x14ac:dyDescent="0.25">
      <c r="B3867" s="3" t="b">
        <v>0</v>
      </c>
    </row>
    <row r="3868" spans="2:2" ht="13.2" x14ac:dyDescent="0.25">
      <c r="B3868" s="3" t="b">
        <v>0</v>
      </c>
    </row>
    <row r="3869" spans="2:2" ht="13.2" x14ac:dyDescent="0.25">
      <c r="B3869" s="3" t="b">
        <v>0</v>
      </c>
    </row>
    <row r="3870" spans="2:2" ht="13.2" x14ac:dyDescent="0.25">
      <c r="B3870" s="3" t="b">
        <v>0</v>
      </c>
    </row>
    <row r="3871" spans="2:2" ht="13.2" x14ac:dyDescent="0.25">
      <c r="B3871" s="3" t="b">
        <v>0</v>
      </c>
    </row>
    <row r="3872" spans="2:2" ht="13.2" x14ac:dyDescent="0.25">
      <c r="B3872" s="3" t="b">
        <v>0</v>
      </c>
    </row>
    <row r="3873" spans="2:2" ht="13.2" x14ac:dyDescent="0.25">
      <c r="B3873" s="3" t="b">
        <v>0</v>
      </c>
    </row>
    <row r="3874" spans="2:2" ht="13.2" x14ac:dyDescent="0.25">
      <c r="B3874" s="3" t="b">
        <v>0</v>
      </c>
    </row>
    <row r="3875" spans="2:2" ht="13.2" x14ac:dyDescent="0.25">
      <c r="B3875" s="3" t="b">
        <v>0</v>
      </c>
    </row>
    <row r="3876" spans="2:2" ht="13.2" x14ac:dyDescent="0.25">
      <c r="B3876" s="3" t="b">
        <v>0</v>
      </c>
    </row>
    <row r="3877" spans="2:2" ht="13.2" x14ac:dyDescent="0.25">
      <c r="B3877" s="3" t="b">
        <v>0</v>
      </c>
    </row>
    <row r="3878" spans="2:2" ht="13.2" x14ac:dyDescent="0.25">
      <c r="B3878" s="3" t="b">
        <v>0</v>
      </c>
    </row>
    <row r="3879" spans="2:2" ht="13.2" x14ac:dyDescent="0.25">
      <c r="B3879" s="3" t="b">
        <v>0</v>
      </c>
    </row>
    <row r="3880" spans="2:2" ht="13.2" x14ac:dyDescent="0.25">
      <c r="B3880" s="3" t="b">
        <v>0</v>
      </c>
    </row>
    <row r="3881" spans="2:2" ht="13.2" x14ac:dyDescent="0.25">
      <c r="B3881" s="3" t="b">
        <v>0</v>
      </c>
    </row>
    <row r="3882" spans="2:2" ht="13.2" x14ac:dyDescent="0.25">
      <c r="B3882" s="3" t="b">
        <v>0</v>
      </c>
    </row>
    <row r="3883" spans="2:2" ht="13.2" x14ac:dyDescent="0.25">
      <c r="B3883" s="3" t="b">
        <v>0</v>
      </c>
    </row>
    <row r="3884" spans="2:2" ht="13.2" x14ac:dyDescent="0.25">
      <c r="B3884" s="3" t="b">
        <v>0</v>
      </c>
    </row>
    <row r="3885" spans="2:2" ht="13.2" x14ac:dyDescent="0.25">
      <c r="B3885" s="3" t="b">
        <v>0</v>
      </c>
    </row>
    <row r="3886" spans="2:2" ht="13.2" x14ac:dyDescent="0.25">
      <c r="B3886" s="3" t="b">
        <v>0</v>
      </c>
    </row>
    <row r="3887" spans="2:2" ht="13.2" x14ac:dyDescent="0.25">
      <c r="B3887" s="3" t="b">
        <v>0</v>
      </c>
    </row>
    <row r="3888" spans="2:2" ht="13.2" x14ac:dyDescent="0.25">
      <c r="B3888" s="3" t="b">
        <v>0</v>
      </c>
    </row>
    <row r="3889" spans="2:2" ht="13.2" x14ac:dyDescent="0.25">
      <c r="B3889" s="3" t="b">
        <v>0</v>
      </c>
    </row>
    <row r="3890" spans="2:2" ht="13.2" x14ac:dyDescent="0.25">
      <c r="B3890" s="3" t="b">
        <v>0</v>
      </c>
    </row>
    <row r="3891" spans="2:2" ht="13.2" x14ac:dyDescent="0.25">
      <c r="B3891" s="3" t="b">
        <v>0</v>
      </c>
    </row>
    <row r="3892" spans="2:2" ht="13.2" x14ac:dyDescent="0.25">
      <c r="B3892" s="3" t="b">
        <v>0</v>
      </c>
    </row>
    <row r="3893" spans="2:2" ht="13.2" x14ac:dyDescent="0.25">
      <c r="B3893" s="3" t="b">
        <v>0</v>
      </c>
    </row>
    <row r="3894" spans="2:2" ht="13.2" x14ac:dyDescent="0.25">
      <c r="B3894" s="3" t="b">
        <v>0</v>
      </c>
    </row>
    <row r="3895" spans="2:2" ht="13.2" x14ac:dyDescent="0.25">
      <c r="B3895" s="3" t="b">
        <v>0</v>
      </c>
    </row>
    <row r="3896" spans="2:2" ht="13.2" x14ac:dyDescent="0.25">
      <c r="B3896" s="3" t="b">
        <v>0</v>
      </c>
    </row>
    <row r="3897" spans="2:2" ht="13.2" x14ac:dyDescent="0.25">
      <c r="B3897" s="3" t="b">
        <v>0</v>
      </c>
    </row>
    <row r="3898" spans="2:2" ht="13.2" x14ac:dyDescent="0.25">
      <c r="B3898" s="3" t="b">
        <v>0</v>
      </c>
    </row>
    <row r="3899" spans="2:2" ht="13.2" x14ac:dyDescent="0.25">
      <c r="B3899" s="3" t="b">
        <v>0</v>
      </c>
    </row>
    <row r="3900" spans="2:2" ht="13.2" x14ac:dyDescent="0.25">
      <c r="B3900" s="3" t="b">
        <v>0</v>
      </c>
    </row>
    <row r="3901" spans="2:2" ht="13.2" x14ac:dyDescent="0.25">
      <c r="B3901" s="3" t="b">
        <v>0</v>
      </c>
    </row>
    <row r="3902" spans="2:2" ht="13.2" x14ac:dyDescent="0.25">
      <c r="B3902" s="3" t="b">
        <v>0</v>
      </c>
    </row>
    <row r="3903" spans="2:2" ht="13.2" x14ac:dyDescent="0.25">
      <c r="B3903" s="3" t="b">
        <v>0</v>
      </c>
    </row>
    <row r="3904" spans="2:2" ht="13.2" x14ac:dyDescent="0.25">
      <c r="B3904" s="3" t="b">
        <v>0</v>
      </c>
    </row>
    <row r="3905" spans="2:2" ht="13.2" x14ac:dyDescent="0.25">
      <c r="B3905" s="3" t="b">
        <v>0</v>
      </c>
    </row>
    <row r="3906" spans="2:2" ht="13.2" x14ac:dyDescent="0.25">
      <c r="B3906" s="3" t="b">
        <v>0</v>
      </c>
    </row>
    <row r="3907" spans="2:2" ht="13.2" x14ac:dyDescent="0.25">
      <c r="B3907" s="3" t="b">
        <v>0</v>
      </c>
    </row>
    <row r="3908" spans="2:2" ht="13.2" x14ac:dyDescent="0.25">
      <c r="B3908" s="3" t="b">
        <v>0</v>
      </c>
    </row>
    <row r="3909" spans="2:2" ht="13.2" x14ac:dyDescent="0.25">
      <c r="B3909" s="3" t="b">
        <v>0</v>
      </c>
    </row>
    <row r="3910" spans="2:2" ht="13.2" x14ac:dyDescent="0.25">
      <c r="B3910" s="3" t="b">
        <v>0</v>
      </c>
    </row>
    <row r="3911" spans="2:2" ht="13.2" x14ac:dyDescent="0.25">
      <c r="B3911" s="3" t="b">
        <v>0</v>
      </c>
    </row>
    <row r="3912" spans="2:2" ht="13.2" x14ac:dyDescent="0.25">
      <c r="B3912" s="3" t="b">
        <v>0</v>
      </c>
    </row>
    <row r="3913" spans="2:2" ht="13.2" x14ac:dyDescent="0.25">
      <c r="B3913" s="3" t="b">
        <v>0</v>
      </c>
    </row>
    <row r="3914" spans="2:2" ht="13.2" x14ac:dyDescent="0.25">
      <c r="B3914" s="3" t="b">
        <v>0</v>
      </c>
    </row>
    <row r="3915" spans="2:2" ht="13.2" x14ac:dyDescent="0.25">
      <c r="B3915" s="3" t="b">
        <v>0</v>
      </c>
    </row>
    <row r="3916" spans="2:2" ht="13.2" x14ac:dyDescent="0.25">
      <c r="B3916" s="3" t="b">
        <v>0</v>
      </c>
    </row>
    <row r="3917" spans="2:2" ht="13.2" x14ac:dyDescent="0.25">
      <c r="B3917" s="3" t="b">
        <v>0</v>
      </c>
    </row>
    <row r="3918" spans="2:2" ht="13.2" x14ac:dyDescent="0.25">
      <c r="B3918" s="3" t="b">
        <v>0</v>
      </c>
    </row>
    <row r="3919" spans="2:2" ht="13.2" x14ac:dyDescent="0.25">
      <c r="B3919" s="3" t="b">
        <v>0</v>
      </c>
    </row>
    <row r="3920" spans="2:2" ht="13.2" x14ac:dyDescent="0.25">
      <c r="B3920" s="3" t="b">
        <v>0</v>
      </c>
    </row>
    <row r="3921" spans="2:2" ht="13.2" x14ac:dyDescent="0.25">
      <c r="B3921" s="3" t="b">
        <v>0</v>
      </c>
    </row>
    <row r="3922" spans="2:2" ht="13.2" x14ac:dyDescent="0.25">
      <c r="B3922" s="3" t="b">
        <v>0</v>
      </c>
    </row>
    <row r="3923" spans="2:2" ht="13.2" x14ac:dyDescent="0.25">
      <c r="B3923" s="3" t="b">
        <v>0</v>
      </c>
    </row>
    <row r="3924" spans="2:2" ht="13.2" x14ac:dyDescent="0.25">
      <c r="B3924" s="3" t="b">
        <v>0</v>
      </c>
    </row>
    <row r="3925" spans="2:2" ht="13.2" x14ac:dyDescent="0.25">
      <c r="B3925" s="3" t="b">
        <v>0</v>
      </c>
    </row>
    <row r="3926" spans="2:2" ht="13.2" x14ac:dyDescent="0.25">
      <c r="B3926" s="3" t="b">
        <v>0</v>
      </c>
    </row>
    <row r="3927" spans="2:2" ht="13.2" x14ac:dyDescent="0.25">
      <c r="B3927" s="3" t="b">
        <v>0</v>
      </c>
    </row>
    <row r="3928" spans="2:2" ht="13.2" x14ac:dyDescent="0.25">
      <c r="B3928" s="3" t="b">
        <v>0</v>
      </c>
    </row>
    <row r="3929" spans="2:2" ht="13.2" x14ac:dyDescent="0.25">
      <c r="B3929" s="3" t="b">
        <v>0</v>
      </c>
    </row>
    <row r="3930" spans="2:2" ht="13.2" x14ac:dyDescent="0.25">
      <c r="B3930" s="3" t="b">
        <v>0</v>
      </c>
    </row>
    <row r="3931" spans="2:2" ht="13.2" x14ac:dyDescent="0.25">
      <c r="B3931" s="3" t="b">
        <v>0</v>
      </c>
    </row>
    <row r="3932" spans="2:2" ht="13.2" x14ac:dyDescent="0.25">
      <c r="B3932" s="3" t="b">
        <v>0</v>
      </c>
    </row>
    <row r="3933" spans="2:2" ht="13.2" x14ac:dyDescent="0.25">
      <c r="B3933" s="3" t="b">
        <v>0</v>
      </c>
    </row>
    <row r="3934" spans="2:2" ht="13.2" x14ac:dyDescent="0.25">
      <c r="B3934" s="3" t="b">
        <v>0</v>
      </c>
    </row>
    <row r="3935" spans="2:2" ht="13.2" x14ac:dyDescent="0.25">
      <c r="B3935" s="3" t="b">
        <v>0</v>
      </c>
    </row>
    <row r="3936" spans="2:2" ht="13.2" x14ac:dyDescent="0.25">
      <c r="B3936" s="3" t="b">
        <v>0</v>
      </c>
    </row>
    <row r="3937" spans="2:2" ht="13.2" x14ac:dyDescent="0.25">
      <c r="B3937" s="3" t="b">
        <v>0</v>
      </c>
    </row>
    <row r="3938" spans="2:2" ht="13.2" x14ac:dyDescent="0.25">
      <c r="B3938" s="3" t="b">
        <v>0</v>
      </c>
    </row>
    <row r="3939" spans="2:2" ht="13.2" x14ac:dyDescent="0.25">
      <c r="B3939" s="3" t="b">
        <v>0</v>
      </c>
    </row>
    <row r="3940" spans="2:2" ht="13.2" x14ac:dyDescent="0.25">
      <c r="B3940" s="3" t="b">
        <v>0</v>
      </c>
    </row>
    <row r="3941" spans="2:2" ht="13.2" x14ac:dyDescent="0.25">
      <c r="B3941" s="3" t="b">
        <v>0</v>
      </c>
    </row>
    <row r="3942" spans="2:2" ht="13.2" x14ac:dyDescent="0.25">
      <c r="B3942" s="3" t="b">
        <v>0</v>
      </c>
    </row>
    <row r="3943" spans="2:2" ht="13.2" x14ac:dyDescent="0.25">
      <c r="B3943" s="3" t="b">
        <v>0</v>
      </c>
    </row>
    <row r="3944" spans="2:2" ht="13.2" x14ac:dyDescent="0.25">
      <c r="B3944" s="3" t="b">
        <v>0</v>
      </c>
    </row>
    <row r="3945" spans="2:2" ht="13.2" x14ac:dyDescent="0.25">
      <c r="B3945" s="3" t="b">
        <v>0</v>
      </c>
    </row>
    <row r="3946" spans="2:2" ht="13.2" x14ac:dyDescent="0.25">
      <c r="B3946" s="3" t="b">
        <v>0</v>
      </c>
    </row>
    <row r="3947" spans="2:2" ht="13.2" x14ac:dyDescent="0.25">
      <c r="B3947" s="3" t="b">
        <v>0</v>
      </c>
    </row>
    <row r="3948" spans="2:2" ht="13.2" x14ac:dyDescent="0.25">
      <c r="B3948" s="3" t="b">
        <v>0</v>
      </c>
    </row>
    <row r="3949" spans="2:2" ht="13.2" x14ac:dyDescent="0.25">
      <c r="B3949" s="3" t="b">
        <v>0</v>
      </c>
    </row>
    <row r="3950" spans="2:2" ht="13.2" x14ac:dyDescent="0.25">
      <c r="B3950" s="3" t="b">
        <v>0</v>
      </c>
    </row>
    <row r="3951" spans="2:2" ht="13.2" x14ac:dyDescent="0.25">
      <c r="B3951" s="3" t="b">
        <v>0</v>
      </c>
    </row>
    <row r="3952" spans="2:2" ht="13.2" x14ac:dyDescent="0.25">
      <c r="B3952" s="3" t="b">
        <v>0</v>
      </c>
    </row>
    <row r="3953" spans="2:2" ht="13.2" x14ac:dyDescent="0.25">
      <c r="B3953" s="3" t="b">
        <v>0</v>
      </c>
    </row>
    <row r="3954" spans="2:2" ht="13.2" x14ac:dyDescent="0.25">
      <c r="B3954" s="3" t="b">
        <v>0</v>
      </c>
    </row>
    <row r="3955" spans="2:2" ht="13.2" x14ac:dyDescent="0.25">
      <c r="B3955" s="3" t="b">
        <v>0</v>
      </c>
    </row>
    <row r="3956" spans="2:2" ht="13.2" x14ac:dyDescent="0.25">
      <c r="B3956" s="3" t="b">
        <v>0</v>
      </c>
    </row>
    <row r="3957" spans="2:2" ht="13.2" x14ac:dyDescent="0.25">
      <c r="B3957" s="3" t="b">
        <v>0</v>
      </c>
    </row>
    <row r="3958" spans="2:2" ht="13.2" x14ac:dyDescent="0.25">
      <c r="B3958" s="3" t="b">
        <v>0</v>
      </c>
    </row>
    <row r="3959" spans="2:2" ht="13.2" x14ac:dyDescent="0.25">
      <c r="B3959" s="3" t="b">
        <v>0</v>
      </c>
    </row>
    <row r="3960" spans="2:2" ht="13.2" x14ac:dyDescent="0.25">
      <c r="B3960" s="3" t="b">
        <v>0</v>
      </c>
    </row>
    <row r="3961" spans="2:2" ht="13.2" x14ac:dyDescent="0.25">
      <c r="B3961" s="3" t="b">
        <v>0</v>
      </c>
    </row>
    <row r="3962" spans="2:2" ht="13.2" x14ac:dyDescent="0.25">
      <c r="B3962" s="3" t="b">
        <v>0</v>
      </c>
    </row>
    <row r="3963" spans="2:2" ht="13.2" x14ac:dyDescent="0.25">
      <c r="B3963" s="3" t="b">
        <v>0</v>
      </c>
    </row>
    <row r="3964" spans="2:2" ht="13.2" x14ac:dyDescent="0.25">
      <c r="B3964" s="3" t="b">
        <v>0</v>
      </c>
    </row>
    <row r="3965" spans="2:2" ht="13.2" x14ac:dyDescent="0.25">
      <c r="B3965" s="3" t="b">
        <v>0</v>
      </c>
    </row>
    <row r="3966" spans="2:2" ht="13.2" x14ac:dyDescent="0.25">
      <c r="B3966" s="3" t="b">
        <v>0</v>
      </c>
    </row>
    <row r="3967" spans="2:2" ht="13.2" x14ac:dyDescent="0.25">
      <c r="B3967" s="3" t="b">
        <v>0</v>
      </c>
    </row>
    <row r="3968" spans="2:2" ht="13.2" x14ac:dyDescent="0.25">
      <c r="B3968" s="3" t="b">
        <v>0</v>
      </c>
    </row>
    <row r="3969" spans="2:2" ht="13.2" x14ac:dyDescent="0.25">
      <c r="B3969" s="3" t="b">
        <v>0</v>
      </c>
    </row>
    <row r="3970" spans="2:2" ht="13.2" x14ac:dyDescent="0.25">
      <c r="B3970" s="3" t="b">
        <v>0</v>
      </c>
    </row>
    <row r="3971" spans="2:2" ht="13.2" x14ac:dyDescent="0.25">
      <c r="B3971" s="3" t="b">
        <v>0</v>
      </c>
    </row>
    <row r="3972" spans="2:2" ht="13.2" x14ac:dyDescent="0.25">
      <c r="B3972" s="3" t="b">
        <v>0</v>
      </c>
    </row>
    <row r="3973" spans="2:2" ht="13.2" x14ac:dyDescent="0.25">
      <c r="B3973" s="3" t="b">
        <v>0</v>
      </c>
    </row>
    <row r="3974" spans="2:2" ht="13.2" x14ac:dyDescent="0.25">
      <c r="B3974" s="3" t="b">
        <v>0</v>
      </c>
    </row>
    <row r="3975" spans="2:2" ht="13.2" x14ac:dyDescent="0.25">
      <c r="B3975" s="3" t="b">
        <v>0</v>
      </c>
    </row>
    <row r="3976" spans="2:2" ht="13.2" x14ac:dyDescent="0.25">
      <c r="B3976" s="3" t="b">
        <v>0</v>
      </c>
    </row>
    <row r="3977" spans="2:2" ht="13.2" x14ac:dyDescent="0.25">
      <c r="B3977" s="3" t="b">
        <v>0</v>
      </c>
    </row>
    <row r="3978" spans="2:2" ht="13.2" x14ac:dyDescent="0.25">
      <c r="B3978" s="3" t="b">
        <v>0</v>
      </c>
    </row>
    <row r="3979" spans="2:2" ht="13.2" x14ac:dyDescent="0.25">
      <c r="B3979" s="3" t="b">
        <v>0</v>
      </c>
    </row>
    <row r="3980" spans="2:2" ht="13.2" x14ac:dyDescent="0.25">
      <c r="B3980" s="3" t="b">
        <v>0</v>
      </c>
    </row>
    <row r="3981" spans="2:2" ht="13.2" x14ac:dyDescent="0.25">
      <c r="B3981" s="3" t="b">
        <v>0</v>
      </c>
    </row>
    <row r="3982" spans="2:2" ht="13.2" x14ac:dyDescent="0.25">
      <c r="B3982" s="3" t="b">
        <v>0</v>
      </c>
    </row>
    <row r="3983" spans="2:2" ht="13.2" x14ac:dyDescent="0.25">
      <c r="B3983" s="3" t="b">
        <v>0</v>
      </c>
    </row>
    <row r="3984" spans="2:2" ht="13.2" x14ac:dyDescent="0.25">
      <c r="B3984" s="3" t="b">
        <v>0</v>
      </c>
    </row>
    <row r="3985" spans="2:2" ht="13.2" x14ac:dyDescent="0.25">
      <c r="B3985" s="3" t="b">
        <v>0</v>
      </c>
    </row>
    <row r="3986" spans="2:2" ht="13.2" x14ac:dyDescent="0.25">
      <c r="B3986" s="3" t="b">
        <v>0</v>
      </c>
    </row>
    <row r="3987" spans="2:2" ht="13.2" x14ac:dyDescent="0.25">
      <c r="B3987" s="3" t="b">
        <v>0</v>
      </c>
    </row>
    <row r="3988" spans="2:2" ht="13.2" x14ac:dyDescent="0.25">
      <c r="B3988" s="3" t="b">
        <v>0</v>
      </c>
    </row>
    <row r="3989" spans="2:2" ht="13.2" x14ac:dyDescent="0.25">
      <c r="B3989" s="3" t="b">
        <v>0</v>
      </c>
    </row>
    <row r="3990" spans="2:2" ht="13.2" x14ac:dyDescent="0.25">
      <c r="B3990" s="3" t="b">
        <v>0</v>
      </c>
    </row>
    <row r="3991" spans="2:2" ht="13.2" x14ac:dyDescent="0.25">
      <c r="B3991" s="3" t="b">
        <v>0</v>
      </c>
    </row>
    <row r="3992" spans="2:2" ht="13.2" x14ac:dyDescent="0.25">
      <c r="B3992" s="3" t="b">
        <v>0</v>
      </c>
    </row>
    <row r="3993" spans="2:2" ht="13.2" x14ac:dyDescent="0.25">
      <c r="B3993" s="3" t="b">
        <v>0</v>
      </c>
    </row>
    <row r="3994" spans="2:2" ht="13.2" x14ac:dyDescent="0.25">
      <c r="B3994" s="3" t="b">
        <v>0</v>
      </c>
    </row>
    <row r="3995" spans="2:2" ht="13.2" x14ac:dyDescent="0.25">
      <c r="B3995" s="3" t="b">
        <v>0</v>
      </c>
    </row>
    <row r="3996" spans="2:2" ht="13.2" x14ac:dyDescent="0.25">
      <c r="B3996" s="3" t="b">
        <v>0</v>
      </c>
    </row>
    <row r="3997" spans="2:2" ht="13.2" x14ac:dyDescent="0.25">
      <c r="B3997" s="3" t="b">
        <v>0</v>
      </c>
    </row>
    <row r="3998" spans="2:2" ht="13.2" x14ac:dyDescent="0.25">
      <c r="B3998" s="3" t="b">
        <v>0</v>
      </c>
    </row>
    <row r="3999" spans="2:2" ht="13.2" x14ac:dyDescent="0.25">
      <c r="B3999" s="3" t="b">
        <v>0</v>
      </c>
    </row>
    <row r="4000" spans="2:2" ht="13.2" x14ac:dyDescent="0.25">
      <c r="B4000" s="3" t="b">
        <v>0</v>
      </c>
    </row>
    <row r="4001" spans="2:2" ht="13.2" x14ac:dyDescent="0.25">
      <c r="B4001" s="3" t="b">
        <v>0</v>
      </c>
    </row>
    <row r="4002" spans="2:2" ht="13.2" x14ac:dyDescent="0.25">
      <c r="B4002" s="3" t="b">
        <v>0</v>
      </c>
    </row>
    <row r="4003" spans="2:2" ht="13.2" x14ac:dyDescent="0.25">
      <c r="B4003" s="3" t="b">
        <v>0</v>
      </c>
    </row>
    <row r="4004" spans="2:2" ht="13.2" x14ac:dyDescent="0.25">
      <c r="B4004" s="3" t="b">
        <v>0</v>
      </c>
    </row>
    <row r="4005" spans="2:2" ht="13.2" x14ac:dyDescent="0.25">
      <c r="B4005" s="3" t="b">
        <v>0</v>
      </c>
    </row>
    <row r="4006" spans="2:2" ht="13.2" x14ac:dyDescent="0.25">
      <c r="B4006" s="3" t="b">
        <v>0</v>
      </c>
    </row>
    <row r="4007" spans="2:2" ht="13.2" x14ac:dyDescent="0.25">
      <c r="B4007" s="3" t="b">
        <v>0</v>
      </c>
    </row>
    <row r="4008" spans="2:2" ht="13.2" x14ac:dyDescent="0.25">
      <c r="B4008" s="3" t="b">
        <v>0</v>
      </c>
    </row>
    <row r="4009" spans="2:2" ht="13.2" x14ac:dyDescent="0.25">
      <c r="B4009" s="3" t="b">
        <v>0</v>
      </c>
    </row>
    <row r="4010" spans="2:2" ht="13.2" x14ac:dyDescent="0.25">
      <c r="B4010" s="3" t="b">
        <v>0</v>
      </c>
    </row>
    <row r="4011" spans="2:2" ht="13.2" x14ac:dyDescent="0.25">
      <c r="B4011" s="3" t="b">
        <v>0</v>
      </c>
    </row>
    <row r="4012" spans="2:2" ht="13.2" x14ac:dyDescent="0.25">
      <c r="B4012" s="3" t="b">
        <v>0</v>
      </c>
    </row>
    <row r="4013" spans="2:2" ht="13.2" x14ac:dyDescent="0.25">
      <c r="B4013" s="3" t="b">
        <v>0</v>
      </c>
    </row>
    <row r="4014" spans="2:2" ht="13.2" x14ac:dyDescent="0.25">
      <c r="B4014" s="3" t="b">
        <v>0</v>
      </c>
    </row>
    <row r="4015" spans="2:2" ht="13.2" x14ac:dyDescent="0.25">
      <c r="B4015" s="3" t="b">
        <v>0</v>
      </c>
    </row>
    <row r="4016" spans="2:2" ht="13.2" x14ac:dyDescent="0.25">
      <c r="B4016" s="3" t="b">
        <v>0</v>
      </c>
    </row>
    <row r="4017" spans="2:2" ht="13.2" x14ac:dyDescent="0.25">
      <c r="B4017" s="3" t="b">
        <v>0</v>
      </c>
    </row>
    <row r="4018" spans="2:2" ht="13.2" x14ac:dyDescent="0.25">
      <c r="B4018" s="3" t="b">
        <v>0</v>
      </c>
    </row>
    <row r="4019" spans="2:2" ht="13.2" x14ac:dyDescent="0.25">
      <c r="B4019" s="3" t="b">
        <v>0</v>
      </c>
    </row>
    <row r="4020" spans="2:2" ht="13.2" x14ac:dyDescent="0.25">
      <c r="B4020" s="3" t="b">
        <v>0</v>
      </c>
    </row>
    <row r="4021" spans="2:2" ht="13.2" x14ac:dyDescent="0.25">
      <c r="B4021" s="3" t="b">
        <v>0</v>
      </c>
    </row>
    <row r="4022" spans="2:2" ht="13.2" x14ac:dyDescent="0.25">
      <c r="B4022" s="3" t="b">
        <v>0</v>
      </c>
    </row>
    <row r="4023" spans="2:2" ht="13.2" x14ac:dyDescent="0.25">
      <c r="B4023" s="3" t="b">
        <v>0</v>
      </c>
    </row>
    <row r="4024" spans="2:2" ht="13.2" x14ac:dyDescent="0.25">
      <c r="B4024" s="3" t="b">
        <v>0</v>
      </c>
    </row>
    <row r="4025" spans="2:2" ht="13.2" x14ac:dyDescent="0.25">
      <c r="B4025" s="3" t="b">
        <v>0</v>
      </c>
    </row>
    <row r="4026" spans="2:2" ht="13.2" x14ac:dyDescent="0.25">
      <c r="B4026" s="3" t="b">
        <v>0</v>
      </c>
    </row>
    <row r="4027" spans="2:2" ht="13.2" x14ac:dyDescent="0.25">
      <c r="B4027" s="3" t="b">
        <v>0</v>
      </c>
    </row>
    <row r="4028" spans="2:2" ht="13.2" x14ac:dyDescent="0.25">
      <c r="B4028" s="3" t="b">
        <v>0</v>
      </c>
    </row>
    <row r="4029" spans="2:2" ht="13.2" x14ac:dyDescent="0.25">
      <c r="B4029" s="3" t="b">
        <v>0</v>
      </c>
    </row>
    <row r="4030" spans="2:2" ht="13.2" x14ac:dyDescent="0.25">
      <c r="B4030" s="3" t="b">
        <v>0</v>
      </c>
    </row>
    <row r="4031" spans="2:2" ht="13.2" x14ac:dyDescent="0.25">
      <c r="B4031" s="3" t="b">
        <v>0</v>
      </c>
    </row>
    <row r="4032" spans="2:2" ht="13.2" x14ac:dyDescent="0.25">
      <c r="B4032" s="3" t="b">
        <v>0</v>
      </c>
    </row>
    <row r="4033" spans="2:2" ht="13.2" x14ac:dyDescent="0.25">
      <c r="B4033" s="3" t="b">
        <v>0</v>
      </c>
    </row>
    <row r="4034" spans="2:2" ht="13.2" x14ac:dyDescent="0.25">
      <c r="B4034" s="3" t="b">
        <v>0</v>
      </c>
    </row>
    <row r="4035" spans="2:2" ht="13.2" x14ac:dyDescent="0.25">
      <c r="B4035" s="3" t="b">
        <v>0</v>
      </c>
    </row>
    <row r="4036" spans="2:2" ht="13.2" x14ac:dyDescent="0.25">
      <c r="B4036" s="3" t="b">
        <v>0</v>
      </c>
    </row>
    <row r="4037" spans="2:2" ht="13.2" x14ac:dyDescent="0.25">
      <c r="B4037" s="3" t="b">
        <v>0</v>
      </c>
    </row>
    <row r="4038" spans="2:2" ht="13.2" x14ac:dyDescent="0.25">
      <c r="B4038" s="3" t="b">
        <v>0</v>
      </c>
    </row>
    <row r="4039" spans="2:2" ht="13.2" x14ac:dyDescent="0.25">
      <c r="B4039" s="3" t="b">
        <v>0</v>
      </c>
    </row>
    <row r="4040" spans="2:2" ht="13.2" x14ac:dyDescent="0.25">
      <c r="B4040" s="3" t="b">
        <v>0</v>
      </c>
    </row>
    <row r="4041" spans="2:2" ht="13.2" x14ac:dyDescent="0.25">
      <c r="B4041" s="3" t="b">
        <v>0</v>
      </c>
    </row>
    <row r="4042" spans="2:2" ht="13.2" x14ac:dyDescent="0.25">
      <c r="B4042" s="3" t="b">
        <v>0</v>
      </c>
    </row>
    <row r="4043" spans="2:2" ht="13.2" x14ac:dyDescent="0.25">
      <c r="B4043" s="3" t="b">
        <v>0</v>
      </c>
    </row>
    <row r="4044" spans="2:2" ht="13.2" x14ac:dyDescent="0.25">
      <c r="B4044" s="3" t="b">
        <v>0</v>
      </c>
    </row>
    <row r="4045" spans="2:2" ht="13.2" x14ac:dyDescent="0.25">
      <c r="B4045" s="3" t="b">
        <v>0</v>
      </c>
    </row>
    <row r="4046" spans="2:2" ht="13.2" x14ac:dyDescent="0.25">
      <c r="B4046" s="3" t="b">
        <v>0</v>
      </c>
    </row>
    <row r="4047" spans="2:2" ht="13.2" x14ac:dyDescent="0.25">
      <c r="B4047" s="3" t="b">
        <v>0</v>
      </c>
    </row>
    <row r="4048" spans="2:2" ht="13.2" x14ac:dyDescent="0.25">
      <c r="B4048" s="3" t="b">
        <v>0</v>
      </c>
    </row>
    <row r="4049" spans="2:2" ht="13.2" x14ac:dyDescent="0.25">
      <c r="B4049" s="3" t="b">
        <v>0</v>
      </c>
    </row>
    <row r="4050" spans="2:2" ht="13.2" x14ac:dyDescent="0.25">
      <c r="B4050" s="3" t="b">
        <v>0</v>
      </c>
    </row>
    <row r="4051" spans="2:2" ht="13.2" x14ac:dyDescent="0.25">
      <c r="B4051" s="3" t="b">
        <v>0</v>
      </c>
    </row>
    <row r="4052" spans="2:2" ht="13.2" x14ac:dyDescent="0.25">
      <c r="B4052" s="3" t="b">
        <v>0</v>
      </c>
    </row>
    <row r="4053" spans="2:2" ht="13.2" x14ac:dyDescent="0.25">
      <c r="B4053" s="3" t="b">
        <v>0</v>
      </c>
    </row>
    <row r="4054" spans="2:2" ht="13.2" x14ac:dyDescent="0.25">
      <c r="B4054" s="3" t="b">
        <v>0</v>
      </c>
    </row>
    <row r="4055" spans="2:2" ht="13.2" x14ac:dyDescent="0.25">
      <c r="B4055" s="3" t="b">
        <v>0</v>
      </c>
    </row>
    <row r="4056" spans="2:2" ht="13.2" x14ac:dyDescent="0.25">
      <c r="B4056" s="3" t="b">
        <v>0</v>
      </c>
    </row>
    <row r="4057" spans="2:2" ht="13.2" x14ac:dyDescent="0.25">
      <c r="B4057" s="3" t="b">
        <v>0</v>
      </c>
    </row>
    <row r="4058" spans="2:2" ht="13.2" x14ac:dyDescent="0.25">
      <c r="B4058" s="3" t="b">
        <v>0</v>
      </c>
    </row>
    <row r="4059" spans="2:2" ht="13.2" x14ac:dyDescent="0.25">
      <c r="B4059" s="3" t="b">
        <v>0</v>
      </c>
    </row>
    <row r="4060" spans="2:2" ht="13.2" x14ac:dyDescent="0.25">
      <c r="B4060" s="3" t="b">
        <v>0</v>
      </c>
    </row>
    <row r="4061" spans="2:2" ht="13.2" x14ac:dyDescent="0.25">
      <c r="B4061" s="3" t="b">
        <v>0</v>
      </c>
    </row>
    <row r="4062" spans="2:2" ht="13.2" x14ac:dyDescent="0.25">
      <c r="B4062" s="3" t="b">
        <v>0</v>
      </c>
    </row>
    <row r="4063" spans="2:2" ht="13.2" x14ac:dyDescent="0.25">
      <c r="B4063" s="3" t="b">
        <v>0</v>
      </c>
    </row>
    <row r="4064" spans="2:2" ht="13.2" x14ac:dyDescent="0.25">
      <c r="B4064" s="3" t="b">
        <v>0</v>
      </c>
    </row>
    <row r="4065" spans="2:2" ht="13.2" x14ac:dyDescent="0.25">
      <c r="B4065" s="3" t="b">
        <v>0</v>
      </c>
    </row>
    <row r="4066" spans="2:2" ht="13.2" x14ac:dyDescent="0.25">
      <c r="B4066" s="3" t="b">
        <v>0</v>
      </c>
    </row>
    <row r="4067" spans="2:2" ht="13.2" x14ac:dyDescent="0.25">
      <c r="B4067" s="3" t="b">
        <v>0</v>
      </c>
    </row>
    <row r="4068" spans="2:2" ht="13.2" x14ac:dyDescent="0.25">
      <c r="B4068" s="3" t="b">
        <v>0</v>
      </c>
    </row>
    <row r="4069" spans="2:2" ht="13.2" x14ac:dyDescent="0.25">
      <c r="B4069" s="3" t="b">
        <v>0</v>
      </c>
    </row>
    <row r="4070" spans="2:2" ht="13.2" x14ac:dyDescent="0.25">
      <c r="B4070" s="3" t="b">
        <v>0</v>
      </c>
    </row>
    <row r="4071" spans="2:2" ht="13.2" x14ac:dyDescent="0.25">
      <c r="B4071" s="3" t="b">
        <v>0</v>
      </c>
    </row>
    <row r="4072" spans="2:2" ht="13.2" x14ac:dyDescent="0.25">
      <c r="B4072" s="3" t="b">
        <v>0</v>
      </c>
    </row>
    <row r="4073" spans="2:2" ht="13.2" x14ac:dyDescent="0.25">
      <c r="B4073" s="3" t="b">
        <v>0</v>
      </c>
    </row>
    <row r="4074" spans="2:2" ht="13.2" x14ac:dyDescent="0.25">
      <c r="B4074" s="3" t="b">
        <v>0</v>
      </c>
    </row>
    <row r="4075" spans="2:2" ht="13.2" x14ac:dyDescent="0.25">
      <c r="B4075" s="3" t="b">
        <v>0</v>
      </c>
    </row>
    <row r="4076" spans="2:2" ht="13.2" x14ac:dyDescent="0.25">
      <c r="B4076" s="3" t="b">
        <v>0</v>
      </c>
    </row>
    <row r="4077" spans="2:2" ht="13.2" x14ac:dyDescent="0.25">
      <c r="B4077" s="3" t="b">
        <v>0</v>
      </c>
    </row>
    <row r="4078" spans="2:2" ht="13.2" x14ac:dyDescent="0.25">
      <c r="B4078" s="3" t="b">
        <v>0</v>
      </c>
    </row>
    <row r="4079" spans="2:2" ht="13.2" x14ac:dyDescent="0.25">
      <c r="B4079" s="3" t="b">
        <v>0</v>
      </c>
    </row>
    <row r="4080" spans="2:2" ht="13.2" x14ac:dyDescent="0.25">
      <c r="B4080" s="3" t="b">
        <v>0</v>
      </c>
    </row>
    <row r="4081" spans="2:2" ht="13.2" x14ac:dyDescent="0.25">
      <c r="B4081" s="3" t="b">
        <v>0</v>
      </c>
    </row>
    <row r="4082" spans="2:2" ht="13.2" x14ac:dyDescent="0.25">
      <c r="B4082" s="3" t="b">
        <v>0</v>
      </c>
    </row>
    <row r="4083" spans="2:2" ht="13.2" x14ac:dyDescent="0.25">
      <c r="B4083" s="3" t="b">
        <v>0</v>
      </c>
    </row>
    <row r="4084" spans="2:2" ht="13.2" x14ac:dyDescent="0.25">
      <c r="B4084" s="3" t="b">
        <v>0</v>
      </c>
    </row>
    <row r="4085" spans="2:2" ht="13.2" x14ac:dyDescent="0.25">
      <c r="B4085" s="3" t="b">
        <v>0</v>
      </c>
    </row>
    <row r="4086" spans="2:2" ht="13.2" x14ac:dyDescent="0.25">
      <c r="B4086" s="3" t="b">
        <v>0</v>
      </c>
    </row>
    <row r="4087" spans="2:2" ht="13.2" x14ac:dyDescent="0.25">
      <c r="B4087" s="3" t="b">
        <v>0</v>
      </c>
    </row>
    <row r="4088" spans="2:2" ht="13.2" x14ac:dyDescent="0.25">
      <c r="B4088" s="3" t="b">
        <v>0</v>
      </c>
    </row>
    <row r="4089" spans="2:2" ht="13.2" x14ac:dyDescent="0.25">
      <c r="B4089" s="3" t="b">
        <v>0</v>
      </c>
    </row>
    <row r="4090" spans="2:2" ht="13.2" x14ac:dyDescent="0.25">
      <c r="B4090" s="3" t="b">
        <v>0</v>
      </c>
    </row>
    <row r="4091" spans="2:2" ht="13.2" x14ac:dyDescent="0.25">
      <c r="B4091" s="3" t="b">
        <v>0</v>
      </c>
    </row>
    <row r="4092" spans="2:2" ht="13.2" x14ac:dyDescent="0.25">
      <c r="B4092" s="3" t="b">
        <v>0</v>
      </c>
    </row>
    <row r="4093" spans="2:2" ht="13.2" x14ac:dyDescent="0.25">
      <c r="B4093" s="3" t="b">
        <v>0</v>
      </c>
    </row>
    <row r="4094" spans="2:2" ht="13.2" x14ac:dyDescent="0.25">
      <c r="B4094" s="3" t="b">
        <v>0</v>
      </c>
    </row>
    <row r="4095" spans="2:2" ht="13.2" x14ac:dyDescent="0.25">
      <c r="B4095" s="3" t="b">
        <v>0</v>
      </c>
    </row>
    <row r="4096" spans="2:2" ht="13.2" x14ac:dyDescent="0.25">
      <c r="B4096" s="3" t="b">
        <v>0</v>
      </c>
    </row>
    <row r="4097" spans="2:2" ht="13.2" x14ac:dyDescent="0.25">
      <c r="B4097" s="3" t="b">
        <v>0</v>
      </c>
    </row>
    <row r="4098" spans="2:2" ht="13.2" x14ac:dyDescent="0.25">
      <c r="B4098" s="3" t="b">
        <v>0</v>
      </c>
    </row>
    <row r="4099" spans="2:2" ht="13.2" x14ac:dyDescent="0.25">
      <c r="B4099" s="3" t="b">
        <v>0</v>
      </c>
    </row>
    <row r="4100" spans="2:2" ht="13.2" x14ac:dyDescent="0.25">
      <c r="B4100" s="3" t="b">
        <v>0</v>
      </c>
    </row>
    <row r="4101" spans="2:2" ht="13.2" x14ac:dyDescent="0.25">
      <c r="B4101" s="3" t="b">
        <v>0</v>
      </c>
    </row>
    <row r="4102" spans="2:2" ht="13.2" x14ac:dyDescent="0.25">
      <c r="B4102" s="3" t="b">
        <v>0</v>
      </c>
    </row>
    <row r="4103" spans="2:2" ht="13.2" x14ac:dyDescent="0.25">
      <c r="B4103" s="3" t="b">
        <v>0</v>
      </c>
    </row>
    <row r="4104" spans="2:2" ht="13.2" x14ac:dyDescent="0.25">
      <c r="B4104" s="3" t="b">
        <v>0</v>
      </c>
    </row>
    <row r="4105" spans="2:2" ht="13.2" x14ac:dyDescent="0.25">
      <c r="B4105" s="3" t="b">
        <v>0</v>
      </c>
    </row>
    <row r="4106" spans="2:2" ht="13.2" x14ac:dyDescent="0.25">
      <c r="B4106" s="3" t="b">
        <v>0</v>
      </c>
    </row>
    <row r="4107" spans="2:2" ht="13.2" x14ac:dyDescent="0.25">
      <c r="B4107" s="3" t="b">
        <v>0</v>
      </c>
    </row>
    <row r="4108" spans="2:2" ht="13.2" x14ac:dyDescent="0.25">
      <c r="B4108" s="3" t="b">
        <v>0</v>
      </c>
    </row>
    <row r="4109" spans="2:2" ht="13.2" x14ac:dyDescent="0.25">
      <c r="B4109" s="3" t="b">
        <v>0</v>
      </c>
    </row>
    <row r="4110" spans="2:2" ht="13.2" x14ac:dyDescent="0.25">
      <c r="B4110" s="3" t="b">
        <v>0</v>
      </c>
    </row>
    <row r="4111" spans="2:2" ht="13.2" x14ac:dyDescent="0.25">
      <c r="B4111" s="3" t="b">
        <v>0</v>
      </c>
    </row>
    <row r="4112" spans="2:2" ht="13.2" x14ac:dyDescent="0.25">
      <c r="B4112" s="3" t="b">
        <v>0</v>
      </c>
    </row>
    <row r="4113" spans="2:2" ht="13.2" x14ac:dyDescent="0.25">
      <c r="B4113" s="3" t="b">
        <v>0</v>
      </c>
    </row>
    <row r="4114" spans="2:2" ht="13.2" x14ac:dyDescent="0.25">
      <c r="B4114" s="3" t="b">
        <v>0</v>
      </c>
    </row>
    <row r="4115" spans="2:2" ht="13.2" x14ac:dyDescent="0.25">
      <c r="B4115" s="3" t="b">
        <v>0</v>
      </c>
    </row>
    <row r="4116" spans="2:2" ht="13.2" x14ac:dyDescent="0.25">
      <c r="B4116" s="3" t="b">
        <v>0</v>
      </c>
    </row>
    <row r="4117" spans="2:2" ht="13.2" x14ac:dyDescent="0.25">
      <c r="B4117" s="3" t="b">
        <v>0</v>
      </c>
    </row>
    <row r="4118" spans="2:2" ht="13.2" x14ac:dyDescent="0.25">
      <c r="B4118" s="3" t="b">
        <v>0</v>
      </c>
    </row>
    <row r="4119" spans="2:2" ht="13.2" x14ac:dyDescent="0.25">
      <c r="B4119" s="3" t="b">
        <v>0</v>
      </c>
    </row>
    <row r="4120" spans="2:2" ht="13.2" x14ac:dyDescent="0.25">
      <c r="B4120" s="3" t="b">
        <v>0</v>
      </c>
    </row>
    <row r="4121" spans="2:2" ht="13.2" x14ac:dyDescent="0.25">
      <c r="B4121" s="3" t="b">
        <v>0</v>
      </c>
    </row>
    <row r="4122" spans="2:2" ht="13.2" x14ac:dyDescent="0.25">
      <c r="B4122" s="3" t="b">
        <v>0</v>
      </c>
    </row>
    <row r="4123" spans="2:2" ht="13.2" x14ac:dyDescent="0.25">
      <c r="B4123" s="3" t="b">
        <v>0</v>
      </c>
    </row>
    <row r="4124" spans="2:2" ht="13.2" x14ac:dyDescent="0.25">
      <c r="B4124" s="3" t="b">
        <v>0</v>
      </c>
    </row>
    <row r="4125" spans="2:2" ht="13.2" x14ac:dyDescent="0.25">
      <c r="B4125" s="3" t="b">
        <v>0</v>
      </c>
    </row>
    <row r="4126" spans="2:2" ht="13.2" x14ac:dyDescent="0.25">
      <c r="B4126" s="3" t="b">
        <v>0</v>
      </c>
    </row>
    <row r="4127" spans="2:2" ht="13.2" x14ac:dyDescent="0.25">
      <c r="B4127" s="3" t="b">
        <v>0</v>
      </c>
    </row>
    <row r="4128" spans="2:2" ht="13.2" x14ac:dyDescent="0.25">
      <c r="B4128" s="3" t="b">
        <v>0</v>
      </c>
    </row>
    <row r="4129" spans="2:2" ht="13.2" x14ac:dyDescent="0.25">
      <c r="B4129" s="3" t="b">
        <v>0</v>
      </c>
    </row>
    <row r="4130" spans="2:2" ht="13.2" x14ac:dyDescent="0.25">
      <c r="B4130" s="3" t="b">
        <v>0</v>
      </c>
    </row>
    <row r="4131" spans="2:2" ht="13.2" x14ac:dyDescent="0.25">
      <c r="B4131" s="3" t="b">
        <v>0</v>
      </c>
    </row>
    <row r="4132" spans="2:2" ht="13.2" x14ac:dyDescent="0.25">
      <c r="B4132" s="3" t="b">
        <v>0</v>
      </c>
    </row>
    <row r="4133" spans="2:2" ht="13.2" x14ac:dyDescent="0.25">
      <c r="B4133" s="3" t="b">
        <v>0</v>
      </c>
    </row>
    <row r="4134" spans="2:2" ht="13.2" x14ac:dyDescent="0.25">
      <c r="B4134" s="3" t="b">
        <v>0</v>
      </c>
    </row>
    <row r="4135" spans="2:2" ht="13.2" x14ac:dyDescent="0.25">
      <c r="B4135" s="3" t="b">
        <v>0</v>
      </c>
    </row>
    <row r="4136" spans="2:2" ht="13.2" x14ac:dyDescent="0.25">
      <c r="B4136" s="3" t="b">
        <v>0</v>
      </c>
    </row>
    <row r="4137" spans="2:2" ht="13.2" x14ac:dyDescent="0.25">
      <c r="B4137" s="3" t="b">
        <v>0</v>
      </c>
    </row>
    <row r="4138" spans="2:2" ht="13.2" x14ac:dyDescent="0.25">
      <c r="B4138" s="3" t="b">
        <v>0</v>
      </c>
    </row>
    <row r="4139" spans="2:2" ht="13.2" x14ac:dyDescent="0.25">
      <c r="B4139" s="3" t="b">
        <v>0</v>
      </c>
    </row>
    <row r="4140" spans="2:2" ht="13.2" x14ac:dyDescent="0.25">
      <c r="B4140" s="3" t="b">
        <v>0</v>
      </c>
    </row>
    <row r="4141" spans="2:2" ht="13.2" x14ac:dyDescent="0.25">
      <c r="B4141" s="3" t="b">
        <v>0</v>
      </c>
    </row>
    <row r="4142" spans="2:2" ht="13.2" x14ac:dyDescent="0.25">
      <c r="B4142" s="3" t="b">
        <v>0</v>
      </c>
    </row>
    <row r="4143" spans="2:2" ht="13.2" x14ac:dyDescent="0.25">
      <c r="B4143" s="3" t="b">
        <v>0</v>
      </c>
    </row>
    <row r="4144" spans="2:2" ht="13.2" x14ac:dyDescent="0.25">
      <c r="B4144" s="3" t="b">
        <v>0</v>
      </c>
    </row>
    <row r="4145" spans="2:2" ht="13.2" x14ac:dyDescent="0.25">
      <c r="B4145" s="3" t="b">
        <v>0</v>
      </c>
    </row>
    <row r="4146" spans="2:2" ht="13.2" x14ac:dyDescent="0.25">
      <c r="B4146" s="3" t="b">
        <v>0</v>
      </c>
    </row>
    <row r="4147" spans="2:2" ht="13.2" x14ac:dyDescent="0.25">
      <c r="B4147" s="3" t="b">
        <v>0</v>
      </c>
    </row>
    <row r="4148" spans="2:2" ht="13.2" x14ac:dyDescent="0.25">
      <c r="B4148" s="3" t="b">
        <v>0</v>
      </c>
    </row>
    <row r="4149" spans="2:2" ht="13.2" x14ac:dyDescent="0.25">
      <c r="B4149" s="3" t="b">
        <v>0</v>
      </c>
    </row>
    <row r="4150" spans="2:2" ht="13.2" x14ac:dyDescent="0.25">
      <c r="B4150" s="3" t="b">
        <v>0</v>
      </c>
    </row>
    <row r="4151" spans="2:2" ht="13.2" x14ac:dyDescent="0.25">
      <c r="B4151" s="3" t="b">
        <v>0</v>
      </c>
    </row>
    <row r="4152" spans="2:2" ht="13.2" x14ac:dyDescent="0.25">
      <c r="B4152" s="3" t="b">
        <v>0</v>
      </c>
    </row>
    <row r="4153" spans="2:2" ht="13.2" x14ac:dyDescent="0.25">
      <c r="B4153" s="3" t="b">
        <v>0</v>
      </c>
    </row>
    <row r="4154" spans="2:2" ht="13.2" x14ac:dyDescent="0.25">
      <c r="B4154" s="3" t="b">
        <v>0</v>
      </c>
    </row>
    <row r="4155" spans="2:2" ht="13.2" x14ac:dyDescent="0.25">
      <c r="B4155" s="3" t="b">
        <v>0</v>
      </c>
    </row>
    <row r="4156" spans="2:2" ht="13.2" x14ac:dyDescent="0.25">
      <c r="B4156" s="3" t="b">
        <v>0</v>
      </c>
    </row>
    <row r="4157" spans="2:2" ht="13.2" x14ac:dyDescent="0.25">
      <c r="B4157" s="3" t="b">
        <v>0</v>
      </c>
    </row>
    <row r="4158" spans="2:2" ht="13.2" x14ac:dyDescent="0.25">
      <c r="B4158" s="3" t="b">
        <v>0</v>
      </c>
    </row>
    <row r="4159" spans="2:2" ht="13.2" x14ac:dyDescent="0.25">
      <c r="B4159" s="3" t="b">
        <v>0</v>
      </c>
    </row>
    <row r="4160" spans="2:2" ht="13.2" x14ac:dyDescent="0.25">
      <c r="B4160" s="3" t="b">
        <v>0</v>
      </c>
    </row>
    <row r="4161" spans="2:2" ht="13.2" x14ac:dyDescent="0.25">
      <c r="B4161" s="3" t="b">
        <v>0</v>
      </c>
    </row>
    <row r="4162" spans="2:2" ht="13.2" x14ac:dyDescent="0.25">
      <c r="B4162" s="3" t="b">
        <v>0</v>
      </c>
    </row>
    <row r="4163" spans="2:2" ht="13.2" x14ac:dyDescent="0.25">
      <c r="B4163" s="3" t="b">
        <v>0</v>
      </c>
    </row>
    <row r="4164" spans="2:2" ht="13.2" x14ac:dyDescent="0.25">
      <c r="B4164" s="3" t="b">
        <v>0</v>
      </c>
    </row>
    <row r="4165" spans="2:2" ht="13.2" x14ac:dyDescent="0.25">
      <c r="B4165" s="3" t="b">
        <v>0</v>
      </c>
    </row>
    <row r="4166" spans="2:2" ht="13.2" x14ac:dyDescent="0.25">
      <c r="B4166" s="3" t="b">
        <v>0</v>
      </c>
    </row>
    <row r="4167" spans="2:2" ht="13.2" x14ac:dyDescent="0.25">
      <c r="B4167" s="3" t="b">
        <v>0</v>
      </c>
    </row>
    <row r="4168" spans="2:2" ht="13.2" x14ac:dyDescent="0.25">
      <c r="B4168" s="3" t="b">
        <v>0</v>
      </c>
    </row>
    <row r="4169" spans="2:2" ht="13.2" x14ac:dyDescent="0.25">
      <c r="B4169" s="3" t="b">
        <v>0</v>
      </c>
    </row>
    <row r="4170" spans="2:2" ht="13.2" x14ac:dyDescent="0.25">
      <c r="B4170" s="3" t="b">
        <v>0</v>
      </c>
    </row>
    <row r="4171" spans="2:2" ht="13.2" x14ac:dyDescent="0.25">
      <c r="B4171" s="3" t="b">
        <v>0</v>
      </c>
    </row>
    <row r="4172" spans="2:2" ht="13.2" x14ac:dyDescent="0.25">
      <c r="B4172" s="3" t="b">
        <v>0</v>
      </c>
    </row>
    <row r="4173" spans="2:2" ht="13.2" x14ac:dyDescent="0.25">
      <c r="B4173" s="3" t="b">
        <v>0</v>
      </c>
    </row>
    <row r="4174" spans="2:2" ht="13.2" x14ac:dyDescent="0.25">
      <c r="B4174" s="3" t="b">
        <v>0</v>
      </c>
    </row>
    <row r="4175" spans="2:2" ht="13.2" x14ac:dyDescent="0.25">
      <c r="B4175" s="3" t="b">
        <v>0</v>
      </c>
    </row>
    <row r="4176" spans="2:2" ht="13.2" x14ac:dyDescent="0.25">
      <c r="B4176" s="3" t="b">
        <v>0</v>
      </c>
    </row>
    <row r="4177" spans="2:2" ht="13.2" x14ac:dyDescent="0.25">
      <c r="B4177" s="3" t="b">
        <v>0</v>
      </c>
    </row>
    <row r="4178" spans="2:2" ht="13.2" x14ac:dyDescent="0.25">
      <c r="B4178" s="3" t="b">
        <v>0</v>
      </c>
    </row>
    <row r="4179" spans="2:2" ht="13.2" x14ac:dyDescent="0.25">
      <c r="B4179" s="3" t="b">
        <v>0</v>
      </c>
    </row>
    <row r="4180" spans="2:2" ht="13.2" x14ac:dyDescent="0.25">
      <c r="B4180" s="3" t="b">
        <v>0</v>
      </c>
    </row>
    <row r="4181" spans="2:2" ht="13.2" x14ac:dyDescent="0.25">
      <c r="B4181" s="3" t="b">
        <v>0</v>
      </c>
    </row>
    <row r="4182" spans="2:2" ht="13.2" x14ac:dyDescent="0.25">
      <c r="B4182" s="3" t="b">
        <v>0</v>
      </c>
    </row>
    <row r="4183" spans="2:2" ht="13.2" x14ac:dyDescent="0.25">
      <c r="B4183" s="3" t="b">
        <v>0</v>
      </c>
    </row>
    <row r="4184" spans="2:2" ht="13.2" x14ac:dyDescent="0.25">
      <c r="B4184" s="3" t="b">
        <v>0</v>
      </c>
    </row>
    <row r="4185" spans="2:2" ht="13.2" x14ac:dyDescent="0.25">
      <c r="B4185" s="3" t="b">
        <v>0</v>
      </c>
    </row>
    <row r="4186" spans="2:2" ht="13.2" x14ac:dyDescent="0.25">
      <c r="B4186" s="3" t="b">
        <v>0</v>
      </c>
    </row>
    <row r="4187" spans="2:2" ht="13.2" x14ac:dyDescent="0.25">
      <c r="B4187" s="3" t="b">
        <v>0</v>
      </c>
    </row>
    <row r="4188" spans="2:2" ht="13.2" x14ac:dyDescent="0.25">
      <c r="B4188" s="3" t="b">
        <v>0</v>
      </c>
    </row>
    <row r="4189" spans="2:2" ht="13.2" x14ac:dyDescent="0.25">
      <c r="B4189" s="3" t="b">
        <v>0</v>
      </c>
    </row>
    <row r="4190" spans="2:2" ht="13.2" x14ac:dyDescent="0.25">
      <c r="B4190" s="3" t="b">
        <v>0</v>
      </c>
    </row>
    <row r="4191" spans="2:2" ht="13.2" x14ac:dyDescent="0.25">
      <c r="B4191" s="3" t="b">
        <v>0</v>
      </c>
    </row>
    <row r="4192" spans="2:2" ht="13.2" x14ac:dyDescent="0.25">
      <c r="B4192" s="3" t="b">
        <v>0</v>
      </c>
    </row>
    <row r="4193" spans="2:2" ht="13.2" x14ac:dyDescent="0.25">
      <c r="B4193" s="3" t="b">
        <v>0</v>
      </c>
    </row>
    <row r="4194" spans="2:2" ht="13.2" x14ac:dyDescent="0.25">
      <c r="B4194" s="3" t="b">
        <v>0</v>
      </c>
    </row>
    <row r="4195" spans="2:2" ht="13.2" x14ac:dyDescent="0.25">
      <c r="B4195" s="3" t="b">
        <v>0</v>
      </c>
    </row>
    <row r="4196" spans="2:2" ht="13.2" x14ac:dyDescent="0.25">
      <c r="B4196" s="3" t="b">
        <v>0</v>
      </c>
    </row>
    <row r="4197" spans="2:2" ht="13.2" x14ac:dyDescent="0.25">
      <c r="B4197" s="3" t="b">
        <v>0</v>
      </c>
    </row>
    <row r="4198" spans="2:2" ht="13.2" x14ac:dyDescent="0.25">
      <c r="B4198" s="3" t="b">
        <v>0</v>
      </c>
    </row>
    <row r="4199" spans="2:2" ht="13.2" x14ac:dyDescent="0.25">
      <c r="B4199" s="3" t="b">
        <v>0</v>
      </c>
    </row>
    <row r="4200" spans="2:2" ht="13.2" x14ac:dyDescent="0.25">
      <c r="B4200" s="3" t="b">
        <v>0</v>
      </c>
    </row>
    <row r="4201" spans="2:2" ht="13.2" x14ac:dyDescent="0.25">
      <c r="B4201" s="3" t="b">
        <v>0</v>
      </c>
    </row>
    <row r="4202" spans="2:2" ht="13.2" x14ac:dyDescent="0.25">
      <c r="B4202" s="3" t="b">
        <v>0</v>
      </c>
    </row>
    <row r="4203" spans="2:2" ht="13.2" x14ac:dyDescent="0.25">
      <c r="B4203" s="3" t="b">
        <v>0</v>
      </c>
    </row>
    <row r="4204" spans="2:2" ht="13.2" x14ac:dyDescent="0.25">
      <c r="B4204" s="3" t="b">
        <v>0</v>
      </c>
    </row>
    <row r="4205" spans="2:2" ht="13.2" x14ac:dyDescent="0.25">
      <c r="B4205" s="3" t="b">
        <v>0</v>
      </c>
    </row>
    <row r="4206" spans="2:2" ht="13.2" x14ac:dyDescent="0.25">
      <c r="B4206" s="3" t="b">
        <v>0</v>
      </c>
    </row>
    <row r="4207" spans="2:2" ht="13.2" x14ac:dyDescent="0.25">
      <c r="B4207" s="3" t="b">
        <v>0</v>
      </c>
    </row>
    <row r="4208" spans="2:2" ht="13.2" x14ac:dyDescent="0.25">
      <c r="B4208" s="3" t="b">
        <v>0</v>
      </c>
    </row>
    <row r="4209" spans="2:2" ht="13.2" x14ac:dyDescent="0.25">
      <c r="B4209" s="3" t="b">
        <v>0</v>
      </c>
    </row>
    <row r="4210" spans="2:2" ht="13.2" x14ac:dyDescent="0.25">
      <c r="B4210" s="3" t="b">
        <v>0</v>
      </c>
    </row>
    <row r="4211" spans="2:2" ht="13.2" x14ac:dyDescent="0.25">
      <c r="B4211" s="3" t="b">
        <v>0</v>
      </c>
    </row>
    <row r="4212" spans="2:2" ht="13.2" x14ac:dyDescent="0.25">
      <c r="B4212" s="3" t="b">
        <v>0</v>
      </c>
    </row>
    <row r="4213" spans="2:2" ht="13.2" x14ac:dyDescent="0.25">
      <c r="B4213" s="3" t="b">
        <v>0</v>
      </c>
    </row>
    <row r="4214" spans="2:2" ht="13.2" x14ac:dyDescent="0.25">
      <c r="B4214" s="3" t="b">
        <v>0</v>
      </c>
    </row>
    <row r="4215" spans="2:2" ht="13.2" x14ac:dyDescent="0.25">
      <c r="B4215" s="3" t="b">
        <v>0</v>
      </c>
    </row>
    <row r="4216" spans="2:2" ht="13.2" x14ac:dyDescent="0.25">
      <c r="B4216" s="3" t="b">
        <v>0</v>
      </c>
    </row>
    <row r="4217" spans="2:2" ht="13.2" x14ac:dyDescent="0.25">
      <c r="B4217" s="3" t="b">
        <v>0</v>
      </c>
    </row>
    <row r="4218" spans="2:2" ht="13.2" x14ac:dyDescent="0.25">
      <c r="B4218" s="3" t="b">
        <v>0</v>
      </c>
    </row>
    <row r="4219" spans="2:2" ht="13.2" x14ac:dyDescent="0.25">
      <c r="B4219" s="3" t="b">
        <v>0</v>
      </c>
    </row>
    <row r="4220" spans="2:2" ht="13.2" x14ac:dyDescent="0.25">
      <c r="B4220" s="3" t="b">
        <v>0</v>
      </c>
    </row>
    <row r="4221" spans="2:2" ht="13.2" x14ac:dyDescent="0.25">
      <c r="B4221" s="3" t="b">
        <v>0</v>
      </c>
    </row>
    <row r="4222" spans="2:2" ht="13.2" x14ac:dyDescent="0.25">
      <c r="B4222" s="3" t="b">
        <v>0</v>
      </c>
    </row>
    <row r="4223" spans="2:2" ht="13.2" x14ac:dyDescent="0.25">
      <c r="B4223" s="3" t="b">
        <v>0</v>
      </c>
    </row>
    <row r="4224" spans="2:2" ht="13.2" x14ac:dyDescent="0.25">
      <c r="B4224" s="3" t="b">
        <v>0</v>
      </c>
    </row>
    <row r="4225" spans="2:2" ht="13.2" x14ac:dyDescent="0.25">
      <c r="B4225" s="3" t="b">
        <v>0</v>
      </c>
    </row>
    <row r="4226" spans="2:2" ht="13.2" x14ac:dyDescent="0.25">
      <c r="B4226" s="3" t="b">
        <v>0</v>
      </c>
    </row>
    <row r="4227" spans="2:2" ht="13.2" x14ac:dyDescent="0.25">
      <c r="B4227" s="3" t="b">
        <v>0</v>
      </c>
    </row>
    <row r="4228" spans="2:2" ht="13.2" x14ac:dyDescent="0.25">
      <c r="B4228" s="3" t="b">
        <v>0</v>
      </c>
    </row>
    <row r="4229" spans="2:2" ht="13.2" x14ac:dyDescent="0.25">
      <c r="B4229" s="3" t="b">
        <v>0</v>
      </c>
    </row>
    <row r="4230" spans="2:2" ht="13.2" x14ac:dyDescent="0.25">
      <c r="B4230" s="3" t="b">
        <v>0</v>
      </c>
    </row>
    <row r="4231" spans="2:2" ht="13.2" x14ac:dyDescent="0.25">
      <c r="B4231" s="3" t="b">
        <v>0</v>
      </c>
    </row>
    <row r="4232" spans="2:2" ht="13.2" x14ac:dyDescent="0.25">
      <c r="B4232" s="3" t="b">
        <v>0</v>
      </c>
    </row>
    <row r="4233" spans="2:2" ht="13.2" x14ac:dyDescent="0.25">
      <c r="B4233" s="3" t="b">
        <v>0</v>
      </c>
    </row>
    <row r="4234" spans="2:2" ht="13.2" x14ac:dyDescent="0.25">
      <c r="B4234" s="3" t="b">
        <v>0</v>
      </c>
    </row>
    <row r="4235" spans="2:2" ht="13.2" x14ac:dyDescent="0.25">
      <c r="B4235" s="3" t="b">
        <v>0</v>
      </c>
    </row>
    <row r="4236" spans="2:2" ht="13.2" x14ac:dyDescent="0.25">
      <c r="B4236" s="3" t="b">
        <v>0</v>
      </c>
    </row>
    <row r="4237" spans="2:2" ht="13.2" x14ac:dyDescent="0.25">
      <c r="B4237" s="3" t="b">
        <v>0</v>
      </c>
    </row>
    <row r="4238" spans="2:2" ht="13.2" x14ac:dyDescent="0.25">
      <c r="B4238" s="3" t="b">
        <v>0</v>
      </c>
    </row>
    <row r="4239" spans="2:2" ht="13.2" x14ac:dyDescent="0.25">
      <c r="B4239" s="3" t="b">
        <v>0</v>
      </c>
    </row>
    <row r="4240" spans="2:2" ht="13.2" x14ac:dyDescent="0.25">
      <c r="B4240" s="3" t="b">
        <v>0</v>
      </c>
    </row>
    <row r="4241" spans="2:2" ht="13.2" x14ac:dyDescent="0.25">
      <c r="B4241" s="3" t="b">
        <v>0</v>
      </c>
    </row>
    <row r="4242" spans="2:2" ht="13.2" x14ac:dyDescent="0.25">
      <c r="B4242" s="3" t="b">
        <v>0</v>
      </c>
    </row>
    <row r="4243" spans="2:2" ht="13.2" x14ac:dyDescent="0.25">
      <c r="B4243" s="3" t="b">
        <v>0</v>
      </c>
    </row>
    <row r="4244" spans="2:2" ht="13.2" x14ac:dyDescent="0.25">
      <c r="B4244" s="3" t="b">
        <v>0</v>
      </c>
    </row>
    <row r="4245" spans="2:2" ht="13.2" x14ac:dyDescent="0.25">
      <c r="B4245" s="3" t="b">
        <v>0</v>
      </c>
    </row>
    <row r="4246" spans="2:2" ht="13.2" x14ac:dyDescent="0.25">
      <c r="B4246" s="3" t="b">
        <v>0</v>
      </c>
    </row>
    <row r="4247" spans="2:2" ht="13.2" x14ac:dyDescent="0.25">
      <c r="B4247" s="3" t="b">
        <v>0</v>
      </c>
    </row>
    <row r="4248" spans="2:2" ht="13.2" x14ac:dyDescent="0.25">
      <c r="B4248" s="3" t="b">
        <v>0</v>
      </c>
    </row>
    <row r="4249" spans="2:2" ht="13.2" x14ac:dyDescent="0.25">
      <c r="B4249" s="3" t="b">
        <v>0</v>
      </c>
    </row>
    <row r="4250" spans="2:2" ht="13.2" x14ac:dyDescent="0.25">
      <c r="B4250" s="3" t="b">
        <v>0</v>
      </c>
    </row>
    <row r="4251" spans="2:2" ht="13.2" x14ac:dyDescent="0.25">
      <c r="B4251" s="3" t="b">
        <v>0</v>
      </c>
    </row>
    <row r="4252" spans="2:2" ht="13.2" x14ac:dyDescent="0.25">
      <c r="B4252" s="3" t="b">
        <v>0</v>
      </c>
    </row>
    <row r="4253" spans="2:2" ht="13.2" x14ac:dyDescent="0.25">
      <c r="B4253" s="3" t="b">
        <v>0</v>
      </c>
    </row>
    <row r="4254" spans="2:2" ht="13.2" x14ac:dyDescent="0.25">
      <c r="B4254" s="3" t="b">
        <v>0</v>
      </c>
    </row>
    <row r="4255" spans="2:2" ht="13.2" x14ac:dyDescent="0.25">
      <c r="B4255" s="3" t="b">
        <v>0</v>
      </c>
    </row>
    <row r="4256" spans="2:2" ht="13.2" x14ac:dyDescent="0.25">
      <c r="B4256" s="3" t="b">
        <v>0</v>
      </c>
    </row>
    <row r="4257" spans="2:2" ht="13.2" x14ac:dyDescent="0.25">
      <c r="B4257" s="3" t="b">
        <v>0</v>
      </c>
    </row>
    <row r="4258" spans="2:2" ht="13.2" x14ac:dyDescent="0.25">
      <c r="B4258" s="3" t="b">
        <v>0</v>
      </c>
    </row>
    <row r="4259" spans="2:2" ht="13.2" x14ac:dyDescent="0.25">
      <c r="B4259" s="3" t="b">
        <v>0</v>
      </c>
    </row>
    <row r="4260" spans="2:2" ht="13.2" x14ac:dyDescent="0.25">
      <c r="B4260" s="3" t="b">
        <v>0</v>
      </c>
    </row>
    <row r="4261" spans="2:2" ht="13.2" x14ac:dyDescent="0.25">
      <c r="B4261" s="3" t="b">
        <v>0</v>
      </c>
    </row>
    <row r="4262" spans="2:2" ht="13.2" x14ac:dyDescent="0.25">
      <c r="B4262" s="3" t="b">
        <v>0</v>
      </c>
    </row>
    <row r="4263" spans="2:2" ht="13.2" x14ac:dyDescent="0.25">
      <c r="B4263" s="3" t="b">
        <v>0</v>
      </c>
    </row>
    <row r="4264" spans="2:2" ht="13.2" x14ac:dyDescent="0.25">
      <c r="B4264" s="3" t="b">
        <v>0</v>
      </c>
    </row>
    <row r="4265" spans="2:2" ht="13.2" x14ac:dyDescent="0.25">
      <c r="B4265" s="3" t="b">
        <v>0</v>
      </c>
    </row>
    <row r="4266" spans="2:2" ht="13.2" x14ac:dyDescent="0.25">
      <c r="B4266" s="3" t="b">
        <v>0</v>
      </c>
    </row>
    <row r="4267" spans="2:2" ht="13.2" x14ac:dyDescent="0.25">
      <c r="B4267" s="3" t="b">
        <v>0</v>
      </c>
    </row>
    <row r="4268" spans="2:2" ht="13.2" x14ac:dyDescent="0.25">
      <c r="B4268" s="3" t="b">
        <v>0</v>
      </c>
    </row>
    <row r="4269" spans="2:2" ht="13.2" x14ac:dyDescent="0.25">
      <c r="B4269" s="3" t="b">
        <v>0</v>
      </c>
    </row>
    <row r="4270" spans="2:2" ht="13.2" x14ac:dyDescent="0.25">
      <c r="B4270" s="3" t="b">
        <v>0</v>
      </c>
    </row>
    <row r="4271" spans="2:2" ht="13.2" x14ac:dyDescent="0.25">
      <c r="B4271" s="3" t="b">
        <v>0</v>
      </c>
    </row>
    <row r="4272" spans="2:2" ht="13.2" x14ac:dyDescent="0.25">
      <c r="B4272" s="3" t="b">
        <v>0</v>
      </c>
    </row>
    <row r="4273" spans="2:2" ht="13.2" x14ac:dyDescent="0.25">
      <c r="B4273" s="3" t="b">
        <v>0</v>
      </c>
    </row>
    <row r="4274" spans="2:2" ht="13.2" x14ac:dyDescent="0.25">
      <c r="B4274" s="3" t="b">
        <v>0</v>
      </c>
    </row>
    <row r="4275" spans="2:2" ht="13.2" x14ac:dyDescent="0.25">
      <c r="B4275" s="3" t="b">
        <v>0</v>
      </c>
    </row>
    <row r="4276" spans="2:2" ht="13.2" x14ac:dyDescent="0.25">
      <c r="B4276" s="3" t="b">
        <v>0</v>
      </c>
    </row>
    <row r="4277" spans="2:2" ht="13.2" x14ac:dyDescent="0.25">
      <c r="B4277" s="3" t="b">
        <v>0</v>
      </c>
    </row>
    <row r="4278" spans="2:2" ht="13.2" x14ac:dyDescent="0.25">
      <c r="B4278" s="3" t="b">
        <v>0</v>
      </c>
    </row>
    <row r="4279" spans="2:2" ht="13.2" x14ac:dyDescent="0.25">
      <c r="B4279" s="3" t="b">
        <v>0</v>
      </c>
    </row>
    <row r="4280" spans="2:2" ht="13.2" x14ac:dyDescent="0.25">
      <c r="B4280" s="3" t="b">
        <v>0</v>
      </c>
    </row>
    <row r="4281" spans="2:2" ht="13.2" x14ac:dyDescent="0.25">
      <c r="B4281" s="3" t="b">
        <v>0</v>
      </c>
    </row>
    <row r="4282" spans="2:2" ht="13.2" x14ac:dyDescent="0.25">
      <c r="B4282" s="3" t="b">
        <v>0</v>
      </c>
    </row>
    <row r="4283" spans="2:2" ht="13.2" x14ac:dyDescent="0.25">
      <c r="B4283" s="3" t="b">
        <v>0</v>
      </c>
    </row>
    <row r="4284" spans="2:2" ht="13.2" x14ac:dyDescent="0.25">
      <c r="B4284" s="3" t="b">
        <v>0</v>
      </c>
    </row>
    <row r="4285" spans="2:2" ht="13.2" x14ac:dyDescent="0.25">
      <c r="B4285" s="3" t="b">
        <v>0</v>
      </c>
    </row>
    <row r="4286" spans="2:2" ht="13.2" x14ac:dyDescent="0.25">
      <c r="B4286" s="3" t="b">
        <v>0</v>
      </c>
    </row>
    <row r="4287" spans="2:2" ht="13.2" x14ac:dyDescent="0.25">
      <c r="B4287" s="3" t="b">
        <v>0</v>
      </c>
    </row>
    <row r="4288" spans="2:2" ht="13.2" x14ac:dyDescent="0.25">
      <c r="B4288" s="3" t="b">
        <v>0</v>
      </c>
    </row>
    <row r="4289" spans="2:2" ht="13.2" x14ac:dyDescent="0.25">
      <c r="B4289" s="3" t="b">
        <v>0</v>
      </c>
    </row>
    <row r="4290" spans="2:2" ht="13.2" x14ac:dyDescent="0.25">
      <c r="B4290" s="3" t="b">
        <v>0</v>
      </c>
    </row>
    <row r="4291" spans="2:2" ht="13.2" x14ac:dyDescent="0.25">
      <c r="B4291" s="3" t="b">
        <v>0</v>
      </c>
    </row>
    <row r="4292" spans="2:2" ht="13.2" x14ac:dyDescent="0.25">
      <c r="B4292" s="3" t="b">
        <v>0</v>
      </c>
    </row>
    <row r="4293" spans="2:2" ht="13.2" x14ac:dyDescent="0.25">
      <c r="B4293" s="3" t="b">
        <v>0</v>
      </c>
    </row>
    <row r="4294" spans="2:2" ht="13.2" x14ac:dyDescent="0.25">
      <c r="B4294" s="3" t="b">
        <v>0</v>
      </c>
    </row>
    <row r="4295" spans="2:2" ht="13.2" x14ac:dyDescent="0.25">
      <c r="B4295" s="3" t="b">
        <v>0</v>
      </c>
    </row>
    <row r="4296" spans="2:2" ht="13.2" x14ac:dyDescent="0.25">
      <c r="B4296" s="3" t="b">
        <v>0</v>
      </c>
    </row>
    <row r="4297" spans="2:2" ht="13.2" x14ac:dyDescent="0.25">
      <c r="B4297" s="3" t="b">
        <v>0</v>
      </c>
    </row>
    <row r="4298" spans="2:2" ht="13.2" x14ac:dyDescent="0.25">
      <c r="B4298" s="3" t="b">
        <v>0</v>
      </c>
    </row>
    <row r="4299" spans="2:2" ht="13.2" x14ac:dyDescent="0.25">
      <c r="B4299" s="3" t="b">
        <v>0</v>
      </c>
    </row>
    <row r="4300" spans="2:2" ht="13.2" x14ac:dyDescent="0.25">
      <c r="B4300" s="3" t="b">
        <v>0</v>
      </c>
    </row>
    <row r="4301" spans="2:2" ht="13.2" x14ac:dyDescent="0.25">
      <c r="B4301" s="3" t="b">
        <v>0</v>
      </c>
    </row>
    <row r="4302" spans="2:2" ht="13.2" x14ac:dyDescent="0.25">
      <c r="B4302" s="3" t="b">
        <v>0</v>
      </c>
    </row>
    <row r="4303" spans="2:2" ht="13.2" x14ac:dyDescent="0.25">
      <c r="B4303" s="3" t="b">
        <v>0</v>
      </c>
    </row>
    <row r="4304" spans="2:2" ht="13.2" x14ac:dyDescent="0.25">
      <c r="B4304" s="3" t="b">
        <v>0</v>
      </c>
    </row>
    <row r="4305" spans="2:2" ht="13.2" x14ac:dyDescent="0.25">
      <c r="B4305" s="3" t="b">
        <v>0</v>
      </c>
    </row>
    <row r="4306" spans="2:2" ht="13.2" x14ac:dyDescent="0.25">
      <c r="B4306" s="3" t="b">
        <v>0</v>
      </c>
    </row>
    <row r="4307" spans="2:2" ht="13.2" x14ac:dyDescent="0.25">
      <c r="B4307" s="3" t="b">
        <v>0</v>
      </c>
    </row>
    <row r="4308" spans="2:2" ht="13.2" x14ac:dyDescent="0.25">
      <c r="B4308" s="3" t="b">
        <v>0</v>
      </c>
    </row>
    <row r="4309" spans="2:2" ht="13.2" x14ac:dyDescent="0.25">
      <c r="B4309" s="3" t="b">
        <v>0</v>
      </c>
    </row>
    <row r="4310" spans="2:2" ht="13.2" x14ac:dyDescent="0.25">
      <c r="B4310" s="3" t="b">
        <v>0</v>
      </c>
    </row>
    <row r="4311" spans="2:2" ht="13.2" x14ac:dyDescent="0.25">
      <c r="B4311" s="3" t="b">
        <v>0</v>
      </c>
    </row>
    <row r="4312" spans="2:2" ht="13.2" x14ac:dyDescent="0.25">
      <c r="B4312" s="3" t="b">
        <v>0</v>
      </c>
    </row>
    <row r="4313" spans="2:2" ht="13.2" x14ac:dyDescent="0.25">
      <c r="B4313" s="3" t="b">
        <v>0</v>
      </c>
    </row>
    <row r="4314" spans="2:2" ht="13.2" x14ac:dyDescent="0.25">
      <c r="B4314" s="3" t="b">
        <v>0</v>
      </c>
    </row>
    <row r="4315" spans="2:2" ht="13.2" x14ac:dyDescent="0.25">
      <c r="B4315" s="3" t="b">
        <v>0</v>
      </c>
    </row>
    <row r="4316" spans="2:2" ht="13.2" x14ac:dyDescent="0.25">
      <c r="B4316" s="3" t="b">
        <v>0</v>
      </c>
    </row>
    <row r="4317" spans="2:2" ht="13.2" x14ac:dyDescent="0.25">
      <c r="B4317" s="3" t="b">
        <v>0</v>
      </c>
    </row>
    <row r="4318" spans="2:2" ht="13.2" x14ac:dyDescent="0.25">
      <c r="B4318" s="3" t="b">
        <v>0</v>
      </c>
    </row>
    <row r="4319" spans="2:2" ht="13.2" x14ac:dyDescent="0.25">
      <c r="B4319" s="3" t="b">
        <v>0</v>
      </c>
    </row>
    <row r="4320" spans="2:2" ht="13.2" x14ac:dyDescent="0.25">
      <c r="B4320" s="3" t="b">
        <v>0</v>
      </c>
    </row>
    <row r="4321" spans="2:2" ht="13.2" x14ac:dyDescent="0.25">
      <c r="B4321" s="3" t="b">
        <v>0</v>
      </c>
    </row>
    <row r="4322" spans="2:2" ht="13.2" x14ac:dyDescent="0.25">
      <c r="B4322" s="3" t="b">
        <v>0</v>
      </c>
    </row>
    <row r="4323" spans="2:2" ht="13.2" x14ac:dyDescent="0.25">
      <c r="B4323" s="3" t="b">
        <v>0</v>
      </c>
    </row>
    <row r="4324" spans="2:2" ht="13.2" x14ac:dyDescent="0.25">
      <c r="B4324" s="3" t="b">
        <v>0</v>
      </c>
    </row>
    <row r="4325" spans="2:2" ht="13.2" x14ac:dyDescent="0.25">
      <c r="B4325" s="3" t="b">
        <v>0</v>
      </c>
    </row>
    <row r="4326" spans="2:2" ht="13.2" x14ac:dyDescent="0.25">
      <c r="B4326" s="3" t="b">
        <v>0</v>
      </c>
    </row>
    <row r="4327" spans="2:2" ht="13.2" x14ac:dyDescent="0.25">
      <c r="B4327" s="3" t="b">
        <v>0</v>
      </c>
    </row>
    <row r="4328" spans="2:2" ht="13.2" x14ac:dyDescent="0.25">
      <c r="B4328" s="3" t="b">
        <v>0</v>
      </c>
    </row>
    <row r="4329" spans="2:2" ht="13.2" x14ac:dyDescent="0.25">
      <c r="B4329" s="3" t="b">
        <v>0</v>
      </c>
    </row>
    <row r="4330" spans="2:2" ht="13.2" x14ac:dyDescent="0.25">
      <c r="B4330" s="3" t="b">
        <v>0</v>
      </c>
    </row>
    <row r="4331" spans="2:2" ht="13.2" x14ac:dyDescent="0.25">
      <c r="B4331" s="3" t="b">
        <v>0</v>
      </c>
    </row>
    <row r="4332" spans="2:2" ht="13.2" x14ac:dyDescent="0.25">
      <c r="B4332" s="3" t="b">
        <v>0</v>
      </c>
    </row>
    <row r="4333" spans="2:2" ht="13.2" x14ac:dyDescent="0.25">
      <c r="B4333" s="3" t="b">
        <v>0</v>
      </c>
    </row>
    <row r="4334" spans="2:2" ht="13.2" x14ac:dyDescent="0.25">
      <c r="B4334" s="3" t="b">
        <v>0</v>
      </c>
    </row>
    <row r="4335" spans="2:2" ht="13.2" x14ac:dyDescent="0.25">
      <c r="B4335" s="3" t="b">
        <v>0</v>
      </c>
    </row>
    <row r="4336" spans="2:2" ht="13.2" x14ac:dyDescent="0.25">
      <c r="B4336" s="3" t="b">
        <v>0</v>
      </c>
    </row>
    <row r="4337" spans="2:2" ht="13.2" x14ac:dyDescent="0.25">
      <c r="B4337" s="3" t="b">
        <v>0</v>
      </c>
    </row>
    <row r="4338" spans="2:2" ht="13.2" x14ac:dyDescent="0.25">
      <c r="B4338" s="3" t="b">
        <v>0</v>
      </c>
    </row>
    <row r="4339" spans="2:2" ht="13.2" x14ac:dyDescent="0.25">
      <c r="B4339" s="3" t="b">
        <v>0</v>
      </c>
    </row>
    <row r="4340" spans="2:2" ht="13.2" x14ac:dyDescent="0.25">
      <c r="B4340" s="3" t="b">
        <v>0</v>
      </c>
    </row>
    <row r="4341" spans="2:2" ht="13.2" x14ac:dyDescent="0.25">
      <c r="B4341" s="3" t="b">
        <v>0</v>
      </c>
    </row>
    <row r="4342" spans="2:2" ht="13.2" x14ac:dyDescent="0.25">
      <c r="B4342" s="3" t="b">
        <v>0</v>
      </c>
    </row>
    <row r="4343" spans="2:2" ht="13.2" x14ac:dyDescent="0.25">
      <c r="B4343" s="3" t="b">
        <v>0</v>
      </c>
    </row>
    <row r="4344" spans="2:2" ht="13.2" x14ac:dyDescent="0.25">
      <c r="B4344" s="3" t="b">
        <v>0</v>
      </c>
    </row>
    <row r="4345" spans="2:2" ht="13.2" x14ac:dyDescent="0.25">
      <c r="B4345" s="3" t="b">
        <v>0</v>
      </c>
    </row>
    <row r="4346" spans="2:2" ht="13.2" x14ac:dyDescent="0.25">
      <c r="B4346" s="3" t="b">
        <v>0</v>
      </c>
    </row>
    <row r="4347" spans="2:2" ht="13.2" x14ac:dyDescent="0.25">
      <c r="B4347" s="3" t="b">
        <v>0</v>
      </c>
    </row>
    <row r="4348" spans="2:2" ht="13.2" x14ac:dyDescent="0.25">
      <c r="B4348" s="3" t="b">
        <v>0</v>
      </c>
    </row>
    <row r="4349" spans="2:2" ht="13.2" x14ac:dyDescent="0.25">
      <c r="B4349" s="3" t="b">
        <v>0</v>
      </c>
    </row>
    <row r="4350" spans="2:2" ht="13.2" x14ac:dyDescent="0.25">
      <c r="B4350" s="3" t="b">
        <v>0</v>
      </c>
    </row>
    <row r="4351" spans="2:2" ht="13.2" x14ac:dyDescent="0.25">
      <c r="B4351" s="3" t="b">
        <v>0</v>
      </c>
    </row>
    <row r="4352" spans="2:2" ht="13.2" x14ac:dyDescent="0.25">
      <c r="B4352" s="3" t="b">
        <v>0</v>
      </c>
    </row>
    <row r="4353" spans="2:2" ht="13.2" x14ac:dyDescent="0.25">
      <c r="B4353" s="3" t="b">
        <v>0</v>
      </c>
    </row>
    <row r="4354" spans="2:2" ht="13.2" x14ac:dyDescent="0.25">
      <c r="B4354" s="3" t="b">
        <v>0</v>
      </c>
    </row>
    <row r="4355" spans="2:2" ht="13.2" x14ac:dyDescent="0.25">
      <c r="B4355" s="3" t="b">
        <v>0</v>
      </c>
    </row>
    <row r="4356" spans="2:2" ht="13.2" x14ac:dyDescent="0.25">
      <c r="B4356" s="3" t="b">
        <v>0</v>
      </c>
    </row>
    <row r="4357" spans="2:2" ht="13.2" x14ac:dyDescent="0.25">
      <c r="B4357" s="3" t="b">
        <v>0</v>
      </c>
    </row>
    <row r="4358" spans="2:2" ht="13.2" x14ac:dyDescent="0.25">
      <c r="B4358" s="3" t="b">
        <v>0</v>
      </c>
    </row>
    <row r="4359" spans="2:2" ht="13.2" x14ac:dyDescent="0.25">
      <c r="B4359" s="3" t="b">
        <v>0</v>
      </c>
    </row>
    <row r="4360" spans="2:2" ht="13.2" x14ac:dyDescent="0.25">
      <c r="B4360" s="3" t="b">
        <v>0</v>
      </c>
    </row>
    <row r="4361" spans="2:2" ht="13.2" x14ac:dyDescent="0.25">
      <c r="B4361" s="3" t="b">
        <v>0</v>
      </c>
    </row>
    <row r="4362" spans="2:2" ht="13.2" x14ac:dyDescent="0.25">
      <c r="B4362" s="3" t="b">
        <v>0</v>
      </c>
    </row>
    <row r="4363" spans="2:2" ht="13.2" x14ac:dyDescent="0.25">
      <c r="B4363" s="3" t="b">
        <v>0</v>
      </c>
    </row>
    <row r="4364" spans="2:2" ht="13.2" x14ac:dyDescent="0.25">
      <c r="B4364" s="3" t="b">
        <v>0</v>
      </c>
    </row>
    <row r="4365" spans="2:2" ht="13.2" x14ac:dyDescent="0.25">
      <c r="B4365" s="3" t="b">
        <v>0</v>
      </c>
    </row>
    <row r="4366" spans="2:2" ht="13.2" x14ac:dyDescent="0.25">
      <c r="B4366" s="3" t="b">
        <v>0</v>
      </c>
    </row>
    <row r="4367" spans="2:2" ht="13.2" x14ac:dyDescent="0.25">
      <c r="B4367" s="3" t="b">
        <v>0</v>
      </c>
    </row>
    <row r="4368" spans="2:2" ht="13.2" x14ac:dyDescent="0.25">
      <c r="B4368" s="3" t="b">
        <v>0</v>
      </c>
    </row>
    <row r="4369" spans="2:2" ht="13.2" x14ac:dyDescent="0.25">
      <c r="B4369" s="3" t="b">
        <v>0</v>
      </c>
    </row>
    <row r="4370" spans="2:2" ht="13.2" x14ac:dyDescent="0.25">
      <c r="B4370" s="3" t="b">
        <v>0</v>
      </c>
    </row>
    <row r="4371" spans="2:2" ht="13.2" x14ac:dyDescent="0.25">
      <c r="B4371" s="3" t="b">
        <v>0</v>
      </c>
    </row>
    <row r="4372" spans="2:2" ht="13.2" x14ac:dyDescent="0.25">
      <c r="B4372" s="3" t="b">
        <v>0</v>
      </c>
    </row>
    <row r="4373" spans="2:2" ht="13.2" x14ac:dyDescent="0.25">
      <c r="B4373" s="3" t="b">
        <v>0</v>
      </c>
    </row>
    <row r="4374" spans="2:2" ht="13.2" x14ac:dyDescent="0.25">
      <c r="B4374" s="3" t="b">
        <v>0</v>
      </c>
    </row>
    <row r="4375" spans="2:2" ht="13.2" x14ac:dyDescent="0.25">
      <c r="B4375" s="3" t="b">
        <v>0</v>
      </c>
    </row>
    <row r="4376" spans="2:2" ht="13.2" x14ac:dyDescent="0.25">
      <c r="B4376" s="3" t="b">
        <v>0</v>
      </c>
    </row>
    <row r="4377" spans="2:2" ht="13.2" x14ac:dyDescent="0.25">
      <c r="B4377" s="3" t="b">
        <v>0</v>
      </c>
    </row>
    <row r="4378" spans="2:2" ht="13.2" x14ac:dyDescent="0.25">
      <c r="B4378" s="3" t="b">
        <v>0</v>
      </c>
    </row>
    <row r="4379" spans="2:2" ht="13.2" x14ac:dyDescent="0.25">
      <c r="B4379" s="3" t="b">
        <v>0</v>
      </c>
    </row>
    <row r="4380" spans="2:2" ht="13.2" x14ac:dyDescent="0.25">
      <c r="B4380" s="3" t="b">
        <v>0</v>
      </c>
    </row>
    <row r="4381" spans="2:2" ht="13.2" x14ac:dyDescent="0.25">
      <c r="B4381" s="3" t="b">
        <v>0</v>
      </c>
    </row>
    <row r="4382" spans="2:2" ht="13.2" x14ac:dyDescent="0.25">
      <c r="B4382" s="3" t="b">
        <v>0</v>
      </c>
    </row>
    <row r="4383" spans="2:2" ht="13.2" x14ac:dyDescent="0.25">
      <c r="B4383" s="3" t="b">
        <v>0</v>
      </c>
    </row>
    <row r="4384" spans="2:2" ht="13.2" x14ac:dyDescent="0.25">
      <c r="B4384" s="3" t="b">
        <v>0</v>
      </c>
    </row>
    <row r="4385" spans="2:2" ht="13.2" x14ac:dyDescent="0.25">
      <c r="B4385" s="3" t="b">
        <v>0</v>
      </c>
    </row>
    <row r="4386" spans="2:2" ht="13.2" x14ac:dyDescent="0.25">
      <c r="B4386" s="3" t="b">
        <v>0</v>
      </c>
    </row>
    <row r="4387" spans="2:2" ht="13.2" x14ac:dyDescent="0.25">
      <c r="B4387" s="3" t="b">
        <v>0</v>
      </c>
    </row>
    <row r="4388" spans="2:2" ht="13.2" x14ac:dyDescent="0.25">
      <c r="B4388" s="3" t="b">
        <v>0</v>
      </c>
    </row>
    <row r="4389" spans="2:2" ht="13.2" x14ac:dyDescent="0.25">
      <c r="B4389" s="3" t="b">
        <v>0</v>
      </c>
    </row>
    <row r="4390" spans="2:2" ht="13.2" x14ac:dyDescent="0.25">
      <c r="B4390" s="3" t="b">
        <v>0</v>
      </c>
    </row>
    <row r="4391" spans="2:2" ht="13.2" x14ac:dyDescent="0.25">
      <c r="B4391" s="3" t="b">
        <v>0</v>
      </c>
    </row>
    <row r="4392" spans="2:2" ht="13.2" x14ac:dyDescent="0.25">
      <c r="B4392" s="3" t="b">
        <v>0</v>
      </c>
    </row>
    <row r="4393" spans="2:2" ht="13.2" x14ac:dyDescent="0.25">
      <c r="B4393" s="3" t="b">
        <v>0</v>
      </c>
    </row>
    <row r="4394" spans="2:2" ht="13.2" x14ac:dyDescent="0.25">
      <c r="B4394" s="3" t="b">
        <v>0</v>
      </c>
    </row>
    <row r="4395" spans="2:2" ht="13.2" x14ac:dyDescent="0.25">
      <c r="B4395" s="3" t="b">
        <v>0</v>
      </c>
    </row>
    <row r="4396" spans="2:2" ht="13.2" x14ac:dyDescent="0.25">
      <c r="B4396" s="3" t="b">
        <v>0</v>
      </c>
    </row>
    <row r="4397" spans="2:2" ht="13.2" x14ac:dyDescent="0.25">
      <c r="B4397" s="3" t="b">
        <v>0</v>
      </c>
    </row>
    <row r="4398" spans="2:2" ht="13.2" x14ac:dyDescent="0.25">
      <c r="B4398" s="3" t="b">
        <v>0</v>
      </c>
    </row>
    <row r="4399" spans="2:2" ht="13.2" x14ac:dyDescent="0.25">
      <c r="B4399" s="3" t="b">
        <v>0</v>
      </c>
    </row>
    <row r="4400" spans="2:2" ht="13.2" x14ac:dyDescent="0.25">
      <c r="B4400" s="3" t="b">
        <v>0</v>
      </c>
    </row>
    <row r="4401" spans="2:2" ht="13.2" x14ac:dyDescent="0.25">
      <c r="B4401" s="3" t="b">
        <v>0</v>
      </c>
    </row>
    <row r="4402" spans="2:2" ht="13.2" x14ac:dyDescent="0.25">
      <c r="B4402" s="3" t="b">
        <v>0</v>
      </c>
    </row>
    <row r="4403" spans="2:2" ht="13.2" x14ac:dyDescent="0.25">
      <c r="B4403" s="3" t="b">
        <v>0</v>
      </c>
    </row>
    <row r="4404" spans="2:2" ht="13.2" x14ac:dyDescent="0.25">
      <c r="B4404" s="3" t="b">
        <v>0</v>
      </c>
    </row>
    <row r="4405" spans="2:2" ht="13.2" x14ac:dyDescent="0.25">
      <c r="B4405" s="3" t="b">
        <v>0</v>
      </c>
    </row>
    <row r="4406" spans="2:2" ht="13.2" x14ac:dyDescent="0.25">
      <c r="B4406" s="3" t="b">
        <v>0</v>
      </c>
    </row>
    <row r="4407" spans="2:2" ht="13.2" x14ac:dyDescent="0.25">
      <c r="B4407" s="3" t="b">
        <v>0</v>
      </c>
    </row>
    <row r="4408" spans="2:2" ht="13.2" x14ac:dyDescent="0.25">
      <c r="B4408" s="3" t="b">
        <v>0</v>
      </c>
    </row>
    <row r="4409" spans="2:2" ht="13.2" x14ac:dyDescent="0.25">
      <c r="B4409" s="3" t="b">
        <v>0</v>
      </c>
    </row>
    <row r="4410" spans="2:2" ht="13.2" x14ac:dyDescent="0.25">
      <c r="B4410" s="3" t="b">
        <v>0</v>
      </c>
    </row>
    <row r="4411" spans="2:2" ht="13.2" x14ac:dyDescent="0.25">
      <c r="B4411" s="3" t="b">
        <v>0</v>
      </c>
    </row>
    <row r="4412" spans="2:2" ht="13.2" x14ac:dyDescent="0.25">
      <c r="B4412" s="3" t="b">
        <v>0</v>
      </c>
    </row>
    <row r="4413" spans="2:2" ht="13.2" x14ac:dyDescent="0.25">
      <c r="B4413" s="3" t="b">
        <v>0</v>
      </c>
    </row>
    <row r="4414" spans="2:2" ht="13.2" x14ac:dyDescent="0.25">
      <c r="B4414" s="3" t="b">
        <v>0</v>
      </c>
    </row>
    <row r="4415" spans="2:2" ht="13.2" x14ac:dyDescent="0.25">
      <c r="B4415" s="3" t="b">
        <v>0</v>
      </c>
    </row>
    <row r="4416" spans="2:2" ht="13.2" x14ac:dyDescent="0.25">
      <c r="B4416" s="3" t="b">
        <v>0</v>
      </c>
    </row>
    <row r="4417" spans="2:2" ht="13.2" x14ac:dyDescent="0.25">
      <c r="B4417" s="3" t="b">
        <v>0</v>
      </c>
    </row>
    <row r="4418" spans="2:2" ht="13.2" x14ac:dyDescent="0.25">
      <c r="B4418" s="3" t="b">
        <v>0</v>
      </c>
    </row>
    <row r="4419" spans="2:2" ht="13.2" x14ac:dyDescent="0.25">
      <c r="B4419" s="3" t="b">
        <v>0</v>
      </c>
    </row>
    <row r="4420" spans="2:2" ht="13.2" x14ac:dyDescent="0.25">
      <c r="B4420" s="3" t="b">
        <v>0</v>
      </c>
    </row>
    <row r="4421" spans="2:2" ht="13.2" x14ac:dyDescent="0.25">
      <c r="B4421" s="3" t="b">
        <v>0</v>
      </c>
    </row>
    <row r="4422" spans="2:2" ht="13.2" x14ac:dyDescent="0.25">
      <c r="B4422" s="3" t="b">
        <v>0</v>
      </c>
    </row>
    <row r="4423" spans="2:2" ht="13.2" x14ac:dyDescent="0.25">
      <c r="B4423" s="3" t="b">
        <v>0</v>
      </c>
    </row>
    <row r="4424" spans="2:2" ht="13.2" x14ac:dyDescent="0.25">
      <c r="B4424" s="3" t="b">
        <v>0</v>
      </c>
    </row>
    <row r="4425" spans="2:2" ht="13.2" x14ac:dyDescent="0.25">
      <c r="B4425" s="3" t="b">
        <v>0</v>
      </c>
    </row>
    <row r="4426" spans="2:2" ht="13.2" x14ac:dyDescent="0.25">
      <c r="B4426" s="3" t="b">
        <v>0</v>
      </c>
    </row>
    <row r="4427" spans="2:2" ht="13.2" x14ac:dyDescent="0.25">
      <c r="B4427" s="3" t="b">
        <v>0</v>
      </c>
    </row>
    <row r="4428" spans="2:2" ht="13.2" x14ac:dyDescent="0.25">
      <c r="B4428" s="3" t="b">
        <v>0</v>
      </c>
    </row>
    <row r="4429" spans="2:2" ht="13.2" x14ac:dyDescent="0.25">
      <c r="B4429" s="3" t="b">
        <v>0</v>
      </c>
    </row>
    <row r="4430" spans="2:2" ht="13.2" x14ac:dyDescent="0.25">
      <c r="B4430" s="3" t="b">
        <v>0</v>
      </c>
    </row>
    <row r="4431" spans="2:2" ht="13.2" x14ac:dyDescent="0.25">
      <c r="B4431" s="3" t="b">
        <v>0</v>
      </c>
    </row>
    <row r="4432" spans="2:2" ht="13.2" x14ac:dyDescent="0.25">
      <c r="B4432" s="3" t="b">
        <v>0</v>
      </c>
    </row>
    <row r="4433" spans="2:2" ht="13.2" x14ac:dyDescent="0.25">
      <c r="B4433" s="3" t="b">
        <v>0</v>
      </c>
    </row>
    <row r="4434" spans="2:2" ht="13.2" x14ac:dyDescent="0.25">
      <c r="B4434" s="3" t="b">
        <v>0</v>
      </c>
    </row>
    <row r="4435" spans="2:2" ht="13.2" x14ac:dyDescent="0.25">
      <c r="B4435" s="3" t="b">
        <v>0</v>
      </c>
    </row>
    <row r="4436" spans="2:2" ht="13.2" x14ac:dyDescent="0.25">
      <c r="B4436" s="3" t="b">
        <v>0</v>
      </c>
    </row>
    <row r="4437" spans="2:2" ht="13.2" x14ac:dyDescent="0.25">
      <c r="B4437" s="3" t="b">
        <v>0</v>
      </c>
    </row>
    <row r="4438" spans="2:2" ht="13.2" x14ac:dyDescent="0.25">
      <c r="B4438" s="3" t="b">
        <v>0</v>
      </c>
    </row>
    <row r="4439" spans="2:2" ht="13.2" x14ac:dyDescent="0.25">
      <c r="B4439" s="3" t="b">
        <v>0</v>
      </c>
    </row>
    <row r="4440" spans="2:2" ht="13.2" x14ac:dyDescent="0.25">
      <c r="B4440" s="3" t="b">
        <v>0</v>
      </c>
    </row>
    <row r="4441" spans="2:2" ht="13.2" x14ac:dyDescent="0.25">
      <c r="B4441" s="3" t="b">
        <v>0</v>
      </c>
    </row>
    <row r="4442" spans="2:2" ht="13.2" x14ac:dyDescent="0.25">
      <c r="B4442" s="3" t="b">
        <v>0</v>
      </c>
    </row>
    <row r="4443" spans="2:2" ht="13.2" x14ac:dyDescent="0.25">
      <c r="B4443" s="3" t="b">
        <v>0</v>
      </c>
    </row>
    <row r="4444" spans="2:2" ht="13.2" x14ac:dyDescent="0.25">
      <c r="B4444" s="3" t="b">
        <v>0</v>
      </c>
    </row>
    <row r="4445" spans="2:2" ht="13.2" x14ac:dyDescent="0.25">
      <c r="B4445" s="3" t="b">
        <v>0</v>
      </c>
    </row>
    <row r="4446" spans="2:2" ht="13.2" x14ac:dyDescent="0.25">
      <c r="B4446" s="3" t="b">
        <v>0</v>
      </c>
    </row>
    <row r="4447" spans="2:2" ht="13.2" x14ac:dyDescent="0.25">
      <c r="B4447" s="3" t="b">
        <v>0</v>
      </c>
    </row>
    <row r="4448" spans="2:2" ht="13.2" x14ac:dyDescent="0.25">
      <c r="B4448" s="3" t="b">
        <v>0</v>
      </c>
    </row>
    <row r="4449" spans="2:2" ht="13.2" x14ac:dyDescent="0.25">
      <c r="B4449" s="3" t="b">
        <v>0</v>
      </c>
    </row>
    <row r="4450" spans="2:2" ht="13.2" x14ac:dyDescent="0.25">
      <c r="B4450" s="3" t="b">
        <v>0</v>
      </c>
    </row>
    <row r="4451" spans="2:2" ht="13.2" x14ac:dyDescent="0.25">
      <c r="B4451" s="3" t="b">
        <v>0</v>
      </c>
    </row>
    <row r="4452" spans="2:2" ht="13.2" x14ac:dyDescent="0.25">
      <c r="B4452" s="3" t="b">
        <v>0</v>
      </c>
    </row>
    <row r="4453" spans="2:2" ht="13.2" x14ac:dyDescent="0.25">
      <c r="B4453" s="3" t="b">
        <v>0</v>
      </c>
    </row>
    <row r="4454" spans="2:2" ht="13.2" x14ac:dyDescent="0.25">
      <c r="B4454" s="3" t="b">
        <v>0</v>
      </c>
    </row>
    <row r="4455" spans="2:2" ht="13.2" x14ac:dyDescent="0.25">
      <c r="B4455" s="3" t="b">
        <v>0</v>
      </c>
    </row>
    <row r="4456" spans="2:2" ht="13.2" x14ac:dyDescent="0.25">
      <c r="B4456" s="3" t="b">
        <v>0</v>
      </c>
    </row>
    <row r="4457" spans="2:2" ht="13.2" x14ac:dyDescent="0.25">
      <c r="B4457" s="3" t="b">
        <v>0</v>
      </c>
    </row>
    <row r="4458" spans="2:2" ht="13.2" x14ac:dyDescent="0.25">
      <c r="B4458" s="3" t="b">
        <v>0</v>
      </c>
    </row>
    <row r="4459" spans="2:2" ht="13.2" x14ac:dyDescent="0.25">
      <c r="B4459" s="3" t="b">
        <v>0</v>
      </c>
    </row>
    <row r="4460" spans="2:2" ht="13.2" x14ac:dyDescent="0.25">
      <c r="B4460" s="3" t="b">
        <v>0</v>
      </c>
    </row>
    <row r="4461" spans="2:2" ht="13.2" x14ac:dyDescent="0.25">
      <c r="B4461" s="3" t="b">
        <v>0</v>
      </c>
    </row>
    <row r="4462" spans="2:2" ht="13.2" x14ac:dyDescent="0.25">
      <c r="B4462" s="3" t="b">
        <v>0</v>
      </c>
    </row>
    <row r="4463" spans="2:2" ht="13.2" x14ac:dyDescent="0.25">
      <c r="B4463" s="3" t="b">
        <v>0</v>
      </c>
    </row>
    <row r="4464" spans="2:2" ht="13.2" x14ac:dyDescent="0.25">
      <c r="B4464" s="3" t="b">
        <v>0</v>
      </c>
    </row>
    <row r="4465" spans="2:2" ht="13.2" x14ac:dyDescent="0.25">
      <c r="B4465" s="3" t="b">
        <v>0</v>
      </c>
    </row>
    <row r="4466" spans="2:2" ht="13.2" x14ac:dyDescent="0.25">
      <c r="B4466" s="3" t="b">
        <v>0</v>
      </c>
    </row>
    <row r="4467" spans="2:2" ht="13.2" x14ac:dyDescent="0.25">
      <c r="B4467" s="3" t="b">
        <v>0</v>
      </c>
    </row>
    <row r="4468" spans="2:2" ht="13.2" x14ac:dyDescent="0.25">
      <c r="B4468" s="3" t="b">
        <v>0</v>
      </c>
    </row>
    <row r="4469" spans="2:2" ht="13.2" x14ac:dyDescent="0.25">
      <c r="B4469" s="3" t="b">
        <v>0</v>
      </c>
    </row>
    <row r="4470" spans="2:2" ht="13.2" x14ac:dyDescent="0.25">
      <c r="B4470" s="3" t="b">
        <v>0</v>
      </c>
    </row>
    <row r="4471" spans="2:2" ht="13.2" x14ac:dyDescent="0.25">
      <c r="B4471" s="3" t="b">
        <v>0</v>
      </c>
    </row>
    <row r="4472" spans="2:2" ht="13.2" x14ac:dyDescent="0.25">
      <c r="B4472" s="3" t="b">
        <v>0</v>
      </c>
    </row>
    <row r="4473" spans="2:2" ht="13.2" x14ac:dyDescent="0.25">
      <c r="B4473" s="3" t="b">
        <v>0</v>
      </c>
    </row>
    <row r="4474" spans="2:2" ht="13.2" x14ac:dyDescent="0.25">
      <c r="B4474" s="3" t="b">
        <v>0</v>
      </c>
    </row>
    <row r="4475" spans="2:2" ht="13.2" x14ac:dyDescent="0.25">
      <c r="B4475" s="3" t="b">
        <v>0</v>
      </c>
    </row>
    <row r="4476" spans="2:2" ht="13.2" x14ac:dyDescent="0.25">
      <c r="B4476" s="3" t="b">
        <v>0</v>
      </c>
    </row>
    <row r="4477" spans="2:2" ht="13.2" x14ac:dyDescent="0.25">
      <c r="B4477" s="3" t="b">
        <v>0</v>
      </c>
    </row>
    <row r="4478" spans="2:2" ht="13.2" x14ac:dyDescent="0.25">
      <c r="B4478" s="3" t="b">
        <v>0</v>
      </c>
    </row>
    <row r="4479" spans="2:2" ht="13.2" x14ac:dyDescent="0.25">
      <c r="B4479" s="3" t="b">
        <v>0</v>
      </c>
    </row>
    <row r="4480" spans="2:2" ht="13.2" x14ac:dyDescent="0.25">
      <c r="B4480" s="3" t="b">
        <v>0</v>
      </c>
    </row>
    <row r="4481" spans="2:2" ht="13.2" x14ac:dyDescent="0.25">
      <c r="B4481" s="3" t="b">
        <v>0</v>
      </c>
    </row>
    <row r="4482" spans="2:2" ht="13.2" x14ac:dyDescent="0.25">
      <c r="B4482" s="3" t="b">
        <v>0</v>
      </c>
    </row>
    <row r="4483" spans="2:2" ht="13.2" x14ac:dyDescent="0.25">
      <c r="B4483" s="3" t="b">
        <v>0</v>
      </c>
    </row>
    <row r="4484" spans="2:2" ht="13.2" x14ac:dyDescent="0.25">
      <c r="B4484" s="3" t="b">
        <v>0</v>
      </c>
    </row>
    <row r="4485" spans="2:2" ht="13.2" x14ac:dyDescent="0.25">
      <c r="B4485" s="3" t="b">
        <v>0</v>
      </c>
    </row>
    <row r="4486" spans="2:2" ht="13.2" x14ac:dyDescent="0.25">
      <c r="B4486" s="3" t="b">
        <v>0</v>
      </c>
    </row>
    <row r="4487" spans="2:2" ht="13.2" x14ac:dyDescent="0.25">
      <c r="B4487" s="3" t="b">
        <v>0</v>
      </c>
    </row>
    <row r="4488" spans="2:2" ht="13.2" x14ac:dyDescent="0.25">
      <c r="B4488" s="3" t="b">
        <v>0</v>
      </c>
    </row>
    <row r="4489" spans="2:2" ht="13.2" x14ac:dyDescent="0.25">
      <c r="B4489" s="3" t="b">
        <v>0</v>
      </c>
    </row>
    <row r="4490" spans="2:2" ht="13.2" x14ac:dyDescent="0.25">
      <c r="B4490" s="3" t="b">
        <v>0</v>
      </c>
    </row>
    <row r="4491" spans="2:2" ht="13.2" x14ac:dyDescent="0.25">
      <c r="B4491" s="3" t="b">
        <v>0</v>
      </c>
    </row>
    <row r="4492" spans="2:2" ht="13.2" x14ac:dyDescent="0.25">
      <c r="B4492" s="3" t="b">
        <v>0</v>
      </c>
    </row>
    <row r="4493" spans="2:2" ht="13.2" x14ac:dyDescent="0.25">
      <c r="B4493" s="3" t="b">
        <v>0</v>
      </c>
    </row>
    <row r="4494" spans="2:2" ht="13.2" x14ac:dyDescent="0.25">
      <c r="B4494" s="3" t="b">
        <v>0</v>
      </c>
    </row>
    <row r="4495" spans="2:2" ht="13.2" x14ac:dyDescent="0.25">
      <c r="B4495" s="3" t="b">
        <v>0</v>
      </c>
    </row>
    <row r="4496" spans="2:2" ht="13.2" x14ac:dyDescent="0.25">
      <c r="B4496" s="3" t="b">
        <v>0</v>
      </c>
    </row>
    <row r="4497" spans="2:2" ht="13.2" x14ac:dyDescent="0.25">
      <c r="B4497" s="3" t="b">
        <v>0</v>
      </c>
    </row>
    <row r="4498" spans="2:2" ht="13.2" x14ac:dyDescent="0.25">
      <c r="B4498" s="3" t="b">
        <v>0</v>
      </c>
    </row>
    <row r="4499" spans="2:2" ht="13.2" x14ac:dyDescent="0.25">
      <c r="B4499" s="3" t="b">
        <v>0</v>
      </c>
    </row>
    <row r="4500" spans="2:2" ht="13.2" x14ac:dyDescent="0.25">
      <c r="B4500" s="3" t="b">
        <v>0</v>
      </c>
    </row>
    <row r="4501" spans="2:2" ht="13.2" x14ac:dyDescent="0.25">
      <c r="B4501" s="3" t="b">
        <v>0</v>
      </c>
    </row>
    <row r="4502" spans="2:2" ht="13.2" x14ac:dyDescent="0.25">
      <c r="B4502" s="3" t="b">
        <v>0</v>
      </c>
    </row>
    <row r="4503" spans="2:2" ht="13.2" x14ac:dyDescent="0.25">
      <c r="B4503" s="3" t="b">
        <v>0</v>
      </c>
    </row>
    <row r="4504" spans="2:2" ht="13.2" x14ac:dyDescent="0.25">
      <c r="B4504" s="3" t="b">
        <v>0</v>
      </c>
    </row>
    <row r="4505" spans="2:2" ht="13.2" x14ac:dyDescent="0.25">
      <c r="B4505" s="3" t="b">
        <v>0</v>
      </c>
    </row>
    <row r="4506" spans="2:2" ht="13.2" x14ac:dyDescent="0.25">
      <c r="B4506" s="3" t="b">
        <v>0</v>
      </c>
    </row>
    <row r="4507" spans="2:2" ht="13.2" x14ac:dyDescent="0.25">
      <c r="B4507" s="3" t="b">
        <v>0</v>
      </c>
    </row>
    <row r="4508" spans="2:2" ht="13.2" x14ac:dyDescent="0.25">
      <c r="B4508" s="3" t="b">
        <v>0</v>
      </c>
    </row>
    <row r="4509" spans="2:2" ht="13.2" x14ac:dyDescent="0.25">
      <c r="B4509" s="3" t="b">
        <v>0</v>
      </c>
    </row>
    <row r="4510" spans="2:2" ht="13.2" x14ac:dyDescent="0.25">
      <c r="B4510" s="3" t="b">
        <v>0</v>
      </c>
    </row>
    <row r="4511" spans="2:2" ht="13.2" x14ac:dyDescent="0.25">
      <c r="B4511" s="3" t="b">
        <v>0</v>
      </c>
    </row>
    <row r="4512" spans="2:2" ht="13.2" x14ac:dyDescent="0.25">
      <c r="B4512" s="3" t="b">
        <v>0</v>
      </c>
    </row>
    <row r="4513" spans="2:2" ht="13.2" x14ac:dyDescent="0.25">
      <c r="B4513" s="3" t="b">
        <v>0</v>
      </c>
    </row>
    <row r="4514" spans="2:2" ht="13.2" x14ac:dyDescent="0.25">
      <c r="B4514" s="3" t="b">
        <v>0</v>
      </c>
    </row>
    <row r="4515" spans="2:2" ht="13.2" x14ac:dyDescent="0.25">
      <c r="B4515" s="3" t="b">
        <v>0</v>
      </c>
    </row>
    <row r="4516" spans="2:2" ht="13.2" x14ac:dyDescent="0.25">
      <c r="B4516" s="3" t="b">
        <v>0</v>
      </c>
    </row>
    <row r="4517" spans="2:2" ht="13.2" x14ac:dyDescent="0.25">
      <c r="B4517" s="3" t="b">
        <v>0</v>
      </c>
    </row>
    <row r="4518" spans="2:2" ht="13.2" x14ac:dyDescent="0.25">
      <c r="B4518" s="3" t="b">
        <v>0</v>
      </c>
    </row>
    <row r="4519" spans="2:2" ht="13.2" x14ac:dyDescent="0.25">
      <c r="B4519" s="3" t="b">
        <v>0</v>
      </c>
    </row>
    <row r="4520" spans="2:2" ht="13.2" x14ac:dyDescent="0.25">
      <c r="B4520" s="3" t="b">
        <v>0</v>
      </c>
    </row>
    <row r="4521" spans="2:2" ht="13.2" x14ac:dyDescent="0.25">
      <c r="B4521" s="3" t="b">
        <v>0</v>
      </c>
    </row>
    <row r="4522" spans="2:2" ht="13.2" x14ac:dyDescent="0.25">
      <c r="B4522" s="3" t="b">
        <v>0</v>
      </c>
    </row>
    <row r="4523" spans="2:2" ht="13.2" x14ac:dyDescent="0.25">
      <c r="B4523" s="3" t="b">
        <v>0</v>
      </c>
    </row>
    <row r="4524" spans="2:2" ht="13.2" x14ac:dyDescent="0.25">
      <c r="B4524" s="3" t="b">
        <v>0</v>
      </c>
    </row>
    <row r="4525" spans="2:2" ht="13.2" x14ac:dyDescent="0.25">
      <c r="B4525" s="3" t="b">
        <v>0</v>
      </c>
    </row>
    <row r="4526" spans="2:2" ht="13.2" x14ac:dyDescent="0.25">
      <c r="B4526" s="3" t="b">
        <v>0</v>
      </c>
    </row>
    <row r="4527" spans="2:2" ht="13.2" x14ac:dyDescent="0.25">
      <c r="B4527" s="3" t="b">
        <v>0</v>
      </c>
    </row>
    <row r="4528" spans="2:2" ht="13.2" x14ac:dyDescent="0.25">
      <c r="B4528" s="3" t="b">
        <v>0</v>
      </c>
    </row>
    <row r="4529" spans="2:2" ht="13.2" x14ac:dyDescent="0.25">
      <c r="B4529" s="3" t="b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G6000"/>
  <sheetViews>
    <sheetView tabSelected="1" topLeftCell="A167" zoomScaleNormal="100" workbookViewId="0">
      <selection activeCell="M184" sqref="M184"/>
    </sheetView>
  </sheetViews>
  <sheetFormatPr defaultColWidth="12.5546875" defaultRowHeight="15.75" customHeight="1" x14ac:dyDescent="0.25"/>
  <cols>
    <col min="1" max="1" width="32" customWidth="1"/>
    <col min="2" max="2" width="6.44140625" customWidth="1"/>
    <col min="3" max="3" width="8.88671875" style="10" customWidth="1"/>
    <col min="4" max="4" width="46.109375" customWidth="1"/>
    <col min="5" max="5" width="8.5546875" customWidth="1"/>
    <col min="8" max="8" width="7.6640625" customWidth="1"/>
    <col min="9" max="9" width="6.5546875" customWidth="1"/>
    <col min="10" max="11" width="7.88671875" customWidth="1"/>
    <col min="12" max="12" width="12.6640625" customWidth="1"/>
  </cols>
  <sheetData>
    <row r="1" spans="1:33" ht="15.75" customHeight="1" x14ac:dyDescent="0.25">
      <c r="A1" s="3" t="s">
        <v>3232</v>
      </c>
      <c r="B1" s="3" t="s">
        <v>3236</v>
      </c>
      <c r="C1" s="9" t="s">
        <v>3233</v>
      </c>
      <c r="D1" s="3" t="s">
        <v>3453</v>
      </c>
      <c r="E1" s="3" t="s">
        <v>7</v>
      </c>
      <c r="F1" s="3" t="s">
        <v>8</v>
      </c>
      <c r="G1" s="3" t="s">
        <v>3235</v>
      </c>
      <c r="H1" s="3" t="s">
        <v>3379</v>
      </c>
      <c r="I1" s="3" t="s">
        <v>11</v>
      </c>
      <c r="J1" s="3" t="s">
        <v>12</v>
      </c>
      <c r="K1" s="11" t="s">
        <v>3454</v>
      </c>
      <c r="L1" s="11" t="s">
        <v>3458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33" ht="15.75" customHeight="1" x14ac:dyDescent="0.25">
      <c r="A2" s="3" t="s">
        <v>3365</v>
      </c>
      <c r="B2" s="3" t="s">
        <v>1733</v>
      </c>
      <c r="C2" s="3">
        <v>3123</v>
      </c>
      <c r="D2" s="3" t="s">
        <v>3425</v>
      </c>
      <c r="E2" s="3" t="s">
        <v>3425</v>
      </c>
      <c r="F2" s="3">
        <v>53825401</v>
      </c>
      <c r="G2" s="4">
        <v>41687</v>
      </c>
      <c r="H2" s="3">
        <v>12</v>
      </c>
      <c r="I2" s="3" t="s">
        <v>3378</v>
      </c>
      <c r="J2" s="3" t="s">
        <v>415</v>
      </c>
      <c r="K2" s="3" t="s">
        <v>3454</v>
      </c>
      <c r="L2" s="11" t="s">
        <v>3456</v>
      </c>
    </row>
    <row r="3" spans="1:33" ht="15.75" customHeight="1" x14ac:dyDescent="0.25">
      <c r="A3" s="3" t="s">
        <v>3362</v>
      </c>
      <c r="B3" s="3" t="s">
        <v>1733</v>
      </c>
      <c r="C3" s="3">
        <v>3527</v>
      </c>
      <c r="D3" s="3" t="s">
        <v>318</v>
      </c>
      <c r="E3" s="3" t="s">
        <v>3437</v>
      </c>
      <c r="F3" s="3">
        <v>52703564</v>
      </c>
      <c r="G3" s="4">
        <v>41158</v>
      </c>
      <c r="H3" s="3">
        <v>14</v>
      </c>
      <c r="I3" s="3" t="s">
        <v>3378</v>
      </c>
      <c r="J3" s="3" t="s">
        <v>415</v>
      </c>
      <c r="K3" s="3" t="s">
        <v>3454</v>
      </c>
      <c r="L3" s="11" t="s">
        <v>3455</v>
      </c>
    </row>
    <row r="4" spans="1:33" ht="15.75" customHeight="1" x14ac:dyDescent="0.25">
      <c r="A4" s="3" t="s">
        <v>3419</v>
      </c>
      <c r="B4" s="3" t="s">
        <v>1733</v>
      </c>
      <c r="C4" s="3">
        <v>3583</v>
      </c>
      <c r="D4" s="3" t="s">
        <v>352</v>
      </c>
      <c r="E4" s="3" t="s">
        <v>3439</v>
      </c>
      <c r="F4" s="3">
        <v>52827436</v>
      </c>
      <c r="G4" s="3" t="s">
        <v>3215</v>
      </c>
      <c r="H4" s="3">
        <v>14</v>
      </c>
      <c r="I4" s="3" t="s">
        <v>3378</v>
      </c>
      <c r="J4" s="3" t="s">
        <v>415</v>
      </c>
      <c r="K4" s="3" t="s">
        <v>3454</v>
      </c>
      <c r="L4" s="11" t="s">
        <v>3457</v>
      </c>
    </row>
    <row r="5" spans="1:33" ht="15.75" customHeight="1" x14ac:dyDescent="0.25">
      <c r="A5" s="3" t="s">
        <v>3367</v>
      </c>
      <c r="B5" s="3" t="s">
        <v>415</v>
      </c>
      <c r="C5" s="3">
        <v>3630</v>
      </c>
      <c r="D5" s="3" t="s">
        <v>318</v>
      </c>
      <c r="E5" s="3" t="s">
        <v>3437</v>
      </c>
      <c r="F5" s="3">
        <v>51330536</v>
      </c>
      <c r="G5" s="3" t="s">
        <v>3221</v>
      </c>
      <c r="H5" s="3">
        <v>15</v>
      </c>
      <c r="I5" s="3" t="s">
        <v>3377</v>
      </c>
      <c r="J5" s="3" t="s">
        <v>415</v>
      </c>
      <c r="K5" s="3" t="s">
        <v>3454</v>
      </c>
      <c r="L5" s="11" t="s">
        <v>3457</v>
      </c>
    </row>
    <row r="6" spans="1:33" ht="15.75" customHeight="1" x14ac:dyDescent="0.25">
      <c r="A6" s="3" t="s">
        <v>3269</v>
      </c>
      <c r="B6" s="3" t="s">
        <v>1733</v>
      </c>
      <c r="C6" s="3">
        <v>3675</v>
      </c>
      <c r="D6" s="3" t="s">
        <v>470</v>
      </c>
      <c r="E6" s="3" t="s">
        <v>3441</v>
      </c>
      <c r="F6" s="3">
        <v>53236008</v>
      </c>
      <c r="G6" s="3" t="s">
        <v>3112</v>
      </c>
      <c r="H6" s="3">
        <v>13</v>
      </c>
      <c r="I6" s="3" t="s">
        <v>3377</v>
      </c>
      <c r="J6" s="3" t="s">
        <v>415</v>
      </c>
      <c r="K6" s="3" t="s">
        <v>3454</v>
      </c>
      <c r="L6" s="11" t="s">
        <v>3455</v>
      </c>
    </row>
    <row r="7" spans="1:33" ht="15.75" customHeight="1" x14ac:dyDescent="0.25">
      <c r="A7" s="3" t="s">
        <v>3323</v>
      </c>
      <c r="B7" s="3" t="s">
        <v>1733</v>
      </c>
      <c r="C7" s="3">
        <v>3685</v>
      </c>
      <c r="D7" s="3" t="s">
        <v>352</v>
      </c>
      <c r="E7" s="3" t="s">
        <v>3439</v>
      </c>
      <c r="F7" s="3">
        <v>52168000</v>
      </c>
      <c r="G7" s="3" t="s">
        <v>3171</v>
      </c>
      <c r="H7" s="3">
        <v>14</v>
      </c>
      <c r="I7" s="3" t="s">
        <v>3378</v>
      </c>
      <c r="J7" s="3" t="s">
        <v>415</v>
      </c>
      <c r="K7" s="3" t="s">
        <v>3454</v>
      </c>
      <c r="L7" s="11" t="s">
        <v>3456</v>
      </c>
    </row>
    <row r="8" spans="1:33" ht="15.75" customHeight="1" x14ac:dyDescent="0.25">
      <c r="A8" s="3" t="s">
        <v>3272</v>
      </c>
      <c r="B8" s="3" t="s">
        <v>1733</v>
      </c>
      <c r="C8" s="3">
        <v>3688</v>
      </c>
      <c r="D8" s="3" t="s">
        <v>318</v>
      </c>
      <c r="E8" s="3" t="s">
        <v>3437</v>
      </c>
      <c r="F8" s="3">
        <v>53242979</v>
      </c>
      <c r="G8" s="3" t="s">
        <v>3116</v>
      </c>
      <c r="H8" s="3">
        <v>13</v>
      </c>
      <c r="I8" s="3" t="s">
        <v>3378</v>
      </c>
      <c r="J8" s="3" t="s">
        <v>415</v>
      </c>
      <c r="K8" s="3" t="s">
        <v>3454</v>
      </c>
      <c r="L8" s="11" t="s">
        <v>3456</v>
      </c>
    </row>
    <row r="9" spans="1:33" ht="15.75" customHeight="1" x14ac:dyDescent="0.25">
      <c r="A9" s="3" t="s">
        <v>3421</v>
      </c>
      <c r="B9" s="3" t="s">
        <v>1733</v>
      </c>
      <c r="C9" s="3">
        <v>3767</v>
      </c>
      <c r="D9" s="3" t="s">
        <v>65</v>
      </c>
      <c r="E9" s="3" t="s">
        <v>3430</v>
      </c>
      <c r="F9" s="3">
        <v>52585613</v>
      </c>
      <c r="G9" s="3" t="s">
        <v>3216</v>
      </c>
      <c r="H9" s="3">
        <v>14</v>
      </c>
      <c r="I9" s="3" t="s">
        <v>3377</v>
      </c>
      <c r="J9" s="3" t="s">
        <v>415</v>
      </c>
      <c r="K9" s="3" t="s">
        <v>3454</v>
      </c>
      <c r="L9" s="11" t="s">
        <v>3455</v>
      </c>
    </row>
    <row r="10" spans="1:33" ht="15.75" customHeight="1" x14ac:dyDescent="0.25">
      <c r="A10" s="3" t="s">
        <v>3356</v>
      </c>
      <c r="B10" s="3" t="s">
        <v>1733</v>
      </c>
      <c r="C10" s="3">
        <v>3793</v>
      </c>
      <c r="D10" s="3" t="s">
        <v>1395</v>
      </c>
      <c r="E10" s="3" t="s">
        <v>3449</v>
      </c>
      <c r="F10" s="3">
        <v>52118147</v>
      </c>
      <c r="G10" s="3" t="s">
        <v>3207</v>
      </c>
      <c r="H10" s="3">
        <v>14</v>
      </c>
      <c r="I10" s="3" t="s">
        <v>3378</v>
      </c>
      <c r="J10" s="3" t="s">
        <v>415</v>
      </c>
      <c r="K10" s="3" t="s">
        <v>3454</v>
      </c>
      <c r="L10" s="11" t="s">
        <v>3457</v>
      </c>
    </row>
    <row r="11" spans="1:33" ht="15.75" customHeight="1" x14ac:dyDescent="0.25">
      <c r="A11" s="3" t="s">
        <v>3364</v>
      </c>
      <c r="B11" s="3" t="s">
        <v>1733</v>
      </c>
      <c r="C11" s="3">
        <v>3808</v>
      </c>
      <c r="D11" s="3" t="s">
        <v>161</v>
      </c>
      <c r="E11" s="3" t="s">
        <v>3432</v>
      </c>
      <c r="F11" s="3">
        <v>51324832</v>
      </c>
      <c r="G11" s="3" t="s">
        <v>3218</v>
      </c>
      <c r="H11" s="3">
        <v>15</v>
      </c>
      <c r="I11" s="3" t="s">
        <v>3378</v>
      </c>
      <c r="J11" s="3" t="s">
        <v>415</v>
      </c>
      <c r="K11" s="3" t="s">
        <v>3454</v>
      </c>
      <c r="L11" s="11" t="s">
        <v>3457</v>
      </c>
    </row>
    <row r="12" spans="1:33" ht="15.75" customHeight="1" x14ac:dyDescent="0.25">
      <c r="A12" s="3" t="s">
        <v>3361</v>
      </c>
      <c r="B12" s="3" t="s">
        <v>1733</v>
      </c>
      <c r="C12" s="3">
        <v>3819</v>
      </c>
      <c r="D12" s="3" t="s">
        <v>42</v>
      </c>
      <c r="E12" s="3" t="s">
        <v>3428</v>
      </c>
      <c r="F12" s="3">
        <v>52977090</v>
      </c>
      <c r="G12" s="3" t="s">
        <v>3214</v>
      </c>
      <c r="H12" s="3">
        <v>13</v>
      </c>
      <c r="I12" s="3" t="s">
        <v>3377</v>
      </c>
      <c r="J12" s="3" t="s">
        <v>415</v>
      </c>
      <c r="K12" s="3" t="s">
        <v>3454</v>
      </c>
      <c r="L12" s="11" t="s">
        <v>3455</v>
      </c>
    </row>
    <row r="13" spans="1:33" ht="15.75" customHeight="1" x14ac:dyDescent="0.25">
      <c r="A13" s="3" t="s">
        <v>3301</v>
      </c>
      <c r="B13" s="3" t="s">
        <v>1733</v>
      </c>
      <c r="C13" s="3">
        <v>3827</v>
      </c>
      <c r="D13" s="3" t="s">
        <v>326</v>
      </c>
      <c r="E13" s="3" t="s">
        <v>3438</v>
      </c>
      <c r="F13" s="3">
        <v>52725071</v>
      </c>
      <c r="G13" s="3" t="s">
        <v>3150</v>
      </c>
      <c r="H13" s="3">
        <v>14</v>
      </c>
      <c r="I13" s="3" t="s">
        <v>3377</v>
      </c>
      <c r="J13" s="3" t="s">
        <v>415</v>
      </c>
      <c r="K13" s="3" t="s">
        <v>3454</v>
      </c>
      <c r="L13" s="11" t="s">
        <v>3456</v>
      </c>
    </row>
    <row r="14" spans="1:33" ht="15.75" customHeight="1" x14ac:dyDescent="0.25">
      <c r="A14" s="3" t="s">
        <v>3370</v>
      </c>
      <c r="B14" s="3" t="s">
        <v>415</v>
      </c>
      <c r="C14" s="3">
        <v>3828</v>
      </c>
      <c r="D14" s="3" t="s">
        <v>65</v>
      </c>
      <c r="E14" s="3" t="s">
        <v>3430</v>
      </c>
      <c r="F14" s="3">
        <v>52909554</v>
      </c>
      <c r="G14" s="3" t="s">
        <v>3224</v>
      </c>
      <c r="H14" s="3">
        <v>13</v>
      </c>
      <c r="I14" s="3" t="s">
        <v>3377</v>
      </c>
      <c r="J14" s="3" t="s">
        <v>415</v>
      </c>
      <c r="K14" s="3" t="s">
        <v>3454</v>
      </c>
      <c r="L14" s="11" t="s">
        <v>3456</v>
      </c>
    </row>
    <row r="15" spans="1:33" ht="15.75" customHeight="1" x14ac:dyDescent="0.25">
      <c r="A15" s="3" t="s">
        <v>3246</v>
      </c>
      <c r="B15" s="3" t="s">
        <v>1733</v>
      </c>
      <c r="C15" s="3">
        <v>3832</v>
      </c>
      <c r="D15" s="3" t="s">
        <v>171</v>
      </c>
      <c r="E15" s="3" t="s">
        <v>3433</v>
      </c>
      <c r="F15" s="3">
        <v>53956527</v>
      </c>
      <c r="G15" s="3" t="s">
        <v>3076</v>
      </c>
      <c r="H15" s="3">
        <v>12</v>
      </c>
      <c r="I15" s="3" t="s">
        <v>3377</v>
      </c>
      <c r="J15" s="3" t="s">
        <v>415</v>
      </c>
      <c r="K15" s="3" t="s">
        <v>3454</v>
      </c>
      <c r="L15" s="11" t="s">
        <v>3455</v>
      </c>
    </row>
    <row r="16" spans="1:33" ht="15.75" customHeight="1" x14ac:dyDescent="0.25">
      <c r="A16" s="3" t="s">
        <v>3317</v>
      </c>
      <c r="B16" s="3" t="s">
        <v>1733</v>
      </c>
      <c r="C16" s="3">
        <v>3849</v>
      </c>
      <c r="D16" s="3" t="s">
        <v>161</v>
      </c>
      <c r="E16" s="3" t="s">
        <v>3432</v>
      </c>
      <c r="F16" s="3">
        <v>52636932</v>
      </c>
      <c r="G16" s="3" t="s">
        <v>3164</v>
      </c>
      <c r="H16" s="3">
        <v>14</v>
      </c>
      <c r="I16" s="3" t="s">
        <v>3377</v>
      </c>
      <c r="J16" s="3" t="s">
        <v>415</v>
      </c>
      <c r="K16" s="3" t="s">
        <v>3454</v>
      </c>
      <c r="L16" s="11" t="s">
        <v>3457</v>
      </c>
    </row>
    <row r="17" spans="1:12" ht="15.75" customHeight="1" x14ac:dyDescent="0.25">
      <c r="A17" s="3" t="s">
        <v>3314</v>
      </c>
      <c r="B17" s="3" t="s">
        <v>1733</v>
      </c>
      <c r="C17" s="3">
        <v>3856</v>
      </c>
      <c r="D17" s="3" t="s">
        <v>318</v>
      </c>
      <c r="E17" s="3" t="s">
        <v>3437</v>
      </c>
      <c r="F17" s="3">
        <v>51183107</v>
      </c>
      <c r="G17" s="3" t="s">
        <v>3161</v>
      </c>
      <c r="H17" s="3">
        <v>15</v>
      </c>
      <c r="I17" s="3" t="s">
        <v>3378</v>
      </c>
      <c r="J17" s="3" t="s">
        <v>415</v>
      </c>
      <c r="K17" s="3" t="s">
        <v>3454</v>
      </c>
      <c r="L17" s="11" t="s">
        <v>3457</v>
      </c>
    </row>
    <row r="18" spans="1:12" ht="15.75" customHeight="1" x14ac:dyDescent="0.25">
      <c r="A18" s="3" t="s">
        <v>3422</v>
      </c>
      <c r="B18" s="3" t="s">
        <v>1733</v>
      </c>
      <c r="C18" s="3">
        <v>3862</v>
      </c>
      <c r="D18" s="3" t="s">
        <v>1114</v>
      </c>
      <c r="E18" s="3" t="s">
        <v>3448</v>
      </c>
      <c r="F18" s="3">
        <v>51422775</v>
      </c>
      <c r="G18" s="3" t="s">
        <v>3219</v>
      </c>
      <c r="H18" s="3">
        <v>15</v>
      </c>
      <c r="I18" s="3" t="s">
        <v>3377</v>
      </c>
      <c r="J18" s="3" t="s">
        <v>415</v>
      </c>
      <c r="K18" s="3" t="s">
        <v>3454</v>
      </c>
      <c r="L18" s="11" t="s">
        <v>3455</v>
      </c>
    </row>
    <row r="19" spans="1:12" ht="15.75" customHeight="1" x14ac:dyDescent="0.25">
      <c r="A19" s="3" t="s">
        <v>3374</v>
      </c>
      <c r="B19" s="3" t="s">
        <v>415</v>
      </c>
      <c r="C19" s="3">
        <v>3866</v>
      </c>
      <c r="D19" s="3" t="s">
        <v>458</v>
      </c>
      <c r="E19" s="3" t="s">
        <v>3440</v>
      </c>
      <c r="F19" s="3">
        <v>53774618</v>
      </c>
      <c r="G19" s="3" t="s">
        <v>3229</v>
      </c>
      <c r="H19" s="3">
        <v>12</v>
      </c>
      <c r="I19" s="3" t="s">
        <v>3377</v>
      </c>
      <c r="J19" s="3" t="s">
        <v>415</v>
      </c>
      <c r="K19" s="3" t="s">
        <v>3454</v>
      </c>
      <c r="L19" s="11" t="s">
        <v>3456</v>
      </c>
    </row>
    <row r="20" spans="1:12" ht="15.75" customHeight="1" x14ac:dyDescent="0.25">
      <c r="A20" s="3" t="s">
        <v>3261</v>
      </c>
      <c r="B20" s="3" t="s">
        <v>1733</v>
      </c>
      <c r="C20" s="3">
        <v>3872</v>
      </c>
      <c r="D20" s="3" t="s">
        <v>198</v>
      </c>
      <c r="E20" s="3" t="s">
        <v>3434</v>
      </c>
      <c r="F20" s="3">
        <v>53083955</v>
      </c>
      <c r="G20" s="3" t="s">
        <v>3099</v>
      </c>
      <c r="H20" s="3">
        <v>13</v>
      </c>
      <c r="I20" s="3" t="s">
        <v>3377</v>
      </c>
      <c r="J20" s="3" t="s">
        <v>415</v>
      </c>
      <c r="K20" s="3" t="s">
        <v>3454</v>
      </c>
      <c r="L20" s="11" t="s">
        <v>3456</v>
      </c>
    </row>
    <row r="21" spans="1:12" ht="15.75" customHeight="1" x14ac:dyDescent="0.25">
      <c r="A21" s="3" t="s">
        <v>3416</v>
      </c>
      <c r="B21" s="3" t="s">
        <v>1733</v>
      </c>
      <c r="C21" s="3">
        <v>3895</v>
      </c>
      <c r="D21" s="3" t="s">
        <v>198</v>
      </c>
      <c r="E21" s="3" t="s">
        <v>3434</v>
      </c>
      <c r="F21" s="3">
        <v>54184438</v>
      </c>
      <c r="G21" s="3" t="s">
        <v>3206</v>
      </c>
      <c r="H21" s="3">
        <v>12</v>
      </c>
      <c r="I21" s="3" t="s">
        <v>3378</v>
      </c>
      <c r="J21" s="3" t="s">
        <v>415</v>
      </c>
      <c r="K21" s="3" t="s">
        <v>3454</v>
      </c>
      <c r="L21" s="11" t="s">
        <v>3455</v>
      </c>
    </row>
    <row r="22" spans="1:12" ht="15.75" customHeight="1" x14ac:dyDescent="0.25">
      <c r="A22" s="3" t="s">
        <v>3400</v>
      </c>
      <c r="B22" s="3" t="s">
        <v>1733</v>
      </c>
      <c r="C22" s="3">
        <v>3903</v>
      </c>
      <c r="D22" s="3" t="s">
        <v>326</v>
      </c>
      <c r="E22" s="3" t="s">
        <v>3438</v>
      </c>
      <c r="F22" s="3">
        <v>50901006</v>
      </c>
      <c r="G22" s="3" t="s">
        <v>3136</v>
      </c>
      <c r="H22" s="3">
        <v>15</v>
      </c>
      <c r="I22" s="3" t="s">
        <v>3377</v>
      </c>
      <c r="J22" s="3" t="s">
        <v>415</v>
      </c>
      <c r="K22" s="3" t="s">
        <v>3454</v>
      </c>
      <c r="L22" s="11" t="s">
        <v>3457</v>
      </c>
    </row>
    <row r="23" spans="1:12" ht="15.75" customHeight="1" x14ac:dyDescent="0.25">
      <c r="A23" s="3" t="s">
        <v>3319</v>
      </c>
      <c r="B23" s="3" t="s">
        <v>1733</v>
      </c>
      <c r="C23" s="3">
        <v>3908</v>
      </c>
      <c r="D23" s="3" t="s">
        <v>65</v>
      </c>
      <c r="E23" s="3" t="s">
        <v>3430</v>
      </c>
      <c r="F23" s="3">
        <v>52698988</v>
      </c>
      <c r="G23" s="3" t="s">
        <v>3167</v>
      </c>
      <c r="H23" s="3">
        <v>14</v>
      </c>
      <c r="I23" s="3" t="s">
        <v>3377</v>
      </c>
      <c r="J23" s="3" t="s">
        <v>415</v>
      </c>
      <c r="K23" s="3" t="s">
        <v>3454</v>
      </c>
      <c r="L23" s="11" t="s">
        <v>3457</v>
      </c>
    </row>
    <row r="24" spans="1:12" ht="15.75" customHeight="1" x14ac:dyDescent="0.25">
      <c r="A24" s="3" t="s">
        <v>3295</v>
      </c>
      <c r="B24" s="3" t="s">
        <v>1733</v>
      </c>
      <c r="C24" s="3">
        <v>3920</v>
      </c>
      <c r="D24" s="3" t="s">
        <v>29</v>
      </c>
      <c r="E24" s="3" t="s">
        <v>3427</v>
      </c>
      <c r="F24" s="3">
        <v>52364453</v>
      </c>
      <c r="G24" s="3" t="s">
        <v>3142</v>
      </c>
      <c r="H24" s="3">
        <v>14</v>
      </c>
      <c r="I24" s="3" t="s">
        <v>3377</v>
      </c>
      <c r="J24" s="3" t="s">
        <v>415</v>
      </c>
      <c r="K24" s="3" t="s">
        <v>3454</v>
      </c>
      <c r="L24" s="11" t="s">
        <v>3455</v>
      </c>
    </row>
    <row r="25" spans="1:12" ht="15.75" customHeight="1" x14ac:dyDescent="0.25">
      <c r="A25" s="3" t="s">
        <v>3313</v>
      </c>
      <c r="B25" s="3" t="s">
        <v>1733</v>
      </c>
      <c r="C25" s="3">
        <v>3935</v>
      </c>
      <c r="D25" s="3" t="s">
        <v>1401</v>
      </c>
      <c r="E25" s="3" t="s">
        <v>3450</v>
      </c>
      <c r="F25" s="3">
        <v>51505113</v>
      </c>
      <c r="G25" s="3" t="s">
        <v>3160</v>
      </c>
      <c r="H25" s="3">
        <v>15</v>
      </c>
      <c r="I25" s="3" t="s">
        <v>3378</v>
      </c>
      <c r="J25" s="3" t="s">
        <v>415</v>
      </c>
      <c r="K25" s="3" t="s">
        <v>3454</v>
      </c>
      <c r="L25" s="11" t="s">
        <v>3456</v>
      </c>
    </row>
    <row r="26" spans="1:12" ht="15.75" customHeight="1" x14ac:dyDescent="0.25">
      <c r="A26" s="3" t="s">
        <v>3297</v>
      </c>
      <c r="B26" s="3" t="s">
        <v>1733</v>
      </c>
      <c r="C26" s="3">
        <v>3936</v>
      </c>
      <c r="D26" s="3" t="s">
        <v>74</v>
      </c>
      <c r="E26" s="3" t="s">
        <v>3431</v>
      </c>
      <c r="F26" s="3">
        <v>50670497</v>
      </c>
      <c r="G26" s="3" t="s">
        <v>3070</v>
      </c>
      <c r="H26" s="3">
        <v>15</v>
      </c>
      <c r="I26" s="3" t="s">
        <v>3377</v>
      </c>
      <c r="J26" s="3" t="s">
        <v>415</v>
      </c>
      <c r="K26" s="3" t="s">
        <v>3454</v>
      </c>
      <c r="L26" s="11" t="s">
        <v>3456</v>
      </c>
    </row>
    <row r="27" spans="1:12" ht="13.2" x14ac:dyDescent="0.25">
      <c r="A27" s="3" t="s">
        <v>3244</v>
      </c>
      <c r="B27" s="3" t="s">
        <v>1733</v>
      </c>
      <c r="C27" s="3">
        <v>3938</v>
      </c>
      <c r="D27" s="3" t="s">
        <v>161</v>
      </c>
      <c r="E27" s="3" t="s">
        <v>3432</v>
      </c>
      <c r="F27" s="3">
        <v>53185733</v>
      </c>
      <c r="G27" s="3" t="s">
        <v>3074</v>
      </c>
      <c r="H27" s="3">
        <v>13</v>
      </c>
      <c r="I27" s="3" t="s">
        <v>3378</v>
      </c>
      <c r="J27" s="3" t="s">
        <v>415</v>
      </c>
      <c r="K27" s="3" t="s">
        <v>3454</v>
      </c>
      <c r="L27" s="11" t="s">
        <v>3455</v>
      </c>
    </row>
    <row r="28" spans="1:12" ht="13.2" x14ac:dyDescent="0.25">
      <c r="A28" s="3" t="s">
        <v>3243</v>
      </c>
      <c r="B28" s="3" t="s">
        <v>1733</v>
      </c>
      <c r="C28" s="3">
        <v>3946</v>
      </c>
      <c r="D28" s="3" t="s">
        <v>74</v>
      </c>
      <c r="E28" s="3" t="s">
        <v>3431</v>
      </c>
      <c r="F28" s="3">
        <v>53957972</v>
      </c>
      <c r="G28" s="3" t="s">
        <v>3073</v>
      </c>
      <c r="H28" s="3">
        <v>12</v>
      </c>
      <c r="I28" s="3" t="s">
        <v>3378</v>
      </c>
      <c r="J28" s="3" t="s">
        <v>415</v>
      </c>
      <c r="K28" s="3" t="s">
        <v>3454</v>
      </c>
      <c r="L28" s="11" t="s">
        <v>3457</v>
      </c>
    </row>
    <row r="29" spans="1:12" ht="13.2" x14ac:dyDescent="0.25">
      <c r="A29" s="3" t="s">
        <v>3406</v>
      </c>
      <c r="B29" s="3" t="s">
        <v>1733</v>
      </c>
      <c r="C29" s="3">
        <v>3953</v>
      </c>
      <c r="D29" s="3" t="s">
        <v>1395</v>
      </c>
      <c r="E29" s="3" t="s">
        <v>3449</v>
      </c>
      <c r="F29" s="3">
        <v>50899423</v>
      </c>
      <c r="G29" s="3" t="s">
        <v>3166</v>
      </c>
      <c r="H29" s="3">
        <v>15</v>
      </c>
      <c r="I29" s="3" t="s">
        <v>3378</v>
      </c>
      <c r="J29" s="3" t="s">
        <v>415</v>
      </c>
      <c r="K29" s="3" t="s">
        <v>3454</v>
      </c>
      <c r="L29" s="11" t="s">
        <v>3457</v>
      </c>
    </row>
    <row r="30" spans="1:12" ht="13.2" x14ac:dyDescent="0.25">
      <c r="A30" s="3" t="s">
        <v>3247</v>
      </c>
      <c r="B30" s="3" t="s">
        <v>1733</v>
      </c>
      <c r="C30" s="3">
        <v>3962</v>
      </c>
      <c r="D30" s="3" t="s">
        <v>198</v>
      </c>
      <c r="E30" s="3" t="s">
        <v>3434</v>
      </c>
      <c r="F30" s="3">
        <v>52834659</v>
      </c>
      <c r="G30" s="3" t="s">
        <v>3077</v>
      </c>
      <c r="H30" s="3">
        <v>14</v>
      </c>
      <c r="I30" s="3" t="s">
        <v>3378</v>
      </c>
      <c r="J30" s="3" t="s">
        <v>415</v>
      </c>
      <c r="K30" s="3" t="s">
        <v>3454</v>
      </c>
      <c r="L30" s="11" t="s">
        <v>3455</v>
      </c>
    </row>
    <row r="31" spans="1:12" ht="13.2" x14ac:dyDescent="0.25">
      <c r="A31" s="3" t="s">
        <v>3346</v>
      </c>
      <c r="B31" s="3" t="s">
        <v>1733</v>
      </c>
      <c r="C31" s="3">
        <v>3969</v>
      </c>
      <c r="D31" s="3" t="s">
        <v>352</v>
      </c>
      <c r="E31" s="3" t="s">
        <v>3439</v>
      </c>
      <c r="F31" s="3">
        <v>53240593</v>
      </c>
      <c r="G31" s="3" t="s">
        <v>3159</v>
      </c>
      <c r="H31" s="3">
        <v>13</v>
      </c>
      <c r="I31" s="3" t="s">
        <v>3378</v>
      </c>
      <c r="J31" s="3" t="s">
        <v>415</v>
      </c>
      <c r="K31" s="3" t="s">
        <v>3454</v>
      </c>
      <c r="L31" s="11" t="s">
        <v>3456</v>
      </c>
    </row>
    <row r="32" spans="1:12" ht="13.2" x14ac:dyDescent="0.25">
      <c r="A32" s="3" t="s">
        <v>3372</v>
      </c>
      <c r="B32" s="3" t="s">
        <v>415</v>
      </c>
      <c r="C32" s="3">
        <v>3970</v>
      </c>
      <c r="D32" s="3" t="s">
        <v>74</v>
      </c>
      <c r="E32" s="3" t="s">
        <v>3431</v>
      </c>
      <c r="F32" s="3">
        <v>52441977</v>
      </c>
      <c r="G32" s="3" t="s">
        <v>3227</v>
      </c>
      <c r="H32" s="3">
        <v>14</v>
      </c>
      <c r="I32" s="3" t="s">
        <v>3377</v>
      </c>
      <c r="J32" s="3" t="s">
        <v>415</v>
      </c>
      <c r="K32" s="3" t="s">
        <v>3454</v>
      </c>
      <c r="L32" s="11" t="s">
        <v>3456</v>
      </c>
    </row>
    <row r="33" spans="1:12" ht="13.2" x14ac:dyDescent="0.25">
      <c r="A33" s="3" t="s">
        <v>3395</v>
      </c>
      <c r="B33" s="3" t="s">
        <v>1733</v>
      </c>
      <c r="C33" s="3">
        <v>3977</v>
      </c>
      <c r="D33" s="3" t="s">
        <v>458</v>
      </c>
      <c r="E33" s="3" t="s">
        <v>3440</v>
      </c>
      <c r="F33" s="3">
        <v>51281593</v>
      </c>
      <c r="G33" s="3" t="s">
        <v>3113</v>
      </c>
      <c r="H33" s="3">
        <v>15</v>
      </c>
      <c r="I33" s="3" t="s">
        <v>3378</v>
      </c>
      <c r="J33" s="3" t="s">
        <v>415</v>
      </c>
      <c r="K33" s="3" t="s">
        <v>3454</v>
      </c>
      <c r="L33" s="11" t="s">
        <v>3455</v>
      </c>
    </row>
    <row r="34" spans="1:12" ht="13.2" x14ac:dyDescent="0.25">
      <c r="A34" s="3" t="s">
        <v>3360</v>
      </c>
      <c r="B34" s="3" t="s">
        <v>1733</v>
      </c>
      <c r="C34" s="3">
        <v>3989</v>
      </c>
      <c r="D34" s="3" t="s">
        <v>161</v>
      </c>
      <c r="E34" s="3" t="s">
        <v>3432</v>
      </c>
      <c r="F34" s="3">
        <v>53801029</v>
      </c>
      <c r="G34" s="3" t="s">
        <v>3211</v>
      </c>
      <c r="H34" s="3">
        <v>12</v>
      </c>
      <c r="I34" s="3" t="s">
        <v>3378</v>
      </c>
      <c r="J34" s="3" t="s">
        <v>415</v>
      </c>
      <c r="K34" s="3" t="s">
        <v>3454</v>
      </c>
      <c r="L34" s="11" t="s">
        <v>3457</v>
      </c>
    </row>
    <row r="35" spans="1:12" ht="13.2" x14ac:dyDescent="0.25">
      <c r="A35" s="3" t="s">
        <v>3281</v>
      </c>
      <c r="B35" s="3" t="s">
        <v>1733</v>
      </c>
      <c r="C35" s="3">
        <v>3992</v>
      </c>
      <c r="D35" s="3" t="s">
        <v>54</v>
      </c>
      <c r="E35" s="3" t="s">
        <v>3429</v>
      </c>
      <c r="F35" s="3">
        <v>53236907</v>
      </c>
      <c r="G35" s="3" t="s">
        <v>3127</v>
      </c>
      <c r="H35" s="3">
        <v>13</v>
      </c>
      <c r="I35" s="3" t="s">
        <v>3378</v>
      </c>
      <c r="J35" s="3" t="s">
        <v>415</v>
      </c>
      <c r="K35" s="3" t="s">
        <v>3454</v>
      </c>
      <c r="L35" s="11" t="s">
        <v>3457</v>
      </c>
    </row>
    <row r="36" spans="1:12" ht="13.2" x14ac:dyDescent="0.25">
      <c r="A36" s="3" t="s">
        <v>3344</v>
      </c>
      <c r="B36" s="3" t="s">
        <v>1733</v>
      </c>
      <c r="C36" s="3">
        <v>3995</v>
      </c>
      <c r="D36" s="3" t="s">
        <v>198</v>
      </c>
      <c r="E36" s="3" t="s">
        <v>3434</v>
      </c>
      <c r="F36" s="3">
        <v>52861772</v>
      </c>
      <c r="G36" s="3" t="s">
        <v>3195</v>
      </c>
      <c r="H36" s="3">
        <v>14</v>
      </c>
      <c r="I36" s="3" t="s">
        <v>3378</v>
      </c>
      <c r="J36" s="3" t="s">
        <v>415</v>
      </c>
      <c r="K36" s="3" t="s">
        <v>3454</v>
      </c>
      <c r="L36" s="11" t="s">
        <v>3455</v>
      </c>
    </row>
    <row r="37" spans="1:12" ht="13.2" x14ac:dyDescent="0.25">
      <c r="A37" s="3" t="s">
        <v>3382</v>
      </c>
      <c r="B37" s="3" t="s">
        <v>1733</v>
      </c>
      <c r="C37" s="3">
        <v>3999</v>
      </c>
      <c r="D37" s="3" t="s">
        <v>228</v>
      </c>
      <c r="E37" s="3" t="s">
        <v>3436</v>
      </c>
      <c r="F37" s="3">
        <v>54765545</v>
      </c>
      <c r="G37" s="3" t="s">
        <v>3082</v>
      </c>
      <c r="H37" s="3">
        <v>11</v>
      </c>
      <c r="I37" s="3" t="s">
        <v>3378</v>
      </c>
      <c r="J37" s="3" t="s">
        <v>415</v>
      </c>
      <c r="K37" s="3" t="s">
        <v>3454</v>
      </c>
      <c r="L37" s="11" t="s">
        <v>3456</v>
      </c>
    </row>
    <row r="38" spans="1:12" ht="13.2" x14ac:dyDescent="0.25">
      <c r="A38" s="3" t="s">
        <v>3409</v>
      </c>
      <c r="B38" s="3" t="s">
        <v>1733</v>
      </c>
      <c r="C38" s="3">
        <v>4001</v>
      </c>
      <c r="D38" s="3" t="s">
        <v>42</v>
      </c>
      <c r="E38" s="3" t="s">
        <v>3428</v>
      </c>
      <c r="F38" s="3">
        <v>51167440</v>
      </c>
      <c r="G38" s="3" t="s">
        <v>3185</v>
      </c>
      <c r="H38" s="3">
        <v>15</v>
      </c>
      <c r="I38" s="3" t="s">
        <v>3377</v>
      </c>
      <c r="J38" s="3" t="s">
        <v>415</v>
      </c>
      <c r="K38" s="3" t="s">
        <v>3454</v>
      </c>
      <c r="L38" s="11" t="s">
        <v>3456</v>
      </c>
    </row>
    <row r="39" spans="1:12" ht="13.2" x14ac:dyDescent="0.25">
      <c r="A39" s="3" t="s">
        <v>3402</v>
      </c>
      <c r="B39" s="3" t="s">
        <v>1733</v>
      </c>
      <c r="C39" s="3">
        <v>4011</v>
      </c>
      <c r="D39" s="3" t="s">
        <v>470</v>
      </c>
      <c r="E39" s="3" t="s">
        <v>3441</v>
      </c>
      <c r="F39" s="3">
        <v>52768606</v>
      </c>
      <c r="G39" s="3" t="s">
        <v>3145</v>
      </c>
      <c r="H39" s="3">
        <v>14</v>
      </c>
      <c r="I39" s="3" t="s">
        <v>3377</v>
      </c>
      <c r="J39" s="3" t="s">
        <v>415</v>
      </c>
      <c r="K39" s="3" t="s">
        <v>3454</v>
      </c>
      <c r="L39" s="11" t="s">
        <v>3455</v>
      </c>
    </row>
    <row r="40" spans="1:12" ht="13.2" x14ac:dyDescent="0.25">
      <c r="A40" s="3" t="s">
        <v>3304</v>
      </c>
      <c r="B40" s="3" t="s">
        <v>1733</v>
      </c>
      <c r="C40" s="3">
        <v>4020</v>
      </c>
      <c r="D40" s="3" t="s">
        <v>74</v>
      </c>
      <c r="E40" s="3" t="s">
        <v>3431</v>
      </c>
      <c r="F40" s="3">
        <v>52857832</v>
      </c>
      <c r="G40" s="3" t="s">
        <v>3153</v>
      </c>
      <c r="H40" s="3">
        <v>14</v>
      </c>
      <c r="I40" s="3" t="s">
        <v>3378</v>
      </c>
      <c r="J40" s="3" t="s">
        <v>415</v>
      </c>
      <c r="K40" s="3" t="s">
        <v>3454</v>
      </c>
      <c r="L40" s="11" t="s">
        <v>3457</v>
      </c>
    </row>
    <row r="41" spans="1:12" ht="13.2" x14ac:dyDescent="0.25">
      <c r="A41" s="3" t="s">
        <v>3312</v>
      </c>
      <c r="B41" s="3" t="s">
        <v>1733</v>
      </c>
      <c r="C41" s="3">
        <v>4025</v>
      </c>
      <c r="D41" s="3" t="s">
        <v>1395</v>
      </c>
      <c r="E41" s="3" t="s">
        <v>3449</v>
      </c>
      <c r="F41" s="3">
        <v>52756455</v>
      </c>
      <c r="G41" s="3" t="s">
        <v>3104</v>
      </c>
      <c r="H41" s="3">
        <v>14</v>
      </c>
      <c r="I41" s="3" t="s">
        <v>3377</v>
      </c>
      <c r="J41" s="3" t="s">
        <v>415</v>
      </c>
      <c r="K41" s="3" t="s">
        <v>3454</v>
      </c>
      <c r="L41" s="11" t="s">
        <v>3457</v>
      </c>
    </row>
    <row r="42" spans="1:12" ht="13.2" x14ac:dyDescent="0.25">
      <c r="A42" s="3" t="s">
        <v>3325</v>
      </c>
      <c r="B42" s="3" t="s">
        <v>1733</v>
      </c>
      <c r="C42" s="3">
        <v>4030</v>
      </c>
      <c r="D42" s="3" t="s">
        <v>458</v>
      </c>
      <c r="E42" s="3" t="s">
        <v>3440</v>
      </c>
      <c r="F42" s="3">
        <v>51358051</v>
      </c>
      <c r="G42" s="3" t="s">
        <v>3173</v>
      </c>
      <c r="H42" s="3">
        <v>15</v>
      </c>
      <c r="I42" s="3" t="s">
        <v>3378</v>
      </c>
      <c r="J42" s="3" t="s">
        <v>415</v>
      </c>
      <c r="K42" s="3" t="s">
        <v>3454</v>
      </c>
      <c r="L42" s="11" t="s">
        <v>3455</v>
      </c>
    </row>
    <row r="43" spans="1:12" ht="13.2" x14ac:dyDescent="0.25">
      <c r="A43" s="3" t="s">
        <v>3284</v>
      </c>
      <c r="B43" s="3" t="s">
        <v>1733</v>
      </c>
      <c r="C43" s="3">
        <v>4038</v>
      </c>
      <c r="D43" s="3" t="s">
        <v>458</v>
      </c>
      <c r="E43" s="3" t="s">
        <v>3440</v>
      </c>
      <c r="F43" s="3">
        <v>54116095</v>
      </c>
      <c r="G43" s="3" t="s">
        <v>3129</v>
      </c>
      <c r="H43" s="3">
        <v>12</v>
      </c>
      <c r="I43" s="3" t="s">
        <v>3377</v>
      </c>
      <c r="J43" s="3" t="s">
        <v>415</v>
      </c>
      <c r="K43" s="3" t="s">
        <v>3454</v>
      </c>
      <c r="L43" s="11" t="s">
        <v>3456</v>
      </c>
    </row>
    <row r="44" spans="1:12" ht="13.2" x14ac:dyDescent="0.25">
      <c r="A44" s="3" t="s">
        <v>3305</v>
      </c>
      <c r="B44" s="3" t="s">
        <v>1733</v>
      </c>
      <c r="C44" s="3">
        <v>4047</v>
      </c>
      <c r="D44" s="3" t="s">
        <v>54</v>
      </c>
      <c r="E44" s="3" t="s">
        <v>3429</v>
      </c>
      <c r="F44" s="3">
        <v>51157369</v>
      </c>
      <c r="G44" s="3" t="s">
        <v>3113</v>
      </c>
      <c r="H44" s="3">
        <v>15</v>
      </c>
      <c r="I44" s="3" t="s">
        <v>3378</v>
      </c>
      <c r="J44" s="3" t="s">
        <v>415</v>
      </c>
      <c r="K44" s="3" t="s">
        <v>3454</v>
      </c>
      <c r="L44" s="11" t="s">
        <v>3456</v>
      </c>
    </row>
    <row r="45" spans="1:12" ht="13.2" x14ac:dyDescent="0.25">
      <c r="A45" s="3" t="s">
        <v>3327</v>
      </c>
      <c r="B45" s="3" t="s">
        <v>1733</v>
      </c>
      <c r="C45" s="3">
        <v>4048</v>
      </c>
      <c r="D45" s="3" t="s">
        <v>74</v>
      </c>
      <c r="E45" s="3" t="s">
        <v>3431</v>
      </c>
      <c r="F45" s="3">
        <v>53240699</v>
      </c>
      <c r="G45" s="3" t="s">
        <v>3175</v>
      </c>
      <c r="H45" s="3">
        <v>13</v>
      </c>
      <c r="I45" s="3" t="s">
        <v>3377</v>
      </c>
      <c r="J45" s="3" t="s">
        <v>415</v>
      </c>
      <c r="K45" s="3" t="s">
        <v>3454</v>
      </c>
      <c r="L45" s="11" t="s">
        <v>3455</v>
      </c>
    </row>
    <row r="46" spans="1:12" ht="13.2" x14ac:dyDescent="0.25">
      <c r="A46" s="3" t="s">
        <v>3316</v>
      </c>
      <c r="B46" s="3" t="s">
        <v>1733</v>
      </c>
      <c r="C46" s="3">
        <v>4049</v>
      </c>
      <c r="D46" s="3" t="s">
        <v>470</v>
      </c>
      <c r="E46" s="3" t="s">
        <v>3441</v>
      </c>
      <c r="F46" s="3">
        <v>52856304</v>
      </c>
      <c r="G46" s="3" t="s">
        <v>3163</v>
      </c>
      <c r="H46" s="3">
        <v>14</v>
      </c>
      <c r="I46" s="3" t="s">
        <v>3378</v>
      </c>
      <c r="J46" s="3" t="s">
        <v>415</v>
      </c>
      <c r="K46" s="3" t="s">
        <v>3454</v>
      </c>
      <c r="L46" s="11" t="s">
        <v>3457</v>
      </c>
    </row>
    <row r="47" spans="1:12" ht="13.2" x14ac:dyDescent="0.25">
      <c r="A47" s="3" t="s">
        <v>3394</v>
      </c>
      <c r="B47" s="3" t="s">
        <v>1733</v>
      </c>
      <c r="C47" s="3">
        <v>4054</v>
      </c>
      <c r="D47" s="3" t="s">
        <v>54</v>
      </c>
      <c r="E47" s="3" t="s">
        <v>3429</v>
      </c>
      <c r="F47" s="3">
        <v>53285019</v>
      </c>
      <c r="G47" s="3" t="s">
        <v>3111</v>
      </c>
      <c r="H47" s="3">
        <v>13</v>
      </c>
      <c r="I47" s="3" t="s">
        <v>3378</v>
      </c>
      <c r="J47" s="3" t="s">
        <v>415</v>
      </c>
      <c r="K47" s="3" t="s">
        <v>3454</v>
      </c>
      <c r="L47" s="11" t="s">
        <v>3457</v>
      </c>
    </row>
    <row r="48" spans="1:12" ht="13.2" x14ac:dyDescent="0.25">
      <c r="A48" s="3" t="s">
        <v>3273</v>
      </c>
      <c r="B48" s="3" t="s">
        <v>1733</v>
      </c>
      <c r="C48" s="3">
        <v>4055</v>
      </c>
      <c r="D48" s="3" t="s">
        <v>161</v>
      </c>
      <c r="E48" s="3" t="s">
        <v>3432</v>
      </c>
      <c r="F48" s="3">
        <v>53477120</v>
      </c>
      <c r="G48" s="3" t="s">
        <v>3117</v>
      </c>
      <c r="H48" s="3">
        <v>13</v>
      </c>
      <c r="I48" s="3" t="s">
        <v>3377</v>
      </c>
      <c r="J48" s="3" t="s">
        <v>415</v>
      </c>
      <c r="K48" s="3" t="s">
        <v>3454</v>
      </c>
      <c r="L48" s="11" t="s">
        <v>3455</v>
      </c>
    </row>
    <row r="49" spans="1:12" ht="13.2" x14ac:dyDescent="0.25">
      <c r="A49" s="3" t="s">
        <v>3330</v>
      </c>
      <c r="B49" s="3" t="s">
        <v>1733</v>
      </c>
      <c r="C49" s="3">
        <v>4057</v>
      </c>
      <c r="D49" s="3" t="s">
        <v>318</v>
      </c>
      <c r="E49" s="3" t="s">
        <v>3437</v>
      </c>
      <c r="F49" s="3">
        <v>51572732</v>
      </c>
      <c r="G49" s="3" t="s">
        <v>3179</v>
      </c>
      <c r="H49" s="3">
        <v>15</v>
      </c>
      <c r="I49" s="3" t="s">
        <v>3378</v>
      </c>
      <c r="J49" s="3" t="s">
        <v>415</v>
      </c>
      <c r="K49" s="3" t="s">
        <v>3454</v>
      </c>
      <c r="L49" s="11" t="s">
        <v>3456</v>
      </c>
    </row>
    <row r="50" spans="1:12" ht="13.2" x14ac:dyDescent="0.25">
      <c r="A50" s="3" t="s">
        <v>3328</v>
      </c>
      <c r="B50" s="3" t="s">
        <v>1733</v>
      </c>
      <c r="C50" s="3">
        <v>4064</v>
      </c>
      <c r="D50" s="3" t="s">
        <v>42</v>
      </c>
      <c r="E50" s="3" t="s">
        <v>3428</v>
      </c>
      <c r="F50" s="3">
        <v>54297764</v>
      </c>
      <c r="G50" s="3" t="s">
        <v>3176</v>
      </c>
      <c r="H50" s="3">
        <v>12</v>
      </c>
      <c r="I50" s="3" t="s">
        <v>3377</v>
      </c>
      <c r="J50" s="3" t="s">
        <v>415</v>
      </c>
      <c r="K50" s="3" t="s">
        <v>3454</v>
      </c>
      <c r="L50" s="11" t="s">
        <v>3456</v>
      </c>
    </row>
    <row r="51" spans="1:12" ht="13.2" x14ac:dyDescent="0.25">
      <c r="A51" s="3" t="s">
        <v>3241</v>
      </c>
      <c r="B51" s="3" t="s">
        <v>1733</v>
      </c>
      <c r="C51" s="3">
        <v>4072</v>
      </c>
      <c r="D51" s="3" t="s">
        <v>74</v>
      </c>
      <c r="E51" s="3" t="s">
        <v>3431</v>
      </c>
      <c r="F51" s="3">
        <v>53327460</v>
      </c>
      <c r="G51" s="3" t="s">
        <v>3071</v>
      </c>
      <c r="H51" s="3">
        <v>13</v>
      </c>
      <c r="I51" s="3" t="s">
        <v>3378</v>
      </c>
      <c r="J51" s="3" t="s">
        <v>415</v>
      </c>
      <c r="K51" s="3" t="s">
        <v>3454</v>
      </c>
      <c r="L51" s="11" t="s">
        <v>3455</v>
      </c>
    </row>
    <row r="52" spans="1:12" ht="13.2" x14ac:dyDescent="0.25">
      <c r="A52" s="3" t="s">
        <v>3391</v>
      </c>
      <c r="B52" s="3" t="s">
        <v>1733</v>
      </c>
      <c r="C52" s="3">
        <v>4073</v>
      </c>
      <c r="D52" s="3" t="s">
        <v>29</v>
      </c>
      <c r="E52" s="3" t="s">
        <v>3427</v>
      </c>
      <c r="F52" s="3">
        <v>51270746</v>
      </c>
      <c r="G52" s="3" t="s">
        <v>3103</v>
      </c>
      <c r="H52" s="3">
        <v>15</v>
      </c>
      <c r="I52" s="3" t="s">
        <v>3377</v>
      </c>
      <c r="J52" s="3" t="s">
        <v>415</v>
      </c>
      <c r="K52" s="3" t="s">
        <v>3454</v>
      </c>
      <c r="L52" s="11" t="s">
        <v>3457</v>
      </c>
    </row>
    <row r="53" spans="1:12" ht="13.2" x14ac:dyDescent="0.25">
      <c r="A53" s="3" t="s">
        <v>3242</v>
      </c>
      <c r="B53" s="3" t="s">
        <v>1733</v>
      </c>
      <c r="C53" s="3">
        <v>4085</v>
      </c>
      <c r="D53" s="3" t="s">
        <v>74</v>
      </c>
      <c r="E53" s="3" t="s">
        <v>3431</v>
      </c>
      <c r="F53" s="3">
        <v>53087006</v>
      </c>
      <c r="G53" s="3" t="s">
        <v>3072</v>
      </c>
      <c r="H53" s="3">
        <v>13</v>
      </c>
      <c r="I53" s="3" t="s">
        <v>3377</v>
      </c>
      <c r="J53" s="3" t="s">
        <v>415</v>
      </c>
      <c r="K53" s="3" t="s">
        <v>3454</v>
      </c>
      <c r="L53" s="11" t="s">
        <v>3457</v>
      </c>
    </row>
    <row r="54" spans="1:12" ht="13.2" x14ac:dyDescent="0.25">
      <c r="A54" s="3" t="s">
        <v>3396</v>
      </c>
      <c r="B54" s="3" t="s">
        <v>1733</v>
      </c>
      <c r="C54" s="3">
        <v>4087</v>
      </c>
      <c r="D54" s="3" t="s">
        <v>29</v>
      </c>
      <c r="E54" s="3" t="s">
        <v>3427</v>
      </c>
      <c r="F54" s="3">
        <v>52906229</v>
      </c>
      <c r="G54" s="3" t="s">
        <v>3124</v>
      </c>
      <c r="H54" s="3">
        <v>13</v>
      </c>
      <c r="I54" s="3" t="s">
        <v>3377</v>
      </c>
      <c r="J54" s="3" t="s">
        <v>415</v>
      </c>
      <c r="K54" s="3" t="s">
        <v>3454</v>
      </c>
      <c r="L54" s="11" t="s">
        <v>3455</v>
      </c>
    </row>
    <row r="55" spans="1:12" ht="13.2" x14ac:dyDescent="0.25">
      <c r="A55" s="3" t="s">
        <v>3318</v>
      </c>
      <c r="B55" s="3" t="s">
        <v>1733</v>
      </c>
      <c r="C55" s="3">
        <v>4091</v>
      </c>
      <c r="D55" s="3" t="s">
        <v>198</v>
      </c>
      <c r="E55" s="3" t="s">
        <v>3434</v>
      </c>
      <c r="F55" s="3">
        <v>51069814</v>
      </c>
      <c r="G55" s="3" t="s">
        <v>3165</v>
      </c>
      <c r="H55" s="3">
        <v>15</v>
      </c>
      <c r="I55" s="3" t="s">
        <v>3377</v>
      </c>
      <c r="J55" s="3" t="s">
        <v>415</v>
      </c>
      <c r="K55" s="3" t="s">
        <v>3454</v>
      </c>
      <c r="L55" s="11" t="s">
        <v>3456</v>
      </c>
    </row>
    <row r="56" spans="1:12" ht="13.2" x14ac:dyDescent="0.25">
      <c r="A56" s="3" t="s">
        <v>3381</v>
      </c>
      <c r="B56" s="3" t="s">
        <v>1733</v>
      </c>
      <c r="C56" s="3">
        <v>4092</v>
      </c>
      <c r="D56" s="3" t="s">
        <v>54</v>
      </c>
      <c r="E56" s="3" t="s">
        <v>3429</v>
      </c>
      <c r="F56" s="3">
        <v>52676878</v>
      </c>
      <c r="G56" s="3" t="s">
        <v>3068</v>
      </c>
      <c r="H56" s="3">
        <v>14</v>
      </c>
      <c r="I56" s="3" t="s">
        <v>3378</v>
      </c>
      <c r="J56" s="3" t="s">
        <v>415</v>
      </c>
      <c r="K56" s="3" t="s">
        <v>3454</v>
      </c>
      <c r="L56" s="11" t="s">
        <v>3456</v>
      </c>
    </row>
    <row r="57" spans="1:12" ht="13.2" x14ac:dyDescent="0.25">
      <c r="A57" s="3" t="s">
        <v>3329</v>
      </c>
      <c r="B57" s="3" t="s">
        <v>1733</v>
      </c>
      <c r="C57" s="3">
        <v>4093</v>
      </c>
      <c r="D57" s="3" t="s">
        <v>42</v>
      </c>
      <c r="E57" s="3" t="s">
        <v>3428</v>
      </c>
      <c r="F57" s="3">
        <v>52136031</v>
      </c>
      <c r="G57" s="3" t="s">
        <v>3177</v>
      </c>
      <c r="H57" s="3">
        <v>14</v>
      </c>
      <c r="I57" s="3" t="s">
        <v>3378</v>
      </c>
      <c r="J57" s="3" t="s">
        <v>415</v>
      </c>
      <c r="K57" s="3" t="s">
        <v>3454</v>
      </c>
      <c r="L57" s="11" t="s">
        <v>3455</v>
      </c>
    </row>
    <row r="58" spans="1:12" ht="13.2" x14ac:dyDescent="0.25">
      <c r="A58" s="3" t="s">
        <v>3268</v>
      </c>
      <c r="B58" s="3" t="s">
        <v>1733</v>
      </c>
      <c r="C58" s="3">
        <v>4096</v>
      </c>
      <c r="D58" s="3" t="s">
        <v>352</v>
      </c>
      <c r="E58" s="3" t="s">
        <v>3439</v>
      </c>
      <c r="F58" s="3">
        <v>51397535</v>
      </c>
      <c r="G58" s="3" t="s">
        <v>3110</v>
      </c>
      <c r="H58" s="3">
        <v>15</v>
      </c>
      <c r="I58" s="3" t="s">
        <v>3377</v>
      </c>
      <c r="J58" s="3" t="s">
        <v>415</v>
      </c>
      <c r="K58" s="3" t="s">
        <v>3454</v>
      </c>
      <c r="L58" s="11" t="s">
        <v>3457</v>
      </c>
    </row>
    <row r="59" spans="1:12" ht="13.2" x14ac:dyDescent="0.25">
      <c r="A59" s="3" t="s">
        <v>3279</v>
      </c>
      <c r="B59" s="3" t="s">
        <v>1733</v>
      </c>
      <c r="C59" s="3">
        <v>4098</v>
      </c>
      <c r="D59" s="3" t="s">
        <v>590</v>
      </c>
      <c r="E59" s="3" t="s">
        <v>3443</v>
      </c>
      <c r="F59" s="3">
        <v>52958381</v>
      </c>
      <c r="G59" s="3" t="s">
        <v>3123</v>
      </c>
      <c r="H59" s="3">
        <v>13</v>
      </c>
      <c r="I59" s="3" t="s">
        <v>3377</v>
      </c>
      <c r="J59" s="3" t="s">
        <v>415</v>
      </c>
      <c r="K59" s="3" t="s">
        <v>3454</v>
      </c>
      <c r="L59" s="11" t="s">
        <v>3457</v>
      </c>
    </row>
    <row r="60" spans="1:12" ht="13.2" x14ac:dyDescent="0.25">
      <c r="A60" s="3" t="s">
        <v>3275</v>
      </c>
      <c r="B60" s="3" t="s">
        <v>1733</v>
      </c>
      <c r="C60" s="3">
        <v>4099</v>
      </c>
      <c r="D60" s="3" t="s">
        <v>207</v>
      </c>
      <c r="E60" s="3" t="s">
        <v>3435</v>
      </c>
      <c r="F60" s="3">
        <v>52786122</v>
      </c>
      <c r="G60" s="3" t="s">
        <v>3119</v>
      </c>
      <c r="H60" s="3">
        <v>14</v>
      </c>
      <c r="I60" s="3" t="s">
        <v>3378</v>
      </c>
      <c r="J60" s="3" t="s">
        <v>415</v>
      </c>
      <c r="K60" s="3" t="s">
        <v>3454</v>
      </c>
      <c r="L60" s="11" t="s">
        <v>3455</v>
      </c>
    </row>
    <row r="61" spans="1:12" ht="13.2" x14ac:dyDescent="0.25">
      <c r="A61" s="3" t="s">
        <v>3265</v>
      </c>
      <c r="B61" s="3" t="s">
        <v>1733</v>
      </c>
      <c r="C61" s="3">
        <v>4100</v>
      </c>
      <c r="D61" s="3" t="s">
        <v>352</v>
      </c>
      <c r="E61" s="3" t="s">
        <v>3439</v>
      </c>
      <c r="F61" s="3">
        <v>52613001</v>
      </c>
      <c r="G61" s="3" t="s">
        <v>3105</v>
      </c>
      <c r="H61" s="3">
        <v>14</v>
      </c>
      <c r="I61" s="3" t="s">
        <v>3377</v>
      </c>
      <c r="J61" s="3" t="s">
        <v>415</v>
      </c>
      <c r="K61" s="3" t="s">
        <v>3454</v>
      </c>
      <c r="L61" s="11" t="s">
        <v>3456</v>
      </c>
    </row>
    <row r="62" spans="1:12" ht="13.2" x14ac:dyDescent="0.25">
      <c r="A62" s="3" t="s">
        <v>3237</v>
      </c>
      <c r="B62" s="3" t="s">
        <v>1733</v>
      </c>
      <c r="C62" s="3">
        <v>4104</v>
      </c>
      <c r="D62" s="3" t="s">
        <v>29</v>
      </c>
      <c r="E62" s="3" t="s">
        <v>3427</v>
      </c>
      <c r="F62" s="3">
        <v>54029308</v>
      </c>
      <c r="G62" s="3" t="s">
        <v>3066</v>
      </c>
      <c r="H62" s="3">
        <v>12</v>
      </c>
      <c r="I62" s="3" t="s">
        <v>3377</v>
      </c>
      <c r="J62" s="3" t="s">
        <v>415</v>
      </c>
      <c r="K62" s="3" t="s">
        <v>3454</v>
      </c>
      <c r="L62" s="11" t="s">
        <v>3456</v>
      </c>
    </row>
    <row r="63" spans="1:12" ht="13.2" x14ac:dyDescent="0.25">
      <c r="A63" s="3" t="s">
        <v>3333</v>
      </c>
      <c r="B63" s="3" t="s">
        <v>1733</v>
      </c>
      <c r="C63" s="3">
        <v>4108</v>
      </c>
      <c r="D63" s="3" t="s">
        <v>352</v>
      </c>
      <c r="E63" s="3" t="s">
        <v>3439</v>
      </c>
      <c r="F63" s="3">
        <v>51253143</v>
      </c>
      <c r="G63" s="3" t="s">
        <v>3183</v>
      </c>
      <c r="H63" s="3">
        <v>15</v>
      </c>
      <c r="I63" s="3" t="s">
        <v>3377</v>
      </c>
      <c r="J63" s="3" t="s">
        <v>415</v>
      </c>
      <c r="K63" s="3" t="s">
        <v>3454</v>
      </c>
      <c r="L63" s="11" t="s">
        <v>3455</v>
      </c>
    </row>
    <row r="64" spans="1:12" ht="13.2" x14ac:dyDescent="0.25">
      <c r="A64" s="3" t="s">
        <v>3357</v>
      </c>
      <c r="B64" s="3" t="s">
        <v>1733</v>
      </c>
      <c r="C64" s="3">
        <v>4117</v>
      </c>
      <c r="D64" s="3" t="s">
        <v>352</v>
      </c>
      <c r="E64" s="3" t="s">
        <v>3439</v>
      </c>
      <c r="F64" s="3">
        <v>52164372</v>
      </c>
      <c r="G64" s="3" t="s">
        <v>3208</v>
      </c>
      <c r="H64" s="3">
        <v>14</v>
      </c>
      <c r="I64" s="3" t="s">
        <v>3377</v>
      </c>
      <c r="J64" s="3" t="s">
        <v>415</v>
      </c>
      <c r="K64" s="3" t="s">
        <v>3454</v>
      </c>
      <c r="L64" s="11" t="s">
        <v>3457</v>
      </c>
    </row>
    <row r="65" spans="1:12" ht="13.2" x14ac:dyDescent="0.25">
      <c r="A65" s="3" t="s">
        <v>3336</v>
      </c>
      <c r="B65" s="3" t="s">
        <v>1733</v>
      </c>
      <c r="C65" s="3">
        <v>4118</v>
      </c>
      <c r="D65" s="3" t="s">
        <v>74</v>
      </c>
      <c r="E65" s="3" t="s">
        <v>3431</v>
      </c>
      <c r="F65" s="3">
        <v>51723975</v>
      </c>
      <c r="G65" s="3" t="s">
        <v>3188</v>
      </c>
      <c r="H65" s="3">
        <v>12</v>
      </c>
      <c r="I65" s="3" t="s">
        <v>3378</v>
      </c>
      <c r="J65" s="3" t="s">
        <v>415</v>
      </c>
      <c r="K65" s="3" t="s">
        <v>3454</v>
      </c>
      <c r="L65" s="11" t="s">
        <v>3457</v>
      </c>
    </row>
    <row r="66" spans="1:12" ht="13.2" x14ac:dyDescent="0.25">
      <c r="A66" s="3" t="s">
        <v>3282</v>
      </c>
      <c r="B66" s="3" t="s">
        <v>1733</v>
      </c>
      <c r="C66" s="3">
        <v>4121</v>
      </c>
      <c r="D66" s="3" t="s">
        <v>74</v>
      </c>
      <c r="E66" s="3" t="s">
        <v>3431</v>
      </c>
      <c r="F66" s="3">
        <v>53204460</v>
      </c>
      <c r="G66" s="3" t="s">
        <v>3128</v>
      </c>
      <c r="H66" s="3">
        <v>13</v>
      </c>
      <c r="I66" s="3" t="s">
        <v>3377</v>
      </c>
      <c r="J66" s="3" t="s">
        <v>415</v>
      </c>
      <c r="K66" s="3" t="s">
        <v>3454</v>
      </c>
      <c r="L66" s="11" t="s">
        <v>3455</v>
      </c>
    </row>
    <row r="67" spans="1:12" ht="13.2" x14ac:dyDescent="0.25">
      <c r="A67" s="3" t="s">
        <v>3300</v>
      </c>
      <c r="B67" s="3" t="s">
        <v>1733</v>
      </c>
      <c r="C67" s="3">
        <v>4130</v>
      </c>
      <c r="D67" s="3" t="s">
        <v>198</v>
      </c>
      <c r="E67" s="3" t="s">
        <v>3434</v>
      </c>
      <c r="F67" s="3">
        <v>52454489</v>
      </c>
      <c r="G67" s="3" t="s">
        <v>3147</v>
      </c>
      <c r="H67" s="3">
        <v>14</v>
      </c>
      <c r="I67" s="3" t="s">
        <v>3378</v>
      </c>
      <c r="J67" s="3" t="s">
        <v>415</v>
      </c>
      <c r="K67" s="3" t="s">
        <v>3454</v>
      </c>
      <c r="L67" s="11" t="s">
        <v>3456</v>
      </c>
    </row>
    <row r="68" spans="1:12" ht="13.2" x14ac:dyDescent="0.25">
      <c r="A68" s="3" t="s">
        <v>3309</v>
      </c>
      <c r="B68" s="3" t="s">
        <v>1733</v>
      </c>
      <c r="C68" s="3">
        <v>4133</v>
      </c>
      <c r="D68" s="3" t="s">
        <v>318</v>
      </c>
      <c r="E68" s="3" t="s">
        <v>3437</v>
      </c>
      <c r="F68" s="3">
        <v>51431844</v>
      </c>
      <c r="G68" s="3" t="s">
        <v>3157</v>
      </c>
      <c r="H68" s="3">
        <v>15</v>
      </c>
      <c r="I68" s="3" t="s">
        <v>3378</v>
      </c>
      <c r="J68" s="3" t="s">
        <v>415</v>
      </c>
      <c r="K68" s="3" t="s">
        <v>3454</v>
      </c>
      <c r="L68" s="11" t="s">
        <v>3456</v>
      </c>
    </row>
    <row r="69" spans="1:12" ht="13.2" x14ac:dyDescent="0.25">
      <c r="A69" s="3" t="s">
        <v>3240</v>
      </c>
      <c r="B69" s="3" t="s">
        <v>1733</v>
      </c>
      <c r="C69" s="3">
        <v>4134</v>
      </c>
      <c r="D69" s="3" t="s">
        <v>74</v>
      </c>
      <c r="E69" s="3" t="s">
        <v>3431</v>
      </c>
      <c r="F69" s="3">
        <v>50805416</v>
      </c>
      <c r="G69" s="3" t="s">
        <v>3070</v>
      </c>
      <c r="H69" s="3">
        <v>15</v>
      </c>
      <c r="I69" s="3" t="s">
        <v>3377</v>
      </c>
      <c r="J69" s="3" t="s">
        <v>415</v>
      </c>
      <c r="K69" s="3" t="s">
        <v>3454</v>
      </c>
      <c r="L69" s="11" t="s">
        <v>3455</v>
      </c>
    </row>
    <row r="70" spans="1:12" ht="13.2" x14ac:dyDescent="0.25">
      <c r="A70" s="3" t="s">
        <v>3262</v>
      </c>
      <c r="B70" s="3" t="s">
        <v>1733</v>
      </c>
      <c r="C70" s="3">
        <v>4136</v>
      </c>
      <c r="D70" s="3" t="s">
        <v>470</v>
      </c>
      <c r="E70" s="3" t="s">
        <v>3441</v>
      </c>
      <c r="F70" s="3">
        <v>52448420</v>
      </c>
      <c r="G70" s="3" t="s">
        <v>3100</v>
      </c>
      <c r="H70" s="3">
        <v>14</v>
      </c>
      <c r="I70" s="3" t="s">
        <v>3378</v>
      </c>
      <c r="J70" s="3" t="s">
        <v>415</v>
      </c>
      <c r="K70" s="3" t="s">
        <v>3454</v>
      </c>
      <c r="L70" s="11" t="s">
        <v>3457</v>
      </c>
    </row>
    <row r="71" spans="1:12" ht="13.2" x14ac:dyDescent="0.25">
      <c r="A71" s="3" t="s">
        <v>3267</v>
      </c>
      <c r="B71" s="3" t="s">
        <v>1733</v>
      </c>
      <c r="C71" s="3">
        <v>4138</v>
      </c>
      <c r="D71" s="3" t="s">
        <v>3380</v>
      </c>
      <c r="E71" s="3" t="s">
        <v>3444</v>
      </c>
      <c r="F71" s="3">
        <v>52325904</v>
      </c>
      <c r="G71" s="3" t="s">
        <v>3108</v>
      </c>
      <c r="H71" s="3">
        <v>14</v>
      </c>
      <c r="I71" s="3" t="s">
        <v>3377</v>
      </c>
      <c r="J71" s="3" t="s">
        <v>415</v>
      </c>
      <c r="K71" s="3" t="s">
        <v>3454</v>
      </c>
      <c r="L71" s="11" t="s">
        <v>3457</v>
      </c>
    </row>
    <row r="72" spans="1:12" ht="13.2" x14ac:dyDescent="0.25">
      <c r="A72" s="3" t="s">
        <v>3286</v>
      </c>
      <c r="B72" s="3" t="s">
        <v>1733</v>
      </c>
      <c r="C72" s="3">
        <v>4139</v>
      </c>
      <c r="D72" s="3" t="s">
        <v>29</v>
      </c>
      <c r="E72" s="3" t="s">
        <v>3427</v>
      </c>
      <c r="F72" s="3">
        <v>52073632</v>
      </c>
      <c r="G72" s="3" t="s">
        <v>3131</v>
      </c>
      <c r="H72" s="3">
        <v>15</v>
      </c>
      <c r="I72" s="3" t="s">
        <v>3378</v>
      </c>
      <c r="J72" s="3" t="s">
        <v>415</v>
      </c>
      <c r="K72" s="3" t="s">
        <v>3454</v>
      </c>
      <c r="L72" s="11" t="s">
        <v>3455</v>
      </c>
    </row>
    <row r="73" spans="1:12" ht="13.2" x14ac:dyDescent="0.25">
      <c r="A73" s="3" t="s">
        <v>3341</v>
      </c>
      <c r="B73" s="3" t="s">
        <v>1733</v>
      </c>
      <c r="C73" s="3">
        <v>4143</v>
      </c>
      <c r="D73" s="3" t="s">
        <v>3380</v>
      </c>
      <c r="E73" s="3" t="s">
        <v>3444</v>
      </c>
      <c r="F73" s="3">
        <v>53274297</v>
      </c>
      <c r="G73" s="3" t="s">
        <v>3128</v>
      </c>
      <c r="H73" s="3">
        <v>13</v>
      </c>
      <c r="I73" s="3" t="s">
        <v>3378</v>
      </c>
      <c r="J73" s="3" t="s">
        <v>415</v>
      </c>
      <c r="K73" s="3" t="s">
        <v>3454</v>
      </c>
      <c r="L73" s="11" t="s">
        <v>3456</v>
      </c>
    </row>
    <row r="74" spans="1:12" ht="13.2" x14ac:dyDescent="0.25">
      <c r="A74" s="3" t="s">
        <v>3371</v>
      </c>
      <c r="B74" s="3" t="s">
        <v>415</v>
      </c>
      <c r="C74" s="3">
        <v>4144</v>
      </c>
      <c r="D74" s="3" t="s">
        <v>42</v>
      </c>
      <c r="E74" s="3" t="s">
        <v>3428</v>
      </c>
      <c r="F74" s="3">
        <v>51339867</v>
      </c>
      <c r="G74" s="3" t="s">
        <v>3225</v>
      </c>
      <c r="H74" s="3">
        <v>15</v>
      </c>
      <c r="I74" s="3" t="s">
        <v>3377</v>
      </c>
      <c r="J74" s="3" t="s">
        <v>415</v>
      </c>
      <c r="K74" s="3" t="s">
        <v>3454</v>
      </c>
      <c r="L74" s="11" t="s">
        <v>3456</v>
      </c>
    </row>
    <row r="75" spans="1:12" ht="13.2" x14ac:dyDescent="0.25">
      <c r="A75" s="3" t="s">
        <v>3418</v>
      </c>
      <c r="B75" s="3" t="s">
        <v>1733</v>
      </c>
      <c r="C75" s="3">
        <v>4146</v>
      </c>
      <c r="D75" s="3" t="s">
        <v>458</v>
      </c>
      <c r="E75" s="3" t="s">
        <v>3440</v>
      </c>
      <c r="F75" s="3">
        <v>51102204</v>
      </c>
      <c r="G75" s="3" t="s">
        <v>3213</v>
      </c>
      <c r="H75" s="3">
        <v>15</v>
      </c>
      <c r="I75" s="3" t="s">
        <v>3378</v>
      </c>
      <c r="J75" s="3" t="s">
        <v>415</v>
      </c>
      <c r="K75" s="3" t="s">
        <v>3454</v>
      </c>
      <c r="L75" s="11" t="s">
        <v>3455</v>
      </c>
    </row>
    <row r="76" spans="1:12" ht="13.2" x14ac:dyDescent="0.25">
      <c r="A76" s="3" t="s">
        <v>3253</v>
      </c>
      <c r="B76" s="3" t="s">
        <v>1733</v>
      </c>
      <c r="C76" s="3">
        <v>4152</v>
      </c>
      <c r="D76" s="3" t="s">
        <v>65</v>
      </c>
      <c r="E76" s="3" t="s">
        <v>3430</v>
      </c>
      <c r="F76" s="3">
        <v>52003396</v>
      </c>
      <c r="G76" s="3" t="s">
        <v>3085</v>
      </c>
      <c r="H76" s="3">
        <v>14</v>
      </c>
      <c r="I76" s="3" t="s">
        <v>3378</v>
      </c>
      <c r="J76" s="3" t="s">
        <v>415</v>
      </c>
      <c r="K76" s="3" t="s">
        <v>3454</v>
      </c>
      <c r="L76" s="11" t="s">
        <v>3457</v>
      </c>
    </row>
    <row r="77" spans="1:12" ht="13.2" x14ac:dyDescent="0.25">
      <c r="A77" s="3" t="s">
        <v>3369</v>
      </c>
      <c r="B77" s="3" t="s">
        <v>415</v>
      </c>
      <c r="C77" s="3">
        <v>4157</v>
      </c>
      <c r="D77" s="3" t="s">
        <v>3426</v>
      </c>
      <c r="E77" s="3" t="s">
        <v>3452</v>
      </c>
      <c r="F77" s="3">
        <v>52964858</v>
      </c>
      <c r="G77" s="3" t="s">
        <v>3223</v>
      </c>
      <c r="H77" s="3">
        <v>13</v>
      </c>
      <c r="I77" s="3" t="s">
        <v>3377</v>
      </c>
      <c r="J77" s="3" t="s">
        <v>415</v>
      </c>
      <c r="K77" s="3" t="s">
        <v>3454</v>
      </c>
      <c r="L77" s="11" t="s">
        <v>3457</v>
      </c>
    </row>
    <row r="78" spans="1:12" ht="13.2" x14ac:dyDescent="0.25">
      <c r="A78" s="3" t="s">
        <v>3299</v>
      </c>
      <c r="B78" s="3" t="s">
        <v>1733</v>
      </c>
      <c r="C78" s="3">
        <v>4162</v>
      </c>
      <c r="D78" s="3" t="s">
        <v>54</v>
      </c>
      <c r="E78" s="3" t="s">
        <v>3429</v>
      </c>
      <c r="F78" s="3">
        <v>52159528</v>
      </c>
      <c r="G78" s="3" t="s">
        <v>3146</v>
      </c>
      <c r="H78" s="3">
        <v>14</v>
      </c>
      <c r="I78" s="3" t="s">
        <v>3377</v>
      </c>
      <c r="J78" s="3" t="s">
        <v>415</v>
      </c>
      <c r="K78" s="3" t="s">
        <v>3454</v>
      </c>
      <c r="L78" s="11" t="s">
        <v>3455</v>
      </c>
    </row>
    <row r="79" spans="1:12" ht="13.2" x14ac:dyDescent="0.25">
      <c r="A79" s="3" t="s">
        <v>3285</v>
      </c>
      <c r="B79" s="3" t="s">
        <v>1733</v>
      </c>
      <c r="C79" s="3">
        <v>4163</v>
      </c>
      <c r="D79" s="3" t="s">
        <v>54</v>
      </c>
      <c r="E79" s="3" t="s">
        <v>3429</v>
      </c>
      <c r="F79" s="3">
        <v>52764604</v>
      </c>
      <c r="G79" s="3" t="s">
        <v>3130</v>
      </c>
      <c r="H79" s="3">
        <v>14</v>
      </c>
      <c r="I79" s="3" t="s">
        <v>3378</v>
      </c>
      <c r="J79" s="3" t="s">
        <v>415</v>
      </c>
      <c r="K79" s="3" t="s">
        <v>3454</v>
      </c>
      <c r="L79" s="11" t="s">
        <v>3456</v>
      </c>
    </row>
    <row r="80" spans="1:12" ht="13.2" x14ac:dyDescent="0.25">
      <c r="A80" s="3" t="s">
        <v>3342</v>
      </c>
      <c r="B80" s="3" t="s">
        <v>1733</v>
      </c>
      <c r="C80" s="3">
        <v>4164</v>
      </c>
      <c r="D80" s="3" t="s">
        <v>54</v>
      </c>
      <c r="E80" s="3" t="s">
        <v>3429</v>
      </c>
      <c r="F80" s="3">
        <v>51069680</v>
      </c>
      <c r="G80" s="3" t="s">
        <v>3193</v>
      </c>
      <c r="H80" s="3">
        <v>15</v>
      </c>
      <c r="I80" s="3" t="s">
        <v>3377</v>
      </c>
      <c r="J80" s="3" t="s">
        <v>415</v>
      </c>
      <c r="K80" s="3" t="s">
        <v>3454</v>
      </c>
      <c r="L80" s="11" t="s">
        <v>3456</v>
      </c>
    </row>
    <row r="81" spans="1:12" ht="13.2" x14ac:dyDescent="0.25">
      <c r="A81" s="3" t="s">
        <v>3255</v>
      </c>
      <c r="B81" s="3" t="s">
        <v>1733</v>
      </c>
      <c r="C81" s="3">
        <v>4165</v>
      </c>
      <c r="D81" s="3" t="s">
        <v>318</v>
      </c>
      <c r="E81" s="3" t="s">
        <v>3437</v>
      </c>
      <c r="F81" s="3">
        <v>52440028</v>
      </c>
      <c r="G81" s="3" t="s">
        <v>3087</v>
      </c>
      <c r="H81" s="3">
        <v>14</v>
      </c>
      <c r="I81" s="3" t="s">
        <v>3378</v>
      </c>
      <c r="J81" s="3" t="s">
        <v>415</v>
      </c>
      <c r="K81" s="3" t="s">
        <v>3454</v>
      </c>
      <c r="L81" s="11" t="s">
        <v>3455</v>
      </c>
    </row>
    <row r="82" spans="1:12" ht="13.2" x14ac:dyDescent="0.25">
      <c r="A82" s="3" t="s">
        <v>3393</v>
      </c>
      <c r="B82" s="3" t="s">
        <v>1733</v>
      </c>
      <c r="C82" s="3">
        <v>4167</v>
      </c>
      <c r="D82" s="3" t="s">
        <v>458</v>
      </c>
      <c r="E82" s="3" t="s">
        <v>3440</v>
      </c>
      <c r="F82" s="3">
        <v>52366875</v>
      </c>
      <c r="G82" s="3" t="s">
        <v>3109</v>
      </c>
      <c r="H82" s="3">
        <v>14</v>
      </c>
      <c r="I82" s="3" t="s">
        <v>3377</v>
      </c>
      <c r="J82" s="3" t="s">
        <v>415</v>
      </c>
      <c r="K82" s="3" t="s">
        <v>3454</v>
      </c>
      <c r="L82" s="11" t="s">
        <v>3457</v>
      </c>
    </row>
    <row r="83" spans="1:12" ht="13.2" x14ac:dyDescent="0.25">
      <c r="A83" s="3" t="s">
        <v>3278</v>
      </c>
      <c r="B83" s="3" t="s">
        <v>1733</v>
      </c>
      <c r="C83" s="3">
        <v>4171</v>
      </c>
      <c r="D83" s="3" t="s">
        <v>352</v>
      </c>
      <c r="E83" s="3" t="s">
        <v>3439</v>
      </c>
      <c r="F83" s="3">
        <v>51183098</v>
      </c>
      <c r="G83" s="3" t="s">
        <v>3122</v>
      </c>
      <c r="H83" s="3">
        <v>15</v>
      </c>
      <c r="I83" s="3" t="s">
        <v>3377</v>
      </c>
      <c r="J83" s="3" t="s">
        <v>415</v>
      </c>
      <c r="K83" s="3" t="s">
        <v>3454</v>
      </c>
      <c r="L83" s="11" t="s">
        <v>3457</v>
      </c>
    </row>
    <row r="84" spans="1:12" ht="13.2" x14ac:dyDescent="0.25">
      <c r="A84" s="3" t="s">
        <v>3415</v>
      </c>
      <c r="B84" s="3" t="s">
        <v>1733</v>
      </c>
      <c r="C84" s="3">
        <v>4174</v>
      </c>
      <c r="D84" s="3" t="s">
        <v>198</v>
      </c>
      <c r="E84" s="3" t="s">
        <v>3434</v>
      </c>
      <c r="F84" s="3">
        <v>52647669</v>
      </c>
      <c r="G84" s="3" t="s">
        <v>3148</v>
      </c>
      <c r="H84" s="3">
        <v>14</v>
      </c>
      <c r="I84" s="3" t="s">
        <v>3378</v>
      </c>
      <c r="J84" s="3" t="s">
        <v>415</v>
      </c>
      <c r="K84" s="3" t="s">
        <v>3454</v>
      </c>
      <c r="L84" s="11" t="s">
        <v>3455</v>
      </c>
    </row>
    <row r="85" spans="1:12" ht="13.2" x14ac:dyDescent="0.25">
      <c r="A85" s="3" t="s">
        <v>3251</v>
      </c>
      <c r="B85" s="3" t="s">
        <v>1733</v>
      </c>
      <c r="C85" s="3">
        <v>4175</v>
      </c>
      <c r="D85" s="3" t="s">
        <v>65</v>
      </c>
      <c r="E85" s="3" t="s">
        <v>3430</v>
      </c>
      <c r="F85" s="3">
        <v>53218075</v>
      </c>
      <c r="G85" s="3" t="s">
        <v>3081</v>
      </c>
      <c r="H85" s="3">
        <v>13</v>
      </c>
      <c r="I85" s="3" t="s">
        <v>3378</v>
      </c>
      <c r="J85" s="3" t="s">
        <v>415</v>
      </c>
      <c r="K85" s="3" t="s">
        <v>3454</v>
      </c>
      <c r="L85" s="11" t="s">
        <v>3456</v>
      </c>
    </row>
    <row r="86" spans="1:12" ht="13.2" x14ac:dyDescent="0.25">
      <c r="A86" s="3" t="s">
        <v>3283</v>
      </c>
      <c r="B86" s="3" t="s">
        <v>1733</v>
      </c>
      <c r="C86" s="3">
        <v>4179</v>
      </c>
      <c r="D86" s="3" t="s">
        <v>198</v>
      </c>
      <c r="E86" s="3" t="s">
        <v>3434</v>
      </c>
      <c r="F86" s="3">
        <v>51125913</v>
      </c>
      <c r="G86" s="4">
        <v>40680</v>
      </c>
      <c r="H86" s="3">
        <v>15</v>
      </c>
      <c r="I86" s="3" t="s">
        <v>3377</v>
      </c>
      <c r="J86" s="3" t="s">
        <v>415</v>
      </c>
      <c r="K86" s="3" t="s">
        <v>3454</v>
      </c>
      <c r="L86" s="11" t="s">
        <v>3456</v>
      </c>
    </row>
    <row r="87" spans="1:12" ht="13.2" x14ac:dyDescent="0.25">
      <c r="A87" s="3" t="s">
        <v>3386</v>
      </c>
      <c r="B87" s="3" t="s">
        <v>1733</v>
      </c>
      <c r="C87" s="3">
        <v>4181</v>
      </c>
      <c r="D87" s="3" t="s">
        <v>198</v>
      </c>
      <c r="E87" s="3" t="s">
        <v>3434</v>
      </c>
      <c r="F87" s="3">
        <v>52699830</v>
      </c>
      <c r="G87" s="3" t="s">
        <v>3094</v>
      </c>
      <c r="H87" s="3">
        <v>14</v>
      </c>
      <c r="I87" s="3" t="s">
        <v>3377</v>
      </c>
      <c r="J87" s="3" t="s">
        <v>415</v>
      </c>
      <c r="K87" s="3" t="s">
        <v>3454</v>
      </c>
      <c r="L87" s="11" t="s">
        <v>3455</v>
      </c>
    </row>
    <row r="88" spans="1:12" ht="13.2" x14ac:dyDescent="0.25">
      <c r="A88" s="3" t="s">
        <v>3248</v>
      </c>
      <c r="B88" s="3" t="s">
        <v>1733</v>
      </c>
      <c r="C88" s="3">
        <v>4182</v>
      </c>
      <c r="D88" s="3" t="s">
        <v>207</v>
      </c>
      <c r="E88" s="3" t="s">
        <v>3435</v>
      </c>
      <c r="F88" s="3">
        <v>51336821</v>
      </c>
      <c r="G88" s="3" t="s">
        <v>3078</v>
      </c>
      <c r="H88" s="3">
        <v>15</v>
      </c>
      <c r="I88" s="3" t="s">
        <v>3378</v>
      </c>
      <c r="J88" s="3" t="s">
        <v>415</v>
      </c>
      <c r="K88" s="3" t="s">
        <v>3454</v>
      </c>
      <c r="L88" s="11" t="s">
        <v>3457</v>
      </c>
    </row>
    <row r="89" spans="1:12" ht="13.2" x14ac:dyDescent="0.25">
      <c r="A89" s="3" t="s">
        <v>3322</v>
      </c>
      <c r="B89" s="3" t="s">
        <v>1733</v>
      </c>
      <c r="C89" s="3">
        <v>4183</v>
      </c>
      <c r="D89" s="3" t="s">
        <v>171</v>
      </c>
      <c r="E89" s="3" t="s">
        <v>3433</v>
      </c>
      <c r="F89" s="3">
        <v>53583314</v>
      </c>
      <c r="G89" s="3" t="s">
        <v>3170</v>
      </c>
      <c r="H89" s="3">
        <v>13</v>
      </c>
      <c r="I89" s="3" t="s">
        <v>3378</v>
      </c>
      <c r="J89" s="3" t="s">
        <v>415</v>
      </c>
      <c r="K89" s="3" t="s">
        <v>3454</v>
      </c>
      <c r="L89" s="11" t="s">
        <v>3457</v>
      </c>
    </row>
    <row r="90" spans="1:12" ht="13.2" x14ac:dyDescent="0.25">
      <c r="A90" s="3" t="s">
        <v>3249</v>
      </c>
      <c r="B90" s="3" t="s">
        <v>1733</v>
      </c>
      <c r="C90" s="3">
        <v>4185</v>
      </c>
      <c r="D90" s="3" t="s">
        <v>207</v>
      </c>
      <c r="E90" s="3" t="s">
        <v>3435</v>
      </c>
      <c r="F90" s="3">
        <v>53831603</v>
      </c>
      <c r="G90" s="3" t="s">
        <v>3079</v>
      </c>
      <c r="H90" s="3">
        <v>13</v>
      </c>
      <c r="I90" s="3" t="s">
        <v>3378</v>
      </c>
      <c r="J90" s="3" t="s">
        <v>415</v>
      </c>
      <c r="K90" s="3" t="s">
        <v>3454</v>
      </c>
      <c r="L90" s="11" t="s">
        <v>3455</v>
      </c>
    </row>
    <row r="91" spans="1:12" ht="13.2" x14ac:dyDescent="0.25">
      <c r="A91" s="3" t="s">
        <v>3274</v>
      </c>
      <c r="B91" s="3" t="s">
        <v>1733</v>
      </c>
      <c r="C91" s="3">
        <v>4187</v>
      </c>
      <c r="D91" s="3" t="s">
        <v>590</v>
      </c>
      <c r="E91" s="3" t="s">
        <v>3443</v>
      </c>
      <c r="F91" s="3">
        <v>52764600</v>
      </c>
      <c r="G91" s="3" t="s">
        <v>3118</v>
      </c>
      <c r="H91" s="3">
        <v>14</v>
      </c>
      <c r="I91" s="3" t="s">
        <v>3377</v>
      </c>
      <c r="J91" s="3" t="s">
        <v>415</v>
      </c>
      <c r="K91" s="3" t="s">
        <v>3454</v>
      </c>
      <c r="L91" s="11" t="s">
        <v>3456</v>
      </c>
    </row>
    <row r="92" spans="1:12" ht="13.2" x14ac:dyDescent="0.25">
      <c r="A92" s="3" t="s">
        <v>3354</v>
      </c>
      <c r="B92" s="3" t="s">
        <v>1733</v>
      </c>
      <c r="C92" s="3">
        <v>4188</v>
      </c>
      <c r="D92" s="3" t="s">
        <v>198</v>
      </c>
      <c r="E92" s="3" t="s">
        <v>3434</v>
      </c>
      <c r="F92" s="3">
        <v>51588663</v>
      </c>
      <c r="G92" s="3" t="s">
        <v>3204</v>
      </c>
      <c r="H92" s="3">
        <v>15</v>
      </c>
      <c r="I92" s="3" t="s">
        <v>3378</v>
      </c>
      <c r="J92" s="3" t="s">
        <v>415</v>
      </c>
      <c r="K92" s="3" t="s">
        <v>3454</v>
      </c>
      <c r="L92" s="11" t="s">
        <v>3456</v>
      </c>
    </row>
    <row r="93" spans="1:12" ht="13.2" x14ac:dyDescent="0.25">
      <c r="A93" s="3" t="s">
        <v>3375</v>
      </c>
      <c r="B93" s="3" t="s">
        <v>415</v>
      </c>
      <c r="C93" s="3">
        <v>4190</v>
      </c>
      <c r="D93" s="3" t="s">
        <v>198</v>
      </c>
      <c r="E93" s="3" t="s">
        <v>3434</v>
      </c>
      <c r="F93" s="3">
        <v>51358936</v>
      </c>
      <c r="G93" s="3" t="s">
        <v>3230</v>
      </c>
      <c r="H93" s="3">
        <v>15</v>
      </c>
      <c r="I93" s="3" t="s">
        <v>3378</v>
      </c>
      <c r="J93" s="3" t="s">
        <v>415</v>
      </c>
      <c r="K93" s="3" t="s">
        <v>3454</v>
      </c>
      <c r="L93" s="11" t="s">
        <v>3455</v>
      </c>
    </row>
    <row r="94" spans="1:12" ht="13.2" x14ac:dyDescent="0.25">
      <c r="A94" s="3" t="s">
        <v>3350</v>
      </c>
      <c r="B94" s="3" t="s">
        <v>1733</v>
      </c>
      <c r="C94" s="3">
        <v>4191</v>
      </c>
      <c r="D94" s="3" t="s">
        <v>198</v>
      </c>
      <c r="E94" s="3" t="s">
        <v>3434</v>
      </c>
      <c r="F94" s="3">
        <v>52790163</v>
      </c>
      <c r="G94" s="3" t="s">
        <v>3201</v>
      </c>
      <c r="H94" s="3">
        <v>14</v>
      </c>
      <c r="I94" s="3" t="s">
        <v>3378</v>
      </c>
      <c r="J94" s="3" t="s">
        <v>415</v>
      </c>
      <c r="K94" s="3" t="s">
        <v>3454</v>
      </c>
      <c r="L94" s="11" t="s">
        <v>3457</v>
      </c>
    </row>
    <row r="95" spans="1:12" ht="13.2" x14ac:dyDescent="0.25">
      <c r="A95" s="3" t="s">
        <v>3340</v>
      </c>
      <c r="B95" s="3" t="s">
        <v>1733</v>
      </c>
      <c r="C95" s="3">
        <v>4192</v>
      </c>
      <c r="D95" s="3" t="s">
        <v>566</v>
      </c>
      <c r="E95" s="3" t="s">
        <v>3442</v>
      </c>
      <c r="F95" s="3">
        <v>50671157</v>
      </c>
      <c r="G95" s="3" t="s">
        <v>3192</v>
      </c>
      <c r="H95" s="3">
        <v>15</v>
      </c>
      <c r="I95" s="3" t="s">
        <v>3378</v>
      </c>
      <c r="J95" s="3" t="s">
        <v>415</v>
      </c>
      <c r="K95" s="3" t="s">
        <v>3454</v>
      </c>
      <c r="L95" s="11" t="s">
        <v>3457</v>
      </c>
    </row>
    <row r="96" spans="1:12" ht="13.2" x14ac:dyDescent="0.25">
      <c r="A96" s="3" t="s">
        <v>3256</v>
      </c>
      <c r="B96" s="3" t="s">
        <v>1733</v>
      </c>
      <c r="C96" s="3">
        <v>4193</v>
      </c>
      <c r="D96" s="3" t="s">
        <v>326</v>
      </c>
      <c r="E96" s="3" t="s">
        <v>3438</v>
      </c>
      <c r="F96" s="3">
        <v>51261170</v>
      </c>
      <c r="G96" s="3" t="s">
        <v>3088</v>
      </c>
      <c r="H96" s="3">
        <v>15</v>
      </c>
      <c r="I96" s="3" t="s">
        <v>3377</v>
      </c>
      <c r="J96" s="3" t="s">
        <v>415</v>
      </c>
      <c r="K96" s="3" t="s">
        <v>3454</v>
      </c>
      <c r="L96" s="11" t="s">
        <v>3455</v>
      </c>
    </row>
    <row r="97" spans="1:12" ht="13.2" x14ac:dyDescent="0.25">
      <c r="A97" s="3" t="s">
        <v>3259</v>
      </c>
      <c r="B97" s="3" t="s">
        <v>1733</v>
      </c>
      <c r="C97" s="3">
        <v>4194</v>
      </c>
      <c r="D97" s="3" t="s">
        <v>198</v>
      </c>
      <c r="E97" s="3" t="s">
        <v>3434</v>
      </c>
      <c r="F97" s="3">
        <v>51586146</v>
      </c>
      <c r="G97" s="3" t="s">
        <v>3093</v>
      </c>
      <c r="H97" s="3">
        <v>15</v>
      </c>
      <c r="I97" s="3" t="s">
        <v>3377</v>
      </c>
      <c r="J97" s="3" t="s">
        <v>415</v>
      </c>
      <c r="K97" s="3" t="s">
        <v>3454</v>
      </c>
      <c r="L97" s="11" t="s">
        <v>3456</v>
      </c>
    </row>
    <row r="98" spans="1:12" ht="13.2" x14ac:dyDescent="0.25">
      <c r="A98" s="3" t="s">
        <v>3263</v>
      </c>
      <c r="B98" s="3" t="s">
        <v>1733</v>
      </c>
      <c r="C98" s="3">
        <v>4195</v>
      </c>
      <c r="D98" s="3" t="s">
        <v>318</v>
      </c>
      <c r="E98" s="3" t="s">
        <v>3437</v>
      </c>
      <c r="F98" s="3">
        <v>54627320</v>
      </c>
      <c r="G98" s="3" t="s">
        <v>3101</v>
      </c>
      <c r="H98" s="3">
        <v>11</v>
      </c>
      <c r="I98" s="3" t="s">
        <v>3378</v>
      </c>
      <c r="J98" s="3" t="s">
        <v>415</v>
      </c>
      <c r="K98" s="3" t="s">
        <v>3454</v>
      </c>
      <c r="L98" s="11" t="s">
        <v>3456</v>
      </c>
    </row>
    <row r="99" spans="1:12" ht="13.2" x14ac:dyDescent="0.25">
      <c r="A99" s="3" t="s">
        <v>3302</v>
      </c>
      <c r="B99" s="3" t="s">
        <v>1733</v>
      </c>
      <c r="C99" s="3">
        <v>4197</v>
      </c>
      <c r="D99" s="3" t="s">
        <v>54</v>
      </c>
      <c r="E99" s="3" t="s">
        <v>3429</v>
      </c>
      <c r="F99" s="3">
        <v>51511518</v>
      </c>
      <c r="G99" s="3" t="s">
        <v>3151</v>
      </c>
      <c r="H99" s="3">
        <v>15</v>
      </c>
      <c r="I99" s="3" t="s">
        <v>3378</v>
      </c>
      <c r="J99" s="3" t="s">
        <v>415</v>
      </c>
      <c r="K99" s="3" t="s">
        <v>3454</v>
      </c>
      <c r="L99" s="11" t="s">
        <v>3455</v>
      </c>
    </row>
    <row r="100" spans="1:12" ht="13.2" x14ac:dyDescent="0.25">
      <c r="A100" s="3" t="s">
        <v>3252</v>
      </c>
      <c r="B100" s="3" t="s">
        <v>1733</v>
      </c>
      <c r="C100" s="3">
        <v>4198</v>
      </c>
      <c r="D100" s="3" t="s">
        <v>74</v>
      </c>
      <c r="E100" s="3" t="s">
        <v>3431</v>
      </c>
      <c r="F100" s="3">
        <v>53454414</v>
      </c>
      <c r="G100" s="3" t="s">
        <v>3084</v>
      </c>
      <c r="H100" s="3">
        <v>13</v>
      </c>
      <c r="I100" s="3" t="s">
        <v>3378</v>
      </c>
      <c r="J100" s="3" t="s">
        <v>415</v>
      </c>
      <c r="K100" s="3" t="s">
        <v>3454</v>
      </c>
      <c r="L100" s="11" t="s">
        <v>3457</v>
      </c>
    </row>
    <row r="101" spans="1:12" ht="13.2" x14ac:dyDescent="0.25">
      <c r="A101" s="3" t="s">
        <v>3383</v>
      </c>
      <c r="B101" s="3" t="s">
        <v>1733</v>
      </c>
      <c r="C101" s="3">
        <v>4201</v>
      </c>
      <c r="D101" s="3" t="s">
        <v>74</v>
      </c>
      <c r="E101" s="3" t="s">
        <v>3431</v>
      </c>
      <c r="F101" s="3">
        <v>53202237</v>
      </c>
      <c r="G101" s="3" t="s">
        <v>3083</v>
      </c>
      <c r="H101" s="3">
        <v>13</v>
      </c>
      <c r="I101" s="3" t="s">
        <v>3378</v>
      </c>
      <c r="J101" s="3" t="s">
        <v>415</v>
      </c>
      <c r="K101" s="3" t="s">
        <v>3454</v>
      </c>
      <c r="L101" s="11" t="s">
        <v>3457</v>
      </c>
    </row>
    <row r="102" spans="1:12" ht="13.2" x14ac:dyDescent="0.25">
      <c r="A102" s="3" t="s">
        <v>3414</v>
      </c>
      <c r="B102" s="3" t="s">
        <v>1733</v>
      </c>
      <c r="C102" s="3">
        <v>4202</v>
      </c>
      <c r="D102" s="3" t="s">
        <v>566</v>
      </c>
      <c r="E102" s="3" t="s">
        <v>3442</v>
      </c>
      <c r="F102" s="3">
        <v>53690319</v>
      </c>
      <c r="G102" s="3" t="s">
        <v>3196</v>
      </c>
      <c r="H102" s="3">
        <v>13</v>
      </c>
      <c r="I102" s="3" t="s">
        <v>3378</v>
      </c>
      <c r="J102" s="3" t="s">
        <v>415</v>
      </c>
      <c r="K102" s="3" t="s">
        <v>3454</v>
      </c>
      <c r="L102" s="11" t="s">
        <v>3455</v>
      </c>
    </row>
    <row r="103" spans="1:12" ht="13.2" x14ac:dyDescent="0.25">
      <c r="A103" s="3" t="s">
        <v>3298</v>
      </c>
      <c r="B103" s="3" t="s">
        <v>1733</v>
      </c>
      <c r="C103" s="3">
        <v>4204</v>
      </c>
      <c r="D103" s="3" t="s">
        <v>318</v>
      </c>
      <c r="E103" s="3" t="s">
        <v>3437</v>
      </c>
      <c r="F103" s="3">
        <v>52122807</v>
      </c>
      <c r="G103" s="3" t="s">
        <v>3109</v>
      </c>
      <c r="H103" s="3">
        <v>14</v>
      </c>
      <c r="I103" s="3" t="s">
        <v>3378</v>
      </c>
      <c r="J103" s="3" t="s">
        <v>415</v>
      </c>
      <c r="K103" s="3" t="s">
        <v>3454</v>
      </c>
      <c r="L103" s="11" t="s">
        <v>3456</v>
      </c>
    </row>
    <row r="104" spans="1:12" ht="13.2" x14ac:dyDescent="0.25">
      <c r="A104" s="3" t="s">
        <v>3337</v>
      </c>
      <c r="B104" s="3" t="s">
        <v>1733</v>
      </c>
      <c r="C104" s="3">
        <v>4205</v>
      </c>
      <c r="D104" s="3" t="s">
        <v>198</v>
      </c>
      <c r="E104" s="3" t="s">
        <v>3434</v>
      </c>
      <c r="F104" s="3">
        <v>52454232</v>
      </c>
      <c r="G104" s="3" t="s">
        <v>3189</v>
      </c>
      <c r="H104" s="3">
        <v>14</v>
      </c>
      <c r="I104" s="3" t="s">
        <v>3377</v>
      </c>
      <c r="J104" s="3" t="s">
        <v>415</v>
      </c>
      <c r="K104" s="3" t="s">
        <v>3454</v>
      </c>
      <c r="L104" s="11" t="s">
        <v>3456</v>
      </c>
    </row>
    <row r="105" spans="1:12" ht="13.2" x14ac:dyDescent="0.25">
      <c r="A105" s="3" t="s">
        <v>3239</v>
      </c>
      <c r="B105" s="3" t="s">
        <v>1733</v>
      </c>
      <c r="C105" s="3">
        <v>4209</v>
      </c>
      <c r="D105" s="3" t="s">
        <v>65</v>
      </c>
      <c r="E105" s="3" t="s">
        <v>3430</v>
      </c>
      <c r="F105" s="3">
        <v>51049622</v>
      </c>
      <c r="G105" s="3" t="s">
        <v>3069</v>
      </c>
      <c r="H105" s="3">
        <v>15</v>
      </c>
      <c r="I105" s="3" t="s">
        <v>3377</v>
      </c>
      <c r="J105" s="3" t="s">
        <v>415</v>
      </c>
      <c r="K105" s="3" t="s">
        <v>3454</v>
      </c>
      <c r="L105" s="11" t="s">
        <v>3455</v>
      </c>
    </row>
    <row r="106" spans="1:12" ht="13.2" x14ac:dyDescent="0.25">
      <c r="A106" s="3" t="s">
        <v>3338</v>
      </c>
      <c r="B106" s="3" t="s">
        <v>1733</v>
      </c>
      <c r="C106" s="3">
        <v>4210</v>
      </c>
      <c r="D106" s="3" t="s">
        <v>74</v>
      </c>
      <c r="E106" s="3" t="s">
        <v>3431</v>
      </c>
      <c r="F106" s="3">
        <v>53645984</v>
      </c>
      <c r="G106" s="3" t="s">
        <v>3190</v>
      </c>
      <c r="H106" s="3">
        <v>13</v>
      </c>
      <c r="I106" s="3" t="s">
        <v>3378</v>
      </c>
      <c r="J106" s="3" t="s">
        <v>415</v>
      </c>
      <c r="K106" s="3" t="s">
        <v>3454</v>
      </c>
      <c r="L106" s="11" t="s">
        <v>3457</v>
      </c>
    </row>
    <row r="107" spans="1:12" ht="13.2" x14ac:dyDescent="0.25">
      <c r="A107" s="3" t="s">
        <v>3412</v>
      </c>
      <c r="B107" s="3" t="s">
        <v>1733</v>
      </c>
      <c r="C107" s="3">
        <v>4211</v>
      </c>
      <c r="D107" s="3" t="s">
        <v>74</v>
      </c>
      <c r="E107" s="3" t="s">
        <v>3431</v>
      </c>
      <c r="F107" s="3">
        <v>52768073</v>
      </c>
      <c r="G107" s="3" t="s">
        <v>3150</v>
      </c>
      <c r="H107" s="3">
        <v>14</v>
      </c>
      <c r="I107" s="3" t="s">
        <v>3378</v>
      </c>
      <c r="J107" s="3" t="s">
        <v>415</v>
      </c>
      <c r="K107" s="3" t="s">
        <v>3454</v>
      </c>
      <c r="L107" s="11" t="s">
        <v>3457</v>
      </c>
    </row>
    <row r="108" spans="1:12" ht="13.2" x14ac:dyDescent="0.25">
      <c r="A108" s="3" t="s">
        <v>3355</v>
      </c>
      <c r="B108" s="3" t="s">
        <v>1733</v>
      </c>
      <c r="C108" s="3">
        <v>4214</v>
      </c>
      <c r="D108" s="3" t="s">
        <v>198</v>
      </c>
      <c r="E108" s="3" t="s">
        <v>3434</v>
      </c>
      <c r="F108" s="3">
        <v>51267743</v>
      </c>
      <c r="G108" s="3" t="s">
        <v>3205</v>
      </c>
      <c r="H108" s="3">
        <v>15</v>
      </c>
      <c r="I108" s="3" t="s">
        <v>3377</v>
      </c>
      <c r="J108" s="3" t="s">
        <v>415</v>
      </c>
      <c r="K108" s="3" t="s">
        <v>3454</v>
      </c>
      <c r="L108" s="11" t="s">
        <v>3455</v>
      </c>
    </row>
    <row r="109" spans="1:12" ht="13.2" x14ac:dyDescent="0.25">
      <c r="A109" s="3" t="s">
        <v>3321</v>
      </c>
      <c r="B109" s="3" t="s">
        <v>1733</v>
      </c>
      <c r="C109" s="3">
        <v>4215</v>
      </c>
      <c r="D109" s="3" t="s">
        <v>318</v>
      </c>
      <c r="E109" s="3" t="s">
        <v>3437</v>
      </c>
      <c r="F109" s="3">
        <v>50610292</v>
      </c>
      <c r="G109" s="3" t="s">
        <v>3169</v>
      </c>
      <c r="H109" s="3">
        <v>15</v>
      </c>
      <c r="I109" s="3" t="s">
        <v>3378</v>
      </c>
      <c r="J109" s="3" t="s">
        <v>415</v>
      </c>
      <c r="K109" s="3" t="s">
        <v>3454</v>
      </c>
      <c r="L109" s="11" t="s">
        <v>3456</v>
      </c>
    </row>
    <row r="110" spans="1:12" ht="13.2" x14ac:dyDescent="0.25">
      <c r="A110" s="3" t="s">
        <v>3293</v>
      </c>
      <c r="B110" s="3" t="s">
        <v>1733</v>
      </c>
      <c r="C110" s="3">
        <v>4218</v>
      </c>
      <c r="D110" s="3" t="s">
        <v>29</v>
      </c>
      <c r="E110" s="3" t="s">
        <v>3427</v>
      </c>
      <c r="F110" s="3">
        <v>52085390</v>
      </c>
      <c r="G110" s="3" t="s">
        <v>3140</v>
      </c>
      <c r="H110" s="3">
        <v>14</v>
      </c>
      <c r="I110" s="3" t="s">
        <v>3378</v>
      </c>
      <c r="J110" s="3" t="s">
        <v>415</v>
      </c>
      <c r="K110" s="3" t="s">
        <v>3454</v>
      </c>
      <c r="L110" s="11" t="s">
        <v>3456</v>
      </c>
    </row>
    <row r="111" spans="1:12" ht="13.2" x14ac:dyDescent="0.25">
      <c r="A111" s="3" t="s">
        <v>3408</v>
      </c>
      <c r="B111" s="3" t="s">
        <v>1733</v>
      </c>
      <c r="C111" s="3">
        <v>4223</v>
      </c>
      <c r="D111" s="3" t="s">
        <v>1401</v>
      </c>
      <c r="E111" s="3" t="s">
        <v>3450</v>
      </c>
      <c r="F111" s="3">
        <v>53799215</v>
      </c>
      <c r="G111" s="3" t="s">
        <v>3180</v>
      </c>
      <c r="H111" s="3">
        <v>12</v>
      </c>
      <c r="I111" s="3" t="s">
        <v>3378</v>
      </c>
      <c r="J111" s="3" t="s">
        <v>415</v>
      </c>
      <c r="K111" s="3" t="s">
        <v>3454</v>
      </c>
      <c r="L111" s="11" t="s">
        <v>3455</v>
      </c>
    </row>
    <row r="112" spans="1:12" ht="13.2" x14ac:dyDescent="0.25">
      <c r="A112" s="3" t="s">
        <v>3398</v>
      </c>
      <c r="B112" s="3" t="s">
        <v>1733</v>
      </c>
      <c r="C112" s="3">
        <v>4225</v>
      </c>
      <c r="D112" s="3" t="s">
        <v>939</v>
      </c>
      <c r="E112" s="3" t="s">
        <v>3447</v>
      </c>
      <c r="F112" s="3">
        <v>52866577</v>
      </c>
      <c r="G112" s="3" t="s">
        <v>3132</v>
      </c>
      <c r="H112" s="3">
        <v>13</v>
      </c>
      <c r="I112" s="3" t="s">
        <v>3377</v>
      </c>
      <c r="J112" s="3" t="s">
        <v>415</v>
      </c>
      <c r="K112" s="3" t="s">
        <v>3454</v>
      </c>
      <c r="L112" s="11" t="s">
        <v>3457</v>
      </c>
    </row>
    <row r="113" spans="1:12" ht="13.2" x14ac:dyDescent="0.25">
      <c r="A113" s="3" t="s">
        <v>3352</v>
      </c>
      <c r="B113" s="3" t="s">
        <v>1733</v>
      </c>
      <c r="C113" s="3">
        <v>4226</v>
      </c>
      <c r="D113" s="3" t="s">
        <v>74</v>
      </c>
      <c r="E113" s="3" t="s">
        <v>3431</v>
      </c>
      <c r="F113" s="3">
        <v>52854980</v>
      </c>
      <c r="G113" s="3" t="s">
        <v>3202</v>
      </c>
      <c r="H113" s="3">
        <v>14</v>
      </c>
      <c r="I113" s="3" t="s">
        <v>3377</v>
      </c>
      <c r="J113" s="3" t="s">
        <v>415</v>
      </c>
      <c r="K113" s="3" t="s">
        <v>3454</v>
      </c>
      <c r="L113" s="11" t="s">
        <v>3457</v>
      </c>
    </row>
    <row r="114" spans="1:12" ht="13.2" x14ac:dyDescent="0.25">
      <c r="A114" s="3" t="s">
        <v>3277</v>
      </c>
      <c r="B114" s="3" t="s">
        <v>1733</v>
      </c>
      <c r="C114" s="3">
        <v>4228</v>
      </c>
      <c r="D114" s="3" t="s">
        <v>318</v>
      </c>
      <c r="E114" s="3" t="s">
        <v>3437</v>
      </c>
      <c r="F114" s="3">
        <v>51121535</v>
      </c>
      <c r="G114" s="3" t="s">
        <v>3121</v>
      </c>
      <c r="H114" s="3">
        <v>15</v>
      </c>
      <c r="I114" s="3" t="s">
        <v>3378</v>
      </c>
      <c r="J114" s="3" t="s">
        <v>415</v>
      </c>
      <c r="K114" s="3" t="s">
        <v>3454</v>
      </c>
      <c r="L114" s="11" t="s">
        <v>3455</v>
      </c>
    </row>
    <row r="115" spans="1:12" ht="13.2" x14ac:dyDescent="0.25">
      <c r="A115" s="3" t="s">
        <v>3271</v>
      </c>
      <c r="B115" s="3" t="s">
        <v>1733</v>
      </c>
      <c r="C115" s="3">
        <v>4232</v>
      </c>
      <c r="D115" s="3" t="s">
        <v>706</v>
      </c>
      <c r="E115" s="3" t="s">
        <v>3445</v>
      </c>
      <c r="F115" s="3">
        <v>54602290</v>
      </c>
      <c r="G115" s="3" t="s">
        <v>3115</v>
      </c>
      <c r="H115" s="3">
        <v>11</v>
      </c>
      <c r="I115" s="3" t="s">
        <v>3378</v>
      </c>
      <c r="J115" s="3" t="s">
        <v>415</v>
      </c>
      <c r="K115" s="3" t="s">
        <v>3454</v>
      </c>
      <c r="L115" s="11" t="s">
        <v>3456</v>
      </c>
    </row>
    <row r="116" spans="1:12" ht="13.2" x14ac:dyDescent="0.25">
      <c r="A116" s="3" t="s">
        <v>3405</v>
      </c>
      <c r="B116" s="3" t="s">
        <v>1733</v>
      </c>
      <c r="C116" s="3">
        <v>4234</v>
      </c>
      <c r="D116" s="3" t="s">
        <v>458</v>
      </c>
      <c r="E116" s="3" t="s">
        <v>3440</v>
      </c>
      <c r="F116" s="3">
        <v>52755200</v>
      </c>
      <c r="G116" s="3" t="s">
        <v>3094</v>
      </c>
      <c r="H116" s="3">
        <v>14</v>
      </c>
      <c r="I116" s="3" t="s">
        <v>3377</v>
      </c>
      <c r="J116" s="3" t="s">
        <v>415</v>
      </c>
      <c r="K116" s="3" t="s">
        <v>3454</v>
      </c>
      <c r="L116" s="11" t="s">
        <v>3456</v>
      </c>
    </row>
    <row r="117" spans="1:12" ht="13.2" x14ac:dyDescent="0.25">
      <c r="A117" s="3" t="s">
        <v>3348</v>
      </c>
      <c r="B117" s="3" t="s">
        <v>415</v>
      </c>
      <c r="C117" s="3">
        <v>4237</v>
      </c>
      <c r="D117" s="3" t="s">
        <v>318</v>
      </c>
      <c r="E117" s="3" t="s">
        <v>3437</v>
      </c>
      <c r="F117" s="3">
        <v>50903230</v>
      </c>
      <c r="G117" s="3" t="s">
        <v>3199</v>
      </c>
      <c r="H117" s="3">
        <v>15</v>
      </c>
      <c r="I117" s="3" t="s">
        <v>3377</v>
      </c>
      <c r="J117" s="3" t="s">
        <v>415</v>
      </c>
      <c r="K117" s="3" t="s">
        <v>3454</v>
      </c>
      <c r="L117" s="11" t="s">
        <v>3455</v>
      </c>
    </row>
    <row r="118" spans="1:12" ht="13.2" x14ac:dyDescent="0.25">
      <c r="A118" s="3" t="s">
        <v>3411</v>
      </c>
      <c r="B118" s="3" t="s">
        <v>1733</v>
      </c>
      <c r="C118" s="3">
        <v>4239</v>
      </c>
      <c r="D118" s="3" t="s">
        <v>198</v>
      </c>
      <c r="E118" s="3" t="s">
        <v>3434</v>
      </c>
      <c r="F118" s="3">
        <v>51269548</v>
      </c>
      <c r="G118" s="3" t="s">
        <v>3122</v>
      </c>
      <c r="H118" s="3">
        <v>15</v>
      </c>
      <c r="I118" s="3" t="s">
        <v>3377</v>
      </c>
      <c r="J118" s="3" t="s">
        <v>415</v>
      </c>
      <c r="K118" s="3" t="s">
        <v>3454</v>
      </c>
      <c r="L118" s="11" t="s">
        <v>3457</v>
      </c>
    </row>
    <row r="119" spans="1:12" ht="13.2" x14ac:dyDescent="0.25">
      <c r="A119" s="3" t="s">
        <v>3289</v>
      </c>
      <c r="B119" s="3" t="s">
        <v>1733</v>
      </c>
      <c r="C119" s="3">
        <v>4241</v>
      </c>
      <c r="D119" s="3" t="s">
        <v>42</v>
      </c>
      <c r="E119" s="3" t="s">
        <v>3428</v>
      </c>
      <c r="F119" s="3">
        <v>54099646</v>
      </c>
      <c r="G119" s="3" t="s">
        <v>3135</v>
      </c>
      <c r="H119" s="3">
        <v>12</v>
      </c>
      <c r="I119" s="3" t="s">
        <v>3378</v>
      </c>
      <c r="J119" s="3" t="s">
        <v>415</v>
      </c>
      <c r="K119" s="3" t="s">
        <v>3454</v>
      </c>
      <c r="L119" s="11" t="s">
        <v>3457</v>
      </c>
    </row>
    <row r="120" spans="1:12" ht="13.2" x14ac:dyDescent="0.25">
      <c r="A120" s="3" t="s">
        <v>3270</v>
      </c>
      <c r="B120" s="3" t="s">
        <v>1733</v>
      </c>
      <c r="C120" s="3">
        <v>4243</v>
      </c>
      <c r="D120" s="3" t="s">
        <v>566</v>
      </c>
      <c r="E120" s="3" t="s">
        <v>3442</v>
      </c>
      <c r="F120" s="3">
        <v>52448630</v>
      </c>
      <c r="G120" s="3" t="s">
        <v>3114</v>
      </c>
      <c r="H120" s="3">
        <v>14</v>
      </c>
      <c r="I120" s="3" t="s">
        <v>3378</v>
      </c>
      <c r="J120" s="3" t="s">
        <v>415</v>
      </c>
      <c r="K120" s="3" t="s">
        <v>3454</v>
      </c>
      <c r="L120" s="11" t="s">
        <v>3455</v>
      </c>
    </row>
    <row r="121" spans="1:12" ht="13.2" x14ac:dyDescent="0.25">
      <c r="A121" s="3" t="s">
        <v>3290</v>
      </c>
      <c r="B121" s="3" t="s">
        <v>1733</v>
      </c>
      <c r="C121" s="3">
        <v>4244</v>
      </c>
      <c r="D121" s="3" t="s">
        <v>566</v>
      </c>
      <c r="E121" s="3" t="s">
        <v>3442</v>
      </c>
      <c r="F121" s="3">
        <v>53586402</v>
      </c>
      <c r="G121" s="3" t="s">
        <v>3137</v>
      </c>
      <c r="H121" s="3">
        <v>13</v>
      </c>
      <c r="I121" s="3" t="s">
        <v>3378</v>
      </c>
      <c r="J121" s="3" t="s">
        <v>415</v>
      </c>
      <c r="K121" s="3" t="s">
        <v>3454</v>
      </c>
      <c r="L121" s="11" t="s">
        <v>3456</v>
      </c>
    </row>
    <row r="122" spans="1:12" ht="13.2" x14ac:dyDescent="0.25">
      <c r="A122" s="3" t="s">
        <v>3389</v>
      </c>
      <c r="B122" s="3" t="s">
        <v>1733</v>
      </c>
      <c r="C122" s="3">
        <v>4245</v>
      </c>
      <c r="D122" s="3" t="s">
        <v>470</v>
      </c>
      <c r="E122" s="3" t="s">
        <v>3441</v>
      </c>
      <c r="F122" s="3">
        <v>52672616</v>
      </c>
      <c r="G122" s="3" t="s">
        <v>3098</v>
      </c>
      <c r="H122" s="3">
        <v>14</v>
      </c>
      <c r="I122" s="3" t="s">
        <v>3377</v>
      </c>
      <c r="J122" s="3" t="s">
        <v>415</v>
      </c>
      <c r="K122" s="3" t="s">
        <v>3454</v>
      </c>
      <c r="L122" s="11" t="s">
        <v>3456</v>
      </c>
    </row>
    <row r="123" spans="1:12" ht="13.2" x14ac:dyDescent="0.25">
      <c r="A123" s="3" t="s">
        <v>3347</v>
      </c>
      <c r="B123" s="3" t="s">
        <v>1733</v>
      </c>
      <c r="C123" s="3">
        <v>4246</v>
      </c>
      <c r="D123" s="3" t="s">
        <v>458</v>
      </c>
      <c r="E123" s="3" t="s">
        <v>3440</v>
      </c>
      <c r="F123" s="3">
        <v>51281055</v>
      </c>
      <c r="G123" s="3" t="s">
        <v>3198</v>
      </c>
      <c r="H123" s="3">
        <v>15</v>
      </c>
      <c r="I123" s="3" t="s">
        <v>3378</v>
      </c>
      <c r="J123" s="3" t="s">
        <v>415</v>
      </c>
      <c r="K123" s="3" t="s">
        <v>3454</v>
      </c>
      <c r="L123" s="11" t="s">
        <v>3455</v>
      </c>
    </row>
    <row r="124" spans="1:12" ht="13.2" x14ac:dyDescent="0.25">
      <c r="A124" s="3" t="s">
        <v>3276</v>
      </c>
      <c r="B124" s="3" t="s">
        <v>1733</v>
      </c>
      <c r="C124" s="3">
        <v>4247</v>
      </c>
      <c r="D124" s="3" t="s">
        <v>207</v>
      </c>
      <c r="E124" s="3" t="s">
        <v>3435</v>
      </c>
      <c r="F124" s="3">
        <v>51429146</v>
      </c>
      <c r="G124" s="3" t="s">
        <v>3120</v>
      </c>
      <c r="H124" s="3">
        <v>15</v>
      </c>
      <c r="I124" s="3" t="s">
        <v>3378</v>
      </c>
      <c r="J124" s="3" t="s">
        <v>415</v>
      </c>
      <c r="K124" s="3" t="s">
        <v>3454</v>
      </c>
      <c r="L124" s="11" t="s">
        <v>3457</v>
      </c>
    </row>
    <row r="125" spans="1:12" ht="13.2" x14ac:dyDescent="0.25">
      <c r="A125" s="3" t="s">
        <v>3335</v>
      </c>
      <c r="B125" s="3" t="s">
        <v>1733</v>
      </c>
      <c r="C125" s="3">
        <v>4249</v>
      </c>
      <c r="D125" s="3" t="s">
        <v>42</v>
      </c>
      <c r="E125" s="3" t="s">
        <v>3428</v>
      </c>
      <c r="F125" s="3">
        <v>51339874</v>
      </c>
      <c r="G125" s="3" t="s">
        <v>3187</v>
      </c>
      <c r="H125" s="3">
        <v>15</v>
      </c>
      <c r="I125" s="3" t="s">
        <v>3377</v>
      </c>
      <c r="J125" s="3" t="s">
        <v>415</v>
      </c>
      <c r="K125" s="3" t="s">
        <v>3454</v>
      </c>
      <c r="L125" s="11" t="s">
        <v>3457</v>
      </c>
    </row>
    <row r="126" spans="1:12" ht="13.2" x14ac:dyDescent="0.25">
      <c r="A126" s="3" t="s">
        <v>3326</v>
      </c>
      <c r="B126" s="3" t="s">
        <v>1733</v>
      </c>
      <c r="C126" s="3">
        <v>4257</v>
      </c>
      <c r="D126" s="3" t="s">
        <v>352</v>
      </c>
      <c r="E126" s="3" t="s">
        <v>3439</v>
      </c>
      <c r="F126" s="3">
        <v>51066390</v>
      </c>
      <c r="G126" s="3" t="s">
        <v>3174</v>
      </c>
      <c r="H126" s="3">
        <v>15</v>
      </c>
      <c r="I126" s="3" t="s">
        <v>3378</v>
      </c>
      <c r="J126" s="3" t="s">
        <v>415</v>
      </c>
      <c r="K126" s="3" t="s">
        <v>3454</v>
      </c>
      <c r="L126" s="11" t="s">
        <v>3455</v>
      </c>
    </row>
    <row r="127" spans="1:12" ht="13.2" x14ac:dyDescent="0.25">
      <c r="A127" s="3" t="s">
        <v>3250</v>
      </c>
      <c r="B127" s="3" t="s">
        <v>1733</v>
      </c>
      <c r="C127" s="3">
        <v>4260</v>
      </c>
      <c r="D127" s="3" t="s">
        <v>65</v>
      </c>
      <c r="E127" s="3" t="s">
        <v>3430</v>
      </c>
      <c r="F127" s="3">
        <v>50668849</v>
      </c>
      <c r="G127" s="3" t="s">
        <v>3080</v>
      </c>
      <c r="H127" s="3">
        <v>15</v>
      </c>
      <c r="I127" s="3" t="s">
        <v>3378</v>
      </c>
      <c r="J127" s="3" t="s">
        <v>415</v>
      </c>
      <c r="K127" s="3" t="s">
        <v>3454</v>
      </c>
      <c r="L127" s="11" t="s">
        <v>3456</v>
      </c>
    </row>
    <row r="128" spans="1:12" ht="13.2" x14ac:dyDescent="0.25">
      <c r="A128" s="3" t="s">
        <v>3254</v>
      </c>
      <c r="B128" s="3" t="s">
        <v>1733</v>
      </c>
      <c r="C128" s="3">
        <v>4261</v>
      </c>
      <c r="D128" s="3" t="s">
        <v>171</v>
      </c>
      <c r="E128" s="3" t="s">
        <v>3433</v>
      </c>
      <c r="F128" s="3">
        <v>52762420</v>
      </c>
      <c r="G128" s="3" t="s">
        <v>3086</v>
      </c>
      <c r="H128" s="3">
        <v>14</v>
      </c>
      <c r="I128" s="3" t="s">
        <v>3377</v>
      </c>
      <c r="J128" s="3" t="s">
        <v>415</v>
      </c>
      <c r="K128" s="3" t="s">
        <v>3454</v>
      </c>
      <c r="L128" s="11" t="s">
        <v>3456</v>
      </c>
    </row>
    <row r="129" spans="1:12" ht="13.2" x14ac:dyDescent="0.25">
      <c r="A129" s="3" t="s">
        <v>3291</v>
      </c>
      <c r="B129" s="3" t="s">
        <v>1733</v>
      </c>
      <c r="C129" s="3">
        <v>4263</v>
      </c>
      <c r="D129" s="3" t="s">
        <v>326</v>
      </c>
      <c r="E129" s="3" t="s">
        <v>3438</v>
      </c>
      <c r="F129" s="3">
        <v>53456040</v>
      </c>
      <c r="G129" s="3" t="s">
        <v>3138</v>
      </c>
      <c r="H129" s="3">
        <v>13</v>
      </c>
      <c r="I129" s="3" t="s">
        <v>3378</v>
      </c>
      <c r="J129" s="3" t="s">
        <v>415</v>
      </c>
      <c r="K129" s="3" t="s">
        <v>3454</v>
      </c>
      <c r="L129" s="11" t="s">
        <v>3455</v>
      </c>
    </row>
    <row r="130" spans="1:12" ht="13.2" x14ac:dyDescent="0.25">
      <c r="A130" s="3" t="s">
        <v>3388</v>
      </c>
      <c r="B130" s="3" t="s">
        <v>1733</v>
      </c>
      <c r="C130" s="3">
        <v>4264</v>
      </c>
      <c r="D130" s="3" t="s">
        <v>458</v>
      </c>
      <c r="E130" s="3" t="s">
        <v>3440</v>
      </c>
      <c r="F130" s="3">
        <v>52373551</v>
      </c>
      <c r="G130" s="3" t="s">
        <v>3097</v>
      </c>
      <c r="H130" s="3">
        <v>14</v>
      </c>
      <c r="I130" s="3" t="s">
        <v>3377</v>
      </c>
      <c r="J130" s="3" t="s">
        <v>415</v>
      </c>
      <c r="K130" s="3" t="s">
        <v>3454</v>
      </c>
      <c r="L130" s="11" t="s">
        <v>3457</v>
      </c>
    </row>
    <row r="131" spans="1:12" ht="13.2" x14ac:dyDescent="0.25">
      <c r="A131" s="3" t="s">
        <v>3331</v>
      </c>
      <c r="B131" s="3" t="s">
        <v>1733</v>
      </c>
      <c r="C131" s="3">
        <v>4267</v>
      </c>
      <c r="D131" s="3" t="s">
        <v>352</v>
      </c>
      <c r="E131" s="3" t="s">
        <v>3439</v>
      </c>
      <c r="F131" s="3">
        <v>52113290</v>
      </c>
      <c r="G131" s="3" t="s">
        <v>3181</v>
      </c>
      <c r="H131" s="3">
        <v>14</v>
      </c>
      <c r="I131" s="3" t="s">
        <v>3378</v>
      </c>
      <c r="J131" s="3" t="s">
        <v>415</v>
      </c>
      <c r="K131" s="3" t="s">
        <v>3454</v>
      </c>
      <c r="L131" s="11" t="s">
        <v>3457</v>
      </c>
    </row>
    <row r="132" spans="1:12" ht="13.2" x14ac:dyDescent="0.25">
      <c r="A132" s="3" t="s">
        <v>3307</v>
      </c>
      <c r="B132" s="3" t="s">
        <v>1733</v>
      </c>
      <c r="C132" s="3">
        <v>4271</v>
      </c>
      <c r="D132" s="3" t="s">
        <v>352</v>
      </c>
      <c r="E132" s="3" t="s">
        <v>3439</v>
      </c>
      <c r="F132" s="3">
        <v>53878557</v>
      </c>
      <c r="G132" s="3" t="s">
        <v>3155</v>
      </c>
      <c r="H132" s="3">
        <v>12</v>
      </c>
      <c r="I132" s="3" t="s">
        <v>3378</v>
      </c>
      <c r="J132" s="3" t="s">
        <v>415</v>
      </c>
      <c r="K132" s="3" t="s">
        <v>3454</v>
      </c>
      <c r="L132" s="11" t="s">
        <v>3455</v>
      </c>
    </row>
    <row r="133" spans="1:12" ht="13.2" x14ac:dyDescent="0.25">
      <c r="A133" s="3" t="s">
        <v>3384</v>
      </c>
      <c r="B133" s="3" t="s">
        <v>1733</v>
      </c>
      <c r="C133" s="3">
        <v>4274</v>
      </c>
      <c r="D133" s="3" t="s">
        <v>352</v>
      </c>
      <c r="E133" s="3" t="s">
        <v>3439</v>
      </c>
      <c r="F133" s="3">
        <v>53584723</v>
      </c>
      <c r="G133" s="3" t="s">
        <v>3090</v>
      </c>
      <c r="H133" s="3">
        <v>13</v>
      </c>
      <c r="I133" s="3" t="s">
        <v>3378</v>
      </c>
      <c r="J133" s="3" t="s">
        <v>415</v>
      </c>
      <c r="K133" s="3" t="s">
        <v>3454</v>
      </c>
      <c r="L133" s="11" t="s">
        <v>3456</v>
      </c>
    </row>
    <row r="134" spans="1:12" ht="13.2" x14ac:dyDescent="0.25">
      <c r="A134" s="3" t="s">
        <v>3390</v>
      </c>
      <c r="B134" s="3" t="s">
        <v>1733</v>
      </c>
      <c r="C134" s="3">
        <v>4275</v>
      </c>
      <c r="D134" s="3" t="s">
        <v>228</v>
      </c>
      <c r="E134" s="3" t="s">
        <v>3436</v>
      </c>
      <c r="F134" s="3">
        <v>53623848</v>
      </c>
      <c r="G134" s="3" t="s">
        <v>3102</v>
      </c>
      <c r="H134" s="3">
        <v>13</v>
      </c>
      <c r="I134" s="3" t="s">
        <v>3378</v>
      </c>
      <c r="J134" s="3" t="s">
        <v>415</v>
      </c>
      <c r="K134" s="3" t="s">
        <v>3454</v>
      </c>
      <c r="L134" s="11" t="s">
        <v>3456</v>
      </c>
    </row>
    <row r="135" spans="1:12" ht="13.2" x14ac:dyDescent="0.25">
      <c r="A135" s="3" t="s">
        <v>3334</v>
      </c>
      <c r="B135" s="3" t="s">
        <v>1733</v>
      </c>
      <c r="C135" s="3">
        <v>4276</v>
      </c>
      <c r="D135" s="3" t="s">
        <v>198</v>
      </c>
      <c r="E135" s="3" t="s">
        <v>3434</v>
      </c>
      <c r="F135" s="3">
        <v>54892590</v>
      </c>
      <c r="G135" s="3" t="s">
        <v>3184</v>
      </c>
      <c r="H135" s="3">
        <v>11</v>
      </c>
      <c r="I135" s="3" t="s">
        <v>3378</v>
      </c>
      <c r="J135" s="3" t="s">
        <v>415</v>
      </c>
      <c r="K135" s="3" t="s">
        <v>3454</v>
      </c>
      <c r="L135" s="11" t="s">
        <v>3455</v>
      </c>
    </row>
    <row r="136" spans="1:12" ht="13.2" x14ac:dyDescent="0.25">
      <c r="A136" s="3" t="s">
        <v>3288</v>
      </c>
      <c r="B136" s="3" t="s">
        <v>1733</v>
      </c>
      <c r="C136" s="3">
        <v>4279</v>
      </c>
      <c r="D136" s="3" t="s">
        <v>198</v>
      </c>
      <c r="E136" s="3" t="s">
        <v>3434</v>
      </c>
      <c r="F136" s="3">
        <v>52141180</v>
      </c>
      <c r="G136" s="3" t="s">
        <v>3134</v>
      </c>
      <c r="H136" s="3">
        <v>14</v>
      </c>
      <c r="I136" s="3" t="s">
        <v>3377</v>
      </c>
      <c r="J136" s="3" t="s">
        <v>415</v>
      </c>
      <c r="K136" s="3" t="s">
        <v>3454</v>
      </c>
      <c r="L136" s="11" t="s">
        <v>3457</v>
      </c>
    </row>
    <row r="137" spans="1:12" ht="13.2" x14ac:dyDescent="0.25">
      <c r="A137" s="3" t="s">
        <v>3376</v>
      </c>
      <c r="B137" s="3" t="s">
        <v>415</v>
      </c>
      <c r="C137" s="3">
        <v>4280</v>
      </c>
      <c r="D137" s="3" t="s">
        <v>29</v>
      </c>
      <c r="E137" s="3" t="s">
        <v>3427</v>
      </c>
      <c r="F137" s="3">
        <v>52366183</v>
      </c>
      <c r="G137" s="3" t="s">
        <v>3231</v>
      </c>
      <c r="H137" s="3">
        <v>14</v>
      </c>
      <c r="I137" s="3" t="s">
        <v>3378</v>
      </c>
      <c r="J137" s="3" t="s">
        <v>415</v>
      </c>
      <c r="K137" s="3" t="s">
        <v>3454</v>
      </c>
      <c r="L137" s="11" t="s">
        <v>3457</v>
      </c>
    </row>
    <row r="138" spans="1:12" ht="13.2" x14ac:dyDescent="0.25">
      <c r="A138" s="3" t="s">
        <v>3238</v>
      </c>
      <c r="B138" s="3" t="s">
        <v>1733</v>
      </c>
      <c r="C138" s="3">
        <v>4282</v>
      </c>
      <c r="D138" s="3" t="s">
        <v>42</v>
      </c>
      <c r="E138" s="3" t="s">
        <v>3428</v>
      </c>
      <c r="F138" s="3">
        <v>52192618</v>
      </c>
      <c r="G138" s="3" t="s">
        <v>3067</v>
      </c>
      <c r="H138" s="3">
        <v>14</v>
      </c>
      <c r="I138" s="3" t="s">
        <v>3378</v>
      </c>
      <c r="J138" s="3" t="s">
        <v>415</v>
      </c>
      <c r="K138" s="3" t="s">
        <v>3454</v>
      </c>
      <c r="L138" s="11" t="s">
        <v>3455</v>
      </c>
    </row>
    <row r="139" spans="1:12" ht="13.2" x14ac:dyDescent="0.25">
      <c r="A139" s="3" t="s">
        <v>3424</v>
      </c>
      <c r="B139" s="3" t="s">
        <v>415</v>
      </c>
      <c r="C139" s="3">
        <v>4285</v>
      </c>
      <c r="D139" s="3" t="s">
        <v>74</v>
      </c>
      <c r="E139" s="3" t="s">
        <v>3431</v>
      </c>
      <c r="F139" s="3">
        <v>52875058</v>
      </c>
      <c r="G139" s="3" t="s">
        <v>3215</v>
      </c>
      <c r="H139" s="3">
        <v>14</v>
      </c>
      <c r="I139" s="3" t="s">
        <v>3378</v>
      </c>
      <c r="J139" s="3" t="s">
        <v>415</v>
      </c>
      <c r="K139" s="3" t="s">
        <v>3454</v>
      </c>
      <c r="L139" s="11" t="s">
        <v>3456</v>
      </c>
    </row>
    <row r="140" spans="1:12" ht="13.2" x14ac:dyDescent="0.25">
      <c r="A140" s="3" t="s">
        <v>3257</v>
      </c>
      <c r="B140" s="3" t="s">
        <v>1733</v>
      </c>
      <c r="C140" s="3">
        <v>4286</v>
      </c>
      <c r="D140" s="3" t="s">
        <v>74</v>
      </c>
      <c r="E140" s="3" t="s">
        <v>3431</v>
      </c>
      <c r="F140" s="3">
        <v>51432202</v>
      </c>
      <c r="G140" s="3" t="s">
        <v>3089</v>
      </c>
      <c r="H140" s="3">
        <v>15</v>
      </c>
      <c r="I140" s="3" t="s">
        <v>3378</v>
      </c>
      <c r="J140" s="3" t="s">
        <v>415</v>
      </c>
      <c r="K140" s="3" t="s">
        <v>3454</v>
      </c>
      <c r="L140" s="11" t="s">
        <v>3456</v>
      </c>
    </row>
    <row r="141" spans="1:12" ht="13.2" x14ac:dyDescent="0.25">
      <c r="A141" s="3" t="s">
        <v>3417</v>
      </c>
      <c r="B141" s="3" t="s">
        <v>1733</v>
      </c>
      <c r="C141" s="3">
        <v>4289</v>
      </c>
      <c r="D141" s="3" t="s">
        <v>42</v>
      </c>
      <c r="E141" s="3" t="s">
        <v>3428</v>
      </c>
      <c r="F141" s="3">
        <v>52099166</v>
      </c>
      <c r="G141" s="3" t="s">
        <v>3212</v>
      </c>
      <c r="H141" s="3">
        <v>14</v>
      </c>
      <c r="I141" s="3" t="s">
        <v>3378</v>
      </c>
      <c r="J141" s="3" t="s">
        <v>415</v>
      </c>
      <c r="K141" s="3" t="s">
        <v>3454</v>
      </c>
      <c r="L141" s="11" t="s">
        <v>3455</v>
      </c>
    </row>
    <row r="142" spans="1:12" ht="13.2" x14ac:dyDescent="0.25">
      <c r="A142" s="3" t="s">
        <v>3260</v>
      </c>
      <c r="B142" s="3" t="s">
        <v>1733</v>
      </c>
      <c r="C142" s="3">
        <v>4290</v>
      </c>
      <c r="D142" s="3" t="s">
        <v>198</v>
      </c>
      <c r="E142" s="3" t="s">
        <v>3434</v>
      </c>
      <c r="F142" s="3">
        <v>53761156</v>
      </c>
      <c r="G142" s="3" t="s">
        <v>3095</v>
      </c>
      <c r="H142" s="3">
        <v>12</v>
      </c>
      <c r="I142" s="3" t="s">
        <v>3378</v>
      </c>
      <c r="J142" s="3" t="s">
        <v>415</v>
      </c>
      <c r="K142" s="3" t="s">
        <v>3454</v>
      </c>
      <c r="L142" s="11" t="s">
        <v>3457</v>
      </c>
    </row>
    <row r="143" spans="1:12" ht="13.2" x14ac:dyDescent="0.25">
      <c r="A143" s="3" t="s">
        <v>3404</v>
      </c>
      <c r="B143" s="3" t="s">
        <v>3234</v>
      </c>
      <c r="C143" s="3">
        <v>111</v>
      </c>
      <c r="D143" s="3" t="s">
        <v>590</v>
      </c>
      <c r="E143" s="3" t="s">
        <v>3443</v>
      </c>
      <c r="F143" s="3">
        <v>54794764</v>
      </c>
      <c r="G143" s="3" t="s">
        <v>3149</v>
      </c>
      <c r="H143" s="3">
        <v>11</v>
      </c>
      <c r="I143" s="3" t="s">
        <v>3378</v>
      </c>
      <c r="J143" s="3" t="s">
        <v>415</v>
      </c>
      <c r="K143" s="11"/>
      <c r="L143" s="11" t="s">
        <v>3457</v>
      </c>
    </row>
    <row r="144" spans="1:12" ht="13.2" x14ac:dyDescent="0.25">
      <c r="A144" s="3" t="s">
        <v>3294</v>
      </c>
      <c r="B144" s="3" t="s">
        <v>1733</v>
      </c>
      <c r="C144" s="3">
        <v>417</v>
      </c>
      <c r="D144" s="3" t="s">
        <v>54</v>
      </c>
      <c r="E144" s="3" t="s">
        <v>3429</v>
      </c>
      <c r="F144" s="3">
        <v>53718162</v>
      </c>
      <c r="G144" s="3" t="s">
        <v>3141</v>
      </c>
      <c r="H144" s="3">
        <v>12</v>
      </c>
      <c r="I144" s="3" t="s">
        <v>3378</v>
      </c>
      <c r="J144" s="3" t="s">
        <v>415</v>
      </c>
      <c r="K144" s="11"/>
      <c r="L144" s="11" t="s">
        <v>3455</v>
      </c>
    </row>
    <row r="145" spans="1:12" ht="13.2" x14ac:dyDescent="0.25">
      <c r="A145" s="3" t="s">
        <v>3401</v>
      </c>
      <c r="B145" s="3" t="s">
        <v>1733</v>
      </c>
      <c r="C145" s="3">
        <v>3138</v>
      </c>
      <c r="D145" s="3" t="s">
        <v>1114</v>
      </c>
      <c r="E145" s="3" t="s">
        <v>3448</v>
      </c>
      <c r="F145" s="3">
        <v>53778637</v>
      </c>
      <c r="G145" s="3" t="s">
        <v>3144</v>
      </c>
      <c r="H145" s="3">
        <v>12</v>
      </c>
      <c r="I145" s="3" t="s">
        <v>3377</v>
      </c>
      <c r="J145" s="3" t="s">
        <v>415</v>
      </c>
      <c r="K145" s="11"/>
      <c r="L145" s="11" t="s">
        <v>3456</v>
      </c>
    </row>
    <row r="146" spans="1:12" ht="13.2" x14ac:dyDescent="0.25">
      <c r="A146" s="3" t="s">
        <v>3311</v>
      </c>
      <c r="B146" s="3" t="s">
        <v>1733</v>
      </c>
      <c r="C146" s="3">
        <v>3458</v>
      </c>
      <c r="D146" s="3" t="s">
        <v>74</v>
      </c>
      <c r="E146" s="3" t="s">
        <v>3431</v>
      </c>
      <c r="F146" s="3">
        <v>53208064</v>
      </c>
      <c r="G146" s="3" t="s">
        <v>3159</v>
      </c>
      <c r="H146" s="3">
        <v>13</v>
      </c>
      <c r="I146" s="3" t="s">
        <v>3377</v>
      </c>
      <c r="J146" s="3" t="s">
        <v>415</v>
      </c>
      <c r="K146" s="11"/>
      <c r="L146" s="11" t="s">
        <v>3456</v>
      </c>
    </row>
    <row r="147" spans="1:12" ht="13.2" x14ac:dyDescent="0.25">
      <c r="A147" s="3" t="s">
        <v>3410</v>
      </c>
      <c r="B147" s="3" t="s">
        <v>1733</v>
      </c>
      <c r="C147" s="3">
        <v>3538</v>
      </c>
      <c r="D147" s="3" t="s">
        <v>42</v>
      </c>
      <c r="E147" s="3" t="s">
        <v>3428</v>
      </c>
      <c r="F147" s="3">
        <v>53610165</v>
      </c>
      <c r="G147" s="3" t="s">
        <v>3186</v>
      </c>
      <c r="H147" s="3">
        <v>13</v>
      </c>
      <c r="I147" s="3" t="s">
        <v>3378</v>
      </c>
      <c r="J147" s="3" t="s">
        <v>415</v>
      </c>
      <c r="K147" s="11"/>
      <c r="L147" s="11" t="s">
        <v>3455</v>
      </c>
    </row>
    <row r="148" spans="1:12" ht="13.2" x14ac:dyDescent="0.25">
      <c r="A148" s="3" t="s">
        <v>3332</v>
      </c>
      <c r="B148" s="3" t="s">
        <v>1733</v>
      </c>
      <c r="C148" s="3">
        <v>3543</v>
      </c>
      <c r="D148" s="3" t="s">
        <v>352</v>
      </c>
      <c r="E148" s="3" t="s">
        <v>3439</v>
      </c>
      <c r="F148" s="3">
        <v>54059860</v>
      </c>
      <c r="G148" s="3" t="s">
        <v>3182</v>
      </c>
      <c r="H148" s="3">
        <v>12</v>
      </c>
      <c r="I148" s="3" t="s">
        <v>3378</v>
      </c>
      <c r="J148" s="3" t="s">
        <v>415</v>
      </c>
      <c r="K148" s="11"/>
      <c r="L148" s="11" t="s">
        <v>3457</v>
      </c>
    </row>
    <row r="149" spans="1:12" ht="13.2" x14ac:dyDescent="0.25">
      <c r="A149" s="3" t="s">
        <v>3351</v>
      </c>
      <c r="B149" s="3" t="s">
        <v>1733</v>
      </c>
      <c r="C149" s="3">
        <v>3554</v>
      </c>
      <c r="D149" s="3" t="s">
        <v>843</v>
      </c>
      <c r="E149" s="3" t="s">
        <v>3446</v>
      </c>
      <c r="F149" s="3">
        <v>52697717</v>
      </c>
      <c r="G149" s="3" t="s">
        <v>3098</v>
      </c>
      <c r="H149" s="3">
        <v>14</v>
      </c>
      <c r="I149" s="3" t="s">
        <v>3378</v>
      </c>
      <c r="J149" s="3" t="s">
        <v>415</v>
      </c>
      <c r="K149" s="11"/>
      <c r="L149" s="11" t="s">
        <v>3457</v>
      </c>
    </row>
    <row r="150" spans="1:12" ht="13.2" x14ac:dyDescent="0.25">
      <c r="A150" s="3" t="s">
        <v>3353</v>
      </c>
      <c r="B150" s="3" t="s">
        <v>1733</v>
      </c>
      <c r="C150" s="3">
        <v>3614</v>
      </c>
      <c r="D150" s="3" t="s">
        <v>74</v>
      </c>
      <c r="E150" s="3" t="s">
        <v>3431</v>
      </c>
      <c r="F150" s="3">
        <v>54460028</v>
      </c>
      <c r="G150" s="3" t="s">
        <v>3203</v>
      </c>
      <c r="H150" s="3">
        <v>11</v>
      </c>
      <c r="I150" s="3" t="s">
        <v>3377</v>
      </c>
      <c r="J150" s="3" t="s">
        <v>415</v>
      </c>
      <c r="K150" s="11"/>
      <c r="L150" s="11" t="s">
        <v>3455</v>
      </c>
    </row>
    <row r="151" spans="1:12" ht="13.2" x14ac:dyDescent="0.25">
      <c r="A151" s="3" t="s">
        <v>3324</v>
      </c>
      <c r="B151" s="3" t="s">
        <v>1733</v>
      </c>
      <c r="C151" s="3">
        <v>3620</v>
      </c>
      <c r="D151" s="3" t="s">
        <v>352</v>
      </c>
      <c r="E151" s="3" t="s">
        <v>3439</v>
      </c>
      <c r="F151" s="3">
        <v>53972454</v>
      </c>
      <c r="G151" s="3" t="s">
        <v>3172</v>
      </c>
      <c r="H151" s="3">
        <v>12</v>
      </c>
      <c r="I151" s="3" t="s">
        <v>3378</v>
      </c>
      <c r="J151" s="3" t="s">
        <v>415</v>
      </c>
      <c r="K151" s="11"/>
      <c r="L151" s="11" t="s">
        <v>3456</v>
      </c>
    </row>
    <row r="152" spans="1:12" ht="13.2" x14ac:dyDescent="0.25">
      <c r="A152" s="3" t="s">
        <v>3397</v>
      </c>
      <c r="B152" s="3" t="s">
        <v>1733</v>
      </c>
      <c r="C152" s="3">
        <v>3625</v>
      </c>
      <c r="D152" s="3" t="s">
        <v>843</v>
      </c>
      <c r="E152" s="3" t="s">
        <v>3446</v>
      </c>
      <c r="F152" s="3">
        <v>52440140</v>
      </c>
      <c r="G152" s="3" t="s">
        <v>3126</v>
      </c>
      <c r="H152" s="3">
        <v>14</v>
      </c>
      <c r="I152" s="3" t="s">
        <v>3377</v>
      </c>
      <c r="J152" s="3" t="s">
        <v>415</v>
      </c>
      <c r="K152" s="11"/>
      <c r="L152" s="11" t="s">
        <v>3456</v>
      </c>
    </row>
    <row r="153" spans="1:12" ht="13.2" x14ac:dyDescent="0.25">
      <c r="A153" s="3" t="s">
        <v>3359</v>
      </c>
      <c r="B153" s="3" t="s">
        <v>1733</v>
      </c>
      <c r="C153" s="3">
        <v>3731</v>
      </c>
      <c r="D153" s="3" t="s">
        <v>198</v>
      </c>
      <c r="E153" s="3" t="s">
        <v>3434</v>
      </c>
      <c r="F153" s="3">
        <v>52769391</v>
      </c>
      <c r="G153" s="3" t="s">
        <v>3210</v>
      </c>
      <c r="H153" s="3">
        <v>14</v>
      </c>
      <c r="I153" s="3" t="s">
        <v>3378</v>
      </c>
      <c r="J153" s="3" t="s">
        <v>415</v>
      </c>
      <c r="K153" s="11"/>
      <c r="L153" s="11" t="s">
        <v>3455</v>
      </c>
    </row>
    <row r="154" spans="1:12" ht="13.2" x14ac:dyDescent="0.25">
      <c r="A154" s="3" t="s">
        <v>3403</v>
      </c>
      <c r="B154" s="3" t="s">
        <v>1733</v>
      </c>
      <c r="C154" s="3">
        <v>3754</v>
      </c>
      <c r="D154" s="3" t="s">
        <v>326</v>
      </c>
      <c r="E154" s="3" t="s">
        <v>3438</v>
      </c>
      <c r="F154" s="3">
        <v>52619403</v>
      </c>
      <c r="G154" s="3" t="s">
        <v>3148</v>
      </c>
      <c r="H154" s="3">
        <v>14</v>
      </c>
      <c r="I154" s="3" t="s">
        <v>3377</v>
      </c>
      <c r="J154" s="3" t="s">
        <v>415</v>
      </c>
      <c r="K154" s="11"/>
      <c r="L154" s="11" t="s">
        <v>3457</v>
      </c>
    </row>
    <row r="155" spans="1:12" ht="13.2" x14ac:dyDescent="0.25">
      <c r="A155" s="3" t="s">
        <v>3315</v>
      </c>
      <c r="B155" s="3" t="s">
        <v>1733</v>
      </c>
      <c r="C155" s="3">
        <v>3762</v>
      </c>
      <c r="D155" s="3" t="s">
        <v>566</v>
      </c>
      <c r="E155" s="3" t="s">
        <v>3442</v>
      </c>
      <c r="F155" s="3">
        <v>51066023</v>
      </c>
      <c r="G155" s="3" t="s">
        <v>3162</v>
      </c>
      <c r="H155" s="3">
        <v>15</v>
      </c>
      <c r="I155" s="3" t="s">
        <v>3377</v>
      </c>
      <c r="J155" s="3" t="s">
        <v>415</v>
      </c>
      <c r="K155" s="11"/>
      <c r="L155" s="11" t="s">
        <v>3457</v>
      </c>
    </row>
    <row r="156" spans="1:12" ht="13.2" x14ac:dyDescent="0.25">
      <c r="A156" s="3" t="s">
        <v>3266</v>
      </c>
      <c r="B156" s="3" t="s">
        <v>1733</v>
      </c>
      <c r="C156" s="3">
        <v>3788</v>
      </c>
      <c r="D156" s="3" t="s">
        <v>590</v>
      </c>
      <c r="E156" s="3" t="s">
        <v>3443</v>
      </c>
      <c r="F156" s="3">
        <v>55270307</v>
      </c>
      <c r="G156" s="3" t="s">
        <v>3107</v>
      </c>
      <c r="H156" s="3">
        <v>10</v>
      </c>
      <c r="I156" s="3" t="s">
        <v>3378</v>
      </c>
      <c r="J156" s="3" t="s">
        <v>415</v>
      </c>
      <c r="K156" s="11"/>
      <c r="L156" s="11" t="s">
        <v>3455</v>
      </c>
    </row>
    <row r="157" spans="1:12" ht="13.2" x14ac:dyDescent="0.25">
      <c r="A157" s="3" t="s">
        <v>3245</v>
      </c>
      <c r="B157" s="3" t="s">
        <v>1733</v>
      </c>
      <c r="C157" s="3">
        <v>3790</v>
      </c>
      <c r="D157" s="3" t="s">
        <v>171</v>
      </c>
      <c r="E157" s="3" t="s">
        <v>3433</v>
      </c>
      <c r="F157" s="3">
        <v>51583086</v>
      </c>
      <c r="G157" s="3" t="s">
        <v>3075</v>
      </c>
      <c r="H157" s="3">
        <v>15</v>
      </c>
      <c r="I157" s="3" t="s">
        <v>3377</v>
      </c>
      <c r="J157" s="3" t="s">
        <v>415</v>
      </c>
      <c r="K157" s="11"/>
      <c r="L157" s="11" t="s">
        <v>3456</v>
      </c>
    </row>
    <row r="158" spans="1:12" ht="13.2" x14ac:dyDescent="0.25">
      <c r="A158" s="3" t="s">
        <v>3399</v>
      </c>
      <c r="B158" s="3" t="s">
        <v>1733</v>
      </c>
      <c r="C158" s="3">
        <v>3812</v>
      </c>
      <c r="D158" s="3" t="s">
        <v>198</v>
      </c>
      <c r="E158" s="3" t="s">
        <v>3434</v>
      </c>
      <c r="F158" s="3">
        <v>51432265</v>
      </c>
      <c r="G158" s="3" t="s">
        <v>3133</v>
      </c>
      <c r="H158" s="3">
        <v>15</v>
      </c>
      <c r="I158" s="3" t="s">
        <v>3377</v>
      </c>
      <c r="J158" s="3" t="s">
        <v>415</v>
      </c>
      <c r="K158" s="11"/>
      <c r="L158" s="11" t="s">
        <v>3456</v>
      </c>
    </row>
    <row r="159" spans="1:12" ht="13.2" x14ac:dyDescent="0.25">
      <c r="A159" s="3" t="s">
        <v>3287</v>
      </c>
      <c r="B159" s="3" t="s">
        <v>1733</v>
      </c>
      <c r="C159" s="3">
        <v>3817</v>
      </c>
      <c r="D159" s="3" t="s">
        <v>470</v>
      </c>
      <c r="E159" s="3" t="s">
        <v>3441</v>
      </c>
      <c r="F159" s="3">
        <v>52164756</v>
      </c>
      <c r="G159" s="3" t="s">
        <v>3085</v>
      </c>
      <c r="H159" s="3">
        <v>14</v>
      </c>
      <c r="I159" s="3" t="s">
        <v>3378</v>
      </c>
      <c r="J159" s="3" t="s">
        <v>415</v>
      </c>
      <c r="K159" s="11"/>
      <c r="L159" s="11" t="s">
        <v>3455</v>
      </c>
    </row>
    <row r="160" spans="1:12" ht="13.2" x14ac:dyDescent="0.25">
      <c r="A160" s="3" t="s">
        <v>3363</v>
      </c>
      <c r="B160" s="3" t="s">
        <v>1733</v>
      </c>
      <c r="C160" s="3">
        <v>3833</v>
      </c>
      <c r="D160" s="3" t="s">
        <v>1741</v>
      </c>
      <c r="E160" s="3" t="s">
        <v>3451</v>
      </c>
      <c r="F160" s="3">
        <v>52664667</v>
      </c>
      <c r="G160" s="3" t="s">
        <v>3217</v>
      </c>
      <c r="H160" s="3">
        <v>14</v>
      </c>
      <c r="I160" s="3" t="s">
        <v>3377</v>
      </c>
      <c r="J160" s="3" t="s">
        <v>415</v>
      </c>
      <c r="K160" s="11"/>
      <c r="L160" s="11" t="s">
        <v>3457</v>
      </c>
    </row>
    <row r="161" spans="1:12" ht="13.2" x14ac:dyDescent="0.25">
      <c r="A161" s="3" t="s">
        <v>3296</v>
      </c>
      <c r="B161" s="3" t="s">
        <v>1733</v>
      </c>
      <c r="C161" s="3">
        <v>3844</v>
      </c>
      <c r="D161" s="3" t="s">
        <v>352</v>
      </c>
      <c r="E161" s="3" t="s">
        <v>3439</v>
      </c>
      <c r="F161" s="3">
        <v>54212950</v>
      </c>
      <c r="G161" s="3" t="s">
        <v>3143</v>
      </c>
      <c r="H161" s="3">
        <v>12</v>
      </c>
      <c r="I161" s="3" t="s">
        <v>3378</v>
      </c>
      <c r="J161" s="3" t="s">
        <v>415</v>
      </c>
      <c r="K161" s="11"/>
      <c r="L161" s="11" t="s">
        <v>3457</v>
      </c>
    </row>
    <row r="162" spans="1:12" ht="13.2" x14ac:dyDescent="0.25">
      <c r="A162" s="3" t="s">
        <v>3339</v>
      </c>
      <c r="B162" s="3" t="s">
        <v>1733</v>
      </c>
      <c r="C162" s="3">
        <v>3891</v>
      </c>
      <c r="D162" s="3" t="s">
        <v>74</v>
      </c>
      <c r="E162" s="3" t="s">
        <v>3431</v>
      </c>
      <c r="F162" s="3">
        <v>52703139</v>
      </c>
      <c r="G162" s="3" t="s">
        <v>3125</v>
      </c>
      <c r="H162" s="3">
        <v>14</v>
      </c>
      <c r="I162" s="3" t="s">
        <v>3378</v>
      </c>
      <c r="J162" s="3" t="s">
        <v>415</v>
      </c>
      <c r="K162" s="11"/>
      <c r="L162" s="11" t="s">
        <v>3455</v>
      </c>
    </row>
    <row r="163" spans="1:12" ht="13.2" x14ac:dyDescent="0.25">
      <c r="A163" s="3" t="s">
        <v>3310</v>
      </c>
      <c r="B163" s="3" t="s">
        <v>1733</v>
      </c>
      <c r="C163" s="3">
        <v>3913</v>
      </c>
      <c r="D163" s="3" t="s">
        <v>171</v>
      </c>
      <c r="E163" s="3" t="s">
        <v>3433</v>
      </c>
      <c r="F163" s="3">
        <v>52700380</v>
      </c>
      <c r="G163" s="3" t="s">
        <v>3158</v>
      </c>
      <c r="H163" s="3">
        <v>14</v>
      </c>
      <c r="I163" s="3" t="s">
        <v>3378</v>
      </c>
      <c r="J163" s="3" t="s">
        <v>415</v>
      </c>
      <c r="K163" s="11"/>
      <c r="L163" s="11" t="s">
        <v>3456</v>
      </c>
    </row>
    <row r="164" spans="1:12" ht="13.2" x14ac:dyDescent="0.25">
      <c r="A164" s="3" t="s">
        <v>3392</v>
      </c>
      <c r="B164" s="3" t="s">
        <v>1733</v>
      </c>
      <c r="C164" s="3">
        <v>3918</v>
      </c>
      <c r="D164" s="3" t="s">
        <v>590</v>
      </c>
      <c r="E164" s="3" t="s">
        <v>3443</v>
      </c>
      <c r="F164" s="3">
        <v>52456716</v>
      </c>
      <c r="G164" s="3" t="s">
        <v>3106</v>
      </c>
      <c r="H164" s="3">
        <v>14</v>
      </c>
      <c r="I164" s="3" t="s">
        <v>3378</v>
      </c>
      <c r="J164" s="3" t="s">
        <v>415</v>
      </c>
      <c r="K164" s="11"/>
      <c r="L164" s="11" t="s">
        <v>3456</v>
      </c>
    </row>
    <row r="165" spans="1:12" ht="13.2" x14ac:dyDescent="0.25">
      <c r="A165" s="3" t="s">
        <v>3420</v>
      </c>
      <c r="B165" s="3" t="s">
        <v>1733</v>
      </c>
      <c r="C165" s="3">
        <v>3924</v>
      </c>
      <c r="D165" s="3" t="s">
        <v>352</v>
      </c>
      <c r="E165" s="3" t="s">
        <v>3439</v>
      </c>
      <c r="F165" s="3">
        <v>52763901</v>
      </c>
      <c r="G165" s="3" t="s">
        <v>3178</v>
      </c>
      <c r="H165" s="3">
        <v>14</v>
      </c>
      <c r="I165" s="3" t="s">
        <v>3378</v>
      </c>
      <c r="J165" s="3" t="s">
        <v>415</v>
      </c>
      <c r="K165" s="11"/>
      <c r="L165" s="11" t="s">
        <v>3455</v>
      </c>
    </row>
    <row r="166" spans="1:12" ht="13.2" x14ac:dyDescent="0.25">
      <c r="A166" s="3" t="s">
        <v>3358</v>
      </c>
      <c r="B166" s="3" t="s">
        <v>1733</v>
      </c>
      <c r="C166" s="3">
        <v>3945</v>
      </c>
      <c r="D166" s="3" t="s">
        <v>1114</v>
      </c>
      <c r="E166" s="3" t="s">
        <v>3448</v>
      </c>
      <c r="F166" s="3">
        <v>53775904</v>
      </c>
      <c r="G166" s="3" t="s">
        <v>3209</v>
      </c>
      <c r="H166" s="3">
        <v>13</v>
      </c>
      <c r="I166" s="3" t="s">
        <v>3377</v>
      </c>
      <c r="J166" s="3" t="s">
        <v>415</v>
      </c>
      <c r="K166" s="11"/>
      <c r="L166" s="11" t="s">
        <v>3457</v>
      </c>
    </row>
    <row r="167" spans="1:12" ht="13.2" x14ac:dyDescent="0.25">
      <c r="A167" s="3" t="s">
        <v>3292</v>
      </c>
      <c r="B167" s="3" t="s">
        <v>1733</v>
      </c>
      <c r="C167" s="3">
        <v>4011</v>
      </c>
      <c r="D167" s="3" t="s">
        <v>566</v>
      </c>
      <c r="E167" s="3" t="s">
        <v>3442</v>
      </c>
      <c r="F167" s="3">
        <v>53855489</v>
      </c>
      <c r="G167" s="3" t="s">
        <v>3139</v>
      </c>
      <c r="H167" s="3">
        <v>12</v>
      </c>
      <c r="I167" s="3" t="s">
        <v>3378</v>
      </c>
      <c r="J167" s="3" t="s">
        <v>415</v>
      </c>
      <c r="K167" s="11"/>
      <c r="L167" s="11" t="s">
        <v>3457</v>
      </c>
    </row>
    <row r="168" spans="1:12" ht="13.2" x14ac:dyDescent="0.25">
      <c r="A168" s="3" t="s">
        <v>3343</v>
      </c>
      <c r="B168" s="3" t="s">
        <v>1733</v>
      </c>
      <c r="C168" s="3">
        <v>4034</v>
      </c>
      <c r="D168" s="3" t="s">
        <v>352</v>
      </c>
      <c r="E168" s="3" t="s">
        <v>3439</v>
      </c>
      <c r="F168" s="3">
        <v>54222551</v>
      </c>
      <c r="G168" s="3" t="s">
        <v>3194</v>
      </c>
      <c r="H168" s="3">
        <v>12</v>
      </c>
      <c r="I168" s="3" t="s">
        <v>3378</v>
      </c>
      <c r="J168" s="3" t="s">
        <v>415</v>
      </c>
      <c r="K168" s="11"/>
      <c r="L168" s="11" t="s">
        <v>3455</v>
      </c>
    </row>
    <row r="169" spans="1:12" ht="13.2" x14ac:dyDescent="0.25">
      <c r="A169" s="3" t="s">
        <v>3308</v>
      </c>
      <c r="B169" s="3" t="s">
        <v>1733</v>
      </c>
      <c r="C169" s="3">
        <v>4036</v>
      </c>
      <c r="D169" s="3" t="s">
        <v>352</v>
      </c>
      <c r="E169" s="3" t="s">
        <v>3439</v>
      </c>
      <c r="F169" s="3">
        <v>51400212</v>
      </c>
      <c r="G169" s="3" t="s">
        <v>3156</v>
      </c>
      <c r="H169" s="3">
        <v>15</v>
      </c>
      <c r="I169" s="3" t="s">
        <v>3378</v>
      </c>
      <c r="J169" s="3" t="s">
        <v>415</v>
      </c>
      <c r="K169" s="11"/>
      <c r="L169" s="11" t="s">
        <v>3456</v>
      </c>
    </row>
    <row r="170" spans="1:12" ht="13.2" x14ac:dyDescent="0.25">
      <c r="A170" s="3" t="s">
        <v>3413</v>
      </c>
      <c r="B170" s="3" t="s">
        <v>1733</v>
      </c>
      <c r="C170" s="3">
        <v>4045</v>
      </c>
      <c r="D170" s="3" t="s">
        <v>54</v>
      </c>
      <c r="E170" s="3" t="s">
        <v>3429</v>
      </c>
      <c r="F170" s="3">
        <v>52030773</v>
      </c>
      <c r="G170" s="3" t="s">
        <v>3191</v>
      </c>
      <c r="H170" s="3">
        <v>14</v>
      </c>
      <c r="I170" s="3" t="s">
        <v>3378</v>
      </c>
      <c r="J170" s="3" t="s">
        <v>415</v>
      </c>
      <c r="K170" s="11"/>
      <c r="L170" s="11" t="s">
        <v>3456</v>
      </c>
    </row>
    <row r="171" spans="1:12" ht="13.2" x14ac:dyDescent="0.25">
      <c r="A171" s="3" t="s">
        <v>3320</v>
      </c>
      <c r="B171" s="3" t="s">
        <v>1733</v>
      </c>
      <c r="C171" s="3">
        <v>4053</v>
      </c>
      <c r="D171" s="3" t="s">
        <v>42</v>
      </c>
      <c r="E171" s="3" t="s">
        <v>3428</v>
      </c>
      <c r="F171" s="3">
        <v>53595476</v>
      </c>
      <c r="G171" s="3" t="s">
        <v>3168</v>
      </c>
      <c r="H171" s="3">
        <v>13</v>
      </c>
      <c r="I171" s="3" t="s">
        <v>3378</v>
      </c>
      <c r="J171" s="3" t="s">
        <v>415</v>
      </c>
      <c r="K171" s="11"/>
      <c r="L171" s="11" t="s">
        <v>3455</v>
      </c>
    </row>
    <row r="172" spans="1:12" ht="13.2" x14ac:dyDescent="0.25">
      <c r="A172" s="3" t="s">
        <v>3264</v>
      </c>
      <c r="B172" s="3" t="s">
        <v>1733</v>
      </c>
      <c r="C172" s="3">
        <v>4076</v>
      </c>
      <c r="D172" s="3" t="s">
        <v>566</v>
      </c>
      <c r="E172" s="3" t="s">
        <v>3442</v>
      </c>
      <c r="F172" s="3">
        <v>52697921</v>
      </c>
      <c r="G172" s="3" t="s">
        <v>3104</v>
      </c>
      <c r="H172" s="3">
        <v>14</v>
      </c>
      <c r="I172" s="3" t="s">
        <v>3378</v>
      </c>
      <c r="J172" s="3" t="s">
        <v>415</v>
      </c>
      <c r="K172" s="11"/>
      <c r="L172" s="11" t="s">
        <v>3457</v>
      </c>
    </row>
    <row r="173" spans="1:12" ht="13.2" x14ac:dyDescent="0.25">
      <c r="A173" s="3" t="s">
        <v>3387</v>
      </c>
      <c r="B173" s="3" t="s">
        <v>1733</v>
      </c>
      <c r="C173" s="3">
        <v>4095</v>
      </c>
      <c r="D173" s="3" t="s">
        <v>171</v>
      </c>
      <c r="E173" s="3" t="s">
        <v>3433</v>
      </c>
      <c r="F173" s="3">
        <v>50988984</v>
      </c>
      <c r="G173" s="3" t="s">
        <v>3096</v>
      </c>
      <c r="H173" s="3">
        <v>15</v>
      </c>
      <c r="I173" s="3" t="s">
        <v>3378</v>
      </c>
      <c r="J173" s="3" t="s">
        <v>415</v>
      </c>
      <c r="K173" s="11"/>
      <c r="L173" s="11" t="s">
        <v>3457</v>
      </c>
    </row>
    <row r="174" spans="1:12" ht="13.2" x14ac:dyDescent="0.25">
      <c r="A174" s="3" t="s">
        <v>3349</v>
      </c>
      <c r="B174" s="3" t="s">
        <v>1733</v>
      </c>
      <c r="C174" s="3">
        <v>4111</v>
      </c>
      <c r="D174" s="3" t="s">
        <v>352</v>
      </c>
      <c r="E174" s="3" t="s">
        <v>3439</v>
      </c>
      <c r="F174" s="3">
        <v>53593300</v>
      </c>
      <c r="G174" s="3" t="s">
        <v>3200</v>
      </c>
      <c r="H174" s="3">
        <v>13</v>
      </c>
      <c r="I174" s="3" t="s">
        <v>3378</v>
      </c>
      <c r="J174" s="3" t="s">
        <v>415</v>
      </c>
      <c r="K174" s="11"/>
      <c r="L174" s="11" t="s">
        <v>3455</v>
      </c>
    </row>
    <row r="175" spans="1:12" ht="13.2" x14ac:dyDescent="0.25">
      <c r="A175" s="3" t="s">
        <v>3423</v>
      </c>
      <c r="B175" s="3" t="s">
        <v>415</v>
      </c>
      <c r="C175" s="3">
        <v>4125</v>
      </c>
      <c r="D175" s="3" t="s">
        <v>1395</v>
      </c>
      <c r="E175" s="3" t="s">
        <v>3449</v>
      </c>
      <c r="F175" s="3">
        <v>54507457</v>
      </c>
      <c r="G175" s="3" t="s">
        <v>3226</v>
      </c>
      <c r="H175" s="3">
        <v>11</v>
      </c>
      <c r="I175" s="3" t="s">
        <v>3378</v>
      </c>
      <c r="J175" s="3" t="s">
        <v>415</v>
      </c>
      <c r="K175" s="11"/>
      <c r="L175" s="11" t="s">
        <v>3456</v>
      </c>
    </row>
    <row r="176" spans="1:12" ht="13.2" x14ac:dyDescent="0.25">
      <c r="A176" s="3" t="s">
        <v>3345</v>
      </c>
      <c r="B176" s="3" t="s">
        <v>1733</v>
      </c>
      <c r="C176" s="3">
        <v>4159</v>
      </c>
      <c r="D176" s="3" t="s">
        <v>161</v>
      </c>
      <c r="E176" s="3" t="s">
        <v>3432</v>
      </c>
      <c r="F176" s="3">
        <v>53618936</v>
      </c>
      <c r="G176" s="3" t="s">
        <v>3197</v>
      </c>
      <c r="H176" s="3">
        <v>13</v>
      </c>
      <c r="I176" s="3" t="s">
        <v>3377</v>
      </c>
      <c r="J176" s="3" t="s">
        <v>415</v>
      </c>
      <c r="K176" s="11"/>
      <c r="L176" s="11" t="s">
        <v>3456</v>
      </c>
    </row>
    <row r="177" spans="1:12" ht="13.2" x14ac:dyDescent="0.25">
      <c r="A177" s="3" t="s">
        <v>3280</v>
      </c>
      <c r="B177" s="3" t="s">
        <v>1733</v>
      </c>
      <c r="C177" s="3">
        <v>4160</v>
      </c>
      <c r="D177" s="3" t="s">
        <v>326</v>
      </c>
      <c r="E177" s="3" t="s">
        <v>3438</v>
      </c>
      <c r="F177" s="3">
        <v>52725158</v>
      </c>
      <c r="G177" s="3" t="s">
        <v>3125</v>
      </c>
      <c r="H177" s="3">
        <v>14</v>
      </c>
      <c r="I177" s="3" t="s">
        <v>3377</v>
      </c>
      <c r="J177" s="3" t="s">
        <v>415</v>
      </c>
      <c r="K177" s="11"/>
      <c r="L177" s="11" t="s">
        <v>3455</v>
      </c>
    </row>
    <row r="178" spans="1:12" ht="13.2" x14ac:dyDescent="0.25">
      <c r="A178" s="3" t="s">
        <v>3306</v>
      </c>
      <c r="B178" s="3" t="s">
        <v>1733</v>
      </c>
      <c r="C178" s="3">
        <v>4166</v>
      </c>
      <c r="D178" s="3" t="s">
        <v>54</v>
      </c>
      <c r="E178" s="3" t="s">
        <v>3429</v>
      </c>
      <c r="F178" s="3">
        <v>54055585</v>
      </c>
      <c r="G178" s="3" t="s">
        <v>3154</v>
      </c>
      <c r="H178" s="3">
        <v>12</v>
      </c>
      <c r="I178" s="3" t="s">
        <v>3378</v>
      </c>
      <c r="J178" s="3" t="s">
        <v>415</v>
      </c>
      <c r="K178" s="11"/>
      <c r="L178" s="11" t="s">
        <v>3457</v>
      </c>
    </row>
    <row r="179" spans="1:12" ht="13.2" x14ac:dyDescent="0.25">
      <c r="A179" s="3" t="s">
        <v>3368</v>
      </c>
      <c r="B179" s="3" t="s">
        <v>415</v>
      </c>
      <c r="C179" s="3">
        <v>4168</v>
      </c>
      <c r="D179" s="3" t="s">
        <v>1114</v>
      </c>
      <c r="E179" s="3" t="s">
        <v>3448</v>
      </c>
      <c r="F179" s="3">
        <v>54156323</v>
      </c>
      <c r="G179" s="3" t="s">
        <v>3222</v>
      </c>
      <c r="H179" s="3">
        <v>12</v>
      </c>
      <c r="I179" s="3" t="s">
        <v>3377</v>
      </c>
      <c r="J179" s="3" t="s">
        <v>415</v>
      </c>
      <c r="K179" s="11"/>
      <c r="L179" s="11" t="s">
        <v>3457</v>
      </c>
    </row>
    <row r="180" spans="1:12" ht="13.2" x14ac:dyDescent="0.25">
      <c r="A180" s="3" t="s">
        <v>3385</v>
      </c>
      <c r="B180" s="3" t="s">
        <v>1733</v>
      </c>
      <c r="C180" s="3">
        <v>4189</v>
      </c>
      <c r="D180" s="3" t="s">
        <v>352</v>
      </c>
      <c r="E180" s="3" t="s">
        <v>3439</v>
      </c>
      <c r="F180" s="3">
        <v>50805092</v>
      </c>
      <c r="G180" s="3" t="s">
        <v>3091</v>
      </c>
      <c r="H180" s="3">
        <v>15</v>
      </c>
      <c r="I180" s="3" t="s">
        <v>3378</v>
      </c>
      <c r="J180" s="3" t="s">
        <v>415</v>
      </c>
      <c r="K180" s="11"/>
      <c r="L180" s="11" t="s">
        <v>3455</v>
      </c>
    </row>
    <row r="181" spans="1:12" ht="13.2" x14ac:dyDescent="0.25">
      <c r="A181" s="3" t="s">
        <v>3407</v>
      </c>
      <c r="B181" s="3" t="s">
        <v>1733</v>
      </c>
      <c r="C181" s="3">
        <v>4196</v>
      </c>
      <c r="D181" s="3" t="s">
        <v>843</v>
      </c>
      <c r="E181" s="3" t="s">
        <v>3446</v>
      </c>
      <c r="F181" s="3">
        <v>52764512</v>
      </c>
      <c r="G181" s="3" t="s">
        <v>3178</v>
      </c>
      <c r="H181" s="3">
        <v>14</v>
      </c>
      <c r="I181" s="3" t="s">
        <v>3378</v>
      </c>
      <c r="J181" s="3" t="s">
        <v>415</v>
      </c>
      <c r="K181" s="11"/>
      <c r="L181" s="11" t="s">
        <v>3456</v>
      </c>
    </row>
    <row r="182" spans="1:12" ht="13.2" x14ac:dyDescent="0.25">
      <c r="A182" s="3" t="s">
        <v>3258</v>
      </c>
      <c r="B182" s="3" t="s">
        <v>1733</v>
      </c>
      <c r="C182" s="3">
        <v>4238</v>
      </c>
      <c r="D182" s="3" t="s">
        <v>352</v>
      </c>
      <c r="E182" s="3" t="s">
        <v>3439</v>
      </c>
      <c r="F182" s="3">
        <v>53586158</v>
      </c>
      <c r="G182" s="3" t="s">
        <v>3092</v>
      </c>
      <c r="H182" s="3">
        <v>13</v>
      </c>
      <c r="I182" s="3" t="s">
        <v>3377</v>
      </c>
      <c r="J182" s="3" t="s">
        <v>415</v>
      </c>
      <c r="K182" s="11"/>
      <c r="L182" s="11" t="s">
        <v>3456</v>
      </c>
    </row>
    <row r="183" spans="1:12" ht="13.2" x14ac:dyDescent="0.25">
      <c r="A183" s="3" t="s">
        <v>3303</v>
      </c>
      <c r="B183" s="3" t="s">
        <v>1733</v>
      </c>
      <c r="C183" s="3">
        <v>4240</v>
      </c>
      <c r="D183" s="3" t="s">
        <v>42</v>
      </c>
      <c r="E183" s="3" t="s">
        <v>3428</v>
      </c>
      <c r="F183" s="3">
        <v>53417016</v>
      </c>
      <c r="G183" s="3" t="s">
        <v>3152</v>
      </c>
      <c r="H183" s="3">
        <v>13</v>
      </c>
      <c r="I183" s="3" t="s">
        <v>3378</v>
      </c>
      <c r="J183" s="3" t="s">
        <v>415</v>
      </c>
      <c r="K183" s="11"/>
      <c r="L183" s="11" t="s">
        <v>3455</v>
      </c>
    </row>
    <row r="184" spans="1:12" ht="13.2" x14ac:dyDescent="0.25">
      <c r="A184" s="3" t="s">
        <v>4111</v>
      </c>
      <c r="B184" s="3" t="s">
        <v>415</v>
      </c>
      <c r="C184" s="12">
        <v>4259</v>
      </c>
      <c r="D184" s="3" t="s">
        <v>318</v>
      </c>
      <c r="E184" s="3" t="s">
        <v>3437</v>
      </c>
      <c r="F184" s="13">
        <v>51125616</v>
      </c>
      <c r="G184" s="14">
        <v>40657</v>
      </c>
      <c r="H184" s="11">
        <v>15</v>
      </c>
      <c r="I184" s="11" t="s">
        <v>3378</v>
      </c>
      <c r="J184" s="11" t="s">
        <v>415</v>
      </c>
      <c r="L184" s="11" t="s">
        <v>3457</v>
      </c>
    </row>
    <row r="185" spans="1:12" ht="13.2" x14ac:dyDescent="0.25">
      <c r="A185" s="3" t="s">
        <v>3373</v>
      </c>
      <c r="B185" s="3" t="s">
        <v>415</v>
      </c>
      <c r="C185" s="3">
        <v>4268</v>
      </c>
      <c r="D185" s="3" t="s">
        <v>42</v>
      </c>
      <c r="E185" s="3" t="s">
        <v>3428</v>
      </c>
      <c r="F185" s="3">
        <v>53084562</v>
      </c>
      <c r="G185" s="3" t="s">
        <v>3228</v>
      </c>
      <c r="H185" s="3">
        <v>13</v>
      </c>
      <c r="I185" s="3" t="s">
        <v>3378</v>
      </c>
      <c r="J185" s="3" t="s">
        <v>415</v>
      </c>
      <c r="K185" s="11"/>
      <c r="L185" s="11" t="s">
        <v>3457</v>
      </c>
    </row>
    <row r="186" spans="1:12" ht="13.2" x14ac:dyDescent="0.25">
      <c r="A186" s="3" t="s">
        <v>3366</v>
      </c>
      <c r="B186" s="3" t="s">
        <v>3234</v>
      </c>
      <c r="C186" s="3">
        <v>22942</v>
      </c>
      <c r="D186" s="3" t="s">
        <v>3425</v>
      </c>
      <c r="E186" s="3" t="s">
        <v>3425</v>
      </c>
      <c r="F186" s="3">
        <v>53610440</v>
      </c>
      <c r="G186" s="3" t="s">
        <v>3220</v>
      </c>
      <c r="H186" s="3">
        <v>13</v>
      </c>
      <c r="I186" s="3" t="s">
        <v>3377</v>
      </c>
      <c r="J186" s="3" t="s">
        <v>415</v>
      </c>
      <c r="K186" s="11"/>
      <c r="L186" s="11" t="s">
        <v>3455</v>
      </c>
    </row>
    <row r="187" spans="1:12" ht="13.2" x14ac:dyDescent="0.25"/>
    <row r="188" spans="1:12" ht="13.2" x14ac:dyDescent="0.25"/>
    <row r="189" spans="1:12" ht="13.2" x14ac:dyDescent="0.25"/>
    <row r="190" spans="1:12" ht="13.2" x14ac:dyDescent="0.25"/>
    <row r="191" spans="1:12" ht="13.2" x14ac:dyDescent="0.25"/>
    <row r="192" spans="1:12" ht="13.2" x14ac:dyDescent="0.25"/>
    <row r="193" ht="13.2" x14ac:dyDescent="0.25"/>
    <row r="194" ht="13.2" x14ac:dyDescent="0.25"/>
    <row r="195" ht="13.2" x14ac:dyDescent="0.25"/>
    <row r="196" ht="13.2" x14ac:dyDescent="0.25"/>
    <row r="197" ht="13.2" x14ac:dyDescent="0.25"/>
    <row r="198" ht="13.2" x14ac:dyDescent="0.25"/>
    <row r="199" ht="13.2" x14ac:dyDescent="0.25"/>
    <row r="200" ht="13.2" x14ac:dyDescent="0.25"/>
    <row r="201" ht="13.2" x14ac:dyDescent="0.25"/>
    <row r="202" ht="13.2" x14ac:dyDescent="0.25"/>
    <row r="203" ht="13.2" x14ac:dyDescent="0.25"/>
    <row r="204" ht="13.2" x14ac:dyDescent="0.25"/>
    <row r="205" ht="13.2" x14ac:dyDescent="0.25"/>
    <row r="206" ht="13.2" x14ac:dyDescent="0.25"/>
    <row r="207" ht="13.2" x14ac:dyDescent="0.25"/>
    <row r="208" ht="13.2" x14ac:dyDescent="0.25"/>
    <row r="209" ht="13.2" x14ac:dyDescent="0.25"/>
    <row r="210" ht="13.2" x14ac:dyDescent="0.25"/>
    <row r="211" ht="13.2" x14ac:dyDescent="0.25"/>
    <row r="212" ht="13.2" x14ac:dyDescent="0.25"/>
    <row r="213" ht="13.2" x14ac:dyDescent="0.25"/>
    <row r="214" ht="13.2" x14ac:dyDescent="0.25"/>
    <row r="215" ht="13.2" x14ac:dyDescent="0.25"/>
    <row r="216" ht="13.2" x14ac:dyDescent="0.25"/>
    <row r="217" ht="13.2" x14ac:dyDescent="0.25"/>
    <row r="218" ht="13.2" x14ac:dyDescent="0.25"/>
    <row r="219" ht="13.2" x14ac:dyDescent="0.25"/>
    <row r="220" ht="13.2" x14ac:dyDescent="0.25"/>
    <row r="221" ht="13.2" x14ac:dyDescent="0.25"/>
    <row r="222" ht="13.2" x14ac:dyDescent="0.25"/>
    <row r="223" ht="13.2" x14ac:dyDescent="0.25"/>
    <row r="224" ht="13.2" x14ac:dyDescent="0.25"/>
    <row r="225" ht="13.2" x14ac:dyDescent="0.25"/>
    <row r="226" ht="13.2" x14ac:dyDescent="0.25"/>
    <row r="227" ht="13.2" x14ac:dyDescent="0.25"/>
    <row r="228" ht="13.2" x14ac:dyDescent="0.25"/>
    <row r="229" ht="13.2" x14ac:dyDescent="0.25"/>
    <row r="230" ht="13.2" x14ac:dyDescent="0.25"/>
    <row r="231" ht="13.2" x14ac:dyDescent="0.25"/>
    <row r="232" ht="13.2" x14ac:dyDescent="0.25"/>
    <row r="233" ht="13.2" x14ac:dyDescent="0.25"/>
    <row r="234" ht="13.2" x14ac:dyDescent="0.25"/>
    <row r="235" ht="13.2" x14ac:dyDescent="0.25"/>
    <row r="236" ht="13.2" x14ac:dyDescent="0.25"/>
    <row r="237" ht="13.2" x14ac:dyDescent="0.25"/>
    <row r="238" ht="13.2" x14ac:dyDescent="0.25"/>
    <row r="239" ht="13.2" x14ac:dyDescent="0.25"/>
    <row r="240" ht="13.2" x14ac:dyDescent="0.25"/>
    <row r="241" ht="13.2" x14ac:dyDescent="0.25"/>
    <row r="242" ht="13.2" x14ac:dyDescent="0.25"/>
    <row r="243" ht="13.2" x14ac:dyDescent="0.25"/>
    <row r="244" ht="13.2" x14ac:dyDescent="0.25"/>
    <row r="245" ht="13.2" x14ac:dyDescent="0.25"/>
    <row r="246" ht="13.2" x14ac:dyDescent="0.25"/>
    <row r="247" ht="13.2" x14ac:dyDescent="0.25"/>
    <row r="248" ht="13.2" x14ac:dyDescent="0.25"/>
    <row r="249" ht="13.2" x14ac:dyDescent="0.25"/>
    <row r="250" ht="13.2" x14ac:dyDescent="0.25"/>
    <row r="251" ht="13.2" x14ac:dyDescent="0.25"/>
    <row r="252" ht="13.2" x14ac:dyDescent="0.25"/>
    <row r="253" ht="13.2" x14ac:dyDescent="0.25"/>
    <row r="254" ht="13.2" x14ac:dyDescent="0.25"/>
    <row r="255" ht="13.2" x14ac:dyDescent="0.25"/>
    <row r="256" ht="13.2" x14ac:dyDescent="0.25"/>
    <row r="257" ht="13.2" x14ac:dyDescent="0.25"/>
    <row r="258" ht="13.2" x14ac:dyDescent="0.25"/>
    <row r="259" ht="13.2" x14ac:dyDescent="0.25"/>
    <row r="260" ht="13.2" x14ac:dyDescent="0.25"/>
    <row r="261" ht="13.2" x14ac:dyDescent="0.25"/>
    <row r="262" ht="13.2" x14ac:dyDescent="0.25"/>
    <row r="263" ht="13.2" x14ac:dyDescent="0.25"/>
    <row r="264" ht="13.2" x14ac:dyDescent="0.25"/>
    <row r="265" ht="13.2" x14ac:dyDescent="0.25"/>
    <row r="266" ht="13.2" x14ac:dyDescent="0.25"/>
    <row r="267" ht="13.2" x14ac:dyDescent="0.25"/>
    <row r="268" ht="13.2" x14ac:dyDescent="0.25"/>
    <row r="269" ht="13.2" x14ac:dyDescent="0.25"/>
    <row r="270" ht="13.2" x14ac:dyDescent="0.25"/>
    <row r="271" ht="13.2" x14ac:dyDescent="0.25"/>
    <row r="272" ht="13.2" x14ac:dyDescent="0.25"/>
    <row r="273" ht="13.2" x14ac:dyDescent="0.25"/>
    <row r="274" ht="13.2" x14ac:dyDescent="0.25"/>
    <row r="275" ht="13.2" x14ac:dyDescent="0.25"/>
    <row r="276" ht="13.2" x14ac:dyDescent="0.25"/>
    <row r="277" ht="13.2" x14ac:dyDescent="0.25"/>
    <row r="278" ht="13.2" x14ac:dyDescent="0.25"/>
    <row r="279" ht="13.2" x14ac:dyDescent="0.25"/>
    <row r="280" ht="13.2" x14ac:dyDescent="0.25"/>
    <row r="281" ht="13.2" x14ac:dyDescent="0.25"/>
    <row r="282" ht="13.2" x14ac:dyDescent="0.25"/>
    <row r="283" ht="13.2" x14ac:dyDescent="0.25"/>
    <row r="284" ht="13.2" x14ac:dyDescent="0.25"/>
    <row r="285" ht="13.2" x14ac:dyDescent="0.25"/>
    <row r="286" ht="13.2" x14ac:dyDescent="0.25"/>
    <row r="287" ht="13.2" x14ac:dyDescent="0.25"/>
    <row r="288" ht="13.2" x14ac:dyDescent="0.25"/>
    <row r="289" ht="13.2" x14ac:dyDescent="0.25"/>
    <row r="290" ht="13.2" x14ac:dyDescent="0.25"/>
    <row r="291" ht="13.2" x14ac:dyDescent="0.25"/>
    <row r="292" ht="13.2" x14ac:dyDescent="0.25"/>
    <row r="293" ht="13.2" x14ac:dyDescent="0.25"/>
    <row r="294" ht="13.2" x14ac:dyDescent="0.25"/>
    <row r="295" ht="13.2" x14ac:dyDescent="0.25"/>
    <row r="296" ht="13.2" x14ac:dyDescent="0.25"/>
    <row r="297" ht="13.2" x14ac:dyDescent="0.25"/>
    <row r="298" ht="13.2" x14ac:dyDescent="0.25"/>
    <row r="299" ht="13.2" x14ac:dyDescent="0.25"/>
    <row r="300" ht="13.2" x14ac:dyDescent="0.25"/>
    <row r="301" ht="13.2" x14ac:dyDescent="0.25"/>
    <row r="302" ht="13.2" x14ac:dyDescent="0.25"/>
    <row r="303" ht="13.2" x14ac:dyDescent="0.25"/>
    <row r="304" ht="13.2" x14ac:dyDescent="0.25"/>
    <row r="305" ht="13.2" x14ac:dyDescent="0.25"/>
    <row r="306" ht="13.2" x14ac:dyDescent="0.25"/>
    <row r="307" ht="13.2" x14ac:dyDescent="0.25"/>
    <row r="308" ht="13.2" x14ac:dyDescent="0.25"/>
    <row r="309" ht="13.2" x14ac:dyDescent="0.25"/>
    <row r="310" ht="13.2" x14ac:dyDescent="0.25"/>
    <row r="311" ht="13.2" x14ac:dyDescent="0.25"/>
    <row r="312" ht="13.2" x14ac:dyDescent="0.25"/>
    <row r="313" ht="13.2" x14ac:dyDescent="0.25"/>
    <row r="314" ht="13.2" x14ac:dyDescent="0.25"/>
    <row r="315" ht="13.2" x14ac:dyDescent="0.25"/>
    <row r="316" ht="13.2" x14ac:dyDescent="0.25"/>
    <row r="317" ht="13.2" x14ac:dyDescent="0.25"/>
    <row r="318" ht="13.2" x14ac:dyDescent="0.25"/>
    <row r="319" ht="13.2" x14ac:dyDescent="0.25"/>
    <row r="320" ht="13.2" x14ac:dyDescent="0.25"/>
    <row r="321" ht="13.2" x14ac:dyDescent="0.25"/>
    <row r="322" ht="13.2" x14ac:dyDescent="0.25"/>
    <row r="323" ht="13.2" x14ac:dyDescent="0.25"/>
    <row r="324" ht="13.2" x14ac:dyDescent="0.25"/>
    <row r="325" ht="13.2" x14ac:dyDescent="0.25"/>
    <row r="326" ht="13.2" x14ac:dyDescent="0.25"/>
    <row r="327" ht="13.2" x14ac:dyDescent="0.25"/>
    <row r="328" ht="13.2" x14ac:dyDescent="0.25"/>
    <row r="329" ht="13.2" x14ac:dyDescent="0.25"/>
    <row r="330" ht="13.2" x14ac:dyDescent="0.25"/>
    <row r="331" ht="13.2" x14ac:dyDescent="0.25"/>
    <row r="332" ht="13.2" x14ac:dyDescent="0.25"/>
    <row r="333" ht="13.2" x14ac:dyDescent="0.25"/>
    <row r="334" ht="13.2" x14ac:dyDescent="0.25"/>
    <row r="335" ht="13.2" x14ac:dyDescent="0.25"/>
    <row r="336" ht="13.2" x14ac:dyDescent="0.25"/>
    <row r="337" ht="13.2" x14ac:dyDescent="0.25"/>
    <row r="338" ht="13.2" x14ac:dyDescent="0.25"/>
    <row r="339" ht="13.2" x14ac:dyDescent="0.25"/>
    <row r="340" ht="13.2" x14ac:dyDescent="0.25"/>
    <row r="341" ht="13.2" x14ac:dyDescent="0.25"/>
    <row r="342" ht="13.2" x14ac:dyDescent="0.25"/>
    <row r="343" ht="13.2" x14ac:dyDescent="0.25"/>
    <row r="344" ht="13.2" x14ac:dyDescent="0.25"/>
    <row r="345" ht="13.2" x14ac:dyDescent="0.25"/>
    <row r="346" ht="13.2" x14ac:dyDescent="0.25"/>
    <row r="347" ht="13.2" x14ac:dyDescent="0.25"/>
    <row r="348" ht="13.2" x14ac:dyDescent="0.25"/>
    <row r="349" ht="13.2" x14ac:dyDescent="0.25"/>
    <row r="350" ht="13.2" x14ac:dyDescent="0.25"/>
    <row r="351" ht="13.2" x14ac:dyDescent="0.25"/>
    <row r="352" ht="13.2" x14ac:dyDescent="0.25"/>
    <row r="353" ht="13.2" x14ac:dyDescent="0.25"/>
    <row r="354" ht="13.2" x14ac:dyDescent="0.25"/>
    <row r="355" ht="13.2" x14ac:dyDescent="0.25"/>
    <row r="356" ht="13.2" x14ac:dyDescent="0.25"/>
    <row r="357" ht="13.2" x14ac:dyDescent="0.25"/>
    <row r="358" ht="13.2" x14ac:dyDescent="0.25"/>
    <row r="359" ht="13.2" x14ac:dyDescent="0.25"/>
    <row r="360" ht="13.2" x14ac:dyDescent="0.25"/>
    <row r="361" ht="13.2" x14ac:dyDescent="0.25"/>
    <row r="362" ht="13.2" x14ac:dyDescent="0.25"/>
    <row r="363" ht="13.2" x14ac:dyDescent="0.25"/>
    <row r="364" ht="13.2" x14ac:dyDescent="0.25"/>
    <row r="365" ht="13.2" x14ac:dyDescent="0.25"/>
    <row r="366" ht="13.2" x14ac:dyDescent="0.25"/>
    <row r="367" ht="13.2" x14ac:dyDescent="0.25"/>
    <row r="368" ht="13.2" x14ac:dyDescent="0.25"/>
    <row r="369" ht="13.2" x14ac:dyDescent="0.25"/>
    <row r="370" ht="13.2" x14ac:dyDescent="0.25"/>
    <row r="371" ht="13.2" x14ac:dyDescent="0.25"/>
    <row r="372" ht="13.2" x14ac:dyDescent="0.25"/>
    <row r="373" ht="13.2" x14ac:dyDescent="0.25"/>
    <row r="374" ht="13.2" x14ac:dyDescent="0.25"/>
    <row r="375" ht="13.2" x14ac:dyDescent="0.25"/>
    <row r="376" ht="13.2" x14ac:dyDescent="0.25"/>
    <row r="377" ht="13.2" x14ac:dyDescent="0.25"/>
    <row r="378" ht="13.2" x14ac:dyDescent="0.25"/>
    <row r="379" ht="13.2" x14ac:dyDescent="0.25"/>
    <row r="380" ht="13.2" x14ac:dyDescent="0.25"/>
    <row r="381" ht="13.2" x14ac:dyDescent="0.25"/>
    <row r="382" ht="13.2" x14ac:dyDescent="0.25"/>
    <row r="383" ht="13.2" x14ac:dyDescent="0.25"/>
    <row r="384" ht="13.2" x14ac:dyDescent="0.25"/>
    <row r="385" ht="13.2" x14ac:dyDescent="0.25"/>
    <row r="386" ht="13.2" x14ac:dyDescent="0.25"/>
    <row r="387" ht="13.2" x14ac:dyDescent="0.25"/>
    <row r="388" ht="13.2" x14ac:dyDescent="0.25"/>
    <row r="389" ht="13.2" x14ac:dyDescent="0.25"/>
    <row r="390" ht="13.2" x14ac:dyDescent="0.25"/>
    <row r="391" ht="13.2" x14ac:dyDescent="0.25"/>
    <row r="392" ht="13.2" x14ac:dyDescent="0.25"/>
    <row r="393" ht="13.2" x14ac:dyDescent="0.25"/>
    <row r="394" ht="13.2" x14ac:dyDescent="0.25"/>
    <row r="395" ht="13.2" x14ac:dyDescent="0.25"/>
    <row r="396" ht="13.2" x14ac:dyDescent="0.25"/>
    <row r="397" ht="13.2" x14ac:dyDescent="0.25"/>
    <row r="398" ht="13.2" x14ac:dyDescent="0.25"/>
    <row r="399" ht="13.2" x14ac:dyDescent="0.25"/>
    <row r="400" ht="13.2" x14ac:dyDescent="0.25"/>
    <row r="401" ht="13.2" x14ac:dyDescent="0.25"/>
    <row r="402" ht="13.2" x14ac:dyDescent="0.25"/>
    <row r="403" ht="13.2" x14ac:dyDescent="0.25"/>
    <row r="404" ht="13.2" x14ac:dyDescent="0.25"/>
    <row r="405" ht="13.2" x14ac:dyDescent="0.25"/>
    <row r="406" ht="13.2" x14ac:dyDescent="0.25"/>
    <row r="407" ht="13.2" x14ac:dyDescent="0.25"/>
    <row r="408" ht="13.2" x14ac:dyDescent="0.25"/>
    <row r="409" ht="13.2" x14ac:dyDescent="0.25"/>
    <row r="410" ht="13.2" x14ac:dyDescent="0.25"/>
    <row r="411" ht="13.2" x14ac:dyDescent="0.25"/>
    <row r="412" ht="13.2" x14ac:dyDescent="0.25"/>
    <row r="413" ht="13.2" x14ac:dyDescent="0.25"/>
    <row r="414" ht="13.2" x14ac:dyDescent="0.25"/>
    <row r="415" ht="13.2" x14ac:dyDescent="0.25"/>
    <row r="416" ht="13.2" x14ac:dyDescent="0.25"/>
    <row r="417" ht="13.2" x14ac:dyDescent="0.25"/>
    <row r="418" ht="13.2" x14ac:dyDescent="0.25"/>
    <row r="419" ht="13.2" x14ac:dyDescent="0.25"/>
    <row r="420" ht="13.2" x14ac:dyDescent="0.25"/>
    <row r="421" ht="13.2" x14ac:dyDescent="0.25"/>
    <row r="422" ht="13.2" x14ac:dyDescent="0.25"/>
    <row r="423" ht="13.2" x14ac:dyDescent="0.25"/>
    <row r="424" ht="13.2" x14ac:dyDescent="0.25"/>
    <row r="425" ht="13.2" x14ac:dyDescent="0.25"/>
    <row r="426" ht="13.2" x14ac:dyDescent="0.25"/>
    <row r="427" ht="13.2" x14ac:dyDescent="0.25"/>
    <row r="428" ht="13.2" x14ac:dyDescent="0.25"/>
    <row r="429" ht="13.2" x14ac:dyDescent="0.25"/>
    <row r="430" ht="13.2" x14ac:dyDescent="0.25"/>
    <row r="431" ht="13.2" x14ac:dyDescent="0.25"/>
    <row r="432" ht="13.2" x14ac:dyDescent="0.25"/>
    <row r="433" ht="13.2" x14ac:dyDescent="0.25"/>
    <row r="434" ht="13.2" x14ac:dyDescent="0.25"/>
    <row r="435" ht="13.2" x14ac:dyDescent="0.25"/>
    <row r="436" ht="13.2" x14ac:dyDescent="0.25"/>
    <row r="437" ht="13.2" x14ac:dyDescent="0.25"/>
    <row r="438" ht="13.2" x14ac:dyDescent="0.25"/>
    <row r="439" ht="13.2" x14ac:dyDescent="0.25"/>
    <row r="440" ht="13.2" x14ac:dyDescent="0.25"/>
    <row r="441" ht="13.2" x14ac:dyDescent="0.25"/>
    <row r="442" ht="13.2" x14ac:dyDescent="0.25"/>
    <row r="443" ht="13.2" x14ac:dyDescent="0.25"/>
    <row r="444" ht="13.2" x14ac:dyDescent="0.25"/>
    <row r="445" ht="13.2" x14ac:dyDescent="0.25"/>
    <row r="446" ht="13.2" x14ac:dyDescent="0.25"/>
    <row r="447" ht="13.2" x14ac:dyDescent="0.25"/>
    <row r="448" ht="13.2" x14ac:dyDescent="0.25"/>
    <row r="449" ht="13.2" x14ac:dyDescent="0.25"/>
    <row r="450" ht="13.2" x14ac:dyDescent="0.25"/>
    <row r="451" ht="13.2" x14ac:dyDescent="0.25"/>
    <row r="452" ht="13.2" x14ac:dyDescent="0.25"/>
    <row r="453" ht="13.2" x14ac:dyDescent="0.25"/>
    <row r="454" ht="13.2" x14ac:dyDescent="0.25"/>
    <row r="455" ht="13.2" x14ac:dyDescent="0.25"/>
    <row r="456" ht="13.2" x14ac:dyDescent="0.25"/>
    <row r="457" ht="13.2" x14ac:dyDescent="0.25"/>
    <row r="458" ht="13.2" x14ac:dyDescent="0.25"/>
    <row r="459" ht="13.2" x14ac:dyDescent="0.25"/>
    <row r="460" ht="13.2" x14ac:dyDescent="0.25"/>
    <row r="461" ht="13.2" x14ac:dyDescent="0.25"/>
    <row r="462" ht="13.2" x14ac:dyDescent="0.25"/>
    <row r="463" ht="13.2" x14ac:dyDescent="0.25"/>
    <row r="464" ht="13.2" x14ac:dyDescent="0.25"/>
    <row r="465" ht="13.2" x14ac:dyDescent="0.25"/>
    <row r="466" ht="13.2" x14ac:dyDescent="0.25"/>
    <row r="467" ht="13.2" x14ac:dyDescent="0.25"/>
    <row r="468" ht="13.2" x14ac:dyDescent="0.25"/>
    <row r="469" ht="13.2" x14ac:dyDescent="0.25"/>
    <row r="470" ht="13.2" x14ac:dyDescent="0.25"/>
    <row r="471" ht="13.2" x14ac:dyDescent="0.25"/>
    <row r="472" ht="13.2" x14ac:dyDescent="0.25"/>
    <row r="473" ht="13.2" x14ac:dyDescent="0.25"/>
    <row r="474" ht="13.2" x14ac:dyDescent="0.25"/>
    <row r="475" ht="13.2" x14ac:dyDescent="0.25"/>
    <row r="476" ht="13.2" x14ac:dyDescent="0.25"/>
    <row r="477" ht="13.2" x14ac:dyDescent="0.25"/>
    <row r="478" ht="13.2" x14ac:dyDescent="0.25"/>
    <row r="479" ht="13.2" x14ac:dyDescent="0.25"/>
    <row r="480" ht="13.2" x14ac:dyDescent="0.25"/>
    <row r="481" ht="13.2" x14ac:dyDescent="0.25"/>
    <row r="482" ht="13.2" x14ac:dyDescent="0.25"/>
    <row r="483" ht="13.2" x14ac:dyDescent="0.25"/>
    <row r="484" ht="13.2" x14ac:dyDescent="0.25"/>
    <row r="485" ht="13.2" x14ac:dyDescent="0.25"/>
    <row r="486" ht="13.2" x14ac:dyDescent="0.25"/>
    <row r="487" ht="13.2" x14ac:dyDescent="0.25"/>
    <row r="488" ht="13.2" x14ac:dyDescent="0.25"/>
    <row r="489" ht="13.2" x14ac:dyDescent="0.25"/>
    <row r="490" ht="13.2" x14ac:dyDescent="0.25"/>
    <row r="491" ht="13.2" x14ac:dyDescent="0.25"/>
    <row r="492" ht="13.2" x14ac:dyDescent="0.25"/>
    <row r="493" ht="13.2" x14ac:dyDescent="0.25"/>
    <row r="494" ht="13.2" x14ac:dyDescent="0.25"/>
    <row r="495" ht="13.2" x14ac:dyDescent="0.25"/>
    <row r="496" ht="13.2" x14ac:dyDescent="0.25"/>
    <row r="497" ht="13.2" x14ac:dyDescent="0.25"/>
    <row r="498" ht="13.2" x14ac:dyDescent="0.25"/>
    <row r="499" ht="13.2" x14ac:dyDescent="0.25"/>
    <row r="500" ht="13.2" x14ac:dyDescent="0.25"/>
    <row r="501" ht="13.2" x14ac:dyDescent="0.25"/>
    <row r="502" ht="13.2" x14ac:dyDescent="0.25"/>
    <row r="503" ht="13.2" x14ac:dyDescent="0.25"/>
    <row r="504" ht="13.2" x14ac:dyDescent="0.25"/>
    <row r="505" ht="13.2" x14ac:dyDescent="0.25"/>
    <row r="506" ht="13.2" x14ac:dyDescent="0.25"/>
    <row r="507" ht="13.2" x14ac:dyDescent="0.25"/>
    <row r="508" ht="13.2" x14ac:dyDescent="0.25"/>
    <row r="509" ht="13.2" x14ac:dyDescent="0.25"/>
    <row r="510" ht="13.2" x14ac:dyDescent="0.25"/>
    <row r="511" ht="13.2" x14ac:dyDescent="0.25"/>
    <row r="512" ht="13.2" x14ac:dyDescent="0.25"/>
    <row r="513" ht="13.2" x14ac:dyDescent="0.25"/>
    <row r="514" ht="13.2" x14ac:dyDescent="0.25"/>
    <row r="515" ht="13.2" x14ac:dyDescent="0.25"/>
    <row r="516" ht="13.2" x14ac:dyDescent="0.25"/>
    <row r="517" ht="13.2" x14ac:dyDescent="0.25"/>
    <row r="518" ht="13.2" x14ac:dyDescent="0.25"/>
    <row r="519" ht="13.2" x14ac:dyDescent="0.25"/>
    <row r="520" ht="13.2" x14ac:dyDescent="0.25"/>
    <row r="521" ht="13.2" x14ac:dyDescent="0.25"/>
    <row r="522" ht="13.2" x14ac:dyDescent="0.25"/>
    <row r="523" ht="13.2" x14ac:dyDescent="0.25"/>
    <row r="524" ht="13.2" x14ac:dyDescent="0.25"/>
    <row r="525" ht="13.2" x14ac:dyDescent="0.25"/>
    <row r="526" ht="13.2" x14ac:dyDescent="0.25"/>
    <row r="527" ht="13.2" x14ac:dyDescent="0.25"/>
    <row r="528" ht="13.2" x14ac:dyDescent="0.25"/>
    <row r="529" ht="13.2" x14ac:dyDescent="0.25"/>
    <row r="530" ht="13.2" x14ac:dyDescent="0.25"/>
    <row r="531" ht="13.2" x14ac:dyDescent="0.25"/>
    <row r="532" ht="13.2" x14ac:dyDescent="0.25"/>
    <row r="533" ht="13.2" x14ac:dyDescent="0.25"/>
    <row r="534" ht="13.2" x14ac:dyDescent="0.25"/>
    <row r="535" ht="13.2" x14ac:dyDescent="0.25"/>
    <row r="536" ht="13.2" x14ac:dyDescent="0.25"/>
    <row r="537" ht="13.2" x14ac:dyDescent="0.25"/>
    <row r="538" ht="13.2" x14ac:dyDescent="0.25"/>
    <row r="539" ht="13.2" x14ac:dyDescent="0.25"/>
    <row r="540" ht="13.2" x14ac:dyDescent="0.25"/>
    <row r="541" ht="13.2" x14ac:dyDescent="0.25"/>
    <row r="542" ht="13.2" x14ac:dyDescent="0.25"/>
    <row r="543" ht="13.2" x14ac:dyDescent="0.25"/>
    <row r="544" ht="13.2" x14ac:dyDescent="0.25"/>
    <row r="545" ht="13.2" x14ac:dyDescent="0.25"/>
    <row r="546" ht="13.2" x14ac:dyDescent="0.25"/>
    <row r="547" ht="13.2" x14ac:dyDescent="0.25"/>
    <row r="548" ht="13.2" x14ac:dyDescent="0.25"/>
    <row r="549" ht="13.2" x14ac:dyDescent="0.25"/>
    <row r="550" ht="13.2" x14ac:dyDescent="0.25"/>
    <row r="551" ht="13.2" x14ac:dyDescent="0.25"/>
    <row r="552" ht="13.2" x14ac:dyDescent="0.25"/>
    <row r="553" ht="13.2" x14ac:dyDescent="0.25"/>
    <row r="554" ht="13.2" x14ac:dyDescent="0.25"/>
    <row r="555" ht="13.2" x14ac:dyDescent="0.25"/>
    <row r="556" ht="13.2" x14ac:dyDescent="0.25"/>
    <row r="557" ht="13.2" x14ac:dyDescent="0.25"/>
    <row r="558" ht="13.2" x14ac:dyDescent="0.25"/>
    <row r="559" ht="13.2" x14ac:dyDescent="0.25"/>
    <row r="560" ht="13.2" x14ac:dyDescent="0.25"/>
    <row r="561" ht="13.2" x14ac:dyDescent="0.25"/>
    <row r="562" ht="13.2" x14ac:dyDescent="0.25"/>
    <row r="563" ht="13.2" x14ac:dyDescent="0.25"/>
    <row r="564" ht="13.2" x14ac:dyDescent="0.25"/>
    <row r="565" ht="13.2" x14ac:dyDescent="0.25"/>
    <row r="566" ht="13.2" x14ac:dyDescent="0.25"/>
    <row r="567" ht="13.2" x14ac:dyDescent="0.25"/>
    <row r="568" ht="13.2" x14ac:dyDescent="0.25"/>
    <row r="569" ht="13.2" x14ac:dyDescent="0.25"/>
    <row r="570" ht="13.2" x14ac:dyDescent="0.25"/>
    <row r="571" ht="13.2" x14ac:dyDescent="0.25"/>
    <row r="572" ht="13.2" x14ac:dyDescent="0.25"/>
    <row r="573" ht="13.2" x14ac:dyDescent="0.25"/>
    <row r="574" ht="13.2" x14ac:dyDescent="0.25"/>
    <row r="575" ht="13.2" x14ac:dyDescent="0.25"/>
    <row r="576" ht="13.2" x14ac:dyDescent="0.25"/>
    <row r="577" ht="13.2" x14ac:dyDescent="0.25"/>
    <row r="578" ht="13.2" x14ac:dyDescent="0.25"/>
    <row r="579" ht="13.2" x14ac:dyDescent="0.25"/>
    <row r="580" ht="13.2" x14ac:dyDescent="0.25"/>
    <row r="581" ht="13.2" x14ac:dyDescent="0.25"/>
    <row r="582" ht="13.2" x14ac:dyDescent="0.25"/>
    <row r="583" ht="13.2" x14ac:dyDescent="0.25"/>
    <row r="584" ht="13.2" x14ac:dyDescent="0.25"/>
    <row r="585" ht="13.2" x14ac:dyDescent="0.25"/>
    <row r="586" ht="13.2" x14ac:dyDescent="0.25"/>
    <row r="587" ht="13.2" x14ac:dyDescent="0.25"/>
    <row r="588" ht="13.2" x14ac:dyDescent="0.25"/>
    <row r="589" ht="13.2" x14ac:dyDescent="0.25"/>
    <row r="590" ht="13.2" x14ac:dyDescent="0.25"/>
    <row r="591" ht="13.2" x14ac:dyDescent="0.25"/>
    <row r="592" ht="13.2" x14ac:dyDescent="0.25"/>
    <row r="593" ht="13.2" x14ac:dyDescent="0.25"/>
    <row r="594" ht="13.2" x14ac:dyDescent="0.25"/>
    <row r="595" ht="13.2" x14ac:dyDescent="0.25"/>
    <row r="596" ht="13.2" x14ac:dyDescent="0.25"/>
    <row r="597" ht="13.2" x14ac:dyDescent="0.25"/>
    <row r="598" ht="13.2" x14ac:dyDescent="0.25"/>
    <row r="599" ht="13.2" x14ac:dyDescent="0.25"/>
    <row r="600" ht="13.2" x14ac:dyDescent="0.25"/>
    <row r="601" ht="13.2" x14ac:dyDescent="0.25"/>
    <row r="602" ht="13.2" x14ac:dyDescent="0.25"/>
    <row r="603" ht="13.2" x14ac:dyDescent="0.25"/>
    <row r="604" ht="13.2" x14ac:dyDescent="0.25"/>
    <row r="605" ht="13.2" x14ac:dyDescent="0.25"/>
    <row r="606" ht="13.2" x14ac:dyDescent="0.25"/>
    <row r="607" ht="13.2" x14ac:dyDescent="0.25"/>
    <row r="608" ht="13.2" x14ac:dyDescent="0.25"/>
    <row r="609" ht="13.2" x14ac:dyDescent="0.25"/>
    <row r="610" ht="13.2" x14ac:dyDescent="0.25"/>
    <row r="611" ht="13.2" x14ac:dyDescent="0.25"/>
    <row r="612" ht="13.2" x14ac:dyDescent="0.25"/>
    <row r="613" ht="13.2" x14ac:dyDescent="0.25"/>
    <row r="614" ht="13.2" x14ac:dyDescent="0.25"/>
    <row r="615" ht="13.2" x14ac:dyDescent="0.25"/>
    <row r="616" ht="13.2" x14ac:dyDescent="0.25"/>
    <row r="617" ht="13.2" x14ac:dyDescent="0.25"/>
    <row r="618" ht="13.2" x14ac:dyDescent="0.25"/>
    <row r="619" ht="13.2" x14ac:dyDescent="0.25"/>
    <row r="620" ht="13.2" x14ac:dyDescent="0.25"/>
    <row r="621" ht="13.2" x14ac:dyDescent="0.25"/>
    <row r="622" ht="13.2" x14ac:dyDescent="0.25"/>
    <row r="623" ht="13.2" x14ac:dyDescent="0.25"/>
    <row r="624" ht="13.2" x14ac:dyDescent="0.25"/>
    <row r="625" ht="13.2" x14ac:dyDescent="0.25"/>
    <row r="626" ht="13.2" x14ac:dyDescent="0.25"/>
    <row r="627" ht="13.2" x14ac:dyDescent="0.25"/>
    <row r="628" ht="13.2" x14ac:dyDescent="0.25"/>
    <row r="629" ht="13.2" x14ac:dyDescent="0.25"/>
    <row r="630" ht="13.2" x14ac:dyDescent="0.25"/>
    <row r="631" ht="13.2" x14ac:dyDescent="0.25"/>
    <row r="632" ht="13.2" x14ac:dyDescent="0.25"/>
    <row r="633" ht="13.2" x14ac:dyDescent="0.25"/>
    <row r="634" ht="13.2" x14ac:dyDescent="0.25"/>
    <row r="635" ht="13.2" x14ac:dyDescent="0.25"/>
    <row r="636" ht="13.2" x14ac:dyDescent="0.25"/>
    <row r="637" ht="13.2" x14ac:dyDescent="0.25"/>
    <row r="638" ht="13.2" x14ac:dyDescent="0.25"/>
    <row r="639" ht="13.2" x14ac:dyDescent="0.25"/>
    <row r="640" ht="13.2" x14ac:dyDescent="0.25"/>
    <row r="641" ht="13.2" x14ac:dyDescent="0.25"/>
    <row r="642" ht="13.2" x14ac:dyDescent="0.25"/>
    <row r="643" ht="13.2" x14ac:dyDescent="0.25"/>
    <row r="644" ht="13.2" x14ac:dyDescent="0.25"/>
    <row r="645" ht="13.2" x14ac:dyDescent="0.25"/>
    <row r="646" ht="13.2" x14ac:dyDescent="0.25"/>
    <row r="647" ht="13.2" x14ac:dyDescent="0.25"/>
    <row r="648" ht="13.2" x14ac:dyDescent="0.25"/>
    <row r="649" ht="13.2" x14ac:dyDescent="0.25"/>
    <row r="650" ht="13.2" x14ac:dyDescent="0.25"/>
    <row r="651" ht="13.2" x14ac:dyDescent="0.25"/>
    <row r="652" ht="13.2" x14ac:dyDescent="0.25"/>
    <row r="653" ht="13.2" x14ac:dyDescent="0.25"/>
    <row r="654" ht="13.2" x14ac:dyDescent="0.25"/>
    <row r="655" ht="13.2" x14ac:dyDescent="0.25"/>
    <row r="656" ht="13.2" x14ac:dyDescent="0.25"/>
    <row r="657" ht="13.2" x14ac:dyDescent="0.25"/>
    <row r="658" ht="13.2" x14ac:dyDescent="0.25"/>
    <row r="659" ht="13.2" x14ac:dyDescent="0.25"/>
    <row r="660" ht="13.2" x14ac:dyDescent="0.25"/>
    <row r="661" ht="13.2" x14ac:dyDescent="0.25"/>
    <row r="662" ht="13.2" x14ac:dyDescent="0.25"/>
    <row r="663" ht="13.2" x14ac:dyDescent="0.25"/>
    <row r="664" ht="13.2" x14ac:dyDescent="0.25"/>
    <row r="665" ht="13.2" x14ac:dyDescent="0.25"/>
    <row r="666" ht="13.2" x14ac:dyDescent="0.25"/>
    <row r="667" ht="13.2" x14ac:dyDescent="0.25"/>
    <row r="668" ht="13.2" x14ac:dyDescent="0.25"/>
    <row r="669" ht="13.2" x14ac:dyDescent="0.25"/>
    <row r="670" ht="13.2" x14ac:dyDescent="0.25"/>
    <row r="671" ht="13.2" x14ac:dyDescent="0.25"/>
    <row r="672" ht="13.2" x14ac:dyDescent="0.25"/>
    <row r="673" ht="13.2" x14ac:dyDescent="0.25"/>
    <row r="674" ht="13.2" x14ac:dyDescent="0.25"/>
    <row r="675" ht="13.2" x14ac:dyDescent="0.25"/>
    <row r="676" ht="13.2" x14ac:dyDescent="0.25"/>
    <row r="677" ht="13.2" x14ac:dyDescent="0.25"/>
    <row r="678" ht="13.2" x14ac:dyDescent="0.25"/>
    <row r="679" ht="13.2" x14ac:dyDescent="0.25"/>
    <row r="680" ht="13.2" x14ac:dyDescent="0.25"/>
    <row r="681" ht="13.2" x14ac:dyDescent="0.25"/>
    <row r="682" ht="13.2" x14ac:dyDescent="0.25"/>
    <row r="683" ht="13.2" x14ac:dyDescent="0.25"/>
    <row r="684" ht="13.2" x14ac:dyDescent="0.25"/>
    <row r="685" ht="13.2" x14ac:dyDescent="0.25"/>
    <row r="686" ht="13.2" x14ac:dyDescent="0.25"/>
    <row r="687" ht="13.2" x14ac:dyDescent="0.25"/>
    <row r="688" ht="13.2" x14ac:dyDescent="0.25"/>
    <row r="689" ht="13.2" x14ac:dyDescent="0.25"/>
    <row r="690" ht="13.2" x14ac:dyDescent="0.25"/>
    <row r="691" ht="13.2" x14ac:dyDescent="0.25"/>
    <row r="692" ht="13.2" x14ac:dyDescent="0.25"/>
    <row r="693" ht="13.2" x14ac:dyDescent="0.25"/>
    <row r="694" ht="13.2" x14ac:dyDescent="0.25"/>
    <row r="695" ht="13.2" x14ac:dyDescent="0.25"/>
    <row r="696" ht="13.2" x14ac:dyDescent="0.25"/>
    <row r="697" ht="13.2" x14ac:dyDescent="0.25"/>
    <row r="698" ht="13.2" x14ac:dyDescent="0.25"/>
    <row r="699" ht="13.2" x14ac:dyDescent="0.25"/>
    <row r="700" ht="13.2" x14ac:dyDescent="0.25"/>
    <row r="701" ht="13.2" x14ac:dyDescent="0.25"/>
    <row r="702" ht="13.2" x14ac:dyDescent="0.25"/>
    <row r="703" ht="13.2" x14ac:dyDescent="0.25"/>
    <row r="704" ht="13.2" x14ac:dyDescent="0.25"/>
    <row r="705" ht="13.2" x14ac:dyDescent="0.25"/>
    <row r="706" ht="13.2" x14ac:dyDescent="0.25"/>
    <row r="707" ht="13.2" x14ac:dyDescent="0.25"/>
    <row r="708" ht="13.2" x14ac:dyDescent="0.25"/>
    <row r="709" ht="13.2" x14ac:dyDescent="0.25"/>
    <row r="710" ht="13.2" x14ac:dyDescent="0.25"/>
    <row r="711" ht="13.2" x14ac:dyDescent="0.25"/>
    <row r="712" ht="13.2" x14ac:dyDescent="0.25"/>
    <row r="713" ht="13.2" x14ac:dyDescent="0.25"/>
    <row r="714" ht="13.2" x14ac:dyDescent="0.25"/>
    <row r="715" ht="13.2" x14ac:dyDescent="0.25"/>
    <row r="716" ht="13.2" x14ac:dyDescent="0.25"/>
    <row r="717" ht="13.2" x14ac:dyDescent="0.25"/>
    <row r="718" ht="13.2" x14ac:dyDescent="0.25"/>
    <row r="719" ht="13.2" x14ac:dyDescent="0.25"/>
    <row r="720" ht="13.2" x14ac:dyDescent="0.25"/>
    <row r="721" ht="13.2" x14ac:dyDescent="0.25"/>
    <row r="722" ht="13.2" x14ac:dyDescent="0.25"/>
    <row r="723" ht="13.2" x14ac:dyDescent="0.25"/>
    <row r="724" ht="13.2" x14ac:dyDescent="0.25"/>
    <row r="725" ht="13.2" x14ac:dyDescent="0.25"/>
    <row r="726" ht="13.2" x14ac:dyDescent="0.25"/>
    <row r="727" ht="13.2" x14ac:dyDescent="0.25"/>
    <row r="728" ht="13.2" x14ac:dyDescent="0.25"/>
    <row r="729" ht="13.2" x14ac:dyDescent="0.25"/>
    <row r="730" ht="13.2" x14ac:dyDescent="0.25"/>
    <row r="731" ht="13.2" x14ac:dyDescent="0.25"/>
    <row r="732" ht="13.2" x14ac:dyDescent="0.25"/>
    <row r="733" ht="13.2" x14ac:dyDescent="0.25"/>
    <row r="734" ht="13.2" x14ac:dyDescent="0.25"/>
    <row r="735" ht="13.2" x14ac:dyDescent="0.25"/>
    <row r="736" ht="13.2" x14ac:dyDescent="0.25"/>
    <row r="737" ht="13.2" x14ac:dyDescent="0.25"/>
    <row r="738" ht="13.2" x14ac:dyDescent="0.25"/>
    <row r="739" ht="13.2" x14ac:dyDescent="0.25"/>
    <row r="740" ht="13.2" x14ac:dyDescent="0.25"/>
    <row r="741" ht="13.2" x14ac:dyDescent="0.25"/>
    <row r="742" ht="13.2" x14ac:dyDescent="0.25"/>
    <row r="743" ht="13.2" x14ac:dyDescent="0.25"/>
    <row r="744" ht="13.2" x14ac:dyDescent="0.25"/>
    <row r="745" ht="13.2" x14ac:dyDescent="0.25"/>
    <row r="746" ht="13.2" x14ac:dyDescent="0.25"/>
    <row r="747" ht="13.2" x14ac:dyDescent="0.25"/>
    <row r="748" ht="13.2" x14ac:dyDescent="0.25"/>
    <row r="749" ht="13.2" x14ac:dyDescent="0.25"/>
    <row r="750" ht="13.2" x14ac:dyDescent="0.25"/>
    <row r="751" ht="13.2" x14ac:dyDescent="0.25"/>
    <row r="752" ht="13.2" x14ac:dyDescent="0.25"/>
    <row r="753" ht="13.2" x14ac:dyDescent="0.25"/>
    <row r="754" ht="13.2" x14ac:dyDescent="0.25"/>
    <row r="755" ht="13.2" x14ac:dyDescent="0.25"/>
    <row r="756" ht="13.2" x14ac:dyDescent="0.25"/>
    <row r="757" ht="13.2" x14ac:dyDescent="0.25"/>
    <row r="758" ht="13.2" x14ac:dyDescent="0.25"/>
    <row r="759" ht="13.2" x14ac:dyDescent="0.25"/>
    <row r="760" ht="13.2" x14ac:dyDescent="0.25"/>
    <row r="761" ht="13.2" x14ac:dyDescent="0.25"/>
    <row r="762" ht="13.2" x14ac:dyDescent="0.25"/>
    <row r="763" ht="13.2" x14ac:dyDescent="0.25"/>
    <row r="764" ht="13.2" x14ac:dyDescent="0.25"/>
    <row r="765" ht="13.2" x14ac:dyDescent="0.25"/>
    <row r="766" ht="13.2" x14ac:dyDescent="0.25"/>
    <row r="767" ht="13.2" x14ac:dyDescent="0.25"/>
    <row r="768" ht="13.2" x14ac:dyDescent="0.25"/>
    <row r="769" ht="13.2" x14ac:dyDescent="0.25"/>
    <row r="770" ht="13.2" x14ac:dyDescent="0.25"/>
    <row r="771" ht="13.2" x14ac:dyDescent="0.25"/>
    <row r="772" ht="13.2" x14ac:dyDescent="0.25"/>
    <row r="773" ht="13.2" x14ac:dyDescent="0.25"/>
    <row r="774" ht="13.2" x14ac:dyDescent="0.25"/>
    <row r="775" ht="13.2" x14ac:dyDescent="0.25"/>
    <row r="776" ht="13.2" x14ac:dyDescent="0.25"/>
    <row r="777" ht="13.2" x14ac:dyDescent="0.25"/>
    <row r="778" ht="13.2" x14ac:dyDescent="0.25"/>
    <row r="779" ht="13.2" x14ac:dyDescent="0.25"/>
    <row r="780" ht="13.2" x14ac:dyDescent="0.25"/>
    <row r="781" ht="13.2" x14ac:dyDescent="0.25"/>
    <row r="782" ht="13.2" x14ac:dyDescent="0.25"/>
    <row r="783" ht="13.2" x14ac:dyDescent="0.25"/>
    <row r="784" ht="13.2" x14ac:dyDescent="0.25"/>
    <row r="785" ht="13.2" x14ac:dyDescent="0.25"/>
    <row r="786" ht="13.2" x14ac:dyDescent="0.25"/>
    <row r="787" ht="13.2" x14ac:dyDescent="0.25"/>
    <row r="788" ht="13.2" x14ac:dyDescent="0.25"/>
    <row r="789" ht="13.2" x14ac:dyDescent="0.25"/>
    <row r="790" ht="13.2" x14ac:dyDescent="0.25"/>
    <row r="791" ht="13.2" x14ac:dyDescent="0.25"/>
    <row r="792" ht="13.2" x14ac:dyDescent="0.25"/>
    <row r="793" ht="13.2" x14ac:dyDescent="0.25"/>
    <row r="794" ht="13.2" x14ac:dyDescent="0.25"/>
    <row r="795" ht="13.2" x14ac:dyDescent="0.25"/>
    <row r="796" ht="13.2" x14ac:dyDescent="0.25"/>
    <row r="797" ht="13.2" x14ac:dyDescent="0.25"/>
    <row r="798" ht="13.2" x14ac:dyDescent="0.25"/>
    <row r="799" ht="13.2" x14ac:dyDescent="0.25"/>
    <row r="800" ht="13.2" x14ac:dyDescent="0.25"/>
    <row r="801" ht="13.2" x14ac:dyDescent="0.25"/>
    <row r="802" ht="13.2" x14ac:dyDescent="0.25"/>
    <row r="803" ht="13.2" x14ac:dyDescent="0.25"/>
    <row r="804" ht="13.2" x14ac:dyDescent="0.25"/>
    <row r="805" ht="13.2" x14ac:dyDescent="0.25"/>
    <row r="806" ht="13.2" x14ac:dyDescent="0.25"/>
    <row r="807" ht="13.2" x14ac:dyDescent="0.25"/>
    <row r="808" ht="13.2" x14ac:dyDescent="0.25"/>
    <row r="809" ht="13.2" x14ac:dyDescent="0.25"/>
    <row r="810" ht="13.2" x14ac:dyDescent="0.25"/>
    <row r="811" ht="13.2" x14ac:dyDescent="0.25"/>
    <row r="812" ht="13.2" x14ac:dyDescent="0.25"/>
    <row r="813" ht="13.2" x14ac:dyDescent="0.25"/>
    <row r="814" ht="13.2" x14ac:dyDescent="0.25"/>
    <row r="815" ht="13.2" x14ac:dyDescent="0.25"/>
    <row r="816" ht="13.2" x14ac:dyDescent="0.25"/>
    <row r="817" ht="13.2" x14ac:dyDescent="0.25"/>
    <row r="818" ht="13.2" x14ac:dyDescent="0.25"/>
    <row r="819" ht="13.2" x14ac:dyDescent="0.25"/>
    <row r="820" ht="13.2" x14ac:dyDescent="0.25"/>
    <row r="821" ht="13.2" x14ac:dyDescent="0.25"/>
    <row r="822" ht="13.2" x14ac:dyDescent="0.25"/>
    <row r="823" ht="13.2" x14ac:dyDescent="0.25"/>
    <row r="824" ht="13.2" x14ac:dyDescent="0.25"/>
    <row r="825" ht="13.2" x14ac:dyDescent="0.25"/>
    <row r="826" ht="13.2" x14ac:dyDescent="0.25"/>
    <row r="827" ht="13.2" x14ac:dyDescent="0.25"/>
    <row r="828" ht="13.2" x14ac:dyDescent="0.25"/>
    <row r="829" ht="13.2" x14ac:dyDescent="0.25"/>
    <row r="830" ht="13.2" x14ac:dyDescent="0.25"/>
    <row r="831" ht="13.2" x14ac:dyDescent="0.25"/>
    <row r="832" ht="13.2" x14ac:dyDescent="0.25"/>
    <row r="833" ht="13.2" x14ac:dyDescent="0.25"/>
    <row r="834" ht="13.2" x14ac:dyDescent="0.25"/>
    <row r="835" ht="13.2" x14ac:dyDescent="0.25"/>
    <row r="836" ht="13.2" x14ac:dyDescent="0.25"/>
    <row r="837" ht="13.2" x14ac:dyDescent="0.25"/>
    <row r="838" ht="13.2" x14ac:dyDescent="0.25"/>
    <row r="839" ht="13.2" x14ac:dyDescent="0.25"/>
    <row r="840" ht="13.2" x14ac:dyDescent="0.25"/>
    <row r="841" ht="13.2" x14ac:dyDescent="0.25"/>
    <row r="842" ht="13.2" x14ac:dyDescent="0.25"/>
    <row r="843" ht="13.2" x14ac:dyDescent="0.25"/>
    <row r="844" ht="13.2" x14ac:dyDescent="0.25"/>
    <row r="845" ht="13.2" x14ac:dyDescent="0.25"/>
    <row r="846" ht="13.2" x14ac:dyDescent="0.25"/>
    <row r="847" ht="13.2" x14ac:dyDescent="0.25"/>
    <row r="848" ht="13.2" x14ac:dyDescent="0.25"/>
    <row r="849" ht="13.2" x14ac:dyDescent="0.25"/>
    <row r="850" ht="13.2" x14ac:dyDescent="0.25"/>
    <row r="851" ht="13.2" x14ac:dyDescent="0.25"/>
    <row r="852" ht="13.2" x14ac:dyDescent="0.25"/>
    <row r="853" ht="13.2" x14ac:dyDescent="0.25"/>
    <row r="854" ht="13.2" x14ac:dyDescent="0.25"/>
    <row r="855" ht="13.2" x14ac:dyDescent="0.25"/>
    <row r="856" ht="13.2" x14ac:dyDescent="0.25"/>
    <row r="857" ht="13.2" x14ac:dyDescent="0.25"/>
    <row r="858" ht="13.2" x14ac:dyDescent="0.25"/>
    <row r="859" ht="13.2" x14ac:dyDescent="0.25"/>
    <row r="860" ht="13.2" x14ac:dyDescent="0.25"/>
    <row r="861" ht="13.2" x14ac:dyDescent="0.25"/>
    <row r="862" ht="13.2" x14ac:dyDescent="0.25"/>
    <row r="863" ht="13.2" x14ac:dyDescent="0.25"/>
    <row r="864" ht="13.2" x14ac:dyDescent="0.25"/>
    <row r="865" ht="13.2" x14ac:dyDescent="0.25"/>
    <row r="866" ht="13.2" x14ac:dyDescent="0.25"/>
    <row r="867" ht="13.2" x14ac:dyDescent="0.25"/>
    <row r="868" ht="13.2" x14ac:dyDescent="0.25"/>
    <row r="869" ht="13.2" x14ac:dyDescent="0.25"/>
    <row r="870" ht="13.2" x14ac:dyDescent="0.25"/>
    <row r="871" ht="13.2" x14ac:dyDescent="0.25"/>
    <row r="872" ht="13.2" x14ac:dyDescent="0.25"/>
    <row r="873" ht="13.2" x14ac:dyDescent="0.25"/>
    <row r="874" ht="13.2" x14ac:dyDescent="0.25"/>
    <row r="875" ht="13.2" x14ac:dyDescent="0.25"/>
    <row r="876" ht="13.2" x14ac:dyDescent="0.25"/>
    <row r="877" ht="13.2" x14ac:dyDescent="0.25"/>
    <row r="878" ht="13.2" x14ac:dyDescent="0.25"/>
    <row r="879" ht="13.2" x14ac:dyDescent="0.25"/>
    <row r="880" ht="13.2" x14ac:dyDescent="0.25"/>
    <row r="881" ht="13.2" x14ac:dyDescent="0.25"/>
    <row r="882" ht="13.2" x14ac:dyDescent="0.25"/>
    <row r="883" ht="13.2" x14ac:dyDescent="0.25"/>
    <row r="884" ht="13.2" x14ac:dyDescent="0.25"/>
    <row r="885" ht="13.2" x14ac:dyDescent="0.25"/>
    <row r="886" ht="13.2" x14ac:dyDescent="0.25"/>
    <row r="887" ht="13.2" x14ac:dyDescent="0.25"/>
    <row r="888" ht="13.2" x14ac:dyDescent="0.25"/>
    <row r="889" ht="13.2" x14ac:dyDescent="0.25"/>
    <row r="890" ht="13.2" x14ac:dyDescent="0.25"/>
    <row r="891" ht="13.2" x14ac:dyDescent="0.25"/>
    <row r="892" ht="13.2" x14ac:dyDescent="0.25"/>
    <row r="893" ht="13.2" x14ac:dyDescent="0.25"/>
    <row r="894" ht="13.2" x14ac:dyDescent="0.25"/>
    <row r="895" ht="13.2" x14ac:dyDescent="0.25"/>
    <row r="896" ht="13.2" x14ac:dyDescent="0.25"/>
    <row r="897" ht="13.2" x14ac:dyDescent="0.25"/>
    <row r="898" ht="13.2" x14ac:dyDescent="0.25"/>
    <row r="899" ht="13.2" x14ac:dyDescent="0.25"/>
    <row r="900" ht="13.2" x14ac:dyDescent="0.25"/>
    <row r="901" ht="13.2" x14ac:dyDescent="0.25"/>
    <row r="902" ht="13.2" x14ac:dyDescent="0.25"/>
    <row r="903" ht="13.2" x14ac:dyDescent="0.25"/>
    <row r="904" ht="13.2" x14ac:dyDescent="0.25"/>
    <row r="905" ht="13.2" x14ac:dyDescent="0.25"/>
    <row r="906" ht="13.2" x14ac:dyDescent="0.25"/>
    <row r="907" ht="13.2" x14ac:dyDescent="0.25"/>
    <row r="908" ht="13.2" x14ac:dyDescent="0.25"/>
    <row r="909" ht="13.2" x14ac:dyDescent="0.25"/>
    <row r="910" ht="13.2" x14ac:dyDescent="0.25"/>
    <row r="911" ht="13.2" x14ac:dyDescent="0.25"/>
    <row r="912" ht="13.2" x14ac:dyDescent="0.25"/>
    <row r="913" ht="13.2" x14ac:dyDescent="0.25"/>
    <row r="914" ht="13.2" x14ac:dyDescent="0.25"/>
    <row r="915" ht="13.2" x14ac:dyDescent="0.25"/>
    <row r="916" ht="13.2" x14ac:dyDescent="0.25"/>
    <row r="917" ht="13.2" x14ac:dyDescent="0.25"/>
    <row r="918" ht="13.2" x14ac:dyDescent="0.25"/>
    <row r="919" ht="13.2" x14ac:dyDescent="0.25"/>
    <row r="920" ht="13.2" x14ac:dyDescent="0.25"/>
    <row r="921" ht="13.2" x14ac:dyDescent="0.25"/>
    <row r="922" ht="13.2" x14ac:dyDescent="0.25"/>
    <row r="923" ht="13.2" x14ac:dyDescent="0.25"/>
    <row r="924" ht="13.2" x14ac:dyDescent="0.25"/>
    <row r="925" ht="13.2" x14ac:dyDescent="0.25"/>
    <row r="926" ht="13.2" x14ac:dyDescent="0.25"/>
    <row r="927" ht="13.2" x14ac:dyDescent="0.25"/>
    <row r="928" ht="13.2" x14ac:dyDescent="0.25"/>
    <row r="929" ht="13.2" x14ac:dyDescent="0.25"/>
    <row r="930" ht="13.2" x14ac:dyDescent="0.25"/>
    <row r="931" ht="13.2" x14ac:dyDescent="0.25"/>
    <row r="932" ht="13.2" x14ac:dyDescent="0.25"/>
    <row r="933" ht="13.2" x14ac:dyDescent="0.25"/>
    <row r="934" ht="13.2" x14ac:dyDescent="0.25"/>
    <row r="935" ht="13.2" x14ac:dyDescent="0.25"/>
    <row r="936" ht="13.2" x14ac:dyDescent="0.25"/>
    <row r="937" ht="13.2" x14ac:dyDescent="0.25"/>
    <row r="938" ht="13.2" x14ac:dyDescent="0.25"/>
    <row r="939" ht="13.2" x14ac:dyDescent="0.25"/>
    <row r="940" ht="13.2" x14ac:dyDescent="0.25"/>
    <row r="941" ht="13.2" x14ac:dyDescent="0.25"/>
    <row r="942" ht="13.2" x14ac:dyDescent="0.25"/>
    <row r="943" ht="13.2" x14ac:dyDescent="0.25"/>
    <row r="944" ht="13.2" x14ac:dyDescent="0.25"/>
    <row r="945" ht="13.2" x14ac:dyDescent="0.25"/>
    <row r="946" ht="13.2" x14ac:dyDescent="0.25"/>
    <row r="947" ht="13.2" x14ac:dyDescent="0.25"/>
    <row r="948" ht="13.2" x14ac:dyDescent="0.25"/>
    <row r="949" ht="13.2" x14ac:dyDescent="0.25"/>
    <row r="950" ht="13.2" x14ac:dyDescent="0.25"/>
    <row r="951" ht="13.2" x14ac:dyDescent="0.25"/>
    <row r="952" ht="13.2" x14ac:dyDescent="0.25"/>
    <row r="953" ht="13.2" x14ac:dyDescent="0.25"/>
    <row r="954" ht="13.2" x14ac:dyDescent="0.25"/>
    <row r="955" ht="13.2" x14ac:dyDescent="0.25"/>
    <row r="956" ht="13.2" x14ac:dyDescent="0.25"/>
    <row r="957" ht="13.2" x14ac:dyDescent="0.25"/>
    <row r="958" ht="13.2" x14ac:dyDescent="0.25"/>
    <row r="959" ht="13.2" x14ac:dyDescent="0.25"/>
    <row r="960" ht="13.2" x14ac:dyDescent="0.25"/>
    <row r="961" ht="13.2" x14ac:dyDescent="0.25"/>
    <row r="962" ht="13.2" x14ac:dyDescent="0.25"/>
    <row r="963" ht="13.2" x14ac:dyDescent="0.25"/>
    <row r="964" ht="13.2" x14ac:dyDescent="0.25"/>
    <row r="965" ht="13.2" x14ac:dyDescent="0.25"/>
    <row r="966" ht="13.2" x14ac:dyDescent="0.25"/>
    <row r="967" ht="13.2" x14ac:dyDescent="0.25"/>
    <row r="968" ht="13.2" x14ac:dyDescent="0.25"/>
    <row r="969" ht="13.2" x14ac:dyDescent="0.25"/>
    <row r="970" ht="13.2" x14ac:dyDescent="0.25"/>
    <row r="971" ht="13.2" x14ac:dyDescent="0.25"/>
    <row r="972" ht="13.2" x14ac:dyDescent="0.25"/>
    <row r="973" ht="13.2" x14ac:dyDescent="0.25"/>
    <row r="974" ht="13.2" x14ac:dyDescent="0.25"/>
    <row r="975" ht="13.2" x14ac:dyDescent="0.25"/>
    <row r="976" ht="13.2" x14ac:dyDescent="0.25"/>
    <row r="977" ht="13.2" x14ac:dyDescent="0.25"/>
    <row r="978" ht="13.2" x14ac:dyDescent="0.25"/>
    <row r="979" ht="13.2" x14ac:dyDescent="0.25"/>
    <row r="980" ht="13.2" x14ac:dyDescent="0.25"/>
    <row r="981" ht="13.2" x14ac:dyDescent="0.25"/>
    <row r="982" ht="13.2" x14ac:dyDescent="0.25"/>
    <row r="983" ht="13.2" x14ac:dyDescent="0.25"/>
    <row r="984" ht="13.2" x14ac:dyDescent="0.25"/>
    <row r="985" ht="13.2" x14ac:dyDescent="0.25"/>
    <row r="986" ht="13.2" x14ac:dyDescent="0.25"/>
    <row r="987" ht="13.2" x14ac:dyDescent="0.25"/>
    <row r="988" ht="13.2" x14ac:dyDescent="0.25"/>
    <row r="989" ht="13.2" x14ac:dyDescent="0.25"/>
    <row r="990" ht="13.2" x14ac:dyDescent="0.25"/>
    <row r="991" ht="13.2" x14ac:dyDescent="0.25"/>
    <row r="992" ht="13.2" x14ac:dyDescent="0.25"/>
    <row r="993" ht="13.2" x14ac:dyDescent="0.25"/>
    <row r="994" ht="13.2" x14ac:dyDescent="0.25"/>
    <row r="995" ht="13.2" x14ac:dyDescent="0.25"/>
    <row r="996" ht="13.2" x14ac:dyDescent="0.25"/>
    <row r="997" ht="13.2" x14ac:dyDescent="0.25"/>
    <row r="998" ht="13.2" x14ac:dyDescent="0.25"/>
    <row r="999" ht="13.2" x14ac:dyDescent="0.25"/>
    <row r="1000" ht="13.2" x14ac:dyDescent="0.25"/>
    <row r="1001" ht="13.2" x14ac:dyDescent="0.25"/>
    <row r="1002" ht="13.2" x14ac:dyDescent="0.25"/>
    <row r="1003" ht="13.2" x14ac:dyDescent="0.25"/>
    <row r="1004" ht="13.2" x14ac:dyDescent="0.25"/>
    <row r="1005" ht="13.2" x14ac:dyDescent="0.25"/>
    <row r="1006" ht="13.2" x14ac:dyDescent="0.25"/>
    <row r="1007" ht="13.2" x14ac:dyDescent="0.25"/>
    <row r="1008" ht="13.2" x14ac:dyDescent="0.25"/>
    <row r="1009" ht="13.2" x14ac:dyDescent="0.25"/>
    <row r="1010" ht="13.2" x14ac:dyDescent="0.25"/>
    <row r="1011" ht="13.2" x14ac:dyDescent="0.25"/>
    <row r="1012" ht="13.2" x14ac:dyDescent="0.25"/>
    <row r="1013" ht="13.2" x14ac:dyDescent="0.25"/>
    <row r="1014" ht="13.2" x14ac:dyDescent="0.25"/>
    <row r="1015" ht="13.2" x14ac:dyDescent="0.25"/>
    <row r="1016" ht="13.2" x14ac:dyDescent="0.25"/>
    <row r="1017" ht="13.2" x14ac:dyDescent="0.25"/>
    <row r="1018" ht="13.2" x14ac:dyDescent="0.25"/>
    <row r="1019" ht="13.2" x14ac:dyDescent="0.25"/>
    <row r="1020" ht="13.2" x14ac:dyDescent="0.25"/>
    <row r="1021" ht="13.2" x14ac:dyDescent="0.25"/>
    <row r="1022" ht="13.2" x14ac:dyDescent="0.25"/>
    <row r="1023" ht="13.2" x14ac:dyDescent="0.25"/>
    <row r="1024" ht="13.2" x14ac:dyDescent="0.25"/>
    <row r="1025" ht="13.2" x14ac:dyDescent="0.25"/>
    <row r="1026" ht="13.2" x14ac:dyDescent="0.25"/>
    <row r="1027" ht="13.2" x14ac:dyDescent="0.25"/>
    <row r="1028" ht="13.2" x14ac:dyDescent="0.25"/>
    <row r="1029" ht="13.2" x14ac:dyDescent="0.25"/>
    <row r="1030" ht="13.2" x14ac:dyDescent="0.25"/>
    <row r="1031" ht="13.2" x14ac:dyDescent="0.25"/>
    <row r="1032" ht="13.2" x14ac:dyDescent="0.25"/>
    <row r="1033" ht="13.2" x14ac:dyDescent="0.25"/>
    <row r="1034" ht="13.2" x14ac:dyDescent="0.25"/>
    <row r="1035" ht="13.2" x14ac:dyDescent="0.25"/>
    <row r="1036" ht="13.2" x14ac:dyDescent="0.25"/>
    <row r="1037" ht="13.2" x14ac:dyDescent="0.25"/>
    <row r="1038" ht="13.2" x14ac:dyDescent="0.25"/>
    <row r="1039" ht="13.2" x14ac:dyDescent="0.25"/>
    <row r="1040" ht="13.2" x14ac:dyDescent="0.25"/>
    <row r="1041" ht="13.2" x14ac:dyDescent="0.25"/>
    <row r="1042" ht="13.2" x14ac:dyDescent="0.25"/>
    <row r="1043" ht="13.2" x14ac:dyDescent="0.25"/>
    <row r="1044" ht="13.2" x14ac:dyDescent="0.25"/>
    <row r="1045" ht="13.2" x14ac:dyDescent="0.25"/>
    <row r="1046" ht="13.2" x14ac:dyDescent="0.25"/>
    <row r="1047" ht="13.2" x14ac:dyDescent="0.25"/>
    <row r="1048" ht="13.2" x14ac:dyDescent="0.25"/>
    <row r="1049" ht="13.2" x14ac:dyDescent="0.25"/>
    <row r="1050" ht="13.2" x14ac:dyDescent="0.25"/>
    <row r="1051" ht="13.2" x14ac:dyDescent="0.25"/>
    <row r="1052" ht="13.2" x14ac:dyDescent="0.25"/>
    <row r="1053" ht="13.2" x14ac:dyDescent="0.25"/>
    <row r="1054" ht="13.2" x14ac:dyDescent="0.25"/>
    <row r="1055" ht="13.2" x14ac:dyDescent="0.25"/>
    <row r="1056" ht="13.2" x14ac:dyDescent="0.25"/>
    <row r="1057" ht="13.2" x14ac:dyDescent="0.25"/>
    <row r="1058" ht="13.2" x14ac:dyDescent="0.25"/>
    <row r="1059" ht="13.2" x14ac:dyDescent="0.25"/>
    <row r="1060" ht="13.2" x14ac:dyDescent="0.25"/>
    <row r="1061" ht="13.2" x14ac:dyDescent="0.25"/>
    <row r="1062" ht="13.2" x14ac:dyDescent="0.25"/>
    <row r="1063" ht="13.2" x14ac:dyDescent="0.25"/>
    <row r="1064" ht="13.2" x14ac:dyDescent="0.25"/>
    <row r="1065" ht="13.2" x14ac:dyDescent="0.25"/>
    <row r="1066" ht="13.2" x14ac:dyDescent="0.25"/>
    <row r="1067" ht="13.2" x14ac:dyDescent="0.25"/>
    <row r="1068" ht="13.2" x14ac:dyDescent="0.25"/>
    <row r="1069" ht="13.2" x14ac:dyDescent="0.25"/>
    <row r="1070" ht="13.2" x14ac:dyDescent="0.25"/>
    <row r="1071" ht="13.2" x14ac:dyDescent="0.25"/>
    <row r="1072" ht="13.2" x14ac:dyDescent="0.25"/>
    <row r="1073" ht="13.2" x14ac:dyDescent="0.25"/>
    <row r="1074" ht="13.2" x14ac:dyDescent="0.25"/>
    <row r="1075" ht="13.2" x14ac:dyDescent="0.25"/>
    <row r="1076" ht="13.2" x14ac:dyDescent="0.25"/>
    <row r="1077" ht="13.2" x14ac:dyDescent="0.25"/>
    <row r="1078" ht="13.2" x14ac:dyDescent="0.25"/>
    <row r="1079" ht="13.2" x14ac:dyDescent="0.25"/>
    <row r="1080" ht="13.2" x14ac:dyDescent="0.25"/>
    <row r="1081" ht="13.2" x14ac:dyDescent="0.25"/>
    <row r="1082" ht="13.2" x14ac:dyDescent="0.25"/>
    <row r="1083" ht="13.2" x14ac:dyDescent="0.25"/>
    <row r="1084" ht="13.2" x14ac:dyDescent="0.25"/>
    <row r="1085" ht="13.2" x14ac:dyDescent="0.25"/>
    <row r="1086" ht="13.2" x14ac:dyDescent="0.25"/>
    <row r="1087" ht="13.2" x14ac:dyDescent="0.25"/>
    <row r="1088" ht="13.2" x14ac:dyDescent="0.25"/>
    <row r="1089" ht="13.2" x14ac:dyDescent="0.25"/>
    <row r="1090" ht="13.2" x14ac:dyDescent="0.25"/>
    <row r="1091" ht="13.2" x14ac:dyDescent="0.25"/>
    <row r="1092" ht="13.2" x14ac:dyDescent="0.25"/>
    <row r="1093" ht="13.2" x14ac:dyDescent="0.25"/>
    <row r="1094" ht="13.2" x14ac:dyDescent="0.25"/>
    <row r="1095" ht="13.2" x14ac:dyDescent="0.25"/>
    <row r="1096" ht="13.2" x14ac:dyDescent="0.25"/>
    <row r="1097" ht="13.2" x14ac:dyDescent="0.25"/>
    <row r="1098" ht="13.2" x14ac:dyDescent="0.25"/>
    <row r="1099" ht="13.2" x14ac:dyDescent="0.25"/>
    <row r="1100" ht="13.2" x14ac:dyDescent="0.25"/>
    <row r="1101" ht="13.2" x14ac:dyDescent="0.25"/>
    <row r="1102" ht="13.2" x14ac:dyDescent="0.25"/>
    <row r="1103" ht="13.2" x14ac:dyDescent="0.25"/>
    <row r="1104" ht="13.2" x14ac:dyDescent="0.25"/>
    <row r="1105" ht="13.2" x14ac:dyDescent="0.25"/>
    <row r="1106" ht="13.2" x14ac:dyDescent="0.25"/>
    <row r="1107" ht="13.2" x14ac:dyDescent="0.25"/>
    <row r="1108" ht="13.2" x14ac:dyDescent="0.25"/>
    <row r="1109" ht="13.2" x14ac:dyDescent="0.25"/>
    <row r="1110" ht="13.2" x14ac:dyDescent="0.25"/>
    <row r="1111" ht="13.2" x14ac:dyDescent="0.25"/>
    <row r="1112" ht="13.2" x14ac:dyDescent="0.25"/>
    <row r="1113" ht="13.2" x14ac:dyDescent="0.25"/>
    <row r="1114" ht="13.2" x14ac:dyDescent="0.25"/>
    <row r="1115" ht="13.2" x14ac:dyDescent="0.25"/>
    <row r="1116" ht="13.2" x14ac:dyDescent="0.25"/>
    <row r="1117" ht="13.2" x14ac:dyDescent="0.25"/>
    <row r="1118" ht="13.2" x14ac:dyDescent="0.25"/>
    <row r="1119" ht="13.2" x14ac:dyDescent="0.25"/>
    <row r="1120" ht="13.2" x14ac:dyDescent="0.25"/>
    <row r="1121" ht="13.2" x14ac:dyDescent="0.25"/>
    <row r="1122" ht="13.2" x14ac:dyDescent="0.25"/>
    <row r="1123" ht="13.2" x14ac:dyDescent="0.25"/>
    <row r="1124" ht="13.2" x14ac:dyDescent="0.25"/>
    <row r="1125" ht="13.2" x14ac:dyDescent="0.25"/>
    <row r="1126" ht="13.2" x14ac:dyDescent="0.25"/>
    <row r="1127" ht="13.2" x14ac:dyDescent="0.25"/>
    <row r="1128" ht="13.2" x14ac:dyDescent="0.25"/>
    <row r="1129" ht="13.2" x14ac:dyDescent="0.25"/>
    <row r="1130" ht="13.2" x14ac:dyDescent="0.25"/>
    <row r="1131" ht="13.2" x14ac:dyDescent="0.25"/>
    <row r="1132" ht="13.2" x14ac:dyDescent="0.25"/>
    <row r="1133" ht="13.2" x14ac:dyDescent="0.25"/>
    <row r="1134" ht="13.2" x14ac:dyDescent="0.25"/>
    <row r="1135" ht="13.2" x14ac:dyDescent="0.25"/>
    <row r="1136" ht="13.2" x14ac:dyDescent="0.25"/>
    <row r="1137" ht="13.2" x14ac:dyDescent="0.25"/>
    <row r="1138" ht="13.2" x14ac:dyDescent="0.25"/>
    <row r="1139" ht="13.2" x14ac:dyDescent="0.25"/>
    <row r="1140" ht="13.2" x14ac:dyDescent="0.25"/>
    <row r="1141" ht="13.2" x14ac:dyDescent="0.25"/>
    <row r="1142" ht="13.2" x14ac:dyDescent="0.25"/>
    <row r="1143" ht="13.2" x14ac:dyDescent="0.25"/>
    <row r="1144" ht="13.2" x14ac:dyDescent="0.25"/>
    <row r="1145" ht="13.2" x14ac:dyDescent="0.25"/>
    <row r="1146" ht="13.2" x14ac:dyDescent="0.25"/>
    <row r="1147" ht="13.2" x14ac:dyDescent="0.25"/>
    <row r="1148" ht="13.2" x14ac:dyDescent="0.25"/>
    <row r="1149" ht="13.2" x14ac:dyDescent="0.25"/>
    <row r="1150" ht="13.2" x14ac:dyDescent="0.25"/>
    <row r="1151" ht="13.2" x14ac:dyDescent="0.25"/>
    <row r="1152" ht="13.2" x14ac:dyDescent="0.25"/>
    <row r="1153" ht="13.2" x14ac:dyDescent="0.25"/>
    <row r="1154" ht="13.2" x14ac:dyDescent="0.25"/>
    <row r="1155" ht="13.2" x14ac:dyDescent="0.25"/>
    <row r="1156" ht="13.2" x14ac:dyDescent="0.25"/>
    <row r="1157" ht="13.2" x14ac:dyDescent="0.25"/>
    <row r="1158" ht="13.2" x14ac:dyDescent="0.25"/>
    <row r="1159" ht="13.2" x14ac:dyDescent="0.25"/>
    <row r="1160" ht="13.2" x14ac:dyDescent="0.25"/>
    <row r="1161" ht="13.2" x14ac:dyDescent="0.25"/>
    <row r="1162" ht="13.2" x14ac:dyDescent="0.25"/>
    <row r="1163" ht="13.2" x14ac:dyDescent="0.25"/>
    <row r="1164" ht="13.2" x14ac:dyDescent="0.25"/>
    <row r="1165" ht="13.2" x14ac:dyDescent="0.25"/>
    <row r="1166" ht="13.2" x14ac:dyDescent="0.25"/>
    <row r="1167" ht="13.2" x14ac:dyDescent="0.25"/>
    <row r="1168" ht="13.2" x14ac:dyDescent="0.25"/>
    <row r="1169" ht="13.2" x14ac:dyDescent="0.25"/>
    <row r="1170" ht="13.2" x14ac:dyDescent="0.25"/>
    <row r="1171" ht="13.2" x14ac:dyDescent="0.25"/>
    <row r="1172" ht="13.2" x14ac:dyDescent="0.25"/>
    <row r="1173" ht="13.2" x14ac:dyDescent="0.25"/>
    <row r="1174" ht="13.2" x14ac:dyDescent="0.25"/>
    <row r="1175" ht="13.2" x14ac:dyDescent="0.25"/>
    <row r="1176" ht="13.2" x14ac:dyDescent="0.25"/>
    <row r="1177" ht="13.2" x14ac:dyDescent="0.25"/>
    <row r="1178" ht="13.2" x14ac:dyDescent="0.25"/>
    <row r="1179" ht="13.2" x14ac:dyDescent="0.25"/>
    <row r="1180" ht="13.2" x14ac:dyDescent="0.25"/>
    <row r="1181" ht="13.2" x14ac:dyDescent="0.25"/>
    <row r="1182" ht="13.2" x14ac:dyDescent="0.25"/>
    <row r="1183" ht="13.2" x14ac:dyDescent="0.25"/>
    <row r="1184" ht="13.2" x14ac:dyDescent="0.25"/>
    <row r="1185" ht="13.2" x14ac:dyDescent="0.25"/>
    <row r="1186" ht="13.2" x14ac:dyDescent="0.25"/>
    <row r="1187" ht="13.2" x14ac:dyDescent="0.25"/>
    <row r="1188" ht="13.2" x14ac:dyDescent="0.25"/>
    <row r="1189" ht="13.2" x14ac:dyDescent="0.25"/>
    <row r="1190" ht="13.2" x14ac:dyDescent="0.25"/>
    <row r="1191" ht="13.2" x14ac:dyDescent="0.25"/>
    <row r="1192" ht="13.2" x14ac:dyDescent="0.25"/>
    <row r="1193" ht="13.2" x14ac:dyDescent="0.25"/>
    <row r="1194" ht="13.2" x14ac:dyDescent="0.25"/>
    <row r="1195" ht="13.2" x14ac:dyDescent="0.25"/>
    <row r="1196" ht="13.2" x14ac:dyDescent="0.25"/>
    <row r="1197" ht="13.2" x14ac:dyDescent="0.25"/>
    <row r="1198" ht="13.2" x14ac:dyDescent="0.25"/>
    <row r="1199" ht="13.2" x14ac:dyDescent="0.25"/>
    <row r="1200" ht="13.2" x14ac:dyDescent="0.25"/>
    <row r="1201" ht="13.2" x14ac:dyDescent="0.25"/>
    <row r="1202" ht="13.2" x14ac:dyDescent="0.25"/>
    <row r="1203" ht="13.2" x14ac:dyDescent="0.25"/>
    <row r="1204" ht="13.2" x14ac:dyDescent="0.25"/>
    <row r="1205" ht="13.2" x14ac:dyDescent="0.25"/>
    <row r="1206" ht="13.2" x14ac:dyDescent="0.25"/>
    <row r="1207" ht="13.2" x14ac:dyDescent="0.25"/>
    <row r="1208" ht="13.2" x14ac:dyDescent="0.25"/>
    <row r="1209" ht="13.2" x14ac:dyDescent="0.25"/>
    <row r="1210" ht="13.2" x14ac:dyDescent="0.25"/>
    <row r="1211" ht="13.2" x14ac:dyDescent="0.25"/>
    <row r="1212" ht="13.2" x14ac:dyDescent="0.25"/>
    <row r="1213" ht="13.2" x14ac:dyDescent="0.25"/>
    <row r="1214" ht="13.2" x14ac:dyDescent="0.25"/>
    <row r="1215" ht="13.2" x14ac:dyDescent="0.25"/>
    <row r="1216" ht="13.2" x14ac:dyDescent="0.25"/>
    <row r="1217" ht="13.2" x14ac:dyDescent="0.25"/>
    <row r="1218" ht="13.2" x14ac:dyDescent="0.25"/>
    <row r="1219" ht="13.2" x14ac:dyDescent="0.25"/>
    <row r="1220" ht="13.2" x14ac:dyDescent="0.25"/>
    <row r="1221" ht="13.2" x14ac:dyDescent="0.25"/>
    <row r="1222" ht="13.2" x14ac:dyDescent="0.25"/>
    <row r="1223" ht="13.2" x14ac:dyDescent="0.25"/>
    <row r="1224" ht="13.2" x14ac:dyDescent="0.25"/>
    <row r="1225" ht="13.2" x14ac:dyDescent="0.25"/>
    <row r="1226" ht="13.2" x14ac:dyDescent="0.25"/>
    <row r="1227" ht="13.2" x14ac:dyDescent="0.25"/>
    <row r="1228" ht="13.2" x14ac:dyDescent="0.25"/>
    <row r="1229" ht="13.2" x14ac:dyDescent="0.25"/>
    <row r="1230" ht="13.2" x14ac:dyDescent="0.25"/>
    <row r="1231" ht="13.2" x14ac:dyDescent="0.25"/>
    <row r="1232" ht="13.2" x14ac:dyDescent="0.25"/>
    <row r="1233" ht="13.2" x14ac:dyDescent="0.25"/>
    <row r="1234" ht="13.2" x14ac:dyDescent="0.25"/>
    <row r="1235" ht="13.2" x14ac:dyDescent="0.25"/>
    <row r="1236" ht="13.2" x14ac:dyDescent="0.25"/>
    <row r="1237" ht="13.2" x14ac:dyDescent="0.25"/>
    <row r="1238" ht="13.2" x14ac:dyDescent="0.25"/>
    <row r="1239" ht="13.2" x14ac:dyDescent="0.25"/>
    <row r="1240" ht="13.2" x14ac:dyDescent="0.25"/>
    <row r="1241" ht="13.2" x14ac:dyDescent="0.25"/>
    <row r="1242" ht="13.2" x14ac:dyDescent="0.25"/>
    <row r="1243" ht="13.2" x14ac:dyDescent="0.25"/>
    <row r="1244" ht="13.2" x14ac:dyDescent="0.25"/>
    <row r="1245" ht="13.2" x14ac:dyDescent="0.25"/>
    <row r="1246" ht="13.2" x14ac:dyDescent="0.25"/>
    <row r="1247" ht="13.2" x14ac:dyDescent="0.25"/>
    <row r="1248" ht="13.2" x14ac:dyDescent="0.25"/>
    <row r="1249" ht="13.2" x14ac:dyDescent="0.25"/>
    <row r="1250" ht="13.2" x14ac:dyDescent="0.25"/>
    <row r="1251" ht="13.2" x14ac:dyDescent="0.25"/>
    <row r="1252" ht="13.2" x14ac:dyDescent="0.25"/>
    <row r="1253" ht="13.2" x14ac:dyDescent="0.25"/>
    <row r="1254" ht="13.2" x14ac:dyDescent="0.25"/>
    <row r="1255" ht="13.2" x14ac:dyDescent="0.25"/>
    <row r="1256" ht="13.2" x14ac:dyDescent="0.25"/>
    <row r="1257" ht="13.2" x14ac:dyDescent="0.25"/>
    <row r="1258" ht="13.2" x14ac:dyDescent="0.25"/>
    <row r="1259" ht="13.2" x14ac:dyDescent="0.25"/>
    <row r="1260" ht="13.2" x14ac:dyDescent="0.25"/>
    <row r="1261" ht="13.2" x14ac:dyDescent="0.25"/>
    <row r="1262" ht="13.2" x14ac:dyDescent="0.25"/>
    <row r="1263" ht="13.2" x14ac:dyDescent="0.25"/>
    <row r="1264" ht="13.2" x14ac:dyDescent="0.25"/>
    <row r="1265" ht="13.2" x14ac:dyDescent="0.25"/>
    <row r="1266" ht="13.2" x14ac:dyDescent="0.25"/>
    <row r="1267" ht="13.2" x14ac:dyDescent="0.25"/>
    <row r="1268" ht="13.2" x14ac:dyDescent="0.25"/>
    <row r="1269" ht="13.2" x14ac:dyDescent="0.25"/>
    <row r="1270" ht="13.2" x14ac:dyDescent="0.25"/>
    <row r="1271" ht="13.2" x14ac:dyDescent="0.25"/>
    <row r="1272" ht="13.2" x14ac:dyDescent="0.25"/>
    <row r="1273" ht="13.2" x14ac:dyDescent="0.25"/>
    <row r="1274" ht="13.2" x14ac:dyDescent="0.25"/>
    <row r="1275" ht="13.2" x14ac:dyDescent="0.25"/>
    <row r="1276" ht="13.2" x14ac:dyDescent="0.25"/>
    <row r="1277" ht="13.2" x14ac:dyDescent="0.25"/>
    <row r="1278" ht="13.2" x14ac:dyDescent="0.25"/>
    <row r="1279" ht="13.2" x14ac:dyDescent="0.25"/>
    <row r="1280" ht="13.2" x14ac:dyDescent="0.25"/>
    <row r="1281" ht="13.2" x14ac:dyDescent="0.25"/>
    <row r="1282" ht="13.2" x14ac:dyDescent="0.25"/>
    <row r="1283" ht="13.2" x14ac:dyDescent="0.25"/>
    <row r="1284" ht="13.2" x14ac:dyDescent="0.25"/>
    <row r="1285" ht="13.2" x14ac:dyDescent="0.25"/>
    <row r="1286" ht="13.2" x14ac:dyDescent="0.25"/>
    <row r="1287" ht="13.2" x14ac:dyDescent="0.25"/>
    <row r="1288" ht="13.2" x14ac:dyDescent="0.25"/>
    <row r="1289" ht="13.2" x14ac:dyDescent="0.25"/>
    <row r="1290" ht="13.2" x14ac:dyDescent="0.25"/>
    <row r="1291" ht="13.2" x14ac:dyDescent="0.25"/>
    <row r="1292" ht="13.2" x14ac:dyDescent="0.25"/>
    <row r="1293" ht="13.2" x14ac:dyDescent="0.25"/>
    <row r="1294" ht="13.2" x14ac:dyDescent="0.25"/>
    <row r="1295" ht="13.2" x14ac:dyDescent="0.25"/>
    <row r="1296" ht="13.2" x14ac:dyDescent="0.25"/>
    <row r="1297" ht="13.2" x14ac:dyDescent="0.25"/>
    <row r="1298" ht="13.2" x14ac:dyDescent="0.25"/>
    <row r="1299" ht="13.2" x14ac:dyDescent="0.25"/>
    <row r="1300" ht="13.2" x14ac:dyDescent="0.25"/>
    <row r="1301" ht="13.2" x14ac:dyDescent="0.25"/>
    <row r="1302" ht="13.2" x14ac:dyDescent="0.25"/>
    <row r="1303" ht="13.2" x14ac:dyDescent="0.25"/>
    <row r="1304" ht="13.2" x14ac:dyDescent="0.25"/>
    <row r="1305" ht="13.2" x14ac:dyDescent="0.25"/>
    <row r="1306" ht="13.2" x14ac:dyDescent="0.25"/>
    <row r="1307" ht="13.2" x14ac:dyDescent="0.25"/>
    <row r="1308" ht="13.2" x14ac:dyDescent="0.25"/>
    <row r="1309" ht="13.2" x14ac:dyDescent="0.25"/>
    <row r="1310" ht="13.2" x14ac:dyDescent="0.25"/>
    <row r="1311" ht="13.2" x14ac:dyDescent="0.25"/>
    <row r="1312" ht="13.2" x14ac:dyDescent="0.25"/>
    <row r="1313" ht="13.2" x14ac:dyDescent="0.25"/>
    <row r="1314" ht="13.2" x14ac:dyDescent="0.25"/>
    <row r="1315" ht="13.2" x14ac:dyDescent="0.25"/>
    <row r="1316" ht="13.2" x14ac:dyDescent="0.25"/>
    <row r="1317" ht="13.2" x14ac:dyDescent="0.25"/>
    <row r="1318" ht="13.2" x14ac:dyDescent="0.25"/>
    <row r="1319" ht="13.2" x14ac:dyDescent="0.25"/>
    <row r="1320" ht="13.2" x14ac:dyDescent="0.25"/>
    <row r="1321" ht="13.2" x14ac:dyDescent="0.25"/>
    <row r="1322" ht="13.2" x14ac:dyDescent="0.25"/>
    <row r="1323" ht="13.2" x14ac:dyDescent="0.25"/>
    <row r="1324" ht="13.2" x14ac:dyDescent="0.25"/>
    <row r="1325" ht="13.2" x14ac:dyDescent="0.25"/>
    <row r="1326" ht="13.2" x14ac:dyDescent="0.25"/>
    <row r="1327" ht="13.2" x14ac:dyDescent="0.25"/>
    <row r="1328" ht="13.2" x14ac:dyDescent="0.25"/>
    <row r="1329" ht="13.2" x14ac:dyDescent="0.25"/>
    <row r="1330" ht="13.2" x14ac:dyDescent="0.25"/>
    <row r="1331" ht="13.2" x14ac:dyDescent="0.25"/>
    <row r="1332" ht="13.2" x14ac:dyDescent="0.25"/>
    <row r="1333" ht="13.2" x14ac:dyDescent="0.25"/>
    <row r="1334" ht="13.2" x14ac:dyDescent="0.25"/>
    <row r="1335" ht="13.2" x14ac:dyDescent="0.25"/>
    <row r="1336" ht="13.2" x14ac:dyDescent="0.25"/>
    <row r="1337" ht="13.2" x14ac:dyDescent="0.25"/>
    <row r="1338" ht="13.2" x14ac:dyDescent="0.25"/>
    <row r="1339" ht="13.2" x14ac:dyDescent="0.25"/>
    <row r="1340" ht="13.2" x14ac:dyDescent="0.25"/>
    <row r="1341" ht="13.2" x14ac:dyDescent="0.25"/>
    <row r="1342" ht="13.2" x14ac:dyDescent="0.25"/>
    <row r="1343" ht="13.2" x14ac:dyDescent="0.25"/>
    <row r="1344" ht="13.2" x14ac:dyDescent="0.25"/>
    <row r="1345" ht="13.2" x14ac:dyDescent="0.25"/>
    <row r="1346" ht="13.2" x14ac:dyDescent="0.25"/>
    <row r="1347" ht="13.2" x14ac:dyDescent="0.25"/>
    <row r="1348" ht="13.2" x14ac:dyDescent="0.25"/>
    <row r="1349" ht="13.2" x14ac:dyDescent="0.25"/>
    <row r="1350" ht="13.2" x14ac:dyDescent="0.25"/>
    <row r="1351" ht="13.2" x14ac:dyDescent="0.25"/>
    <row r="1352" ht="13.2" x14ac:dyDescent="0.25"/>
    <row r="1353" ht="13.2" x14ac:dyDescent="0.25"/>
    <row r="1354" ht="13.2" x14ac:dyDescent="0.25"/>
    <row r="1355" ht="13.2" x14ac:dyDescent="0.25"/>
    <row r="1356" ht="13.2" x14ac:dyDescent="0.25"/>
    <row r="1357" ht="13.2" x14ac:dyDescent="0.25"/>
    <row r="1358" ht="13.2" x14ac:dyDescent="0.25"/>
    <row r="1359" ht="13.2" x14ac:dyDescent="0.25"/>
    <row r="1360" ht="13.2" x14ac:dyDescent="0.25"/>
    <row r="1361" ht="13.2" x14ac:dyDescent="0.25"/>
    <row r="1362" ht="13.2" x14ac:dyDescent="0.25"/>
    <row r="1363" ht="13.2" x14ac:dyDescent="0.25"/>
    <row r="1364" ht="13.2" x14ac:dyDescent="0.25"/>
    <row r="1365" ht="13.2" x14ac:dyDescent="0.25"/>
    <row r="1366" ht="13.2" x14ac:dyDescent="0.25"/>
    <row r="1367" ht="13.2" x14ac:dyDescent="0.25"/>
    <row r="1368" ht="13.2" x14ac:dyDescent="0.25"/>
    <row r="1369" ht="13.2" x14ac:dyDescent="0.25"/>
    <row r="1370" ht="13.2" x14ac:dyDescent="0.25"/>
    <row r="1371" ht="13.2" x14ac:dyDescent="0.25"/>
    <row r="1372" ht="13.2" x14ac:dyDescent="0.25"/>
    <row r="1373" ht="13.2" x14ac:dyDescent="0.25"/>
    <row r="1374" ht="13.2" x14ac:dyDescent="0.25"/>
    <row r="1375" ht="13.2" x14ac:dyDescent="0.25"/>
    <row r="1376" ht="13.2" x14ac:dyDescent="0.25"/>
    <row r="1377" ht="13.2" x14ac:dyDescent="0.25"/>
    <row r="1378" ht="13.2" x14ac:dyDescent="0.25"/>
    <row r="1379" ht="13.2" x14ac:dyDescent="0.25"/>
    <row r="1380" ht="13.2" x14ac:dyDescent="0.25"/>
    <row r="1381" ht="13.2" x14ac:dyDescent="0.25"/>
    <row r="1382" ht="13.2" x14ac:dyDescent="0.25"/>
    <row r="1383" ht="13.2" x14ac:dyDescent="0.25"/>
    <row r="1384" ht="13.2" x14ac:dyDescent="0.25"/>
    <row r="1385" ht="13.2" x14ac:dyDescent="0.25"/>
    <row r="1386" ht="13.2" x14ac:dyDescent="0.25"/>
    <row r="1387" ht="13.2" x14ac:dyDescent="0.25"/>
    <row r="1388" ht="13.2" x14ac:dyDescent="0.25"/>
    <row r="1389" ht="13.2" x14ac:dyDescent="0.25"/>
    <row r="1390" ht="13.2" x14ac:dyDescent="0.25"/>
    <row r="1391" ht="13.2" x14ac:dyDescent="0.25"/>
    <row r="1392" ht="13.2" x14ac:dyDescent="0.25"/>
    <row r="1393" ht="13.2" x14ac:dyDescent="0.25"/>
    <row r="1394" ht="13.2" x14ac:dyDescent="0.25"/>
    <row r="1395" ht="13.2" x14ac:dyDescent="0.25"/>
    <row r="1396" ht="13.2" x14ac:dyDescent="0.25"/>
    <row r="1397" ht="13.2" x14ac:dyDescent="0.25"/>
    <row r="1398" ht="13.2" x14ac:dyDescent="0.25"/>
    <row r="1399" ht="13.2" x14ac:dyDescent="0.25"/>
    <row r="1400" ht="13.2" x14ac:dyDescent="0.25"/>
    <row r="1401" ht="13.2" x14ac:dyDescent="0.25"/>
    <row r="1402" ht="13.2" x14ac:dyDescent="0.25"/>
    <row r="1403" ht="13.2" x14ac:dyDescent="0.25"/>
    <row r="1404" ht="13.2" x14ac:dyDescent="0.25"/>
    <row r="1405" ht="13.2" x14ac:dyDescent="0.25"/>
    <row r="1406" ht="13.2" x14ac:dyDescent="0.25"/>
    <row r="1407" ht="13.2" x14ac:dyDescent="0.25"/>
    <row r="1408" ht="13.2" x14ac:dyDescent="0.25"/>
    <row r="1409" ht="13.2" x14ac:dyDescent="0.25"/>
    <row r="1410" ht="13.2" x14ac:dyDescent="0.25"/>
    <row r="1411" ht="13.2" x14ac:dyDescent="0.25"/>
    <row r="1412" ht="13.2" x14ac:dyDescent="0.25"/>
    <row r="1413" ht="13.2" x14ac:dyDescent="0.25"/>
    <row r="1414" ht="13.2" x14ac:dyDescent="0.25"/>
    <row r="1415" ht="13.2" x14ac:dyDescent="0.25"/>
    <row r="1416" ht="13.2" x14ac:dyDescent="0.25"/>
    <row r="1417" ht="13.2" x14ac:dyDescent="0.25"/>
    <row r="1418" ht="13.2" x14ac:dyDescent="0.25"/>
    <row r="1419" ht="13.2" x14ac:dyDescent="0.25"/>
    <row r="1420" ht="13.2" x14ac:dyDescent="0.25"/>
    <row r="1421" ht="13.2" x14ac:dyDescent="0.25"/>
    <row r="1422" ht="13.2" x14ac:dyDescent="0.25"/>
    <row r="1423" ht="13.2" x14ac:dyDescent="0.25"/>
    <row r="1424" ht="13.2" x14ac:dyDescent="0.25"/>
    <row r="1425" ht="13.2" x14ac:dyDescent="0.25"/>
    <row r="1426" ht="13.2" x14ac:dyDescent="0.25"/>
    <row r="1427" ht="13.2" x14ac:dyDescent="0.25"/>
    <row r="1428" ht="13.2" x14ac:dyDescent="0.25"/>
    <row r="1429" ht="13.2" x14ac:dyDescent="0.25"/>
    <row r="1430" ht="13.2" x14ac:dyDescent="0.25"/>
    <row r="1431" ht="13.2" x14ac:dyDescent="0.25"/>
    <row r="1432" ht="13.2" x14ac:dyDescent="0.25"/>
    <row r="1433" ht="13.2" x14ac:dyDescent="0.25"/>
    <row r="1434" ht="13.2" x14ac:dyDescent="0.25"/>
    <row r="1435" ht="13.2" x14ac:dyDescent="0.25"/>
    <row r="1436" ht="13.2" x14ac:dyDescent="0.25"/>
    <row r="1437" ht="13.2" x14ac:dyDescent="0.25"/>
    <row r="1438" ht="13.2" x14ac:dyDescent="0.25"/>
    <row r="1439" ht="13.2" x14ac:dyDescent="0.25"/>
    <row r="1440" ht="13.2" x14ac:dyDescent="0.25"/>
    <row r="1441" ht="13.2" x14ac:dyDescent="0.25"/>
    <row r="1442" ht="13.2" x14ac:dyDescent="0.25"/>
    <row r="1443" ht="13.2" x14ac:dyDescent="0.25"/>
    <row r="1444" ht="13.2" x14ac:dyDescent="0.25"/>
    <row r="1445" ht="13.2" x14ac:dyDescent="0.25"/>
    <row r="1446" ht="13.2" x14ac:dyDescent="0.25"/>
    <row r="1447" ht="13.2" x14ac:dyDescent="0.25"/>
    <row r="1448" ht="13.2" x14ac:dyDescent="0.25"/>
    <row r="1449" ht="13.2" x14ac:dyDescent="0.25"/>
    <row r="1450" ht="13.2" x14ac:dyDescent="0.25"/>
    <row r="1451" ht="13.2" x14ac:dyDescent="0.25"/>
    <row r="1452" ht="13.2" x14ac:dyDescent="0.25"/>
    <row r="1453" ht="13.2" x14ac:dyDescent="0.25"/>
    <row r="1454" ht="13.2" x14ac:dyDescent="0.25"/>
    <row r="1455" ht="13.2" x14ac:dyDescent="0.25"/>
    <row r="1456" ht="13.2" x14ac:dyDescent="0.25"/>
    <row r="1457" ht="13.2" x14ac:dyDescent="0.25"/>
    <row r="1458" ht="13.2" x14ac:dyDescent="0.25"/>
    <row r="1459" ht="13.2" x14ac:dyDescent="0.25"/>
    <row r="1460" ht="13.2" x14ac:dyDescent="0.25"/>
    <row r="1461" ht="13.2" x14ac:dyDescent="0.25"/>
    <row r="1462" ht="13.2" x14ac:dyDescent="0.25"/>
    <row r="1463" ht="13.2" x14ac:dyDescent="0.25"/>
    <row r="1464" ht="13.2" x14ac:dyDescent="0.25"/>
    <row r="1465" ht="13.2" x14ac:dyDescent="0.25"/>
    <row r="1466" ht="13.2" x14ac:dyDescent="0.25"/>
    <row r="1467" ht="13.2" x14ac:dyDescent="0.25"/>
    <row r="1468" ht="13.2" x14ac:dyDescent="0.25"/>
    <row r="1469" ht="13.2" x14ac:dyDescent="0.25"/>
    <row r="1470" ht="13.2" x14ac:dyDescent="0.25"/>
    <row r="1471" ht="13.2" x14ac:dyDescent="0.25"/>
    <row r="1472" ht="13.2" x14ac:dyDescent="0.25"/>
    <row r="1473" ht="13.2" x14ac:dyDescent="0.25"/>
    <row r="1474" ht="13.2" x14ac:dyDescent="0.25"/>
    <row r="1475" ht="13.2" x14ac:dyDescent="0.25"/>
    <row r="1476" ht="13.2" x14ac:dyDescent="0.25"/>
    <row r="1477" ht="13.2" x14ac:dyDescent="0.25"/>
    <row r="1478" ht="13.2" x14ac:dyDescent="0.25"/>
    <row r="1479" ht="13.2" x14ac:dyDescent="0.25"/>
    <row r="1480" ht="13.2" x14ac:dyDescent="0.25"/>
    <row r="1481" ht="13.2" x14ac:dyDescent="0.25"/>
    <row r="1482" ht="13.2" x14ac:dyDescent="0.25"/>
    <row r="1483" ht="13.2" x14ac:dyDescent="0.25"/>
    <row r="1484" ht="13.2" x14ac:dyDescent="0.25"/>
    <row r="1485" ht="13.2" x14ac:dyDescent="0.25"/>
    <row r="1486" ht="13.2" x14ac:dyDescent="0.25"/>
    <row r="1487" ht="13.2" x14ac:dyDescent="0.25"/>
    <row r="1488" ht="13.2" x14ac:dyDescent="0.25"/>
    <row r="1489" ht="13.2" x14ac:dyDescent="0.25"/>
    <row r="1490" ht="13.2" x14ac:dyDescent="0.25"/>
    <row r="1491" ht="13.2" x14ac:dyDescent="0.25"/>
    <row r="1492" ht="13.2" x14ac:dyDescent="0.25"/>
    <row r="1493" ht="13.2" x14ac:dyDescent="0.25"/>
    <row r="1494" ht="13.2" x14ac:dyDescent="0.25"/>
    <row r="1495" ht="13.2" x14ac:dyDescent="0.25"/>
    <row r="1496" ht="13.2" x14ac:dyDescent="0.25"/>
    <row r="1497" ht="13.2" x14ac:dyDescent="0.25"/>
    <row r="1498" ht="13.2" x14ac:dyDescent="0.25"/>
    <row r="1499" ht="13.2" x14ac:dyDescent="0.25"/>
    <row r="1500" ht="13.2" x14ac:dyDescent="0.25"/>
    <row r="1501" ht="13.2" x14ac:dyDescent="0.25"/>
    <row r="1502" ht="13.2" x14ac:dyDescent="0.25"/>
    <row r="1503" ht="13.2" x14ac:dyDescent="0.25"/>
    <row r="1504" ht="13.2" x14ac:dyDescent="0.25"/>
    <row r="1505" ht="13.2" x14ac:dyDescent="0.25"/>
    <row r="1506" ht="13.2" x14ac:dyDescent="0.25"/>
    <row r="1507" ht="13.2" x14ac:dyDescent="0.25"/>
    <row r="1508" ht="13.2" x14ac:dyDescent="0.25"/>
    <row r="1509" ht="13.2" x14ac:dyDescent="0.25"/>
    <row r="1510" ht="13.2" x14ac:dyDescent="0.25"/>
    <row r="1511" ht="13.2" x14ac:dyDescent="0.25"/>
    <row r="1512" ht="13.2" x14ac:dyDescent="0.25"/>
    <row r="1513" ht="13.2" x14ac:dyDescent="0.25"/>
    <row r="1514" ht="13.2" x14ac:dyDescent="0.25"/>
    <row r="1515" ht="13.2" x14ac:dyDescent="0.25"/>
    <row r="1516" ht="13.2" x14ac:dyDescent="0.25"/>
    <row r="1517" ht="13.2" x14ac:dyDescent="0.25"/>
    <row r="1518" ht="13.2" x14ac:dyDescent="0.25"/>
    <row r="1519" ht="13.2" x14ac:dyDescent="0.25"/>
    <row r="1520" ht="13.2" x14ac:dyDescent="0.25"/>
    <row r="1521" ht="13.2" x14ac:dyDescent="0.25"/>
    <row r="1522" ht="13.2" x14ac:dyDescent="0.25"/>
    <row r="1523" ht="13.2" x14ac:dyDescent="0.25"/>
    <row r="1524" ht="13.2" x14ac:dyDescent="0.25"/>
    <row r="1525" ht="13.2" x14ac:dyDescent="0.25"/>
    <row r="1526" ht="13.2" x14ac:dyDescent="0.25"/>
    <row r="1527" ht="13.2" x14ac:dyDescent="0.25"/>
    <row r="1528" ht="13.2" x14ac:dyDescent="0.25"/>
    <row r="1529" ht="13.2" x14ac:dyDescent="0.25"/>
    <row r="1530" ht="13.2" x14ac:dyDescent="0.25"/>
    <row r="1531" ht="13.2" x14ac:dyDescent="0.25"/>
    <row r="1532" ht="13.2" x14ac:dyDescent="0.25"/>
    <row r="1533" ht="13.2" x14ac:dyDescent="0.25"/>
    <row r="1534" ht="13.2" x14ac:dyDescent="0.25"/>
    <row r="1535" ht="13.2" x14ac:dyDescent="0.25"/>
    <row r="1536" ht="13.2" x14ac:dyDescent="0.25"/>
    <row r="1537" ht="13.2" x14ac:dyDescent="0.25"/>
    <row r="1538" ht="13.2" x14ac:dyDescent="0.25"/>
    <row r="1539" ht="13.2" x14ac:dyDescent="0.25"/>
    <row r="1540" ht="13.2" x14ac:dyDescent="0.25"/>
    <row r="1541" ht="13.2" x14ac:dyDescent="0.25"/>
    <row r="1542" ht="13.2" x14ac:dyDescent="0.25"/>
    <row r="1543" ht="13.2" x14ac:dyDescent="0.25"/>
    <row r="1544" ht="13.2" x14ac:dyDescent="0.25"/>
    <row r="1545" ht="13.2" x14ac:dyDescent="0.25"/>
    <row r="1546" ht="13.2" x14ac:dyDescent="0.25"/>
    <row r="1547" ht="13.2" x14ac:dyDescent="0.25"/>
    <row r="1548" ht="13.2" x14ac:dyDescent="0.25"/>
    <row r="1549" ht="13.2" x14ac:dyDescent="0.25"/>
    <row r="1550" ht="13.2" x14ac:dyDescent="0.25"/>
    <row r="1551" ht="13.2" x14ac:dyDescent="0.25"/>
    <row r="1552" ht="13.2" x14ac:dyDescent="0.25"/>
    <row r="1553" ht="13.2" x14ac:dyDescent="0.25"/>
    <row r="1554" ht="13.2" x14ac:dyDescent="0.25"/>
    <row r="1555" ht="13.2" x14ac:dyDescent="0.25"/>
    <row r="1556" ht="13.2" x14ac:dyDescent="0.25"/>
    <row r="1557" ht="13.2" x14ac:dyDescent="0.25"/>
    <row r="1558" ht="13.2" x14ac:dyDescent="0.25"/>
    <row r="1559" ht="13.2" x14ac:dyDescent="0.25"/>
    <row r="1560" ht="13.2" x14ac:dyDescent="0.25"/>
    <row r="1561" ht="13.2" x14ac:dyDescent="0.25"/>
    <row r="1562" ht="13.2" x14ac:dyDescent="0.25"/>
    <row r="1563" ht="13.2" x14ac:dyDescent="0.25"/>
    <row r="1564" ht="13.2" x14ac:dyDescent="0.25"/>
    <row r="1565" ht="13.2" x14ac:dyDescent="0.25"/>
    <row r="1566" ht="13.2" x14ac:dyDescent="0.25"/>
    <row r="1567" ht="13.2" x14ac:dyDescent="0.25"/>
    <row r="1568" ht="13.2" x14ac:dyDescent="0.25"/>
    <row r="1569" ht="13.2" x14ac:dyDescent="0.25"/>
    <row r="1570" ht="13.2" x14ac:dyDescent="0.25"/>
    <row r="1571" ht="13.2" x14ac:dyDescent="0.25"/>
    <row r="1572" ht="13.2" x14ac:dyDescent="0.25"/>
    <row r="1573" ht="13.2" x14ac:dyDescent="0.25"/>
    <row r="1574" ht="13.2" x14ac:dyDescent="0.25"/>
    <row r="1575" ht="13.2" x14ac:dyDescent="0.25"/>
    <row r="1576" ht="13.2" x14ac:dyDescent="0.25"/>
    <row r="1577" ht="13.2" x14ac:dyDescent="0.25"/>
    <row r="1578" ht="13.2" x14ac:dyDescent="0.25"/>
    <row r="1579" ht="13.2" x14ac:dyDescent="0.25"/>
    <row r="1580" ht="13.2" x14ac:dyDescent="0.25"/>
    <row r="1581" ht="13.2" x14ac:dyDescent="0.25"/>
    <row r="1582" ht="13.2" x14ac:dyDescent="0.25"/>
    <row r="1583" ht="13.2" x14ac:dyDescent="0.25"/>
    <row r="1584" ht="13.2" x14ac:dyDescent="0.25"/>
    <row r="1585" ht="13.2" x14ac:dyDescent="0.25"/>
    <row r="1586" ht="13.2" x14ac:dyDescent="0.25"/>
    <row r="1587" ht="13.2" x14ac:dyDescent="0.25"/>
    <row r="1588" ht="13.2" x14ac:dyDescent="0.25"/>
    <row r="1589" ht="13.2" x14ac:dyDescent="0.25"/>
    <row r="1590" ht="13.2" x14ac:dyDescent="0.25"/>
    <row r="1591" ht="13.2" x14ac:dyDescent="0.25"/>
    <row r="1592" ht="13.2" x14ac:dyDescent="0.25"/>
    <row r="1593" ht="13.2" x14ac:dyDescent="0.25"/>
    <row r="1594" ht="13.2" x14ac:dyDescent="0.25"/>
    <row r="1595" ht="13.2" x14ac:dyDescent="0.25"/>
    <row r="1596" ht="13.2" x14ac:dyDescent="0.25"/>
    <row r="1597" ht="13.2" x14ac:dyDescent="0.25"/>
    <row r="1598" ht="13.2" x14ac:dyDescent="0.25"/>
    <row r="1599" ht="13.2" x14ac:dyDescent="0.25"/>
    <row r="1600" ht="13.2" x14ac:dyDescent="0.25"/>
    <row r="1601" ht="13.2" x14ac:dyDescent="0.25"/>
    <row r="1602" ht="13.2" x14ac:dyDescent="0.25"/>
    <row r="1603" ht="13.2" x14ac:dyDescent="0.25"/>
    <row r="1604" ht="13.2" x14ac:dyDescent="0.25"/>
    <row r="1605" ht="13.2" x14ac:dyDescent="0.25"/>
    <row r="1606" ht="13.2" x14ac:dyDescent="0.25"/>
    <row r="1607" ht="13.2" x14ac:dyDescent="0.25"/>
    <row r="1608" ht="13.2" x14ac:dyDescent="0.25"/>
    <row r="1609" ht="13.2" x14ac:dyDescent="0.25"/>
    <row r="1610" ht="13.2" x14ac:dyDescent="0.25"/>
    <row r="1611" ht="13.2" x14ac:dyDescent="0.25"/>
    <row r="1612" ht="13.2" x14ac:dyDescent="0.25"/>
    <row r="1613" ht="13.2" x14ac:dyDescent="0.25"/>
    <row r="1614" ht="13.2" x14ac:dyDescent="0.25"/>
    <row r="1615" ht="13.2" x14ac:dyDescent="0.25"/>
    <row r="1616" ht="13.2" x14ac:dyDescent="0.25"/>
    <row r="1617" ht="13.2" x14ac:dyDescent="0.25"/>
    <row r="1618" ht="13.2" x14ac:dyDescent="0.25"/>
    <row r="1619" ht="13.2" x14ac:dyDescent="0.25"/>
    <row r="1620" ht="13.2" x14ac:dyDescent="0.25"/>
    <row r="1621" ht="13.2" x14ac:dyDescent="0.25"/>
    <row r="1622" ht="13.2" x14ac:dyDescent="0.25"/>
    <row r="1623" ht="13.2" x14ac:dyDescent="0.25"/>
    <row r="1624" ht="13.2" x14ac:dyDescent="0.25"/>
    <row r="1625" ht="13.2" x14ac:dyDescent="0.25"/>
    <row r="1626" ht="13.2" x14ac:dyDescent="0.25"/>
    <row r="1627" ht="13.2" x14ac:dyDescent="0.25"/>
    <row r="1628" ht="13.2" x14ac:dyDescent="0.25"/>
    <row r="1629" ht="13.2" x14ac:dyDescent="0.25"/>
    <row r="1630" ht="13.2" x14ac:dyDescent="0.25"/>
    <row r="1631" ht="13.2" x14ac:dyDescent="0.25"/>
    <row r="1632" ht="13.2" x14ac:dyDescent="0.25"/>
    <row r="1633" ht="13.2" x14ac:dyDescent="0.25"/>
    <row r="1634" ht="13.2" x14ac:dyDescent="0.25"/>
    <row r="1635" ht="13.2" x14ac:dyDescent="0.25"/>
    <row r="1636" ht="13.2" x14ac:dyDescent="0.25"/>
    <row r="1637" ht="13.2" x14ac:dyDescent="0.25"/>
    <row r="1638" ht="13.2" x14ac:dyDescent="0.25"/>
    <row r="1639" ht="13.2" x14ac:dyDescent="0.25"/>
    <row r="1640" ht="13.2" x14ac:dyDescent="0.25"/>
    <row r="1641" ht="13.2" x14ac:dyDescent="0.25"/>
    <row r="1642" ht="13.2" x14ac:dyDescent="0.25"/>
    <row r="1643" ht="13.2" x14ac:dyDescent="0.25"/>
    <row r="1644" ht="13.2" x14ac:dyDescent="0.25"/>
    <row r="1645" ht="13.2" x14ac:dyDescent="0.25"/>
    <row r="1646" ht="13.2" x14ac:dyDescent="0.25"/>
    <row r="1647" ht="13.2" x14ac:dyDescent="0.25"/>
    <row r="1648" ht="13.2" x14ac:dyDescent="0.25"/>
    <row r="1649" ht="13.2" x14ac:dyDescent="0.25"/>
    <row r="1650" ht="13.2" x14ac:dyDescent="0.25"/>
    <row r="1651" ht="13.2" x14ac:dyDescent="0.25"/>
    <row r="1652" ht="13.2" x14ac:dyDescent="0.25"/>
    <row r="1653" ht="13.2" x14ac:dyDescent="0.25"/>
    <row r="1654" ht="13.2" x14ac:dyDescent="0.25"/>
    <row r="1655" ht="13.2" x14ac:dyDescent="0.25"/>
    <row r="1656" ht="13.2" x14ac:dyDescent="0.25"/>
    <row r="1657" ht="13.2" x14ac:dyDescent="0.25"/>
    <row r="1658" ht="13.2" x14ac:dyDescent="0.25"/>
    <row r="1659" ht="13.2" x14ac:dyDescent="0.25"/>
    <row r="1660" ht="13.2" x14ac:dyDescent="0.25"/>
    <row r="1661" ht="13.2" x14ac:dyDescent="0.25"/>
    <row r="1662" ht="13.2" x14ac:dyDescent="0.25"/>
    <row r="1663" ht="13.2" x14ac:dyDescent="0.25"/>
    <row r="1664" ht="13.2" x14ac:dyDescent="0.25"/>
    <row r="1665" ht="13.2" x14ac:dyDescent="0.25"/>
    <row r="1666" ht="13.2" x14ac:dyDescent="0.25"/>
    <row r="1667" ht="13.2" x14ac:dyDescent="0.25"/>
    <row r="1668" ht="13.2" x14ac:dyDescent="0.25"/>
    <row r="1669" ht="13.2" x14ac:dyDescent="0.25"/>
    <row r="1670" ht="13.2" x14ac:dyDescent="0.25"/>
    <row r="1671" ht="13.2" x14ac:dyDescent="0.25"/>
    <row r="1672" ht="13.2" x14ac:dyDescent="0.25"/>
    <row r="1673" ht="13.2" x14ac:dyDescent="0.25"/>
    <row r="1674" ht="13.2" x14ac:dyDescent="0.25"/>
    <row r="1675" ht="13.2" x14ac:dyDescent="0.25"/>
    <row r="1676" ht="13.2" x14ac:dyDescent="0.25"/>
    <row r="1677" ht="13.2" x14ac:dyDescent="0.25"/>
    <row r="1678" ht="13.2" x14ac:dyDescent="0.25"/>
    <row r="1679" ht="13.2" x14ac:dyDescent="0.25"/>
    <row r="1680" ht="13.2" x14ac:dyDescent="0.25"/>
    <row r="1681" ht="13.2" x14ac:dyDescent="0.25"/>
    <row r="1682" ht="13.2" x14ac:dyDescent="0.25"/>
    <row r="1683" ht="13.2" x14ac:dyDescent="0.25"/>
    <row r="1684" ht="13.2" x14ac:dyDescent="0.25"/>
    <row r="1685" ht="13.2" x14ac:dyDescent="0.25"/>
    <row r="1686" ht="13.2" x14ac:dyDescent="0.25"/>
    <row r="1687" ht="13.2" x14ac:dyDescent="0.25"/>
    <row r="1688" ht="13.2" x14ac:dyDescent="0.25"/>
    <row r="1689" ht="13.2" x14ac:dyDescent="0.25"/>
    <row r="1690" ht="13.2" x14ac:dyDescent="0.25"/>
    <row r="1691" ht="13.2" x14ac:dyDescent="0.25"/>
    <row r="1692" ht="13.2" x14ac:dyDescent="0.25"/>
    <row r="1693" ht="13.2" x14ac:dyDescent="0.25"/>
    <row r="1694" ht="13.2" x14ac:dyDescent="0.25"/>
    <row r="1695" ht="13.2" x14ac:dyDescent="0.25"/>
    <row r="1696" ht="13.2" x14ac:dyDescent="0.25"/>
    <row r="1697" ht="13.2" x14ac:dyDescent="0.25"/>
    <row r="1698" ht="13.2" x14ac:dyDescent="0.25"/>
    <row r="1699" ht="13.2" x14ac:dyDescent="0.25"/>
    <row r="1700" ht="13.2" x14ac:dyDescent="0.25"/>
    <row r="1701" ht="13.2" x14ac:dyDescent="0.25"/>
    <row r="1702" ht="13.2" x14ac:dyDescent="0.25"/>
    <row r="1703" ht="13.2" x14ac:dyDescent="0.25"/>
    <row r="1704" ht="13.2" x14ac:dyDescent="0.25"/>
    <row r="1705" ht="13.2" x14ac:dyDescent="0.25"/>
    <row r="1706" ht="13.2" x14ac:dyDescent="0.25"/>
    <row r="1707" ht="13.2" x14ac:dyDescent="0.25"/>
    <row r="1708" ht="13.2" x14ac:dyDescent="0.25"/>
    <row r="1709" ht="13.2" x14ac:dyDescent="0.25"/>
    <row r="1710" ht="13.2" x14ac:dyDescent="0.25"/>
    <row r="1711" ht="13.2" x14ac:dyDescent="0.25"/>
    <row r="1712" ht="13.2" x14ac:dyDescent="0.25"/>
    <row r="1713" ht="13.2" x14ac:dyDescent="0.25"/>
    <row r="1714" ht="13.2" x14ac:dyDescent="0.25"/>
    <row r="1715" ht="13.2" x14ac:dyDescent="0.25"/>
    <row r="1716" ht="13.2" x14ac:dyDescent="0.25"/>
    <row r="1717" ht="13.2" x14ac:dyDescent="0.25"/>
    <row r="1718" ht="13.2" x14ac:dyDescent="0.25"/>
    <row r="1719" ht="13.2" x14ac:dyDescent="0.25"/>
    <row r="1720" ht="13.2" x14ac:dyDescent="0.25"/>
    <row r="1721" ht="13.2" x14ac:dyDescent="0.25"/>
    <row r="1722" ht="13.2" x14ac:dyDescent="0.25"/>
    <row r="1723" ht="13.2" x14ac:dyDescent="0.25"/>
    <row r="1724" ht="13.2" x14ac:dyDescent="0.25"/>
    <row r="1725" ht="13.2" x14ac:dyDescent="0.25"/>
    <row r="1726" ht="13.2" x14ac:dyDescent="0.25"/>
    <row r="1727" ht="13.2" x14ac:dyDescent="0.25"/>
    <row r="1728" ht="13.2" x14ac:dyDescent="0.25"/>
    <row r="1729" ht="13.2" x14ac:dyDescent="0.25"/>
    <row r="1730" ht="13.2" x14ac:dyDescent="0.25"/>
    <row r="1731" ht="13.2" x14ac:dyDescent="0.25"/>
    <row r="1732" ht="13.2" x14ac:dyDescent="0.25"/>
    <row r="1733" ht="13.2" x14ac:dyDescent="0.25"/>
    <row r="1734" ht="13.2" x14ac:dyDescent="0.25"/>
    <row r="1735" ht="13.2" x14ac:dyDescent="0.25"/>
    <row r="1736" ht="13.2" x14ac:dyDescent="0.25"/>
    <row r="1737" ht="13.2" x14ac:dyDescent="0.25"/>
    <row r="1738" ht="13.2" x14ac:dyDescent="0.25"/>
    <row r="1739" ht="13.2" x14ac:dyDescent="0.25"/>
    <row r="1740" ht="13.2" x14ac:dyDescent="0.25"/>
    <row r="1741" ht="13.2" x14ac:dyDescent="0.25"/>
    <row r="1742" ht="13.2" x14ac:dyDescent="0.25"/>
    <row r="1743" ht="13.2" x14ac:dyDescent="0.25"/>
    <row r="1744" ht="13.2" x14ac:dyDescent="0.25"/>
    <row r="1745" ht="13.2" x14ac:dyDescent="0.25"/>
    <row r="1746" ht="13.2" x14ac:dyDescent="0.25"/>
    <row r="1747" ht="13.2" x14ac:dyDescent="0.25"/>
    <row r="1748" ht="13.2" x14ac:dyDescent="0.25"/>
    <row r="1749" ht="13.2" x14ac:dyDescent="0.25"/>
    <row r="1750" ht="13.2" x14ac:dyDescent="0.25"/>
    <row r="1751" ht="13.2" x14ac:dyDescent="0.25"/>
    <row r="1752" ht="13.2" x14ac:dyDescent="0.25"/>
    <row r="1753" ht="13.2" x14ac:dyDescent="0.25"/>
    <row r="1754" ht="13.2" x14ac:dyDescent="0.25"/>
    <row r="1755" ht="13.2" x14ac:dyDescent="0.25"/>
    <row r="1756" ht="13.2" x14ac:dyDescent="0.25"/>
    <row r="1757" ht="13.2" x14ac:dyDescent="0.25"/>
    <row r="1758" ht="13.2" x14ac:dyDescent="0.25"/>
    <row r="1759" ht="13.2" x14ac:dyDescent="0.25"/>
    <row r="1760" ht="13.2" x14ac:dyDescent="0.25"/>
    <row r="1761" ht="13.2" x14ac:dyDescent="0.25"/>
    <row r="1762" ht="13.2" x14ac:dyDescent="0.25"/>
    <row r="1763" ht="13.2" x14ac:dyDescent="0.25"/>
    <row r="1764" ht="13.2" x14ac:dyDescent="0.25"/>
    <row r="1765" ht="13.2" x14ac:dyDescent="0.25"/>
    <row r="1766" ht="13.2" x14ac:dyDescent="0.25"/>
    <row r="1767" ht="13.2" x14ac:dyDescent="0.25"/>
    <row r="1768" ht="13.2" x14ac:dyDescent="0.25"/>
    <row r="1769" ht="13.2" x14ac:dyDescent="0.25"/>
    <row r="1770" ht="13.2" x14ac:dyDescent="0.25"/>
    <row r="1771" ht="13.2" x14ac:dyDescent="0.25"/>
    <row r="1772" ht="13.2" x14ac:dyDescent="0.25"/>
    <row r="1773" ht="13.2" x14ac:dyDescent="0.25"/>
    <row r="1774" ht="13.2" x14ac:dyDescent="0.25"/>
    <row r="1775" ht="13.2" x14ac:dyDescent="0.25"/>
    <row r="1776" ht="13.2" x14ac:dyDescent="0.25"/>
    <row r="1777" ht="13.2" x14ac:dyDescent="0.25"/>
    <row r="1778" ht="13.2" x14ac:dyDescent="0.25"/>
    <row r="1779" ht="13.2" x14ac:dyDescent="0.25"/>
    <row r="1780" ht="13.2" x14ac:dyDescent="0.25"/>
    <row r="1781" ht="13.2" x14ac:dyDescent="0.25"/>
    <row r="1782" ht="13.2" x14ac:dyDescent="0.25"/>
    <row r="1783" ht="13.2" x14ac:dyDescent="0.25"/>
    <row r="1784" ht="13.2" x14ac:dyDescent="0.25"/>
    <row r="1785" ht="13.2" x14ac:dyDescent="0.25"/>
    <row r="1786" ht="13.2" x14ac:dyDescent="0.25"/>
    <row r="1787" ht="13.2" x14ac:dyDescent="0.25"/>
    <row r="1788" ht="13.2" x14ac:dyDescent="0.25"/>
    <row r="1789" ht="13.2" x14ac:dyDescent="0.25"/>
    <row r="1790" ht="13.2" x14ac:dyDescent="0.25"/>
    <row r="1791" ht="13.2" x14ac:dyDescent="0.25"/>
    <row r="1792" ht="13.2" x14ac:dyDescent="0.25"/>
    <row r="1793" ht="13.2" x14ac:dyDescent="0.25"/>
    <row r="1794" ht="13.2" x14ac:dyDescent="0.25"/>
    <row r="1795" ht="13.2" x14ac:dyDescent="0.25"/>
    <row r="1796" ht="13.2" x14ac:dyDescent="0.25"/>
    <row r="1797" ht="13.2" x14ac:dyDescent="0.25"/>
    <row r="1798" ht="13.2" x14ac:dyDescent="0.25"/>
    <row r="1799" ht="13.2" x14ac:dyDescent="0.25"/>
    <row r="1800" ht="13.2" x14ac:dyDescent="0.25"/>
    <row r="1801" ht="13.2" x14ac:dyDescent="0.25"/>
    <row r="1802" ht="13.2" x14ac:dyDescent="0.25"/>
    <row r="1803" ht="13.2" x14ac:dyDescent="0.25"/>
    <row r="1804" ht="13.2" x14ac:dyDescent="0.25"/>
    <row r="1805" ht="13.2" x14ac:dyDescent="0.25"/>
    <row r="1806" ht="13.2" x14ac:dyDescent="0.25"/>
    <row r="1807" ht="13.2" x14ac:dyDescent="0.25"/>
    <row r="1808" ht="13.2" x14ac:dyDescent="0.25"/>
    <row r="1809" ht="13.2" x14ac:dyDescent="0.25"/>
    <row r="1810" ht="13.2" x14ac:dyDescent="0.25"/>
    <row r="1811" ht="13.2" x14ac:dyDescent="0.25"/>
    <row r="1812" ht="13.2" x14ac:dyDescent="0.25"/>
    <row r="1813" ht="13.2" x14ac:dyDescent="0.25"/>
    <row r="1814" ht="13.2" x14ac:dyDescent="0.25"/>
    <row r="1815" ht="13.2" x14ac:dyDescent="0.25"/>
    <row r="1816" ht="13.2" x14ac:dyDescent="0.25"/>
    <row r="1817" ht="13.2" x14ac:dyDescent="0.25"/>
    <row r="1818" ht="13.2" x14ac:dyDescent="0.25"/>
    <row r="1819" ht="13.2" x14ac:dyDescent="0.25"/>
    <row r="1820" ht="13.2" x14ac:dyDescent="0.25"/>
    <row r="1821" ht="13.2" x14ac:dyDescent="0.25"/>
    <row r="1822" ht="13.2" x14ac:dyDescent="0.25"/>
    <row r="1823" ht="13.2" x14ac:dyDescent="0.25"/>
    <row r="1824" ht="13.2" x14ac:dyDescent="0.25"/>
    <row r="1825" ht="13.2" x14ac:dyDescent="0.25"/>
    <row r="1826" ht="13.2" x14ac:dyDescent="0.25"/>
    <row r="1827" ht="13.2" x14ac:dyDescent="0.25"/>
    <row r="1828" ht="13.2" x14ac:dyDescent="0.25"/>
    <row r="1829" ht="13.2" x14ac:dyDescent="0.25"/>
    <row r="1830" ht="13.2" x14ac:dyDescent="0.25"/>
    <row r="1831" ht="13.2" x14ac:dyDescent="0.25"/>
    <row r="1832" ht="13.2" x14ac:dyDescent="0.25"/>
    <row r="1833" ht="13.2" x14ac:dyDescent="0.25"/>
    <row r="1834" ht="13.2" x14ac:dyDescent="0.25"/>
    <row r="1835" ht="13.2" x14ac:dyDescent="0.25"/>
    <row r="1836" ht="13.2" x14ac:dyDescent="0.25"/>
    <row r="1837" ht="13.2" x14ac:dyDescent="0.25"/>
    <row r="1838" ht="13.2" x14ac:dyDescent="0.25"/>
    <row r="1839" ht="13.2" x14ac:dyDescent="0.25"/>
    <row r="1840" ht="13.2" x14ac:dyDescent="0.25"/>
    <row r="1841" ht="13.2" x14ac:dyDescent="0.25"/>
    <row r="1842" ht="13.2" x14ac:dyDescent="0.25"/>
    <row r="1843" ht="13.2" x14ac:dyDescent="0.25"/>
    <row r="1844" ht="13.2" x14ac:dyDescent="0.25"/>
    <row r="1845" ht="13.2" x14ac:dyDescent="0.25"/>
    <row r="1846" ht="13.2" x14ac:dyDescent="0.25"/>
    <row r="1847" ht="13.2" x14ac:dyDescent="0.25"/>
    <row r="1848" ht="13.2" x14ac:dyDescent="0.25"/>
    <row r="1849" ht="13.2" x14ac:dyDescent="0.25"/>
    <row r="1850" ht="13.2" x14ac:dyDescent="0.25"/>
    <row r="1851" ht="13.2" x14ac:dyDescent="0.25"/>
    <row r="1852" ht="13.2" x14ac:dyDescent="0.25"/>
    <row r="1853" ht="13.2" x14ac:dyDescent="0.25"/>
    <row r="1854" ht="13.2" x14ac:dyDescent="0.25"/>
    <row r="1855" ht="13.2" x14ac:dyDescent="0.25"/>
    <row r="1856" ht="13.2" x14ac:dyDescent="0.25"/>
    <row r="1857" ht="13.2" x14ac:dyDescent="0.25"/>
    <row r="1858" ht="13.2" x14ac:dyDescent="0.25"/>
    <row r="1859" ht="13.2" x14ac:dyDescent="0.25"/>
    <row r="1860" ht="13.2" x14ac:dyDescent="0.25"/>
    <row r="1861" ht="13.2" x14ac:dyDescent="0.25"/>
    <row r="1862" ht="13.2" x14ac:dyDescent="0.25"/>
    <row r="1863" ht="13.2" x14ac:dyDescent="0.25"/>
    <row r="1864" ht="13.2" x14ac:dyDescent="0.25"/>
    <row r="1865" ht="13.2" x14ac:dyDescent="0.25"/>
    <row r="1866" ht="13.2" x14ac:dyDescent="0.25"/>
    <row r="1867" ht="13.2" x14ac:dyDescent="0.25"/>
    <row r="1868" ht="13.2" x14ac:dyDescent="0.25"/>
    <row r="1869" ht="13.2" x14ac:dyDescent="0.25"/>
    <row r="1870" ht="13.2" x14ac:dyDescent="0.25"/>
    <row r="1871" ht="13.2" x14ac:dyDescent="0.25"/>
    <row r="1872" ht="13.2" x14ac:dyDescent="0.25"/>
    <row r="1873" ht="13.2" x14ac:dyDescent="0.25"/>
    <row r="1874" ht="13.2" x14ac:dyDescent="0.25"/>
    <row r="1875" ht="13.2" x14ac:dyDescent="0.25"/>
    <row r="1876" ht="13.2" x14ac:dyDescent="0.25"/>
    <row r="1877" ht="13.2" x14ac:dyDescent="0.25"/>
    <row r="1878" ht="13.2" x14ac:dyDescent="0.25"/>
    <row r="1879" ht="13.2" x14ac:dyDescent="0.25"/>
    <row r="1880" ht="13.2" x14ac:dyDescent="0.25"/>
    <row r="1881" ht="13.2" x14ac:dyDescent="0.25"/>
    <row r="1882" ht="13.2" x14ac:dyDescent="0.25"/>
    <row r="1883" ht="13.2" x14ac:dyDescent="0.25"/>
    <row r="1884" ht="13.2" x14ac:dyDescent="0.25"/>
    <row r="1885" ht="13.2" x14ac:dyDescent="0.25"/>
    <row r="1886" ht="13.2" x14ac:dyDescent="0.25"/>
    <row r="1887" ht="13.2" x14ac:dyDescent="0.25"/>
    <row r="1888" ht="13.2" x14ac:dyDescent="0.25"/>
    <row r="1889" ht="13.2" x14ac:dyDescent="0.25"/>
    <row r="1890" ht="13.2" x14ac:dyDescent="0.25"/>
    <row r="1891" ht="13.2" x14ac:dyDescent="0.25"/>
    <row r="1892" ht="13.2" x14ac:dyDescent="0.25"/>
    <row r="1893" ht="13.2" x14ac:dyDescent="0.25"/>
    <row r="1894" ht="13.2" x14ac:dyDescent="0.25"/>
    <row r="1895" ht="13.2" x14ac:dyDescent="0.25"/>
    <row r="1896" ht="13.2" x14ac:dyDescent="0.25"/>
    <row r="1897" ht="13.2" x14ac:dyDescent="0.25"/>
    <row r="1898" ht="13.2" x14ac:dyDescent="0.25"/>
    <row r="1899" ht="13.2" x14ac:dyDescent="0.25"/>
    <row r="1900" ht="13.2" x14ac:dyDescent="0.25"/>
    <row r="1901" ht="13.2" x14ac:dyDescent="0.25"/>
    <row r="1902" ht="13.2" x14ac:dyDescent="0.25"/>
    <row r="1903" ht="13.2" x14ac:dyDescent="0.25"/>
    <row r="1904" ht="13.2" x14ac:dyDescent="0.25"/>
    <row r="1905" ht="13.2" x14ac:dyDescent="0.25"/>
    <row r="1906" ht="13.2" x14ac:dyDescent="0.25"/>
    <row r="1907" ht="13.2" x14ac:dyDescent="0.25"/>
    <row r="1908" ht="13.2" x14ac:dyDescent="0.25"/>
    <row r="1909" ht="13.2" x14ac:dyDescent="0.25"/>
    <row r="1910" ht="13.2" x14ac:dyDescent="0.25"/>
    <row r="1911" ht="13.2" x14ac:dyDescent="0.25"/>
    <row r="1912" ht="13.2" x14ac:dyDescent="0.25"/>
    <row r="1913" ht="13.2" x14ac:dyDescent="0.25"/>
    <row r="1914" ht="13.2" x14ac:dyDescent="0.25"/>
    <row r="1915" ht="13.2" x14ac:dyDescent="0.25"/>
    <row r="1916" ht="13.2" x14ac:dyDescent="0.25"/>
    <row r="1917" ht="13.2" x14ac:dyDescent="0.25"/>
    <row r="1918" ht="13.2" x14ac:dyDescent="0.25"/>
    <row r="1919" ht="13.2" x14ac:dyDescent="0.25"/>
    <row r="1920" ht="13.2" x14ac:dyDescent="0.25"/>
    <row r="1921" ht="13.2" x14ac:dyDescent="0.25"/>
    <row r="1922" ht="13.2" x14ac:dyDescent="0.25"/>
    <row r="1923" ht="13.2" x14ac:dyDescent="0.25"/>
    <row r="1924" ht="13.2" x14ac:dyDescent="0.25"/>
    <row r="1925" ht="13.2" x14ac:dyDescent="0.25"/>
    <row r="1926" ht="13.2" x14ac:dyDescent="0.25"/>
    <row r="1927" ht="13.2" x14ac:dyDescent="0.25"/>
    <row r="1928" ht="13.2" x14ac:dyDescent="0.25"/>
    <row r="1929" ht="13.2" x14ac:dyDescent="0.25"/>
    <row r="1930" ht="13.2" x14ac:dyDescent="0.25"/>
    <row r="1931" ht="13.2" x14ac:dyDescent="0.25"/>
    <row r="1932" ht="13.2" x14ac:dyDescent="0.25"/>
    <row r="1933" ht="13.2" x14ac:dyDescent="0.25"/>
    <row r="1934" ht="13.2" x14ac:dyDescent="0.25"/>
    <row r="1935" ht="13.2" x14ac:dyDescent="0.25"/>
    <row r="1936" ht="13.2" x14ac:dyDescent="0.25"/>
    <row r="1937" ht="13.2" x14ac:dyDescent="0.25"/>
    <row r="1938" ht="13.2" x14ac:dyDescent="0.25"/>
    <row r="1939" ht="13.2" x14ac:dyDescent="0.25"/>
    <row r="1940" ht="13.2" x14ac:dyDescent="0.25"/>
    <row r="1941" ht="13.2" x14ac:dyDescent="0.25"/>
    <row r="1942" ht="13.2" x14ac:dyDescent="0.25"/>
    <row r="1943" ht="13.2" x14ac:dyDescent="0.25"/>
    <row r="1944" ht="13.2" x14ac:dyDescent="0.25"/>
    <row r="1945" ht="13.2" x14ac:dyDescent="0.25"/>
    <row r="1946" ht="13.2" x14ac:dyDescent="0.25"/>
    <row r="1947" ht="13.2" x14ac:dyDescent="0.25"/>
    <row r="1948" ht="13.2" x14ac:dyDescent="0.25"/>
    <row r="1949" ht="13.2" x14ac:dyDescent="0.25"/>
    <row r="1950" ht="13.2" x14ac:dyDescent="0.25"/>
    <row r="1951" ht="13.2" x14ac:dyDescent="0.25"/>
    <row r="1952" ht="13.2" x14ac:dyDescent="0.25"/>
    <row r="1953" ht="13.2" x14ac:dyDescent="0.25"/>
    <row r="1954" ht="13.2" x14ac:dyDescent="0.25"/>
    <row r="1955" ht="13.2" x14ac:dyDescent="0.25"/>
    <row r="1956" ht="13.2" x14ac:dyDescent="0.25"/>
    <row r="1957" ht="13.2" x14ac:dyDescent="0.25"/>
    <row r="1958" ht="13.2" x14ac:dyDescent="0.25"/>
    <row r="1959" ht="13.2" x14ac:dyDescent="0.25"/>
    <row r="1960" ht="13.2" x14ac:dyDescent="0.25"/>
    <row r="1961" ht="13.2" x14ac:dyDescent="0.25"/>
    <row r="1962" ht="13.2" x14ac:dyDescent="0.25"/>
    <row r="1963" ht="13.2" x14ac:dyDescent="0.25"/>
    <row r="1964" ht="13.2" x14ac:dyDescent="0.25"/>
    <row r="1965" ht="13.2" x14ac:dyDescent="0.25"/>
    <row r="1966" ht="13.2" x14ac:dyDescent="0.25"/>
    <row r="1967" ht="13.2" x14ac:dyDescent="0.25"/>
    <row r="1968" ht="13.2" x14ac:dyDescent="0.25"/>
    <row r="1969" ht="13.2" x14ac:dyDescent="0.25"/>
    <row r="1970" ht="13.2" x14ac:dyDescent="0.25"/>
    <row r="1971" ht="13.2" x14ac:dyDescent="0.25"/>
    <row r="1972" ht="13.2" x14ac:dyDescent="0.25"/>
    <row r="1973" ht="13.2" x14ac:dyDescent="0.25"/>
    <row r="1974" ht="13.2" x14ac:dyDescent="0.25"/>
    <row r="1975" ht="13.2" x14ac:dyDescent="0.25"/>
    <row r="1976" ht="13.2" x14ac:dyDescent="0.25"/>
    <row r="1977" ht="13.2" x14ac:dyDescent="0.25"/>
    <row r="1978" ht="13.2" x14ac:dyDescent="0.25"/>
    <row r="1979" ht="13.2" x14ac:dyDescent="0.25"/>
    <row r="1980" ht="13.2" x14ac:dyDescent="0.25"/>
    <row r="1981" ht="13.2" x14ac:dyDescent="0.25"/>
    <row r="1982" ht="13.2" x14ac:dyDescent="0.25"/>
    <row r="1983" ht="13.2" x14ac:dyDescent="0.25"/>
    <row r="1984" ht="13.2" x14ac:dyDescent="0.25"/>
    <row r="1985" ht="13.2" x14ac:dyDescent="0.25"/>
    <row r="1986" ht="13.2" x14ac:dyDescent="0.25"/>
    <row r="1987" ht="13.2" x14ac:dyDescent="0.25"/>
    <row r="1988" ht="13.2" x14ac:dyDescent="0.25"/>
    <row r="1989" ht="13.2" x14ac:dyDescent="0.25"/>
    <row r="1990" ht="13.2" x14ac:dyDescent="0.25"/>
    <row r="1991" ht="13.2" x14ac:dyDescent="0.25"/>
    <row r="1992" ht="13.2" x14ac:dyDescent="0.25"/>
    <row r="1993" ht="13.2" x14ac:dyDescent="0.25"/>
    <row r="1994" ht="13.2" x14ac:dyDescent="0.25"/>
    <row r="1995" ht="13.2" x14ac:dyDescent="0.25"/>
    <row r="1996" ht="13.2" x14ac:dyDescent="0.25"/>
    <row r="1997" ht="13.2" x14ac:dyDescent="0.25"/>
    <row r="1998" ht="13.2" x14ac:dyDescent="0.25"/>
    <row r="1999" ht="13.2" x14ac:dyDescent="0.25"/>
    <row r="2000" ht="13.2" x14ac:dyDescent="0.25"/>
    <row r="2001" ht="13.2" x14ac:dyDescent="0.25"/>
    <row r="2002" ht="13.2" x14ac:dyDescent="0.25"/>
    <row r="2003" ht="13.2" x14ac:dyDescent="0.25"/>
    <row r="2004" ht="13.2" x14ac:dyDescent="0.25"/>
    <row r="2005" ht="13.2" x14ac:dyDescent="0.25"/>
    <row r="2006" ht="13.2" x14ac:dyDescent="0.25"/>
    <row r="2007" ht="13.2" x14ac:dyDescent="0.25"/>
    <row r="2008" ht="13.2" x14ac:dyDescent="0.25"/>
    <row r="2009" ht="13.2" x14ac:dyDescent="0.25"/>
    <row r="2010" ht="13.2" x14ac:dyDescent="0.25"/>
    <row r="2011" ht="13.2" x14ac:dyDescent="0.25"/>
    <row r="2012" ht="13.2" x14ac:dyDescent="0.25"/>
    <row r="2013" ht="13.2" x14ac:dyDescent="0.25"/>
    <row r="2014" ht="13.2" x14ac:dyDescent="0.25"/>
    <row r="2015" ht="13.2" x14ac:dyDescent="0.25"/>
    <row r="2016" ht="13.2" x14ac:dyDescent="0.25"/>
    <row r="2017" ht="13.2" x14ac:dyDescent="0.25"/>
    <row r="2018" ht="13.2" x14ac:dyDescent="0.25"/>
    <row r="2019" ht="13.2" x14ac:dyDescent="0.25"/>
    <row r="2020" ht="13.2" x14ac:dyDescent="0.25"/>
    <row r="2021" ht="13.2" x14ac:dyDescent="0.25"/>
    <row r="2022" ht="13.2" x14ac:dyDescent="0.25"/>
    <row r="2023" ht="13.2" x14ac:dyDescent="0.25"/>
    <row r="2024" ht="13.2" x14ac:dyDescent="0.25"/>
    <row r="2025" ht="13.2" x14ac:dyDescent="0.25"/>
    <row r="2026" ht="13.2" x14ac:dyDescent="0.25"/>
    <row r="2027" ht="13.2" x14ac:dyDescent="0.25"/>
    <row r="2028" ht="13.2" x14ac:dyDescent="0.25"/>
    <row r="2029" ht="13.2" x14ac:dyDescent="0.25"/>
    <row r="2030" ht="13.2" x14ac:dyDescent="0.25"/>
    <row r="2031" ht="13.2" x14ac:dyDescent="0.25"/>
    <row r="2032" ht="13.2" x14ac:dyDescent="0.25"/>
    <row r="2033" ht="13.2" x14ac:dyDescent="0.25"/>
    <row r="2034" ht="13.2" x14ac:dyDescent="0.25"/>
    <row r="2035" ht="13.2" x14ac:dyDescent="0.25"/>
    <row r="2036" ht="13.2" x14ac:dyDescent="0.25"/>
    <row r="2037" ht="13.2" x14ac:dyDescent="0.25"/>
    <row r="2038" ht="13.2" x14ac:dyDescent="0.25"/>
    <row r="2039" ht="13.2" x14ac:dyDescent="0.25"/>
    <row r="2040" ht="13.2" x14ac:dyDescent="0.25"/>
    <row r="2041" ht="13.2" x14ac:dyDescent="0.25"/>
    <row r="2042" ht="13.2" x14ac:dyDescent="0.25"/>
    <row r="2043" ht="13.2" x14ac:dyDescent="0.25"/>
    <row r="2044" ht="13.2" x14ac:dyDescent="0.25"/>
    <row r="2045" ht="13.2" x14ac:dyDescent="0.25"/>
    <row r="2046" ht="13.2" x14ac:dyDescent="0.25"/>
    <row r="2047" ht="13.2" x14ac:dyDescent="0.25"/>
    <row r="2048" ht="13.2" x14ac:dyDescent="0.25"/>
    <row r="2049" ht="13.2" x14ac:dyDescent="0.25"/>
    <row r="2050" ht="13.2" x14ac:dyDescent="0.25"/>
    <row r="2051" ht="13.2" x14ac:dyDescent="0.25"/>
    <row r="2052" ht="13.2" x14ac:dyDescent="0.25"/>
    <row r="2053" ht="13.2" x14ac:dyDescent="0.25"/>
    <row r="2054" ht="13.2" x14ac:dyDescent="0.25"/>
    <row r="2055" ht="13.2" x14ac:dyDescent="0.25"/>
    <row r="2056" ht="13.2" x14ac:dyDescent="0.25"/>
    <row r="2057" ht="13.2" x14ac:dyDescent="0.25"/>
    <row r="2058" ht="13.2" x14ac:dyDescent="0.25"/>
    <row r="2059" ht="13.2" x14ac:dyDescent="0.25"/>
    <row r="2060" ht="13.2" x14ac:dyDescent="0.25"/>
    <row r="2061" ht="13.2" x14ac:dyDescent="0.25"/>
    <row r="2062" ht="13.2" x14ac:dyDescent="0.25"/>
    <row r="2063" ht="13.2" x14ac:dyDescent="0.25"/>
    <row r="2064" ht="13.2" x14ac:dyDescent="0.25"/>
    <row r="2065" ht="13.2" x14ac:dyDescent="0.25"/>
    <row r="2066" ht="13.2" x14ac:dyDescent="0.25"/>
    <row r="2067" ht="13.2" x14ac:dyDescent="0.25"/>
    <row r="2068" ht="13.2" x14ac:dyDescent="0.25"/>
    <row r="2069" ht="13.2" x14ac:dyDescent="0.25"/>
    <row r="2070" ht="13.2" x14ac:dyDescent="0.25"/>
    <row r="2071" ht="13.2" x14ac:dyDescent="0.25"/>
    <row r="2072" ht="13.2" x14ac:dyDescent="0.25"/>
    <row r="2073" ht="13.2" x14ac:dyDescent="0.25"/>
    <row r="2074" ht="13.2" x14ac:dyDescent="0.25"/>
    <row r="2075" ht="13.2" x14ac:dyDescent="0.25"/>
    <row r="2076" ht="13.2" x14ac:dyDescent="0.25"/>
    <row r="2077" ht="13.2" x14ac:dyDescent="0.25"/>
    <row r="2078" ht="13.2" x14ac:dyDescent="0.25"/>
    <row r="2079" ht="13.2" x14ac:dyDescent="0.25"/>
    <row r="2080" ht="13.2" x14ac:dyDescent="0.25"/>
    <row r="2081" ht="13.2" x14ac:dyDescent="0.25"/>
    <row r="2082" ht="13.2" x14ac:dyDescent="0.25"/>
    <row r="2083" ht="13.2" x14ac:dyDescent="0.25"/>
    <row r="2084" ht="13.2" x14ac:dyDescent="0.25"/>
    <row r="2085" ht="13.2" x14ac:dyDescent="0.25"/>
    <row r="2086" ht="13.2" x14ac:dyDescent="0.25"/>
    <row r="2087" ht="13.2" x14ac:dyDescent="0.25"/>
    <row r="2088" ht="13.2" x14ac:dyDescent="0.25"/>
    <row r="2089" ht="13.2" x14ac:dyDescent="0.25"/>
    <row r="2090" ht="13.2" x14ac:dyDescent="0.25"/>
    <row r="2091" ht="13.2" x14ac:dyDescent="0.25"/>
    <row r="2092" ht="13.2" x14ac:dyDescent="0.25"/>
    <row r="2093" ht="13.2" x14ac:dyDescent="0.25"/>
    <row r="2094" ht="13.2" x14ac:dyDescent="0.25"/>
    <row r="2095" ht="13.2" x14ac:dyDescent="0.25"/>
    <row r="2096" ht="13.2" x14ac:dyDescent="0.25"/>
    <row r="2097" ht="13.2" x14ac:dyDescent="0.25"/>
    <row r="2098" ht="13.2" x14ac:dyDescent="0.25"/>
    <row r="2099" ht="13.2" x14ac:dyDescent="0.25"/>
    <row r="2100" ht="13.2" x14ac:dyDescent="0.25"/>
    <row r="2101" ht="13.2" x14ac:dyDescent="0.25"/>
    <row r="2102" ht="13.2" x14ac:dyDescent="0.25"/>
    <row r="2103" ht="13.2" x14ac:dyDescent="0.25"/>
    <row r="2104" ht="13.2" x14ac:dyDescent="0.25"/>
    <row r="2105" ht="13.2" x14ac:dyDescent="0.25"/>
    <row r="2106" ht="13.2" x14ac:dyDescent="0.25"/>
    <row r="2107" ht="13.2" x14ac:dyDescent="0.25"/>
    <row r="2108" ht="13.2" x14ac:dyDescent="0.25"/>
    <row r="2109" ht="13.2" x14ac:dyDescent="0.25"/>
    <row r="2110" ht="13.2" x14ac:dyDescent="0.25"/>
    <row r="2111" ht="13.2" x14ac:dyDescent="0.25"/>
    <row r="2112" ht="13.2" x14ac:dyDescent="0.25"/>
    <row r="2113" ht="13.2" x14ac:dyDescent="0.25"/>
    <row r="2114" ht="13.2" x14ac:dyDescent="0.25"/>
    <row r="2115" ht="13.2" x14ac:dyDescent="0.25"/>
    <row r="2116" ht="13.2" x14ac:dyDescent="0.25"/>
    <row r="2117" ht="13.2" x14ac:dyDescent="0.25"/>
    <row r="2118" ht="13.2" x14ac:dyDescent="0.25"/>
    <row r="2119" ht="13.2" x14ac:dyDescent="0.25"/>
    <row r="2120" ht="13.2" x14ac:dyDescent="0.25"/>
    <row r="2121" ht="13.2" x14ac:dyDescent="0.25"/>
    <row r="2122" ht="13.2" x14ac:dyDescent="0.25"/>
    <row r="2123" ht="13.2" x14ac:dyDescent="0.25"/>
    <row r="2124" ht="13.2" x14ac:dyDescent="0.25"/>
    <row r="2125" ht="13.2" x14ac:dyDescent="0.25"/>
    <row r="2126" ht="13.2" x14ac:dyDescent="0.25"/>
    <row r="2127" ht="13.2" x14ac:dyDescent="0.25"/>
    <row r="2128" ht="13.2" x14ac:dyDescent="0.25"/>
    <row r="2129" ht="13.2" x14ac:dyDescent="0.25"/>
    <row r="2130" ht="13.2" x14ac:dyDescent="0.25"/>
    <row r="2131" ht="13.2" x14ac:dyDescent="0.25"/>
    <row r="2132" ht="13.2" x14ac:dyDescent="0.25"/>
    <row r="2133" ht="13.2" x14ac:dyDescent="0.25"/>
    <row r="2134" ht="13.2" x14ac:dyDescent="0.25"/>
    <row r="2135" ht="13.2" x14ac:dyDescent="0.25"/>
    <row r="2136" ht="13.2" x14ac:dyDescent="0.25"/>
    <row r="2137" ht="13.2" x14ac:dyDescent="0.25"/>
    <row r="2138" ht="13.2" x14ac:dyDescent="0.25"/>
    <row r="2139" ht="13.2" x14ac:dyDescent="0.25"/>
    <row r="2140" ht="13.2" x14ac:dyDescent="0.25"/>
    <row r="2141" ht="13.2" x14ac:dyDescent="0.25"/>
    <row r="2142" ht="13.2" x14ac:dyDescent="0.25"/>
    <row r="2143" ht="13.2" x14ac:dyDescent="0.25"/>
    <row r="2144" ht="13.2" x14ac:dyDescent="0.25"/>
    <row r="2145" ht="13.2" x14ac:dyDescent="0.25"/>
    <row r="2146" ht="13.2" x14ac:dyDescent="0.25"/>
    <row r="2147" ht="13.2" x14ac:dyDescent="0.25"/>
    <row r="2148" ht="13.2" x14ac:dyDescent="0.25"/>
    <row r="2149" ht="13.2" x14ac:dyDescent="0.25"/>
    <row r="2150" ht="13.2" x14ac:dyDescent="0.25"/>
    <row r="2151" ht="13.2" x14ac:dyDescent="0.25"/>
    <row r="2152" ht="13.2" x14ac:dyDescent="0.25"/>
    <row r="2153" ht="13.2" x14ac:dyDescent="0.25"/>
    <row r="2154" ht="13.2" x14ac:dyDescent="0.25"/>
    <row r="2155" ht="13.2" x14ac:dyDescent="0.25"/>
    <row r="2156" ht="13.2" x14ac:dyDescent="0.25"/>
    <row r="2157" ht="13.2" x14ac:dyDescent="0.25"/>
    <row r="2158" ht="13.2" x14ac:dyDescent="0.25"/>
    <row r="2159" ht="13.2" x14ac:dyDescent="0.25"/>
    <row r="2160" ht="13.2" x14ac:dyDescent="0.25"/>
    <row r="2161" ht="13.2" x14ac:dyDescent="0.25"/>
    <row r="2162" ht="13.2" x14ac:dyDescent="0.25"/>
    <row r="2163" ht="13.2" x14ac:dyDescent="0.25"/>
    <row r="2164" ht="13.2" x14ac:dyDescent="0.25"/>
    <row r="2165" ht="13.2" x14ac:dyDescent="0.25"/>
    <row r="2166" ht="13.2" x14ac:dyDescent="0.25"/>
    <row r="2167" ht="13.2" x14ac:dyDescent="0.25"/>
    <row r="2168" ht="13.2" x14ac:dyDescent="0.25"/>
    <row r="2169" ht="13.2" x14ac:dyDescent="0.25"/>
    <row r="2170" ht="13.2" x14ac:dyDescent="0.25"/>
    <row r="2171" ht="13.2" x14ac:dyDescent="0.25"/>
    <row r="2172" ht="13.2" x14ac:dyDescent="0.25"/>
    <row r="2173" ht="13.2" x14ac:dyDescent="0.25"/>
    <row r="2174" ht="13.2" x14ac:dyDescent="0.25"/>
    <row r="2175" ht="13.2" x14ac:dyDescent="0.25"/>
    <row r="2176" ht="13.2" x14ac:dyDescent="0.25"/>
    <row r="2177" ht="13.2" x14ac:dyDescent="0.25"/>
    <row r="2178" ht="13.2" x14ac:dyDescent="0.25"/>
    <row r="2179" ht="13.2" x14ac:dyDescent="0.25"/>
    <row r="2180" ht="13.2" x14ac:dyDescent="0.25"/>
    <row r="2181" ht="13.2" x14ac:dyDescent="0.25"/>
    <row r="2182" ht="13.2" x14ac:dyDescent="0.25"/>
    <row r="2183" ht="13.2" x14ac:dyDescent="0.25"/>
    <row r="2184" ht="13.2" x14ac:dyDescent="0.25"/>
    <row r="2185" ht="13.2" x14ac:dyDescent="0.25"/>
    <row r="2186" ht="13.2" x14ac:dyDescent="0.25"/>
    <row r="2187" ht="13.2" x14ac:dyDescent="0.25"/>
    <row r="2188" ht="13.2" x14ac:dyDescent="0.25"/>
    <row r="2189" ht="13.2" x14ac:dyDescent="0.25"/>
    <row r="2190" ht="13.2" x14ac:dyDescent="0.25"/>
    <row r="2191" ht="13.2" x14ac:dyDescent="0.25"/>
    <row r="2192" ht="13.2" x14ac:dyDescent="0.25"/>
    <row r="2193" ht="13.2" x14ac:dyDescent="0.25"/>
    <row r="2194" ht="13.2" x14ac:dyDescent="0.25"/>
    <row r="2195" ht="13.2" x14ac:dyDescent="0.25"/>
    <row r="2196" ht="13.2" x14ac:dyDescent="0.25"/>
    <row r="2197" ht="13.2" x14ac:dyDescent="0.25"/>
    <row r="2198" ht="13.2" x14ac:dyDescent="0.25"/>
    <row r="2199" ht="13.2" x14ac:dyDescent="0.25"/>
    <row r="2200" ht="13.2" x14ac:dyDescent="0.25"/>
    <row r="2201" ht="13.2" x14ac:dyDescent="0.25"/>
    <row r="2202" ht="13.2" x14ac:dyDescent="0.25"/>
    <row r="2203" ht="13.2" x14ac:dyDescent="0.25"/>
    <row r="2204" ht="13.2" x14ac:dyDescent="0.25"/>
    <row r="2205" ht="13.2" x14ac:dyDescent="0.25"/>
    <row r="2206" ht="13.2" x14ac:dyDescent="0.25"/>
    <row r="2207" ht="13.2" x14ac:dyDescent="0.25"/>
    <row r="2208" ht="13.2" x14ac:dyDescent="0.25"/>
    <row r="2209" ht="13.2" x14ac:dyDescent="0.25"/>
    <row r="2210" ht="13.2" x14ac:dyDescent="0.25"/>
    <row r="2211" ht="13.2" x14ac:dyDescent="0.25"/>
    <row r="2212" ht="13.2" x14ac:dyDescent="0.25"/>
    <row r="2213" ht="13.2" x14ac:dyDescent="0.25"/>
    <row r="2214" ht="13.2" x14ac:dyDescent="0.25"/>
    <row r="2215" ht="13.2" x14ac:dyDescent="0.25"/>
    <row r="2216" ht="13.2" x14ac:dyDescent="0.25"/>
    <row r="2217" ht="13.2" x14ac:dyDescent="0.25"/>
    <row r="2218" ht="13.2" x14ac:dyDescent="0.25"/>
    <row r="2219" ht="13.2" x14ac:dyDescent="0.25"/>
    <row r="2220" ht="13.2" x14ac:dyDescent="0.25"/>
    <row r="2221" ht="13.2" x14ac:dyDescent="0.25"/>
    <row r="2222" ht="13.2" x14ac:dyDescent="0.25"/>
    <row r="2223" ht="13.2" x14ac:dyDescent="0.25"/>
    <row r="2224" ht="13.2" x14ac:dyDescent="0.25"/>
    <row r="2225" ht="13.2" x14ac:dyDescent="0.25"/>
    <row r="2226" ht="13.2" x14ac:dyDescent="0.25"/>
    <row r="2227" ht="13.2" x14ac:dyDescent="0.25"/>
    <row r="2228" ht="13.2" x14ac:dyDescent="0.25"/>
    <row r="2229" ht="13.2" x14ac:dyDescent="0.25"/>
    <row r="2230" ht="13.2" x14ac:dyDescent="0.25"/>
    <row r="2231" ht="13.2" x14ac:dyDescent="0.25"/>
    <row r="2232" ht="13.2" x14ac:dyDescent="0.25"/>
    <row r="2233" ht="13.2" x14ac:dyDescent="0.25"/>
    <row r="2234" ht="13.2" x14ac:dyDescent="0.25"/>
    <row r="2235" ht="13.2" x14ac:dyDescent="0.25"/>
    <row r="2236" ht="13.2" x14ac:dyDescent="0.25"/>
    <row r="2237" ht="13.2" x14ac:dyDescent="0.25"/>
    <row r="2238" ht="13.2" x14ac:dyDescent="0.25"/>
    <row r="2239" ht="13.2" x14ac:dyDescent="0.25"/>
    <row r="2240" ht="13.2" x14ac:dyDescent="0.25"/>
    <row r="2241" ht="13.2" x14ac:dyDescent="0.25"/>
    <row r="2242" ht="13.2" x14ac:dyDescent="0.25"/>
    <row r="2243" ht="13.2" x14ac:dyDescent="0.25"/>
    <row r="2244" ht="13.2" x14ac:dyDescent="0.25"/>
    <row r="2245" ht="13.2" x14ac:dyDescent="0.25"/>
    <row r="2246" ht="13.2" x14ac:dyDescent="0.25"/>
    <row r="2247" ht="13.2" x14ac:dyDescent="0.25"/>
    <row r="2248" ht="13.2" x14ac:dyDescent="0.25"/>
    <row r="2249" ht="13.2" x14ac:dyDescent="0.25"/>
    <row r="2250" ht="13.2" x14ac:dyDescent="0.25"/>
    <row r="2251" ht="13.2" x14ac:dyDescent="0.25"/>
    <row r="2252" ht="13.2" x14ac:dyDescent="0.25"/>
    <row r="2253" ht="13.2" x14ac:dyDescent="0.25"/>
    <row r="2254" ht="13.2" x14ac:dyDescent="0.25"/>
    <row r="2255" ht="13.2" x14ac:dyDescent="0.25"/>
    <row r="2256" ht="13.2" x14ac:dyDescent="0.25"/>
    <row r="2257" ht="13.2" x14ac:dyDescent="0.25"/>
    <row r="2258" ht="13.2" x14ac:dyDescent="0.25"/>
    <row r="2259" ht="13.2" x14ac:dyDescent="0.25"/>
    <row r="2260" ht="13.2" x14ac:dyDescent="0.25"/>
    <row r="2261" ht="13.2" x14ac:dyDescent="0.25"/>
    <row r="2262" ht="13.2" x14ac:dyDescent="0.25"/>
    <row r="2263" ht="13.2" x14ac:dyDescent="0.25"/>
    <row r="2264" ht="13.2" x14ac:dyDescent="0.25"/>
    <row r="2265" ht="13.2" x14ac:dyDescent="0.25"/>
    <row r="2266" ht="13.2" x14ac:dyDescent="0.25"/>
    <row r="2267" ht="13.2" x14ac:dyDescent="0.25"/>
    <row r="2268" ht="13.2" x14ac:dyDescent="0.25"/>
    <row r="2269" ht="13.2" x14ac:dyDescent="0.25"/>
    <row r="2270" ht="13.2" x14ac:dyDescent="0.25"/>
    <row r="2271" ht="13.2" x14ac:dyDescent="0.25"/>
    <row r="2272" ht="13.2" x14ac:dyDescent="0.25"/>
    <row r="2273" ht="13.2" x14ac:dyDescent="0.25"/>
    <row r="2274" ht="13.2" x14ac:dyDescent="0.25"/>
    <row r="2275" ht="13.2" x14ac:dyDescent="0.25"/>
    <row r="2276" ht="13.2" x14ac:dyDescent="0.25"/>
    <row r="2277" ht="13.2" x14ac:dyDescent="0.25"/>
    <row r="2278" ht="13.2" x14ac:dyDescent="0.25"/>
    <row r="2279" ht="13.2" x14ac:dyDescent="0.25"/>
    <row r="2280" ht="13.2" x14ac:dyDescent="0.25"/>
    <row r="2281" ht="13.2" x14ac:dyDescent="0.25"/>
    <row r="2282" ht="13.2" x14ac:dyDescent="0.25"/>
    <row r="2283" ht="13.2" x14ac:dyDescent="0.25"/>
    <row r="2284" ht="13.2" x14ac:dyDescent="0.25"/>
    <row r="2285" ht="13.2" x14ac:dyDescent="0.25"/>
    <row r="2286" ht="13.2" x14ac:dyDescent="0.25"/>
    <row r="2287" ht="13.2" x14ac:dyDescent="0.25"/>
    <row r="2288" ht="13.2" x14ac:dyDescent="0.25"/>
    <row r="2289" ht="13.2" x14ac:dyDescent="0.25"/>
    <row r="2290" ht="13.2" x14ac:dyDescent="0.25"/>
    <row r="2291" ht="13.2" x14ac:dyDescent="0.25"/>
    <row r="2292" ht="13.2" x14ac:dyDescent="0.25"/>
    <row r="2293" ht="13.2" x14ac:dyDescent="0.25"/>
    <row r="2294" ht="13.2" x14ac:dyDescent="0.25"/>
    <row r="2295" ht="13.2" x14ac:dyDescent="0.25"/>
    <row r="2296" ht="13.2" x14ac:dyDescent="0.25"/>
    <row r="2297" ht="13.2" x14ac:dyDescent="0.25"/>
    <row r="2298" ht="13.2" x14ac:dyDescent="0.25"/>
    <row r="2299" ht="13.2" x14ac:dyDescent="0.25"/>
    <row r="2300" ht="13.2" x14ac:dyDescent="0.25"/>
    <row r="2301" ht="13.2" x14ac:dyDescent="0.25"/>
    <row r="2302" ht="13.2" x14ac:dyDescent="0.25"/>
    <row r="2303" ht="13.2" x14ac:dyDescent="0.25"/>
    <row r="2304" ht="13.2" x14ac:dyDescent="0.25"/>
    <row r="2305" ht="13.2" x14ac:dyDescent="0.25"/>
    <row r="2306" ht="13.2" x14ac:dyDescent="0.25"/>
    <row r="2307" ht="13.2" x14ac:dyDescent="0.25"/>
    <row r="2308" ht="13.2" x14ac:dyDescent="0.25"/>
    <row r="2309" ht="13.2" x14ac:dyDescent="0.25"/>
    <row r="2310" ht="13.2" x14ac:dyDescent="0.25"/>
    <row r="2311" ht="13.2" x14ac:dyDescent="0.25"/>
    <row r="2312" ht="13.2" x14ac:dyDescent="0.25"/>
    <row r="2313" ht="13.2" x14ac:dyDescent="0.25"/>
    <row r="2314" ht="13.2" x14ac:dyDescent="0.25"/>
    <row r="2315" ht="13.2" x14ac:dyDescent="0.25"/>
    <row r="2316" ht="13.2" x14ac:dyDescent="0.25"/>
    <row r="2317" ht="13.2" x14ac:dyDescent="0.25"/>
    <row r="2318" ht="13.2" x14ac:dyDescent="0.25"/>
    <row r="2319" ht="13.2" x14ac:dyDescent="0.25"/>
    <row r="2320" ht="13.2" x14ac:dyDescent="0.25"/>
    <row r="2321" ht="13.2" x14ac:dyDescent="0.25"/>
    <row r="2322" ht="13.2" x14ac:dyDescent="0.25"/>
    <row r="2323" ht="13.2" x14ac:dyDescent="0.25"/>
    <row r="2324" ht="13.2" x14ac:dyDescent="0.25"/>
    <row r="2325" ht="13.2" x14ac:dyDescent="0.25"/>
    <row r="2326" ht="13.2" x14ac:dyDescent="0.25"/>
    <row r="2327" ht="13.2" x14ac:dyDescent="0.25"/>
    <row r="2328" ht="13.2" x14ac:dyDescent="0.25"/>
    <row r="2329" ht="13.2" x14ac:dyDescent="0.25"/>
    <row r="2330" ht="13.2" x14ac:dyDescent="0.25"/>
    <row r="2331" ht="13.2" x14ac:dyDescent="0.25"/>
    <row r="2332" ht="13.2" x14ac:dyDescent="0.25"/>
    <row r="2333" ht="13.2" x14ac:dyDescent="0.25"/>
    <row r="2334" ht="13.2" x14ac:dyDescent="0.25"/>
    <row r="2335" ht="13.2" x14ac:dyDescent="0.25"/>
    <row r="2336" ht="13.2" x14ac:dyDescent="0.25"/>
    <row r="2337" ht="13.2" x14ac:dyDescent="0.25"/>
    <row r="2338" ht="13.2" x14ac:dyDescent="0.25"/>
    <row r="2339" ht="13.2" x14ac:dyDescent="0.25"/>
    <row r="2340" ht="13.2" x14ac:dyDescent="0.25"/>
    <row r="2341" ht="13.2" x14ac:dyDescent="0.25"/>
    <row r="2342" ht="13.2" x14ac:dyDescent="0.25"/>
    <row r="2343" ht="13.2" x14ac:dyDescent="0.25"/>
    <row r="2344" ht="13.2" x14ac:dyDescent="0.25"/>
    <row r="2345" ht="13.2" x14ac:dyDescent="0.25"/>
    <row r="2346" ht="13.2" x14ac:dyDescent="0.25"/>
    <row r="2347" ht="13.2" x14ac:dyDescent="0.25"/>
    <row r="2348" ht="13.2" x14ac:dyDescent="0.25"/>
    <row r="2349" ht="13.2" x14ac:dyDescent="0.25"/>
    <row r="2350" ht="13.2" x14ac:dyDescent="0.25"/>
    <row r="2351" ht="13.2" x14ac:dyDescent="0.25"/>
    <row r="2352" ht="13.2" x14ac:dyDescent="0.25"/>
    <row r="2353" ht="13.2" x14ac:dyDescent="0.25"/>
    <row r="2354" ht="13.2" x14ac:dyDescent="0.25"/>
    <row r="2355" ht="13.2" x14ac:dyDescent="0.25"/>
    <row r="2356" ht="13.2" x14ac:dyDescent="0.25"/>
    <row r="2357" ht="13.2" x14ac:dyDescent="0.25"/>
    <row r="2358" ht="13.2" x14ac:dyDescent="0.25"/>
    <row r="2359" ht="13.2" x14ac:dyDescent="0.25"/>
    <row r="2360" ht="13.2" x14ac:dyDescent="0.25"/>
    <row r="2361" ht="13.2" x14ac:dyDescent="0.25"/>
    <row r="2362" ht="13.2" x14ac:dyDescent="0.25"/>
    <row r="2363" ht="13.2" x14ac:dyDescent="0.25"/>
    <row r="2364" ht="13.2" x14ac:dyDescent="0.25"/>
    <row r="2365" ht="13.2" x14ac:dyDescent="0.25"/>
    <row r="2366" ht="13.2" x14ac:dyDescent="0.25"/>
    <row r="2367" ht="13.2" x14ac:dyDescent="0.25"/>
    <row r="2368" ht="13.2" x14ac:dyDescent="0.25"/>
    <row r="2369" ht="13.2" x14ac:dyDescent="0.25"/>
    <row r="2370" ht="13.2" x14ac:dyDescent="0.25"/>
    <row r="2371" ht="13.2" x14ac:dyDescent="0.25"/>
    <row r="2372" ht="13.2" x14ac:dyDescent="0.25"/>
    <row r="2373" ht="13.2" x14ac:dyDescent="0.25"/>
    <row r="2374" ht="13.2" x14ac:dyDescent="0.25"/>
    <row r="2375" ht="13.2" x14ac:dyDescent="0.25"/>
    <row r="2376" ht="13.2" x14ac:dyDescent="0.25"/>
    <row r="2377" ht="13.2" x14ac:dyDescent="0.25"/>
    <row r="2378" ht="13.2" x14ac:dyDescent="0.25"/>
    <row r="2379" ht="13.2" x14ac:dyDescent="0.25"/>
    <row r="2380" ht="13.2" x14ac:dyDescent="0.25"/>
    <row r="2381" ht="13.2" x14ac:dyDescent="0.25"/>
    <row r="2382" ht="13.2" x14ac:dyDescent="0.25"/>
    <row r="2383" ht="13.2" x14ac:dyDescent="0.25"/>
    <row r="2384" ht="13.2" x14ac:dyDescent="0.25"/>
    <row r="2385" ht="13.2" x14ac:dyDescent="0.25"/>
    <row r="2386" ht="13.2" x14ac:dyDescent="0.25"/>
    <row r="2387" ht="13.2" x14ac:dyDescent="0.25"/>
    <row r="2388" ht="13.2" x14ac:dyDescent="0.25"/>
    <row r="2389" ht="13.2" x14ac:dyDescent="0.25"/>
    <row r="2390" ht="13.2" x14ac:dyDescent="0.25"/>
    <row r="2391" ht="13.2" x14ac:dyDescent="0.25"/>
    <row r="2392" ht="13.2" x14ac:dyDescent="0.25"/>
    <row r="2393" ht="13.2" x14ac:dyDescent="0.25"/>
    <row r="2394" ht="13.2" x14ac:dyDescent="0.25"/>
    <row r="2395" ht="13.2" x14ac:dyDescent="0.25"/>
    <row r="2396" ht="13.2" x14ac:dyDescent="0.25"/>
    <row r="2397" ht="13.2" x14ac:dyDescent="0.25"/>
    <row r="2398" ht="13.2" x14ac:dyDescent="0.25"/>
    <row r="2399" ht="13.2" x14ac:dyDescent="0.25"/>
    <row r="2400" ht="13.2" x14ac:dyDescent="0.25"/>
    <row r="2401" ht="13.2" x14ac:dyDescent="0.25"/>
    <row r="2402" ht="13.2" x14ac:dyDescent="0.25"/>
    <row r="2403" ht="13.2" x14ac:dyDescent="0.25"/>
    <row r="2404" ht="13.2" x14ac:dyDescent="0.25"/>
    <row r="2405" ht="13.2" x14ac:dyDescent="0.25"/>
    <row r="2406" ht="13.2" x14ac:dyDescent="0.25"/>
    <row r="2407" ht="13.2" x14ac:dyDescent="0.25"/>
    <row r="2408" ht="13.2" x14ac:dyDescent="0.25"/>
    <row r="2409" ht="13.2" x14ac:dyDescent="0.25"/>
    <row r="2410" ht="13.2" x14ac:dyDescent="0.25"/>
    <row r="2411" ht="13.2" x14ac:dyDescent="0.25"/>
    <row r="2412" ht="13.2" x14ac:dyDescent="0.25"/>
    <row r="2413" ht="13.2" x14ac:dyDescent="0.25"/>
    <row r="2414" ht="13.2" x14ac:dyDescent="0.25"/>
    <row r="2415" ht="13.2" x14ac:dyDescent="0.25"/>
    <row r="2416" ht="13.2" x14ac:dyDescent="0.25"/>
    <row r="2417" ht="13.2" x14ac:dyDescent="0.25"/>
    <row r="2418" ht="13.2" x14ac:dyDescent="0.25"/>
    <row r="2419" ht="13.2" x14ac:dyDescent="0.25"/>
    <row r="2420" ht="13.2" x14ac:dyDescent="0.25"/>
    <row r="2421" ht="13.2" x14ac:dyDescent="0.25"/>
    <row r="2422" ht="13.2" x14ac:dyDescent="0.25"/>
    <row r="2423" ht="13.2" x14ac:dyDescent="0.25"/>
    <row r="2424" ht="13.2" x14ac:dyDescent="0.25"/>
    <row r="2425" ht="13.2" x14ac:dyDescent="0.25"/>
    <row r="2426" ht="13.2" x14ac:dyDescent="0.25"/>
    <row r="2427" ht="13.2" x14ac:dyDescent="0.25"/>
    <row r="2428" ht="13.2" x14ac:dyDescent="0.25"/>
    <row r="2429" ht="13.2" x14ac:dyDescent="0.25"/>
    <row r="2430" ht="13.2" x14ac:dyDescent="0.25"/>
    <row r="2431" ht="13.2" x14ac:dyDescent="0.25"/>
    <row r="2432" ht="13.2" x14ac:dyDescent="0.25"/>
    <row r="2433" ht="13.2" x14ac:dyDescent="0.25"/>
    <row r="2434" ht="13.2" x14ac:dyDescent="0.25"/>
    <row r="2435" ht="13.2" x14ac:dyDescent="0.25"/>
    <row r="2436" ht="13.2" x14ac:dyDescent="0.25"/>
    <row r="2437" ht="13.2" x14ac:dyDescent="0.25"/>
    <row r="2438" ht="13.2" x14ac:dyDescent="0.25"/>
    <row r="2439" ht="13.2" x14ac:dyDescent="0.25"/>
    <row r="2440" ht="13.2" x14ac:dyDescent="0.25"/>
    <row r="2441" ht="13.2" x14ac:dyDescent="0.25"/>
    <row r="2442" ht="13.2" x14ac:dyDescent="0.25"/>
    <row r="2443" ht="13.2" x14ac:dyDescent="0.25"/>
    <row r="2444" ht="13.2" x14ac:dyDescent="0.25"/>
    <row r="2445" ht="13.2" x14ac:dyDescent="0.25"/>
    <row r="2446" ht="13.2" x14ac:dyDescent="0.25"/>
    <row r="2447" ht="13.2" x14ac:dyDescent="0.25"/>
    <row r="2448" ht="13.2" x14ac:dyDescent="0.25"/>
    <row r="2449" ht="13.2" x14ac:dyDescent="0.25"/>
    <row r="2450" ht="13.2" x14ac:dyDescent="0.25"/>
    <row r="2451" ht="13.2" x14ac:dyDescent="0.25"/>
    <row r="2452" ht="13.2" x14ac:dyDescent="0.25"/>
    <row r="2453" ht="13.2" x14ac:dyDescent="0.25"/>
    <row r="2454" ht="13.2" x14ac:dyDescent="0.25"/>
    <row r="2455" ht="13.2" x14ac:dyDescent="0.25"/>
    <row r="2456" ht="13.2" x14ac:dyDescent="0.25"/>
    <row r="2457" ht="13.2" x14ac:dyDescent="0.25"/>
    <row r="2458" ht="13.2" x14ac:dyDescent="0.25"/>
    <row r="2459" ht="13.2" x14ac:dyDescent="0.25"/>
    <row r="2460" ht="13.2" x14ac:dyDescent="0.25"/>
    <row r="2461" ht="13.2" x14ac:dyDescent="0.25"/>
    <row r="2462" ht="13.2" x14ac:dyDescent="0.25"/>
    <row r="2463" ht="13.2" x14ac:dyDescent="0.25"/>
    <row r="2464" ht="13.2" x14ac:dyDescent="0.25"/>
    <row r="2465" ht="13.2" x14ac:dyDescent="0.25"/>
    <row r="2466" ht="13.2" x14ac:dyDescent="0.25"/>
    <row r="2467" ht="13.2" x14ac:dyDescent="0.25"/>
    <row r="2468" ht="13.2" x14ac:dyDescent="0.25"/>
    <row r="2469" ht="13.2" x14ac:dyDescent="0.25"/>
    <row r="2470" ht="13.2" x14ac:dyDescent="0.25"/>
    <row r="2471" ht="13.2" x14ac:dyDescent="0.25"/>
    <row r="2472" ht="13.2" x14ac:dyDescent="0.25"/>
    <row r="2473" ht="13.2" x14ac:dyDescent="0.25"/>
    <row r="2474" ht="13.2" x14ac:dyDescent="0.25"/>
    <row r="2475" ht="13.2" x14ac:dyDescent="0.25"/>
    <row r="2476" ht="13.2" x14ac:dyDescent="0.25"/>
    <row r="2477" ht="13.2" x14ac:dyDescent="0.25"/>
    <row r="2478" ht="13.2" x14ac:dyDescent="0.25"/>
    <row r="2479" ht="13.2" x14ac:dyDescent="0.25"/>
    <row r="2480" ht="13.2" x14ac:dyDescent="0.25"/>
    <row r="2481" ht="13.2" x14ac:dyDescent="0.25"/>
    <row r="2482" ht="13.2" x14ac:dyDescent="0.25"/>
    <row r="2483" ht="13.2" x14ac:dyDescent="0.25"/>
    <row r="2484" ht="13.2" x14ac:dyDescent="0.25"/>
    <row r="2485" ht="13.2" x14ac:dyDescent="0.25"/>
    <row r="2486" ht="13.2" x14ac:dyDescent="0.25"/>
    <row r="2487" ht="13.2" x14ac:dyDescent="0.25"/>
    <row r="2488" ht="13.2" x14ac:dyDescent="0.25"/>
    <row r="2489" ht="13.2" x14ac:dyDescent="0.25"/>
    <row r="2490" ht="13.2" x14ac:dyDescent="0.25"/>
    <row r="2491" ht="13.2" x14ac:dyDescent="0.25"/>
    <row r="2492" ht="13.2" x14ac:dyDescent="0.25"/>
    <row r="2493" ht="13.2" x14ac:dyDescent="0.25"/>
    <row r="2494" ht="13.2" x14ac:dyDescent="0.25"/>
    <row r="2495" ht="13.2" x14ac:dyDescent="0.25"/>
    <row r="2496" ht="13.2" x14ac:dyDescent="0.25"/>
    <row r="2497" ht="13.2" x14ac:dyDescent="0.25"/>
    <row r="2498" ht="13.2" x14ac:dyDescent="0.25"/>
    <row r="2499" ht="13.2" x14ac:dyDescent="0.25"/>
    <row r="2500" ht="13.2" x14ac:dyDescent="0.25"/>
    <row r="2501" ht="13.2" x14ac:dyDescent="0.25"/>
    <row r="2502" ht="13.2" x14ac:dyDescent="0.25"/>
    <row r="2503" ht="13.2" x14ac:dyDescent="0.25"/>
    <row r="2504" ht="13.2" x14ac:dyDescent="0.25"/>
    <row r="2505" ht="13.2" x14ac:dyDescent="0.25"/>
    <row r="2506" ht="13.2" x14ac:dyDescent="0.25"/>
    <row r="2507" ht="13.2" x14ac:dyDescent="0.25"/>
    <row r="2508" ht="13.2" x14ac:dyDescent="0.25"/>
    <row r="2509" ht="13.2" x14ac:dyDescent="0.25"/>
    <row r="2510" ht="13.2" x14ac:dyDescent="0.25"/>
    <row r="2511" ht="13.2" x14ac:dyDescent="0.25"/>
    <row r="2512" ht="13.2" x14ac:dyDescent="0.25"/>
    <row r="2513" ht="13.2" x14ac:dyDescent="0.25"/>
    <row r="2514" ht="13.2" x14ac:dyDescent="0.25"/>
    <row r="2515" ht="13.2" x14ac:dyDescent="0.25"/>
    <row r="2516" ht="13.2" x14ac:dyDescent="0.25"/>
    <row r="2517" ht="13.2" x14ac:dyDescent="0.25"/>
    <row r="2518" ht="13.2" x14ac:dyDescent="0.25"/>
    <row r="2519" ht="13.2" x14ac:dyDescent="0.25"/>
    <row r="2520" ht="13.2" x14ac:dyDescent="0.25"/>
    <row r="2521" ht="13.2" x14ac:dyDescent="0.25"/>
    <row r="2522" ht="13.2" x14ac:dyDescent="0.25"/>
    <row r="2523" ht="13.2" x14ac:dyDescent="0.25"/>
    <row r="2524" ht="13.2" x14ac:dyDescent="0.25"/>
    <row r="2525" ht="13.2" x14ac:dyDescent="0.25"/>
    <row r="2526" ht="13.2" x14ac:dyDescent="0.25"/>
    <row r="2527" ht="13.2" x14ac:dyDescent="0.25"/>
    <row r="2528" ht="13.2" x14ac:dyDescent="0.25"/>
    <row r="2529" ht="13.2" x14ac:dyDescent="0.25"/>
    <row r="2530" ht="13.2" x14ac:dyDescent="0.25"/>
    <row r="2531" ht="13.2" x14ac:dyDescent="0.25"/>
    <row r="2532" ht="13.2" x14ac:dyDescent="0.25"/>
    <row r="2533" ht="13.2" x14ac:dyDescent="0.25"/>
    <row r="2534" ht="13.2" x14ac:dyDescent="0.25"/>
    <row r="2535" ht="13.2" x14ac:dyDescent="0.25"/>
    <row r="2536" ht="13.2" x14ac:dyDescent="0.25"/>
    <row r="2537" ht="13.2" x14ac:dyDescent="0.25"/>
    <row r="2538" ht="13.2" x14ac:dyDescent="0.25"/>
    <row r="2539" ht="13.2" x14ac:dyDescent="0.25"/>
    <row r="2540" ht="13.2" x14ac:dyDescent="0.25"/>
    <row r="2541" ht="13.2" x14ac:dyDescent="0.25"/>
    <row r="2542" ht="13.2" x14ac:dyDescent="0.25"/>
    <row r="2543" ht="13.2" x14ac:dyDescent="0.25"/>
    <row r="2544" ht="13.2" x14ac:dyDescent="0.25"/>
    <row r="2545" ht="13.2" x14ac:dyDescent="0.25"/>
    <row r="2546" ht="13.2" x14ac:dyDescent="0.25"/>
    <row r="2547" ht="13.2" x14ac:dyDescent="0.25"/>
    <row r="2548" ht="13.2" x14ac:dyDescent="0.25"/>
    <row r="2549" ht="13.2" x14ac:dyDescent="0.25"/>
    <row r="2550" ht="13.2" x14ac:dyDescent="0.25"/>
    <row r="2551" ht="13.2" x14ac:dyDescent="0.25"/>
    <row r="2552" ht="13.2" x14ac:dyDescent="0.25"/>
    <row r="2553" ht="13.2" x14ac:dyDescent="0.25"/>
    <row r="2554" ht="13.2" x14ac:dyDescent="0.25"/>
    <row r="2555" ht="13.2" x14ac:dyDescent="0.25"/>
    <row r="2556" ht="13.2" x14ac:dyDescent="0.25"/>
    <row r="2557" ht="13.2" x14ac:dyDescent="0.25"/>
    <row r="2558" ht="13.2" x14ac:dyDescent="0.25"/>
    <row r="2559" ht="13.2" x14ac:dyDescent="0.25"/>
    <row r="2560" ht="13.2" x14ac:dyDescent="0.25"/>
    <row r="2561" ht="13.2" x14ac:dyDescent="0.25"/>
    <row r="2562" ht="13.2" x14ac:dyDescent="0.25"/>
    <row r="2563" ht="13.2" x14ac:dyDescent="0.25"/>
    <row r="2564" ht="13.2" x14ac:dyDescent="0.25"/>
    <row r="2565" ht="13.2" x14ac:dyDescent="0.25"/>
    <row r="2566" ht="13.2" x14ac:dyDescent="0.25"/>
    <row r="2567" ht="13.2" x14ac:dyDescent="0.25"/>
    <row r="2568" ht="13.2" x14ac:dyDescent="0.25"/>
    <row r="2569" ht="13.2" x14ac:dyDescent="0.25"/>
    <row r="2570" ht="13.2" x14ac:dyDescent="0.25"/>
    <row r="2571" ht="13.2" x14ac:dyDescent="0.25"/>
    <row r="2572" ht="13.2" x14ac:dyDescent="0.25"/>
    <row r="2573" ht="13.2" x14ac:dyDescent="0.25"/>
    <row r="2574" ht="13.2" x14ac:dyDescent="0.25"/>
    <row r="2575" ht="13.2" x14ac:dyDescent="0.25"/>
    <row r="2576" ht="13.2" x14ac:dyDescent="0.25"/>
    <row r="2577" ht="13.2" x14ac:dyDescent="0.25"/>
    <row r="2578" ht="13.2" x14ac:dyDescent="0.25"/>
    <row r="2579" ht="13.2" x14ac:dyDescent="0.25"/>
    <row r="2580" ht="13.2" x14ac:dyDescent="0.25"/>
    <row r="2581" ht="13.2" x14ac:dyDescent="0.25"/>
    <row r="2582" ht="13.2" x14ac:dyDescent="0.25"/>
    <row r="2583" ht="13.2" x14ac:dyDescent="0.25"/>
    <row r="2584" ht="13.2" x14ac:dyDescent="0.25"/>
    <row r="2585" ht="13.2" x14ac:dyDescent="0.25"/>
    <row r="2586" ht="13.2" x14ac:dyDescent="0.25"/>
    <row r="2587" ht="13.2" x14ac:dyDescent="0.25"/>
    <row r="2588" ht="13.2" x14ac:dyDescent="0.25"/>
    <row r="2589" ht="13.2" x14ac:dyDescent="0.25"/>
    <row r="2590" ht="13.2" x14ac:dyDescent="0.25"/>
    <row r="2591" ht="13.2" x14ac:dyDescent="0.25"/>
    <row r="2592" ht="13.2" x14ac:dyDescent="0.25"/>
    <row r="2593" ht="13.2" x14ac:dyDescent="0.25"/>
    <row r="2594" ht="13.2" x14ac:dyDescent="0.25"/>
    <row r="2595" ht="13.2" x14ac:dyDescent="0.25"/>
    <row r="2596" ht="13.2" x14ac:dyDescent="0.25"/>
    <row r="2597" ht="13.2" x14ac:dyDescent="0.25"/>
    <row r="2598" ht="13.2" x14ac:dyDescent="0.25"/>
    <row r="2599" ht="13.2" x14ac:dyDescent="0.25"/>
    <row r="2600" ht="13.2" x14ac:dyDescent="0.25"/>
    <row r="2601" ht="13.2" x14ac:dyDescent="0.25"/>
    <row r="2602" ht="13.2" x14ac:dyDescent="0.25"/>
    <row r="2603" ht="13.2" x14ac:dyDescent="0.25"/>
    <row r="2604" ht="13.2" x14ac:dyDescent="0.25"/>
    <row r="2605" ht="13.2" x14ac:dyDescent="0.25"/>
    <row r="2606" ht="13.2" x14ac:dyDescent="0.25"/>
    <row r="2607" ht="13.2" x14ac:dyDescent="0.25"/>
    <row r="2608" ht="13.2" x14ac:dyDescent="0.25"/>
    <row r="2609" ht="13.2" x14ac:dyDescent="0.25"/>
    <row r="2610" ht="13.2" x14ac:dyDescent="0.25"/>
    <row r="2611" ht="13.2" x14ac:dyDescent="0.25"/>
    <row r="2612" ht="13.2" x14ac:dyDescent="0.25"/>
    <row r="2613" ht="13.2" x14ac:dyDescent="0.25"/>
    <row r="2614" ht="13.2" x14ac:dyDescent="0.25"/>
    <row r="2615" ht="13.2" x14ac:dyDescent="0.25"/>
    <row r="2616" ht="13.2" x14ac:dyDescent="0.25"/>
    <row r="2617" ht="13.2" x14ac:dyDescent="0.25"/>
    <row r="2618" ht="13.2" x14ac:dyDescent="0.25"/>
    <row r="2619" ht="13.2" x14ac:dyDescent="0.25"/>
    <row r="2620" ht="13.2" x14ac:dyDescent="0.25"/>
    <row r="2621" ht="13.2" x14ac:dyDescent="0.25"/>
    <row r="2622" ht="13.2" x14ac:dyDescent="0.25"/>
    <row r="2623" ht="13.2" x14ac:dyDescent="0.25"/>
    <row r="2624" ht="13.2" x14ac:dyDescent="0.25"/>
    <row r="2625" ht="13.2" x14ac:dyDescent="0.25"/>
    <row r="2626" ht="13.2" x14ac:dyDescent="0.25"/>
    <row r="2627" ht="13.2" x14ac:dyDescent="0.25"/>
    <row r="2628" ht="13.2" x14ac:dyDescent="0.25"/>
    <row r="2629" ht="13.2" x14ac:dyDescent="0.25"/>
    <row r="2630" ht="13.2" x14ac:dyDescent="0.25"/>
    <row r="2631" ht="13.2" x14ac:dyDescent="0.25"/>
    <row r="2632" ht="13.2" x14ac:dyDescent="0.25"/>
    <row r="2633" ht="13.2" x14ac:dyDescent="0.25"/>
    <row r="2634" ht="13.2" x14ac:dyDescent="0.25"/>
    <row r="2635" ht="13.2" x14ac:dyDescent="0.25"/>
    <row r="2636" ht="13.2" x14ac:dyDescent="0.25"/>
    <row r="2637" ht="13.2" x14ac:dyDescent="0.25"/>
    <row r="2638" ht="13.2" x14ac:dyDescent="0.25"/>
    <row r="2639" ht="13.2" x14ac:dyDescent="0.25"/>
    <row r="2640" ht="13.2" x14ac:dyDescent="0.25"/>
    <row r="2641" ht="13.2" x14ac:dyDescent="0.25"/>
    <row r="2642" ht="13.2" x14ac:dyDescent="0.25"/>
    <row r="2643" ht="13.2" x14ac:dyDescent="0.25"/>
    <row r="2644" ht="13.2" x14ac:dyDescent="0.25"/>
    <row r="2645" ht="13.2" x14ac:dyDescent="0.25"/>
    <row r="2646" ht="13.2" x14ac:dyDescent="0.25"/>
    <row r="2647" ht="13.2" x14ac:dyDescent="0.25"/>
    <row r="2648" ht="13.2" x14ac:dyDescent="0.25"/>
    <row r="2649" ht="13.2" x14ac:dyDescent="0.25"/>
    <row r="2650" ht="13.2" x14ac:dyDescent="0.25"/>
    <row r="2651" ht="13.2" x14ac:dyDescent="0.25"/>
    <row r="2652" ht="13.2" x14ac:dyDescent="0.25"/>
    <row r="2653" ht="13.2" x14ac:dyDescent="0.25"/>
    <row r="2654" ht="13.2" x14ac:dyDescent="0.25"/>
    <row r="2655" ht="13.2" x14ac:dyDescent="0.25"/>
    <row r="2656" ht="13.2" x14ac:dyDescent="0.25"/>
    <row r="2657" ht="13.2" x14ac:dyDescent="0.25"/>
    <row r="2658" ht="13.2" x14ac:dyDescent="0.25"/>
    <row r="2659" ht="13.2" x14ac:dyDescent="0.25"/>
    <row r="2660" ht="13.2" x14ac:dyDescent="0.25"/>
    <row r="2661" ht="13.2" x14ac:dyDescent="0.25"/>
    <row r="2662" ht="13.2" x14ac:dyDescent="0.25"/>
    <row r="2663" ht="13.2" x14ac:dyDescent="0.25"/>
    <row r="2664" ht="13.2" x14ac:dyDescent="0.25"/>
    <row r="2665" ht="13.2" x14ac:dyDescent="0.25"/>
    <row r="2666" ht="13.2" x14ac:dyDescent="0.25"/>
    <row r="2667" ht="13.2" x14ac:dyDescent="0.25"/>
    <row r="2668" ht="13.2" x14ac:dyDescent="0.25"/>
    <row r="2669" ht="13.2" x14ac:dyDescent="0.25"/>
    <row r="2670" ht="13.2" x14ac:dyDescent="0.25"/>
    <row r="2671" ht="13.2" x14ac:dyDescent="0.25"/>
    <row r="2672" ht="13.2" x14ac:dyDescent="0.25"/>
    <row r="2673" ht="13.2" x14ac:dyDescent="0.25"/>
    <row r="2674" ht="13.2" x14ac:dyDescent="0.25"/>
    <row r="2675" ht="13.2" x14ac:dyDescent="0.25"/>
    <row r="2676" ht="13.2" x14ac:dyDescent="0.25"/>
    <row r="2677" ht="13.2" x14ac:dyDescent="0.25"/>
    <row r="2678" ht="13.2" x14ac:dyDescent="0.25"/>
    <row r="2679" ht="13.2" x14ac:dyDescent="0.25"/>
    <row r="2680" ht="13.2" x14ac:dyDescent="0.25"/>
    <row r="2681" ht="13.2" x14ac:dyDescent="0.25"/>
    <row r="2682" ht="13.2" x14ac:dyDescent="0.25"/>
    <row r="2683" ht="13.2" x14ac:dyDescent="0.25"/>
    <row r="2684" ht="13.2" x14ac:dyDescent="0.25"/>
    <row r="2685" ht="13.2" x14ac:dyDescent="0.25"/>
    <row r="2686" ht="13.2" x14ac:dyDescent="0.25"/>
    <row r="2687" ht="13.2" x14ac:dyDescent="0.25"/>
    <row r="2688" ht="13.2" x14ac:dyDescent="0.25"/>
    <row r="2689" ht="13.2" x14ac:dyDescent="0.25"/>
    <row r="2690" ht="13.2" x14ac:dyDescent="0.25"/>
    <row r="2691" ht="13.2" x14ac:dyDescent="0.25"/>
    <row r="2692" ht="13.2" x14ac:dyDescent="0.25"/>
    <row r="2693" ht="13.2" x14ac:dyDescent="0.25"/>
    <row r="2694" ht="13.2" x14ac:dyDescent="0.25"/>
    <row r="2695" ht="13.2" x14ac:dyDescent="0.25"/>
    <row r="2696" ht="13.2" x14ac:dyDescent="0.25"/>
    <row r="2697" ht="13.2" x14ac:dyDescent="0.25"/>
    <row r="2698" ht="13.2" x14ac:dyDescent="0.25"/>
    <row r="2699" ht="13.2" x14ac:dyDescent="0.25"/>
    <row r="2700" ht="13.2" x14ac:dyDescent="0.25"/>
    <row r="2701" ht="13.2" x14ac:dyDescent="0.25"/>
    <row r="2702" ht="13.2" x14ac:dyDescent="0.25"/>
    <row r="2703" ht="13.2" x14ac:dyDescent="0.25"/>
    <row r="2704" ht="13.2" x14ac:dyDescent="0.25"/>
    <row r="2705" ht="13.2" x14ac:dyDescent="0.25"/>
    <row r="2706" ht="13.2" x14ac:dyDescent="0.25"/>
    <row r="2707" ht="13.2" x14ac:dyDescent="0.25"/>
    <row r="2708" ht="13.2" x14ac:dyDescent="0.25"/>
    <row r="2709" ht="13.2" x14ac:dyDescent="0.25"/>
    <row r="2710" ht="13.2" x14ac:dyDescent="0.25"/>
    <row r="2711" ht="13.2" x14ac:dyDescent="0.25"/>
    <row r="2712" ht="13.2" x14ac:dyDescent="0.25"/>
    <row r="2713" ht="13.2" x14ac:dyDescent="0.25"/>
    <row r="2714" ht="13.2" x14ac:dyDescent="0.25"/>
    <row r="2715" ht="13.2" x14ac:dyDescent="0.25"/>
    <row r="2716" ht="13.2" x14ac:dyDescent="0.25"/>
    <row r="2717" ht="13.2" x14ac:dyDescent="0.25"/>
    <row r="2718" ht="13.2" x14ac:dyDescent="0.25"/>
    <row r="2719" ht="13.2" x14ac:dyDescent="0.25"/>
    <row r="2720" ht="13.2" x14ac:dyDescent="0.25"/>
    <row r="2721" ht="13.2" x14ac:dyDescent="0.25"/>
    <row r="2722" ht="13.2" x14ac:dyDescent="0.25"/>
    <row r="2723" ht="13.2" x14ac:dyDescent="0.25"/>
    <row r="2724" ht="13.2" x14ac:dyDescent="0.25"/>
    <row r="2725" ht="13.2" x14ac:dyDescent="0.25"/>
    <row r="2726" ht="13.2" x14ac:dyDescent="0.25"/>
    <row r="2727" ht="13.2" x14ac:dyDescent="0.25"/>
    <row r="2728" ht="13.2" x14ac:dyDescent="0.25"/>
    <row r="2729" ht="13.2" x14ac:dyDescent="0.25"/>
    <row r="2730" ht="13.2" x14ac:dyDescent="0.25"/>
    <row r="2731" ht="13.2" x14ac:dyDescent="0.25"/>
    <row r="2732" ht="13.2" x14ac:dyDescent="0.25"/>
    <row r="2733" ht="13.2" x14ac:dyDescent="0.25"/>
    <row r="2734" ht="13.2" x14ac:dyDescent="0.25"/>
    <row r="2735" ht="13.2" x14ac:dyDescent="0.25"/>
    <row r="2736" ht="13.2" x14ac:dyDescent="0.25"/>
    <row r="2737" ht="13.2" x14ac:dyDescent="0.25"/>
    <row r="2738" ht="13.2" x14ac:dyDescent="0.25"/>
    <row r="2739" ht="13.2" x14ac:dyDescent="0.25"/>
    <row r="2740" ht="13.2" x14ac:dyDescent="0.25"/>
    <row r="2741" ht="13.2" x14ac:dyDescent="0.25"/>
    <row r="2742" ht="13.2" x14ac:dyDescent="0.25"/>
    <row r="2743" ht="13.2" x14ac:dyDescent="0.25"/>
    <row r="2744" ht="13.2" x14ac:dyDescent="0.25"/>
    <row r="2745" ht="13.2" x14ac:dyDescent="0.25"/>
    <row r="2746" ht="13.2" x14ac:dyDescent="0.25"/>
    <row r="2747" ht="13.2" x14ac:dyDescent="0.25"/>
    <row r="2748" ht="13.2" x14ac:dyDescent="0.25"/>
    <row r="2749" ht="13.2" x14ac:dyDescent="0.25"/>
    <row r="2750" ht="13.2" x14ac:dyDescent="0.25"/>
    <row r="2751" ht="13.2" x14ac:dyDescent="0.25"/>
    <row r="2752" ht="13.2" x14ac:dyDescent="0.25"/>
    <row r="2753" ht="13.2" x14ac:dyDescent="0.25"/>
    <row r="2754" ht="13.2" x14ac:dyDescent="0.25"/>
    <row r="2755" ht="13.2" x14ac:dyDescent="0.25"/>
    <row r="2756" ht="13.2" x14ac:dyDescent="0.25"/>
    <row r="2757" ht="13.2" x14ac:dyDescent="0.25"/>
    <row r="2758" ht="13.2" x14ac:dyDescent="0.25"/>
    <row r="2759" ht="13.2" x14ac:dyDescent="0.25"/>
    <row r="2760" ht="13.2" x14ac:dyDescent="0.25"/>
    <row r="2761" ht="13.2" x14ac:dyDescent="0.25"/>
    <row r="2762" ht="13.2" x14ac:dyDescent="0.25"/>
    <row r="2763" ht="13.2" x14ac:dyDescent="0.25"/>
    <row r="2764" ht="13.2" x14ac:dyDescent="0.25"/>
    <row r="2765" ht="13.2" x14ac:dyDescent="0.25"/>
    <row r="2766" ht="13.2" x14ac:dyDescent="0.25"/>
    <row r="2767" ht="13.2" x14ac:dyDescent="0.25"/>
    <row r="2768" ht="13.2" x14ac:dyDescent="0.25"/>
    <row r="2769" ht="13.2" x14ac:dyDescent="0.25"/>
    <row r="2770" ht="13.2" x14ac:dyDescent="0.25"/>
    <row r="2771" ht="13.2" x14ac:dyDescent="0.25"/>
    <row r="2772" ht="13.2" x14ac:dyDescent="0.25"/>
    <row r="2773" ht="13.2" x14ac:dyDescent="0.25"/>
    <row r="2774" ht="13.2" x14ac:dyDescent="0.25"/>
    <row r="2775" ht="13.2" x14ac:dyDescent="0.25"/>
    <row r="2776" ht="13.2" x14ac:dyDescent="0.25"/>
    <row r="2777" ht="13.2" x14ac:dyDescent="0.25"/>
    <row r="2778" ht="13.2" x14ac:dyDescent="0.25"/>
    <row r="2779" ht="13.2" x14ac:dyDescent="0.25"/>
    <row r="2780" ht="13.2" x14ac:dyDescent="0.25"/>
    <row r="2781" ht="13.2" x14ac:dyDescent="0.25"/>
    <row r="2782" ht="13.2" x14ac:dyDescent="0.25"/>
    <row r="2783" ht="13.2" x14ac:dyDescent="0.25"/>
    <row r="2784" ht="13.2" x14ac:dyDescent="0.25"/>
    <row r="2785" ht="13.2" x14ac:dyDescent="0.25"/>
    <row r="2786" ht="13.2" x14ac:dyDescent="0.25"/>
    <row r="2787" ht="13.2" x14ac:dyDescent="0.25"/>
    <row r="2788" ht="13.2" x14ac:dyDescent="0.25"/>
    <row r="2789" ht="13.2" x14ac:dyDescent="0.25"/>
    <row r="2790" ht="13.2" x14ac:dyDescent="0.25"/>
    <row r="2791" ht="13.2" x14ac:dyDescent="0.25"/>
    <row r="2792" ht="13.2" x14ac:dyDescent="0.25"/>
    <row r="2793" ht="13.2" x14ac:dyDescent="0.25"/>
    <row r="2794" ht="13.2" x14ac:dyDescent="0.25"/>
    <row r="2795" ht="13.2" x14ac:dyDescent="0.25"/>
    <row r="2796" ht="13.2" x14ac:dyDescent="0.25"/>
    <row r="2797" ht="13.2" x14ac:dyDescent="0.25"/>
    <row r="2798" ht="13.2" x14ac:dyDescent="0.25"/>
    <row r="2799" ht="13.2" x14ac:dyDescent="0.25"/>
    <row r="2800" ht="13.2" x14ac:dyDescent="0.25"/>
    <row r="2801" ht="13.2" x14ac:dyDescent="0.25"/>
    <row r="2802" ht="13.2" x14ac:dyDescent="0.25"/>
    <row r="2803" ht="13.2" x14ac:dyDescent="0.25"/>
    <row r="2804" ht="13.2" x14ac:dyDescent="0.25"/>
    <row r="2805" ht="13.2" x14ac:dyDescent="0.25"/>
    <row r="2806" ht="13.2" x14ac:dyDescent="0.25"/>
    <row r="2807" ht="13.2" x14ac:dyDescent="0.25"/>
    <row r="2808" ht="13.2" x14ac:dyDescent="0.25"/>
    <row r="2809" ht="13.2" x14ac:dyDescent="0.25"/>
    <row r="2810" ht="13.2" x14ac:dyDescent="0.25"/>
    <row r="2811" ht="13.2" x14ac:dyDescent="0.25"/>
    <row r="2812" ht="13.2" x14ac:dyDescent="0.25"/>
    <row r="2813" ht="13.2" x14ac:dyDescent="0.25"/>
    <row r="2814" ht="13.2" x14ac:dyDescent="0.25"/>
    <row r="2815" ht="13.2" x14ac:dyDescent="0.25"/>
    <row r="2816" ht="13.2" x14ac:dyDescent="0.25"/>
    <row r="2817" ht="13.2" x14ac:dyDescent="0.25"/>
    <row r="2818" ht="13.2" x14ac:dyDescent="0.25"/>
    <row r="2819" ht="13.2" x14ac:dyDescent="0.25"/>
    <row r="2820" ht="13.2" x14ac:dyDescent="0.25"/>
    <row r="2821" ht="13.2" x14ac:dyDescent="0.25"/>
    <row r="2822" ht="13.2" x14ac:dyDescent="0.25"/>
    <row r="2823" ht="13.2" x14ac:dyDescent="0.25"/>
    <row r="2824" ht="13.2" x14ac:dyDescent="0.25"/>
    <row r="2825" ht="13.2" x14ac:dyDescent="0.25"/>
    <row r="2826" ht="13.2" x14ac:dyDescent="0.25"/>
    <row r="2827" ht="13.2" x14ac:dyDescent="0.25"/>
    <row r="2828" ht="13.2" x14ac:dyDescent="0.25"/>
    <row r="2829" ht="13.2" x14ac:dyDescent="0.25"/>
    <row r="2830" ht="13.2" x14ac:dyDescent="0.25"/>
    <row r="2831" ht="13.2" x14ac:dyDescent="0.25"/>
    <row r="2832" ht="13.2" x14ac:dyDescent="0.25"/>
    <row r="2833" ht="13.2" x14ac:dyDescent="0.25"/>
    <row r="2834" ht="13.2" x14ac:dyDescent="0.25"/>
    <row r="2835" ht="13.2" x14ac:dyDescent="0.25"/>
    <row r="2836" ht="13.2" x14ac:dyDescent="0.25"/>
    <row r="2837" ht="13.2" x14ac:dyDescent="0.25"/>
    <row r="2838" ht="13.2" x14ac:dyDescent="0.25"/>
    <row r="2839" ht="13.2" x14ac:dyDescent="0.25"/>
    <row r="2840" ht="13.2" x14ac:dyDescent="0.25"/>
    <row r="2841" ht="13.2" x14ac:dyDescent="0.25"/>
    <row r="2842" ht="13.2" x14ac:dyDescent="0.25"/>
    <row r="2843" ht="13.2" x14ac:dyDescent="0.25"/>
    <row r="2844" ht="13.2" x14ac:dyDescent="0.25"/>
    <row r="2845" ht="13.2" x14ac:dyDescent="0.25"/>
    <row r="2846" ht="13.2" x14ac:dyDescent="0.25"/>
    <row r="2847" ht="13.2" x14ac:dyDescent="0.25"/>
    <row r="2848" ht="13.2" x14ac:dyDescent="0.25"/>
    <row r="2849" ht="13.2" x14ac:dyDescent="0.25"/>
    <row r="2850" ht="13.2" x14ac:dyDescent="0.25"/>
    <row r="2851" ht="13.2" x14ac:dyDescent="0.25"/>
    <row r="2852" ht="13.2" x14ac:dyDescent="0.25"/>
    <row r="2853" ht="13.2" x14ac:dyDescent="0.25"/>
    <row r="2854" ht="13.2" x14ac:dyDescent="0.25"/>
    <row r="2855" ht="13.2" x14ac:dyDescent="0.25"/>
    <row r="2856" ht="13.2" x14ac:dyDescent="0.25"/>
    <row r="2857" ht="13.2" x14ac:dyDescent="0.25"/>
    <row r="2858" ht="13.2" x14ac:dyDescent="0.25"/>
    <row r="2859" ht="13.2" x14ac:dyDescent="0.25"/>
    <row r="2860" ht="13.2" x14ac:dyDescent="0.25"/>
    <row r="2861" ht="13.2" x14ac:dyDescent="0.25"/>
    <row r="2862" ht="13.2" x14ac:dyDescent="0.25"/>
    <row r="2863" ht="13.2" x14ac:dyDescent="0.25"/>
    <row r="2864" ht="13.2" x14ac:dyDescent="0.25"/>
    <row r="2865" ht="13.2" x14ac:dyDescent="0.25"/>
    <row r="2866" ht="13.2" x14ac:dyDescent="0.25"/>
    <row r="2867" ht="13.2" x14ac:dyDescent="0.25"/>
    <row r="2868" ht="13.2" x14ac:dyDescent="0.25"/>
    <row r="2869" ht="13.2" x14ac:dyDescent="0.25"/>
    <row r="2870" ht="13.2" x14ac:dyDescent="0.25"/>
    <row r="2871" ht="13.2" x14ac:dyDescent="0.25"/>
    <row r="2872" ht="13.2" x14ac:dyDescent="0.25"/>
    <row r="2873" ht="13.2" x14ac:dyDescent="0.25"/>
    <row r="2874" ht="13.2" x14ac:dyDescent="0.25"/>
    <row r="2875" ht="13.2" x14ac:dyDescent="0.25"/>
    <row r="2876" ht="13.2" x14ac:dyDescent="0.25"/>
    <row r="2877" ht="13.2" x14ac:dyDescent="0.25"/>
    <row r="2878" ht="13.2" x14ac:dyDescent="0.25"/>
    <row r="2879" ht="13.2" x14ac:dyDescent="0.25"/>
    <row r="2880" ht="13.2" x14ac:dyDescent="0.25"/>
    <row r="2881" ht="13.2" x14ac:dyDescent="0.25"/>
    <row r="2882" ht="13.2" x14ac:dyDescent="0.25"/>
    <row r="2883" ht="13.2" x14ac:dyDescent="0.25"/>
    <row r="2884" ht="13.2" x14ac:dyDescent="0.25"/>
    <row r="2885" ht="13.2" x14ac:dyDescent="0.25"/>
    <row r="2886" ht="13.2" x14ac:dyDescent="0.25"/>
    <row r="2887" ht="13.2" x14ac:dyDescent="0.25"/>
    <row r="2888" ht="13.2" x14ac:dyDescent="0.25"/>
    <row r="2889" ht="13.2" x14ac:dyDescent="0.25"/>
    <row r="2890" ht="13.2" x14ac:dyDescent="0.25"/>
    <row r="2891" ht="13.2" x14ac:dyDescent="0.25"/>
    <row r="2892" ht="13.2" x14ac:dyDescent="0.25"/>
    <row r="2893" ht="13.2" x14ac:dyDescent="0.25"/>
    <row r="2894" ht="13.2" x14ac:dyDescent="0.25"/>
    <row r="2895" ht="13.2" x14ac:dyDescent="0.25"/>
    <row r="2896" ht="13.2" x14ac:dyDescent="0.25"/>
    <row r="2897" ht="13.2" x14ac:dyDescent="0.25"/>
    <row r="2898" ht="13.2" x14ac:dyDescent="0.25"/>
    <row r="2899" ht="13.2" x14ac:dyDescent="0.25"/>
    <row r="2900" ht="13.2" x14ac:dyDescent="0.25"/>
    <row r="2901" ht="13.2" x14ac:dyDescent="0.25"/>
    <row r="2902" ht="13.2" x14ac:dyDescent="0.25"/>
    <row r="2903" ht="13.2" x14ac:dyDescent="0.25"/>
    <row r="2904" ht="13.2" x14ac:dyDescent="0.25"/>
    <row r="2905" ht="13.2" x14ac:dyDescent="0.25"/>
    <row r="2906" ht="13.2" x14ac:dyDescent="0.25"/>
    <row r="2907" ht="13.2" x14ac:dyDescent="0.25"/>
    <row r="2908" ht="13.2" x14ac:dyDescent="0.25"/>
    <row r="2909" ht="13.2" x14ac:dyDescent="0.25"/>
    <row r="2910" ht="13.2" x14ac:dyDescent="0.25"/>
    <row r="2911" ht="13.2" x14ac:dyDescent="0.25"/>
    <row r="2912" ht="13.2" x14ac:dyDescent="0.25"/>
    <row r="2913" ht="13.2" x14ac:dyDescent="0.25"/>
    <row r="2914" ht="13.2" x14ac:dyDescent="0.25"/>
    <row r="2915" ht="13.2" x14ac:dyDescent="0.25"/>
    <row r="2916" ht="13.2" x14ac:dyDescent="0.25"/>
    <row r="2917" ht="13.2" x14ac:dyDescent="0.25"/>
    <row r="2918" ht="13.2" x14ac:dyDescent="0.25"/>
    <row r="2919" ht="13.2" x14ac:dyDescent="0.25"/>
    <row r="2920" ht="13.2" x14ac:dyDescent="0.25"/>
    <row r="2921" ht="13.2" x14ac:dyDescent="0.25"/>
    <row r="2922" ht="13.2" x14ac:dyDescent="0.25"/>
    <row r="2923" ht="13.2" x14ac:dyDescent="0.25"/>
    <row r="2924" ht="13.2" x14ac:dyDescent="0.25"/>
    <row r="2925" ht="13.2" x14ac:dyDescent="0.25"/>
    <row r="2926" ht="13.2" x14ac:dyDescent="0.25"/>
    <row r="2927" ht="13.2" x14ac:dyDescent="0.25"/>
    <row r="2928" ht="13.2" x14ac:dyDescent="0.25"/>
    <row r="2929" ht="13.2" x14ac:dyDescent="0.25"/>
    <row r="2930" ht="13.2" x14ac:dyDescent="0.25"/>
    <row r="2931" ht="13.2" x14ac:dyDescent="0.25"/>
    <row r="2932" ht="13.2" x14ac:dyDescent="0.25"/>
    <row r="2933" ht="13.2" x14ac:dyDescent="0.25"/>
    <row r="2934" ht="13.2" x14ac:dyDescent="0.25"/>
    <row r="2935" ht="13.2" x14ac:dyDescent="0.25"/>
    <row r="2936" ht="13.2" x14ac:dyDescent="0.25"/>
    <row r="2937" ht="13.2" x14ac:dyDescent="0.25"/>
    <row r="2938" ht="13.2" x14ac:dyDescent="0.25"/>
    <row r="2939" ht="13.2" x14ac:dyDescent="0.25"/>
    <row r="2940" ht="13.2" x14ac:dyDescent="0.25"/>
    <row r="2941" ht="13.2" x14ac:dyDescent="0.25"/>
    <row r="2942" ht="13.2" x14ac:dyDescent="0.25"/>
    <row r="2943" ht="13.2" x14ac:dyDescent="0.25"/>
    <row r="2944" ht="13.2" x14ac:dyDescent="0.25"/>
    <row r="2945" ht="13.2" x14ac:dyDescent="0.25"/>
    <row r="2946" ht="13.2" x14ac:dyDescent="0.25"/>
    <row r="2947" ht="13.2" x14ac:dyDescent="0.25"/>
    <row r="2948" ht="13.2" x14ac:dyDescent="0.25"/>
    <row r="2949" ht="13.2" x14ac:dyDescent="0.25"/>
    <row r="2950" ht="13.2" x14ac:dyDescent="0.25"/>
    <row r="2951" ht="13.2" x14ac:dyDescent="0.25"/>
    <row r="2952" ht="13.2" x14ac:dyDescent="0.25"/>
    <row r="2953" ht="13.2" x14ac:dyDescent="0.25"/>
    <row r="2954" ht="13.2" x14ac:dyDescent="0.25"/>
    <row r="2955" ht="13.2" x14ac:dyDescent="0.25"/>
    <row r="2956" ht="13.2" x14ac:dyDescent="0.25"/>
    <row r="2957" ht="13.2" x14ac:dyDescent="0.25"/>
    <row r="2958" ht="13.2" x14ac:dyDescent="0.25"/>
    <row r="2959" ht="13.2" x14ac:dyDescent="0.25"/>
    <row r="2960" ht="13.2" x14ac:dyDescent="0.25"/>
    <row r="2961" ht="13.2" x14ac:dyDescent="0.25"/>
    <row r="2962" ht="13.2" x14ac:dyDescent="0.25"/>
    <row r="2963" ht="13.2" x14ac:dyDescent="0.25"/>
    <row r="2964" ht="13.2" x14ac:dyDescent="0.25"/>
    <row r="2965" ht="13.2" x14ac:dyDescent="0.25"/>
    <row r="2966" ht="13.2" x14ac:dyDescent="0.25"/>
    <row r="2967" ht="13.2" x14ac:dyDescent="0.25"/>
    <row r="2968" ht="13.2" x14ac:dyDescent="0.25"/>
    <row r="2969" ht="13.2" x14ac:dyDescent="0.25"/>
    <row r="2970" ht="13.2" x14ac:dyDescent="0.25"/>
    <row r="2971" ht="13.2" x14ac:dyDescent="0.25"/>
    <row r="2972" ht="13.2" x14ac:dyDescent="0.25"/>
    <row r="2973" ht="13.2" x14ac:dyDescent="0.25"/>
    <row r="2974" ht="13.2" x14ac:dyDescent="0.25"/>
    <row r="2975" ht="13.2" x14ac:dyDescent="0.25"/>
    <row r="2976" ht="13.2" x14ac:dyDescent="0.25"/>
    <row r="2977" ht="13.2" x14ac:dyDescent="0.25"/>
    <row r="2978" ht="13.2" x14ac:dyDescent="0.25"/>
    <row r="2979" ht="13.2" x14ac:dyDescent="0.25"/>
    <row r="2980" ht="13.2" x14ac:dyDescent="0.25"/>
    <row r="2981" ht="13.2" x14ac:dyDescent="0.25"/>
    <row r="2982" ht="13.2" x14ac:dyDescent="0.25"/>
    <row r="2983" ht="13.2" x14ac:dyDescent="0.25"/>
    <row r="2984" ht="13.2" x14ac:dyDescent="0.25"/>
    <row r="2985" ht="13.2" x14ac:dyDescent="0.25"/>
    <row r="2986" ht="13.2" x14ac:dyDescent="0.25"/>
    <row r="2987" ht="13.2" x14ac:dyDescent="0.25"/>
    <row r="2988" ht="13.2" x14ac:dyDescent="0.25"/>
    <row r="2989" ht="13.2" x14ac:dyDescent="0.25"/>
    <row r="2990" ht="13.2" x14ac:dyDescent="0.25"/>
    <row r="2991" ht="13.2" x14ac:dyDescent="0.25"/>
    <row r="2992" ht="13.2" x14ac:dyDescent="0.25"/>
    <row r="2993" ht="13.2" x14ac:dyDescent="0.25"/>
    <row r="2994" ht="13.2" x14ac:dyDescent="0.25"/>
    <row r="2995" ht="13.2" x14ac:dyDescent="0.25"/>
    <row r="2996" ht="13.2" x14ac:dyDescent="0.25"/>
    <row r="2997" ht="13.2" x14ac:dyDescent="0.25"/>
    <row r="2998" ht="13.2" x14ac:dyDescent="0.25"/>
    <row r="2999" ht="13.2" x14ac:dyDescent="0.25"/>
    <row r="3000" ht="13.2" x14ac:dyDescent="0.25"/>
    <row r="3001" ht="13.2" x14ac:dyDescent="0.25"/>
    <row r="3002" ht="13.2" x14ac:dyDescent="0.25"/>
    <row r="3003" ht="13.2" x14ac:dyDescent="0.25"/>
    <row r="3004" ht="13.2" x14ac:dyDescent="0.25"/>
    <row r="3005" ht="13.2" x14ac:dyDescent="0.25"/>
    <row r="3006" ht="13.2" x14ac:dyDescent="0.25"/>
    <row r="3007" ht="13.2" x14ac:dyDescent="0.25"/>
    <row r="3008" ht="13.2" x14ac:dyDescent="0.25"/>
    <row r="3009" ht="13.2" x14ac:dyDescent="0.25"/>
    <row r="3010" ht="13.2" x14ac:dyDescent="0.25"/>
    <row r="3011" ht="13.2" x14ac:dyDescent="0.25"/>
    <row r="3012" ht="13.2" x14ac:dyDescent="0.25"/>
    <row r="3013" ht="13.2" x14ac:dyDescent="0.25"/>
    <row r="3014" ht="13.2" x14ac:dyDescent="0.25"/>
    <row r="3015" ht="13.2" x14ac:dyDescent="0.25"/>
    <row r="3016" ht="13.2" x14ac:dyDescent="0.25"/>
    <row r="3017" ht="13.2" x14ac:dyDescent="0.25"/>
    <row r="3018" ht="13.2" x14ac:dyDescent="0.25"/>
    <row r="3019" ht="13.2" x14ac:dyDescent="0.25"/>
    <row r="3020" ht="13.2" x14ac:dyDescent="0.25"/>
    <row r="3021" ht="13.2" x14ac:dyDescent="0.25"/>
    <row r="3022" ht="13.2" x14ac:dyDescent="0.25"/>
    <row r="3023" ht="13.2" x14ac:dyDescent="0.25"/>
    <row r="3024" ht="13.2" x14ac:dyDescent="0.25"/>
    <row r="3025" ht="13.2" x14ac:dyDescent="0.25"/>
    <row r="3026" ht="13.2" x14ac:dyDescent="0.25"/>
    <row r="3027" ht="13.2" x14ac:dyDescent="0.25"/>
    <row r="3028" ht="13.2" x14ac:dyDescent="0.25"/>
    <row r="3029" ht="13.2" x14ac:dyDescent="0.25"/>
    <row r="3030" ht="13.2" x14ac:dyDescent="0.25"/>
    <row r="3031" ht="13.2" x14ac:dyDescent="0.25"/>
    <row r="3032" ht="13.2" x14ac:dyDescent="0.25"/>
    <row r="3033" ht="13.2" x14ac:dyDescent="0.25"/>
    <row r="3034" ht="13.2" x14ac:dyDescent="0.25"/>
    <row r="3035" ht="13.2" x14ac:dyDescent="0.25"/>
    <row r="3036" ht="13.2" x14ac:dyDescent="0.25"/>
    <row r="3037" ht="13.2" x14ac:dyDescent="0.25"/>
    <row r="3038" ht="13.2" x14ac:dyDescent="0.25"/>
    <row r="3039" ht="13.2" x14ac:dyDescent="0.25"/>
    <row r="3040" ht="13.2" x14ac:dyDescent="0.25"/>
    <row r="3041" ht="13.2" x14ac:dyDescent="0.25"/>
    <row r="3042" ht="13.2" x14ac:dyDescent="0.25"/>
    <row r="3043" ht="13.2" x14ac:dyDescent="0.25"/>
    <row r="3044" ht="13.2" x14ac:dyDescent="0.25"/>
    <row r="3045" ht="13.2" x14ac:dyDescent="0.25"/>
    <row r="3046" ht="13.2" x14ac:dyDescent="0.25"/>
    <row r="3047" ht="13.2" x14ac:dyDescent="0.25"/>
    <row r="3048" ht="13.2" x14ac:dyDescent="0.25"/>
    <row r="3049" ht="13.2" x14ac:dyDescent="0.25"/>
    <row r="3050" ht="13.2" x14ac:dyDescent="0.25"/>
    <row r="3051" ht="13.2" x14ac:dyDescent="0.25"/>
    <row r="3052" ht="13.2" x14ac:dyDescent="0.25"/>
    <row r="3053" ht="13.2" x14ac:dyDescent="0.25"/>
    <row r="3054" ht="13.2" x14ac:dyDescent="0.25"/>
    <row r="3055" ht="13.2" x14ac:dyDescent="0.25"/>
    <row r="3056" ht="13.2" x14ac:dyDescent="0.25"/>
    <row r="3057" ht="13.2" x14ac:dyDescent="0.25"/>
    <row r="3058" ht="13.2" x14ac:dyDescent="0.25"/>
    <row r="3059" ht="13.2" x14ac:dyDescent="0.25"/>
    <row r="3060" ht="13.2" x14ac:dyDescent="0.25"/>
    <row r="3061" ht="13.2" x14ac:dyDescent="0.25"/>
    <row r="3062" ht="13.2" x14ac:dyDescent="0.25"/>
    <row r="3063" ht="13.2" x14ac:dyDescent="0.25"/>
    <row r="3064" ht="13.2" x14ac:dyDescent="0.25"/>
    <row r="3065" ht="13.2" x14ac:dyDescent="0.25"/>
    <row r="3066" ht="13.2" x14ac:dyDescent="0.25"/>
    <row r="3067" ht="13.2" x14ac:dyDescent="0.25"/>
    <row r="3068" ht="13.2" x14ac:dyDescent="0.25"/>
    <row r="3069" ht="13.2" x14ac:dyDescent="0.25"/>
    <row r="3070" ht="13.2" x14ac:dyDescent="0.25"/>
    <row r="3071" ht="13.2" x14ac:dyDescent="0.25"/>
    <row r="3072" ht="13.2" x14ac:dyDescent="0.25"/>
    <row r="3073" ht="13.2" x14ac:dyDescent="0.25"/>
    <row r="3074" ht="13.2" x14ac:dyDescent="0.25"/>
    <row r="3075" ht="13.2" x14ac:dyDescent="0.25"/>
    <row r="3076" ht="13.2" x14ac:dyDescent="0.25"/>
    <row r="3077" ht="13.2" x14ac:dyDescent="0.25"/>
    <row r="3078" ht="13.2" x14ac:dyDescent="0.25"/>
    <row r="3079" ht="13.2" x14ac:dyDescent="0.25"/>
    <row r="3080" ht="13.2" x14ac:dyDescent="0.25"/>
    <row r="3081" ht="13.2" x14ac:dyDescent="0.25"/>
    <row r="3082" ht="13.2" x14ac:dyDescent="0.25"/>
    <row r="3083" ht="13.2" x14ac:dyDescent="0.25"/>
    <row r="3084" ht="13.2" x14ac:dyDescent="0.25"/>
    <row r="3085" ht="13.2" x14ac:dyDescent="0.25"/>
    <row r="3086" ht="13.2" x14ac:dyDescent="0.25"/>
    <row r="3087" ht="13.2" x14ac:dyDescent="0.25"/>
    <row r="3088" ht="13.2" x14ac:dyDescent="0.25"/>
    <row r="3089" ht="13.2" x14ac:dyDescent="0.25"/>
    <row r="3090" ht="13.2" x14ac:dyDescent="0.25"/>
    <row r="3091" ht="13.2" x14ac:dyDescent="0.25"/>
    <row r="3092" ht="13.2" x14ac:dyDescent="0.25"/>
    <row r="3093" ht="13.2" x14ac:dyDescent="0.25"/>
    <row r="3094" ht="13.2" x14ac:dyDescent="0.25"/>
    <row r="3095" ht="13.2" x14ac:dyDescent="0.25"/>
    <row r="3096" ht="13.2" x14ac:dyDescent="0.25"/>
    <row r="3097" ht="13.2" x14ac:dyDescent="0.25"/>
    <row r="3098" ht="13.2" x14ac:dyDescent="0.25"/>
    <row r="3099" ht="13.2" x14ac:dyDescent="0.25"/>
    <row r="3100" ht="13.2" x14ac:dyDescent="0.25"/>
    <row r="3101" ht="13.2" x14ac:dyDescent="0.25"/>
    <row r="3102" ht="13.2" x14ac:dyDescent="0.25"/>
    <row r="3103" ht="13.2" x14ac:dyDescent="0.25"/>
    <row r="3104" ht="13.2" x14ac:dyDescent="0.25"/>
    <row r="3105" ht="13.2" x14ac:dyDescent="0.25"/>
    <row r="3106" ht="13.2" x14ac:dyDescent="0.25"/>
    <row r="3107" ht="13.2" x14ac:dyDescent="0.25"/>
    <row r="3108" ht="13.2" x14ac:dyDescent="0.25"/>
    <row r="3109" ht="13.2" x14ac:dyDescent="0.25"/>
    <row r="3110" ht="13.2" x14ac:dyDescent="0.25"/>
    <row r="3111" ht="13.2" x14ac:dyDescent="0.25"/>
    <row r="3112" ht="13.2" x14ac:dyDescent="0.25"/>
    <row r="3113" ht="13.2" x14ac:dyDescent="0.25"/>
    <row r="3114" ht="13.2" x14ac:dyDescent="0.25"/>
    <row r="3115" ht="13.2" x14ac:dyDescent="0.25"/>
    <row r="3116" ht="13.2" x14ac:dyDescent="0.25"/>
    <row r="3117" ht="13.2" x14ac:dyDescent="0.25"/>
    <row r="3118" ht="13.2" x14ac:dyDescent="0.25"/>
    <row r="3119" ht="13.2" x14ac:dyDescent="0.25"/>
    <row r="3120" ht="13.2" x14ac:dyDescent="0.25"/>
    <row r="3121" ht="13.2" x14ac:dyDescent="0.25"/>
    <row r="3122" ht="13.2" x14ac:dyDescent="0.25"/>
    <row r="3123" ht="13.2" x14ac:dyDescent="0.25"/>
    <row r="3124" ht="13.2" x14ac:dyDescent="0.25"/>
    <row r="3125" ht="13.2" x14ac:dyDescent="0.25"/>
    <row r="3126" ht="13.2" x14ac:dyDescent="0.25"/>
    <row r="3127" ht="13.2" x14ac:dyDescent="0.25"/>
    <row r="3128" ht="13.2" x14ac:dyDescent="0.25"/>
    <row r="3129" ht="13.2" x14ac:dyDescent="0.25"/>
    <row r="3130" ht="13.2" x14ac:dyDescent="0.25"/>
    <row r="3131" ht="13.2" x14ac:dyDescent="0.25"/>
    <row r="3132" ht="13.2" x14ac:dyDescent="0.25"/>
    <row r="3133" ht="13.2" x14ac:dyDescent="0.25"/>
    <row r="3134" ht="13.2" x14ac:dyDescent="0.25"/>
    <row r="3135" ht="13.2" x14ac:dyDescent="0.25"/>
    <row r="3136" ht="13.2" x14ac:dyDescent="0.25"/>
    <row r="3137" ht="13.2" x14ac:dyDescent="0.25"/>
    <row r="3138" ht="13.2" x14ac:dyDescent="0.25"/>
    <row r="3139" ht="13.2" x14ac:dyDescent="0.25"/>
    <row r="3140" ht="13.2" x14ac:dyDescent="0.25"/>
    <row r="3141" ht="13.2" x14ac:dyDescent="0.25"/>
    <row r="3142" ht="13.2" x14ac:dyDescent="0.25"/>
    <row r="3143" ht="13.2" x14ac:dyDescent="0.25"/>
    <row r="3144" ht="13.2" x14ac:dyDescent="0.25"/>
    <row r="3145" ht="13.2" x14ac:dyDescent="0.25"/>
    <row r="3146" ht="13.2" x14ac:dyDescent="0.25"/>
    <row r="3147" ht="13.2" x14ac:dyDescent="0.25"/>
    <row r="3148" ht="13.2" x14ac:dyDescent="0.25"/>
    <row r="3149" ht="13.2" x14ac:dyDescent="0.25"/>
    <row r="3150" ht="13.2" x14ac:dyDescent="0.25"/>
    <row r="3151" ht="13.2" x14ac:dyDescent="0.25"/>
    <row r="3152" ht="13.2" x14ac:dyDescent="0.25"/>
    <row r="3153" ht="13.2" x14ac:dyDescent="0.25"/>
    <row r="3154" ht="13.2" x14ac:dyDescent="0.25"/>
    <row r="3155" ht="13.2" x14ac:dyDescent="0.25"/>
    <row r="3156" ht="13.2" x14ac:dyDescent="0.25"/>
    <row r="3157" ht="13.2" x14ac:dyDescent="0.25"/>
    <row r="3158" ht="13.2" x14ac:dyDescent="0.25"/>
    <row r="3159" ht="13.2" x14ac:dyDescent="0.25"/>
    <row r="3160" ht="13.2" x14ac:dyDescent="0.25"/>
    <row r="3161" ht="13.2" x14ac:dyDescent="0.25"/>
    <row r="3162" ht="13.2" x14ac:dyDescent="0.25"/>
    <row r="3163" ht="13.2" x14ac:dyDescent="0.25"/>
    <row r="3164" ht="13.2" x14ac:dyDescent="0.25"/>
    <row r="3165" ht="13.2" x14ac:dyDescent="0.25"/>
    <row r="3166" ht="13.2" x14ac:dyDescent="0.25"/>
    <row r="3167" ht="13.2" x14ac:dyDescent="0.25"/>
    <row r="3168" ht="13.2" x14ac:dyDescent="0.25"/>
    <row r="3169" ht="13.2" x14ac:dyDescent="0.25"/>
    <row r="3170" ht="13.2" x14ac:dyDescent="0.25"/>
    <row r="3171" ht="13.2" x14ac:dyDescent="0.25"/>
    <row r="3172" ht="13.2" x14ac:dyDescent="0.25"/>
    <row r="3173" ht="13.2" x14ac:dyDescent="0.25"/>
    <row r="3174" ht="13.2" x14ac:dyDescent="0.25"/>
    <row r="3175" ht="13.2" x14ac:dyDescent="0.25"/>
    <row r="3176" ht="13.2" x14ac:dyDescent="0.25"/>
    <row r="3177" ht="13.2" x14ac:dyDescent="0.25"/>
    <row r="3178" ht="13.2" x14ac:dyDescent="0.25"/>
    <row r="3179" ht="13.2" x14ac:dyDescent="0.25"/>
    <row r="3180" ht="13.2" x14ac:dyDescent="0.25"/>
    <row r="3181" ht="13.2" x14ac:dyDescent="0.25"/>
    <row r="3182" ht="13.2" x14ac:dyDescent="0.25"/>
    <row r="3183" ht="13.2" x14ac:dyDescent="0.25"/>
    <row r="3184" ht="13.2" x14ac:dyDescent="0.25"/>
    <row r="3185" ht="13.2" x14ac:dyDescent="0.25"/>
    <row r="3186" ht="13.2" x14ac:dyDescent="0.25"/>
    <row r="3187" ht="13.2" x14ac:dyDescent="0.25"/>
    <row r="3188" ht="13.2" x14ac:dyDescent="0.25"/>
    <row r="3189" ht="13.2" x14ac:dyDescent="0.25"/>
    <row r="3190" ht="13.2" x14ac:dyDescent="0.25"/>
    <row r="3191" ht="13.2" x14ac:dyDescent="0.25"/>
    <row r="3192" ht="13.2" x14ac:dyDescent="0.25"/>
    <row r="3193" ht="13.2" x14ac:dyDescent="0.25"/>
    <row r="3194" ht="13.2" x14ac:dyDescent="0.25"/>
    <row r="3195" ht="13.2" x14ac:dyDescent="0.25"/>
    <row r="3196" ht="13.2" x14ac:dyDescent="0.25"/>
    <row r="3197" ht="13.2" x14ac:dyDescent="0.25"/>
    <row r="3198" ht="13.2" x14ac:dyDescent="0.25"/>
    <row r="3199" ht="13.2" x14ac:dyDescent="0.25"/>
    <row r="3200" ht="13.2" x14ac:dyDescent="0.25"/>
    <row r="3201" ht="13.2" x14ac:dyDescent="0.25"/>
    <row r="3202" ht="13.2" x14ac:dyDescent="0.25"/>
    <row r="3203" ht="13.2" x14ac:dyDescent="0.25"/>
    <row r="3204" ht="13.2" x14ac:dyDescent="0.25"/>
    <row r="3205" ht="13.2" x14ac:dyDescent="0.25"/>
    <row r="3206" ht="13.2" x14ac:dyDescent="0.25"/>
    <row r="3207" ht="13.2" x14ac:dyDescent="0.25"/>
    <row r="3208" ht="13.2" x14ac:dyDescent="0.25"/>
    <row r="3209" ht="13.2" x14ac:dyDescent="0.25"/>
    <row r="3210" ht="13.2" x14ac:dyDescent="0.25"/>
    <row r="3211" ht="13.2" x14ac:dyDescent="0.25"/>
    <row r="3212" ht="13.2" x14ac:dyDescent="0.25"/>
    <row r="3213" ht="13.2" x14ac:dyDescent="0.25"/>
    <row r="3214" ht="13.2" x14ac:dyDescent="0.25"/>
    <row r="3215" ht="13.2" x14ac:dyDescent="0.25"/>
    <row r="3216" ht="13.2" x14ac:dyDescent="0.25"/>
    <row r="3217" ht="13.2" x14ac:dyDescent="0.25"/>
    <row r="3218" ht="13.2" x14ac:dyDescent="0.25"/>
    <row r="3219" ht="13.2" x14ac:dyDescent="0.25"/>
    <row r="3220" ht="13.2" x14ac:dyDescent="0.25"/>
    <row r="3221" ht="13.2" x14ac:dyDescent="0.25"/>
    <row r="3222" ht="13.2" x14ac:dyDescent="0.25"/>
    <row r="3223" ht="13.2" x14ac:dyDescent="0.25"/>
    <row r="3224" ht="13.2" x14ac:dyDescent="0.25"/>
    <row r="3225" ht="13.2" x14ac:dyDescent="0.25"/>
    <row r="3226" ht="13.2" x14ac:dyDescent="0.25"/>
    <row r="3227" ht="13.2" x14ac:dyDescent="0.25"/>
    <row r="3228" ht="13.2" x14ac:dyDescent="0.25"/>
    <row r="3229" ht="13.2" x14ac:dyDescent="0.25"/>
    <row r="3230" ht="13.2" x14ac:dyDescent="0.25"/>
    <row r="3231" ht="13.2" x14ac:dyDescent="0.25"/>
    <row r="3232" ht="13.2" x14ac:dyDescent="0.25"/>
    <row r="3233" ht="13.2" x14ac:dyDescent="0.25"/>
    <row r="3234" ht="13.2" x14ac:dyDescent="0.25"/>
    <row r="3235" ht="13.2" x14ac:dyDescent="0.25"/>
    <row r="3236" ht="13.2" x14ac:dyDescent="0.25"/>
    <row r="3237" ht="13.2" x14ac:dyDescent="0.25"/>
    <row r="3238" ht="13.2" x14ac:dyDescent="0.25"/>
    <row r="3239" ht="13.2" x14ac:dyDescent="0.25"/>
    <row r="3240" ht="13.2" x14ac:dyDescent="0.25"/>
    <row r="3241" ht="13.2" x14ac:dyDescent="0.25"/>
    <row r="3242" ht="13.2" x14ac:dyDescent="0.25"/>
    <row r="3243" ht="13.2" x14ac:dyDescent="0.25"/>
    <row r="3244" ht="13.2" x14ac:dyDescent="0.25"/>
    <row r="3245" ht="13.2" x14ac:dyDescent="0.25"/>
    <row r="3246" ht="13.2" x14ac:dyDescent="0.25"/>
    <row r="3247" ht="13.2" x14ac:dyDescent="0.25"/>
    <row r="3248" ht="13.2" x14ac:dyDescent="0.25"/>
    <row r="3249" ht="13.2" x14ac:dyDescent="0.25"/>
    <row r="3250" ht="13.2" x14ac:dyDescent="0.25"/>
    <row r="3251" ht="13.2" x14ac:dyDescent="0.25"/>
    <row r="3252" ht="13.2" x14ac:dyDescent="0.25"/>
    <row r="3253" ht="13.2" x14ac:dyDescent="0.25"/>
    <row r="3254" ht="13.2" x14ac:dyDescent="0.25"/>
    <row r="3255" ht="13.2" x14ac:dyDescent="0.25"/>
    <row r="3256" ht="13.2" x14ac:dyDescent="0.25"/>
    <row r="3257" ht="13.2" x14ac:dyDescent="0.25"/>
    <row r="3258" ht="13.2" x14ac:dyDescent="0.25"/>
    <row r="3259" ht="13.2" x14ac:dyDescent="0.25"/>
    <row r="3260" ht="13.2" x14ac:dyDescent="0.25"/>
    <row r="3261" ht="13.2" x14ac:dyDescent="0.25"/>
    <row r="3262" ht="13.2" x14ac:dyDescent="0.25"/>
    <row r="3263" ht="13.2" x14ac:dyDescent="0.25"/>
    <row r="3264" ht="13.2" x14ac:dyDescent="0.25"/>
    <row r="3265" ht="13.2" x14ac:dyDescent="0.25"/>
    <row r="3266" ht="13.2" x14ac:dyDescent="0.25"/>
    <row r="3267" ht="13.2" x14ac:dyDescent="0.25"/>
    <row r="3268" ht="13.2" x14ac:dyDescent="0.25"/>
    <row r="3269" ht="13.2" x14ac:dyDescent="0.25"/>
    <row r="3270" ht="13.2" x14ac:dyDescent="0.25"/>
    <row r="3271" ht="13.2" x14ac:dyDescent="0.25"/>
    <row r="3272" ht="13.2" x14ac:dyDescent="0.25"/>
    <row r="3273" ht="13.2" x14ac:dyDescent="0.25"/>
    <row r="3274" ht="13.2" x14ac:dyDescent="0.25"/>
    <row r="3275" ht="13.2" x14ac:dyDescent="0.25"/>
    <row r="3276" ht="13.2" x14ac:dyDescent="0.25"/>
    <row r="3277" ht="13.2" x14ac:dyDescent="0.25"/>
    <row r="3278" ht="13.2" x14ac:dyDescent="0.25"/>
    <row r="3279" ht="13.2" x14ac:dyDescent="0.25"/>
    <row r="3280" ht="13.2" x14ac:dyDescent="0.25"/>
    <row r="3281" ht="13.2" x14ac:dyDescent="0.25"/>
    <row r="3282" ht="13.2" x14ac:dyDescent="0.25"/>
    <row r="3283" ht="13.2" x14ac:dyDescent="0.25"/>
    <row r="3284" ht="13.2" x14ac:dyDescent="0.25"/>
    <row r="3285" ht="13.2" x14ac:dyDescent="0.25"/>
    <row r="3286" ht="13.2" x14ac:dyDescent="0.25"/>
    <row r="3287" ht="13.2" x14ac:dyDescent="0.25"/>
    <row r="3288" ht="13.2" x14ac:dyDescent="0.25"/>
    <row r="3289" ht="13.2" x14ac:dyDescent="0.25"/>
    <row r="3290" ht="13.2" x14ac:dyDescent="0.25"/>
    <row r="3291" ht="13.2" x14ac:dyDescent="0.25"/>
    <row r="3292" ht="13.2" x14ac:dyDescent="0.25"/>
    <row r="3293" ht="13.2" x14ac:dyDescent="0.25"/>
    <row r="3294" ht="13.2" x14ac:dyDescent="0.25"/>
    <row r="3295" ht="13.2" x14ac:dyDescent="0.25"/>
    <row r="3296" ht="13.2" x14ac:dyDescent="0.25"/>
    <row r="3297" ht="13.2" x14ac:dyDescent="0.25"/>
    <row r="3298" ht="13.2" x14ac:dyDescent="0.25"/>
    <row r="3299" ht="13.2" x14ac:dyDescent="0.25"/>
    <row r="3300" ht="13.2" x14ac:dyDescent="0.25"/>
    <row r="3301" ht="13.2" x14ac:dyDescent="0.25"/>
    <row r="3302" ht="13.2" x14ac:dyDescent="0.25"/>
    <row r="3303" ht="13.2" x14ac:dyDescent="0.25"/>
    <row r="3304" ht="13.2" x14ac:dyDescent="0.25"/>
    <row r="3305" ht="13.2" x14ac:dyDescent="0.25"/>
    <row r="3306" ht="13.2" x14ac:dyDescent="0.25"/>
    <row r="3307" ht="13.2" x14ac:dyDescent="0.25"/>
    <row r="3308" ht="13.2" x14ac:dyDescent="0.25"/>
    <row r="3309" ht="13.2" x14ac:dyDescent="0.25"/>
    <row r="3310" ht="13.2" x14ac:dyDescent="0.25"/>
    <row r="3311" ht="13.2" x14ac:dyDescent="0.25"/>
    <row r="3312" ht="13.2" x14ac:dyDescent="0.25"/>
    <row r="3313" ht="13.2" x14ac:dyDescent="0.25"/>
    <row r="3314" ht="13.2" x14ac:dyDescent="0.25"/>
    <row r="3315" ht="13.2" x14ac:dyDescent="0.25"/>
    <row r="3316" ht="13.2" x14ac:dyDescent="0.25"/>
    <row r="3317" ht="13.2" x14ac:dyDescent="0.25"/>
    <row r="3318" ht="13.2" x14ac:dyDescent="0.25"/>
    <row r="3319" ht="13.2" x14ac:dyDescent="0.25"/>
    <row r="3320" ht="13.2" x14ac:dyDescent="0.25"/>
    <row r="3321" ht="13.2" x14ac:dyDescent="0.25"/>
    <row r="3322" ht="13.2" x14ac:dyDescent="0.25"/>
    <row r="3323" ht="13.2" x14ac:dyDescent="0.25"/>
    <row r="3324" ht="13.2" x14ac:dyDescent="0.25"/>
    <row r="3325" ht="13.2" x14ac:dyDescent="0.25"/>
    <row r="3326" ht="13.2" x14ac:dyDescent="0.25"/>
    <row r="3327" ht="13.2" x14ac:dyDescent="0.25"/>
    <row r="3328" ht="13.2" x14ac:dyDescent="0.25"/>
    <row r="3329" ht="13.2" x14ac:dyDescent="0.25"/>
    <row r="3330" ht="13.2" x14ac:dyDescent="0.25"/>
    <row r="3331" ht="13.2" x14ac:dyDescent="0.25"/>
    <row r="3332" ht="13.2" x14ac:dyDescent="0.25"/>
    <row r="3333" ht="13.2" x14ac:dyDescent="0.25"/>
    <row r="3334" ht="13.2" x14ac:dyDescent="0.25"/>
    <row r="3335" ht="13.2" x14ac:dyDescent="0.25"/>
    <row r="3336" ht="13.2" x14ac:dyDescent="0.25"/>
    <row r="3337" ht="13.2" x14ac:dyDescent="0.25"/>
    <row r="3338" ht="13.2" x14ac:dyDescent="0.25"/>
    <row r="3339" ht="13.2" x14ac:dyDescent="0.25"/>
    <row r="3340" ht="13.2" x14ac:dyDescent="0.25"/>
    <row r="3341" ht="13.2" x14ac:dyDescent="0.25"/>
    <row r="3342" ht="13.2" x14ac:dyDescent="0.25"/>
    <row r="3343" ht="13.2" x14ac:dyDescent="0.25"/>
    <row r="3344" ht="13.2" x14ac:dyDescent="0.25"/>
    <row r="3345" ht="13.2" x14ac:dyDescent="0.25"/>
    <row r="3346" ht="13.2" x14ac:dyDescent="0.25"/>
    <row r="3347" ht="13.2" x14ac:dyDescent="0.25"/>
    <row r="3348" ht="13.2" x14ac:dyDescent="0.25"/>
    <row r="3349" ht="13.2" x14ac:dyDescent="0.25"/>
    <row r="3350" ht="13.2" x14ac:dyDescent="0.25"/>
    <row r="3351" ht="13.2" x14ac:dyDescent="0.25"/>
    <row r="3352" ht="13.2" x14ac:dyDescent="0.25"/>
    <row r="3353" ht="13.2" x14ac:dyDescent="0.25"/>
    <row r="3354" ht="13.2" x14ac:dyDescent="0.25"/>
    <row r="3355" ht="13.2" x14ac:dyDescent="0.25"/>
    <row r="3356" ht="13.2" x14ac:dyDescent="0.25"/>
    <row r="3357" ht="13.2" x14ac:dyDescent="0.25"/>
    <row r="3358" ht="13.2" x14ac:dyDescent="0.25"/>
    <row r="3359" ht="13.2" x14ac:dyDescent="0.25"/>
    <row r="3360" ht="13.2" x14ac:dyDescent="0.25"/>
    <row r="3361" ht="13.2" x14ac:dyDescent="0.25"/>
    <row r="3362" ht="13.2" x14ac:dyDescent="0.25"/>
    <row r="3363" ht="13.2" x14ac:dyDescent="0.25"/>
    <row r="3364" ht="13.2" x14ac:dyDescent="0.25"/>
    <row r="3365" ht="13.2" x14ac:dyDescent="0.25"/>
    <row r="3366" ht="13.2" x14ac:dyDescent="0.25"/>
    <row r="3367" ht="13.2" x14ac:dyDescent="0.25"/>
    <row r="3368" ht="13.2" x14ac:dyDescent="0.25"/>
    <row r="3369" ht="13.2" x14ac:dyDescent="0.25"/>
    <row r="3370" ht="13.2" x14ac:dyDescent="0.25"/>
    <row r="3371" ht="13.2" x14ac:dyDescent="0.25"/>
    <row r="3372" ht="13.2" x14ac:dyDescent="0.25"/>
    <row r="3373" ht="13.2" x14ac:dyDescent="0.25"/>
    <row r="3374" ht="13.2" x14ac:dyDescent="0.25"/>
    <row r="3375" ht="13.2" x14ac:dyDescent="0.25"/>
    <row r="3376" ht="13.2" x14ac:dyDescent="0.25"/>
    <row r="3377" ht="13.2" x14ac:dyDescent="0.25"/>
    <row r="3378" ht="13.2" x14ac:dyDescent="0.25"/>
    <row r="3379" ht="13.2" x14ac:dyDescent="0.25"/>
    <row r="3380" ht="13.2" x14ac:dyDescent="0.25"/>
    <row r="3381" ht="13.2" x14ac:dyDescent="0.25"/>
    <row r="3382" ht="13.2" x14ac:dyDescent="0.25"/>
    <row r="3383" ht="13.2" x14ac:dyDescent="0.25"/>
    <row r="3384" ht="13.2" x14ac:dyDescent="0.25"/>
    <row r="3385" ht="13.2" x14ac:dyDescent="0.25"/>
    <row r="3386" ht="13.2" x14ac:dyDescent="0.25"/>
    <row r="3387" ht="13.2" x14ac:dyDescent="0.25"/>
    <row r="3388" ht="13.2" x14ac:dyDescent="0.25"/>
    <row r="3389" ht="13.2" x14ac:dyDescent="0.25"/>
    <row r="3390" ht="13.2" x14ac:dyDescent="0.25"/>
    <row r="3391" ht="13.2" x14ac:dyDescent="0.25"/>
    <row r="3392" ht="13.2" x14ac:dyDescent="0.25"/>
    <row r="3393" ht="13.2" x14ac:dyDescent="0.25"/>
    <row r="3394" ht="13.2" x14ac:dyDescent="0.25"/>
    <row r="3395" ht="13.2" x14ac:dyDescent="0.25"/>
    <row r="3396" ht="13.2" x14ac:dyDescent="0.25"/>
    <row r="3397" ht="13.2" x14ac:dyDescent="0.25"/>
    <row r="3398" ht="13.2" x14ac:dyDescent="0.25"/>
    <row r="3399" ht="13.2" x14ac:dyDescent="0.25"/>
    <row r="3400" ht="13.2" x14ac:dyDescent="0.25"/>
    <row r="3401" ht="13.2" x14ac:dyDescent="0.25"/>
    <row r="3402" ht="13.2" x14ac:dyDescent="0.25"/>
    <row r="3403" ht="13.2" x14ac:dyDescent="0.25"/>
    <row r="3404" ht="13.2" x14ac:dyDescent="0.25"/>
    <row r="3405" ht="13.2" x14ac:dyDescent="0.25"/>
    <row r="3406" ht="13.2" x14ac:dyDescent="0.25"/>
    <row r="3407" ht="13.2" x14ac:dyDescent="0.25"/>
    <row r="3408" ht="13.2" x14ac:dyDescent="0.25"/>
    <row r="3409" ht="13.2" x14ac:dyDescent="0.25"/>
    <row r="3410" ht="13.2" x14ac:dyDescent="0.25"/>
    <row r="3411" ht="13.2" x14ac:dyDescent="0.25"/>
    <row r="3412" ht="13.2" x14ac:dyDescent="0.25"/>
    <row r="3413" ht="13.2" x14ac:dyDescent="0.25"/>
    <row r="3414" ht="13.2" x14ac:dyDescent="0.25"/>
    <row r="3415" ht="13.2" x14ac:dyDescent="0.25"/>
    <row r="3416" ht="13.2" x14ac:dyDescent="0.25"/>
    <row r="3417" ht="13.2" x14ac:dyDescent="0.25"/>
    <row r="3418" ht="13.2" x14ac:dyDescent="0.25"/>
    <row r="3419" ht="13.2" x14ac:dyDescent="0.25"/>
    <row r="3420" ht="13.2" x14ac:dyDescent="0.25"/>
    <row r="3421" ht="13.2" x14ac:dyDescent="0.25"/>
    <row r="3422" ht="13.2" x14ac:dyDescent="0.25"/>
    <row r="3423" ht="13.2" x14ac:dyDescent="0.25"/>
    <row r="3424" ht="13.2" x14ac:dyDescent="0.25"/>
    <row r="3425" ht="13.2" x14ac:dyDescent="0.25"/>
    <row r="3426" ht="13.2" x14ac:dyDescent="0.25"/>
    <row r="3427" ht="13.2" x14ac:dyDescent="0.25"/>
    <row r="3428" ht="13.2" x14ac:dyDescent="0.25"/>
    <row r="3429" ht="13.2" x14ac:dyDescent="0.25"/>
    <row r="3430" ht="13.2" x14ac:dyDescent="0.25"/>
    <row r="3431" ht="13.2" x14ac:dyDescent="0.25"/>
    <row r="3432" ht="13.2" x14ac:dyDescent="0.25"/>
    <row r="3433" ht="13.2" x14ac:dyDescent="0.25"/>
    <row r="3434" ht="13.2" x14ac:dyDescent="0.25"/>
    <row r="3435" ht="13.2" x14ac:dyDescent="0.25"/>
    <row r="3436" ht="13.2" x14ac:dyDescent="0.25"/>
    <row r="3437" ht="13.2" x14ac:dyDescent="0.25"/>
    <row r="3438" ht="13.2" x14ac:dyDescent="0.25"/>
    <row r="3439" ht="13.2" x14ac:dyDescent="0.25"/>
    <row r="3440" ht="13.2" x14ac:dyDescent="0.25"/>
    <row r="3441" ht="13.2" x14ac:dyDescent="0.25"/>
    <row r="3442" ht="13.2" x14ac:dyDescent="0.25"/>
    <row r="3443" ht="13.2" x14ac:dyDescent="0.25"/>
    <row r="3444" ht="13.2" x14ac:dyDescent="0.25"/>
    <row r="3445" ht="13.2" x14ac:dyDescent="0.25"/>
    <row r="3446" ht="13.2" x14ac:dyDescent="0.25"/>
    <row r="3447" ht="13.2" x14ac:dyDescent="0.25"/>
    <row r="3448" ht="13.2" x14ac:dyDescent="0.25"/>
    <row r="3449" ht="13.2" x14ac:dyDescent="0.25"/>
    <row r="3450" ht="13.2" x14ac:dyDescent="0.25"/>
    <row r="3451" ht="13.2" x14ac:dyDescent="0.25"/>
    <row r="3452" ht="13.2" x14ac:dyDescent="0.25"/>
    <row r="3453" ht="13.2" x14ac:dyDescent="0.25"/>
    <row r="3454" ht="13.2" x14ac:dyDescent="0.25"/>
    <row r="3455" ht="13.2" x14ac:dyDescent="0.25"/>
    <row r="3456" ht="13.2" x14ac:dyDescent="0.25"/>
    <row r="3457" ht="13.2" x14ac:dyDescent="0.25"/>
    <row r="3458" ht="13.2" x14ac:dyDescent="0.25"/>
    <row r="3459" ht="13.2" x14ac:dyDescent="0.25"/>
    <row r="3460" ht="13.2" x14ac:dyDescent="0.25"/>
    <row r="3461" ht="13.2" x14ac:dyDescent="0.25"/>
    <row r="3462" ht="13.2" x14ac:dyDescent="0.25"/>
    <row r="3463" ht="13.2" x14ac:dyDescent="0.25"/>
    <row r="3464" ht="13.2" x14ac:dyDescent="0.25"/>
    <row r="3465" ht="13.2" x14ac:dyDescent="0.25"/>
    <row r="3466" ht="13.2" x14ac:dyDescent="0.25"/>
    <row r="3467" ht="13.2" x14ac:dyDescent="0.25"/>
    <row r="3468" ht="13.2" x14ac:dyDescent="0.25"/>
    <row r="3469" ht="13.2" x14ac:dyDescent="0.25"/>
    <row r="3470" ht="13.2" x14ac:dyDescent="0.25"/>
    <row r="3471" ht="13.2" x14ac:dyDescent="0.25"/>
    <row r="3472" ht="13.2" x14ac:dyDescent="0.25"/>
    <row r="3473" ht="13.2" x14ac:dyDescent="0.25"/>
    <row r="3474" ht="13.2" x14ac:dyDescent="0.25"/>
    <row r="3475" ht="13.2" x14ac:dyDescent="0.25"/>
    <row r="3476" ht="13.2" x14ac:dyDescent="0.25"/>
    <row r="3477" ht="13.2" x14ac:dyDescent="0.25"/>
    <row r="3478" ht="13.2" x14ac:dyDescent="0.25"/>
    <row r="3479" ht="13.2" x14ac:dyDescent="0.25"/>
    <row r="3480" ht="13.2" x14ac:dyDescent="0.25"/>
    <row r="3481" ht="13.2" x14ac:dyDescent="0.25"/>
    <row r="3482" ht="13.2" x14ac:dyDescent="0.25"/>
    <row r="3483" ht="13.2" x14ac:dyDescent="0.25"/>
    <row r="3484" ht="13.2" x14ac:dyDescent="0.25"/>
    <row r="3485" ht="13.2" x14ac:dyDescent="0.25"/>
    <row r="3486" ht="13.2" x14ac:dyDescent="0.25"/>
    <row r="3487" ht="13.2" x14ac:dyDescent="0.25"/>
    <row r="3488" ht="13.2" x14ac:dyDescent="0.25"/>
    <row r="3489" ht="13.2" x14ac:dyDescent="0.25"/>
    <row r="3490" ht="13.2" x14ac:dyDescent="0.25"/>
    <row r="3491" ht="13.2" x14ac:dyDescent="0.25"/>
    <row r="3492" ht="13.2" x14ac:dyDescent="0.25"/>
    <row r="3493" ht="13.2" x14ac:dyDescent="0.25"/>
    <row r="3494" ht="13.2" x14ac:dyDescent="0.25"/>
    <row r="3495" ht="13.2" x14ac:dyDescent="0.25"/>
    <row r="3496" ht="13.2" x14ac:dyDescent="0.25"/>
    <row r="3497" ht="13.2" x14ac:dyDescent="0.25"/>
    <row r="3498" ht="13.2" x14ac:dyDescent="0.25"/>
    <row r="3499" ht="13.2" x14ac:dyDescent="0.25"/>
    <row r="3500" ht="13.2" x14ac:dyDescent="0.25"/>
    <row r="3501" ht="13.2" x14ac:dyDescent="0.25"/>
    <row r="3502" ht="13.2" x14ac:dyDescent="0.25"/>
    <row r="3503" ht="13.2" x14ac:dyDescent="0.25"/>
    <row r="3504" ht="13.2" x14ac:dyDescent="0.25"/>
    <row r="3505" ht="13.2" x14ac:dyDescent="0.25"/>
    <row r="3506" ht="13.2" x14ac:dyDescent="0.25"/>
    <row r="3507" ht="13.2" x14ac:dyDescent="0.25"/>
    <row r="3508" ht="13.2" x14ac:dyDescent="0.25"/>
    <row r="3509" ht="13.2" x14ac:dyDescent="0.25"/>
    <row r="3510" ht="13.2" x14ac:dyDescent="0.25"/>
    <row r="3511" ht="13.2" x14ac:dyDescent="0.25"/>
    <row r="3512" ht="13.2" x14ac:dyDescent="0.25"/>
    <row r="3513" ht="13.2" x14ac:dyDescent="0.25"/>
    <row r="3514" ht="13.2" x14ac:dyDescent="0.25"/>
    <row r="3515" ht="13.2" x14ac:dyDescent="0.25"/>
    <row r="3516" ht="13.2" x14ac:dyDescent="0.25"/>
    <row r="3517" ht="13.2" x14ac:dyDescent="0.25"/>
    <row r="3518" ht="13.2" x14ac:dyDescent="0.25"/>
    <row r="3519" ht="13.2" x14ac:dyDescent="0.25"/>
    <row r="3520" ht="13.2" x14ac:dyDescent="0.25"/>
    <row r="3521" ht="13.2" x14ac:dyDescent="0.25"/>
    <row r="3522" ht="13.2" x14ac:dyDescent="0.25"/>
    <row r="3523" ht="13.2" x14ac:dyDescent="0.25"/>
    <row r="3524" ht="13.2" x14ac:dyDescent="0.25"/>
    <row r="3525" ht="13.2" x14ac:dyDescent="0.25"/>
    <row r="3526" ht="13.2" x14ac:dyDescent="0.25"/>
    <row r="3527" ht="13.2" x14ac:dyDescent="0.25"/>
    <row r="3528" ht="13.2" x14ac:dyDescent="0.25"/>
    <row r="3529" ht="13.2" x14ac:dyDescent="0.25"/>
    <row r="3530" ht="13.2" x14ac:dyDescent="0.25"/>
    <row r="3531" ht="13.2" x14ac:dyDescent="0.25"/>
    <row r="3532" ht="13.2" x14ac:dyDescent="0.25"/>
    <row r="3533" ht="13.2" x14ac:dyDescent="0.25"/>
    <row r="3534" ht="13.2" x14ac:dyDescent="0.25"/>
    <row r="3535" ht="13.2" x14ac:dyDescent="0.25"/>
    <row r="3536" ht="13.2" x14ac:dyDescent="0.25"/>
    <row r="3537" ht="13.2" x14ac:dyDescent="0.25"/>
    <row r="3538" ht="13.2" x14ac:dyDescent="0.25"/>
    <row r="3539" ht="13.2" x14ac:dyDescent="0.25"/>
    <row r="3540" ht="13.2" x14ac:dyDescent="0.25"/>
    <row r="3541" ht="13.2" x14ac:dyDescent="0.25"/>
    <row r="3542" ht="13.2" x14ac:dyDescent="0.25"/>
    <row r="3543" ht="13.2" x14ac:dyDescent="0.25"/>
    <row r="3544" ht="13.2" x14ac:dyDescent="0.25"/>
    <row r="3545" ht="13.2" x14ac:dyDescent="0.25"/>
    <row r="3546" ht="13.2" x14ac:dyDescent="0.25"/>
    <row r="3547" ht="13.2" x14ac:dyDescent="0.25"/>
    <row r="3548" ht="13.2" x14ac:dyDescent="0.25"/>
    <row r="3549" ht="13.2" x14ac:dyDescent="0.25"/>
    <row r="3550" ht="13.2" x14ac:dyDescent="0.25"/>
    <row r="3551" ht="13.2" x14ac:dyDescent="0.25"/>
    <row r="3552" ht="13.2" x14ac:dyDescent="0.25"/>
    <row r="3553" ht="13.2" x14ac:dyDescent="0.25"/>
    <row r="3554" ht="13.2" x14ac:dyDescent="0.25"/>
    <row r="3555" ht="13.2" x14ac:dyDescent="0.25"/>
    <row r="3556" ht="13.2" x14ac:dyDescent="0.25"/>
    <row r="3557" ht="13.2" x14ac:dyDescent="0.25"/>
    <row r="3558" ht="13.2" x14ac:dyDescent="0.25"/>
    <row r="3559" ht="13.2" x14ac:dyDescent="0.25"/>
    <row r="3560" ht="13.2" x14ac:dyDescent="0.25"/>
    <row r="3561" ht="13.2" x14ac:dyDescent="0.25"/>
    <row r="3562" ht="13.2" x14ac:dyDescent="0.25"/>
    <row r="3563" ht="13.2" x14ac:dyDescent="0.25"/>
    <row r="3564" ht="13.2" x14ac:dyDescent="0.25"/>
    <row r="3565" ht="13.2" x14ac:dyDescent="0.25"/>
    <row r="3566" ht="13.2" x14ac:dyDescent="0.25"/>
    <row r="3567" ht="13.2" x14ac:dyDescent="0.25"/>
    <row r="3568" ht="13.2" x14ac:dyDescent="0.25"/>
    <row r="3569" ht="13.2" x14ac:dyDescent="0.25"/>
    <row r="3570" ht="13.2" x14ac:dyDescent="0.25"/>
    <row r="3571" ht="13.2" x14ac:dyDescent="0.25"/>
    <row r="3572" ht="13.2" x14ac:dyDescent="0.25"/>
    <row r="3573" ht="13.2" x14ac:dyDescent="0.25"/>
    <row r="3574" ht="13.2" x14ac:dyDescent="0.25"/>
    <row r="3575" ht="13.2" x14ac:dyDescent="0.25"/>
    <row r="3576" ht="13.2" x14ac:dyDescent="0.25"/>
    <row r="3577" ht="13.2" x14ac:dyDescent="0.25"/>
    <row r="3578" ht="13.2" x14ac:dyDescent="0.25"/>
    <row r="3579" ht="13.2" x14ac:dyDescent="0.25"/>
    <row r="3580" ht="13.2" x14ac:dyDescent="0.25"/>
    <row r="3581" ht="13.2" x14ac:dyDescent="0.25"/>
    <row r="3582" ht="13.2" x14ac:dyDescent="0.25"/>
    <row r="3583" ht="13.2" x14ac:dyDescent="0.25"/>
    <row r="3584" ht="13.2" x14ac:dyDescent="0.25"/>
    <row r="3585" ht="13.2" x14ac:dyDescent="0.25"/>
    <row r="3586" ht="13.2" x14ac:dyDescent="0.25"/>
    <row r="3587" ht="13.2" x14ac:dyDescent="0.25"/>
    <row r="3588" ht="13.2" x14ac:dyDescent="0.25"/>
    <row r="3589" ht="13.2" x14ac:dyDescent="0.25"/>
    <row r="3590" ht="13.2" x14ac:dyDescent="0.25"/>
    <row r="3591" ht="13.2" x14ac:dyDescent="0.25"/>
    <row r="3592" ht="13.2" x14ac:dyDescent="0.25"/>
    <row r="3593" ht="13.2" x14ac:dyDescent="0.25"/>
    <row r="3594" ht="13.2" x14ac:dyDescent="0.25"/>
    <row r="3595" ht="13.2" x14ac:dyDescent="0.25"/>
    <row r="3596" ht="13.2" x14ac:dyDescent="0.25"/>
    <row r="3597" ht="13.2" x14ac:dyDescent="0.25"/>
    <row r="3598" ht="13.2" x14ac:dyDescent="0.25"/>
    <row r="3599" ht="13.2" x14ac:dyDescent="0.25"/>
    <row r="3600" ht="13.2" x14ac:dyDescent="0.25"/>
    <row r="3601" ht="13.2" x14ac:dyDescent="0.25"/>
    <row r="3602" ht="13.2" x14ac:dyDescent="0.25"/>
    <row r="3603" ht="13.2" x14ac:dyDescent="0.25"/>
    <row r="3604" ht="13.2" x14ac:dyDescent="0.25"/>
    <row r="3605" ht="13.2" x14ac:dyDescent="0.25"/>
    <row r="3606" ht="13.2" x14ac:dyDescent="0.25"/>
    <row r="3607" ht="13.2" x14ac:dyDescent="0.25"/>
    <row r="3608" ht="13.2" x14ac:dyDescent="0.25"/>
    <row r="3609" ht="13.2" x14ac:dyDescent="0.25"/>
    <row r="3610" ht="13.2" x14ac:dyDescent="0.25"/>
    <row r="3611" ht="13.2" x14ac:dyDescent="0.25"/>
    <row r="3612" ht="13.2" x14ac:dyDescent="0.25"/>
    <row r="3613" ht="13.2" x14ac:dyDescent="0.25"/>
    <row r="3614" ht="13.2" x14ac:dyDescent="0.25"/>
    <row r="3615" ht="13.2" x14ac:dyDescent="0.25"/>
    <row r="3616" ht="13.2" x14ac:dyDescent="0.25"/>
    <row r="3617" ht="13.2" x14ac:dyDescent="0.25"/>
    <row r="3618" ht="13.2" x14ac:dyDescent="0.25"/>
    <row r="3619" ht="13.2" x14ac:dyDescent="0.25"/>
    <row r="3620" ht="13.2" x14ac:dyDescent="0.25"/>
    <row r="3621" ht="13.2" x14ac:dyDescent="0.25"/>
    <row r="3622" ht="13.2" x14ac:dyDescent="0.25"/>
    <row r="3623" ht="13.2" x14ac:dyDescent="0.25"/>
    <row r="3624" ht="13.2" x14ac:dyDescent="0.25"/>
    <row r="3625" ht="13.2" x14ac:dyDescent="0.25"/>
    <row r="3626" ht="13.2" x14ac:dyDescent="0.25"/>
    <row r="3627" ht="13.2" x14ac:dyDescent="0.25"/>
    <row r="3628" ht="13.2" x14ac:dyDescent="0.25"/>
    <row r="3629" ht="13.2" x14ac:dyDescent="0.25"/>
    <row r="3630" ht="13.2" x14ac:dyDescent="0.25"/>
    <row r="3631" ht="13.2" x14ac:dyDescent="0.25"/>
    <row r="3632" ht="13.2" x14ac:dyDescent="0.25"/>
    <row r="3633" ht="13.2" x14ac:dyDescent="0.25"/>
    <row r="3634" ht="13.2" x14ac:dyDescent="0.25"/>
    <row r="3635" ht="13.2" x14ac:dyDescent="0.25"/>
    <row r="3636" ht="13.2" x14ac:dyDescent="0.25"/>
    <row r="3637" ht="13.2" x14ac:dyDescent="0.25"/>
    <row r="3638" ht="13.2" x14ac:dyDescent="0.25"/>
    <row r="3639" ht="13.2" x14ac:dyDescent="0.25"/>
    <row r="3640" ht="13.2" x14ac:dyDescent="0.25"/>
    <row r="3641" ht="13.2" x14ac:dyDescent="0.25"/>
    <row r="3642" ht="13.2" x14ac:dyDescent="0.25"/>
    <row r="3643" ht="13.2" x14ac:dyDescent="0.25"/>
    <row r="3644" ht="13.2" x14ac:dyDescent="0.25"/>
    <row r="3645" ht="13.2" x14ac:dyDescent="0.25"/>
    <row r="3646" ht="13.2" x14ac:dyDescent="0.25"/>
    <row r="3647" ht="13.2" x14ac:dyDescent="0.25"/>
    <row r="3648" ht="13.2" x14ac:dyDescent="0.25"/>
    <row r="3649" ht="13.2" x14ac:dyDescent="0.25"/>
    <row r="3650" ht="13.2" x14ac:dyDescent="0.25"/>
    <row r="3651" ht="13.2" x14ac:dyDescent="0.25"/>
    <row r="3652" ht="13.2" x14ac:dyDescent="0.25"/>
    <row r="3653" ht="13.2" x14ac:dyDescent="0.25"/>
    <row r="3654" ht="13.2" x14ac:dyDescent="0.25"/>
    <row r="3655" ht="13.2" x14ac:dyDescent="0.25"/>
    <row r="3656" ht="13.2" x14ac:dyDescent="0.25"/>
    <row r="3657" ht="13.2" x14ac:dyDescent="0.25"/>
    <row r="3658" ht="13.2" x14ac:dyDescent="0.25"/>
    <row r="3659" ht="13.2" x14ac:dyDescent="0.25"/>
    <row r="3660" ht="13.2" x14ac:dyDescent="0.25"/>
    <row r="3661" ht="13.2" x14ac:dyDescent="0.25"/>
    <row r="3662" ht="13.2" x14ac:dyDescent="0.25"/>
    <row r="3663" ht="13.2" x14ac:dyDescent="0.25"/>
    <row r="3664" ht="13.2" x14ac:dyDescent="0.25"/>
    <row r="3665" ht="13.2" x14ac:dyDescent="0.25"/>
    <row r="3666" ht="13.2" x14ac:dyDescent="0.25"/>
    <row r="3667" ht="13.2" x14ac:dyDescent="0.25"/>
    <row r="3668" ht="13.2" x14ac:dyDescent="0.25"/>
    <row r="3669" ht="13.2" x14ac:dyDescent="0.25"/>
    <row r="3670" ht="13.2" x14ac:dyDescent="0.25"/>
    <row r="3671" ht="13.2" x14ac:dyDescent="0.25"/>
    <row r="3672" ht="13.2" x14ac:dyDescent="0.25"/>
    <row r="3673" ht="13.2" x14ac:dyDescent="0.25"/>
    <row r="3674" ht="13.2" x14ac:dyDescent="0.25"/>
    <row r="3675" ht="13.2" x14ac:dyDescent="0.25"/>
    <row r="3676" ht="13.2" x14ac:dyDescent="0.25"/>
    <row r="3677" ht="13.2" x14ac:dyDescent="0.25"/>
    <row r="3678" ht="13.2" x14ac:dyDescent="0.25"/>
    <row r="3679" ht="13.2" x14ac:dyDescent="0.25"/>
    <row r="3680" ht="13.2" x14ac:dyDescent="0.25"/>
    <row r="3681" ht="13.2" x14ac:dyDescent="0.25"/>
    <row r="3682" ht="13.2" x14ac:dyDescent="0.25"/>
    <row r="3683" ht="13.2" x14ac:dyDescent="0.25"/>
    <row r="3684" ht="13.2" x14ac:dyDescent="0.25"/>
    <row r="3685" ht="13.2" x14ac:dyDescent="0.25"/>
    <row r="3686" ht="13.2" x14ac:dyDescent="0.25"/>
    <row r="3687" ht="13.2" x14ac:dyDescent="0.25"/>
    <row r="3688" ht="13.2" x14ac:dyDescent="0.25"/>
    <row r="3689" ht="13.2" x14ac:dyDescent="0.25"/>
    <row r="3690" ht="13.2" x14ac:dyDescent="0.25"/>
    <row r="3691" ht="13.2" x14ac:dyDescent="0.25"/>
    <row r="3692" ht="13.2" x14ac:dyDescent="0.25"/>
    <row r="3693" ht="13.2" x14ac:dyDescent="0.25"/>
    <row r="3694" ht="13.2" x14ac:dyDescent="0.25"/>
    <row r="3695" ht="13.2" x14ac:dyDescent="0.25"/>
    <row r="3696" ht="13.2" x14ac:dyDescent="0.25"/>
    <row r="3697" ht="13.2" x14ac:dyDescent="0.25"/>
    <row r="3698" ht="13.2" x14ac:dyDescent="0.25"/>
    <row r="3699" ht="13.2" x14ac:dyDescent="0.25"/>
    <row r="3700" ht="13.2" x14ac:dyDescent="0.25"/>
    <row r="3701" ht="13.2" x14ac:dyDescent="0.25"/>
    <row r="3702" ht="13.2" x14ac:dyDescent="0.25"/>
    <row r="3703" ht="13.2" x14ac:dyDescent="0.25"/>
    <row r="3704" ht="13.2" x14ac:dyDescent="0.25"/>
    <row r="3705" ht="13.2" x14ac:dyDescent="0.25"/>
    <row r="3706" ht="13.2" x14ac:dyDescent="0.25"/>
    <row r="3707" ht="13.2" x14ac:dyDescent="0.25"/>
    <row r="3708" ht="13.2" x14ac:dyDescent="0.25"/>
    <row r="3709" ht="13.2" x14ac:dyDescent="0.25"/>
    <row r="3710" ht="13.2" x14ac:dyDescent="0.25"/>
    <row r="3711" ht="13.2" x14ac:dyDescent="0.25"/>
    <row r="3712" ht="13.2" x14ac:dyDescent="0.25"/>
    <row r="3713" ht="13.2" x14ac:dyDescent="0.25"/>
    <row r="3714" ht="13.2" x14ac:dyDescent="0.25"/>
    <row r="3715" ht="13.2" x14ac:dyDescent="0.25"/>
    <row r="3716" ht="13.2" x14ac:dyDescent="0.25"/>
    <row r="3717" ht="13.2" x14ac:dyDescent="0.25"/>
    <row r="3718" ht="13.2" x14ac:dyDescent="0.25"/>
    <row r="3719" ht="13.2" x14ac:dyDescent="0.25"/>
    <row r="3720" ht="13.2" x14ac:dyDescent="0.25"/>
    <row r="3721" ht="13.2" x14ac:dyDescent="0.25"/>
    <row r="3722" ht="13.2" x14ac:dyDescent="0.25"/>
    <row r="3723" ht="13.2" x14ac:dyDescent="0.25"/>
    <row r="3724" ht="13.2" x14ac:dyDescent="0.25"/>
    <row r="3725" ht="13.2" x14ac:dyDescent="0.25"/>
    <row r="3726" ht="13.2" x14ac:dyDescent="0.25"/>
    <row r="3727" ht="13.2" x14ac:dyDescent="0.25"/>
    <row r="3728" ht="13.2" x14ac:dyDescent="0.25"/>
    <row r="3729" ht="13.2" x14ac:dyDescent="0.25"/>
    <row r="3730" ht="13.2" x14ac:dyDescent="0.25"/>
    <row r="3731" ht="13.2" x14ac:dyDescent="0.25"/>
    <row r="3732" ht="13.2" x14ac:dyDescent="0.25"/>
    <row r="3733" ht="13.2" x14ac:dyDescent="0.25"/>
    <row r="3734" ht="13.2" x14ac:dyDescent="0.25"/>
    <row r="3735" ht="13.2" x14ac:dyDescent="0.25"/>
    <row r="3736" ht="13.2" x14ac:dyDescent="0.25"/>
    <row r="3737" ht="13.2" x14ac:dyDescent="0.25"/>
    <row r="3738" ht="13.2" x14ac:dyDescent="0.25"/>
    <row r="3739" ht="13.2" x14ac:dyDescent="0.25"/>
    <row r="3740" ht="13.2" x14ac:dyDescent="0.25"/>
    <row r="3741" ht="13.2" x14ac:dyDescent="0.25"/>
    <row r="3742" ht="13.2" x14ac:dyDescent="0.25"/>
    <row r="3743" ht="13.2" x14ac:dyDescent="0.25"/>
    <row r="3744" ht="13.2" x14ac:dyDescent="0.25"/>
    <row r="3745" ht="13.2" x14ac:dyDescent="0.25"/>
    <row r="3746" ht="13.2" x14ac:dyDescent="0.25"/>
    <row r="3747" ht="13.2" x14ac:dyDescent="0.25"/>
    <row r="3748" ht="13.2" x14ac:dyDescent="0.25"/>
    <row r="3749" ht="13.2" x14ac:dyDescent="0.25"/>
    <row r="3750" ht="13.2" x14ac:dyDescent="0.25"/>
    <row r="3751" ht="13.2" x14ac:dyDescent="0.25"/>
    <row r="3752" ht="13.2" x14ac:dyDescent="0.25"/>
    <row r="3753" ht="13.2" x14ac:dyDescent="0.25"/>
    <row r="3754" ht="13.2" x14ac:dyDescent="0.25"/>
    <row r="3755" ht="13.2" x14ac:dyDescent="0.25"/>
    <row r="3756" ht="13.2" x14ac:dyDescent="0.25"/>
    <row r="3757" ht="13.2" x14ac:dyDescent="0.25"/>
    <row r="3758" ht="13.2" x14ac:dyDescent="0.25"/>
    <row r="3759" ht="13.2" x14ac:dyDescent="0.25"/>
    <row r="3760" ht="13.2" x14ac:dyDescent="0.25"/>
    <row r="3761" ht="13.2" x14ac:dyDescent="0.25"/>
    <row r="3762" ht="13.2" x14ac:dyDescent="0.25"/>
    <row r="3763" ht="13.2" x14ac:dyDescent="0.25"/>
    <row r="3764" ht="13.2" x14ac:dyDescent="0.25"/>
    <row r="3765" ht="13.2" x14ac:dyDescent="0.25"/>
    <row r="3766" ht="13.2" x14ac:dyDescent="0.25"/>
    <row r="3767" ht="13.2" x14ac:dyDescent="0.25"/>
    <row r="3768" ht="13.2" x14ac:dyDescent="0.25"/>
    <row r="3769" ht="13.2" x14ac:dyDescent="0.25"/>
    <row r="3770" ht="13.2" x14ac:dyDescent="0.25"/>
    <row r="3771" ht="13.2" x14ac:dyDescent="0.25"/>
    <row r="3772" ht="13.2" x14ac:dyDescent="0.25"/>
    <row r="3773" ht="13.2" x14ac:dyDescent="0.25"/>
    <row r="3774" ht="13.2" x14ac:dyDescent="0.25"/>
    <row r="3775" ht="13.2" x14ac:dyDescent="0.25"/>
    <row r="3776" ht="13.2" x14ac:dyDescent="0.25"/>
    <row r="3777" ht="13.2" x14ac:dyDescent="0.25"/>
    <row r="3778" ht="13.2" x14ac:dyDescent="0.25"/>
    <row r="3779" ht="13.2" x14ac:dyDescent="0.25"/>
    <row r="3780" ht="13.2" x14ac:dyDescent="0.25"/>
    <row r="3781" ht="13.2" x14ac:dyDescent="0.25"/>
    <row r="3782" ht="13.2" x14ac:dyDescent="0.25"/>
    <row r="3783" ht="13.2" x14ac:dyDescent="0.25"/>
    <row r="3784" ht="13.2" x14ac:dyDescent="0.25"/>
    <row r="3785" ht="13.2" x14ac:dyDescent="0.25"/>
    <row r="3786" ht="13.2" x14ac:dyDescent="0.25"/>
    <row r="3787" ht="13.2" x14ac:dyDescent="0.25"/>
    <row r="3788" ht="13.2" x14ac:dyDescent="0.25"/>
    <row r="3789" ht="13.2" x14ac:dyDescent="0.25"/>
    <row r="3790" ht="13.2" x14ac:dyDescent="0.25"/>
    <row r="3791" ht="13.2" x14ac:dyDescent="0.25"/>
    <row r="3792" ht="13.2" x14ac:dyDescent="0.25"/>
    <row r="3793" ht="13.2" x14ac:dyDescent="0.25"/>
    <row r="3794" ht="13.2" x14ac:dyDescent="0.25"/>
    <row r="3795" ht="13.2" x14ac:dyDescent="0.25"/>
    <row r="3796" ht="13.2" x14ac:dyDescent="0.25"/>
    <row r="3797" ht="13.2" x14ac:dyDescent="0.25"/>
    <row r="3798" ht="13.2" x14ac:dyDescent="0.25"/>
    <row r="3799" ht="13.2" x14ac:dyDescent="0.25"/>
    <row r="3800" ht="13.2" x14ac:dyDescent="0.25"/>
    <row r="3801" ht="13.2" x14ac:dyDescent="0.25"/>
    <row r="3802" ht="13.2" x14ac:dyDescent="0.25"/>
    <row r="3803" ht="13.2" x14ac:dyDescent="0.25"/>
    <row r="3804" ht="13.2" x14ac:dyDescent="0.25"/>
    <row r="3805" ht="13.2" x14ac:dyDescent="0.25"/>
    <row r="3806" ht="13.2" x14ac:dyDescent="0.25"/>
    <row r="3807" ht="13.2" x14ac:dyDescent="0.25"/>
    <row r="3808" ht="13.2" x14ac:dyDescent="0.25"/>
    <row r="3809" ht="13.2" x14ac:dyDescent="0.25"/>
    <row r="3810" ht="13.2" x14ac:dyDescent="0.25"/>
    <row r="3811" ht="13.2" x14ac:dyDescent="0.25"/>
    <row r="3812" ht="13.2" x14ac:dyDescent="0.25"/>
    <row r="3813" ht="13.2" x14ac:dyDescent="0.25"/>
    <row r="3814" ht="13.2" x14ac:dyDescent="0.25"/>
    <row r="3815" ht="13.2" x14ac:dyDescent="0.25"/>
    <row r="3816" ht="13.2" x14ac:dyDescent="0.25"/>
    <row r="3817" ht="13.2" x14ac:dyDescent="0.25"/>
    <row r="3818" ht="13.2" x14ac:dyDescent="0.25"/>
    <row r="3819" ht="13.2" x14ac:dyDescent="0.25"/>
    <row r="3820" ht="13.2" x14ac:dyDescent="0.25"/>
    <row r="3821" ht="13.2" x14ac:dyDescent="0.25"/>
    <row r="3822" ht="13.2" x14ac:dyDescent="0.25"/>
    <row r="3823" ht="13.2" x14ac:dyDescent="0.25"/>
    <row r="3824" ht="13.2" x14ac:dyDescent="0.25"/>
    <row r="3825" ht="13.2" x14ac:dyDescent="0.25"/>
    <row r="3826" ht="13.2" x14ac:dyDescent="0.25"/>
    <row r="3827" ht="13.2" x14ac:dyDescent="0.25"/>
    <row r="3828" ht="13.2" x14ac:dyDescent="0.25"/>
    <row r="3829" ht="13.2" x14ac:dyDescent="0.25"/>
    <row r="3830" ht="13.2" x14ac:dyDescent="0.25"/>
    <row r="3831" ht="13.2" x14ac:dyDescent="0.25"/>
    <row r="3832" ht="13.2" x14ac:dyDescent="0.25"/>
    <row r="3833" ht="13.2" x14ac:dyDescent="0.25"/>
    <row r="3834" ht="13.2" x14ac:dyDescent="0.25"/>
    <row r="3835" ht="13.2" x14ac:dyDescent="0.25"/>
    <row r="3836" ht="13.2" x14ac:dyDescent="0.25"/>
    <row r="3837" ht="13.2" x14ac:dyDescent="0.25"/>
    <row r="3838" ht="13.2" x14ac:dyDescent="0.25"/>
    <row r="3839" ht="13.2" x14ac:dyDescent="0.25"/>
    <row r="3840" ht="13.2" x14ac:dyDescent="0.25"/>
    <row r="3841" ht="13.2" x14ac:dyDescent="0.25"/>
    <row r="3842" ht="13.2" x14ac:dyDescent="0.25"/>
    <row r="3843" ht="13.2" x14ac:dyDescent="0.25"/>
    <row r="3844" ht="13.2" x14ac:dyDescent="0.25"/>
    <row r="3845" ht="13.2" x14ac:dyDescent="0.25"/>
    <row r="3846" ht="13.2" x14ac:dyDescent="0.25"/>
    <row r="3847" ht="13.2" x14ac:dyDescent="0.25"/>
    <row r="3848" ht="13.2" x14ac:dyDescent="0.25"/>
    <row r="3849" ht="13.2" x14ac:dyDescent="0.25"/>
    <row r="3850" ht="13.2" x14ac:dyDescent="0.25"/>
    <row r="3851" ht="13.2" x14ac:dyDescent="0.25"/>
    <row r="3852" ht="13.2" x14ac:dyDescent="0.25"/>
    <row r="3853" ht="13.2" x14ac:dyDescent="0.25"/>
    <row r="3854" ht="13.2" x14ac:dyDescent="0.25"/>
    <row r="3855" ht="13.2" x14ac:dyDescent="0.25"/>
    <row r="3856" ht="13.2" x14ac:dyDescent="0.25"/>
    <row r="3857" ht="13.2" x14ac:dyDescent="0.25"/>
    <row r="3858" ht="13.2" x14ac:dyDescent="0.25"/>
    <row r="3859" ht="13.2" x14ac:dyDescent="0.25"/>
    <row r="3860" ht="13.2" x14ac:dyDescent="0.25"/>
    <row r="3861" ht="13.2" x14ac:dyDescent="0.25"/>
    <row r="3862" ht="13.2" x14ac:dyDescent="0.25"/>
    <row r="3863" ht="13.2" x14ac:dyDescent="0.25"/>
    <row r="3864" ht="13.2" x14ac:dyDescent="0.25"/>
    <row r="3865" ht="13.2" x14ac:dyDescent="0.25"/>
    <row r="3866" ht="13.2" x14ac:dyDescent="0.25"/>
    <row r="3867" ht="13.2" x14ac:dyDescent="0.25"/>
    <row r="3868" ht="13.2" x14ac:dyDescent="0.25"/>
    <row r="3869" ht="13.2" x14ac:dyDescent="0.25"/>
    <row r="3870" ht="13.2" x14ac:dyDescent="0.25"/>
    <row r="3871" ht="13.2" x14ac:dyDescent="0.25"/>
    <row r="3872" ht="13.2" x14ac:dyDescent="0.25"/>
    <row r="3873" ht="13.2" x14ac:dyDescent="0.25"/>
    <row r="3874" ht="13.2" x14ac:dyDescent="0.25"/>
    <row r="3875" ht="13.2" x14ac:dyDescent="0.25"/>
    <row r="3876" ht="13.2" x14ac:dyDescent="0.25"/>
    <row r="3877" ht="13.2" x14ac:dyDescent="0.25"/>
    <row r="3878" ht="13.2" x14ac:dyDescent="0.25"/>
    <row r="3879" ht="13.2" x14ac:dyDescent="0.25"/>
    <row r="3880" ht="13.2" x14ac:dyDescent="0.25"/>
    <row r="3881" ht="13.2" x14ac:dyDescent="0.25"/>
    <row r="3882" ht="13.2" x14ac:dyDescent="0.25"/>
    <row r="3883" ht="13.2" x14ac:dyDescent="0.25"/>
    <row r="3884" ht="13.2" x14ac:dyDescent="0.25"/>
    <row r="3885" ht="13.2" x14ac:dyDescent="0.25"/>
    <row r="3886" ht="13.2" x14ac:dyDescent="0.25"/>
    <row r="3887" ht="13.2" x14ac:dyDescent="0.25"/>
    <row r="3888" ht="13.2" x14ac:dyDescent="0.25"/>
    <row r="3889" ht="13.2" x14ac:dyDescent="0.25"/>
    <row r="3890" ht="13.2" x14ac:dyDescent="0.25"/>
    <row r="3891" ht="13.2" x14ac:dyDescent="0.25"/>
    <row r="3892" ht="13.2" x14ac:dyDescent="0.25"/>
    <row r="3893" ht="13.2" x14ac:dyDescent="0.25"/>
    <row r="3894" ht="13.2" x14ac:dyDescent="0.25"/>
    <row r="3895" ht="13.2" x14ac:dyDescent="0.25"/>
    <row r="3896" ht="13.2" x14ac:dyDescent="0.25"/>
    <row r="3897" ht="13.2" x14ac:dyDescent="0.25"/>
    <row r="3898" ht="13.2" x14ac:dyDescent="0.25"/>
    <row r="3899" ht="13.2" x14ac:dyDescent="0.25"/>
    <row r="3900" ht="13.2" x14ac:dyDescent="0.25"/>
    <row r="3901" ht="13.2" x14ac:dyDescent="0.25"/>
    <row r="3902" ht="13.2" x14ac:dyDescent="0.25"/>
    <row r="3903" ht="13.2" x14ac:dyDescent="0.25"/>
    <row r="3904" ht="13.2" x14ac:dyDescent="0.25"/>
    <row r="3905" ht="13.2" x14ac:dyDescent="0.25"/>
    <row r="3906" ht="13.2" x14ac:dyDescent="0.25"/>
    <row r="3907" ht="13.2" x14ac:dyDescent="0.25"/>
    <row r="3908" ht="13.2" x14ac:dyDescent="0.25"/>
    <row r="3909" ht="13.2" x14ac:dyDescent="0.25"/>
    <row r="3910" ht="13.2" x14ac:dyDescent="0.25"/>
    <row r="3911" ht="13.2" x14ac:dyDescent="0.25"/>
    <row r="3912" ht="13.2" x14ac:dyDescent="0.25"/>
    <row r="3913" ht="13.2" x14ac:dyDescent="0.25"/>
    <row r="3914" ht="13.2" x14ac:dyDescent="0.25"/>
    <row r="3915" ht="13.2" x14ac:dyDescent="0.25"/>
    <row r="3916" ht="13.2" x14ac:dyDescent="0.25"/>
    <row r="3917" ht="13.2" x14ac:dyDescent="0.25"/>
    <row r="3918" ht="13.2" x14ac:dyDescent="0.25"/>
    <row r="3919" ht="13.2" x14ac:dyDescent="0.25"/>
    <row r="3920" ht="13.2" x14ac:dyDescent="0.25"/>
    <row r="3921" ht="13.2" x14ac:dyDescent="0.25"/>
    <row r="3922" ht="13.2" x14ac:dyDescent="0.25"/>
    <row r="3923" ht="13.2" x14ac:dyDescent="0.25"/>
    <row r="3924" ht="13.2" x14ac:dyDescent="0.25"/>
    <row r="3925" ht="13.2" x14ac:dyDescent="0.25"/>
    <row r="3926" ht="13.2" x14ac:dyDescent="0.25"/>
    <row r="3927" ht="13.2" x14ac:dyDescent="0.25"/>
    <row r="3928" ht="13.2" x14ac:dyDescent="0.25"/>
    <row r="3929" ht="13.2" x14ac:dyDescent="0.25"/>
    <row r="3930" ht="13.2" x14ac:dyDescent="0.25"/>
    <row r="3931" ht="13.2" x14ac:dyDescent="0.25"/>
    <row r="3932" ht="13.2" x14ac:dyDescent="0.25"/>
    <row r="3933" ht="13.2" x14ac:dyDescent="0.25"/>
    <row r="3934" ht="13.2" x14ac:dyDescent="0.25"/>
    <row r="3935" ht="13.2" x14ac:dyDescent="0.25"/>
    <row r="3936" ht="13.2" x14ac:dyDescent="0.25"/>
    <row r="3937" ht="13.2" x14ac:dyDescent="0.25"/>
    <row r="3938" ht="13.2" x14ac:dyDescent="0.25"/>
    <row r="3939" ht="13.2" x14ac:dyDescent="0.25"/>
    <row r="3940" ht="13.2" x14ac:dyDescent="0.25"/>
    <row r="3941" ht="13.2" x14ac:dyDescent="0.25"/>
    <row r="3942" ht="13.2" x14ac:dyDescent="0.25"/>
    <row r="3943" ht="13.2" x14ac:dyDescent="0.25"/>
    <row r="3944" ht="13.2" x14ac:dyDescent="0.25"/>
    <row r="3945" ht="13.2" x14ac:dyDescent="0.25"/>
    <row r="3946" ht="13.2" x14ac:dyDescent="0.25"/>
    <row r="3947" ht="13.2" x14ac:dyDescent="0.25"/>
    <row r="3948" ht="13.2" x14ac:dyDescent="0.25"/>
    <row r="3949" ht="13.2" x14ac:dyDescent="0.25"/>
    <row r="3950" ht="13.2" x14ac:dyDescent="0.25"/>
    <row r="3951" ht="13.2" x14ac:dyDescent="0.25"/>
    <row r="3952" ht="13.2" x14ac:dyDescent="0.25"/>
    <row r="3953" ht="13.2" x14ac:dyDescent="0.25"/>
    <row r="3954" ht="13.2" x14ac:dyDescent="0.25"/>
    <row r="3955" ht="13.2" x14ac:dyDescent="0.25"/>
    <row r="3956" ht="13.2" x14ac:dyDescent="0.25"/>
    <row r="3957" ht="13.2" x14ac:dyDescent="0.25"/>
    <row r="3958" ht="13.2" x14ac:dyDescent="0.25"/>
    <row r="3959" ht="13.2" x14ac:dyDescent="0.25"/>
    <row r="3960" ht="13.2" x14ac:dyDescent="0.25"/>
    <row r="3961" ht="13.2" x14ac:dyDescent="0.25"/>
    <row r="3962" ht="13.2" x14ac:dyDescent="0.25"/>
    <row r="3963" ht="13.2" x14ac:dyDescent="0.25"/>
    <row r="3964" ht="13.2" x14ac:dyDescent="0.25"/>
    <row r="3965" ht="13.2" x14ac:dyDescent="0.25"/>
    <row r="3966" ht="13.2" x14ac:dyDescent="0.25"/>
    <row r="3967" ht="13.2" x14ac:dyDescent="0.25"/>
    <row r="3968" ht="13.2" x14ac:dyDescent="0.25"/>
    <row r="3969" ht="13.2" x14ac:dyDescent="0.25"/>
    <row r="3970" ht="13.2" x14ac:dyDescent="0.25"/>
    <row r="3971" ht="13.2" x14ac:dyDescent="0.25"/>
    <row r="3972" ht="13.2" x14ac:dyDescent="0.25"/>
    <row r="3973" ht="13.2" x14ac:dyDescent="0.25"/>
    <row r="3974" ht="13.2" x14ac:dyDescent="0.25"/>
    <row r="3975" ht="13.2" x14ac:dyDescent="0.25"/>
    <row r="3976" ht="13.2" x14ac:dyDescent="0.25"/>
    <row r="3977" ht="13.2" x14ac:dyDescent="0.25"/>
    <row r="3978" ht="13.2" x14ac:dyDescent="0.25"/>
    <row r="3979" ht="13.2" x14ac:dyDescent="0.25"/>
    <row r="3980" ht="13.2" x14ac:dyDescent="0.25"/>
    <row r="3981" ht="13.2" x14ac:dyDescent="0.25"/>
    <row r="3982" ht="13.2" x14ac:dyDescent="0.25"/>
    <row r="3983" ht="13.2" x14ac:dyDescent="0.25"/>
    <row r="3984" ht="13.2" x14ac:dyDescent="0.25"/>
    <row r="3985" ht="13.2" x14ac:dyDescent="0.25"/>
    <row r="3986" ht="13.2" x14ac:dyDescent="0.25"/>
    <row r="3987" ht="13.2" x14ac:dyDescent="0.25"/>
    <row r="3988" ht="13.2" x14ac:dyDescent="0.25"/>
    <row r="3989" ht="13.2" x14ac:dyDescent="0.25"/>
    <row r="3990" ht="13.2" x14ac:dyDescent="0.25"/>
    <row r="3991" ht="13.2" x14ac:dyDescent="0.25"/>
    <row r="3992" ht="13.2" x14ac:dyDescent="0.25"/>
    <row r="3993" ht="13.2" x14ac:dyDescent="0.25"/>
    <row r="3994" ht="13.2" x14ac:dyDescent="0.25"/>
    <row r="3995" ht="13.2" x14ac:dyDescent="0.25"/>
    <row r="3996" ht="13.2" x14ac:dyDescent="0.25"/>
    <row r="3997" ht="13.2" x14ac:dyDescent="0.25"/>
    <row r="3998" ht="13.2" x14ac:dyDescent="0.25"/>
    <row r="3999" ht="13.2" x14ac:dyDescent="0.25"/>
    <row r="4000" ht="13.2" x14ac:dyDescent="0.25"/>
    <row r="4001" ht="13.2" x14ac:dyDescent="0.25"/>
    <row r="4002" ht="13.2" x14ac:dyDescent="0.25"/>
    <row r="4003" ht="13.2" x14ac:dyDescent="0.25"/>
    <row r="4004" ht="13.2" x14ac:dyDescent="0.25"/>
    <row r="4005" ht="13.2" x14ac:dyDescent="0.25"/>
    <row r="4006" ht="13.2" x14ac:dyDescent="0.25"/>
    <row r="4007" ht="13.2" x14ac:dyDescent="0.25"/>
    <row r="4008" ht="13.2" x14ac:dyDescent="0.25"/>
    <row r="4009" ht="13.2" x14ac:dyDescent="0.25"/>
    <row r="4010" ht="13.2" x14ac:dyDescent="0.25"/>
    <row r="4011" ht="13.2" x14ac:dyDescent="0.25"/>
    <row r="4012" ht="13.2" x14ac:dyDescent="0.25"/>
    <row r="4013" ht="13.2" x14ac:dyDescent="0.25"/>
    <row r="4014" ht="13.2" x14ac:dyDescent="0.25"/>
    <row r="4015" ht="13.2" x14ac:dyDescent="0.25"/>
    <row r="4016" ht="13.2" x14ac:dyDescent="0.25"/>
    <row r="4017" ht="13.2" x14ac:dyDescent="0.25"/>
    <row r="4018" ht="13.2" x14ac:dyDescent="0.25"/>
    <row r="4019" ht="13.2" x14ac:dyDescent="0.25"/>
    <row r="4020" ht="13.2" x14ac:dyDescent="0.25"/>
    <row r="4021" ht="13.2" x14ac:dyDescent="0.25"/>
    <row r="4022" ht="13.2" x14ac:dyDescent="0.25"/>
    <row r="4023" ht="13.2" x14ac:dyDescent="0.25"/>
    <row r="4024" ht="13.2" x14ac:dyDescent="0.25"/>
    <row r="4025" ht="13.2" x14ac:dyDescent="0.25"/>
    <row r="4026" ht="13.2" x14ac:dyDescent="0.25"/>
    <row r="4027" ht="13.2" x14ac:dyDescent="0.25"/>
    <row r="4028" ht="13.2" x14ac:dyDescent="0.25"/>
    <row r="4029" ht="13.2" x14ac:dyDescent="0.25"/>
    <row r="4030" ht="13.2" x14ac:dyDescent="0.25"/>
    <row r="4031" ht="13.2" x14ac:dyDescent="0.25"/>
    <row r="4032" ht="13.2" x14ac:dyDescent="0.25"/>
    <row r="4033" ht="13.2" x14ac:dyDescent="0.25"/>
    <row r="4034" ht="13.2" x14ac:dyDescent="0.25"/>
    <row r="4035" ht="13.2" x14ac:dyDescent="0.25"/>
    <row r="4036" ht="13.2" x14ac:dyDescent="0.25"/>
    <row r="4037" ht="13.2" x14ac:dyDescent="0.25"/>
    <row r="4038" ht="13.2" x14ac:dyDescent="0.25"/>
    <row r="4039" ht="13.2" x14ac:dyDescent="0.25"/>
    <row r="4040" ht="13.2" x14ac:dyDescent="0.25"/>
    <row r="4041" ht="13.2" x14ac:dyDescent="0.25"/>
    <row r="4042" ht="13.2" x14ac:dyDescent="0.25"/>
    <row r="4043" ht="13.2" x14ac:dyDescent="0.25"/>
    <row r="4044" ht="13.2" x14ac:dyDescent="0.25"/>
    <row r="4045" ht="13.2" x14ac:dyDescent="0.25"/>
    <row r="4046" ht="13.2" x14ac:dyDescent="0.25"/>
    <row r="4047" ht="13.2" x14ac:dyDescent="0.25"/>
    <row r="4048" ht="13.2" x14ac:dyDescent="0.25"/>
    <row r="4049" ht="13.2" x14ac:dyDescent="0.25"/>
    <row r="4050" ht="13.2" x14ac:dyDescent="0.25"/>
    <row r="4051" ht="13.2" x14ac:dyDescent="0.25"/>
    <row r="4052" ht="13.2" x14ac:dyDescent="0.25"/>
    <row r="4053" ht="13.2" x14ac:dyDescent="0.25"/>
    <row r="4054" ht="13.2" x14ac:dyDescent="0.25"/>
    <row r="4055" ht="13.2" x14ac:dyDescent="0.25"/>
    <row r="4056" ht="13.2" x14ac:dyDescent="0.25"/>
    <row r="4057" ht="13.2" x14ac:dyDescent="0.25"/>
    <row r="4058" ht="13.2" x14ac:dyDescent="0.25"/>
    <row r="4059" ht="13.2" x14ac:dyDescent="0.25"/>
    <row r="4060" ht="13.2" x14ac:dyDescent="0.25"/>
    <row r="4061" ht="13.2" x14ac:dyDescent="0.25"/>
    <row r="4062" ht="13.2" x14ac:dyDescent="0.25"/>
    <row r="4063" ht="13.2" x14ac:dyDescent="0.25"/>
    <row r="4064" ht="13.2" x14ac:dyDescent="0.25"/>
    <row r="4065" ht="13.2" x14ac:dyDescent="0.25"/>
    <row r="4066" ht="13.2" x14ac:dyDescent="0.25"/>
    <row r="4067" ht="13.2" x14ac:dyDescent="0.25"/>
    <row r="4068" ht="13.2" x14ac:dyDescent="0.25"/>
    <row r="4069" ht="13.2" x14ac:dyDescent="0.25"/>
    <row r="4070" ht="13.2" x14ac:dyDescent="0.25"/>
    <row r="4071" ht="13.2" x14ac:dyDescent="0.25"/>
    <row r="4072" ht="13.2" x14ac:dyDescent="0.25"/>
    <row r="4073" ht="13.2" x14ac:dyDescent="0.25"/>
    <row r="4074" ht="13.2" x14ac:dyDescent="0.25"/>
    <row r="4075" ht="13.2" x14ac:dyDescent="0.25"/>
    <row r="4076" ht="13.2" x14ac:dyDescent="0.25"/>
    <row r="4077" ht="13.2" x14ac:dyDescent="0.25"/>
    <row r="4078" ht="13.2" x14ac:dyDescent="0.25"/>
    <row r="4079" ht="13.2" x14ac:dyDescent="0.25"/>
    <row r="4080" ht="13.2" x14ac:dyDescent="0.25"/>
    <row r="4081" ht="13.2" x14ac:dyDescent="0.25"/>
    <row r="4082" ht="13.2" x14ac:dyDescent="0.25"/>
    <row r="4083" ht="13.2" x14ac:dyDescent="0.25"/>
    <row r="4084" ht="13.2" x14ac:dyDescent="0.25"/>
    <row r="4085" ht="13.2" x14ac:dyDescent="0.25"/>
    <row r="4086" ht="13.2" x14ac:dyDescent="0.25"/>
    <row r="4087" ht="13.2" x14ac:dyDescent="0.25"/>
    <row r="4088" ht="13.2" x14ac:dyDescent="0.25"/>
    <row r="4089" ht="13.2" x14ac:dyDescent="0.25"/>
    <row r="4090" ht="13.2" x14ac:dyDescent="0.25"/>
    <row r="4091" ht="13.2" x14ac:dyDescent="0.25"/>
    <row r="4092" ht="13.2" x14ac:dyDescent="0.25"/>
    <row r="4093" ht="13.2" x14ac:dyDescent="0.25"/>
    <row r="4094" ht="13.2" x14ac:dyDescent="0.25"/>
    <row r="4095" ht="13.2" x14ac:dyDescent="0.25"/>
    <row r="4096" ht="13.2" x14ac:dyDescent="0.25"/>
    <row r="4097" ht="13.2" x14ac:dyDescent="0.25"/>
    <row r="4098" ht="13.2" x14ac:dyDescent="0.25"/>
    <row r="4099" ht="13.2" x14ac:dyDescent="0.25"/>
    <row r="4100" ht="13.2" x14ac:dyDescent="0.25"/>
    <row r="4101" ht="13.2" x14ac:dyDescent="0.25"/>
    <row r="4102" ht="13.2" x14ac:dyDescent="0.25"/>
    <row r="4103" ht="13.2" x14ac:dyDescent="0.25"/>
    <row r="4104" ht="13.2" x14ac:dyDescent="0.25"/>
    <row r="4105" ht="13.2" x14ac:dyDescent="0.25"/>
    <row r="4106" ht="13.2" x14ac:dyDescent="0.25"/>
    <row r="4107" ht="13.2" x14ac:dyDescent="0.25"/>
    <row r="4108" ht="13.2" x14ac:dyDescent="0.25"/>
    <row r="4109" ht="13.2" x14ac:dyDescent="0.25"/>
    <row r="4110" ht="13.2" x14ac:dyDescent="0.25"/>
    <row r="4111" ht="13.2" x14ac:dyDescent="0.25"/>
    <row r="4112" ht="13.2" x14ac:dyDescent="0.25"/>
    <row r="4113" ht="13.2" x14ac:dyDescent="0.25"/>
    <row r="4114" ht="13.2" x14ac:dyDescent="0.25"/>
    <row r="4115" ht="13.2" x14ac:dyDescent="0.25"/>
    <row r="4116" ht="13.2" x14ac:dyDescent="0.25"/>
    <row r="4117" ht="13.2" x14ac:dyDescent="0.25"/>
    <row r="4118" ht="13.2" x14ac:dyDescent="0.25"/>
    <row r="4119" ht="13.2" x14ac:dyDescent="0.25"/>
    <row r="4120" ht="13.2" x14ac:dyDescent="0.25"/>
    <row r="4121" ht="13.2" x14ac:dyDescent="0.25"/>
    <row r="4122" ht="13.2" x14ac:dyDescent="0.25"/>
    <row r="4123" ht="13.2" x14ac:dyDescent="0.25"/>
    <row r="4124" ht="13.2" x14ac:dyDescent="0.25"/>
    <row r="4125" ht="13.2" x14ac:dyDescent="0.25"/>
    <row r="4126" ht="13.2" x14ac:dyDescent="0.25"/>
    <row r="4127" ht="13.2" x14ac:dyDescent="0.25"/>
    <row r="4128" ht="13.2" x14ac:dyDescent="0.25"/>
    <row r="4129" ht="13.2" x14ac:dyDescent="0.25"/>
    <row r="4130" ht="13.2" x14ac:dyDescent="0.25"/>
    <row r="4131" ht="13.2" x14ac:dyDescent="0.25"/>
    <row r="4132" ht="13.2" x14ac:dyDescent="0.25"/>
    <row r="4133" ht="13.2" x14ac:dyDescent="0.25"/>
    <row r="4134" ht="13.2" x14ac:dyDescent="0.25"/>
    <row r="4135" ht="13.2" x14ac:dyDescent="0.25"/>
    <row r="4136" ht="13.2" x14ac:dyDescent="0.25"/>
    <row r="4137" ht="13.2" x14ac:dyDescent="0.25"/>
    <row r="4138" ht="13.2" x14ac:dyDescent="0.25"/>
    <row r="4139" ht="13.2" x14ac:dyDescent="0.25"/>
    <row r="4140" ht="13.2" x14ac:dyDescent="0.25"/>
    <row r="4141" ht="13.2" x14ac:dyDescent="0.25"/>
    <row r="4142" ht="13.2" x14ac:dyDescent="0.25"/>
    <row r="4143" ht="13.2" x14ac:dyDescent="0.25"/>
    <row r="4144" ht="13.2" x14ac:dyDescent="0.25"/>
    <row r="4145" ht="13.2" x14ac:dyDescent="0.25"/>
    <row r="4146" ht="13.2" x14ac:dyDescent="0.25"/>
    <row r="4147" ht="13.2" x14ac:dyDescent="0.25"/>
    <row r="4148" ht="13.2" x14ac:dyDescent="0.25"/>
    <row r="4149" ht="13.2" x14ac:dyDescent="0.25"/>
    <row r="4150" ht="13.2" x14ac:dyDescent="0.25"/>
    <row r="4151" ht="13.2" x14ac:dyDescent="0.25"/>
    <row r="4152" ht="13.2" x14ac:dyDescent="0.25"/>
    <row r="4153" ht="13.2" x14ac:dyDescent="0.25"/>
    <row r="4154" ht="13.2" x14ac:dyDescent="0.25"/>
    <row r="4155" ht="13.2" x14ac:dyDescent="0.25"/>
    <row r="4156" ht="13.2" x14ac:dyDescent="0.25"/>
    <row r="4157" ht="13.2" x14ac:dyDescent="0.25"/>
    <row r="4158" ht="13.2" x14ac:dyDescent="0.25"/>
    <row r="4159" ht="13.2" x14ac:dyDescent="0.25"/>
    <row r="4160" ht="13.2" x14ac:dyDescent="0.25"/>
    <row r="4161" ht="13.2" x14ac:dyDescent="0.25"/>
    <row r="4162" ht="13.2" x14ac:dyDescent="0.25"/>
    <row r="4163" ht="13.2" x14ac:dyDescent="0.25"/>
    <row r="4164" ht="13.2" x14ac:dyDescent="0.25"/>
    <row r="4165" ht="13.2" x14ac:dyDescent="0.25"/>
    <row r="4166" ht="13.2" x14ac:dyDescent="0.25"/>
    <row r="4167" ht="13.2" x14ac:dyDescent="0.25"/>
    <row r="4168" ht="13.2" x14ac:dyDescent="0.25"/>
    <row r="4169" ht="13.2" x14ac:dyDescent="0.25"/>
    <row r="4170" ht="13.2" x14ac:dyDescent="0.25"/>
    <row r="4171" ht="13.2" x14ac:dyDescent="0.25"/>
    <row r="4172" ht="13.2" x14ac:dyDescent="0.25"/>
    <row r="4173" ht="13.2" x14ac:dyDescent="0.25"/>
    <row r="4174" ht="13.2" x14ac:dyDescent="0.25"/>
    <row r="4175" ht="13.2" x14ac:dyDescent="0.25"/>
    <row r="4176" ht="13.2" x14ac:dyDescent="0.25"/>
    <row r="4177" ht="13.2" x14ac:dyDescent="0.25"/>
    <row r="4178" ht="13.2" x14ac:dyDescent="0.25"/>
    <row r="4179" ht="13.2" x14ac:dyDescent="0.25"/>
    <row r="4180" ht="13.2" x14ac:dyDescent="0.25"/>
    <row r="4181" ht="13.2" x14ac:dyDescent="0.25"/>
    <row r="4182" ht="13.2" x14ac:dyDescent="0.25"/>
    <row r="4183" ht="13.2" x14ac:dyDescent="0.25"/>
    <row r="4184" ht="13.2" x14ac:dyDescent="0.25"/>
    <row r="4185" ht="13.2" x14ac:dyDescent="0.25"/>
    <row r="4186" ht="13.2" x14ac:dyDescent="0.25"/>
    <row r="4187" ht="13.2" x14ac:dyDescent="0.25"/>
    <row r="4188" ht="13.2" x14ac:dyDescent="0.25"/>
    <row r="4189" ht="13.2" x14ac:dyDescent="0.25"/>
    <row r="4190" ht="13.2" x14ac:dyDescent="0.25"/>
    <row r="4191" ht="13.2" x14ac:dyDescent="0.25"/>
    <row r="4192" ht="13.2" x14ac:dyDescent="0.25"/>
    <row r="4193" ht="13.2" x14ac:dyDescent="0.25"/>
    <row r="4194" ht="13.2" x14ac:dyDescent="0.25"/>
    <row r="4195" ht="13.2" x14ac:dyDescent="0.25"/>
    <row r="4196" ht="13.2" x14ac:dyDescent="0.25"/>
    <row r="4197" ht="13.2" x14ac:dyDescent="0.25"/>
    <row r="4198" ht="13.2" x14ac:dyDescent="0.25"/>
    <row r="4199" ht="13.2" x14ac:dyDescent="0.25"/>
    <row r="4200" ht="13.2" x14ac:dyDescent="0.25"/>
    <row r="4201" ht="13.2" x14ac:dyDescent="0.25"/>
    <row r="4202" ht="13.2" x14ac:dyDescent="0.25"/>
    <row r="4203" ht="13.2" x14ac:dyDescent="0.25"/>
    <row r="4204" ht="13.2" x14ac:dyDescent="0.25"/>
    <row r="4205" ht="13.2" x14ac:dyDescent="0.25"/>
    <row r="4206" ht="13.2" x14ac:dyDescent="0.25"/>
    <row r="4207" ht="13.2" x14ac:dyDescent="0.25"/>
    <row r="4208" ht="13.2" x14ac:dyDescent="0.25"/>
    <row r="4209" ht="13.2" x14ac:dyDescent="0.25"/>
    <row r="4210" ht="13.2" x14ac:dyDescent="0.25"/>
    <row r="4211" ht="13.2" x14ac:dyDescent="0.25"/>
    <row r="4212" ht="13.2" x14ac:dyDescent="0.25"/>
    <row r="4213" ht="13.2" x14ac:dyDescent="0.25"/>
    <row r="4214" ht="13.2" x14ac:dyDescent="0.25"/>
    <row r="4215" ht="13.2" x14ac:dyDescent="0.25"/>
    <row r="4216" ht="13.2" x14ac:dyDescent="0.25"/>
    <row r="4217" ht="13.2" x14ac:dyDescent="0.25"/>
    <row r="4218" ht="13.2" x14ac:dyDescent="0.25"/>
    <row r="4219" ht="13.2" x14ac:dyDescent="0.25"/>
    <row r="4220" ht="13.2" x14ac:dyDescent="0.25"/>
    <row r="4221" ht="13.2" x14ac:dyDescent="0.25"/>
    <row r="4222" ht="13.2" x14ac:dyDescent="0.25"/>
    <row r="4223" ht="13.2" x14ac:dyDescent="0.25"/>
    <row r="4224" ht="13.2" x14ac:dyDescent="0.25"/>
    <row r="4225" ht="13.2" x14ac:dyDescent="0.25"/>
    <row r="4226" ht="13.2" x14ac:dyDescent="0.25"/>
    <row r="4227" ht="13.2" x14ac:dyDescent="0.25"/>
    <row r="4228" ht="13.2" x14ac:dyDescent="0.25"/>
    <row r="4229" ht="13.2" x14ac:dyDescent="0.25"/>
    <row r="4230" ht="13.2" x14ac:dyDescent="0.25"/>
    <row r="4231" ht="13.2" x14ac:dyDescent="0.25"/>
    <row r="4232" ht="13.2" x14ac:dyDescent="0.25"/>
    <row r="4233" ht="13.2" x14ac:dyDescent="0.25"/>
    <row r="4234" ht="13.2" x14ac:dyDescent="0.25"/>
    <row r="4235" ht="13.2" x14ac:dyDescent="0.25"/>
    <row r="4236" ht="13.2" x14ac:dyDescent="0.25"/>
    <row r="4237" ht="13.2" x14ac:dyDescent="0.25"/>
    <row r="4238" ht="13.2" x14ac:dyDescent="0.25"/>
    <row r="4239" ht="13.2" x14ac:dyDescent="0.25"/>
    <row r="4240" ht="13.2" x14ac:dyDescent="0.25"/>
    <row r="4241" ht="13.2" x14ac:dyDescent="0.25"/>
    <row r="4242" ht="13.2" x14ac:dyDescent="0.25"/>
    <row r="4243" ht="13.2" x14ac:dyDescent="0.25"/>
    <row r="4244" ht="13.2" x14ac:dyDescent="0.25"/>
    <row r="4245" ht="13.2" x14ac:dyDescent="0.25"/>
    <row r="4246" ht="13.2" x14ac:dyDescent="0.25"/>
    <row r="4247" ht="13.2" x14ac:dyDescent="0.25"/>
    <row r="4248" ht="13.2" x14ac:dyDescent="0.25"/>
    <row r="4249" ht="13.2" x14ac:dyDescent="0.25"/>
    <row r="4250" ht="13.2" x14ac:dyDescent="0.25"/>
    <row r="4251" ht="13.2" x14ac:dyDescent="0.25"/>
    <row r="4252" ht="13.2" x14ac:dyDescent="0.25"/>
    <row r="4253" ht="13.2" x14ac:dyDescent="0.25"/>
    <row r="4254" ht="13.2" x14ac:dyDescent="0.25"/>
    <row r="4255" ht="13.2" x14ac:dyDescent="0.25"/>
    <row r="4256" ht="13.2" x14ac:dyDescent="0.25"/>
    <row r="4257" ht="13.2" x14ac:dyDescent="0.25"/>
    <row r="4258" ht="13.2" x14ac:dyDescent="0.25"/>
    <row r="4259" ht="13.2" x14ac:dyDescent="0.25"/>
    <row r="4260" ht="13.2" x14ac:dyDescent="0.25"/>
    <row r="4261" ht="13.2" x14ac:dyDescent="0.25"/>
    <row r="4262" ht="13.2" x14ac:dyDescent="0.25"/>
    <row r="4263" ht="13.2" x14ac:dyDescent="0.25"/>
    <row r="4264" ht="13.2" x14ac:dyDescent="0.25"/>
    <row r="4265" ht="13.2" x14ac:dyDescent="0.25"/>
    <row r="4266" ht="13.2" x14ac:dyDescent="0.25"/>
    <row r="4267" ht="13.2" x14ac:dyDescent="0.25"/>
    <row r="4268" ht="13.2" x14ac:dyDescent="0.25"/>
    <row r="4269" ht="13.2" x14ac:dyDescent="0.25"/>
    <row r="4270" ht="13.2" x14ac:dyDescent="0.25"/>
    <row r="4271" ht="13.2" x14ac:dyDescent="0.25"/>
    <row r="4272" ht="13.2" x14ac:dyDescent="0.25"/>
    <row r="4273" ht="13.2" x14ac:dyDescent="0.25"/>
    <row r="4274" ht="13.2" x14ac:dyDescent="0.25"/>
    <row r="4275" ht="13.2" x14ac:dyDescent="0.25"/>
    <row r="4276" ht="13.2" x14ac:dyDescent="0.25"/>
    <row r="4277" ht="13.2" x14ac:dyDescent="0.25"/>
    <row r="4278" ht="13.2" x14ac:dyDescent="0.25"/>
    <row r="4279" ht="13.2" x14ac:dyDescent="0.25"/>
    <row r="4280" ht="13.2" x14ac:dyDescent="0.25"/>
    <row r="4281" ht="13.2" x14ac:dyDescent="0.25"/>
    <row r="4282" ht="13.2" x14ac:dyDescent="0.25"/>
    <row r="4283" ht="13.2" x14ac:dyDescent="0.25"/>
    <row r="4284" ht="13.2" x14ac:dyDescent="0.25"/>
    <row r="4285" ht="13.2" x14ac:dyDescent="0.25"/>
    <row r="4286" ht="13.2" x14ac:dyDescent="0.25"/>
    <row r="4287" ht="13.2" x14ac:dyDescent="0.25"/>
    <row r="4288" ht="13.2" x14ac:dyDescent="0.25"/>
    <row r="4289" ht="13.2" x14ac:dyDescent="0.25"/>
    <row r="4290" ht="13.2" x14ac:dyDescent="0.25"/>
    <row r="4291" ht="13.2" x14ac:dyDescent="0.25"/>
    <row r="4292" ht="13.2" x14ac:dyDescent="0.25"/>
    <row r="4293" ht="13.2" x14ac:dyDescent="0.25"/>
    <row r="4294" ht="13.2" x14ac:dyDescent="0.25"/>
    <row r="4295" ht="13.2" x14ac:dyDescent="0.25"/>
    <row r="4296" ht="13.2" x14ac:dyDescent="0.25"/>
    <row r="4297" ht="13.2" x14ac:dyDescent="0.25"/>
    <row r="4298" ht="13.2" x14ac:dyDescent="0.25"/>
    <row r="4299" ht="13.2" x14ac:dyDescent="0.25"/>
    <row r="4300" ht="13.2" x14ac:dyDescent="0.25"/>
    <row r="4301" ht="13.2" x14ac:dyDescent="0.25"/>
    <row r="4302" ht="13.2" x14ac:dyDescent="0.25"/>
    <row r="4303" ht="13.2" x14ac:dyDescent="0.25"/>
    <row r="4304" ht="13.2" x14ac:dyDescent="0.25"/>
    <row r="4305" ht="13.2" x14ac:dyDescent="0.25"/>
    <row r="4306" ht="13.2" x14ac:dyDescent="0.25"/>
    <row r="4307" ht="13.2" x14ac:dyDescent="0.25"/>
    <row r="4308" ht="13.2" x14ac:dyDescent="0.25"/>
    <row r="4309" ht="13.2" x14ac:dyDescent="0.25"/>
    <row r="4310" ht="13.2" x14ac:dyDescent="0.25"/>
    <row r="4311" ht="13.2" x14ac:dyDescent="0.25"/>
    <row r="4312" ht="13.2" x14ac:dyDescent="0.25"/>
    <row r="4313" ht="13.2" x14ac:dyDescent="0.25"/>
    <row r="4314" ht="13.2" x14ac:dyDescent="0.25"/>
    <row r="4315" ht="13.2" x14ac:dyDescent="0.25"/>
    <row r="4316" ht="13.2" x14ac:dyDescent="0.25"/>
    <row r="4317" ht="13.2" x14ac:dyDescent="0.25"/>
    <row r="4318" ht="13.2" x14ac:dyDescent="0.25"/>
    <row r="4319" ht="13.2" x14ac:dyDescent="0.25"/>
    <row r="4320" ht="13.2" x14ac:dyDescent="0.25"/>
    <row r="4321" ht="13.2" x14ac:dyDescent="0.25"/>
    <row r="4322" ht="13.2" x14ac:dyDescent="0.25"/>
    <row r="4323" ht="13.2" x14ac:dyDescent="0.25"/>
    <row r="4324" ht="13.2" x14ac:dyDescent="0.25"/>
    <row r="4325" ht="13.2" x14ac:dyDescent="0.25"/>
    <row r="4326" ht="13.2" x14ac:dyDescent="0.25"/>
    <row r="4327" ht="13.2" x14ac:dyDescent="0.25"/>
    <row r="4328" ht="13.2" x14ac:dyDescent="0.25"/>
    <row r="4329" ht="13.2" x14ac:dyDescent="0.25"/>
    <row r="4330" ht="13.2" x14ac:dyDescent="0.25"/>
    <row r="4331" ht="13.2" x14ac:dyDescent="0.25"/>
    <row r="4332" ht="13.2" x14ac:dyDescent="0.25"/>
    <row r="4333" ht="13.2" x14ac:dyDescent="0.25"/>
    <row r="4334" ht="13.2" x14ac:dyDescent="0.25"/>
    <row r="4335" ht="13.2" x14ac:dyDescent="0.25"/>
    <row r="4336" ht="13.2" x14ac:dyDescent="0.25"/>
    <row r="4337" ht="13.2" x14ac:dyDescent="0.25"/>
    <row r="4338" ht="13.2" x14ac:dyDescent="0.25"/>
    <row r="4339" ht="13.2" x14ac:dyDescent="0.25"/>
    <row r="4340" ht="13.2" x14ac:dyDescent="0.25"/>
    <row r="4341" ht="13.2" x14ac:dyDescent="0.25"/>
    <row r="4342" ht="13.2" x14ac:dyDescent="0.25"/>
    <row r="4343" ht="13.2" x14ac:dyDescent="0.25"/>
    <row r="4344" ht="13.2" x14ac:dyDescent="0.25"/>
    <row r="4345" ht="13.2" x14ac:dyDescent="0.25"/>
    <row r="4346" ht="13.2" x14ac:dyDescent="0.25"/>
    <row r="4347" ht="13.2" x14ac:dyDescent="0.25"/>
    <row r="4348" ht="13.2" x14ac:dyDescent="0.25"/>
    <row r="4349" ht="13.2" x14ac:dyDescent="0.25"/>
    <row r="4350" ht="13.2" x14ac:dyDescent="0.25"/>
    <row r="4351" ht="13.2" x14ac:dyDescent="0.25"/>
    <row r="4352" ht="13.2" x14ac:dyDescent="0.25"/>
    <row r="4353" ht="13.2" x14ac:dyDescent="0.25"/>
    <row r="4354" ht="13.2" x14ac:dyDescent="0.25"/>
    <row r="4355" ht="13.2" x14ac:dyDescent="0.25"/>
    <row r="4356" ht="13.2" x14ac:dyDescent="0.25"/>
    <row r="4357" ht="13.2" x14ac:dyDescent="0.25"/>
    <row r="4358" ht="13.2" x14ac:dyDescent="0.25"/>
    <row r="4359" ht="13.2" x14ac:dyDescent="0.25"/>
    <row r="4360" ht="13.2" x14ac:dyDescent="0.25"/>
    <row r="4361" ht="13.2" x14ac:dyDescent="0.25"/>
    <row r="4362" ht="13.2" x14ac:dyDescent="0.25"/>
    <row r="4363" ht="13.2" x14ac:dyDescent="0.25"/>
    <row r="4364" ht="13.2" x14ac:dyDescent="0.25"/>
    <row r="4365" ht="13.2" x14ac:dyDescent="0.25"/>
    <row r="4366" ht="13.2" x14ac:dyDescent="0.25"/>
    <row r="4367" ht="13.2" x14ac:dyDescent="0.25"/>
    <row r="4368" ht="13.2" x14ac:dyDescent="0.25"/>
    <row r="4369" ht="13.2" x14ac:dyDescent="0.25"/>
    <row r="4370" ht="13.2" x14ac:dyDescent="0.25"/>
    <row r="4371" ht="13.2" x14ac:dyDescent="0.25"/>
    <row r="4372" ht="13.2" x14ac:dyDescent="0.25"/>
    <row r="4373" ht="13.2" x14ac:dyDescent="0.25"/>
    <row r="4374" ht="13.2" x14ac:dyDescent="0.25"/>
    <row r="4375" ht="13.2" x14ac:dyDescent="0.25"/>
    <row r="4376" ht="13.2" x14ac:dyDescent="0.25"/>
    <row r="4377" ht="13.2" x14ac:dyDescent="0.25"/>
    <row r="4378" ht="13.2" x14ac:dyDescent="0.25"/>
    <row r="4379" ht="13.2" x14ac:dyDescent="0.25"/>
    <row r="4380" ht="13.2" x14ac:dyDescent="0.25"/>
    <row r="4381" ht="13.2" x14ac:dyDescent="0.25"/>
    <row r="4382" ht="13.2" x14ac:dyDescent="0.25"/>
    <row r="4383" ht="13.2" x14ac:dyDescent="0.25"/>
    <row r="4384" ht="13.2" x14ac:dyDescent="0.25"/>
    <row r="4385" ht="13.2" x14ac:dyDescent="0.25"/>
    <row r="4386" ht="13.2" x14ac:dyDescent="0.25"/>
    <row r="4387" ht="13.2" x14ac:dyDescent="0.25"/>
    <row r="4388" ht="13.2" x14ac:dyDescent="0.25"/>
    <row r="4389" ht="13.2" x14ac:dyDescent="0.25"/>
    <row r="4390" ht="13.2" x14ac:dyDescent="0.25"/>
    <row r="4391" ht="13.2" x14ac:dyDescent="0.25"/>
    <row r="4392" ht="13.2" x14ac:dyDescent="0.25"/>
    <row r="4393" ht="13.2" x14ac:dyDescent="0.25"/>
    <row r="4394" ht="13.2" x14ac:dyDescent="0.25"/>
    <row r="4395" ht="13.2" x14ac:dyDescent="0.25"/>
    <row r="4396" ht="13.2" x14ac:dyDescent="0.25"/>
    <row r="4397" ht="13.2" x14ac:dyDescent="0.25"/>
    <row r="4398" ht="13.2" x14ac:dyDescent="0.25"/>
    <row r="4399" ht="13.2" x14ac:dyDescent="0.25"/>
    <row r="4400" ht="13.2" x14ac:dyDescent="0.25"/>
    <row r="4401" ht="13.2" x14ac:dyDescent="0.25"/>
    <row r="4402" ht="13.2" x14ac:dyDescent="0.25"/>
    <row r="4403" ht="13.2" x14ac:dyDescent="0.25"/>
    <row r="4404" ht="13.2" x14ac:dyDescent="0.25"/>
    <row r="4405" ht="13.2" x14ac:dyDescent="0.25"/>
    <row r="4406" ht="13.2" x14ac:dyDescent="0.25"/>
    <row r="4407" ht="13.2" x14ac:dyDescent="0.25"/>
    <row r="4408" ht="13.2" x14ac:dyDescent="0.25"/>
    <row r="4409" ht="13.2" x14ac:dyDescent="0.25"/>
    <row r="4410" ht="13.2" x14ac:dyDescent="0.25"/>
    <row r="4411" ht="13.2" x14ac:dyDescent="0.25"/>
    <row r="4412" ht="13.2" x14ac:dyDescent="0.25"/>
    <row r="4413" ht="13.2" x14ac:dyDescent="0.25"/>
    <row r="4414" ht="13.2" x14ac:dyDescent="0.25"/>
    <row r="4415" ht="13.2" x14ac:dyDescent="0.25"/>
    <row r="4416" ht="13.2" x14ac:dyDescent="0.25"/>
    <row r="4417" ht="13.2" x14ac:dyDescent="0.25"/>
    <row r="4418" ht="13.2" x14ac:dyDescent="0.25"/>
    <row r="4419" ht="13.2" x14ac:dyDescent="0.25"/>
    <row r="4420" ht="13.2" x14ac:dyDescent="0.25"/>
    <row r="4421" ht="13.2" x14ac:dyDescent="0.25"/>
    <row r="4422" ht="13.2" x14ac:dyDescent="0.25"/>
    <row r="4423" ht="13.2" x14ac:dyDescent="0.25"/>
    <row r="4424" ht="13.2" x14ac:dyDescent="0.25"/>
    <row r="4425" ht="13.2" x14ac:dyDescent="0.25"/>
    <row r="4426" ht="13.2" x14ac:dyDescent="0.25"/>
    <row r="4427" ht="13.2" x14ac:dyDescent="0.25"/>
    <row r="4428" ht="13.2" x14ac:dyDescent="0.25"/>
    <row r="4429" ht="13.2" x14ac:dyDescent="0.25"/>
    <row r="4430" ht="13.2" x14ac:dyDescent="0.25"/>
    <row r="4431" ht="13.2" x14ac:dyDescent="0.25"/>
    <row r="4432" ht="13.2" x14ac:dyDescent="0.25"/>
    <row r="4433" ht="13.2" x14ac:dyDescent="0.25"/>
    <row r="4434" ht="13.2" x14ac:dyDescent="0.25"/>
    <row r="4435" ht="13.2" x14ac:dyDescent="0.25"/>
    <row r="4436" ht="13.2" x14ac:dyDescent="0.25"/>
    <row r="4437" ht="13.2" x14ac:dyDescent="0.25"/>
    <row r="4438" ht="13.2" x14ac:dyDescent="0.25"/>
    <row r="4439" ht="13.2" x14ac:dyDescent="0.25"/>
    <row r="4440" ht="13.2" x14ac:dyDescent="0.25"/>
    <row r="4441" ht="13.2" x14ac:dyDescent="0.25"/>
    <row r="4442" ht="13.2" x14ac:dyDescent="0.25"/>
    <row r="4443" ht="13.2" x14ac:dyDescent="0.25"/>
    <row r="4444" ht="13.2" x14ac:dyDescent="0.25"/>
    <row r="4445" ht="13.2" x14ac:dyDescent="0.25"/>
    <row r="4446" ht="13.2" x14ac:dyDescent="0.25"/>
    <row r="4447" ht="13.2" x14ac:dyDescent="0.25"/>
    <row r="4448" ht="13.2" x14ac:dyDescent="0.25"/>
    <row r="4449" ht="13.2" x14ac:dyDescent="0.25"/>
    <row r="4450" ht="13.2" x14ac:dyDescent="0.25"/>
    <row r="4451" ht="13.2" x14ac:dyDescent="0.25"/>
    <row r="4452" ht="13.2" x14ac:dyDescent="0.25"/>
    <row r="4453" ht="13.2" x14ac:dyDescent="0.25"/>
    <row r="4454" ht="13.2" x14ac:dyDescent="0.25"/>
    <row r="4455" ht="13.2" x14ac:dyDescent="0.25"/>
    <row r="4456" ht="13.2" x14ac:dyDescent="0.25"/>
    <row r="4457" ht="13.2" x14ac:dyDescent="0.25"/>
    <row r="4458" ht="13.2" x14ac:dyDescent="0.25"/>
    <row r="4459" ht="13.2" x14ac:dyDescent="0.25"/>
    <row r="4460" ht="13.2" x14ac:dyDescent="0.25"/>
    <row r="4461" ht="13.2" x14ac:dyDescent="0.25"/>
    <row r="4462" ht="13.2" x14ac:dyDescent="0.25"/>
    <row r="4463" ht="13.2" x14ac:dyDescent="0.25"/>
    <row r="4464" ht="13.2" x14ac:dyDescent="0.25"/>
    <row r="4465" ht="13.2" x14ac:dyDescent="0.25"/>
    <row r="4466" ht="13.2" x14ac:dyDescent="0.25"/>
    <row r="4467" ht="13.2" x14ac:dyDescent="0.25"/>
    <row r="4468" ht="13.2" x14ac:dyDescent="0.25"/>
    <row r="4469" ht="13.2" x14ac:dyDescent="0.25"/>
    <row r="4470" ht="13.2" x14ac:dyDescent="0.25"/>
    <row r="4471" ht="13.2" x14ac:dyDescent="0.25"/>
    <row r="4472" ht="13.2" x14ac:dyDescent="0.25"/>
    <row r="4473" ht="13.2" x14ac:dyDescent="0.25"/>
    <row r="4474" ht="13.2" x14ac:dyDescent="0.25"/>
    <row r="4475" ht="13.2" x14ac:dyDescent="0.25"/>
    <row r="4476" ht="13.2" x14ac:dyDescent="0.25"/>
    <row r="4477" ht="13.2" x14ac:dyDescent="0.25"/>
    <row r="4478" ht="13.2" x14ac:dyDescent="0.25"/>
    <row r="4479" ht="13.2" x14ac:dyDescent="0.25"/>
    <row r="4480" ht="13.2" x14ac:dyDescent="0.25"/>
    <row r="4481" ht="13.2" x14ac:dyDescent="0.25"/>
    <row r="4482" ht="13.2" x14ac:dyDescent="0.25"/>
    <row r="4483" ht="13.2" x14ac:dyDescent="0.25"/>
    <row r="4484" ht="13.2" x14ac:dyDescent="0.25"/>
    <row r="4485" ht="13.2" x14ac:dyDescent="0.25"/>
    <row r="4486" ht="13.2" x14ac:dyDescent="0.25"/>
    <row r="4487" ht="13.2" x14ac:dyDescent="0.25"/>
    <row r="4488" ht="13.2" x14ac:dyDescent="0.25"/>
    <row r="4489" ht="13.2" x14ac:dyDescent="0.25"/>
    <row r="4490" ht="13.2" x14ac:dyDescent="0.25"/>
    <row r="4491" ht="13.2" x14ac:dyDescent="0.25"/>
    <row r="4492" ht="13.2" x14ac:dyDescent="0.25"/>
    <row r="4493" ht="13.2" x14ac:dyDescent="0.25"/>
    <row r="4494" ht="13.2" x14ac:dyDescent="0.25"/>
    <row r="4495" ht="13.2" x14ac:dyDescent="0.25"/>
    <row r="4496" ht="13.2" x14ac:dyDescent="0.25"/>
    <row r="4497" ht="13.2" x14ac:dyDescent="0.25"/>
    <row r="4498" ht="13.2" x14ac:dyDescent="0.25"/>
    <row r="4499" ht="13.2" x14ac:dyDescent="0.25"/>
    <row r="4500" ht="13.2" x14ac:dyDescent="0.25"/>
    <row r="4501" ht="13.2" x14ac:dyDescent="0.25"/>
    <row r="4502" ht="13.2" x14ac:dyDescent="0.25"/>
    <row r="4503" ht="13.2" x14ac:dyDescent="0.25"/>
    <row r="4504" ht="13.2" x14ac:dyDescent="0.25"/>
    <row r="4505" ht="13.2" x14ac:dyDescent="0.25"/>
    <row r="4506" ht="13.2" x14ac:dyDescent="0.25"/>
    <row r="4507" ht="13.2" x14ac:dyDescent="0.25"/>
    <row r="4508" ht="13.2" x14ac:dyDescent="0.25"/>
    <row r="4509" ht="13.2" x14ac:dyDescent="0.25"/>
    <row r="4510" ht="13.2" x14ac:dyDescent="0.25"/>
    <row r="4511" ht="13.2" x14ac:dyDescent="0.25"/>
    <row r="4512" ht="13.2" x14ac:dyDescent="0.25"/>
    <row r="4513" ht="13.2" x14ac:dyDescent="0.25"/>
    <row r="4514" ht="13.2" x14ac:dyDescent="0.25"/>
    <row r="4515" ht="13.2" x14ac:dyDescent="0.25"/>
    <row r="4516" ht="13.2" x14ac:dyDescent="0.25"/>
    <row r="4517" ht="13.2" x14ac:dyDescent="0.25"/>
    <row r="4518" ht="13.2" x14ac:dyDescent="0.25"/>
    <row r="4519" ht="13.2" x14ac:dyDescent="0.25"/>
    <row r="4520" ht="13.2" x14ac:dyDescent="0.25"/>
    <row r="4521" ht="13.2" x14ac:dyDescent="0.25"/>
    <row r="4522" ht="13.2" x14ac:dyDescent="0.25"/>
    <row r="4523" ht="13.2" x14ac:dyDescent="0.25"/>
    <row r="4524" ht="13.2" x14ac:dyDescent="0.25"/>
    <row r="4525" ht="13.2" x14ac:dyDescent="0.25"/>
    <row r="4526" ht="13.2" x14ac:dyDescent="0.25"/>
    <row r="4527" ht="13.2" x14ac:dyDescent="0.25"/>
    <row r="4528" ht="13.2" x14ac:dyDescent="0.25"/>
    <row r="4529" ht="13.2" x14ac:dyDescent="0.25"/>
    <row r="4530" ht="13.2" x14ac:dyDescent="0.25"/>
    <row r="4531" ht="13.2" x14ac:dyDescent="0.25"/>
    <row r="4532" ht="13.2" x14ac:dyDescent="0.25"/>
    <row r="4533" ht="13.2" x14ac:dyDescent="0.25"/>
    <row r="4534" ht="13.2" x14ac:dyDescent="0.25"/>
    <row r="4535" ht="13.2" x14ac:dyDescent="0.25"/>
    <row r="4536" ht="13.2" x14ac:dyDescent="0.25"/>
    <row r="4537" ht="13.2" x14ac:dyDescent="0.25"/>
    <row r="4538" ht="13.2" x14ac:dyDescent="0.25"/>
    <row r="4539" ht="13.2" x14ac:dyDescent="0.25"/>
    <row r="4540" ht="13.2" x14ac:dyDescent="0.25"/>
    <row r="4541" ht="13.2" x14ac:dyDescent="0.25"/>
    <row r="4542" ht="13.2" x14ac:dyDescent="0.25"/>
    <row r="4543" ht="13.2" x14ac:dyDescent="0.25"/>
    <row r="4544" ht="13.2" x14ac:dyDescent="0.25"/>
    <row r="4545" ht="13.2" x14ac:dyDescent="0.25"/>
    <row r="4546" ht="13.2" x14ac:dyDescent="0.25"/>
    <row r="4547" ht="13.2" x14ac:dyDescent="0.25"/>
    <row r="4548" ht="13.2" x14ac:dyDescent="0.25"/>
    <row r="4549" ht="13.2" x14ac:dyDescent="0.25"/>
    <row r="4550" ht="13.2" x14ac:dyDescent="0.25"/>
    <row r="4551" ht="13.2" x14ac:dyDescent="0.25"/>
    <row r="4552" ht="13.2" x14ac:dyDescent="0.25"/>
    <row r="4553" ht="13.2" x14ac:dyDescent="0.25"/>
    <row r="4554" ht="13.2" x14ac:dyDescent="0.25"/>
    <row r="4555" ht="13.2" x14ac:dyDescent="0.25"/>
    <row r="4556" ht="13.2" x14ac:dyDescent="0.25"/>
    <row r="4557" ht="13.2" x14ac:dyDescent="0.25"/>
    <row r="4558" ht="13.2" x14ac:dyDescent="0.25"/>
    <row r="4559" ht="13.2" x14ac:dyDescent="0.25"/>
    <row r="4560" ht="13.2" x14ac:dyDescent="0.25"/>
    <row r="4561" ht="13.2" x14ac:dyDescent="0.25"/>
    <row r="4562" ht="13.2" x14ac:dyDescent="0.25"/>
    <row r="4563" ht="13.2" x14ac:dyDescent="0.25"/>
    <row r="4564" ht="13.2" x14ac:dyDescent="0.25"/>
    <row r="4565" ht="13.2" x14ac:dyDescent="0.25"/>
    <row r="4566" ht="13.2" x14ac:dyDescent="0.25"/>
    <row r="4567" ht="13.2" x14ac:dyDescent="0.25"/>
    <row r="4568" ht="13.2" x14ac:dyDescent="0.25"/>
    <row r="4569" ht="13.2" x14ac:dyDescent="0.25"/>
    <row r="4570" ht="13.2" x14ac:dyDescent="0.25"/>
    <row r="4571" ht="13.2" x14ac:dyDescent="0.25"/>
    <row r="4572" ht="13.2" x14ac:dyDescent="0.25"/>
    <row r="4573" ht="13.2" x14ac:dyDescent="0.25"/>
    <row r="4574" ht="13.2" x14ac:dyDescent="0.25"/>
    <row r="4575" ht="13.2" x14ac:dyDescent="0.25"/>
    <row r="4576" ht="13.2" x14ac:dyDescent="0.25"/>
    <row r="4577" ht="13.2" x14ac:dyDescent="0.25"/>
    <row r="4578" ht="13.2" x14ac:dyDescent="0.25"/>
    <row r="4579" ht="13.2" x14ac:dyDescent="0.25"/>
    <row r="4580" ht="13.2" x14ac:dyDescent="0.25"/>
    <row r="4581" ht="13.2" x14ac:dyDescent="0.25"/>
    <row r="4582" ht="13.2" x14ac:dyDescent="0.25"/>
    <row r="4583" ht="13.2" x14ac:dyDescent="0.25"/>
    <row r="4584" ht="13.2" x14ac:dyDescent="0.25"/>
    <row r="4585" ht="13.2" x14ac:dyDescent="0.25"/>
    <row r="4586" ht="13.2" x14ac:dyDescent="0.25"/>
    <row r="4587" ht="13.2" x14ac:dyDescent="0.25"/>
    <row r="4588" ht="13.2" x14ac:dyDescent="0.25"/>
    <row r="4589" ht="13.2" x14ac:dyDescent="0.25"/>
    <row r="4590" ht="13.2" x14ac:dyDescent="0.25"/>
    <row r="4591" ht="13.2" x14ac:dyDescent="0.25"/>
    <row r="4592" ht="13.2" x14ac:dyDescent="0.25"/>
    <row r="4593" ht="13.2" x14ac:dyDescent="0.25"/>
    <row r="4594" ht="13.2" x14ac:dyDescent="0.25"/>
    <row r="4595" ht="13.2" x14ac:dyDescent="0.25"/>
    <row r="4596" ht="13.2" x14ac:dyDescent="0.25"/>
    <row r="4597" ht="13.2" x14ac:dyDescent="0.25"/>
    <row r="4598" ht="13.2" x14ac:dyDescent="0.25"/>
    <row r="4599" ht="13.2" x14ac:dyDescent="0.25"/>
    <row r="4600" ht="13.2" x14ac:dyDescent="0.25"/>
    <row r="4601" ht="13.2" x14ac:dyDescent="0.25"/>
    <row r="4602" ht="13.2" x14ac:dyDescent="0.25"/>
    <row r="4603" ht="13.2" x14ac:dyDescent="0.25"/>
    <row r="4604" ht="13.2" x14ac:dyDescent="0.25"/>
    <row r="4605" ht="13.2" x14ac:dyDescent="0.25"/>
    <row r="4606" ht="13.2" x14ac:dyDescent="0.25"/>
    <row r="4607" ht="13.2" x14ac:dyDescent="0.25"/>
    <row r="4608" ht="13.2" x14ac:dyDescent="0.25"/>
    <row r="4609" ht="13.2" x14ac:dyDescent="0.25"/>
    <row r="4610" ht="13.2" x14ac:dyDescent="0.25"/>
    <row r="4611" ht="13.2" x14ac:dyDescent="0.25"/>
    <row r="4612" ht="13.2" x14ac:dyDescent="0.25"/>
    <row r="4613" ht="13.2" x14ac:dyDescent="0.25"/>
    <row r="4614" ht="13.2" x14ac:dyDescent="0.25"/>
    <row r="4615" ht="13.2" x14ac:dyDescent="0.25"/>
    <row r="4616" ht="13.2" x14ac:dyDescent="0.25"/>
    <row r="4617" ht="13.2" x14ac:dyDescent="0.25"/>
    <row r="4618" ht="13.2" x14ac:dyDescent="0.25"/>
    <row r="4619" ht="13.2" x14ac:dyDescent="0.25"/>
    <row r="4620" ht="13.2" x14ac:dyDescent="0.25"/>
    <row r="4621" ht="13.2" x14ac:dyDescent="0.25"/>
    <row r="4622" ht="13.2" x14ac:dyDescent="0.25"/>
    <row r="4623" ht="13.2" x14ac:dyDescent="0.25"/>
    <row r="4624" ht="13.2" x14ac:dyDescent="0.25"/>
    <row r="4625" ht="13.2" x14ac:dyDescent="0.25"/>
    <row r="4626" ht="13.2" x14ac:dyDescent="0.25"/>
    <row r="4627" ht="13.2" x14ac:dyDescent="0.25"/>
    <row r="4628" ht="13.2" x14ac:dyDescent="0.25"/>
    <row r="4629" ht="13.2" x14ac:dyDescent="0.25"/>
    <row r="4630" ht="13.2" x14ac:dyDescent="0.25"/>
    <row r="4631" ht="13.2" x14ac:dyDescent="0.25"/>
    <row r="4632" ht="13.2" x14ac:dyDescent="0.25"/>
    <row r="4633" ht="13.2" x14ac:dyDescent="0.25"/>
    <row r="4634" ht="13.2" x14ac:dyDescent="0.25"/>
    <row r="4635" ht="13.2" x14ac:dyDescent="0.25"/>
    <row r="4636" ht="13.2" x14ac:dyDescent="0.25"/>
    <row r="4637" ht="13.2" x14ac:dyDescent="0.25"/>
    <row r="4638" ht="13.2" x14ac:dyDescent="0.25"/>
    <row r="4639" ht="13.2" x14ac:dyDescent="0.25"/>
    <row r="4640" ht="13.2" x14ac:dyDescent="0.25"/>
    <row r="4641" ht="13.2" x14ac:dyDescent="0.25"/>
    <row r="4642" ht="13.2" x14ac:dyDescent="0.25"/>
    <row r="4643" ht="13.2" x14ac:dyDescent="0.25"/>
    <row r="4644" ht="13.2" x14ac:dyDescent="0.25"/>
    <row r="4645" ht="13.2" x14ac:dyDescent="0.25"/>
    <row r="4646" ht="13.2" x14ac:dyDescent="0.25"/>
    <row r="4647" ht="13.2" x14ac:dyDescent="0.25"/>
    <row r="4648" ht="13.2" x14ac:dyDescent="0.25"/>
    <row r="4649" ht="13.2" x14ac:dyDescent="0.25"/>
    <row r="4650" ht="13.2" x14ac:dyDescent="0.25"/>
    <row r="4651" ht="13.2" x14ac:dyDescent="0.25"/>
    <row r="4652" ht="13.2" x14ac:dyDescent="0.25"/>
    <row r="4653" ht="13.2" x14ac:dyDescent="0.25"/>
    <row r="4654" ht="13.2" x14ac:dyDescent="0.25"/>
    <row r="4655" ht="13.2" x14ac:dyDescent="0.25"/>
    <row r="4656" ht="13.2" x14ac:dyDescent="0.25"/>
    <row r="4657" ht="13.2" x14ac:dyDescent="0.25"/>
    <row r="4658" ht="13.2" x14ac:dyDescent="0.25"/>
    <row r="4659" ht="13.2" x14ac:dyDescent="0.25"/>
    <row r="4660" ht="13.2" x14ac:dyDescent="0.25"/>
    <row r="4661" ht="13.2" x14ac:dyDescent="0.25"/>
    <row r="4662" ht="13.2" x14ac:dyDescent="0.25"/>
    <row r="4663" ht="13.2" x14ac:dyDescent="0.25"/>
    <row r="4664" ht="13.2" x14ac:dyDescent="0.25"/>
    <row r="4665" ht="13.2" x14ac:dyDescent="0.25"/>
    <row r="4666" ht="13.2" x14ac:dyDescent="0.25"/>
    <row r="4667" ht="13.2" x14ac:dyDescent="0.25"/>
    <row r="4668" ht="13.2" x14ac:dyDescent="0.25"/>
    <row r="4669" ht="13.2" x14ac:dyDescent="0.25"/>
    <row r="4670" ht="13.2" x14ac:dyDescent="0.25"/>
    <row r="4671" ht="13.2" x14ac:dyDescent="0.25"/>
    <row r="4672" ht="13.2" x14ac:dyDescent="0.25"/>
    <row r="4673" ht="13.2" x14ac:dyDescent="0.25"/>
    <row r="4674" ht="13.2" x14ac:dyDescent="0.25"/>
    <row r="4675" ht="13.2" x14ac:dyDescent="0.25"/>
    <row r="4676" ht="13.2" x14ac:dyDescent="0.25"/>
    <row r="4677" ht="13.2" x14ac:dyDescent="0.25"/>
    <row r="4678" ht="13.2" x14ac:dyDescent="0.25"/>
    <row r="4679" ht="13.2" x14ac:dyDescent="0.25"/>
    <row r="4680" ht="13.2" x14ac:dyDescent="0.25"/>
    <row r="4681" ht="13.2" x14ac:dyDescent="0.25"/>
    <row r="4682" ht="13.2" x14ac:dyDescent="0.25"/>
    <row r="4683" ht="13.2" x14ac:dyDescent="0.25"/>
    <row r="4684" ht="13.2" x14ac:dyDescent="0.25"/>
    <row r="4685" ht="13.2" x14ac:dyDescent="0.25"/>
    <row r="4686" ht="13.2" x14ac:dyDescent="0.25"/>
    <row r="4687" ht="13.2" x14ac:dyDescent="0.25"/>
    <row r="4688" ht="13.2" x14ac:dyDescent="0.25"/>
    <row r="4689" ht="13.2" x14ac:dyDescent="0.25"/>
    <row r="4690" ht="13.2" x14ac:dyDescent="0.25"/>
    <row r="4691" ht="13.2" x14ac:dyDescent="0.25"/>
    <row r="4692" ht="13.2" x14ac:dyDescent="0.25"/>
    <row r="4693" ht="13.2" x14ac:dyDescent="0.25"/>
    <row r="4694" ht="13.2" x14ac:dyDescent="0.25"/>
    <row r="4695" ht="13.2" x14ac:dyDescent="0.25"/>
    <row r="4696" ht="13.2" x14ac:dyDescent="0.25"/>
    <row r="4697" ht="13.2" x14ac:dyDescent="0.25"/>
    <row r="4698" ht="13.2" x14ac:dyDescent="0.25"/>
    <row r="4699" ht="13.2" x14ac:dyDescent="0.25"/>
    <row r="4700" ht="13.2" x14ac:dyDescent="0.25"/>
    <row r="4701" ht="13.2" x14ac:dyDescent="0.25"/>
    <row r="4702" ht="13.2" x14ac:dyDescent="0.25"/>
    <row r="4703" ht="13.2" x14ac:dyDescent="0.25"/>
    <row r="4704" ht="13.2" x14ac:dyDescent="0.25"/>
    <row r="4705" ht="13.2" x14ac:dyDescent="0.25"/>
    <row r="4706" ht="13.2" x14ac:dyDescent="0.25"/>
    <row r="4707" ht="13.2" x14ac:dyDescent="0.25"/>
    <row r="4708" ht="13.2" x14ac:dyDescent="0.25"/>
    <row r="4709" ht="13.2" x14ac:dyDescent="0.25"/>
    <row r="4710" ht="13.2" x14ac:dyDescent="0.25"/>
    <row r="4711" ht="13.2" x14ac:dyDescent="0.25"/>
    <row r="4712" ht="13.2" x14ac:dyDescent="0.25"/>
    <row r="4713" ht="13.2" x14ac:dyDescent="0.25"/>
    <row r="4714" ht="13.2" x14ac:dyDescent="0.25"/>
    <row r="4715" ht="13.2" x14ac:dyDescent="0.25"/>
    <row r="4716" ht="13.2" x14ac:dyDescent="0.25"/>
    <row r="4717" ht="13.2" x14ac:dyDescent="0.25"/>
    <row r="4718" ht="13.2" x14ac:dyDescent="0.25"/>
    <row r="4719" ht="13.2" x14ac:dyDescent="0.25"/>
    <row r="4720" ht="13.2" x14ac:dyDescent="0.25"/>
    <row r="4721" ht="13.2" x14ac:dyDescent="0.25"/>
    <row r="4722" ht="13.2" x14ac:dyDescent="0.25"/>
    <row r="4723" ht="13.2" x14ac:dyDescent="0.25"/>
    <row r="4724" ht="13.2" x14ac:dyDescent="0.25"/>
    <row r="4725" ht="13.2" x14ac:dyDescent="0.25"/>
    <row r="4726" ht="13.2" x14ac:dyDescent="0.25"/>
    <row r="4727" ht="13.2" x14ac:dyDescent="0.25"/>
    <row r="4728" ht="13.2" x14ac:dyDescent="0.25"/>
    <row r="4729" ht="13.2" x14ac:dyDescent="0.25"/>
    <row r="4730" ht="13.2" x14ac:dyDescent="0.25"/>
    <row r="4731" ht="13.2" x14ac:dyDescent="0.25"/>
    <row r="4732" ht="13.2" x14ac:dyDescent="0.25"/>
    <row r="4733" ht="13.2" x14ac:dyDescent="0.25"/>
    <row r="4734" ht="13.2" x14ac:dyDescent="0.25"/>
    <row r="4735" ht="13.2" x14ac:dyDescent="0.25"/>
    <row r="4736" ht="13.2" x14ac:dyDescent="0.25"/>
    <row r="4737" ht="13.2" x14ac:dyDescent="0.25"/>
    <row r="4738" ht="13.2" x14ac:dyDescent="0.25"/>
    <row r="4739" ht="13.2" x14ac:dyDescent="0.25"/>
    <row r="4740" ht="13.2" x14ac:dyDescent="0.25"/>
    <row r="4741" ht="13.2" x14ac:dyDescent="0.25"/>
    <row r="4742" ht="13.2" x14ac:dyDescent="0.25"/>
    <row r="4743" ht="13.2" x14ac:dyDescent="0.25"/>
    <row r="4744" ht="13.2" x14ac:dyDescent="0.25"/>
    <row r="4745" ht="13.2" x14ac:dyDescent="0.25"/>
    <row r="4746" ht="13.2" x14ac:dyDescent="0.25"/>
    <row r="4747" ht="13.2" x14ac:dyDescent="0.25"/>
    <row r="4748" ht="13.2" x14ac:dyDescent="0.25"/>
    <row r="4749" ht="13.2" x14ac:dyDescent="0.25"/>
    <row r="4750" ht="13.2" x14ac:dyDescent="0.25"/>
    <row r="4751" ht="13.2" x14ac:dyDescent="0.25"/>
    <row r="4752" ht="13.2" x14ac:dyDescent="0.25"/>
    <row r="4753" ht="13.2" x14ac:dyDescent="0.25"/>
    <row r="4754" ht="13.2" x14ac:dyDescent="0.25"/>
    <row r="4755" ht="13.2" x14ac:dyDescent="0.25"/>
    <row r="4756" ht="13.2" x14ac:dyDescent="0.25"/>
    <row r="4757" ht="13.2" x14ac:dyDescent="0.25"/>
    <row r="4758" ht="13.2" x14ac:dyDescent="0.25"/>
    <row r="4759" ht="13.2" x14ac:dyDescent="0.25"/>
    <row r="4760" ht="13.2" x14ac:dyDescent="0.25"/>
    <row r="4761" ht="13.2" x14ac:dyDescent="0.25"/>
    <row r="4762" ht="13.2" x14ac:dyDescent="0.25"/>
    <row r="4763" ht="13.2" x14ac:dyDescent="0.25"/>
    <row r="4764" ht="13.2" x14ac:dyDescent="0.25"/>
    <row r="4765" ht="13.2" x14ac:dyDescent="0.25"/>
    <row r="4766" ht="13.2" x14ac:dyDescent="0.25"/>
    <row r="4767" ht="13.2" x14ac:dyDescent="0.25"/>
    <row r="4768" ht="13.2" x14ac:dyDescent="0.25"/>
    <row r="4769" ht="13.2" x14ac:dyDescent="0.25"/>
    <row r="4770" ht="13.2" x14ac:dyDescent="0.25"/>
    <row r="4771" ht="13.2" x14ac:dyDescent="0.25"/>
    <row r="4772" ht="13.2" x14ac:dyDescent="0.25"/>
    <row r="4773" ht="13.2" x14ac:dyDescent="0.25"/>
    <row r="4774" ht="13.2" x14ac:dyDescent="0.25"/>
    <row r="4775" ht="13.2" x14ac:dyDescent="0.25"/>
    <row r="4776" ht="13.2" x14ac:dyDescent="0.25"/>
    <row r="4777" ht="13.2" x14ac:dyDescent="0.25"/>
    <row r="4778" ht="13.2" x14ac:dyDescent="0.25"/>
    <row r="4779" ht="13.2" x14ac:dyDescent="0.25"/>
    <row r="4780" ht="13.2" x14ac:dyDescent="0.25"/>
    <row r="4781" ht="13.2" x14ac:dyDescent="0.25"/>
    <row r="4782" ht="13.2" x14ac:dyDescent="0.25"/>
    <row r="4783" ht="13.2" x14ac:dyDescent="0.25"/>
    <row r="4784" ht="13.2" x14ac:dyDescent="0.25"/>
    <row r="4785" ht="13.2" x14ac:dyDescent="0.25"/>
    <row r="4786" ht="13.2" x14ac:dyDescent="0.25"/>
    <row r="4787" ht="13.2" x14ac:dyDescent="0.25"/>
    <row r="4788" ht="13.2" x14ac:dyDescent="0.25"/>
    <row r="4789" ht="13.2" x14ac:dyDescent="0.25"/>
    <row r="4790" ht="13.2" x14ac:dyDescent="0.25"/>
    <row r="4791" ht="13.2" x14ac:dyDescent="0.25"/>
    <row r="4792" ht="13.2" x14ac:dyDescent="0.25"/>
    <row r="4793" ht="13.2" x14ac:dyDescent="0.25"/>
    <row r="4794" ht="13.2" x14ac:dyDescent="0.25"/>
    <row r="4795" ht="13.2" x14ac:dyDescent="0.25"/>
    <row r="4796" ht="13.2" x14ac:dyDescent="0.25"/>
    <row r="4797" ht="13.2" x14ac:dyDescent="0.25"/>
    <row r="4798" ht="13.2" x14ac:dyDescent="0.25"/>
    <row r="4799" ht="13.2" x14ac:dyDescent="0.25"/>
    <row r="4800" ht="13.2" x14ac:dyDescent="0.25"/>
    <row r="4801" ht="13.2" x14ac:dyDescent="0.25"/>
    <row r="4802" ht="13.2" x14ac:dyDescent="0.25"/>
    <row r="4803" ht="13.2" x14ac:dyDescent="0.25"/>
    <row r="4804" ht="13.2" x14ac:dyDescent="0.25"/>
    <row r="4805" ht="13.2" x14ac:dyDescent="0.25"/>
    <row r="4806" ht="13.2" x14ac:dyDescent="0.25"/>
    <row r="4807" ht="13.2" x14ac:dyDescent="0.25"/>
    <row r="4808" ht="13.2" x14ac:dyDescent="0.25"/>
    <row r="4809" ht="13.2" x14ac:dyDescent="0.25"/>
    <row r="4810" ht="13.2" x14ac:dyDescent="0.25"/>
    <row r="4811" ht="13.2" x14ac:dyDescent="0.25"/>
    <row r="4812" ht="13.2" x14ac:dyDescent="0.25"/>
    <row r="4813" ht="13.2" x14ac:dyDescent="0.25"/>
    <row r="4814" ht="13.2" x14ac:dyDescent="0.25"/>
    <row r="4815" ht="13.2" x14ac:dyDescent="0.25"/>
    <row r="4816" ht="13.2" x14ac:dyDescent="0.25"/>
    <row r="4817" ht="13.2" x14ac:dyDescent="0.25"/>
    <row r="4818" ht="13.2" x14ac:dyDescent="0.25"/>
    <row r="4819" ht="13.2" x14ac:dyDescent="0.25"/>
    <row r="4820" ht="13.2" x14ac:dyDescent="0.25"/>
    <row r="4821" ht="13.2" x14ac:dyDescent="0.25"/>
    <row r="4822" ht="13.2" x14ac:dyDescent="0.25"/>
    <row r="4823" ht="13.2" x14ac:dyDescent="0.25"/>
    <row r="4824" ht="13.2" x14ac:dyDescent="0.25"/>
    <row r="4825" ht="13.2" x14ac:dyDescent="0.25"/>
    <row r="4826" ht="13.2" x14ac:dyDescent="0.25"/>
    <row r="4827" ht="13.2" x14ac:dyDescent="0.25"/>
    <row r="4828" ht="13.2" x14ac:dyDescent="0.25"/>
    <row r="4829" ht="13.2" x14ac:dyDescent="0.25"/>
    <row r="4830" ht="13.2" x14ac:dyDescent="0.25"/>
    <row r="4831" ht="13.2" x14ac:dyDescent="0.25"/>
    <row r="4832" ht="13.2" x14ac:dyDescent="0.25"/>
    <row r="4833" ht="13.2" x14ac:dyDescent="0.25"/>
    <row r="4834" ht="13.2" x14ac:dyDescent="0.25"/>
    <row r="4835" ht="13.2" x14ac:dyDescent="0.25"/>
    <row r="4836" ht="13.2" x14ac:dyDescent="0.25"/>
    <row r="4837" ht="13.2" x14ac:dyDescent="0.25"/>
    <row r="4838" ht="13.2" x14ac:dyDescent="0.25"/>
    <row r="4839" ht="13.2" x14ac:dyDescent="0.25"/>
    <row r="4840" ht="13.2" x14ac:dyDescent="0.25"/>
    <row r="4841" ht="13.2" x14ac:dyDescent="0.25"/>
    <row r="4842" ht="13.2" x14ac:dyDescent="0.25"/>
    <row r="4843" ht="13.2" x14ac:dyDescent="0.25"/>
    <row r="4844" ht="13.2" x14ac:dyDescent="0.25"/>
    <row r="4845" ht="13.2" x14ac:dyDescent="0.25"/>
    <row r="4846" ht="13.2" x14ac:dyDescent="0.25"/>
    <row r="4847" ht="13.2" x14ac:dyDescent="0.25"/>
    <row r="4848" ht="13.2" x14ac:dyDescent="0.25"/>
    <row r="4849" ht="13.2" x14ac:dyDescent="0.25"/>
    <row r="4850" ht="13.2" x14ac:dyDescent="0.25"/>
    <row r="4851" ht="13.2" x14ac:dyDescent="0.25"/>
    <row r="4852" ht="13.2" x14ac:dyDescent="0.25"/>
    <row r="4853" ht="13.2" x14ac:dyDescent="0.25"/>
    <row r="4854" ht="13.2" x14ac:dyDescent="0.25"/>
    <row r="4855" ht="13.2" x14ac:dyDescent="0.25"/>
    <row r="4856" ht="13.2" x14ac:dyDescent="0.25"/>
    <row r="4857" ht="13.2" x14ac:dyDescent="0.25"/>
    <row r="4858" ht="13.2" x14ac:dyDescent="0.25"/>
    <row r="4859" ht="13.2" x14ac:dyDescent="0.25"/>
    <row r="4860" ht="13.2" x14ac:dyDescent="0.25"/>
    <row r="4861" ht="13.2" x14ac:dyDescent="0.25"/>
    <row r="4862" ht="13.2" x14ac:dyDescent="0.25"/>
    <row r="4863" ht="13.2" x14ac:dyDescent="0.25"/>
    <row r="4864" ht="13.2" x14ac:dyDescent="0.25"/>
    <row r="4865" ht="13.2" x14ac:dyDescent="0.25"/>
    <row r="4866" ht="13.2" x14ac:dyDescent="0.25"/>
    <row r="4867" ht="13.2" x14ac:dyDescent="0.25"/>
    <row r="4868" ht="13.2" x14ac:dyDescent="0.25"/>
    <row r="4869" ht="13.2" x14ac:dyDescent="0.25"/>
    <row r="4870" ht="13.2" x14ac:dyDescent="0.25"/>
    <row r="4871" ht="13.2" x14ac:dyDescent="0.25"/>
    <row r="4872" ht="13.2" x14ac:dyDescent="0.25"/>
    <row r="4873" ht="13.2" x14ac:dyDescent="0.25"/>
    <row r="4874" ht="13.2" x14ac:dyDescent="0.25"/>
    <row r="4875" ht="13.2" x14ac:dyDescent="0.25"/>
    <row r="4876" ht="13.2" x14ac:dyDescent="0.25"/>
    <row r="4877" ht="13.2" x14ac:dyDescent="0.25"/>
    <row r="4878" ht="13.2" x14ac:dyDescent="0.25"/>
    <row r="4879" ht="13.2" x14ac:dyDescent="0.25"/>
    <row r="4880" ht="13.2" x14ac:dyDescent="0.25"/>
    <row r="4881" ht="13.2" x14ac:dyDescent="0.25"/>
    <row r="4882" ht="13.2" x14ac:dyDescent="0.25"/>
    <row r="4883" ht="13.2" x14ac:dyDescent="0.25"/>
    <row r="4884" ht="13.2" x14ac:dyDescent="0.25"/>
    <row r="4885" ht="13.2" x14ac:dyDescent="0.25"/>
    <row r="4886" ht="13.2" x14ac:dyDescent="0.25"/>
    <row r="4887" ht="13.2" x14ac:dyDescent="0.25"/>
    <row r="4888" ht="13.2" x14ac:dyDescent="0.25"/>
    <row r="4889" ht="13.2" x14ac:dyDescent="0.25"/>
    <row r="4890" ht="13.2" x14ac:dyDescent="0.25"/>
    <row r="4891" ht="13.2" x14ac:dyDescent="0.25"/>
    <row r="4892" ht="13.2" x14ac:dyDescent="0.25"/>
    <row r="4893" ht="13.2" x14ac:dyDescent="0.25"/>
    <row r="4894" ht="13.2" x14ac:dyDescent="0.25"/>
    <row r="4895" ht="13.2" x14ac:dyDescent="0.25"/>
    <row r="4896" ht="13.2" x14ac:dyDescent="0.25"/>
    <row r="4897" ht="13.2" x14ac:dyDescent="0.25"/>
    <row r="4898" ht="13.2" x14ac:dyDescent="0.25"/>
    <row r="4899" ht="13.2" x14ac:dyDescent="0.25"/>
    <row r="4900" ht="13.2" x14ac:dyDescent="0.25"/>
    <row r="4901" ht="13.2" x14ac:dyDescent="0.25"/>
    <row r="4902" ht="13.2" x14ac:dyDescent="0.25"/>
    <row r="4903" ht="13.2" x14ac:dyDescent="0.25"/>
    <row r="4904" ht="13.2" x14ac:dyDescent="0.25"/>
    <row r="4905" ht="13.2" x14ac:dyDescent="0.25"/>
    <row r="4906" ht="13.2" x14ac:dyDescent="0.25"/>
    <row r="4907" ht="13.2" x14ac:dyDescent="0.25"/>
    <row r="4908" ht="13.2" x14ac:dyDescent="0.25"/>
    <row r="4909" ht="13.2" x14ac:dyDescent="0.25"/>
    <row r="4910" ht="13.2" x14ac:dyDescent="0.25"/>
    <row r="4911" ht="13.2" x14ac:dyDescent="0.25"/>
    <row r="4912" ht="13.2" x14ac:dyDescent="0.25"/>
    <row r="4913" ht="13.2" x14ac:dyDescent="0.25"/>
    <row r="4914" ht="13.2" x14ac:dyDescent="0.25"/>
    <row r="4915" ht="13.2" x14ac:dyDescent="0.25"/>
    <row r="4916" ht="13.2" x14ac:dyDescent="0.25"/>
    <row r="4917" ht="13.2" x14ac:dyDescent="0.25"/>
    <row r="4918" ht="13.2" x14ac:dyDescent="0.25"/>
    <row r="4919" ht="13.2" x14ac:dyDescent="0.25"/>
    <row r="4920" ht="13.2" x14ac:dyDescent="0.25"/>
    <row r="4921" ht="13.2" x14ac:dyDescent="0.25"/>
    <row r="4922" ht="13.2" x14ac:dyDescent="0.25"/>
    <row r="4923" ht="13.2" x14ac:dyDescent="0.25"/>
    <row r="4924" ht="13.2" x14ac:dyDescent="0.25"/>
    <row r="4925" ht="13.2" x14ac:dyDescent="0.25"/>
    <row r="4926" ht="13.2" x14ac:dyDescent="0.25"/>
    <row r="4927" ht="13.2" x14ac:dyDescent="0.25"/>
    <row r="4928" ht="13.2" x14ac:dyDescent="0.25"/>
    <row r="4929" ht="13.2" x14ac:dyDescent="0.25"/>
    <row r="4930" ht="13.2" x14ac:dyDescent="0.25"/>
    <row r="4931" ht="13.2" x14ac:dyDescent="0.25"/>
    <row r="4932" ht="13.2" x14ac:dyDescent="0.25"/>
    <row r="4933" ht="13.2" x14ac:dyDescent="0.25"/>
    <row r="4934" ht="13.2" x14ac:dyDescent="0.25"/>
    <row r="4935" ht="13.2" x14ac:dyDescent="0.25"/>
    <row r="4936" ht="13.2" x14ac:dyDescent="0.25"/>
    <row r="4937" ht="13.2" x14ac:dyDescent="0.25"/>
    <row r="4938" ht="13.2" x14ac:dyDescent="0.25"/>
    <row r="4939" ht="13.2" x14ac:dyDescent="0.25"/>
    <row r="4940" ht="13.2" x14ac:dyDescent="0.25"/>
    <row r="4941" ht="13.2" x14ac:dyDescent="0.25"/>
    <row r="4942" ht="13.2" x14ac:dyDescent="0.25"/>
    <row r="4943" ht="13.2" x14ac:dyDescent="0.25"/>
    <row r="4944" ht="13.2" x14ac:dyDescent="0.25"/>
    <row r="4945" ht="13.2" x14ac:dyDescent="0.25"/>
    <row r="4946" ht="13.2" x14ac:dyDescent="0.25"/>
    <row r="4947" ht="13.2" x14ac:dyDescent="0.25"/>
    <row r="4948" ht="13.2" x14ac:dyDescent="0.25"/>
    <row r="4949" ht="13.2" x14ac:dyDescent="0.25"/>
    <row r="4950" ht="13.2" x14ac:dyDescent="0.25"/>
    <row r="4951" ht="13.2" x14ac:dyDescent="0.25"/>
    <row r="4952" ht="13.2" x14ac:dyDescent="0.25"/>
    <row r="4953" ht="13.2" x14ac:dyDescent="0.25"/>
    <row r="4954" ht="13.2" x14ac:dyDescent="0.25"/>
    <row r="4955" ht="13.2" x14ac:dyDescent="0.25"/>
    <row r="4956" ht="13.2" x14ac:dyDescent="0.25"/>
    <row r="4957" ht="13.2" x14ac:dyDescent="0.25"/>
    <row r="4958" ht="13.2" x14ac:dyDescent="0.25"/>
    <row r="4959" ht="13.2" x14ac:dyDescent="0.25"/>
    <row r="4960" ht="13.2" x14ac:dyDescent="0.25"/>
    <row r="4961" ht="13.2" x14ac:dyDescent="0.25"/>
    <row r="4962" ht="13.2" x14ac:dyDescent="0.25"/>
    <row r="4963" ht="13.2" x14ac:dyDescent="0.25"/>
    <row r="4964" ht="13.2" x14ac:dyDescent="0.25"/>
    <row r="4965" ht="13.2" x14ac:dyDescent="0.25"/>
    <row r="4966" ht="13.2" x14ac:dyDescent="0.25"/>
    <row r="4967" ht="13.2" x14ac:dyDescent="0.25"/>
    <row r="4968" ht="13.2" x14ac:dyDescent="0.25"/>
    <row r="4969" ht="13.2" x14ac:dyDescent="0.25"/>
    <row r="4970" ht="13.2" x14ac:dyDescent="0.25"/>
    <row r="4971" ht="13.2" x14ac:dyDescent="0.25"/>
    <row r="4972" ht="13.2" x14ac:dyDescent="0.25"/>
    <row r="4973" ht="13.2" x14ac:dyDescent="0.25"/>
    <row r="4974" ht="13.2" x14ac:dyDescent="0.25"/>
    <row r="4975" ht="13.2" x14ac:dyDescent="0.25"/>
    <row r="4976" ht="13.2" x14ac:dyDescent="0.25"/>
    <row r="4977" ht="13.2" x14ac:dyDescent="0.25"/>
    <row r="4978" ht="13.2" x14ac:dyDescent="0.25"/>
    <row r="4979" ht="13.2" x14ac:dyDescent="0.25"/>
    <row r="4980" ht="13.2" x14ac:dyDescent="0.25"/>
    <row r="4981" ht="13.2" x14ac:dyDescent="0.25"/>
    <row r="4982" ht="13.2" x14ac:dyDescent="0.25"/>
    <row r="4983" ht="13.2" x14ac:dyDescent="0.25"/>
    <row r="4984" ht="13.2" x14ac:dyDescent="0.25"/>
    <row r="4985" ht="13.2" x14ac:dyDescent="0.25"/>
    <row r="4986" ht="13.2" x14ac:dyDescent="0.25"/>
    <row r="4987" ht="13.2" x14ac:dyDescent="0.25"/>
    <row r="4988" ht="13.2" x14ac:dyDescent="0.25"/>
    <row r="4989" ht="13.2" x14ac:dyDescent="0.25"/>
    <row r="4990" ht="13.2" x14ac:dyDescent="0.25"/>
    <row r="4991" ht="13.2" x14ac:dyDescent="0.25"/>
    <row r="4992" ht="13.2" x14ac:dyDescent="0.25"/>
    <row r="4993" ht="13.2" x14ac:dyDescent="0.25"/>
    <row r="4994" ht="13.2" x14ac:dyDescent="0.25"/>
    <row r="4995" ht="13.2" x14ac:dyDescent="0.25"/>
    <row r="4996" ht="13.2" x14ac:dyDescent="0.25"/>
    <row r="4997" ht="13.2" x14ac:dyDescent="0.25"/>
    <row r="4998" ht="13.2" x14ac:dyDescent="0.25"/>
    <row r="4999" ht="13.2" x14ac:dyDescent="0.25"/>
    <row r="5000" ht="13.2" x14ac:dyDescent="0.25"/>
    <row r="5001" ht="13.2" x14ac:dyDescent="0.25"/>
    <row r="5002" ht="13.2" x14ac:dyDescent="0.25"/>
    <row r="5003" ht="13.2" x14ac:dyDescent="0.25"/>
    <row r="5004" ht="13.2" x14ac:dyDescent="0.25"/>
    <row r="5005" ht="13.2" x14ac:dyDescent="0.25"/>
    <row r="5006" ht="13.2" x14ac:dyDescent="0.25"/>
    <row r="5007" ht="13.2" x14ac:dyDescent="0.25"/>
    <row r="5008" ht="13.2" x14ac:dyDescent="0.25"/>
    <row r="5009" ht="13.2" x14ac:dyDescent="0.25"/>
    <row r="5010" ht="13.2" x14ac:dyDescent="0.25"/>
    <row r="5011" ht="13.2" x14ac:dyDescent="0.25"/>
    <row r="5012" ht="13.2" x14ac:dyDescent="0.25"/>
    <row r="5013" ht="13.2" x14ac:dyDescent="0.25"/>
    <row r="5014" ht="13.2" x14ac:dyDescent="0.25"/>
    <row r="5015" ht="13.2" x14ac:dyDescent="0.25"/>
    <row r="5016" ht="13.2" x14ac:dyDescent="0.25"/>
    <row r="5017" ht="13.2" x14ac:dyDescent="0.25"/>
    <row r="5018" ht="13.2" x14ac:dyDescent="0.25"/>
    <row r="5019" ht="13.2" x14ac:dyDescent="0.25"/>
    <row r="5020" ht="13.2" x14ac:dyDescent="0.25"/>
    <row r="5021" ht="13.2" x14ac:dyDescent="0.25"/>
    <row r="5022" ht="13.2" x14ac:dyDescent="0.25"/>
    <row r="5023" ht="13.2" x14ac:dyDescent="0.25"/>
    <row r="5024" ht="13.2" x14ac:dyDescent="0.25"/>
    <row r="5025" ht="13.2" x14ac:dyDescent="0.25"/>
    <row r="5026" ht="13.2" x14ac:dyDescent="0.25"/>
    <row r="5027" ht="13.2" x14ac:dyDescent="0.25"/>
    <row r="5028" ht="13.2" x14ac:dyDescent="0.25"/>
    <row r="5029" ht="13.2" x14ac:dyDescent="0.25"/>
    <row r="5030" ht="13.2" x14ac:dyDescent="0.25"/>
    <row r="5031" ht="13.2" x14ac:dyDescent="0.25"/>
    <row r="5032" ht="13.2" x14ac:dyDescent="0.25"/>
    <row r="5033" ht="13.2" x14ac:dyDescent="0.25"/>
    <row r="5034" ht="13.2" x14ac:dyDescent="0.25"/>
    <row r="5035" ht="13.2" x14ac:dyDescent="0.25"/>
    <row r="5036" ht="13.2" x14ac:dyDescent="0.25"/>
    <row r="5037" ht="13.2" x14ac:dyDescent="0.25"/>
    <row r="5038" ht="13.2" x14ac:dyDescent="0.25"/>
    <row r="5039" ht="13.2" x14ac:dyDescent="0.25"/>
    <row r="5040" ht="13.2" x14ac:dyDescent="0.25"/>
    <row r="5041" ht="13.2" x14ac:dyDescent="0.25"/>
    <row r="5042" ht="13.2" x14ac:dyDescent="0.25"/>
    <row r="5043" ht="13.2" x14ac:dyDescent="0.25"/>
    <row r="5044" ht="13.2" x14ac:dyDescent="0.25"/>
    <row r="5045" ht="13.2" x14ac:dyDescent="0.25"/>
    <row r="5046" ht="13.2" x14ac:dyDescent="0.25"/>
    <row r="5047" ht="13.2" x14ac:dyDescent="0.25"/>
    <row r="5048" ht="13.2" x14ac:dyDescent="0.25"/>
    <row r="5049" ht="13.2" x14ac:dyDescent="0.25"/>
    <row r="5050" ht="13.2" x14ac:dyDescent="0.25"/>
    <row r="5051" ht="13.2" x14ac:dyDescent="0.25"/>
    <row r="5052" ht="13.2" x14ac:dyDescent="0.25"/>
    <row r="5053" ht="13.2" x14ac:dyDescent="0.25"/>
    <row r="5054" ht="13.2" x14ac:dyDescent="0.25"/>
    <row r="5055" ht="13.2" x14ac:dyDescent="0.25"/>
    <row r="5056" ht="13.2" x14ac:dyDescent="0.25"/>
    <row r="5057" ht="13.2" x14ac:dyDescent="0.25"/>
    <row r="5058" ht="13.2" x14ac:dyDescent="0.25"/>
    <row r="5059" ht="13.2" x14ac:dyDescent="0.25"/>
    <row r="5060" ht="13.2" x14ac:dyDescent="0.25"/>
    <row r="5061" ht="13.2" x14ac:dyDescent="0.25"/>
    <row r="5062" ht="13.2" x14ac:dyDescent="0.25"/>
    <row r="5063" ht="13.2" x14ac:dyDescent="0.25"/>
    <row r="5064" ht="13.2" x14ac:dyDescent="0.25"/>
    <row r="5065" ht="13.2" x14ac:dyDescent="0.25"/>
    <row r="5066" ht="13.2" x14ac:dyDescent="0.25"/>
    <row r="5067" ht="13.2" x14ac:dyDescent="0.25"/>
    <row r="5068" ht="13.2" x14ac:dyDescent="0.25"/>
    <row r="5069" ht="13.2" x14ac:dyDescent="0.25"/>
    <row r="5070" ht="13.2" x14ac:dyDescent="0.25"/>
    <row r="5071" ht="13.2" x14ac:dyDescent="0.25"/>
    <row r="5072" ht="13.2" x14ac:dyDescent="0.25"/>
    <row r="5073" ht="13.2" x14ac:dyDescent="0.25"/>
    <row r="5074" ht="13.2" x14ac:dyDescent="0.25"/>
    <row r="5075" ht="13.2" x14ac:dyDescent="0.25"/>
    <row r="5076" ht="13.2" x14ac:dyDescent="0.25"/>
    <row r="5077" ht="13.2" x14ac:dyDescent="0.25"/>
    <row r="5078" ht="13.2" x14ac:dyDescent="0.25"/>
    <row r="5079" ht="13.2" x14ac:dyDescent="0.25"/>
    <row r="5080" ht="13.2" x14ac:dyDescent="0.25"/>
    <row r="5081" ht="13.2" x14ac:dyDescent="0.25"/>
    <row r="5082" ht="13.2" x14ac:dyDescent="0.25"/>
    <row r="5083" ht="13.2" x14ac:dyDescent="0.25"/>
    <row r="5084" ht="13.2" x14ac:dyDescent="0.25"/>
    <row r="5085" ht="13.2" x14ac:dyDescent="0.25"/>
    <row r="5086" ht="13.2" x14ac:dyDescent="0.25"/>
    <row r="5087" ht="13.2" x14ac:dyDescent="0.25"/>
    <row r="5088" ht="13.2" x14ac:dyDescent="0.25"/>
    <row r="5089" ht="13.2" x14ac:dyDescent="0.25"/>
    <row r="5090" ht="13.2" x14ac:dyDescent="0.25"/>
    <row r="5091" ht="13.2" x14ac:dyDescent="0.25"/>
    <row r="5092" ht="13.2" x14ac:dyDescent="0.25"/>
    <row r="5093" ht="13.2" x14ac:dyDescent="0.25"/>
    <row r="5094" ht="13.2" x14ac:dyDescent="0.25"/>
    <row r="5095" ht="13.2" x14ac:dyDescent="0.25"/>
    <row r="5096" ht="13.2" x14ac:dyDescent="0.25"/>
    <row r="5097" ht="13.2" x14ac:dyDescent="0.25"/>
    <row r="5098" ht="13.2" x14ac:dyDescent="0.25"/>
    <row r="5099" ht="13.2" x14ac:dyDescent="0.25"/>
    <row r="5100" ht="13.2" x14ac:dyDescent="0.25"/>
    <row r="5101" ht="13.2" x14ac:dyDescent="0.25"/>
    <row r="5102" ht="13.2" x14ac:dyDescent="0.25"/>
    <row r="5103" ht="13.2" x14ac:dyDescent="0.25"/>
    <row r="5104" ht="13.2" x14ac:dyDescent="0.25"/>
    <row r="5105" ht="13.2" x14ac:dyDescent="0.25"/>
    <row r="5106" ht="13.2" x14ac:dyDescent="0.25"/>
    <row r="5107" ht="13.2" x14ac:dyDescent="0.25"/>
    <row r="5108" ht="13.2" x14ac:dyDescent="0.25"/>
    <row r="5109" ht="13.2" x14ac:dyDescent="0.25"/>
    <row r="5110" ht="13.2" x14ac:dyDescent="0.25"/>
    <row r="5111" ht="13.2" x14ac:dyDescent="0.25"/>
    <row r="5112" ht="13.2" x14ac:dyDescent="0.25"/>
    <row r="5113" ht="13.2" x14ac:dyDescent="0.25"/>
    <row r="5114" ht="13.2" x14ac:dyDescent="0.25"/>
    <row r="5115" ht="13.2" x14ac:dyDescent="0.25"/>
    <row r="5116" ht="13.2" x14ac:dyDescent="0.25"/>
    <row r="5117" ht="13.2" x14ac:dyDescent="0.25"/>
    <row r="5118" ht="13.2" x14ac:dyDescent="0.25"/>
    <row r="5119" ht="13.2" x14ac:dyDescent="0.25"/>
    <row r="5120" ht="13.2" x14ac:dyDescent="0.25"/>
    <row r="5121" ht="13.2" x14ac:dyDescent="0.25"/>
    <row r="5122" ht="13.2" x14ac:dyDescent="0.25"/>
    <row r="5123" ht="13.2" x14ac:dyDescent="0.25"/>
    <row r="5124" ht="13.2" x14ac:dyDescent="0.25"/>
    <row r="5125" ht="13.2" x14ac:dyDescent="0.25"/>
    <row r="5126" ht="13.2" x14ac:dyDescent="0.25"/>
    <row r="5127" ht="13.2" x14ac:dyDescent="0.25"/>
    <row r="5128" ht="13.2" x14ac:dyDescent="0.25"/>
    <row r="5129" ht="13.2" x14ac:dyDescent="0.25"/>
    <row r="5130" ht="13.2" x14ac:dyDescent="0.25"/>
    <row r="5131" ht="13.2" x14ac:dyDescent="0.25"/>
    <row r="5132" ht="13.2" x14ac:dyDescent="0.25"/>
    <row r="5133" ht="13.2" x14ac:dyDescent="0.25"/>
    <row r="5134" ht="13.2" x14ac:dyDescent="0.25"/>
    <row r="5135" ht="13.2" x14ac:dyDescent="0.25"/>
    <row r="5136" ht="13.2" x14ac:dyDescent="0.25"/>
    <row r="5137" ht="13.2" x14ac:dyDescent="0.25"/>
    <row r="5138" ht="13.2" x14ac:dyDescent="0.25"/>
    <row r="5139" ht="13.2" x14ac:dyDescent="0.25"/>
    <row r="5140" ht="13.2" x14ac:dyDescent="0.25"/>
    <row r="5141" ht="13.2" x14ac:dyDescent="0.25"/>
    <row r="5142" ht="13.2" x14ac:dyDescent="0.25"/>
    <row r="5143" ht="13.2" x14ac:dyDescent="0.25"/>
    <row r="5144" ht="13.2" x14ac:dyDescent="0.25"/>
    <row r="5145" ht="13.2" x14ac:dyDescent="0.25"/>
    <row r="5146" ht="13.2" x14ac:dyDescent="0.25"/>
    <row r="5147" ht="13.2" x14ac:dyDescent="0.25"/>
    <row r="5148" ht="13.2" x14ac:dyDescent="0.25"/>
    <row r="5149" ht="13.2" x14ac:dyDescent="0.25"/>
    <row r="5150" ht="13.2" x14ac:dyDescent="0.25"/>
    <row r="5151" ht="13.2" x14ac:dyDescent="0.25"/>
    <row r="5152" ht="13.2" x14ac:dyDescent="0.25"/>
    <row r="5153" ht="13.2" x14ac:dyDescent="0.25"/>
    <row r="5154" ht="13.2" x14ac:dyDescent="0.25"/>
    <row r="5155" ht="13.2" x14ac:dyDescent="0.25"/>
    <row r="5156" ht="13.2" x14ac:dyDescent="0.25"/>
    <row r="5157" ht="13.2" x14ac:dyDescent="0.25"/>
    <row r="5158" ht="13.2" x14ac:dyDescent="0.25"/>
    <row r="5159" ht="13.2" x14ac:dyDescent="0.25"/>
    <row r="5160" ht="13.2" x14ac:dyDescent="0.25"/>
    <row r="5161" ht="13.2" x14ac:dyDescent="0.25"/>
    <row r="5162" ht="13.2" x14ac:dyDescent="0.25"/>
    <row r="5163" ht="13.2" x14ac:dyDescent="0.25"/>
    <row r="5164" ht="13.2" x14ac:dyDescent="0.25"/>
    <row r="5165" ht="13.2" x14ac:dyDescent="0.25"/>
    <row r="5166" ht="13.2" x14ac:dyDescent="0.25"/>
    <row r="5167" ht="13.2" x14ac:dyDescent="0.25"/>
    <row r="5168" ht="13.2" x14ac:dyDescent="0.25"/>
    <row r="5169" ht="13.2" x14ac:dyDescent="0.25"/>
    <row r="5170" ht="13.2" x14ac:dyDescent="0.25"/>
    <row r="5171" ht="13.2" x14ac:dyDescent="0.25"/>
    <row r="5172" ht="13.2" x14ac:dyDescent="0.25"/>
    <row r="5173" ht="13.2" x14ac:dyDescent="0.25"/>
    <row r="5174" ht="13.2" x14ac:dyDescent="0.25"/>
    <row r="5175" ht="13.2" x14ac:dyDescent="0.25"/>
    <row r="5176" ht="13.2" x14ac:dyDescent="0.25"/>
    <row r="5177" ht="13.2" x14ac:dyDescent="0.25"/>
    <row r="5178" ht="13.2" x14ac:dyDescent="0.25"/>
    <row r="5179" ht="13.2" x14ac:dyDescent="0.25"/>
    <row r="5180" ht="13.2" x14ac:dyDescent="0.25"/>
    <row r="5181" ht="13.2" x14ac:dyDescent="0.25"/>
    <row r="5182" ht="13.2" x14ac:dyDescent="0.25"/>
    <row r="5183" ht="13.2" x14ac:dyDescent="0.25"/>
    <row r="5184" ht="13.2" x14ac:dyDescent="0.25"/>
    <row r="5185" ht="13.2" x14ac:dyDescent="0.25"/>
    <row r="5186" ht="13.2" x14ac:dyDescent="0.25"/>
    <row r="5187" ht="13.2" x14ac:dyDescent="0.25"/>
    <row r="5188" ht="13.2" x14ac:dyDescent="0.25"/>
    <row r="5189" ht="13.2" x14ac:dyDescent="0.25"/>
    <row r="5190" ht="13.2" x14ac:dyDescent="0.25"/>
    <row r="5191" ht="13.2" x14ac:dyDescent="0.25"/>
    <row r="5192" ht="13.2" x14ac:dyDescent="0.25"/>
    <row r="5193" ht="13.2" x14ac:dyDescent="0.25"/>
    <row r="5194" ht="13.2" x14ac:dyDescent="0.25"/>
    <row r="5195" ht="13.2" x14ac:dyDescent="0.25"/>
    <row r="5196" ht="13.2" x14ac:dyDescent="0.25"/>
    <row r="5197" ht="13.2" x14ac:dyDescent="0.25"/>
    <row r="5198" ht="13.2" x14ac:dyDescent="0.25"/>
    <row r="5199" ht="13.2" x14ac:dyDescent="0.25"/>
    <row r="5200" ht="13.2" x14ac:dyDescent="0.25"/>
    <row r="5201" ht="13.2" x14ac:dyDescent="0.25"/>
    <row r="5202" ht="13.2" x14ac:dyDescent="0.25"/>
    <row r="5203" ht="13.2" x14ac:dyDescent="0.25"/>
    <row r="5204" ht="13.2" x14ac:dyDescent="0.25"/>
    <row r="5205" ht="13.2" x14ac:dyDescent="0.25"/>
    <row r="5206" ht="13.2" x14ac:dyDescent="0.25"/>
    <row r="5207" ht="13.2" x14ac:dyDescent="0.25"/>
    <row r="5208" ht="13.2" x14ac:dyDescent="0.25"/>
    <row r="5209" ht="13.2" x14ac:dyDescent="0.25"/>
    <row r="5210" ht="13.2" x14ac:dyDescent="0.25"/>
    <row r="5211" ht="13.2" x14ac:dyDescent="0.25"/>
    <row r="5212" ht="13.2" x14ac:dyDescent="0.25"/>
    <row r="5213" ht="13.2" x14ac:dyDescent="0.25"/>
    <row r="5214" ht="13.2" x14ac:dyDescent="0.25"/>
    <row r="5215" ht="13.2" x14ac:dyDescent="0.25"/>
    <row r="5216" ht="13.2" x14ac:dyDescent="0.25"/>
    <row r="5217" ht="13.2" x14ac:dyDescent="0.25"/>
    <row r="5218" ht="13.2" x14ac:dyDescent="0.25"/>
    <row r="5219" ht="13.2" x14ac:dyDescent="0.25"/>
    <row r="5220" ht="13.2" x14ac:dyDescent="0.25"/>
    <row r="5221" ht="13.2" x14ac:dyDescent="0.25"/>
    <row r="5222" ht="13.2" x14ac:dyDescent="0.25"/>
    <row r="5223" ht="13.2" x14ac:dyDescent="0.25"/>
    <row r="5224" ht="13.2" x14ac:dyDescent="0.25"/>
    <row r="5225" ht="13.2" x14ac:dyDescent="0.25"/>
    <row r="5226" ht="13.2" x14ac:dyDescent="0.25"/>
    <row r="5227" ht="13.2" x14ac:dyDescent="0.25"/>
    <row r="5228" ht="13.2" x14ac:dyDescent="0.25"/>
    <row r="5229" ht="13.2" x14ac:dyDescent="0.25"/>
    <row r="5230" ht="13.2" x14ac:dyDescent="0.25"/>
    <row r="5231" ht="13.2" x14ac:dyDescent="0.25"/>
    <row r="5232" ht="13.2" x14ac:dyDescent="0.25"/>
    <row r="5233" ht="13.2" x14ac:dyDescent="0.25"/>
    <row r="5234" ht="13.2" x14ac:dyDescent="0.25"/>
    <row r="5235" ht="13.2" x14ac:dyDescent="0.25"/>
    <row r="5236" ht="13.2" x14ac:dyDescent="0.25"/>
    <row r="5237" ht="13.2" x14ac:dyDescent="0.25"/>
    <row r="5238" ht="13.2" x14ac:dyDescent="0.25"/>
    <row r="5239" ht="13.2" x14ac:dyDescent="0.25"/>
    <row r="5240" ht="13.2" x14ac:dyDescent="0.25"/>
    <row r="5241" ht="13.2" x14ac:dyDescent="0.25"/>
    <row r="5242" ht="13.2" x14ac:dyDescent="0.25"/>
    <row r="5243" ht="13.2" x14ac:dyDescent="0.25"/>
    <row r="5244" ht="13.2" x14ac:dyDescent="0.25"/>
    <row r="5245" ht="13.2" x14ac:dyDescent="0.25"/>
    <row r="5246" ht="13.2" x14ac:dyDescent="0.25"/>
    <row r="5247" ht="13.2" x14ac:dyDescent="0.25"/>
    <row r="5248" ht="13.2" x14ac:dyDescent="0.25"/>
    <row r="5249" ht="13.2" x14ac:dyDescent="0.25"/>
    <row r="5250" ht="13.2" x14ac:dyDescent="0.25"/>
    <row r="5251" ht="13.2" x14ac:dyDescent="0.25"/>
    <row r="5252" ht="13.2" x14ac:dyDescent="0.25"/>
    <row r="5253" ht="13.2" x14ac:dyDescent="0.25"/>
    <row r="5254" ht="13.2" x14ac:dyDescent="0.25"/>
    <row r="5255" ht="13.2" x14ac:dyDescent="0.25"/>
    <row r="5256" ht="13.2" x14ac:dyDescent="0.25"/>
    <row r="5257" ht="13.2" x14ac:dyDescent="0.25"/>
    <row r="5258" ht="13.2" x14ac:dyDescent="0.25"/>
    <row r="5259" ht="13.2" x14ac:dyDescent="0.25"/>
    <row r="5260" ht="13.2" x14ac:dyDescent="0.25"/>
    <row r="5261" ht="13.2" x14ac:dyDescent="0.25"/>
    <row r="5262" ht="13.2" x14ac:dyDescent="0.25"/>
    <row r="5263" ht="13.2" x14ac:dyDescent="0.25"/>
    <row r="5264" ht="13.2" x14ac:dyDescent="0.25"/>
    <row r="5265" ht="13.2" x14ac:dyDescent="0.25"/>
    <row r="5266" ht="13.2" x14ac:dyDescent="0.25"/>
    <row r="5267" ht="13.2" x14ac:dyDescent="0.25"/>
    <row r="5268" ht="13.2" x14ac:dyDescent="0.25"/>
    <row r="5269" ht="13.2" x14ac:dyDescent="0.25"/>
    <row r="5270" ht="13.2" x14ac:dyDescent="0.25"/>
    <row r="5271" ht="13.2" x14ac:dyDescent="0.25"/>
    <row r="5272" ht="13.2" x14ac:dyDescent="0.25"/>
    <row r="5273" ht="13.2" x14ac:dyDescent="0.25"/>
    <row r="5274" ht="13.2" x14ac:dyDescent="0.25"/>
    <row r="5275" ht="13.2" x14ac:dyDescent="0.25"/>
    <row r="5276" ht="13.2" x14ac:dyDescent="0.25"/>
    <row r="5277" ht="13.2" x14ac:dyDescent="0.25"/>
    <row r="5278" ht="13.2" x14ac:dyDescent="0.25"/>
    <row r="5279" ht="13.2" x14ac:dyDescent="0.25"/>
    <row r="5280" ht="13.2" x14ac:dyDescent="0.25"/>
    <row r="5281" ht="13.2" x14ac:dyDescent="0.25"/>
    <row r="5282" ht="13.2" x14ac:dyDescent="0.25"/>
    <row r="5283" ht="13.2" x14ac:dyDescent="0.25"/>
    <row r="5284" ht="13.2" x14ac:dyDescent="0.25"/>
    <row r="5285" ht="13.2" x14ac:dyDescent="0.25"/>
    <row r="5286" ht="13.2" x14ac:dyDescent="0.25"/>
    <row r="5287" ht="13.2" x14ac:dyDescent="0.25"/>
    <row r="5288" ht="13.2" x14ac:dyDescent="0.25"/>
    <row r="5289" ht="13.2" x14ac:dyDescent="0.25"/>
    <row r="5290" ht="13.2" x14ac:dyDescent="0.25"/>
    <row r="5291" ht="13.2" x14ac:dyDescent="0.25"/>
    <row r="5292" ht="13.2" x14ac:dyDescent="0.25"/>
    <row r="5293" ht="13.2" x14ac:dyDescent="0.25"/>
    <row r="5294" ht="13.2" x14ac:dyDescent="0.25"/>
    <row r="5295" ht="13.2" x14ac:dyDescent="0.25"/>
    <row r="5296" ht="13.2" x14ac:dyDescent="0.25"/>
    <row r="5297" ht="13.2" x14ac:dyDescent="0.25"/>
    <row r="5298" ht="13.2" x14ac:dyDescent="0.25"/>
    <row r="5299" ht="13.2" x14ac:dyDescent="0.25"/>
    <row r="5300" ht="13.2" x14ac:dyDescent="0.25"/>
    <row r="5301" ht="13.2" x14ac:dyDescent="0.25"/>
    <row r="5302" ht="13.2" x14ac:dyDescent="0.25"/>
    <row r="5303" ht="13.2" x14ac:dyDescent="0.25"/>
    <row r="5304" ht="13.2" x14ac:dyDescent="0.25"/>
    <row r="5305" ht="13.2" x14ac:dyDescent="0.25"/>
    <row r="5306" ht="13.2" x14ac:dyDescent="0.25"/>
    <row r="5307" ht="13.2" x14ac:dyDescent="0.25"/>
    <row r="5308" ht="13.2" x14ac:dyDescent="0.25"/>
    <row r="5309" ht="13.2" x14ac:dyDescent="0.25"/>
    <row r="5310" ht="13.2" x14ac:dyDescent="0.25"/>
    <row r="5311" ht="13.2" x14ac:dyDescent="0.25"/>
    <row r="5312" ht="13.2" x14ac:dyDescent="0.25"/>
    <row r="5313" ht="13.2" x14ac:dyDescent="0.25"/>
    <row r="5314" ht="13.2" x14ac:dyDescent="0.25"/>
    <row r="5315" ht="13.2" x14ac:dyDescent="0.25"/>
    <row r="5316" ht="13.2" x14ac:dyDescent="0.25"/>
    <row r="5317" ht="13.2" x14ac:dyDescent="0.25"/>
    <row r="5318" ht="13.2" x14ac:dyDescent="0.25"/>
    <row r="5319" ht="13.2" x14ac:dyDescent="0.25"/>
    <row r="5320" ht="13.2" x14ac:dyDescent="0.25"/>
    <row r="5321" ht="13.2" x14ac:dyDescent="0.25"/>
    <row r="5322" ht="13.2" x14ac:dyDescent="0.25"/>
    <row r="5323" ht="13.2" x14ac:dyDescent="0.25"/>
    <row r="5324" ht="13.2" x14ac:dyDescent="0.25"/>
    <row r="5325" ht="13.2" x14ac:dyDescent="0.25"/>
    <row r="5326" ht="13.2" x14ac:dyDescent="0.25"/>
    <row r="5327" ht="13.2" x14ac:dyDescent="0.25"/>
    <row r="5328" ht="13.2" x14ac:dyDescent="0.25"/>
    <row r="5329" ht="13.2" x14ac:dyDescent="0.25"/>
    <row r="5330" ht="13.2" x14ac:dyDescent="0.25"/>
    <row r="5331" ht="13.2" x14ac:dyDescent="0.25"/>
    <row r="5332" ht="13.2" x14ac:dyDescent="0.25"/>
    <row r="5333" ht="13.2" x14ac:dyDescent="0.25"/>
    <row r="5334" ht="13.2" x14ac:dyDescent="0.25"/>
    <row r="5335" ht="13.2" x14ac:dyDescent="0.25"/>
    <row r="5336" ht="13.2" x14ac:dyDescent="0.25"/>
    <row r="5337" ht="13.2" x14ac:dyDescent="0.25"/>
    <row r="5338" ht="13.2" x14ac:dyDescent="0.25"/>
    <row r="5339" ht="13.2" x14ac:dyDescent="0.25"/>
    <row r="5340" ht="13.2" x14ac:dyDescent="0.25"/>
    <row r="5341" ht="13.2" x14ac:dyDescent="0.25"/>
    <row r="5342" ht="13.2" x14ac:dyDescent="0.25"/>
    <row r="5343" ht="13.2" x14ac:dyDescent="0.25"/>
    <row r="5344" ht="13.2" x14ac:dyDescent="0.25"/>
    <row r="5345" ht="13.2" x14ac:dyDescent="0.25"/>
    <row r="5346" ht="13.2" x14ac:dyDescent="0.25"/>
    <row r="5347" ht="13.2" x14ac:dyDescent="0.25"/>
    <row r="5348" ht="13.2" x14ac:dyDescent="0.25"/>
    <row r="5349" ht="13.2" x14ac:dyDescent="0.25"/>
    <row r="5350" ht="13.2" x14ac:dyDescent="0.25"/>
    <row r="5351" ht="13.2" x14ac:dyDescent="0.25"/>
    <row r="5352" ht="13.2" x14ac:dyDescent="0.25"/>
    <row r="5353" ht="13.2" x14ac:dyDescent="0.25"/>
    <row r="5354" ht="13.2" x14ac:dyDescent="0.25"/>
    <row r="5355" ht="13.2" x14ac:dyDescent="0.25"/>
    <row r="5356" ht="13.2" x14ac:dyDescent="0.25"/>
    <row r="5357" ht="13.2" x14ac:dyDescent="0.25"/>
    <row r="5358" ht="13.2" x14ac:dyDescent="0.25"/>
    <row r="5359" ht="13.2" x14ac:dyDescent="0.25"/>
    <row r="5360" ht="13.2" x14ac:dyDescent="0.25"/>
    <row r="5361" ht="13.2" x14ac:dyDescent="0.25"/>
    <row r="5362" ht="13.2" x14ac:dyDescent="0.25"/>
    <row r="5363" ht="13.2" x14ac:dyDescent="0.25"/>
    <row r="5364" ht="13.2" x14ac:dyDescent="0.25"/>
    <row r="5365" ht="13.2" x14ac:dyDescent="0.25"/>
    <row r="5366" ht="13.2" x14ac:dyDescent="0.25"/>
    <row r="5367" ht="13.2" x14ac:dyDescent="0.25"/>
    <row r="5368" ht="13.2" x14ac:dyDescent="0.25"/>
    <row r="5369" ht="13.2" x14ac:dyDescent="0.25"/>
    <row r="5370" ht="13.2" x14ac:dyDescent="0.25"/>
    <row r="5371" ht="13.2" x14ac:dyDescent="0.25"/>
    <row r="5372" ht="13.2" x14ac:dyDescent="0.25"/>
    <row r="5373" ht="13.2" x14ac:dyDescent="0.25"/>
    <row r="5374" ht="13.2" x14ac:dyDescent="0.25"/>
    <row r="5375" ht="13.2" x14ac:dyDescent="0.25"/>
    <row r="5376" ht="13.2" x14ac:dyDescent="0.25"/>
    <row r="5377" ht="13.2" x14ac:dyDescent="0.25"/>
    <row r="5378" ht="13.2" x14ac:dyDescent="0.25"/>
    <row r="5379" ht="13.2" x14ac:dyDescent="0.25"/>
    <row r="5380" ht="13.2" x14ac:dyDescent="0.25"/>
    <row r="5381" ht="13.2" x14ac:dyDescent="0.25"/>
    <row r="5382" ht="13.2" x14ac:dyDescent="0.25"/>
    <row r="5383" ht="13.2" x14ac:dyDescent="0.25"/>
    <row r="5384" ht="13.2" x14ac:dyDescent="0.25"/>
    <row r="5385" ht="13.2" x14ac:dyDescent="0.25"/>
    <row r="5386" ht="13.2" x14ac:dyDescent="0.25"/>
    <row r="5387" ht="13.2" x14ac:dyDescent="0.25"/>
    <row r="5388" ht="13.2" x14ac:dyDescent="0.25"/>
    <row r="5389" ht="13.2" x14ac:dyDescent="0.25"/>
    <row r="5390" ht="13.2" x14ac:dyDescent="0.25"/>
    <row r="5391" ht="13.2" x14ac:dyDescent="0.25"/>
    <row r="5392" ht="13.2" x14ac:dyDescent="0.25"/>
    <row r="5393" ht="13.2" x14ac:dyDescent="0.25"/>
    <row r="5394" ht="13.2" x14ac:dyDescent="0.25"/>
    <row r="5395" ht="13.2" x14ac:dyDescent="0.25"/>
    <row r="5396" ht="13.2" x14ac:dyDescent="0.25"/>
    <row r="5397" ht="13.2" x14ac:dyDescent="0.25"/>
    <row r="5398" ht="13.2" x14ac:dyDescent="0.25"/>
    <row r="5399" ht="13.2" x14ac:dyDescent="0.25"/>
    <row r="5400" ht="13.2" x14ac:dyDescent="0.25"/>
    <row r="5401" ht="13.2" x14ac:dyDescent="0.25"/>
    <row r="5402" ht="13.2" x14ac:dyDescent="0.25"/>
    <row r="5403" ht="13.2" x14ac:dyDescent="0.25"/>
    <row r="5404" ht="13.2" x14ac:dyDescent="0.25"/>
    <row r="5405" ht="13.2" x14ac:dyDescent="0.25"/>
    <row r="5406" ht="13.2" x14ac:dyDescent="0.25"/>
    <row r="5407" ht="13.2" x14ac:dyDescent="0.25"/>
    <row r="5408" ht="13.2" x14ac:dyDescent="0.25"/>
    <row r="5409" ht="13.2" x14ac:dyDescent="0.25"/>
    <row r="5410" ht="13.2" x14ac:dyDescent="0.25"/>
    <row r="5411" ht="13.2" x14ac:dyDescent="0.25"/>
    <row r="5412" ht="13.2" x14ac:dyDescent="0.25"/>
    <row r="5413" ht="13.2" x14ac:dyDescent="0.25"/>
    <row r="5414" ht="13.2" x14ac:dyDescent="0.25"/>
    <row r="5415" ht="13.2" x14ac:dyDescent="0.25"/>
    <row r="5416" ht="13.2" x14ac:dyDescent="0.25"/>
    <row r="5417" ht="13.2" x14ac:dyDescent="0.25"/>
    <row r="5418" ht="13.2" x14ac:dyDescent="0.25"/>
    <row r="5419" ht="13.2" x14ac:dyDescent="0.25"/>
    <row r="5420" ht="13.2" x14ac:dyDescent="0.25"/>
    <row r="5421" ht="13.2" x14ac:dyDescent="0.25"/>
    <row r="5422" ht="13.2" x14ac:dyDescent="0.25"/>
    <row r="5423" ht="13.2" x14ac:dyDescent="0.25"/>
    <row r="5424" ht="13.2" x14ac:dyDescent="0.25"/>
    <row r="5425" ht="13.2" x14ac:dyDescent="0.25"/>
    <row r="5426" ht="13.2" x14ac:dyDescent="0.25"/>
    <row r="5427" ht="13.2" x14ac:dyDescent="0.25"/>
    <row r="5428" ht="13.2" x14ac:dyDescent="0.25"/>
    <row r="5429" ht="13.2" x14ac:dyDescent="0.25"/>
    <row r="5430" ht="13.2" x14ac:dyDescent="0.25"/>
    <row r="5431" ht="13.2" x14ac:dyDescent="0.25"/>
    <row r="5432" ht="13.2" x14ac:dyDescent="0.25"/>
    <row r="5433" ht="13.2" x14ac:dyDescent="0.25"/>
    <row r="5434" ht="13.2" x14ac:dyDescent="0.25"/>
    <row r="5435" ht="13.2" x14ac:dyDescent="0.25"/>
    <row r="5436" ht="13.2" x14ac:dyDescent="0.25"/>
    <row r="5437" ht="13.2" x14ac:dyDescent="0.25"/>
    <row r="5438" ht="13.2" x14ac:dyDescent="0.25"/>
    <row r="5439" ht="13.2" x14ac:dyDescent="0.25"/>
    <row r="5440" ht="13.2" x14ac:dyDescent="0.25"/>
    <row r="5441" ht="13.2" x14ac:dyDescent="0.25"/>
    <row r="5442" ht="13.2" x14ac:dyDescent="0.25"/>
    <row r="5443" ht="13.2" x14ac:dyDescent="0.25"/>
    <row r="5444" ht="13.2" x14ac:dyDescent="0.25"/>
    <row r="5445" ht="13.2" x14ac:dyDescent="0.25"/>
    <row r="5446" ht="13.2" x14ac:dyDescent="0.25"/>
    <row r="5447" ht="13.2" x14ac:dyDescent="0.25"/>
    <row r="5448" ht="13.2" x14ac:dyDescent="0.25"/>
    <row r="5449" ht="13.2" x14ac:dyDescent="0.25"/>
    <row r="5450" ht="13.2" x14ac:dyDescent="0.25"/>
    <row r="5451" ht="13.2" x14ac:dyDescent="0.25"/>
    <row r="5452" ht="13.2" x14ac:dyDescent="0.25"/>
    <row r="5453" ht="13.2" x14ac:dyDescent="0.25"/>
    <row r="5454" ht="13.2" x14ac:dyDescent="0.25"/>
    <row r="5455" ht="13.2" x14ac:dyDescent="0.25"/>
    <row r="5456" ht="13.2" x14ac:dyDescent="0.25"/>
    <row r="5457" ht="13.2" x14ac:dyDescent="0.25"/>
    <row r="5458" ht="13.2" x14ac:dyDescent="0.25"/>
    <row r="5459" ht="13.2" x14ac:dyDescent="0.25"/>
    <row r="5460" ht="13.2" x14ac:dyDescent="0.25"/>
    <row r="5461" ht="13.2" x14ac:dyDescent="0.25"/>
    <row r="5462" ht="13.2" x14ac:dyDescent="0.25"/>
    <row r="5463" ht="13.2" x14ac:dyDescent="0.25"/>
    <row r="5464" ht="13.2" x14ac:dyDescent="0.25"/>
    <row r="5465" ht="13.2" x14ac:dyDescent="0.25"/>
    <row r="5466" ht="13.2" x14ac:dyDescent="0.25"/>
    <row r="5467" ht="13.2" x14ac:dyDescent="0.25"/>
    <row r="5468" ht="13.2" x14ac:dyDescent="0.25"/>
    <row r="5469" ht="13.2" x14ac:dyDescent="0.25"/>
    <row r="5470" ht="13.2" x14ac:dyDescent="0.25"/>
    <row r="5471" ht="13.2" x14ac:dyDescent="0.25"/>
    <row r="5472" ht="13.2" x14ac:dyDescent="0.25"/>
    <row r="5473" ht="13.2" x14ac:dyDescent="0.25"/>
    <row r="5474" ht="13.2" x14ac:dyDescent="0.25"/>
    <row r="5475" ht="13.2" x14ac:dyDescent="0.25"/>
    <row r="5476" ht="13.2" x14ac:dyDescent="0.25"/>
    <row r="5477" ht="13.2" x14ac:dyDescent="0.25"/>
    <row r="5478" ht="13.2" x14ac:dyDescent="0.25"/>
    <row r="5479" ht="13.2" x14ac:dyDescent="0.25"/>
    <row r="5480" ht="13.2" x14ac:dyDescent="0.25"/>
    <row r="5481" ht="13.2" x14ac:dyDescent="0.25"/>
    <row r="5482" ht="13.2" x14ac:dyDescent="0.25"/>
    <row r="5483" ht="13.2" x14ac:dyDescent="0.25"/>
    <row r="5484" ht="13.2" x14ac:dyDescent="0.25"/>
    <row r="5485" ht="13.2" x14ac:dyDescent="0.25"/>
    <row r="5486" ht="13.2" x14ac:dyDescent="0.25"/>
    <row r="5487" ht="13.2" x14ac:dyDescent="0.25"/>
    <row r="5488" ht="13.2" x14ac:dyDescent="0.25"/>
    <row r="5489" ht="13.2" x14ac:dyDescent="0.25"/>
    <row r="5490" ht="13.2" x14ac:dyDescent="0.25"/>
    <row r="5491" ht="13.2" x14ac:dyDescent="0.25"/>
    <row r="5492" ht="13.2" x14ac:dyDescent="0.25"/>
    <row r="5493" ht="13.2" x14ac:dyDescent="0.25"/>
    <row r="5494" ht="13.2" x14ac:dyDescent="0.25"/>
    <row r="5495" ht="13.2" x14ac:dyDescent="0.25"/>
    <row r="5496" ht="13.2" x14ac:dyDescent="0.25"/>
    <row r="5497" ht="13.2" x14ac:dyDescent="0.25"/>
    <row r="5498" ht="13.2" x14ac:dyDescent="0.25"/>
    <row r="5499" ht="13.2" x14ac:dyDescent="0.25"/>
    <row r="5500" ht="13.2" x14ac:dyDescent="0.25"/>
    <row r="5501" ht="13.2" x14ac:dyDescent="0.25"/>
    <row r="5502" ht="13.2" x14ac:dyDescent="0.25"/>
    <row r="5503" ht="13.2" x14ac:dyDescent="0.25"/>
    <row r="5504" ht="13.2" x14ac:dyDescent="0.25"/>
    <row r="5505" ht="13.2" x14ac:dyDescent="0.25"/>
    <row r="5506" ht="13.2" x14ac:dyDescent="0.25"/>
    <row r="5507" ht="13.2" x14ac:dyDescent="0.25"/>
    <row r="5508" ht="13.2" x14ac:dyDescent="0.25"/>
    <row r="5509" ht="13.2" x14ac:dyDescent="0.25"/>
    <row r="5510" ht="13.2" x14ac:dyDescent="0.25"/>
    <row r="5511" ht="13.2" x14ac:dyDescent="0.25"/>
    <row r="5512" ht="13.2" x14ac:dyDescent="0.25"/>
    <row r="5513" ht="13.2" x14ac:dyDescent="0.25"/>
    <row r="5514" ht="13.2" x14ac:dyDescent="0.25"/>
    <row r="5515" ht="13.2" x14ac:dyDescent="0.25"/>
    <row r="5516" ht="13.2" x14ac:dyDescent="0.25"/>
    <row r="5517" ht="13.2" x14ac:dyDescent="0.25"/>
    <row r="5518" ht="13.2" x14ac:dyDescent="0.25"/>
    <row r="5519" ht="13.2" x14ac:dyDescent="0.25"/>
    <row r="5520" ht="13.2" x14ac:dyDescent="0.25"/>
    <row r="5521" ht="13.2" x14ac:dyDescent="0.25"/>
    <row r="5522" ht="13.2" x14ac:dyDescent="0.25"/>
    <row r="5523" ht="13.2" x14ac:dyDescent="0.25"/>
    <row r="5524" ht="13.2" x14ac:dyDescent="0.25"/>
    <row r="5525" ht="13.2" x14ac:dyDescent="0.25"/>
    <row r="5526" ht="13.2" x14ac:dyDescent="0.25"/>
    <row r="5527" ht="13.2" x14ac:dyDescent="0.25"/>
    <row r="5528" ht="13.2" x14ac:dyDescent="0.25"/>
    <row r="5529" ht="13.2" x14ac:dyDescent="0.25"/>
    <row r="5530" ht="13.2" x14ac:dyDescent="0.25"/>
    <row r="5531" ht="13.2" x14ac:dyDescent="0.25"/>
    <row r="5532" ht="13.2" x14ac:dyDescent="0.25"/>
    <row r="5533" ht="13.2" x14ac:dyDescent="0.25"/>
    <row r="5534" ht="13.2" x14ac:dyDescent="0.25"/>
    <row r="5535" ht="13.2" x14ac:dyDescent="0.25"/>
    <row r="5536" ht="13.2" x14ac:dyDescent="0.25"/>
    <row r="5537" ht="13.2" x14ac:dyDescent="0.25"/>
    <row r="5538" ht="13.2" x14ac:dyDescent="0.25"/>
    <row r="5539" ht="13.2" x14ac:dyDescent="0.25"/>
    <row r="5540" ht="13.2" x14ac:dyDescent="0.25"/>
    <row r="5541" ht="13.2" x14ac:dyDescent="0.25"/>
    <row r="5542" ht="13.2" x14ac:dyDescent="0.25"/>
    <row r="5543" ht="13.2" x14ac:dyDescent="0.25"/>
    <row r="5544" ht="13.2" x14ac:dyDescent="0.25"/>
    <row r="5545" ht="13.2" x14ac:dyDescent="0.25"/>
    <row r="5546" ht="13.2" x14ac:dyDescent="0.25"/>
    <row r="5547" ht="13.2" x14ac:dyDescent="0.25"/>
    <row r="5548" ht="13.2" x14ac:dyDescent="0.25"/>
    <row r="5549" ht="13.2" x14ac:dyDescent="0.25"/>
    <row r="5550" ht="13.2" x14ac:dyDescent="0.25"/>
    <row r="5551" ht="13.2" x14ac:dyDescent="0.25"/>
    <row r="5552" ht="13.2" x14ac:dyDescent="0.25"/>
    <row r="5553" ht="13.2" x14ac:dyDescent="0.25"/>
    <row r="5554" ht="13.2" x14ac:dyDescent="0.25"/>
    <row r="5555" ht="13.2" x14ac:dyDescent="0.25"/>
    <row r="5556" ht="13.2" x14ac:dyDescent="0.25"/>
    <row r="5557" ht="13.2" x14ac:dyDescent="0.25"/>
    <row r="5558" ht="13.2" x14ac:dyDescent="0.25"/>
    <row r="5559" ht="13.2" x14ac:dyDescent="0.25"/>
    <row r="5560" ht="13.2" x14ac:dyDescent="0.25"/>
    <row r="5561" ht="13.2" x14ac:dyDescent="0.25"/>
    <row r="5562" ht="13.2" x14ac:dyDescent="0.25"/>
    <row r="5563" ht="13.2" x14ac:dyDescent="0.25"/>
    <row r="5564" ht="13.2" x14ac:dyDescent="0.25"/>
    <row r="5565" ht="13.2" x14ac:dyDescent="0.25"/>
    <row r="5566" ht="13.2" x14ac:dyDescent="0.25"/>
    <row r="5567" ht="13.2" x14ac:dyDescent="0.25"/>
    <row r="5568" ht="13.2" x14ac:dyDescent="0.25"/>
    <row r="5569" ht="13.2" x14ac:dyDescent="0.25"/>
    <row r="5570" ht="13.2" x14ac:dyDescent="0.25"/>
    <row r="5571" ht="13.2" x14ac:dyDescent="0.25"/>
    <row r="5572" ht="13.2" x14ac:dyDescent="0.25"/>
    <row r="5573" ht="13.2" x14ac:dyDescent="0.25"/>
    <row r="5574" ht="13.2" x14ac:dyDescent="0.25"/>
    <row r="5575" ht="13.2" x14ac:dyDescent="0.25"/>
    <row r="5576" ht="13.2" x14ac:dyDescent="0.25"/>
    <row r="5577" ht="13.2" x14ac:dyDescent="0.25"/>
    <row r="5578" ht="13.2" x14ac:dyDescent="0.25"/>
    <row r="5579" ht="13.2" x14ac:dyDescent="0.25"/>
    <row r="5580" ht="13.2" x14ac:dyDescent="0.25"/>
    <row r="5581" ht="13.2" x14ac:dyDescent="0.25"/>
    <row r="5582" ht="13.2" x14ac:dyDescent="0.25"/>
    <row r="5583" ht="13.2" x14ac:dyDescent="0.25"/>
    <row r="5584" ht="13.2" x14ac:dyDescent="0.25"/>
    <row r="5585" ht="13.2" x14ac:dyDescent="0.25"/>
    <row r="5586" ht="13.2" x14ac:dyDescent="0.25"/>
    <row r="5587" ht="13.2" x14ac:dyDescent="0.25"/>
    <row r="5588" ht="13.2" x14ac:dyDescent="0.25"/>
    <row r="5589" ht="13.2" x14ac:dyDescent="0.25"/>
    <row r="5590" ht="13.2" x14ac:dyDescent="0.25"/>
    <row r="5591" ht="13.2" x14ac:dyDescent="0.25"/>
    <row r="5592" ht="13.2" x14ac:dyDescent="0.25"/>
    <row r="5593" ht="13.2" x14ac:dyDescent="0.25"/>
    <row r="5594" ht="13.2" x14ac:dyDescent="0.25"/>
    <row r="5595" ht="13.2" x14ac:dyDescent="0.25"/>
    <row r="5596" ht="13.2" x14ac:dyDescent="0.25"/>
    <row r="5597" ht="13.2" x14ac:dyDescent="0.25"/>
    <row r="5598" ht="13.2" x14ac:dyDescent="0.25"/>
    <row r="5599" ht="13.2" x14ac:dyDescent="0.25"/>
    <row r="5600" ht="13.2" x14ac:dyDescent="0.25"/>
    <row r="5601" ht="13.2" x14ac:dyDescent="0.25"/>
    <row r="5602" ht="13.2" x14ac:dyDescent="0.25"/>
    <row r="5603" ht="13.2" x14ac:dyDescent="0.25"/>
    <row r="5604" ht="13.2" x14ac:dyDescent="0.25"/>
    <row r="5605" ht="13.2" x14ac:dyDescent="0.25"/>
    <row r="5606" ht="13.2" x14ac:dyDescent="0.25"/>
    <row r="5607" ht="13.2" x14ac:dyDescent="0.25"/>
    <row r="5608" ht="13.2" x14ac:dyDescent="0.25"/>
    <row r="5609" ht="13.2" x14ac:dyDescent="0.25"/>
    <row r="5610" ht="13.2" x14ac:dyDescent="0.25"/>
    <row r="5611" ht="13.2" x14ac:dyDescent="0.25"/>
    <row r="5612" ht="13.2" x14ac:dyDescent="0.25"/>
    <row r="5613" ht="13.2" x14ac:dyDescent="0.25"/>
    <row r="5614" ht="13.2" x14ac:dyDescent="0.25"/>
    <row r="5615" ht="13.2" x14ac:dyDescent="0.25"/>
    <row r="5616" ht="13.2" x14ac:dyDescent="0.25"/>
    <row r="5617" ht="13.2" x14ac:dyDescent="0.25"/>
    <row r="5618" ht="13.2" x14ac:dyDescent="0.25"/>
    <row r="5619" ht="13.2" x14ac:dyDescent="0.25"/>
    <row r="5620" ht="13.2" x14ac:dyDescent="0.25"/>
    <row r="5621" ht="13.2" x14ac:dyDescent="0.25"/>
    <row r="5622" ht="13.2" x14ac:dyDescent="0.25"/>
    <row r="5623" ht="13.2" x14ac:dyDescent="0.25"/>
    <row r="5624" ht="13.2" x14ac:dyDescent="0.25"/>
    <row r="5625" ht="13.2" x14ac:dyDescent="0.25"/>
    <row r="5626" ht="13.2" x14ac:dyDescent="0.25"/>
    <row r="5627" ht="13.2" x14ac:dyDescent="0.25"/>
    <row r="5628" ht="13.2" x14ac:dyDescent="0.25"/>
    <row r="5629" ht="13.2" x14ac:dyDescent="0.25"/>
    <row r="5630" ht="13.2" x14ac:dyDescent="0.25"/>
    <row r="5631" ht="13.2" x14ac:dyDescent="0.25"/>
    <row r="5632" ht="13.2" x14ac:dyDescent="0.25"/>
    <row r="5633" ht="13.2" x14ac:dyDescent="0.25"/>
    <row r="5634" ht="13.2" x14ac:dyDescent="0.25"/>
    <row r="5635" ht="13.2" x14ac:dyDescent="0.25"/>
    <row r="5636" ht="13.2" x14ac:dyDescent="0.25"/>
    <row r="5637" ht="13.2" x14ac:dyDescent="0.25"/>
    <row r="5638" ht="13.2" x14ac:dyDescent="0.25"/>
    <row r="5639" ht="13.2" x14ac:dyDescent="0.25"/>
    <row r="5640" ht="13.2" x14ac:dyDescent="0.25"/>
    <row r="5641" ht="13.2" x14ac:dyDescent="0.25"/>
    <row r="5642" ht="13.2" x14ac:dyDescent="0.25"/>
    <row r="5643" ht="13.2" x14ac:dyDescent="0.25"/>
    <row r="5644" ht="13.2" x14ac:dyDescent="0.25"/>
    <row r="5645" ht="13.2" x14ac:dyDescent="0.25"/>
    <row r="5646" ht="13.2" x14ac:dyDescent="0.25"/>
    <row r="5647" ht="13.2" x14ac:dyDescent="0.25"/>
    <row r="5648" ht="13.2" x14ac:dyDescent="0.25"/>
    <row r="5649" ht="13.2" x14ac:dyDescent="0.25"/>
    <row r="5650" ht="13.2" x14ac:dyDescent="0.25"/>
    <row r="5651" ht="13.2" x14ac:dyDescent="0.25"/>
    <row r="5652" ht="13.2" x14ac:dyDescent="0.25"/>
    <row r="5653" ht="13.2" x14ac:dyDescent="0.25"/>
    <row r="5654" ht="13.2" x14ac:dyDescent="0.25"/>
    <row r="5655" ht="13.2" x14ac:dyDescent="0.25"/>
    <row r="5656" ht="13.2" x14ac:dyDescent="0.25"/>
    <row r="5657" ht="13.2" x14ac:dyDescent="0.25"/>
    <row r="5658" ht="13.2" x14ac:dyDescent="0.25"/>
    <row r="5659" ht="13.2" x14ac:dyDescent="0.25"/>
    <row r="5660" ht="13.2" x14ac:dyDescent="0.25"/>
    <row r="5661" ht="13.2" x14ac:dyDescent="0.25"/>
    <row r="5662" ht="13.2" x14ac:dyDescent="0.25"/>
    <row r="5663" ht="13.2" x14ac:dyDescent="0.25"/>
    <row r="5664" ht="13.2" x14ac:dyDescent="0.25"/>
    <row r="5665" ht="13.2" x14ac:dyDescent="0.25"/>
    <row r="5666" ht="13.2" x14ac:dyDescent="0.25"/>
    <row r="5667" ht="13.2" x14ac:dyDescent="0.25"/>
    <row r="5668" ht="13.2" x14ac:dyDescent="0.25"/>
    <row r="5669" ht="13.2" x14ac:dyDescent="0.25"/>
    <row r="5670" ht="13.2" x14ac:dyDescent="0.25"/>
    <row r="5671" ht="13.2" x14ac:dyDescent="0.25"/>
    <row r="5672" ht="13.2" x14ac:dyDescent="0.25"/>
    <row r="5673" ht="13.2" x14ac:dyDescent="0.25"/>
    <row r="5674" ht="13.2" x14ac:dyDescent="0.25"/>
    <row r="5675" ht="13.2" x14ac:dyDescent="0.25"/>
    <row r="5676" ht="13.2" x14ac:dyDescent="0.25"/>
    <row r="5677" ht="13.2" x14ac:dyDescent="0.25"/>
    <row r="5678" ht="13.2" x14ac:dyDescent="0.25"/>
    <row r="5679" ht="13.2" x14ac:dyDescent="0.25"/>
    <row r="5680" ht="13.2" x14ac:dyDescent="0.25"/>
    <row r="5681" ht="13.2" x14ac:dyDescent="0.25"/>
    <row r="5682" ht="13.2" x14ac:dyDescent="0.25"/>
    <row r="5683" ht="13.2" x14ac:dyDescent="0.25"/>
    <row r="5684" ht="13.2" x14ac:dyDescent="0.25"/>
    <row r="5685" ht="13.2" x14ac:dyDescent="0.25"/>
    <row r="5686" ht="13.2" x14ac:dyDescent="0.25"/>
    <row r="5687" ht="13.2" x14ac:dyDescent="0.25"/>
    <row r="5688" ht="13.2" x14ac:dyDescent="0.25"/>
    <row r="5689" ht="13.2" x14ac:dyDescent="0.25"/>
    <row r="5690" ht="13.2" x14ac:dyDescent="0.25"/>
    <row r="5691" ht="13.2" x14ac:dyDescent="0.25"/>
    <row r="5692" ht="13.2" x14ac:dyDescent="0.25"/>
    <row r="5693" ht="13.2" x14ac:dyDescent="0.25"/>
    <row r="5694" ht="13.2" x14ac:dyDescent="0.25"/>
    <row r="5695" ht="13.2" x14ac:dyDescent="0.25"/>
    <row r="5696" ht="13.2" x14ac:dyDescent="0.25"/>
    <row r="5697" ht="13.2" x14ac:dyDescent="0.25"/>
    <row r="5698" ht="13.2" x14ac:dyDescent="0.25"/>
    <row r="5699" ht="13.2" x14ac:dyDescent="0.25"/>
    <row r="5700" ht="13.2" x14ac:dyDescent="0.25"/>
    <row r="5701" ht="13.2" x14ac:dyDescent="0.25"/>
    <row r="5702" ht="13.2" x14ac:dyDescent="0.25"/>
    <row r="5703" ht="13.2" x14ac:dyDescent="0.25"/>
    <row r="5704" ht="13.2" x14ac:dyDescent="0.25"/>
    <row r="5705" ht="13.2" x14ac:dyDescent="0.25"/>
    <row r="5706" ht="13.2" x14ac:dyDescent="0.25"/>
    <row r="5707" ht="13.2" x14ac:dyDescent="0.25"/>
    <row r="5708" ht="13.2" x14ac:dyDescent="0.25"/>
    <row r="5709" ht="13.2" x14ac:dyDescent="0.25"/>
    <row r="5710" ht="13.2" x14ac:dyDescent="0.25"/>
    <row r="5711" ht="13.2" x14ac:dyDescent="0.25"/>
    <row r="5712" ht="13.2" x14ac:dyDescent="0.25"/>
    <row r="5713" ht="13.2" x14ac:dyDescent="0.25"/>
    <row r="5714" ht="13.2" x14ac:dyDescent="0.25"/>
    <row r="5715" ht="13.2" x14ac:dyDescent="0.25"/>
    <row r="5716" ht="13.2" x14ac:dyDescent="0.25"/>
    <row r="5717" ht="13.2" x14ac:dyDescent="0.25"/>
    <row r="5718" ht="13.2" x14ac:dyDescent="0.25"/>
    <row r="5719" ht="13.2" x14ac:dyDescent="0.25"/>
    <row r="5720" ht="13.2" x14ac:dyDescent="0.25"/>
    <row r="5721" ht="13.2" x14ac:dyDescent="0.25"/>
    <row r="5722" ht="13.2" x14ac:dyDescent="0.25"/>
    <row r="5723" ht="13.2" x14ac:dyDescent="0.25"/>
    <row r="5724" ht="13.2" x14ac:dyDescent="0.25"/>
    <row r="5725" ht="13.2" x14ac:dyDescent="0.25"/>
    <row r="5726" ht="13.2" x14ac:dyDescent="0.25"/>
    <row r="5727" ht="13.2" x14ac:dyDescent="0.25"/>
    <row r="5728" ht="13.2" x14ac:dyDescent="0.25"/>
    <row r="5729" ht="13.2" x14ac:dyDescent="0.25"/>
    <row r="5730" ht="13.2" x14ac:dyDescent="0.25"/>
    <row r="5731" ht="13.2" x14ac:dyDescent="0.25"/>
    <row r="5732" ht="13.2" x14ac:dyDescent="0.25"/>
    <row r="5733" ht="13.2" x14ac:dyDescent="0.25"/>
    <row r="5734" ht="13.2" x14ac:dyDescent="0.25"/>
    <row r="5735" ht="13.2" x14ac:dyDescent="0.25"/>
    <row r="5736" ht="13.2" x14ac:dyDescent="0.25"/>
    <row r="5737" ht="13.2" x14ac:dyDescent="0.25"/>
    <row r="5738" ht="13.2" x14ac:dyDescent="0.25"/>
    <row r="5739" ht="13.2" x14ac:dyDescent="0.25"/>
    <row r="5740" ht="13.2" x14ac:dyDescent="0.25"/>
    <row r="5741" ht="13.2" x14ac:dyDescent="0.25"/>
    <row r="5742" ht="13.2" x14ac:dyDescent="0.25"/>
    <row r="5743" ht="13.2" x14ac:dyDescent="0.25"/>
    <row r="5744" ht="13.2" x14ac:dyDescent="0.25"/>
    <row r="5745" ht="13.2" x14ac:dyDescent="0.25"/>
    <row r="5746" ht="13.2" x14ac:dyDescent="0.25"/>
    <row r="5747" ht="13.2" x14ac:dyDescent="0.25"/>
    <row r="5748" ht="13.2" x14ac:dyDescent="0.25"/>
    <row r="5749" ht="13.2" x14ac:dyDescent="0.25"/>
    <row r="5750" ht="13.2" x14ac:dyDescent="0.25"/>
    <row r="5751" ht="13.2" x14ac:dyDescent="0.25"/>
    <row r="5752" ht="13.2" x14ac:dyDescent="0.25"/>
    <row r="5753" ht="13.2" x14ac:dyDescent="0.25"/>
    <row r="5754" ht="13.2" x14ac:dyDescent="0.25"/>
    <row r="5755" ht="13.2" x14ac:dyDescent="0.25"/>
    <row r="5756" ht="13.2" x14ac:dyDescent="0.25"/>
    <row r="5757" ht="13.2" x14ac:dyDescent="0.25"/>
    <row r="5758" ht="13.2" x14ac:dyDescent="0.25"/>
    <row r="5759" ht="13.2" x14ac:dyDescent="0.25"/>
    <row r="5760" ht="13.2" x14ac:dyDescent="0.25"/>
    <row r="5761" ht="13.2" x14ac:dyDescent="0.25"/>
    <row r="5762" ht="13.2" x14ac:dyDescent="0.25"/>
    <row r="5763" ht="13.2" x14ac:dyDescent="0.25"/>
    <row r="5764" ht="13.2" x14ac:dyDescent="0.25"/>
    <row r="5765" ht="13.2" x14ac:dyDescent="0.25"/>
    <row r="5766" ht="13.2" x14ac:dyDescent="0.25"/>
    <row r="5767" ht="13.2" x14ac:dyDescent="0.25"/>
    <row r="5768" ht="13.2" x14ac:dyDescent="0.25"/>
    <row r="5769" ht="13.2" x14ac:dyDescent="0.25"/>
    <row r="5770" ht="13.2" x14ac:dyDescent="0.25"/>
    <row r="5771" ht="13.2" x14ac:dyDescent="0.25"/>
    <row r="5772" ht="13.2" x14ac:dyDescent="0.25"/>
    <row r="5773" ht="13.2" x14ac:dyDescent="0.25"/>
    <row r="5774" ht="13.2" x14ac:dyDescent="0.25"/>
    <row r="5775" ht="13.2" x14ac:dyDescent="0.25"/>
    <row r="5776" ht="13.2" x14ac:dyDescent="0.25"/>
    <row r="5777" ht="13.2" x14ac:dyDescent="0.25"/>
    <row r="5778" ht="13.2" x14ac:dyDescent="0.25"/>
    <row r="5779" ht="13.2" x14ac:dyDescent="0.25"/>
    <row r="5780" ht="13.2" x14ac:dyDescent="0.25"/>
    <row r="5781" ht="13.2" x14ac:dyDescent="0.25"/>
    <row r="5782" ht="13.2" x14ac:dyDescent="0.25"/>
    <row r="5783" ht="13.2" x14ac:dyDescent="0.25"/>
    <row r="5784" ht="13.2" x14ac:dyDescent="0.25"/>
    <row r="5785" ht="13.2" x14ac:dyDescent="0.25"/>
    <row r="5786" ht="13.2" x14ac:dyDescent="0.25"/>
    <row r="5787" ht="13.2" x14ac:dyDescent="0.25"/>
    <row r="5788" ht="13.2" x14ac:dyDescent="0.25"/>
    <row r="5789" ht="13.2" x14ac:dyDescent="0.25"/>
    <row r="5790" ht="13.2" x14ac:dyDescent="0.25"/>
    <row r="5791" ht="13.2" x14ac:dyDescent="0.25"/>
    <row r="5792" ht="13.2" x14ac:dyDescent="0.25"/>
    <row r="5793" ht="13.2" x14ac:dyDescent="0.25"/>
    <row r="5794" ht="13.2" x14ac:dyDescent="0.25"/>
    <row r="5795" ht="13.2" x14ac:dyDescent="0.25"/>
    <row r="5796" ht="13.2" x14ac:dyDescent="0.25"/>
    <row r="5797" ht="13.2" x14ac:dyDescent="0.25"/>
    <row r="5798" ht="13.2" x14ac:dyDescent="0.25"/>
    <row r="5799" ht="13.2" x14ac:dyDescent="0.25"/>
    <row r="5800" ht="13.2" x14ac:dyDescent="0.25"/>
    <row r="5801" ht="13.2" x14ac:dyDescent="0.25"/>
    <row r="5802" ht="13.2" x14ac:dyDescent="0.25"/>
    <row r="5803" ht="13.2" x14ac:dyDescent="0.25"/>
    <row r="5804" ht="13.2" x14ac:dyDescent="0.25"/>
    <row r="5805" ht="13.2" x14ac:dyDescent="0.25"/>
    <row r="5806" ht="13.2" x14ac:dyDescent="0.25"/>
    <row r="5807" ht="13.2" x14ac:dyDescent="0.25"/>
    <row r="5808" ht="13.2" x14ac:dyDescent="0.25"/>
    <row r="5809" ht="13.2" x14ac:dyDescent="0.25"/>
    <row r="5810" ht="13.2" x14ac:dyDescent="0.25"/>
    <row r="5811" ht="13.2" x14ac:dyDescent="0.25"/>
    <row r="5812" ht="13.2" x14ac:dyDescent="0.25"/>
    <row r="5813" ht="13.2" x14ac:dyDescent="0.25"/>
    <row r="5814" ht="13.2" x14ac:dyDescent="0.25"/>
    <row r="5815" ht="13.2" x14ac:dyDescent="0.25"/>
    <row r="5816" ht="13.2" x14ac:dyDescent="0.25"/>
    <row r="5817" ht="13.2" x14ac:dyDescent="0.25"/>
    <row r="5818" ht="13.2" x14ac:dyDescent="0.25"/>
    <row r="5819" ht="13.2" x14ac:dyDescent="0.25"/>
    <row r="5820" ht="13.2" x14ac:dyDescent="0.25"/>
    <row r="5821" ht="13.2" x14ac:dyDescent="0.25"/>
    <row r="5822" ht="13.2" x14ac:dyDescent="0.25"/>
    <row r="5823" ht="13.2" x14ac:dyDescent="0.25"/>
    <row r="5824" ht="13.2" x14ac:dyDescent="0.25"/>
    <row r="5825" ht="13.2" x14ac:dyDescent="0.25"/>
    <row r="5826" ht="13.2" x14ac:dyDescent="0.25"/>
    <row r="5827" ht="13.2" x14ac:dyDescent="0.25"/>
    <row r="5828" ht="13.2" x14ac:dyDescent="0.25"/>
    <row r="5829" ht="13.2" x14ac:dyDescent="0.25"/>
    <row r="5830" ht="13.2" x14ac:dyDescent="0.25"/>
    <row r="5831" ht="13.2" x14ac:dyDescent="0.25"/>
    <row r="5832" ht="13.2" x14ac:dyDescent="0.25"/>
    <row r="5833" ht="13.2" x14ac:dyDescent="0.25"/>
    <row r="5834" ht="13.2" x14ac:dyDescent="0.25"/>
    <row r="5835" ht="13.2" x14ac:dyDescent="0.25"/>
    <row r="5836" ht="13.2" x14ac:dyDescent="0.25"/>
    <row r="5837" ht="13.2" x14ac:dyDescent="0.25"/>
    <row r="5838" ht="13.2" x14ac:dyDescent="0.25"/>
    <row r="5839" ht="13.2" x14ac:dyDescent="0.25"/>
    <row r="5840" ht="13.2" x14ac:dyDescent="0.25"/>
    <row r="5841" ht="13.2" x14ac:dyDescent="0.25"/>
    <row r="5842" ht="13.2" x14ac:dyDescent="0.25"/>
    <row r="5843" ht="13.2" x14ac:dyDescent="0.25"/>
    <row r="5844" ht="13.2" x14ac:dyDescent="0.25"/>
    <row r="5845" ht="13.2" x14ac:dyDescent="0.25"/>
    <row r="5846" ht="13.2" x14ac:dyDescent="0.25"/>
    <row r="5847" ht="13.2" x14ac:dyDescent="0.25"/>
    <row r="5848" ht="13.2" x14ac:dyDescent="0.25"/>
    <row r="5849" ht="13.2" x14ac:dyDescent="0.25"/>
    <row r="5850" ht="13.2" x14ac:dyDescent="0.25"/>
    <row r="5851" ht="13.2" x14ac:dyDescent="0.25"/>
    <row r="5852" ht="13.2" x14ac:dyDescent="0.25"/>
    <row r="5853" ht="13.2" x14ac:dyDescent="0.25"/>
    <row r="5854" ht="13.2" x14ac:dyDescent="0.25"/>
    <row r="5855" ht="13.2" x14ac:dyDescent="0.25"/>
    <row r="5856" ht="13.2" x14ac:dyDescent="0.25"/>
    <row r="5857" ht="13.2" x14ac:dyDescent="0.25"/>
    <row r="5858" ht="13.2" x14ac:dyDescent="0.25"/>
    <row r="5859" ht="13.2" x14ac:dyDescent="0.25"/>
    <row r="5860" ht="13.2" x14ac:dyDescent="0.25"/>
    <row r="5861" ht="13.2" x14ac:dyDescent="0.25"/>
    <row r="5862" ht="13.2" x14ac:dyDescent="0.25"/>
    <row r="5863" ht="13.2" x14ac:dyDescent="0.25"/>
    <row r="5864" ht="13.2" x14ac:dyDescent="0.25"/>
    <row r="5865" ht="13.2" x14ac:dyDescent="0.25"/>
    <row r="5866" ht="13.2" x14ac:dyDescent="0.25"/>
    <row r="5867" ht="13.2" x14ac:dyDescent="0.25"/>
    <row r="5868" ht="13.2" x14ac:dyDescent="0.25"/>
    <row r="5869" ht="13.2" x14ac:dyDescent="0.25"/>
    <row r="5870" ht="13.2" x14ac:dyDescent="0.25"/>
    <row r="5871" ht="13.2" x14ac:dyDescent="0.25"/>
    <row r="5872" ht="13.2" x14ac:dyDescent="0.25"/>
    <row r="5873" ht="13.2" x14ac:dyDescent="0.25"/>
    <row r="5874" ht="13.2" x14ac:dyDescent="0.25"/>
    <row r="5875" ht="13.2" x14ac:dyDescent="0.25"/>
    <row r="5876" ht="13.2" x14ac:dyDescent="0.25"/>
    <row r="5877" ht="13.2" x14ac:dyDescent="0.25"/>
    <row r="5878" ht="13.2" x14ac:dyDescent="0.25"/>
    <row r="5879" ht="13.2" x14ac:dyDescent="0.25"/>
    <row r="5880" ht="13.2" x14ac:dyDescent="0.25"/>
    <row r="5881" ht="13.2" x14ac:dyDescent="0.25"/>
    <row r="5882" ht="13.2" x14ac:dyDescent="0.25"/>
    <row r="5883" ht="13.2" x14ac:dyDescent="0.25"/>
    <row r="5884" ht="13.2" x14ac:dyDescent="0.25"/>
    <row r="5885" ht="13.2" x14ac:dyDescent="0.25"/>
    <row r="5886" ht="13.2" x14ac:dyDescent="0.25"/>
    <row r="5887" ht="13.2" x14ac:dyDescent="0.25"/>
    <row r="5888" ht="13.2" x14ac:dyDescent="0.25"/>
    <row r="5889" ht="13.2" x14ac:dyDescent="0.25"/>
    <row r="5890" ht="13.2" x14ac:dyDescent="0.25"/>
    <row r="5891" ht="13.2" x14ac:dyDescent="0.25"/>
    <row r="5892" ht="13.2" x14ac:dyDescent="0.25"/>
    <row r="5893" ht="13.2" x14ac:dyDescent="0.25"/>
    <row r="5894" ht="13.2" x14ac:dyDescent="0.25"/>
    <row r="5895" ht="13.2" x14ac:dyDescent="0.25"/>
    <row r="5896" ht="13.2" x14ac:dyDescent="0.25"/>
    <row r="5897" ht="13.2" x14ac:dyDescent="0.25"/>
    <row r="5898" ht="13.2" x14ac:dyDescent="0.25"/>
    <row r="5899" ht="13.2" x14ac:dyDescent="0.25"/>
    <row r="5900" ht="13.2" x14ac:dyDescent="0.25"/>
    <row r="5901" ht="13.2" x14ac:dyDescent="0.25"/>
    <row r="5902" ht="13.2" x14ac:dyDescent="0.25"/>
    <row r="5903" ht="13.2" x14ac:dyDescent="0.25"/>
    <row r="5904" ht="13.2" x14ac:dyDescent="0.25"/>
    <row r="5905" ht="13.2" x14ac:dyDescent="0.25"/>
    <row r="5906" ht="13.2" x14ac:dyDescent="0.25"/>
    <row r="5907" ht="13.2" x14ac:dyDescent="0.25"/>
    <row r="5908" ht="13.2" x14ac:dyDescent="0.25"/>
    <row r="5909" ht="13.2" x14ac:dyDescent="0.25"/>
    <row r="5910" ht="13.2" x14ac:dyDescent="0.25"/>
    <row r="5911" ht="13.2" x14ac:dyDescent="0.25"/>
    <row r="5912" ht="13.2" x14ac:dyDescent="0.25"/>
    <row r="5913" ht="13.2" x14ac:dyDescent="0.25"/>
    <row r="5914" ht="13.2" x14ac:dyDescent="0.25"/>
    <row r="5915" ht="13.2" x14ac:dyDescent="0.25"/>
    <row r="5916" ht="13.2" x14ac:dyDescent="0.25"/>
    <row r="5917" ht="13.2" x14ac:dyDescent="0.25"/>
    <row r="5918" ht="13.2" x14ac:dyDescent="0.25"/>
    <row r="5919" ht="13.2" x14ac:dyDescent="0.25"/>
    <row r="5920" ht="13.2" x14ac:dyDescent="0.25"/>
    <row r="5921" ht="13.2" x14ac:dyDescent="0.25"/>
    <row r="5922" ht="13.2" x14ac:dyDescent="0.25"/>
    <row r="5923" ht="13.2" x14ac:dyDescent="0.25"/>
    <row r="5924" ht="13.2" x14ac:dyDescent="0.25"/>
    <row r="5925" ht="13.2" x14ac:dyDescent="0.25"/>
    <row r="5926" ht="13.2" x14ac:dyDescent="0.25"/>
    <row r="5927" ht="13.2" x14ac:dyDescent="0.25"/>
    <row r="5928" ht="13.2" x14ac:dyDescent="0.25"/>
    <row r="5929" ht="13.2" x14ac:dyDescent="0.25"/>
    <row r="5930" ht="13.2" x14ac:dyDescent="0.25"/>
    <row r="5931" ht="13.2" x14ac:dyDescent="0.25"/>
    <row r="5932" ht="13.2" x14ac:dyDescent="0.25"/>
    <row r="5933" ht="13.2" x14ac:dyDescent="0.25"/>
    <row r="5934" ht="13.2" x14ac:dyDescent="0.25"/>
    <row r="5935" ht="13.2" x14ac:dyDescent="0.25"/>
    <row r="5936" ht="13.2" x14ac:dyDescent="0.25"/>
    <row r="5937" ht="13.2" x14ac:dyDescent="0.25"/>
    <row r="5938" ht="13.2" x14ac:dyDescent="0.25"/>
    <row r="5939" ht="13.2" x14ac:dyDescent="0.25"/>
    <row r="5940" ht="13.2" x14ac:dyDescent="0.25"/>
    <row r="5941" ht="13.2" x14ac:dyDescent="0.25"/>
    <row r="5942" ht="13.2" x14ac:dyDescent="0.25"/>
    <row r="5943" ht="13.2" x14ac:dyDescent="0.25"/>
    <row r="5944" ht="13.2" x14ac:dyDescent="0.25"/>
    <row r="5945" ht="13.2" x14ac:dyDescent="0.25"/>
    <row r="5946" ht="13.2" x14ac:dyDescent="0.25"/>
    <row r="5947" ht="13.2" x14ac:dyDescent="0.25"/>
    <row r="5948" ht="13.2" x14ac:dyDescent="0.25"/>
    <row r="5949" ht="13.2" x14ac:dyDescent="0.25"/>
    <row r="5950" ht="13.2" x14ac:dyDescent="0.25"/>
    <row r="5951" ht="13.2" x14ac:dyDescent="0.25"/>
    <row r="5952" ht="13.2" x14ac:dyDescent="0.25"/>
    <row r="5953" ht="13.2" x14ac:dyDescent="0.25"/>
    <row r="5954" ht="13.2" x14ac:dyDescent="0.25"/>
    <row r="5955" ht="13.2" x14ac:dyDescent="0.25"/>
    <row r="5956" ht="13.2" x14ac:dyDescent="0.25"/>
    <row r="5957" ht="13.2" x14ac:dyDescent="0.25"/>
    <row r="5958" ht="13.2" x14ac:dyDescent="0.25"/>
    <row r="5959" ht="13.2" x14ac:dyDescent="0.25"/>
    <row r="5960" ht="13.2" x14ac:dyDescent="0.25"/>
    <row r="5961" ht="13.2" x14ac:dyDescent="0.25"/>
    <row r="5962" ht="13.2" x14ac:dyDescent="0.25"/>
    <row r="5963" ht="13.2" x14ac:dyDescent="0.25"/>
    <row r="5964" ht="13.2" x14ac:dyDescent="0.25"/>
    <row r="5965" ht="13.2" x14ac:dyDescent="0.25"/>
    <row r="5966" ht="13.2" x14ac:dyDescent="0.25"/>
    <row r="5967" ht="13.2" x14ac:dyDescent="0.25"/>
    <row r="5968" ht="13.2" x14ac:dyDescent="0.25"/>
    <row r="5969" ht="13.2" x14ac:dyDescent="0.25"/>
    <row r="5970" ht="13.2" x14ac:dyDescent="0.25"/>
    <row r="5971" ht="13.2" x14ac:dyDescent="0.25"/>
    <row r="5972" ht="13.2" x14ac:dyDescent="0.25"/>
    <row r="5973" ht="13.2" x14ac:dyDescent="0.25"/>
    <row r="5974" ht="13.2" x14ac:dyDescent="0.25"/>
    <row r="5975" ht="13.2" x14ac:dyDescent="0.25"/>
    <row r="5976" ht="13.2" x14ac:dyDescent="0.25"/>
    <row r="5977" ht="13.2" x14ac:dyDescent="0.25"/>
    <row r="5978" ht="13.2" x14ac:dyDescent="0.25"/>
    <row r="5979" ht="13.2" x14ac:dyDescent="0.25"/>
    <row r="5980" ht="13.2" x14ac:dyDescent="0.25"/>
    <row r="5981" ht="13.2" x14ac:dyDescent="0.25"/>
    <row r="5982" ht="13.2" x14ac:dyDescent="0.25"/>
    <row r="5983" ht="13.2" x14ac:dyDescent="0.25"/>
    <row r="5984" ht="13.2" x14ac:dyDescent="0.25"/>
    <row r="5985" ht="13.2" x14ac:dyDescent="0.25"/>
    <row r="5986" ht="13.2" x14ac:dyDescent="0.25"/>
    <row r="5987" ht="13.2" x14ac:dyDescent="0.25"/>
    <row r="5988" ht="13.2" x14ac:dyDescent="0.25"/>
    <row r="5989" ht="13.2" x14ac:dyDescent="0.25"/>
    <row r="5990" ht="13.2" x14ac:dyDescent="0.25"/>
    <row r="5991" ht="13.2" x14ac:dyDescent="0.25"/>
    <row r="5992" ht="13.2" x14ac:dyDescent="0.25"/>
    <row r="5993" ht="13.2" x14ac:dyDescent="0.25"/>
    <row r="5994" ht="13.2" x14ac:dyDescent="0.25"/>
    <row r="5995" ht="13.2" x14ac:dyDescent="0.25"/>
    <row r="5996" ht="13.2" x14ac:dyDescent="0.25"/>
    <row r="5997" ht="13.2" x14ac:dyDescent="0.25"/>
    <row r="5998" ht="13.2" x14ac:dyDescent="0.25"/>
    <row r="5999" ht="13.2" x14ac:dyDescent="0.25"/>
    <row r="6000" ht="13.2" x14ac:dyDescent="0.25"/>
  </sheetData>
  <sortState xmlns:xlrd2="http://schemas.microsoft.com/office/spreadsheetml/2017/richdata2" ref="A2:L186">
    <sortCondition descending="1" ref="K2:K186"/>
    <sortCondition ref="J2:J186"/>
    <sortCondition ref="C2:C186"/>
  </sortState>
  <conditionalFormatting sqref="A2:K185 L2:AG6000 A186:E186 H186:K186 A187:K5999">
    <cfRule type="expression" dxfId="7" priority="2">
      <formula>#REF!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"/>
  <sheetViews>
    <sheetView workbookViewId="0"/>
  </sheetViews>
  <sheetFormatPr defaultColWidth="12.5546875" defaultRowHeight="15.75" customHeight="1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P5998"/>
  <sheetViews>
    <sheetView workbookViewId="0">
      <selection activeCell="L18" sqref="L18"/>
    </sheetView>
  </sheetViews>
  <sheetFormatPr defaultColWidth="12.5546875" defaultRowHeight="15.75" customHeight="1" x14ac:dyDescent="0.25"/>
  <cols>
    <col min="1" max="1" width="38.109375" customWidth="1"/>
    <col min="2" max="2" width="6.88671875" customWidth="1"/>
    <col min="3" max="3" width="10.44140625" customWidth="1"/>
    <col min="4" max="5" width="18.109375" customWidth="1"/>
    <col min="6" max="6" width="15.44140625" customWidth="1"/>
    <col min="7" max="7" width="7.44140625" customWidth="1"/>
    <col min="8" max="8" width="7" customWidth="1"/>
    <col min="9" max="9" width="6.88671875" customWidth="1"/>
  </cols>
  <sheetData>
    <row r="1" spans="1:42" ht="15.75" customHeight="1" x14ac:dyDescent="0.25">
      <c r="A1" s="3" t="s">
        <v>3232</v>
      </c>
      <c r="B1" s="3" t="s">
        <v>3236</v>
      </c>
      <c r="C1" s="3" t="s">
        <v>3233</v>
      </c>
      <c r="D1" s="3" t="s">
        <v>3453</v>
      </c>
      <c r="E1" s="3" t="s">
        <v>7</v>
      </c>
      <c r="F1" s="3" t="s">
        <v>3235</v>
      </c>
      <c r="G1" s="3" t="s">
        <v>3379</v>
      </c>
      <c r="H1" s="3" t="s">
        <v>11</v>
      </c>
      <c r="I1" s="3" t="s">
        <v>12</v>
      </c>
      <c r="J1" s="3"/>
      <c r="K1" s="3"/>
      <c r="L1" s="3"/>
      <c r="M1" s="3"/>
      <c r="N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</row>
    <row r="2" spans="1:42" ht="15.75" customHeight="1" x14ac:dyDescent="0.25">
      <c r="A2" s="3" t="s">
        <v>3568</v>
      </c>
      <c r="B2" s="3" t="s">
        <v>415</v>
      </c>
      <c r="C2" s="3">
        <v>3586</v>
      </c>
      <c r="D2" s="3" t="s">
        <v>65</v>
      </c>
      <c r="E2" s="3" t="s">
        <v>3430</v>
      </c>
      <c r="F2" s="3" t="s">
        <v>3459</v>
      </c>
      <c r="G2" s="3">
        <v>13</v>
      </c>
      <c r="H2" s="3" t="s">
        <v>3377</v>
      </c>
      <c r="I2" s="3" t="s">
        <v>415</v>
      </c>
    </row>
    <row r="3" spans="1:42" ht="15.75" customHeight="1" x14ac:dyDescent="0.25">
      <c r="A3" s="3" t="s">
        <v>3569</v>
      </c>
      <c r="B3" s="3" t="s">
        <v>415</v>
      </c>
      <c r="C3" s="3">
        <v>3140</v>
      </c>
      <c r="D3" s="3" t="s">
        <v>74</v>
      </c>
      <c r="E3" s="3" t="s">
        <v>3431</v>
      </c>
      <c r="F3" s="3" t="s">
        <v>3460</v>
      </c>
      <c r="G3" s="3">
        <v>12</v>
      </c>
      <c r="H3" s="3" t="s">
        <v>3378</v>
      </c>
      <c r="I3" s="3" t="s">
        <v>415</v>
      </c>
    </row>
    <row r="4" spans="1:42" ht="15.75" customHeight="1" x14ac:dyDescent="0.25">
      <c r="A4" s="3" t="s">
        <v>3681</v>
      </c>
      <c r="B4" s="3" t="s">
        <v>415</v>
      </c>
      <c r="C4" s="3">
        <v>4201</v>
      </c>
      <c r="D4" s="3" t="s">
        <v>74</v>
      </c>
      <c r="E4" s="3" t="s">
        <v>3431</v>
      </c>
      <c r="F4" s="3" t="s">
        <v>3461</v>
      </c>
      <c r="G4" s="3">
        <v>10</v>
      </c>
      <c r="H4" s="3" t="s">
        <v>3377</v>
      </c>
      <c r="I4" s="3" t="s">
        <v>415</v>
      </c>
    </row>
    <row r="5" spans="1:42" ht="15.75" customHeight="1" x14ac:dyDescent="0.25">
      <c r="A5" s="3" t="s">
        <v>3570</v>
      </c>
      <c r="B5" s="3" t="s">
        <v>415</v>
      </c>
      <c r="C5" s="3">
        <v>106</v>
      </c>
      <c r="D5" s="3" t="s">
        <v>74</v>
      </c>
      <c r="E5" s="3" t="s">
        <v>3431</v>
      </c>
      <c r="F5" s="3" t="s">
        <v>3462</v>
      </c>
      <c r="G5" s="3">
        <v>12</v>
      </c>
      <c r="H5" s="3" t="s">
        <v>3378</v>
      </c>
      <c r="I5" s="3" t="s">
        <v>415</v>
      </c>
    </row>
    <row r="6" spans="1:42" ht="15.75" customHeight="1" x14ac:dyDescent="0.25">
      <c r="A6" s="3" t="s">
        <v>3571</v>
      </c>
      <c r="B6" s="3" t="s">
        <v>415</v>
      </c>
      <c r="C6" s="3">
        <v>3532</v>
      </c>
      <c r="D6" s="3" t="s">
        <v>171</v>
      </c>
      <c r="E6" s="3" t="s">
        <v>3433</v>
      </c>
      <c r="F6" s="3" t="s">
        <v>3463</v>
      </c>
      <c r="G6" s="3">
        <v>14</v>
      </c>
      <c r="H6" s="3" t="s">
        <v>3378</v>
      </c>
      <c r="I6" s="3" t="s">
        <v>415</v>
      </c>
    </row>
    <row r="7" spans="1:42" ht="15.75" customHeight="1" x14ac:dyDescent="0.25">
      <c r="A7" s="3" t="s">
        <v>3572</v>
      </c>
      <c r="B7" s="3" t="s">
        <v>415</v>
      </c>
      <c r="C7" s="3">
        <v>4120</v>
      </c>
      <c r="D7" s="3" t="s">
        <v>171</v>
      </c>
      <c r="E7" s="3" t="s">
        <v>3433</v>
      </c>
      <c r="F7" s="3" t="s">
        <v>3464</v>
      </c>
      <c r="G7" s="3">
        <v>12</v>
      </c>
      <c r="H7" s="3" t="s">
        <v>3378</v>
      </c>
      <c r="I7" s="3" t="s">
        <v>415</v>
      </c>
    </row>
    <row r="8" spans="1:42" ht="15.75" customHeight="1" x14ac:dyDescent="0.25">
      <c r="A8" s="3" t="s">
        <v>3573</v>
      </c>
      <c r="B8" s="3" t="s">
        <v>415</v>
      </c>
      <c r="C8" s="3">
        <v>3752</v>
      </c>
      <c r="D8" s="3" t="s">
        <v>74</v>
      </c>
      <c r="E8" s="3" t="s">
        <v>3431</v>
      </c>
      <c r="F8" s="3" t="s">
        <v>3104</v>
      </c>
      <c r="G8" s="3">
        <v>14</v>
      </c>
      <c r="H8" s="3" t="s">
        <v>3378</v>
      </c>
      <c r="I8" s="3" t="s">
        <v>415</v>
      </c>
    </row>
    <row r="9" spans="1:42" ht="15.75" customHeight="1" x14ac:dyDescent="0.25">
      <c r="A9" s="3" t="s">
        <v>3682</v>
      </c>
      <c r="B9" s="3" t="s">
        <v>415</v>
      </c>
      <c r="C9" s="3">
        <v>3888</v>
      </c>
      <c r="D9" s="3" t="s">
        <v>74</v>
      </c>
      <c r="E9" s="3" t="s">
        <v>3431</v>
      </c>
      <c r="F9" s="3" t="s">
        <v>3465</v>
      </c>
      <c r="G9" s="3">
        <v>12</v>
      </c>
      <c r="H9" s="3" t="s">
        <v>3378</v>
      </c>
      <c r="I9" s="3" t="s">
        <v>415</v>
      </c>
    </row>
    <row r="10" spans="1:42" ht="15.75" customHeight="1" x14ac:dyDescent="0.25">
      <c r="A10" s="3" t="s">
        <v>3574</v>
      </c>
      <c r="B10" s="3" t="s">
        <v>415</v>
      </c>
      <c r="C10" s="3">
        <v>3860</v>
      </c>
      <c r="D10" s="3" t="s">
        <v>198</v>
      </c>
      <c r="E10" s="3" t="s">
        <v>3434</v>
      </c>
      <c r="F10" s="3" t="s">
        <v>3466</v>
      </c>
      <c r="G10" s="3">
        <v>11</v>
      </c>
      <c r="H10" s="3" t="s">
        <v>3378</v>
      </c>
      <c r="I10" s="3" t="s">
        <v>415</v>
      </c>
    </row>
    <row r="11" spans="1:42" ht="15.75" customHeight="1" x14ac:dyDescent="0.25">
      <c r="A11" s="3" t="s">
        <v>3575</v>
      </c>
      <c r="B11" s="3" t="s">
        <v>415</v>
      </c>
      <c r="C11" s="3">
        <v>3631</v>
      </c>
      <c r="D11" s="3" t="s">
        <v>352</v>
      </c>
      <c r="E11" s="3" t="s">
        <v>3439</v>
      </c>
      <c r="F11" s="3" t="s">
        <v>3467</v>
      </c>
      <c r="G11" s="3">
        <v>12</v>
      </c>
      <c r="H11" s="3" t="s">
        <v>3377</v>
      </c>
      <c r="I11" s="3" t="s">
        <v>415</v>
      </c>
    </row>
    <row r="12" spans="1:42" ht="15.75" customHeight="1" x14ac:dyDescent="0.25">
      <c r="A12" s="3" t="s">
        <v>3576</v>
      </c>
      <c r="B12" s="3" t="s">
        <v>415</v>
      </c>
      <c r="C12" s="3">
        <v>3495</v>
      </c>
      <c r="D12" s="3" t="s">
        <v>198</v>
      </c>
      <c r="E12" s="3" t="s">
        <v>3434</v>
      </c>
      <c r="F12" s="3" t="s">
        <v>3468</v>
      </c>
      <c r="G12" s="3">
        <v>11</v>
      </c>
      <c r="H12" s="3" t="s">
        <v>3377</v>
      </c>
      <c r="I12" s="3" t="s">
        <v>415</v>
      </c>
    </row>
    <row r="13" spans="1:42" ht="15.75" customHeight="1" x14ac:dyDescent="0.25">
      <c r="A13" s="3" t="s">
        <v>3683</v>
      </c>
      <c r="B13" s="3" t="s">
        <v>415</v>
      </c>
      <c r="C13" s="3">
        <v>3925</v>
      </c>
      <c r="D13" s="3" t="s">
        <v>352</v>
      </c>
      <c r="E13" s="3" t="s">
        <v>3439</v>
      </c>
      <c r="F13" s="3" t="s">
        <v>3469</v>
      </c>
      <c r="G13" s="3">
        <v>11</v>
      </c>
      <c r="H13" s="3" t="s">
        <v>3378</v>
      </c>
      <c r="I13" s="3" t="s">
        <v>415</v>
      </c>
    </row>
    <row r="14" spans="1:42" ht="15.75" customHeight="1" x14ac:dyDescent="0.25">
      <c r="A14" s="3" t="s">
        <v>3684</v>
      </c>
      <c r="B14" s="3" t="s">
        <v>3679</v>
      </c>
      <c r="C14" s="3">
        <v>3540</v>
      </c>
      <c r="D14" s="3" t="s">
        <v>198</v>
      </c>
      <c r="E14" s="3" t="s">
        <v>3434</v>
      </c>
      <c r="F14" s="3" t="s">
        <v>3470</v>
      </c>
      <c r="G14" s="3">
        <v>14</v>
      </c>
      <c r="H14" s="3" t="s">
        <v>3377</v>
      </c>
      <c r="I14" s="3" t="s">
        <v>415</v>
      </c>
    </row>
    <row r="15" spans="1:42" ht="15.75" customHeight="1" x14ac:dyDescent="0.25">
      <c r="A15" s="3" t="s">
        <v>3577</v>
      </c>
      <c r="B15" s="3" t="s">
        <v>415</v>
      </c>
      <c r="C15" s="3">
        <v>4051</v>
      </c>
      <c r="D15" s="3" t="s">
        <v>54</v>
      </c>
      <c r="E15" s="3" t="s">
        <v>3429</v>
      </c>
      <c r="F15" s="3" t="s">
        <v>3471</v>
      </c>
      <c r="G15" s="3">
        <v>11</v>
      </c>
      <c r="H15" s="3" t="s">
        <v>3378</v>
      </c>
      <c r="I15" s="3" t="s">
        <v>415</v>
      </c>
    </row>
    <row r="16" spans="1:42" ht="15.75" customHeight="1" x14ac:dyDescent="0.25">
      <c r="A16" s="3" t="s">
        <v>3578</v>
      </c>
      <c r="B16" s="3" t="s">
        <v>415</v>
      </c>
      <c r="C16" s="3">
        <v>4100</v>
      </c>
      <c r="D16" s="3" t="s">
        <v>352</v>
      </c>
      <c r="E16" s="3" t="s">
        <v>3439</v>
      </c>
      <c r="F16" s="3" t="s">
        <v>3472</v>
      </c>
      <c r="G16" s="3">
        <v>12</v>
      </c>
      <c r="H16" s="3" t="s">
        <v>3377</v>
      </c>
      <c r="I16" s="3" t="s">
        <v>415</v>
      </c>
    </row>
    <row r="17" spans="1:9" ht="15.75" customHeight="1" x14ac:dyDescent="0.25">
      <c r="A17" s="3" t="s">
        <v>3579</v>
      </c>
      <c r="B17" s="3" t="s">
        <v>415</v>
      </c>
      <c r="C17" s="3">
        <v>3771</v>
      </c>
      <c r="D17" s="3" t="s">
        <v>198</v>
      </c>
      <c r="E17" s="3" t="s">
        <v>3434</v>
      </c>
      <c r="F17" s="3" t="s">
        <v>3473</v>
      </c>
      <c r="G17" s="3">
        <v>12</v>
      </c>
      <c r="H17" s="3" t="s">
        <v>3378</v>
      </c>
      <c r="I17" s="3" t="s">
        <v>415</v>
      </c>
    </row>
    <row r="18" spans="1:9" ht="15.75" customHeight="1" x14ac:dyDescent="0.25">
      <c r="A18" s="3" t="s">
        <v>3580</v>
      </c>
      <c r="B18" s="3" t="s">
        <v>415</v>
      </c>
      <c r="C18" s="3">
        <v>4112</v>
      </c>
      <c r="D18" s="3" t="s">
        <v>74</v>
      </c>
      <c r="E18" s="3" t="s">
        <v>3431</v>
      </c>
      <c r="F18" s="3" t="s">
        <v>3082</v>
      </c>
      <c r="G18" s="3">
        <v>11</v>
      </c>
      <c r="H18" s="3" t="s">
        <v>3377</v>
      </c>
      <c r="I18" s="3" t="s">
        <v>415</v>
      </c>
    </row>
    <row r="19" spans="1:9" ht="15.75" customHeight="1" x14ac:dyDescent="0.25">
      <c r="A19" s="3" t="s">
        <v>3581</v>
      </c>
      <c r="B19" s="3" t="s">
        <v>415</v>
      </c>
      <c r="C19" s="3">
        <v>3749</v>
      </c>
      <c r="D19" s="3" t="s">
        <v>198</v>
      </c>
      <c r="E19" s="3" t="s">
        <v>3434</v>
      </c>
      <c r="F19" s="3" t="s">
        <v>3474</v>
      </c>
      <c r="G19" s="3">
        <v>13</v>
      </c>
      <c r="H19" s="3" t="s">
        <v>3378</v>
      </c>
      <c r="I19" s="3" t="s">
        <v>415</v>
      </c>
    </row>
    <row r="20" spans="1:9" ht="15.75" customHeight="1" x14ac:dyDescent="0.25">
      <c r="A20" s="3" t="s">
        <v>3582</v>
      </c>
      <c r="B20" s="3" t="s">
        <v>415</v>
      </c>
      <c r="C20" s="3">
        <v>3598</v>
      </c>
      <c r="D20" s="3" t="s">
        <v>590</v>
      </c>
      <c r="E20" s="3" t="s">
        <v>3443</v>
      </c>
      <c r="F20" s="3" t="s">
        <v>3475</v>
      </c>
      <c r="G20" s="3">
        <v>11</v>
      </c>
      <c r="H20" s="3" t="s">
        <v>3378</v>
      </c>
      <c r="I20" s="3" t="s">
        <v>415</v>
      </c>
    </row>
    <row r="21" spans="1:9" ht="15.75" customHeight="1" x14ac:dyDescent="0.25">
      <c r="A21" s="3" t="s">
        <v>3583</v>
      </c>
      <c r="B21" s="3" t="s">
        <v>415</v>
      </c>
      <c r="C21" s="3">
        <v>3715</v>
      </c>
      <c r="D21" s="3" t="s">
        <v>65</v>
      </c>
      <c r="E21" s="3" t="s">
        <v>3430</v>
      </c>
      <c r="F21" s="3" t="s">
        <v>3476</v>
      </c>
      <c r="G21" s="3">
        <v>10</v>
      </c>
      <c r="H21" s="3" t="s">
        <v>3378</v>
      </c>
      <c r="I21" s="3" t="s">
        <v>415</v>
      </c>
    </row>
    <row r="22" spans="1:9" ht="15.75" customHeight="1" x14ac:dyDescent="0.25">
      <c r="A22" s="3" t="s">
        <v>3584</v>
      </c>
      <c r="B22" s="3" t="s">
        <v>415</v>
      </c>
      <c r="C22" s="3">
        <v>4253</v>
      </c>
      <c r="D22" s="3" t="s">
        <v>590</v>
      </c>
      <c r="E22" s="3" t="s">
        <v>3443</v>
      </c>
      <c r="F22" s="3" t="s">
        <v>3477</v>
      </c>
      <c r="G22" s="3">
        <v>13</v>
      </c>
      <c r="H22" s="3" t="s">
        <v>3378</v>
      </c>
      <c r="I22" s="3" t="s">
        <v>415</v>
      </c>
    </row>
    <row r="23" spans="1:9" ht="15.75" customHeight="1" x14ac:dyDescent="0.25">
      <c r="A23" s="3" t="s">
        <v>3585</v>
      </c>
      <c r="B23" s="3" t="s">
        <v>415</v>
      </c>
      <c r="C23" s="3">
        <v>3903</v>
      </c>
      <c r="D23" s="3" t="s">
        <v>326</v>
      </c>
      <c r="E23" s="3" t="s">
        <v>3438</v>
      </c>
      <c r="F23" s="3" t="s">
        <v>3478</v>
      </c>
      <c r="G23" s="3">
        <v>12</v>
      </c>
      <c r="H23" s="3" t="s">
        <v>3377</v>
      </c>
      <c r="I23" s="3" t="s">
        <v>415</v>
      </c>
    </row>
    <row r="24" spans="1:9" ht="15.75" customHeight="1" x14ac:dyDescent="0.25">
      <c r="A24" s="3" t="s">
        <v>3586</v>
      </c>
      <c r="B24" s="3" t="s">
        <v>415</v>
      </c>
      <c r="C24" s="3">
        <v>4028</v>
      </c>
      <c r="D24" s="3" t="s">
        <v>74</v>
      </c>
      <c r="E24" s="3" t="s">
        <v>3431</v>
      </c>
      <c r="F24" s="3" t="s">
        <v>3479</v>
      </c>
      <c r="G24" s="3">
        <v>13</v>
      </c>
      <c r="H24" s="3" t="s">
        <v>3378</v>
      </c>
      <c r="I24" s="3" t="s">
        <v>415</v>
      </c>
    </row>
    <row r="25" spans="1:9" ht="15.75" customHeight="1" x14ac:dyDescent="0.25">
      <c r="A25" s="3" t="s">
        <v>3587</v>
      </c>
      <c r="B25" s="3" t="s">
        <v>415</v>
      </c>
      <c r="C25" s="3">
        <v>3976</v>
      </c>
      <c r="D25" s="3" t="s">
        <v>74</v>
      </c>
      <c r="E25" s="3" t="s">
        <v>3431</v>
      </c>
      <c r="F25" s="3" t="s">
        <v>3480</v>
      </c>
      <c r="G25" s="3">
        <v>11</v>
      </c>
      <c r="H25" s="3" t="s">
        <v>3378</v>
      </c>
      <c r="I25" s="3" t="s">
        <v>415</v>
      </c>
    </row>
    <row r="26" spans="1:9" ht="15.75" customHeight="1" x14ac:dyDescent="0.25">
      <c r="A26" s="3" t="s">
        <v>3588</v>
      </c>
      <c r="B26" s="3" t="s">
        <v>415</v>
      </c>
      <c r="C26" s="3">
        <v>4163</v>
      </c>
      <c r="D26" s="3" t="s">
        <v>54</v>
      </c>
      <c r="E26" s="3" t="s">
        <v>3429</v>
      </c>
      <c r="F26" s="3" t="s">
        <v>3481</v>
      </c>
      <c r="G26" s="3">
        <v>11</v>
      </c>
      <c r="H26" s="3" t="s">
        <v>3378</v>
      </c>
      <c r="I26" s="3" t="s">
        <v>415</v>
      </c>
    </row>
    <row r="27" spans="1:9" ht="13.2" x14ac:dyDescent="0.25">
      <c r="A27" s="3" t="s">
        <v>3589</v>
      </c>
      <c r="B27" s="3" t="s">
        <v>415</v>
      </c>
      <c r="C27" s="3">
        <v>4016</v>
      </c>
      <c r="D27" s="3" t="s">
        <v>590</v>
      </c>
      <c r="E27" s="3" t="s">
        <v>3443</v>
      </c>
      <c r="F27" s="3" t="s">
        <v>3482</v>
      </c>
      <c r="G27" s="3">
        <v>12</v>
      </c>
      <c r="H27" s="3" t="s">
        <v>3378</v>
      </c>
      <c r="I27" s="3" t="s">
        <v>415</v>
      </c>
    </row>
    <row r="28" spans="1:9" ht="13.2" x14ac:dyDescent="0.25">
      <c r="A28" s="3" t="s">
        <v>3590</v>
      </c>
      <c r="B28" s="3" t="s">
        <v>415</v>
      </c>
      <c r="C28" s="3">
        <v>4094</v>
      </c>
      <c r="D28" s="3" t="s">
        <v>352</v>
      </c>
      <c r="E28" s="3" t="s">
        <v>3439</v>
      </c>
      <c r="F28" s="3" t="s">
        <v>3483</v>
      </c>
      <c r="G28" s="3">
        <v>11</v>
      </c>
      <c r="H28" s="3" t="s">
        <v>3378</v>
      </c>
      <c r="I28" s="3" t="s">
        <v>415</v>
      </c>
    </row>
    <row r="29" spans="1:9" ht="13.2" x14ac:dyDescent="0.25">
      <c r="A29" s="3" t="s">
        <v>3591</v>
      </c>
      <c r="B29" s="3" t="s">
        <v>415</v>
      </c>
      <c r="C29" s="3">
        <v>3994</v>
      </c>
      <c r="D29" s="3" t="s">
        <v>54</v>
      </c>
      <c r="E29" s="3" t="s">
        <v>3429</v>
      </c>
      <c r="F29" s="3" t="s">
        <v>3485</v>
      </c>
      <c r="G29" s="3">
        <v>13</v>
      </c>
      <c r="H29" s="3" t="s">
        <v>3377</v>
      </c>
      <c r="I29" s="3" t="s">
        <v>415</v>
      </c>
    </row>
    <row r="30" spans="1:9" ht="13.2" x14ac:dyDescent="0.25">
      <c r="A30" s="3" t="s">
        <v>3592</v>
      </c>
      <c r="B30" s="3" t="s">
        <v>415</v>
      </c>
      <c r="C30" s="3">
        <v>3850</v>
      </c>
      <c r="D30" s="3" t="s">
        <v>54</v>
      </c>
      <c r="E30" s="3" t="s">
        <v>3429</v>
      </c>
      <c r="F30" s="3" t="s">
        <v>3486</v>
      </c>
      <c r="G30" s="3">
        <v>11</v>
      </c>
      <c r="H30" s="3" t="s">
        <v>3378</v>
      </c>
      <c r="I30" s="3" t="s">
        <v>415</v>
      </c>
    </row>
    <row r="31" spans="1:9" ht="13.2" x14ac:dyDescent="0.25">
      <c r="A31" s="3" t="s">
        <v>3593</v>
      </c>
      <c r="B31" s="3" t="s">
        <v>415</v>
      </c>
      <c r="C31" s="3">
        <v>3727</v>
      </c>
      <c r="D31" s="3" t="s">
        <v>42</v>
      </c>
      <c r="E31" s="3" t="s">
        <v>3428</v>
      </c>
      <c r="F31" s="3" t="s">
        <v>3487</v>
      </c>
      <c r="G31" s="3">
        <v>9</v>
      </c>
      <c r="H31" s="3" t="s">
        <v>3378</v>
      </c>
      <c r="I31" s="3" t="s">
        <v>415</v>
      </c>
    </row>
    <row r="32" spans="1:9" ht="13.2" x14ac:dyDescent="0.25">
      <c r="A32" s="3" t="s">
        <v>3594</v>
      </c>
      <c r="B32" s="3" t="s">
        <v>415</v>
      </c>
      <c r="C32" s="3">
        <v>3682</v>
      </c>
      <c r="D32" s="3" t="s">
        <v>74</v>
      </c>
      <c r="E32" s="3" t="s">
        <v>3431</v>
      </c>
      <c r="F32" s="3" t="s">
        <v>3488</v>
      </c>
      <c r="G32" s="3">
        <v>12</v>
      </c>
      <c r="H32" s="3" t="s">
        <v>3378</v>
      </c>
      <c r="I32" s="3" t="s">
        <v>415</v>
      </c>
    </row>
    <row r="33" spans="1:9" ht="13.2" x14ac:dyDescent="0.25">
      <c r="A33" s="3" t="s">
        <v>3595</v>
      </c>
      <c r="B33" s="3" t="s">
        <v>415</v>
      </c>
      <c r="C33" s="3">
        <v>3693</v>
      </c>
      <c r="D33" s="3" t="s">
        <v>54</v>
      </c>
      <c r="E33" s="3" t="s">
        <v>3429</v>
      </c>
      <c r="F33" s="3" t="s">
        <v>3489</v>
      </c>
      <c r="G33" s="3">
        <v>13</v>
      </c>
      <c r="H33" s="3" t="s">
        <v>3378</v>
      </c>
      <c r="I33" s="3" t="s">
        <v>415</v>
      </c>
    </row>
    <row r="34" spans="1:9" ht="13.2" x14ac:dyDescent="0.25">
      <c r="A34" s="3" t="s">
        <v>3596</v>
      </c>
      <c r="B34" s="3" t="s">
        <v>415</v>
      </c>
      <c r="C34" s="3">
        <v>3990</v>
      </c>
      <c r="D34" s="3" t="s">
        <v>54</v>
      </c>
      <c r="E34" s="3" t="s">
        <v>3429</v>
      </c>
      <c r="F34" s="3" t="s">
        <v>3490</v>
      </c>
      <c r="G34" s="3">
        <v>11</v>
      </c>
      <c r="H34" s="3" t="s">
        <v>3378</v>
      </c>
      <c r="I34" s="3" t="s">
        <v>415</v>
      </c>
    </row>
    <row r="35" spans="1:9" ht="13.2" x14ac:dyDescent="0.25">
      <c r="A35" s="3" t="s">
        <v>3686</v>
      </c>
      <c r="B35" s="3" t="s">
        <v>415</v>
      </c>
      <c r="C35" s="3">
        <v>3468</v>
      </c>
      <c r="D35" s="3" t="s">
        <v>843</v>
      </c>
      <c r="E35" s="3" t="s">
        <v>3446</v>
      </c>
      <c r="F35" s="3" t="s">
        <v>3491</v>
      </c>
      <c r="G35" s="3">
        <v>12</v>
      </c>
      <c r="H35" s="3" t="s">
        <v>3378</v>
      </c>
      <c r="I35" s="3" t="s">
        <v>415</v>
      </c>
    </row>
    <row r="36" spans="1:9" ht="13.2" x14ac:dyDescent="0.25">
      <c r="A36" s="3" t="s">
        <v>3597</v>
      </c>
      <c r="B36" s="3" t="s">
        <v>3680</v>
      </c>
      <c r="C36" s="3">
        <v>236</v>
      </c>
      <c r="D36" s="3" t="s">
        <v>326</v>
      </c>
      <c r="E36" s="3" t="s">
        <v>3438</v>
      </c>
      <c r="F36" s="3" t="s">
        <v>3492</v>
      </c>
      <c r="G36" s="3">
        <v>13</v>
      </c>
      <c r="H36" s="3" t="s">
        <v>3378</v>
      </c>
      <c r="I36" s="3" t="s">
        <v>415</v>
      </c>
    </row>
    <row r="37" spans="1:9" ht="13.2" x14ac:dyDescent="0.25">
      <c r="A37" s="3" t="s">
        <v>3598</v>
      </c>
      <c r="B37" s="3" t="s">
        <v>415</v>
      </c>
      <c r="C37" s="3">
        <v>4272</v>
      </c>
      <c r="D37" s="3" t="s">
        <v>590</v>
      </c>
      <c r="E37" s="3" t="s">
        <v>3443</v>
      </c>
      <c r="F37" s="3" t="s">
        <v>3493</v>
      </c>
      <c r="G37" s="3">
        <v>11</v>
      </c>
      <c r="H37" s="3" t="s">
        <v>3377</v>
      </c>
      <c r="I37" s="3" t="s">
        <v>415</v>
      </c>
    </row>
    <row r="38" spans="1:9" ht="13.2" x14ac:dyDescent="0.25">
      <c r="A38" s="3" t="s">
        <v>3599</v>
      </c>
      <c r="B38" s="3" t="s">
        <v>415</v>
      </c>
      <c r="C38" s="3">
        <v>3138</v>
      </c>
      <c r="D38" s="3" t="s">
        <v>352</v>
      </c>
      <c r="E38" s="3" t="s">
        <v>3439</v>
      </c>
      <c r="F38" s="3" t="s">
        <v>3494</v>
      </c>
      <c r="G38" s="3">
        <v>0</v>
      </c>
      <c r="H38" s="3" t="s">
        <v>3378</v>
      </c>
      <c r="I38" s="3" t="s">
        <v>415</v>
      </c>
    </row>
    <row r="39" spans="1:9" ht="13.2" x14ac:dyDescent="0.25">
      <c r="A39" s="3" t="s">
        <v>3600</v>
      </c>
      <c r="B39" s="3" t="s">
        <v>415</v>
      </c>
      <c r="C39" s="3">
        <v>3830</v>
      </c>
      <c r="D39" s="3" t="s">
        <v>198</v>
      </c>
      <c r="E39" s="3" t="s">
        <v>3434</v>
      </c>
      <c r="F39" s="3" t="s">
        <v>3495</v>
      </c>
      <c r="G39" s="3">
        <v>10</v>
      </c>
      <c r="H39" s="3" t="s">
        <v>3377</v>
      </c>
      <c r="I39" s="3" t="s">
        <v>415</v>
      </c>
    </row>
    <row r="40" spans="1:9" ht="13.2" x14ac:dyDescent="0.25">
      <c r="A40" s="3" t="s">
        <v>3601</v>
      </c>
      <c r="B40" s="3" t="s">
        <v>415</v>
      </c>
      <c r="C40" s="3">
        <v>2695</v>
      </c>
      <c r="D40" s="3" t="s">
        <v>326</v>
      </c>
      <c r="E40" s="3" t="s">
        <v>3438</v>
      </c>
      <c r="F40" s="3" t="s">
        <v>3496</v>
      </c>
      <c r="G40" s="3">
        <v>13</v>
      </c>
      <c r="H40" s="3" t="s">
        <v>3377</v>
      </c>
      <c r="I40" s="3" t="s">
        <v>415</v>
      </c>
    </row>
    <row r="41" spans="1:9" ht="13.2" x14ac:dyDescent="0.25">
      <c r="A41" s="3" t="s">
        <v>3687</v>
      </c>
      <c r="B41" s="3" t="s">
        <v>415</v>
      </c>
      <c r="C41" s="3">
        <v>3985</v>
      </c>
      <c r="D41" s="3" t="s">
        <v>326</v>
      </c>
      <c r="E41" s="3" t="s">
        <v>3438</v>
      </c>
      <c r="F41" s="3" t="s">
        <v>3497</v>
      </c>
      <c r="G41" s="3">
        <v>11</v>
      </c>
      <c r="H41" s="3" t="s">
        <v>3377</v>
      </c>
      <c r="I41" s="3" t="s">
        <v>415</v>
      </c>
    </row>
    <row r="42" spans="1:9" ht="13.2" x14ac:dyDescent="0.25">
      <c r="A42" s="3" t="s">
        <v>3688</v>
      </c>
      <c r="B42" s="3" t="s">
        <v>415</v>
      </c>
      <c r="C42" s="3">
        <v>3624</v>
      </c>
      <c r="D42" s="3" t="s">
        <v>1114</v>
      </c>
      <c r="E42" s="3" t="s">
        <v>3448</v>
      </c>
      <c r="F42" s="3" t="s">
        <v>3498</v>
      </c>
      <c r="G42" s="3">
        <v>12</v>
      </c>
      <c r="H42" s="3" t="s">
        <v>3378</v>
      </c>
      <c r="I42" s="3" t="s">
        <v>415</v>
      </c>
    </row>
    <row r="43" spans="1:9" ht="13.2" x14ac:dyDescent="0.25">
      <c r="A43" s="3" t="s">
        <v>3602</v>
      </c>
      <c r="B43" s="3" t="s">
        <v>415</v>
      </c>
      <c r="C43" s="3">
        <v>3829</v>
      </c>
      <c r="D43" s="3" t="s">
        <v>590</v>
      </c>
      <c r="E43" s="3" t="s">
        <v>3443</v>
      </c>
      <c r="F43" s="3" t="s">
        <v>3499</v>
      </c>
      <c r="G43" s="3">
        <v>11</v>
      </c>
      <c r="H43" s="3" t="s">
        <v>3377</v>
      </c>
      <c r="I43" s="3" t="s">
        <v>415</v>
      </c>
    </row>
    <row r="44" spans="1:9" ht="13.2" x14ac:dyDescent="0.25">
      <c r="A44" s="3" t="s">
        <v>3685</v>
      </c>
      <c r="B44" s="3" t="s">
        <v>415</v>
      </c>
      <c r="C44" s="3">
        <v>3453</v>
      </c>
      <c r="D44" s="3" t="s">
        <v>326</v>
      </c>
      <c r="E44" s="3" t="s">
        <v>3438</v>
      </c>
      <c r="F44" s="3" t="s">
        <v>3484</v>
      </c>
      <c r="G44" s="3">
        <v>14</v>
      </c>
      <c r="H44" s="3" t="s">
        <v>3378</v>
      </c>
      <c r="I44" s="3" t="s">
        <v>415</v>
      </c>
    </row>
    <row r="45" spans="1:9" ht="13.2" x14ac:dyDescent="0.25">
      <c r="A45" s="3" t="s">
        <v>3603</v>
      </c>
      <c r="B45" s="3" t="s">
        <v>415</v>
      </c>
      <c r="C45" s="3">
        <v>3562</v>
      </c>
      <c r="D45" s="3" t="s">
        <v>318</v>
      </c>
      <c r="E45" s="3" t="s">
        <v>3437</v>
      </c>
      <c r="F45" s="3" t="s">
        <v>3500</v>
      </c>
      <c r="G45" s="3">
        <v>11</v>
      </c>
      <c r="H45" s="3" t="s">
        <v>3378</v>
      </c>
      <c r="I45" s="3" t="s">
        <v>415</v>
      </c>
    </row>
    <row r="46" spans="1:9" ht="13.2" x14ac:dyDescent="0.25">
      <c r="A46" s="3" t="s">
        <v>3604</v>
      </c>
      <c r="B46" s="3" t="s">
        <v>415</v>
      </c>
      <c r="C46" s="3">
        <v>3712</v>
      </c>
      <c r="D46" s="3" t="s">
        <v>352</v>
      </c>
      <c r="E46" s="3" t="s">
        <v>3439</v>
      </c>
      <c r="F46" s="3" t="s">
        <v>3501</v>
      </c>
      <c r="G46" s="3">
        <v>10</v>
      </c>
      <c r="H46" s="3" t="s">
        <v>3377</v>
      </c>
      <c r="I46" s="3" t="s">
        <v>415</v>
      </c>
    </row>
    <row r="47" spans="1:9" ht="13.2" x14ac:dyDescent="0.25">
      <c r="A47" s="3" t="s">
        <v>3605</v>
      </c>
      <c r="B47" s="3" t="s">
        <v>415</v>
      </c>
      <c r="C47" s="3">
        <v>2905</v>
      </c>
      <c r="D47" s="3" t="s">
        <v>318</v>
      </c>
      <c r="E47" s="3" t="s">
        <v>3437</v>
      </c>
      <c r="F47" s="3" t="s">
        <v>3502</v>
      </c>
      <c r="G47" s="3">
        <v>12</v>
      </c>
      <c r="H47" s="3" t="s">
        <v>3377</v>
      </c>
      <c r="I47" s="3" t="s">
        <v>415</v>
      </c>
    </row>
    <row r="48" spans="1:9" ht="13.2" x14ac:dyDescent="0.25">
      <c r="A48" s="3" t="s">
        <v>3606</v>
      </c>
      <c r="B48" s="3" t="s">
        <v>415</v>
      </c>
      <c r="C48" s="3">
        <v>4056</v>
      </c>
      <c r="D48" s="3" t="s">
        <v>318</v>
      </c>
      <c r="E48" s="3" t="s">
        <v>3437</v>
      </c>
      <c r="F48" s="3" t="s">
        <v>3503</v>
      </c>
      <c r="G48" s="3">
        <v>11</v>
      </c>
      <c r="H48" s="3" t="s">
        <v>3378</v>
      </c>
      <c r="I48" s="3" t="s">
        <v>415</v>
      </c>
    </row>
    <row r="49" spans="1:9" ht="13.2" x14ac:dyDescent="0.25">
      <c r="A49" s="3" t="s">
        <v>3607</v>
      </c>
      <c r="B49" s="3" t="s">
        <v>415</v>
      </c>
      <c r="C49" s="3">
        <v>3816</v>
      </c>
      <c r="D49" s="3" t="s">
        <v>352</v>
      </c>
      <c r="E49" s="3" t="s">
        <v>3439</v>
      </c>
      <c r="F49" s="3" t="s">
        <v>3504</v>
      </c>
      <c r="G49" s="3">
        <v>10</v>
      </c>
      <c r="H49" s="3" t="s">
        <v>3377</v>
      </c>
      <c r="I49" s="3" t="s">
        <v>415</v>
      </c>
    </row>
    <row r="50" spans="1:9" ht="13.2" x14ac:dyDescent="0.25">
      <c r="A50" s="3" t="s">
        <v>3608</v>
      </c>
      <c r="B50" s="3" t="s">
        <v>415</v>
      </c>
      <c r="C50" s="3">
        <v>3732</v>
      </c>
      <c r="D50" s="3" t="s">
        <v>318</v>
      </c>
      <c r="E50" s="3" t="s">
        <v>3437</v>
      </c>
      <c r="F50" s="3" t="s">
        <v>3505</v>
      </c>
      <c r="G50" s="3">
        <v>10</v>
      </c>
      <c r="H50" s="3" t="s">
        <v>3378</v>
      </c>
      <c r="I50" s="3" t="s">
        <v>415</v>
      </c>
    </row>
    <row r="51" spans="1:9" ht="13.2" x14ac:dyDescent="0.25">
      <c r="A51" s="3" t="s">
        <v>3609</v>
      </c>
      <c r="B51" s="3" t="s">
        <v>415</v>
      </c>
      <c r="C51" s="3">
        <v>3633</v>
      </c>
      <c r="D51" s="3" t="s">
        <v>318</v>
      </c>
      <c r="E51" s="3" t="s">
        <v>3437</v>
      </c>
      <c r="F51" s="3" t="s">
        <v>3506</v>
      </c>
      <c r="G51" s="3">
        <v>12</v>
      </c>
      <c r="H51" s="3" t="s">
        <v>3377</v>
      </c>
      <c r="I51" s="3" t="s">
        <v>415</v>
      </c>
    </row>
    <row r="52" spans="1:9" ht="13.2" x14ac:dyDescent="0.25">
      <c r="A52" s="3" t="s">
        <v>3610</v>
      </c>
      <c r="B52" s="3" t="s">
        <v>415</v>
      </c>
      <c r="C52" s="3">
        <v>3754</v>
      </c>
      <c r="D52" s="3" t="s">
        <v>198</v>
      </c>
      <c r="E52" s="3" t="s">
        <v>3434</v>
      </c>
      <c r="F52" s="3" t="s">
        <v>3507</v>
      </c>
      <c r="G52" s="3">
        <v>13</v>
      </c>
      <c r="H52" s="3" t="s">
        <v>3378</v>
      </c>
      <c r="I52" s="3" t="s">
        <v>415</v>
      </c>
    </row>
    <row r="53" spans="1:9" ht="13.2" x14ac:dyDescent="0.25">
      <c r="A53" s="3" t="s">
        <v>3611</v>
      </c>
      <c r="B53" s="3" t="s">
        <v>415</v>
      </c>
      <c r="C53" s="3">
        <v>3911</v>
      </c>
      <c r="D53" s="3" t="s">
        <v>198</v>
      </c>
      <c r="E53" s="3" t="s">
        <v>3434</v>
      </c>
      <c r="F53" s="3" t="s">
        <v>3508</v>
      </c>
      <c r="G53" s="3">
        <v>0</v>
      </c>
      <c r="H53" s="3" t="s">
        <v>3378</v>
      </c>
      <c r="I53" s="3" t="s">
        <v>415</v>
      </c>
    </row>
    <row r="54" spans="1:9" ht="13.2" x14ac:dyDescent="0.25">
      <c r="A54" s="3" t="s">
        <v>3689</v>
      </c>
      <c r="B54" s="3" t="s">
        <v>415</v>
      </c>
      <c r="C54" s="3">
        <v>4114</v>
      </c>
      <c r="D54" s="3" t="s">
        <v>590</v>
      </c>
      <c r="E54" s="3" t="s">
        <v>3443</v>
      </c>
      <c r="F54" s="3" t="s">
        <v>3509</v>
      </c>
      <c r="G54" s="3">
        <v>12</v>
      </c>
      <c r="H54" s="3" t="s">
        <v>3377</v>
      </c>
      <c r="I54" s="3" t="s">
        <v>415</v>
      </c>
    </row>
    <row r="55" spans="1:9" ht="13.2" x14ac:dyDescent="0.25">
      <c r="A55" s="3" t="s">
        <v>3612</v>
      </c>
      <c r="B55" s="3" t="s">
        <v>415</v>
      </c>
      <c r="C55" s="3">
        <v>4015</v>
      </c>
      <c r="D55" s="3" t="s">
        <v>318</v>
      </c>
      <c r="E55" s="3" t="s">
        <v>3437</v>
      </c>
      <c r="F55" s="3" t="s">
        <v>3510</v>
      </c>
      <c r="G55" s="3">
        <v>11</v>
      </c>
      <c r="H55" s="3" t="s">
        <v>3378</v>
      </c>
      <c r="I55" s="3" t="s">
        <v>415</v>
      </c>
    </row>
    <row r="56" spans="1:9" ht="13.2" x14ac:dyDescent="0.25">
      <c r="A56" s="3" t="s">
        <v>3613</v>
      </c>
      <c r="B56" s="3" t="s">
        <v>415</v>
      </c>
      <c r="C56" s="3">
        <v>2991</v>
      </c>
      <c r="D56" s="3" t="s">
        <v>326</v>
      </c>
      <c r="E56" s="3" t="s">
        <v>3438</v>
      </c>
      <c r="F56" s="3" t="s">
        <v>3511</v>
      </c>
      <c r="G56" s="3">
        <v>11</v>
      </c>
      <c r="H56" s="3" t="s">
        <v>3377</v>
      </c>
      <c r="I56" s="3" t="s">
        <v>415</v>
      </c>
    </row>
    <row r="57" spans="1:9" ht="13.2" x14ac:dyDescent="0.25">
      <c r="A57" s="3" t="s">
        <v>3614</v>
      </c>
      <c r="B57" s="3" t="s">
        <v>415</v>
      </c>
      <c r="C57" s="3">
        <v>4101</v>
      </c>
      <c r="D57" s="3" t="s">
        <v>318</v>
      </c>
      <c r="E57" s="3" t="s">
        <v>3437</v>
      </c>
      <c r="F57" s="3" t="s">
        <v>3512</v>
      </c>
      <c r="G57" s="3">
        <v>9</v>
      </c>
      <c r="H57" s="3" t="s">
        <v>3377</v>
      </c>
      <c r="I57" s="3" t="s">
        <v>415</v>
      </c>
    </row>
    <row r="58" spans="1:9" ht="13.2" x14ac:dyDescent="0.25">
      <c r="A58" s="3" t="s">
        <v>3615</v>
      </c>
      <c r="B58" s="3" t="s">
        <v>415</v>
      </c>
      <c r="C58" s="3">
        <v>3648</v>
      </c>
      <c r="D58" s="3" t="s">
        <v>590</v>
      </c>
      <c r="E58" s="3" t="s">
        <v>3443</v>
      </c>
      <c r="F58" s="3" t="s">
        <v>3513</v>
      </c>
      <c r="G58" s="3">
        <v>10</v>
      </c>
      <c r="H58" s="3" t="s">
        <v>3377</v>
      </c>
      <c r="I58" s="3" t="s">
        <v>415</v>
      </c>
    </row>
    <row r="59" spans="1:9" ht="13.2" x14ac:dyDescent="0.25">
      <c r="A59" s="3" t="s">
        <v>3616</v>
      </c>
      <c r="B59" s="3" t="s">
        <v>415</v>
      </c>
      <c r="C59" s="3">
        <v>4052</v>
      </c>
      <c r="D59" s="3" t="s">
        <v>171</v>
      </c>
      <c r="E59" s="3" t="s">
        <v>3433</v>
      </c>
      <c r="F59" s="3" t="s">
        <v>3514</v>
      </c>
      <c r="G59" s="3">
        <v>10</v>
      </c>
      <c r="H59" s="3" t="s">
        <v>3378</v>
      </c>
      <c r="I59" s="3" t="s">
        <v>415</v>
      </c>
    </row>
    <row r="60" spans="1:9" ht="13.2" x14ac:dyDescent="0.25">
      <c r="A60" s="3" t="s">
        <v>3617</v>
      </c>
      <c r="B60" s="3" t="s">
        <v>415</v>
      </c>
      <c r="C60" s="3">
        <v>3694</v>
      </c>
      <c r="D60" s="3" t="s">
        <v>198</v>
      </c>
      <c r="E60" s="3" t="s">
        <v>3434</v>
      </c>
      <c r="F60" s="3" t="s">
        <v>3515</v>
      </c>
      <c r="G60" s="3">
        <v>15</v>
      </c>
      <c r="H60" s="3" t="s">
        <v>3377</v>
      </c>
      <c r="I60" s="3" t="s">
        <v>415</v>
      </c>
    </row>
    <row r="61" spans="1:9" ht="13.2" x14ac:dyDescent="0.25">
      <c r="A61" s="3" t="s">
        <v>3618</v>
      </c>
      <c r="B61" s="3" t="s">
        <v>415</v>
      </c>
      <c r="C61" s="3">
        <v>3137</v>
      </c>
      <c r="D61" s="3" t="s">
        <v>198</v>
      </c>
      <c r="E61" s="3" t="s">
        <v>3434</v>
      </c>
      <c r="F61" s="3" t="s">
        <v>3515</v>
      </c>
      <c r="G61" s="3">
        <v>15</v>
      </c>
      <c r="H61" s="3" t="s">
        <v>3377</v>
      </c>
      <c r="I61" s="3" t="s">
        <v>415</v>
      </c>
    </row>
    <row r="62" spans="1:9" ht="13.2" x14ac:dyDescent="0.25">
      <c r="A62" s="3" t="s">
        <v>3690</v>
      </c>
      <c r="B62" s="3" t="s">
        <v>415</v>
      </c>
      <c r="C62" s="3">
        <v>3742</v>
      </c>
      <c r="D62" s="3" t="s">
        <v>65</v>
      </c>
      <c r="E62" s="3" t="s">
        <v>3430</v>
      </c>
      <c r="F62" s="3" t="s">
        <v>3465</v>
      </c>
      <c r="G62" s="3">
        <v>12</v>
      </c>
      <c r="H62" s="3" t="s">
        <v>3377</v>
      </c>
      <c r="I62" s="3" t="s">
        <v>415</v>
      </c>
    </row>
    <row r="63" spans="1:9" ht="13.2" x14ac:dyDescent="0.25">
      <c r="A63" s="3" t="s">
        <v>3619</v>
      </c>
      <c r="B63" s="3" t="s">
        <v>415</v>
      </c>
      <c r="C63" s="3">
        <v>0</v>
      </c>
      <c r="D63" s="3" t="s">
        <v>318</v>
      </c>
      <c r="E63" s="3" t="s">
        <v>3437</v>
      </c>
      <c r="F63" s="3" t="s">
        <v>3516</v>
      </c>
      <c r="G63" s="3">
        <v>12</v>
      </c>
      <c r="H63" s="3" t="s">
        <v>3378</v>
      </c>
      <c r="I63" s="3" t="s">
        <v>415</v>
      </c>
    </row>
    <row r="64" spans="1:9" ht="13.2" x14ac:dyDescent="0.25">
      <c r="A64" s="3" t="s">
        <v>3620</v>
      </c>
      <c r="B64" s="3" t="s">
        <v>415</v>
      </c>
      <c r="C64" s="3">
        <v>3433</v>
      </c>
      <c r="D64" s="3" t="s">
        <v>326</v>
      </c>
      <c r="E64" s="3" t="s">
        <v>3438</v>
      </c>
      <c r="F64" s="3" t="s">
        <v>3517</v>
      </c>
      <c r="G64" s="3">
        <v>11</v>
      </c>
      <c r="H64" s="3" t="s">
        <v>3377</v>
      </c>
      <c r="I64" s="3" t="s">
        <v>415</v>
      </c>
    </row>
    <row r="65" spans="1:9" ht="13.2" x14ac:dyDescent="0.25">
      <c r="A65" s="3" t="s">
        <v>3621</v>
      </c>
      <c r="B65" s="3" t="s">
        <v>415</v>
      </c>
      <c r="C65" s="3">
        <v>4066</v>
      </c>
      <c r="D65" s="3" t="s">
        <v>318</v>
      </c>
      <c r="E65" s="3" t="s">
        <v>3437</v>
      </c>
      <c r="F65" s="3" t="s">
        <v>3518</v>
      </c>
      <c r="G65" s="3">
        <v>11</v>
      </c>
      <c r="H65" s="3" t="s">
        <v>3377</v>
      </c>
      <c r="I65" s="3" t="s">
        <v>415</v>
      </c>
    </row>
    <row r="66" spans="1:9" ht="13.2" x14ac:dyDescent="0.25">
      <c r="A66" s="3" t="s">
        <v>3691</v>
      </c>
      <c r="B66" s="3" t="s">
        <v>415</v>
      </c>
      <c r="C66" s="3">
        <v>4291</v>
      </c>
      <c r="D66" s="3" t="s">
        <v>318</v>
      </c>
      <c r="E66" s="3" t="s">
        <v>3437</v>
      </c>
      <c r="F66" s="3" t="s">
        <v>3519</v>
      </c>
      <c r="G66" s="3">
        <v>9</v>
      </c>
      <c r="H66" s="3" t="s">
        <v>3378</v>
      </c>
      <c r="I66" s="3" t="s">
        <v>415</v>
      </c>
    </row>
    <row r="67" spans="1:9" ht="13.2" x14ac:dyDescent="0.25">
      <c r="A67" s="3" t="s">
        <v>3622</v>
      </c>
      <c r="B67" s="3" t="s">
        <v>415</v>
      </c>
      <c r="C67" s="3">
        <v>4048</v>
      </c>
      <c r="D67" s="3" t="s">
        <v>1741</v>
      </c>
      <c r="E67" s="3" t="s">
        <v>3451</v>
      </c>
      <c r="F67" s="3" t="s">
        <v>3520</v>
      </c>
      <c r="G67" s="3">
        <v>13</v>
      </c>
      <c r="H67" s="3" t="s">
        <v>3378</v>
      </c>
      <c r="I67" s="3" t="s">
        <v>415</v>
      </c>
    </row>
    <row r="68" spans="1:9" ht="13.2" x14ac:dyDescent="0.25">
      <c r="A68" s="3" t="s">
        <v>3623</v>
      </c>
      <c r="B68" s="3" t="s">
        <v>415</v>
      </c>
      <c r="C68" s="3">
        <v>354</v>
      </c>
      <c r="D68" s="3" t="s">
        <v>352</v>
      </c>
      <c r="E68" s="3" t="s">
        <v>3439</v>
      </c>
      <c r="F68" s="3" t="s">
        <v>3182</v>
      </c>
      <c r="G68" s="3">
        <v>12</v>
      </c>
      <c r="H68" s="3" t="s">
        <v>3377</v>
      </c>
      <c r="I68" s="3" t="s">
        <v>415</v>
      </c>
    </row>
    <row r="69" spans="1:9" ht="13.2" x14ac:dyDescent="0.25">
      <c r="A69" s="3" t="s">
        <v>3624</v>
      </c>
      <c r="B69" s="3" t="s">
        <v>415</v>
      </c>
      <c r="C69" s="3">
        <v>3835</v>
      </c>
      <c r="D69" s="3" t="s">
        <v>318</v>
      </c>
      <c r="E69" s="3" t="s">
        <v>3437</v>
      </c>
      <c r="F69" s="3" t="s">
        <v>3521</v>
      </c>
      <c r="G69" s="3">
        <v>11</v>
      </c>
      <c r="H69" s="3" t="s">
        <v>3377</v>
      </c>
      <c r="I69" s="3" t="s">
        <v>415</v>
      </c>
    </row>
    <row r="70" spans="1:9" ht="13.2" x14ac:dyDescent="0.25">
      <c r="A70" s="3" t="s">
        <v>3692</v>
      </c>
      <c r="B70" s="3" t="s">
        <v>415</v>
      </c>
      <c r="C70" s="3">
        <v>3627</v>
      </c>
      <c r="D70" s="3" t="s">
        <v>198</v>
      </c>
      <c r="E70" s="3" t="s">
        <v>3434</v>
      </c>
      <c r="F70" s="3" t="s">
        <v>3522</v>
      </c>
      <c r="G70" s="3">
        <v>12</v>
      </c>
      <c r="H70" s="3" t="s">
        <v>3377</v>
      </c>
      <c r="I70" s="3" t="s">
        <v>415</v>
      </c>
    </row>
    <row r="71" spans="1:9" ht="13.2" x14ac:dyDescent="0.25">
      <c r="A71" s="3" t="s">
        <v>3693</v>
      </c>
      <c r="B71" s="3" t="s">
        <v>415</v>
      </c>
      <c r="C71" s="3">
        <v>3536</v>
      </c>
      <c r="D71" s="3" t="s">
        <v>198</v>
      </c>
      <c r="E71" s="3" t="s">
        <v>3434</v>
      </c>
      <c r="F71" s="3" t="s">
        <v>3523</v>
      </c>
      <c r="G71" s="3">
        <v>12</v>
      </c>
      <c r="H71" s="3" t="s">
        <v>3377</v>
      </c>
      <c r="I71" s="3" t="s">
        <v>415</v>
      </c>
    </row>
    <row r="72" spans="1:9" ht="13.2" x14ac:dyDescent="0.25">
      <c r="A72" s="3" t="s">
        <v>3694</v>
      </c>
      <c r="B72" s="3" t="s">
        <v>415</v>
      </c>
      <c r="C72" s="3">
        <v>3775</v>
      </c>
      <c r="D72" s="3" t="s">
        <v>318</v>
      </c>
      <c r="E72" s="3" t="s">
        <v>3437</v>
      </c>
      <c r="F72" s="3" t="s">
        <v>3524</v>
      </c>
      <c r="G72" s="3">
        <v>11</v>
      </c>
      <c r="H72" s="3" t="s">
        <v>3377</v>
      </c>
      <c r="I72" s="3" t="s">
        <v>415</v>
      </c>
    </row>
    <row r="73" spans="1:9" ht="13.2" x14ac:dyDescent="0.25">
      <c r="A73" s="3" t="s">
        <v>3625</v>
      </c>
      <c r="B73" s="3" t="s">
        <v>415</v>
      </c>
      <c r="C73" s="3">
        <v>2972</v>
      </c>
      <c r="D73" s="3" t="s">
        <v>326</v>
      </c>
      <c r="E73" s="3" t="s">
        <v>3438</v>
      </c>
      <c r="F73" s="3" t="s">
        <v>3525</v>
      </c>
      <c r="G73" s="3">
        <v>11</v>
      </c>
      <c r="H73" s="3" t="s">
        <v>3377</v>
      </c>
      <c r="I73" s="3" t="s">
        <v>415</v>
      </c>
    </row>
    <row r="74" spans="1:9" ht="13.2" x14ac:dyDescent="0.25">
      <c r="A74" s="3" t="s">
        <v>3695</v>
      </c>
      <c r="B74" s="3" t="s">
        <v>415</v>
      </c>
      <c r="C74" s="3">
        <v>4126</v>
      </c>
      <c r="D74" s="3" t="s">
        <v>318</v>
      </c>
      <c r="E74" s="3" t="s">
        <v>3437</v>
      </c>
      <c r="F74" s="3" t="s">
        <v>3526</v>
      </c>
      <c r="G74" s="3">
        <v>12</v>
      </c>
      <c r="H74" s="3" t="s">
        <v>3377</v>
      </c>
      <c r="I74" s="3" t="s">
        <v>415</v>
      </c>
    </row>
    <row r="75" spans="1:9" ht="13.2" x14ac:dyDescent="0.25">
      <c r="A75" s="3" t="s">
        <v>3626</v>
      </c>
      <c r="B75" s="3" t="s">
        <v>415</v>
      </c>
      <c r="C75" s="3">
        <v>3596</v>
      </c>
      <c r="D75" s="3" t="s">
        <v>318</v>
      </c>
      <c r="E75" s="3" t="s">
        <v>3437</v>
      </c>
      <c r="F75" s="3" t="s">
        <v>3195</v>
      </c>
      <c r="G75" s="3">
        <v>14</v>
      </c>
      <c r="H75" s="3" t="s">
        <v>3377</v>
      </c>
      <c r="I75" s="3" t="s">
        <v>415</v>
      </c>
    </row>
    <row r="76" spans="1:9" ht="13.2" x14ac:dyDescent="0.25">
      <c r="A76" s="3" t="s">
        <v>3627</v>
      </c>
      <c r="B76" s="3" t="s">
        <v>415</v>
      </c>
      <c r="C76" s="3">
        <v>3437</v>
      </c>
      <c r="D76" s="3" t="s">
        <v>318</v>
      </c>
      <c r="E76" s="3" t="s">
        <v>3437</v>
      </c>
      <c r="F76" s="3" t="s">
        <v>3527</v>
      </c>
      <c r="G76" s="3">
        <v>11</v>
      </c>
      <c r="H76" s="3" t="s">
        <v>3377</v>
      </c>
      <c r="I76" s="3" t="s">
        <v>415</v>
      </c>
    </row>
    <row r="77" spans="1:9" ht="13.2" x14ac:dyDescent="0.25">
      <c r="A77" s="3" t="s">
        <v>3628</v>
      </c>
      <c r="B77" s="3" t="s">
        <v>415</v>
      </c>
      <c r="C77" s="3">
        <v>3529</v>
      </c>
      <c r="D77" s="3" t="s">
        <v>326</v>
      </c>
      <c r="E77" s="3" t="s">
        <v>3438</v>
      </c>
      <c r="F77" s="3" t="s">
        <v>3528</v>
      </c>
      <c r="G77" s="3">
        <v>11</v>
      </c>
      <c r="H77" s="3" t="s">
        <v>3377</v>
      </c>
      <c r="I77" s="3" t="s">
        <v>415</v>
      </c>
    </row>
    <row r="78" spans="1:9" ht="13.2" x14ac:dyDescent="0.25">
      <c r="A78" s="3" t="s">
        <v>3629</v>
      </c>
      <c r="B78" s="3" t="s">
        <v>415</v>
      </c>
      <c r="C78" s="3">
        <v>3876</v>
      </c>
      <c r="D78" s="3" t="s">
        <v>590</v>
      </c>
      <c r="E78" s="3" t="s">
        <v>3443</v>
      </c>
      <c r="F78" s="3" t="s">
        <v>3529</v>
      </c>
      <c r="G78" s="3">
        <v>12</v>
      </c>
      <c r="H78" s="3" t="s">
        <v>3378</v>
      </c>
      <c r="I78" s="3" t="s">
        <v>415</v>
      </c>
    </row>
    <row r="79" spans="1:9" ht="13.2" x14ac:dyDescent="0.25">
      <c r="A79" s="3" t="s">
        <v>3630</v>
      </c>
      <c r="B79" s="3" t="s">
        <v>415</v>
      </c>
      <c r="C79" s="3">
        <v>3846</v>
      </c>
      <c r="D79" s="3" t="s">
        <v>590</v>
      </c>
      <c r="E79" s="3" t="s">
        <v>3443</v>
      </c>
      <c r="F79" s="3" t="s">
        <v>3530</v>
      </c>
      <c r="G79" s="3">
        <v>13</v>
      </c>
      <c r="H79" s="3" t="s">
        <v>3378</v>
      </c>
      <c r="I79" s="3" t="s">
        <v>415</v>
      </c>
    </row>
    <row r="80" spans="1:9" ht="13.2" x14ac:dyDescent="0.25">
      <c r="A80" s="3" t="s">
        <v>3631</v>
      </c>
      <c r="B80" s="3" t="s">
        <v>415</v>
      </c>
      <c r="C80" s="3">
        <v>3334</v>
      </c>
      <c r="D80" s="3" t="s">
        <v>843</v>
      </c>
      <c r="E80" s="3" t="s">
        <v>3446</v>
      </c>
      <c r="F80" s="3" t="s">
        <v>3531</v>
      </c>
      <c r="G80" s="3">
        <v>12</v>
      </c>
      <c r="H80" s="3" t="s">
        <v>3378</v>
      </c>
      <c r="I80" s="3" t="s">
        <v>415</v>
      </c>
    </row>
    <row r="81" spans="1:9" ht="13.2" x14ac:dyDescent="0.25">
      <c r="A81" s="3" t="s">
        <v>3632</v>
      </c>
      <c r="B81" s="3" t="s">
        <v>415</v>
      </c>
      <c r="C81" s="3">
        <v>3525</v>
      </c>
      <c r="D81" s="3" t="s">
        <v>590</v>
      </c>
      <c r="E81" s="3" t="s">
        <v>3443</v>
      </c>
      <c r="F81" s="3" t="s">
        <v>3097</v>
      </c>
      <c r="G81" s="3">
        <v>14</v>
      </c>
      <c r="H81" s="3" t="s">
        <v>3378</v>
      </c>
      <c r="I81" s="3" t="s">
        <v>415</v>
      </c>
    </row>
    <row r="82" spans="1:9" ht="13.2" x14ac:dyDescent="0.25">
      <c r="A82" s="3" t="s">
        <v>3633</v>
      </c>
      <c r="B82" s="3" t="s">
        <v>415</v>
      </c>
      <c r="C82" s="3">
        <v>3818</v>
      </c>
      <c r="D82" s="3" t="s">
        <v>171</v>
      </c>
      <c r="E82" s="3" t="s">
        <v>3433</v>
      </c>
      <c r="F82" s="3" t="s">
        <v>3532</v>
      </c>
      <c r="G82" s="3">
        <v>11</v>
      </c>
      <c r="H82" s="3" t="s">
        <v>3378</v>
      </c>
      <c r="I82" s="3" t="s">
        <v>415</v>
      </c>
    </row>
    <row r="83" spans="1:9" ht="13.2" x14ac:dyDescent="0.25">
      <c r="A83" s="3" t="s">
        <v>3634</v>
      </c>
      <c r="B83" s="3" t="s">
        <v>415</v>
      </c>
      <c r="C83" s="3">
        <v>4070</v>
      </c>
      <c r="D83" s="3" t="s">
        <v>54</v>
      </c>
      <c r="E83" s="3" t="s">
        <v>3429</v>
      </c>
      <c r="F83" s="3" t="s">
        <v>3533</v>
      </c>
      <c r="G83" s="3">
        <v>13</v>
      </c>
      <c r="H83" s="3" t="s">
        <v>3378</v>
      </c>
      <c r="I83" s="3" t="s">
        <v>415</v>
      </c>
    </row>
    <row r="84" spans="1:9" ht="13.2" x14ac:dyDescent="0.25">
      <c r="A84" s="3" t="s">
        <v>3635</v>
      </c>
      <c r="B84" s="3" t="s">
        <v>415</v>
      </c>
      <c r="C84" s="3">
        <v>4020</v>
      </c>
      <c r="D84" s="3" t="s">
        <v>54</v>
      </c>
      <c r="E84" s="3" t="s">
        <v>3429</v>
      </c>
      <c r="F84" s="3" t="s">
        <v>3534</v>
      </c>
      <c r="G84" s="3">
        <v>11</v>
      </c>
      <c r="H84" s="3" t="s">
        <v>3378</v>
      </c>
      <c r="I84" s="3" t="s">
        <v>415</v>
      </c>
    </row>
    <row r="85" spans="1:9" ht="13.2" x14ac:dyDescent="0.25">
      <c r="A85" s="3" t="s">
        <v>3636</v>
      </c>
      <c r="B85" s="3" t="s">
        <v>415</v>
      </c>
      <c r="C85" s="3">
        <v>3817</v>
      </c>
      <c r="D85" s="3" t="s">
        <v>470</v>
      </c>
      <c r="E85" s="3" t="s">
        <v>3441</v>
      </c>
      <c r="F85" s="3" t="s">
        <v>3535</v>
      </c>
      <c r="G85" s="3">
        <v>11</v>
      </c>
      <c r="H85" s="3" t="s">
        <v>3377</v>
      </c>
      <c r="I85" s="3" t="s">
        <v>415</v>
      </c>
    </row>
    <row r="86" spans="1:9" ht="13.2" x14ac:dyDescent="0.25">
      <c r="A86" s="3" t="s">
        <v>3637</v>
      </c>
      <c r="B86" s="3" t="s">
        <v>415</v>
      </c>
      <c r="C86" s="3">
        <v>4040</v>
      </c>
      <c r="D86" s="3" t="s">
        <v>843</v>
      </c>
      <c r="E86" s="3" t="s">
        <v>3446</v>
      </c>
      <c r="F86" s="3" t="s">
        <v>3536</v>
      </c>
      <c r="G86" s="3">
        <v>11</v>
      </c>
      <c r="H86" s="3" t="s">
        <v>3378</v>
      </c>
      <c r="I86" s="3" t="s">
        <v>415</v>
      </c>
    </row>
    <row r="87" spans="1:9" ht="13.2" x14ac:dyDescent="0.25">
      <c r="A87" s="3" t="s">
        <v>3638</v>
      </c>
      <c r="B87" s="3" t="s">
        <v>415</v>
      </c>
      <c r="C87" s="3">
        <v>3958</v>
      </c>
      <c r="D87" s="3" t="s">
        <v>318</v>
      </c>
      <c r="E87" s="3" t="s">
        <v>3437</v>
      </c>
      <c r="F87" s="3" t="s">
        <v>3537</v>
      </c>
      <c r="G87" s="3">
        <v>13</v>
      </c>
      <c r="H87" s="3" t="s">
        <v>3377</v>
      </c>
      <c r="I87" s="3" t="s">
        <v>415</v>
      </c>
    </row>
    <row r="88" spans="1:9" ht="13.2" x14ac:dyDescent="0.25">
      <c r="A88" s="3" t="s">
        <v>3640</v>
      </c>
      <c r="B88" s="3" t="s">
        <v>415</v>
      </c>
      <c r="C88" s="3">
        <v>3420</v>
      </c>
      <c r="D88" s="3" t="s">
        <v>171</v>
      </c>
      <c r="E88" s="3" t="s">
        <v>3433</v>
      </c>
      <c r="F88" s="3" t="s">
        <v>3538</v>
      </c>
      <c r="G88" s="3">
        <v>13</v>
      </c>
      <c r="H88" s="3" t="s">
        <v>3377</v>
      </c>
      <c r="I88" s="3" t="s">
        <v>415</v>
      </c>
    </row>
    <row r="89" spans="1:9" ht="13.2" x14ac:dyDescent="0.25">
      <c r="A89" s="3" t="s">
        <v>3641</v>
      </c>
      <c r="B89" s="3" t="s">
        <v>415</v>
      </c>
      <c r="C89" s="3">
        <v>4199</v>
      </c>
      <c r="D89" s="3" t="s">
        <v>171</v>
      </c>
      <c r="E89" s="3" t="s">
        <v>3433</v>
      </c>
      <c r="F89" s="3" t="s">
        <v>3539</v>
      </c>
      <c r="G89" s="3">
        <v>10</v>
      </c>
      <c r="H89" s="3" t="s">
        <v>3378</v>
      </c>
      <c r="I89" s="3" t="s">
        <v>415</v>
      </c>
    </row>
    <row r="90" spans="1:9" ht="13.2" x14ac:dyDescent="0.25">
      <c r="A90" s="3" t="s">
        <v>3642</v>
      </c>
      <c r="B90" s="3" t="s">
        <v>415</v>
      </c>
      <c r="C90" s="3">
        <v>3927</v>
      </c>
      <c r="D90" s="3" t="s">
        <v>171</v>
      </c>
      <c r="E90" s="3" t="s">
        <v>3433</v>
      </c>
      <c r="F90" s="3" t="s">
        <v>3540</v>
      </c>
      <c r="G90" s="3">
        <v>10</v>
      </c>
      <c r="H90" s="3" t="s">
        <v>3377</v>
      </c>
      <c r="I90" s="3" t="s">
        <v>415</v>
      </c>
    </row>
    <row r="91" spans="1:9" ht="13.2" x14ac:dyDescent="0.25">
      <c r="A91" s="3" t="s">
        <v>3643</v>
      </c>
      <c r="B91" s="3" t="s">
        <v>415</v>
      </c>
      <c r="C91" s="3">
        <v>3857</v>
      </c>
      <c r="D91" s="3" t="s">
        <v>590</v>
      </c>
      <c r="E91" s="3" t="s">
        <v>3443</v>
      </c>
      <c r="F91" s="3" t="s">
        <v>3541</v>
      </c>
      <c r="G91" s="3">
        <v>11</v>
      </c>
      <c r="H91" s="3" t="s">
        <v>3378</v>
      </c>
      <c r="I91" s="3" t="s">
        <v>415</v>
      </c>
    </row>
    <row r="92" spans="1:9" ht="13.2" x14ac:dyDescent="0.25">
      <c r="A92" s="3" t="s">
        <v>3644</v>
      </c>
      <c r="B92" s="3" t="s">
        <v>415</v>
      </c>
      <c r="C92" s="3">
        <v>382</v>
      </c>
      <c r="D92" s="3" t="s">
        <v>352</v>
      </c>
      <c r="E92" s="3" t="s">
        <v>3439</v>
      </c>
      <c r="F92" s="3" t="s">
        <v>3542</v>
      </c>
      <c r="G92" s="3">
        <v>12</v>
      </c>
      <c r="H92" s="3" t="s">
        <v>3378</v>
      </c>
      <c r="I92" s="3" t="s">
        <v>415</v>
      </c>
    </row>
    <row r="93" spans="1:9" ht="13.2" x14ac:dyDescent="0.25">
      <c r="A93" s="3" t="s">
        <v>3645</v>
      </c>
      <c r="B93" s="3" t="s">
        <v>415</v>
      </c>
      <c r="C93" s="3">
        <v>4230</v>
      </c>
      <c r="D93" s="3" t="s">
        <v>843</v>
      </c>
      <c r="E93" s="3" t="s">
        <v>3446</v>
      </c>
      <c r="F93" s="3" t="s">
        <v>3543</v>
      </c>
      <c r="G93" s="3">
        <v>13</v>
      </c>
      <c r="H93" s="3" t="s">
        <v>3377</v>
      </c>
      <c r="I93" s="3" t="s">
        <v>415</v>
      </c>
    </row>
    <row r="94" spans="1:9" ht="13.2" x14ac:dyDescent="0.25">
      <c r="A94" s="3" t="s">
        <v>3646</v>
      </c>
      <c r="B94" s="3" t="s">
        <v>415</v>
      </c>
      <c r="C94" s="3">
        <v>4273</v>
      </c>
      <c r="D94" s="3" t="s">
        <v>843</v>
      </c>
      <c r="E94" s="3" t="s">
        <v>3446</v>
      </c>
      <c r="F94" s="3" t="s">
        <v>3544</v>
      </c>
      <c r="G94" s="3">
        <v>10</v>
      </c>
      <c r="H94" s="3" t="s">
        <v>3377</v>
      </c>
      <c r="I94" s="3" t="s">
        <v>415</v>
      </c>
    </row>
    <row r="95" spans="1:9" ht="13.2" x14ac:dyDescent="0.25">
      <c r="A95" s="3" t="s">
        <v>3647</v>
      </c>
      <c r="B95" s="3" t="s">
        <v>415</v>
      </c>
      <c r="C95" s="3">
        <v>3533</v>
      </c>
      <c r="D95" s="3" t="s">
        <v>171</v>
      </c>
      <c r="E95" s="3" t="s">
        <v>3433</v>
      </c>
      <c r="F95" s="3" t="s">
        <v>3545</v>
      </c>
      <c r="G95" s="3">
        <v>13</v>
      </c>
      <c r="H95" s="3" t="s">
        <v>3378</v>
      </c>
      <c r="I95" s="3" t="s">
        <v>415</v>
      </c>
    </row>
    <row r="96" spans="1:9" ht="13.2" x14ac:dyDescent="0.25">
      <c r="A96" s="3" t="s">
        <v>3648</v>
      </c>
      <c r="B96" s="3" t="s">
        <v>415</v>
      </c>
      <c r="C96" s="3">
        <v>3887</v>
      </c>
      <c r="D96" s="3" t="s">
        <v>198</v>
      </c>
      <c r="E96" s="3" t="s">
        <v>3434</v>
      </c>
      <c r="F96" s="3" t="s">
        <v>3135</v>
      </c>
      <c r="G96" s="3">
        <v>12</v>
      </c>
      <c r="H96" s="3" t="s">
        <v>3377</v>
      </c>
      <c r="I96" s="3" t="s">
        <v>415</v>
      </c>
    </row>
    <row r="97" spans="1:9" ht="13.2" x14ac:dyDescent="0.25">
      <c r="A97" s="3" t="s">
        <v>3649</v>
      </c>
      <c r="B97" s="3" t="s">
        <v>415</v>
      </c>
      <c r="C97" s="3">
        <v>4262</v>
      </c>
      <c r="D97" s="3" t="s">
        <v>352</v>
      </c>
      <c r="E97" s="3" t="s">
        <v>3439</v>
      </c>
      <c r="F97" s="3" t="s">
        <v>3144</v>
      </c>
      <c r="G97" s="3">
        <v>12</v>
      </c>
      <c r="H97" s="3" t="s">
        <v>3377</v>
      </c>
      <c r="I97" s="3" t="s">
        <v>415</v>
      </c>
    </row>
    <row r="98" spans="1:9" ht="13.2" x14ac:dyDescent="0.25">
      <c r="A98" s="3" t="s">
        <v>3650</v>
      </c>
      <c r="B98" s="3" t="s">
        <v>415</v>
      </c>
      <c r="C98" s="3">
        <v>4131</v>
      </c>
      <c r="D98" s="3" t="s">
        <v>590</v>
      </c>
      <c r="E98" s="3" t="s">
        <v>3443</v>
      </c>
      <c r="F98" s="3" t="s">
        <v>3546</v>
      </c>
      <c r="G98" s="3">
        <v>11</v>
      </c>
      <c r="H98" s="3" t="s">
        <v>3378</v>
      </c>
      <c r="I98" s="3" t="s">
        <v>415</v>
      </c>
    </row>
    <row r="99" spans="1:9" ht="13.2" x14ac:dyDescent="0.25">
      <c r="A99" s="3" t="s">
        <v>3651</v>
      </c>
      <c r="B99" s="3" t="s">
        <v>415</v>
      </c>
      <c r="C99" s="3">
        <v>4084</v>
      </c>
      <c r="D99" s="3" t="s">
        <v>171</v>
      </c>
      <c r="E99" s="3" t="s">
        <v>3433</v>
      </c>
      <c r="F99" s="3" t="s">
        <v>3547</v>
      </c>
      <c r="G99" s="3">
        <v>13</v>
      </c>
      <c r="H99" s="3" t="s">
        <v>3377</v>
      </c>
      <c r="I99" s="3" t="s">
        <v>415</v>
      </c>
    </row>
    <row r="100" spans="1:9" ht="13.2" x14ac:dyDescent="0.25">
      <c r="A100" s="3" t="s">
        <v>3652</v>
      </c>
      <c r="B100" s="3" t="s">
        <v>415</v>
      </c>
      <c r="C100" s="3">
        <v>3229</v>
      </c>
      <c r="D100" s="3" t="s">
        <v>843</v>
      </c>
      <c r="E100" s="3" t="s">
        <v>3446</v>
      </c>
      <c r="F100" s="3" t="s">
        <v>3170</v>
      </c>
      <c r="G100" s="3">
        <v>13</v>
      </c>
      <c r="H100" s="3" t="s">
        <v>3377</v>
      </c>
      <c r="I100" s="3" t="s">
        <v>415</v>
      </c>
    </row>
    <row r="101" spans="1:9" ht="13.2" x14ac:dyDescent="0.25">
      <c r="A101" s="3" t="s">
        <v>3653</v>
      </c>
      <c r="B101" s="3" t="s">
        <v>415</v>
      </c>
      <c r="C101" s="3">
        <v>4229</v>
      </c>
      <c r="D101" s="3" t="s">
        <v>1741</v>
      </c>
      <c r="E101" s="3" t="s">
        <v>3451</v>
      </c>
      <c r="F101" s="3" t="s">
        <v>3548</v>
      </c>
      <c r="G101" s="3">
        <v>11</v>
      </c>
      <c r="H101" s="3" t="s">
        <v>3377</v>
      </c>
      <c r="I101" s="3" t="s">
        <v>415</v>
      </c>
    </row>
    <row r="102" spans="1:9" ht="13.2" x14ac:dyDescent="0.25">
      <c r="A102" s="3" t="s">
        <v>3654</v>
      </c>
      <c r="B102" s="3" t="s">
        <v>415</v>
      </c>
      <c r="C102" s="3">
        <v>4109</v>
      </c>
      <c r="D102" s="3" t="s">
        <v>470</v>
      </c>
      <c r="E102" s="3" t="s">
        <v>3441</v>
      </c>
      <c r="F102" s="3" t="s">
        <v>3549</v>
      </c>
      <c r="G102" s="3">
        <v>12</v>
      </c>
      <c r="H102" s="3" t="s">
        <v>3377</v>
      </c>
      <c r="I102" s="3" t="s">
        <v>415</v>
      </c>
    </row>
    <row r="103" spans="1:9" ht="13.2" x14ac:dyDescent="0.25">
      <c r="A103" s="3" t="s">
        <v>3655</v>
      </c>
      <c r="B103" s="3" t="s">
        <v>415</v>
      </c>
      <c r="C103" s="3">
        <v>7</v>
      </c>
      <c r="D103" s="3" t="s">
        <v>1741</v>
      </c>
      <c r="E103" s="3" t="s">
        <v>3451</v>
      </c>
      <c r="F103" s="3" t="s">
        <v>3550</v>
      </c>
      <c r="G103" s="3">
        <v>12</v>
      </c>
      <c r="H103" s="3" t="s">
        <v>3377</v>
      </c>
      <c r="I103" s="3" t="s">
        <v>415</v>
      </c>
    </row>
    <row r="104" spans="1:9" ht="13.2" x14ac:dyDescent="0.25">
      <c r="A104" s="3" t="s">
        <v>3656</v>
      </c>
      <c r="B104" s="3" t="s">
        <v>415</v>
      </c>
      <c r="C104" s="3">
        <v>4172</v>
      </c>
      <c r="D104" s="3" t="s">
        <v>352</v>
      </c>
      <c r="E104" s="3" t="s">
        <v>3439</v>
      </c>
      <c r="F104" s="3" t="s">
        <v>3551</v>
      </c>
      <c r="G104" s="3">
        <v>11</v>
      </c>
      <c r="H104" s="3" t="s">
        <v>3378</v>
      </c>
      <c r="I104" s="3" t="s">
        <v>415</v>
      </c>
    </row>
    <row r="105" spans="1:9" ht="13.2" x14ac:dyDescent="0.25">
      <c r="A105" s="3" t="s">
        <v>3657</v>
      </c>
      <c r="B105" s="3" t="s">
        <v>415</v>
      </c>
      <c r="C105" s="3">
        <v>3513</v>
      </c>
      <c r="D105" s="3" t="s">
        <v>3425</v>
      </c>
      <c r="E105" s="3" t="s">
        <v>3429</v>
      </c>
      <c r="F105" s="3" t="s">
        <v>3552</v>
      </c>
      <c r="G105" s="3">
        <v>11</v>
      </c>
      <c r="H105" s="3" t="s">
        <v>3377</v>
      </c>
      <c r="I105" s="3" t="s">
        <v>415</v>
      </c>
    </row>
    <row r="106" spans="1:9" ht="13.2" x14ac:dyDescent="0.25">
      <c r="A106" s="3" t="s">
        <v>3658</v>
      </c>
      <c r="B106" s="3" t="s">
        <v>415</v>
      </c>
      <c r="C106" s="3">
        <v>3307</v>
      </c>
      <c r="D106" s="3" t="s">
        <v>3425</v>
      </c>
      <c r="E106" s="3" t="s">
        <v>3429</v>
      </c>
      <c r="F106" s="3" t="s">
        <v>3473</v>
      </c>
      <c r="G106" s="3">
        <v>12</v>
      </c>
      <c r="H106" s="3" t="s">
        <v>3378</v>
      </c>
      <c r="I106" s="3" t="s">
        <v>415</v>
      </c>
    </row>
    <row r="107" spans="1:9" ht="13.2" x14ac:dyDescent="0.25">
      <c r="A107" s="3" t="s">
        <v>3659</v>
      </c>
      <c r="B107" s="3" t="s">
        <v>415</v>
      </c>
      <c r="C107" s="3">
        <v>4106</v>
      </c>
      <c r="D107" s="3" t="s">
        <v>1741</v>
      </c>
      <c r="E107" s="3" t="s">
        <v>3451</v>
      </c>
      <c r="F107" s="3" t="s">
        <v>3542</v>
      </c>
      <c r="G107" s="3">
        <v>12</v>
      </c>
      <c r="H107" s="3" t="s">
        <v>3378</v>
      </c>
      <c r="I107" s="3" t="s">
        <v>415</v>
      </c>
    </row>
    <row r="108" spans="1:9" ht="13.2" x14ac:dyDescent="0.25">
      <c r="A108" s="3" t="s">
        <v>3660</v>
      </c>
      <c r="B108" s="3" t="s">
        <v>415</v>
      </c>
      <c r="C108" s="3">
        <v>2862</v>
      </c>
      <c r="D108" s="3" t="s">
        <v>1401</v>
      </c>
      <c r="E108" s="3" t="s">
        <v>3450</v>
      </c>
      <c r="F108" s="3" t="s">
        <v>3176</v>
      </c>
      <c r="G108" s="3">
        <v>12</v>
      </c>
      <c r="H108" s="3" t="s">
        <v>3378</v>
      </c>
      <c r="I108" s="3" t="s">
        <v>415</v>
      </c>
    </row>
    <row r="109" spans="1:9" ht="13.2" x14ac:dyDescent="0.25">
      <c r="A109" s="3" t="s">
        <v>3661</v>
      </c>
      <c r="B109" s="3" t="s">
        <v>415</v>
      </c>
      <c r="C109" s="3">
        <v>3810</v>
      </c>
      <c r="D109" s="3" t="s">
        <v>1401</v>
      </c>
      <c r="E109" s="3" t="s">
        <v>3450</v>
      </c>
      <c r="F109" s="3" t="s">
        <v>3553</v>
      </c>
      <c r="G109" s="3">
        <v>10</v>
      </c>
      <c r="H109" s="3" t="s">
        <v>3378</v>
      </c>
      <c r="I109" s="3" t="s">
        <v>415</v>
      </c>
    </row>
    <row r="110" spans="1:9" ht="13.2" x14ac:dyDescent="0.25">
      <c r="A110" s="3" t="s">
        <v>3662</v>
      </c>
      <c r="B110" s="3" t="s">
        <v>415</v>
      </c>
      <c r="C110" s="3">
        <v>3799</v>
      </c>
      <c r="D110" s="3" t="s">
        <v>352</v>
      </c>
      <c r="E110" s="3" t="s">
        <v>3439</v>
      </c>
      <c r="F110" s="3" t="s">
        <v>3554</v>
      </c>
      <c r="G110" s="3">
        <v>11</v>
      </c>
      <c r="H110" s="3" t="s">
        <v>3377</v>
      </c>
      <c r="I110" s="3" t="s">
        <v>415</v>
      </c>
    </row>
    <row r="111" spans="1:9" ht="13.2" x14ac:dyDescent="0.25">
      <c r="A111" s="3" t="s">
        <v>3663</v>
      </c>
      <c r="B111" s="3" t="s">
        <v>415</v>
      </c>
      <c r="C111" s="3">
        <v>3491</v>
      </c>
      <c r="D111" s="3" t="s">
        <v>1114</v>
      </c>
      <c r="E111" s="3" t="s">
        <v>3448</v>
      </c>
      <c r="F111" s="3" t="s">
        <v>3555</v>
      </c>
      <c r="G111" s="3">
        <v>9</v>
      </c>
      <c r="H111" s="3" t="s">
        <v>3378</v>
      </c>
      <c r="I111" s="3" t="s">
        <v>415</v>
      </c>
    </row>
    <row r="112" spans="1:9" ht="13.2" x14ac:dyDescent="0.25">
      <c r="A112" s="3" t="s">
        <v>3696</v>
      </c>
      <c r="B112" s="3" t="s">
        <v>415</v>
      </c>
      <c r="C112" s="3">
        <v>4178</v>
      </c>
      <c r="D112" s="3" t="s">
        <v>3677</v>
      </c>
      <c r="E112" s="3" t="s">
        <v>3452</v>
      </c>
      <c r="F112" s="3" t="s">
        <v>3556</v>
      </c>
      <c r="G112" s="3">
        <v>10</v>
      </c>
      <c r="H112" s="3" t="s">
        <v>3378</v>
      </c>
      <c r="I112" s="3" t="s">
        <v>415</v>
      </c>
    </row>
    <row r="113" spans="1:9" ht="13.2" x14ac:dyDescent="0.25">
      <c r="A113" s="3" t="s">
        <v>3664</v>
      </c>
      <c r="B113" s="3" t="s">
        <v>415</v>
      </c>
      <c r="C113" s="3">
        <v>3640</v>
      </c>
      <c r="D113" s="3" t="s">
        <v>54</v>
      </c>
      <c r="E113" s="3" t="s">
        <v>3429</v>
      </c>
      <c r="F113" s="3" t="s">
        <v>3557</v>
      </c>
      <c r="G113" s="3">
        <v>13</v>
      </c>
      <c r="H113" s="3" t="s">
        <v>3377</v>
      </c>
      <c r="I113" s="3" t="s">
        <v>415</v>
      </c>
    </row>
    <row r="114" spans="1:9" ht="13.2" x14ac:dyDescent="0.25">
      <c r="A114" s="3" t="s">
        <v>3665</v>
      </c>
      <c r="B114" s="3" t="s">
        <v>415</v>
      </c>
      <c r="C114" s="3">
        <v>3578</v>
      </c>
      <c r="D114" s="3" t="s">
        <v>326</v>
      </c>
      <c r="E114" s="3" t="s">
        <v>3438</v>
      </c>
      <c r="F114" s="3" t="s">
        <v>3558</v>
      </c>
      <c r="G114" s="3">
        <v>11</v>
      </c>
      <c r="H114" s="3" t="s">
        <v>3377</v>
      </c>
      <c r="I114" s="3" t="s">
        <v>415</v>
      </c>
    </row>
    <row r="115" spans="1:9" ht="13.2" x14ac:dyDescent="0.25">
      <c r="A115" s="3" t="s">
        <v>3666</v>
      </c>
      <c r="B115" s="3" t="s">
        <v>415</v>
      </c>
      <c r="C115" s="3">
        <v>3968</v>
      </c>
      <c r="D115" s="3" t="s">
        <v>318</v>
      </c>
      <c r="E115" s="3" t="s">
        <v>3437</v>
      </c>
      <c r="F115" s="3" t="s">
        <v>3559</v>
      </c>
      <c r="G115" s="3">
        <v>12</v>
      </c>
      <c r="H115" s="3" t="s">
        <v>3377</v>
      </c>
      <c r="I115" s="3" t="s">
        <v>415</v>
      </c>
    </row>
    <row r="116" spans="1:9" ht="13.2" x14ac:dyDescent="0.25">
      <c r="A116" s="3" t="s">
        <v>3639</v>
      </c>
      <c r="B116" s="3" t="s">
        <v>415</v>
      </c>
      <c r="C116" s="3">
        <v>4141</v>
      </c>
      <c r="D116" s="3" t="s">
        <v>65</v>
      </c>
      <c r="E116" s="3" t="s">
        <v>3430</v>
      </c>
      <c r="F116" s="3" t="s">
        <v>3473</v>
      </c>
      <c r="G116" s="3">
        <v>12</v>
      </c>
      <c r="H116" s="3" t="s">
        <v>3377</v>
      </c>
      <c r="I116" s="3" t="s">
        <v>415</v>
      </c>
    </row>
    <row r="117" spans="1:9" ht="13.2" x14ac:dyDescent="0.25">
      <c r="A117" s="3" t="s">
        <v>3667</v>
      </c>
      <c r="B117" s="3" t="s">
        <v>415</v>
      </c>
      <c r="C117" s="3">
        <v>3111</v>
      </c>
      <c r="D117" s="3" t="s">
        <v>318</v>
      </c>
      <c r="E117" s="3" t="s">
        <v>3437</v>
      </c>
      <c r="F117" s="3" t="s">
        <v>3560</v>
      </c>
      <c r="G117" s="3">
        <v>12</v>
      </c>
      <c r="H117" s="3" t="s">
        <v>3377</v>
      </c>
      <c r="I117" s="3" t="s">
        <v>415</v>
      </c>
    </row>
    <row r="118" spans="1:9" ht="13.2" x14ac:dyDescent="0.25">
      <c r="A118" s="3" t="s">
        <v>3697</v>
      </c>
      <c r="B118" s="3" t="s">
        <v>415</v>
      </c>
      <c r="C118" s="3">
        <v>3822</v>
      </c>
      <c r="D118" s="3" t="s">
        <v>171</v>
      </c>
      <c r="E118" s="3" t="s">
        <v>3433</v>
      </c>
      <c r="F118" s="3" t="s">
        <v>3561</v>
      </c>
      <c r="G118" s="3">
        <v>11</v>
      </c>
      <c r="H118" s="3" t="s">
        <v>3378</v>
      </c>
      <c r="I118" s="3" t="s">
        <v>415</v>
      </c>
    </row>
    <row r="119" spans="1:9" ht="13.2" x14ac:dyDescent="0.25">
      <c r="A119" s="3" t="s">
        <v>3668</v>
      </c>
      <c r="B119" s="3" t="s">
        <v>415</v>
      </c>
      <c r="C119" s="3">
        <v>3758</v>
      </c>
      <c r="D119" s="3" t="s">
        <v>352</v>
      </c>
      <c r="E119" s="3" t="s">
        <v>3439</v>
      </c>
      <c r="F119" s="3" t="s">
        <v>3475</v>
      </c>
      <c r="G119" s="3">
        <v>11</v>
      </c>
      <c r="H119" s="3" t="s">
        <v>3377</v>
      </c>
      <c r="I119" s="3" t="s">
        <v>415</v>
      </c>
    </row>
    <row r="120" spans="1:9" ht="13.2" x14ac:dyDescent="0.25">
      <c r="A120" s="3" t="s">
        <v>3669</v>
      </c>
      <c r="B120" s="3" t="s">
        <v>415</v>
      </c>
      <c r="C120" s="3">
        <v>3707</v>
      </c>
      <c r="D120" s="3" t="s">
        <v>1741</v>
      </c>
      <c r="E120" s="3" t="s">
        <v>3451</v>
      </c>
      <c r="F120" s="3" t="s">
        <v>3154</v>
      </c>
      <c r="G120" s="3">
        <v>12</v>
      </c>
      <c r="H120" s="3" t="s">
        <v>3377</v>
      </c>
      <c r="I120" s="3" t="s">
        <v>415</v>
      </c>
    </row>
    <row r="121" spans="1:9" ht="13.2" x14ac:dyDescent="0.25">
      <c r="A121" s="3" t="s">
        <v>3670</v>
      </c>
      <c r="B121" s="3" t="s">
        <v>415</v>
      </c>
      <c r="C121" s="3">
        <v>4905</v>
      </c>
      <c r="D121" s="3" t="s">
        <v>470</v>
      </c>
      <c r="E121" s="3" t="s">
        <v>3441</v>
      </c>
      <c r="F121" s="3" t="s">
        <v>3562</v>
      </c>
      <c r="G121" s="3">
        <v>11</v>
      </c>
      <c r="H121" s="3" t="s">
        <v>3378</v>
      </c>
      <c r="I121" s="3" t="s">
        <v>415</v>
      </c>
    </row>
    <row r="122" spans="1:9" ht="13.2" x14ac:dyDescent="0.25">
      <c r="A122" s="3" t="s">
        <v>3671</v>
      </c>
      <c r="B122" s="3" t="s">
        <v>415</v>
      </c>
      <c r="C122" s="3">
        <v>3879</v>
      </c>
      <c r="D122" s="3" t="s">
        <v>171</v>
      </c>
      <c r="E122" s="3" t="s">
        <v>3433</v>
      </c>
      <c r="F122" s="3" t="s">
        <v>3563</v>
      </c>
      <c r="G122" s="3">
        <v>11</v>
      </c>
      <c r="H122" s="3" t="s">
        <v>3378</v>
      </c>
      <c r="I122" s="3" t="s">
        <v>415</v>
      </c>
    </row>
    <row r="123" spans="1:9" ht="13.2" x14ac:dyDescent="0.25">
      <c r="A123" s="3" t="s">
        <v>3672</v>
      </c>
      <c r="B123" s="3" t="s">
        <v>415</v>
      </c>
      <c r="C123" s="3">
        <v>4044</v>
      </c>
      <c r="D123" s="3" t="s">
        <v>352</v>
      </c>
      <c r="E123" s="3" t="s">
        <v>3439</v>
      </c>
      <c r="F123" s="3" t="s">
        <v>3564</v>
      </c>
      <c r="G123" s="3">
        <v>10</v>
      </c>
      <c r="H123" s="3" t="s">
        <v>3378</v>
      </c>
      <c r="I123" s="3" t="s">
        <v>415</v>
      </c>
    </row>
    <row r="124" spans="1:9" ht="13.2" x14ac:dyDescent="0.25">
      <c r="A124" s="3" t="s">
        <v>3673</v>
      </c>
      <c r="B124" s="3" t="s">
        <v>415</v>
      </c>
      <c r="C124" s="3">
        <v>3868</v>
      </c>
      <c r="D124" s="3" t="s">
        <v>352</v>
      </c>
      <c r="E124" s="3" t="s">
        <v>3439</v>
      </c>
      <c r="F124" s="3" t="s">
        <v>3565</v>
      </c>
      <c r="G124" s="3">
        <v>11</v>
      </c>
      <c r="H124" s="3" t="s">
        <v>3378</v>
      </c>
      <c r="I124" s="3" t="s">
        <v>415</v>
      </c>
    </row>
    <row r="125" spans="1:9" ht="13.2" x14ac:dyDescent="0.25">
      <c r="A125" s="3" t="s">
        <v>3674</v>
      </c>
      <c r="B125" s="3" t="s">
        <v>415</v>
      </c>
      <c r="C125" s="3">
        <v>3557</v>
      </c>
      <c r="D125" s="3" t="s">
        <v>1741</v>
      </c>
      <c r="E125" s="3" t="s">
        <v>3451</v>
      </c>
      <c r="F125" s="3" t="s">
        <v>3474</v>
      </c>
      <c r="G125" s="3">
        <v>13</v>
      </c>
      <c r="H125" s="3" t="s">
        <v>3377</v>
      </c>
      <c r="I125" s="3" t="s">
        <v>415</v>
      </c>
    </row>
    <row r="126" spans="1:9" ht="13.2" x14ac:dyDescent="0.25">
      <c r="A126" s="3" t="s">
        <v>3675</v>
      </c>
      <c r="B126" s="3" t="s">
        <v>415</v>
      </c>
      <c r="C126" s="3">
        <v>3759</v>
      </c>
      <c r="D126" s="3" t="s">
        <v>352</v>
      </c>
      <c r="E126" s="3" t="s">
        <v>3439</v>
      </c>
      <c r="F126" s="3" t="s">
        <v>3566</v>
      </c>
      <c r="G126" s="3">
        <v>12</v>
      </c>
      <c r="H126" s="3" t="s">
        <v>3377</v>
      </c>
      <c r="I126" s="3" t="s">
        <v>415</v>
      </c>
    </row>
    <row r="127" spans="1:9" ht="13.2" x14ac:dyDescent="0.25">
      <c r="A127" s="3" t="s">
        <v>3676</v>
      </c>
      <c r="B127" s="3" t="s">
        <v>415</v>
      </c>
      <c r="C127" s="3">
        <v>3988</v>
      </c>
      <c r="D127" s="3" t="s">
        <v>590</v>
      </c>
      <c r="E127" s="3" t="s">
        <v>3443</v>
      </c>
      <c r="F127" s="3" t="s">
        <v>3567</v>
      </c>
      <c r="G127" s="3">
        <v>12</v>
      </c>
      <c r="H127" s="3" t="s">
        <v>3378</v>
      </c>
      <c r="I127" s="3" t="s">
        <v>415</v>
      </c>
    </row>
    <row r="128" spans="1:9" ht="13.2" x14ac:dyDescent="0.25"/>
    <row r="129" ht="13.2" x14ac:dyDescent="0.25"/>
    <row r="130" ht="13.2" x14ac:dyDescent="0.25"/>
    <row r="131" ht="13.2" x14ac:dyDescent="0.25"/>
    <row r="132" ht="13.2" x14ac:dyDescent="0.25"/>
    <row r="133" ht="13.2" x14ac:dyDescent="0.25"/>
    <row r="134" ht="13.2" x14ac:dyDescent="0.25"/>
    <row r="135" ht="13.2" x14ac:dyDescent="0.25"/>
    <row r="136" ht="13.2" x14ac:dyDescent="0.25"/>
    <row r="137" ht="13.2" x14ac:dyDescent="0.25"/>
    <row r="138" ht="13.2" x14ac:dyDescent="0.25"/>
    <row r="139" ht="13.2" x14ac:dyDescent="0.25"/>
    <row r="140" ht="13.2" x14ac:dyDescent="0.25"/>
    <row r="141" ht="13.2" x14ac:dyDescent="0.25"/>
    <row r="142" ht="13.2" x14ac:dyDescent="0.25"/>
    <row r="143" ht="13.2" x14ac:dyDescent="0.25"/>
    <row r="144" ht="13.2" x14ac:dyDescent="0.25"/>
    <row r="145" ht="13.2" x14ac:dyDescent="0.25"/>
    <row r="146" ht="13.2" x14ac:dyDescent="0.25"/>
    <row r="147" ht="13.2" x14ac:dyDescent="0.25"/>
    <row r="148" ht="13.2" x14ac:dyDescent="0.25"/>
    <row r="149" ht="13.2" x14ac:dyDescent="0.25"/>
    <row r="150" ht="13.2" x14ac:dyDescent="0.25"/>
    <row r="151" ht="13.2" x14ac:dyDescent="0.25"/>
    <row r="152" ht="13.2" x14ac:dyDescent="0.25"/>
    <row r="153" ht="13.2" x14ac:dyDescent="0.25"/>
    <row r="154" ht="13.2" x14ac:dyDescent="0.25"/>
    <row r="155" ht="13.2" x14ac:dyDescent="0.25"/>
    <row r="156" ht="13.2" x14ac:dyDescent="0.25"/>
    <row r="157" ht="13.2" x14ac:dyDescent="0.25"/>
    <row r="158" ht="13.2" x14ac:dyDescent="0.25"/>
    <row r="159" ht="13.2" x14ac:dyDescent="0.25"/>
    <row r="160" ht="13.2" x14ac:dyDescent="0.25"/>
    <row r="161" ht="13.2" x14ac:dyDescent="0.25"/>
    <row r="162" ht="13.2" x14ac:dyDescent="0.25"/>
    <row r="163" ht="13.2" x14ac:dyDescent="0.25"/>
    <row r="164" ht="13.2" x14ac:dyDescent="0.25"/>
    <row r="165" ht="13.2" x14ac:dyDescent="0.25"/>
    <row r="166" ht="13.2" x14ac:dyDescent="0.25"/>
    <row r="167" ht="13.2" x14ac:dyDescent="0.25"/>
    <row r="168" ht="13.2" x14ac:dyDescent="0.25"/>
    <row r="169" ht="13.2" x14ac:dyDescent="0.25"/>
    <row r="170" ht="13.2" x14ac:dyDescent="0.25"/>
    <row r="171" ht="13.2" x14ac:dyDescent="0.25"/>
    <row r="172" ht="13.2" x14ac:dyDescent="0.25"/>
    <row r="173" ht="13.2" x14ac:dyDescent="0.25"/>
    <row r="174" ht="13.2" x14ac:dyDescent="0.25"/>
    <row r="175" ht="13.2" x14ac:dyDescent="0.25"/>
    <row r="176" ht="13.2" x14ac:dyDescent="0.25"/>
    <row r="177" ht="13.2" x14ac:dyDescent="0.25"/>
    <row r="178" ht="13.2" x14ac:dyDescent="0.25"/>
    <row r="179" ht="13.2" x14ac:dyDescent="0.25"/>
    <row r="180" ht="13.2" x14ac:dyDescent="0.25"/>
    <row r="181" ht="13.2" x14ac:dyDescent="0.25"/>
    <row r="182" ht="13.2" x14ac:dyDescent="0.25"/>
    <row r="183" ht="13.2" x14ac:dyDescent="0.25"/>
    <row r="184" ht="13.2" x14ac:dyDescent="0.25"/>
    <row r="185" ht="13.2" x14ac:dyDescent="0.25"/>
    <row r="186" ht="13.2" x14ac:dyDescent="0.25"/>
    <row r="187" ht="13.2" x14ac:dyDescent="0.25"/>
    <row r="188" ht="13.2" x14ac:dyDescent="0.25"/>
    <row r="189" ht="13.2" x14ac:dyDescent="0.25"/>
    <row r="190" ht="13.2" x14ac:dyDescent="0.25"/>
    <row r="191" ht="13.2" x14ac:dyDescent="0.25"/>
    <row r="192" ht="13.2" x14ac:dyDescent="0.25"/>
    <row r="193" ht="13.2" x14ac:dyDescent="0.25"/>
    <row r="194" ht="13.2" x14ac:dyDescent="0.25"/>
    <row r="195" ht="13.2" x14ac:dyDescent="0.25"/>
    <row r="196" ht="13.2" x14ac:dyDescent="0.25"/>
    <row r="197" ht="13.2" x14ac:dyDescent="0.25"/>
    <row r="198" ht="13.2" x14ac:dyDescent="0.25"/>
    <row r="199" ht="13.2" x14ac:dyDescent="0.25"/>
    <row r="200" ht="13.2" x14ac:dyDescent="0.25"/>
    <row r="201" ht="13.2" x14ac:dyDescent="0.25"/>
    <row r="202" ht="13.2" x14ac:dyDescent="0.25"/>
    <row r="203" ht="13.2" x14ac:dyDescent="0.25"/>
    <row r="204" ht="13.2" x14ac:dyDescent="0.25"/>
    <row r="205" ht="13.2" x14ac:dyDescent="0.25"/>
    <row r="206" ht="13.2" x14ac:dyDescent="0.25"/>
    <row r="207" ht="13.2" x14ac:dyDescent="0.25"/>
    <row r="208" ht="13.2" x14ac:dyDescent="0.25"/>
    <row r="209" ht="13.2" x14ac:dyDescent="0.25"/>
    <row r="210" ht="13.2" x14ac:dyDescent="0.25"/>
    <row r="211" ht="13.2" x14ac:dyDescent="0.25"/>
    <row r="212" ht="13.2" x14ac:dyDescent="0.25"/>
    <row r="213" ht="13.2" x14ac:dyDescent="0.25"/>
    <row r="214" ht="13.2" x14ac:dyDescent="0.25"/>
    <row r="215" ht="13.2" x14ac:dyDescent="0.25"/>
    <row r="216" ht="13.2" x14ac:dyDescent="0.25"/>
    <row r="217" ht="13.2" x14ac:dyDescent="0.25"/>
    <row r="218" ht="13.2" x14ac:dyDescent="0.25"/>
    <row r="219" ht="13.2" x14ac:dyDescent="0.25"/>
    <row r="220" ht="13.2" x14ac:dyDescent="0.25"/>
    <row r="221" ht="13.2" x14ac:dyDescent="0.25"/>
    <row r="222" ht="13.2" x14ac:dyDescent="0.25"/>
    <row r="223" ht="13.2" x14ac:dyDescent="0.25"/>
    <row r="224" ht="13.2" x14ac:dyDescent="0.25"/>
    <row r="225" ht="13.2" x14ac:dyDescent="0.25"/>
    <row r="226" ht="13.2" x14ac:dyDescent="0.25"/>
    <row r="227" ht="13.2" x14ac:dyDescent="0.25"/>
    <row r="228" ht="13.2" x14ac:dyDescent="0.25"/>
    <row r="229" ht="13.2" x14ac:dyDescent="0.25"/>
    <row r="230" ht="13.2" x14ac:dyDescent="0.25"/>
    <row r="231" ht="13.2" x14ac:dyDescent="0.25"/>
    <row r="232" ht="13.2" x14ac:dyDescent="0.25"/>
    <row r="233" ht="13.2" x14ac:dyDescent="0.25"/>
    <row r="234" ht="13.2" x14ac:dyDescent="0.25"/>
    <row r="235" ht="13.2" x14ac:dyDescent="0.25"/>
    <row r="236" ht="13.2" x14ac:dyDescent="0.25"/>
    <row r="237" ht="13.2" x14ac:dyDescent="0.25"/>
    <row r="238" ht="13.2" x14ac:dyDescent="0.25"/>
    <row r="239" ht="13.2" x14ac:dyDescent="0.25"/>
    <row r="240" ht="13.2" x14ac:dyDescent="0.25"/>
    <row r="241" ht="13.2" x14ac:dyDescent="0.25"/>
    <row r="242" ht="13.2" x14ac:dyDescent="0.25"/>
    <row r="243" ht="13.2" x14ac:dyDescent="0.25"/>
    <row r="244" ht="13.2" x14ac:dyDescent="0.25"/>
    <row r="245" ht="13.2" x14ac:dyDescent="0.25"/>
    <row r="246" ht="13.2" x14ac:dyDescent="0.25"/>
    <row r="247" ht="13.2" x14ac:dyDescent="0.25"/>
    <row r="248" ht="13.2" x14ac:dyDescent="0.25"/>
    <row r="249" ht="13.2" x14ac:dyDescent="0.25"/>
    <row r="250" ht="13.2" x14ac:dyDescent="0.25"/>
    <row r="251" ht="13.2" x14ac:dyDescent="0.25"/>
    <row r="252" ht="13.2" x14ac:dyDescent="0.25"/>
    <row r="253" ht="13.2" x14ac:dyDescent="0.25"/>
    <row r="254" ht="13.2" x14ac:dyDescent="0.25"/>
    <row r="255" ht="13.2" x14ac:dyDescent="0.25"/>
    <row r="256" ht="13.2" x14ac:dyDescent="0.25"/>
    <row r="257" ht="13.2" x14ac:dyDescent="0.25"/>
    <row r="258" ht="13.2" x14ac:dyDescent="0.25"/>
    <row r="259" ht="13.2" x14ac:dyDescent="0.25"/>
    <row r="260" ht="13.2" x14ac:dyDescent="0.25"/>
    <row r="261" ht="13.2" x14ac:dyDescent="0.25"/>
    <row r="262" ht="13.2" x14ac:dyDescent="0.25"/>
    <row r="263" ht="13.2" x14ac:dyDescent="0.25"/>
    <row r="264" ht="13.2" x14ac:dyDescent="0.25"/>
    <row r="265" ht="13.2" x14ac:dyDescent="0.25"/>
    <row r="266" ht="13.2" x14ac:dyDescent="0.25"/>
    <row r="267" ht="13.2" x14ac:dyDescent="0.25"/>
    <row r="268" ht="13.2" x14ac:dyDescent="0.25"/>
    <row r="269" ht="13.2" x14ac:dyDescent="0.25"/>
    <row r="270" ht="13.2" x14ac:dyDescent="0.25"/>
    <row r="271" ht="13.2" x14ac:dyDescent="0.25"/>
    <row r="272" ht="13.2" x14ac:dyDescent="0.25"/>
    <row r="273" ht="13.2" x14ac:dyDescent="0.25"/>
    <row r="274" ht="13.2" x14ac:dyDescent="0.25"/>
    <row r="275" ht="13.2" x14ac:dyDescent="0.25"/>
    <row r="276" ht="13.2" x14ac:dyDescent="0.25"/>
    <row r="277" ht="13.2" x14ac:dyDescent="0.25"/>
    <row r="278" ht="13.2" x14ac:dyDescent="0.25"/>
    <row r="279" ht="13.2" x14ac:dyDescent="0.25"/>
    <row r="280" ht="13.2" x14ac:dyDescent="0.25"/>
    <row r="281" ht="13.2" x14ac:dyDescent="0.25"/>
    <row r="282" ht="13.2" x14ac:dyDescent="0.25"/>
    <row r="283" ht="13.2" x14ac:dyDescent="0.25"/>
    <row r="284" ht="13.2" x14ac:dyDescent="0.25"/>
    <row r="285" ht="13.2" x14ac:dyDescent="0.25"/>
    <row r="286" ht="13.2" x14ac:dyDescent="0.25"/>
    <row r="287" ht="13.2" x14ac:dyDescent="0.25"/>
    <row r="288" ht="13.2" x14ac:dyDescent="0.25"/>
    <row r="289" ht="13.2" x14ac:dyDescent="0.25"/>
    <row r="290" ht="13.2" x14ac:dyDescent="0.25"/>
    <row r="291" ht="13.2" x14ac:dyDescent="0.25"/>
    <row r="292" ht="13.2" x14ac:dyDescent="0.25"/>
    <row r="293" ht="13.2" x14ac:dyDescent="0.25"/>
    <row r="294" ht="13.2" x14ac:dyDescent="0.25"/>
    <row r="295" ht="13.2" x14ac:dyDescent="0.25"/>
    <row r="296" ht="13.2" x14ac:dyDescent="0.25"/>
    <row r="297" ht="13.2" x14ac:dyDescent="0.25"/>
    <row r="298" ht="13.2" x14ac:dyDescent="0.25"/>
    <row r="299" ht="13.2" x14ac:dyDescent="0.25"/>
    <row r="300" ht="13.2" x14ac:dyDescent="0.25"/>
    <row r="301" ht="13.2" x14ac:dyDescent="0.25"/>
    <row r="302" ht="13.2" x14ac:dyDescent="0.25"/>
    <row r="303" ht="13.2" x14ac:dyDescent="0.25"/>
    <row r="304" ht="13.2" x14ac:dyDescent="0.25"/>
    <row r="305" ht="13.2" x14ac:dyDescent="0.25"/>
    <row r="306" ht="13.2" x14ac:dyDescent="0.25"/>
    <row r="307" ht="13.2" x14ac:dyDescent="0.25"/>
    <row r="308" ht="13.2" x14ac:dyDescent="0.25"/>
    <row r="309" ht="13.2" x14ac:dyDescent="0.25"/>
    <row r="310" ht="13.2" x14ac:dyDescent="0.25"/>
    <row r="311" ht="13.2" x14ac:dyDescent="0.25"/>
    <row r="312" ht="13.2" x14ac:dyDescent="0.25"/>
    <row r="313" ht="13.2" x14ac:dyDescent="0.25"/>
    <row r="314" ht="13.2" x14ac:dyDescent="0.25"/>
    <row r="315" ht="13.2" x14ac:dyDescent="0.25"/>
    <row r="316" ht="13.2" x14ac:dyDescent="0.25"/>
    <row r="317" ht="13.2" x14ac:dyDescent="0.25"/>
    <row r="318" ht="13.2" x14ac:dyDescent="0.25"/>
    <row r="319" ht="13.2" x14ac:dyDescent="0.25"/>
    <row r="320" ht="13.2" x14ac:dyDescent="0.25"/>
    <row r="321" ht="13.2" x14ac:dyDescent="0.25"/>
    <row r="322" ht="13.2" x14ac:dyDescent="0.25"/>
    <row r="323" ht="13.2" x14ac:dyDescent="0.25"/>
    <row r="324" ht="13.2" x14ac:dyDescent="0.25"/>
    <row r="325" ht="13.2" x14ac:dyDescent="0.25"/>
    <row r="326" ht="13.2" x14ac:dyDescent="0.25"/>
    <row r="327" ht="13.2" x14ac:dyDescent="0.25"/>
    <row r="328" ht="13.2" x14ac:dyDescent="0.25"/>
    <row r="329" ht="13.2" x14ac:dyDescent="0.25"/>
    <row r="330" ht="13.2" x14ac:dyDescent="0.25"/>
    <row r="331" ht="13.2" x14ac:dyDescent="0.25"/>
    <row r="332" ht="13.2" x14ac:dyDescent="0.25"/>
    <row r="333" ht="13.2" x14ac:dyDescent="0.25"/>
    <row r="334" ht="13.2" x14ac:dyDescent="0.25"/>
    <row r="335" ht="13.2" x14ac:dyDescent="0.25"/>
    <row r="336" ht="13.2" x14ac:dyDescent="0.25"/>
    <row r="337" ht="13.2" x14ac:dyDescent="0.25"/>
    <row r="338" ht="13.2" x14ac:dyDescent="0.25"/>
    <row r="339" ht="13.2" x14ac:dyDescent="0.25"/>
    <row r="340" ht="13.2" x14ac:dyDescent="0.25"/>
    <row r="341" ht="13.2" x14ac:dyDescent="0.25"/>
    <row r="342" ht="13.2" x14ac:dyDescent="0.25"/>
    <row r="343" ht="13.2" x14ac:dyDescent="0.25"/>
    <row r="344" ht="13.2" x14ac:dyDescent="0.25"/>
    <row r="345" ht="13.2" x14ac:dyDescent="0.25"/>
    <row r="346" ht="13.2" x14ac:dyDescent="0.25"/>
    <row r="347" ht="13.2" x14ac:dyDescent="0.25"/>
    <row r="348" ht="13.2" x14ac:dyDescent="0.25"/>
    <row r="349" ht="13.2" x14ac:dyDescent="0.25"/>
    <row r="350" ht="13.2" x14ac:dyDescent="0.25"/>
    <row r="351" ht="13.2" x14ac:dyDescent="0.25"/>
    <row r="352" ht="13.2" x14ac:dyDescent="0.25"/>
    <row r="353" ht="13.2" x14ac:dyDescent="0.25"/>
    <row r="354" ht="13.2" x14ac:dyDescent="0.25"/>
    <row r="355" ht="13.2" x14ac:dyDescent="0.25"/>
    <row r="356" ht="13.2" x14ac:dyDescent="0.25"/>
    <row r="357" ht="13.2" x14ac:dyDescent="0.25"/>
    <row r="358" ht="13.2" x14ac:dyDescent="0.25"/>
    <row r="359" ht="13.2" x14ac:dyDescent="0.25"/>
    <row r="360" ht="13.2" x14ac:dyDescent="0.25"/>
    <row r="361" ht="13.2" x14ac:dyDescent="0.25"/>
    <row r="362" ht="13.2" x14ac:dyDescent="0.25"/>
    <row r="363" ht="13.2" x14ac:dyDescent="0.25"/>
    <row r="364" ht="13.2" x14ac:dyDescent="0.25"/>
    <row r="365" ht="13.2" x14ac:dyDescent="0.25"/>
    <row r="366" ht="13.2" x14ac:dyDescent="0.25"/>
    <row r="367" ht="13.2" x14ac:dyDescent="0.25"/>
    <row r="368" ht="13.2" x14ac:dyDescent="0.25"/>
    <row r="369" ht="13.2" x14ac:dyDescent="0.25"/>
    <row r="370" ht="13.2" x14ac:dyDescent="0.25"/>
    <row r="371" ht="13.2" x14ac:dyDescent="0.25"/>
    <row r="372" ht="13.2" x14ac:dyDescent="0.25"/>
    <row r="373" ht="13.2" x14ac:dyDescent="0.25"/>
    <row r="374" ht="13.2" x14ac:dyDescent="0.25"/>
    <row r="375" ht="13.2" x14ac:dyDescent="0.25"/>
    <row r="376" ht="13.2" x14ac:dyDescent="0.25"/>
    <row r="377" ht="13.2" x14ac:dyDescent="0.25"/>
    <row r="378" ht="13.2" x14ac:dyDescent="0.25"/>
    <row r="379" ht="13.2" x14ac:dyDescent="0.25"/>
    <row r="380" ht="13.2" x14ac:dyDescent="0.25"/>
    <row r="381" ht="13.2" x14ac:dyDescent="0.25"/>
    <row r="382" ht="13.2" x14ac:dyDescent="0.25"/>
    <row r="383" ht="13.2" x14ac:dyDescent="0.25"/>
    <row r="384" ht="13.2" x14ac:dyDescent="0.25"/>
    <row r="385" ht="13.2" x14ac:dyDescent="0.25"/>
    <row r="386" ht="13.2" x14ac:dyDescent="0.25"/>
    <row r="387" ht="13.2" x14ac:dyDescent="0.25"/>
    <row r="388" ht="13.2" x14ac:dyDescent="0.25"/>
    <row r="389" ht="13.2" x14ac:dyDescent="0.25"/>
    <row r="390" ht="13.2" x14ac:dyDescent="0.25"/>
    <row r="391" ht="13.2" x14ac:dyDescent="0.25"/>
    <row r="392" ht="13.2" x14ac:dyDescent="0.25"/>
    <row r="393" ht="13.2" x14ac:dyDescent="0.25"/>
    <row r="394" ht="13.2" x14ac:dyDescent="0.25"/>
    <row r="395" ht="13.2" x14ac:dyDescent="0.25"/>
    <row r="396" ht="13.2" x14ac:dyDescent="0.25"/>
    <row r="397" ht="13.2" x14ac:dyDescent="0.25"/>
    <row r="398" ht="13.2" x14ac:dyDescent="0.25"/>
    <row r="399" ht="13.2" x14ac:dyDescent="0.25"/>
    <row r="400" ht="13.2" x14ac:dyDescent="0.25"/>
    <row r="401" ht="13.2" x14ac:dyDescent="0.25"/>
    <row r="402" ht="13.2" x14ac:dyDescent="0.25"/>
    <row r="403" ht="13.2" x14ac:dyDescent="0.25"/>
    <row r="404" ht="13.2" x14ac:dyDescent="0.25"/>
    <row r="405" ht="13.2" x14ac:dyDescent="0.25"/>
    <row r="406" ht="13.2" x14ac:dyDescent="0.25"/>
    <row r="407" ht="13.2" x14ac:dyDescent="0.25"/>
    <row r="408" ht="13.2" x14ac:dyDescent="0.25"/>
    <row r="409" ht="13.2" x14ac:dyDescent="0.25"/>
    <row r="410" ht="13.2" x14ac:dyDescent="0.25"/>
    <row r="411" ht="13.2" x14ac:dyDescent="0.25"/>
    <row r="412" ht="13.2" x14ac:dyDescent="0.25"/>
    <row r="413" ht="13.2" x14ac:dyDescent="0.25"/>
    <row r="414" ht="13.2" x14ac:dyDescent="0.25"/>
    <row r="415" ht="13.2" x14ac:dyDescent="0.25"/>
    <row r="416" ht="13.2" x14ac:dyDescent="0.25"/>
    <row r="417" ht="13.2" x14ac:dyDescent="0.25"/>
    <row r="418" ht="13.2" x14ac:dyDescent="0.25"/>
    <row r="419" ht="13.2" x14ac:dyDescent="0.25"/>
    <row r="420" ht="13.2" x14ac:dyDescent="0.25"/>
    <row r="421" ht="13.2" x14ac:dyDescent="0.25"/>
    <row r="422" ht="13.2" x14ac:dyDescent="0.25"/>
    <row r="423" ht="13.2" x14ac:dyDescent="0.25"/>
    <row r="424" ht="13.2" x14ac:dyDescent="0.25"/>
    <row r="425" ht="13.2" x14ac:dyDescent="0.25"/>
    <row r="426" ht="13.2" x14ac:dyDescent="0.25"/>
    <row r="427" ht="13.2" x14ac:dyDescent="0.25"/>
    <row r="428" ht="13.2" x14ac:dyDescent="0.25"/>
    <row r="429" ht="13.2" x14ac:dyDescent="0.25"/>
    <row r="430" ht="13.2" x14ac:dyDescent="0.25"/>
    <row r="431" ht="13.2" x14ac:dyDescent="0.25"/>
    <row r="432" ht="13.2" x14ac:dyDescent="0.25"/>
    <row r="433" ht="13.2" x14ac:dyDescent="0.25"/>
    <row r="434" ht="13.2" x14ac:dyDescent="0.25"/>
    <row r="435" ht="13.2" x14ac:dyDescent="0.25"/>
    <row r="436" ht="13.2" x14ac:dyDescent="0.25"/>
    <row r="437" ht="13.2" x14ac:dyDescent="0.25"/>
    <row r="438" ht="13.2" x14ac:dyDescent="0.25"/>
    <row r="439" ht="13.2" x14ac:dyDescent="0.25"/>
    <row r="440" ht="13.2" x14ac:dyDescent="0.25"/>
    <row r="441" ht="13.2" x14ac:dyDescent="0.25"/>
    <row r="442" ht="13.2" x14ac:dyDescent="0.25"/>
    <row r="443" ht="13.2" x14ac:dyDescent="0.25"/>
    <row r="444" ht="13.2" x14ac:dyDescent="0.25"/>
    <row r="445" ht="13.2" x14ac:dyDescent="0.25"/>
    <row r="446" ht="13.2" x14ac:dyDescent="0.25"/>
    <row r="447" ht="13.2" x14ac:dyDescent="0.25"/>
    <row r="448" ht="13.2" x14ac:dyDescent="0.25"/>
    <row r="449" ht="13.2" x14ac:dyDescent="0.25"/>
    <row r="450" ht="13.2" x14ac:dyDescent="0.25"/>
    <row r="451" ht="13.2" x14ac:dyDescent="0.25"/>
    <row r="452" ht="13.2" x14ac:dyDescent="0.25"/>
    <row r="453" ht="13.2" x14ac:dyDescent="0.25"/>
    <row r="454" ht="13.2" x14ac:dyDescent="0.25"/>
    <row r="455" ht="13.2" x14ac:dyDescent="0.25"/>
    <row r="456" ht="13.2" x14ac:dyDescent="0.25"/>
    <row r="457" ht="13.2" x14ac:dyDescent="0.25"/>
    <row r="458" ht="13.2" x14ac:dyDescent="0.25"/>
    <row r="459" ht="13.2" x14ac:dyDescent="0.25"/>
    <row r="460" ht="13.2" x14ac:dyDescent="0.25"/>
    <row r="461" ht="13.2" x14ac:dyDescent="0.25"/>
    <row r="462" ht="13.2" x14ac:dyDescent="0.25"/>
    <row r="463" ht="13.2" x14ac:dyDescent="0.25"/>
    <row r="464" ht="13.2" x14ac:dyDescent="0.25"/>
    <row r="465" ht="13.2" x14ac:dyDescent="0.25"/>
    <row r="466" ht="13.2" x14ac:dyDescent="0.25"/>
    <row r="467" ht="13.2" x14ac:dyDescent="0.25"/>
    <row r="468" ht="13.2" x14ac:dyDescent="0.25"/>
    <row r="469" ht="13.2" x14ac:dyDescent="0.25"/>
    <row r="470" ht="13.2" x14ac:dyDescent="0.25"/>
    <row r="471" ht="13.2" x14ac:dyDescent="0.25"/>
    <row r="472" ht="13.2" x14ac:dyDescent="0.25"/>
    <row r="473" ht="13.2" x14ac:dyDescent="0.25"/>
    <row r="474" ht="13.2" x14ac:dyDescent="0.25"/>
    <row r="475" ht="13.2" x14ac:dyDescent="0.25"/>
    <row r="476" ht="13.2" x14ac:dyDescent="0.25"/>
    <row r="477" ht="13.2" x14ac:dyDescent="0.25"/>
    <row r="478" ht="13.2" x14ac:dyDescent="0.25"/>
    <row r="479" ht="13.2" x14ac:dyDescent="0.25"/>
    <row r="480" ht="13.2" x14ac:dyDescent="0.25"/>
    <row r="481" ht="13.2" x14ac:dyDescent="0.25"/>
    <row r="482" ht="13.2" x14ac:dyDescent="0.25"/>
    <row r="483" ht="13.2" x14ac:dyDescent="0.25"/>
    <row r="484" ht="13.2" x14ac:dyDescent="0.25"/>
    <row r="485" ht="13.2" x14ac:dyDescent="0.25"/>
    <row r="486" ht="13.2" x14ac:dyDescent="0.25"/>
    <row r="487" ht="13.2" x14ac:dyDescent="0.25"/>
    <row r="488" ht="13.2" x14ac:dyDescent="0.25"/>
    <row r="489" ht="13.2" x14ac:dyDescent="0.25"/>
    <row r="490" ht="13.2" x14ac:dyDescent="0.25"/>
    <row r="491" ht="13.2" x14ac:dyDescent="0.25"/>
    <row r="492" ht="13.2" x14ac:dyDescent="0.25"/>
    <row r="493" ht="13.2" x14ac:dyDescent="0.25"/>
    <row r="494" ht="13.2" x14ac:dyDescent="0.25"/>
    <row r="495" ht="13.2" x14ac:dyDescent="0.25"/>
    <row r="496" ht="13.2" x14ac:dyDescent="0.25"/>
    <row r="497" ht="13.2" x14ac:dyDescent="0.25"/>
    <row r="498" ht="13.2" x14ac:dyDescent="0.25"/>
    <row r="499" ht="13.2" x14ac:dyDescent="0.25"/>
    <row r="500" ht="13.2" x14ac:dyDescent="0.25"/>
    <row r="501" ht="13.2" x14ac:dyDescent="0.25"/>
    <row r="502" ht="13.2" x14ac:dyDescent="0.25"/>
    <row r="503" ht="13.2" x14ac:dyDescent="0.25"/>
    <row r="504" ht="13.2" x14ac:dyDescent="0.25"/>
    <row r="505" ht="13.2" x14ac:dyDescent="0.25"/>
    <row r="506" ht="13.2" x14ac:dyDescent="0.25"/>
    <row r="507" ht="13.2" x14ac:dyDescent="0.25"/>
    <row r="508" ht="13.2" x14ac:dyDescent="0.25"/>
    <row r="509" ht="13.2" x14ac:dyDescent="0.25"/>
    <row r="510" ht="13.2" x14ac:dyDescent="0.25"/>
    <row r="511" ht="13.2" x14ac:dyDescent="0.25"/>
    <row r="512" ht="13.2" x14ac:dyDescent="0.25"/>
    <row r="513" ht="13.2" x14ac:dyDescent="0.25"/>
    <row r="514" ht="13.2" x14ac:dyDescent="0.25"/>
    <row r="515" ht="13.2" x14ac:dyDescent="0.25"/>
    <row r="516" ht="13.2" x14ac:dyDescent="0.25"/>
    <row r="517" ht="13.2" x14ac:dyDescent="0.25"/>
    <row r="518" ht="13.2" x14ac:dyDescent="0.25"/>
    <row r="519" ht="13.2" x14ac:dyDescent="0.25"/>
    <row r="520" ht="13.2" x14ac:dyDescent="0.25"/>
    <row r="521" ht="13.2" x14ac:dyDescent="0.25"/>
    <row r="522" ht="13.2" x14ac:dyDescent="0.25"/>
    <row r="523" ht="13.2" x14ac:dyDescent="0.25"/>
    <row r="524" ht="13.2" x14ac:dyDescent="0.25"/>
    <row r="525" ht="13.2" x14ac:dyDescent="0.25"/>
    <row r="526" ht="13.2" x14ac:dyDescent="0.25"/>
    <row r="527" ht="13.2" x14ac:dyDescent="0.25"/>
    <row r="528" ht="13.2" x14ac:dyDescent="0.25"/>
    <row r="529" ht="13.2" x14ac:dyDescent="0.25"/>
    <row r="530" ht="13.2" x14ac:dyDescent="0.25"/>
    <row r="531" ht="13.2" x14ac:dyDescent="0.25"/>
    <row r="532" ht="13.2" x14ac:dyDescent="0.25"/>
    <row r="533" ht="13.2" x14ac:dyDescent="0.25"/>
    <row r="534" ht="13.2" x14ac:dyDescent="0.25"/>
    <row r="535" ht="13.2" x14ac:dyDescent="0.25"/>
    <row r="536" ht="13.2" x14ac:dyDescent="0.25"/>
    <row r="537" ht="13.2" x14ac:dyDescent="0.25"/>
    <row r="538" ht="13.2" x14ac:dyDescent="0.25"/>
    <row r="539" ht="13.2" x14ac:dyDescent="0.25"/>
    <row r="540" ht="13.2" x14ac:dyDescent="0.25"/>
    <row r="541" ht="13.2" x14ac:dyDescent="0.25"/>
    <row r="542" ht="13.2" x14ac:dyDescent="0.25"/>
    <row r="543" ht="13.2" x14ac:dyDescent="0.25"/>
    <row r="544" ht="13.2" x14ac:dyDescent="0.25"/>
    <row r="545" ht="13.2" x14ac:dyDescent="0.25"/>
    <row r="546" ht="13.2" x14ac:dyDescent="0.25"/>
    <row r="547" ht="13.2" x14ac:dyDescent="0.25"/>
    <row r="548" ht="13.2" x14ac:dyDescent="0.25"/>
    <row r="549" ht="13.2" x14ac:dyDescent="0.25"/>
    <row r="550" ht="13.2" x14ac:dyDescent="0.25"/>
    <row r="551" ht="13.2" x14ac:dyDescent="0.25"/>
    <row r="552" ht="13.2" x14ac:dyDescent="0.25"/>
    <row r="553" ht="13.2" x14ac:dyDescent="0.25"/>
    <row r="554" ht="13.2" x14ac:dyDescent="0.25"/>
    <row r="555" ht="13.2" x14ac:dyDescent="0.25"/>
    <row r="556" ht="13.2" x14ac:dyDescent="0.25"/>
    <row r="557" ht="13.2" x14ac:dyDescent="0.25"/>
    <row r="558" ht="13.2" x14ac:dyDescent="0.25"/>
    <row r="559" ht="13.2" x14ac:dyDescent="0.25"/>
    <row r="560" ht="13.2" x14ac:dyDescent="0.25"/>
    <row r="561" ht="13.2" x14ac:dyDescent="0.25"/>
    <row r="562" ht="13.2" x14ac:dyDescent="0.25"/>
    <row r="563" ht="13.2" x14ac:dyDescent="0.25"/>
    <row r="564" ht="13.2" x14ac:dyDescent="0.25"/>
    <row r="565" ht="13.2" x14ac:dyDescent="0.25"/>
    <row r="566" ht="13.2" x14ac:dyDescent="0.25"/>
    <row r="567" ht="13.2" x14ac:dyDescent="0.25"/>
    <row r="568" ht="13.2" x14ac:dyDescent="0.25"/>
    <row r="569" ht="13.2" x14ac:dyDescent="0.25"/>
    <row r="570" ht="13.2" x14ac:dyDescent="0.25"/>
    <row r="571" ht="13.2" x14ac:dyDescent="0.25"/>
    <row r="572" ht="13.2" x14ac:dyDescent="0.25"/>
    <row r="573" ht="13.2" x14ac:dyDescent="0.25"/>
    <row r="574" ht="13.2" x14ac:dyDescent="0.25"/>
    <row r="575" ht="13.2" x14ac:dyDescent="0.25"/>
    <row r="576" ht="13.2" x14ac:dyDescent="0.25"/>
    <row r="577" ht="13.2" x14ac:dyDescent="0.25"/>
    <row r="578" ht="13.2" x14ac:dyDescent="0.25"/>
    <row r="579" ht="13.2" x14ac:dyDescent="0.25"/>
    <row r="580" ht="13.2" x14ac:dyDescent="0.25"/>
    <row r="581" ht="13.2" x14ac:dyDescent="0.25"/>
    <row r="582" ht="13.2" x14ac:dyDescent="0.25"/>
    <row r="583" ht="13.2" x14ac:dyDescent="0.25"/>
    <row r="584" ht="13.2" x14ac:dyDescent="0.25"/>
    <row r="585" ht="13.2" x14ac:dyDescent="0.25"/>
    <row r="586" ht="13.2" x14ac:dyDescent="0.25"/>
    <row r="587" ht="13.2" x14ac:dyDescent="0.25"/>
    <row r="588" ht="13.2" x14ac:dyDescent="0.25"/>
    <row r="589" ht="13.2" x14ac:dyDescent="0.25"/>
    <row r="590" ht="13.2" x14ac:dyDescent="0.25"/>
    <row r="591" ht="13.2" x14ac:dyDescent="0.25"/>
    <row r="592" ht="13.2" x14ac:dyDescent="0.25"/>
    <row r="593" ht="13.2" x14ac:dyDescent="0.25"/>
    <row r="594" ht="13.2" x14ac:dyDescent="0.25"/>
    <row r="595" ht="13.2" x14ac:dyDescent="0.25"/>
    <row r="596" ht="13.2" x14ac:dyDescent="0.25"/>
    <row r="597" ht="13.2" x14ac:dyDescent="0.25"/>
    <row r="598" ht="13.2" x14ac:dyDescent="0.25"/>
    <row r="599" ht="13.2" x14ac:dyDescent="0.25"/>
    <row r="600" ht="13.2" x14ac:dyDescent="0.25"/>
    <row r="601" ht="13.2" x14ac:dyDescent="0.25"/>
    <row r="602" ht="13.2" x14ac:dyDescent="0.25"/>
    <row r="603" ht="13.2" x14ac:dyDescent="0.25"/>
    <row r="604" ht="13.2" x14ac:dyDescent="0.25"/>
    <row r="605" ht="13.2" x14ac:dyDescent="0.25"/>
    <row r="606" ht="13.2" x14ac:dyDescent="0.25"/>
    <row r="607" ht="13.2" x14ac:dyDescent="0.25"/>
    <row r="608" ht="13.2" x14ac:dyDescent="0.25"/>
    <row r="609" ht="13.2" x14ac:dyDescent="0.25"/>
    <row r="610" ht="13.2" x14ac:dyDescent="0.25"/>
    <row r="611" ht="13.2" x14ac:dyDescent="0.25"/>
    <row r="612" ht="13.2" x14ac:dyDescent="0.25"/>
    <row r="613" ht="13.2" x14ac:dyDescent="0.25"/>
    <row r="614" ht="13.2" x14ac:dyDescent="0.25"/>
    <row r="615" ht="13.2" x14ac:dyDescent="0.25"/>
    <row r="616" ht="13.2" x14ac:dyDescent="0.25"/>
    <row r="617" ht="13.2" x14ac:dyDescent="0.25"/>
    <row r="618" ht="13.2" x14ac:dyDescent="0.25"/>
    <row r="619" ht="13.2" x14ac:dyDescent="0.25"/>
    <row r="620" ht="13.2" x14ac:dyDescent="0.25"/>
    <row r="621" ht="13.2" x14ac:dyDescent="0.25"/>
    <row r="622" ht="13.2" x14ac:dyDescent="0.25"/>
    <row r="623" ht="13.2" x14ac:dyDescent="0.25"/>
    <row r="624" ht="13.2" x14ac:dyDescent="0.25"/>
    <row r="625" ht="13.2" x14ac:dyDescent="0.25"/>
    <row r="626" ht="13.2" x14ac:dyDescent="0.25"/>
    <row r="627" ht="13.2" x14ac:dyDescent="0.25"/>
    <row r="628" ht="13.2" x14ac:dyDescent="0.25"/>
    <row r="629" ht="13.2" x14ac:dyDescent="0.25"/>
    <row r="630" ht="13.2" x14ac:dyDescent="0.25"/>
    <row r="631" ht="13.2" x14ac:dyDescent="0.25"/>
    <row r="632" ht="13.2" x14ac:dyDescent="0.25"/>
    <row r="633" ht="13.2" x14ac:dyDescent="0.25"/>
    <row r="634" ht="13.2" x14ac:dyDescent="0.25"/>
    <row r="635" ht="13.2" x14ac:dyDescent="0.25"/>
    <row r="636" ht="13.2" x14ac:dyDescent="0.25"/>
    <row r="637" ht="13.2" x14ac:dyDescent="0.25"/>
    <row r="638" ht="13.2" x14ac:dyDescent="0.25"/>
    <row r="639" ht="13.2" x14ac:dyDescent="0.25"/>
    <row r="640" ht="13.2" x14ac:dyDescent="0.25"/>
    <row r="641" ht="13.2" x14ac:dyDescent="0.25"/>
    <row r="642" ht="13.2" x14ac:dyDescent="0.25"/>
    <row r="643" ht="13.2" x14ac:dyDescent="0.25"/>
    <row r="644" ht="13.2" x14ac:dyDescent="0.25"/>
    <row r="645" ht="13.2" x14ac:dyDescent="0.25"/>
    <row r="646" ht="13.2" x14ac:dyDescent="0.25"/>
    <row r="647" ht="13.2" x14ac:dyDescent="0.25"/>
    <row r="648" ht="13.2" x14ac:dyDescent="0.25"/>
    <row r="649" ht="13.2" x14ac:dyDescent="0.25"/>
    <row r="650" ht="13.2" x14ac:dyDescent="0.25"/>
    <row r="651" ht="13.2" x14ac:dyDescent="0.25"/>
    <row r="652" ht="13.2" x14ac:dyDescent="0.25"/>
    <row r="653" ht="13.2" x14ac:dyDescent="0.25"/>
    <row r="654" ht="13.2" x14ac:dyDescent="0.25"/>
    <row r="655" ht="13.2" x14ac:dyDescent="0.25"/>
    <row r="656" ht="13.2" x14ac:dyDescent="0.25"/>
    <row r="657" ht="13.2" x14ac:dyDescent="0.25"/>
    <row r="658" ht="13.2" x14ac:dyDescent="0.25"/>
    <row r="659" ht="13.2" x14ac:dyDescent="0.25"/>
    <row r="660" ht="13.2" x14ac:dyDescent="0.25"/>
    <row r="661" ht="13.2" x14ac:dyDescent="0.25"/>
    <row r="662" ht="13.2" x14ac:dyDescent="0.25"/>
    <row r="663" ht="13.2" x14ac:dyDescent="0.25"/>
    <row r="664" ht="13.2" x14ac:dyDescent="0.25"/>
    <row r="665" ht="13.2" x14ac:dyDescent="0.25"/>
    <row r="666" ht="13.2" x14ac:dyDescent="0.25"/>
    <row r="667" ht="13.2" x14ac:dyDescent="0.25"/>
    <row r="668" ht="13.2" x14ac:dyDescent="0.25"/>
    <row r="669" ht="13.2" x14ac:dyDescent="0.25"/>
    <row r="670" ht="13.2" x14ac:dyDescent="0.25"/>
    <row r="671" ht="13.2" x14ac:dyDescent="0.25"/>
    <row r="672" ht="13.2" x14ac:dyDescent="0.25"/>
    <row r="673" ht="13.2" x14ac:dyDescent="0.25"/>
    <row r="674" ht="13.2" x14ac:dyDescent="0.25"/>
    <row r="675" ht="13.2" x14ac:dyDescent="0.25"/>
    <row r="676" ht="13.2" x14ac:dyDescent="0.25"/>
    <row r="677" ht="13.2" x14ac:dyDescent="0.25"/>
    <row r="678" ht="13.2" x14ac:dyDescent="0.25"/>
    <row r="679" ht="13.2" x14ac:dyDescent="0.25"/>
    <row r="680" ht="13.2" x14ac:dyDescent="0.25"/>
    <row r="681" ht="13.2" x14ac:dyDescent="0.25"/>
    <row r="682" ht="13.2" x14ac:dyDescent="0.25"/>
    <row r="683" ht="13.2" x14ac:dyDescent="0.25"/>
    <row r="684" ht="13.2" x14ac:dyDescent="0.25"/>
    <row r="685" ht="13.2" x14ac:dyDescent="0.25"/>
    <row r="686" ht="13.2" x14ac:dyDescent="0.25"/>
    <row r="687" ht="13.2" x14ac:dyDescent="0.25"/>
    <row r="688" ht="13.2" x14ac:dyDescent="0.25"/>
    <row r="689" ht="13.2" x14ac:dyDescent="0.25"/>
    <row r="690" ht="13.2" x14ac:dyDescent="0.25"/>
    <row r="691" ht="13.2" x14ac:dyDescent="0.25"/>
    <row r="692" ht="13.2" x14ac:dyDescent="0.25"/>
    <row r="693" ht="13.2" x14ac:dyDescent="0.25"/>
    <row r="694" ht="13.2" x14ac:dyDescent="0.25"/>
    <row r="695" ht="13.2" x14ac:dyDescent="0.25"/>
    <row r="696" ht="13.2" x14ac:dyDescent="0.25"/>
    <row r="697" ht="13.2" x14ac:dyDescent="0.25"/>
    <row r="698" ht="13.2" x14ac:dyDescent="0.25"/>
    <row r="699" ht="13.2" x14ac:dyDescent="0.25"/>
    <row r="700" ht="13.2" x14ac:dyDescent="0.25"/>
    <row r="701" ht="13.2" x14ac:dyDescent="0.25"/>
    <row r="702" ht="13.2" x14ac:dyDescent="0.25"/>
    <row r="703" ht="13.2" x14ac:dyDescent="0.25"/>
    <row r="704" ht="13.2" x14ac:dyDescent="0.25"/>
    <row r="705" ht="13.2" x14ac:dyDescent="0.25"/>
    <row r="706" ht="13.2" x14ac:dyDescent="0.25"/>
    <row r="707" ht="13.2" x14ac:dyDescent="0.25"/>
    <row r="708" ht="13.2" x14ac:dyDescent="0.25"/>
    <row r="709" ht="13.2" x14ac:dyDescent="0.25"/>
    <row r="710" ht="13.2" x14ac:dyDescent="0.25"/>
    <row r="711" ht="13.2" x14ac:dyDescent="0.25"/>
    <row r="712" ht="13.2" x14ac:dyDescent="0.25"/>
    <row r="713" ht="13.2" x14ac:dyDescent="0.25"/>
    <row r="714" ht="13.2" x14ac:dyDescent="0.25"/>
    <row r="715" ht="13.2" x14ac:dyDescent="0.25"/>
    <row r="716" ht="13.2" x14ac:dyDescent="0.25"/>
    <row r="717" ht="13.2" x14ac:dyDescent="0.25"/>
    <row r="718" ht="13.2" x14ac:dyDescent="0.25"/>
    <row r="719" ht="13.2" x14ac:dyDescent="0.25"/>
    <row r="720" ht="13.2" x14ac:dyDescent="0.25"/>
    <row r="721" ht="13.2" x14ac:dyDescent="0.25"/>
    <row r="722" ht="13.2" x14ac:dyDescent="0.25"/>
    <row r="723" ht="13.2" x14ac:dyDescent="0.25"/>
    <row r="724" ht="13.2" x14ac:dyDescent="0.25"/>
    <row r="725" ht="13.2" x14ac:dyDescent="0.25"/>
    <row r="726" ht="13.2" x14ac:dyDescent="0.25"/>
    <row r="727" ht="13.2" x14ac:dyDescent="0.25"/>
    <row r="728" ht="13.2" x14ac:dyDescent="0.25"/>
    <row r="729" ht="13.2" x14ac:dyDescent="0.25"/>
    <row r="730" ht="13.2" x14ac:dyDescent="0.25"/>
    <row r="731" ht="13.2" x14ac:dyDescent="0.25"/>
    <row r="732" ht="13.2" x14ac:dyDescent="0.25"/>
    <row r="733" ht="13.2" x14ac:dyDescent="0.25"/>
    <row r="734" ht="13.2" x14ac:dyDescent="0.25"/>
    <row r="735" ht="13.2" x14ac:dyDescent="0.25"/>
    <row r="736" ht="13.2" x14ac:dyDescent="0.25"/>
    <row r="737" ht="13.2" x14ac:dyDescent="0.25"/>
    <row r="738" ht="13.2" x14ac:dyDescent="0.25"/>
    <row r="739" ht="13.2" x14ac:dyDescent="0.25"/>
    <row r="740" ht="13.2" x14ac:dyDescent="0.25"/>
    <row r="741" ht="13.2" x14ac:dyDescent="0.25"/>
    <row r="742" ht="13.2" x14ac:dyDescent="0.25"/>
    <row r="743" ht="13.2" x14ac:dyDescent="0.25"/>
    <row r="744" ht="13.2" x14ac:dyDescent="0.25"/>
    <row r="745" ht="13.2" x14ac:dyDescent="0.25"/>
    <row r="746" ht="13.2" x14ac:dyDescent="0.25"/>
    <row r="747" ht="13.2" x14ac:dyDescent="0.25"/>
    <row r="748" ht="13.2" x14ac:dyDescent="0.25"/>
    <row r="749" ht="13.2" x14ac:dyDescent="0.25"/>
    <row r="750" ht="13.2" x14ac:dyDescent="0.25"/>
    <row r="751" ht="13.2" x14ac:dyDescent="0.25"/>
    <row r="752" ht="13.2" x14ac:dyDescent="0.25"/>
    <row r="753" ht="13.2" x14ac:dyDescent="0.25"/>
    <row r="754" ht="13.2" x14ac:dyDescent="0.25"/>
    <row r="755" ht="13.2" x14ac:dyDescent="0.25"/>
    <row r="756" ht="13.2" x14ac:dyDescent="0.25"/>
    <row r="757" ht="13.2" x14ac:dyDescent="0.25"/>
    <row r="758" ht="13.2" x14ac:dyDescent="0.25"/>
    <row r="759" ht="13.2" x14ac:dyDescent="0.25"/>
    <row r="760" ht="13.2" x14ac:dyDescent="0.25"/>
    <row r="761" ht="13.2" x14ac:dyDescent="0.25"/>
    <row r="762" ht="13.2" x14ac:dyDescent="0.25"/>
    <row r="763" ht="13.2" x14ac:dyDescent="0.25"/>
    <row r="764" ht="13.2" x14ac:dyDescent="0.25"/>
    <row r="765" ht="13.2" x14ac:dyDescent="0.25"/>
    <row r="766" ht="13.2" x14ac:dyDescent="0.25"/>
    <row r="767" ht="13.2" x14ac:dyDescent="0.25"/>
    <row r="768" ht="13.2" x14ac:dyDescent="0.25"/>
    <row r="769" ht="13.2" x14ac:dyDescent="0.25"/>
    <row r="770" ht="13.2" x14ac:dyDescent="0.25"/>
    <row r="771" ht="13.2" x14ac:dyDescent="0.25"/>
    <row r="772" ht="13.2" x14ac:dyDescent="0.25"/>
    <row r="773" ht="13.2" x14ac:dyDescent="0.25"/>
    <row r="774" ht="13.2" x14ac:dyDescent="0.25"/>
    <row r="775" ht="13.2" x14ac:dyDescent="0.25"/>
    <row r="776" ht="13.2" x14ac:dyDescent="0.25"/>
    <row r="777" ht="13.2" x14ac:dyDescent="0.25"/>
    <row r="778" ht="13.2" x14ac:dyDescent="0.25"/>
    <row r="779" ht="13.2" x14ac:dyDescent="0.25"/>
    <row r="780" ht="13.2" x14ac:dyDescent="0.25"/>
    <row r="781" ht="13.2" x14ac:dyDescent="0.25"/>
    <row r="782" ht="13.2" x14ac:dyDescent="0.25"/>
    <row r="783" ht="13.2" x14ac:dyDescent="0.25"/>
    <row r="784" ht="13.2" x14ac:dyDescent="0.25"/>
    <row r="785" ht="13.2" x14ac:dyDescent="0.25"/>
    <row r="786" ht="13.2" x14ac:dyDescent="0.25"/>
    <row r="787" ht="13.2" x14ac:dyDescent="0.25"/>
    <row r="788" ht="13.2" x14ac:dyDescent="0.25"/>
    <row r="789" ht="13.2" x14ac:dyDescent="0.25"/>
    <row r="790" ht="13.2" x14ac:dyDescent="0.25"/>
    <row r="791" ht="13.2" x14ac:dyDescent="0.25"/>
    <row r="792" ht="13.2" x14ac:dyDescent="0.25"/>
    <row r="793" ht="13.2" x14ac:dyDescent="0.25"/>
    <row r="794" ht="13.2" x14ac:dyDescent="0.25"/>
    <row r="795" ht="13.2" x14ac:dyDescent="0.25"/>
    <row r="796" ht="13.2" x14ac:dyDescent="0.25"/>
    <row r="797" ht="13.2" x14ac:dyDescent="0.25"/>
    <row r="798" ht="13.2" x14ac:dyDescent="0.25"/>
    <row r="799" ht="13.2" x14ac:dyDescent="0.25"/>
    <row r="800" ht="13.2" x14ac:dyDescent="0.25"/>
    <row r="801" ht="13.2" x14ac:dyDescent="0.25"/>
    <row r="802" ht="13.2" x14ac:dyDescent="0.25"/>
    <row r="803" ht="13.2" x14ac:dyDescent="0.25"/>
    <row r="804" ht="13.2" x14ac:dyDescent="0.25"/>
    <row r="805" ht="13.2" x14ac:dyDescent="0.25"/>
    <row r="806" ht="13.2" x14ac:dyDescent="0.25"/>
    <row r="807" ht="13.2" x14ac:dyDescent="0.25"/>
    <row r="808" ht="13.2" x14ac:dyDescent="0.25"/>
    <row r="809" ht="13.2" x14ac:dyDescent="0.25"/>
    <row r="810" ht="13.2" x14ac:dyDescent="0.25"/>
    <row r="811" ht="13.2" x14ac:dyDescent="0.25"/>
    <row r="812" ht="13.2" x14ac:dyDescent="0.25"/>
    <row r="813" ht="13.2" x14ac:dyDescent="0.25"/>
    <row r="814" ht="13.2" x14ac:dyDescent="0.25"/>
    <row r="815" ht="13.2" x14ac:dyDescent="0.25"/>
    <row r="816" ht="13.2" x14ac:dyDescent="0.25"/>
    <row r="817" ht="13.2" x14ac:dyDescent="0.25"/>
    <row r="818" ht="13.2" x14ac:dyDescent="0.25"/>
    <row r="819" ht="13.2" x14ac:dyDescent="0.25"/>
    <row r="820" ht="13.2" x14ac:dyDescent="0.25"/>
    <row r="821" ht="13.2" x14ac:dyDescent="0.25"/>
    <row r="822" ht="13.2" x14ac:dyDescent="0.25"/>
    <row r="823" ht="13.2" x14ac:dyDescent="0.25"/>
    <row r="824" ht="13.2" x14ac:dyDescent="0.25"/>
    <row r="825" ht="13.2" x14ac:dyDescent="0.25"/>
    <row r="826" ht="13.2" x14ac:dyDescent="0.25"/>
    <row r="827" ht="13.2" x14ac:dyDescent="0.25"/>
    <row r="828" ht="13.2" x14ac:dyDescent="0.25"/>
    <row r="829" ht="13.2" x14ac:dyDescent="0.25"/>
    <row r="830" ht="13.2" x14ac:dyDescent="0.25"/>
    <row r="831" ht="13.2" x14ac:dyDescent="0.25"/>
    <row r="832" ht="13.2" x14ac:dyDescent="0.25"/>
    <row r="833" ht="13.2" x14ac:dyDescent="0.25"/>
    <row r="834" ht="13.2" x14ac:dyDescent="0.25"/>
    <row r="835" ht="13.2" x14ac:dyDescent="0.25"/>
    <row r="836" ht="13.2" x14ac:dyDescent="0.25"/>
    <row r="837" ht="13.2" x14ac:dyDescent="0.25"/>
    <row r="838" ht="13.2" x14ac:dyDescent="0.25"/>
    <row r="839" ht="13.2" x14ac:dyDescent="0.25"/>
    <row r="840" ht="13.2" x14ac:dyDescent="0.25"/>
    <row r="841" ht="13.2" x14ac:dyDescent="0.25"/>
    <row r="842" ht="13.2" x14ac:dyDescent="0.25"/>
    <row r="843" ht="13.2" x14ac:dyDescent="0.25"/>
    <row r="844" ht="13.2" x14ac:dyDescent="0.25"/>
    <row r="845" ht="13.2" x14ac:dyDescent="0.25"/>
    <row r="846" ht="13.2" x14ac:dyDescent="0.25"/>
    <row r="847" ht="13.2" x14ac:dyDescent="0.25"/>
    <row r="848" ht="13.2" x14ac:dyDescent="0.25"/>
    <row r="849" ht="13.2" x14ac:dyDescent="0.25"/>
    <row r="850" ht="13.2" x14ac:dyDescent="0.25"/>
    <row r="851" ht="13.2" x14ac:dyDescent="0.25"/>
    <row r="852" ht="13.2" x14ac:dyDescent="0.25"/>
    <row r="853" ht="13.2" x14ac:dyDescent="0.25"/>
    <row r="854" ht="13.2" x14ac:dyDescent="0.25"/>
    <row r="855" ht="13.2" x14ac:dyDescent="0.25"/>
    <row r="856" ht="13.2" x14ac:dyDescent="0.25"/>
    <row r="857" ht="13.2" x14ac:dyDescent="0.25"/>
    <row r="858" ht="13.2" x14ac:dyDescent="0.25"/>
    <row r="859" ht="13.2" x14ac:dyDescent="0.25"/>
    <row r="860" ht="13.2" x14ac:dyDescent="0.25"/>
    <row r="861" ht="13.2" x14ac:dyDescent="0.25"/>
    <row r="862" ht="13.2" x14ac:dyDescent="0.25"/>
    <row r="863" ht="13.2" x14ac:dyDescent="0.25"/>
    <row r="864" ht="13.2" x14ac:dyDescent="0.25"/>
    <row r="865" ht="13.2" x14ac:dyDescent="0.25"/>
    <row r="866" ht="13.2" x14ac:dyDescent="0.25"/>
    <row r="867" ht="13.2" x14ac:dyDescent="0.25"/>
    <row r="868" ht="13.2" x14ac:dyDescent="0.25"/>
    <row r="869" ht="13.2" x14ac:dyDescent="0.25"/>
    <row r="870" ht="13.2" x14ac:dyDescent="0.25"/>
    <row r="871" ht="13.2" x14ac:dyDescent="0.25"/>
    <row r="872" ht="13.2" x14ac:dyDescent="0.25"/>
    <row r="873" ht="13.2" x14ac:dyDescent="0.25"/>
    <row r="874" ht="13.2" x14ac:dyDescent="0.25"/>
    <row r="875" ht="13.2" x14ac:dyDescent="0.25"/>
    <row r="876" ht="13.2" x14ac:dyDescent="0.25"/>
    <row r="877" ht="13.2" x14ac:dyDescent="0.25"/>
    <row r="878" ht="13.2" x14ac:dyDescent="0.25"/>
    <row r="879" ht="13.2" x14ac:dyDescent="0.25"/>
    <row r="880" ht="13.2" x14ac:dyDescent="0.25"/>
    <row r="881" ht="13.2" x14ac:dyDescent="0.25"/>
    <row r="882" ht="13.2" x14ac:dyDescent="0.25"/>
    <row r="883" ht="13.2" x14ac:dyDescent="0.25"/>
    <row r="884" ht="13.2" x14ac:dyDescent="0.25"/>
    <row r="885" ht="13.2" x14ac:dyDescent="0.25"/>
    <row r="886" ht="13.2" x14ac:dyDescent="0.25"/>
    <row r="887" ht="13.2" x14ac:dyDescent="0.25"/>
    <row r="888" ht="13.2" x14ac:dyDescent="0.25"/>
    <row r="889" ht="13.2" x14ac:dyDescent="0.25"/>
    <row r="890" ht="13.2" x14ac:dyDescent="0.25"/>
    <row r="891" ht="13.2" x14ac:dyDescent="0.25"/>
    <row r="892" ht="13.2" x14ac:dyDescent="0.25"/>
    <row r="893" ht="13.2" x14ac:dyDescent="0.25"/>
    <row r="894" ht="13.2" x14ac:dyDescent="0.25"/>
    <row r="895" ht="13.2" x14ac:dyDescent="0.25"/>
    <row r="896" ht="13.2" x14ac:dyDescent="0.25"/>
    <row r="897" ht="13.2" x14ac:dyDescent="0.25"/>
    <row r="898" ht="13.2" x14ac:dyDescent="0.25"/>
    <row r="899" ht="13.2" x14ac:dyDescent="0.25"/>
    <row r="900" ht="13.2" x14ac:dyDescent="0.25"/>
    <row r="901" ht="13.2" x14ac:dyDescent="0.25"/>
    <row r="902" ht="13.2" x14ac:dyDescent="0.25"/>
    <row r="903" ht="13.2" x14ac:dyDescent="0.25"/>
    <row r="904" ht="13.2" x14ac:dyDescent="0.25"/>
    <row r="905" ht="13.2" x14ac:dyDescent="0.25"/>
    <row r="906" ht="13.2" x14ac:dyDescent="0.25"/>
    <row r="907" ht="13.2" x14ac:dyDescent="0.25"/>
    <row r="908" ht="13.2" x14ac:dyDescent="0.25"/>
    <row r="909" ht="13.2" x14ac:dyDescent="0.25"/>
    <row r="910" ht="13.2" x14ac:dyDescent="0.25"/>
    <row r="911" ht="13.2" x14ac:dyDescent="0.25"/>
    <row r="912" ht="13.2" x14ac:dyDescent="0.25"/>
    <row r="913" ht="13.2" x14ac:dyDescent="0.25"/>
    <row r="914" ht="13.2" x14ac:dyDescent="0.25"/>
    <row r="915" ht="13.2" x14ac:dyDescent="0.25"/>
    <row r="916" ht="13.2" x14ac:dyDescent="0.25"/>
    <row r="917" ht="13.2" x14ac:dyDescent="0.25"/>
    <row r="918" ht="13.2" x14ac:dyDescent="0.25"/>
    <row r="919" ht="13.2" x14ac:dyDescent="0.25"/>
    <row r="920" ht="13.2" x14ac:dyDescent="0.25"/>
    <row r="921" ht="13.2" x14ac:dyDescent="0.25"/>
    <row r="922" ht="13.2" x14ac:dyDescent="0.25"/>
    <row r="923" ht="13.2" x14ac:dyDescent="0.25"/>
    <row r="924" ht="13.2" x14ac:dyDescent="0.25"/>
    <row r="925" ht="13.2" x14ac:dyDescent="0.25"/>
    <row r="926" ht="13.2" x14ac:dyDescent="0.25"/>
    <row r="927" ht="13.2" x14ac:dyDescent="0.25"/>
    <row r="928" ht="13.2" x14ac:dyDescent="0.25"/>
    <row r="929" ht="13.2" x14ac:dyDescent="0.25"/>
    <row r="930" ht="13.2" x14ac:dyDescent="0.25"/>
    <row r="931" ht="13.2" x14ac:dyDescent="0.25"/>
    <row r="932" ht="13.2" x14ac:dyDescent="0.25"/>
    <row r="933" ht="13.2" x14ac:dyDescent="0.25"/>
    <row r="934" ht="13.2" x14ac:dyDescent="0.25"/>
    <row r="935" ht="13.2" x14ac:dyDescent="0.25"/>
    <row r="936" ht="13.2" x14ac:dyDescent="0.25"/>
    <row r="937" ht="13.2" x14ac:dyDescent="0.25"/>
    <row r="938" ht="13.2" x14ac:dyDescent="0.25"/>
    <row r="939" ht="13.2" x14ac:dyDescent="0.25"/>
    <row r="940" ht="13.2" x14ac:dyDescent="0.25"/>
    <row r="941" ht="13.2" x14ac:dyDescent="0.25"/>
    <row r="942" ht="13.2" x14ac:dyDescent="0.25"/>
    <row r="943" ht="13.2" x14ac:dyDescent="0.25"/>
    <row r="944" ht="13.2" x14ac:dyDescent="0.25"/>
    <row r="945" ht="13.2" x14ac:dyDescent="0.25"/>
    <row r="946" ht="13.2" x14ac:dyDescent="0.25"/>
    <row r="947" ht="13.2" x14ac:dyDescent="0.25"/>
    <row r="948" ht="13.2" x14ac:dyDescent="0.25"/>
    <row r="949" ht="13.2" x14ac:dyDescent="0.25"/>
    <row r="950" ht="13.2" x14ac:dyDescent="0.25"/>
    <row r="951" ht="13.2" x14ac:dyDescent="0.25"/>
    <row r="952" ht="13.2" x14ac:dyDescent="0.25"/>
    <row r="953" ht="13.2" x14ac:dyDescent="0.25"/>
    <row r="954" ht="13.2" x14ac:dyDescent="0.25"/>
    <row r="955" ht="13.2" x14ac:dyDescent="0.25"/>
    <row r="956" ht="13.2" x14ac:dyDescent="0.25"/>
    <row r="957" ht="13.2" x14ac:dyDescent="0.25"/>
    <row r="958" ht="13.2" x14ac:dyDescent="0.25"/>
    <row r="959" ht="13.2" x14ac:dyDescent="0.25"/>
    <row r="960" ht="13.2" x14ac:dyDescent="0.25"/>
    <row r="961" ht="13.2" x14ac:dyDescent="0.25"/>
    <row r="962" ht="13.2" x14ac:dyDescent="0.25"/>
    <row r="963" ht="13.2" x14ac:dyDescent="0.25"/>
    <row r="964" ht="13.2" x14ac:dyDescent="0.25"/>
    <row r="965" ht="13.2" x14ac:dyDescent="0.25"/>
    <row r="966" ht="13.2" x14ac:dyDescent="0.25"/>
    <row r="967" ht="13.2" x14ac:dyDescent="0.25"/>
    <row r="968" ht="13.2" x14ac:dyDescent="0.25"/>
    <row r="969" ht="13.2" x14ac:dyDescent="0.25"/>
    <row r="970" ht="13.2" x14ac:dyDescent="0.25"/>
    <row r="971" ht="13.2" x14ac:dyDescent="0.25"/>
    <row r="972" ht="13.2" x14ac:dyDescent="0.25"/>
    <row r="973" ht="13.2" x14ac:dyDescent="0.25"/>
    <row r="974" ht="13.2" x14ac:dyDescent="0.25"/>
    <row r="975" ht="13.2" x14ac:dyDescent="0.25"/>
    <row r="976" ht="13.2" x14ac:dyDescent="0.25"/>
    <row r="977" ht="13.2" x14ac:dyDescent="0.25"/>
    <row r="978" ht="13.2" x14ac:dyDescent="0.25"/>
    <row r="979" ht="13.2" x14ac:dyDescent="0.25"/>
    <row r="980" ht="13.2" x14ac:dyDescent="0.25"/>
    <row r="981" ht="13.2" x14ac:dyDescent="0.25"/>
    <row r="982" ht="13.2" x14ac:dyDescent="0.25"/>
    <row r="983" ht="13.2" x14ac:dyDescent="0.25"/>
    <row r="984" ht="13.2" x14ac:dyDescent="0.25"/>
    <row r="985" ht="13.2" x14ac:dyDescent="0.25"/>
    <row r="986" ht="13.2" x14ac:dyDescent="0.25"/>
    <row r="987" ht="13.2" x14ac:dyDescent="0.25"/>
    <row r="988" ht="13.2" x14ac:dyDescent="0.25"/>
    <row r="989" ht="13.2" x14ac:dyDescent="0.25"/>
    <row r="990" ht="13.2" x14ac:dyDescent="0.25"/>
    <row r="991" ht="13.2" x14ac:dyDescent="0.25"/>
    <row r="992" ht="13.2" x14ac:dyDescent="0.25"/>
    <row r="993" ht="13.2" x14ac:dyDescent="0.25"/>
    <row r="994" ht="13.2" x14ac:dyDescent="0.25"/>
    <row r="995" ht="13.2" x14ac:dyDescent="0.25"/>
    <row r="996" ht="13.2" x14ac:dyDescent="0.25"/>
    <row r="997" ht="13.2" x14ac:dyDescent="0.25"/>
    <row r="998" ht="13.2" x14ac:dyDescent="0.25"/>
    <row r="999" ht="13.2" x14ac:dyDescent="0.25"/>
    <row r="1000" ht="13.2" x14ac:dyDescent="0.25"/>
    <row r="1001" ht="13.2" x14ac:dyDescent="0.25"/>
    <row r="1002" ht="13.2" x14ac:dyDescent="0.25"/>
    <row r="1003" ht="13.2" x14ac:dyDescent="0.25"/>
    <row r="1004" ht="13.2" x14ac:dyDescent="0.25"/>
    <row r="1005" ht="13.2" x14ac:dyDescent="0.25"/>
    <row r="1006" ht="13.2" x14ac:dyDescent="0.25"/>
    <row r="1007" ht="13.2" x14ac:dyDescent="0.25"/>
    <row r="1008" ht="13.2" x14ac:dyDescent="0.25"/>
    <row r="1009" ht="13.2" x14ac:dyDescent="0.25"/>
    <row r="1010" ht="13.2" x14ac:dyDescent="0.25"/>
    <row r="1011" ht="13.2" x14ac:dyDescent="0.25"/>
    <row r="1012" ht="13.2" x14ac:dyDescent="0.25"/>
    <row r="1013" ht="13.2" x14ac:dyDescent="0.25"/>
    <row r="1014" ht="13.2" x14ac:dyDescent="0.25"/>
    <row r="1015" ht="13.2" x14ac:dyDescent="0.25"/>
    <row r="1016" ht="13.2" x14ac:dyDescent="0.25"/>
    <row r="1017" ht="13.2" x14ac:dyDescent="0.25"/>
    <row r="1018" ht="13.2" x14ac:dyDescent="0.25"/>
    <row r="1019" ht="13.2" x14ac:dyDescent="0.25"/>
    <row r="1020" ht="13.2" x14ac:dyDescent="0.25"/>
    <row r="1021" ht="13.2" x14ac:dyDescent="0.25"/>
    <row r="1022" ht="13.2" x14ac:dyDescent="0.25"/>
    <row r="1023" ht="13.2" x14ac:dyDescent="0.25"/>
    <row r="1024" ht="13.2" x14ac:dyDescent="0.25"/>
    <row r="1025" ht="13.2" x14ac:dyDescent="0.25"/>
    <row r="1026" ht="13.2" x14ac:dyDescent="0.25"/>
    <row r="1027" ht="13.2" x14ac:dyDescent="0.25"/>
    <row r="1028" ht="13.2" x14ac:dyDescent="0.25"/>
    <row r="1029" ht="13.2" x14ac:dyDescent="0.25"/>
    <row r="1030" ht="13.2" x14ac:dyDescent="0.25"/>
    <row r="1031" ht="13.2" x14ac:dyDescent="0.25"/>
    <row r="1032" ht="13.2" x14ac:dyDescent="0.25"/>
    <row r="1033" ht="13.2" x14ac:dyDescent="0.25"/>
    <row r="1034" ht="13.2" x14ac:dyDescent="0.25"/>
    <row r="1035" ht="13.2" x14ac:dyDescent="0.25"/>
    <row r="1036" ht="13.2" x14ac:dyDescent="0.25"/>
    <row r="1037" ht="13.2" x14ac:dyDescent="0.25"/>
    <row r="1038" ht="13.2" x14ac:dyDescent="0.25"/>
    <row r="1039" ht="13.2" x14ac:dyDescent="0.25"/>
    <row r="1040" ht="13.2" x14ac:dyDescent="0.25"/>
    <row r="1041" ht="13.2" x14ac:dyDescent="0.25"/>
    <row r="1042" ht="13.2" x14ac:dyDescent="0.25"/>
    <row r="1043" ht="13.2" x14ac:dyDescent="0.25"/>
    <row r="1044" ht="13.2" x14ac:dyDescent="0.25"/>
    <row r="1045" ht="13.2" x14ac:dyDescent="0.25"/>
    <row r="1046" ht="13.2" x14ac:dyDescent="0.25"/>
    <row r="1047" ht="13.2" x14ac:dyDescent="0.25"/>
    <row r="1048" ht="13.2" x14ac:dyDescent="0.25"/>
    <row r="1049" ht="13.2" x14ac:dyDescent="0.25"/>
    <row r="1050" ht="13.2" x14ac:dyDescent="0.25"/>
    <row r="1051" ht="13.2" x14ac:dyDescent="0.25"/>
    <row r="1052" ht="13.2" x14ac:dyDescent="0.25"/>
    <row r="1053" ht="13.2" x14ac:dyDescent="0.25"/>
    <row r="1054" ht="13.2" x14ac:dyDescent="0.25"/>
    <row r="1055" ht="13.2" x14ac:dyDescent="0.25"/>
    <row r="1056" ht="13.2" x14ac:dyDescent="0.25"/>
    <row r="1057" ht="13.2" x14ac:dyDescent="0.25"/>
    <row r="1058" ht="13.2" x14ac:dyDescent="0.25"/>
    <row r="1059" ht="13.2" x14ac:dyDescent="0.25"/>
    <row r="1060" ht="13.2" x14ac:dyDescent="0.25"/>
    <row r="1061" ht="13.2" x14ac:dyDescent="0.25"/>
    <row r="1062" ht="13.2" x14ac:dyDescent="0.25"/>
    <row r="1063" ht="13.2" x14ac:dyDescent="0.25"/>
    <row r="1064" ht="13.2" x14ac:dyDescent="0.25"/>
    <row r="1065" ht="13.2" x14ac:dyDescent="0.25"/>
    <row r="1066" ht="13.2" x14ac:dyDescent="0.25"/>
    <row r="1067" ht="13.2" x14ac:dyDescent="0.25"/>
    <row r="1068" ht="13.2" x14ac:dyDescent="0.25"/>
    <row r="1069" ht="13.2" x14ac:dyDescent="0.25"/>
    <row r="1070" ht="13.2" x14ac:dyDescent="0.25"/>
    <row r="1071" ht="13.2" x14ac:dyDescent="0.25"/>
    <row r="1072" ht="13.2" x14ac:dyDescent="0.25"/>
    <row r="1073" ht="13.2" x14ac:dyDescent="0.25"/>
    <row r="1074" ht="13.2" x14ac:dyDescent="0.25"/>
    <row r="1075" ht="13.2" x14ac:dyDescent="0.25"/>
    <row r="1076" ht="13.2" x14ac:dyDescent="0.25"/>
    <row r="1077" ht="13.2" x14ac:dyDescent="0.25"/>
    <row r="1078" ht="13.2" x14ac:dyDescent="0.25"/>
    <row r="1079" ht="13.2" x14ac:dyDescent="0.25"/>
    <row r="1080" ht="13.2" x14ac:dyDescent="0.25"/>
    <row r="1081" ht="13.2" x14ac:dyDescent="0.25"/>
    <row r="1082" ht="13.2" x14ac:dyDescent="0.25"/>
    <row r="1083" ht="13.2" x14ac:dyDescent="0.25"/>
    <row r="1084" ht="13.2" x14ac:dyDescent="0.25"/>
    <row r="1085" ht="13.2" x14ac:dyDescent="0.25"/>
    <row r="1086" ht="13.2" x14ac:dyDescent="0.25"/>
    <row r="1087" ht="13.2" x14ac:dyDescent="0.25"/>
    <row r="1088" ht="13.2" x14ac:dyDescent="0.25"/>
    <row r="1089" ht="13.2" x14ac:dyDescent="0.25"/>
    <row r="1090" ht="13.2" x14ac:dyDescent="0.25"/>
    <row r="1091" ht="13.2" x14ac:dyDescent="0.25"/>
    <row r="1092" ht="13.2" x14ac:dyDescent="0.25"/>
    <row r="1093" ht="13.2" x14ac:dyDescent="0.25"/>
    <row r="1094" ht="13.2" x14ac:dyDescent="0.25"/>
    <row r="1095" ht="13.2" x14ac:dyDescent="0.25"/>
    <row r="1096" ht="13.2" x14ac:dyDescent="0.25"/>
    <row r="1097" ht="13.2" x14ac:dyDescent="0.25"/>
    <row r="1098" ht="13.2" x14ac:dyDescent="0.25"/>
    <row r="1099" ht="13.2" x14ac:dyDescent="0.25"/>
    <row r="1100" ht="13.2" x14ac:dyDescent="0.25"/>
    <row r="1101" ht="13.2" x14ac:dyDescent="0.25"/>
    <row r="1102" ht="13.2" x14ac:dyDescent="0.25"/>
    <row r="1103" ht="13.2" x14ac:dyDescent="0.25"/>
    <row r="1104" ht="13.2" x14ac:dyDescent="0.25"/>
    <row r="1105" ht="13.2" x14ac:dyDescent="0.25"/>
    <row r="1106" ht="13.2" x14ac:dyDescent="0.25"/>
    <row r="1107" ht="13.2" x14ac:dyDescent="0.25"/>
    <row r="1108" ht="13.2" x14ac:dyDescent="0.25"/>
    <row r="1109" ht="13.2" x14ac:dyDescent="0.25"/>
    <row r="1110" ht="13.2" x14ac:dyDescent="0.25"/>
    <row r="1111" ht="13.2" x14ac:dyDescent="0.25"/>
    <row r="1112" ht="13.2" x14ac:dyDescent="0.25"/>
    <row r="1113" ht="13.2" x14ac:dyDescent="0.25"/>
    <row r="1114" ht="13.2" x14ac:dyDescent="0.25"/>
    <row r="1115" ht="13.2" x14ac:dyDescent="0.25"/>
    <row r="1116" ht="13.2" x14ac:dyDescent="0.25"/>
    <row r="1117" ht="13.2" x14ac:dyDescent="0.25"/>
    <row r="1118" ht="13.2" x14ac:dyDescent="0.25"/>
    <row r="1119" ht="13.2" x14ac:dyDescent="0.25"/>
    <row r="1120" ht="13.2" x14ac:dyDescent="0.25"/>
    <row r="1121" ht="13.2" x14ac:dyDescent="0.25"/>
    <row r="1122" ht="13.2" x14ac:dyDescent="0.25"/>
    <row r="1123" ht="13.2" x14ac:dyDescent="0.25"/>
    <row r="1124" ht="13.2" x14ac:dyDescent="0.25"/>
    <row r="1125" ht="13.2" x14ac:dyDescent="0.25"/>
    <row r="1126" ht="13.2" x14ac:dyDescent="0.25"/>
    <row r="1127" ht="13.2" x14ac:dyDescent="0.25"/>
    <row r="1128" ht="13.2" x14ac:dyDescent="0.25"/>
    <row r="1129" ht="13.2" x14ac:dyDescent="0.25"/>
    <row r="1130" ht="13.2" x14ac:dyDescent="0.25"/>
    <row r="1131" ht="13.2" x14ac:dyDescent="0.25"/>
    <row r="1132" ht="13.2" x14ac:dyDescent="0.25"/>
    <row r="1133" ht="13.2" x14ac:dyDescent="0.25"/>
    <row r="1134" ht="13.2" x14ac:dyDescent="0.25"/>
    <row r="1135" ht="13.2" x14ac:dyDescent="0.25"/>
    <row r="1136" ht="13.2" x14ac:dyDescent="0.25"/>
    <row r="1137" ht="13.2" x14ac:dyDescent="0.25"/>
    <row r="1138" ht="13.2" x14ac:dyDescent="0.25"/>
    <row r="1139" ht="13.2" x14ac:dyDescent="0.25"/>
    <row r="1140" ht="13.2" x14ac:dyDescent="0.25"/>
    <row r="1141" ht="13.2" x14ac:dyDescent="0.25"/>
    <row r="1142" ht="13.2" x14ac:dyDescent="0.25"/>
    <row r="1143" ht="13.2" x14ac:dyDescent="0.25"/>
    <row r="1144" ht="13.2" x14ac:dyDescent="0.25"/>
    <row r="1145" ht="13.2" x14ac:dyDescent="0.25"/>
    <row r="1146" ht="13.2" x14ac:dyDescent="0.25"/>
    <row r="1147" ht="13.2" x14ac:dyDescent="0.25"/>
    <row r="1148" ht="13.2" x14ac:dyDescent="0.25"/>
    <row r="1149" ht="13.2" x14ac:dyDescent="0.25"/>
    <row r="1150" ht="13.2" x14ac:dyDescent="0.25"/>
    <row r="1151" ht="13.2" x14ac:dyDescent="0.25"/>
    <row r="1152" ht="13.2" x14ac:dyDescent="0.25"/>
    <row r="1153" ht="13.2" x14ac:dyDescent="0.25"/>
    <row r="1154" ht="13.2" x14ac:dyDescent="0.25"/>
    <row r="1155" ht="13.2" x14ac:dyDescent="0.25"/>
    <row r="1156" ht="13.2" x14ac:dyDescent="0.25"/>
    <row r="1157" ht="13.2" x14ac:dyDescent="0.25"/>
    <row r="1158" ht="13.2" x14ac:dyDescent="0.25"/>
    <row r="1159" ht="13.2" x14ac:dyDescent="0.25"/>
    <row r="1160" ht="13.2" x14ac:dyDescent="0.25"/>
    <row r="1161" ht="13.2" x14ac:dyDescent="0.25"/>
    <row r="1162" ht="13.2" x14ac:dyDescent="0.25"/>
    <row r="1163" ht="13.2" x14ac:dyDescent="0.25"/>
    <row r="1164" ht="13.2" x14ac:dyDescent="0.25"/>
    <row r="1165" ht="13.2" x14ac:dyDescent="0.25"/>
    <row r="1166" ht="13.2" x14ac:dyDescent="0.25"/>
    <row r="1167" ht="13.2" x14ac:dyDescent="0.25"/>
    <row r="1168" ht="13.2" x14ac:dyDescent="0.25"/>
    <row r="1169" ht="13.2" x14ac:dyDescent="0.25"/>
    <row r="1170" ht="13.2" x14ac:dyDescent="0.25"/>
    <row r="1171" ht="13.2" x14ac:dyDescent="0.25"/>
    <row r="1172" ht="13.2" x14ac:dyDescent="0.25"/>
    <row r="1173" ht="13.2" x14ac:dyDescent="0.25"/>
    <row r="1174" ht="13.2" x14ac:dyDescent="0.25"/>
    <row r="1175" ht="13.2" x14ac:dyDescent="0.25"/>
    <row r="1176" ht="13.2" x14ac:dyDescent="0.25"/>
    <row r="1177" ht="13.2" x14ac:dyDescent="0.25"/>
    <row r="1178" ht="13.2" x14ac:dyDescent="0.25"/>
    <row r="1179" ht="13.2" x14ac:dyDescent="0.25"/>
    <row r="1180" ht="13.2" x14ac:dyDescent="0.25"/>
    <row r="1181" ht="13.2" x14ac:dyDescent="0.25"/>
    <row r="1182" ht="13.2" x14ac:dyDescent="0.25"/>
    <row r="1183" ht="13.2" x14ac:dyDescent="0.25"/>
    <row r="1184" ht="13.2" x14ac:dyDescent="0.25"/>
    <row r="1185" ht="13.2" x14ac:dyDescent="0.25"/>
    <row r="1186" ht="13.2" x14ac:dyDescent="0.25"/>
    <row r="1187" ht="13.2" x14ac:dyDescent="0.25"/>
    <row r="1188" ht="13.2" x14ac:dyDescent="0.25"/>
    <row r="1189" ht="13.2" x14ac:dyDescent="0.25"/>
    <row r="1190" ht="13.2" x14ac:dyDescent="0.25"/>
    <row r="1191" ht="13.2" x14ac:dyDescent="0.25"/>
    <row r="1192" ht="13.2" x14ac:dyDescent="0.25"/>
    <row r="1193" ht="13.2" x14ac:dyDescent="0.25"/>
    <row r="1194" ht="13.2" x14ac:dyDescent="0.25"/>
    <row r="1195" ht="13.2" x14ac:dyDescent="0.25"/>
    <row r="1196" ht="13.2" x14ac:dyDescent="0.25"/>
    <row r="1197" ht="13.2" x14ac:dyDescent="0.25"/>
    <row r="1198" ht="13.2" x14ac:dyDescent="0.25"/>
    <row r="1199" ht="13.2" x14ac:dyDescent="0.25"/>
    <row r="1200" ht="13.2" x14ac:dyDescent="0.25"/>
    <row r="1201" ht="13.2" x14ac:dyDescent="0.25"/>
    <row r="1202" ht="13.2" x14ac:dyDescent="0.25"/>
    <row r="1203" ht="13.2" x14ac:dyDescent="0.25"/>
    <row r="1204" ht="13.2" x14ac:dyDescent="0.25"/>
    <row r="1205" ht="13.2" x14ac:dyDescent="0.25"/>
    <row r="1206" ht="13.2" x14ac:dyDescent="0.25"/>
    <row r="1207" ht="13.2" x14ac:dyDescent="0.25"/>
    <row r="1208" ht="13.2" x14ac:dyDescent="0.25"/>
    <row r="1209" ht="13.2" x14ac:dyDescent="0.25"/>
    <row r="1210" ht="13.2" x14ac:dyDescent="0.25"/>
    <row r="1211" ht="13.2" x14ac:dyDescent="0.25"/>
    <row r="1212" ht="13.2" x14ac:dyDescent="0.25"/>
    <row r="1213" ht="13.2" x14ac:dyDescent="0.25"/>
    <row r="1214" ht="13.2" x14ac:dyDescent="0.25"/>
    <row r="1215" ht="13.2" x14ac:dyDescent="0.25"/>
    <row r="1216" ht="13.2" x14ac:dyDescent="0.25"/>
    <row r="1217" ht="13.2" x14ac:dyDescent="0.25"/>
    <row r="1218" ht="13.2" x14ac:dyDescent="0.25"/>
    <row r="1219" ht="13.2" x14ac:dyDescent="0.25"/>
    <row r="1220" ht="13.2" x14ac:dyDescent="0.25"/>
    <row r="1221" ht="13.2" x14ac:dyDescent="0.25"/>
    <row r="1222" ht="13.2" x14ac:dyDescent="0.25"/>
    <row r="1223" ht="13.2" x14ac:dyDescent="0.25"/>
    <row r="1224" ht="13.2" x14ac:dyDescent="0.25"/>
    <row r="1225" ht="13.2" x14ac:dyDescent="0.25"/>
    <row r="1226" ht="13.2" x14ac:dyDescent="0.25"/>
    <row r="1227" ht="13.2" x14ac:dyDescent="0.25"/>
    <row r="1228" ht="13.2" x14ac:dyDescent="0.25"/>
    <row r="1229" ht="13.2" x14ac:dyDescent="0.25"/>
    <row r="1230" ht="13.2" x14ac:dyDescent="0.25"/>
    <row r="1231" ht="13.2" x14ac:dyDescent="0.25"/>
    <row r="1232" ht="13.2" x14ac:dyDescent="0.25"/>
    <row r="1233" ht="13.2" x14ac:dyDescent="0.25"/>
    <row r="1234" ht="13.2" x14ac:dyDescent="0.25"/>
    <row r="1235" ht="13.2" x14ac:dyDescent="0.25"/>
    <row r="1236" ht="13.2" x14ac:dyDescent="0.25"/>
    <row r="1237" ht="13.2" x14ac:dyDescent="0.25"/>
    <row r="1238" ht="13.2" x14ac:dyDescent="0.25"/>
    <row r="1239" ht="13.2" x14ac:dyDescent="0.25"/>
    <row r="1240" ht="13.2" x14ac:dyDescent="0.25"/>
    <row r="1241" ht="13.2" x14ac:dyDescent="0.25"/>
    <row r="1242" ht="13.2" x14ac:dyDescent="0.25"/>
    <row r="1243" ht="13.2" x14ac:dyDescent="0.25"/>
    <row r="1244" ht="13.2" x14ac:dyDescent="0.25"/>
    <row r="1245" ht="13.2" x14ac:dyDescent="0.25"/>
    <row r="1246" ht="13.2" x14ac:dyDescent="0.25"/>
    <row r="1247" ht="13.2" x14ac:dyDescent="0.25"/>
    <row r="1248" ht="13.2" x14ac:dyDescent="0.25"/>
    <row r="1249" ht="13.2" x14ac:dyDescent="0.25"/>
    <row r="1250" ht="13.2" x14ac:dyDescent="0.25"/>
    <row r="1251" ht="13.2" x14ac:dyDescent="0.25"/>
    <row r="1252" ht="13.2" x14ac:dyDescent="0.25"/>
    <row r="1253" ht="13.2" x14ac:dyDescent="0.25"/>
    <row r="1254" ht="13.2" x14ac:dyDescent="0.25"/>
    <row r="1255" ht="13.2" x14ac:dyDescent="0.25"/>
    <row r="1256" ht="13.2" x14ac:dyDescent="0.25"/>
    <row r="1257" ht="13.2" x14ac:dyDescent="0.25"/>
    <row r="1258" ht="13.2" x14ac:dyDescent="0.25"/>
    <row r="1259" ht="13.2" x14ac:dyDescent="0.25"/>
    <row r="1260" ht="13.2" x14ac:dyDescent="0.25"/>
    <row r="1261" ht="13.2" x14ac:dyDescent="0.25"/>
    <row r="1262" ht="13.2" x14ac:dyDescent="0.25"/>
    <row r="1263" ht="13.2" x14ac:dyDescent="0.25"/>
    <row r="1264" ht="13.2" x14ac:dyDescent="0.25"/>
    <row r="1265" ht="13.2" x14ac:dyDescent="0.25"/>
    <row r="1266" ht="13.2" x14ac:dyDescent="0.25"/>
    <row r="1267" ht="13.2" x14ac:dyDescent="0.25"/>
    <row r="1268" ht="13.2" x14ac:dyDescent="0.25"/>
    <row r="1269" ht="13.2" x14ac:dyDescent="0.25"/>
    <row r="1270" ht="13.2" x14ac:dyDescent="0.25"/>
    <row r="1271" ht="13.2" x14ac:dyDescent="0.25"/>
    <row r="1272" ht="13.2" x14ac:dyDescent="0.25"/>
    <row r="1273" ht="13.2" x14ac:dyDescent="0.25"/>
    <row r="1274" ht="13.2" x14ac:dyDescent="0.25"/>
    <row r="1275" ht="13.2" x14ac:dyDescent="0.25"/>
    <row r="1276" ht="13.2" x14ac:dyDescent="0.25"/>
    <row r="1277" ht="13.2" x14ac:dyDescent="0.25"/>
    <row r="1278" ht="13.2" x14ac:dyDescent="0.25"/>
    <row r="1279" ht="13.2" x14ac:dyDescent="0.25"/>
    <row r="1280" ht="13.2" x14ac:dyDescent="0.25"/>
    <row r="1281" ht="13.2" x14ac:dyDescent="0.25"/>
    <row r="1282" ht="13.2" x14ac:dyDescent="0.25"/>
    <row r="1283" ht="13.2" x14ac:dyDescent="0.25"/>
    <row r="1284" ht="13.2" x14ac:dyDescent="0.25"/>
    <row r="1285" ht="13.2" x14ac:dyDescent="0.25"/>
    <row r="1286" ht="13.2" x14ac:dyDescent="0.25"/>
    <row r="1287" ht="13.2" x14ac:dyDescent="0.25"/>
    <row r="1288" ht="13.2" x14ac:dyDescent="0.25"/>
    <row r="1289" ht="13.2" x14ac:dyDescent="0.25"/>
    <row r="1290" ht="13.2" x14ac:dyDescent="0.25"/>
    <row r="1291" ht="13.2" x14ac:dyDescent="0.25"/>
    <row r="1292" ht="13.2" x14ac:dyDescent="0.25"/>
    <row r="1293" ht="13.2" x14ac:dyDescent="0.25"/>
    <row r="1294" ht="13.2" x14ac:dyDescent="0.25"/>
    <row r="1295" ht="13.2" x14ac:dyDescent="0.25"/>
    <row r="1296" ht="13.2" x14ac:dyDescent="0.25"/>
    <row r="1297" ht="13.2" x14ac:dyDescent="0.25"/>
    <row r="1298" ht="13.2" x14ac:dyDescent="0.25"/>
    <row r="1299" ht="13.2" x14ac:dyDescent="0.25"/>
    <row r="1300" ht="13.2" x14ac:dyDescent="0.25"/>
    <row r="1301" ht="13.2" x14ac:dyDescent="0.25"/>
    <row r="1302" ht="13.2" x14ac:dyDescent="0.25"/>
    <row r="1303" ht="13.2" x14ac:dyDescent="0.25"/>
    <row r="1304" ht="13.2" x14ac:dyDescent="0.25"/>
    <row r="1305" ht="13.2" x14ac:dyDescent="0.25"/>
    <row r="1306" ht="13.2" x14ac:dyDescent="0.25"/>
    <row r="1307" ht="13.2" x14ac:dyDescent="0.25"/>
    <row r="1308" ht="13.2" x14ac:dyDescent="0.25"/>
    <row r="1309" ht="13.2" x14ac:dyDescent="0.25"/>
    <row r="1310" ht="13.2" x14ac:dyDescent="0.25"/>
    <row r="1311" ht="13.2" x14ac:dyDescent="0.25"/>
    <row r="1312" ht="13.2" x14ac:dyDescent="0.25"/>
    <row r="1313" ht="13.2" x14ac:dyDescent="0.25"/>
    <row r="1314" ht="13.2" x14ac:dyDescent="0.25"/>
    <row r="1315" ht="13.2" x14ac:dyDescent="0.25"/>
    <row r="1316" ht="13.2" x14ac:dyDescent="0.25"/>
    <row r="1317" ht="13.2" x14ac:dyDescent="0.25"/>
    <row r="1318" ht="13.2" x14ac:dyDescent="0.25"/>
    <row r="1319" ht="13.2" x14ac:dyDescent="0.25"/>
    <row r="1320" ht="13.2" x14ac:dyDescent="0.25"/>
    <row r="1321" ht="13.2" x14ac:dyDescent="0.25"/>
    <row r="1322" ht="13.2" x14ac:dyDescent="0.25"/>
    <row r="1323" ht="13.2" x14ac:dyDescent="0.25"/>
    <row r="1324" ht="13.2" x14ac:dyDescent="0.25"/>
    <row r="1325" ht="13.2" x14ac:dyDescent="0.25"/>
    <row r="1326" ht="13.2" x14ac:dyDescent="0.25"/>
    <row r="1327" ht="13.2" x14ac:dyDescent="0.25"/>
    <row r="1328" ht="13.2" x14ac:dyDescent="0.25"/>
    <row r="1329" ht="13.2" x14ac:dyDescent="0.25"/>
    <row r="1330" ht="13.2" x14ac:dyDescent="0.25"/>
    <row r="1331" ht="13.2" x14ac:dyDescent="0.25"/>
    <row r="1332" ht="13.2" x14ac:dyDescent="0.25"/>
    <row r="1333" ht="13.2" x14ac:dyDescent="0.25"/>
    <row r="1334" ht="13.2" x14ac:dyDescent="0.25"/>
    <row r="1335" ht="13.2" x14ac:dyDescent="0.25"/>
    <row r="1336" ht="13.2" x14ac:dyDescent="0.25"/>
    <row r="1337" ht="13.2" x14ac:dyDescent="0.25"/>
    <row r="1338" ht="13.2" x14ac:dyDescent="0.25"/>
    <row r="1339" ht="13.2" x14ac:dyDescent="0.25"/>
    <row r="1340" ht="13.2" x14ac:dyDescent="0.25"/>
    <row r="1341" ht="13.2" x14ac:dyDescent="0.25"/>
    <row r="1342" ht="13.2" x14ac:dyDescent="0.25"/>
    <row r="1343" ht="13.2" x14ac:dyDescent="0.25"/>
    <row r="1344" ht="13.2" x14ac:dyDescent="0.25"/>
    <row r="1345" ht="13.2" x14ac:dyDescent="0.25"/>
    <row r="1346" ht="13.2" x14ac:dyDescent="0.25"/>
    <row r="1347" ht="13.2" x14ac:dyDescent="0.25"/>
    <row r="1348" ht="13.2" x14ac:dyDescent="0.25"/>
    <row r="1349" ht="13.2" x14ac:dyDescent="0.25"/>
    <row r="1350" ht="13.2" x14ac:dyDescent="0.25"/>
    <row r="1351" ht="13.2" x14ac:dyDescent="0.25"/>
    <row r="1352" ht="13.2" x14ac:dyDescent="0.25"/>
    <row r="1353" ht="13.2" x14ac:dyDescent="0.25"/>
    <row r="1354" ht="13.2" x14ac:dyDescent="0.25"/>
    <row r="1355" ht="13.2" x14ac:dyDescent="0.25"/>
    <row r="1356" ht="13.2" x14ac:dyDescent="0.25"/>
    <row r="1357" ht="13.2" x14ac:dyDescent="0.25"/>
    <row r="1358" ht="13.2" x14ac:dyDescent="0.25"/>
    <row r="1359" ht="13.2" x14ac:dyDescent="0.25"/>
    <row r="1360" ht="13.2" x14ac:dyDescent="0.25"/>
    <row r="1361" ht="13.2" x14ac:dyDescent="0.25"/>
    <row r="1362" ht="13.2" x14ac:dyDescent="0.25"/>
    <row r="1363" ht="13.2" x14ac:dyDescent="0.25"/>
    <row r="1364" ht="13.2" x14ac:dyDescent="0.25"/>
    <row r="1365" ht="13.2" x14ac:dyDescent="0.25"/>
    <row r="1366" ht="13.2" x14ac:dyDescent="0.25"/>
    <row r="1367" ht="13.2" x14ac:dyDescent="0.25"/>
    <row r="1368" ht="13.2" x14ac:dyDescent="0.25"/>
    <row r="1369" ht="13.2" x14ac:dyDescent="0.25"/>
    <row r="1370" ht="13.2" x14ac:dyDescent="0.25"/>
    <row r="1371" ht="13.2" x14ac:dyDescent="0.25"/>
    <row r="1372" ht="13.2" x14ac:dyDescent="0.25"/>
    <row r="1373" ht="13.2" x14ac:dyDescent="0.25"/>
    <row r="1374" ht="13.2" x14ac:dyDescent="0.25"/>
    <row r="1375" ht="13.2" x14ac:dyDescent="0.25"/>
    <row r="1376" ht="13.2" x14ac:dyDescent="0.25"/>
    <row r="1377" ht="13.2" x14ac:dyDescent="0.25"/>
    <row r="1378" ht="13.2" x14ac:dyDescent="0.25"/>
    <row r="1379" ht="13.2" x14ac:dyDescent="0.25"/>
    <row r="1380" ht="13.2" x14ac:dyDescent="0.25"/>
    <row r="1381" ht="13.2" x14ac:dyDescent="0.25"/>
    <row r="1382" ht="13.2" x14ac:dyDescent="0.25"/>
    <row r="1383" ht="13.2" x14ac:dyDescent="0.25"/>
    <row r="1384" ht="13.2" x14ac:dyDescent="0.25"/>
    <row r="1385" ht="13.2" x14ac:dyDescent="0.25"/>
    <row r="1386" ht="13.2" x14ac:dyDescent="0.25"/>
    <row r="1387" ht="13.2" x14ac:dyDescent="0.25"/>
    <row r="1388" ht="13.2" x14ac:dyDescent="0.25"/>
    <row r="1389" ht="13.2" x14ac:dyDescent="0.25"/>
    <row r="1390" ht="13.2" x14ac:dyDescent="0.25"/>
    <row r="1391" ht="13.2" x14ac:dyDescent="0.25"/>
    <row r="1392" ht="13.2" x14ac:dyDescent="0.25"/>
    <row r="1393" ht="13.2" x14ac:dyDescent="0.25"/>
    <row r="1394" ht="13.2" x14ac:dyDescent="0.25"/>
    <row r="1395" ht="13.2" x14ac:dyDescent="0.25"/>
    <row r="1396" ht="13.2" x14ac:dyDescent="0.25"/>
    <row r="1397" ht="13.2" x14ac:dyDescent="0.25"/>
    <row r="1398" ht="13.2" x14ac:dyDescent="0.25"/>
    <row r="1399" ht="13.2" x14ac:dyDescent="0.25"/>
    <row r="1400" ht="13.2" x14ac:dyDescent="0.25"/>
    <row r="1401" ht="13.2" x14ac:dyDescent="0.25"/>
    <row r="1402" ht="13.2" x14ac:dyDescent="0.25"/>
    <row r="1403" ht="13.2" x14ac:dyDescent="0.25"/>
    <row r="1404" ht="13.2" x14ac:dyDescent="0.25"/>
    <row r="1405" ht="13.2" x14ac:dyDescent="0.25"/>
    <row r="1406" ht="13.2" x14ac:dyDescent="0.25"/>
    <row r="1407" ht="13.2" x14ac:dyDescent="0.25"/>
    <row r="1408" ht="13.2" x14ac:dyDescent="0.25"/>
    <row r="1409" ht="13.2" x14ac:dyDescent="0.25"/>
    <row r="1410" ht="13.2" x14ac:dyDescent="0.25"/>
    <row r="1411" ht="13.2" x14ac:dyDescent="0.25"/>
    <row r="1412" ht="13.2" x14ac:dyDescent="0.25"/>
    <row r="1413" ht="13.2" x14ac:dyDescent="0.25"/>
    <row r="1414" ht="13.2" x14ac:dyDescent="0.25"/>
    <row r="1415" ht="13.2" x14ac:dyDescent="0.25"/>
    <row r="1416" ht="13.2" x14ac:dyDescent="0.25"/>
    <row r="1417" ht="13.2" x14ac:dyDescent="0.25"/>
    <row r="1418" ht="13.2" x14ac:dyDescent="0.25"/>
    <row r="1419" ht="13.2" x14ac:dyDescent="0.25"/>
    <row r="1420" ht="13.2" x14ac:dyDescent="0.25"/>
    <row r="1421" ht="13.2" x14ac:dyDescent="0.25"/>
    <row r="1422" ht="13.2" x14ac:dyDescent="0.25"/>
    <row r="1423" ht="13.2" x14ac:dyDescent="0.25"/>
    <row r="1424" ht="13.2" x14ac:dyDescent="0.25"/>
    <row r="1425" ht="13.2" x14ac:dyDescent="0.25"/>
    <row r="1426" ht="13.2" x14ac:dyDescent="0.25"/>
    <row r="1427" ht="13.2" x14ac:dyDescent="0.25"/>
    <row r="1428" ht="13.2" x14ac:dyDescent="0.25"/>
    <row r="1429" ht="13.2" x14ac:dyDescent="0.25"/>
    <row r="1430" ht="13.2" x14ac:dyDescent="0.25"/>
    <row r="1431" ht="13.2" x14ac:dyDescent="0.25"/>
    <row r="1432" ht="13.2" x14ac:dyDescent="0.25"/>
    <row r="1433" ht="13.2" x14ac:dyDescent="0.25"/>
    <row r="1434" ht="13.2" x14ac:dyDescent="0.25"/>
    <row r="1435" ht="13.2" x14ac:dyDescent="0.25"/>
    <row r="1436" ht="13.2" x14ac:dyDescent="0.25"/>
    <row r="1437" ht="13.2" x14ac:dyDescent="0.25"/>
    <row r="1438" ht="13.2" x14ac:dyDescent="0.25"/>
    <row r="1439" ht="13.2" x14ac:dyDescent="0.25"/>
    <row r="1440" ht="13.2" x14ac:dyDescent="0.25"/>
    <row r="1441" ht="13.2" x14ac:dyDescent="0.25"/>
    <row r="1442" ht="13.2" x14ac:dyDescent="0.25"/>
    <row r="1443" ht="13.2" x14ac:dyDescent="0.25"/>
    <row r="1444" ht="13.2" x14ac:dyDescent="0.25"/>
    <row r="1445" ht="13.2" x14ac:dyDescent="0.25"/>
    <row r="1446" ht="13.2" x14ac:dyDescent="0.25"/>
    <row r="1447" ht="13.2" x14ac:dyDescent="0.25"/>
    <row r="1448" ht="13.2" x14ac:dyDescent="0.25"/>
    <row r="1449" ht="13.2" x14ac:dyDescent="0.25"/>
    <row r="1450" ht="13.2" x14ac:dyDescent="0.25"/>
    <row r="1451" ht="13.2" x14ac:dyDescent="0.25"/>
    <row r="1452" ht="13.2" x14ac:dyDescent="0.25"/>
    <row r="1453" ht="13.2" x14ac:dyDescent="0.25"/>
    <row r="1454" ht="13.2" x14ac:dyDescent="0.25"/>
    <row r="1455" ht="13.2" x14ac:dyDescent="0.25"/>
    <row r="1456" ht="13.2" x14ac:dyDescent="0.25"/>
    <row r="1457" ht="13.2" x14ac:dyDescent="0.25"/>
    <row r="1458" ht="13.2" x14ac:dyDescent="0.25"/>
    <row r="1459" ht="13.2" x14ac:dyDescent="0.25"/>
    <row r="1460" ht="13.2" x14ac:dyDescent="0.25"/>
    <row r="1461" ht="13.2" x14ac:dyDescent="0.25"/>
    <row r="1462" ht="13.2" x14ac:dyDescent="0.25"/>
    <row r="1463" ht="13.2" x14ac:dyDescent="0.25"/>
    <row r="1464" ht="13.2" x14ac:dyDescent="0.25"/>
    <row r="1465" ht="13.2" x14ac:dyDescent="0.25"/>
    <row r="1466" ht="13.2" x14ac:dyDescent="0.25"/>
    <row r="1467" ht="13.2" x14ac:dyDescent="0.25"/>
    <row r="1468" ht="13.2" x14ac:dyDescent="0.25"/>
    <row r="1469" ht="13.2" x14ac:dyDescent="0.25"/>
    <row r="1470" ht="13.2" x14ac:dyDescent="0.25"/>
    <row r="1471" ht="13.2" x14ac:dyDescent="0.25"/>
    <row r="1472" ht="13.2" x14ac:dyDescent="0.25"/>
    <row r="1473" ht="13.2" x14ac:dyDescent="0.25"/>
    <row r="1474" ht="13.2" x14ac:dyDescent="0.25"/>
    <row r="1475" ht="13.2" x14ac:dyDescent="0.25"/>
    <row r="1476" ht="13.2" x14ac:dyDescent="0.25"/>
    <row r="1477" ht="13.2" x14ac:dyDescent="0.25"/>
    <row r="1478" ht="13.2" x14ac:dyDescent="0.25"/>
    <row r="1479" ht="13.2" x14ac:dyDescent="0.25"/>
    <row r="1480" ht="13.2" x14ac:dyDescent="0.25"/>
    <row r="1481" ht="13.2" x14ac:dyDescent="0.25"/>
    <row r="1482" ht="13.2" x14ac:dyDescent="0.25"/>
    <row r="1483" ht="13.2" x14ac:dyDescent="0.25"/>
    <row r="1484" ht="13.2" x14ac:dyDescent="0.25"/>
    <row r="1485" ht="13.2" x14ac:dyDescent="0.25"/>
    <row r="1486" ht="13.2" x14ac:dyDescent="0.25"/>
    <row r="1487" ht="13.2" x14ac:dyDescent="0.25"/>
    <row r="1488" ht="13.2" x14ac:dyDescent="0.25"/>
    <row r="1489" ht="13.2" x14ac:dyDescent="0.25"/>
    <row r="1490" ht="13.2" x14ac:dyDescent="0.25"/>
    <row r="1491" ht="13.2" x14ac:dyDescent="0.25"/>
    <row r="1492" ht="13.2" x14ac:dyDescent="0.25"/>
    <row r="1493" ht="13.2" x14ac:dyDescent="0.25"/>
    <row r="1494" ht="13.2" x14ac:dyDescent="0.25"/>
    <row r="1495" ht="13.2" x14ac:dyDescent="0.25"/>
    <row r="1496" ht="13.2" x14ac:dyDescent="0.25"/>
    <row r="1497" ht="13.2" x14ac:dyDescent="0.25"/>
    <row r="1498" ht="13.2" x14ac:dyDescent="0.25"/>
    <row r="1499" ht="13.2" x14ac:dyDescent="0.25"/>
    <row r="1500" ht="13.2" x14ac:dyDescent="0.25"/>
    <row r="1501" ht="13.2" x14ac:dyDescent="0.25"/>
    <row r="1502" ht="13.2" x14ac:dyDescent="0.25"/>
    <row r="1503" ht="13.2" x14ac:dyDescent="0.25"/>
    <row r="1504" ht="13.2" x14ac:dyDescent="0.25"/>
    <row r="1505" ht="13.2" x14ac:dyDescent="0.25"/>
    <row r="1506" ht="13.2" x14ac:dyDescent="0.25"/>
    <row r="1507" ht="13.2" x14ac:dyDescent="0.25"/>
    <row r="1508" ht="13.2" x14ac:dyDescent="0.25"/>
    <row r="1509" ht="13.2" x14ac:dyDescent="0.25"/>
    <row r="1510" ht="13.2" x14ac:dyDescent="0.25"/>
    <row r="1511" ht="13.2" x14ac:dyDescent="0.25"/>
    <row r="1512" ht="13.2" x14ac:dyDescent="0.25"/>
    <row r="1513" ht="13.2" x14ac:dyDescent="0.25"/>
    <row r="1514" ht="13.2" x14ac:dyDescent="0.25"/>
    <row r="1515" ht="13.2" x14ac:dyDescent="0.25"/>
    <row r="1516" ht="13.2" x14ac:dyDescent="0.25"/>
    <row r="1517" ht="13.2" x14ac:dyDescent="0.25"/>
    <row r="1518" ht="13.2" x14ac:dyDescent="0.25"/>
    <row r="1519" ht="13.2" x14ac:dyDescent="0.25"/>
    <row r="1520" ht="13.2" x14ac:dyDescent="0.25"/>
    <row r="1521" ht="13.2" x14ac:dyDescent="0.25"/>
    <row r="1522" ht="13.2" x14ac:dyDescent="0.25"/>
    <row r="1523" ht="13.2" x14ac:dyDescent="0.25"/>
    <row r="1524" ht="13.2" x14ac:dyDescent="0.25"/>
    <row r="1525" ht="13.2" x14ac:dyDescent="0.25"/>
    <row r="1526" ht="13.2" x14ac:dyDescent="0.25"/>
    <row r="1527" ht="13.2" x14ac:dyDescent="0.25"/>
    <row r="1528" ht="13.2" x14ac:dyDescent="0.25"/>
    <row r="1529" ht="13.2" x14ac:dyDescent="0.25"/>
    <row r="1530" ht="13.2" x14ac:dyDescent="0.25"/>
    <row r="1531" ht="13.2" x14ac:dyDescent="0.25"/>
    <row r="1532" ht="13.2" x14ac:dyDescent="0.25"/>
    <row r="1533" ht="13.2" x14ac:dyDescent="0.25"/>
    <row r="1534" ht="13.2" x14ac:dyDescent="0.25"/>
    <row r="1535" ht="13.2" x14ac:dyDescent="0.25"/>
    <row r="1536" ht="13.2" x14ac:dyDescent="0.25"/>
    <row r="1537" ht="13.2" x14ac:dyDescent="0.25"/>
    <row r="1538" ht="13.2" x14ac:dyDescent="0.25"/>
    <row r="1539" ht="13.2" x14ac:dyDescent="0.25"/>
    <row r="1540" ht="13.2" x14ac:dyDescent="0.25"/>
    <row r="1541" ht="13.2" x14ac:dyDescent="0.25"/>
    <row r="1542" ht="13.2" x14ac:dyDescent="0.25"/>
    <row r="1543" ht="13.2" x14ac:dyDescent="0.25"/>
    <row r="1544" ht="13.2" x14ac:dyDescent="0.25"/>
    <row r="1545" ht="13.2" x14ac:dyDescent="0.25"/>
    <row r="1546" ht="13.2" x14ac:dyDescent="0.25"/>
    <row r="1547" ht="13.2" x14ac:dyDescent="0.25"/>
    <row r="1548" ht="13.2" x14ac:dyDescent="0.25"/>
    <row r="1549" ht="13.2" x14ac:dyDescent="0.25"/>
    <row r="1550" ht="13.2" x14ac:dyDescent="0.25"/>
    <row r="1551" ht="13.2" x14ac:dyDescent="0.25"/>
    <row r="1552" ht="13.2" x14ac:dyDescent="0.25"/>
    <row r="1553" ht="13.2" x14ac:dyDescent="0.25"/>
    <row r="1554" ht="13.2" x14ac:dyDescent="0.25"/>
    <row r="1555" ht="13.2" x14ac:dyDescent="0.25"/>
    <row r="1556" ht="13.2" x14ac:dyDescent="0.25"/>
    <row r="1557" ht="13.2" x14ac:dyDescent="0.25"/>
    <row r="1558" ht="13.2" x14ac:dyDescent="0.25"/>
    <row r="1559" ht="13.2" x14ac:dyDescent="0.25"/>
    <row r="1560" ht="13.2" x14ac:dyDescent="0.25"/>
    <row r="1561" ht="13.2" x14ac:dyDescent="0.25"/>
    <row r="1562" ht="13.2" x14ac:dyDescent="0.25"/>
    <row r="1563" ht="13.2" x14ac:dyDescent="0.25"/>
    <row r="1564" ht="13.2" x14ac:dyDescent="0.25"/>
    <row r="1565" ht="13.2" x14ac:dyDescent="0.25"/>
    <row r="1566" ht="13.2" x14ac:dyDescent="0.25"/>
    <row r="1567" ht="13.2" x14ac:dyDescent="0.25"/>
    <row r="1568" ht="13.2" x14ac:dyDescent="0.25"/>
    <row r="1569" ht="13.2" x14ac:dyDescent="0.25"/>
    <row r="1570" ht="13.2" x14ac:dyDescent="0.25"/>
    <row r="1571" ht="13.2" x14ac:dyDescent="0.25"/>
    <row r="1572" ht="13.2" x14ac:dyDescent="0.25"/>
    <row r="1573" ht="13.2" x14ac:dyDescent="0.25"/>
    <row r="1574" ht="13.2" x14ac:dyDescent="0.25"/>
    <row r="1575" ht="13.2" x14ac:dyDescent="0.25"/>
    <row r="1576" ht="13.2" x14ac:dyDescent="0.25"/>
    <row r="1577" ht="13.2" x14ac:dyDescent="0.25"/>
    <row r="1578" ht="13.2" x14ac:dyDescent="0.25"/>
    <row r="1579" ht="13.2" x14ac:dyDescent="0.25"/>
    <row r="1580" ht="13.2" x14ac:dyDescent="0.25"/>
    <row r="1581" ht="13.2" x14ac:dyDescent="0.25"/>
    <row r="1582" ht="13.2" x14ac:dyDescent="0.25"/>
    <row r="1583" ht="13.2" x14ac:dyDescent="0.25"/>
    <row r="1584" ht="13.2" x14ac:dyDescent="0.25"/>
    <row r="1585" ht="13.2" x14ac:dyDescent="0.25"/>
    <row r="1586" ht="13.2" x14ac:dyDescent="0.25"/>
    <row r="1587" ht="13.2" x14ac:dyDescent="0.25"/>
    <row r="1588" ht="13.2" x14ac:dyDescent="0.25"/>
    <row r="1589" ht="13.2" x14ac:dyDescent="0.25"/>
    <row r="1590" ht="13.2" x14ac:dyDescent="0.25"/>
    <row r="1591" ht="13.2" x14ac:dyDescent="0.25"/>
    <row r="1592" ht="13.2" x14ac:dyDescent="0.25"/>
    <row r="1593" ht="13.2" x14ac:dyDescent="0.25"/>
    <row r="1594" ht="13.2" x14ac:dyDescent="0.25"/>
    <row r="1595" ht="13.2" x14ac:dyDescent="0.25"/>
    <row r="1596" ht="13.2" x14ac:dyDescent="0.25"/>
    <row r="1597" ht="13.2" x14ac:dyDescent="0.25"/>
    <row r="1598" ht="13.2" x14ac:dyDescent="0.25"/>
    <row r="1599" ht="13.2" x14ac:dyDescent="0.25"/>
    <row r="1600" ht="13.2" x14ac:dyDescent="0.25"/>
    <row r="1601" ht="13.2" x14ac:dyDescent="0.25"/>
    <row r="1602" ht="13.2" x14ac:dyDescent="0.25"/>
    <row r="1603" ht="13.2" x14ac:dyDescent="0.25"/>
    <row r="1604" ht="13.2" x14ac:dyDescent="0.25"/>
    <row r="1605" ht="13.2" x14ac:dyDescent="0.25"/>
    <row r="1606" ht="13.2" x14ac:dyDescent="0.25"/>
    <row r="1607" ht="13.2" x14ac:dyDescent="0.25"/>
    <row r="1608" ht="13.2" x14ac:dyDescent="0.25"/>
    <row r="1609" ht="13.2" x14ac:dyDescent="0.25"/>
    <row r="1610" ht="13.2" x14ac:dyDescent="0.25"/>
    <row r="1611" ht="13.2" x14ac:dyDescent="0.25"/>
    <row r="1612" ht="13.2" x14ac:dyDescent="0.25"/>
    <row r="1613" ht="13.2" x14ac:dyDescent="0.25"/>
    <row r="1614" ht="13.2" x14ac:dyDescent="0.25"/>
    <row r="1615" ht="13.2" x14ac:dyDescent="0.25"/>
    <row r="1616" ht="13.2" x14ac:dyDescent="0.25"/>
    <row r="1617" ht="13.2" x14ac:dyDescent="0.25"/>
    <row r="1618" ht="13.2" x14ac:dyDescent="0.25"/>
    <row r="1619" ht="13.2" x14ac:dyDescent="0.25"/>
    <row r="1620" ht="13.2" x14ac:dyDescent="0.25"/>
    <row r="1621" ht="13.2" x14ac:dyDescent="0.25"/>
    <row r="1622" ht="13.2" x14ac:dyDescent="0.25"/>
    <row r="1623" ht="13.2" x14ac:dyDescent="0.25"/>
    <row r="1624" ht="13.2" x14ac:dyDescent="0.25"/>
    <row r="1625" ht="13.2" x14ac:dyDescent="0.25"/>
    <row r="1626" ht="13.2" x14ac:dyDescent="0.25"/>
    <row r="1627" ht="13.2" x14ac:dyDescent="0.25"/>
    <row r="1628" ht="13.2" x14ac:dyDescent="0.25"/>
    <row r="1629" ht="13.2" x14ac:dyDescent="0.25"/>
    <row r="1630" ht="13.2" x14ac:dyDescent="0.25"/>
    <row r="1631" ht="13.2" x14ac:dyDescent="0.25"/>
    <row r="1632" ht="13.2" x14ac:dyDescent="0.25"/>
    <row r="1633" ht="13.2" x14ac:dyDescent="0.25"/>
    <row r="1634" ht="13.2" x14ac:dyDescent="0.25"/>
    <row r="1635" ht="13.2" x14ac:dyDescent="0.25"/>
    <row r="1636" ht="13.2" x14ac:dyDescent="0.25"/>
    <row r="1637" ht="13.2" x14ac:dyDescent="0.25"/>
    <row r="1638" ht="13.2" x14ac:dyDescent="0.25"/>
    <row r="1639" ht="13.2" x14ac:dyDescent="0.25"/>
    <row r="1640" ht="13.2" x14ac:dyDescent="0.25"/>
    <row r="1641" ht="13.2" x14ac:dyDescent="0.25"/>
    <row r="1642" ht="13.2" x14ac:dyDescent="0.25"/>
    <row r="1643" ht="13.2" x14ac:dyDescent="0.25"/>
    <row r="1644" ht="13.2" x14ac:dyDescent="0.25"/>
    <row r="1645" ht="13.2" x14ac:dyDescent="0.25"/>
    <row r="1646" ht="13.2" x14ac:dyDescent="0.25"/>
    <row r="1647" ht="13.2" x14ac:dyDescent="0.25"/>
    <row r="1648" ht="13.2" x14ac:dyDescent="0.25"/>
    <row r="1649" ht="13.2" x14ac:dyDescent="0.25"/>
    <row r="1650" ht="13.2" x14ac:dyDescent="0.25"/>
    <row r="1651" ht="13.2" x14ac:dyDescent="0.25"/>
    <row r="1652" ht="13.2" x14ac:dyDescent="0.25"/>
    <row r="1653" ht="13.2" x14ac:dyDescent="0.25"/>
    <row r="1654" ht="13.2" x14ac:dyDescent="0.25"/>
    <row r="1655" ht="13.2" x14ac:dyDescent="0.25"/>
    <row r="1656" ht="13.2" x14ac:dyDescent="0.25"/>
    <row r="1657" ht="13.2" x14ac:dyDescent="0.25"/>
    <row r="1658" ht="13.2" x14ac:dyDescent="0.25"/>
    <row r="1659" ht="13.2" x14ac:dyDescent="0.25"/>
    <row r="1660" ht="13.2" x14ac:dyDescent="0.25"/>
    <row r="1661" ht="13.2" x14ac:dyDescent="0.25"/>
    <row r="1662" ht="13.2" x14ac:dyDescent="0.25"/>
    <row r="1663" ht="13.2" x14ac:dyDescent="0.25"/>
    <row r="1664" ht="13.2" x14ac:dyDescent="0.25"/>
    <row r="1665" ht="13.2" x14ac:dyDescent="0.25"/>
    <row r="1666" ht="13.2" x14ac:dyDescent="0.25"/>
    <row r="1667" ht="13.2" x14ac:dyDescent="0.25"/>
    <row r="1668" ht="13.2" x14ac:dyDescent="0.25"/>
    <row r="1669" ht="13.2" x14ac:dyDescent="0.25"/>
    <row r="1670" ht="13.2" x14ac:dyDescent="0.25"/>
    <row r="1671" ht="13.2" x14ac:dyDescent="0.25"/>
    <row r="1672" ht="13.2" x14ac:dyDescent="0.25"/>
    <row r="1673" ht="13.2" x14ac:dyDescent="0.25"/>
    <row r="1674" ht="13.2" x14ac:dyDescent="0.25"/>
    <row r="1675" ht="13.2" x14ac:dyDescent="0.25"/>
    <row r="1676" ht="13.2" x14ac:dyDescent="0.25"/>
    <row r="1677" ht="13.2" x14ac:dyDescent="0.25"/>
    <row r="1678" ht="13.2" x14ac:dyDescent="0.25"/>
    <row r="1679" ht="13.2" x14ac:dyDescent="0.25"/>
    <row r="1680" ht="13.2" x14ac:dyDescent="0.25"/>
    <row r="1681" ht="13.2" x14ac:dyDescent="0.25"/>
    <row r="1682" ht="13.2" x14ac:dyDescent="0.25"/>
    <row r="1683" ht="13.2" x14ac:dyDescent="0.25"/>
    <row r="1684" ht="13.2" x14ac:dyDescent="0.25"/>
    <row r="1685" ht="13.2" x14ac:dyDescent="0.25"/>
    <row r="1686" ht="13.2" x14ac:dyDescent="0.25"/>
    <row r="1687" ht="13.2" x14ac:dyDescent="0.25"/>
    <row r="1688" ht="13.2" x14ac:dyDescent="0.25"/>
    <row r="1689" ht="13.2" x14ac:dyDescent="0.25"/>
    <row r="1690" ht="13.2" x14ac:dyDescent="0.25"/>
    <row r="1691" ht="13.2" x14ac:dyDescent="0.25"/>
    <row r="1692" ht="13.2" x14ac:dyDescent="0.25"/>
    <row r="1693" ht="13.2" x14ac:dyDescent="0.25"/>
    <row r="1694" ht="13.2" x14ac:dyDescent="0.25"/>
    <row r="1695" ht="13.2" x14ac:dyDescent="0.25"/>
    <row r="1696" ht="13.2" x14ac:dyDescent="0.25"/>
    <row r="1697" ht="13.2" x14ac:dyDescent="0.25"/>
    <row r="1698" ht="13.2" x14ac:dyDescent="0.25"/>
    <row r="1699" ht="13.2" x14ac:dyDescent="0.25"/>
    <row r="1700" ht="13.2" x14ac:dyDescent="0.25"/>
    <row r="1701" ht="13.2" x14ac:dyDescent="0.25"/>
    <row r="1702" ht="13.2" x14ac:dyDescent="0.25"/>
    <row r="1703" ht="13.2" x14ac:dyDescent="0.25"/>
    <row r="1704" ht="13.2" x14ac:dyDescent="0.25"/>
    <row r="1705" ht="13.2" x14ac:dyDescent="0.25"/>
    <row r="1706" ht="13.2" x14ac:dyDescent="0.25"/>
    <row r="1707" ht="13.2" x14ac:dyDescent="0.25"/>
    <row r="1708" ht="13.2" x14ac:dyDescent="0.25"/>
    <row r="1709" ht="13.2" x14ac:dyDescent="0.25"/>
    <row r="1710" ht="13.2" x14ac:dyDescent="0.25"/>
    <row r="1711" ht="13.2" x14ac:dyDescent="0.25"/>
    <row r="1712" ht="13.2" x14ac:dyDescent="0.25"/>
    <row r="1713" ht="13.2" x14ac:dyDescent="0.25"/>
    <row r="1714" ht="13.2" x14ac:dyDescent="0.25"/>
    <row r="1715" ht="13.2" x14ac:dyDescent="0.25"/>
    <row r="1716" ht="13.2" x14ac:dyDescent="0.25"/>
    <row r="1717" ht="13.2" x14ac:dyDescent="0.25"/>
    <row r="1718" ht="13.2" x14ac:dyDescent="0.25"/>
    <row r="1719" ht="13.2" x14ac:dyDescent="0.25"/>
    <row r="1720" ht="13.2" x14ac:dyDescent="0.25"/>
    <row r="1721" ht="13.2" x14ac:dyDescent="0.25"/>
    <row r="1722" ht="13.2" x14ac:dyDescent="0.25"/>
    <row r="1723" ht="13.2" x14ac:dyDescent="0.25"/>
    <row r="1724" ht="13.2" x14ac:dyDescent="0.25"/>
    <row r="1725" ht="13.2" x14ac:dyDescent="0.25"/>
    <row r="1726" ht="13.2" x14ac:dyDescent="0.25"/>
    <row r="1727" ht="13.2" x14ac:dyDescent="0.25"/>
    <row r="1728" ht="13.2" x14ac:dyDescent="0.25"/>
    <row r="1729" ht="13.2" x14ac:dyDescent="0.25"/>
    <row r="1730" ht="13.2" x14ac:dyDescent="0.25"/>
    <row r="1731" ht="13.2" x14ac:dyDescent="0.25"/>
    <row r="1732" ht="13.2" x14ac:dyDescent="0.25"/>
    <row r="1733" ht="13.2" x14ac:dyDescent="0.25"/>
    <row r="1734" ht="13.2" x14ac:dyDescent="0.25"/>
    <row r="1735" ht="13.2" x14ac:dyDescent="0.25"/>
    <row r="1736" ht="13.2" x14ac:dyDescent="0.25"/>
    <row r="1737" ht="13.2" x14ac:dyDescent="0.25"/>
    <row r="1738" ht="13.2" x14ac:dyDescent="0.25"/>
    <row r="1739" ht="13.2" x14ac:dyDescent="0.25"/>
    <row r="1740" ht="13.2" x14ac:dyDescent="0.25"/>
    <row r="1741" ht="13.2" x14ac:dyDescent="0.25"/>
    <row r="1742" ht="13.2" x14ac:dyDescent="0.25"/>
    <row r="1743" ht="13.2" x14ac:dyDescent="0.25"/>
    <row r="1744" ht="13.2" x14ac:dyDescent="0.25"/>
    <row r="1745" ht="13.2" x14ac:dyDescent="0.25"/>
    <row r="1746" ht="13.2" x14ac:dyDescent="0.25"/>
    <row r="1747" ht="13.2" x14ac:dyDescent="0.25"/>
    <row r="1748" ht="13.2" x14ac:dyDescent="0.25"/>
    <row r="1749" ht="13.2" x14ac:dyDescent="0.25"/>
    <row r="1750" ht="13.2" x14ac:dyDescent="0.25"/>
    <row r="1751" ht="13.2" x14ac:dyDescent="0.25"/>
    <row r="1752" ht="13.2" x14ac:dyDescent="0.25"/>
    <row r="1753" ht="13.2" x14ac:dyDescent="0.25"/>
    <row r="1754" ht="13.2" x14ac:dyDescent="0.25"/>
    <row r="1755" ht="13.2" x14ac:dyDescent="0.25"/>
    <row r="1756" ht="13.2" x14ac:dyDescent="0.25"/>
    <row r="1757" ht="13.2" x14ac:dyDescent="0.25"/>
    <row r="1758" ht="13.2" x14ac:dyDescent="0.25"/>
    <row r="1759" ht="13.2" x14ac:dyDescent="0.25"/>
    <row r="1760" ht="13.2" x14ac:dyDescent="0.25"/>
    <row r="1761" ht="13.2" x14ac:dyDescent="0.25"/>
    <row r="1762" ht="13.2" x14ac:dyDescent="0.25"/>
    <row r="1763" ht="13.2" x14ac:dyDescent="0.25"/>
    <row r="1764" ht="13.2" x14ac:dyDescent="0.25"/>
    <row r="1765" ht="13.2" x14ac:dyDescent="0.25"/>
    <row r="1766" ht="13.2" x14ac:dyDescent="0.25"/>
    <row r="1767" ht="13.2" x14ac:dyDescent="0.25"/>
    <row r="1768" ht="13.2" x14ac:dyDescent="0.25"/>
    <row r="1769" ht="13.2" x14ac:dyDescent="0.25"/>
    <row r="1770" ht="13.2" x14ac:dyDescent="0.25"/>
    <row r="1771" ht="13.2" x14ac:dyDescent="0.25"/>
    <row r="1772" ht="13.2" x14ac:dyDescent="0.25"/>
    <row r="1773" ht="13.2" x14ac:dyDescent="0.25"/>
    <row r="1774" ht="13.2" x14ac:dyDescent="0.25"/>
    <row r="1775" ht="13.2" x14ac:dyDescent="0.25"/>
    <row r="1776" ht="13.2" x14ac:dyDescent="0.25"/>
    <row r="1777" ht="13.2" x14ac:dyDescent="0.25"/>
    <row r="1778" ht="13.2" x14ac:dyDescent="0.25"/>
    <row r="1779" ht="13.2" x14ac:dyDescent="0.25"/>
    <row r="1780" ht="13.2" x14ac:dyDescent="0.25"/>
    <row r="1781" ht="13.2" x14ac:dyDescent="0.25"/>
    <row r="1782" ht="13.2" x14ac:dyDescent="0.25"/>
    <row r="1783" ht="13.2" x14ac:dyDescent="0.25"/>
    <row r="1784" ht="13.2" x14ac:dyDescent="0.25"/>
    <row r="1785" ht="13.2" x14ac:dyDescent="0.25"/>
    <row r="1786" ht="13.2" x14ac:dyDescent="0.25"/>
    <row r="1787" ht="13.2" x14ac:dyDescent="0.25"/>
    <row r="1788" ht="13.2" x14ac:dyDescent="0.25"/>
    <row r="1789" ht="13.2" x14ac:dyDescent="0.25"/>
    <row r="1790" ht="13.2" x14ac:dyDescent="0.25"/>
    <row r="1791" ht="13.2" x14ac:dyDescent="0.25"/>
    <row r="1792" ht="13.2" x14ac:dyDescent="0.25"/>
    <row r="1793" ht="13.2" x14ac:dyDescent="0.25"/>
    <row r="1794" ht="13.2" x14ac:dyDescent="0.25"/>
    <row r="1795" ht="13.2" x14ac:dyDescent="0.25"/>
    <row r="1796" ht="13.2" x14ac:dyDescent="0.25"/>
    <row r="1797" ht="13.2" x14ac:dyDescent="0.25"/>
    <row r="1798" ht="13.2" x14ac:dyDescent="0.25"/>
    <row r="1799" ht="13.2" x14ac:dyDescent="0.25"/>
    <row r="1800" ht="13.2" x14ac:dyDescent="0.25"/>
    <row r="1801" ht="13.2" x14ac:dyDescent="0.25"/>
    <row r="1802" ht="13.2" x14ac:dyDescent="0.25"/>
    <row r="1803" ht="13.2" x14ac:dyDescent="0.25"/>
    <row r="1804" ht="13.2" x14ac:dyDescent="0.25"/>
    <row r="1805" ht="13.2" x14ac:dyDescent="0.25"/>
    <row r="1806" ht="13.2" x14ac:dyDescent="0.25"/>
    <row r="1807" ht="13.2" x14ac:dyDescent="0.25"/>
    <row r="1808" ht="13.2" x14ac:dyDescent="0.25"/>
    <row r="1809" ht="13.2" x14ac:dyDescent="0.25"/>
    <row r="1810" ht="13.2" x14ac:dyDescent="0.25"/>
    <row r="1811" ht="13.2" x14ac:dyDescent="0.25"/>
    <row r="1812" ht="13.2" x14ac:dyDescent="0.25"/>
    <row r="1813" ht="13.2" x14ac:dyDescent="0.25"/>
    <row r="1814" ht="13.2" x14ac:dyDescent="0.25"/>
    <row r="1815" ht="13.2" x14ac:dyDescent="0.25"/>
    <row r="1816" ht="13.2" x14ac:dyDescent="0.25"/>
    <row r="1817" ht="13.2" x14ac:dyDescent="0.25"/>
    <row r="1818" ht="13.2" x14ac:dyDescent="0.25"/>
    <row r="1819" ht="13.2" x14ac:dyDescent="0.25"/>
    <row r="1820" ht="13.2" x14ac:dyDescent="0.25"/>
    <row r="1821" ht="13.2" x14ac:dyDescent="0.25"/>
    <row r="1822" ht="13.2" x14ac:dyDescent="0.25"/>
    <row r="1823" ht="13.2" x14ac:dyDescent="0.25"/>
    <row r="1824" ht="13.2" x14ac:dyDescent="0.25"/>
    <row r="1825" ht="13.2" x14ac:dyDescent="0.25"/>
    <row r="1826" ht="13.2" x14ac:dyDescent="0.25"/>
    <row r="1827" ht="13.2" x14ac:dyDescent="0.25"/>
    <row r="1828" ht="13.2" x14ac:dyDescent="0.25"/>
    <row r="1829" ht="13.2" x14ac:dyDescent="0.25"/>
    <row r="1830" ht="13.2" x14ac:dyDescent="0.25"/>
    <row r="1831" ht="13.2" x14ac:dyDescent="0.25"/>
    <row r="1832" ht="13.2" x14ac:dyDescent="0.25"/>
    <row r="1833" ht="13.2" x14ac:dyDescent="0.25"/>
    <row r="1834" ht="13.2" x14ac:dyDescent="0.25"/>
    <row r="1835" ht="13.2" x14ac:dyDescent="0.25"/>
    <row r="1836" ht="13.2" x14ac:dyDescent="0.25"/>
    <row r="1837" ht="13.2" x14ac:dyDescent="0.25"/>
    <row r="1838" ht="13.2" x14ac:dyDescent="0.25"/>
    <row r="1839" ht="13.2" x14ac:dyDescent="0.25"/>
    <row r="1840" ht="13.2" x14ac:dyDescent="0.25"/>
    <row r="1841" ht="13.2" x14ac:dyDescent="0.25"/>
    <row r="1842" ht="13.2" x14ac:dyDescent="0.25"/>
    <row r="1843" ht="13.2" x14ac:dyDescent="0.25"/>
    <row r="1844" ht="13.2" x14ac:dyDescent="0.25"/>
    <row r="1845" ht="13.2" x14ac:dyDescent="0.25"/>
    <row r="1846" ht="13.2" x14ac:dyDescent="0.25"/>
    <row r="1847" ht="13.2" x14ac:dyDescent="0.25"/>
    <row r="1848" ht="13.2" x14ac:dyDescent="0.25"/>
    <row r="1849" ht="13.2" x14ac:dyDescent="0.25"/>
    <row r="1850" ht="13.2" x14ac:dyDescent="0.25"/>
    <row r="1851" ht="13.2" x14ac:dyDescent="0.25"/>
    <row r="1852" ht="13.2" x14ac:dyDescent="0.25"/>
    <row r="1853" ht="13.2" x14ac:dyDescent="0.25"/>
    <row r="1854" ht="13.2" x14ac:dyDescent="0.25"/>
    <row r="1855" ht="13.2" x14ac:dyDescent="0.25"/>
    <row r="1856" ht="13.2" x14ac:dyDescent="0.25"/>
    <row r="1857" ht="13.2" x14ac:dyDescent="0.25"/>
    <row r="1858" ht="13.2" x14ac:dyDescent="0.25"/>
    <row r="1859" ht="13.2" x14ac:dyDescent="0.25"/>
    <row r="1860" ht="13.2" x14ac:dyDescent="0.25"/>
    <row r="1861" ht="13.2" x14ac:dyDescent="0.25"/>
    <row r="1862" ht="13.2" x14ac:dyDescent="0.25"/>
    <row r="1863" ht="13.2" x14ac:dyDescent="0.25"/>
    <row r="1864" ht="13.2" x14ac:dyDescent="0.25"/>
    <row r="1865" ht="13.2" x14ac:dyDescent="0.25"/>
    <row r="1866" ht="13.2" x14ac:dyDescent="0.25"/>
    <row r="1867" ht="13.2" x14ac:dyDescent="0.25"/>
    <row r="1868" ht="13.2" x14ac:dyDescent="0.25"/>
    <row r="1869" ht="13.2" x14ac:dyDescent="0.25"/>
    <row r="1870" ht="13.2" x14ac:dyDescent="0.25"/>
    <row r="1871" ht="13.2" x14ac:dyDescent="0.25"/>
    <row r="1872" ht="13.2" x14ac:dyDescent="0.25"/>
    <row r="1873" ht="13.2" x14ac:dyDescent="0.25"/>
    <row r="1874" ht="13.2" x14ac:dyDescent="0.25"/>
    <row r="1875" ht="13.2" x14ac:dyDescent="0.25"/>
    <row r="1876" ht="13.2" x14ac:dyDescent="0.25"/>
    <row r="1877" ht="13.2" x14ac:dyDescent="0.25"/>
    <row r="1878" ht="13.2" x14ac:dyDescent="0.25"/>
    <row r="1879" ht="13.2" x14ac:dyDescent="0.25"/>
    <row r="1880" ht="13.2" x14ac:dyDescent="0.25"/>
    <row r="1881" ht="13.2" x14ac:dyDescent="0.25"/>
    <row r="1882" ht="13.2" x14ac:dyDescent="0.25"/>
    <row r="1883" ht="13.2" x14ac:dyDescent="0.25"/>
    <row r="1884" ht="13.2" x14ac:dyDescent="0.25"/>
    <row r="1885" ht="13.2" x14ac:dyDescent="0.25"/>
    <row r="1886" ht="13.2" x14ac:dyDescent="0.25"/>
    <row r="1887" ht="13.2" x14ac:dyDescent="0.25"/>
    <row r="1888" ht="13.2" x14ac:dyDescent="0.25"/>
    <row r="1889" ht="13.2" x14ac:dyDescent="0.25"/>
    <row r="1890" ht="13.2" x14ac:dyDescent="0.25"/>
    <row r="1891" ht="13.2" x14ac:dyDescent="0.25"/>
    <row r="1892" ht="13.2" x14ac:dyDescent="0.25"/>
    <row r="1893" ht="13.2" x14ac:dyDescent="0.25"/>
    <row r="1894" ht="13.2" x14ac:dyDescent="0.25"/>
    <row r="1895" ht="13.2" x14ac:dyDescent="0.25"/>
    <row r="1896" ht="13.2" x14ac:dyDescent="0.25"/>
    <row r="1897" ht="13.2" x14ac:dyDescent="0.25"/>
    <row r="1898" ht="13.2" x14ac:dyDescent="0.25"/>
    <row r="1899" ht="13.2" x14ac:dyDescent="0.25"/>
    <row r="1900" ht="13.2" x14ac:dyDescent="0.25"/>
    <row r="1901" ht="13.2" x14ac:dyDescent="0.25"/>
    <row r="1902" ht="13.2" x14ac:dyDescent="0.25"/>
    <row r="1903" ht="13.2" x14ac:dyDescent="0.25"/>
    <row r="1904" ht="13.2" x14ac:dyDescent="0.25"/>
    <row r="1905" ht="13.2" x14ac:dyDescent="0.25"/>
    <row r="1906" ht="13.2" x14ac:dyDescent="0.25"/>
    <row r="1907" ht="13.2" x14ac:dyDescent="0.25"/>
    <row r="1908" ht="13.2" x14ac:dyDescent="0.25"/>
    <row r="1909" ht="13.2" x14ac:dyDescent="0.25"/>
    <row r="1910" ht="13.2" x14ac:dyDescent="0.25"/>
    <row r="1911" ht="13.2" x14ac:dyDescent="0.25"/>
    <row r="1912" ht="13.2" x14ac:dyDescent="0.25"/>
    <row r="1913" ht="13.2" x14ac:dyDescent="0.25"/>
    <row r="1914" ht="13.2" x14ac:dyDescent="0.25"/>
    <row r="1915" ht="13.2" x14ac:dyDescent="0.25"/>
    <row r="1916" ht="13.2" x14ac:dyDescent="0.25"/>
    <row r="1917" ht="13.2" x14ac:dyDescent="0.25"/>
    <row r="1918" ht="13.2" x14ac:dyDescent="0.25"/>
    <row r="1919" ht="13.2" x14ac:dyDescent="0.25"/>
    <row r="1920" ht="13.2" x14ac:dyDescent="0.25"/>
    <row r="1921" ht="13.2" x14ac:dyDescent="0.25"/>
    <row r="1922" ht="13.2" x14ac:dyDescent="0.25"/>
    <row r="1923" ht="13.2" x14ac:dyDescent="0.25"/>
    <row r="1924" ht="13.2" x14ac:dyDescent="0.25"/>
    <row r="1925" ht="13.2" x14ac:dyDescent="0.25"/>
    <row r="1926" ht="13.2" x14ac:dyDescent="0.25"/>
    <row r="1927" ht="13.2" x14ac:dyDescent="0.25"/>
    <row r="1928" ht="13.2" x14ac:dyDescent="0.25"/>
    <row r="1929" ht="13.2" x14ac:dyDescent="0.25"/>
    <row r="1930" ht="13.2" x14ac:dyDescent="0.25"/>
    <row r="1931" ht="13.2" x14ac:dyDescent="0.25"/>
    <row r="1932" ht="13.2" x14ac:dyDescent="0.25"/>
    <row r="1933" ht="13.2" x14ac:dyDescent="0.25"/>
    <row r="1934" ht="13.2" x14ac:dyDescent="0.25"/>
    <row r="1935" ht="13.2" x14ac:dyDescent="0.25"/>
    <row r="1936" ht="13.2" x14ac:dyDescent="0.25"/>
    <row r="1937" ht="13.2" x14ac:dyDescent="0.25"/>
    <row r="1938" ht="13.2" x14ac:dyDescent="0.25"/>
    <row r="1939" ht="13.2" x14ac:dyDescent="0.25"/>
    <row r="1940" ht="13.2" x14ac:dyDescent="0.25"/>
    <row r="1941" ht="13.2" x14ac:dyDescent="0.25"/>
    <row r="1942" ht="13.2" x14ac:dyDescent="0.25"/>
    <row r="1943" ht="13.2" x14ac:dyDescent="0.25"/>
    <row r="1944" ht="13.2" x14ac:dyDescent="0.25"/>
    <row r="1945" ht="13.2" x14ac:dyDescent="0.25"/>
    <row r="1946" ht="13.2" x14ac:dyDescent="0.25"/>
    <row r="1947" ht="13.2" x14ac:dyDescent="0.25"/>
    <row r="1948" ht="13.2" x14ac:dyDescent="0.25"/>
    <row r="1949" ht="13.2" x14ac:dyDescent="0.25"/>
    <row r="1950" ht="13.2" x14ac:dyDescent="0.25"/>
    <row r="1951" ht="13.2" x14ac:dyDescent="0.25"/>
    <row r="1952" ht="13.2" x14ac:dyDescent="0.25"/>
    <row r="1953" ht="13.2" x14ac:dyDescent="0.25"/>
    <row r="1954" ht="13.2" x14ac:dyDescent="0.25"/>
    <row r="1955" ht="13.2" x14ac:dyDescent="0.25"/>
    <row r="1956" ht="13.2" x14ac:dyDescent="0.25"/>
    <row r="1957" ht="13.2" x14ac:dyDescent="0.25"/>
    <row r="1958" ht="13.2" x14ac:dyDescent="0.25"/>
    <row r="1959" ht="13.2" x14ac:dyDescent="0.25"/>
    <row r="1960" ht="13.2" x14ac:dyDescent="0.25"/>
    <row r="1961" ht="13.2" x14ac:dyDescent="0.25"/>
    <row r="1962" ht="13.2" x14ac:dyDescent="0.25"/>
    <row r="1963" ht="13.2" x14ac:dyDescent="0.25"/>
    <row r="1964" ht="13.2" x14ac:dyDescent="0.25"/>
    <row r="1965" ht="13.2" x14ac:dyDescent="0.25"/>
    <row r="1966" ht="13.2" x14ac:dyDescent="0.25"/>
    <row r="1967" ht="13.2" x14ac:dyDescent="0.25"/>
    <row r="1968" ht="13.2" x14ac:dyDescent="0.25"/>
    <row r="1969" ht="13.2" x14ac:dyDescent="0.25"/>
    <row r="1970" ht="13.2" x14ac:dyDescent="0.25"/>
    <row r="1971" ht="13.2" x14ac:dyDescent="0.25"/>
    <row r="1972" ht="13.2" x14ac:dyDescent="0.25"/>
    <row r="1973" ht="13.2" x14ac:dyDescent="0.25"/>
    <row r="1974" ht="13.2" x14ac:dyDescent="0.25"/>
    <row r="1975" ht="13.2" x14ac:dyDescent="0.25"/>
    <row r="1976" ht="13.2" x14ac:dyDescent="0.25"/>
    <row r="1977" ht="13.2" x14ac:dyDescent="0.25"/>
    <row r="1978" ht="13.2" x14ac:dyDescent="0.25"/>
    <row r="1979" ht="13.2" x14ac:dyDescent="0.25"/>
    <row r="1980" ht="13.2" x14ac:dyDescent="0.25"/>
    <row r="1981" ht="13.2" x14ac:dyDescent="0.25"/>
    <row r="1982" ht="13.2" x14ac:dyDescent="0.25"/>
    <row r="1983" ht="13.2" x14ac:dyDescent="0.25"/>
    <row r="1984" ht="13.2" x14ac:dyDescent="0.25"/>
    <row r="1985" ht="13.2" x14ac:dyDescent="0.25"/>
    <row r="1986" ht="13.2" x14ac:dyDescent="0.25"/>
    <row r="1987" ht="13.2" x14ac:dyDescent="0.25"/>
    <row r="1988" ht="13.2" x14ac:dyDescent="0.25"/>
    <row r="1989" ht="13.2" x14ac:dyDescent="0.25"/>
    <row r="1990" ht="13.2" x14ac:dyDescent="0.25"/>
    <row r="1991" ht="13.2" x14ac:dyDescent="0.25"/>
    <row r="1992" ht="13.2" x14ac:dyDescent="0.25"/>
    <row r="1993" ht="13.2" x14ac:dyDescent="0.25"/>
    <row r="1994" ht="13.2" x14ac:dyDescent="0.25"/>
    <row r="1995" ht="13.2" x14ac:dyDescent="0.25"/>
    <row r="1996" ht="13.2" x14ac:dyDescent="0.25"/>
    <row r="1997" ht="13.2" x14ac:dyDescent="0.25"/>
    <row r="1998" ht="13.2" x14ac:dyDescent="0.25"/>
    <row r="1999" ht="13.2" x14ac:dyDescent="0.25"/>
    <row r="2000" ht="13.2" x14ac:dyDescent="0.25"/>
    <row r="2001" ht="13.2" x14ac:dyDescent="0.25"/>
    <row r="2002" ht="13.2" x14ac:dyDescent="0.25"/>
    <row r="2003" ht="13.2" x14ac:dyDescent="0.25"/>
    <row r="2004" ht="13.2" x14ac:dyDescent="0.25"/>
    <row r="2005" ht="13.2" x14ac:dyDescent="0.25"/>
    <row r="2006" ht="13.2" x14ac:dyDescent="0.25"/>
    <row r="2007" ht="13.2" x14ac:dyDescent="0.25"/>
    <row r="2008" ht="13.2" x14ac:dyDescent="0.25"/>
    <row r="2009" ht="13.2" x14ac:dyDescent="0.25"/>
    <row r="2010" ht="13.2" x14ac:dyDescent="0.25"/>
    <row r="2011" ht="13.2" x14ac:dyDescent="0.25"/>
    <row r="2012" ht="13.2" x14ac:dyDescent="0.25"/>
    <row r="2013" ht="13.2" x14ac:dyDescent="0.25"/>
    <row r="2014" ht="13.2" x14ac:dyDescent="0.25"/>
    <row r="2015" ht="13.2" x14ac:dyDescent="0.25"/>
    <row r="2016" ht="13.2" x14ac:dyDescent="0.25"/>
    <row r="2017" ht="13.2" x14ac:dyDescent="0.25"/>
    <row r="2018" ht="13.2" x14ac:dyDescent="0.25"/>
    <row r="2019" ht="13.2" x14ac:dyDescent="0.25"/>
    <row r="2020" ht="13.2" x14ac:dyDescent="0.25"/>
    <row r="2021" ht="13.2" x14ac:dyDescent="0.25"/>
    <row r="2022" ht="13.2" x14ac:dyDescent="0.25"/>
    <row r="2023" ht="13.2" x14ac:dyDescent="0.25"/>
    <row r="2024" ht="13.2" x14ac:dyDescent="0.25"/>
    <row r="2025" ht="13.2" x14ac:dyDescent="0.25"/>
    <row r="2026" ht="13.2" x14ac:dyDescent="0.25"/>
    <row r="2027" ht="13.2" x14ac:dyDescent="0.25"/>
    <row r="2028" ht="13.2" x14ac:dyDescent="0.25"/>
    <row r="2029" ht="13.2" x14ac:dyDescent="0.25"/>
    <row r="2030" ht="13.2" x14ac:dyDescent="0.25"/>
    <row r="2031" ht="13.2" x14ac:dyDescent="0.25"/>
    <row r="2032" ht="13.2" x14ac:dyDescent="0.25"/>
    <row r="2033" ht="13.2" x14ac:dyDescent="0.25"/>
    <row r="2034" ht="13.2" x14ac:dyDescent="0.25"/>
    <row r="2035" ht="13.2" x14ac:dyDescent="0.25"/>
    <row r="2036" ht="13.2" x14ac:dyDescent="0.25"/>
    <row r="2037" ht="13.2" x14ac:dyDescent="0.25"/>
    <row r="2038" ht="13.2" x14ac:dyDescent="0.25"/>
    <row r="2039" ht="13.2" x14ac:dyDescent="0.25"/>
    <row r="2040" ht="13.2" x14ac:dyDescent="0.25"/>
    <row r="2041" ht="13.2" x14ac:dyDescent="0.25"/>
    <row r="2042" ht="13.2" x14ac:dyDescent="0.25"/>
    <row r="2043" ht="13.2" x14ac:dyDescent="0.25"/>
    <row r="2044" ht="13.2" x14ac:dyDescent="0.25"/>
    <row r="2045" ht="13.2" x14ac:dyDescent="0.25"/>
    <row r="2046" ht="13.2" x14ac:dyDescent="0.25"/>
    <row r="2047" ht="13.2" x14ac:dyDescent="0.25"/>
    <row r="2048" ht="13.2" x14ac:dyDescent="0.25"/>
    <row r="2049" ht="13.2" x14ac:dyDescent="0.25"/>
    <row r="2050" ht="13.2" x14ac:dyDescent="0.25"/>
    <row r="2051" ht="13.2" x14ac:dyDescent="0.25"/>
    <row r="2052" ht="13.2" x14ac:dyDescent="0.25"/>
    <row r="2053" ht="13.2" x14ac:dyDescent="0.25"/>
    <row r="2054" ht="13.2" x14ac:dyDescent="0.25"/>
    <row r="2055" ht="13.2" x14ac:dyDescent="0.25"/>
    <row r="2056" ht="13.2" x14ac:dyDescent="0.25"/>
    <row r="2057" ht="13.2" x14ac:dyDescent="0.25"/>
    <row r="2058" ht="13.2" x14ac:dyDescent="0.25"/>
    <row r="2059" ht="13.2" x14ac:dyDescent="0.25"/>
    <row r="2060" ht="13.2" x14ac:dyDescent="0.25"/>
    <row r="2061" ht="13.2" x14ac:dyDescent="0.25"/>
    <row r="2062" ht="13.2" x14ac:dyDescent="0.25"/>
    <row r="2063" ht="13.2" x14ac:dyDescent="0.25"/>
    <row r="2064" ht="13.2" x14ac:dyDescent="0.25"/>
    <row r="2065" ht="13.2" x14ac:dyDescent="0.25"/>
    <row r="2066" ht="13.2" x14ac:dyDescent="0.25"/>
    <row r="2067" ht="13.2" x14ac:dyDescent="0.25"/>
    <row r="2068" ht="13.2" x14ac:dyDescent="0.25"/>
    <row r="2069" ht="13.2" x14ac:dyDescent="0.25"/>
    <row r="2070" ht="13.2" x14ac:dyDescent="0.25"/>
    <row r="2071" ht="13.2" x14ac:dyDescent="0.25"/>
    <row r="2072" ht="13.2" x14ac:dyDescent="0.25"/>
    <row r="2073" ht="13.2" x14ac:dyDescent="0.25"/>
    <row r="2074" ht="13.2" x14ac:dyDescent="0.25"/>
    <row r="2075" ht="13.2" x14ac:dyDescent="0.25"/>
    <row r="2076" ht="13.2" x14ac:dyDescent="0.25"/>
    <row r="2077" ht="13.2" x14ac:dyDescent="0.25"/>
    <row r="2078" ht="13.2" x14ac:dyDescent="0.25"/>
    <row r="2079" ht="13.2" x14ac:dyDescent="0.25"/>
    <row r="2080" ht="13.2" x14ac:dyDescent="0.25"/>
    <row r="2081" ht="13.2" x14ac:dyDescent="0.25"/>
    <row r="2082" ht="13.2" x14ac:dyDescent="0.25"/>
    <row r="2083" ht="13.2" x14ac:dyDescent="0.25"/>
    <row r="2084" ht="13.2" x14ac:dyDescent="0.25"/>
    <row r="2085" ht="13.2" x14ac:dyDescent="0.25"/>
    <row r="2086" ht="13.2" x14ac:dyDescent="0.25"/>
    <row r="2087" ht="13.2" x14ac:dyDescent="0.25"/>
    <row r="2088" ht="13.2" x14ac:dyDescent="0.25"/>
    <row r="2089" ht="13.2" x14ac:dyDescent="0.25"/>
    <row r="2090" ht="13.2" x14ac:dyDescent="0.25"/>
    <row r="2091" ht="13.2" x14ac:dyDescent="0.25"/>
    <row r="2092" ht="13.2" x14ac:dyDescent="0.25"/>
    <row r="2093" ht="13.2" x14ac:dyDescent="0.25"/>
    <row r="2094" ht="13.2" x14ac:dyDescent="0.25"/>
    <row r="2095" ht="13.2" x14ac:dyDescent="0.25"/>
    <row r="2096" ht="13.2" x14ac:dyDescent="0.25"/>
    <row r="2097" ht="13.2" x14ac:dyDescent="0.25"/>
    <row r="2098" ht="13.2" x14ac:dyDescent="0.25"/>
    <row r="2099" ht="13.2" x14ac:dyDescent="0.25"/>
    <row r="2100" ht="13.2" x14ac:dyDescent="0.25"/>
    <row r="2101" ht="13.2" x14ac:dyDescent="0.25"/>
    <row r="2102" ht="13.2" x14ac:dyDescent="0.25"/>
    <row r="2103" ht="13.2" x14ac:dyDescent="0.25"/>
    <row r="2104" ht="13.2" x14ac:dyDescent="0.25"/>
    <row r="2105" ht="13.2" x14ac:dyDescent="0.25"/>
    <row r="2106" ht="13.2" x14ac:dyDescent="0.25"/>
    <row r="2107" ht="13.2" x14ac:dyDescent="0.25"/>
    <row r="2108" ht="13.2" x14ac:dyDescent="0.25"/>
    <row r="2109" ht="13.2" x14ac:dyDescent="0.25"/>
    <row r="2110" ht="13.2" x14ac:dyDescent="0.25"/>
    <row r="2111" ht="13.2" x14ac:dyDescent="0.25"/>
    <row r="2112" ht="13.2" x14ac:dyDescent="0.25"/>
    <row r="2113" ht="13.2" x14ac:dyDescent="0.25"/>
    <row r="2114" ht="13.2" x14ac:dyDescent="0.25"/>
    <row r="2115" ht="13.2" x14ac:dyDescent="0.25"/>
    <row r="2116" ht="13.2" x14ac:dyDescent="0.25"/>
    <row r="2117" ht="13.2" x14ac:dyDescent="0.25"/>
    <row r="2118" ht="13.2" x14ac:dyDescent="0.25"/>
    <row r="2119" ht="13.2" x14ac:dyDescent="0.25"/>
    <row r="2120" ht="13.2" x14ac:dyDescent="0.25"/>
    <row r="2121" ht="13.2" x14ac:dyDescent="0.25"/>
    <row r="2122" ht="13.2" x14ac:dyDescent="0.25"/>
    <row r="2123" ht="13.2" x14ac:dyDescent="0.25"/>
    <row r="2124" ht="13.2" x14ac:dyDescent="0.25"/>
    <row r="2125" ht="13.2" x14ac:dyDescent="0.25"/>
    <row r="2126" ht="13.2" x14ac:dyDescent="0.25"/>
    <row r="2127" ht="13.2" x14ac:dyDescent="0.25"/>
    <row r="2128" ht="13.2" x14ac:dyDescent="0.25"/>
    <row r="2129" ht="13.2" x14ac:dyDescent="0.25"/>
    <row r="2130" ht="13.2" x14ac:dyDescent="0.25"/>
    <row r="2131" ht="13.2" x14ac:dyDescent="0.25"/>
    <row r="2132" ht="13.2" x14ac:dyDescent="0.25"/>
    <row r="2133" ht="13.2" x14ac:dyDescent="0.25"/>
    <row r="2134" ht="13.2" x14ac:dyDescent="0.25"/>
    <row r="2135" ht="13.2" x14ac:dyDescent="0.25"/>
    <row r="2136" ht="13.2" x14ac:dyDescent="0.25"/>
    <row r="2137" ht="13.2" x14ac:dyDescent="0.25"/>
    <row r="2138" ht="13.2" x14ac:dyDescent="0.25"/>
    <row r="2139" ht="13.2" x14ac:dyDescent="0.25"/>
    <row r="2140" ht="13.2" x14ac:dyDescent="0.25"/>
    <row r="2141" ht="13.2" x14ac:dyDescent="0.25"/>
    <row r="2142" ht="13.2" x14ac:dyDescent="0.25"/>
    <row r="2143" ht="13.2" x14ac:dyDescent="0.25"/>
    <row r="2144" ht="13.2" x14ac:dyDescent="0.25"/>
    <row r="2145" ht="13.2" x14ac:dyDescent="0.25"/>
    <row r="2146" ht="13.2" x14ac:dyDescent="0.25"/>
    <row r="2147" ht="13.2" x14ac:dyDescent="0.25"/>
    <row r="2148" ht="13.2" x14ac:dyDescent="0.25"/>
    <row r="2149" ht="13.2" x14ac:dyDescent="0.25"/>
    <row r="2150" ht="13.2" x14ac:dyDescent="0.25"/>
    <row r="2151" ht="13.2" x14ac:dyDescent="0.25"/>
    <row r="2152" ht="13.2" x14ac:dyDescent="0.25"/>
    <row r="2153" ht="13.2" x14ac:dyDescent="0.25"/>
    <row r="2154" ht="13.2" x14ac:dyDescent="0.25"/>
    <row r="2155" ht="13.2" x14ac:dyDescent="0.25"/>
    <row r="2156" ht="13.2" x14ac:dyDescent="0.25"/>
    <row r="2157" ht="13.2" x14ac:dyDescent="0.25"/>
    <row r="2158" ht="13.2" x14ac:dyDescent="0.25"/>
    <row r="2159" ht="13.2" x14ac:dyDescent="0.25"/>
    <row r="2160" ht="13.2" x14ac:dyDescent="0.25"/>
    <row r="2161" ht="13.2" x14ac:dyDescent="0.25"/>
    <row r="2162" ht="13.2" x14ac:dyDescent="0.25"/>
    <row r="2163" ht="13.2" x14ac:dyDescent="0.25"/>
    <row r="2164" ht="13.2" x14ac:dyDescent="0.25"/>
    <row r="2165" ht="13.2" x14ac:dyDescent="0.25"/>
    <row r="2166" ht="13.2" x14ac:dyDescent="0.25"/>
    <row r="2167" ht="13.2" x14ac:dyDescent="0.25"/>
    <row r="2168" ht="13.2" x14ac:dyDescent="0.25"/>
    <row r="2169" ht="13.2" x14ac:dyDescent="0.25"/>
    <row r="2170" ht="13.2" x14ac:dyDescent="0.25"/>
    <row r="2171" ht="13.2" x14ac:dyDescent="0.25"/>
    <row r="2172" ht="13.2" x14ac:dyDescent="0.25"/>
    <row r="2173" ht="13.2" x14ac:dyDescent="0.25"/>
    <row r="2174" ht="13.2" x14ac:dyDescent="0.25"/>
    <row r="2175" ht="13.2" x14ac:dyDescent="0.25"/>
    <row r="2176" ht="13.2" x14ac:dyDescent="0.25"/>
    <row r="2177" ht="13.2" x14ac:dyDescent="0.25"/>
    <row r="2178" ht="13.2" x14ac:dyDescent="0.25"/>
    <row r="2179" ht="13.2" x14ac:dyDescent="0.25"/>
    <row r="2180" ht="13.2" x14ac:dyDescent="0.25"/>
    <row r="2181" ht="13.2" x14ac:dyDescent="0.25"/>
    <row r="2182" ht="13.2" x14ac:dyDescent="0.25"/>
    <row r="2183" ht="13.2" x14ac:dyDescent="0.25"/>
    <row r="2184" ht="13.2" x14ac:dyDescent="0.25"/>
    <row r="2185" ht="13.2" x14ac:dyDescent="0.25"/>
    <row r="2186" ht="13.2" x14ac:dyDescent="0.25"/>
    <row r="2187" ht="13.2" x14ac:dyDescent="0.25"/>
    <row r="2188" ht="13.2" x14ac:dyDescent="0.25"/>
    <row r="2189" ht="13.2" x14ac:dyDescent="0.25"/>
    <row r="2190" ht="13.2" x14ac:dyDescent="0.25"/>
    <row r="2191" ht="13.2" x14ac:dyDescent="0.25"/>
    <row r="2192" ht="13.2" x14ac:dyDescent="0.25"/>
    <row r="2193" ht="13.2" x14ac:dyDescent="0.25"/>
    <row r="2194" ht="13.2" x14ac:dyDescent="0.25"/>
    <row r="2195" ht="13.2" x14ac:dyDescent="0.25"/>
    <row r="2196" ht="13.2" x14ac:dyDescent="0.25"/>
    <row r="2197" ht="13.2" x14ac:dyDescent="0.25"/>
    <row r="2198" ht="13.2" x14ac:dyDescent="0.25"/>
    <row r="2199" ht="13.2" x14ac:dyDescent="0.25"/>
    <row r="2200" ht="13.2" x14ac:dyDescent="0.25"/>
    <row r="2201" ht="13.2" x14ac:dyDescent="0.25"/>
    <row r="2202" ht="13.2" x14ac:dyDescent="0.25"/>
    <row r="2203" ht="13.2" x14ac:dyDescent="0.25"/>
    <row r="2204" ht="13.2" x14ac:dyDescent="0.25"/>
    <row r="2205" ht="13.2" x14ac:dyDescent="0.25"/>
    <row r="2206" ht="13.2" x14ac:dyDescent="0.25"/>
    <row r="2207" ht="13.2" x14ac:dyDescent="0.25"/>
    <row r="2208" ht="13.2" x14ac:dyDescent="0.25"/>
    <row r="2209" ht="13.2" x14ac:dyDescent="0.25"/>
    <row r="2210" ht="13.2" x14ac:dyDescent="0.25"/>
    <row r="2211" ht="13.2" x14ac:dyDescent="0.25"/>
    <row r="2212" ht="13.2" x14ac:dyDescent="0.25"/>
    <row r="2213" ht="13.2" x14ac:dyDescent="0.25"/>
    <row r="2214" ht="13.2" x14ac:dyDescent="0.25"/>
    <row r="2215" ht="13.2" x14ac:dyDescent="0.25"/>
    <row r="2216" ht="13.2" x14ac:dyDescent="0.25"/>
    <row r="2217" ht="13.2" x14ac:dyDescent="0.25"/>
    <row r="2218" ht="13.2" x14ac:dyDescent="0.25"/>
    <row r="2219" ht="13.2" x14ac:dyDescent="0.25"/>
    <row r="2220" ht="13.2" x14ac:dyDescent="0.25"/>
    <row r="2221" ht="13.2" x14ac:dyDescent="0.25"/>
    <row r="2222" ht="13.2" x14ac:dyDescent="0.25"/>
    <row r="2223" ht="13.2" x14ac:dyDescent="0.25"/>
    <row r="2224" ht="13.2" x14ac:dyDescent="0.25"/>
    <row r="2225" ht="13.2" x14ac:dyDescent="0.25"/>
    <row r="2226" ht="13.2" x14ac:dyDescent="0.25"/>
    <row r="2227" ht="13.2" x14ac:dyDescent="0.25"/>
    <row r="2228" ht="13.2" x14ac:dyDescent="0.25"/>
    <row r="2229" ht="13.2" x14ac:dyDescent="0.25"/>
    <row r="2230" ht="13.2" x14ac:dyDescent="0.25"/>
    <row r="2231" ht="13.2" x14ac:dyDescent="0.25"/>
    <row r="2232" ht="13.2" x14ac:dyDescent="0.25"/>
    <row r="2233" ht="13.2" x14ac:dyDescent="0.25"/>
    <row r="2234" ht="13.2" x14ac:dyDescent="0.25"/>
    <row r="2235" ht="13.2" x14ac:dyDescent="0.25"/>
    <row r="2236" ht="13.2" x14ac:dyDescent="0.25"/>
    <row r="2237" ht="13.2" x14ac:dyDescent="0.25"/>
    <row r="2238" ht="13.2" x14ac:dyDescent="0.25"/>
    <row r="2239" ht="13.2" x14ac:dyDescent="0.25"/>
    <row r="2240" ht="13.2" x14ac:dyDescent="0.25"/>
    <row r="2241" ht="13.2" x14ac:dyDescent="0.25"/>
    <row r="2242" ht="13.2" x14ac:dyDescent="0.25"/>
    <row r="2243" ht="13.2" x14ac:dyDescent="0.25"/>
    <row r="2244" ht="13.2" x14ac:dyDescent="0.25"/>
    <row r="2245" ht="13.2" x14ac:dyDescent="0.25"/>
    <row r="2246" ht="13.2" x14ac:dyDescent="0.25"/>
    <row r="2247" ht="13.2" x14ac:dyDescent="0.25"/>
    <row r="2248" ht="13.2" x14ac:dyDescent="0.25"/>
    <row r="2249" ht="13.2" x14ac:dyDescent="0.25"/>
    <row r="2250" ht="13.2" x14ac:dyDescent="0.25"/>
    <row r="2251" ht="13.2" x14ac:dyDescent="0.25"/>
    <row r="2252" ht="13.2" x14ac:dyDescent="0.25"/>
    <row r="2253" ht="13.2" x14ac:dyDescent="0.25"/>
    <row r="2254" ht="13.2" x14ac:dyDescent="0.25"/>
    <row r="2255" ht="13.2" x14ac:dyDescent="0.25"/>
    <row r="2256" ht="13.2" x14ac:dyDescent="0.25"/>
    <row r="2257" ht="13.2" x14ac:dyDescent="0.25"/>
    <row r="2258" ht="13.2" x14ac:dyDescent="0.25"/>
    <row r="2259" ht="13.2" x14ac:dyDescent="0.25"/>
    <row r="2260" ht="13.2" x14ac:dyDescent="0.25"/>
    <row r="2261" ht="13.2" x14ac:dyDescent="0.25"/>
    <row r="2262" ht="13.2" x14ac:dyDescent="0.25"/>
    <row r="2263" ht="13.2" x14ac:dyDescent="0.25"/>
    <row r="2264" ht="13.2" x14ac:dyDescent="0.25"/>
    <row r="2265" ht="13.2" x14ac:dyDescent="0.25"/>
    <row r="2266" ht="13.2" x14ac:dyDescent="0.25"/>
    <row r="2267" ht="13.2" x14ac:dyDescent="0.25"/>
    <row r="2268" ht="13.2" x14ac:dyDescent="0.25"/>
    <row r="2269" ht="13.2" x14ac:dyDescent="0.25"/>
    <row r="2270" ht="13.2" x14ac:dyDescent="0.25"/>
    <row r="2271" ht="13.2" x14ac:dyDescent="0.25"/>
    <row r="2272" ht="13.2" x14ac:dyDescent="0.25"/>
    <row r="2273" ht="13.2" x14ac:dyDescent="0.25"/>
    <row r="2274" ht="13.2" x14ac:dyDescent="0.25"/>
    <row r="2275" ht="13.2" x14ac:dyDescent="0.25"/>
    <row r="2276" ht="13.2" x14ac:dyDescent="0.25"/>
    <row r="2277" ht="13.2" x14ac:dyDescent="0.25"/>
    <row r="2278" ht="13.2" x14ac:dyDescent="0.25"/>
    <row r="2279" ht="13.2" x14ac:dyDescent="0.25"/>
    <row r="2280" ht="13.2" x14ac:dyDescent="0.25"/>
    <row r="2281" ht="13.2" x14ac:dyDescent="0.25"/>
    <row r="2282" ht="13.2" x14ac:dyDescent="0.25"/>
    <row r="2283" ht="13.2" x14ac:dyDescent="0.25"/>
    <row r="2284" ht="13.2" x14ac:dyDescent="0.25"/>
    <row r="2285" ht="13.2" x14ac:dyDescent="0.25"/>
    <row r="2286" ht="13.2" x14ac:dyDescent="0.25"/>
    <row r="2287" ht="13.2" x14ac:dyDescent="0.25"/>
    <row r="2288" ht="13.2" x14ac:dyDescent="0.25"/>
    <row r="2289" ht="13.2" x14ac:dyDescent="0.25"/>
    <row r="2290" ht="13.2" x14ac:dyDescent="0.25"/>
    <row r="2291" ht="13.2" x14ac:dyDescent="0.25"/>
    <row r="2292" ht="13.2" x14ac:dyDescent="0.25"/>
    <row r="2293" ht="13.2" x14ac:dyDescent="0.25"/>
    <row r="2294" ht="13.2" x14ac:dyDescent="0.25"/>
    <row r="2295" ht="13.2" x14ac:dyDescent="0.25"/>
    <row r="2296" ht="13.2" x14ac:dyDescent="0.25"/>
    <row r="2297" ht="13.2" x14ac:dyDescent="0.25"/>
    <row r="2298" ht="13.2" x14ac:dyDescent="0.25"/>
    <row r="2299" ht="13.2" x14ac:dyDescent="0.25"/>
    <row r="2300" ht="13.2" x14ac:dyDescent="0.25"/>
    <row r="2301" ht="13.2" x14ac:dyDescent="0.25"/>
    <row r="2302" ht="13.2" x14ac:dyDescent="0.25"/>
    <row r="2303" ht="13.2" x14ac:dyDescent="0.25"/>
    <row r="2304" ht="13.2" x14ac:dyDescent="0.25"/>
    <row r="2305" ht="13.2" x14ac:dyDescent="0.25"/>
    <row r="2306" ht="13.2" x14ac:dyDescent="0.25"/>
    <row r="2307" ht="13.2" x14ac:dyDescent="0.25"/>
    <row r="2308" ht="13.2" x14ac:dyDescent="0.25"/>
    <row r="2309" ht="13.2" x14ac:dyDescent="0.25"/>
    <row r="2310" ht="13.2" x14ac:dyDescent="0.25"/>
    <row r="2311" ht="13.2" x14ac:dyDescent="0.25"/>
    <row r="2312" ht="13.2" x14ac:dyDescent="0.25"/>
    <row r="2313" ht="13.2" x14ac:dyDescent="0.25"/>
    <row r="2314" ht="13.2" x14ac:dyDescent="0.25"/>
    <row r="2315" ht="13.2" x14ac:dyDescent="0.25"/>
    <row r="2316" ht="13.2" x14ac:dyDescent="0.25"/>
    <row r="2317" ht="13.2" x14ac:dyDescent="0.25"/>
    <row r="2318" ht="13.2" x14ac:dyDescent="0.25"/>
    <row r="2319" ht="13.2" x14ac:dyDescent="0.25"/>
    <row r="2320" ht="13.2" x14ac:dyDescent="0.25"/>
    <row r="2321" ht="13.2" x14ac:dyDescent="0.25"/>
    <row r="2322" ht="13.2" x14ac:dyDescent="0.25"/>
    <row r="2323" ht="13.2" x14ac:dyDescent="0.25"/>
    <row r="2324" ht="13.2" x14ac:dyDescent="0.25"/>
    <row r="2325" ht="13.2" x14ac:dyDescent="0.25"/>
    <row r="2326" ht="13.2" x14ac:dyDescent="0.25"/>
    <row r="2327" ht="13.2" x14ac:dyDescent="0.25"/>
    <row r="2328" ht="13.2" x14ac:dyDescent="0.25"/>
    <row r="2329" ht="13.2" x14ac:dyDescent="0.25"/>
    <row r="2330" ht="13.2" x14ac:dyDescent="0.25"/>
    <row r="2331" ht="13.2" x14ac:dyDescent="0.25"/>
    <row r="2332" ht="13.2" x14ac:dyDescent="0.25"/>
    <row r="2333" ht="13.2" x14ac:dyDescent="0.25"/>
    <row r="2334" ht="13.2" x14ac:dyDescent="0.25"/>
    <row r="2335" ht="13.2" x14ac:dyDescent="0.25"/>
    <row r="2336" ht="13.2" x14ac:dyDescent="0.25"/>
    <row r="2337" ht="13.2" x14ac:dyDescent="0.25"/>
    <row r="2338" ht="13.2" x14ac:dyDescent="0.25"/>
    <row r="2339" ht="13.2" x14ac:dyDescent="0.25"/>
    <row r="2340" ht="13.2" x14ac:dyDescent="0.25"/>
    <row r="2341" ht="13.2" x14ac:dyDescent="0.25"/>
    <row r="2342" ht="13.2" x14ac:dyDescent="0.25"/>
    <row r="2343" ht="13.2" x14ac:dyDescent="0.25"/>
    <row r="2344" ht="13.2" x14ac:dyDescent="0.25"/>
    <row r="2345" ht="13.2" x14ac:dyDescent="0.25"/>
    <row r="2346" ht="13.2" x14ac:dyDescent="0.25"/>
    <row r="2347" ht="13.2" x14ac:dyDescent="0.25"/>
    <row r="2348" ht="13.2" x14ac:dyDescent="0.25"/>
    <row r="2349" ht="13.2" x14ac:dyDescent="0.25"/>
    <row r="2350" ht="13.2" x14ac:dyDescent="0.25"/>
    <row r="2351" ht="13.2" x14ac:dyDescent="0.25"/>
    <row r="2352" ht="13.2" x14ac:dyDescent="0.25"/>
    <row r="2353" ht="13.2" x14ac:dyDescent="0.25"/>
    <row r="2354" ht="13.2" x14ac:dyDescent="0.25"/>
    <row r="2355" ht="13.2" x14ac:dyDescent="0.25"/>
    <row r="2356" ht="13.2" x14ac:dyDescent="0.25"/>
    <row r="2357" ht="13.2" x14ac:dyDescent="0.25"/>
    <row r="2358" ht="13.2" x14ac:dyDescent="0.25"/>
    <row r="2359" ht="13.2" x14ac:dyDescent="0.25"/>
    <row r="2360" ht="13.2" x14ac:dyDescent="0.25"/>
    <row r="2361" ht="13.2" x14ac:dyDescent="0.25"/>
    <row r="2362" ht="13.2" x14ac:dyDescent="0.25"/>
    <row r="2363" ht="13.2" x14ac:dyDescent="0.25"/>
    <row r="2364" ht="13.2" x14ac:dyDescent="0.25"/>
    <row r="2365" ht="13.2" x14ac:dyDescent="0.25"/>
    <row r="2366" ht="13.2" x14ac:dyDescent="0.25"/>
    <row r="2367" ht="13.2" x14ac:dyDescent="0.25"/>
    <row r="2368" ht="13.2" x14ac:dyDescent="0.25"/>
    <row r="2369" ht="13.2" x14ac:dyDescent="0.25"/>
    <row r="2370" ht="13.2" x14ac:dyDescent="0.25"/>
    <row r="2371" ht="13.2" x14ac:dyDescent="0.25"/>
    <row r="2372" ht="13.2" x14ac:dyDescent="0.25"/>
    <row r="2373" ht="13.2" x14ac:dyDescent="0.25"/>
    <row r="2374" ht="13.2" x14ac:dyDescent="0.25"/>
    <row r="2375" ht="13.2" x14ac:dyDescent="0.25"/>
    <row r="2376" ht="13.2" x14ac:dyDescent="0.25"/>
    <row r="2377" ht="13.2" x14ac:dyDescent="0.25"/>
    <row r="2378" ht="13.2" x14ac:dyDescent="0.25"/>
    <row r="2379" ht="13.2" x14ac:dyDescent="0.25"/>
    <row r="2380" ht="13.2" x14ac:dyDescent="0.25"/>
    <row r="2381" ht="13.2" x14ac:dyDescent="0.25"/>
    <row r="2382" ht="13.2" x14ac:dyDescent="0.25"/>
    <row r="2383" ht="13.2" x14ac:dyDescent="0.25"/>
    <row r="2384" ht="13.2" x14ac:dyDescent="0.25"/>
    <row r="2385" ht="13.2" x14ac:dyDescent="0.25"/>
    <row r="2386" ht="13.2" x14ac:dyDescent="0.25"/>
    <row r="2387" ht="13.2" x14ac:dyDescent="0.25"/>
    <row r="2388" ht="13.2" x14ac:dyDescent="0.25"/>
    <row r="2389" ht="13.2" x14ac:dyDescent="0.25"/>
    <row r="2390" ht="13.2" x14ac:dyDescent="0.25"/>
    <row r="2391" ht="13.2" x14ac:dyDescent="0.25"/>
    <row r="2392" ht="13.2" x14ac:dyDescent="0.25"/>
    <row r="2393" ht="13.2" x14ac:dyDescent="0.25"/>
    <row r="2394" ht="13.2" x14ac:dyDescent="0.25"/>
    <row r="2395" ht="13.2" x14ac:dyDescent="0.25"/>
    <row r="2396" ht="13.2" x14ac:dyDescent="0.25"/>
    <row r="2397" ht="13.2" x14ac:dyDescent="0.25"/>
    <row r="2398" ht="13.2" x14ac:dyDescent="0.25"/>
    <row r="2399" ht="13.2" x14ac:dyDescent="0.25"/>
    <row r="2400" ht="13.2" x14ac:dyDescent="0.25"/>
    <row r="2401" ht="13.2" x14ac:dyDescent="0.25"/>
    <row r="2402" ht="13.2" x14ac:dyDescent="0.25"/>
    <row r="2403" ht="13.2" x14ac:dyDescent="0.25"/>
    <row r="2404" ht="13.2" x14ac:dyDescent="0.25"/>
    <row r="2405" ht="13.2" x14ac:dyDescent="0.25"/>
    <row r="2406" ht="13.2" x14ac:dyDescent="0.25"/>
    <row r="2407" ht="13.2" x14ac:dyDescent="0.25"/>
    <row r="2408" ht="13.2" x14ac:dyDescent="0.25"/>
    <row r="2409" ht="13.2" x14ac:dyDescent="0.25"/>
    <row r="2410" ht="13.2" x14ac:dyDescent="0.25"/>
    <row r="2411" ht="13.2" x14ac:dyDescent="0.25"/>
    <row r="2412" ht="13.2" x14ac:dyDescent="0.25"/>
    <row r="2413" ht="13.2" x14ac:dyDescent="0.25"/>
    <row r="2414" ht="13.2" x14ac:dyDescent="0.25"/>
    <row r="2415" ht="13.2" x14ac:dyDescent="0.25"/>
    <row r="2416" ht="13.2" x14ac:dyDescent="0.25"/>
    <row r="2417" ht="13.2" x14ac:dyDescent="0.25"/>
    <row r="2418" ht="13.2" x14ac:dyDescent="0.25"/>
    <row r="2419" ht="13.2" x14ac:dyDescent="0.25"/>
    <row r="2420" ht="13.2" x14ac:dyDescent="0.25"/>
    <row r="2421" ht="13.2" x14ac:dyDescent="0.25"/>
    <row r="2422" ht="13.2" x14ac:dyDescent="0.25"/>
    <row r="2423" ht="13.2" x14ac:dyDescent="0.25"/>
    <row r="2424" ht="13.2" x14ac:dyDescent="0.25"/>
    <row r="2425" ht="13.2" x14ac:dyDescent="0.25"/>
    <row r="2426" ht="13.2" x14ac:dyDescent="0.25"/>
    <row r="2427" ht="13.2" x14ac:dyDescent="0.25"/>
    <row r="2428" ht="13.2" x14ac:dyDescent="0.25"/>
    <row r="2429" ht="13.2" x14ac:dyDescent="0.25"/>
    <row r="2430" ht="13.2" x14ac:dyDescent="0.25"/>
    <row r="2431" ht="13.2" x14ac:dyDescent="0.25"/>
    <row r="2432" ht="13.2" x14ac:dyDescent="0.25"/>
    <row r="2433" ht="13.2" x14ac:dyDescent="0.25"/>
    <row r="2434" ht="13.2" x14ac:dyDescent="0.25"/>
    <row r="2435" ht="13.2" x14ac:dyDescent="0.25"/>
    <row r="2436" ht="13.2" x14ac:dyDescent="0.25"/>
    <row r="2437" ht="13.2" x14ac:dyDescent="0.25"/>
    <row r="2438" ht="13.2" x14ac:dyDescent="0.25"/>
    <row r="2439" ht="13.2" x14ac:dyDescent="0.25"/>
    <row r="2440" ht="13.2" x14ac:dyDescent="0.25"/>
    <row r="2441" ht="13.2" x14ac:dyDescent="0.25"/>
    <row r="2442" ht="13.2" x14ac:dyDescent="0.25"/>
    <row r="2443" ht="13.2" x14ac:dyDescent="0.25"/>
    <row r="2444" ht="13.2" x14ac:dyDescent="0.25"/>
    <row r="2445" ht="13.2" x14ac:dyDescent="0.25"/>
    <row r="2446" ht="13.2" x14ac:dyDescent="0.25"/>
    <row r="2447" ht="13.2" x14ac:dyDescent="0.25"/>
    <row r="2448" ht="13.2" x14ac:dyDescent="0.25"/>
    <row r="2449" ht="13.2" x14ac:dyDescent="0.25"/>
    <row r="2450" ht="13.2" x14ac:dyDescent="0.25"/>
    <row r="2451" ht="13.2" x14ac:dyDescent="0.25"/>
    <row r="2452" ht="13.2" x14ac:dyDescent="0.25"/>
    <row r="2453" ht="13.2" x14ac:dyDescent="0.25"/>
    <row r="2454" ht="13.2" x14ac:dyDescent="0.25"/>
    <row r="2455" ht="13.2" x14ac:dyDescent="0.25"/>
    <row r="2456" ht="13.2" x14ac:dyDescent="0.25"/>
    <row r="2457" ht="13.2" x14ac:dyDescent="0.25"/>
    <row r="2458" ht="13.2" x14ac:dyDescent="0.25"/>
    <row r="2459" ht="13.2" x14ac:dyDescent="0.25"/>
    <row r="2460" ht="13.2" x14ac:dyDescent="0.25"/>
    <row r="2461" ht="13.2" x14ac:dyDescent="0.25"/>
    <row r="2462" ht="13.2" x14ac:dyDescent="0.25"/>
    <row r="2463" ht="13.2" x14ac:dyDescent="0.25"/>
    <row r="2464" ht="13.2" x14ac:dyDescent="0.25"/>
    <row r="2465" ht="13.2" x14ac:dyDescent="0.25"/>
    <row r="2466" ht="13.2" x14ac:dyDescent="0.25"/>
    <row r="2467" ht="13.2" x14ac:dyDescent="0.25"/>
    <row r="2468" ht="13.2" x14ac:dyDescent="0.25"/>
    <row r="2469" ht="13.2" x14ac:dyDescent="0.25"/>
    <row r="2470" ht="13.2" x14ac:dyDescent="0.25"/>
    <row r="2471" ht="13.2" x14ac:dyDescent="0.25"/>
    <row r="2472" ht="13.2" x14ac:dyDescent="0.25"/>
    <row r="2473" ht="13.2" x14ac:dyDescent="0.25"/>
    <row r="2474" ht="13.2" x14ac:dyDescent="0.25"/>
    <row r="2475" ht="13.2" x14ac:dyDescent="0.25"/>
    <row r="2476" ht="13.2" x14ac:dyDescent="0.25"/>
    <row r="2477" ht="13.2" x14ac:dyDescent="0.25"/>
    <row r="2478" ht="13.2" x14ac:dyDescent="0.25"/>
    <row r="2479" ht="13.2" x14ac:dyDescent="0.25"/>
    <row r="2480" ht="13.2" x14ac:dyDescent="0.25"/>
    <row r="2481" ht="13.2" x14ac:dyDescent="0.25"/>
    <row r="2482" ht="13.2" x14ac:dyDescent="0.25"/>
    <row r="2483" ht="13.2" x14ac:dyDescent="0.25"/>
    <row r="2484" ht="13.2" x14ac:dyDescent="0.25"/>
    <row r="2485" ht="13.2" x14ac:dyDescent="0.25"/>
    <row r="2486" ht="13.2" x14ac:dyDescent="0.25"/>
    <row r="2487" ht="13.2" x14ac:dyDescent="0.25"/>
    <row r="2488" ht="13.2" x14ac:dyDescent="0.25"/>
    <row r="2489" ht="13.2" x14ac:dyDescent="0.25"/>
    <row r="2490" ht="13.2" x14ac:dyDescent="0.25"/>
    <row r="2491" ht="13.2" x14ac:dyDescent="0.25"/>
    <row r="2492" ht="13.2" x14ac:dyDescent="0.25"/>
    <row r="2493" ht="13.2" x14ac:dyDescent="0.25"/>
    <row r="2494" ht="13.2" x14ac:dyDescent="0.25"/>
    <row r="2495" ht="13.2" x14ac:dyDescent="0.25"/>
    <row r="2496" ht="13.2" x14ac:dyDescent="0.25"/>
    <row r="2497" ht="13.2" x14ac:dyDescent="0.25"/>
    <row r="2498" ht="13.2" x14ac:dyDescent="0.25"/>
    <row r="2499" ht="13.2" x14ac:dyDescent="0.25"/>
    <row r="2500" ht="13.2" x14ac:dyDescent="0.25"/>
    <row r="2501" ht="13.2" x14ac:dyDescent="0.25"/>
    <row r="2502" ht="13.2" x14ac:dyDescent="0.25"/>
    <row r="2503" ht="13.2" x14ac:dyDescent="0.25"/>
    <row r="2504" ht="13.2" x14ac:dyDescent="0.25"/>
    <row r="2505" ht="13.2" x14ac:dyDescent="0.25"/>
    <row r="2506" ht="13.2" x14ac:dyDescent="0.25"/>
    <row r="2507" ht="13.2" x14ac:dyDescent="0.25"/>
    <row r="2508" ht="13.2" x14ac:dyDescent="0.25"/>
    <row r="2509" ht="13.2" x14ac:dyDescent="0.25"/>
    <row r="2510" ht="13.2" x14ac:dyDescent="0.25"/>
    <row r="2511" ht="13.2" x14ac:dyDescent="0.25"/>
    <row r="2512" ht="13.2" x14ac:dyDescent="0.25"/>
    <row r="2513" ht="13.2" x14ac:dyDescent="0.25"/>
    <row r="2514" ht="13.2" x14ac:dyDescent="0.25"/>
    <row r="2515" ht="13.2" x14ac:dyDescent="0.25"/>
    <row r="2516" ht="13.2" x14ac:dyDescent="0.25"/>
    <row r="2517" ht="13.2" x14ac:dyDescent="0.25"/>
    <row r="2518" ht="13.2" x14ac:dyDescent="0.25"/>
    <row r="2519" ht="13.2" x14ac:dyDescent="0.25"/>
    <row r="2520" ht="13.2" x14ac:dyDescent="0.25"/>
    <row r="2521" ht="13.2" x14ac:dyDescent="0.25"/>
    <row r="2522" ht="13.2" x14ac:dyDescent="0.25"/>
    <row r="2523" ht="13.2" x14ac:dyDescent="0.25"/>
    <row r="2524" ht="13.2" x14ac:dyDescent="0.25"/>
    <row r="2525" ht="13.2" x14ac:dyDescent="0.25"/>
    <row r="2526" ht="13.2" x14ac:dyDescent="0.25"/>
    <row r="2527" ht="13.2" x14ac:dyDescent="0.25"/>
    <row r="2528" ht="13.2" x14ac:dyDescent="0.25"/>
    <row r="2529" ht="13.2" x14ac:dyDescent="0.25"/>
    <row r="2530" ht="13.2" x14ac:dyDescent="0.25"/>
    <row r="2531" ht="13.2" x14ac:dyDescent="0.25"/>
    <row r="2532" ht="13.2" x14ac:dyDescent="0.25"/>
    <row r="2533" ht="13.2" x14ac:dyDescent="0.25"/>
    <row r="2534" ht="13.2" x14ac:dyDescent="0.25"/>
    <row r="2535" ht="13.2" x14ac:dyDescent="0.25"/>
    <row r="2536" ht="13.2" x14ac:dyDescent="0.25"/>
    <row r="2537" ht="13.2" x14ac:dyDescent="0.25"/>
    <row r="2538" ht="13.2" x14ac:dyDescent="0.25"/>
    <row r="2539" ht="13.2" x14ac:dyDescent="0.25"/>
    <row r="2540" ht="13.2" x14ac:dyDescent="0.25"/>
    <row r="2541" ht="13.2" x14ac:dyDescent="0.25"/>
    <row r="2542" ht="13.2" x14ac:dyDescent="0.25"/>
    <row r="2543" ht="13.2" x14ac:dyDescent="0.25"/>
    <row r="2544" ht="13.2" x14ac:dyDescent="0.25"/>
    <row r="2545" ht="13.2" x14ac:dyDescent="0.25"/>
    <row r="2546" ht="13.2" x14ac:dyDescent="0.25"/>
    <row r="2547" ht="13.2" x14ac:dyDescent="0.25"/>
    <row r="2548" ht="13.2" x14ac:dyDescent="0.25"/>
    <row r="2549" ht="13.2" x14ac:dyDescent="0.25"/>
    <row r="2550" ht="13.2" x14ac:dyDescent="0.25"/>
    <row r="2551" ht="13.2" x14ac:dyDescent="0.25"/>
    <row r="2552" ht="13.2" x14ac:dyDescent="0.25"/>
    <row r="2553" ht="13.2" x14ac:dyDescent="0.25"/>
    <row r="2554" ht="13.2" x14ac:dyDescent="0.25"/>
    <row r="2555" ht="13.2" x14ac:dyDescent="0.25"/>
    <row r="2556" ht="13.2" x14ac:dyDescent="0.25"/>
    <row r="2557" ht="13.2" x14ac:dyDescent="0.25"/>
    <row r="2558" ht="13.2" x14ac:dyDescent="0.25"/>
    <row r="2559" ht="13.2" x14ac:dyDescent="0.25"/>
    <row r="2560" ht="13.2" x14ac:dyDescent="0.25"/>
    <row r="2561" ht="13.2" x14ac:dyDescent="0.25"/>
    <row r="2562" ht="13.2" x14ac:dyDescent="0.25"/>
    <row r="2563" ht="13.2" x14ac:dyDescent="0.25"/>
    <row r="2564" ht="13.2" x14ac:dyDescent="0.25"/>
    <row r="2565" ht="13.2" x14ac:dyDescent="0.25"/>
    <row r="2566" ht="13.2" x14ac:dyDescent="0.25"/>
    <row r="2567" ht="13.2" x14ac:dyDescent="0.25"/>
    <row r="2568" ht="13.2" x14ac:dyDescent="0.25"/>
    <row r="2569" ht="13.2" x14ac:dyDescent="0.25"/>
    <row r="2570" ht="13.2" x14ac:dyDescent="0.25"/>
    <row r="2571" ht="13.2" x14ac:dyDescent="0.25"/>
    <row r="2572" ht="13.2" x14ac:dyDescent="0.25"/>
    <row r="2573" ht="13.2" x14ac:dyDescent="0.25"/>
    <row r="2574" ht="13.2" x14ac:dyDescent="0.25"/>
    <row r="2575" ht="13.2" x14ac:dyDescent="0.25"/>
    <row r="2576" ht="13.2" x14ac:dyDescent="0.25"/>
    <row r="2577" ht="13.2" x14ac:dyDescent="0.25"/>
    <row r="2578" ht="13.2" x14ac:dyDescent="0.25"/>
    <row r="2579" ht="13.2" x14ac:dyDescent="0.25"/>
    <row r="2580" ht="13.2" x14ac:dyDescent="0.25"/>
    <row r="2581" ht="13.2" x14ac:dyDescent="0.25"/>
    <row r="2582" ht="13.2" x14ac:dyDescent="0.25"/>
    <row r="2583" ht="13.2" x14ac:dyDescent="0.25"/>
    <row r="2584" ht="13.2" x14ac:dyDescent="0.25"/>
    <row r="2585" ht="13.2" x14ac:dyDescent="0.25"/>
    <row r="2586" ht="13.2" x14ac:dyDescent="0.25"/>
    <row r="2587" ht="13.2" x14ac:dyDescent="0.25"/>
    <row r="2588" ht="13.2" x14ac:dyDescent="0.25"/>
    <row r="2589" ht="13.2" x14ac:dyDescent="0.25"/>
    <row r="2590" ht="13.2" x14ac:dyDescent="0.25"/>
    <row r="2591" ht="13.2" x14ac:dyDescent="0.25"/>
    <row r="2592" ht="13.2" x14ac:dyDescent="0.25"/>
    <row r="2593" ht="13.2" x14ac:dyDescent="0.25"/>
    <row r="2594" ht="13.2" x14ac:dyDescent="0.25"/>
    <row r="2595" ht="13.2" x14ac:dyDescent="0.25"/>
    <row r="2596" ht="13.2" x14ac:dyDescent="0.25"/>
    <row r="2597" ht="13.2" x14ac:dyDescent="0.25"/>
    <row r="2598" ht="13.2" x14ac:dyDescent="0.25"/>
    <row r="2599" ht="13.2" x14ac:dyDescent="0.25"/>
    <row r="2600" ht="13.2" x14ac:dyDescent="0.25"/>
    <row r="2601" ht="13.2" x14ac:dyDescent="0.25"/>
    <row r="2602" ht="13.2" x14ac:dyDescent="0.25"/>
    <row r="2603" ht="13.2" x14ac:dyDescent="0.25"/>
    <row r="2604" ht="13.2" x14ac:dyDescent="0.25"/>
    <row r="2605" ht="13.2" x14ac:dyDescent="0.25"/>
    <row r="2606" ht="13.2" x14ac:dyDescent="0.25"/>
    <row r="2607" ht="13.2" x14ac:dyDescent="0.25"/>
    <row r="2608" ht="13.2" x14ac:dyDescent="0.25"/>
    <row r="2609" ht="13.2" x14ac:dyDescent="0.25"/>
    <row r="2610" ht="13.2" x14ac:dyDescent="0.25"/>
    <row r="2611" ht="13.2" x14ac:dyDescent="0.25"/>
    <row r="2612" ht="13.2" x14ac:dyDescent="0.25"/>
    <row r="2613" ht="13.2" x14ac:dyDescent="0.25"/>
    <row r="2614" ht="13.2" x14ac:dyDescent="0.25"/>
    <row r="2615" ht="13.2" x14ac:dyDescent="0.25"/>
    <row r="2616" ht="13.2" x14ac:dyDescent="0.25"/>
    <row r="2617" ht="13.2" x14ac:dyDescent="0.25"/>
    <row r="2618" ht="13.2" x14ac:dyDescent="0.25"/>
    <row r="2619" ht="13.2" x14ac:dyDescent="0.25"/>
    <row r="2620" ht="13.2" x14ac:dyDescent="0.25"/>
    <row r="2621" ht="13.2" x14ac:dyDescent="0.25"/>
    <row r="2622" ht="13.2" x14ac:dyDescent="0.25"/>
    <row r="2623" ht="13.2" x14ac:dyDescent="0.25"/>
    <row r="2624" ht="13.2" x14ac:dyDescent="0.25"/>
    <row r="2625" ht="13.2" x14ac:dyDescent="0.25"/>
    <row r="2626" ht="13.2" x14ac:dyDescent="0.25"/>
    <row r="2627" ht="13.2" x14ac:dyDescent="0.25"/>
    <row r="2628" ht="13.2" x14ac:dyDescent="0.25"/>
    <row r="2629" ht="13.2" x14ac:dyDescent="0.25"/>
    <row r="2630" ht="13.2" x14ac:dyDescent="0.25"/>
    <row r="2631" ht="13.2" x14ac:dyDescent="0.25"/>
    <row r="2632" ht="13.2" x14ac:dyDescent="0.25"/>
    <row r="2633" ht="13.2" x14ac:dyDescent="0.25"/>
    <row r="2634" ht="13.2" x14ac:dyDescent="0.25"/>
    <row r="2635" ht="13.2" x14ac:dyDescent="0.25"/>
    <row r="2636" ht="13.2" x14ac:dyDescent="0.25"/>
    <row r="2637" ht="13.2" x14ac:dyDescent="0.25"/>
    <row r="2638" ht="13.2" x14ac:dyDescent="0.25"/>
    <row r="2639" ht="13.2" x14ac:dyDescent="0.25"/>
    <row r="2640" ht="13.2" x14ac:dyDescent="0.25"/>
    <row r="2641" ht="13.2" x14ac:dyDescent="0.25"/>
    <row r="2642" ht="13.2" x14ac:dyDescent="0.25"/>
    <row r="2643" ht="13.2" x14ac:dyDescent="0.25"/>
    <row r="2644" ht="13.2" x14ac:dyDescent="0.25"/>
    <row r="2645" ht="13.2" x14ac:dyDescent="0.25"/>
    <row r="2646" ht="13.2" x14ac:dyDescent="0.25"/>
    <row r="2647" ht="13.2" x14ac:dyDescent="0.25"/>
    <row r="2648" ht="13.2" x14ac:dyDescent="0.25"/>
    <row r="2649" ht="13.2" x14ac:dyDescent="0.25"/>
    <row r="2650" ht="13.2" x14ac:dyDescent="0.25"/>
    <row r="2651" ht="13.2" x14ac:dyDescent="0.25"/>
    <row r="2652" ht="13.2" x14ac:dyDescent="0.25"/>
    <row r="2653" ht="13.2" x14ac:dyDescent="0.25"/>
    <row r="2654" ht="13.2" x14ac:dyDescent="0.25"/>
    <row r="2655" ht="13.2" x14ac:dyDescent="0.25"/>
    <row r="2656" ht="13.2" x14ac:dyDescent="0.25"/>
    <row r="2657" ht="13.2" x14ac:dyDescent="0.25"/>
    <row r="2658" ht="13.2" x14ac:dyDescent="0.25"/>
    <row r="2659" ht="13.2" x14ac:dyDescent="0.25"/>
    <row r="2660" ht="13.2" x14ac:dyDescent="0.25"/>
    <row r="2661" ht="13.2" x14ac:dyDescent="0.25"/>
    <row r="2662" ht="13.2" x14ac:dyDescent="0.25"/>
    <row r="2663" ht="13.2" x14ac:dyDescent="0.25"/>
    <row r="2664" ht="13.2" x14ac:dyDescent="0.25"/>
    <row r="2665" ht="13.2" x14ac:dyDescent="0.25"/>
    <row r="2666" ht="13.2" x14ac:dyDescent="0.25"/>
    <row r="2667" ht="13.2" x14ac:dyDescent="0.25"/>
    <row r="2668" ht="13.2" x14ac:dyDescent="0.25"/>
    <row r="2669" ht="13.2" x14ac:dyDescent="0.25"/>
    <row r="2670" ht="13.2" x14ac:dyDescent="0.25"/>
    <row r="2671" ht="13.2" x14ac:dyDescent="0.25"/>
    <row r="2672" ht="13.2" x14ac:dyDescent="0.25"/>
    <row r="2673" ht="13.2" x14ac:dyDescent="0.25"/>
    <row r="2674" ht="13.2" x14ac:dyDescent="0.25"/>
    <row r="2675" ht="13.2" x14ac:dyDescent="0.25"/>
    <row r="2676" ht="13.2" x14ac:dyDescent="0.25"/>
    <row r="2677" ht="13.2" x14ac:dyDescent="0.25"/>
    <row r="2678" ht="13.2" x14ac:dyDescent="0.25"/>
    <row r="2679" ht="13.2" x14ac:dyDescent="0.25"/>
    <row r="2680" ht="13.2" x14ac:dyDescent="0.25"/>
    <row r="2681" ht="13.2" x14ac:dyDescent="0.25"/>
    <row r="2682" ht="13.2" x14ac:dyDescent="0.25"/>
    <row r="2683" ht="13.2" x14ac:dyDescent="0.25"/>
    <row r="2684" ht="13.2" x14ac:dyDescent="0.25"/>
    <row r="2685" ht="13.2" x14ac:dyDescent="0.25"/>
    <row r="2686" ht="13.2" x14ac:dyDescent="0.25"/>
    <row r="2687" ht="13.2" x14ac:dyDescent="0.25"/>
    <row r="2688" ht="13.2" x14ac:dyDescent="0.25"/>
    <row r="2689" ht="13.2" x14ac:dyDescent="0.25"/>
    <row r="2690" ht="13.2" x14ac:dyDescent="0.25"/>
    <row r="2691" ht="13.2" x14ac:dyDescent="0.25"/>
    <row r="2692" ht="13.2" x14ac:dyDescent="0.25"/>
    <row r="2693" ht="13.2" x14ac:dyDescent="0.25"/>
    <row r="2694" ht="13.2" x14ac:dyDescent="0.25"/>
    <row r="2695" ht="13.2" x14ac:dyDescent="0.25"/>
    <row r="2696" ht="13.2" x14ac:dyDescent="0.25"/>
    <row r="2697" ht="13.2" x14ac:dyDescent="0.25"/>
    <row r="2698" ht="13.2" x14ac:dyDescent="0.25"/>
    <row r="2699" ht="13.2" x14ac:dyDescent="0.25"/>
    <row r="2700" ht="13.2" x14ac:dyDescent="0.25"/>
    <row r="2701" ht="13.2" x14ac:dyDescent="0.25"/>
    <row r="2702" ht="13.2" x14ac:dyDescent="0.25"/>
    <row r="2703" ht="13.2" x14ac:dyDescent="0.25"/>
    <row r="2704" ht="13.2" x14ac:dyDescent="0.25"/>
    <row r="2705" ht="13.2" x14ac:dyDescent="0.25"/>
    <row r="2706" ht="13.2" x14ac:dyDescent="0.25"/>
    <row r="2707" ht="13.2" x14ac:dyDescent="0.25"/>
    <row r="2708" ht="13.2" x14ac:dyDescent="0.25"/>
    <row r="2709" ht="13.2" x14ac:dyDescent="0.25"/>
    <row r="2710" ht="13.2" x14ac:dyDescent="0.25"/>
    <row r="2711" ht="13.2" x14ac:dyDescent="0.25"/>
    <row r="2712" ht="13.2" x14ac:dyDescent="0.25"/>
    <row r="2713" ht="13.2" x14ac:dyDescent="0.25"/>
    <row r="2714" ht="13.2" x14ac:dyDescent="0.25"/>
    <row r="2715" ht="13.2" x14ac:dyDescent="0.25"/>
    <row r="2716" ht="13.2" x14ac:dyDescent="0.25"/>
    <row r="2717" ht="13.2" x14ac:dyDescent="0.25"/>
    <row r="2718" ht="13.2" x14ac:dyDescent="0.25"/>
    <row r="2719" ht="13.2" x14ac:dyDescent="0.25"/>
    <row r="2720" ht="13.2" x14ac:dyDescent="0.25"/>
    <row r="2721" ht="13.2" x14ac:dyDescent="0.25"/>
    <row r="2722" ht="13.2" x14ac:dyDescent="0.25"/>
    <row r="2723" ht="13.2" x14ac:dyDescent="0.25"/>
    <row r="2724" ht="13.2" x14ac:dyDescent="0.25"/>
    <row r="2725" ht="13.2" x14ac:dyDescent="0.25"/>
    <row r="2726" ht="13.2" x14ac:dyDescent="0.25"/>
    <row r="2727" ht="13.2" x14ac:dyDescent="0.25"/>
    <row r="2728" ht="13.2" x14ac:dyDescent="0.25"/>
    <row r="2729" ht="13.2" x14ac:dyDescent="0.25"/>
    <row r="2730" ht="13.2" x14ac:dyDescent="0.25"/>
    <row r="2731" ht="13.2" x14ac:dyDescent="0.25"/>
    <row r="2732" ht="13.2" x14ac:dyDescent="0.25"/>
    <row r="2733" ht="13.2" x14ac:dyDescent="0.25"/>
    <row r="2734" ht="13.2" x14ac:dyDescent="0.25"/>
    <row r="2735" ht="13.2" x14ac:dyDescent="0.25"/>
    <row r="2736" ht="13.2" x14ac:dyDescent="0.25"/>
    <row r="2737" ht="13.2" x14ac:dyDescent="0.25"/>
    <row r="2738" ht="13.2" x14ac:dyDescent="0.25"/>
    <row r="2739" ht="13.2" x14ac:dyDescent="0.25"/>
    <row r="2740" ht="13.2" x14ac:dyDescent="0.25"/>
    <row r="2741" ht="13.2" x14ac:dyDescent="0.25"/>
    <row r="2742" ht="13.2" x14ac:dyDescent="0.25"/>
    <row r="2743" ht="13.2" x14ac:dyDescent="0.25"/>
    <row r="2744" ht="13.2" x14ac:dyDescent="0.25"/>
    <row r="2745" ht="13.2" x14ac:dyDescent="0.25"/>
    <row r="2746" ht="13.2" x14ac:dyDescent="0.25"/>
    <row r="2747" ht="13.2" x14ac:dyDescent="0.25"/>
    <row r="2748" ht="13.2" x14ac:dyDescent="0.25"/>
    <row r="2749" ht="13.2" x14ac:dyDescent="0.25"/>
    <row r="2750" ht="13.2" x14ac:dyDescent="0.25"/>
    <row r="2751" ht="13.2" x14ac:dyDescent="0.25"/>
    <row r="2752" ht="13.2" x14ac:dyDescent="0.25"/>
    <row r="2753" ht="13.2" x14ac:dyDescent="0.25"/>
    <row r="2754" ht="13.2" x14ac:dyDescent="0.25"/>
    <row r="2755" ht="13.2" x14ac:dyDescent="0.25"/>
    <row r="2756" ht="13.2" x14ac:dyDescent="0.25"/>
    <row r="2757" ht="13.2" x14ac:dyDescent="0.25"/>
    <row r="2758" ht="13.2" x14ac:dyDescent="0.25"/>
    <row r="2759" ht="13.2" x14ac:dyDescent="0.25"/>
    <row r="2760" ht="13.2" x14ac:dyDescent="0.25"/>
    <row r="2761" ht="13.2" x14ac:dyDescent="0.25"/>
    <row r="2762" ht="13.2" x14ac:dyDescent="0.25"/>
    <row r="2763" ht="13.2" x14ac:dyDescent="0.25"/>
    <row r="2764" ht="13.2" x14ac:dyDescent="0.25"/>
    <row r="2765" ht="13.2" x14ac:dyDescent="0.25"/>
    <row r="2766" ht="13.2" x14ac:dyDescent="0.25"/>
    <row r="2767" ht="13.2" x14ac:dyDescent="0.25"/>
    <row r="2768" ht="13.2" x14ac:dyDescent="0.25"/>
    <row r="2769" ht="13.2" x14ac:dyDescent="0.25"/>
    <row r="2770" ht="13.2" x14ac:dyDescent="0.25"/>
    <row r="2771" ht="13.2" x14ac:dyDescent="0.25"/>
    <row r="2772" ht="13.2" x14ac:dyDescent="0.25"/>
    <row r="2773" ht="13.2" x14ac:dyDescent="0.25"/>
    <row r="2774" ht="13.2" x14ac:dyDescent="0.25"/>
    <row r="2775" ht="13.2" x14ac:dyDescent="0.25"/>
    <row r="2776" ht="13.2" x14ac:dyDescent="0.25"/>
    <row r="2777" ht="13.2" x14ac:dyDescent="0.25"/>
    <row r="2778" ht="13.2" x14ac:dyDescent="0.25"/>
    <row r="2779" ht="13.2" x14ac:dyDescent="0.25"/>
    <row r="2780" ht="13.2" x14ac:dyDescent="0.25"/>
    <row r="2781" ht="13.2" x14ac:dyDescent="0.25"/>
    <row r="2782" ht="13.2" x14ac:dyDescent="0.25"/>
    <row r="2783" ht="13.2" x14ac:dyDescent="0.25"/>
    <row r="2784" ht="13.2" x14ac:dyDescent="0.25"/>
    <row r="2785" ht="13.2" x14ac:dyDescent="0.25"/>
    <row r="2786" ht="13.2" x14ac:dyDescent="0.25"/>
    <row r="2787" ht="13.2" x14ac:dyDescent="0.25"/>
    <row r="2788" ht="13.2" x14ac:dyDescent="0.25"/>
    <row r="2789" ht="13.2" x14ac:dyDescent="0.25"/>
    <row r="2790" ht="13.2" x14ac:dyDescent="0.25"/>
    <row r="2791" ht="13.2" x14ac:dyDescent="0.25"/>
    <row r="2792" ht="13.2" x14ac:dyDescent="0.25"/>
    <row r="2793" ht="13.2" x14ac:dyDescent="0.25"/>
    <row r="2794" ht="13.2" x14ac:dyDescent="0.25"/>
    <row r="2795" ht="13.2" x14ac:dyDescent="0.25"/>
    <row r="2796" ht="13.2" x14ac:dyDescent="0.25"/>
    <row r="2797" ht="13.2" x14ac:dyDescent="0.25"/>
    <row r="2798" ht="13.2" x14ac:dyDescent="0.25"/>
    <row r="2799" ht="13.2" x14ac:dyDescent="0.25"/>
    <row r="2800" ht="13.2" x14ac:dyDescent="0.25"/>
    <row r="2801" ht="13.2" x14ac:dyDescent="0.25"/>
    <row r="2802" ht="13.2" x14ac:dyDescent="0.25"/>
    <row r="2803" ht="13.2" x14ac:dyDescent="0.25"/>
    <row r="2804" ht="13.2" x14ac:dyDescent="0.25"/>
    <row r="2805" ht="13.2" x14ac:dyDescent="0.25"/>
    <row r="2806" ht="13.2" x14ac:dyDescent="0.25"/>
    <row r="2807" ht="13.2" x14ac:dyDescent="0.25"/>
    <row r="2808" ht="13.2" x14ac:dyDescent="0.25"/>
    <row r="2809" ht="13.2" x14ac:dyDescent="0.25"/>
    <row r="2810" ht="13.2" x14ac:dyDescent="0.25"/>
    <row r="2811" ht="13.2" x14ac:dyDescent="0.25"/>
    <row r="2812" ht="13.2" x14ac:dyDescent="0.25"/>
    <row r="2813" ht="13.2" x14ac:dyDescent="0.25"/>
    <row r="2814" ht="13.2" x14ac:dyDescent="0.25"/>
    <row r="2815" ht="13.2" x14ac:dyDescent="0.25"/>
    <row r="2816" ht="13.2" x14ac:dyDescent="0.25"/>
    <row r="2817" ht="13.2" x14ac:dyDescent="0.25"/>
    <row r="2818" ht="13.2" x14ac:dyDescent="0.25"/>
    <row r="2819" ht="13.2" x14ac:dyDescent="0.25"/>
    <row r="2820" ht="13.2" x14ac:dyDescent="0.25"/>
    <row r="2821" ht="13.2" x14ac:dyDescent="0.25"/>
    <row r="2822" ht="13.2" x14ac:dyDescent="0.25"/>
    <row r="2823" ht="13.2" x14ac:dyDescent="0.25"/>
    <row r="2824" ht="13.2" x14ac:dyDescent="0.25"/>
    <row r="2825" ht="13.2" x14ac:dyDescent="0.25"/>
    <row r="2826" ht="13.2" x14ac:dyDescent="0.25"/>
    <row r="2827" ht="13.2" x14ac:dyDescent="0.25"/>
    <row r="2828" ht="13.2" x14ac:dyDescent="0.25"/>
    <row r="2829" ht="13.2" x14ac:dyDescent="0.25"/>
    <row r="2830" ht="13.2" x14ac:dyDescent="0.25"/>
    <row r="2831" ht="13.2" x14ac:dyDescent="0.25"/>
    <row r="2832" ht="13.2" x14ac:dyDescent="0.25"/>
    <row r="2833" ht="13.2" x14ac:dyDescent="0.25"/>
    <row r="2834" ht="13.2" x14ac:dyDescent="0.25"/>
    <row r="2835" ht="13.2" x14ac:dyDescent="0.25"/>
    <row r="2836" ht="13.2" x14ac:dyDescent="0.25"/>
    <row r="2837" ht="13.2" x14ac:dyDescent="0.25"/>
    <row r="2838" ht="13.2" x14ac:dyDescent="0.25"/>
    <row r="2839" ht="13.2" x14ac:dyDescent="0.25"/>
    <row r="2840" ht="13.2" x14ac:dyDescent="0.25"/>
    <row r="2841" ht="13.2" x14ac:dyDescent="0.25"/>
    <row r="2842" ht="13.2" x14ac:dyDescent="0.25"/>
    <row r="2843" ht="13.2" x14ac:dyDescent="0.25"/>
    <row r="2844" ht="13.2" x14ac:dyDescent="0.25"/>
    <row r="2845" ht="13.2" x14ac:dyDescent="0.25"/>
    <row r="2846" ht="13.2" x14ac:dyDescent="0.25"/>
    <row r="2847" ht="13.2" x14ac:dyDescent="0.25"/>
    <row r="2848" ht="13.2" x14ac:dyDescent="0.25"/>
    <row r="2849" ht="13.2" x14ac:dyDescent="0.25"/>
    <row r="2850" ht="13.2" x14ac:dyDescent="0.25"/>
    <row r="2851" ht="13.2" x14ac:dyDescent="0.25"/>
    <row r="2852" ht="13.2" x14ac:dyDescent="0.25"/>
    <row r="2853" ht="13.2" x14ac:dyDescent="0.25"/>
    <row r="2854" ht="13.2" x14ac:dyDescent="0.25"/>
    <row r="2855" ht="13.2" x14ac:dyDescent="0.25"/>
    <row r="2856" ht="13.2" x14ac:dyDescent="0.25"/>
    <row r="2857" ht="13.2" x14ac:dyDescent="0.25"/>
    <row r="2858" ht="13.2" x14ac:dyDescent="0.25"/>
    <row r="2859" ht="13.2" x14ac:dyDescent="0.25"/>
    <row r="2860" ht="13.2" x14ac:dyDescent="0.25"/>
    <row r="2861" ht="13.2" x14ac:dyDescent="0.25"/>
    <row r="2862" ht="13.2" x14ac:dyDescent="0.25"/>
    <row r="2863" ht="13.2" x14ac:dyDescent="0.25"/>
    <row r="2864" ht="13.2" x14ac:dyDescent="0.25"/>
    <row r="2865" ht="13.2" x14ac:dyDescent="0.25"/>
    <row r="2866" ht="13.2" x14ac:dyDescent="0.25"/>
    <row r="2867" ht="13.2" x14ac:dyDescent="0.25"/>
    <row r="2868" ht="13.2" x14ac:dyDescent="0.25"/>
    <row r="2869" ht="13.2" x14ac:dyDescent="0.25"/>
    <row r="2870" ht="13.2" x14ac:dyDescent="0.25"/>
    <row r="2871" ht="13.2" x14ac:dyDescent="0.25"/>
    <row r="2872" ht="13.2" x14ac:dyDescent="0.25"/>
    <row r="2873" ht="13.2" x14ac:dyDescent="0.25"/>
    <row r="2874" ht="13.2" x14ac:dyDescent="0.25"/>
    <row r="2875" ht="13.2" x14ac:dyDescent="0.25"/>
    <row r="2876" ht="13.2" x14ac:dyDescent="0.25"/>
    <row r="2877" ht="13.2" x14ac:dyDescent="0.25"/>
    <row r="2878" ht="13.2" x14ac:dyDescent="0.25"/>
    <row r="2879" ht="13.2" x14ac:dyDescent="0.25"/>
    <row r="2880" ht="13.2" x14ac:dyDescent="0.25"/>
    <row r="2881" ht="13.2" x14ac:dyDescent="0.25"/>
    <row r="2882" ht="13.2" x14ac:dyDescent="0.25"/>
    <row r="2883" ht="13.2" x14ac:dyDescent="0.25"/>
    <row r="2884" ht="13.2" x14ac:dyDescent="0.25"/>
    <row r="2885" ht="13.2" x14ac:dyDescent="0.25"/>
    <row r="2886" ht="13.2" x14ac:dyDescent="0.25"/>
    <row r="2887" ht="13.2" x14ac:dyDescent="0.25"/>
    <row r="2888" ht="13.2" x14ac:dyDescent="0.25"/>
    <row r="2889" ht="13.2" x14ac:dyDescent="0.25"/>
    <row r="2890" ht="13.2" x14ac:dyDescent="0.25"/>
    <row r="2891" ht="13.2" x14ac:dyDescent="0.25"/>
    <row r="2892" ht="13.2" x14ac:dyDescent="0.25"/>
    <row r="2893" ht="13.2" x14ac:dyDescent="0.25"/>
    <row r="2894" ht="13.2" x14ac:dyDescent="0.25"/>
    <row r="2895" ht="13.2" x14ac:dyDescent="0.25"/>
    <row r="2896" ht="13.2" x14ac:dyDescent="0.25"/>
    <row r="2897" ht="13.2" x14ac:dyDescent="0.25"/>
    <row r="2898" ht="13.2" x14ac:dyDescent="0.25"/>
    <row r="2899" ht="13.2" x14ac:dyDescent="0.25"/>
    <row r="2900" ht="13.2" x14ac:dyDescent="0.25"/>
    <row r="2901" ht="13.2" x14ac:dyDescent="0.25"/>
    <row r="2902" ht="13.2" x14ac:dyDescent="0.25"/>
    <row r="2903" ht="13.2" x14ac:dyDescent="0.25"/>
    <row r="2904" ht="13.2" x14ac:dyDescent="0.25"/>
    <row r="2905" ht="13.2" x14ac:dyDescent="0.25"/>
    <row r="2906" ht="13.2" x14ac:dyDescent="0.25"/>
    <row r="2907" ht="13.2" x14ac:dyDescent="0.25"/>
    <row r="2908" ht="13.2" x14ac:dyDescent="0.25"/>
    <row r="2909" ht="13.2" x14ac:dyDescent="0.25"/>
    <row r="2910" ht="13.2" x14ac:dyDescent="0.25"/>
    <row r="2911" ht="13.2" x14ac:dyDescent="0.25"/>
    <row r="2912" ht="13.2" x14ac:dyDescent="0.25"/>
    <row r="2913" ht="13.2" x14ac:dyDescent="0.25"/>
    <row r="2914" ht="13.2" x14ac:dyDescent="0.25"/>
    <row r="2915" ht="13.2" x14ac:dyDescent="0.25"/>
    <row r="2916" ht="13.2" x14ac:dyDescent="0.25"/>
    <row r="2917" ht="13.2" x14ac:dyDescent="0.25"/>
    <row r="2918" ht="13.2" x14ac:dyDescent="0.25"/>
    <row r="2919" ht="13.2" x14ac:dyDescent="0.25"/>
    <row r="2920" ht="13.2" x14ac:dyDescent="0.25"/>
    <row r="2921" ht="13.2" x14ac:dyDescent="0.25"/>
    <row r="2922" ht="13.2" x14ac:dyDescent="0.25"/>
    <row r="2923" ht="13.2" x14ac:dyDescent="0.25"/>
    <row r="2924" ht="13.2" x14ac:dyDescent="0.25"/>
    <row r="2925" ht="13.2" x14ac:dyDescent="0.25"/>
    <row r="2926" ht="13.2" x14ac:dyDescent="0.25"/>
    <row r="2927" ht="13.2" x14ac:dyDescent="0.25"/>
    <row r="2928" ht="13.2" x14ac:dyDescent="0.25"/>
    <row r="2929" ht="13.2" x14ac:dyDescent="0.25"/>
    <row r="2930" ht="13.2" x14ac:dyDescent="0.25"/>
    <row r="2931" ht="13.2" x14ac:dyDescent="0.25"/>
    <row r="2932" ht="13.2" x14ac:dyDescent="0.25"/>
    <row r="2933" ht="13.2" x14ac:dyDescent="0.25"/>
    <row r="2934" ht="13.2" x14ac:dyDescent="0.25"/>
    <row r="2935" ht="13.2" x14ac:dyDescent="0.25"/>
    <row r="2936" ht="13.2" x14ac:dyDescent="0.25"/>
    <row r="2937" ht="13.2" x14ac:dyDescent="0.25"/>
    <row r="2938" ht="13.2" x14ac:dyDescent="0.25"/>
    <row r="2939" ht="13.2" x14ac:dyDescent="0.25"/>
    <row r="2940" ht="13.2" x14ac:dyDescent="0.25"/>
    <row r="2941" ht="13.2" x14ac:dyDescent="0.25"/>
    <row r="2942" ht="13.2" x14ac:dyDescent="0.25"/>
    <row r="2943" ht="13.2" x14ac:dyDescent="0.25"/>
    <row r="2944" ht="13.2" x14ac:dyDescent="0.25"/>
    <row r="2945" ht="13.2" x14ac:dyDescent="0.25"/>
    <row r="2946" ht="13.2" x14ac:dyDescent="0.25"/>
    <row r="2947" ht="13.2" x14ac:dyDescent="0.25"/>
    <row r="2948" ht="13.2" x14ac:dyDescent="0.25"/>
    <row r="2949" ht="13.2" x14ac:dyDescent="0.25"/>
    <row r="2950" ht="13.2" x14ac:dyDescent="0.25"/>
    <row r="2951" ht="13.2" x14ac:dyDescent="0.25"/>
    <row r="2952" ht="13.2" x14ac:dyDescent="0.25"/>
    <row r="2953" ht="13.2" x14ac:dyDescent="0.25"/>
    <row r="2954" ht="13.2" x14ac:dyDescent="0.25"/>
    <row r="2955" ht="13.2" x14ac:dyDescent="0.25"/>
    <row r="2956" ht="13.2" x14ac:dyDescent="0.25"/>
    <row r="2957" ht="13.2" x14ac:dyDescent="0.25"/>
    <row r="2958" ht="13.2" x14ac:dyDescent="0.25"/>
    <row r="2959" ht="13.2" x14ac:dyDescent="0.25"/>
    <row r="2960" ht="13.2" x14ac:dyDescent="0.25"/>
    <row r="2961" ht="13.2" x14ac:dyDescent="0.25"/>
    <row r="2962" ht="13.2" x14ac:dyDescent="0.25"/>
    <row r="2963" ht="13.2" x14ac:dyDescent="0.25"/>
    <row r="2964" ht="13.2" x14ac:dyDescent="0.25"/>
    <row r="2965" ht="13.2" x14ac:dyDescent="0.25"/>
    <row r="2966" ht="13.2" x14ac:dyDescent="0.25"/>
    <row r="2967" ht="13.2" x14ac:dyDescent="0.25"/>
    <row r="2968" ht="13.2" x14ac:dyDescent="0.25"/>
    <row r="2969" ht="13.2" x14ac:dyDescent="0.25"/>
    <row r="2970" ht="13.2" x14ac:dyDescent="0.25"/>
    <row r="2971" ht="13.2" x14ac:dyDescent="0.25"/>
    <row r="2972" ht="13.2" x14ac:dyDescent="0.25"/>
    <row r="2973" ht="13.2" x14ac:dyDescent="0.25"/>
    <row r="2974" ht="13.2" x14ac:dyDescent="0.25"/>
    <row r="2975" ht="13.2" x14ac:dyDescent="0.25"/>
    <row r="2976" ht="13.2" x14ac:dyDescent="0.25"/>
    <row r="2977" ht="13.2" x14ac:dyDescent="0.25"/>
    <row r="2978" ht="13.2" x14ac:dyDescent="0.25"/>
    <row r="2979" ht="13.2" x14ac:dyDescent="0.25"/>
    <row r="2980" ht="13.2" x14ac:dyDescent="0.25"/>
    <row r="2981" ht="13.2" x14ac:dyDescent="0.25"/>
    <row r="2982" ht="13.2" x14ac:dyDescent="0.25"/>
    <row r="2983" ht="13.2" x14ac:dyDescent="0.25"/>
    <row r="2984" ht="13.2" x14ac:dyDescent="0.25"/>
    <row r="2985" ht="13.2" x14ac:dyDescent="0.25"/>
    <row r="2986" ht="13.2" x14ac:dyDescent="0.25"/>
    <row r="2987" ht="13.2" x14ac:dyDescent="0.25"/>
    <row r="2988" ht="13.2" x14ac:dyDescent="0.25"/>
    <row r="2989" ht="13.2" x14ac:dyDescent="0.25"/>
    <row r="2990" ht="13.2" x14ac:dyDescent="0.25"/>
    <row r="2991" ht="13.2" x14ac:dyDescent="0.25"/>
    <row r="2992" ht="13.2" x14ac:dyDescent="0.25"/>
    <row r="2993" ht="13.2" x14ac:dyDescent="0.25"/>
    <row r="2994" ht="13.2" x14ac:dyDescent="0.25"/>
    <row r="2995" ht="13.2" x14ac:dyDescent="0.25"/>
    <row r="2996" ht="13.2" x14ac:dyDescent="0.25"/>
    <row r="2997" ht="13.2" x14ac:dyDescent="0.25"/>
    <row r="2998" ht="13.2" x14ac:dyDescent="0.25"/>
    <row r="2999" ht="13.2" x14ac:dyDescent="0.25"/>
    <row r="3000" ht="13.2" x14ac:dyDescent="0.25"/>
    <row r="3001" ht="13.2" x14ac:dyDescent="0.25"/>
    <row r="3002" ht="13.2" x14ac:dyDescent="0.25"/>
    <row r="3003" ht="13.2" x14ac:dyDescent="0.25"/>
    <row r="3004" ht="13.2" x14ac:dyDescent="0.25"/>
    <row r="3005" ht="13.2" x14ac:dyDescent="0.25"/>
    <row r="3006" ht="13.2" x14ac:dyDescent="0.25"/>
    <row r="3007" ht="13.2" x14ac:dyDescent="0.25"/>
    <row r="3008" ht="13.2" x14ac:dyDescent="0.25"/>
    <row r="3009" ht="13.2" x14ac:dyDescent="0.25"/>
    <row r="3010" ht="13.2" x14ac:dyDescent="0.25"/>
    <row r="3011" ht="13.2" x14ac:dyDescent="0.25"/>
    <row r="3012" ht="13.2" x14ac:dyDescent="0.25"/>
    <row r="3013" ht="13.2" x14ac:dyDescent="0.25"/>
    <row r="3014" ht="13.2" x14ac:dyDescent="0.25"/>
    <row r="3015" ht="13.2" x14ac:dyDescent="0.25"/>
    <row r="3016" ht="13.2" x14ac:dyDescent="0.25"/>
    <row r="3017" ht="13.2" x14ac:dyDescent="0.25"/>
    <row r="3018" ht="13.2" x14ac:dyDescent="0.25"/>
    <row r="3019" ht="13.2" x14ac:dyDescent="0.25"/>
    <row r="3020" ht="13.2" x14ac:dyDescent="0.25"/>
    <row r="3021" ht="13.2" x14ac:dyDescent="0.25"/>
    <row r="3022" ht="13.2" x14ac:dyDescent="0.25"/>
    <row r="3023" ht="13.2" x14ac:dyDescent="0.25"/>
    <row r="3024" ht="13.2" x14ac:dyDescent="0.25"/>
    <row r="3025" ht="13.2" x14ac:dyDescent="0.25"/>
    <row r="3026" ht="13.2" x14ac:dyDescent="0.25"/>
    <row r="3027" ht="13.2" x14ac:dyDescent="0.25"/>
    <row r="3028" ht="13.2" x14ac:dyDescent="0.25"/>
    <row r="3029" ht="13.2" x14ac:dyDescent="0.25"/>
    <row r="3030" ht="13.2" x14ac:dyDescent="0.25"/>
    <row r="3031" ht="13.2" x14ac:dyDescent="0.25"/>
    <row r="3032" ht="13.2" x14ac:dyDescent="0.25"/>
    <row r="3033" ht="13.2" x14ac:dyDescent="0.25"/>
    <row r="3034" ht="13.2" x14ac:dyDescent="0.25"/>
    <row r="3035" ht="13.2" x14ac:dyDescent="0.25"/>
    <row r="3036" ht="13.2" x14ac:dyDescent="0.25"/>
    <row r="3037" ht="13.2" x14ac:dyDescent="0.25"/>
    <row r="3038" ht="13.2" x14ac:dyDescent="0.25"/>
    <row r="3039" ht="13.2" x14ac:dyDescent="0.25"/>
    <row r="3040" ht="13.2" x14ac:dyDescent="0.25"/>
    <row r="3041" ht="13.2" x14ac:dyDescent="0.25"/>
    <row r="3042" ht="13.2" x14ac:dyDescent="0.25"/>
    <row r="3043" ht="13.2" x14ac:dyDescent="0.25"/>
    <row r="3044" ht="13.2" x14ac:dyDescent="0.25"/>
    <row r="3045" ht="13.2" x14ac:dyDescent="0.25"/>
    <row r="3046" ht="13.2" x14ac:dyDescent="0.25"/>
    <row r="3047" ht="13.2" x14ac:dyDescent="0.25"/>
    <row r="3048" ht="13.2" x14ac:dyDescent="0.25"/>
    <row r="3049" ht="13.2" x14ac:dyDescent="0.25"/>
    <row r="3050" ht="13.2" x14ac:dyDescent="0.25"/>
    <row r="3051" ht="13.2" x14ac:dyDescent="0.25"/>
    <row r="3052" ht="13.2" x14ac:dyDescent="0.25"/>
    <row r="3053" ht="13.2" x14ac:dyDescent="0.25"/>
    <row r="3054" ht="13.2" x14ac:dyDescent="0.25"/>
    <row r="3055" ht="13.2" x14ac:dyDescent="0.25"/>
    <row r="3056" ht="13.2" x14ac:dyDescent="0.25"/>
    <row r="3057" ht="13.2" x14ac:dyDescent="0.25"/>
    <row r="3058" ht="13.2" x14ac:dyDescent="0.25"/>
    <row r="3059" ht="13.2" x14ac:dyDescent="0.25"/>
    <row r="3060" ht="13.2" x14ac:dyDescent="0.25"/>
    <row r="3061" ht="13.2" x14ac:dyDescent="0.25"/>
    <row r="3062" ht="13.2" x14ac:dyDescent="0.25"/>
    <row r="3063" ht="13.2" x14ac:dyDescent="0.25"/>
    <row r="3064" ht="13.2" x14ac:dyDescent="0.25"/>
    <row r="3065" ht="13.2" x14ac:dyDescent="0.25"/>
    <row r="3066" ht="13.2" x14ac:dyDescent="0.25"/>
    <row r="3067" ht="13.2" x14ac:dyDescent="0.25"/>
    <row r="3068" ht="13.2" x14ac:dyDescent="0.25"/>
    <row r="3069" ht="13.2" x14ac:dyDescent="0.25"/>
    <row r="3070" ht="13.2" x14ac:dyDescent="0.25"/>
    <row r="3071" ht="13.2" x14ac:dyDescent="0.25"/>
    <row r="3072" ht="13.2" x14ac:dyDescent="0.25"/>
    <row r="3073" ht="13.2" x14ac:dyDescent="0.25"/>
    <row r="3074" ht="13.2" x14ac:dyDescent="0.25"/>
    <row r="3075" ht="13.2" x14ac:dyDescent="0.25"/>
    <row r="3076" ht="13.2" x14ac:dyDescent="0.25"/>
    <row r="3077" ht="13.2" x14ac:dyDescent="0.25"/>
    <row r="3078" ht="13.2" x14ac:dyDescent="0.25"/>
    <row r="3079" ht="13.2" x14ac:dyDescent="0.25"/>
    <row r="3080" ht="13.2" x14ac:dyDescent="0.25"/>
    <row r="3081" ht="13.2" x14ac:dyDescent="0.25"/>
    <row r="3082" ht="13.2" x14ac:dyDescent="0.25"/>
    <row r="3083" ht="13.2" x14ac:dyDescent="0.25"/>
    <row r="3084" ht="13.2" x14ac:dyDescent="0.25"/>
    <row r="3085" ht="13.2" x14ac:dyDescent="0.25"/>
    <row r="3086" ht="13.2" x14ac:dyDescent="0.25"/>
    <row r="3087" ht="13.2" x14ac:dyDescent="0.25"/>
    <row r="3088" ht="13.2" x14ac:dyDescent="0.25"/>
    <row r="3089" ht="13.2" x14ac:dyDescent="0.25"/>
    <row r="3090" ht="13.2" x14ac:dyDescent="0.25"/>
    <row r="3091" ht="13.2" x14ac:dyDescent="0.25"/>
    <row r="3092" ht="13.2" x14ac:dyDescent="0.25"/>
    <row r="3093" ht="13.2" x14ac:dyDescent="0.25"/>
    <row r="3094" ht="13.2" x14ac:dyDescent="0.25"/>
    <row r="3095" ht="13.2" x14ac:dyDescent="0.25"/>
    <row r="3096" ht="13.2" x14ac:dyDescent="0.25"/>
    <row r="3097" ht="13.2" x14ac:dyDescent="0.25"/>
    <row r="3098" ht="13.2" x14ac:dyDescent="0.25"/>
    <row r="3099" ht="13.2" x14ac:dyDescent="0.25"/>
    <row r="3100" ht="13.2" x14ac:dyDescent="0.25"/>
    <row r="3101" ht="13.2" x14ac:dyDescent="0.25"/>
    <row r="3102" ht="13.2" x14ac:dyDescent="0.25"/>
    <row r="3103" ht="13.2" x14ac:dyDescent="0.25"/>
    <row r="3104" ht="13.2" x14ac:dyDescent="0.25"/>
    <row r="3105" ht="13.2" x14ac:dyDescent="0.25"/>
    <row r="3106" ht="13.2" x14ac:dyDescent="0.25"/>
    <row r="3107" ht="13.2" x14ac:dyDescent="0.25"/>
    <row r="3108" ht="13.2" x14ac:dyDescent="0.25"/>
    <row r="3109" ht="13.2" x14ac:dyDescent="0.25"/>
    <row r="3110" ht="13.2" x14ac:dyDescent="0.25"/>
    <row r="3111" ht="13.2" x14ac:dyDescent="0.25"/>
    <row r="3112" ht="13.2" x14ac:dyDescent="0.25"/>
    <row r="3113" ht="13.2" x14ac:dyDescent="0.25"/>
    <row r="3114" ht="13.2" x14ac:dyDescent="0.25"/>
    <row r="3115" ht="13.2" x14ac:dyDescent="0.25"/>
    <row r="3116" ht="13.2" x14ac:dyDescent="0.25"/>
    <row r="3117" ht="13.2" x14ac:dyDescent="0.25"/>
    <row r="3118" ht="13.2" x14ac:dyDescent="0.25"/>
    <row r="3119" ht="13.2" x14ac:dyDescent="0.25"/>
    <row r="3120" ht="13.2" x14ac:dyDescent="0.25"/>
    <row r="3121" ht="13.2" x14ac:dyDescent="0.25"/>
    <row r="3122" ht="13.2" x14ac:dyDescent="0.25"/>
    <row r="3123" ht="13.2" x14ac:dyDescent="0.25"/>
    <row r="3124" ht="13.2" x14ac:dyDescent="0.25"/>
    <row r="3125" ht="13.2" x14ac:dyDescent="0.25"/>
    <row r="3126" ht="13.2" x14ac:dyDescent="0.25"/>
    <row r="3127" ht="13.2" x14ac:dyDescent="0.25"/>
    <row r="3128" ht="13.2" x14ac:dyDescent="0.25"/>
    <row r="3129" ht="13.2" x14ac:dyDescent="0.25"/>
    <row r="3130" ht="13.2" x14ac:dyDescent="0.25"/>
    <row r="3131" ht="13.2" x14ac:dyDescent="0.25"/>
    <row r="3132" ht="13.2" x14ac:dyDescent="0.25"/>
    <row r="3133" ht="13.2" x14ac:dyDescent="0.25"/>
    <row r="3134" ht="13.2" x14ac:dyDescent="0.25"/>
    <row r="3135" ht="13.2" x14ac:dyDescent="0.25"/>
    <row r="3136" ht="13.2" x14ac:dyDescent="0.25"/>
    <row r="3137" ht="13.2" x14ac:dyDescent="0.25"/>
    <row r="3138" ht="13.2" x14ac:dyDescent="0.25"/>
    <row r="3139" ht="13.2" x14ac:dyDescent="0.25"/>
    <row r="3140" ht="13.2" x14ac:dyDescent="0.25"/>
    <row r="3141" ht="13.2" x14ac:dyDescent="0.25"/>
    <row r="3142" ht="13.2" x14ac:dyDescent="0.25"/>
    <row r="3143" ht="13.2" x14ac:dyDescent="0.25"/>
    <row r="3144" ht="13.2" x14ac:dyDescent="0.25"/>
    <row r="3145" ht="13.2" x14ac:dyDescent="0.25"/>
    <row r="3146" ht="13.2" x14ac:dyDescent="0.25"/>
    <row r="3147" ht="13.2" x14ac:dyDescent="0.25"/>
    <row r="3148" ht="13.2" x14ac:dyDescent="0.25"/>
    <row r="3149" ht="13.2" x14ac:dyDescent="0.25"/>
    <row r="3150" ht="13.2" x14ac:dyDescent="0.25"/>
    <row r="3151" ht="13.2" x14ac:dyDescent="0.25"/>
    <row r="3152" ht="13.2" x14ac:dyDescent="0.25"/>
    <row r="3153" ht="13.2" x14ac:dyDescent="0.25"/>
    <row r="3154" ht="13.2" x14ac:dyDescent="0.25"/>
    <row r="3155" ht="13.2" x14ac:dyDescent="0.25"/>
    <row r="3156" ht="13.2" x14ac:dyDescent="0.25"/>
    <row r="3157" ht="13.2" x14ac:dyDescent="0.25"/>
    <row r="3158" ht="13.2" x14ac:dyDescent="0.25"/>
    <row r="3159" ht="13.2" x14ac:dyDescent="0.25"/>
    <row r="3160" ht="13.2" x14ac:dyDescent="0.25"/>
    <row r="3161" ht="13.2" x14ac:dyDescent="0.25"/>
    <row r="3162" ht="13.2" x14ac:dyDescent="0.25"/>
    <row r="3163" ht="13.2" x14ac:dyDescent="0.25"/>
    <row r="3164" ht="13.2" x14ac:dyDescent="0.25"/>
    <row r="3165" ht="13.2" x14ac:dyDescent="0.25"/>
    <row r="3166" ht="13.2" x14ac:dyDescent="0.25"/>
    <row r="3167" ht="13.2" x14ac:dyDescent="0.25"/>
    <row r="3168" ht="13.2" x14ac:dyDescent="0.25"/>
    <row r="3169" ht="13.2" x14ac:dyDescent="0.25"/>
    <row r="3170" ht="13.2" x14ac:dyDescent="0.25"/>
    <row r="3171" ht="13.2" x14ac:dyDescent="0.25"/>
    <row r="3172" ht="13.2" x14ac:dyDescent="0.25"/>
    <row r="3173" ht="13.2" x14ac:dyDescent="0.25"/>
    <row r="3174" ht="13.2" x14ac:dyDescent="0.25"/>
    <row r="3175" ht="13.2" x14ac:dyDescent="0.25"/>
    <row r="3176" ht="13.2" x14ac:dyDescent="0.25"/>
    <row r="3177" ht="13.2" x14ac:dyDescent="0.25"/>
    <row r="3178" ht="13.2" x14ac:dyDescent="0.25"/>
    <row r="3179" ht="13.2" x14ac:dyDescent="0.25"/>
    <row r="3180" ht="13.2" x14ac:dyDescent="0.25"/>
    <row r="3181" ht="13.2" x14ac:dyDescent="0.25"/>
    <row r="3182" ht="13.2" x14ac:dyDescent="0.25"/>
    <row r="3183" ht="13.2" x14ac:dyDescent="0.25"/>
    <row r="3184" ht="13.2" x14ac:dyDescent="0.25"/>
    <row r="3185" ht="13.2" x14ac:dyDescent="0.25"/>
    <row r="3186" ht="13.2" x14ac:dyDescent="0.25"/>
    <row r="3187" ht="13.2" x14ac:dyDescent="0.25"/>
    <row r="3188" ht="13.2" x14ac:dyDescent="0.25"/>
    <row r="3189" ht="13.2" x14ac:dyDescent="0.25"/>
    <row r="3190" ht="13.2" x14ac:dyDescent="0.25"/>
    <row r="3191" ht="13.2" x14ac:dyDescent="0.25"/>
    <row r="3192" ht="13.2" x14ac:dyDescent="0.25"/>
    <row r="3193" ht="13.2" x14ac:dyDescent="0.25"/>
    <row r="3194" ht="13.2" x14ac:dyDescent="0.25"/>
    <row r="3195" ht="13.2" x14ac:dyDescent="0.25"/>
    <row r="3196" ht="13.2" x14ac:dyDescent="0.25"/>
    <row r="3197" ht="13.2" x14ac:dyDescent="0.25"/>
    <row r="3198" ht="13.2" x14ac:dyDescent="0.25"/>
    <row r="3199" ht="13.2" x14ac:dyDescent="0.25"/>
    <row r="3200" ht="13.2" x14ac:dyDescent="0.25"/>
    <row r="3201" ht="13.2" x14ac:dyDescent="0.25"/>
    <row r="3202" ht="13.2" x14ac:dyDescent="0.25"/>
    <row r="3203" ht="13.2" x14ac:dyDescent="0.25"/>
    <row r="3204" ht="13.2" x14ac:dyDescent="0.25"/>
    <row r="3205" ht="13.2" x14ac:dyDescent="0.25"/>
    <row r="3206" ht="13.2" x14ac:dyDescent="0.25"/>
    <row r="3207" ht="13.2" x14ac:dyDescent="0.25"/>
    <row r="3208" ht="13.2" x14ac:dyDescent="0.25"/>
    <row r="3209" ht="13.2" x14ac:dyDescent="0.25"/>
    <row r="3210" ht="13.2" x14ac:dyDescent="0.25"/>
    <row r="3211" ht="13.2" x14ac:dyDescent="0.25"/>
    <row r="3212" ht="13.2" x14ac:dyDescent="0.25"/>
    <row r="3213" ht="13.2" x14ac:dyDescent="0.25"/>
    <row r="3214" ht="13.2" x14ac:dyDescent="0.25"/>
    <row r="3215" ht="13.2" x14ac:dyDescent="0.25"/>
    <row r="3216" ht="13.2" x14ac:dyDescent="0.25"/>
    <row r="3217" ht="13.2" x14ac:dyDescent="0.25"/>
    <row r="3218" ht="13.2" x14ac:dyDescent="0.25"/>
    <row r="3219" ht="13.2" x14ac:dyDescent="0.25"/>
    <row r="3220" ht="13.2" x14ac:dyDescent="0.25"/>
    <row r="3221" ht="13.2" x14ac:dyDescent="0.25"/>
    <row r="3222" ht="13.2" x14ac:dyDescent="0.25"/>
    <row r="3223" ht="13.2" x14ac:dyDescent="0.25"/>
    <row r="3224" ht="13.2" x14ac:dyDescent="0.25"/>
    <row r="3225" ht="13.2" x14ac:dyDescent="0.25"/>
    <row r="3226" ht="13.2" x14ac:dyDescent="0.25"/>
    <row r="3227" ht="13.2" x14ac:dyDescent="0.25"/>
    <row r="3228" ht="13.2" x14ac:dyDescent="0.25"/>
    <row r="3229" ht="13.2" x14ac:dyDescent="0.25"/>
    <row r="3230" ht="13.2" x14ac:dyDescent="0.25"/>
    <row r="3231" ht="13.2" x14ac:dyDescent="0.25"/>
    <row r="3232" ht="13.2" x14ac:dyDescent="0.25"/>
    <row r="3233" ht="13.2" x14ac:dyDescent="0.25"/>
    <row r="3234" ht="13.2" x14ac:dyDescent="0.25"/>
    <row r="3235" ht="13.2" x14ac:dyDescent="0.25"/>
    <row r="3236" ht="13.2" x14ac:dyDescent="0.25"/>
    <row r="3237" ht="13.2" x14ac:dyDescent="0.25"/>
    <row r="3238" ht="13.2" x14ac:dyDescent="0.25"/>
    <row r="3239" ht="13.2" x14ac:dyDescent="0.25"/>
    <row r="3240" ht="13.2" x14ac:dyDescent="0.25"/>
    <row r="3241" ht="13.2" x14ac:dyDescent="0.25"/>
    <row r="3242" ht="13.2" x14ac:dyDescent="0.25"/>
    <row r="3243" ht="13.2" x14ac:dyDescent="0.25"/>
    <row r="3244" ht="13.2" x14ac:dyDescent="0.25"/>
    <row r="3245" ht="13.2" x14ac:dyDescent="0.25"/>
    <row r="3246" ht="13.2" x14ac:dyDescent="0.25"/>
    <row r="3247" ht="13.2" x14ac:dyDescent="0.25"/>
    <row r="3248" ht="13.2" x14ac:dyDescent="0.25"/>
    <row r="3249" ht="13.2" x14ac:dyDescent="0.25"/>
    <row r="3250" ht="13.2" x14ac:dyDescent="0.25"/>
    <row r="3251" ht="13.2" x14ac:dyDescent="0.25"/>
    <row r="3252" ht="13.2" x14ac:dyDescent="0.25"/>
    <row r="3253" ht="13.2" x14ac:dyDescent="0.25"/>
    <row r="3254" ht="13.2" x14ac:dyDescent="0.25"/>
    <row r="3255" ht="13.2" x14ac:dyDescent="0.25"/>
    <row r="3256" ht="13.2" x14ac:dyDescent="0.25"/>
    <row r="3257" ht="13.2" x14ac:dyDescent="0.25"/>
    <row r="3258" ht="13.2" x14ac:dyDescent="0.25"/>
    <row r="3259" ht="13.2" x14ac:dyDescent="0.25"/>
    <row r="3260" ht="13.2" x14ac:dyDescent="0.25"/>
    <row r="3261" ht="13.2" x14ac:dyDescent="0.25"/>
    <row r="3262" ht="13.2" x14ac:dyDescent="0.25"/>
    <row r="3263" ht="13.2" x14ac:dyDescent="0.25"/>
    <row r="3264" ht="13.2" x14ac:dyDescent="0.25"/>
    <row r="3265" ht="13.2" x14ac:dyDescent="0.25"/>
    <row r="3266" ht="13.2" x14ac:dyDescent="0.25"/>
    <row r="3267" ht="13.2" x14ac:dyDescent="0.25"/>
    <row r="3268" ht="13.2" x14ac:dyDescent="0.25"/>
    <row r="3269" ht="13.2" x14ac:dyDescent="0.25"/>
    <row r="3270" ht="13.2" x14ac:dyDescent="0.25"/>
    <row r="3271" ht="13.2" x14ac:dyDescent="0.25"/>
    <row r="3272" ht="13.2" x14ac:dyDescent="0.25"/>
    <row r="3273" ht="13.2" x14ac:dyDescent="0.25"/>
    <row r="3274" ht="13.2" x14ac:dyDescent="0.25"/>
    <row r="3275" ht="13.2" x14ac:dyDescent="0.25"/>
    <row r="3276" ht="13.2" x14ac:dyDescent="0.25"/>
    <row r="3277" ht="13.2" x14ac:dyDescent="0.25"/>
    <row r="3278" ht="13.2" x14ac:dyDescent="0.25"/>
    <row r="3279" ht="13.2" x14ac:dyDescent="0.25"/>
    <row r="3280" ht="13.2" x14ac:dyDescent="0.25"/>
    <row r="3281" ht="13.2" x14ac:dyDescent="0.25"/>
    <row r="3282" ht="13.2" x14ac:dyDescent="0.25"/>
    <row r="3283" ht="13.2" x14ac:dyDescent="0.25"/>
    <row r="3284" ht="13.2" x14ac:dyDescent="0.25"/>
    <row r="3285" ht="13.2" x14ac:dyDescent="0.25"/>
    <row r="3286" ht="13.2" x14ac:dyDescent="0.25"/>
    <row r="3287" ht="13.2" x14ac:dyDescent="0.25"/>
    <row r="3288" ht="13.2" x14ac:dyDescent="0.25"/>
    <row r="3289" ht="13.2" x14ac:dyDescent="0.25"/>
    <row r="3290" ht="13.2" x14ac:dyDescent="0.25"/>
    <row r="3291" ht="13.2" x14ac:dyDescent="0.25"/>
    <row r="3292" ht="13.2" x14ac:dyDescent="0.25"/>
    <row r="3293" ht="13.2" x14ac:dyDescent="0.25"/>
    <row r="3294" ht="13.2" x14ac:dyDescent="0.25"/>
    <row r="3295" ht="13.2" x14ac:dyDescent="0.25"/>
    <row r="3296" ht="13.2" x14ac:dyDescent="0.25"/>
    <row r="3297" ht="13.2" x14ac:dyDescent="0.25"/>
    <row r="3298" ht="13.2" x14ac:dyDescent="0.25"/>
    <row r="3299" ht="13.2" x14ac:dyDescent="0.25"/>
    <row r="3300" ht="13.2" x14ac:dyDescent="0.25"/>
    <row r="3301" ht="13.2" x14ac:dyDescent="0.25"/>
    <row r="3302" ht="13.2" x14ac:dyDescent="0.25"/>
    <row r="3303" ht="13.2" x14ac:dyDescent="0.25"/>
    <row r="3304" ht="13.2" x14ac:dyDescent="0.25"/>
    <row r="3305" ht="13.2" x14ac:dyDescent="0.25"/>
    <row r="3306" ht="13.2" x14ac:dyDescent="0.25"/>
    <row r="3307" ht="13.2" x14ac:dyDescent="0.25"/>
    <row r="3308" ht="13.2" x14ac:dyDescent="0.25"/>
    <row r="3309" ht="13.2" x14ac:dyDescent="0.25"/>
    <row r="3310" ht="13.2" x14ac:dyDescent="0.25"/>
    <row r="3311" ht="13.2" x14ac:dyDescent="0.25"/>
    <row r="3312" ht="13.2" x14ac:dyDescent="0.25"/>
    <row r="3313" ht="13.2" x14ac:dyDescent="0.25"/>
    <row r="3314" ht="13.2" x14ac:dyDescent="0.25"/>
    <row r="3315" ht="13.2" x14ac:dyDescent="0.25"/>
    <row r="3316" ht="13.2" x14ac:dyDescent="0.25"/>
    <row r="3317" ht="13.2" x14ac:dyDescent="0.25"/>
    <row r="3318" ht="13.2" x14ac:dyDescent="0.25"/>
    <row r="3319" ht="13.2" x14ac:dyDescent="0.25"/>
    <row r="3320" ht="13.2" x14ac:dyDescent="0.25"/>
    <row r="3321" ht="13.2" x14ac:dyDescent="0.25"/>
    <row r="3322" ht="13.2" x14ac:dyDescent="0.25"/>
    <row r="3323" ht="13.2" x14ac:dyDescent="0.25"/>
    <row r="3324" ht="13.2" x14ac:dyDescent="0.25"/>
    <row r="3325" ht="13.2" x14ac:dyDescent="0.25"/>
    <row r="3326" ht="13.2" x14ac:dyDescent="0.25"/>
    <row r="3327" ht="13.2" x14ac:dyDescent="0.25"/>
    <row r="3328" ht="13.2" x14ac:dyDescent="0.25"/>
    <row r="3329" ht="13.2" x14ac:dyDescent="0.25"/>
    <row r="3330" ht="13.2" x14ac:dyDescent="0.25"/>
    <row r="3331" ht="13.2" x14ac:dyDescent="0.25"/>
    <row r="3332" ht="13.2" x14ac:dyDescent="0.25"/>
    <row r="3333" ht="13.2" x14ac:dyDescent="0.25"/>
    <row r="3334" ht="13.2" x14ac:dyDescent="0.25"/>
    <row r="3335" ht="13.2" x14ac:dyDescent="0.25"/>
    <row r="3336" ht="13.2" x14ac:dyDescent="0.25"/>
    <row r="3337" ht="13.2" x14ac:dyDescent="0.25"/>
    <row r="3338" ht="13.2" x14ac:dyDescent="0.25"/>
    <row r="3339" ht="13.2" x14ac:dyDescent="0.25"/>
    <row r="3340" ht="13.2" x14ac:dyDescent="0.25"/>
    <row r="3341" ht="13.2" x14ac:dyDescent="0.25"/>
    <row r="3342" ht="13.2" x14ac:dyDescent="0.25"/>
    <row r="3343" ht="13.2" x14ac:dyDescent="0.25"/>
    <row r="3344" ht="13.2" x14ac:dyDescent="0.25"/>
    <row r="3345" ht="13.2" x14ac:dyDescent="0.25"/>
    <row r="3346" ht="13.2" x14ac:dyDescent="0.25"/>
    <row r="3347" ht="13.2" x14ac:dyDescent="0.25"/>
    <row r="3348" ht="13.2" x14ac:dyDescent="0.25"/>
    <row r="3349" ht="13.2" x14ac:dyDescent="0.25"/>
    <row r="3350" ht="13.2" x14ac:dyDescent="0.25"/>
    <row r="3351" ht="13.2" x14ac:dyDescent="0.25"/>
    <row r="3352" ht="13.2" x14ac:dyDescent="0.25"/>
    <row r="3353" ht="13.2" x14ac:dyDescent="0.25"/>
    <row r="3354" ht="13.2" x14ac:dyDescent="0.25"/>
    <row r="3355" ht="13.2" x14ac:dyDescent="0.25"/>
    <row r="3356" ht="13.2" x14ac:dyDescent="0.25"/>
    <row r="3357" ht="13.2" x14ac:dyDescent="0.25"/>
    <row r="3358" ht="13.2" x14ac:dyDescent="0.25"/>
    <row r="3359" ht="13.2" x14ac:dyDescent="0.25"/>
    <row r="3360" ht="13.2" x14ac:dyDescent="0.25"/>
    <row r="3361" ht="13.2" x14ac:dyDescent="0.25"/>
    <row r="3362" ht="13.2" x14ac:dyDescent="0.25"/>
    <row r="3363" ht="13.2" x14ac:dyDescent="0.25"/>
    <row r="3364" ht="13.2" x14ac:dyDescent="0.25"/>
    <row r="3365" ht="13.2" x14ac:dyDescent="0.25"/>
    <row r="3366" ht="13.2" x14ac:dyDescent="0.25"/>
    <row r="3367" ht="13.2" x14ac:dyDescent="0.25"/>
    <row r="3368" ht="13.2" x14ac:dyDescent="0.25"/>
    <row r="3369" ht="13.2" x14ac:dyDescent="0.25"/>
    <row r="3370" ht="13.2" x14ac:dyDescent="0.25"/>
    <row r="3371" ht="13.2" x14ac:dyDescent="0.25"/>
    <row r="3372" ht="13.2" x14ac:dyDescent="0.25"/>
    <row r="3373" ht="13.2" x14ac:dyDescent="0.25"/>
    <row r="3374" ht="13.2" x14ac:dyDescent="0.25"/>
    <row r="3375" ht="13.2" x14ac:dyDescent="0.25"/>
    <row r="3376" ht="13.2" x14ac:dyDescent="0.25"/>
    <row r="3377" ht="13.2" x14ac:dyDescent="0.25"/>
    <row r="3378" ht="13.2" x14ac:dyDescent="0.25"/>
    <row r="3379" ht="13.2" x14ac:dyDescent="0.25"/>
    <row r="3380" ht="13.2" x14ac:dyDescent="0.25"/>
    <row r="3381" ht="13.2" x14ac:dyDescent="0.25"/>
    <row r="3382" ht="13.2" x14ac:dyDescent="0.25"/>
    <row r="3383" ht="13.2" x14ac:dyDescent="0.25"/>
    <row r="3384" ht="13.2" x14ac:dyDescent="0.25"/>
    <row r="3385" ht="13.2" x14ac:dyDescent="0.25"/>
    <row r="3386" ht="13.2" x14ac:dyDescent="0.25"/>
    <row r="3387" ht="13.2" x14ac:dyDescent="0.25"/>
    <row r="3388" ht="13.2" x14ac:dyDescent="0.25"/>
    <row r="3389" ht="13.2" x14ac:dyDescent="0.25"/>
    <row r="3390" ht="13.2" x14ac:dyDescent="0.25"/>
    <row r="3391" ht="13.2" x14ac:dyDescent="0.25"/>
    <row r="3392" ht="13.2" x14ac:dyDescent="0.25"/>
    <row r="3393" ht="13.2" x14ac:dyDescent="0.25"/>
    <row r="3394" ht="13.2" x14ac:dyDescent="0.25"/>
    <row r="3395" ht="13.2" x14ac:dyDescent="0.25"/>
    <row r="3396" ht="13.2" x14ac:dyDescent="0.25"/>
    <row r="3397" ht="13.2" x14ac:dyDescent="0.25"/>
    <row r="3398" ht="13.2" x14ac:dyDescent="0.25"/>
    <row r="3399" ht="13.2" x14ac:dyDescent="0.25"/>
    <row r="3400" ht="13.2" x14ac:dyDescent="0.25"/>
    <row r="3401" ht="13.2" x14ac:dyDescent="0.25"/>
    <row r="3402" ht="13.2" x14ac:dyDescent="0.25"/>
    <row r="3403" ht="13.2" x14ac:dyDescent="0.25"/>
    <row r="3404" ht="13.2" x14ac:dyDescent="0.25"/>
    <row r="3405" ht="13.2" x14ac:dyDescent="0.25"/>
    <row r="3406" ht="13.2" x14ac:dyDescent="0.25"/>
    <row r="3407" ht="13.2" x14ac:dyDescent="0.25"/>
    <row r="3408" ht="13.2" x14ac:dyDescent="0.25"/>
    <row r="3409" ht="13.2" x14ac:dyDescent="0.25"/>
    <row r="3410" ht="13.2" x14ac:dyDescent="0.25"/>
    <row r="3411" ht="13.2" x14ac:dyDescent="0.25"/>
    <row r="3412" ht="13.2" x14ac:dyDescent="0.25"/>
    <row r="3413" ht="13.2" x14ac:dyDescent="0.25"/>
    <row r="3414" ht="13.2" x14ac:dyDescent="0.25"/>
    <row r="3415" ht="13.2" x14ac:dyDescent="0.25"/>
    <row r="3416" ht="13.2" x14ac:dyDescent="0.25"/>
    <row r="3417" ht="13.2" x14ac:dyDescent="0.25"/>
    <row r="3418" ht="13.2" x14ac:dyDescent="0.25"/>
    <row r="3419" ht="13.2" x14ac:dyDescent="0.25"/>
    <row r="3420" ht="13.2" x14ac:dyDescent="0.25"/>
    <row r="3421" ht="13.2" x14ac:dyDescent="0.25"/>
    <row r="3422" ht="13.2" x14ac:dyDescent="0.25"/>
    <row r="3423" ht="13.2" x14ac:dyDescent="0.25"/>
    <row r="3424" ht="13.2" x14ac:dyDescent="0.25"/>
    <row r="3425" ht="13.2" x14ac:dyDescent="0.25"/>
    <row r="3426" ht="13.2" x14ac:dyDescent="0.25"/>
    <row r="3427" ht="13.2" x14ac:dyDescent="0.25"/>
    <row r="3428" ht="13.2" x14ac:dyDescent="0.25"/>
    <row r="3429" ht="13.2" x14ac:dyDescent="0.25"/>
    <row r="3430" ht="13.2" x14ac:dyDescent="0.25"/>
    <row r="3431" ht="13.2" x14ac:dyDescent="0.25"/>
    <row r="3432" ht="13.2" x14ac:dyDescent="0.25"/>
    <row r="3433" ht="13.2" x14ac:dyDescent="0.25"/>
    <row r="3434" ht="13.2" x14ac:dyDescent="0.25"/>
    <row r="3435" ht="13.2" x14ac:dyDescent="0.25"/>
    <row r="3436" ht="13.2" x14ac:dyDescent="0.25"/>
    <row r="3437" ht="13.2" x14ac:dyDescent="0.25"/>
    <row r="3438" ht="13.2" x14ac:dyDescent="0.25"/>
    <row r="3439" ht="13.2" x14ac:dyDescent="0.25"/>
    <row r="3440" ht="13.2" x14ac:dyDescent="0.25"/>
    <row r="3441" ht="13.2" x14ac:dyDescent="0.25"/>
    <row r="3442" ht="13.2" x14ac:dyDescent="0.25"/>
    <row r="3443" ht="13.2" x14ac:dyDescent="0.25"/>
    <row r="3444" ht="13.2" x14ac:dyDescent="0.25"/>
    <row r="3445" ht="13.2" x14ac:dyDescent="0.25"/>
    <row r="3446" ht="13.2" x14ac:dyDescent="0.25"/>
    <row r="3447" ht="13.2" x14ac:dyDescent="0.25"/>
    <row r="3448" ht="13.2" x14ac:dyDescent="0.25"/>
    <row r="3449" ht="13.2" x14ac:dyDescent="0.25"/>
    <row r="3450" ht="13.2" x14ac:dyDescent="0.25"/>
    <row r="3451" ht="13.2" x14ac:dyDescent="0.25"/>
    <row r="3452" ht="13.2" x14ac:dyDescent="0.25"/>
    <row r="3453" ht="13.2" x14ac:dyDescent="0.25"/>
    <row r="3454" ht="13.2" x14ac:dyDescent="0.25"/>
    <row r="3455" ht="13.2" x14ac:dyDescent="0.25"/>
    <row r="3456" ht="13.2" x14ac:dyDescent="0.25"/>
    <row r="3457" ht="13.2" x14ac:dyDescent="0.25"/>
    <row r="3458" ht="13.2" x14ac:dyDescent="0.25"/>
    <row r="3459" ht="13.2" x14ac:dyDescent="0.25"/>
    <row r="3460" ht="13.2" x14ac:dyDescent="0.25"/>
    <row r="3461" ht="13.2" x14ac:dyDescent="0.25"/>
    <row r="3462" ht="13.2" x14ac:dyDescent="0.25"/>
    <row r="3463" ht="13.2" x14ac:dyDescent="0.25"/>
    <row r="3464" ht="13.2" x14ac:dyDescent="0.25"/>
    <row r="3465" ht="13.2" x14ac:dyDescent="0.25"/>
    <row r="3466" ht="13.2" x14ac:dyDescent="0.25"/>
    <row r="3467" ht="13.2" x14ac:dyDescent="0.25"/>
    <row r="3468" ht="13.2" x14ac:dyDescent="0.25"/>
    <row r="3469" ht="13.2" x14ac:dyDescent="0.25"/>
    <row r="3470" ht="13.2" x14ac:dyDescent="0.25"/>
    <row r="3471" ht="13.2" x14ac:dyDescent="0.25"/>
    <row r="3472" ht="13.2" x14ac:dyDescent="0.25"/>
    <row r="3473" ht="13.2" x14ac:dyDescent="0.25"/>
    <row r="3474" ht="13.2" x14ac:dyDescent="0.25"/>
    <row r="3475" ht="13.2" x14ac:dyDescent="0.25"/>
    <row r="3476" ht="13.2" x14ac:dyDescent="0.25"/>
    <row r="3477" ht="13.2" x14ac:dyDescent="0.25"/>
    <row r="3478" ht="13.2" x14ac:dyDescent="0.25"/>
    <row r="3479" ht="13.2" x14ac:dyDescent="0.25"/>
    <row r="3480" ht="13.2" x14ac:dyDescent="0.25"/>
    <row r="3481" ht="13.2" x14ac:dyDescent="0.25"/>
    <row r="3482" ht="13.2" x14ac:dyDescent="0.25"/>
    <row r="3483" ht="13.2" x14ac:dyDescent="0.25"/>
    <row r="3484" ht="13.2" x14ac:dyDescent="0.25"/>
    <row r="3485" ht="13.2" x14ac:dyDescent="0.25"/>
    <row r="3486" ht="13.2" x14ac:dyDescent="0.25"/>
    <row r="3487" ht="13.2" x14ac:dyDescent="0.25"/>
    <row r="3488" ht="13.2" x14ac:dyDescent="0.25"/>
    <row r="3489" ht="13.2" x14ac:dyDescent="0.25"/>
    <row r="3490" ht="13.2" x14ac:dyDescent="0.25"/>
    <row r="3491" ht="13.2" x14ac:dyDescent="0.25"/>
    <row r="3492" ht="13.2" x14ac:dyDescent="0.25"/>
    <row r="3493" ht="13.2" x14ac:dyDescent="0.25"/>
    <row r="3494" ht="13.2" x14ac:dyDescent="0.25"/>
    <row r="3495" ht="13.2" x14ac:dyDescent="0.25"/>
    <row r="3496" ht="13.2" x14ac:dyDescent="0.25"/>
    <row r="3497" ht="13.2" x14ac:dyDescent="0.25"/>
    <row r="3498" ht="13.2" x14ac:dyDescent="0.25"/>
    <row r="3499" ht="13.2" x14ac:dyDescent="0.25"/>
    <row r="3500" ht="13.2" x14ac:dyDescent="0.25"/>
    <row r="3501" ht="13.2" x14ac:dyDescent="0.25"/>
    <row r="3502" ht="13.2" x14ac:dyDescent="0.25"/>
    <row r="3503" ht="13.2" x14ac:dyDescent="0.25"/>
    <row r="3504" ht="13.2" x14ac:dyDescent="0.25"/>
    <row r="3505" ht="13.2" x14ac:dyDescent="0.25"/>
    <row r="3506" ht="13.2" x14ac:dyDescent="0.25"/>
    <row r="3507" ht="13.2" x14ac:dyDescent="0.25"/>
    <row r="3508" ht="13.2" x14ac:dyDescent="0.25"/>
    <row r="3509" ht="13.2" x14ac:dyDescent="0.25"/>
    <row r="3510" ht="13.2" x14ac:dyDescent="0.25"/>
    <row r="3511" ht="13.2" x14ac:dyDescent="0.25"/>
    <row r="3512" ht="13.2" x14ac:dyDescent="0.25"/>
    <row r="3513" ht="13.2" x14ac:dyDescent="0.25"/>
    <row r="3514" ht="13.2" x14ac:dyDescent="0.25"/>
    <row r="3515" ht="13.2" x14ac:dyDescent="0.25"/>
    <row r="3516" ht="13.2" x14ac:dyDescent="0.25"/>
    <row r="3517" ht="13.2" x14ac:dyDescent="0.25"/>
    <row r="3518" ht="13.2" x14ac:dyDescent="0.25"/>
    <row r="3519" ht="13.2" x14ac:dyDescent="0.25"/>
    <row r="3520" ht="13.2" x14ac:dyDescent="0.25"/>
    <row r="3521" ht="13.2" x14ac:dyDescent="0.25"/>
    <row r="3522" ht="13.2" x14ac:dyDescent="0.25"/>
    <row r="3523" ht="13.2" x14ac:dyDescent="0.25"/>
    <row r="3524" ht="13.2" x14ac:dyDescent="0.25"/>
    <row r="3525" ht="13.2" x14ac:dyDescent="0.25"/>
    <row r="3526" ht="13.2" x14ac:dyDescent="0.25"/>
    <row r="3527" ht="13.2" x14ac:dyDescent="0.25"/>
    <row r="3528" ht="13.2" x14ac:dyDescent="0.25"/>
    <row r="3529" ht="13.2" x14ac:dyDescent="0.25"/>
    <row r="3530" ht="13.2" x14ac:dyDescent="0.25"/>
    <row r="3531" ht="13.2" x14ac:dyDescent="0.25"/>
    <row r="3532" ht="13.2" x14ac:dyDescent="0.25"/>
    <row r="3533" ht="13.2" x14ac:dyDescent="0.25"/>
    <row r="3534" ht="13.2" x14ac:dyDescent="0.25"/>
    <row r="3535" ht="13.2" x14ac:dyDescent="0.25"/>
    <row r="3536" ht="13.2" x14ac:dyDescent="0.25"/>
    <row r="3537" ht="13.2" x14ac:dyDescent="0.25"/>
    <row r="3538" ht="13.2" x14ac:dyDescent="0.25"/>
    <row r="3539" ht="13.2" x14ac:dyDescent="0.25"/>
    <row r="3540" ht="13.2" x14ac:dyDescent="0.25"/>
    <row r="3541" ht="13.2" x14ac:dyDescent="0.25"/>
    <row r="3542" ht="13.2" x14ac:dyDescent="0.25"/>
    <row r="3543" ht="13.2" x14ac:dyDescent="0.25"/>
    <row r="3544" ht="13.2" x14ac:dyDescent="0.25"/>
    <row r="3545" ht="13.2" x14ac:dyDescent="0.25"/>
    <row r="3546" ht="13.2" x14ac:dyDescent="0.25"/>
    <row r="3547" ht="13.2" x14ac:dyDescent="0.25"/>
    <row r="3548" ht="13.2" x14ac:dyDescent="0.25"/>
    <row r="3549" ht="13.2" x14ac:dyDescent="0.25"/>
    <row r="3550" ht="13.2" x14ac:dyDescent="0.25"/>
    <row r="3551" ht="13.2" x14ac:dyDescent="0.25"/>
    <row r="3552" ht="13.2" x14ac:dyDescent="0.25"/>
    <row r="3553" ht="13.2" x14ac:dyDescent="0.25"/>
    <row r="3554" ht="13.2" x14ac:dyDescent="0.25"/>
    <row r="3555" ht="13.2" x14ac:dyDescent="0.25"/>
    <row r="3556" ht="13.2" x14ac:dyDescent="0.25"/>
    <row r="3557" ht="13.2" x14ac:dyDescent="0.25"/>
    <row r="3558" ht="13.2" x14ac:dyDescent="0.25"/>
    <row r="3559" ht="13.2" x14ac:dyDescent="0.25"/>
    <row r="3560" ht="13.2" x14ac:dyDescent="0.25"/>
    <row r="3561" ht="13.2" x14ac:dyDescent="0.25"/>
    <row r="3562" ht="13.2" x14ac:dyDescent="0.25"/>
    <row r="3563" ht="13.2" x14ac:dyDescent="0.25"/>
    <row r="3564" ht="13.2" x14ac:dyDescent="0.25"/>
    <row r="3565" ht="13.2" x14ac:dyDescent="0.25"/>
    <row r="3566" ht="13.2" x14ac:dyDescent="0.25"/>
    <row r="3567" ht="13.2" x14ac:dyDescent="0.25"/>
    <row r="3568" ht="13.2" x14ac:dyDescent="0.25"/>
    <row r="3569" ht="13.2" x14ac:dyDescent="0.25"/>
    <row r="3570" ht="13.2" x14ac:dyDescent="0.25"/>
    <row r="3571" ht="13.2" x14ac:dyDescent="0.25"/>
    <row r="3572" ht="13.2" x14ac:dyDescent="0.25"/>
    <row r="3573" ht="13.2" x14ac:dyDescent="0.25"/>
    <row r="3574" ht="13.2" x14ac:dyDescent="0.25"/>
    <row r="3575" ht="13.2" x14ac:dyDescent="0.25"/>
    <row r="3576" ht="13.2" x14ac:dyDescent="0.25"/>
    <row r="3577" ht="13.2" x14ac:dyDescent="0.25"/>
    <row r="3578" ht="13.2" x14ac:dyDescent="0.25"/>
    <row r="3579" ht="13.2" x14ac:dyDescent="0.25"/>
    <row r="3580" ht="13.2" x14ac:dyDescent="0.25"/>
    <row r="3581" ht="13.2" x14ac:dyDescent="0.25"/>
    <row r="3582" ht="13.2" x14ac:dyDescent="0.25"/>
    <row r="3583" ht="13.2" x14ac:dyDescent="0.25"/>
    <row r="3584" ht="13.2" x14ac:dyDescent="0.25"/>
    <row r="3585" ht="13.2" x14ac:dyDescent="0.25"/>
    <row r="3586" ht="13.2" x14ac:dyDescent="0.25"/>
    <row r="3587" ht="13.2" x14ac:dyDescent="0.25"/>
    <row r="3588" ht="13.2" x14ac:dyDescent="0.25"/>
    <row r="3589" ht="13.2" x14ac:dyDescent="0.25"/>
    <row r="3590" ht="13.2" x14ac:dyDescent="0.25"/>
    <row r="3591" ht="13.2" x14ac:dyDescent="0.25"/>
    <row r="3592" ht="13.2" x14ac:dyDescent="0.25"/>
    <row r="3593" ht="13.2" x14ac:dyDescent="0.25"/>
    <row r="3594" ht="13.2" x14ac:dyDescent="0.25"/>
    <row r="3595" ht="13.2" x14ac:dyDescent="0.25"/>
    <row r="3596" ht="13.2" x14ac:dyDescent="0.25"/>
    <row r="3597" ht="13.2" x14ac:dyDescent="0.25"/>
    <row r="3598" ht="13.2" x14ac:dyDescent="0.25"/>
    <row r="3599" ht="13.2" x14ac:dyDescent="0.25"/>
    <row r="3600" ht="13.2" x14ac:dyDescent="0.25"/>
    <row r="3601" ht="13.2" x14ac:dyDescent="0.25"/>
    <row r="3602" ht="13.2" x14ac:dyDescent="0.25"/>
    <row r="3603" ht="13.2" x14ac:dyDescent="0.25"/>
    <row r="3604" ht="13.2" x14ac:dyDescent="0.25"/>
    <row r="3605" ht="13.2" x14ac:dyDescent="0.25"/>
    <row r="3606" ht="13.2" x14ac:dyDescent="0.25"/>
    <row r="3607" ht="13.2" x14ac:dyDescent="0.25"/>
    <row r="3608" ht="13.2" x14ac:dyDescent="0.25"/>
    <row r="3609" ht="13.2" x14ac:dyDescent="0.25"/>
    <row r="3610" ht="13.2" x14ac:dyDescent="0.25"/>
    <row r="3611" ht="13.2" x14ac:dyDescent="0.25"/>
    <row r="3612" ht="13.2" x14ac:dyDescent="0.25"/>
    <row r="3613" ht="13.2" x14ac:dyDescent="0.25"/>
    <row r="3614" ht="13.2" x14ac:dyDescent="0.25"/>
    <row r="3615" ht="13.2" x14ac:dyDescent="0.25"/>
    <row r="3616" ht="13.2" x14ac:dyDescent="0.25"/>
    <row r="3617" ht="13.2" x14ac:dyDescent="0.25"/>
    <row r="3618" ht="13.2" x14ac:dyDescent="0.25"/>
    <row r="3619" ht="13.2" x14ac:dyDescent="0.25"/>
    <row r="3620" ht="13.2" x14ac:dyDescent="0.25"/>
    <row r="3621" ht="13.2" x14ac:dyDescent="0.25"/>
    <row r="3622" ht="13.2" x14ac:dyDescent="0.25"/>
    <row r="3623" ht="13.2" x14ac:dyDescent="0.25"/>
    <row r="3624" ht="13.2" x14ac:dyDescent="0.25"/>
    <row r="3625" ht="13.2" x14ac:dyDescent="0.25"/>
    <row r="3626" ht="13.2" x14ac:dyDescent="0.25"/>
    <row r="3627" ht="13.2" x14ac:dyDescent="0.25"/>
    <row r="3628" ht="13.2" x14ac:dyDescent="0.25"/>
    <row r="3629" ht="13.2" x14ac:dyDescent="0.25"/>
    <row r="3630" ht="13.2" x14ac:dyDescent="0.25"/>
    <row r="3631" ht="13.2" x14ac:dyDescent="0.25"/>
    <row r="3632" ht="13.2" x14ac:dyDescent="0.25"/>
    <row r="3633" ht="13.2" x14ac:dyDescent="0.25"/>
    <row r="3634" ht="13.2" x14ac:dyDescent="0.25"/>
    <row r="3635" ht="13.2" x14ac:dyDescent="0.25"/>
    <row r="3636" ht="13.2" x14ac:dyDescent="0.25"/>
    <row r="3637" ht="13.2" x14ac:dyDescent="0.25"/>
    <row r="3638" ht="13.2" x14ac:dyDescent="0.25"/>
    <row r="3639" ht="13.2" x14ac:dyDescent="0.25"/>
    <row r="3640" ht="13.2" x14ac:dyDescent="0.25"/>
    <row r="3641" ht="13.2" x14ac:dyDescent="0.25"/>
    <row r="3642" ht="13.2" x14ac:dyDescent="0.25"/>
    <row r="3643" ht="13.2" x14ac:dyDescent="0.25"/>
    <row r="3644" ht="13.2" x14ac:dyDescent="0.25"/>
    <row r="3645" ht="13.2" x14ac:dyDescent="0.25"/>
    <row r="3646" ht="13.2" x14ac:dyDescent="0.25"/>
    <row r="3647" ht="13.2" x14ac:dyDescent="0.25"/>
    <row r="3648" ht="13.2" x14ac:dyDescent="0.25"/>
    <row r="3649" ht="13.2" x14ac:dyDescent="0.25"/>
    <row r="3650" ht="13.2" x14ac:dyDescent="0.25"/>
    <row r="3651" ht="13.2" x14ac:dyDescent="0.25"/>
    <row r="3652" ht="13.2" x14ac:dyDescent="0.25"/>
    <row r="3653" ht="13.2" x14ac:dyDescent="0.25"/>
    <row r="3654" ht="13.2" x14ac:dyDescent="0.25"/>
    <row r="3655" ht="13.2" x14ac:dyDescent="0.25"/>
    <row r="3656" ht="13.2" x14ac:dyDescent="0.25"/>
    <row r="3657" ht="13.2" x14ac:dyDescent="0.25"/>
    <row r="3658" ht="13.2" x14ac:dyDescent="0.25"/>
    <row r="3659" ht="13.2" x14ac:dyDescent="0.25"/>
    <row r="3660" ht="13.2" x14ac:dyDescent="0.25"/>
    <row r="3661" ht="13.2" x14ac:dyDescent="0.25"/>
    <row r="3662" ht="13.2" x14ac:dyDescent="0.25"/>
    <row r="3663" ht="13.2" x14ac:dyDescent="0.25"/>
    <row r="3664" ht="13.2" x14ac:dyDescent="0.25"/>
    <row r="3665" ht="13.2" x14ac:dyDescent="0.25"/>
    <row r="3666" ht="13.2" x14ac:dyDescent="0.25"/>
    <row r="3667" ht="13.2" x14ac:dyDescent="0.25"/>
    <row r="3668" ht="13.2" x14ac:dyDescent="0.25"/>
    <row r="3669" ht="13.2" x14ac:dyDescent="0.25"/>
    <row r="3670" ht="13.2" x14ac:dyDescent="0.25"/>
    <row r="3671" ht="13.2" x14ac:dyDescent="0.25"/>
    <row r="3672" ht="13.2" x14ac:dyDescent="0.25"/>
    <row r="3673" ht="13.2" x14ac:dyDescent="0.25"/>
    <row r="3674" ht="13.2" x14ac:dyDescent="0.25"/>
    <row r="3675" ht="13.2" x14ac:dyDescent="0.25"/>
    <row r="3676" ht="13.2" x14ac:dyDescent="0.25"/>
    <row r="3677" ht="13.2" x14ac:dyDescent="0.25"/>
    <row r="3678" ht="13.2" x14ac:dyDescent="0.25"/>
    <row r="3679" ht="13.2" x14ac:dyDescent="0.25"/>
    <row r="3680" ht="13.2" x14ac:dyDescent="0.25"/>
    <row r="3681" ht="13.2" x14ac:dyDescent="0.25"/>
    <row r="3682" ht="13.2" x14ac:dyDescent="0.25"/>
    <row r="3683" ht="13.2" x14ac:dyDescent="0.25"/>
    <row r="3684" ht="13.2" x14ac:dyDescent="0.25"/>
    <row r="3685" ht="13.2" x14ac:dyDescent="0.25"/>
    <row r="3686" ht="13.2" x14ac:dyDescent="0.25"/>
    <row r="3687" ht="13.2" x14ac:dyDescent="0.25"/>
    <row r="3688" ht="13.2" x14ac:dyDescent="0.25"/>
    <row r="3689" ht="13.2" x14ac:dyDescent="0.25"/>
    <row r="3690" ht="13.2" x14ac:dyDescent="0.25"/>
    <row r="3691" ht="13.2" x14ac:dyDescent="0.25"/>
    <row r="3692" ht="13.2" x14ac:dyDescent="0.25"/>
    <row r="3693" ht="13.2" x14ac:dyDescent="0.25"/>
    <row r="3694" ht="13.2" x14ac:dyDescent="0.25"/>
    <row r="3695" ht="13.2" x14ac:dyDescent="0.25"/>
    <row r="3696" ht="13.2" x14ac:dyDescent="0.25"/>
    <row r="3697" ht="13.2" x14ac:dyDescent="0.25"/>
    <row r="3698" ht="13.2" x14ac:dyDescent="0.25"/>
    <row r="3699" ht="13.2" x14ac:dyDescent="0.25"/>
    <row r="3700" ht="13.2" x14ac:dyDescent="0.25"/>
    <row r="3701" ht="13.2" x14ac:dyDescent="0.25"/>
    <row r="3702" ht="13.2" x14ac:dyDescent="0.25"/>
    <row r="3703" ht="13.2" x14ac:dyDescent="0.25"/>
    <row r="3704" ht="13.2" x14ac:dyDescent="0.25"/>
    <row r="3705" ht="13.2" x14ac:dyDescent="0.25"/>
    <row r="3706" ht="13.2" x14ac:dyDescent="0.25"/>
    <row r="3707" ht="13.2" x14ac:dyDescent="0.25"/>
    <row r="3708" ht="13.2" x14ac:dyDescent="0.25"/>
    <row r="3709" ht="13.2" x14ac:dyDescent="0.25"/>
    <row r="3710" ht="13.2" x14ac:dyDescent="0.25"/>
    <row r="3711" ht="13.2" x14ac:dyDescent="0.25"/>
    <row r="3712" ht="13.2" x14ac:dyDescent="0.25"/>
    <row r="3713" ht="13.2" x14ac:dyDescent="0.25"/>
    <row r="3714" ht="13.2" x14ac:dyDescent="0.25"/>
    <row r="3715" ht="13.2" x14ac:dyDescent="0.25"/>
    <row r="3716" ht="13.2" x14ac:dyDescent="0.25"/>
    <row r="3717" ht="13.2" x14ac:dyDescent="0.25"/>
    <row r="3718" ht="13.2" x14ac:dyDescent="0.25"/>
    <row r="3719" ht="13.2" x14ac:dyDescent="0.25"/>
    <row r="3720" ht="13.2" x14ac:dyDescent="0.25"/>
    <row r="3721" ht="13.2" x14ac:dyDescent="0.25"/>
    <row r="3722" ht="13.2" x14ac:dyDescent="0.25"/>
    <row r="3723" ht="13.2" x14ac:dyDescent="0.25"/>
    <row r="3724" ht="13.2" x14ac:dyDescent="0.25"/>
    <row r="3725" ht="13.2" x14ac:dyDescent="0.25"/>
    <row r="3726" ht="13.2" x14ac:dyDescent="0.25"/>
    <row r="3727" ht="13.2" x14ac:dyDescent="0.25"/>
    <row r="3728" ht="13.2" x14ac:dyDescent="0.25"/>
    <row r="3729" ht="13.2" x14ac:dyDescent="0.25"/>
    <row r="3730" ht="13.2" x14ac:dyDescent="0.25"/>
    <row r="3731" ht="13.2" x14ac:dyDescent="0.25"/>
    <row r="3732" ht="13.2" x14ac:dyDescent="0.25"/>
    <row r="3733" ht="13.2" x14ac:dyDescent="0.25"/>
    <row r="3734" ht="13.2" x14ac:dyDescent="0.25"/>
    <row r="3735" ht="13.2" x14ac:dyDescent="0.25"/>
    <row r="3736" ht="13.2" x14ac:dyDescent="0.25"/>
    <row r="3737" ht="13.2" x14ac:dyDescent="0.25"/>
    <row r="3738" ht="13.2" x14ac:dyDescent="0.25"/>
    <row r="3739" ht="13.2" x14ac:dyDescent="0.25"/>
    <row r="3740" ht="13.2" x14ac:dyDescent="0.25"/>
    <row r="3741" ht="13.2" x14ac:dyDescent="0.25"/>
    <row r="3742" ht="13.2" x14ac:dyDescent="0.25"/>
    <row r="3743" ht="13.2" x14ac:dyDescent="0.25"/>
    <row r="3744" ht="13.2" x14ac:dyDescent="0.25"/>
    <row r="3745" ht="13.2" x14ac:dyDescent="0.25"/>
    <row r="3746" ht="13.2" x14ac:dyDescent="0.25"/>
    <row r="3747" ht="13.2" x14ac:dyDescent="0.25"/>
    <row r="3748" ht="13.2" x14ac:dyDescent="0.25"/>
    <row r="3749" ht="13.2" x14ac:dyDescent="0.25"/>
    <row r="3750" ht="13.2" x14ac:dyDescent="0.25"/>
    <row r="3751" ht="13.2" x14ac:dyDescent="0.25"/>
    <row r="3752" ht="13.2" x14ac:dyDescent="0.25"/>
    <row r="3753" ht="13.2" x14ac:dyDescent="0.25"/>
    <row r="3754" ht="13.2" x14ac:dyDescent="0.25"/>
    <row r="3755" ht="13.2" x14ac:dyDescent="0.25"/>
    <row r="3756" ht="13.2" x14ac:dyDescent="0.25"/>
    <row r="3757" ht="13.2" x14ac:dyDescent="0.25"/>
    <row r="3758" ht="13.2" x14ac:dyDescent="0.25"/>
    <row r="3759" ht="13.2" x14ac:dyDescent="0.25"/>
    <row r="3760" ht="13.2" x14ac:dyDescent="0.25"/>
    <row r="3761" ht="13.2" x14ac:dyDescent="0.25"/>
    <row r="3762" ht="13.2" x14ac:dyDescent="0.25"/>
    <row r="3763" ht="13.2" x14ac:dyDescent="0.25"/>
    <row r="3764" ht="13.2" x14ac:dyDescent="0.25"/>
    <row r="3765" ht="13.2" x14ac:dyDescent="0.25"/>
    <row r="3766" ht="13.2" x14ac:dyDescent="0.25"/>
    <row r="3767" ht="13.2" x14ac:dyDescent="0.25"/>
    <row r="3768" ht="13.2" x14ac:dyDescent="0.25"/>
    <row r="3769" ht="13.2" x14ac:dyDescent="0.25"/>
    <row r="3770" ht="13.2" x14ac:dyDescent="0.25"/>
    <row r="3771" ht="13.2" x14ac:dyDescent="0.25"/>
    <row r="3772" ht="13.2" x14ac:dyDescent="0.25"/>
    <row r="3773" ht="13.2" x14ac:dyDescent="0.25"/>
    <row r="3774" ht="13.2" x14ac:dyDescent="0.25"/>
    <row r="3775" ht="13.2" x14ac:dyDescent="0.25"/>
    <row r="3776" ht="13.2" x14ac:dyDescent="0.25"/>
    <row r="3777" ht="13.2" x14ac:dyDescent="0.25"/>
    <row r="3778" ht="13.2" x14ac:dyDescent="0.25"/>
    <row r="3779" ht="13.2" x14ac:dyDescent="0.25"/>
    <row r="3780" ht="13.2" x14ac:dyDescent="0.25"/>
    <row r="3781" ht="13.2" x14ac:dyDescent="0.25"/>
    <row r="3782" ht="13.2" x14ac:dyDescent="0.25"/>
    <row r="3783" ht="13.2" x14ac:dyDescent="0.25"/>
    <row r="3784" ht="13.2" x14ac:dyDescent="0.25"/>
    <row r="3785" ht="13.2" x14ac:dyDescent="0.25"/>
    <row r="3786" ht="13.2" x14ac:dyDescent="0.25"/>
    <row r="3787" ht="13.2" x14ac:dyDescent="0.25"/>
    <row r="3788" ht="13.2" x14ac:dyDescent="0.25"/>
    <row r="3789" ht="13.2" x14ac:dyDescent="0.25"/>
    <row r="3790" ht="13.2" x14ac:dyDescent="0.25"/>
    <row r="3791" ht="13.2" x14ac:dyDescent="0.25"/>
    <row r="3792" ht="13.2" x14ac:dyDescent="0.25"/>
    <row r="3793" ht="13.2" x14ac:dyDescent="0.25"/>
    <row r="3794" ht="13.2" x14ac:dyDescent="0.25"/>
    <row r="3795" ht="13.2" x14ac:dyDescent="0.25"/>
    <row r="3796" ht="13.2" x14ac:dyDescent="0.25"/>
    <row r="3797" ht="13.2" x14ac:dyDescent="0.25"/>
    <row r="3798" ht="13.2" x14ac:dyDescent="0.25"/>
    <row r="3799" ht="13.2" x14ac:dyDescent="0.25"/>
    <row r="3800" ht="13.2" x14ac:dyDescent="0.25"/>
    <row r="3801" ht="13.2" x14ac:dyDescent="0.25"/>
    <row r="3802" ht="13.2" x14ac:dyDescent="0.25"/>
    <row r="3803" ht="13.2" x14ac:dyDescent="0.25"/>
    <row r="3804" ht="13.2" x14ac:dyDescent="0.25"/>
    <row r="3805" ht="13.2" x14ac:dyDescent="0.25"/>
    <row r="3806" ht="13.2" x14ac:dyDescent="0.25"/>
    <row r="3807" ht="13.2" x14ac:dyDescent="0.25"/>
    <row r="3808" ht="13.2" x14ac:dyDescent="0.25"/>
    <row r="3809" ht="13.2" x14ac:dyDescent="0.25"/>
    <row r="3810" ht="13.2" x14ac:dyDescent="0.25"/>
    <row r="3811" ht="13.2" x14ac:dyDescent="0.25"/>
    <row r="3812" ht="13.2" x14ac:dyDescent="0.25"/>
    <row r="3813" ht="13.2" x14ac:dyDescent="0.25"/>
    <row r="3814" ht="13.2" x14ac:dyDescent="0.25"/>
    <row r="3815" ht="13.2" x14ac:dyDescent="0.25"/>
    <row r="3816" ht="13.2" x14ac:dyDescent="0.25"/>
    <row r="3817" ht="13.2" x14ac:dyDescent="0.25"/>
    <row r="3818" ht="13.2" x14ac:dyDescent="0.25"/>
    <row r="3819" ht="13.2" x14ac:dyDescent="0.25"/>
    <row r="3820" ht="13.2" x14ac:dyDescent="0.25"/>
    <row r="3821" ht="13.2" x14ac:dyDescent="0.25"/>
    <row r="3822" ht="13.2" x14ac:dyDescent="0.25"/>
    <row r="3823" ht="13.2" x14ac:dyDescent="0.25"/>
    <row r="3824" ht="13.2" x14ac:dyDescent="0.25"/>
    <row r="3825" ht="13.2" x14ac:dyDescent="0.25"/>
    <row r="3826" ht="13.2" x14ac:dyDescent="0.25"/>
    <row r="3827" ht="13.2" x14ac:dyDescent="0.25"/>
    <row r="3828" ht="13.2" x14ac:dyDescent="0.25"/>
    <row r="3829" ht="13.2" x14ac:dyDescent="0.25"/>
    <row r="3830" ht="13.2" x14ac:dyDescent="0.25"/>
    <row r="3831" ht="13.2" x14ac:dyDescent="0.25"/>
    <row r="3832" ht="13.2" x14ac:dyDescent="0.25"/>
    <row r="3833" ht="13.2" x14ac:dyDescent="0.25"/>
    <row r="3834" ht="13.2" x14ac:dyDescent="0.25"/>
    <row r="3835" ht="13.2" x14ac:dyDescent="0.25"/>
    <row r="3836" ht="13.2" x14ac:dyDescent="0.25"/>
    <row r="3837" ht="13.2" x14ac:dyDescent="0.25"/>
    <row r="3838" ht="13.2" x14ac:dyDescent="0.25"/>
    <row r="3839" ht="13.2" x14ac:dyDescent="0.25"/>
    <row r="3840" ht="13.2" x14ac:dyDescent="0.25"/>
    <row r="3841" ht="13.2" x14ac:dyDescent="0.25"/>
    <row r="3842" ht="13.2" x14ac:dyDescent="0.25"/>
    <row r="3843" ht="13.2" x14ac:dyDescent="0.25"/>
    <row r="3844" ht="13.2" x14ac:dyDescent="0.25"/>
    <row r="3845" ht="13.2" x14ac:dyDescent="0.25"/>
    <row r="3846" ht="13.2" x14ac:dyDescent="0.25"/>
    <row r="3847" ht="13.2" x14ac:dyDescent="0.25"/>
    <row r="3848" ht="13.2" x14ac:dyDescent="0.25"/>
    <row r="3849" ht="13.2" x14ac:dyDescent="0.25"/>
    <row r="3850" ht="13.2" x14ac:dyDescent="0.25"/>
    <row r="3851" ht="13.2" x14ac:dyDescent="0.25"/>
    <row r="3852" ht="13.2" x14ac:dyDescent="0.25"/>
    <row r="3853" ht="13.2" x14ac:dyDescent="0.25"/>
    <row r="3854" ht="13.2" x14ac:dyDescent="0.25"/>
    <row r="3855" ht="13.2" x14ac:dyDescent="0.25"/>
    <row r="3856" ht="13.2" x14ac:dyDescent="0.25"/>
    <row r="3857" ht="13.2" x14ac:dyDescent="0.25"/>
    <row r="3858" ht="13.2" x14ac:dyDescent="0.25"/>
    <row r="3859" ht="13.2" x14ac:dyDescent="0.25"/>
    <row r="3860" ht="13.2" x14ac:dyDescent="0.25"/>
    <row r="3861" ht="13.2" x14ac:dyDescent="0.25"/>
    <row r="3862" ht="13.2" x14ac:dyDescent="0.25"/>
    <row r="3863" ht="13.2" x14ac:dyDescent="0.25"/>
    <row r="3864" ht="13.2" x14ac:dyDescent="0.25"/>
    <row r="3865" ht="13.2" x14ac:dyDescent="0.25"/>
    <row r="3866" ht="13.2" x14ac:dyDescent="0.25"/>
    <row r="3867" ht="13.2" x14ac:dyDescent="0.25"/>
    <row r="3868" ht="13.2" x14ac:dyDescent="0.25"/>
    <row r="3869" ht="13.2" x14ac:dyDescent="0.25"/>
    <row r="3870" ht="13.2" x14ac:dyDescent="0.25"/>
    <row r="3871" ht="13.2" x14ac:dyDescent="0.25"/>
    <row r="3872" ht="13.2" x14ac:dyDescent="0.25"/>
    <row r="3873" ht="13.2" x14ac:dyDescent="0.25"/>
    <row r="3874" ht="13.2" x14ac:dyDescent="0.25"/>
    <row r="3875" ht="13.2" x14ac:dyDescent="0.25"/>
    <row r="3876" ht="13.2" x14ac:dyDescent="0.25"/>
    <row r="3877" ht="13.2" x14ac:dyDescent="0.25"/>
    <row r="3878" ht="13.2" x14ac:dyDescent="0.25"/>
    <row r="3879" ht="13.2" x14ac:dyDescent="0.25"/>
    <row r="3880" ht="13.2" x14ac:dyDescent="0.25"/>
    <row r="3881" ht="13.2" x14ac:dyDescent="0.25"/>
    <row r="3882" ht="13.2" x14ac:dyDescent="0.25"/>
    <row r="3883" ht="13.2" x14ac:dyDescent="0.25"/>
    <row r="3884" ht="13.2" x14ac:dyDescent="0.25"/>
    <row r="3885" ht="13.2" x14ac:dyDescent="0.25"/>
    <row r="3886" ht="13.2" x14ac:dyDescent="0.25"/>
    <row r="3887" ht="13.2" x14ac:dyDescent="0.25"/>
    <row r="3888" ht="13.2" x14ac:dyDescent="0.25"/>
    <row r="3889" ht="13.2" x14ac:dyDescent="0.25"/>
    <row r="3890" ht="13.2" x14ac:dyDescent="0.25"/>
    <row r="3891" ht="13.2" x14ac:dyDescent="0.25"/>
    <row r="3892" ht="13.2" x14ac:dyDescent="0.25"/>
    <row r="3893" ht="13.2" x14ac:dyDescent="0.25"/>
    <row r="3894" ht="13.2" x14ac:dyDescent="0.25"/>
    <row r="3895" ht="13.2" x14ac:dyDescent="0.25"/>
    <row r="3896" ht="13.2" x14ac:dyDescent="0.25"/>
    <row r="3897" ht="13.2" x14ac:dyDescent="0.25"/>
    <row r="3898" ht="13.2" x14ac:dyDescent="0.25"/>
    <row r="3899" ht="13.2" x14ac:dyDescent="0.25"/>
    <row r="3900" ht="13.2" x14ac:dyDescent="0.25"/>
    <row r="3901" ht="13.2" x14ac:dyDescent="0.25"/>
    <row r="3902" ht="13.2" x14ac:dyDescent="0.25"/>
    <row r="3903" ht="13.2" x14ac:dyDescent="0.25"/>
    <row r="3904" ht="13.2" x14ac:dyDescent="0.25"/>
    <row r="3905" ht="13.2" x14ac:dyDescent="0.25"/>
    <row r="3906" ht="13.2" x14ac:dyDescent="0.25"/>
    <row r="3907" ht="13.2" x14ac:dyDescent="0.25"/>
    <row r="3908" ht="13.2" x14ac:dyDescent="0.25"/>
    <row r="3909" ht="13.2" x14ac:dyDescent="0.25"/>
    <row r="3910" ht="13.2" x14ac:dyDescent="0.25"/>
    <row r="3911" ht="13.2" x14ac:dyDescent="0.25"/>
    <row r="3912" ht="13.2" x14ac:dyDescent="0.25"/>
    <row r="3913" ht="13.2" x14ac:dyDescent="0.25"/>
    <row r="3914" ht="13.2" x14ac:dyDescent="0.25"/>
    <row r="3915" ht="13.2" x14ac:dyDescent="0.25"/>
    <row r="3916" ht="13.2" x14ac:dyDescent="0.25"/>
    <row r="3917" ht="13.2" x14ac:dyDescent="0.25"/>
    <row r="3918" ht="13.2" x14ac:dyDescent="0.25"/>
    <row r="3919" ht="13.2" x14ac:dyDescent="0.25"/>
    <row r="3920" ht="13.2" x14ac:dyDescent="0.25"/>
    <row r="3921" ht="13.2" x14ac:dyDescent="0.25"/>
    <row r="3922" ht="13.2" x14ac:dyDescent="0.25"/>
    <row r="3923" ht="13.2" x14ac:dyDescent="0.25"/>
    <row r="3924" ht="13.2" x14ac:dyDescent="0.25"/>
    <row r="3925" ht="13.2" x14ac:dyDescent="0.25"/>
    <row r="3926" ht="13.2" x14ac:dyDescent="0.25"/>
    <row r="3927" ht="13.2" x14ac:dyDescent="0.25"/>
    <row r="3928" ht="13.2" x14ac:dyDescent="0.25"/>
    <row r="3929" ht="13.2" x14ac:dyDescent="0.25"/>
    <row r="3930" ht="13.2" x14ac:dyDescent="0.25"/>
    <row r="3931" ht="13.2" x14ac:dyDescent="0.25"/>
    <row r="3932" ht="13.2" x14ac:dyDescent="0.25"/>
    <row r="3933" ht="13.2" x14ac:dyDescent="0.25"/>
    <row r="3934" ht="13.2" x14ac:dyDescent="0.25"/>
    <row r="3935" ht="13.2" x14ac:dyDescent="0.25"/>
    <row r="3936" ht="13.2" x14ac:dyDescent="0.25"/>
    <row r="3937" ht="13.2" x14ac:dyDescent="0.25"/>
    <row r="3938" ht="13.2" x14ac:dyDescent="0.25"/>
    <row r="3939" ht="13.2" x14ac:dyDescent="0.25"/>
    <row r="3940" ht="13.2" x14ac:dyDescent="0.25"/>
    <row r="3941" ht="13.2" x14ac:dyDescent="0.25"/>
    <row r="3942" ht="13.2" x14ac:dyDescent="0.25"/>
    <row r="3943" ht="13.2" x14ac:dyDescent="0.25"/>
    <row r="3944" ht="13.2" x14ac:dyDescent="0.25"/>
    <row r="3945" ht="13.2" x14ac:dyDescent="0.25"/>
    <row r="3946" ht="13.2" x14ac:dyDescent="0.25"/>
    <row r="3947" ht="13.2" x14ac:dyDescent="0.25"/>
    <row r="3948" ht="13.2" x14ac:dyDescent="0.25"/>
    <row r="3949" ht="13.2" x14ac:dyDescent="0.25"/>
    <row r="3950" ht="13.2" x14ac:dyDescent="0.25"/>
    <row r="3951" ht="13.2" x14ac:dyDescent="0.25"/>
    <row r="3952" ht="13.2" x14ac:dyDescent="0.25"/>
    <row r="3953" ht="13.2" x14ac:dyDescent="0.25"/>
    <row r="3954" ht="13.2" x14ac:dyDescent="0.25"/>
    <row r="3955" ht="13.2" x14ac:dyDescent="0.25"/>
    <row r="3956" ht="13.2" x14ac:dyDescent="0.25"/>
    <row r="3957" ht="13.2" x14ac:dyDescent="0.25"/>
    <row r="3958" ht="13.2" x14ac:dyDescent="0.25"/>
    <row r="3959" ht="13.2" x14ac:dyDescent="0.25"/>
    <row r="3960" ht="13.2" x14ac:dyDescent="0.25"/>
    <row r="3961" ht="13.2" x14ac:dyDescent="0.25"/>
    <row r="3962" ht="13.2" x14ac:dyDescent="0.25"/>
    <row r="3963" ht="13.2" x14ac:dyDescent="0.25"/>
    <row r="3964" ht="13.2" x14ac:dyDescent="0.25"/>
    <row r="3965" ht="13.2" x14ac:dyDescent="0.25"/>
    <row r="3966" ht="13.2" x14ac:dyDescent="0.25"/>
    <row r="3967" ht="13.2" x14ac:dyDescent="0.25"/>
    <row r="3968" ht="13.2" x14ac:dyDescent="0.25"/>
    <row r="3969" ht="13.2" x14ac:dyDescent="0.25"/>
    <row r="3970" ht="13.2" x14ac:dyDescent="0.25"/>
    <row r="3971" ht="13.2" x14ac:dyDescent="0.25"/>
    <row r="3972" ht="13.2" x14ac:dyDescent="0.25"/>
    <row r="3973" ht="13.2" x14ac:dyDescent="0.25"/>
    <row r="3974" ht="13.2" x14ac:dyDescent="0.25"/>
    <row r="3975" ht="13.2" x14ac:dyDescent="0.25"/>
    <row r="3976" ht="13.2" x14ac:dyDescent="0.25"/>
    <row r="3977" ht="13.2" x14ac:dyDescent="0.25"/>
    <row r="3978" ht="13.2" x14ac:dyDescent="0.25"/>
    <row r="3979" ht="13.2" x14ac:dyDescent="0.25"/>
    <row r="3980" ht="13.2" x14ac:dyDescent="0.25"/>
    <row r="3981" ht="13.2" x14ac:dyDescent="0.25"/>
    <row r="3982" ht="13.2" x14ac:dyDescent="0.25"/>
    <row r="3983" ht="13.2" x14ac:dyDescent="0.25"/>
    <row r="3984" ht="13.2" x14ac:dyDescent="0.25"/>
    <row r="3985" ht="13.2" x14ac:dyDescent="0.25"/>
    <row r="3986" ht="13.2" x14ac:dyDescent="0.25"/>
    <row r="3987" ht="13.2" x14ac:dyDescent="0.25"/>
    <row r="3988" ht="13.2" x14ac:dyDescent="0.25"/>
    <row r="3989" ht="13.2" x14ac:dyDescent="0.25"/>
    <row r="3990" ht="13.2" x14ac:dyDescent="0.25"/>
    <row r="3991" ht="13.2" x14ac:dyDescent="0.25"/>
    <row r="3992" ht="13.2" x14ac:dyDescent="0.25"/>
    <row r="3993" ht="13.2" x14ac:dyDescent="0.25"/>
    <row r="3994" ht="13.2" x14ac:dyDescent="0.25"/>
    <row r="3995" ht="13.2" x14ac:dyDescent="0.25"/>
    <row r="3996" ht="13.2" x14ac:dyDescent="0.25"/>
    <row r="3997" ht="13.2" x14ac:dyDescent="0.25"/>
    <row r="3998" ht="13.2" x14ac:dyDescent="0.25"/>
    <row r="3999" ht="13.2" x14ac:dyDescent="0.25"/>
    <row r="4000" ht="13.2" x14ac:dyDescent="0.25"/>
    <row r="4001" ht="13.2" x14ac:dyDescent="0.25"/>
    <row r="4002" ht="13.2" x14ac:dyDescent="0.25"/>
    <row r="4003" ht="13.2" x14ac:dyDescent="0.25"/>
    <row r="4004" ht="13.2" x14ac:dyDescent="0.25"/>
    <row r="4005" ht="13.2" x14ac:dyDescent="0.25"/>
    <row r="4006" ht="13.2" x14ac:dyDescent="0.25"/>
    <row r="4007" ht="13.2" x14ac:dyDescent="0.25"/>
    <row r="4008" ht="13.2" x14ac:dyDescent="0.25"/>
    <row r="4009" ht="13.2" x14ac:dyDescent="0.25"/>
    <row r="4010" ht="13.2" x14ac:dyDescent="0.25"/>
    <row r="4011" ht="13.2" x14ac:dyDescent="0.25"/>
    <row r="4012" ht="13.2" x14ac:dyDescent="0.25"/>
    <row r="4013" ht="13.2" x14ac:dyDescent="0.25"/>
    <row r="4014" ht="13.2" x14ac:dyDescent="0.25"/>
    <row r="4015" ht="13.2" x14ac:dyDescent="0.25"/>
    <row r="4016" ht="13.2" x14ac:dyDescent="0.25"/>
    <row r="4017" ht="13.2" x14ac:dyDescent="0.25"/>
    <row r="4018" ht="13.2" x14ac:dyDescent="0.25"/>
    <row r="4019" ht="13.2" x14ac:dyDescent="0.25"/>
    <row r="4020" ht="13.2" x14ac:dyDescent="0.25"/>
    <row r="4021" ht="13.2" x14ac:dyDescent="0.25"/>
    <row r="4022" ht="13.2" x14ac:dyDescent="0.25"/>
    <row r="4023" ht="13.2" x14ac:dyDescent="0.25"/>
    <row r="4024" ht="13.2" x14ac:dyDescent="0.25"/>
    <row r="4025" ht="13.2" x14ac:dyDescent="0.25"/>
    <row r="4026" ht="13.2" x14ac:dyDescent="0.25"/>
    <row r="4027" ht="13.2" x14ac:dyDescent="0.25"/>
    <row r="4028" ht="13.2" x14ac:dyDescent="0.25"/>
    <row r="4029" ht="13.2" x14ac:dyDescent="0.25"/>
    <row r="4030" ht="13.2" x14ac:dyDescent="0.25"/>
    <row r="4031" ht="13.2" x14ac:dyDescent="0.25"/>
    <row r="4032" ht="13.2" x14ac:dyDescent="0.25"/>
    <row r="4033" ht="13.2" x14ac:dyDescent="0.25"/>
    <row r="4034" ht="13.2" x14ac:dyDescent="0.25"/>
    <row r="4035" ht="13.2" x14ac:dyDescent="0.25"/>
    <row r="4036" ht="13.2" x14ac:dyDescent="0.25"/>
    <row r="4037" ht="13.2" x14ac:dyDescent="0.25"/>
    <row r="4038" ht="13.2" x14ac:dyDescent="0.25"/>
    <row r="4039" ht="13.2" x14ac:dyDescent="0.25"/>
    <row r="4040" ht="13.2" x14ac:dyDescent="0.25"/>
    <row r="4041" ht="13.2" x14ac:dyDescent="0.25"/>
    <row r="4042" ht="13.2" x14ac:dyDescent="0.25"/>
    <row r="4043" ht="13.2" x14ac:dyDescent="0.25"/>
    <row r="4044" ht="13.2" x14ac:dyDescent="0.25"/>
    <row r="4045" ht="13.2" x14ac:dyDescent="0.25"/>
    <row r="4046" ht="13.2" x14ac:dyDescent="0.25"/>
    <row r="4047" ht="13.2" x14ac:dyDescent="0.25"/>
    <row r="4048" ht="13.2" x14ac:dyDescent="0.25"/>
    <row r="4049" ht="13.2" x14ac:dyDescent="0.25"/>
    <row r="4050" ht="13.2" x14ac:dyDescent="0.25"/>
    <row r="4051" ht="13.2" x14ac:dyDescent="0.25"/>
    <row r="4052" ht="13.2" x14ac:dyDescent="0.25"/>
    <row r="4053" ht="13.2" x14ac:dyDescent="0.25"/>
    <row r="4054" ht="13.2" x14ac:dyDescent="0.25"/>
    <row r="4055" ht="13.2" x14ac:dyDescent="0.25"/>
    <row r="4056" ht="13.2" x14ac:dyDescent="0.25"/>
    <row r="4057" ht="13.2" x14ac:dyDescent="0.25"/>
    <row r="4058" ht="13.2" x14ac:dyDescent="0.25"/>
    <row r="4059" ht="13.2" x14ac:dyDescent="0.25"/>
    <row r="4060" ht="13.2" x14ac:dyDescent="0.25"/>
    <row r="4061" ht="13.2" x14ac:dyDescent="0.25"/>
    <row r="4062" ht="13.2" x14ac:dyDescent="0.25"/>
    <row r="4063" ht="13.2" x14ac:dyDescent="0.25"/>
    <row r="4064" ht="13.2" x14ac:dyDescent="0.25"/>
    <row r="4065" ht="13.2" x14ac:dyDescent="0.25"/>
    <row r="4066" ht="13.2" x14ac:dyDescent="0.25"/>
    <row r="4067" ht="13.2" x14ac:dyDescent="0.25"/>
    <row r="4068" ht="13.2" x14ac:dyDescent="0.25"/>
    <row r="4069" ht="13.2" x14ac:dyDescent="0.25"/>
    <row r="4070" ht="13.2" x14ac:dyDescent="0.25"/>
    <row r="4071" ht="13.2" x14ac:dyDescent="0.25"/>
    <row r="4072" ht="13.2" x14ac:dyDescent="0.25"/>
    <row r="4073" ht="13.2" x14ac:dyDescent="0.25"/>
    <row r="4074" ht="13.2" x14ac:dyDescent="0.25"/>
    <row r="4075" ht="13.2" x14ac:dyDescent="0.25"/>
    <row r="4076" ht="13.2" x14ac:dyDescent="0.25"/>
    <row r="4077" ht="13.2" x14ac:dyDescent="0.25"/>
    <row r="4078" ht="13.2" x14ac:dyDescent="0.25"/>
    <row r="4079" ht="13.2" x14ac:dyDescent="0.25"/>
    <row r="4080" ht="13.2" x14ac:dyDescent="0.25"/>
    <row r="4081" ht="13.2" x14ac:dyDescent="0.25"/>
    <row r="4082" ht="13.2" x14ac:dyDescent="0.25"/>
    <row r="4083" ht="13.2" x14ac:dyDescent="0.25"/>
    <row r="4084" ht="13.2" x14ac:dyDescent="0.25"/>
    <row r="4085" ht="13.2" x14ac:dyDescent="0.25"/>
    <row r="4086" ht="13.2" x14ac:dyDescent="0.25"/>
    <row r="4087" ht="13.2" x14ac:dyDescent="0.25"/>
    <row r="4088" ht="13.2" x14ac:dyDescent="0.25"/>
    <row r="4089" ht="13.2" x14ac:dyDescent="0.25"/>
    <row r="4090" ht="13.2" x14ac:dyDescent="0.25"/>
    <row r="4091" ht="13.2" x14ac:dyDescent="0.25"/>
    <row r="4092" ht="13.2" x14ac:dyDescent="0.25"/>
    <row r="4093" ht="13.2" x14ac:dyDescent="0.25"/>
    <row r="4094" ht="13.2" x14ac:dyDescent="0.25"/>
    <row r="4095" ht="13.2" x14ac:dyDescent="0.25"/>
    <row r="4096" ht="13.2" x14ac:dyDescent="0.25"/>
    <row r="4097" ht="13.2" x14ac:dyDescent="0.25"/>
    <row r="4098" ht="13.2" x14ac:dyDescent="0.25"/>
    <row r="4099" ht="13.2" x14ac:dyDescent="0.25"/>
    <row r="4100" ht="13.2" x14ac:dyDescent="0.25"/>
    <row r="4101" ht="13.2" x14ac:dyDescent="0.25"/>
    <row r="4102" ht="13.2" x14ac:dyDescent="0.25"/>
    <row r="4103" ht="13.2" x14ac:dyDescent="0.25"/>
    <row r="4104" ht="13.2" x14ac:dyDescent="0.25"/>
    <row r="4105" ht="13.2" x14ac:dyDescent="0.25"/>
    <row r="4106" ht="13.2" x14ac:dyDescent="0.25"/>
    <row r="4107" ht="13.2" x14ac:dyDescent="0.25"/>
    <row r="4108" ht="13.2" x14ac:dyDescent="0.25"/>
    <row r="4109" ht="13.2" x14ac:dyDescent="0.25"/>
    <row r="4110" ht="13.2" x14ac:dyDescent="0.25"/>
    <row r="4111" ht="13.2" x14ac:dyDescent="0.25"/>
    <row r="4112" ht="13.2" x14ac:dyDescent="0.25"/>
    <row r="4113" ht="13.2" x14ac:dyDescent="0.25"/>
    <row r="4114" ht="13.2" x14ac:dyDescent="0.25"/>
    <row r="4115" ht="13.2" x14ac:dyDescent="0.25"/>
    <row r="4116" ht="13.2" x14ac:dyDescent="0.25"/>
    <row r="4117" ht="13.2" x14ac:dyDescent="0.25"/>
    <row r="4118" ht="13.2" x14ac:dyDescent="0.25"/>
    <row r="4119" ht="13.2" x14ac:dyDescent="0.25"/>
    <row r="4120" ht="13.2" x14ac:dyDescent="0.25"/>
    <row r="4121" ht="13.2" x14ac:dyDescent="0.25"/>
    <row r="4122" ht="13.2" x14ac:dyDescent="0.25"/>
    <row r="4123" ht="13.2" x14ac:dyDescent="0.25"/>
    <row r="4124" ht="13.2" x14ac:dyDescent="0.25"/>
    <row r="4125" ht="13.2" x14ac:dyDescent="0.25"/>
    <row r="4126" ht="13.2" x14ac:dyDescent="0.25"/>
    <row r="4127" ht="13.2" x14ac:dyDescent="0.25"/>
    <row r="4128" ht="13.2" x14ac:dyDescent="0.25"/>
    <row r="4129" ht="13.2" x14ac:dyDescent="0.25"/>
    <row r="4130" ht="13.2" x14ac:dyDescent="0.25"/>
    <row r="4131" ht="13.2" x14ac:dyDescent="0.25"/>
    <row r="4132" ht="13.2" x14ac:dyDescent="0.25"/>
    <row r="4133" ht="13.2" x14ac:dyDescent="0.25"/>
    <row r="4134" ht="13.2" x14ac:dyDescent="0.25"/>
    <row r="4135" ht="13.2" x14ac:dyDescent="0.25"/>
    <row r="4136" ht="13.2" x14ac:dyDescent="0.25"/>
    <row r="4137" ht="13.2" x14ac:dyDescent="0.25"/>
    <row r="4138" ht="13.2" x14ac:dyDescent="0.25"/>
    <row r="4139" ht="13.2" x14ac:dyDescent="0.25"/>
    <row r="4140" ht="13.2" x14ac:dyDescent="0.25"/>
    <row r="4141" ht="13.2" x14ac:dyDescent="0.25"/>
    <row r="4142" ht="13.2" x14ac:dyDescent="0.25"/>
    <row r="4143" ht="13.2" x14ac:dyDescent="0.25"/>
    <row r="4144" ht="13.2" x14ac:dyDescent="0.25"/>
    <row r="4145" ht="13.2" x14ac:dyDescent="0.25"/>
    <row r="4146" ht="13.2" x14ac:dyDescent="0.25"/>
    <row r="4147" ht="13.2" x14ac:dyDescent="0.25"/>
    <row r="4148" ht="13.2" x14ac:dyDescent="0.25"/>
    <row r="4149" ht="13.2" x14ac:dyDescent="0.25"/>
    <row r="4150" ht="13.2" x14ac:dyDescent="0.25"/>
    <row r="4151" ht="13.2" x14ac:dyDescent="0.25"/>
    <row r="4152" ht="13.2" x14ac:dyDescent="0.25"/>
    <row r="4153" ht="13.2" x14ac:dyDescent="0.25"/>
    <row r="4154" ht="13.2" x14ac:dyDescent="0.25"/>
    <row r="4155" ht="13.2" x14ac:dyDescent="0.25"/>
    <row r="4156" ht="13.2" x14ac:dyDescent="0.25"/>
    <row r="4157" ht="13.2" x14ac:dyDescent="0.25"/>
    <row r="4158" ht="13.2" x14ac:dyDescent="0.25"/>
    <row r="4159" ht="13.2" x14ac:dyDescent="0.25"/>
    <row r="4160" ht="13.2" x14ac:dyDescent="0.25"/>
    <row r="4161" ht="13.2" x14ac:dyDescent="0.25"/>
    <row r="4162" ht="13.2" x14ac:dyDescent="0.25"/>
    <row r="4163" ht="13.2" x14ac:dyDescent="0.25"/>
    <row r="4164" ht="13.2" x14ac:dyDescent="0.25"/>
    <row r="4165" ht="13.2" x14ac:dyDescent="0.25"/>
    <row r="4166" ht="13.2" x14ac:dyDescent="0.25"/>
    <row r="4167" ht="13.2" x14ac:dyDescent="0.25"/>
    <row r="4168" ht="13.2" x14ac:dyDescent="0.25"/>
    <row r="4169" ht="13.2" x14ac:dyDescent="0.25"/>
    <row r="4170" ht="13.2" x14ac:dyDescent="0.25"/>
    <row r="4171" ht="13.2" x14ac:dyDescent="0.25"/>
    <row r="4172" ht="13.2" x14ac:dyDescent="0.25"/>
    <row r="4173" ht="13.2" x14ac:dyDescent="0.25"/>
    <row r="4174" ht="13.2" x14ac:dyDescent="0.25"/>
    <row r="4175" ht="13.2" x14ac:dyDescent="0.25"/>
    <row r="4176" ht="13.2" x14ac:dyDescent="0.25"/>
    <row r="4177" ht="13.2" x14ac:dyDescent="0.25"/>
    <row r="4178" ht="13.2" x14ac:dyDescent="0.25"/>
    <row r="4179" ht="13.2" x14ac:dyDescent="0.25"/>
    <row r="4180" ht="13.2" x14ac:dyDescent="0.25"/>
    <row r="4181" ht="13.2" x14ac:dyDescent="0.25"/>
    <row r="4182" ht="13.2" x14ac:dyDescent="0.25"/>
    <row r="4183" ht="13.2" x14ac:dyDescent="0.25"/>
    <row r="4184" ht="13.2" x14ac:dyDescent="0.25"/>
    <row r="4185" ht="13.2" x14ac:dyDescent="0.25"/>
    <row r="4186" ht="13.2" x14ac:dyDescent="0.25"/>
    <row r="4187" ht="13.2" x14ac:dyDescent="0.25"/>
    <row r="4188" ht="13.2" x14ac:dyDescent="0.25"/>
    <row r="4189" ht="13.2" x14ac:dyDescent="0.25"/>
    <row r="4190" ht="13.2" x14ac:dyDescent="0.25"/>
    <row r="4191" ht="13.2" x14ac:dyDescent="0.25"/>
    <row r="4192" ht="13.2" x14ac:dyDescent="0.25"/>
    <row r="4193" ht="13.2" x14ac:dyDescent="0.25"/>
    <row r="4194" ht="13.2" x14ac:dyDescent="0.25"/>
    <row r="4195" ht="13.2" x14ac:dyDescent="0.25"/>
    <row r="4196" ht="13.2" x14ac:dyDescent="0.25"/>
    <row r="4197" ht="13.2" x14ac:dyDescent="0.25"/>
    <row r="4198" ht="13.2" x14ac:dyDescent="0.25"/>
    <row r="4199" ht="13.2" x14ac:dyDescent="0.25"/>
    <row r="4200" ht="13.2" x14ac:dyDescent="0.25"/>
    <row r="4201" ht="13.2" x14ac:dyDescent="0.25"/>
    <row r="4202" ht="13.2" x14ac:dyDescent="0.25"/>
    <row r="4203" ht="13.2" x14ac:dyDescent="0.25"/>
    <row r="4204" ht="13.2" x14ac:dyDescent="0.25"/>
    <row r="4205" ht="13.2" x14ac:dyDescent="0.25"/>
    <row r="4206" ht="13.2" x14ac:dyDescent="0.25"/>
    <row r="4207" ht="13.2" x14ac:dyDescent="0.25"/>
    <row r="4208" ht="13.2" x14ac:dyDescent="0.25"/>
    <row r="4209" ht="13.2" x14ac:dyDescent="0.25"/>
    <row r="4210" ht="13.2" x14ac:dyDescent="0.25"/>
    <row r="4211" ht="13.2" x14ac:dyDescent="0.25"/>
    <row r="4212" ht="13.2" x14ac:dyDescent="0.25"/>
    <row r="4213" ht="13.2" x14ac:dyDescent="0.25"/>
    <row r="4214" ht="13.2" x14ac:dyDescent="0.25"/>
    <row r="4215" ht="13.2" x14ac:dyDescent="0.25"/>
    <row r="4216" ht="13.2" x14ac:dyDescent="0.25"/>
    <row r="4217" ht="13.2" x14ac:dyDescent="0.25"/>
    <row r="4218" ht="13.2" x14ac:dyDescent="0.25"/>
    <row r="4219" ht="13.2" x14ac:dyDescent="0.25"/>
    <row r="4220" ht="13.2" x14ac:dyDescent="0.25"/>
    <row r="4221" ht="13.2" x14ac:dyDescent="0.25"/>
    <row r="4222" ht="13.2" x14ac:dyDescent="0.25"/>
    <row r="4223" ht="13.2" x14ac:dyDescent="0.25"/>
    <row r="4224" ht="13.2" x14ac:dyDescent="0.25"/>
    <row r="4225" ht="13.2" x14ac:dyDescent="0.25"/>
    <row r="4226" ht="13.2" x14ac:dyDescent="0.25"/>
    <row r="4227" ht="13.2" x14ac:dyDescent="0.25"/>
    <row r="4228" ht="13.2" x14ac:dyDescent="0.25"/>
    <row r="4229" ht="13.2" x14ac:dyDescent="0.25"/>
    <row r="4230" ht="13.2" x14ac:dyDescent="0.25"/>
    <row r="4231" ht="13.2" x14ac:dyDescent="0.25"/>
    <row r="4232" ht="13.2" x14ac:dyDescent="0.25"/>
    <row r="4233" ht="13.2" x14ac:dyDescent="0.25"/>
    <row r="4234" ht="13.2" x14ac:dyDescent="0.25"/>
    <row r="4235" ht="13.2" x14ac:dyDescent="0.25"/>
    <row r="4236" ht="13.2" x14ac:dyDescent="0.25"/>
    <row r="4237" ht="13.2" x14ac:dyDescent="0.25"/>
    <row r="4238" ht="13.2" x14ac:dyDescent="0.25"/>
    <row r="4239" ht="13.2" x14ac:dyDescent="0.25"/>
    <row r="4240" ht="13.2" x14ac:dyDescent="0.25"/>
    <row r="4241" ht="13.2" x14ac:dyDescent="0.25"/>
    <row r="4242" ht="13.2" x14ac:dyDescent="0.25"/>
    <row r="4243" ht="13.2" x14ac:dyDescent="0.25"/>
    <row r="4244" ht="13.2" x14ac:dyDescent="0.25"/>
    <row r="4245" ht="13.2" x14ac:dyDescent="0.25"/>
    <row r="4246" ht="13.2" x14ac:dyDescent="0.25"/>
    <row r="4247" ht="13.2" x14ac:dyDescent="0.25"/>
    <row r="4248" ht="13.2" x14ac:dyDescent="0.25"/>
    <row r="4249" ht="13.2" x14ac:dyDescent="0.25"/>
    <row r="4250" ht="13.2" x14ac:dyDescent="0.25"/>
    <row r="4251" ht="13.2" x14ac:dyDescent="0.25"/>
    <row r="4252" ht="13.2" x14ac:dyDescent="0.25"/>
    <row r="4253" ht="13.2" x14ac:dyDescent="0.25"/>
    <row r="4254" ht="13.2" x14ac:dyDescent="0.25"/>
    <row r="4255" ht="13.2" x14ac:dyDescent="0.25"/>
    <row r="4256" ht="13.2" x14ac:dyDescent="0.25"/>
    <row r="4257" ht="13.2" x14ac:dyDescent="0.25"/>
    <row r="4258" ht="13.2" x14ac:dyDescent="0.25"/>
    <row r="4259" ht="13.2" x14ac:dyDescent="0.25"/>
    <row r="4260" ht="13.2" x14ac:dyDescent="0.25"/>
    <row r="4261" ht="13.2" x14ac:dyDescent="0.25"/>
    <row r="4262" ht="13.2" x14ac:dyDescent="0.25"/>
    <row r="4263" ht="13.2" x14ac:dyDescent="0.25"/>
    <row r="4264" ht="13.2" x14ac:dyDescent="0.25"/>
    <row r="4265" ht="13.2" x14ac:dyDescent="0.25"/>
    <row r="4266" ht="13.2" x14ac:dyDescent="0.25"/>
    <row r="4267" ht="13.2" x14ac:dyDescent="0.25"/>
    <row r="4268" ht="13.2" x14ac:dyDescent="0.25"/>
    <row r="4269" ht="13.2" x14ac:dyDescent="0.25"/>
    <row r="4270" ht="13.2" x14ac:dyDescent="0.25"/>
    <row r="4271" ht="13.2" x14ac:dyDescent="0.25"/>
    <row r="4272" ht="13.2" x14ac:dyDescent="0.25"/>
    <row r="4273" ht="13.2" x14ac:dyDescent="0.25"/>
    <row r="4274" ht="13.2" x14ac:dyDescent="0.25"/>
    <row r="4275" ht="13.2" x14ac:dyDescent="0.25"/>
    <row r="4276" ht="13.2" x14ac:dyDescent="0.25"/>
    <row r="4277" ht="13.2" x14ac:dyDescent="0.25"/>
    <row r="4278" ht="13.2" x14ac:dyDescent="0.25"/>
    <row r="4279" ht="13.2" x14ac:dyDescent="0.25"/>
    <row r="4280" ht="13.2" x14ac:dyDescent="0.25"/>
    <row r="4281" ht="13.2" x14ac:dyDescent="0.25"/>
    <row r="4282" ht="13.2" x14ac:dyDescent="0.25"/>
    <row r="4283" ht="13.2" x14ac:dyDescent="0.25"/>
    <row r="4284" ht="13.2" x14ac:dyDescent="0.25"/>
    <row r="4285" ht="13.2" x14ac:dyDescent="0.25"/>
    <row r="4286" ht="13.2" x14ac:dyDescent="0.25"/>
    <row r="4287" ht="13.2" x14ac:dyDescent="0.25"/>
    <row r="4288" ht="13.2" x14ac:dyDescent="0.25"/>
    <row r="4289" ht="13.2" x14ac:dyDescent="0.25"/>
    <row r="4290" ht="13.2" x14ac:dyDescent="0.25"/>
    <row r="4291" ht="13.2" x14ac:dyDescent="0.25"/>
    <row r="4292" ht="13.2" x14ac:dyDescent="0.25"/>
    <row r="4293" ht="13.2" x14ac:dyDescent="0.25"/>
    <row r="4294" ht="13.2" x14ac:dyDescent="0.25"/>
    <row r="4295" ht="13.2" x14ac:dyDescent="0.25"/>
    <row r="4296" ht="13.2" x14ac:dyDescent="0.25"/>
    <row r="4297" ht="13.2" x14ac:dyDescent="0.25"/>
    <row r="4298" ht="13.2" x14ac:dyDescent="0.25"/>
    <row r="4299" ht="13.2" x14ac:dyDescent="0.25"/>
    <row r="4300" ht="13.2" x14ac:dyDescent="0.25"/>
    <row r="4301" ht="13.2" x14ac:dyDescent="0.25"/>
    <row r="4302" ht="13.2" x14ac:dyDescent="0.25"/>
    <row r="4303" ht="13.2" x14ac:dyDescent="0.25"/>
    <row r="4304" ht="13.2" x14ac:dyDescent="0.25"/>
    <row r="4305" ht="13.2" x14ac:dyDescent="0.25"/>
    <row r="4306" ht="13.2" x14ac:dyDescent="0.25"/>
    <row r="4307" ht="13.2" x14ac:dyDescent="0.25"/>
    <row r="4308" ht="13.2" x14ac:dyDescent="0.25"/>
    <row r="4309" ht="13.2" x14ac:dyDescent="0.25"/>
    <row r="4310" ht="13.2" x14ac:dyDescent="0.25"/>
    <row r="4311" ht="13.2" x14ac:dyDescent="0.25"/>
    <row r="4312" ht="13.2" x14ac:dyDescent="0.25"/>
    <row r="4313" ht="13.2" x14ac:dyDescent="0.25"/>
    <row r="4314" ht="13.2" x14ac:dyDescent="0.25"/>
    <row r="4315" ht="13.2" x14ac:dyDescent="0.25"/>
    <row r="4316" ht="13.2" x14ac:dyDescent="0.25"/>
    <row r="4317" ht="13.2" x14ac:dyDescent="0.25"/>
    <row r="4318" ht="13.2" x14ac:dyDescent="0.25"/>
    <row r="4319" ht="13.2" x14ac:dyDescent="0.25"/>
    <row r="4320" ht="13.2" x14ac:dyDescent="0.25"/>
    <row r="4321" ht="13.2" x14ac:dyDescent="0.25"/>
    <row r="4322" ht="13.2" x14ac:dyDescent="0.25"/>
    <row r="4323" ht="13.2" x14ac:dyDescent="0.25"/>
    <row r="4324" ht="13.2" x14ac:dyDescent="0.25"/>
    <row r="4325" ht="13.2" x14ac:dyDescent="0.25"/>
    <row r="4326" ht="13.2" x14ac:dyDescent="0.25"/>
    <row r="4327" ht="13.2" x14ac:dyDescent="0.25"/>
    <row r="4328" ht="13.2" x14ac:dyDescent="0.25"/>
    <row r="4329" ht="13.2" x14ac:dyDescent="0.25"/>
    <row r="4330" ht="13.2" x14ac:dyDescent="0.25"/>
    <row r="4331" ht="13.2" x14ac:dyDescent="0.25"/>
    <row r="4332" ht="13.2" x14ac:dyDescent="0.25"/>
    <row r="4333" ht="13.2" x14ac:dyDescent="0.25"/>
    <row r="4334" ht="13.2" x14ac:dyDescent="0.25"/>
    <row r="4335" ht="13.2" x14ac:dyDescent="0.25"/>
    <row r="4336" ht="13.2" x14ac:dyDescent="0.25"/>
    <row r="4337" ht="13.2" x14ac:dyDescent="0.25"/>
    <row r="4338" ht="13.2" x14ac:dyDescent="0.25"/>
    <row r="4339" ht="13.2" x14ac:dyDescent="0.25"/>
    <row r="4340" ht="13.2" x14ac:dyDescent="0.25"/>
    <row r="4341" ht="13.2" x14ac:dyDescent="0.25"/>
    <row r="4342" ht="13.2" x14ac:dyDescent="0.25"/>
    <row r="4343" ht="13.2" x14ac:dyDescent="0.25"/>
    <row r="4344" ht="13.2" x14ac:dyDescent="0.25"/>
    <row r="4345" ht="13.2" x14ac:dyDescent="0.25"/>
    <row r="4346" ht="13.2" x14ac:dyDescent="0.25"/>
    <row r="4347" ht="13.2" x14ac:dyDescent="0.25"/>
    <row r="4348" ht="13.2" x14ac:dyDescent="0.25"/>
    <row r="4349" ht="13.2" x14ac:dyDescent="0.25"/>
    <row r="4350" ht="13.2" x14ac:dyDescent="0.25"/>
    <row r="4351" ht="13.2" x14ac:dyDescent="0.25"/>
    <row r="4352" ht="13.2" x14ac:dyDescent="0.25"/>
    <row r="4353" ht="13.2" x14ac:dyDescent="0.25"/>
    <row r="4354" ht="13.2" x14ac:dyDescent="0.25"/>
    <row r="4355" ht="13.2" x14ac:dyDescent="0.25"/>
    <row r="4356" ht="13.2" x14ac:dyDescent="0.25"/>
    <row r="4357" ht="13.2" x14ac:dyDescent="0.25"/>
    <row r="4358" ht="13.2" x14ac:dyDescent="0.25"/>
    <row r="4359" ht="13.2" x14ac:dyDescent="0.25"/>
    <row r="4360" ht="13.2" x14ac:dyDescent="0.25"/>
    <row r="4361" ht="13.2" x14ac:dyDescent="0.25"/>
    <row r="4362" ht="13.2" x14ac:dyDescent="0.25"/>
    <row r="4363" ht="13.2" x14ac:dyDescent="0.25"/>
    <row r="4364" ht="13.2" x14ac:dyDescent="0.25"/>
    <row r="4365" ht="13.2" x14ac:dyDescent="0.25"/>
    <row r="4366" ht="13.2" x14ac:dyDescent="0.25"/>
    <row r="4367" ht="13.2" x14ac:dyDescent="0.25"/>
    <row r="4368" ht="13.2" x14ac:dyDescent="0.25"/>
    <row r="4369" ht="13.2" x14ac:dyDescent="0.25"/>
    <row r="4370" ht="13.2" x14ac:dyDescent="0.25"/>
    <row r="4371" ht="13.2" x14ac:dyDescent="0.25"/>
    <row r="4372" ht="13.2" x14ac:dyDescent="0.25"/>
    <row r="4373" ht="13.2" x14ac:dyDescent="0.25"/>
    <row r="4374" ht="13.2" x14ac:dyDescent="0.25"/>
    <row r="4375" ht="13.2" x14ac:dyDescent="0.25"/>
    <row r="4376" ht="13.2" x14ac:dyDescent="0.25"/>
    <row r="4377" ht="13.2" x14ac:dyDescent="0.25"/>
    <row r="4378" ht="13.2" x14ac:dyDescent="0.25"/>
    <row r="4379" ht="13.2" x14ac:dyDescent="0.25"/>
    <row r="4380" ht="13.2" x14ac:dyDescent="0.25"/>
    <row r="4381" ht="13.2" x14ac:dyDescent="0.25"/>
    <row r="4382" ht="13.2" x14ac:dyDescent="0.25"/>
    <row r="4383" ht="13.2" x14ac:dyDescent="0.25"/>
    <row r="4384" ht="13.2" x14ac:dyDescent="0.25"/>
    <row r="4385" ht="13.2" x14ac:dyDescent="0.25"/>
    <row r="4386" ht="13.2" x14ac:dyDescent="0.25"/>
    <row r="4387" ht="13.2" x14ac:dyDescent="0.25"/>
    <row r="4388" ht="13.2" x14ac:dyDescent="0.25"/>
    <row r="4389" ht="13.2" x14ac:dyDescent="0.25"/>
    <row r="4390" ht="13.2" x14ac:dyDescent="0.25"/>
    <row r="4391" ht="13.2" x14ac:dyDescent="0.25"/>
    <row r="4392" ht="13.2" x14ac:dyDescent="0.25"/>
    <row r="4393" ht="13.2" x14ac:dyDescent="0.25"/>
    <row r="4394" ht="13.2" x14ac:dyDescent="0.25"/>
    <row r="4395" ht="13.2" x14ac:dyDescent="0.25"/>
    <row r="4396" ht="13.2" x14ac:dyDescent="0.25"/>
    <row r="4397" ht="13.2" x14ac:dyDescent="0.25"/>
    <row r="4398" ht="13.2" x14ac:dyDescent="0.25"/>
    <row r="4399" ht="13.2" x14ac:dyDescent="0.25"/>
    <row r="4400" ht="13.2" x14ac:dyDescent="0.25"/>
    <row r="4401" ht="13.2" x14ac:dyDescent="0.25"/>
    <row r="4402" ht="13.2" x14ac:dyDescent="0.25"/>
    <row r="4403" ht="13.2" x14ac:dyDescent="0.25"/>
    <row r="4404" ht="13.2" x14ac:dyDescent="0.25"/>
    <row r="4405" ht="13.2" x14ac:dyDescent="0.25"/>
    <row r="4406" ht="13.2" x14ac:dyDescent="0.25"/>
    <row r="4407" ht="13.2" x14ac:dyDescent="0.25"/>
    <row r="4408" ht="13.2" x14ac:dyDescent="0.25"/>
    <row r="4409" ht="13.2" x14ac:dyDescent="0.25"/>
    <row r="4410" ht="13.2" x14ac:dyDescent="0.25"/>
    <row r="4411" ht="13.2" x14ac:dyDescent="0.25"/>
    <row r="4412" ht="13.2" x14ac:dyDescent="0.25"/>
    <row r="4413" ht="13.2" x14ac:dyDescent="0.25"/>
    <row r="4414" ht="13.2" x14ac:dyDescent="0.25"/>
    <row r="4415" ht="13.2" x14ac:dyDescent="0.25"/>
    <row r="4416" ht="13.2" x14ac:dyDescent="0.25"/>
    <row r="4417" ht="13.2" x14ac:dyDescent="0.25"/>
    <row r="4418" ht="13.2" x14ac:dyDescent="0.25"/>
    <row r="4419" ht="13.2" x14ac:dyDescent="0.25"/>
    <row r="4420" ht="13.2" x14ac:dyDescent="0.25"/>
    <row r="4421" ht="13.2" x14ac:dyDescent="0.25"/>
    <row r="4422" ht="13.2" x14ac:dyDescent="0.25"/>
    <row r="4423" ht="13.2" x14ac:dyDescent="0.25"/>
    <row r="4424" ht="13.2" x14ac:dyDescent="0.25"/>
    <row r="4425" ht="13.2" x14ac:dyDescent="0.25"/>
    <row r="4426" ht="13.2" x14ac:dyDescent="0.25"/>
    <row r="4427" ht="13.2" x14ac:dyDescent="0.25"/>
    <row r="4428" ht="13.2" x14ac:dyDescent="0.25"/>
    <row r="4429" ht="13.2" x14ac:dyDescent="0.25"/>
    <row r="4430" ht="13.2" x14ac:dyDescent="0.25"/>
    <row r="4431" ht="13.2" x14ac:dyDescent="0.25"/>
    <row r="4432" ht="13.2" x14ac:dyDescent="0.25"/>
    <row r="4433" ht="13.2" x14ac:dyDescent="0.25"/>
    <row r="4434" ht="13.2" x14ac:dyDescent="0.25"/>
    <row r="4435" ht="13.2" x14ac:dyDescent="0.25"/>
    <row r="4436" ht="13.2" x14ac:dyDescent="0.25"/>
    <row r="4437" ht="13.2" x14ac:dyDescent="0.25"/>
    <row r="4438" ht="13.2" x14ac:dyDescent="0.25"/>
    <row r="4439" ht="13.2" x14ac:dyDescent="0.25"/>
    <row r="4440" ht="13.2" x14ac:dyDescent="0.25"/>
    <row r="4441" ht="13.2" x14ac:dyDescent="0.25"/>
    <row r="4442" ht="13.2" x14ac:dyDescent="0.25"/>
    <row r="4443" ht="13.2" x14ac:dyDescent="0.25"/>
    <row r="4444" ht="13.2" x14ac:dyDescent="0.25"/>
    <row r="4445" ht="13.2" x14ac:dyDescent="0.25"/>
    <row r="4446" ht="13.2" x14ac:dyDescent="0.25"/>
    <row r="4447" ht="13.2" x14ac:dyDescent="0.25"/>
    <row r="4448" ht="13.2" x14ac:dyDescent="0.25"/>
    <row r="4449" ht="13.2" x14ac:dyDescent="0.25"/>
    <row r="4450" ht="13.2" x14ac:dyDescent="0.25"/>
    <row r="4451" ht="13.2" x14ac:dyDescent="0.25"/>
    <row r="4452" ht="13.2" x14ac:dyDescent="0.25"/>
    <row r="4453" ht="13.2" x14ac:dyDescent="0.25"/>
    <row r="4454" ht="13.2" x14ac:dyDescent="0.25"/>
    <row r="4455" ht="13.2" x14ac:dyDescent="0.25"/>
    <row r="4456" ht="13.2" x14ac:dyDescent="0.25"/>
    <row r="4457" ht="13.2" x14ac:dyDescent="0.25"/>
    <row r="4458" ht="13.2" x14ac:dyDescent="0.25"/>
    <row r="4459" ht="13.2" x14ac:dyDescent="0.25"/>
    <row r="4460" ht="13.2" x14ac:dyDescent="0.25"/>
    <row r="4461" ht="13.2" x14ac:dyDescent="0.25"/>
    <row r="4462" ht="13.2" x14ac:dyDescent="0.25"/>
    <row r="4463" ht="13.2" x14ac:dyDescent="0.25"/>
    <row r="4464" ht="13.2" x14ac:dyDescent="0.25"/>
    <row r="4465" ht="13.2" x14ac:dyDescent="0.25"/>
    <row r="4466" ht="13.2" x14ac:dyDescent="0.25"/>
    <row r="4467" ht="13.2" x14ac:dyDescent="0.25"/>
    <row r="4468" ht="13.2" x14ac:dyDescent="0.25"/>
    <row r="4469" ht="13.2" x14ac:dyDescent="0.25"/>
    <row r="4470" ht="13.2" x14ac:dyDescent="0.25"/>
    <row r="4471" ht="13.2" x14ac:dyDescent="0.25"/>
    <row r="4472" ht="13.2" x14ac:dyDescent="0.25"/>
    <row r="4473" ht="13.2" x14ac:dyDescent="0.25"/>
    <row r="4474" ht="13.2" x14ac:dyDescent="0.25"/>
    <row r="4475" ht="13.2" x14ac:dyDescent="0.25"/>
    <row r="4476" ht="13.2" x14ac:dyDescent="0.25"/>
    <row r="4477" ht="13.2" x14ac:dyDescent="0.25"/>
    <row r="4478" ht="13.2" x14ac:dyDescent="0.25"/>
    <row r="4479" ht="13.2" x14ac:dyDescent="0.25"/>
    <row r="4480" ht="13.2" x14ac:dyDescent="0.25"/>
    <row r="4481" ht="13.2" x14ac:dyDescent="0.25"/>
    <row r="4482" ht="13.2" x14ac:dyDescent="0.25"/>
    <row r="4483" ht="13.2" x14ac:dyDescent="0.25"/>
    <row r="4484" ht="13.2" x14ac:dyDescent="0.25"/>
    <row r="4485" ht="13.2" x14ac:dyDescent="0.25"/>
    <row r="4486" ht="13.2" x14ac:dyDescent="0.25"/>
    <row r="4487" ht="13.2" x14ac:dyDescent="0.25"/>
    <row r="4488" ht="13.2" x14ac:dyDescent="0.25"/>
    <row r="4489" ht="13.2" x14ac:dyDescent="0.25"/>
    <row r="4490" ht="13.2" x14ac:dyDescent="0.25"/>
    <row r="4491" ht="13.2" x14ac:dyDescent="0.25"/>
    <row r="4492" ht="13.2" x14ac:dyDescent="0.25"/>
    <row r="4493" ht="13.2" x14ac:dyDescent="0.25"/>
    <row r="4494" ht="13.2" x14ac:dyDescent="0.25"/>
    <row r="4495" ht="13.2" x14ac:dyDescent="0.25"/>
    <row r="4496" ht="13.2" x14ac:dyDescent="0.25"/>
    <row r="4497" ht="13.2" x14ac:dyDescent="0.25"/>
    <row r="4498" ht="13.2" x14ac:dyDescent="0.25"/>
    <row r="4499" ht="13.2" x14ac:dyDescent="0.25"/>
    <row r="4500" ht="13.2" x14ac:dyDescent="0.25"/>
    <row r="4501" ht="13.2" x14ac:dyDescent="0.25"/>
    <row r="4502" ht="13.2" x14ac:dyDescent="0.25"/>
    <row r="4503" ht="13.2" x14ac:dyDescent="0.25"/>
    <row r="4504" ht="13.2" x14ac:dyDescent="0.25"/>
    <row r="4505" ht="13.2" x14ac:dyDescent="0.25"/>
    <row r="4506" ht="13.2" x14ac:dyDescent="0.25"/>
    <row r="4507" ht="13.2" x14ac:dyDescent="0.25"/>
    <row r="4508" ht="13.2" x14ac:dyDescent="0.25"/>
    <row r="4509" ht="13.2" x14ac:dyDescent="0.25"/>
    <row r="4510" ht="13.2" x14ac:dyDescent="0.25"/>
    <row r="4511" ht="13.2" x14ac:dyDescent="0.25"/>
    <row r="4512" ht="13.2" x14ac:dyDescent="0.25"/>
    <row r="4513" ht="13.2" x14ac:dyDescent="0.25"/>
    <row r="4514" ht="13.2" x14ac:dyDescent="0.25"/>
    <row r="4515" ht="13.2" x14ac:dyDescent="0.25"/>
    <row r="4516" ht="13.2" x14ac:dyDescent="0.25"/>
    <row r="4517" ht="13.2" x14ac:dyDescent="0.25"/>
    <row r="4518" ht="13.2" x14ac:dyDescent="0.25"/>
    <row r="4519" ht="13.2" x14ac:dyDescent="0.25"/>
    <row r="4520" ht="13.2" x14ac:dyDescent="0.25"/>
    <row r="4521" ht="13.2" x14ac:dyDescent="0.25"/>
    <row r="4522" ht="13.2" x14ac:dyDescent="0.25"/>
    <row r="4523" ht="13.2" x14ac:dyDescent="0.25"/>
    <row r="4524" ht="13.2" x14ac:dyDescent="0.25"/>
    <row r="4525" ht="13.2" x14ac:dyDescent="0.25"/>
    <row r="4526" ht="13.2" x14ac:dyDescent="0.25"/>
    <row r="4527" ht="13.2" x14ac:dyDescent="0.25"/>
    <row r="4528" ht="13.2" x14ac:dyDescent="0.25"/>
    <row r="4529" ht="13.2" x14ac:dyDescent="0.25"/>
    <row r="4530" ht="13.2" x14ac:dyDescent="0.25"/>
    <row r="4531" ht="13.2" x14ac:dyDescent="0.25"/>
    <row r="4532" ht="13.2" x14ac:dyDescent="0.25"/>
    <row r="4533" ht="13.2" x14ac:dyDescent="0.25"/>
    <row r="4534" ht="13.2" x14ac:dyDescent="0.25"/>
    <row r="4535" ht="13.2" x14ac:dyDescent="0.25"/>
    <row r="4536" ht="13.2" x14ac:dyDescent="0.25"/>
    <row r="4537" ht="13.2" x14ac:dyDescent="0.25"/>
    <row r="4538" ht="13.2" x14ac:dyDescent="0.25"/>
    <row r="4539" ht="13.2" x14ac:dyDescent="0.25"/>
    <row r="4540" ht="13.2" x14ac:dyDescent="0.25"/>
    <row r="4541" ht="13.2" x14ac:dyDescent="0.25"/>
    <row r="4542" ht="13.2" x14ac:dyDescent="0.25"/>
    <row r="4543" ht="13.2" x14ac:dyDescent="0.25"/>
    <row r="4544" ht="13.2" x14ac:dyDescent="0.25"/>
    <row r="4545" ht="13.2" x14ac:dyDescent="0.25"/>
    <row r="4546" ht="13.2" x14ac:dyDescent="0.25"/>
    <row r="4547" ht="13.2" x14ac:dyDescent="0.25"/>
    <row r="4548" ht="13.2" x14ac:dyDescent="0.25"/>
    <row r="4549" ht="13.2" x14ac:dyDescent="0.25"/>
    <row r="4550" ht="13.2" x14ac:dyDescent="0.25"/>
    <row r="4551" ht="13.2" x14ac:dyDescent="0.25"/>
    <row r="4552" ht="13.2" x14ac:dyDescent="0.25"/>
    <row r="4553" ht="13.2" x14ac:dyDescent="0.25"/>
    <row r="4554" ht="13.2" x14ac:dyDescent="0.25"/>
    <row r="4555" ht="13.2" x14ac:dyDescent="0.25"/>
    <row r="4556" ht="13.2" x14ac:dyDescent="0.25"/>
    <row r="4557" ht="13.2" x14ac:dyDescent="0.25"/>
    <row r="4558" ht="13.2" x14ac:dyDescent="0.25"/>
    <row r="4559" ht="13.2" x14ac:dyDescent="0.25"/>
    <row r="4560" ht="13.2" x14ac:dyDescent="0.25"/>
    <row r="4561" ht="13.2" x14ac:dyDescent="0.25"/>
    <row r="4562" ht="13.2" x14ac:dyDescent="0.25"/>
    <row r="4563" ht="13.2" x14ac:dyDescent="0.25"/>
    <row r="4564" ht="13.2" x14ac:dyDescent="0.25"/>
    <row r="4565" ht="13.2" x14ac:dyDescent="0.25"/>
    <row r="4566" ht="13.2" x14ac:dyDescent="0.25"/>
    <row r="4567" ht="13.2" x14ac:dyDescent="0.25"/>
    <row r="4568" ht="13.2" x14ac:dyDescent="0.25"/>
    <row r="4569" ht="13.2" x14ac:dyDescent="0.25"/>
    <row r="4570" ht="13.2" x14ac:dyDescent="0.25"/>
    <row r="4571" ht="13.2" x14ac:dyDescent="0.25"/>
    <row r="4572" ht="13.2" x14ac:dyDescent="0.25"/>
    <row r="4573" ht="13.2" x14ac:dyDescent="0.25"/>
    <row r="4574" ht="13.2" x14ac:dyDescent="0.25"/>
    <row r="4575" ht="13.2" x14ac:dyDescent="0.25"/>
    <row r="4576" ht="13.2" x14ac:dyDescent="0.25"/>
    <row r="4577" ht="13.2" x14ac:dyDescent="0.25"/>
    <row r="4578" ht="13.2" x14ac:dyDescent="0.25"/>
    <row r="4579" ht="13.2" x14ac:dyDescent="0.25"/>
    <row r="4580" ht="13.2" x14ac:dyDescent="0.25"/>
    <row r="4581" ht="13.2" x14ac:dyDescent="0.25"/>
    <row r="4582" ht="13.2" x14ac:dyDescent="0.25"/>
    <row r="4583" ht="13.2" x14ac:dyDescent="0.25"/>
    <row r="4584" ht="13.2" x14ac:dyDescent="0.25"/>
    <row r="4585" ht="13.2" x14ac:dyDescent="0.25"/>
    <row r="4586" ht="13.2" x14ac:dyDescent="0.25"/>
    <row r="4587" ht="13.2" x14ac:dyDescent="0.25"/>
    <row r="4588" ht="13.2" x14ac:dyDescent="0.25"/>
    <row r="4589" ht="13.2" x14ac:dyDescent="0.25"/>
    <row r="4590" ht="13.2" x14ac:dyDescent="0.25"/>
    <row r="4591" ht="13.2" x14ac:dyDescent="0.25"/>
    <row r="4592" ht="13.2" x14ac:dyDescent="0.25"/>
    <row r="4593" ht="13.2" x14ac:dyDescent="0.25"/>
    <row r="4594" ht="13.2" x14ac:dyDescent="0.25"/>
    <row r="4595" ht="13.2" x14ac:dyDescent="0.25"/>
    <row r="4596" ht="13.2" x14ac:dyDescent="0.25"/>
    <row r="4597" ht="13.2" x14ac:dyDescent="0.25"/>
    <row r="4598" ht="13.2" x14ac:dyDescent="0.25"/>
    <row r="4599" ht="13.2" x14ac:dyDescent="0.25"/>
    <row r="4600" ht="13.2" x14ac:dyDescent="0.25"/>
    <row r="4601" ht="13.2" x14ac:dyDescent="0.25"/>
    <row r="4602" ht="13.2" x14ac:dyDescent="0.25"/>
    <row r="4603" ht="13.2" x14ac:dyDescent="0.25"/>
    <row r="4604" ht="13.2" x14ac:dyDescent="0.25"/>
    <row r="4605" ht="13.2" x14ac:dyDescent="0.25"/>
    <row r="4606" ht="13.2" x14ac:dyDescent="0.25"/>
    <row r="4607" ht="13.2" x14ac:dyDescent="0.25"/>
    <row r="4608" ht="13.2" x14ac:dyDescent="0.25"/>
    <row r="4609" ht="13.2" x14ac:dyDescent="0.25"/>
    <row r="4610" ht="13.2" x14ac:dyDescent="0.25"/>
    <row r="4611" ht="13.2" x14ac:dyDescent="0.25"/>
    <row r="4612" ht="13.2" x14ac:dyDescent="0.25"/>
    <row r="4613" ht="13.2" x14ac:dyDescent="0.25"/>
    <row r="4614" ht="13.2" x14ac:dyDescent="0.25"/>
    <row r="4615" ht="13.2" x14ac:dyDescent="0.25"/>
    <row r="4616" ht="13.2" x14ac:dyDescent="0.25"/>
    <row r="4617" ht="13.2" x14ac:dyDescent="0.25"/>
    <row r="4618" ht="13.2" x14ac:dyDescent="0.25"/>
    <row r="4619" ht="13.2" x14ac:dyDescent="0.25"/>
    <row r="4620" ht="13.2" x14ac:dyDescent="0.25"/>
    <row r="4621" ht="13.2" x14ac:dyDescent="0.25"/>
    <row r="4622" ht="13.2" x14ac:dyDescent="0.25"/>
    <row r="4623" ht="13.2" x14ac:dyDescent="0.25"/>
    <row r="4624" ht="13.2" x14ac:dyDescent="0.25"/>
    <row r="4625" ht="13.2" x14ac:dyDescent="0.25"/>
    <row r="4626" ht="13.2" x14ac:dyDescent="0.25"/>
    <row r="4627" ht="13.2" x14ac:dyDescent="0.25"/>
    <row r="4628" ht="13.2" x14ac:dyDescent="0.25"/>
    <row r="4629" ht="13.2" x14ac:dyDescent="0.25"/>
    <row r="4630" ht="13.2" x14ac:dyDescent="0.25"/>
    <row r="4631" ht="13.2" x14ac:dyDescent="0.25"/>
    <row r="4632" ht="13.2" x14ac:dyDescent="0.25"/>
    <row r="4633" ht="13.2" x14ac:dyDescent="0.25"/>
    <row r="4634" ht="13.2" x14ac:dyDescent="0.25"/>
    <row r="4635" ht="13.2" x14ac:dyDescent="0.25"/>
    <row r="4636" ht="13.2" x14ac:dyDescent="0.25"/>
    <row r="4637" ht="13.2" x14ac:dyDescent="0.25"/>
    <row r="4638" ht="13.2" x14ac:dyDescent="0.25"/>
    <row r="4639" ht="13.2" x14ac:dyDescent="0.25"/>
    <row r="4640" ht="13.2" x14ac:dyDescent="0.25"/>
    <row r="4641" ht="13.2" x14ac:dyDescent="0.25"/>
    <row r="4642" ht="13.2" x14ac:dyDescent="0.25"/>
    <row r="4643" ht="13.2" x14ac:dyDescent="0.25"/>
    <row r="4644" ht="13.2" x14ac:dyDescent="0.25"/>
    <row r="4645" ht="13.2" x14ac:dyDescent="0.25"/>
    <row r="4646" ht="13.2" x14ac:dyDescent="0.25"/>
    <row r="4647" ht="13.2" x14ac:dyDescent="0.25"/>
    <row r="4648" ht="13.2" x14ac:dyDescent="0.25"/>
    <row r="4649" ht="13.2" x14ac:dyDescent="0.25"/>
    <row r="4650" ht="13.2" x14ac:dyDescent="0.25"/>
    <row r="4651" ht="13.2" x14ac:dyDescent="0.25"/>
    <row r="4652" ht="13.2" x14ac:dyDescent="0.25"/>
    <row r="4653" ht="13.2" x14ac:dyDescent="0.25"/>
    <row r="4654" ht="13.2" x14ac:dyDescent="0.25"/>
    <row r="4655" ht="13.2" x14ac:dyDescent="0.25"/>
    <row r="4656" ht="13.2" x14ac:dyDescent="0.25"/>
    <row r="4657" ht="13.2" x14ac:dyDescent="0.25"/>
    <row r="4658" ht="13.2" x14ac:dyDescent="0.25"/>
    <row r="4659" ht="13.2" x14ac:dyDescent="0.25"/>
    <row r="4660" ht="13.2" x14ac:dyDescent="0.25"/>
    <row r="4661" ht="13.2" x14ac:dyDescent="0.25"/>
    <row r="4662" ht="13.2" x14ac:dyDescent="0.25"/>
    <row r="4663" ht="13.2" x14ac:dyDescent="0.25"/>
    <row r="4664" ht="13.2" x14ac:dyDescent="0.25"/>
    <row r="4665" ht="13.2" x14ac:dyDescent="0.25"/>
    <row r="4666" ht="13.2" x14ac:dyDescent="0.25"/>
    <row r="4667" ht="13.2" x14ac:dyDescent="0.25"/>
    <row r="4668" ht="13.2" x14ac:dyDescent="0.25"/>
    <row r="4669" ht="13.2" x14ac:dyDescent="0.25"/>
    <row r="4670" ht="13.2" x14ac:dyDescent="0.25"/>
    <row r="4671" ht="13.2" x14ac:dyDescent="0.25"/>
    <row r="4672" ht="13.2" x14ac:dyDescent="0.25"/>
    <row r="4673" ht="13.2" x14ac:dyDescent="0.25"/>
    <row r="4674" ht="13.2" x14ac:dyDescent="0.25"/>
    <row r="4675" ht="13.2" x14ac:dyDescent="0.25"/>
    <row r="4676" ht="13.2" x14ac:dyDescent="0.25"/>
    <row r="4677" ht="13.2" x14ac:dyDescent="0.25"/>
    <row r="4678" ht="13.2" x14ac:dyDescent="0.25"/>
    <row r="4679" ht="13.2" x14ac:dyDescent="0.25"/>
    <row r="4680" ht="13.2" x14ac:dyDescent="0.25"/>
    <row r="4681" ht="13.2" x14ac:dyDescent="0.25"/>
    <row r="4682" ht="13.2" x14ac:dyDescent="0.25"/>
    <row r="4683" ht="13.2" x14ac:dyDescent="0.25"/>
    <row r="4684" ht="13.2" x14ac:dyDescent="0.25"/>
    <row r="4685" ht="13.2" x14ac:dyDescent="0.25"/>
    <row r="4686" ht="13.2" x14ac:dyDescent="0.25"/>
    <row r="4687" ht="13.2" x14ac:dyDescent="0.25"/>
    <row r="4688" ht="13.2" x14ac:dyDescent="0.25"/>
    <row r="4689" ht="13.2" x14ac:dyDescent="0.25"/>
    <row r="4690" ht="13.2" x14ac:dyDescent="0.25"/>
    <row r="4691" ht="13.2" x14ac:dyDescent="0.25"/>
    <row r="4692" ht="13.2" x14ac:dyDescent="0.25"/>
    <row r="4693" ht="13.2" x14ac:dyDescent="0.25"/>
    <row r="4694" ht="13.2" x14ac:dyDescent="0.25"/>
    <row r="4695" ht="13.2" x14ac:dyDescent="0.25"/>
    <row r="4696" ht="13.2" x14ac:dyDescent="0.25"/>
    <row r="4697" ht="13.2" x14ac:dyDescent="0.25"/>
    <row r="4698" ht="13.2" x14ac:dyDescent="0.25"/>
    <row r="4699" ht="13.2" x14ac:dyDescent="0.25"/>
    <row r="4700" ht="13.2" x14ac:dyDescent="0.25"/>
    <row r="4701" ht="13.2" x14ac:dyDescent="0.25"/>
    <row r="4702" ht="13.2" x14ac:dyDescent="0.25"/>
    <row r="4703" ht="13.2" x14ac:dyDescent="0.25"/>
    <row r="4704" ht="13.2" x14ac:dyDescent="0.25"/>
    <row r="4705" ht="13.2" x14ac:dyDescent="0.25"/>
    <row r="4706" ht="13.2" x14ac:dyDescent="0.25"/>
    <row r="4707" ht="13.2" x14ac:dyDescent="0.25"/>
    <row r="4708" ht="13.2" x14ac:dyDescent="0.25"/>
    <row r="4709" ht="13.2" x14ac:dyDescent="0.25"/>
    <row r="4710" ht="13.2" x14ac:dyDescent="0.25"/>
    <row r="4711" ht="13.2" x14ac:dyDescent="0.25"/>
    <row r="4712" ht="13.2" x14ac:dyDescent="0.25"/>
    <row r="4713" ht="13.2" x14ac:dyDescent="0.25"/>
    <row r="4714" ht="13.2" x14ac:dyDescent="0.25"/>
    <row r="4715" ht="13.2" x14ac:dyDescent="0.25"/>
    <row r="4716" ht="13.2" x14ac:dyDescent="0.25"/>
    <row r="4717" ht="13.2" x14ac:dyDescent="0.25"/>
    <row r="4718" ht="13.2" x14ac:dyDescent="0.25"/>
    <row r="4719" ht="13.2" x14ac:dyDescent="0.25"/>
    <row r="4720" ht="13.2" x14ac:dyDescent="0.25"/>
    <row r="4721" ht="13.2" x14ac:dyDescent="0.25"/>
    <row r="4722" ht="13.2" x14ac:dyDescent="0.25"/>
    <row r="4723" ht="13.2" x14ac:dyDescent="0.25"/>
    <row r="4724" ht="13.2" x14ac:dyDescent="0.25"/>
    <row r="4725" ht="13.2" x14ac:dyDescent="0.25"/>
    <row r="4726" ht="13.2" x14ac:dyDescent="0.25"/>
    <row r="4727" ht="13.2" x14ac:dyDescent="0.25"/>
    <row r="4728" ht="13.2" x14ac:dyDescent="0.25"/>
    <row r="4729" ht="13.2" x14ac:dyDescent="0.25"/>
    <row r="4730" ht="13.2" x14ac:dyDescent="0.25"/>
    <row r="4731" ht="13.2" x14ac:dyDescent="0.25"/>
    <row r="4732" ht="13.2" x14ac:dyDescent="0.25"/>
    <row r="4733" ht="13.2" x14ac:dyDescent="0.25"/>
    <row r="4734" ht="13.2" x14ac:dyDescent="0.25"/>
    <row r="4735" ht="13.2" x14ac:dyDescent="0.25"/>
    <row r="4736" ht="13.2" x14ac:dyDescent="0.25"/>
    <row r="4737" ht="13.2" x14ac:dyDescent="0.25"/>
    <row r="4738" ht="13.2" x14ac:dyDescent="0.25"/>
    <row r="4739" ht="13.2" x14ac:dyDescent="0.25"/>
    <row r="4740" ht="13.2" x14ac:dyDescent="0.25"/>
    <row r="4741" ht="13.2" x14ac:dyDescent="0.25"/>
    <row r="4742" ht="13.2" x14ac:dyDescent="0.25"/>
    <row r="4743" ht="13.2" x14ac:dyDescent="0.25"/>
    <row r="4744" ht="13.2" x14ac:dyDescent="0.25"/>
    <row r="4745" ht="13.2" x14ac:dyDescent="0.25"/>
    <row r="4746" ht="13.2" x14ac:dyDescent="0.25"/>
    <row r="4747" ht="13.2" x14ac:dyDescent="0.25"/>
    <row r="4748" ht="13.2" x14ac:dyDescent="0.25"/>
    <row r="4749" ht="13.2" x14ac:dyDescent="0.25"/>
    <row r="4750" ht="13.2" x14ac:dyDescent="0.25"/>
    <row r="4751" ht="13.2" x14ac:dyDescent="0.25"/>
    <row r="4752" ht="13.2" x14ac:dyDescent="0.25"/>
    <row r="4753" ht="13.2" x14ac:dyDescent="0.25"/>
    <row r="4754" ht="13.2" x14ac:dyDescent="0.25"/>
    <row r="4755" ht="13.2" x14ac:dyDescent="0.25"/>
    <row r="4756" ht="13.2" x14ac:dyDescent="0.25"/>
    <row r="4757" ht="13.2" x14ac:dyDescent="0.25"/>
    <row r="4758" ht="13.2" x14ac:dyDescent="0.25"/>
    <row r="4759" ht="13.2" x14ac:dyDescent="0.25"/>
    <row r="4760" ht="13.2" x14ac:dyDescent="0.25"/>
    <row r="4761" ht="13.2" x14ac:dyDescent="0.25"/>
    <row r="4762" ht="13.2" x14ac:dyDescent="0.25"/>
    <row r="4763" ht="13.2" x14ac:dyDescent="0.25"/>
    <row r="4764" ht="13.2" x14ac:dyDescent="0.25"/>
    <row r="4765" ht="13.2" x14ac:dyDescent="0.25"/>
    <row r="4766" ht="13.2" x14ac:dyDescent="0.25"/>
    <row r="4767" ht="13.2" x14ac:dyDescent="0.25"/>
    <row r="4768" ht="13.2" x14ac:dyDescent="0.25"/>
    <row r="4769" ht="13.2" x14ac:dyDescent="0.25"/>
    <row r="4770" ht="13.2" x14ac:dyDescent="0.25"/>
    <row r="4771" ht="13.2" x14ac:dyDescent="0.25"/>
    <row r="4772" ht="13.2" x14ac:dyDescent="0.25"/>
    <row r="4773" ht="13.2" x14ac:dyDescent="0.25"/>
    <row r="4774" ht="13.2" x14ac:dyDescent="0.25"/>
    <row r="4775" ht="13.2" x14ac:dyDescent="0.25"/>
    <row r="4776" ht="13.2" x14ac:dyDescent="0.25"/>
    <row r="4777" ht="13.2" x14ac:dyDescent="0.25"/>
    <row r="4778" ht="13.2" x14ac:dyDescent="0.25"/>
    <row r="4779" ht="13.2" x14ac:dyDescent="0.25"/>
    <row r="4780" ht="13.2" x14ac:dyDescent="0.25"/>
    <row r="4781" ht="13.2" x14ac:dyDescent="0.25"/>
    <row r="4782" ht="13.2" x14ac:dyDescent="0.25"/>
    <row r="4783" ht="13.2" x14ac:dyDescent="0.25"/>
    <row r="4784" ht="13.2" x14ac:dyDescent="0.25"/>
    <row r="4785" ht="13.2" x14ac:dyDescent="0.25"/>
    <row r="4786" ht="13.2" x14ac:dyDescent="0.25"/>
    <row r="4787" ht="13.2" x14ac:dyDescent="0.25"/>
    <row r="4788" ht="13.2" x14ac:dyDescent="0.25"/>
    <row r="4789" ht="13.2" x14ac:dyDescent="0.25"/>
    <row r="4790" ht="13.2" x14ac:dyDescent="0.25"/>
    <row r="4791" ht="13.2" x14ac:dyDescent="0.25"/>
    <row r="4792" ht="13.2" x14ac:dyDescent="0.25"/>
    <row r="4793" ht="13.2" x14ac:dyDescent="0.25"/>
    <row r="4794" ht="13.2" x14ac:dyDescent="0.25"/>
    <row r="4795" ht="13.2" x14ac:dyDescent="0.25"/>
    <row r="4796" ht="13.2" x14ac:dyDescent="0.25"/>
    <row r="4797" ht="13.2" x14ac:dyDescent="0.25"/>
    <row r="4798" ht="13.2" x14ac:dyDescent="0.25"/>
    <row r="4799" ht="13.2" x14ac:dyDescent="0.25"/>
    <row r="4800" ht="13.2" x14ac:dyDescent="0.25"/>
    <row r="4801" ht="13.2" x14ac:dyDescent="0.25"/>
    <row r="4802" ht="13.2" x14ac:dyDescent="0.25"/>
    <row r="4803" ht="13.2" x14ac:dyDescent="0.25"/>
    <row r="4804" ht="13.2" x14ac:dyDescent="0.25"/>
    <row r="4805" ht="13.2" x14ac:dyDescent="0.25"/>
    <row r="4806" ht="13.2" x14ac:dyDescent="0.25"/>
    <row r="4807" ht="13.2" x14ac:dyDescent="0.25"/>
    <row r="4808" ht="13.2" x14ac:dyDescent="0.25"/>
    <row r="4809" ht="13.2" x14ac:dyDescent="0.25"/>
    <row r="4810" ht="13.2" x14ac:dyDescent="0.25"/>
    <row r="4811" ht="13.2" x14ac:dyDescent="0.25"/>
    <row r="4812" ht="13.2" x14ac:dyDescent="0.25"/>
    <row r="4813" ht="13.2" x14ac:dyDescent="0.25"/>
    <row r="4814" ht="13.2" x14ac:dyDescent="0.25"/>
    <row r="4815" ht="13.2" x14ac:dyDescent="0.25"/>
    <row r="4816" ht="13.2" x14ac:dyDescent="0.25"/>
    <row r="4817" ht="13.2" x14ac:dyDescent="0.25"/>
    <row r="4818" ht="13.2" x14ac:dyDescent="0.25"/>
    <row r="4819" ht="13.2" x14ac:dyDescent="0.25"/>
    <row r="4820" ht="13.2" x14ac:dyDescent="0.25"/>
    <row r="4821" ht="13.2" x14ac:dyDescent="0.25"/>
    <row r="4822" ht="13.2" x14ac:dyDescent="0.25"/>
    <row r="4823" ht="13.2" x14ac:dyDescent="0.25"/>
    <row r="4824" ht="13.2" x14ac:dyDescent="0.25"/>
    <row r="4825" ht="13.2" x14ac:dyDescent="0.25"/>
    <row r="4826" ht="13.2" x14ac:dyDescent="0.25"/>
    <row r="4827" ht="13.2" x14ac:dyDescent="0.25"/>
    <row r="4828" ht="13.2" x14ac:dyDescent="0.25"/>
    <row r="4829" ht="13.2" x14ac:dyDescent="0.25"/>
    <row r="4830" ht="13.2" x14ac:dyDescent="0.25"/>
    <row r="4831" ht="13.2" x14ac:dyDescent="0.25"/>
    <row r="4832" ht="13.2" x14ac:dyDescent="0.25"/>
    <row r="4833" ht="13.2" x14ac:dyDescent="0.25"/>
    <row r="4834" ht="13.2" x14ac:dyDescent="0.25"/>
    <row r="4835" ht="13.2" x14ac:dyDescent="0.25"/>
    <row r="4836" ht="13.2" x14ac:dyDescent="0.25"/>
    <row r="4837" ht="13.2" x14ac:dyDescent="0.25"/>
    <row r="4838" ht="13.2" x14ac:dyDescent="0.25"/>
    <row r="4839" ht="13.2" x14ac:dyDescent="0.25"/>
    <row r="4840" ht="13.2" x14ac:dyDescent="0.25"/>
    <row r="4841" ht="13.2" x14ac:dyDescent="0.25"/>
    <row r="4842" ht="13.2" x14ac:dyDescent="0.25"/>
    <row r="4843" ht="13.2" x14ac:dyDescent="0.25"/>
    <row r="4844" ht="13.2" x14ac:dyDescent="0.25"/>
    <row r="4845" ht="13.2" x14ac:dyDescent="0.25"/>
    <row r="4846" ht="13.2" x14ac:dyDescent="0.25"/>
    <row r="4847" ht="13.2" x14ac:dyDescent="0.25"/>
    <row r="4848" ht="13.2" x14ac:dyDescent="0.25"/>
    <row r="4849" ht="13.2" x14ac:dyDescent="0.25"/>
    <row r="4850" ht="13.2" x14ac:dyDescent="0.25"/>
    <row r="4851" ht="13.2" x14ac:dyDescent="0.25"/>
    <row r="4852" ht="13.2" x14ac:dyDescent="0.25"/>
    <row r="4853" ht="13.2" x14ac:dyDescent="0.25"/>
    <row r="4854" ht="13.2" x14ac:dyDescent="0.25"/>
    <row r="4855" ht="13.2" x14ac:dyDescent="0.25"/>
    <row r="4856" ht="13.2" x14ac:dyDescent="0.25"/>
    <row r="4857" ht="13.2" x14ac:dyDescent="0.25"/>
    <row r="4858" ht="13.2" x14ac:dyDescent="0.25"/>
    <row r="4859" ht="13.2" x14ac:dyDescent="0.25"/>
    <row r="4860" ht="13.2" x14ac:dyDescent="0.25"/>
    <row r="4861" ht="13.2" x14ac:dyDescent="0.25"/>
    <row r="4862" ht="13.2" x14ac:dyDescent="0.25"/>
    <row r="4863" ht="13.2" x14ac:dyDescent="0.25"/>
    <row r="4864" ht="13.2" x14ac:dyDescent="0.25"/>
    <row r="4865" ht="13.2" x14ac:dyDescent="0.25"/>
    <row r="4866" ht="13.2" x14ac:dyDescent="0.25"/>
    <row r="4867" ht="13.2" x14ac:dyDescent="0.25"/>
    <row r="4868" ht="13.2" x14ac:dyDescent="0.25"/>
    <row r="4869" ht="13.2" x14ac:dyDescent="0.25"/>
    <row r="4870" ht="13.2" x14ac:dyDescent="0.25"/>
    <row r="4871" ht="13.2" x14ac:dyDescent="0.25"/>
    <row r="4872" ht="13.2" x14ac:dyDescent="0.25"/>
    <row r="4873" ht="13.2" x14ac:dyDescent="0.25"/>
    <row r="4874" ht="13.2" x14ac:dyDescent="0.25"/>
    <row r="4875" ht="13.2" x14ac:dyDescent="0.25"/>
    <row r="4876" ht="13.2" x14ac:dyDescent="0.25"/>
    <row r="4877" ht="13.2" x14ac:dyDescent="0.25"/>
    <row r="4878" ht="13.2" x14ac:dyDescent="0.25"/>
    <row r="4879" ht="13.2" x14ac:dyDescent="0.25"/>
    <row r="4880" ht="13.2" x14ac:dyDescent="0.25"/>
    <row r="4881" ht="13.2" x14ac:dyDescent="0.25"/>
    <row r="4882" ht="13.2" x14ac:dyDescent="0.25"/>
    <row r="4883" ht="13.2" x14ac:dyDescent="0.25"/>
    <row r="4884" ht="13.2" x14ac:dyDescent="0.25"/>
    <row r="4885" ht="13.2" x14ac:dyDescent="0.25"/>
    <row r="4886" ht="13.2" x14ac:dyDescent="0.25"/>
    <row r="4887" ht="13.2" x14ac:dyDescent="0.25"/>
    <row r="4888" ht="13.2" x14ac:dyDescent="0.25"/>
    <row r="4889" ht="13.2" x14ac:dyDescent="0.25"/>
    <row r="4890" ht="13.2" x14ac:dyDescent="0.25"/>
    <row r="4891" ht="13.2" x14ac:dyDescent="0.25"/>
    <row r="4892" ht="13.2" x14ac:dyDescent="0.25"/>
    <row r="4893" ht="13.2" x14ac:dyDescent="0.25"/>
    <row r="4894" ht="13.2" x14ac:dyDescent="0.25"/>
    <row r="4895" ht="13.2" x14ac:dyDescent="0.25"/>
    <row r="4896" ht="13.2" x14ac:dyDescent="0.25"/>
    <row r="4897" ht="13.2" x14ac:dyDescent="0.25"/>
    <row r="4898" ht="13.2" x14ac:dyDescent="0.25"/>
    <row r="4899" ht="13.2" x14ac:dyDescent="0.25"/>
    <row r="4900" ht="13.2" x14ac:dyDescent="0.25"/>
    <row r="4901" ht="13.2" x14ac:dyDescent="0.25"/>
    <row r="4902" ht="13.2" x14ac:dyDescent="0.25"/>
    <row r="4903" ht="13.2" x14ac:dyDescent="0.25"/>
    <row r="4904" ht="13.2" x14ac:dyDescent="0.25"/>
    <row r="4905" ht="13.2" x14ac:dyDescent="0.25"/>
    <row r="4906" ht="13.2" x14ac:dyDescent="0.25"/>
    <row r="4907" ht="13.2" x14ac:dyDescent="0.25"/>
    <row r="4908" ht="13.2" x14ac:dyDescent="0.25"/>
    <row r="4909" ht="13.2" x14ac:dyDescent="0.25"/>
    <row r="4910" ht="13.2" x14ac:dyDescent="0.25"/>
    <row r="4911" ht="13.2" x14ac:dyDescent="0.25"/>
    <row r="4912" ht="13.2" x14ac:dyDescent="0.25"/>
    <row r="4913" ht="13.2" x14ac:dyDescent="0.25"/>
    <row r="4914" ht="13.2" x14ac:dyDescent="0.25"/>
    <row r="4915" ht="13.2" x14ac:dyDescent="0.25"/>
    <row r="4916" ht="13.2" x14ac:dyDescent="0.25"/>
    <row r="4917" ht="13.2" x14ac:dyDescent="0.25"/>
    <row r="4918" ht="13.2" x14ac:dyDescent="0.25"/>
    <row r="4919" ht="13.2" x14ac:dyDescent="0.25"/>
    <row r="4920" ht="13.2" x14ac:dyDescent="0.25"/>
    <row r="4921" ht="13.2" x14ac:dyDescent="0.25"/>
    <row r="4922" ht="13.2" x14ac:dyDescent="0.25"/>
    <row r="4923" ht="13.2" x14ac:dyDescent="0.25"/>
    <row r="4924" ht="13.2" x14ac:dyDescent="0.25"/>
    <row r="4925" ht="13.2" x14ac:dyDescent="0.25"/>
    <row r="4926" ht="13.2" x14ac:dyDescent="0.25"/>
    <row r="4927" ht="13.2" x14ac:dyDescent="0.25"/>
    <row r="4928" ht="13.2" x14ac:dyDescent="0.25"/>
    <row r="4929" ht="13.2" x14ac:dyDescent="0.25"/>
    <row r="4930" ht="13.2" x14ac:dyDescent="0.25"/>
    <row r="4931" ht="13.2" x14ac:dyDescent="0.25"/>
    <row r="4932" ht="13.2" x14ac:dyDescent="0.25"/>
    <row r="4933" ht="13.2" x14ac:dyDescent="0.25"/>
    <row r="4934" ht="13.2" x14ac:dyDescent="0.25"/>
    <row r="4935" ht="13.2" x14ac:dyDescent="0.25"/>
    <row r="4936" ht="13.2" x14ac:dyDescent="0.25"/>
    <row r="4937" ht="13.2" x14ac:dyDescent="0.25"/>
    <row r="4938" ht="13.2" x14ac:dyDescent="0.25"/>
    <row r="4939" ht="13.2" x14ac:dyDescent="0.25"/>
    <row r="4940" ht="13.2" x14ac:dyDescent="0.25"/>
    <row r="4941" ht="13.2" x14ac:dyDescent="0.25"/>
    <row r="4942" ht="13.2" x14ac:dyDescent="0.25"/>
    <row r="4943" ht="13.2" x14ac:dyDescent="0.25"/>
    <row r="4944" ht="13.2" x14ac:dyDescent="0.25"/>
    <row r="4945" ht="13.2" x14ac:dyDescent="0.25"/>
    <row r="4946" ht="13.2" x14ac:dyDescent="0.25"/>
    <row r="4947" ht="13.2" x14ac:dyDescent="0.25"/>
    <row r="4948" ht="13.2" x14ac:dyDescent="0.25"/>
    <row r="4949" ht="13.2" x14ac:dyDescent="0.25"/>
    <row r="4950" ht="13.2" x14ac:dyDescent="0.25"/>
    <row r="4951" ht="13.2" x14ac:dyDescent="0.25"/>
    <row r="4952" ht="13.2" x14ac:dyDescent="0.25"/>
    <row r="4953" ht="13.2" x14ac:dyDescent="0.25"/>
    <row r="4954" ht="13.2" x14ac:dyDescent="0.25"/>
    <row r="4955" ht="13.2" x14ac:dyDescent="0.25"/>
    <row r="4956" ht="13.2" x14ac:dyDescent="0.25"/>
    <row r="4957" ht="13.2" x14ac:dyDescent="0.25"/>
    <row r="4958" ht="13.2" x14ac:dyDescent="0.25"/>
    <row r="4959" ht="13.2" x14ac:dyDescent="0.25"/>
    <row r="4960" ht="13.2" x14ac:dyDescent="0.25"/>
    <row r="4961" ht="13.2" x14ac:dyDescent="0.25"/>
    <row r="4962" ht="13.2" x14ac:dyDescent="0.25"/>
    <row r="4963" ht="13.2" x14ac:dyDescent="0.25"/>
    <row r="4964" ht="13.2" x14ac:dyDescent="0.25"/>
    <row r="4965" ht="13.2" x14ac:dyDescent="0.25"/>
    <row r="4966" ht="13.2" x14ac:dyDescent="0.25"/>
    <row r="4967" ht="13.2" x14ac:dyDescent="0.25"/>
    <row r="4968" ht="13.2" x14ac:dyDescent="0.25"/>
    <row r="4969" ht="13.2" x14ac:dyDescent="0.25"/>
    <row r="4970" ht="13.2" x14ac:dyDescent="0.25"/>
    <row r="4971" ht="13.2" x14ac:dyDescent="0.25"/>
    <row r="4972" ht="13.2" x14ac:dyDescent="0.25"/>
    <row r="4973" ht="13.2" x14ac:dyDescent="0.25"/>
    <row r="4974" ht="13.2" x14ac:dyDescent="0.25"/>
    <row r="4975" ht="13.2" x14ac:dyDescent="0.25"/>
    <row r="4976" ht="13.2" x14ac:dyDescent="0.25"/>
    <row r="4977" ht="13.2" x14ac:dyDescent="0.25"/>
    <row r="4978" ht="13.2" x14ac:dyDescent="0.25"/>
    <row r="4979" ht="13.2" x14ac:dyDescent="0.25"/>
    <row r="4980" ht="13.2" x14ac:dyDescent="0.25"/>
    <row r="4981" ht="13.2" x14ac:dyDescent="0.25"/>
    <row r="4982" ht="13.2" x14ac:dyDescent="0.25"/>
    <row r="4983" ht="13.2" x14ac:dyDescent="0.25"/>
    <row r="4984" ht="13.2" x14ac:dyDescent="0.25"/>
    <row r="4985" ht="13.2" x14ac:dyDescent="0.25"/>
    <row r="4986" ht="13.2" x14ac:dyDescent="0.25"/>
    <row r="4987" ht="13.2" x14ac:dyDescent="0.25"/>
    <row r="4988" ht="13.2" x14ac:dyDescent="0.25"/>
    <row r="4989" ht="13.2" x14ac:dyDescent="0.25"/>
    <row r="4990" ht="13.2" x14ac:dyDescent="0.25"/>
    <row r="4991" ht="13.2" x14ac:dyDescent="0.25"/>
    <row r="4992" ht="13.2" x14ac:dyDescent="0.25"/>
    <row r="4993" ht="13.2" x14ac:dyDescent="0.25"/>
    <row r="4994" ht="13.2" x14ac:dyDescent="0.25"/>
    <row r="4995" ht="13.2" x14ac:dyDescent="0.25"/>
    <row r="4996" ht="13.2" x14ac:dyDescent="0.25"/>
    <row r="4997" ht="13.2" x14ac:dyDescent="0.25"/>
    <row r="4998" ht="13.2" x14ac:dyDescent="0.25"/>
    <row r="4999" ht="13.2" x14ac:dyDescent="0.25"/>
    <row r="5000" ht="13.2" x14ac:dyDescent="0.25"/>
    <row r="5001" ht="13.2" x14ac:dyDescent="0.25"/>
    <row r="5002" ht="13.2" x14ac:dyDescent="0.25"/>
    <row r="5003" ht="13.2" x14ac:dyDescent="0.25"/>
    <row r="5004" ht="13.2" x14ac:dyDescent="0.25"/>
    <row r="5005" ht="13.2" x14ac:dyDescent="0.25"/>
    <row r="5006" ht="13.2" x14ac:dyDescent="0.25"/>
    <row r="5007" ht="13.2" x14ac:dyDescent="0.25"/>
    <row r="5008" ht="13.2" x14ac:dyDescent="0.25"/>
    <row r="5009" ht="13.2" x14ac:dyDescent="0.25"/>
    <row r="5010" ht="13.2" x14ac:dyDescent="0.25"/>
    <row r="5011" ht="13.2" x14ac:dyDescent="0.25"/>
    <row r="5012" ht="13.2" x14ac:dyDescent="0.25"/>
    <row r="5013" ht="13.2" x14ac:dyDescent="0.25"/>
    <row r="5014" ht="13.2" x14ac:dyDescent="0.25"/>
    <row r="5015" ht="13.2" x14ac:dyDescent="0.25"/>
    <row r="5016" ht="13.2" x14ac:dyDescent="0.25"/>
    <row r="5017" ht="13.2" x14ac:dyDescent="0.25"/>
    <row r="5018" ht="13.2" x14ac:dyDescent="0.25"/>
    <row r="5019" ht="13.2" x14ac:dyDescent="0.25"/>
    <row r="5020" ht="13.2" x14ac:dyDescent="0.25"/>
    <row r="5021" ht="13.2" x14ac:dyDescent="0.25"/>
    <row r="5022" ht="13.2" x14ac:dyDescent="0.25"/>
    <row r="5023" ht="13.2" x14ac:dyDescent="0.25"/>
    <row r="5024" ht="13.2" x14ac:dyDescent="0.25"/>
    <row r="5025" ht="13.2" x14ac:dyDescent="0.25"/>
    <row r="5026" ht="13.2" x14ac:dyDescent="0.25"/>
    <row r="5027" ht="13.2" x14ac:dyDescent="0.25"/>
    <row r="5028" ht="13.2" x14ac:dyDescent="0.25"/>
    <row r="5029" ht="13.2" x14ac:dyDescent="0.25"/>
    <row r="5030" ht="13.2" x14ac:dyDescent="0.25"/>
    <row r="5031" ht="13.2" x14ac:dyDescent="0.25"/>
    <row r="5032" ht="13.2" x14ac:dyDescent="0.25"/>
    <row r="5033" ht="13.2" x14ac:dyDescent="0.25"/>
    <row r="5034" ht="13.2" x14ac:dyDescent="0.25"/>
    <row r="5035" ht="13.2" x14ac:dyDescent="0.25"/>
    <row r="5036" ht="13.2" x14ac:dyDescent="0.25"/>
    <row r="5037" ht="13.2" x14ac:dyDescent="0.25"/>
    <row r="5038" ht="13.2" x14ac:dyDescent="0.25"/>
    <row r="5039" ht="13.2" x14ac:dyDescent="0.25"/>
    <row r="5040" ht="13.2" x14ac:dyDescent="0.25"/>
    <row r="5041" ht="13.2" x14ac:dyDescent="0.25"/>
    <row r="5042" ht="13.2" x14ac:dyDescent="0.25"/>
    <row r="5043" ht="13.2" x14ac:dyDescent="0.25"/>
    <row r="5044" ht="13.2" x14ac:dyDescent="0.25"/>
    <row r="5045" ht="13.2" x14ac:dyDescent="0.25"/>
    <row r="5046" ht="13.2" x14ac:dyDescent="0.25"/>
    <row r="5047" ht="13.2" x14ac:dyDescent="0.25"/>
    <row r="5048" ht="13.2" x14ac:dyDescent="0.25"/>
    <row r="5049" ht="13.2" x14ac:dyDescent="0.25"/>
    <row r="5050" ht="13.2" x14ac:dyDescent="0.25"/>
    <row r="5051" ht="13.2" x14ac:dyDescent="0.25"/>
    <row r="5052" ht="13.2" x14ac:dyDescent="0.25"/>
    <row r="5053" ht="13.2" x14ac:dyDescent="0.25"/>
    <row r="5054" ht="13.2" x14ac:dyDescent="0.25"/>
    <row r="5055" ht="13.2" x14ac:dyDescent="0.25"/>
    <row r="5056" ht="13.2" x14ac:dyDescent="0.25"/>
    <row r="5057" ht="13.2" x14ac:dyDescent="0.25"/>
    <row r="5058" ht="13.2" x14ac:dyDescent="0.25"/>
    <row r="5059" ht="13.2" x14ac:dyDescent="0.25"/>
    <row r="5060" ht="13.2" x14ac:dyDescent="0.25"/>
    <row r="5061" ht="13.2" x14ac:dyDescent="0.25"/>
    <row r="5062" ht="13.2" x14ac:dyDescent="0.25"/>
    <row r="5063" ht="13.2" x14ac:dyDescent="0.25"/>
    <row r="5064" ht="13.2" x14ac:dyDescent="0.25"/>
    <row r="5065" ht="13.2" x14ac:dyDescent="0.25"/>
    <row r="5066" ht="13.2" x14ac:dyDescent="0.25"/>
    <row r="5067" ht="13.2" x14ac:dyDescent="0.25"/>
    <row r="5068" ht="13.2" x14ac:dyDescent="0.25"/>
    <row r="5069" ht="13.2" x14ac:dyDescent="0.25"/>
    <row r="5070" ht="13.2" x14ac:dyDescent="0.25"/>
    <row r="5071" ht="13.2" x14ac:dyDescent="0.25"/>
    <row r="5072" ht="13.2" x14ac:dyDescent="0.25"/>
    <row r="5073" ht="13.2" x14ac:dyDescent="0.25"/>
    <row r="5074" ht="13.2" x14ac:dyDescent="0.25"/>
    <row r="5075" ht="13.2" x14ac:dyDescent="0.25"/>
    <row r="5076" ht="13.2" x14ac:dyDescent="0.25"/>
    <row r="5077" ht="13.2" x14ac:dyDescent="0.25"/>
    <row r="5078" ht="13.2" x14ac:dyDescent="0.25"/>
    <row r="5079" ht="13.2" x14ac:dyDescent="0.25"/>
    <row r="5080" ht="13.2" x14ac:dyDescent="0.25"/>
    <row r="5081" ht="13.2" x14ac:dyDescent="0.25"/>
    <row r="5082" ht="13.2" x14ac:dyDescent="0.25"/>
    <row r="5083" ht="13.2" x14ac:dyDescent="0.25"/>
    <row r="5084" ht="13.2" x14ac:dyDescent="0.25"/>
    <row r="5085" ht="13.2" x14ac:dyDescent="0.25"/>
    <row r="5086" ht="13.2" x14ac:dyDescent="0.25"/>
    <row r="5087" ht="13.2" x14ac:dyDescent="0.25"/>
    <row r="5088" ht="13.2" x14ac:dyDescent="0.25"/>
    <row r="5089" ht="13.2" x14ac:dyDescent="0.25"/>
    <row r="5090" ht="13.2" x14ac:dyDescent="0.25"/>
    <row r="5091" ht="13.2" x14ac:dyDescent="0.25"/>
    <row r="5092" ht="13.2" x14ac:dyDescent="0.25"/>
    <row r="5093" ht="13.2" x14ac:dyDescent="0.25"/>
    <row r="5094" ht="13.2" x14ac:dyDescent="0.25"/>
    <row r="5095" ht="13.2" x14ac:dyDescent="0.25"/>
    <row r="5096" ht="13.2" x14ac:dyDescent="0.25"/>
    <row r="5097" ht="13.2" x14ac:dyDescent="0.25"/>
    <row r="5098" ht="13.2" x14ac:dyDescent="0.25"/>
    <row r="5099" ht="13.2" x14ac:dyDescent="0.25"/>
    <row r="5100" ht="13.2" x14ac:dyDescent="0.25"/>
    <row r="5101" ht="13.2" x14ac:dyDescent="0.25"/>
    <row r="5102" ht="13.2" x14ac:dyDescent="0.25"/>
    <row r="5103" ht="13.2" x14ac:dyDescent="0.25"/>
    <row r="5104" ht="13.2" x14ac:dyDescent="0.25"/>
    <row r="5105" ht="13.2" x14ac:dyDescent="0.25"/>
    <row r="5106" ht="13.2" x14ac:dyDescent="0.25"/>
    <row r="5107" ht="13.2" x14ac:dyDescent="0.25"/>
    <row r="5108" ht="13.2" x14ac:dyDescent="0.25"/>
    <row r="5109" ht="13.2" x14ac:dyDescent="0.25"/>
    <row r="5110" ht="13.2" x14ac:dyDescent="0.25"/>
    <row r="5111" ht="13.2" x14ac:dyDescent="0.25"/>
    <row r="5112" ht="13.2" x14ac:dyDescent="0.25"/>
    <row r="5113" ht="13.2" x14ac:dyDescent="0.25"/>
    <row r="5114" ht="13.2" x14ac:dyDescent="0.25"/>
    <row r="5115" ht="13.2" x14ac:dyDescent="0.25"/>
    <row r="5116" ht="13.2" x14ac:dyDescent="0.25"/>
    <row r="5117" ht="13.2" x14ac:dyDescent="0.25"/>
    <row r="5118" ht="13.2" x14ac:dyDescent="0.25"/>
    <row r="5119" ht="13.2" x14ac:dyDescent="0.25"/>
    <row r="5120" ht="13.2" x14ac:dyDescent="0.25"/>
    <row r="5121" ht="13.2" x14ac:dyDescent="0.25"/>
    <row r="5122" ht="13.2" x14ac:dyDescent="0.25"/>
    <row r="5123" ht="13.2" x14ac:dyDescent="0.25"/>
    <row r="5124" ht="13.2" x14ac:dyDescent="0.25"/>
    <row r="5125" ht="13.2" x14ac:dyDescent="0.25"/>
    <row r="5126" ht="13.2" x14ac:dyDescent="0.25"/>
    <row r="5127" ht="13.2" x14ac:dyDescent="0.25"/>
    <row r="5128" ht="13.2" x14ac:dyDescent="0.25"/>
    <row r="5129" ht="13.2" x14ac:dyDescent="0.25"/>
    <row r="5130" ht="13.2" x14ac:dyDescent="0.25"/>
    <row r="5131" ht="13.2" x14ac:dyDescent="0.25"/>
    <row r="5132" ht="13.2" x14ac:dyDescent="0.25"/>
    <row r="5133" ht="13.2" x14ac:dyDescent="0.25"/>
    <row r="5134" ht="13.2" x14ac:dyDescent="0.25"/>
    <row r="5135" ht="13.2" x14ac:dyDescent="0.25"/>
    <row r="5136" ht="13.2" x14ac:dyDescent="0.25"/>
    <row r="5137" ht="13.2" x14ac:dyDescent="0.25"/>
    <row r="5138" ht="13.2" x14ac:dyDescent="0.25"/>
    <row r="5139" ht="13.2" x14ac:dyDescent="0.25"/>
    <row r="5140" ht="13.2" x14ac:dyDescent="0.25"/>
    <row r="5141" ht="13.2" x14ac:dyDescent="0.25"/>
    <row r="5142" ht="13.2" x14ac:dyDescent="0.25"/>
    <row r="5143" ht="13.2" x14ac:dyDescent="0.25"/>
    <row r="5144" ht="13.2" x14ac:dyDescent="0.25"/>
    <row r="5145" ht="13.2" x14ac:dyDescent="0.25"/>
    <row r="5146" ht="13.2" x14ac:dyDescent="0.25"/>
    <row r="5147" ht="13.2" x14ac:dyDescent="0.25"/>
    <row r="5148" ht="13.2" x14ac:dyDescent="0.25"/>
    <row r="5149" ht="13.2" x14ac:dyDescent="0.25"/>
    <row r="5150" ht="13.2" x14ac:dyDescent="0.25"/>
    <row r="5151" ht="13.2" x14ac:dyDescent="0.25"/>
    <row r="5152" ht="13.2" x14ac:dyDescent="0.25"/>
    <row r="5153" ht="13.2" x14ac:dyDescent="0.25"/>
    <row r="5154" ht="13.2" x14ac:dyDescent="0.25"/>
    <row r="5155" ht="13.2" x14ac:dyDescent="0.25"/>
    <row r="5156" ht="13.2" x14ac:dyDescent="0.25"/>
    <row r="5157" ht="13.2" x14ac:dyDescent="0.25"/>
    <row r="5158" ht="13.2" x14ac:dyDescent="0.25"/>
    <row r="5159" ht="13.2" x14ac:dyDescent="0.25"/>
    <row r="5160" ht="13.2" x14ac:dyDescent="0.25"/>
    <row r="5161" ht="13.2" x14ac:dyDescent="0.25"/>
    <row r="5162" ht="13.2" x14ac:dyDescent="0.25"/>
    <row r="5163" ht="13.2" x14ac:dyDescent="0.25"/>
    <row r="5164" ht="13.2" x14ac:dyDescent="0.25"/>
    <row r="5165" ht="13.2" x14ac:dyDescent="0.25"/>
    <row r="5166" ht="13.2" x14ac:dyDescent="0.25"/>
    <row r="5167" ht="13.2" x14ac:dyDescent="0.25"/>
    <row r="5168" ht="13.2" x14ac:dyDescent="0.25"/>
    <row r="5169" ht="13.2" x14ac:dyDescent="0.25"/>
    <row r="5170" ht="13.2" x14ac:dyDescent="0.25"/>
    <row r="5171" ht="13.2" x14ac:dyDescent="0.25"/>
    <row r="5172" ht="13.2" x14ac:dyDescent="0.25"/>
    <row r="5173" ht="13.2" x14ac:dyDescent="0.25"/>
    <row r="5174" ht="13.2" x14ac:dyDescent="0.25"/>
    <row r="5175" ht="13.2" x14ac:dyDescent="0.25"/>
    <row r="5176" ht="13.2" x14ac:dyDescent="0.25"/>
    <row r="5177" ht="13.2" x14ac:dyDescent="0.25"/>
    <row r="5178" ht="13.2" x14ac:dyDescent="0.25"/>
    <row r="5179" ht="13.2" x14ac:dyDescent="0.25"/>
    <row r="5180" ht="13.2" x14ac:dyDescent="0.25"/>
    <row r="5181" ht="13.2" x14ac:dyDescent="0.25"/>
    <row r="5182" ht="13.2" x14ac:dyDescent="0.25"/>
    <row r="5183" ht="13.2" x14ac:dyDescent="0.25"/>
    <row r="5184" ht="13.2" x14ac:dyDescent="0.25"/>
    <row r="5185" ht="13.2" x14ac:dyDescent="0.25"/>
    <row r="5186" ht="13.2" x14ac:dyDescent="0.25"/>
    <row r="5187" ht="13.2" x14ac:dyDescent="0.25"/>
    <row r="5188" ht="13.2" x14ac:dyDescent="0.25"/>
    <row r="5189" ht="13.2" x14ac:dyDescent="0.25"/>
    <row r="5190" ht="13.2" x14ac:dyDescent="0.25"/>
    <row r="5191" ht="13.2" x14ac:dyDescent="0.25"/>
    <row r="5192" ht="13.2" x14ac:dyDescent="0.25"/>
    <row r="5193" ht="13.2" x14ac:dyDescent="0.25"/>
    <row r="5194" ht="13.2" x14ac:dyDescent="0.25"/>
    <row r="5195" ht="13.2" x14ac:dyDescent="0.25"/>
    <row r="5196" ht="13.2" x14ac:dyDescent="0.25"/>
    <row r="5197" ht="13.2" x14ac:dyDescent="0.25"/>
    <row r="5198" ht="13.2" x14ac:dyDescent="0.25"/>
    <row r="5199" ht="13.2" x14ac:dyDescent="0.25"/>
    <row r="5200" ht="13.2" x14ac:dyDescent="0.25"/>
    <row r="5201" ht="13.2" x14ac:dyDescent="0.25"/>
    <row r="5202" ht="13.2" x14ac:dyDescent="0.25"/>
    <row r="5203" ht="13.2" x14ac:dyDescent="0.25"/>
    <row r="5204" ht="13.2" x14ac:dyDescent="0.25"/>
    <row r="5205" ht="13.2" x14ac:dyDescent="0.25"/>
    <row r="5206" ht="13.2" x14ac:dyDescent="0.25"/>
    <row r="5207" ht="13.2" x14ac:dyDescent="0.25"/>
    <row r="5208" ht="13.2" x14ac:dyDescent="0.25"/>
    <row r="5209" ht="13.2" x14ac:dyDescent="0.25"/>
    <row r="5210" ht="13.2" x14ac:dyDescent="0.25"/>
    <row r="5211" ht="13.2" x14ac:dyDescent="0.25"/>
    <row r="5212" ht="13.2" x14ac:dyDescent="0.25"/>
    <row r="5213" ht="13.2" x14ac:dyDescent="0.25"/>
    <row r="5214" ht="13.2" x14ac:dyDescent="0.25"/>
    <row r="5215" ht="13.2" x14ac:dyDescent="0.25"/>
    <row r="5216" ht="13.2" x14ac:dyDescent="0.25"/>
    <row r="5217" ht="13.2" x14ac:dyDescent="0.25"/>
    <row r="5218" ht="13.2" x14ac:dyDescent="0.25"/>
    <row r="5219" ht="13.2" x14ac:dyDescent="0.25"/>
    <row r="5220" ht="13.2" x14ac:dyDescent="0.25"/>
    <row r="5221" ht="13.2" x14ac:dyDescent="0.25"/>
    <row r="5222" ht="13.2" x14ac:dyDescent="0.25"/>
    <row r="5223" ht="13.2" x14ac:dyDescent="0.25"/>
    <row r="5224" ht="13.2" x14ac:dyDescent="0.25"/>
    <row r="5225" ht="13.2" x14ac:dyDescent="0.25"/>
    <row r="5226" ht="13.2" x14ac:dyDescent="0.25"/>
    <row r="5227" ht="13.2" x14ac:dyDescent="0.25"/>
    <row r="5228" ht="13.2" x14ac:dyDescent="0.25"/>
    <row r="5229" ht="13.2" x14ac:dyDescent="0.25"/>
    <row r="5230" ht="13.2" x14ac:dyDescent="0.25"/>
    <row r="5231" ht="13.2" x14ac:dyDescent="0.25"/>
    <row r="5232" ht="13.2" x14ac:dyDescent="0.25"/>
    <row r="5233" ht="13.2" x14ac:dyDescent="0.25"/>
    <row r="5234" ht="13.2" x14ac:dyDescent="0.25"/>
    <row r="5235" ht="13.2" x14ac:dyDescent="0.25"/>
    <row r="5236" ht="13.2" x14ac:dyDescent="0.25"/>
    <row r="5237" ht="13.2" x14ac:dyDescent="0.25"/>
    <row r="5238" ht="13.2" x14ac:dyDescent="0.25"/>
    <row r="5239" ht="13.2" x14ac:dyDescent="0.25"/>
    <row r="5240" ht="13.2" x14ac:dyDescent="0.25"/>
    <row r="5241" ht="13.2" x14ac:dyDescent="0.25"/>
    <row r="5242" ht="13.2" x14ac:dyDescent="0.25"/>
    <row r="5243" ht="13.2" x14ac:dyDescent="0.25"/>
    <row r="5244" ht="13.2" x14ac:dyDescent="0.25"/>
    <row r="5245" ht="13.2" x14ac:dyDescent="0.25"/>
    <row r="5246" ht="13.2" x14ac:dyDescent="0.25"/>
    <row r="5247" ht="13.2" x14ac:dyDescent="0.25"/>
    <row r="5248" ht="13.2" x14ac:dyDescent="0.25"/>
    <row r="5249" ht="13.2" x14ac:dyDescent="0.25"/>
    <row r="5250" ht="13.2" x14ac:dyDescent="0.25"/>
    <row r="5251" ht="13.2" x14ac:dyDescent="0.25"/>
    <row r="5252" ht="13.2" x14ac:dyDescent="0.25"/>
    <row r="5253" ht="13.2" x14ac:dyDescent="0.25"/>
    <row r="5254" ht="13.2" x14ac:dyDescent="0.25"/>
    <row r="5255" ht="13.2" x14ac:dyDescent="0.25"/>
    <row r="5256" ht="13.2" x14ac:dyDescent="0.25"/>
    <row r="5257" ht="13.2" x14ac:dyDescent="0.25"/>
    <row r="5258" ht="13.2" x14ac:dyDescent="0.25"/>
    <row r="5259" ht="13.2" x14ac:dyDescent="0.25"/>
    <row r="5260" ht="13.2" x14ac:dyDescent="0.25"/>
    <row r="5261" ht="13.2" x14ac:dyDescent="0.25"/>
    <row r="5262" ht="13.2" x14ac:dyDescent="0.25"/>
    <row r="5263" ht="13.2" x14ac:dyDescent="0.25"/>
    <row r="5264" ht="13.2" x14ac:dyDescent="0.25"/>
    <row r="5265" ht="13.2" x14ac:dyDescent="0.25"/>
    <row r="5266" ht="13.2" x14ac:dyDescent="0.25"/>
    <row r="5267" ht="13.2" x14ac:dyDescent="0.25"/>
    <row r="5268" ht="13.2" x14ac:dyDescent="0.25"/>
    <row r="5269" ht="13.2" x14ac:dyDescent="0.25"/>
    <row r="5270" ht="13.2" x14ac:dyDescent="0.25"/>
    <row r="5271" ht="13.2" x14ac:dyDescent="0.25"/>
    <row r="5272" ht="13.2" x14ac:dyDescent="0.25"/>
    <row r="5273" ht="13.2" x14ac:dyDescent="0.25"/>
    <row r="5274" ht="13.2" x14ac:dyDescent="0.25"/>
    <row r="5275" ht="13.2" x14ac:dyDescent="0.25"/>
    <row r="5276" ht="13.2" x14ac:dyDescent="0.25"/>
    <row r="5277" ht="13.2" x14ac:dyDescent="0.25"/>
    <row r="5278" ht="13.2" x14ac:dyDescent="0.25"/>
    <row r="5279" ht="13.2" x14ac:dyDescent="0.25"/>
    <row r="5280" ht="13.2" x14ac:dyDescent="0.25"/>
    <row r="5281" ht="13.2" x14ac:dyDescent="0.25"/>
    <row r="5282" ht="13.2" x14ac:dyDescent="0.25"/>
    <row r="5283" ht="13.2" x14ac:dyDescent="0.25"/>
    <row r="5284" ht="13.2" x14ac:dyDescent="0.25"/>
    <row r="5285" ht="13.2" x14ac:dyDescent="0.25"/>
    <row r="5286" ht="13.2" x14ac:dyDescent="0.25"/>
    <row r="5287" ht="13.2" x14ac:dyDescent="0.25"/>
    <row r="5288" ht="13.2" x14ac:dyDescent="0.25"/>
    <row r="5289" ht="13.2" x14ac:dyDescent="0.25"/>
    <row r="5290" ht="13.2" x14ac:dyDescent="0.25"/>
    <row r="5291" ht="13.2" x14ac:dyDescent="0.25"/>
    <row r="5292" ht="13.2" x14ac:dyDescent="0.25"/>
    <row r="5293" ht="13.2" x14ac:dyDescent="0.25"/>
    <row r="5294" ht="13.2" x14ac:dyDescent="0.25"/>
    <row r="5295" ht="13.2" x14ac:dyDescent="0.25"/>
    <row r="5296" ht="13.2" x14ac:dyDescent="0.25"/>
    <row r="5297" ht="13.2" x14ac:dyDescent="0.25"/>
    <row r="5298" ht="13.2" x14ac:dyDescent="0.25"/>
    <row r="5299" ht="13.2" x14ac:dyDescent="0.25"/>
    <row r="5300" ht="13.2" x14ac:dyDescent="0.25"/>
    <row r="5301" ht="13.2" x14ac:dyDescent="0.25"/>
    <row r="5302" ht="13.2" x14ac:dyDescent="0.25"/>
    <row r="5303" ht="13.2" x14ac:dyDescent="0.25"/>
    <row r="5304" ht="13.2" x14ac:dyDescent="0.25"/>
    <row r="5305" ht="13.2" x14ac:dyDescent="0.25"/>
    <row r="5306" ht="13.2" x14ac:dyDescent="0.25"/>
    <row r="5307" ht="13.2" x14ac:dyDescent="0.25"/>
    <row r="5308" ht="13.2" x14ac:dyDescent="0.25"/>
    <row r="5309" ht="13.2" x14ac:dyDescent="0.25"/>
    <row r="5310" ht="13.2" x14ac:dyDescent="0.25"/>
    <row r="5311" ht="13.2" x14ac:dyDescent="0.25"/>
    <row r="5312" ht="13.2" x14ac:dyDescent="0.25"/>
    <row r="5313" ht="13.2" x14ac:dyDescent="0.25"/>
    <row r="5314" ht="13.2" x14ac:dyDescent="0.25"/>
    <row r="5315" ht="13.2" x14ac:dyDescent="0.25"/>
    <row r="5316" ht="13.2" x14ac:dyDescent="0.25"/>
    <row r="5317" ht="13.2" x14ac:dyDescent="0.25"/>
    <row r="5318" ht="13.2" x14ac:dyDescent="0.25"/>
    <row r="5319" ht="13.2" x14ac:dyDescent="0.25"/>
    <row r="5320" ht="13.2" x14ac:dyDescent="0.25"/>
    <row r="5321" ht="13.2" x14ac:dyDescent="0.25"/>
    <row r="5322" ht="13.2" x14ac:dyDescent="0.25"/>
    <row r="5323" ht="13.2" x14ac:dyDescent="0.25"/>
    <row r="5324" ht="13.2" x14ac:dyDescent="0.25"/>
    <row r="5325" ht="13.2" x14ac:dyDescent="0.25"/>
    <row r="5326" ht="13.2" x14ac:dyDescent="0.25"/>
    <row r="5327" ht="13.2" x14ac:dyDescent="0.25"/>
    <row r="5328" ht="13.2" x14ac:dyDescent="0.25"/>
    <row r="5329" ht="13.2" x14ac:dyDescent="0.25"/>
    <row r="5330" ht="13.2" x14ac:dyDescent="0.25"/>
    <row r="5331" ht="13.2" x14ac:dyDescent="0.25"/>
    <row r="5332" ht="13.2" x14ac:dyDescent="0.25"/>
    <row r="5333" ht="13.2" x14ac:dyDescent="0.25"/>
    <row r="5334" ht="13.2" x14ac:dyDescent="0.25"/>
    <row r="5335" ht="13.2" x14ac:dyDescent="0.25"/>
    <row r="5336" ht="13.2" x14ac:dyDescent="0.25"/>
    <row r="5337" ht="13.2" x14ac:dyDescent="0.25"/>
    <row r="5338" ht="13.2" x14ac:dyDescent="0.25"/>
    <row r="5339" ht="13.2" x14ac:dyDescent="0.25"/>
    <row r="5340" ht="13.2" x14ac:dyDescent="0.25"/>
    <row r="5341" ht="13.2" x14ac:dyDescent="0.25"/>
    <row r="5342" ht="13.2" x14ac:dyDescent="0.25"/>
    <row r="5343" ht="13.2" x14ac:dyDescent="0.25"/>
    <row r="5344" ht="13.2" x14ac:dyDescent="0.25"/>
    <row r="5345" ht="13.2" x14ac:dyDescent="0.25"/>
    <row r="5346" ht="13.2" x14ac:dyDescent="0.25"/>
    <row r="5347" ht="13.2" x14ac:dyDescent="0.25"/>
    <row r="5348" ht="13.2" x14ac:dyDescent="0.25"/>
    <row r="5349" ht="13.2" x14ac:dyDescent="0.25"/>
    <row r="5350" ht="13.2" x14ac:dyDescent="0.25"/>
    <row r="5351" ht="13.2" x14ac:dyDescent="0.25"/>
    <row r="5352" ht="13.2" x14ac:dyDescent="0.25"/>
    <row r="5353" ht="13.2" x14ac:dyDescent="0.25"/>
    <row r="5354" ht="13.2" x14ac:dyDescent="0.25"/>
    <row r="5355" ht="13.2" x14ac:dyDescent="0.25"/>
    <row r="5356" ht="13.2" x14ac:dyDescent="0.25"/>
    <row r="5357" ht="13.2" x14ac:dyDescent="0.25"/>
    <row r="5358" ht="13.2" x14ac:dyDescent="0.25"/>
    <row r="5359" ht="13.2" x14ac:dyDescent="0.25"/>
    <row r="5360" ht="13.2" x14ac:dyDescent="0.25"/>
    <row r="5361" ht="13.2" x14ac:dyDescent="0.25"/>
    <row r="5362" ht="13.2" x14ac:dyDescent="0.25"/>
    <row r="5363" ht="13.2" x14ac:dyDescent="0.25"/>
    <row r="5364" ht="13.2" x14ac:dyDescent="0.25"/>
    <row r="5365" ht="13.2" x14ac:dyDescent="0.25"/>
    <row r="5366" ht="13.2" x14ac:dyDescent="0.25"/>
    <row r="5367" ht="13.2" x14ac:dyDescent="0.25"/>
    <row r="5368" ht="13.2" x14ac:dyDescent="0.25"/>
    <row r="5369" ht="13.2" x14ac:dyDescent="0.25"/>
    <row r="5370" ht="13.2" x14ac:dyDescent="0.25"/>
    <row r="5371" ht="13.2" x14ac:dyDescent="0.25"/>
    <row r="5372" ht="13.2" x14ac:dyDescent="0.25"/>
    <row r="5373" ht="13.2" x14ac:dyDescent="0.25"/>
    <row r="5374" ht="13.2" x14ac:dyDescent="0.25"/>
    <row r="5375" ht="13.2" x14ac:dyDescent="0.25"/>
    <row r="5376" ht="13.2" x14ac:dyDescent="0.25"/>
    <row r="5377" ht="13.2" x14ac:dyDescent="0.25"/>
    <row r="5378" ht="13.2" x14ac:dyDescent="0.25"/>
    <row r="5379" ht="13.2" x14ac:dyDescent="0.25"/>
    <row r="5380" ht="13.2" x14ac:dyDescent="0.25"/>
    <row r="5381" ht="13.2" x14ac:dyDescent="0.25"/>
    <row r="5382" ht="13.2" x14ac:dyDescent="0.25"/>
    <row r="5383" ht="13.2" x14ac:dyDescent="0.25"/>
    <row r="5384" ht="13.2" x14ac:dyDescent="0.25"/>
    <row r="5385" ht="13.2" x14ac:dyDescent="0.25"/>
    <row r="5386" ht="13.2" x14ac:dyDescent="0.25"/>
    <row r="5387" ht="13.2" x14ac:dyDescent="0.25"/>
    <row r="5388" ht="13.2" x14ac:dyDescent="0.25"/>
    <row r="5389" ht="13.2" x14ac:dyDescent="0.25"/>
    <row r="5390" ht="13.2" x14ac:dyDescent="0.25"/>
    <row r="5391" ht="13.2" x14ac:dyDescent="0.25"/>
    <row r="5392" ht="13.2" x14ac:dyDescent="0.25"/>
    <row r="5393" ht="13.2" x14ac:dyDescent="0.25"/>
    <row r="5394" ht="13.2" x14ac:dyDescent="0.25"/>
    <row r="5395" ht="13.2" x14ac:dyDescent="0.25"/>
    <row r="5396" ht="13.2" x14ac:dyDescent="0.25"/>
    <row r="5397" ht="13.2" x14ac:dyDescent="0.25"/>
    <row r="5398" ht="13.2" x14ac:dyDescent="0.25"/>
    <row r="5399" ht="13.2" x14ac:dyDescent="0.25"/>
    <row r="5400" ht="13.2" x14ac:dyDescent="0.25"/>
    <row r="5401" ht="13.2" x14ac:dyDescent="0.25"/>
    <row r="5402" ht="13.2" x14ac:dyDescent="0.25"/>
    <row r="5403" ht="13.2" x14ac:dyDescent="0.25"/>
    <row r="5404" ht="13.2" x14ac:dyDescent="0.25"/>
    <row r="5405" ht="13.2" x14ac:dyDescent="0.25"/>
    <row r="5406" ht="13.2" x14ac:dyDescent="0.25"/>
    <row r="5407" ht="13.2" x14ac:dyDescent="0.25"/>
    <row r="5408" ht="13.2" x14ac:dyDescent="0.25"/>
    <row r="5409" ht="13.2" x14ac:dyDescent="0.25"/>
    <row r="5410" ht="13.2" x14ac:dyDescent="0.25"/>
    <row r="5411" ht="13.2" x14ac:dyDescent="0.25"/>
    <row r="5412" ht="13.2" x14ac:dyDescent="0.25"/>
    <row r="5413" ht="13.2" x14ac:dyDescent="0.25"/>
    <row r="5414" ht="13.2" x14ac:dyDescent="0.25"/>
    <row r="5415" ht="13.2" x14ac:dyDescent="0.25"/>
    <row r="5416" ht="13.2" x14ac:dyDescent="0.25"/>
    <row r="5417" ht="13.2" x14ac:dyDescent="0.25"/>
    <row r="5418" ht="13.2" x14ac:dyDescent="0.25"/>
    <row r="5419" ht="13.2" x14ac:dyDescent="0.25"/>
    <row r="5420" ht="13.2" x14ac:dyDescent="0.25"/>
    <row r="5421" ht="13.2" x14ac:dyDescent="0.25"/>
    <row r="5422" ht="13.2" x14ac:dyDescent="0.25"/>
    <row r="5423" ht="13.2" x14ac:dyDescent="0.25"/>
    <row r="5424" ht="13.2" x14ac:dyDescent="0.25"/>
    <row r="5425" ht="13.2" x14ac:dyDescent="0.25"/>
    <row r="5426" ht="13.2" x14ac:dyDescent="0.25"/>
    <row r="5427" ht="13.2" x14ac:dyDescent="0.25"/>
    <row r="5428" ht="13.2" x14ac:dyDescent="0.25"/>
    <row r="5429" ht="13.2" x14ac:dyDescent="0.25"/>
    <row r="5430" ht="13.2" x14ac:dyDescent="0.25"/>
    <row r="5431" ht="13.2" x14ac:dyDescent="0.25"/>
    <row r="5432" ht="13.2" x14ac:dyDescent="0.25"/>
    <row r="5433" ht="13.2" x14ac:dyDescent="0.25"/>
    <row r="5434" ht="13.2" x14ac:dyDescent="0.25"/>
    <row r="5435" ht="13.2" x14ac:dyDescent="0.25"/>
    <row r="5436" ht="13.2" x14ac:dyDescent="0.25"/>
    <row r="5437" ht="13.2" x14ac:dyDescent="0.25"/>
    <row r="5438" ht="13.2" x14ac:dyDescent="0.25"/>
    <row r="5439" ht="13.2" x14ac:dyDescent="0.25"/>
    <row r="5440" ht="13.2" x14ac:dyDescent="0.25"/>
    <row r="5441" ht="13.2" x14ac:dyDescent="0.25"/>
    <row r="5442" ht="13.2" x14ac:dyDescent="0.25"/>
    <row r="5443" ht="13.2" x14ac:dyDescent="0.25"/>
    <row r="5444" ht="13.2" x14ac:dyDescent="0.25"/>
    <row r="5445" ht="13.2" x14ac:dyDescent="0.25"/>
    <row r="5446" ht="13.2" x14ac:dyDescent="0.25"/>
    <row r="5447" ht="13.2" x14ac:dyDescent="0.25"/>
    <row r="5448" ht="13.2" x14ac:dyDescent="0.25"/>
    <row r="5449" ht="13.2" x14ac:dyDescent="0.25"/>
    <row r="5450" ht="13.2" x14ac:dyDescent="0.25"/>
    <row r="5451" ht="13.2" x14ac:dyDescent="0.25"/>
    <row r="5452" ht="13.2" x14ac:dyDescent="0.25"/>
    <row r="5453" ht="13.2" x14ac:dyDescent="0.25"/>
    <row r="5454" ht="13.2" x14ac:dyDescent="0.25"/>
    <row r="5455" ht="13.2" x14ac:dyDescent="0.25"/>
    <row r="5456" ht="13.2" x14ac:dyDescent="0.25"/>
    <row r="5457" ht="13.2" x14ac:dyDescent="0.25"/>
    <row r="5458" ht="13.2" x14ac:dyDescent="0.25"/>
    <row r="5459" ht="13.2" x14ac:dyDescent="0.25"/>
    <row r="5460" ht="13.2" x14ac:dyDescent="0.25"/>
    <row r="5461" ht="13.2" x14ac:dyDescent="0.25"/>
    <row r="5462" ht="13.2" x14ac:dyDescent="0.25"/>
    <row r="5463" ht="13.2" x14ac:dyDescent="0.25"/>
    <row r="5464" ht="13.2" x14ac:dyDescent="0.25"/>
    <row r="5465" ht="13.2" x14ac:dyDescent="0.25"/>
    <row r="5466" ht="13.2" x14ac:dyDescent="0.25"/>
    <row r="5467" ht="13.2" x14ac:dyDescent="0.25"/>
    <row r="5468" ht="13.2" x14ac:dyDescent="0.25"/>
    <row r="5469" ht="13.2" x14ac:dyDescent="0.25"/>
    <row r="5470" ht="13.2" x14ac:dyDescent="0.25"/>
    <row r="5471" ht="13.2" x14ac:dyDescent="0.25"/>
    <row r="5472" ht="13.2" x14ac:dyDescent="0.25"/>
    <row r="5473" ht="13.2" x14ac:dyDescent="0.25"/>
    <row r="5474" ht="13.2" x14ac:dyDescent="0.25"/>
    <row r="5475" ht="13.2" x14ac:dyDescent="0.25"/>
    <row r="5476" ht="13.2" x14ac:dyDescent="0.25"/>
    <row r="5477" ht="13.2" x14ac:dyDescent="0.25"/>
    <row r="5478" ht="13.2" x14ac:dyDescent="0.25"/>
    <row r="5479" ht="13.2" x14ac:dyDescent="0.25"/>
    <row r="5480" ht="13.2" x14ac:dyDescent="0.25"/>
    <row r="5481" ht="13.2" x14ac:dyDescent="0.25"/>
    <row r="5482" ht="13.2" x14ac:dyDescent="0.25"/>
    <row r="5483" ht="13.2" x14ac:dyDescent="0.25"/>
    <row r="5484" ht="13.2" x14ac:dyDescent="0.25"/>
    <row r="5485" ht="13.2" x14ac:dyDescent="0.25"/>
    <row r="5486" ht="13.2" x14ac:dyDescent="0.25"/>
    <row r="5487" ht="13.2" x14ac:dyDescent="0.25"/>
    <row r="5488" ht="13.2" x14ac:dyDescent="0.25"/>
    <row r="5489" ht="13.2" x14ac:dyDescent="0.25"/>
    <row r="5490" ht="13.2" x14ac:dyDescent="0.25"/>
    <row r="5491" ht="13.2" x14ac:dyDescent="0.25"/>
    <row r="5492" ht="13.2" x14ac:dyDescent="0.25"/>
    <row r="5493" ht="13.2" x14ac:dyDescent="0.25"/>
    <row r="5494" ht="13.2" x14ac:dyDescent="0.25"/>
    <row r="5495" ht="13.2" x14ac:dyDescent="0.25"/>
    <row r="5496" ht="13.2" x14ac:dyDescent="0.25"/>
    <row r="5497" ht="13.2" x14ac:dyDescent="0.25"/>
    <row r="5498" ht="13.2" x14ac:dyDescent="0.25"/>
    <row r="5499" ht="13.2" x14ac:dyDescent="0.25"/>
    <row r="5500" ht="13.2" x14ac:dyDescent="0.25"/>
    <row r="5501" ht="13.2" x14ac:dyDescent="0.25"/>
    <row r="5502" ht="13.2" x14ac:dyDescent="0.25"/>
    <row r="5503" ht="13.2" x14ac:dyDescent="0.25"/>
    <row r="5504" ht="13.2" x14ac:dyDescent="0.25"/>
    <row r="5505" ht="13.2" x14ac:dyDescent="0.25"/>
    <row r="5506" ht="13.2" x14ac:dyDescent="0.25"/>
    <row r="5507" ht="13.2" x14ac:dyDescent="0.25"/>
    <row r="5508" ht="13.2" x14ac:dyDescent="0.25"/>
    <row r="5509" ht="13.2" x14ac:dyDescent="0.25"/>
    <row r="5510" ht="13.2" x14ac:dyDescent="0.25"/>
    <row r="5511" ht="13.2" x14ac:dyDescent="0.25"/>
    <row r="5512" ht="13.2" x14ac:dyDescent="0.25"/>
    <row r="5513" ht="13.2" x14ac:dyDescent="0.25"/>
    <row r="5514" ht="13.2" x14ac:dyDescent="0.25"/>
    <row r="5515" ht="13.2" x14ac:dyDescent="0.25"/>
    <row r="5516" ht="13.2" x14ac:dyDescent="0.25"/>
    <row r="5517" ht="13.2" x14ac:dyDescent="0.25"/>
    <row r="5518" ht="13.2" x14ac:dyDescent="0.25"/>
    <row r="5519" ht="13.2" x14ac:dyDescent="0.25"/>
    <row r="5520" ht="13.2" x14ac:dyDescent="0.25"/>
    <row r="5521" ht="13.2" x14ac:dyDescent="0.25"/>
    <row r="5522" ht="13.2" x14ac:dyDescent="0.25"/>
    <row r="5523" ht="13.2" x14ac:dyDescent="0.25"/>
    <row r="5524" ht="13.2" x14ac:dyDescent="0.25"/>
    <row r="5525" ht="13.2" x14ac:dyDescent="0.25"/>
    <row r="5526" ht="13.2" x14ac:dyDescent="0.25"/>
    <row r="5527" ht="13.2" x14ac:dyDescent="0.25"/>
    <row r="5528" ht="13.2" x14ac:dyDescent="0.25"/>
    <row r="5529" ht="13.2" x14ac:dyDescent="0.25"/>
    <row r="5530" ht="13.2" x14ac:dyDescent="0.25"/>
    <row r="5531" ht="13.2" x14ac:dyDescent="0.25"/>
    <row r="5532" ht="13.2" x14ac:dyDescent="0.25"/>
    <row r="5533" ht="13.2" x14ac:dyDescent="0.25"/>
    <row r="5534" ht="13.2" x14ac:dyDescent="0.25"/>
    <row r="5535" ht="13.2" x14ac:dyDescent="0.25"/>
    <row r="5536" ht="13.2" x14ac:dyDescent="0.25"/>
    <row r="5537" ht="13.2" x14ac:dyDescent="0.25"/>
    <row r="5538" ht="13.2" x14ac:dyDescent="0.25"/>
    <row r="5539" ht="13.2" x14ac:dyDescent="0.25"/>
    <row r="5540" ht="13.2" x14ac:dyDescent="0.25"/>
    <row r="5541" ht="13.2" x14ac:dyDescent="0.25"/>
    <row r="5542" ht="13.2" x14ac:dyDescent="0.25"/>
    <row r="5543" ht="13.2" x14ac:dyDescent="0.25"/>
    <row r="5544" ht="13.2" x14ac:dyDescent="0.25"/>
    <row r="5545" ht="13.2" x14ac:dyDescent="0.25"/>
    <row r="5546" ht="13.2" x14ac:dyDescent="0.25"/>
    <row r="5547" ht="13.2" x14ac:dyDescent="0.25"/>
    <row r="5548" ht="13.2" x14ac:dyDescent="0.25"/>
    <row r="5549" ht="13.2" x14ac:dyDescent="0.25"/>
    <row r="5550" ht="13.2" x14ac:dyDescent="0.25"/>
    <row r="5551" ht="13.2" x14ac:dyDescent="0.25"/>
    <row r="5552" ht="13.2" x14ac:dyDescent="0.25"/>
    <row r="5553" ht="13.2" x14ac:dyDescent="0.25"/>
    <row r="5554" ht="13.2" x14ac:dyDescent="0.25"/>
    <row r="5555" ht="13.2" x14ac:dyDescent="0.25"/>
    <row r="5556" ht="13.2" x14ac:dyDescent="0.25"/>
    <row r="5557" ht="13.2" x14ac:dyDescent="0.25"/>
    <row r="5558" ht="13.2" x14ac:dyDescent="0.25"/>
    <row r="5559" ht="13.2" x14ac:dyDescent="0.25"/>
    <row r="5560" ht="13.2" x14ac:dyDescent="0.25"/>
    <row r="5561" ht="13.2" x14ac:dyDescent="0.25"/>
    <row r="5562" ht="13.2" x14ac:dyDescent="0.25"/>
    <row r="5563" ht="13.2" x14ac:dyDescent="0.25"/>
    <row r="5564" ht="13.2" x14ac:dyDescent="0.25"/>
    <row r="5565" ht="13.2" x14ac:dyDescent="0.25"/>
    <row r="5566" ht="13.2" x14ac:dyDescent="0.25"/>
    <row r="5567" ht="13.2" x14ac:dyDescent="0.25"/>
    <row r="5568" ht="13.2" x14ac:dyDescent="0.25"/>
    <row r="5569" ht="13.2" x14ac:dyDescent="0.25"/>
    <row r="5570" ht="13.2" x14ac:dyDescent="0.25"/>
    <row r="5571" ht="13.2" x14ac:dyDescent="0.25"/>
    <row r="5572" ht="13.2" x14ac:dyDescent="0.25"/>
    <row r="5573" ht="13.2" x14ac:dyDescent="0.25"/>
    <row r="5574" ht="13.2" x14ac:dyDescent="0.25"/>
    <row r="5575" ht="13.2" x14ac:dyDescent="0.25"/>
    <row r="5576" ht="13.2" x14ac:dyDescent="0.25"/>
    <row r="5577" ht="13.2" x14ac:dyDescent="0.25"/>
    <row r="5578" ht="13.2" x14ac:dyDescent="0.25"/>
    <row r="5579" ht="13.2" x14ac:dyDescent="0.25"/>
    <row r="5580" ht="13.2" x14ac:dyDescent="0.25"/>
    <row r="5581" ht="13.2" x14ac:dyDescent="0.25"/>
    <row r="5582" ht="13.2" x14ac:dyDescent="0.25"/>
    <row r="5583" ht="13.2" x14ac:dyDescent="0.25"/>
    <row r="5584" ht="13.2" x14ac:dyDescent="0.25"/>
    <row r="5585" ht="13.2" x14ac:dyDescent="0.25"/>
    <row r="5586" ht="13.2" x14ac:dyDescent="0.25"/>
    <row r="5587" ht="13.2" x14ac:dyDescent="0.25"/>
    <row r="5588" ht="13.2" x14ac:dyDescent="0.25"/>
    <row r="5589" ht="13.2" x14ac:dyDescent="0.25"/>
    <row r="5590" ht="13.2" x14ac:dyDescent="0.25"/>
    <row r="5591" ht="13.2" x14ac:dyDescent="0.25"/>
    <row r="5592" ht="13.2" x14ac:dyDescent="0.25"/>
    <row r="5593" ht="13.2" x14ac:dyDescent="0.25"/>
    <row r="5594" ht="13.2" x14ac:dyDescent="0.25"/>
    <row r="5595" ht="13.2" x14ac:dyDescent="0.25"/>
    <row r="5596" ht="13.2" x14ac:dyDescent="0.25"/>
    <row r="5597" ht="13.2" x14ac:dyDescent="0.25"/>
    <row r="5598" ht="13.2" x14ac:dyDescent="0.25"/>
    <row r="5599" ht="13.2" x14ac:dyDescent="0.25"/>
    <row r="5600" ht="13.2" x14ac:dyDescent="0.25"/>
    <row r="5601" ht="13.2" x14ac:dyDescent="0.25"/>
    <row r="5602" ht="13.2" x14ac:dyDescent="0.25"/>
    <row r="5603" ht="13.2" x14ac:dyDescent="0.25"/>
    <row r="5604" ht="13.2" x14ac:dyDescent="0.25"/>
    <row r="5605" ht="13.2" x14ac:dyDescent="0.25"/>
    <row r="5606" ht="13.2" x14ac:dyDescent="0.25"/>
    <row r="5607" ht="13.2" x14ac:dyDescent="0.25"/>
    <row r="5608" ht="13.2" x14ac:dyDescent="0.25"/>
    <row r="5609" ht="13.2" x14ac:dyDescent="0.25"/>
    <row r="5610" ht="13.2" x14ac:dyDescent="0.25"/>
    <row r="5611" ht="13.2" x14ac:dyDescent="0.25"/>
    <row r="5612" ht="13.2" x14ac:dyDescent="0.25"/>
    <row r="5613" ht="13.2" x14ac:dyDescent="0.25"/>
    <row r="5614" ht="13.2" x14ac:dyDescent="0.25"/>
    <row r="5615" ht="13.2" x14ac:dyDescent="0.25"/>
    <row r="5616" ht="13.2" x14ac:dyDescent="0.25"/>
    <row r="5617" ht="13.2" x14ac:dyDescent="0.25"/>
    <row r="5618" ht="13.2" x14ac:dyDescent="0.25"/>
    <row r="5619" ht="13.2" x14ac:dyDescent="0.25"/>
    <row r="5620" ht="13.2" x14ac:dyDescent="0.25"/>
    <row r="5621" ht="13.2" x14ac:dyDescent="0.25"/>
    <row r="5622" ht="13.2" x14ac:dyDescent="0.25"/>
    <row r="5623" ht="13.2" x14ac:dyDescent="0.25"/>
    <row r="5624" ht="13.2" x14ac:dyDescent="0.25"/>
    <row r="5625" ht="13.2" x14ac:dyDescent="0.25"/>
    <row r="5626" ht="13.2" x14ac:dyDescent="0.25"/>
    <row r="5627" ht="13.2" x14ac:dyDescent="0.25"/>
    <row r="5628" ht="13.2" x14ac:dyDescent="0.25"/>
    <row r="5629" ht="13.2" x14ac:dyDescent="0.25"/>
    <row r="5630" ht="13.2" x14ac:dyDescent="0.25"/>
    <row r="5631" ht="13.2" x14ac:dyDescent="0.25"/>
    <row r="5632" ht="13.2" x14ac:dyDescent="0.25"/>
    <row r="5633" ht="13.2" x14ac:dyDescent="0.25"/>
    <row r="5634" ht="13.2" x14ac:dyDescent="0.25"/>
    <row r="5635" ht="13.2" x14ac:dyDescent="0.25"/>
    <row r="5636" ht="13.2" x14ac:dyDescent="0.25"/>
    <row r="5637" ht="13.2" x14ac:dyDescent="0.25"/>
    <row r="5638" ht="13.2" x14ac:dyDescent="0.25"/>
    <row r="5639" ht="13.2" x14ac:dyDescent="0.25"/>
    <row r="5640" ht="13.2" x14ac:dyDescent="0.25"/>
    <row r="5641" ht="13.2" x14ac:dyDescent="0.25"/>
    <row r="5642" ht="13.2" x14ac:dyDescent="0.25"/>
    <row r="5643" ht="13.2" x14ac:dyDescent="0.25"/>
    <row r="5644" ht="13.2" x14ac:dyDescent="0.25"/>
    <row r="5645" ht="13.2" x14ac:dyDescent="0.25"/>
    <row r="5646" ht="13.2" x14ac:dyDescent="0.25"/>
    <row r="5647" ht="13.2" x14ac:dyDescent="0.25"/>
    <row r="5648" ht="13.2" x14ac:dyDescent="0.25"/>
    <row r="5649" ht="13.2" x14ac:dyDescent="0.25"/>
    <row r="5650" ht="13.2" x14ac:dyDescent="0.25"/>
    <row r="5651" ht="13.2" x14ac:dyDescent="0.25"/>
    <row r="5652" ht="13.2" x14ac:dyDescent="0.25"/>
    <row r="5653" ht="13.2" x14ac:dyDescent="0.25"/>
    <row r="5654" ht="13.2" x14ac:dyDescent="0.25"/>
    <row r="5655" ht="13.2" x14ac:dyDescent="0.25"/>
    <row r="5656" ht="13.2" x14ac:dyDescent="0.25"/>
    <row r="5657" ht="13.2" x14ac:dyDescent="0.25"/>
    <row r="5658" ht="13.2" x14ac:dyDescent="0.25"/>
    <row r="5659" ht="13.2" x14ac:dyDescent="0.25"/>
    <row r="5660" ht="13.2" x14ac:dyDescent="0.25"/>
    <row r="5661" ht="13.2" x14ac:dyDescent="0.25"/>
    <row r="5662" ht="13.2" x14ac:dyDescent="0.25"/>
    <row r="5663" ht="13.2" x14ac:dyDescent="0.25"/>
    <row r="5664" ht="13.2" x14ac:dyDescent="0.25"/>
    <row r="5665" ht="13.2" x14ac:dyDescent="0.25"/>
    <row r="5666" ht="13.2" x14ac:dyDescent="0.25"/>
    <row r="5667" ht="13.2" x14ac:dyDescent="0.25"/>
    <row r="5668" ht="13.2" x14ac:dyDescent="0.25"/>
    <row r="5669" ht="13.2" x14ac:dyDescent="0.25"/>
    <row r="5670" ht="13.2" x14ac:dyDescent="0.25"/>
    <row r="5671" ht="13.2" x14ac:dyDescent="0.25"/>
    <row r="5672" ht="13.2" x14ac:dyDescent="0.25"/>
    <row r="5673" ht="13.2" x14ac:dyDescent="0.25"/>
    <row r="5674" ht="13.2" x14ac:dyDescent="0.25"/>
    <row r="5675" ht="13.2" x14ac:dyDescent="0.25"/>
    <row r="5676" ht="13.2" x14ac:dyDescent="0.25"/>
    <row r="5677" ht="13.2" x14ac:dyDescent="0.25"/>
    <row r="5678" ht="13.2" x14ac:dyDescent="0.25"/>
    <row r="5679" ht="13.2" x14ac:dyDescent="0.25"/>
    <row r="5680" ht="13.2" x14ac:dyDescent="0.25"/>
    <row r="5681" ht="13.2" x14ac:dyDescent="0.25"/>
    <row r="5682" ht="13.2" x14ac:dyDescent="0.25"/>
    <row r="5683" ht="13.2" x14ac:dyDescent="0.25"/>
    <row r="5684" ht="13.2" x14ac:dyDescent="0.25"/>
    <row r="5685" ht="13.2" x14ac:dyDescent="0.25"/>
    <row r="5686" ht="13.2" x14ac:dyDescent="0.25"/>
    <row r="5687" ht="13.2" x14ac:dyDescent="0.25"/>
    <row r="5688" ht="13.2" x14ac:dyDescent="0.25"/>
    <row r="5689" ht="13.2" x14ac:dyDescent="0.25"/>
    <row r="5690" ht="13.2" x14ac:dyDescent="0.25"/>
    <row r="5691" ht="13.2" x14ac:dyDescent="0.25"/>
    <row r="5692" ht="13.2" x14ac:dyDescent="0.25"/>
    <row r="5693" ht="13.2" x14ac:dyDescent="0.25"/>
    <row r="5694" ht="13.2" x14ac:dyDescent="0.25"/>
    <row r="5695" ht="13.2" x14ac:dyDescent="0.25"/>
    <row r="5696" ht="13.2" x14ac:dyDescent="0.25"/>
    <row r="5697" ht="13.2" x14ac:dyDescent="0.25"/>
    <row r="5698" ht="13.2" x14ac:dyDescent="0.25"/>
    <row r="5699" ht="13.2" x14ac:dyDescent="0.25"/>
    <row r="5700" ht="13.2" x14ac:dyDescent="0.25"/>
    <row r="5701" ht="13.2" x14ac:dyDescent="0.25"/>
    <row r="5702" ht="13.2" x14ac:dyDescent="0.25"/>
    <row r="5703" ht="13.2" x14ac:dyDescent="0.25"/>
    <row r="5704" ht="13.2" x14ac:dyDescent="0.25"/>
    <row r="5705" ht="13.2" x14ac:dyDescent="0.25"/>
    <row r="5706" ht="13.2" x14ac:dyDescent="0.25"/>
    <row r="5707" ht="13.2" x14ac:dyDescent="0.25"/>
    <row r="5708" ht="13.2" x14ac:dyDescent="0.25"/>
    <row r="5709" ht="13.2" x14ac:dyDescent="0.25"/>
    <row r="5710" ht="13.2" x14ac:dyDescent="0.25"/>
    <row r="5711" ht="13.2" x14ac:dyDescent="0.25"/>
    <row r="5712" ht="13.2" x14ac:dyDescent="0.25"/>
    <row r="5713" ht="13.2" x14ac:dyDescent="0.25"/>
    <row r="5714" ht="13.2" x14ac:dyDescent="0.25"/>
    <row r="5715" ht="13.2" x14ac:dyDescent="0.25"/>
    <row r="5716" ht="13.2" x14ac:dyDescent="0.25"/>
    <row r="5717" ht="13.2" x14ac:dyDescent="0.25"/>
    <row r="5718" ht="13.2" x14ac:dyDescent="0.25"/>
    <row r="5719" ht="13.2" x14ac:dyDescent="0.25"/>
    <row r="5720" ht="13.2" x14ac:dyDescent="0.25"/>
    <row r="5721" ht="13.2" x14ac:dyDescent="0.25"/>
    <row r="5722" ht="13.2" x14ac:dyDescent="0.25"/>
    <row r="5723" ht="13.2" x14ac:dyDescent="0.25"/>
    <row r="5724" ht="13.2" x14ac:dyDescent="0.25"/>
    <row r="5725" ht="13.2" x14ac:dyDescent="0.25"/>
    <row r="5726" ht="13.2" x14ac:dyDescent="0.25"/>
    <row r="5727" ht="13.2" x14ac:dyDescent="0.25"/>
    <row r="5728" ht="13.2" x14ac:dyDescent="0.25"/>
    <row r="5729" ht="13.2" x14ac:dyDescent="0.25"/>
    <row r="5730" ht="13.2" x14ac:dyDescent="0.25"/>
    <row r="5731" ht="13.2" x14ac:dyDescent="0.25"/>
    <row r="5732" ht="13.2" x14ac:dyDescent="0.25"/>
    <row r="5733" ht="13.2" x14ac:dyDescent="0.25"/>
    <row r="5734" ht="13.2" x14ac:dyDescent="0.25"/>
    <row r="5735" ht="13.2" x14ac:dyDescent="0.25"/>
    <row r="5736" ht="13.2" x14ac:dyDescent="0.25"/>
    <row r="5737" ht="13.2" x14ac:dyDescent="0.25"/>
    <row r="5738" ht="13.2" x14ac:dyDescent="0.25"/>
    <row r="5739" ht="13.2" x14ac:dyDescent="0.25"/>
    <row r="5740" ht="13.2" x14ac:dyDescent="0.25"/>
    <row r="5741" ht="13.2" x14ac:dyDescent="0.25"/>
    <row r="5742" ht="13.2" x14ac:dyDescent="0.25"/>
    <row r="5743" ht="13.2" x14ac:dyDescent="0.25"/>
    <row r="5744" ht="13.2" x14ac:dyDescent="0.25"/>
    <row r="5745" ht="13.2" x14ac:dyDescent="0.25"/>
    <row r="5746" ht="13.2" x14ac:dyDescent="0.25"/>
    <row r="5747" ht="13.2" x14ac:dyDescent="0.25"/>
    <row r="5748" ht="13.2" x14ac:dyDescent="0.25"/>
    <row r="5749" ht="13.2" x14ac:dyDescent="0.25"/>
    <row r="5750" ht="13.2" x14ac:dyDescent="0.25"/>
    <row r="5751" ht="13.2" x14ac:dyDescent="0.25"/>
    <row r="5752" ht="13.2" x14ac:dyDescent="0.25"/>
    <row r="5753" ht="13.2" x14ac:dyDescent="0.25"/>
    <row r="5754" ht="13.2" x14ac:dyDescent="0.25"/>
    <row r="5755" ht="13.2" x14ac:dyDescent="0.25"/>
    <row r="5756" ht="13.2" x14ac:dyDescent="0.25"/>
    <row r="5757" ht="13.2" x14ac:dyDescent="0.25"/>
    <row r="5758" ht="13.2" x14ac:dyDescent="0.25"/>
    <row r="5759" ht="13.2" x14ac:dyDescent="0.25"/>
    <row r="5760" ht="13.2" x14ac:dyDescent="0.25"/>
    <row r="5761" ht="13.2" x14ac:dyDescent="0.25"/>
    <row r="5762" ht="13.2" x14ac:dyDescent="0.25"/>
    <row r="5763" ht="13.2" x14ac:dyDescent="0.25"/>
    <row r="5764" ht="13.2" x14ac:dyDescent="0.25"/>
    <row r="5765" ht="13.2" x14ac:dyDescent="0.25"/>
    <row r="5766" ht="13.2" x14ac:dyDescent="0.25"/>
    <row r="5767" ht="13.2" x14ac:dyDescent="0.25"/>
    <row r="5768" ht="13.2" x14ac:dyDescent="0.25"/>
    <row r="5769" ht="13.2" x14ac:dyDescent="0.25"/>
    <row r="5770" ht="13.2" x14ac:dyDescent="0.25"/>
    <row r="5771" ht="13.2" x14ac:dyDescent="0.25"/>
    <row r="5772" ht="13.2" x14ac:dyDescent="0.25"/>
    <row r="5773" ht="13.2" x14ac:dyDescent="0.25"/>
    <row r="5774" ht="13.2" x14ac:dyDescent="0.25"/>
    <row r="5775" ht="13.2" x14ac:dyDescent="0.25"/>
    <row r="5776" ht="13.2" x14ac:dyDescent="0.25"/>
    <row r="5777" ht="13.2" x14ac:dyDescent="0.25"/>
    <row r="5778" ht="13.2" x14ac:dyDescent="0.25"/>
    <row r="5779" ht="13.2" x14ac:dyDescent="0.25"/>
    <row r="5780" ht="13.2" x14ac:dyDescent="0.25"/>
    <row r="5781" ht="13.2" x14ac:dyDescent="0.25"/>
    <row r="5782" ht="13.2" x14ac:dyDescent="0.25"/>
    <row r="5783" ht="13.2" x14ac:dyDescent="0.25"/>
    <row r="5784" ht="13.2" x14ac:dyDescent="0.25"/>
    <row r="5785" ht="13.2" x14ac:dyDescent="0.25"/>
    <row r="5786" ht="13.2" x14ac:dyDescent="0.25"/>
    <row r="5787" ht="13.2" x14ac:dyDescent="0.25"/>
    <row r="5788" ht="13.2" x14ac:dyDescent="0.25"/>
    <row r="5789" ht="13.2" x14ac:dyDescent="0.25"/>
    <row r="5790" ht="13.2" x14ac:dyDescent="0.25"/>
    <row r="5791" ht="13.2" x14ac:dyDescent="0.25"/>
    <row r="5792" ht="13.2" x14ac:dyDescent="0.25"/>
    <row r="5793" ht="13.2" x14ac:dyDescent="0.25"/>
    <row r="5794" ht="13.2" x14ac:dyDescent="0.25"/>
    <row r="5795" ht="13.2" x14ac:dyDescent="0.25"/>
    <row r="5796" ht="13.2" x14ac:dyDescent="0.25"/>
    <row r="5797" ht="13.2" x14ac:dyDescent="0.25"/>
    <row r="5798" ht="13.2" x14ac:dyDescent="0.25"/>
    <row r="5799" ht="13.2" x14ac:dyDescent="0.25"/>
    <row r="5800" ht="13.2" x14ac:dyDescent="0.25"/>
    <row r="5801" ht="13.2" x14ac:dyDescent="0.25"/>
    <row r="5802" ht="13.2" x14ac:dyDescent="0.25"/>
    <row r="5803" ht="13.2" x14ac:dyDescent="0.25"/>
    <row r="5804" ht="13.2" x14ac:dyDescent="0.25"/>
    <row r="5805" ht="13.2" x14ac:dyDescent="0.25"/>
    <row r="5806" ht="13.2" x14ac:dyDescent="0.25"/>
    <row r="5807" ht="13.2" x14ac:dyDescent="0.25"/>
    <row r="5808" ht="13.2" x14ac:dyDescent="0.25"/>
    <row r="5809" ht="13.2" x14ac:dyDescent="0.25"/>
    <row r="5810" ht="13.2" x14ac:dyDescent="0.25"/>
    <row r="5811" ht="13.2" x14ac:dyDescent="0.25"/>
    <row r="5812" ht="13.2" x14ac:dyDescent="0.25"/>
    <row r="5813" ht="13.2" x14ac:dyDescent="0.25"/>
    <row r="5814" ht="13.2" x14ac:dyDescent="0.25"/>
    <row r="5815" ht="13.2" x14ac:dyDescent="0.25"/>
    <row r="5816" ht="13.2" x14ac:dyDescent="0.25"/>
    <row r="5817" ht="13.2" x14ac:dyDescent="0.25"/>
    <row r="5818" ht="13.2" x14ac:dyDescent="0.25"/>
    <row r="5819" ht="13.2" x14ac:dyDescent="0.25"/>
    <row r="5820" ht="13.2" x14ac:dyDescent="0.25"/>
    <row r="5821" ht="13.2" x14ac:dyDescent="0.25"/>
    <row r="5822" ht="13.2" x14ac:dyDescent="0.25"/>
    <row r="5823" ht="13.2" x14ac:dyDescent="0.25"/>
    <row r="5824" ht="13.2" x14ac:dyDescent="0.25"/>
    <row r="5825" ht="13.2" x14ac:dyDescent="0.25"/>
    <row r="5826" ht="13.2" x14ac:dyDescent="0.25"/>
    <row r="5827" ht="13.2" x14ac:dyDescent="0.25"/>
    <row r="5828" ht="13.2" x14ac:dyDescent="0.25"/>
    <row r="5829" ht="13.2" x14ac:dyDescent="0.25"/>
    <row r="5830" ht="13.2" x14ac:dyDescent="0.25"/>
    <row r="5831" ht="13.2" x14ac:dyDescent="0.25"/>
    <row r="5832" ht="13.2" x14ac:dyDescent="0.25"/>
    <row r="5833" ht="13.2" x14ac:dyDescent="0.25"/>
    <row r="5834" ht="13.2" x14ac:dyDescent="0.25"/>
    <row r="5835" ht="13.2" x14ac:dyDescent="0.25"/>
    <row r="5836" ht="13.2" x14ac:dyDescent="0.25"/>
    <row r="5837" ht="13.2" x14ac:dyDescent="0.25"/>
    <row r="5838" ht="13.2" x14ac:dyDescent="0.25"/>
    <row r="5839" ht="13.2" x14ac:dyDescent="0.25"/>
    <row r="5840" ht="13.2" x14ac:dyDescent="0.25"/>
    <row r="5841" ht="13.2" x14ac:dyDescent="0.25"/>
    <row r="5842" ht="13.2" x14ac:dyDescent="0.25"/>
    <row r="5843" ht="13.2" x14ac:dyDescent="0.25"/>
    <row r="5844" ht="13.2" x14ac:dyDescent="0.25"/>
    <row r="5845" ht="13.2" x14ac:dyDescent="0.25"/>
    <row r="5846" ht="13.2" x14ac:dyDescent="0.25"/>
    <row r="5847" ht="13.2" x14ac:dyDescent="0.25"/>
    <row r="5848" ht="13.2" x14ac:dyDescent="0.25"/>
    <row r="5849" ht="13.2" x14ac:dyDescent="0.25"/>
    <row r="5850" ht="13.2" x14ac:dyDescent="0.25"/>
    <row r="5851" ht="13.2" x14ac:dyDescent="0.25"/>
    <row r="5852" ht="13.2" x14ac:dyDescent="0.25"/>
    <row r="5853" ht="13.2" x14ac:dyDescent="0.25"/>
    <row r="5854" ht="13.2" x14ac:dyDescent="0.25"/>
    <row r="5855" ht="13.2" x14ac:dyDescent="0.25"/>
    <row r="5856" ht="13.2" x14ac:dyDescent="0.25"/>
    <row r="5857" ht="13.2" x14ac:dyDescent="0.25"/>
    <row r="5858" ht="13.2" x14ac:dyDescent="0.25"/>
    <row r="5859" ht="13.2" x14ac:dyDescent="0.25"/>
    <row r="5860" ht="13.2" x14ac:dyDescent="0.25"/>
    <row r="5861" ht="13.2" x14ac:dyDescent="0.25"/>
    <row r="5862" ht="13.2" x14ac:dyDescent="0.25"/>
    <row r="5863" ht="13.2" x14ac:dyDescent="0.25"/>
    <row r="5864" ht="13.2" x14ac:dyDescent="0.25"/>
    <row r="5865" ht="13.2" x14ac:dyDescent="0.25"/>
    <row r="5866" ht="13.2" x14ac:dyDescent="0.25"/>
    <row r="5867" ht="13.2" x14ac:dyDescent="0.25"/>
    <row r="5868" ht="13.2" x14ac:dyDescent="0.25"/>
    <row r="5869" ht="13.2" x14ac:dyDescent="0.25"/>
    <row r="5870" ht="13.2" x14ac:dyDescent="0.25"/>
    <row r="5871" ht="13.2" x14ac:dyDescent="0.25"/>
    <row r="5872" ht="13.2" x14ac:dyDescent="0.25"/>
    <row r="5873" ht="13.2" x14ac:dyDescent="0.25"/>
    <row r="5874" ht="13.2" x14ac:dyDescent="0.25"/>
    <row r="5875" ht="13.2" x14ac:dyDescent="0.25"/>
    <row r="5876" ht="13.2" x14ac:dyDescent="0.25"/>
    <row r="5877" ht="13.2" x14ac:dyDescent="0.25"/>
    <row r="5878" ht="13.2" x14ac:dyDescent="0.25"/>
    <row r="5879" ht="13.2" x14ac:dyDescent="0.25"/>
    <row r="5880" ht="13.2" x14ac:dyDescent="0.25"/>
    <row r="5881" ht="13.2" x14ac:dyDescent="0.25"/>
    <row r="5882" ht="13.2" x14ac:dyDescent="0.25"/>
    <row r="5883" ht="13.2" x14ac:dyDescent="0.25"/>
    <row r="5884" ht="13.2" x14ac:dyDescent="0.25"/>
    <row r="5885" ht="13.2" x14ac:dyDescent="0.25"/>
    <row r="5886" ht="13.2" x14ac:dyDescent="0.25"/>
    <row r="5887" ht="13.2" x14ac:dyDescent="0.25"/>
    <row r="5888" ht="13.2" x14ac:dyDescent="0.25"/>
    <row r="5889" ht="13.2" x14ac:dyDescent="0.25"/>
    <row r="5890" ht="13.2" x14ac:dyDescent="0.25"/>
    <row r="5891" ht="13.2" x14ac:dyDescent="0.25"/>
    <row r="5892" ht="13.2" x14ac:dyDescent="0.25"/>
    <row r="5893" ht="13.2" x14ac:dyDescent="0.25"/>
    <row r="5894" ht="13.2" x14ac:dyDescent="0.25"/>
    <row r="5895" ht="13.2" x14ac:dyDescent="0.25"/>
    <row r="5896" ht="13.2" x14ac:dyDescent="0.25"/>
    <row r="5897" ht="13.2" x14ac:dyDescent="0.25"/>
    <row r="5898" ht="13.2" x14ac:dyDescent="0.25"/>
    <row r="5899" ht="13.2" x14ac:dyDescent="0.25"/>
    <row r="5900" ht="13.2" x14ac:dyDescent="0.25"/>
    <row r="5901" ht="13.2" x14ac:dyDescent="0.25"/>
    <row r="5902" ht="13.2" x14ac:dyDescent="0.25"/>
    <row r="5903" ht="13.2" x14ac:dyDescent="0.25"/>
    <row r="5904" ht="13.2" x14ac:dyDescent="0.25"/>
    <row r="5905" ht="13.2" x14ac:dyDescent="0.25"/>
    <row r="5906" ht="13.2" x14ac:dyDescent="0.25"/>
    <row r="5907" ht="13.2" x14ac:dyDescent="0.25"/>
    <row r="5908" ht="13.2" x14ac:dyDescent="0.25"/>
    <row r="5909" ht="13.2" x14ac:dyDescent="0.25"/>
    <row r="5910" ht="13.2" x14ac:dyDescent="0.25"/>
    <row r="5911" ht="13.2" x14ac:dyDescent="0.25"/>
    <row r="5912" ht="13.2" x14ac:dyDescent="0.25"/>
    <row r="5913" ht="13.2" x14ac:dyDescent="0.25"/>
    <row r="5914" ht="13.2" x14ac:dyDescent="0.25"/>
    <row r="5915" ht="13.2" x14ac:dyDescent="0.25"/>
    <row r="5916" ht="13.2" x14ac:dyDescent="0.25"/>
    <row r="5917" ht="13.2" x14ac:dyDescent="0.25"/>
    <row r="5918" ht="13.2" x14ac:dyDescent="0.25"/>
    <row r="5919" ht="13.2" x14ac:dyDescent="0.25"/>
    <row r="5920" ht="13.2" x14ac:dyDescent="0.25"/>
    <row r="5921" ht="13.2" x14ac:dyDescent="0.25"/>
    <row r="5922" ht="13.2" x14ac:dyDescent="0.25"/>
    <row r="5923" ht="13.2" x14ac:dyDescent="0.25"/>
    <row r="5924" ht="13.2" x14ac:dyDescent="0.25"/>
    <row r="5925" ht="13.2" x14ac:dyDescent="0.25"/>
    <row r="5926" ht="13.2" x14ac:dyDescent="0.25"/>
    <row r="5927" ht="13.2" x14ac:dyDescent="0.25"/>
    <row r="5928" ht="13.2" x14ac:dyDescent="0.25"/>
    <row r="5929" ht="13.2" x14ac:dyDescent="0.25"/>
    <row r="5930" ht="13.2" x14ac:dyDescent="0.25"/>
    <row r="5931" ht="13.2" x14ac:dyDescent="0.25"/>
    <row r="5932" ht="13.2" x14ac:dyDescent="0.25"/>
    <row r="5933" ht="13.2" x14ac:dyDescent="0.25"/>
    <row r="5934" ht="13.2" x14ac:dyDescent="0.25"/>
    <row r="5935" ht="13.2" x14ac:dyDescent="0.25"/>
    <row r="5936" ht="13.2" x14ac:dyDescent="0.25"/>
    <row r="5937" ht="13.2" x14ac:dyDescent="0.25"/>
    <row r="5938" ht="13.2" x14ac:dyDescent="0.25"/>
    <row r="5939" ht="13.2" x14ac:dyDescent="0.25"/>
    <row r="5940" ht="13.2" x14ac:dyDescent="0.25"/>
    <row r="5941" ht="13.2" x14ac:dyDescent="0.25"/>
    <row r="5942" ht="13.2" x14ac:dyDescent="0.25"/>
    <row r="5943" ht="13.2" x14ac:dyDescent="0.25"/>
    <row r="5944" ht="13.2" x14ac:dyDescent="0.25"/>
    <row r="5945" ht="13.2" x14ac:dyDescent="0.25"/>
    <row r="5946" ht="13.2" x14ac:dyDescent="0.25"/>
    <row r="5947" ht="13.2" x14ac:dyDescent="0.25"/>
    <row r="5948" ht="13.2" x14ac:dyDescent="0.25"/>
    <row r="5949" ht="13.2" x14ac:dyDescent="0.25"/>
    <row r="5950" ht="13.2" x14ac:dyDescent="0.25"/>
    <row r="5951" ht="13.2" x14ac:dyDescent="0.25"/>
    <row r="5952" ht="13.2" x14ac:dyDescent="0.25"/>
    <row r="5953" ht="13.2" x14ac:dyDescent="0.25"/>
    <row r="5954" ht="13.2" x14ac:dyDescent="0.25"/>
    <row r="5955" ht="13.2" x14ac:dyDescent="0.25"/>
    <row r="5956" ht="13.2" x14ac:dyDescent="0.25"/>
    <row r="5957" ht="13.2" x14ac:dyDescent="0.25"/>
    <row r="5958" ht="13.2" x14ac:dyDescent="0.25"/>
    <row r="5959" ht="13.2" x14ac:dyDescent="0.25"/>
    <row r="5960" ht="13.2" x14ac:dyDescent="0.25"/>
    <row r="5961" ht="13.2" x14ac:dyDescent="0.25"/>
    <row r="5962" ht="13.2" x14ac:dyDescent="0.25"/>
    <row r="5963" ht="13.2" x14ac:dyDescent="0.25"/>
    <row r="5964" ht="13.2" x14ac:dyDescent="0.25"/>
    <row r="5965" ht="13.2" x14ac:dyDescent="0.25"/>
    <row r="5966" ht="13.2" x14ac:dyDescent="0.25"/>
    <row r="5967" ht="13.2" x14ac:dyDescent="0.25"/>
    <row r="5968" ht="13.2" x14ac:dyDescent="0.25"/>
    <row r="5969" ht="13.2" x14ac:dyDescent="0.25"/>
    <row r="5970" ht="13.2" x14ac:dyDescent="0.25"/>
    <row r="5971" ht="13.2" x14ac:dyDescent="0.25"/>
    <row r="5972" ht="13.2" x14ac:dyDescent="0.25"/>
    <row r="5973" ht="13.2" x14ac:dyDescent="0.25"/>
    <row r="5974" ht="13.2" x14ac:dyDescent="0.25"/>
    <row r="5975" ht="13.2" x14ac:dyDescent="0.25"/>
    <row r="5976" ht="13.2" x14ac:dyDescent="0.25"/>
    <row r="5977" ht="13.2" x14ac:dyDescent="0.25"/>
    <row r="5978" ht="13.2" x14ac:dyDescent="0.25"/>
    <row r="5979" ht="13.2" x14ac:dyDescent="0.25"/>
    <row r="5980" ht="13.2" x14ac:dyDescent="0.25"/>
    <row r="5981" ht="13.2" x14ac:dyDescent="0.25"/>
    <row r="5982" ht="13.2" x14ac:dyDescent="0.25"/>
    <row r="5983" ht="13.2" x14ac:dyDescent="0.25"/>
    <row r="5984" ht="13.2" x14ac:dyDescent="0.25"/>
    <row r="5985" ht="13.2" x14ac:dyDescent="0.25"/>
    <row r="5986" ht="13.2" x14ac:dyDescent="0.25"/>
    <row r="5987" ht="13.2" x14ac:dyDescent="0.25"/>
    <row r="5988" ht="13.2" x14ac:dyDescent="0.25"/>
    <row r="5989" ht="13.2" x14ac:dyDescent="0.25"/>
    <row r="5990" ht="13.2" x14ac:dyDescent="0.25"/>
    <row r="5991" ht="13.2" x14ac:dyDescent="0.25"/>
    <row r="5992" ht="13.2" x14ac:dyDescent="0.25"/>
    <row r="5993" ht="13.2" x14ac:dyDescent="0.25"/>
    <row r="5994" ht="13.2" x14ac:dyDescent="0.25"/>
    <row r="5995" ht="13.2" x14ac:dyDescent="0.25"/>
    <row r="5996" ht="13.2" x14ac:dyDescent="0.25"/>
    <row r="5997" ht="13.2" x14ac:dyDescent="0.25"/>
    <row r="5998" ht="13.2" x14ac:dyDescent="0.25"/>
  </sheetData>
  <conditionalFormatting sqref="A2:AP5998">
    <cfRule type="expression" dxfId="6" priority="4">
      <formula>#REF!</formula>
    </cfRule>
  </conditionalFormatting>
  <conditionalFormatting sqref="C2:C127">
    <cfRule type="duplicateValues" dxfId="5" priority="10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CA6000"/>
  <sheetViews>
    <sheetView workbookViewId="0">
      <selection activeCell="E23" sqref="E23"/>
    </sheetView>
  </sheetViews>
  <sheetFormatPr defaultColWidth="12.5546875" defaultRowHeight="15.75" customHeight="1" x14ac:dyDescent="0.25"/>
  <cols>
    <col min="1" max="1" width="6.88671875" customWidth="1"/>
    <col min="2" max="2" width="15.44140625" customWidth="1"/>
    <col min="3" max="3" width="24" customWidth="1"/>
    <col min="4" max="4" width="33.44140625" customWidth="1"/>
  </cols>
  <sheetData>
    <row r="1" spans="1:79" ht="15.75" customHeight="1" x14ac:dyDescent="0.25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  <c r="R1" s="3" t="s">
        <v>18</v>
      </c>
      <c r="S1" s="3" t="s">
        <v>19</v>
      </c>
      <c r="T1" s="3" t="s">
        <v>20</v>
      </c>
      <c r="U1" s="3" t="s">
        <v>21</v>
      </c>
      <c r="V1" s="3" t="s">
        <v>22</v>
      </c>
      <c r="W1" s="3" t="s">
        <v>23</v>
      </c>
      <c r="X1" s="3" t="s">
        <v>24</v>
      </c>
      <c r="Y1" s="3" t="s">
        <v>4</v>
      </c>
      <c r="Z1" s="3" t="s">
        <v>5</v>
      </c>
      <c r="AA1" s="3" t="s">
        <v>6</v>
      </c>
      <c r="AB1" s="3" t="s">
        <v>7</v>
      </c>
      <c r="AC1" s="3" t="s">
        <v>8</v>
      </c>
      <c r="AD1" s="3" t="s">
        <v>9</v>
      </c>
      <c r="AE1" s="3" t="s">
        <v>10</v>
      </c>
      <c r="AF1" s="3" t="s">
        <v>11</v>
      </c>
      <c r="AG1" s="3" t="s">
        <v>12</v>
      </c>
      <c r="AH1" s="3" t="s">
        <v>13</v>
      </c>
      <c r="AI1" s="3" t="s">
        <v>14</v>
      </c>
      <c r="AJ1" s="3" t="s">
        <v>15</v>
      </c>
      <c r="AK1" s="3" t="s">
        <v>16</v>
      </c>
      <c r="AL1" s="3" t="s">
        <v>17</v>
      </c>
      <c r="AM1" s="3" t="s">
        <v>18</v>
      </c>
      <c r="AN1" s="3" t="s">
        <v>19</v>
      </c>
      <c r="AO1" s="3" t="s">
        <v>20</v>
      </c>
      <c r="AP1" s="3" t="s">
        <v>21</v>
      </c>
      <c r="AQ1" s="3" t="s">
        <v>22</v>
      </c>
      <c r="AR1" s="3" t="s">
        <v>23</v>
      </c>
      <c r="AS1" s="3" t="s">
        <v>24</v>
      </c>
      <c r="AT1" s="3"/>
      <c r="AU1" s="3"/>
      <c r="AV1" s="3"/>
      <c r="AW1" s="3"/>
      <c r="AX1" s="3"/>
      <c r="AY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</row>
    <row r="2" spans="1:79" ht="15.75" customHeight="1" x14ac:dyDescent="0.25">
      <c r="A2" s="8" t="s">
        <v>3698</v>
      </c>
      <c r="B2" s="3" t="s">
        <v>365</v>
      </c>
      <c r="C2" s="3" t="s">
        <v>366</v>
      </c>
      <c r="D2" s="3" t="s">
        <v>367</v>
      </c>
      <c r="E2" s="3" t="s">
        <v>368</v>
      </c>
      <c r="F2" s="3" t="s">
        <v>3699</v>
      </c>
      <c r="G2" s="3" t="s">
        <v>74</v>
      </c>
      <c r="H2" s="3" t="s">
        <v>3700</v>
      </c>
      <c r="I2" s="3" t="s">
        <v>3701</v>
      </c>
      <c r="J2" s="3" t="s">
        <v>369</v>
      </c>
      <c r="K2" s="3" t="s">
        <v>43</v>
      </c>
      <c r="L2" s="3" t="s">
        <v>76</v>
      </c>
      <c r="M2" s="3" t="s">
        <v>285</v>
      </c>
      <c r="N2" s="3" t="s">
        <v>370</v>
      </c>
      <c r="O2" s="3" t="s">
        <v>371</v>
      </c>
      <c r="P2" s="3" t="s">
        <v>3702</v>
      </c>
      <c r="Q2" s="3" t="s">
        <v>3703</v>
      </c>
      <c r="R2" s="3" t="s">
        <v>3703</v>
      </c>
      <c r="S2" s="3" t="s">
        <v>3703</v>
      </c>
      <c r="T2" s="3" t="s">
        <v>3703</v>
      </c>
      <c r="U2" s="3" t="s">
        <v>3704</v>
      </c>
      <c r="V2" s="3" t="s">
        <v>3705</v>
      </c>
      <c r="W2" s="3" t="s">
        <v>115</v>
      </c>
      <c r="X2" s="3" t="s">
        <v>3706</v>
      </c>
      <c r="Y2" s="3" t="s">
        <v>3703</v>
      </c>
      <c r="Z2" s="3" t="s">
        <v>3703</v>
      </c>
      <c r="AA2" s="3" t="s">
        <v>3703</v>
      </c>
      <c r="AB2" s="3" t="s">
        <v>3703</v>
      </c>
      <c r="AC2" s="3" t="s">
        <v>3703</v>
      </c>
      <c r="AD2" s="3" t="s">
        <v>3703</v>
      </c>
      <c r="AE2" s="3" t="s">
        <v>3703</v>
      </c>
      <c r="AF2" s="3" t="s">
        <v>3703</v>
      </c>
      <c r="AG2" s="3" t="s">
        <v>3703</v>
      </c>
      <c r="AH2" s="3" t="s">
        <v>3703</v>
      </c>
      <c r="AI2" s="3" t="s">
        <v>3703</v>
      </c>
      <c r="AJ2" s="3" t="s">
        <v>3703</v>
      </c>
      <c r="AK2" s="3" t="s">
        <v>3703</v>
      </c>
      <c r="AL2" s="3" t="s">
        <v>3703</v>
      </c>
      <c r="AM2" s="3" t="s">
        <v>3703</v>
      </c>
      <c r="AN2" s="3" t="s">
        <v>3703</v>
      </c>
      <c r="AO2" s="3" t="s">
        <v>3703</v>
      </c>
      <c r="AP2" s="3" t="s">
        <v>3703</v>
      </c>
      <c r="AQ2" s="3" t="s">
        <v>3703</v>
      </c>
      <c r="AR2" s="3" t="s">
        <v>3703</v>
      </c>
      <c r="AS2" s="3" t="s">
        <v>3703</v>
      </c>
    </row>
    <row r="3" spans="1:79" ht="15.75" customHeight="1" x14ac:dyDescent="0.25">
      <c r="A3" s="8" t="s">
        <v>3698</v>
      </c>
      <c r="B3" s="3" t="s">
        <v>421</v>
      </c>
      <c r="C3" s="3" t="s">
        <v>366</v>
      </c>
      <c r="D3" s="3" t="s">
        <v>422</v>
      </c>
      <c r="E3" s="3" t="s">
        <v>423</v>
      </c>
      <c r="F3" s="3" t="s">
        <v>3707</v>
      </c>
      <c r="G3" s="3" t="s">
        <v>198</v>
      </c>
      <c r="H3" s="3" t="s">
        <v>3708</v>
      </c>
      <c r="I3" s="3" t="s">
        <v>3709</v>
      </c>
      <c r="J3" s="3" t="s">
        <v>424</v>
      </c>
      <c r="K3" s="3" t="s">
        <v>43</v>
      </c>
      <c r="L3" s="3" t="s">
        <v>31</v>
      </c>
      <c r="M3" s="3" t="s">
        <v>142</v>
      </c>
      <c r="N3" s="3" t="s">
        <v>92</v>
      </c>
      <c r="O3" s="3" t="s">
        <v>425</v>
      </c>
      <c r="P3" s="3" t="s">
        <v>3710</v>
      </c>
      <c r="Q3" s="3" t="s">
        <v>3703</v>
      </c>
      <c r="R3" s="3" t="s">
        <v>3703</v>
      </c>
      <c r="S3" s="3" t="s">
        <v>3703</v>
      </c>
      <c r="T3" s="3" t="s">
        <v>3703</v>
      </c>
      <c r="U3" s="3" t="s">
        <v>426</v>
      </c>
      <c r="V3" s="3" t="s">
        <v>3703</v>
      </c>
      <c r="W3" s="3" t="s">
        <v>140</v>
      </c>
      <c r="X3" s="3" t="s">
        <v>427</v>
      </c>
      <c r="Y3" s="3" t="s">
        <v>3703</v>
      </c>
      <c r="Z3" s="3" t="s">
        <v>3703</v>
      </c>
      <c r="AA3" s="3" t="s">
        <v>3703</v>
      </c>
      <c r="AB3" s="3" t="s">
        <v>3703</v>
      </c>
      <c r="AC3" s="3" t="s">
        <v>3703</v>
      </c>
      <c r="AD3" s="3" t="s">
        <v>3703</v>
      </c>
      <c r="AE3" s="3" t="s">
        <v>3703</v>
      </c>
      <c r="AF3" s="3" t="s">
        <v>3703</v>
      </c>
      <c r="AG3" s="3" t="s">
        <v>3703</v>
      </c>
      <c r="AH3" s="3" t="s">
        <v>3703</v>
      </c>
      <c r="AI3" s="3" t="s">
        <v>3703</v>
      </c>
      <c r="AJ3" s="3" t="s">
        <v>3703</v>
      </c>
      <c r="AK3" s="3" t="s">
        <v>3703</v>
      </c>
      <c r="AL3" s="3" t="s">
        <v>3703</v>
      </c>
      <c r="AM3" s="3" t="s">
        <v>3703</v>
      </c>
      <c r="AN3" s="3" t="s">
        <v>3703</v>
      </c>
      <c r="AO3" s="3" t="s">
        <v>3703</v>
      </c>
      <c r="AP3" s="3" t="s">
        <v>3703</v>
      </c>
      <c r="AQ3" s="3" t="s">
        <v>3703</v>
      </c>
      <c r="AR3" s="3" t="s">
        <v>3703</v>
      </c>
      <c r="AS3" s="3" t="s">
        <v>3703</v>
      </c>
    </row>
    <row r="4" spans="1:79" ht="15.75" customHeight="1" x14ac:dyDescent="0.25">
      <c r="A4" s="8" t="s">
        <v>3711</v>
      </c>
      <c r="B4" s="3" t="s">
        <v>462</v>
      </c>
      <c r="C4" s="3" t="s">
        <v>366</v>
      </c>
      <c r="D4" s="3" t="s">
        <v>463</v>
      </c>
      <c r="E4" s="3" t="s">
        <v>464</v>
      </c>
      <c r="F4" s="3" t="s">
        <v>3712</v>
      </c>
      <c r="G4" s="3" t="s">
        <v>42</v>
      </c>
      <c r="H4" s="3" t="s">
        <v>3713</v>
      </c>
      <c r="I4" s="3" t="s">
        <v>3714</v>
      </c>
      <c r="J4" s="3" t="s">
        <v>462</v>
      </c>
      <c r="K4" s="3" t="s">
        <v>43</v>
      </c>
      <c r="L4" s="3" t="s">
        <v>31</v>
      </c>
      <c r="M4" s="3" t="s">
        <v>240</v>
      </c>
      <c r="N4" s="3" t="s">
        <v>45</v>
      </c>
      <c r="O4" s="3" t="s">
        <v>465</v>
      </c>
      <c r="P4" s="3" t="s">
        <v>3715</v>
      </c>
      <c r="Q4" s="3" t="s">
        <v>3703</v>
      </c>
      <c r="R4" s="3" t="s">
        <v>3703</v>
      </c>
      <c r="S4" s="3" t="s">
        <v>3703</v>
      </c>
      <c r="T4" s="3" t="s">
        <v>3703</v>
      </c>
      <c r="U4" s="3" t="s">
        <v>3716</v>
      </c>
      <c r="V4" s="3" t="s">
        <v>3703</v>
      </c>
      <c r="W4" s="3" t="s">
        <v>466</v>
      </c>
      <c r="X4" s="3" t="s">
        <v>3713</v>
      </c>
      <c r="Y4" s="3" t="s">
        <v>3703</v>
      </c>
      <c r="Z4" s="3" t="s">
        <v>3703</v>
      </c>
      <c r="AA4" s="3" t="s">
        <v>3703</v>
      </c>
      <c r="AB4" s="3" t="s">
        <v>3703</v>
      </c>
      <c r="AC4" s="3" t="s">
        <v>3703</v>
      </c>
      <c r="AD4" s="3" t="s">
        <v>3703</v>
      </c>
      <c r="AE4" s="3" t="s">
        <v>3703</v>
      </c>
      <c r="AF4" s="3" t="s">
        <v>3703</v>
      </c>
      <c r="AG4" s="3" t="s">
        <v>3703</v>
      </c>
      <c r="AH4" s="3" t="s">
        <v>3703</v>
      </c>
      <c r="AI4" s="3" t="s">
        <v>3703</v>
      </c>
      <c r="AJ4" s="3" t="s">
        <v>3703</v>
      </c>
      <c r="AK4" s="3" t="s">
        <v>3703</v>
      </c>
      <c r="AL4" s="3" t="s">
        <v>3703</v>
      </c>
      <c r="AM4" s="3" t="s">
        <v>3703</v>
      </c>
      <c r="AN4" s="3" t="s">
        <v>3703</v>
      </c>
      <c r="AO4" s="3" t="s">
        <v>3703</v>
      </c>
      <c r="AP4" s="3" t="s">
        <v>3703</v>
      </c>
      <c r="AQ4" s="3" t="s">
        <v>3703</v>
      </c>
      <c r="AR4" s="3" t="s">
        <v>3703</v>
      </c>
      <c r="AS4" s="3" t="s">
        <v>3703</v>
      </c>
    </row>
    <row r="5" spans="1:79" ht="15.75" customHeight="1" x14ac:dyDescent="0.25">
      <c r="A5" s="8" t="s">
        <v>3698</v>
      </c>
      <c r="B5" s="3" t="s">
        <v>1621</v>
      </c>
      <c r="C5" s="3" t="s">
        <v>366</v>
      </c>
      <c r="D5" s="3" t="s">
        <v>1199</v>
      </c>
      <c r="E5" s="3" t="s">
        <v>1622</v>
      </c>
      <c r="F5" s="3" t="s">
        <v>3717</v>
      </c>
      <c r="G5" s="3" t="s">
        <v>1275</v>
      </c>
      <c r="H5" s="3" t="s">
        <v>3718</v>
      </c>
      <c r="I5" s="3" t="s">
        <v>3719</v>
      </c>
      <c r="J5" s="3" t="s">
        <v>1621</v>
      </c>
      <c r="K5" s="3" t="s">
        <v>43</v>
      </c>
      <c r="L5" s="3" t="s">
        <v>1623</v>
      </c>
      <c r="M5" s="3" t="s">
        <v>240</v>
      </c>
      <c r="N5" s="3" t="s">
        <v>1624</v>
      </c>
      <c r="O5" s="3" t="s">
        <v>1625</v>
      </c>
      <c r="P5" s="3" t="s">
        <v>3720</v>
      </c>
      <c r="Q5" s="3" t="s">
        <v>1626</v>
      </c>
      <c r="R5" s="3" t="s">
        <v>1626</v>
      </c>
      <c r="S5" s="3" t="s">
        <v>1626</v>
      </c>
      <c r="T5" s="3" t="s">
        <v>1626</v>
      </c>
      <c r="U5" s="3" t="s">
        <v>1626</v>
      </c>
      <c r="V5" s="3" t="s">
        <v>1626</v>
      </c>
      <c r="W5" s="3" t="s">
        <v>1627</v>
      </c>
      <c r="X5" s="3" t="s">
        <v>1626</v>
      </c>
      <c r="Y5" s="3" t="s">
        <v>3703</v>
      </c>
      <c r="Z5" s="3" t="s">
        <v>3703</v>
      </c>
      <c r="AA5" s="3" t="s">
        <v>3703</v>
      </c>
      <c r="AB5" s="3" t="s">
        <v>3703</v>
      </c>
      <c r="AC5" s="3" t="s">
        <v>3703</v>
      </c>
      <c r="AD5" s="3" t="s">
        <v>3703</v>
      </c>
      <c r="AE5" s="3" t="s">
        <v>3703</v>
      </c>
      <c r="AF5" s="3" t="s">
        <v>3703</v>
      </c>
      <c r="AG5" s="3" t="s">
        <v>3703</v>
      </c>
      <c r="AH5" s="3" t="s">
        <v>3703</v>
      </c>
      <c r="AI5" s="3" t="s">
        <v>3703</v>
      </c>
      <c r="AJ5" s="3" t="s">
        <v>3703</v>
      </c>
      <c r="AK5" s="3" t="s">
        <v>3703</v>
      </c>
      <c r="AL5" s="3" t="s">
        <v>3703</v>
      </c>
      <c r="AM5" s="3" t="s">
        <v>3703</v>
      </c>
      <c r="AN5" s="3" t="s">
        <v>3703</v>
      </c>
      <c r="AO5" s="3" t="s">
        <v>3703</v>
      </c>
      <c r="AP5" s="3" t="s">
        <v>3703</v>
      </c>
      <c r="AQ5" s="3" t="s">
        <v>3703</v>
      </c>
      <c r="AR5" s="3" t="s">
        <v>3703</v>
      </c>
      <c r="AS5" s="3" t="s">
        <v>3703</v>
      </c>
    </row>
    <row r="6" spans="1:79" ht="15.75" customHeight="1" x14ac:dyDescent="0.25">
      <c r="A6" s="8" t="s">
        <v>3698</v>
      </c>
      <c r="B6" s="3" t="s">
        <v>1634</v>
      </c>
      <c r="C6" s="3" t="s">
        <v>366</v>
      </c>
      <c r="D6" s="3" t="s">
        <v>1635</v>
      </c>
      <c r="E6" s="3" t="s">
        <v>1636</v>
      </c>
      <c r="F6" s="3" t="s">
        <v>3721</v>
      </c>
      <c r="G6" s="3" t="s">
        <v>198</v>
      </c>
      <c r="H6" s="3" t="s">
        <v>3722</v>
      </c>
      <c r="I6" s="3" t="s">
        <v>3723</v>
      </c>
      <c r="J6" s="3" t="s">
        <v>1634</v>
      </c>
      <c r="K6" s="3" t="s">
        <v>43</v>
      </c>
      <c r="L6" s="3" t="s">
        <v>31</v>
      </c>
      <c r="M6" s="3" t="s">
        <v>92</v>
      </c>
      <c r="N6" s="3" t="s">
        <v>92</v>
      </c>
      <c r="O6" s="3" t="s">
        <v>1637</v>
      </c>
      <c r="P6" s="3" t="s">
        <v>3724</v>
      </c>
      <c r="Q6" s="3" t="s">
        <v>1638</v>
      </c>
      <c r="R6" s="3" t="s">
        <v>1639</v>
      </c>
      <c r="S6" s="3" t="s">
        <v>1634</v>
      </c>
      <c r="T6" s="3" t="s">
        <v>1640</v>
      </c>
      <c r="U6" s="3" t="s">
        <v>1640</v>
      </c>
      <c r="V6" s="3" t="s">
        <v>1641</v>
      </c>
      <c r="W6" s="3" t="s">
        <v>1642</v>
      </c>
      <c r="X6" s="3" t="s">
        <v>3722</v>
      </c>
      <c r="Y6" s="3" t="s">
        <v>3703</v>
      </c>
      <c r="Z6" s="3" t="s">
        <v>3703</v>
      </c>
      <c r="AA6" s="3" t="s">
        <v>3703</v>
      </c>
      <c r="AB6" s="3" t="s">
        <v>3703</v>
      </c>
      <c r="AC6" s="3" t="s">
        <v>3703</v>
      </c>
      <c r="AD6" s="3" t="s">
        <v>3703</v>
      </c>
      <c r="AE6" s="3" t="s">
        <v>3703</v>
      </c>
      <c r="AF6" s="3" t="s">
        <v>3703</v>
      </c>
      <c r="AG6" s="3" t="s">
        <v>3703</v>
      </c>
      <c r="AH6" s="3" t="s">
        <v>3703</v>
      </c>
      <c r="AI6" s="3" t="s">
        <v>3703</v>
      </c>
      <c r="AJ6" s="3" t="s">
        <v>3703</v>
      </c>
      <c r="AK6" s="3" t="s">
        <v>3703</v>
      </c>
      <c r="AL6" s="3" t="s">
        <v>3703</v>
      </c>
      <c r="AM6" s="3" t="s">
        <v>3703</v>
      </c>
      <c r="AN6" s="3" t="s">
        <v>3703</v>
      </c>
      <c r="AO6" s="3" t="s">
        <v>3703</v>
      </c>
      <c r="AP6" s="3" t="s">
        <v>3703</v>
      </c>
      <c r="AQ6" s="3" t="s">
        <v>3703</v>
      </c>
      <c r="AR6" s="3" t="s">
        <v>3703</v>
      </c>
      <c r="AS6" s="3" t="s">
        <v>3703</v>
      </c>
    </row>
    <row r="7" spans="1:79" ht="15.75" customHeight="1" x14ac:dyDescent="0.25">
      <c r="A7" s="8" t="s">
        <v>3711</v>
      </c>
      <c r="B7" s="3" t="s">
        <v>2001</v>
      </c>
      <c r="C7" s="3" t="s">
        <v>366</v>
      </c>
      <c r="D7" s="3" t="s">
        <v>2013</v>
      </c>
      <c r="E7" s="3" t="s">
        <v>2003</v>
      </c>
      <c r="F7" s="3" t="s">
        <v>3725</v>
      </c>
      <c r="G7" s="3" t="s">
        <v>470</v>
      </c>
      <c r="H7" s="3" t="s">
        <v>3726</v>
      </c>
      <c r="I7" s="3" t="s">
        <v>3727</v>
      </c>
      <c r="J7" s="3" t="s">
        <v>2014</v>
      </c>
      <c r="K7" s="3" t="s">
        <v>43</v>
      </c>
      <c r="L7" s="3" t="s">
        <v>311</v>
      </c>
      <c r="M7" s="3" t="s">
        <v>384</v>
      </c>
      <c r="N7" s="3" t="s">
        <v>312</v>
      </c>
      <c r="O7" s="3" t="s">
        <v>2005</v>
      </c>
      <c r="P7" s="3" t="s">
        <v>3728</v>
      </c>
      <c r="Q7" s="3" t="s">
        <v>2010</v>
      </c>
      <c r="R7" s="3" t="s">
        <v>2003</v>
      </c>
      <c r="S7" s="3" t="s">
        <v>2001</v>
      </c>
      <c r="T7" s="3" t="s">
        <v>3729</v>
      </c>
      <c r="U7" s="3" t="s">
        <v>3729</v>
      </c>
      <c r="V7" s="3" t="s">
        <v>3703</v>
      </c>
      <c r="W7" s="3" t="s">
        <v>2011</v>
      </c>
      <c r="X7" s="3" t="s">
        <v>2015</v>
      </c>
      <c r="Y7" s="3" t="s">
        <v>3703</v>
      </c>
      <c r="Z7" s="3" t="s">
        <v>3703</v>
      </c>
      <c r="AA7" s="3" t="s">
        <v>3703</v>
      </c>
      <c r="AB7" s="3" t="s">
        <v>3703</v>
      </c>
      <c r="AC7" s="3" t="s">
        <v>3703</v>
      </c>
      <c r="AD7" s="3" t="s">
        <v>3703</v>
      </c>
      <c r="AE7" s="3" t="s">
        <v>3703</v>
      </c>
      <c r="AF7" s="3" t="s">
        <v>3703</v>
      </c>
      <c r="AG7" s="3" t="s">
        <v>3703</v>
      </c>
      <c r="AH7" s="3" t="s">
        <v>3703</v>
      </c>
      <c r="AI7" s="3" t="s">
        <v>3703</v>
      </c>
      <c r="AJ7" s="3" t="s">
        <v>3703</v>
      </c>
      <c r="AK7" s="3" t="s">
        <v>3703</v>
      </c>
      <c r="AL7" s="3" t="s">
        <v>3703</v>
      </c>
      <c r="AM7" s="3" t="s">
        <v>3703</v>
      </c>
      <c r="AN7" s="3" t="s">
        <v>3703</v>
      </c>
      <c r="AO7" s="3" t="s">
        <v>3703</v>
      </c>
      <c r="AP7" s="3" t="s">
        <v>3703</v>
      </c>
      <c r="AQ7" s="3" t="s">
        <v>3703</v>
      </c>
      <c r="AR7" s="3" t="s">
        <v>3703</v>
      </c>
      <c r="AS7" s="3" t="s">
        <v>3703</v>
      </c>
    </row>
    <row r="8" spans="1:79" ht="15.75" customHeight="1" x14ac:dyDescent="0.25">
      <c r="A8" s="8" t="s">
        <v>3711</v>
      </c>
      <c r="B8" s="3" t="s">
        <v>2198</v>
      </c>
      <c r="C8" s="3" t="s">
        <v>366</v>
      </c>
      <c r="D8" s="3" t="s">
        <v>288</v>
      </c>
      <c r="E8" s="3" t="s">
        <v>2199</v>
      </c>
      <c r="F8" s="3" t="s">
        <v>3730</v>
      </c>
      <c r="G8" s="3" t="s">
        <v>74</v>
      </c>
      <c r="H8" s="3" t="s">
        <v>3731</v>
      </c>
      <c r="I8" s="3" t="s">
        <v>3732</v>
      </c>
      <c r="J8" s="3" t="s">
        <v>2200</v>
      </c>
      <c r="K8" s="3" t="s">
        <v>43</v>
      </c>
      <c r="L8" s="3" t="s">
        <v>31</v>
      </c>
      <c r="M8" s="3" t="s">
        <v>285</v>
      </c>
      <c r="N8" s="3" t="s">
        <v>111</v>
      </c>
      <c r="O8" s="3" t="s">
        <v>2201</v>
      </c>
      <c r="P8" s="3" t="s">
        <v>3733</v>
      </c>
      <c r="Q8" s="3" t="s">
        <v>2202</v>
      </c>
      <c r="R8" s="3" t="s">
        <v>2203</v>
      </c>
      <c r="S8" s="3" t="s">
        <v>2204</v>
      </c>
      <c r="T8" s="3" t="s">
        <v>3734</v>
      </c>
      <c r="U8" s="3" t="s">
        <v>3734</v>
      </c>
      <c r="V8" s="3" t="s">
        <v>3703</v>
      </c>
      <c r="W8" s="3" t="s">
        <v>2205</v>
      </c>
      <c r="X8" s="3" t="s">
        <v>3735</v>
      </c>
      <c r="Y8" s="3" t="s">
        <v>3703</v>
      </c>
      <c r="Z8" s="3" t="s">
        <v>3703</v>
      </c>
      <c r="AA8" s="3" t="s">
        <v>3703</v>
      </c>
      <c r="AB8" s="3" t="s">
        <v>3703</v>
      </c>
      <c r="AC8" s="3" t="s">
        <v>3703</v>
      </c>
      <c r="AD8" s="3" t="s">
        <v>3703</v>
      </c>
      <c r="AE8" s="3" t="s">
        <v>3703</v>
      </c>
      <c r="AF8" s="3" t="s">
        <v>3703</v>
      </c>
      <c r="AG8" s="3" t="s">
        <v>3703</v>
      </c>
      <c r="AH8" s="3" t="s">
        <v>3703</v>
      </c>
      <c r="AI8" s="3" t="s">
        <v>3703</v>
      </c>
      <c r="AJ8" s="3" t="s">
        <v>3703</v>
      </c>
      <c r="AK8" s="3" t="s">
        <v>3703</v>
      </c>
      <c r="AL8" s="3" t="s">
        <v>3703</v>
      </c>
      <c r="AM8" s="3" t="s">
        <v>3703</v>
      </c>
      <c r="AN8" s="3" t="s">
        <v>3703</v>
      </c>
      <c r="AO8" s="3" t="s">
        <v>3703</v>
      </c>
      <c r="AP8" s="3" t="s">
        <v>3703</v>
      </c>
      <c r="AQ8" s="3" t="s">
        <v>3703</v>
      </c>
      <c r="AR8" s="3" t="s">
        <v>3703</v>
      </c>
      <c r="AS8" s="3" t="s">
        <v>3703</v>
      </c>
    </row>
    <row r="9" spans="1:79" ht="15.75" customHeight="1" x14ac:dyDescent="0.25">
      <c r="A9" s="8" t="s">
        <v>3698</v>
      </c>
      <c r="B9" s="3" t="s">
        <v>2253</v>
      </c>
      <c r="C9" s="3" t="s">
        <v>366</v>
      </c>
      <c r="D9" s="3" t="s">
        <v>704</v>
      </c>
      <c r="E9" s="3" t="s">
        <v>2254</v>
      </c>
      <c r="F9" s="3" t="s">
        <v>3736</v>
      </c>
      <c r="G9" s="3" t="s">
        <v>161</v>
      </c>
      <c r="H9" s="3" t="s">
        <v>3737</v>
      </c>
      <c r="I9" s="3" t="s">
        <v>3738</v>
      </c>
      <c r="J9" s="3" t="s">
        <v>2253</v>
      </c>
      <c r="K9" s="3" t="s">
        <v>43</v>
      </c>
      <c r="L9" s="3" t="s">
        <v>415</v>
      </c>
      <c r="M9" s="3" t="s">
        <v>540</v>
      </c>
      <c r="N9" s="3" t="s">
        <v>229</v>
      </c>
      <c r="O9" s="3" t="s">
        <v>2255</v>
      </c>
      <c r="P9" s="3" t="s">
        <v>3739</v>
      </c>
      <c r="Q9" s="3" t="s">
        <v>3703</v>
      </c>
      <c r="R9" s="3" t="s">
        <v>3703</v>
      </c>
      <c r="S9" s="3" t="s">
        <v>3703</v>
      </c>
      <c r="T9" s="3" t="s">
        <v>3703</v>
      </c>
      <c r="U9" s="3" t="s">
        <v>3740</v>
      </c>
      <c r="V9" s="3" t="s">
        <v>3703</v>
      </c>
      <c r="W9" s="3" t="s">
        <v>115</v>
      </c>
      <c r="X9" s="3" t="s">
        <v>3741</v>
      </c>
      <c r="Y9" s="3" t="s">
        <v>704</v>
      </c>
      <c r="Z9" s="3" t="s">
        <v>2254</v>
      </c>
      <c r="AA9" s="3" t="s">
        <v>3736</v>
      </c>
      <c r="AB9" s="3" t="s">
        <v>161</v>
      </c>
      <c r="AC9" s="3" t="s">
        <v>3737</v>
      </c>
      <c r="AD9" s="3" t="s">
        <v>3738</v>
      </c>
      <c r="AE9" s="3" t="s">
        <v>2253</v>
      </c>
      <c r="AF9" s="3" t="s">
        <v>43</v>
      </c>
      <c r="AG9" s="3" t="s">
        <v>951</v>
      </c>
      <c r="AH9" s="3" t="s">
        <v>405</v>
      </c>
      <c r="AI9" s="3" t="s">
        <v>229</v>
      </c>
      <c r="AJ9" s="3" t="s">
        <v>2255</v>
      </c>
      <c r="AK9" s="3" t="s">
        <v>3739</v>
      </c>
      <c r="AL9" s="3" t="s">
        <v>3703</v>
      </c>
      <c r="AM9" s="3" t="s">
        <v>3703</v>
      </c>
      <c r="AN9" s="3" t="s">
        <v>3703</v>
      </c>
      <c r="AO9" s="3" t="s">
        <v>3703</v>
      </c>
      <c r="AP9" s="3" t="s">
        <v>3740</v>
      </c>
      <c r="AQ9" s="3" t="s">
        <v>3703</v>
      </c>
      <c r="AR9" s="3" t="s">
        <v>115</v>
      </c>
      <c r="AS9" s="3" t="s">
        <v>3742</v>
      </c>
    </row>
    <row r="10" spans="1:79" ht="15.75" customHeight="1" x14ac:dyDescent="0.25">
      <c r="A10" s="8" t="s">
        <v>3711</v>
      </c>
      <c r="B10" s="3" t="s">
        <v>2540</v>
      </c>
      <c r="C10" s="3" t="s">
        <v>366</v>
      </c>
      <c r="D10" s="3" t="s">
        <v>2541</v>
      </c>
      <c r="E10" s="3" t="s">
        <v>2542</v>
      </c>
      <c r="F10" s="3" t="s">
        <v>3743</v>
      </c>
      <c r="G10" s="3" t="s">
        <v>74</v>
      </c>
      <c r="H10" s="3" t="s">
        <v>3744</v>
      </c>
      <c r="I10" s="3" t="s">
        <v>3745</v>
      </c>
      <c r="J10" s="3" t="s">
        <v>2543</v>
      </c>
      <c r="K10" s="3" t="s">
        <v>43</v>
      </c>
      <c r="L10" s="3" t="s">
        <v>31</v>
      </c>
      <c r="M10" s="3" t="s">
        <v>44</v>
      </c>
      <c r="N10" s="3" t="s">
        <v>102</v>
      </c>
      <c r="O10" s="3" t="s">
        <v>2544</v>
      </c>
      <c r="P10" s="3" t="s">
        <v>3746</v>
      </c>
      <c r="Q10" s="3" t="s">
        <v>3703</v>
      </c>
      <c r="R10" s="3" t="s">
        <v>3703</v>
      </c>
      <c r="S10" s="3" t="s">
        <v>3703</v>
      </c>
      <c r="T10" s="3" t="s">
        <v>3703</v>
      </c>
      <c r="U10" s="3" t="s">
        <v>2545</v>
      </c>
      <c r="V10" s="3" t="s">
        <v>3703</v>
      </c>
      <c r="W10" s="3" t="s">
        <v>968</v>
      </c>
      <c r="X10" s="3" t="s">
        <v>3747</v>
      </c>
      <c r="Y10" s="3" t="s">
        <v>3703</v>
      </c>
      <c r="Z10" s="3" t="s">
        <v>3703</v>
      </c>
      <c r="AA10" s="3" t="s">
        <v>3703</v>
      </c>
      <c r="AB10" s="3" t="s">
        <v>3703</v>
      </c>
      <c r="AC10" s="3" t="s">
        <v>3703</v>
      </c>
      <c r="AD10" s="3" t="s">
        <v>3703</v>
      </c>
      <c r="AE10" s="3" t="s">
        <v>3703</v>
      </c>
      <c r="AF10" s="3" t="s">
        <v>3703</v>
      </c>
      <c r="AG10" s="3" t="s">
        <v>3703</v>
      </c>
      <c r="AH10" s="3" t="s">
        <v>3703</v>
      </c>
      <c r="AI10" s="3" t="s">
        <v>3703</v>
      </c>
      <c r="AJ10" s="3" t="s">
        <v>3703</v>
      </c>
      <c r="AK10" s="3" t="s">
        <v>3703</v>
      </c>
      <c r="AL10" s="3" t="s">
        <v>3703</v>
      </c>
      <c r="AM10" s="3" t="s">
        <v>3703</v>
      </c>
      <c r="AN10" s="3" t="s">
        <v>3703</v>
      </c>
      <c r="AO10" s="3" t="s">
        <v>3703</v>
      </c>
      <c r="AP10" s="3" t="s">
        <v>3703</v>
      </c>
      <c r="AQ10" s="3" t="s">
        <v>3703</v>
      </c>
      <c r="AR10" s="3" t="s">
        <v>3703</v>
      </c>
      <c r="AS10" s="3" t="s">
        <v>3703</v>
      </c>
    </row>
    <row r="11" spans="1:79" ht="15.75" customHeight="1" x14ac:dyDescent="0.25">
      <c r="A11" s="8"/>
    </row>
    <row r="12" spans="1:79" ht="15.75" customHeight="1" x14ac:dyDescent="0.25">
      <c r="A12" s="8"/>
    </row>
    <row r="13" spans="1:79" ht="15.75" customHeight="1" x14ac:dyDescent="0.25">
      <c r="A13" s="8"/>
    </row>
    <row r="14" spans="1:79" ht="15.75" customHeight="1" x14ac:dyDescent="0.25">
      <c r="A14" s="8"/>
    </row>
    <row r="15" spans="1:79" ht="15.75" customHeight="1" x14ac:dyDescent="0.25">
      <c r="A15" s="8"/>
    </row>
    <row r="16" spans="1:79" ht="15.75" customHeight="1" x14ac:dyDescent="0.25">
      <c r="A16" s="8"/>
    </row>
    <row r="17" spans="1:4" ht="15.75" customHeight="1" x14ac:dyDescent="0.25">
      <c r="A17" s="8"/>
    </row>
    <row r="18" spans="1:4" ht="15.75" customHeight="1" x14ac:dyDescent="0.25">
      <c r="A18" s="8"/>
      <c r="D18" s="3"/>
    </row>
    <row r="19" spans="1:4" ht="15.75" customHeight="1" x14ac:dyDescent="0.25">
      <c r="A19" s="8"/>
    </row>
    <row r="20" spans="1:4" ht="15.75" customHeight="1" x14ac:dyDescent="0.25">
      <c r="A20" s="8"/>
    </row>
    <row r="21" spans="1:4" ht="15.75" customHeight="1" x14ac:dyDescent="0.25">
      <c r="A21" s="8"/>
    </row>
    <row r="22" spans="1:4" ht="15.75" customHeight="1" x14ac:dyDescent="0.25">
      <c r="A22" s="8"/>
    </row>
    <row r="23" spans="1:4" ht="15.75" customHeight="1" x14ac:dyDescent="0.25">
      <c r="A23" s="8"/>
    </row>
    <row r="24" spans="1:4" ht="15.75" customHeight="1" x14ac:dyDescent="0.25">
      <c r="A24" s="8"/>
    </row>
    <row r="25" spans="1:4" ht="15.75" customHeight="1" x14ac:dyDescent="0.25">
      <c r="A25" s="8"/>
    </row>
    <row r="26" spans="1:4" ht="15.75" customHeight="1" x14ac:dyDescent="0.25">
      <c r="A26" s="8"/>
    </row>
    <row r="27" spans="1:4" ht="13.8" x14ac:dyDescent="0.25">
      <c r="A27" s="8"/>
    </row>
    <row r="28" spans="1:4" ht="13.8" x14ac:dyDescent="0.25">
      <c r="A28" s="8"/>
    </row>
    <row r="29" spans="1:4" ht="13.8" x14ac:dyDescent="0.25">
      <c r="A29" s="8"/>
    </row>
    <row r="30" spans="1:4" ht="13.8" x14ac:dyDescent="0.25">
      <c r="A30" s="8"/>
    </row>
    <row r="31" spans="1:4" ht="13.8" x14ac:dyDescent="0.25">
      <c r="A31" s="8"/>
    </row>
    <row r="32" spans="1:4" ht="13.8" x14ac:dyDescent="0.25">
      <c r="A32" s="8"/>
    </row>
    <row r="33" spans="1:1" ht="13.8" x14ac:dyDescent="0.25">
      <c r="A33" s="8"/>
    </row>
    <row r="34" spans="1:1" ht="13.8" x14ac:dyDescent="0.25">
      <c r="A34" s="8"/>
    </row>
    <row r="35" spans="1:1" ht="13.8" x14ac:dyDescent="0.25">
      <c r="A35" s="8"/>
    </row>
    <row r="36" spans="1:1" ht="13.8" x14ac:dyDescent="0.25">
      <c r="A36" s="8"/>
    </row>
    <row r="37" spans="1:1" ht="13.8" x14ac:dyDescent="0.25">
      <c r="A37" s="8"/>
    </row>
    <row r="38" spans="1:1" ht="13.8" x14ac:dyDescent="0.25">
      <c r="A38" s="8"/>
    </row>
    <row r="39" spans="1:1" ht="13.8" x14ac:dyDescent="0.25">
      <c r="A39" s="8"/>
    </row>
    <row r="40" spans="1:1" ht="13.8" x14ac:dyDescent="0.25">
      <c r="A40" s="8"/>
    </row>
    <row r="41" spans="1:1" ht="13.8" x14ac:dyDescent="0.25">
      <c r="A41" s="8"/>
    </row>
    <row r="42" spans="1:1" ht="13.8" x14ac:dyDescent="0.25">
      <c r="A42" s="8"/>
    </row>
    <row r="43" spans="1:1" ht="13.8" x14ac:dyDescent="0.25">
      <c r="A43" s="8"/>
    </row>
    <row r="44" spans="1:1" ht="13.8" x14ac:dyDescent="0.25">
      <c r="A44" s="8"/>
    </row>
    <row r="45" spans="1:1" ht="13.8" x14ac:dyDescent="0.25">
      <c r="A45" s="8"/>
    </row>
    <row r="46" spans="1:1" ht="13.8" x14ac:dyDescent="0.25">
      <c r="A46" s="8"/>
    </row>
    <row r="47" spans="1:1" ht="13.8" x14ac:dyDescent="0.25">
      <c r="A47" s="8"/>
    </row>
    <row r="48" spans="1:1" ht="13.8" x14ac:dyDescent="0.25">
      <c r="A48" s="8"/>
    </row>
    <row r="49" spans="1:1" ht="13.8" x14ac:dyDescent="0.25">
      <c r="A49" s="8"/>
    </row>
    <row r="50" spans="1:1" ht="13.8" x14ac:dyDescent="0.25">
      <c r="A50" s="8"/>
    </row>
    <row r="51" spans="1:1" ht="13.8" x14ac:dyDescent="0.25">
      <c r="A51" s="8"/>
    </row>
    <row r="52" spans="1:1" ht="13.8" x14ac:dyDescent="0.25">
      <c r="A52" s="8"/>
    </row>
    <row r="53" spans="1:1" ht="13.8" x14ac:dyDescent="0.25">
      <c r="A53" s="8"/>
    </row>
    <row r="54" spans="1:1" ht="13.8" x14ac:dyDescent="0.25">
      <c r="A54" s="8"/>
    </row>
    <row r="55" spans="1:1" ht="13.8" x14ac:dyDescent="0.25">
      <c r="A55" s="8"/>
    </row>
    <row r="56" spans="1:1" ht="13.8" x14ac:dyDescent="0.25">
      <c r="A56" s="8"/>
    </row>
    <row r="57" spans="1:1" ht="13.8" x14ac:dyDescent="0.25">
      <c r="A57" s="8"/>
    </row>
    <row r="58" spans="1:1" ht="13.8" x14ac:dyDescent="0.25">
      <c r="A58" s="8"/>
    </row>
    <row r="59" spans="1:1" ht="13.8" x14ac:dyDescent="0.25">
      <c r="A59" s="8"/>
    </row>
    <row r="60" spans="1:1" ht="13.8" x14ac:dyDescent="0.25">
      <c r="A60" s="8"/>
    </row>
    <row r="61" spans="1:1" ht="13.8" x14ac:dyDescent="0.25">
      <c r="A61" s="8"/>
    </row>
    <row r="62" spans="1:1" ht="13.8" x14ac:dyDescent="0.25">
      <c r="A62" s="8"/>
    </row>
    <row r="63" spans="1:1" ht="13.8" x14ac:dyDescent="0.25">
      <c r="A63" s="8"/>
    </row>
    <row r="64" spans="1:1" ht="13.8" x14ac:dyDescent="0.25">
      <c r="A64" s="8"/>
    </row>
    <row r="65" spans="1:1" ht="13.8" x14ac:dyDescent="0.25">
      <c r="A65" s="8"/>
    </row>
    <row r="66" spans="1:1" ht="13.8" x14ac:dyDescent="0.25">
      <c r="A66" s="8"/>
    </row>
    <row r="67" spans="1:1" ht="13.8" x14ac:dyDescent="0.25">
      <c r="A67" s="8"/>
    </row>
    <row r="68" spans="1:1" ht="13.8" x14ac:dyDescent="0.25">
      <c r="A68" s="8"/>
    </row>
    <row r="69" spans="1:1" ht="13.8" x14ac:dyDescent="0.25">
      <c r="A69" s="8"/>
    </row>
    <row r="70" spans="1:1" ht="13.8" x14ac:dyDescent="0.25">
      <c r="A70" s="8"/>
    </row>
    <row r="71" spans="1:1" ht="13.8" x14ac:dyDescent="0.25">
      <c r="A71" s="8"/>
    </row>
    <row r="72" spans="1:1" ht="13.8" x14ac:dyDescent="0.25">
      <c r="A72" s="8"/>
    </row>
    <row r="73" spans="1:1" ht="13.8" x14ac:dyDescent="0.25">
      <c r="A73" s="8"/>
    </row>
    <row r="74" spans="1:1" ht="13.8" x14ac:dyDescent="0.25">
      <c r="A74" s="8"/>
    </row>
    <row r="75" spans="1:1" ht="13.8" x14ac:dyDescent="0.25">
      <c r="A75" s="8"/>
    </row>
    <row r="76" spans="1:1" ht="13.8" x14ac:dyDescent="0.25">
      <c r="A76" s="8"/>
    </row>
    <row r="77" spans="1:1" ht="13.8" x14ac:dyDescent="0.25">
      <c r="A77" s="8"/>
    </row>
    <row r="78" spans="1:1" ht="13.8" x14ac:dyDescent="0.25">
      <c r="A78" s="8"/>
    </row>
    <row r="79" spans="1:1" ht="13.8" x14ac:dyDescent="0.25">
      <c r="A79" s="8"/>
    </row>
    <row r="80" spans="1:1" ht="13.8" x14ac:dyDescent="0.25">
      <c r="A80" s="8"/>
    </row>
    <row r="81" spans="1:1" ht="13.8" x14ac:dyDescent="0.25">
      <c r="A81" s="8"/>
    </row>
    <row r="82" spans="1:1" ht="13.8" x14ac:dyDescent="0.25">
      <c r="A82" s="8"/>
    </row>
    <row r="83" spans="1:1" ht="13.8" x14ac:dyDescent="0.25">
      <c r="A83" s="8"/>
    </row>
    <row r="84" spans="1:1" ht="13.8" x14ac:dyDescent="0.25">
      <c r="A84" s="8"/>
    </row>
    <row r="85" spans="1:1" ht="13.8" x14ac:dyDescent="0.25">
      <c r="A85" s="8"/>
    </row>
    <row r="86" spans="1:1" ht="13.8" x14ac:dyDescent="0.25">
      <c r="A86" s="8"/>
    </row>
    <row r="87" spans="1:1" ht="13.8" x14ac:dyDescent="0.25">
      <c r="A87" s="8"/>
    </row>
    <row r="88" spans="1:1" ht="13.8" x14ac:dyDescent="0.25">
      <c r="A88" s="8"/>
    </row>
    <row r="89" spans="1:1" ht="13.8" x14ac:dyDescent="0.25">
      <c r="A89" s="8"/>
    </row>
    <row r="90" spans="1:1" ht="13.8" x14ac:dyDescent="0.25">
      <c r="A90" s="8"/>
    </row>
    <row r="91" spans="1:1" ht="13.8" x14ac:dyDescent="0.25">
      <c r="A91" s="8"/>
    </row>
    <row r="92" spans="1:1" ht="13.8" x14ac:dyDescent="0.25">
      <c r="A92" s="8"/>
    </row>
    <row r="93" spans="1:1" ht="13.8" x14ac:dyDescent="0.25">
      <c r="A93" s="8"/>
    </row>
    <row r="94" spans="1:1" ht="13.8" x14ac:dyDescent="0.25">
      <c r="A94" s="8"/>
    </row>
    <row r="95" spans="1:1" ht="13.8" x14ac:dyDescent="0.25">
      <c r="A95" s="8"/>
    </row>
    <row r="96" spans="1:1" ht="13.8" x14ac:dyDescent="0.25">
      <c r="A96" s="8"/>
    </row>
    <row r="97" spans="1:1" ht="13.8" x14ac:dyDescent="0.25">
      <c r="A97" s="8"/>
    </row>
    <row r="98" spans="1:1" ht="13.8" x14ac:dyDescent="0.25">
      <c r="A98" s="8"/>
    </row>
    <row r="99" spans="1:1" ht="13.8" x14ac:dyDescent="0.25">
      <c r="A99" s="8"/>
    </row>
    <row r="100" spans="1:1" ht="13.8" x14ac:dyDescent="0.25">
      <c r="A100" s="8"/>
    </row>
    <row r="101" spans="1:1" ht="13.8" x14ac:dyDescent="0.25">
      <c r="A101" s="8"/>
    </row>
    <row r="102" spans="1:1" ht="13.8" x14ac:dyDescent="0.25">
      <c r="A102" s="8"/>
    </row>
    <row r="103" spans="1:1" ht="13.8" x14ac:dyDescent="0.25">
      <c r="A103" s="8"/>
    </row>
    <row r="104" spans="1:1" ht="13.8" x14ac:dyDescent="0.25">
      <c r="A104" s="8"/>
    </row>
    <row r="105" spans="1:1" ht="13.8" x14ac:dyDescent="0.25">
      <c r="A105" s="8"/>
    </row>
    <row r="106" spans="1:1" ht="13.8" x14ac:dyDescent="0.25">
      <c r="A106" s="8"/>
    </row>
    <row r="107" spans="1:1" ht="13.8" x14ac:dyDescent="0.25">
      <c r="A107" s="8"/>
    </row>
    <row r="108" spans="1:1" ht="13.8" x14ac:dyDescent="0.25">
      <c r="A108" s="8"/>
    </row>
    <row r="109" spans="1:1" ht="13.8" x14ac:dyDescent="0.25">
      <c r="A109" s="8"/>
    </row>
    <row r="110" spans="1:1" ht="13.8" x14ac:dyDescent="0.25">
      <c r="A110" s="8"/>
    </row>
    <row r="111" spans="1:1" ht="13.8" x14ac:dyDescent="0.25">
      <c r="A111" s="8"/>
    </row>
    <row r="112" spans="1:1" ht="13.8" x14ac:dyDescent="0.25">
      <c r="A112" s="8"/>
    </row>
    <row r="113" spans="1:1" ht="13.8" x14ac:dyDescent="0.25">
      <c r="A113" s="8"/>
    </row>
    <row r="114" spans="1:1" ht="13.8" x14ac:dyDescent="0.25">
      <c r="A114" s="8"/>
    </row>
    <row r="115" spans="1:1" ht="13.8" x14ac:dyDescent="0.25">
      <c r="A115" s="8"/>
    </row>
    <row r="116" spans="1:1" ht="13.8" x14ac:dyDescent="0.25">
      <c r="A116" s="8"/>
    </row>
    <row r="117" spans="1:1" ht="13.8" x14ac:dyDescent="0.25">
      <c r="A117" s="8"/>
    </row>
    <row r="118" spans="1:1" ht="13.8" x14ac:dyDescent="0.25">
      <c r="A118" s="8"/>
    </row>
    <row r="119" spans="1:1" ht="13.8" x14ac:dyDescent="0.25">
      <c r="A119" s="8"/>
    </row>
    <row r="120" spans="1:1" ht="13.8" x14ac:dyDescent="0.25">
      <c r="A120" s="8"/>
    </row>
    <row r="121" spans="1:1" ht="13.8" x14ac:dyDescent="0.25">
      <c r="A121" s="8"/>
    </row>
    <row r="122" spans="1:1" ht="13.8" x14ac:dyDescent="0.25">
      <c r="A122" s="8"/>
    </row>
    <row r="123" spans="1:1" ht="13.8" x14ac:dyDescent="0.25">
      <c r="A123" s="8"/>
    </row>
    <row r="124" spans="1:1" ht="13.8" x14ac:dyDescent="0.25">
      <c r="A124" s="8"/>
    </row>
    <row r="125" spans="1:1" ht="13.8" x14ac:dyDescent="0.25">
      <c r="A125" s="8"/>
    </row>
    <row r="126" spans="1:1" ht="13.8" x14ac:dyDescent="0.25">
      <c r="A126" s="8"/>
    </row>
    <row r="127" spans="1:1" ht="13.8" x14ac:dyDescent="0.25">
      <c r="A127" s="8"/>
    </row>
    <row r="128" spans="1:1" ht="13.8" x14ac:dyDescent="0.25">
      <c r="A128" s="8"/>
    </row>
    <row r="129" spans="1:1" ht="13.8" x14ac:dyDescent="0.25">
      <c r="A129" s="8"/>
    </row>
    <row r="130" spans="1:1" ht="13.8" x14ac:dyDescent="0.25">
      <c r="A130" s="8"/>
    </row>
    <row r="131" spans="1:1" ht="13.8" x14ac:dyDescent="0.25">
      <c r="A131" s="8"/>
    </row>
    <row r="132" spans="1:1" ht="13.8" x14ac:dyDescent="0.25">
      <c r="A132" s="8"/>
    </row>
    <row r="133" spans="1:1" ht="13.8" x14ac:dyDescent="0.25">
      <c r="A133" s="8"/>
    </row>
    <row r="134" spans="1:1" ht="13.8" x14ac:dyDescent="0.25">
      <c r="A134" s="8"/>
    </row>
    <row r="135" spans="1:1" ht="13.8" x14ac:dyDescent="0.25">
      <c r="A135" s="8"/>
    </row>
    <row r="136" spans="1:1" ht="13.8" x14ac:dyDescent="0.25">
      <c r="A136" s="8"/>
    </row>
    <row r="137" spans="1:1" ht="13.8" x14ac:dyDescent="0.25">
      <c r="A137" s="8"/>
    </row>
    <row r="138" spans="1:1" ht="13.8" x14ac:dyDescent="0.25">
      <c r="A138" s="8"/>
    </row>
    <row r="139" spans="1:1" ht="13.8" x14ac:dyDescent="0.25">
      <c r="A139" s="8"/>
    </row>
    <row r="140" spans="1:1" ht="13.8" x14ac:dyDescent="0.25">
      <c r="A140" s="8"/>
    </row>
    <row r="141" spans="1:1" ht="13.8" x14ac:dyDescent="0.25">
      <c r="A141" s="8"/>
    </row>
    <row r="142" spans="1:1" ht="13.8" x14ac:dyDescent="0.25">
      <c r="A142" s="8"/>
    </row>
    <row r="143" spans="1:1" ht="13.8" x14ac:dyDescent="0.25">
      <c r="A143" s="8"/>
    </row>
    <row r="144" spans="1:1" ht="13.8" x14ac:dyDescent="0.25">
      <c r="A144" s="8"/>
    </row>
    <row r="145" spans="1:1" ht="13.8" x14ac:dyDescent="0.25">
      <c r="A145" s="8"/>
    </row>
    <row r="146" spans="1:1" ht="13.8" x14ac:dyDescent="0.25">
      <c r="A146" s="8"/>
    </row>
    <row r="147" spans="1:1" ht="13.8" x14ac:dyDescent="0.25">
      <c r="A147" s="8"/>
    </row>
    <row r="148" spans="1:1" ht="13.8" x14ac:dyDescent="0.25">
      <c r="A148" s="8"/>
    </row>
    <row r="149" spans="1:1" ht="13.8" x14ac:dyDescent="0.25">
      <c r="A149" s="8"/>
    </row>
    <row r="150" spans="1:1" ht="13.8" x14ac:dyDescent="0.25">
      <c r="A150" s="8"/>
    </row>
    <row r="151" spans="1:1" ht="13.8" x14ac:dyDescent="0.25">
      <c r="A151" s="8"/>
    </row>
    <row r="152" spans="1:1" ht="13.8" x14ac:dyDescent="0.25">
      <c r="A152" s="8"/>
    </row>
    <row r="153" spans="1:1" ht="13.8" x14ac:dyDescent="0.25">
      <c r="A153" s="8"/>
    </row>
    <row r="154" spans="1:1" ht="13.8" x14ac:dyDescent="0.25">
      <c r="A154" s="8"/>
    </row>
    <row r="155" spans="1:1" ht="13.8" x14ac:dyDescent="0.25">
      <c r="A155" s="8"/>
    </row>
    <row r="156" spans="1:1" ht="13.8" x14ac:dyDescent="0.25">
      <c r="A156" s="8"/>
    </row>
    <row r="157" spans="1:1" ht="13.8" x14ac:dyDescent="0.25">
      <c r="A157" s="8"/>
    </row>
    <row r="158" spans="1:1" ht="13.8" x14ac:dyDescent="0.25">
      <c r="A158" s="8"/>
    </row>
    <row r="159" spans="1:1" ht="13.8" x14ac:dyDescent="0.25">
      <c r="A159" s="8"/>
    </row>
    <row r="160" spans="1:1" ht="13.8" x14ac:dyDescent="0.25">
      <c r="A160" s="8"/>
    </row>
    <row r="161" spans="1:1" ht="13.8" x14ac:dyDescent="0.25">
      <c r="A161" s="8"/>
    </row>
    <row r="162" spans="1:1" ht="13.8" x14ac:dyDescent="0.25">
      <c r="A162" s="8"/>
    </row>
    <row r="163" spans="1:1" ht="13.8" x14ac:dyDescent="0.25">
      <c r="A163" s="8"/>
    </row>
    <row r="164" spans="1:1" ht="13.8" x14ac:dyDescent="0.25">
      <c r="A164" s="8"/>
    </row>
    <row r="165" spans="1:1" ht="13.8" x14ac:dyDescent="0.25">
      <c r="A165" s="8"/>
    </row>
    <row r="166" spans="1:1" ht="13.8" x14ac:dyDescent="0.25">
      <c r="A166" s="8"/>
    </row>
    <row r="167" spans="1:1" ht="13.8" x14ac:dyDescent="0.25">
      <c r="A167" s="8"/>
    </row>
    <row r="168" spans="1:1" ht="13.8" x14ac:dyDescent="0.25">
      <c r="A168" s="8"/>
    </row>
    <row r="169" spans="1:1" ht="13.8" x14ac:dyDescent="0.25">
      <c r="A169" s="8"/>
    </row>
    <row r="170" spans="1:1" ht="13.8" x14ac:dyDescent="0.25">
      <c r="A170" s="8"/>
    </row>
    <row r="171" spans="1:1" ht="13.8" x14ac:dyDescent="0.25">
      <c r="A171" s="8"/>
    </row>
    <row r="172" spans="1:1" ht="13.8" x14ac:dyDescent="0.25">
      <c r="A172" s="8"/>
    </row>
    <row r="173" spans="1:1" ht="13.8" x14ac:dyDescent="0.25">
      <c r="A173" s="8"/>
    </row>
    <row r="174" spans="1:1" ht="13.8" x14ac:dyDescent="0.25">
      <c r="A174" s="8"/>
    </row>
    <row r="175" spans="1:1" ht="13.8" x14ac:dyDescent="0.25">
      <c r="A175" s="8"/>
    </row>
    <row r="176" spans="1:1" ht="13.8" x14ac:dyDescent="0.25">
      <c r="A176" s="8"/>
    </row>
    <row r="177" spans="1:1" ht="13.8" x14ac:dyDescent="0.25">
      <c r="A177" s="8"/>
    </row>
    <row r="178" spans="1:1" ht="13.8" x14ac:dyDescent="0.25">
      <c r="A178" s="8"/>
    </row>
    <row r="179" spans="1:1" ht="13.8" x14ac:dyDescent="0.25">
      <c r="A179" s="8"/>
    </row>
    <row r="180" spans="1:1" ht="13.8" x14ac:dyDescent="0.25">
      <c r="A180" s="8"/>
    </row>
    <row r="181" spans="1:1" ht="13.8" x14ac:dyDescent="0.25">
      <c r="A181" s="8"/>
    </row>
    <row r="182" spans="1:1" ht="13.8" x14ac:dyDescent="0.25">
      <c r="A182" s="8"/>
    </row>
    <row r="183" spans="1:1" ht="13.8" x14ac:dyDescent="0.25">
      <c r="A183" s="8"/>
    </row>
    <row r="184" spans="1:1" ht="13.8" x14ac:dyDescent="0.25">
      <c r="A184" s="8"/>
    </row>
    <row r="185" spans="1:1" ht="13.8" x14ac:dyDescent="0.25">
      <c r="A185" s="8"/>
    </row>
    <row r="186" spans="1:1" ht="13.8" x14ac:dyDescent="0.25">
      <c r="A186" s="8"/>
    </row>
    <row r="187" spans="1:1" ht="13.8" x14ac:dyDescent="0.25">
      <c r="A187" s="8"/>
    </row>
    <row r="188" spans="1:1" ht="13.8" x14ac:dyDescent="0.25">
      <c r="A188" s="8"/>
    </row>
    <row r="189" spans="1:1" ht="13.8" x14ac:dyDescent="0.25">
      <c r="A189" s="8"/>
    </row>
    <row r="190" spans="1:1" ht="13.8" x14ac:dyDescent="0.25">
      <c r="A190" s="8"/>
    </row>
    <row r="191" spans="1:1" ht="13.8" x14ac:dyDescent="0.25">
      <c r="A191" s="8"/>
    </row>
    <row r="192" spans="1:1" ht="13.8" x14ac:dyDescent="0.25">
      <c r="A192" s="8"/>
    </row>
    <row r="193" spans="1:1" ht="13.8" x14ac:dyDescent="0.25">
      <c r="A193" s="8"/>
    </row>
    <row r="194" spans="1:1" ht="13.8" x14ac:dyDescent="0.25">
      <c r="A194" s="8"/>
    </row>
    <row r="195" spans="1:1" ht="13.8" x14ac:dyDescent="0.25">
      <c r="A195" s="8"/>
    </row>
    <row r="196" spans="1:1" ht="13.8" x14ac:dyDescent="0.25">
      <c r="A196" s="8"/>
    </row>
    <row r="197" spans="1:1" ht="13.8" x14ac:dyDescent="0.25">
      <c r="A197" s="8"/>
    </row>
    <row r="198" spans="1:1" ht="13.8" x14ac:dyDescent="0.25">
      <c r="A198" s="8"/>
    </row>
    <row r="199" spans="1:1" ht="13.8" x14ac:dyDescent="0.25">
      <c r="A199" s="8"/>
    </row>
    <row r="200" spans="1:1" ht="13.8" x14ac:dyDescent="0.25">
      <c r="A200" s="8"/>
    </row>
    <row r="201" spans="1:1" ht="13.8" x14ac:dyDescent="0.25">
      <c r="A201" s="8"/>
    </row>
    <row r="202" spans="1:1" ht="13.8" x14ac:dyDescent="0.25">
      <c r="A202" s="8"/>
    </row>
    <row r="203" spans="1:1" ht="13.8" x14ac:dyDescent="0.25">
      <c r="A203" s="8"/>
    </row>
    <row r="204" spans="1:1" ht="13.8" x14ac:dyDescent="0.25">
      <c r="A204" s="8"/>
    </row>
    <row r="205" spans="1:1" ht="13.8" x14ac:dyDescent="0.25">
      <c r="A205" s="8"/>
    </row>
    <row r="206" spans="1:1" ht="13.8" x14ac:dyDescent="0.25">
      <c r="A206" s="8"/>
    </row>
    <row r="207" spans="1:1" ht="13.8" x14ac:dyDescent="0.25">
      <c r="A207" s="8"/>
    </row>
    <row r="208" spans="1:1" ht="13.8" x14ac:dyDescent="0.25">
      <c r="A208" s="8"/>
    </row>
    <row r="209" spans="1:1" ht="13.8" x14ac:dyDescent="0.25">
      <c r="A209" s="8"/>
    </row>
    <row r="210" spans="1:1" ht="13.8" x14ac:dyDescent="0.25">
      <c r="A210" s="8"/>
    </row>
    <row r="211" spans="1:1" ht="13.8" x14ac:dyDescent="0.25">
      <c r="A211" s="8"/>
    </row>
    <row r="212" spans="1:1" ht="13.8" x14ac:dyDescent="0.25">
      <c r="A212" s="8"/>
    </row>
    <row r="213" spans="1:1" ht="13.8" x14ac:dyDescent="0.25">
      <c r="A213" s="8"/>
    </row>
    <row r="214" spans="1:1" ht="13.8" x14ac:dyDescent="0.25">
      <c r="A214" s="8"/>
    </row>
    <row r="215" spans="1:1" ht="13.8" x14ac:dyDescent="0.25">
      <c r="A215" s="8"/>
    </row>
    <row r="216" spans="1:1" ht="13.8" x14ac:dyDescent="0.25">
      <c r="A216" s="8"/>
    </row>
    <row r="217" spans="1:1" ht="13.8" x14ac:dyDescent="0.25">
      <c r="A217" s="8"/>
    </row>
    <row r="218" spans="1:1" ht="13.8" x14ac:dyDescent="0.25">
      <c r="A218" s="8"/>
    </row>
    <row r="219" spans="1:1" ht="13.8" x14ac:dyDescent="0.25">
      <c r="A219" s="8"/>
    </row>
    <row r="220" spans="1:1" ht="13.8" x14ac:dyDescent="0.25">
      <c r="A220" s="8"/>
    </row>
    <row r="221" spans="1:1" ht="13.8" x14ac:dyDescent="0.25">
      <c r="A221" s="8"/>
    </row>
    <row r="222" spans="1:1" ht="13.8" x14ac:dyDescent="0.25">
      <c r="A222" s="8"/>
    </row>
    <row r="223" spans="1:1" ht="13.8" x14ac:dyDescent="0.25">
      <c r="A223" s="8"/>
    </row>
    <row r="224" spans="1:1" ht="13.8" x14ac:dyDescent="0.25">
      <c r="A224" s="8"/>
    </row>
    <row r="225" spans="1:1" ht="13.8" x14ac:dyDescent="0.25">
      <c r="A225" s="8"/>
    </row>
    <row r="226" spans="1:1" ht="13.8" x14ac:dyDescent="0.25">
      <c r="A226" s="8"/>
    </row>
    <row r="227" spans="1:1" ht="13.8" x14ac:dyDescent="0.25">
      <c r="A227" s="8"/>
    </row>
    <row r="228" spans="1:1" ht="13.8" x14ac:dyDescent="0.25">
      <c r="A228" s="8"/>
    </row>
    <row r="229" spans="1:1" ht="13.8" x14ac:dyDescent="0.25">
      <c r="A229" s="8"/>
    </row>
    <row r="230" spans="1:1" ht="13.8" x14ac:dyDescent="0.25">
      <c r="A230" s="8"/>
    </row>
    <row r="231" spans="1:1" ht="13.8" x14ac:dyDescent="0.25">
      <c r="A231" s="8"/>
    </row>
    <row r="232" spans="1:1" ht="13.8" x14ac:dyDescent="0.25">
      <c r="A232" s="8"/>
    </row>
    <row r="233" spans="1:1" ht="13.8" x14ac:dyDescent="0.25">
      <c r="A233" s="8"/>
    </row>
    <row r="234" spans="1:1" ht="13.8" x14ac:dyDescent="0.25">
      <c r="A234" s="8"/>
    </row>
    <row r="235" spans="1:1" ht="13.8" x14ac:dyDescent="0.25">
      <c r="A235" s="8"/>
    </row>
    <row r="236" spans="1:1" ht="13.8" x14ac:dyDescent="0.25">
      <c r="A236" s="8"/>
    </row>
    <row r="237" spans="1:1" ht="13.8" x14ac:dyDescent="0.25">
      <c r="A237" s="8"/>
    </row>
    <row r="238" spans="1:1" ht="13.8" x14ac:dyDescent="0.25">
      <c r="A238" s="8"/>
    </row>
    <row r="239" spans="1:1" ht="13.8" x14ac:dyDescent="0.25">
      <c r="A239" s="8"/>
    </row>
    <row r="240" spans="1:1" ht="13.8" x14ac:dyDescent="0.25">
      <c r="A240" s="8"/>
    </row>
    <row r="241" spans="1:1" ht="13.8" x14ac:dyDescent="0.25">
      <c r="A241" s="8"/>
    </row>
    <row r="242" spans="1:1" ht="13.8" x14ac:dyDescent="0.25">
      <c r="A242" s="8"/>
    </row>
    <row r="243" spans="1:1" ht="13.8" x14ac:dyDescent="0.25">
      <c r="A243" s="8"/>
    </row>
    <row r="244" spans="1:1" ht="13.8" x14ac:dyDescent="0.25">
      <c r="A244" s="8"/>
    </row>
    <row r="245" spans="1:1" ht="13.8" x14ac:dyDescent="0.25">
      <c r="A245" s="8"/>
    </row>
    <row r="246" spans="1:1" ht="13.8" x14ac:dyDescent="0.25">
      <c r="A246" s="8"/>
    </row>
    <row r="247" spans="1:1" ht="13.8" x14ac:dyDescent="0.25">
      <c r="A247" s="8"/>
    </row>
    <row r="248" spans="1:1" ht="13.8" x14ac:dyDescent="0.25">
      <c r="A248" s="8"/>
    </row>
    <row r="249" spans="1:1" ht="13.8" x14ac:dyDescent="0.25">
      <c r="A249" s="8"/>
    </row>
    <row r="250" spans="1:1" ht="13.8" x14ac:dyDescent="0.25">
      <c r="A250" s="8"/>
    </row>
    <row r="251" spans="1:1" ht="13.8" x14ac:dyDescent="0.25">
      <c r="A251" s="8"/>
    </row>
    <row r="252" spans="1:1" ht="13.8" x14ac:dyDescent="0.25">
      <c r="A252" s="8"/>
    </row>
    <row r="253" spans="1:1" ht="13.8" x14ac:dyDescent="0.25">
      <c r="A253" s="8"/>
    </row>
    <row r="254" spans="1:1" ht="13.8" x14ac:dyDescent="0.25">
      <c r="A254" s="8"/>
    </row>
    <row r="255" spans="1:1" ht="13.8" x14ac:dyDescent="0.25">
      <c r="A255" s="8"/>
    </row>
    <row r="256" spans="1:1" ht="13.8" x14ac:dyDescent="0.25">
      <c r="A256" s="8"/>
    </row>
    <row r="257" spans="1:1" ht="13.8" x14ac:dyDescent="0.25">
      <c r="A257" s="8"/>
    </row>
    <row r="258" spans="1:1" ht="13.8" x14ac:dyDescent="0.25">
      <c r="A258" s="8"/>
    </row>
    <row r="259" spans="1:1" ht="13.8" x14ac:dyDescent="0.25">
      <c r="A259" s="8"/>
    </row>
    <row r="260" spans="1:1" ht="13.8" x14ac:dyDescent="0.25">
      <c r="A260" s="8"/>
    </row>
    <row r="261" spans="1:1" ht="13.8" x14ac:dyDescent="0.25">
      <c r="A261" s="8"/>
    </row>
    <row r="262" spans="1:1" ht="13.8" x14ac:dyDescent="0.25">
      <c r="A262" s="8"/>
    </row>
    <row r="263" spans="1:1" ht="13.8" x14ac:dyDescent="0.25">
      <c r="A263" s="8"/>
    </row>
    <row r="264" spans="1:1" ht="13.8" x14ac:dyDescent="0.25">
      <c r="A264" s="8"/>
    </row>
    <row r="265" spans="1:1" ht="13.8" x14ac:dyDescent="0.25">
      <c r="A265" s="8"/>
    </row>
    <row r="266" spans="1:1" ht="13.8" x14ac:dyDescent="0.25">
      <c r="A266" s="8"/>
    </row>
    <row r="267" spans="1:1" ht="13.8" x14ac:dyDescent="0.25">
      <c r="A267" s="8"/>
    </row>
    <row r="268" spans="1:1" ht="13.8" x14ac:dyDescent="0.25">
      <c r="A268" s="8"/>
    </row>
    <row r="269" spans="1:1" ht="13.8" x14ac:dyDescent="0.25">
      <c r="A269" s="8"/>
    </row>
    <row r="270" spans="1:1" ht="13.8" x14ac:dyDescent="0.25">
      <c r="A270" s="8"/>
    </row>
    <row r="271" spans="1:1" ht="13.8" x14ac:dyDescent="0.25">
      <c r="A271" s="8"/>
    </row>
    <row r="272" spans="1:1" ht="13.8" x14ac:dyDescent="0.25">
      <c r="A272" s="8"/>
    </row>
    <row r="273" spans="1:1" ht="13.8" x14ac:dyDescent="0.25">
      <c r="A273" s="8"/>
    </row>
    <row r="274" spans="1:1" ht="13.8" x14ac:dyDescent="0.25">
      <c r="A274" s="8"/>
    </row>
    <row r="275" spans="1:1" ht="13.8" x14ac:dyDescent="0.25">
      <c r="A275" s="8"/>
    </row>
    <row r="276" spans="1:1" ht="13.8" x14ac:dyDescent="0.25">
      <c r="A276" s="8"/>
    </row>
    <row r="277" spans="1:1" ht="13.8" x14ac:dyDescent="0.25">
      <c r="A277" s="8"/>
    </row>
    <row r="278" spans="1:1" ht="13.8" x14ac:dyDescent="0.25">
      <c r="A278" s="8"/>
    </row>
    <row r="279" spans="1:1" ht="13.8" x14ac:dyDescent="0.25">
      <c r="A279" s="8"/>
    </row>
    <row r="280" spans="1:1" ht="13.8" x14ac:dyDescent="0.25">
      <c r="A280" s="8"/>
    </row>
    <row r="281" spans="1:1" ht="13.8" x14ac:dyDescent="0.25">
      <c r="A281" s="8"/>
    </row>
    <row r="282" spans="1:1" ht="13.8" x14ac:dyDescent="0.25">
      <c r="A282" s="8"/>
    </row>
    <row r="283" spans="1:1" ht="13.8" x14ac:dyDescent="0.25">
      <c r="A283" s="8"/>
    </row>
    <row r="284" spans="1:1" ht="13.8" x14ac:dyDescent="0.25">
      <c r="A284" s="8"/>
    </row>
    <row r="285" spans="1:1" ht="13.8" x14ac:dyDescent="0.25">
      <c r="A285" s="8"/>
    </row>
    <row r="286" spans="1:1" ht="13.8" x14ac:dyDescent="0.25">
      <c r="A286" s="8"/>
    </row>
    <row r="287" spans="1:1" ht="13.8" x14ac:dyDescent="0.25">
      <c r="A287" s="8"/>
    </row>
    <row r="288" spans="1:1" ht="13.8" x14ac:dyDescent="0.25">
      <c r="A288" s="8"/>
    </row>
    <row r="289" spans="1:1" ht="13.8" x14ac:dyDescent="0.25">
      <c r="A289" s="8"/>
    </row>
    <row r="290" spans="1:1" ht="13.8" x14ac:dyDescent="0.25">
      <c r="A290" s="8"/>
    </row>
    <row r="291" spans="1:1" ht="13.8" x14ac:dyDescent="0.25">
      <c r="A291" s="8"/>
    </row>
    <row r="292" spans="1:1" ht="13.8" x14ac:dyDescent="0.25">
      <c r="A292" s="8"/>
    </row>
    <row r="293" spans="1:1" ht="13.8" x14ac:dyDescent="0.25">
      <c r="A293" s="8"/>
    </row>
    <row r="294" spans="1:1" ht="13.8" x14ac:dyDescent="0.25">
      <c r="A294" s="8"/>
    </row>
    <row r="295" spans="1:1" ht="13.8" x14ac:dyDescent="0.25">
      <c r="A295" s="8"/>
    </row>
    <row r="296" spans="1:1" ht="13.8" x14ac:dyDescent="0.25">
      <c r="A296" s="8"/>
    </row>
    <row r="297" spans="1:1" ht="13.8" x14ac:dyDescent="0.25">
      <c r="A297" s="8"/>
    </row>
    <row r="298" spans="1:1" ht="13.8" x14ac:dyDescent="0.25">
      <c r="A298" s="8"/>
    </row>
    <row r="299" spans="1:1" ht="13.8" x14ac:dyDescent="0.25">
      <c r="A299" s="8"/>
    </row>
    <row r="300" spans="1:1" ht="13.8" x14ac:dyDescent="0.25">
      <c r="A300" s="8"/>
    </row>
    <row r="301" spans="1:1" ht="13.8" x14ac:dyDescent="0.25">
      <c r="A301" s="8"/>
    </row>
    <row r="302" spans="1:1" ht="13.8" x14ac:dyDescent="0.25">
      <c r="A302" s="8"/>
    </row>
    <row r="303" spans="1:1" ht="13.8" x14ac:dyDescent="0.25">
      <c r="A303" s="8"/>
    </row>
    <row r="304" spans="1:1" ht="13.8" x14ac:dyDescent="0.25">
      <c r="A304" s="8"/>
    </row>
    <row r="305" spans="1:1" ht="13.8" x14ac:dyDescent="0.25">
      <c r="A305" s="8"/>
    </row>
    <row r="306" spans="1:1" ht="13.8" x14ac:dyDescent="0.25">
      <c r="A306" s="8"/>
    </row>
    <row r="307" spans="1:1" ht="13.8" x14ac:dyDescent="0.25">
      <c r="A307" s="8"/>
    </row>
    <row r="308" spans="1:1" ht="13.8" x14ac:dyDescent="0.25">
      <c r="A308" s="8"/>
    </row>
    <row r="309" spans="1:1" ht="13.8" x14ac:dyDescent="0.25">
      <c r="A309" s="8"/>
    </row>
    <row r="310" spans="1:1" ht="13.8" x14ac:dyDescent="0.25">
      <c r="A310" s="8"/>
    </row>
    <row r="311" spans="1:1" ht="13.8" x14ac:dyDescent="0.25">
      <c r="A311" s="8"/>
    </row>
    <row r="312" spans="1:1" ht="13.8" x14ac:dyDescent="0.25">
      <c r="A312" s="8"/>
    </row>
    <row r="313" spans="1:1" ht="13.8" x14ac:dyDescent="0.25">
      <c r="A313" s="8"/>
    </row>
    <row r="314" spans="1:1" ht="13.8" x14ac:dyDescent="0.25">
      <c r="A314" s="8"/>
    </row>
    <row r="315" spans="1:1" ht="13.8" x14ac:dyDescent="0.25">
      <c r="A315" s="8"/>
    </row>
    <row r="316" spans="1:1" ht="13.8" x14ac:dyDescent="0.25">
      <c r="A316" s="8"/>
    </row>
    <row r="317" spans="1:1" ht="13.8" x14ac:dyDescent="0.25">
      <c r="A317" s="8"/>
    </row>
    <row r="318" spans="1:1" ht="13.8" x14ac:dyDescent="0.25">
      <c r="A318" s="8"/>
    </row>
    <row r="319" spans="1:1" ht="13.8" x14ac:dyDescent="0.25">
      <c r="A319" s="8"/>
    </row>
    <row r="320" spans="1:1" ht="13.8" x14ac:dyDescent="0.25">
      <c r="A320" s="8"/>
    </row>
    <row r="321" spans="1:1" ht="13.8" x14ac:dyDescent="0.25">
      <c r="A321" s="8"/>
    </row>
    <row r="322" spans="1:1" ht="13.8" x14ac:dyDescent="0.25">
      <c r="A322" s="8"/>
    </row>
    <row r="323" spans="1:1" ht="13.8" x14ac:dyDescent="0.25">
      <c r="A323" s="8"/>
    </row>
    <row r="324" spans="1:1" ht="13.8" x14ac:dyDescent="0.25">
      <c r="A324" s="8"/>
    </row>
    <row r="325" spans="1:1" ht="13.8" x14ac:dyDescent="0.25">
      <c r="A325" s="8"/>
    </row>
    <row r="326" spans="1:1" ht="13.8" x14ac:dyDescent="0.25">
      <c r="A326" s="8"/>
    </row>
    <row r="327" spans="1:1" ht="13.8" x14ac:dyDescent="0.25">
      <c r="A327" s="8"/>
    </row>
    <row r="328" spans="1:1" ht="13.8" x14ac:dyDescent="0.25">
      <c r="A328" s="8"/>
    </row>
    <row r="329" spans="1:1" ht="13.8" x14ac:dyDescent="0.25">
      <c r="A329" s="8"/>
    </row>
    <row r="330" spans="1:1" ht="13.8" x14ac:dyDescent="0.25">
      <c r="A330" s="8"/>
    </row>
    <row r="331" spans="1:1" ht="13.8" x14ac:dyDescent="0.25">
      <c r="A331" s="8"/>
    </row>
    <row r="332" spans="1:1" ht="13.8" x14ac:dyDescent="0.25">
      <c r="A332" s="8"/>
    </row>
    <row r="333" spans="1:1" ht="13.8" x14ac:dyDescent="0.25">
      <c r="A333" s="8"/>
    </row>
    <row r="334" spans="1:1" ht="13.8" x14ac:dyDescent="0.25">
      <c r="A334" s="8"/>
    </row>
    <row r="335" spans="1:1" ht="13.8" x14ac:dyDescent="0.25">
      <c r="A335" s="8"/>
    </row>
    <row r="336" spans="1:1" ht="13.8" x14ac:dyDescent="0.25">
      <c r="A336" s="8"/>
    </row>
    <row r="337" spans="1:1" ht="13.8" x14ac:dyDescent="0.25">
      <c r="A337" s="8"/>
    </row>
    <row r="338" spans="1:1" ht="13.8" x14ac:dyDescent="0.25">
      <c r="A338" s="8"/>
    </row>
    <row r="339" spans="1:1" ht="13.8" x14ac:dyDescent="0.25">
      <c r="A339" s="8"/>
    </row>
    <row r="340" spans="1:1" ht="13.8" x14ac:dyDescent="0.25">
      <c r="A340" s="8"/>
    </row>
    <row r="341" spans="1:1" ht="13.8" x14ac:dyDescent="0.25">
      <c r="A341" s="8"/>
    </row>
    <row r="342" spans="1:1" ht="13.8" x14ac:dyDescent="0.25">
      <c r="A342" s="8"/>
    </row>
    <row r="343" spans="1:1" ht="13.8" x14ac:dyDescent="0.25">
      <c r="A343" s="8"/>
    </row>
    <row r="344" spans="1:1" ht="13.8" x14ac:dyDescent="0.25">
      <c r="A344" s="8"/>
    </row>
    <row r="345" spans="1:1" ht="13.8" x14ac:dyDescent="0.25">
      <c r="A345" s="8"/>
    </row>
    <row r="346" spans="1:1" ht="13.8" x14ac:dyDescent="0.25">
      <c r="A346" s="8"/>
    </row>
    <row r="347" spans="1:1" ht="13.8" x14ac:dyDescent="0.25">
      <c r="A347" s="8"/>
    </row>
    <row r="348" spans="1:1" ht="13.8" x14ac:dyDescent="0.25">
      <c r="A348" s="8"/>
    </row>
    <row r="349" spans="1:1" ht="13.8" x14ac:dyDescent="0.25">
      <c r="A349" s="8"/>
    </row>
    <row r="350" spans="1:1" ht="13.8" x14ac:dyDescent="0.25">
      <c r="A350" s="8"/>
    </row>
    <row r="351" spans="1:1" ht="13.8" x14ac:dyDescent="0.25">
      <c r="A351" s="8"/>
    </row>
    <row r="352" spans="1:1" ht="13.8" x14ac:dyDescent="0.25">
      <c r="A352" s="8"/>
    </row>
    <row r="353" spans="1:1" ht="13.8" x14ac:dyDescent="0.25">
      <c r="A353" s="8"/>
    </row>
    <row r="354" spans="1:1" ht="13.8" x14ac:dyDescent="0.25">
      <c r="A354" s="8"/>
    </row>
    <row r="355" spans="1:1" ht="13.8" x14ac:dyDescent="0.25">
      <c r="A355" s="8"/>
    </row>
    <row r="356" spans="1:1" ht="13.8" x14ac:dyDescent="0.25">
      <c r="A356" s="8"/>
    </row>
    <row r="357" spans="1:1" ht="13.8" x14ac:dyDescent="0.25">
      <c r="A357" s="8"/>
    </row>
    <row r="358" spans="1:1" ht="13.8" x14ac:dyDescent="0.25">
      <c r="A358" s="8"/>
    </row>
    <row r="359" spans="1:1" ht="13.8" x14ac:dyDescent="0.25">
      <c r="A359" s="8"/>
    </row>
    <row r="360" spans="1:1" ht="13.8" x14ac:dyDescent="0.25">
      <c r="A360" s="8"/>
    </row>
    <row r="361" spans="1:1" ht="13.8" x14ac:dyDescent="0.25">
      <c r="A361" s="8"/>
    </row>
    <row r="362" spans="1:1" ht="13.8" x14ac:dyDescent="0.25">
      <c r="A362" s="8"/>
    </row>
    <row r="363" spans="1:1" ht="13.8" x14ac:dyDescent="0.25">
      <c r="A363" s="8"/>
    </row>
    <row r="364" spans="1:1" ht="13.8" x14ac:dyDescent="0.25">
      <c r="A364" s="8"/>
    </row>
    <row r="365" spans="1:1" ht="13.8" x14ac:dyDescent="0.25">
      <c r="A365" s="8"/>
    </row>
    <row r="366" spans="1:1" ht="13.8" x14ac:dyDescent="0.25">
      <c r="A366" s="8"/>
    </row>
    <row r="367" spans="1:1" ht="13.8" x14ac:dyDescent="0.25">
      <c r="A367" s="8"/>
    </row>
    <row r="368" spans="1:1" ht="13.8" x14ac:dyDescent="0.25">
      <c r="A368" s="8"/>
    </row>
    <row r="369" spans="1:1" ht="13.8" x14ac:dyDescent="0.25">
      <c r="A369" s="8"/>
    </row>
    <row r="370" spans="1:1" ht="13.8" x14ac:dyDescent="0.25">
      <c r="A370" s="8"/>
    </row>
    <row r="371" spans="1:1" ht="13.8" x14ac:dyDescent="0.25">
      <c r="A371" s="8"/>
    </row>
    <row r="372" spans="1:1" ht="13.8" x14ac:dyDescent="0.25">
      <c r="A372" s="8"/>
    </row>
    <row r="373" spans="1:1" ht="13.8" x14ac:dyDescent="0.25">
      <c r="A373" s="8"/>
    </row>
    <row r="374" spans="1:1" ht="13.8" x14ac:dyDescent="0.25">
      <c r="A374" s="8"/>
    </row>
    <row r="375" spans="1:1" ht="13.8" x14ac:dyDescent="0.25">
      <c r="A375" s="8"/>
    </row>
    <row r="376" spans="1:1" ht="13.8" x14ac:dyDescent="0.25">
      <c r="A376" s="8"/>
    </row>
    <row r="377" spans="1:1" ht="13.8" x14ac:dyDescent="0.25">
      <c r="A377" s="8"/>
    </row>
    <row r="378" spans="1:1" ht="13.8" x14ac:dyDescent="0.25">
      <c r="A378" s="8"/>
    </row>
    <row r="379" spans="1:1" ht="13.8" x14ac:dyDescent="0.25">
      <c r="A379" s="8"/>
    </row>
    <row r="380" spans="1:1" ht="13.8" x14ac:dyDescent="0.25">
      <c r="A380" s="8"/>
    </row>
    <row r="381" spans="1:1" ht="13.8" x14ac:dyDescent="0.25">
      <c r="A381" s="8"/>
    </row>
    <row r="382" spans="1:1" ht="13.8" x14ac:dyDescent="0.25">
      <c r="A382" s="8"/>
    </row>
    <row r="383" spans="1:1" ht="13.8" x14ac:dyDescent="0.25">
      <c r="A383" s="8"/>
    </row>
    <row r="384" spans="1:1" ht="13.8" x14ac:dyDescent="0.25">
      <c r="A384" s="8"/>
    </row>
    <row r="385" spans="1:1" ht="13.8" x14ac:dyDescent="0.25">
      <c r="A385" s="8"/>
    </row>
    <row r="386" spans="1:1" ht="13.8" x14ac:dyDescent="0.25">
      <c r="A386" s="8"/>
    </row>
    <row r="387" spans="1:1" ht="13.8" x14ac:dyDescent="0.25">
      <c r="A387" s="8"/>
    </row>
    <row r="388" spans="1:1" ht="13.8" x14ac:dyDescent="0.25">
      <c r="A388" s="8"/>
    </row>
    <row r="389" spans="1:1" ht="13.8" x14ac:dyDescent="0.25">
      <c r="A389" s="8"/>
    </row>
    <row r="390" spans="1:1" ht="13.8" x14ac:dyDescent="0.25">
      <c r="A390" s="8"/>
    </row>
    <row r="391" spans="1:1" ht="13.8" x14ac:dyDescent="0.25">
      <c r="A391" s="8"/>
    </row>
    <row r="392" spans="1:1" ht="13.8" x14ac:dyDescent="0.25">
      <c r="A392" s="8"/>
    </row>
    <row r="393" spans="1:1" ht="13.8" x14ac:dyDescent="0.25">
      <c r="A393" s="8"/>
    </row>
    <row r="394" spans="1:1" ht="13.8" x14ac:dyDescent="0.25">
      <c r="A394" s="8"/>
    </row>
    <row r="395" spans="1:1" ht="13.8" x14ac:dyDescent="0.25">
      <c r="A395" s="8"/>
    </row>
    <row r="396" spans="1:1" ht="13.8" x14ac:dyDescent="0.25">
      <c r="A396" s="8"/>
    </row>
    <row r="397" spans="1:1" ht="13.8" x14ac:dyDescent="0.25">
      <c r="A397" s="8"/>
    </row>
    <row r="398" spans="1:1" ht="13.8" x14ac:dyDescent="0.25">
      <c r="A398" s="8"/>
    </row>
    <row r="399" spans="1:1" ht="13.8" x14ac:dyDescent="0.25">
      <c r="A399" s="8"/>
    </row>
    <row r="400" spans="1:1" ht="13.8" x14ac:dyDescent="0.25">
      <c r="A400" s="8"/>
    </row>
    <row r="401" spans="1:1" ht="13.8" x14ac:dyDescent="0.25">
      <c r="A401" s="8"/>
    </row>
    <row r="402" spans="1:1" ht="13.8" x14ac:dyDescent="0.25">
      <c r="A402" s="8"/>
    </row>
    <row r="403" spans="1:1" ht="13.8" x14ac:dyDescent="0.25">
      <c r="A403" s="8"/>
    </row>
    <row r="404" spans="1:1" ht="13.8" x14ac:dyDescent="0.25">
      <c r="A404" s="8"/>
    </row>
    <row r="405" spans="1:1" ht="13.8" x14ac:dyDescent="0.25">
      <c r="A405" s="8"/>
    </row>
    <row r="406" spans="1:1" ht="13.8" x14ac:dyDescent="0.25">
      <c r="A406" s="8"/>
    </row>
    <row r="407" spans="1:1" ht="13.8" x14ac:dyDescent="0.25">
      <c r="A407" s="8"/>
    </row>
    <row r="408" spans="1:1" ht="13.8" x14ac:dyDescent="0.25">
      <c r="A408" s="8"/>
    </row>
    <row r="409" spans="1:1" ht="13.8" x14ac:dyDescent="0.25">
      <c r="A409" s="8"/>
    </row>
    <row r="410" spans="1:1" ht="13.8" x14ac:dyDescent="0.25">
      <c r="A410" s="8"/>
    </row>
    <row r="411" spans="1:1" ht="13.8" x14ac:dyDescent="0.25">
      <c r="A411" s="8"/>
    </row>
    <row r="412" spans="1:1" ht="13.8" x14ac:dyDescent="0.25">
      <c r="A412" s="8"/>
    </row>
    <row r="413" spans="1:1" ht="13.8" x14ac:dyDescent="0.25">
      <c r="A413" s="8"/>
    </row>
    <row r="414" spans="1:1" ht="13.8" x14ac:dyDescent="0.25">
      <c r="A414" s="8"/>
    </row>
    <row r="415" spans="1:1" ht="13.8" x14ac:dyDescent="0.25">
      <c r="A415" s="8"/>
    </row>
    <row r="416" spans="1:1" ht="13.8" x14ac:dyDescent="0.25">
      <c r="A416" s="8"/>
    </row>
    <row r="417" spans="1:1" ht="13.8" x14ac:dyDescent="0.25">
      <c r="A417" s="8"/>
    </row>
    <row r="418" spans="1:1" ht="13.8" x14ac:dyDescent="0.25">
      <c r="A418" s="8"/>
    </row>
    <row r="419" spans="1:1" ht="13.8" x14ac:dyDescent="0.25">
      <c r="A419" s="8"/>
    </row>
    <row r="420" spans="1:1" ht="13.8" x14ac:dyDescent="0.25">
      <c r="A420" s="8"/>
    </row>
    <row r="421" spans="1:1" ht="13.8" x14ac:dyDescent="0.25">
      <c r="A421" s="8"/>
    </row>
    <row r="422" spans="1:1" ht="13.8" x14ac:dyDescent="0.25">
      <c r="A422" s="8"/>
    </row>
    <row r="423" spans="1:1" ht="13.8" x14ac:dyDescent="0.25">
      <c r="A423" s="8"/>
    </row>
    <row r="424" spans="1:1" ht="13.8" x14ac:dyDescent="0.25">
      <c r="A424" s="8"/>
    </row>
    <row r="425" spans="1:1" ht="13.8" x14ac:dyDescent="0.25">
      <c r="A425" s="8"/>
    </row>
    <row r="426" spans="1:1" ht="13.8" x14ac:dyDescent="0.25">
      <c r="A426" s="8"/>
    </row>
    <row r="427" spans="1:1" ht="13.8" x14ac:dyDescent="0.25">
      <c r="A427" s="8"/>
    </row>
    <row r="428" spans="1:1" ht="13.8" x14ac:dyDescent="0.25">
      <c r="A428" s="8"/>
    </row>
    <row r="429" spans="1:1" ht="13.8" x14ac:dyDescent="0.25">
      <c r="A429" s="8"/>
    </row>
    <row r="430" spans="1:1" ht="13.8" x14ac:dyDescent="0.25">
      <c r="A430" s="8"/>
    </row>
    <row r="431" spans="1:1" ht="13.8" x14ac:dyDescent="0.25">
      <c r="A431" s="8"/>
    </row>
    <row r="432" spans="1:1" ht="13.8" x14ac:dyDescent="0.25">
      <c r="A432" s="8"/>
    </row>
    <row r="433" spans="1:1" ht="13.8" x14ac:dyDescent="0.25">
      <c r="A433" s="8"/>
    </row>
    <row r="434" spans="1:1" ht="13.8" x14ac:dyDescent="0.25">
      <c r="A434" s="8"/>
    </row>
    <row r="435" spans="1:1" ht="13.8" x14ac:dyDescent="0.25">
      <c r="A435" s="8"/>
    </row>
    <row r="436" spans="1:1" ht="13.8" x14ac:dyDescent="0.25">
      <c r="A436" s="8"/>
    </row>
    <row r="437" spans="1:1" ht="13.8" x14ac:dyDescent="0.25">
      <c r="A437" s="8"/>
    </row>
    <row r="438" spans="1:1" ht="13.8" x14ac:dyDescent="0.25">
      <c r="A438" s="8"/>
    </row>
    <row r="439" spans="1:1" ht="13.8" x14ac:dyDescent="0.25">
      <c r="A439" s="8"/>
    </row>
    <row r="440" spans="1:1" ht="13.8" x14ac:dyDescent="0.25">
      <c r="A440" s="8"/>
    </row>
    <row r="441" spans="1:1" ht="13.8" x14ac:dyDescent="0.25">
      <c r="A441" s="8"/>
    </row>
    <row r="442" spans="1:1" ht="13.8" x14ac:dyDescent="0.25">
      <c r="A442" s="8"/>
    </row>
    <row r="443" spans="1:1" ht="13.8" x14ac:dyDescent="0.25">
      <c r="A443" s="8"/>
    </row>
    <row r="444" spans="1:1" ht="13.8" x14ac:dyDescent="0.25">
      <c r="A444" s="8"/>
    </row>
    <row r="445" spans="1:1" ht="13.8" x14ac:dyDescent="0.25">
      <c r="A445" s="8"/>
    </row>
    <row r="446" spans="1:1" ht="13.8" x14ac:dyDescent="0.25">
      <c r="A446" s="8"/>
    </row>
    <row r="447" spans="1:1" ht="13.8" x14ac:dyDescent="0.25">
      <c r="A447" s="8"/>
    </row>
    <row r="448" spans="1:1" ht="13.8" x14ac:dyDescent="0.25">
      <c r="A448" s="8"/>
    </row>
    <row r="449" spans="1:1" ht="13.8" x14ac:dyDescent="0.25">
      <c r="A449" s="8"/>
    </row>
    <row r="450" spans="1:1" ht="13.8" x14ac:dyDescent="0.25">
      <c r="A450" s="8"/>
    </row>
    <row r="451" spans="1:1" ht="13.8" x14ac:dyDescent="0.25">
      <c r="A451" s="8"/>
    </row>
    <row r="452" spans="1:1" ht="13.8" x14ac:dyDescent="0.25">
      <c r="A452" s="8"/>
    </row>
    <row r="453" spans="1:1" ht="13.8" x14ac:dyDescent="0.25">
      <c r="A453" s="8"/>
    </row>
    <row r="454" spans="1:1" ht="13.8" x14ac:dyDescent="0.25">
      <c r="A454" s="8"/>
    </row>
    <row r="455" spans="1:1" ht="13.8" x14ac:dyDescent="0.25">
      <c r="A455" s="8"/>
    </row>
    <row r="456" spans="1:1" ht="13.8" x14ac:dyDescent="0.25">
      <c r="A456" s="8"/>
    </row>
    <row r="457" spans="1:1" ht="13.8" x14ac:dyDescent="0.25">
      <c r="A457" s="8"/>
    </row>
    <row r="458" spans="1:1" ht="13.8" x14ac:dyDescent="0.25">
      <c r="A458" s="8"/>
    </row>
    <row r="459" spans="1:1" ht="13.8" x14ac:dyDescent="0.25">
      <c r="A459" s="8"/>
    </row>
    <row r="460" spans="1:1" ht="13.8" x14ac:dyDescent="0.25">
      <c r="A460" s="8"/>
    </row>
    <row r="461" spans="1:1" ht="13.8" x14ac:dyDescent="0.25">
      <c r="A461" s="8"/>
    </row>
    <row r="462" spans="1:1" ht="13.8" x14ac:dyDescent="0.25">
      <c r="A462" s="8"/>
    </row>
    <row r="463" spans="1:1" ht="13.8" x14ac:dyDescent="0.25">
      <c r="A463" s="8"/>
    </row>
    <row r="464" spans="1:1" ht="13.8" x14ac:dyDescent="0.25">
      <c r="A464" s="8"/>
    </row>
    <row r="465" spans="1:1" ht="13.8" x14ac:dyDescent="0.25">
      <c r="A465" s="8"/>
    </row>
    <row r="466" spans="1:1" ht="13.8" x14ac:dyDescent="0.25">
      <c r="A466" s="8"/>
    </row>
    <row r="467" spans="1:1" ht="13.8" x14ac:dyDescent="0.25">
      <c r="A467" s="8"/>
    </row>
    <row r="468" spans="1:1" ht="13.8" x14ac:dyDescent="0.25">
      <c r="A468" s="8"/>
    </row>
    <row r="469" spans="1:1" ht="13.8" x14ac:dyDescent="0.25">
      <c r="A469" s="8"/>
    </row>
    <row r="470" spans="1:1" ht="13.8" x14ac:dyDescent="0.25">
      <c r="A470" s="8"/>
    </row>
    <row r="471" spans="1:1" ht="13.8" x14ac:dyDescent="0.25">
      <c r="A471" s="8"/>
    </row>
    <row r="472" spans="1:1" ht="13.8" x14ac:dyDescent="0.25">
      <c r="A472" s="8"/>
    </row>
    <row r="473" spans="1:1" ht="13.8" x14ac:dyDescent="0.25">
      <c r="A473" s="8"/>
    </row>
    <row r="474" spans="1:1" ht="13.8" x14ac:dyDescent="0.25">
      <c r="A474" s="8"/>
    </row>
    <row r="475" spans="1:1" ht="13.8" x14ac:dyDescent="0.25">
      <c r="A475" s="8"/>
    </row>
    <row r="476" spans="1:1" ht="13.8" x14ac:dyDescent="0.25">
      <c r="A476" s="8"/>
    </row>
    <row r="477" spans="1:1" ht="13.8" x14ac:dyDescent="0.25">
      <c r="A477" s="8"/>
    </row>
    <row r="478" spans="1:1" ht="13.8" x14ac:dyDescent="0.25">
      <c r="A478" s="8"/>
    </row>
    <row r="479" spans="1:1" ht="13.8" x14ac:dyDescent="0.25">
      <c r="A479" s="8"/>
    </row>
    <row r="480" spans="1:1" ht="13.8" x14ac:dyDescent="0.25">
      <c r="A480" s="8"/>
    </row>
    <row r="481" spans="1:1" ht="13.8" x14ac:dyDescent="0.25">
      <c r="A481" s="8"/>
    </row>
    <row r="482" spans="1:1" ht="13.8" x14ac:dyDescent="0.25">
      <c r="A482" s="8"/>
    </row>
    <row r="483" spans="1:1" ht="13.8" x14ac:dyDescent="0.25">
      <c r="A483" s="8"/>
    </row>
    <row r="484" spans="1:1" ht="13.8" x14ac:dyDescent="0.25">
      <c r="A484" s="8"/>
    </row>
    <row r="485" spans="1:1" ht="13.8" x14ac:dyDescent="0.25">
      <c r="A485" s="8"/>
    </row>
    <row r="486" spans="1:1" ht="13.8" x14ac:dyDescent="0.25">
      <c r="A486" s="8"/>
    </row>
    <row r="487" spans="1:1" ht="13.8" x14ac:dyDescent="0.25">
      <c r="A487" s="8"/>
    </row>
    <row r="488" spans="1:1" ht="13.8" x14ac:dyDescent="0.25">
      <c r="A488" s="8"/>
    </row>
    <row r="489" spans="1:1" ht="13.8" x14ac:dyDescent="0.25">
      <c r="A489" s="8"/>
    </row>
    <row r="490" spans="1:1" ht="13.8" x14ac:dyDescent="0.25">
      <c r="A490" s="8"/>
    </row>
    <row r="491" spans="1:1" ht="13.8" x14ac:dyDescent="0.25">
      <c r="A491" s="8"/>
    </row>
    <row r="492" spans="1:1" ht="13.8" x14ac:dyDescent="0.25">
      <c r="A492" s="8"/>
    </row>
    <row r="493" spans="1:1" ht="13.8" x14ac:dyDescent="0.25">
      <c r="A493" s="8"/>
    </row>
    <row r="494" spans="1:1" ht="13.8" x14ac:dyDescent="0.25">
      <c r="A494" s="8"/>
    </row>
    <row r="495" spans="1:1" ht="13.8" x14ac:dyDescent="0.25">
      <c r="A495" s="8"/>
    </row>
    <row r="496" spans="1:1" ht="13.8" x14ac:dyDescent="0.25">
      <c r="A496" s="8"/>
    </row>
    <row r="497" spans="1:1" ht="13.8" x14ac:dyDescent="0.25">
      <c r="A497" s="8"/>
    </row>
    <row r="498" spans="1:1" ht="13.8" x14ac:dyDescent="0.25">
      <c r="A498" s="8"/>
    </row>
    <row r="499" spans="1:1" ht="13.8" x14ac:dyDescent="0.25">
      <c r="A499" s="8"/>
    </row>
    <row r="500" spans="1:1" ht="13.8" x14ac:dyDescent="0.25">
      <c r="A500" s="8"/>
    </row>
    <row r="501" spans="1:1" ht="13.8" x14ac:dyDescent="0.25">
      <c r="A501" s="8"/>
    </row>
    <row r="502" spans="1:1" ht="13.8" x14ac:dyDescent="0.25">
      <c r="A502" s="8"/>
    </row>
    <row r="503" spans="1:1" ht="13.8" x14ac:dyDescent="0.25">
      <c r="A503" s="8"/>
    </row>
    <row r="504" spans="1:1" ht="13.8" x14ac:dyDescent="0.25">
      <c r="A504" s="8"/>
    </row>
    <row r="505" spans="1:1" ht="13.8" x14ac:dyDescent="0.25">
      <c r="A505" s="8"/>
    </row>
    <row r="506" spans="1:1" ht="13.8" x14ac:dyDescent="0.25">
      <c r="A506" s="8"/>
    </row>
    <row r="507" spans="1:1" ht="13.8" x14ac:dyDescent="0.25">
      <c r="A507" s="8"/>
    </row>
    <row r="508" spans="1:1" ht="13.8" x14ac:dyDescent="0.25">
      <c r="A508" s="8"/>
    </row>
    <row r="509" spans="1:1" ht="13.8" x14ac:dyDescent="0.25">
      <c r="A509" s="8"/>
    </row>
    <row r="510" spans="1:1" ht="13.8" x14ac:dyDescent="0.25">
      <c r="A510" s="8"/>
    </row>
    <row r="511" spans="1:1" ht="13.8" x14ac:dyDescent="0.25">
      <c r="A511" s="8"/>
    </row>
    <row r="512" spans="1:1" ht="13.8" x14ac:dyDescent="0.25">
      <c r="A512" s="8"/>
    </row>
    <row r="513" spans="1:1" ht="13.8" x14ac:dyDescent="0.25">
      <c r="A513" s="8"/>
    </row>
    <row r="514" spans="1:1" ht="13.8" x14ac:dyDescent="0.25">
      <c r="A514" s="8"/>
    </row>
    <row r="515" spans="1:1" ht="13.8" x14ac:dyDescent="0.25">
      <c r="A515" s="8"/>
    </row>
    <row r="516" spans="1:1" ht="13.8" x14ac:dyDescent="0.25">
      <c r="A516" s="8"/>
    </row>
    <row r="517" spans="1:1" ht="13.8" x14ac:dyDescent="0.25">
      <c r="A517" s="8"/>
    </row>
    <row r="518" spans="1:1" ht="13.8" x14ac:dyDescent="0.25">
      <c r="A518" s="8"/>
    </row>
    <row r="519" spans="1:1" ht="13.8" x14ac:dyDescent="0.25">
      <c r="A519" s="8"/>
    </row>
    <row r="520" spans="1:1" ht="13.8" x14ac:dyDescent="0.25">
      <c r="A520" s="8"/>
    </row>
    <row r="521" spans="1:1" ht="13.8" x14ac:dyDescent="0.25">
      <c r="A521" s="8"/>
    </row>
    <row r="522" spans="1:1" ht="13.8" x14ac:dyDescent="0.25">
      <c r="A522" s="8"/>
    </row>
    <row r="523" spans="1:1" ht="13.8" x14ac:dyDescent="0.25">
      <c r="A523" s="8"/>
    </row>
    <row r="524" spans="1:1" ht="13.8" x14ac:dyDescent="0.25">
      <c r="A524" s="8"/>
    </row>
    <row r="525" spans="1:1" ht="13.8" x14ac:dyDescent="0.25">
      <c r="A525" s="8"/>
    </row>
    <row r="526" spans="1:1" ht="13.8" x14ac:dyDescent="0.25">
      <c r="A526" s="8"/>
    </row>
    <row r="527" spans="1:1" ht="13.8" x14ac:dyDescent="0.25">
      <c r="A527" s="8"/>
    </row>
    <row r="528" spans="1:1" ht="13.8" x14ac:dyDescent="0.25">
      <c r="A528" s="8"/>
    </row>
    <row r="529" spans="1:1" ht="13.8" x14ac:dyDescent="0.25">
      <c r="A529" s="8"/>
    </row>
    <row r="530" spans="1:1" ht="13.8" x14ac:dyDescent="0.25">
      <c r="A530" s="8"/>
    </row>
    <row r="531" spans="1:1" ht="13.8" x14ac:dyDescent="0.25">
      <c r="A531" s="8"/>
    </row>
    <row r="532" spans="1:1" ht="13.8" x14ac:dyDescent="0.25">
      <c r="A532" s="8"/>
    </row>
    <row r="533" spans="1:1" ht="13.8" x14ac:dyDescent="0.25">
      <c r="A533" s="8"/>
    </row>
    <row r="534" spans="1:1" ht="13.8" x14ac:dyDescent="0.25">
      <c r="A534" s="8"/>
    </row>
    <row r="535" spans="1:1" ht="13.8" x14ac:dyDescent="0.25">
      <c r="A535" s="8"/>
    </row>
    <row r="536" spans="1:1" ht="13.8" x14ac:dyDescent="0.25">
      <c r="A536" s="8"/>
    </row>
    <row r="537" spans="1:1" ht="13.8" x14ac:dyDescent="0.25">
      <c r="A537" s="8"/>
    </row>
    <row r="538" spans="1:1" ht="13.8" x14ac:dyDescent="0.25">
      <c r="A538" s="8"/>
    </row>
    <row r="539" spans="1:1" ht="13.8" x14ac:dyDescent="0.25">
      <c r="A539" s="8"/>
    </row>
    <row r="540" spans="1:1" ht="13.8" x14ac:dyDescent="0.25">
      <c r="A540" s="8"/>
    </row>
    <row r="541" spans="1:1" ht="13.8" x14ac:dyDescent="0.25">
      <c r="A541" s="8"/>
    </row>
    <row r="542" spans="1:1" ht="13.8" x14ac:dyDescent="0.25">
      <c r="A542" s="8"/>
    </row>
    <row r="543" spans="1:1" ht="13.8" x14ac:dyDescent="0.25">
      <c r="A543" s="8"/>
    </row>
    <row r="544" spans="1:1" ht="13.8" x14ac:dyDescent="0.25">
      <c r="A544" s="8"/>
    </row>
    <row r="545" spans="1:1" ht="13.8" x14ac:dyDescent="0.25">
      <c r="A545" s="8"/>
    </row>
    <row r="546" spans="1:1" ht="13.8" x14ac:dyDescent="0.25">
      <c r="A546" s="8"/>
    </row>
    <row r="547" spans="1:1" ht="13.8" x14ac:dyDescent="0.25">
      <c r="A547" s="8"/>
    </row>
    <row r="548" spans="1:1" ht="13.8" x14ac:dyDescent="0.25">
      <c r="A548" s="8"/>
    </row>
    <row r="549" spans="1:1" ht="13.8" x14ac:dyDescent="0.25">
      <c r="A549" s="8"/>
    </row>
    <row r="550" spans="1:1" ht="13.8" x14ac:dyDescent="0.25">
      <c r="A550" s="8"/>
    </row>
    <row r="551" spans="1:1" ht="13.8" x14ac:dyDescent="0.25">
      <c r="A551" s="8"/>
    </row>
    <row r="552" spans="1:1" ht="13.8" x14ac:dyDescent="0.25">
      <c r="A552" s="8"/>
    </row>
    <row r="553" spans="1:1" ht="13.8" x14ac:dyDescent="0.25">
      <c r="A553" s="8"/>
    </row>
    <row r="554" spans="1:1" ht="13.8" x14ac:dyDescent="0.25">
      <c r="A554" s="8"/>
    </row>
    <row r="555" spans="1:1" ht="13.8" x14ac:dyDescent="0.25">
      <c r="A555" s="8"/>
    </row>
    <row r="556" spans="1:1" ht="13.8" x14ac:dyDescent="0.25">
      <c r="A556" s="8"/>
    </row>
    <row r="557" spans="1:1" ht="13.8" x14ac:dyDescent="0.25">
      <c r="A557" s="8"/>
    </row>
    <row r="558" spans="1:1" ht="13.8" x14ac:dyDescent="0.25">
      <c r="A558" s="8"/>
    </row>
    <row r="559" spans="1:1" ht="13.8" x14ac:dyDescent="0.25">
      <c r="A559" s="8"/>
    </row>
    <row r="560" spans="1:1" ht="13.8" x14ac:dyDescent="0.25">
      <c r="A560" s="8"/>
    </row>
    <row r="561" spans="1:1" ht="13.8" x14ac:dyDescent="0.25">
      <c r="A561" s="8"/>
    </row>
    <row r="562" spans="1:1" ht="13.8" x14ac:dyDescent="0.25">
      <c r="A562" s="8"/>
    </row>
    <row r="563" spans="1:1" ht="13.8" x14ac:dyDescent="0.25">
      <c r="A563" s="8"/>
    </row>
    <row r="564" spans="1:1" ht="13.8" x14ac:dyDescent="0.25">
      <c r="A564" s="8"/>
    </row>
    <row r="565" spans="1:1" ht="13.8" x14ac:dyDescent="0.25">
      <c r="A565" s="8"/>
    </row>
    <row r="566" spans="1:1" ht="13.8" x14ac:dyDescent="0.25">
      <c r="A566" s="8"/>
    </row>
    <row r="567" spans="1:1" ht="13.8" x14ac:dyDescent="0.25">
      <c r="A567" s="8"/>
    </row>
    <row r="568" spans="1:1" ht="13.8" x14ac:dyDescent="0.25">
      <c r="A568" s="8"/>
    </row>
    <row r="569" spans="1:1" ht="13.8" x14ac:dyDescent="0.25">
      <c r="A569" s="8"/>
    </row>
    <row r="570" spans="1:1" ht="13.8" x14ac:dyDescent="0.25">
      <c r="A570" s="8"/>
    </row>
    <row r="571" spans="1:1" ht="13.8" x14ac:dyDescent="0.25">
      <c r="A571" s="8"/>
    </row>
    <row r="572" spans="1:1" ht="13.8" x14ac:dyDescent="0.25">
      <c r="A572" s="8"/>
    </row>
    <row r="573" spans="1:1" ht="13.8" x14ac:dyDescent="0.25">
      <c r="A573" s="8"/>
    </row>
    <row r="574" spans="1:1" ht="13.8" x14ac:dyDescent="0.25">
      <c r="A574" s="8"/>
    </row>
    <row r="575" spans="1:1" ht="13.8" x14ac:dyDescent="0.25">
      <c r="A575" s="8"/>
    </row>
    <row r="576" spans="1:1" ht="13.8" x14ac:dyDescent="0.25">
      <c r="A576" s="8"/>
    </row>
    <row r="577" spans="1:1" ht="13.8" x14ac:dyDescent="0.25">
      <c r="A577" s="8"/>
    </row>
    <row r="578" spans="1:1" ht="13.8" x14ac:dyDescent="0.25">
      <c r="A578" s="8"/>
    </row>
    <row r="579" spans="1:1" ht="13.8" x14ac:dyDescent="0.25">
      <c r="A579" s="8"/>
    </row>
    <row r="580" spans="1:1" ht="13.8" x14ac:dyDescent="0.25">
      <c r="A580" s="8"/>
    </row>
    <row r="581" spans="1:1" ht="13.8" x14ac:dyDescent="0.25">
      <c r="A581" s="8"/>
    </row>
    <row r="582" spans="1:1" ht="13.8" x14ac:dyDescent="0.25">
      <c r="A582" s="8"/>
    </row>
    <row r="583" spans="1:1" ht="13.8" x14ac:dyDescent="0.25">
      <c r="A583" s="8"/>
    </row>
    <row r="584" spans="1:1" ht="13.8" x14ac:dyDescent="0.25">
      <c r="A584" s="8"/>
    </row>
    <row r="585" spans="1:1" ht="13.8" x14ac:dyDescent="0.25">
      <c r="A585" s="8"/>
    </row>
    <row r="586" spans="1:1" ht="13.8" x14ac:dyDescent="0.25">
      <c r="A586" s="8"/>
    </row>
    <row r="587" spans="1:1" ht="13.8" x14ac:dyDescent="0.25">
      <c r="A587" s="8"/>
    </row>
    <row r="588" spans="1:1" ht="13.8" x14ac:dyDescent="0.25">
      <c r="A588" s="8"/>
    </row>
    <row r="589" spans="1:1" ht="13.8" x14ac:dyDescent="0.25">
      <c r="A589" s="8"/>
    </row>
    <row r="590" spans="1:1" ht="13.8" x14ac:dyDescent="0.25">
      <c r="A590" s="8"/>
    </row>
    <row r="591" spans="1:1" ht="13.8" x14ac:dyDescent="0.25">
      <c r="A591" s="8"/>
    </row>
    <row r="592" spans="1:1" ht="13.8" x14ac:dyDescent="0.25">
      <c r="A592" s="8"/>
    </row>
    <row r="593" spans="1:1" ht="13.8" x14ac:dyDescent="0.25">
      <c r="A593" s="8"/>
    </row>
    <row r="594" spans="1:1" ht="13.8" x14ac:dyDescent="0.25">
      <c r="A594" s="8"/>
    </row>
    <row r="595" spans="1:1" ht="13.8" x14ac:dyDescent="0.25">
      <c r="A595" s="8"/>
    </row>
    <row r="596" spans="1:1" ht="13.8" x14ac:dyDescent="0.25">
      <c r="A596" s="8"/>
    </row>
    <row r="597" spans="1:1" ht="13.8" x14ac:dyDescent="0.25">
      <c r="A597" s="8"/>
    </row>
    <row r="598" spans="1:1" ht="13.8" x14ac:dyDescent="0.25">
      <c r="A598" s="8"/>
    </row>
    <row r="599" spans="1:1" ht="13.8" x14ac:dyDescent="0.25">
      <c r="A599" s="8"/>
    </row>
    <row r="600" spans="1:1" ht="13.8" x14ac:dyDescent="0.25">
      <c r="A600" s="8"/>
    </row>
    <row r="601" spans="1:1" ht="13.8" x14ac:dyDescent="0.25">
      <c r="A601" s="8"/>
    </row>
    <row r="602" spans="1:1" ht="13.8" x14ac:dyDescent="0.25">
      <c r="A602" s="8"/>
    </row>
    <row r="603" spans="1:1" ht="13.8" x14ac:dyDescent="0.25">
      <c r="A603" s="8"/>
    </row>
    <row r="604" spans="1:1" ht="13.8" x14ac:dyDescent="0.25">
      <c r="A604" s="8"/>
    </row>
    <row r="605" spans="1:1" ht="13.8" x14ac:dyDescent="0.25">
      <c r="A605" s="8"/>
    </row>
    <row r="606" spans="1:1" ht="13.8" x14ac:dyDescent="0.25">
      <c r="A606" s="8"/>
    </row>
    <row r="607" spans="1:1" ht="13.8" x14ac:dyDescent="0.25">
      <c r="A607" s="8"/>
    </row>
    <row r="608" spans="1:1" ht="13.8" x14ac:dyDescent="0.25">
      <c r="A608" s="8"/>
    </row>
    <row r="609" spans="1:1" ht="13.8" x14ac:dyDescent="0.25">
      <c r="A609" s="8"/>
    </row>
    <row r="610" spans="1:1" ht="13.8" x14ac:dyDescent="0.25">
      <c r="A610" s="8"/>
    </row>
    <row r="611" spans="1:1" ht="13.8" x14ac:dyDescent="0.25">
      <c r="A611" s="8"/>
    </row>
    <row r="612" spans="1:1" ht="13.8" x14ac:dyDescent="0.25">
      <c r="A612" s="8"/>
    </row>
    <row r="613" spans="1:1" ht="13.8" x14ac:dyDescent="0.25">
      <c r="A613" s="8"/>
    </row>
    <row r="614" spans="1:1" ht="13.8" x14ac:dyDescent="0.25">
      <c r="A614" s="8"/>
    </row>
    <row r="615" spans="1:1" ht="13.8" x14ac:dyDescent="0.25">
      <c r="A615" s="8"/>
    </row>
    <row r="616" spans="1:1" ht="13.8" x14ac:dyDescent="0.25">
      <c r="A616" s="8"/>
    </row>
    <row r="617" spans="1:1" ht="13.8" x14ac:dyDescent="0.25">
      <c r="A617" s="8"/>
    </row>
    <row r="618" spans="1:1" ht="13.8" x14ac:dyDescent="0.25">
      <c r="A618" s="8"/>
    </row>
    <row r="619" spans="1:1" ht="13.8" x14ac:dyDescent="0.25">
      <c r="A619" s="8"/>
    </row>
    <row r="620" spans="1:1" ht="13.8" x14ac:dyDescent="0.25">
      <c r="A620" s="8"/>
    </row>
    <row r="621" spans="1:1" ht="13.8" x14ac:dyDescent="0.25">
      <c r="A621" s="8"/>
    </row>
    <row r="622" spans="1:1" ht="13.8" x14ac:dyDescent="0.25">
      <c r="A622" s="8"/>
    </row>
    <row r="623" spans="1:1" ht="13.8" x14ac:dyDescent="0.25">
      <c r="A623" s="8"/>
    </row>
    <row r="624" spans="1:1" ht="13.8" x14ac:dyDescent="0.25">
      <c r="A624" s="8"/>
    </row>
    <row r="625" spans="1:1" ht="13.8" x14ac:dyDescent="0.25">
      <c r="A625" s="8"/>
    </row>
    <row r="626" spans="1:1" ht="13.8" x14ac:dyDescent="0.25">
      <c r="A626" s="8"/>
    </row>
    <row r="627" spans="1:1" ht="13.8" x14ac:dyDescent="0.25">
      <c r="A627" s="8"/>
    </row>
    <row r="628" spans="1:1" ht="13.8" x14ac:dyDescent="0.25">
      <c r="A628" s="8"/>
    </row>
    <row r="629" spans="1:1" ht="13.8" x14ac:dyDescent="0.25">
      <c r="A629" s="8"/>
    </row>
    <row r="630" spans="1:1" ht="13.8" x14ac:dyDescent="0.25">
      <c r="A630" s="8"/>
    </row>
    <row r="631" spans="1:1" ht="13.8" x14ac:dyDescent="0.25">
      <c r="A631" s="8"/>
    </row>
    <row r="632" spans="1:1" ht="13.8" x14ac:dyDescent="0.25">
      <c r="A632" s="8"/>
    </row>
    <row r="633" spans="1:1" ht="13.8" x14ac:dyDescent="0.25">
      <c r="A633" s="8"/>
    </row>
    <row r="634" spans="1:1" ht="13.8" x14ac:dyDescent="0.25">
      <c r="A634" s="8"/>
    </row>
    <row r="635" spans="1:1" ht="13.8" x14ac:dyDescent="0.25">
      <c r="A635" s="8"/>
    </row>
    <row r="636" spans="1:1" ht="13.8" x14ac:dyDescent="0.25">
      <c r="A636" s="8"/>
    </row>
    <row r="637" spans="1:1" ht="13.8" x14ac:dyDescent="0.25">
      <c r="A637" s="8"/>
    </row>
    <row r="638" spans="1:1" ht="13.8" x14ac:dyDescent="0.25">
      <c r="A638" s="8"/>
    </row>
    <row r="639" spans="1:1" ht="13.8" x14ac:dyDescent="0.25">
      <c r="A639" s="8"/>
    </row>
    <row r="640" spans="1:1" ht="13.8" x14ac:dyDescent="0.25">
      <c r="A640" s="8"/>
    </row>
    <row r="641" spans="1:1" ht="13.8" x14ac:dyDescent="0.25">
      <c r="A641" s="8"/>
    </row>
    <row r="642" spans="1:1" ht="13.8" x14ac:dyDescent="0.25">
      <c r="A642" s="8"/>
    </row>
    <row r="643" spans="1:1" ht="13.8" x14ac:dyDescent="0.25">
      <c r="A643" s="8"/>
    </row>
    <row r="644" spans="1:1" ht="13.8" x14ac:dyDescent="0.25">
      <c r="A644" s="8"/>
    </row>
    <row r="645" spans="1:1" ht="13.8" x14ac:dyDescent="0.25">
      <c r="A645" s="8"/>
    </row>
    <row r="646" spans="1:1" ht="13.8" x14ac:dyDescent="0.25">
      <c r="A646" s="8"/>
    </row>
    <row r="647" spans="1:1" ht="13.8" x14ac:dyDescent="0.25">
      <c r="A647" s="8"/>
    </row>
    <row r="648" spans="1:1" ht="13.8" x14ac:dyDescent="0.25">
      <c r="A648" s="8"/>
    </row>
    <row r="649" spans="1:1" ht="13.8" x14ac:dyDescent="0.25">
      <c r="A649" s="8"/>
    </row>
    <row r="650" spans="1:1" ht="13.8" x14ac:dyDescent="0.25">
      <c r="A650" s="8"/>
    </row>
    <row r="651" spans="1:1" ht="13.8" x14ac:dyDescent="0.25">
      <c r="A651" s="8"/>
    </row>
    <row r="652" spans="1:1" ht="13.8" x14ac:dyDescent="0.25">
      <c r="A652" s="8"/>
    </row>
    <row r="653" spans="1:1" ht="13.8" x14ac:dyDescent="0.25">
      <c r="A653" s="8"/>
    </row>
    <row r="654" spans="1:1" ht="13.8" x14ac:dyDescent="0.25">
      <c r="A654" s="8"/>
    </row>
    <row r="655" spans="1:1" ht="13.8" x14ac:dyDescent="0.25">
      <c r="A655" s="8"/>
    </row>
    <row r="656" spans="1:1" ht="13.8" x14ac:dyDescent="0.25">
      <c r="A656" s="8"/>
    </row>
    <row r="657" spans="1:1" ht="13.8" x14ac:dyDescent="0.25">
      <c r="A657" s="8"/>
    </row>
    <row r="658" spans="1:1" ht="13.8" x14ac:dyDescent="0.25">
      <c r="A658" s="8"/>
    </row>
    <row r="659" spans="1:1" ht="13.8" x14ac:dyDescent="0.25">
      <c r="A659" s="8"/>
    </row>
    <row r="660" spans="1:1" ht="13.8" x14ac:dyDescent="0.25">
      <c r="A660" s="8"/>
    </row>
    <row r="661" spans="1:1" ht="13.8" x14ac:dyDescent="0.25">
      <c r="A661" s="8"/>
    </row>
    <row r="662" spans="1:1" ht="13.8" x14ac:dyDescent="0.25">
      <c r="A662" s="8"/>
    </row>
    <row r="663" spans="1:1" ht="13.8" x14ac:dyDescent="0.25">
      <c r="A663" s="8"/>
    </row>
    <row r="664" spans="1:1" ht="13.8" x14ac:dyDescent="0.25">
      <c r="A664" s="8"/>
    </row>
    <row r="665" spans="1:1" ht="13.8" x14ac:dyDescent="0.25">
      <c r="A665" s="8"/>
    </row>
    <row r="666" spans="1:1" ht="13.8" x14ac:dyDescent="0.25">
      <c r="A666" s="8"/>
    </row>
    <row r="667" spans="1:1" ht="13.8" x14ac:dyDescent="0.25">
      <c r="A667" s="8"/>
    </row>
    <row r="668" spans="1:1" ht="13.8" x14ac:dyDescent="0.25">
      <c r="A668" s="8"/>
    </row>
    <row r="669" spans="1:1" ht="13.8" x14ac:dyDescent="0.25">
      <c r="A669" s="8"/>
    </row>
    <row r="670" spans="1:1" ht="13.8" x14ac:dyDescent="0.25">
      <c r="A670" s="8"/>
    </row>
    <row r="671" spans="1:1" ht="13.8" x14ac:dyDescent="0.25">
      <c r="A671" s="8"/>
    </row>
    <row r="672" spans="1:1" ht="13.8" x14ac:dyDescent="0.25">
      <c r="A672" s="8"/>
    </row>
    <row r="673" spans="1:1" ht="13.8" x14ac:dyDescent="0.25">
      <c r="A673" s="8"/>
    </row>
    <row r="674" spans="1:1" ht="13.8" x14ac:dyDescent="0.25">
      <c r="A674" s="8"/>
    </row>
    <row r="675" spans="1:1" ht="13.8" x14ac:dyDescent="0.25">
      <c r="A675" s="8"/>
    </row>
    <row r="676" spans="1:1" ht="13.8" x14ac:dyDescent="0.25">
      <c r="A676" s="8"/>
    </row>
    <row r="677" spans="1:1" ht="13.8" x14ac:dyDescent="0.25">
      <c r="A677" s="8"/>
    </row>
    <row r="678" spans="1:1" ht="13.8" x14ac:dyDescent="0.25">
      <c r="A678" s="8"/>
    </row>
    <row r="679" spans="1:1" ht="13.8" x14ac:dyDescent="0.25">
      <c r="A679" s="8"/>
    </row>
    <row r="680" spans="1:1" ht="13.8" x14ac:dyDescent="0.25">
      <c r="A680" s="8"/>
    </row>
    <row r="681" spans="1:1" ht="13.8" x14ac:dyDescent="0.25">
      <c r="A681" s="8"/>
    </row>
    <row r="682" spans="1:1" ht="13.8" x14ac:dyDescent="0.25">
      <c r="A682" s="8"/>
    </row>
    <row r="683" spans="1:1" ht="13.8" x14ac:dyDescent="0.25">
      <c r="A683" s="8"/>
    </row>
    <row r="684" spans="1:1" ht="13.8" x14ac:dyDescent="0.25">
      <c r="A684" s="8"/>
    </row>
    <row r="685" spans="1:1" ht="13.8" x14ac:dyDescent="0.25">
      <c r="A685" s="8"/>
    </row>
    <row r="686" spans="1:1" ht="13.8" x14ac:dyDescent="0.25">
      <c r="A686" s="8"/>
    </row>
    <row r="687" spans="1:1" ht="13.8" x14ac:dyDescent="0.25">
      <c r="A687" s="8"/>
    </row>
    <row r="688" spans="1:1" ht="13.8" x14ac:dyDescent="0.25">
      <c r="A688" s="8"/>
    </row>
    <row r="689" spans="1:1" ht="13.8" x14ac:dyDescent="0.25">
      <c r="A689" s="8"/>
    </row>
    <row r="690" spans="1:1" ht="13.8" x14ac:dyDescent="0.25">
      <c r="A690" s="8"/>
    </row>
    <row r="691" spans="1:1" ht="13.8" x14ac:dyDescent="0.25">
      <c r="A691" s="8"/>
    </row>
    <row r="692" spans="1:1" ht="13.8" x14ac:dyDescent="0.25">
      <c r="A692" s="8"/>
    </row>
    <row r="693" spans="1:1" ht="13.8" x14ac:dyDescent="0.25">
      <c r="A693" s="8"/>
    </row>
    <row r="694" spans="1:1" ht="13.8" x14ac:dyDescent="0.25">
      <c r="A694" s="8"/>
    </row>
    <row r="695" spans="1:1" ht="13.8" x14ac:dyDescent="0.25">
      <c r="A695" s="8"/>
    </row>
    <row r="696" spans="1:1" ht="13.8" x14ac:dyDescent="0.25">
      <c r="A696" s="8"/>
    </row>
    <row r="697" spans="1:1" ht="13.8" x14ac:dyDescent="0.25">
      <c r="A697" s="8"/>
    </row>
    <row r="698" spans="1:1" ht="13.8" x14ac:dyDescent="0.25">
      <c r="A698" s="8"/>
    </row>
    <row r="699" spans="1:1" ht="13.8" x14ac:dyDescent="0.25">
      <c r="A699" s="8"/>
    </row>
    <row r="700" spans="1:1" ht="13.8" x14ac:dyDescent="0.25">
      <c r="A700" s="8"/>
    </row>
    <row r="701" spans="1:1" ht="13.8" x14ac:dyDescent="0.25">
      <c r="A701" s="8"/>
    </row>
    <row r="702" spans="1:1" ht="13.8" x14ac:dyDescent="0.25">
      <c r="A702" s="8"/>
    </row>
    <row r="703" spans="1:1" ht="13.8" x14ac:dyDescent="0.25">
      <c r="A703" s="8"/>
    </row>
    <row r="704" spans="1:1" ht="13.8" x14ac:dyDescent="0.25">
      <c r="A704" s="8"/>
    </row>
    <row r="705" spans="1:1" ht="13.8" x14ac:dyDescent="0.25">
      <c r="A705" s="8"/>
    </row>
    <row r="706" spans="1:1" ht="13.8" x14ac:dyDescent="0.25">
      <c r="A706" s="8"/>
    </row>
    <row r="707" spans="1:1" ht="13.8" x14ac:dyDescent="0.25">
      <c r="A707" s="8"/>
    </row>
    <row r="708" spans="1:1" ht="13.8" x14ac:dyDescent="0.25">
      <c r="A708" s="8"/>
    </row>
    <row r="709" spans="1:1" ht="13.8" x14ac:dyDescent="0.25">
      <c r="A709" s="8"/>
    </row>
    <row r="710" spans="1:1" ht="13.8" x14ac:dyDescent="0.25">
      <c r="A710" s="8"/>
    </row>
    <row r="711" spans="1:1" ht="13.8" x14ac:dyDescent="0.25">
      <c r="A711" s="8"/>
    </row>
    <row r="712" spans="1:1" ht="13.8" x14ac:dyDescent="0.25">
      <c r="A712" s="8"/>
    </row>
    <row r="713" spans="1:1" ht="13.8" x14ac:dyDescent="0.25">
      <c r="A713" s="8"/>
    </row>
    <row r="714" spans="1:1" ht="13.8" x14ac:dyDescent="0.25">
      <c r="A714" s="8"/>
    </row>
    <row r="715" spans="1:1" ht="13.8" x14ac:dyDescent="0.25">
      <c r="A715" s="8"/>
    </row>
    <row r="716" spans="1:1" ht="13.8" x14ac:dyDescent="0.25">
      <c r="A716" s="8"/>
    </row>
    <row r="717" spans="1:1" ht="13.8" x14ac:dyDescent="0.25">
      <c r="A717" s="8"/>
    </row>
    <row r="718" spans="1:1" ht="13.8" x14ac:dyDescent="0.25">
      <c r="A718" s="8"/>
    </row>
    <row r="719" spans="1:1" ht="13.8" x14ac:dyDescent="0.25">
      <c r="A719" s="8"/>
    </row>
    <row r="720" spans="1:1" ht="13.8" x14ac:dyDescent="0.25">
      <c r="A720" s="8"/>
    </row>
    <row r="721" spans="1:1" ht="13.8" x14ac:dyDescent="0.25">
      <c r="A721" s="8"/>
    </row>
    <row r="722" spans="1:1" ht="13.8" x14ac:dyDescent="0.25">
      <c r="A722" s="8"/>
    </row>
    <row r="723" spans="1:1" ht="13.8" x14ac:dyDescent="0.25">
      <c r="A723" s="8"/>
    </row>
    <row r="724" spans="1:1" ht="13.8" x14ac:dyDescent="0.25">
      <c r="A724" s="8"/>
    </row>
    <row r="725" spans="1:1" ht="13.8" x14ac:dyDescent="0.25">
      <c r="A725" s="8"/>
    </row>
    <row r="726" spans="1:1" ht="13.8" x14ac:dyDescent="0.25">
      <c r="A726" s="8"/>
    </row>
    <row r="727" spans="1:1" ht="13.8" x14ac:dyDescent="0.25">
      <c r="A727" s="8"/>
    </row>
    <row r="728" spans="1:1" ht="13.8" x14ac:dyDescent="0.25">
      <c r="A728" s="8"/>
    </row>
    <row r="729" spans="1:1" ht="13.8" x14ac:dyDescent="0.25">
      <c r="A729" s="8"/>
    </row>
    <row r="730" spans="1:1" ht="13.8" x14ac:dyDescent="0.25">
      <c r="A730" s="8"/>
    </row>
    <row r="731" spans="1:1" ht="13.8" x14ac:dyDescent="0.25">
      <c r="A731" s="8"/>
    </row>
    <row r="732" spans="1:1" ht="13.8" x14ac:dyDescent="0.25">
      <c r="A732" s="8"/>
    </row>
    <row r="733" spans="1:1" ht="13.8" x14ac:dyDescent="0.25">
      <c r="A733" s="8"/>
    </row>
    <row r="734" spans="1:1" ht="13.8" x14ac:dyDescent="0.25">
      <c r="A734" s="8"/>
    </row>
    <row r="735" spans="1:1" ht="13.8" x14ac:dyDescent="0.25">
      <c r="A735" s="8"/>
    </row>
    <row r="736" spans="1:1" ht="13.8" x14ac:dyDescent="0.25">
      <c r="A736" s="8"/>
    </row>
    <row r="737" spans="1:1" ht="13.8" x14ac:dyDescent="0.25">
      <c r="A737" s="8"/>
    </row>
    <row r="738" spans="1:1" ht="13.8" x14ac:dyDescent="0.25">
      <c r="A738" s="8"/>
    </row>
    <row r="739" spans="1:1" ht="13.8" x14ac:dyDescent="0.25">
      <c r="A739" s="8"/>
    </row>
    <row r="740" spans="1:1" ht="13.8" x14ac:dyDescent="0.25">
      <c r="A740" s="8"/>
    </row>
    <row r="741" spans="1:1" ht="13.8" x14ac:dyDescent="0.25">
      <c r="A741" s="8"/>
    </row>
    <row r="742" spans="1:1" ht="13.8" x14ac:dyDescent="0.25">
      <c r="A742" s="8"/>
    </row>
    <row r="743" spans="1:1" ht="13.8" x14ac:dyDescent="0.25">
      <c r="A743" s="8"/>
    </row>
    <row r="744" spans="1:1" ht="13.8" x14ac:dyDescent="0.25">
      <c r="A744" s="8"/>
    </row>
    <row r="745" spans="1:1" ht="13.8" x14ac:dyDescent="0.25">
      <c r="A745" s="8"/>
    </row>
    <row r="746" spans="1:1" ht="13.8" x14ac:dyDescent="0.25">
      <c r="A746" s="8"/>
    </row>
    <row r="747" spans="1:1" ht="13.8" x14ac:dyDescent="0.25">
      <c r="A747" s="8"/>
    </row>
    <row r="748" spans="1:1" ht="13.8" x14ac:dyDescent="0.25">
      <c r="A748" s="8"/>
    </row>
    <row r="749" spans="1:1" ht="13.8" x14ac:dyDescent="0.25">
      <c r="A749" s="8"/>
    </row>
    <row r="750" spans="1:1" ht="13.8" x14ac:dyDescent="0.25">
      <c r="A750" s="8"/>
    </row>
    <row r="751" spans="1:1" ht="13.8" x14ac:dyDescent="0.25">
      <c r="A751" s="8"/>
    </row>
    <row r="752" spans="1:1" ht="13.8" x14ac:dyDescent="0.25">
      <c r="A752" s="8"/>
    </row>
    <row r="753" spans="1:1" ht="13.8" x14ac:dyDescent="0.25">
      <c r="A753" s="8"/>
    </row>
    <row r="754" spans="1:1" ht="13.8" x14ac:dyDescent="0.25">
      <c r="A754" s="8"/>
    </row>
    <row r="755" spans="1:1" ht="13.8" x14ac:dyDescent="0.25">
      <c r="A755" s="8"/>
    </row>
    <row r="756" spans="1:1" ht="13.8" x14ac:dyDescent="0.25">
      <c r="A756" s="8"/>
    </row>
    <row r="757" spans="1:1" ht="13.8" x14ac:dyDescent="0.25">
      <c r="A757" s="8"/>
    </row>
    <row r="758" spans="1:1" ht="13.8" x14ac:dyDescent="0.25">
      <c r="A758" s="8"/>
    </row>
    <row r="759" spans="1:1" ht="13.8" x14ac:dyDescent="0.25">
      <c r="A759" s="8"/>
    </row>
    <row r="760" spans="1:1" ht="13.8" x14ac:dyDescent="0.25">
      <c r="A760" s="8"/>
    </row>
    <row r="761" spans="1:1" ht="13.8" x14ac:dyDescent="0.25">
      <c r="A761" s="8"/>
    </row>
    <row r="762" spans="1:1" ht="13.8" x14ac:dyDescent="0.25">
      <c r="A762" s="8"/>
    </row>
    <row r="763" spans="1:1" ht="13.8" x14ac:dyDescent="0.25">
      <c r="A763" s="8"/>
    </row>
    <row r="764" spans="1:1" ht="13.8" x14ac:dyDescent="0.25">
      <c r="A764" s="8"/>
    </row>
    <row r="765" spans="1:1" ht="13.8" x14ac:dyDescent="0.25">
      <c r="A765" s="8"/>
    </row>
    <row r="766" spans="1:1" ht="13.8" x14ac:dyDescent="0.25">
      <c r="A766" s="8"/>
    </row>
    <row r="767" spans="1:1" ht="13.8" x14ac:dyDescent="0.25">
      <c r="A767" s="8"/>
    </row>
    <row r="768" spans="1:1" ht="13.8" x14ac:dyDescent="0.25">
      <c r="A768" s="8"/>
    </row>
    <row r="769" spans="1:1" ht="13.8" x14ac:dyDescent="0.25">
      <c r="A769" s="8"/>
    </row>
    <row r="770" spans="1:1" ht="13.8" x14ac:dyDescent="0.25">
      <c r="A770" s="8"/>
    </row>
    <row r="771" spans="1:1" ht="13.8" x14ac:dyDescent="0.25">
      <c r="A771" s="8"/>
    </row>
    <row r="772" spans="1:1" ht="13.8" x14ac:dyDescent="0.25">
      <c r="A772" s="8"/>
    </row>
    <row r="773" spans="1:1" ht="13.8" x14ac:dyDescent="0.25">
      <c r="A773" s="8"/>
    </row>
    <row r="774" spans="1:1" ht="13.8" x14ac:dyDescent="0.25">
      <c r="A774" s="8"/>
    </row>
    <row r="775" spans="1:1" ht="13.8" x14ac:dyDescent="0.25">
      <c r="A775" s="8"/>
    </row>
    <row r="776" spans="1:1" ht="13.8" x14ac:dyDescent="0.25">
      <c r="A776" s="8"/>
    </row>
    <row r="777" spans="1:1" ht="13.8" x14ac:dyDescent="0.25">
      <c r="A777" s="8"/>
    </row>
    <row r="778" spans="1:1" ht="13.8" x14ac:dyDescent="0.25">
      <c r="A778" s="8"/>
    </row>
    <row r="779" spans="1:1" ht="13.8" x14ac:dyDescent="0.25">
      <c r="A779" s="8"/>
    </row>
    <row r="780" spans="1:1" ht="13.8" x14ac:dyDescent="0.25">
      <c r="A780" s="8"/>
    </row>
    <row r="781" spans="1:1" ht="13.8" x14ac:dyDescent="0.25">
      <c r="A781" s="8"/>
    </row>
    <row r="782" spans="1:1" ht="13.8" x14ac:dyDescent="0.25">
      <c r="A782" s="8"/>
    </row>
    <row r="783" spans="1:1" ht="13.8" x14ac:dyDescent="0.25">
      <c r="A783" s="8"/>
    </row>
    <row r="784" spans="1:1" ht="13.8" x14ac:dyDescent="0.25">
      <c r="A784" s="8"/>
    </row>
    <row r="785" spans="1:1" ht="13.8" x14ac:dyDescent="0.25">
      <c r="A785" s="8"/>
    </row>
    <row r="786" spans="1:1" ht="13.8" x14ac:dyDescent="0.25">
      <c r="A786" s="8"/>
    </row>
    <row r="787" spans="1:1" ht="13.8" x14ac:dyDescent="0.25">
      <c r="A787" s="8"/>
    </row>
    <row r="788" spans="1:1" ht="13.8" x14ac:dyDescent="0.25">
      <c r="A788" s="8"/>
    </row>
    <row r="789" spans="1:1" ht="13.8" x14ac:dyDescent="0.25">
      <c r="A789" s="8"/>
    </row>
    <row r="790" spans="1:1" ht="13.8" x14ac:dyDescent="0.25">
      <c r="A790" s="8"/>
    </row>
    <row r="791" spans="1:1" ht="13.8" x14ac:dyDescent="0.25">
      <c r="A791" s="8"/>
    </row>
    <row r="792" spans="1:1" ht="13.8" x14ac:dyDescent="0.25">
      <c r="A792" s="8"/>
    </row>
    <row r="793" spans="1:1" ht="13.8" x14ac:dyDescent="0.25">
      <c r="A793" s="8"/>
    </row>
    <row r="794" spans="1:1" ht="13.8" x14ac:dyDescent="0.25">
      <c r="A794" s="8"/>
    </row>
    <row r="795" spans="1:1" ht="13.8" x14ac:dyDescent="0.25">
      <c r="A795" s="8"/>
    </row>
    <row r="796" spans="1:1" ht="13.8" x14ac:dyDescent="0.25">
      <c r="A796" s="8"/>
    </row>
    <row r="797" spans="1:1" ht="13.8" x14ac:dyDescent="0.25">
      <c r="A797" s="8"/>
    </row>
    <row r="798" spans="1:1" ht="13.8" x14ac:dyDescent="0.25">
      <c r="A798" s="8"/>
    </row>
    <row r="799" spans="1:1" ht="13.8" x14ac:dyDescent="0.25">
      <c r="A799" s="8"/>
    </row>
    <row r="800" spans="1:1" ht="13.8" x14ac:dyDescent="0.25">
      <c r="A800" s="8"/>
    </row>
    <row r="801" spans="1:1" ht="13.8" x14ac:dyDescent="0.25">
      <c r="A801" s="8"/>
    </row>
    <row r="802" spans="1:1" ht="13.8" x14ac:dyDescent="0.25">
      <c r="A802" s="8"/>
    </row>
    <row r="803" spans="1:1" ht="13.8" x14ac:dyDescent="0.25">
      <c r="A803" s="8"/>
    </row>
    <row r="804" spans="1:1" ht="13.8" x14ac:dyDescent="0.25">
      <c r="A804" s="8"/>
    </row>
    <row r="805" spans="1:1" ht="13.8" x14ac:dyDescent="0.25">
      <c r="A805" s="8"/>
    </row>
    <row r="806" spans="1:1" ht="13.8" x14ac:dyDescent="0.25">
      <c r="A806" s="8"/>
    </row>
    <row r="807" spans="1:1" ht="13.8" x14ac:dyDescent="0.25">
      <c r="A807" s="8"/>
    </row>
    <row r="808" spans="1:1" ht="13.8" x14ac:dyDescent="0.25">
      <c r="A808" s="8"/>
    </row>
    <row r="809" spans="1:1" ht="13.8" x14ac:dyDescent="0.25">
      <c r="A809" s="8"/>
    </row>
    <row r="810" spans="1:1" ht="13.8" x14ac:dyDescent="0.25">
      <c r="A810" s="8"/>
    </row>
    <row r="811" spans="1:1" ht="13.8" x14ac:dyDescent="0.25">
      <c r="A811" s="8"/>
    </row>
    <row r="812" spans="1:1" ht="13.8" x14ac:dyDescent="0.25">
      <c r="A812" s="8"/>
    </row>
    <row r="813" spans="1:1" ht="13.8" x14ac:dyDescent="0.25">
      <c r="A813" s="8"/>
    </row>
    <row r="814" spans="1:1" ht="13.8" x14ac:dyDescent="0.25">
      <c r="A814" s="8"/>
    </row>
    <row r="815" spans="1:1" ht="13.8" x14ac:dyDescent="0.25">
      <c r="A815" s="8"/>
    </row>
    <row r="816" spans="1:1" ht="13.8" x14ac:dyDescent="0.25">
      <c r="A816" s="8"/>
    </row>
    <row r="817" spans="1:1" ht="13.8" x14ac:dyDescent="0.25">
      <c r="A817" s="8"/>
    </row>
    <row r="818" spans="1:1" ht="13.8" x14ac:dyDescent="0.25">
      <c r="A818" s="8"/>
    </row>
    <row r="819" spans="1:1" ht="13.8" x14ac:dyDescent="0.25">
      <c r="A819" s="8"/>
    </row>
    <row r="820" spans="1:1" ht="13.8" x14ac:dyDescent="0.25">
      <c r="A820" s="8"/>
    </row>
    <row r="821" spans="1:1" ht="13.8" x14ac:dyDescent="0.25">
      <c r="A821" s="8"/>
    </row>
    <row r="822" spans="1:1" ht="13.8" x14ac:dyDescent="0.25">
      <c r="A822" s="8"/>
    </row>
    <row r="823" spans="1:1" ht="13.8" x14ac:dyDescent="0.25">
      <c r="A823" s="8"/>
    </row>
    <row r="824" spans="1:1" ht="13.8" x14ac:dyDescent="0.25">
      <c r="A824" s="8"/>
    </row>
    <row r="825" spans="1:1" ht="13.8" x14ac:dyDescent="0.25">
      <c r="A825" s="8"/>
    </row>
    <row r="826" spans="1:1" ht="13.8" x14ac:dyDescent="0.25">
      <c r="A826" s="8"/>
    </row>
    <row r="827" spans="1:1" ht="13.8" x14ac:dyDescent="0.25">
      <c r="A827" s="8"/>
    </row>
    <row r="828" spans="1:1" ht="13.8" x14ac:dyDescent="0.25">
      <c r="A828" s="8"/>
    </row>
    <row r="829" spans="1:1" ht="13.8" x14ac:dyDescent="0.25">
      <c r="A829" s="8"/>
    </row>
    <row r="830" spans="1:1" ht="13.8" x14ac:dyDescent="0.25">
      <c r="A830" s="8"/>
    </row>
    <row r="831" spans="1:1" ht="13.8" x14ac:dyDescent="0.25">
      <c r="A831" s="8"/>
    </row>
    <row r="832" spans="1:1" ht="13.8" x14ac:dyDescent="0.25">
      <c r="A832" s="8"/>
    </row>
    <row r="833" spans="1:1" ht="13.8" x14ac:dyDescent="0.25">
      <c r="A833" s="8"/>
    </row>
    <row r="834" spans="1:1" ht="13.8" x14ac:dyDescent="0.25">
      <c r="A834" s="8"/>
    </row>
    <row r="835" spans="1:1" ht="13.8" x14ac:dyDescent="0.25">
      <c r="A835" s="8"/>
    </row>
    <row r="836" spans="1:1" ht="13.8" x14ac:dyDescent="0.25">
      <c r="A836" s="8"/>
    </row>
    <row r="837" spans="1:1" ht="13.8" x14ac:dyDescent="0.25">
      <c r="A837" s="8"/>
    </row>
    <row r="838" spans="1:1" ht="13.8" x14ac:dyDescent="0.25">
      <c r="A838" s="8"/>
    </row>
    <row r="839" spans="1:1" ht="13.8" x14ac:dyDescent="0.25">
      <c r="A839" s="8"/>
    </row>
    <row r="840" spans="1:1" ht="13.8" x14ac:dyDescent="0.25">
      <c r="A840" s="8"/>
    </row>
    <row r="841" spans="1:1" ht="13.8" x14ac:dyDescent="0.25">
      <c r="A841" s="8"/>
    </row>
    <row r="842" spans="1:1" ht="13.8" x14ac:dyDescent="0.25">
      <c r="A842" s="8"/>
    </row>
    <row r="843" spans="1:1" ht="13.8" x14ac:dyDescent="0.25">
      <c r="A843" s="8"/>
    </row>
    <row r="844" spans="1:1" ht="13.8" x14ac:dyDescent="0.25">
      <c r="A844" s="8"/>
    </row>
    <row r="845" spans="1:1" ht="13.8" x14ac:dyDescent="0.25">
      <c r="A845" s="8"/>
    </row>
    <row r="846" spans="1:1" ht="13.8" x14ac:dyDescent="0.25">
      <c r="A846" s="8"/>
    </row>
    <row r="847" spans="1:1" ht="13.8" x14ac:dyDescent="0.25">
      <c r="A847" s="8"/>
    </row>
    <row r="848" spans="1:1" ht="13.8" x14ac:dyDescent="0.25">
      <c r="A848" s="8"/>
    </row>
    <row r="849" spans="1:1" ht="13.8" x14ac:dyDescent="0.25">
      <c r="A849" s="8"/>
    </row>
    <row r="850" spans="1:1" ht="13.8" x14ac:dyDescent="0.25">
      <c r="A850" s="8"/>
    </row>
    <row r="851" spans="1:1" ht="13.8" x14ac:dyDescent="0.25">
      <c r="A851" s="8"/>
    </row>
    <row r="852" spans="1:1" ht="13.8" x14ac:dyDescent="0.25">
      <c r="A852" s="8"/>
    </row>
    <row r="853" spans="1:1" ht="13.8" x14ac:dyDescent="0.25">
      <c r="A853" s="8"/>
    </row>
    <row r="854" spans="1:1" ht="13.8" x14ac:dyDescent="0.25">
      <c r="A854" s="8"/>
    </row>
    <row r="855" spans="1:1" ht="13.8" x14ac:dyDescent="0.25">
      <c r="A855" s="8"/>
    </row>
    <row r="856" spans="1:1" ht="13.8" x14ac:dyDescent="0.25">
      <c r="A856" s="8"/>
    </row>
    <row r="857" spans="1:1" ht="13.8" x14ac:dyDescent="0.25">
      <c r="A857" s="8"/>
    </row>
    <row r="858" spans="1:1" ht="13.8" x14ac:dyDescent="0.25">
      <c r="A858" s="8"/>
    </row>
    <row r="859" spans="1:1" ht="13.8" x14ac:dyDescent="0.25">
      <c r="A859" s="8"/>
    </row>
    <row r="860" spans="1:1" ht="13.8" x14ac:dyDescent="0.25">
      <c r="A860" s="8"/>
    </row>
    <row r="861" spans="1:1" ht="13.8" x14ac:dyDescent="0.25">
      <c r="A861" s="8"/>
    </row>
    <row r="862" spans="1:1" ht="13.8" x14ac:dyDescent="0.25">
      <c r="A862" s="8"/>
    </row>
    <row r="863" spans="1:1" ht="13.8" x14ac:dyDescent="0.25">
      <c r="A863" s="8"/>
    </row>
    <row r="864" spans="1:1" ht="13.8" x14ac:dyDescent="0.25">
      <c r="A864" s="8"/>
    </row>
    <row r="865" spans="1:1" ht="13.8" x14ac:dyDescent="0.25">
      <c r="A865" s="8"/>
    </row>
    <row r="866" spans="1:1" ht="13.8" x14ac:dyDescent="0.25">
      <c r="A866" s="8"/>
    </row>
    <row r="867" spans="1:1" ht="13.8" x14ac:dyDescent="0.25">
      <c r="A867" s="8"/>
    </row>
    <row r="868" spans="1:1" ht="13.8" x14ac:dyDescent="0.25">
      <c r="A868" s="8"/>
    </row>
    <row r="869" spans="1:1" ht="13.8" x14ac:dyDescent="0.25">
      <c r="A869" s="8"/>
    </row>
    <row r="870" spans="1:1" ht="13.8" x14ac:dyDescent="0.25">
      <c r="A870" s="8"/>
    </row>
    <row r="871" spans="1:1" ht="13.8" x14ac:dyDescent="0.25">
      <c r="A871" s="8"/>
    </row>
    <row r="872" spans="1:1" ht="13.8" x14ac:dyDescent="0.25">
      <c r="A872" s="8"/>
    </row>
    <row r="873" spans="1:1" ht="13.8" x14ac:dyDescent="0.25">
      <c r="A873" s="8"/>
    </row>
    <row r="874" spans="1:1" ht="13.8" x14ac:dyDescent="0.25">
      <c r="A874" s="8"/>
    </row>
    <row r="875" spans="1:1" ht="13.8" x14ac:dyDescent="0.25">
      <c r="A875" s="8"/>
    </row>
    <row r="876" spans="1:1" ht="13.8" x14ac:dyDescent="0.25">
      <c r="A876" s="8"/>
    </row>
    <row r="877" spans="1:1" ht="13.8" x14ac:dyDescent="0.25">
      <c r="A877" s="8"/>
    </row>
    <row r="878" spans="1:1" ht="13.8" x14ac:dyDescent="0.25">
      <c r="A878" s="8"/>
    </row>
    <row r="879" spans="1:1" ht="13.8" x14ac:dyDescent="0.25">
      <c r="A879" s="8"/>
    </row>
    <row r="880" spans="1:1" ht="13.8" x14ac:dyDescent="0.25">
      <c r="A880" s="8"/>
    </row>
    <row r="881" spans="1:1" ht="13.8" x14ac:dyDescent="0.25">
      <c r="A881" s="8"/>
    </row>
    <row r="882" spans="1:1" ht="13.8" x14ac:dyDescent="0.25">
      <c r="A882" s="8"/>
    </row>
    <row r="883" spans="1:1" ht="13.8" x14ac:dyDescent="0.25">
      <c r="A883" s="8"/>
    </row>
    <row r="884" spans="1:1" ht="13.8" x14ac:dyDescent="0.25">
      <c r="A884" s="8"/>
    </row>
    <row r="885" spans="1:1" ht="13.8" x14ac:dyDescent="0.25">
      <c r="A885" s="8"/>
    </row>
    <row r="886" spans="1:1" ht="13.8" x14ac:dyDescent="0.25">
      <c r="A886" s="8"/>
    </row>
    <row r="887" spans="1:1" ht="13.8" x14ac:dyDescent="0.25">
      <c r="A887" s="8"/>
    </row>
    <row r="888" spans="1:1" ht="13.8" x14ac:dyDescent="0.25">
      <c r="A888" s="8"/>
    </row>
    <row r="889" spans="1:1" ht="13.8" x14ac:dyDescent="0.25">
      <c r="A889" s="8"/>
    </row>
    <row r="890" spans="1:1" ht="13.8" x14ac:dyDescent="0.25">
      <c r="A890" s="8"/>
    </row>
    <row r="891" spans="1:1" ht="13.8" x14ac:dyDescent="0.25">
      <c r="A891" s="8"/>
    </row>
    <row r="892" spans="1:1" ht="13.8" x14ac:dyDescent="0.25">
      <c r="A892" s="8"/>
    </row>
    <row r="893" spans="1:1" ht="13.8" x14ac:dyDescent="0.25">
      <c r="A893" s="8"/>
    </row>
    <row r="894" spans="1:1" ht="13.8" x14ac:dyDescent="0.25">
      <c r="A894" s="8"/>
    </row>
    <row r="895" spans="1:1" ht="13.8" x14ac:dyDescent="0.25">
      <c r="A895" s="8"/>
    </row>
    <row r="896" spans="1:1" ht="13.8" x14ac:dyDescent="0.25">
      <c r="A896" s="8"/>
    </row>
    <row r="897" spans="1:1" ht="13.8" x14ac:dyDescent="0.25">
      <c r="A897" s="8"/>
    </row>
    <row r="898" spans="1:1" ht="13.8" x14ac:dyDescent="0.25">
      <c r="A898" s="8"/>
    </row>
    <row r="899" spans="1:1" ht="13.8" x14ac:dyDescent="0.25">
      <c r="A899" s="8"/>
    </row>
    <row r="900" spans="1:1" ht="13.8" x14ac:dyDescent="0.25">
      <c r="A900" s="8"/>
    </row>
    <row r="901" spans="1:1" ht="13.8" x14ac:dyDescent="0.25">
      <c r="A901" s="8"/>
    </row>
    <row r="902" spans="1:1" ht="13.8" x14ac:dyDescent="0.25">
      <c r="A902" s="8"/>
    </row>
    <row r="903" spans="1:1" ht="13.8" x14ac:dyDescent="0.25">
      <c r="A903" s="8"/>
    </row>
    <row r="904" spans="1:1" ht="13.8" x14ac:dyDescent="0.25">
      <c r="A904" s="8"/>
    </row>
    <row r="905" spans="1:1" ht="13.8" x14ac:dyDescent="0.25">
      <c r="A905" s="8"/>
    </row>
    <row r="906" spans="1:1" ht="13.8" x14ac:dyDescent="0.25">
      <c r="A906" s="8"/>
    </row>
    <row r="907" spans="1:1" ht="13.8" x14ac:dyDescent="0.25">
      <c r="A907" s="8"/>
    </row>
    <row r="908" spans="1:1" ht="13.8" x14ac:dyDescent="0.25">
      <c r="A908" s="8"/>
    </row>
    <row r="909" spans="1:1" ht="13.8" x14ac:dyDescent="0.25">
      <c r="A909" s="8"/>
    </row>
    <row r="910" spans="1:1" ht="13.8" x14ac:dyDescent="0.25">
      <c r="A910" s="8"/>
    </row>
    <row r="911" spans="1:1" ht="13.8" x14ac:dyDescent="0.25">
      <c r="A911" s="8"/>
    </row>
    <row r="912" spans="1:1" ht="13.8" x14ac:dyDescent="0.25">
      <c r="A912" s="8"/>
    </row>
    <row r="913" spans="1:1" ht="13.8" x14ac:dyDescent="0.25">
      <c r="A913" s="8"/>
    </row>
    <row r="914" spans="1:1" ht="13.8" x14ac:dyDescent="0.25">
      <c r="A914" s="8"/>
    </row>
    <row r="915" spans="1:1" ht="13.8" x14ac:dyDescent="0.25">
      <c r="A915" s="8"/>
    </row>
    <row r="916" spans="1:1" ht="13.8" x14ac:dyDescent="0.25">
      <c r="A916" s="8"/>
    </row>
    <row r="917" spans="1:1" ht="13.8" x14ac:dyDescent="0.25">
      <c r="A917" s="8"/>
    </row>
    <row r="918" spans="1:1" ht="13.8" x14ac:dyDescent="0.25">
      <c r="A918" s="8"/>
    </row>
    <row r="919" spans="1:1" ht="13.8" x14ac:dyDescent="0.25">
      <c r="A919" s="8"/>
    </row>
    <row r="920" spans="1:1" ht="13.8" x14ac:dyDescent="0.25">
      <c r="A920" s="8"/>
    </row>
    <row r="921" spans="1:1" ht="13.8" x14ac:dyDescent="0.25">
      <c r="A921" s="8"/>
    </row>
    <row r="922" spans="1:1" ht="13.8" x14ac:dyDescent="0.25">
      <c r="A922" s="8"/>
    </row>
    <row r="923" spans="1:1" ht="13.8" x14ac:dyDescent="0.25">
      <c r="A923" s="8"/>
    </row>
    <row r="924" spans="1:1" ht="13.8" x14ac:dyDescent="0.25">
      <c r="A924" s="8"/>
    </row>
    <row r="925" spans="1:1" ht="13.8" x14ac:dyDescent="0.25">
      <c r="A925" s="8"/>
    </row>
    <row r="926" spans="1:1" ht="13.8" x14ac:dyDescent="0.25">
      <c r="A926" s="8"/>
    </row>
    <row r="927" spans="1:1" ht="13.8" x14ac:dyDescent="0.25">
      <c r="A927" s="8"/>
    </row>
    <row r="928" spans="1:1" ht="13.8" x14ac:dyDescent="0.25">
      <c r="A928" s="8"/>
    </row>
    <row r="929" spans="1:1" ht="13.8" x14ac:dyDescent="0.25">
      <c r="A929" s="8"/>
    </row>
    <row r="930" spans="1:1" ht="13.8" x14ac:dyDescent="0.25">
      <c r="A930" s="8"/>
    </row>
    <row r="931" spans="1:1" ht="13.8" x14ac:dyDescent="0.25">
      <c r="A931" s="8"/>
    </row>
    <row r="932" spans="1:1" ht="13.8" x14ac:dyDescent="0.25">
      <c r="A932" s="8"/>
    </row>
    <row r="933" spans="1:1" ht="13.8" x14ac:dyDescent="0.25">
      <c r="A933" s="8"/>
    </row>
    <row r="934" spans="1:1" ht="13.8" x14ac:dyDescent="0.25">
      <c r="A934" s="8"/>
    </row>
    <row r="935" spans="1:1" ht="13.8" x14ac:dyDescent="0.25">
      <c r="A935" s="8"/>
    </row>
    <row r="936" spans="1:1" ht="13.8" x14ac:dyDescent="0.25">
      <c r="A936" s="8"/>
    </row>
    <row r="937" spans="1:1" ht="13.8" x14ac:dyDescent="0.25">
      <c r="A937" s="8"/>
    </row>
    <row r="938" spans="1:1" ht="13.8" x14ac:dyDescent="0.25">
      <c r="A938" s="8"/>
    </row>
    <row r="939" spans="1:1" ht="13.8" x14ac:dyDescent="0.25">
      <c r="A939" s="8"/>
    </row>
    <row r="940" spans="1:1" ht="13.8" x14ac:dyDescent="0.25">
      <c r="A940" s="8"/>
    </row>
    <row r="941" spans="1:1" ht="13.8" x14ac:dyDescent="0.25">
      <c r="A941" s="8"/>
    </row>
    <row r="942" spans="1:1" ht="13.8" x14ac:dyDescent="0.25">
      <c r="A942" s="8"/>
    </row>
    <row r="943" spans="1:1" ht="13.8" x14ac:dyDescent="0.25">
      <c r="A943" s="8"/>
    </row>
    <row r="944" spans="1:1" ht="13.8" x14ac:dyDescent="0.25">
      <c r="A944" s="8"/>
    </row>
    <row r="945" spans="1:1" ht="13.8" x14ac:dyDescent="0.25">
      <c r="A945" s="8"/>
    </row>
    <row r="946" spans="1:1" ht="13.8" x14ac:dyDescent="0.25">
      <c r="A946" s="8"/>
    </row>
    <row r="947" spans="1:1" ht="13.8" x14ac:dyDescent="0.25">
      <c r="A947" s="8"/>
    </row>
    <row r="948" spans="1:1" ht="13.8" x14ac:dyDescent="0.25">
      <c r="A948" s="8"/>
    </row>
    <row r="949" spans="1:1" ht="13.8" x14ac:dyDescent="0.25">
      <c r="A949" s="8"/>
    </row>
    <row r="950" spans="1:1" ht="13.8" x14ac:dyDescent="0.25">
      <c r="A950" s="8"/>
    </row>
    <row r="951" spans="1:1" ht="13.8" x14ac:dyDescent="0.25">
      <c r="A951" s="8"/>
    </row>
    <row r="952" spans="1:1" ht="13.8" x14ac:dyDescent="0.25">
      <c r="A952" s="8"/>
    </row>
    <row r="953" spans="1:1" ht="13.8" x14ac:dyDescent="0.25">
      <c r="A953" s="8"/>
    </row>
    <row r="954" spans="1:1" ht="13.8" x14ac:dyDescent="0.25">
      <c r="A954" s="8"/>
    </row>
    <row r="955" spans="1:1" ht="13.8" x14ac:dyDescent="0.25">
      <c r="A955" s="8"/>
    </row>
    <row r="956" spans="1:1" ht="13.8" x14ac:dyDescent="0.25">
      <c r="A956" s="8"/>
    </row>
    <row r="957" spans="1:1" ht="13.8" x14ac:dyDescent="0.25">
      <c r="A957" s="8"/>
    </row>
    <row r="958" spans="1:1" ht="13.8" x14ac:dyDescent="0.25">
      <c r="A958" s="8"/>
    </row>
    <row r="959" spans="1:1" ht="13.8" x14ac:dyDescent="0.25">
      <c r="A959" s="8"/>
    </row>
    <row r="960" spans="1:1" ht="13.8" x14ac:dyDescent="0.25">
      <c r="A960" s="8"/>
    </row>
    <row r="961" spans="1:1" ht="13.8" x14ac:dyDescent="0.25">
      <c r="A961" s="8"/>
    </row>
    <row r="962" spans="1:1" ht="13.8" x14ac:dyDescent="0.25">
      <c r="A962" s="8"/>
    </row>
    <row r="963" spans="1:1" ht="13.8" x14ac:dyDescent="0.25">
      <c r="A963" s="8"/>
    </row>
    <row r="964" spans="1:1" ht="13.8" x14ac:dyDescent="0.25">
      <c r="A964" s="8"/>
    </row>
    <row r="965" spans="1:1" ht="13.8" x14ac:dyDescent="0.25">
      <c r="A965" s="8"/>
    </row>
    <row r="966" spans="1:1" ht="13.8" x14ac:dyDescent="0.25">
      <c r="A966" s="8"/>
    </row>
    <row r="967" spans="1:1" ht="13.8" x14ac:dyDescent="0.25">
      <c r="A967" s="8"/>
    </row>
    <row r="968" spans="1:1" ht="13.8" x14ac:dyDescent="0.25">
      <c r="A968" s="8"/>
    </row>
    <row r="969" spans="1:1" ht="13.8" x14ac:dyDescent="0.25">
      <c r="A969" s="8"/>
    </row>
    <row r="970" spans="1:1" ht="13.8" x14ac:dyDescent="0.25">
      <c r="A970" s="8"/>
    </row>
    <row r="971" spans="1:1" ht="13.8" x14ac:dyDescent="0.25">
      <c r="A971" s="8"/>
    </row>
    <row r="972" spans="1:1" ht="13.8" x14ac:dyDescent="0.25">
      <c r="A972" s="8"/>
    </row>
    <row r="973" spans="1:1" ht="13.8" x14ac:dyDescent="0.25">
      <c r="A973" s="8"/>
    </row>
    <row r="974" spans="1:1" ht="13.8" x14ac:dyDescent="0.25">
      <c r="A974" s="8"/>
    </row>
    <row r="975" spans="1:1" ht="13.8" x14ac:dyDescent="0.25">
      <c r="A975" s="8"/>
    </row>
    <row r="976" spans="1:1" ht="13.8" x14ac:dyDescent="0.25">
      <c r="A976" s="8"/>
    </row>
    <row r="977" spans="1:1" ht="13.8" x14ac:dyDescent="0.25">
      <c r="A977" s="8"/>
    </row>
    <row r="978" spans="1:1" ht="13.8" x14ac:dyDescent="0.25">
      <c r="A978" s="8"/>
    </row>
    <row r="979" spans="1:1" ht="13.8" x14ac:dyDescent="0.25">
      <c r="A979" s="8"/>
    </row>
    <row r="980" spans="1:1" ht="13.8" x14ac:dyDescent="0.25">
      <c r="A980" s="8"/>
    </row>
    <row r="981" spans="1:1" ht="13.8" x14ac:dyDescent="0.25">
      <c r="A981" s="8"/>
    </row>
    <row r="982" spans="1:1" ht="13.8" x14ac:dyDescent="0.25">
      <c r="A982" s="8"/>
    </row>
    <row r="983" spans="1:1" ht="13.8" x14ac:dyDescent="0.25">
      <c r="A983" s="8"/>
    </row>
    <row r="984" spans="1:1" ht="13.8" x14ac:dyDescent="0.25">
      <c r="A984" s="8"/>
    </row>
    <row r="985" spans="1:1" ht="13.8" x14ac:dyDescent="0.25">
      <c r="A985" s="8"/>
    </row>
    <row r="986" spans="1:1" ht="13.8" x14ac:dyDescent="0.25">
      <c r="A986" s="8"/>
    </row>
    <row r="987" spans="1:1" ht="13.8" x14ac:dyDescent="0.25">
      <c r="A987" s="8"/>
    </row>
    <row r="988" spans="1:1" ht="13.8" x14ac:dyDescent="0.25">
      <c r="A988" s="8"/>
    </row>
    <row r="989" spans="1:1" ht="13.8" x14ac:dyDescent="0.25">
      <c r="A989" s="8"/>
    </row>
    <row r="990" spans="1:1" ht="13.8" x14ac:dyDescent="0.25">
      <c r="A990" s="8"/>
    </row>
    <row r="991" spans="1:1" ht="13.8" x14ac:dyDescent="0.25">
      <c r="A991" s="8"/>
    </row>
    <row r="992" spans="1:1" ht="13.8" x14ac:dyDescent="0.25">
      <c r="A992" s="8"/>
    </row>
    <row r="993" spans="1:1" ht="13.8" x14ac:dyDescent="0.25">
      <c r="A993" s="8"/>
    </row>
    <row r="994" spans="1:1" ht="13.8" x14ac:dyDescent="0.25">
      <c r="A994" s="8"/>
    </row>
    <row r="995" spans="1:1" ht="13.8" x14ac:dyDescent="0.25">
      <c r="A995" s="8"/>
    </row>
    <row r="996" spans="1:1" ht="13.8" x14ac:dyDescent="0.25">
      <c r="A996" s="8"/>
    </row>
    <row r="997" spans="1:1" ht="13.8" x14ac:dyDescent="0.25">
      <c r="A997" s="8"/>
    </row>
    <row r="998" spans="1:1" ht="13.8" x14ac:dyDescent="0.25">
      <c r="A998" s="8"/>
    </row>
    <row r="999" spans="1:1" ht="13.8" x14ac:dyDescent="0.25">
      <c r="A999" s="8"/>
    </row>
    <row r="1000" spans="1:1" ht="13.8" x14ac:dyDescent="0.25">
      <c r="A1000" s="8"/>
    </row>
    <row r="1001" spans="1:1" ht="13.8" x14ac:dyDescent="0.25">
      <c r="A1001" s="8"/>
    </row>
    <row r="1002" spans="1:1" ht="13.8" x14ac:dyDescent="0.25">
      <c r="A1002" s="8"/>
    </row>
    <row r="1003" spans="1:1" ht="13.8" x14ac:dyDescent="0.25">
      <c r="A1003" s="8"/>
    </row>
    <row r="1004" spans="1:1" ht="13.8" x14ac:dyDescent="0.25">
      <c r="A1004" s="8"/>
    </row>
    <row r="1005" spans="1:1" ht="13.8" x14ac:dyDescent="0.25">
      <c r="A1005" s="8"/>
    </row>
    <row r="1006" spans="1:1" ht="13.8" x14ac:dyDescent="0.25">
      <c r="A1006" s="8"/>
    </row>
    <row r="1007" spans="1:1" ht="13.8" x14ac:dyDescent="0.25">
      <c r="A1007" s="8"/>
    </row>
    <row r="1008" spans="1:1" ht="13.8" x14ac:dyDescent="0.25">
      <c r="A1008" s="8"/>
    </row>
    <row r="1009" spans="1:1" ht="13.8" x14ac:dyDescent="0.25">
      <c r="A1009" s="8"/>
    </row>
    <row r="1010" spans="1:1" ht="13.8" x14ac:dyDescent="0.25">
      <c r="A1010" s="8"/>
    </row>
    <row r="1011" spans="1:1" ht="13.8" x14ac:dyDescent="0.25">
      <c r="A1011" s="8"/>
    </row>
    <row r="1012" spans="1:1" ht="13.8" x14ac:dyDescent="0.25">
      <c r="A1012" s="8"/>
    </row>
    <row r="1013" spans="1:1" ht="13.8" x14ac:dyDescent="0.25">
      <c r="A1013" s="8"/>
    </row>
    <row r="1014" spans="1:1" ht="13.8" x14ac:dyDescent="0.25">
      <c r="A1014" s="8"/>
    </row>
    <row r="1015" spans="1:1" ht="13.8" x14ac:dyDescent="0.25">
      <c r="A1015" s="8"/>
    </row>
    <row r="1016" spans="1:1" ht="13.8" x14ac:dyDescent="0.25">
      <c r="A1016" s="8"/>
    </row>
    <row r="1017" spans="1:1" ht="13.8" x14ac:dyDescent="0.25">
      <c r="A1017" s="8"/>
    </row>
    <row r="1018" spans="1:1" ht="13.8" x14ac:dyDescent="0.25">
      <c r="A1018" s="8"/>
    </row>
    <row r="1019" spans="1:1" ht="13.8" x14ac:dyDescent="0.25">
      <c r="A1019" s="8"/>
    </row>
    <row r="1020" spans="1:1" ht="13.8" x14ac:dyDescent="0.25">
      <c r="A1020" s="8"/>
    </row>
    <row r="1021" spans="1:1" ht="13.8" x14ac:dyDescent="0.25">
      <c r="A1021" s="8"/>
    </row>
    <row r="1022" spans="1:1" ht="13.8" x14ac:dyDescent="0.25">
      <c r="A1022" s="8"/>
    </row>
    <row r="1023" spans="1:1" ht="13.8" x14ac:dyDescent="0.25">
      <c r="A1023" s="8"/>
    </row>
    <row r="1024" spans="1:1" ht="13.8" x14ac:dyDescent="0.25">
      <c r="A1024" s="8"/>
    </row>
    <row r="1025" spans="1:1" ht="13.8" x14ac:dyDescent="0.25">
      <c r="A1025" s="8"/>
    </row>
    <row r="1026" spans="1:1" ht="13.8" x14ac:dyDescent="0.25">
      <c r="A1026" s="8"/>
    </row>
    <row r="1027" spans="1:1" ht="13.8" x14ac:dyDescent="0.25">
      <c r="A1027" s="8"/>
    </row>
    <row r="1028" spans="1:1" ht="13.8" x14ac:dyDescent="0.25">
      <c r="A1028" s="8"/>
    </row>
    <row r="1029" spans="1:1" ht="13.8" x14ac:dyDescent="0.25">
      <c r="A1029" s="8"/>
    </row>
    <row r="1030" spans="1:1" ht="13.8" x14ac:dyDescent="0.25">
      <c r="A1030" s="8"/>
    </row>
    <row r="1031" spans="1:1" ht="13.8" x14ac:dyDescent="0.25">
      <c r="A1031" s="8"/>
    </row>
    <row r="1032" spans="1:1" ht="13.8" x14ac:dyDescent="0.25">
      <c r="A1032" s="8"/>
    </row>
    <row r="1033" spans="1:1" ht="13.8" x14ac:dyDescent="0.25">
      <c r="A1033" s="8"/>
    </row>
    <row r="1034" spans="1:1" ht="13.8" x14ac:dyDescent="0.25">
      <c r="A1034" s="8"/>
    </row>
    <row r="1035" spans="1:1" ht="13.8" x14ac:dyDescent="0.25">
      <c r="A1035" s="8"/>
    </row>
    <row r="1036" spans="1:1" ht="13.8" x14ac:dyDescent="0.25">
      <c r="A1036" s="8"/>
    </row>
    <row r="1037" spans="1:1" ht="13.8" x14ac:dyDescent="0.25">
      <c r="A1037" s="8"/>
    </row>
    <row r="1038" spans="1:1" ht="13.8" x14ac:dyDescent="0.25">
      <c r="A1038" s="8"/>
    </row>
    <row r="1039" spans="1:1" ht="13.8" x14ac:dyDescent="0.25">
      <c r="A1039" s="8"/>
    </row>
    <row r="1040" spans="1:1" ht="13.8" x14ac:dyDescent="0.25">
      <c r="A1040" s="8"/>
    </row>
    <row r="1041" spans="1:1" ht="13.8" x14ac:dyDescent="0.25">
      <c r="A1041" s="8"/>
    </row>
    <row r="1042" spans="1:1" ht="13.8" x14ac:dyDescent="0.25">
      <c r="A1042" s="8"/>
    </row>
    <row r="1043" spans="1:1" ht="13.8" x14ac:dyDescent="0.25">
      <c r="A1043" s="8"/>
    </row>
    <row r="1044" spans="1:1" ht="13.8" x14ac:dyDescent="0.25">
      <c r="A1044" s="8"/>
    </row>
    <row r="1045" spans="1:1" ht="13.8" x14ac:dyDescent="0.25">
      <c r="A1045" s="8"/>
    </row>
    <row r="1046" spans="1:1" ht="13.8" x14ac:dyDescent="0.25">
      <c r="A1046" s="8"/>
    </row>
    <row r="1047" spans="1:1" ht="13.8" x14ac:dyDescent="0.25">
      <c r="A1047" s="8"/>
    </row>
    <row r="1048" spans="1:1" ht="13.8" x14ac:dyDescent="0.25">
      <c r="A1048" s="8"/>
    </row>
    <row r="1049" spans="1:1" ht="13.8" x14ac:dyDescent="0.25">
      <c r="A1049" s="8"/>
    </row>
    <row r="1050" spans="1:1" ht="13.8" x14ac:dyDescent="0.25">
      <c r="A1050" s="8"/>
    </row>
    <row r="1051" spans="1:1" ht="13.8" x14ac:dyDescent="0.25">
      <c r="A1051" s="8"/>
    </row>
    <row r="1052" spans="1:1" ht="13.8" x14ac:dyDescent="0.25">
      <c r="A1052" s="8"/>
    </row>
    <row r="1053" spans="1:1" ht="13.8" x14ac:dyDescent="0.25">
      <c r="A1053" s="8"/>
    </row>
    <row r="1054" spans="1:1" ht="13.8" x14ac:dyDescent="0.25">
      <c r="A1054" s="8"/>
    </row>
    <row r="1055" spans="1:1" ht="13.8" x14ac:dyDescent="0.25">
      <c r="A1055" s="8"/>
    </row>
    <row r="1056" spans="1:1" ht="13.8" x14ac:dyDescent="0.25">
      <c r="A1056" s="8"/>
    </row>
    <row r="1057" spans="1:1" ht="13.8" x14ac:dyDescent="0.25">
      <c r="A1057" s="8"/>
    </row>
    <row r="1058" spans="1:1" ht="13.8" x14ac:dyDescent="0.25">
      <c r="A1058" s="8"/>
    </row>
    <row r="1059" spans="1:1" ht="13.8" x14ac:dyDescent="0.25">
      <c r="A1059" s="8"/>
    </row>
    <row r="1060" spans="1:1" ht="13.8" x14ac:dyDescent="0.25">
      <c r="A1060" s="8"/>
    </row>
    <row r="1061" spans="1:1" ht="13.8" x14ac:dyDescent="0.25">
      <c r="A1061" s="8"/>
    </row>
    <row r="1062" spans="1:1" ht="13.8" x14ac:dyDescent="0.25">
      <c r="A1062" s="8"/>
    </row>
    <row r="1063" spans="1:1" ht="13.8" x14ac:dyDescent="0.25">
      <c r="A1063" s="8"/>
    </row>
    <row r="1064" spans="1:1" ht="13.8" x14ac:dyDescent="0.25">
      <c r="A1064" s="8"/>
    </row>
    <row r="1065" spans="1:1" ht="13.8" x14ac:dyDescent="0.25">
      <c r="A1065" s="8"/>
    </row>
    <row r="1066" spans="1:1" ht="13.8" x14ac:dyDescent="0.25">
      <c r="A1066" s="8"/>
    </row>
    <row r="1067" spans="1:1" ht="13.8" x14ac:dyDescent="0.25">
      <c r="A1067" s="8"/>
    </row>
    <row r="1068" spans="1:1" ht="13.8" x14ac:dyDescent="0.25">
      <c r="A1068" s="8"/>
    </row>
    <row r="1069" spans="1:1" ht="13.8" x14ac:dyDescent="0.25">
      <c r="A1069" s="8"/>
    </row>
    <row r="1070" spans="1:1" ht="13.8" x14ac:dyDescent="0.25">
      <c r="A1070" s="8"/>
    </row>
    <row r="1071" spans="1:1" ht="13.8" x14ac:dyDescent="0.25">
      <c r="A1071" s="8"/>
    </row>
    <row r="1072" spans="1:1" ht="13.8" x14ac:dyDescent="0.25">
      <c r="A1072" s="8"/>
    </row>
    <row r="1073" spans="1:1" ht="13.8" x14ac:dyDescent="0.25">
      <c r="A1073" s="8"/>
    </row>
    <row r="1074" spans="1:1" ht="13.8" x14ac:dyDescent="0.25">
      <c r="A1074" s="8"/>
    </row>
    <row r="1075" spans="1:1" ht="13.8" x14ac:dyDescent="0.25">
      <c r="A1075" s="8"/>
    </row>
    <row r="1076" spans="1:1" ht="13.8" x14ac:dyDescent="0.25">
      <c r="A1076" s="8"/>
    </row>
    <row r="1077" spans="1:1" ht="13.8" x14ac:dyDescent="0.25">
      <c r="A1077" s="8"/>
    </row>
    <row r="1078" spans="1:1" ht="13.8" x14ac:dyDescent="0.25">
      <c r="A1078" s="8"/>
    </row>
    <row r="1079" spans="1:1" ht="13.8" x14ac:dyDescent="0.25">
      <c r="A1079" s="8"/>
    </row>
    <row r="1080" spans="1:1" ht="13.8" x14ac:dyDescent="0.25">
      <c r="A1080" s="8"/>
    </row>
    <row r="1081" spans="1:1" ht="13.8" x14ac:dyDescent="0.25">
      <c r="A1081" s="8"/>
    </row>
    <row r="1082" spans="1:1" ht="13.8" x14ac:dyDescent="0.25">
      <c r="A1082" s="8"/>
    </row>
    <row r="1083" spans="1:1" ht="13.8" x14ac:dyDescent="0.25">
      <c r="A1083" s="8"/>
    </row>
    <row r="1084" spans="1:1" ht="13.8" x14ac:dyDescent="0.25">
      <c r="A1084" s="8"/>
    </row>
    <row r="1085" spans="1:1" ht="13.8" x14ac:dyDescent="0.25">
      <c r="A1085" s="8"/>
    </row>
    <row r="1086" spans="1:1" ht="13.8" x14ac:dyDescent="0.25">
      <c r="A1086" s="8"/>
    </row>
    <row r="1087" spans="1:1" ht="13.8" x14ac:dyDescent="0.25">
      <c r="A1087" s="8"/>
    </row>
    <row r="1088" spans="1:1" ht="13.8" x14ac:dyDescent="0.25">
      <c r="A1088" s="8"/>
    </row>
    <row r="1089" spans="1:1" ht="13.8" x14ac:dyDescent="0.25">
      <c r="A1089" s="8"/>
    </row>
    <row r="1090" spans="1:1" ht="13.8" x14ac:dyDescent="0.25">
      <c r="A1090" s="8"/>
    </row>
    <row r="1091" spans="1:1" ht="13.8" x14ac:dyDescent="0.25">
      <c r="A1091" s="8"/>
    </row>
    <row r="1092" spans="1:1" ht="13.8" x14ac:dyDescent="0.25">
      <c r="A1092" s="8"/>
    </row>
    <row r="1093" spans="1:1" ht="13.8" x14ac:dyDescent="0.25">
      <c r="A1093" s="8"/>
    </row>
    <row r="1094" spans="1:1" ht="13.8" x14ac:dyDescent="0.25">
      <c r="A1094" s="8"/>
    </row>
    <row r="1095" spans="1:1" ht="13.8" x14ac:dyDescent="0.25">
      <c r="A1095" s="8"/>
    </row>
    <row r="1096" spans="1:1" ht="13.8" x14ac:dyDescent="0.25">
      <c r="A1096" s="8"/>
    </row>
    <row r="1097" spans="1:1" ht="13.8" x14ac:dyDescent="0.25">
      <c r="A1097" s="8"/>
    </row>
    <row r="1098" spans="1:1" ht="13.8" x14ac:dyDescent="0.25">
      <c r="A1098" s="8"/>
    </row>
    <row r="1099" spans="1:1" ht="13.8" x14ac:dyDescent="0.25">
      <c r="A1099" s="8"/>
    </row>
    <row r="1100" spans="1:1" ht="13.8" x14ac:dyDescent="0.25">
      <c r="A1100" s="8"/>
    </row>
    <row r="1101" spans="1:1" ht="13.8" x14ac:dyDescent="0.25">
      <c r="A1101" s="8"/>
    </row>
    <row r="1102" spans="1:1" ht="13.8" x14ac:dyDescent="0.25">
      <c r="A1102" s="8"/>
    </row>
    <row r="1103" spans="1:1" ht="13.8" x14ac:dyDescent="0.25">
      <c r="A1103" s="8"/>
    </row>
    <row r="1104" spans="1:1" ht="13.8" x14ac:dyDescent="0.25">
      <c r="A1104" s="8"/>
    </row>
    <row r="1105" spans="1:1" ht="13.8" x14ac:dyDescent="0.25">
      <c r="A1105" s="8"/>
    </row>
    <row r="1106" spans="1:1" ht="13.8" x14ac:dyDescent="0.25">
      <c r="A1106" s="8"/>
    </row>
    <row r="1107" spans="1:1" ht="13.8" x14ac:dyDescent="0.25">
      <c r="A1107" s="8"/>
    </row>
    <row r="1108" spans="1:1" ht="13.8" x14ac:dyDescent="0.25">
      <c r="A1108" s="8"/>
    </row>
    <row r="1109" spans="1:1" ht="13.8" x14ac:dyDescent="0.25">
      <c r="A1109" s="8"/>
    </row>
    <row r="1110" spans="1:1" ht="13.8" x14ac:dyDescent="0.25">
      <c r="A1110" s="8"/>
    </row>
    <row r="1111" spans="1:1" ht="13.8" x14ac:dyDescent="0.25">
      <c r="A1111" s="8"/>
    </row>
    <row r="1112" spans="1:1" ht="13.8" x14ac:dyDescent="0.25">
      <c r="A1112" s="8"/>
    </row>
    <row r="1113" spans="1:1" ht="13.8" x14ac:dyDescent="0.25">
      <c r="A1113" s="8"/>
    </row>
    <row r="1114" spans="1:1" ht="13.8" x14ac:dyDescent="0.25">
      <c r="A1114" s="8"/>
    </row>
    <row r="1115" spans="1:1" ht="13.8" x14ac:dyDescent="0.25">
      <c r="A1115" s="8"/>
    </row>
    <row r="1116" spans="1:1" ht="13.8" x14ac:dyDescent="0.25">
      <c r="A1116" s="8"/>
    </row>
    <row r="1117" spans="1:1" ht="13.8" x14ac:dyDescent="0.25">
      <c r="A1117" s="8"/>
    </row>
    <row r="1118" spans="1:1" ht="13.8" x14ac:dyDescent="0.25">
      <c r="A1118" s="8"/>
    </row>
    <row r="1119" spans="1:1" ht="13.8" x14ac:dyDescent="0.25">
      <c r="A1119" s="8"/>
    </row>
    <row r="1120" spans="1:1" ht="13.8" x14ac:dyDescent="0.25">
      <c r="A1120" s="8"/>
    </row>
    <row r="1121" spans="1:1" ht="13.8" x14ac:dyDescent="0.25">
      <c r="A1121" s="8"/>
    </row>
    <row r="1122" spans="1:1" ht="13.8" x14ac:dyDescent="0.25">
      <c r="A1122" s="8"/>
    </row>
    <row r="1123" spans="1:1" ht="13.8" x14ac:dyDescent="0.25">
      <c r="A1123" s="8"/>
    </row>
    <row r="1124" spans="1:1" ht="13.8" x14ac:dyDescent="0.25">
      <c r="A1124" s="8"/>
    </row>
    <row r="1125" spans="1:1" ht="13.8" x14ac:dyDescent="0.25">
      <c r="A1125" s="8"/>
    </row>
    <row r="1126" spans="1:1" ht="13.8" x14ac:dyDescent="0.25">
      <c r="A1126" s="8"/>
    </row>
    <row r="1127" spans="1:1" ht="13.8" x14ac:dyDescent="0.25">
      <c r="A1127" s="8"/>
    </row>
    <row r="1128" spans="1:1" ht="13.8" x14ac:dyDescent="0.25">
      <c r="A1128" s="8"/>
    </row>
    <row r="1129" spans="1:1" ht="13.8" x14ac:dyDescent="0.25">
      <c r="A1129" s="8"/>
    </row>
    <row r="1130" spans="1:1" ht="13.8" x14ac:dyDescent="0.25">
      <c r="A1130" s="8"/>
    </row>
    <row r="1131" spans="1:1" ht="13.8" x14ac:dyDescent="0.25">
      <c r="A1131" s="8"/>
    </row>
    <row r="1132" spans="1:1" ht="13.8" x14ac:dyDescent="0.25">
      <c r="A1132" s="8"/>
    </row>
    <row r="1133" spans="1:1" ht="13.8" x14ac:dyDescent="0.25">
      <c r="A1133" s="8"/>
    </row>
    <row r="1134" spans="1:1" ht="13.8" x14ac:dyDescent="0.25">
      <c r="A1134" s="8"/>
    </row>
    <row r="1135" spans="1:1" ht="13.8" x14ac:dyDescent="0.25">
      <c r="A1135" s="8"/>
    </row>
    <row r="1136" spans="1:1" ht="13.8" x14ac:dyDescent="0.25">
      <c r="A1136" s="8"/>
    </row>
    <row r="1137" spans="1:1" ht="13.8" x14ac:dyDescent="0.25">
      <c r="A1137" s="8"/>
    </row>
    <row r="1138" spans="1:1" ht="13.8" x14ac:dyDescent="0.25">
      <c r="A1138" s="8"/>
    </row>
    <row r="1139" spans="1:1" ht="13.8" x14ac:dyDescent="0.25">
      <c r="A1139" s="8"/>
    </row>
    <row r="1140" spans="1:1" ht="13.8" x14ac:dyDescent="0.25">
      <c r="A1140" s="8"/>
    </row>
    <row r="1141" spans="1:1" ht="13.8" x14ac:dyDescent="0.25">
      <c r="A1141" s="8"/>
    </row>
    <row r="1142" spans="1:1" ht="13.8" x14ac:dyDescent="0.25">
      <c r="A1142" s="8"/>
    </row>
    <row r="1143" spans="1:1" ht="13.8" x14ac:dyDescent="0.25">
      <c r="A1143" s="8"/>
    </row>
    <row r="1144" spans="1:1" ht="13.8" x14ac:dyDescent="0.25">
      <c r="A1144" s="8"/>
    </row>
    <row r="1145" spans="1:1" ht="13.8" x14ac:dyDescent="0.25">
      <c r="A1145" s="8"/>
    </row>
    <row r="1146" spans="1:1" ht="13.8" x14ac:dyDescent="0.25">
      <c r="A1146" s="8"/>
    </row>
    <row r="1147" spans="1:1" ht="13.8" x14ac:dyDescent="0.25">
      <c r="A1147" s="8"/>
    </row>
    <row r="1148" spans="1:1" ht="13.8" x14ac:dyDescent="0.25">
      <c r="A1148" s="8"/>
    </row>
    <row r="1149" spans="1:1" ht="13.8" x14ac:dyDescent="0.25">
      <c r="A1149" s="8"/>
    </row>
    <row r="1150" spans="1:1" ht="13.8" x14ac:dyDescent="0.25">
      <c r="A1150" s="8"/>
    </row>
    <row r="1151" spans="1:1" ht="13.8" x14ac:dyDescent="0.25">
      <c r="A1151" s="8"/>
    </row>
    <row r="1152" spans="1:1" ht="13.8" x14ac:dyDescent="0.25">
      <c r="A1152" s="8"/>
    </row>
    <row r="1153" spans="1:1" ht="13.8" x14ac:dyDescent="0.25">
      <c r="A1153" s="8"/>
    </row>
    <row r="1154" spans="1:1" ht="13.8" x14ac:dyDescent="0.25">
      <c r="A1154" s="8"/>
    </row>
    <row r="1155" spans="1:1" ht="13.8" x14ac:dyDescent="0.25">
      <c r="A1155" s="8"/>
    </row>
    <row r="1156" spans="1:1" ht="13.8" x14ac:dyDescent="0.25">
      <c r="A1156" s="8"/>
    </row>
    <row r="1157" spans="1:1" ht="13.8" x14ac:dyDescent="0.25">
      <c r="A1157" s="8"/>
    </row>
    <row r="1158" spans="1:1" ht="13.8" x14ac:dyDescent="0.25">
      <c r="A1158" s="8"/>
    </row>
    <row r="1159" spans="1:1" ht="13.8" x14ac:dyDescent="0.25">
      <c r="A1159" s="8"/>
    </row>
    <row r="1160" spans="1:1" ht="13.8" x14ac:dyDescent="0.25">
      <c r="A1160" s="8"/>
    </row>
    <row r="1161" spans="1:1" ht="13.8" x14ac:dyDescent="0.25">
      <c r="A1161" s="8"/>
    </row>
    <row r="1162" spans="1:1" ht="13.8" x14ac:dyDescent="0.25">
      <c r="A1162" s="8"/>
    </row>
    <row r="1163" spans="1:1" ht="13.8" x14ac:dyDescent="0.25">
      <c r="A1163" s="8"/>
    </row>
    <row r="1164" spans="1:1" ht="13.8" x14ac:dyDescent="0.25">
      <c r="A1164" s="8"/>
    </row>
    <row r="1165" spans="1:1" ht="13.8" x14ac:dyDescent="0.25">
      <c r="A1165" s="8"/>
    </row>
    <row r="1166" spans="1:1" ht="13.8" x14ac:dyDescent="0.25">
      <c r="A1166" s="8"/>
    </row>
    <row r="1167" spans="1:1" ht="13.8" x14ac:dyDescent="0.25">
      <c r="A1167" s="8"/>
    </row>
    <row r="1168" spans="1:1" ht="13.8" x14ac:dyDescent="0.25">
      <c r="A1168" s="8"/>
    </row>
    <row r="1169" spans="1:1" ht="13.8" x14ac:dyDescent="0.25">
      <c r="A1169" s="8"/>
    </row>
    <row r="1170" spans="1:1" ht="13.8" x14ac:dyDescent="0.25">
      <c r="A1170" s="8"/>
    </row>
    <row r="1171" spans="1:1" ht="13.8" x14ac:dyDescent="0.25">
      <c r="A1171" s="8"/>
    </row>
    <row r="1172" spans="1:1" ht="13.8" x14ac:dyDescent="0.25">
      <c r="A1172" s="8"/>
    </row>
    <row r="1173" spans="1:1" ht="13.8" x14ac:dyDescent="0.25">
      <c r="A1173" s="8"/>
    </row>
    <row r="1174" spans="1:1" ht="13.8" x14ac:dyDescent="0.25">
      <c r="A1174" s="8"/>
    </row>
    <row r="1175" spans="1:1" ht="13.8" x14ac:dyDescent="0.25">
      <c r="A1175" s="8"/>
    </row>
    <row r="1176" spans="1:1" ht="13.8" x14ac:dyDescent="0.25">
      <c r="A1176" s="8"/>
    </row>
    <row r="1177" spans="1:1" ht="13.8" x14ac:dyDescent="0.25">
      <c r="A1177" s="8"/>
    </row>
    <row r="1178" spans="1:1" ht="13.8" x14ac:dyDescent="0.25">
      <c r="A1178" s="8"/>
    </row>
    <row r="1179" spans="1:1" ht="13.8" x14ac:dyDescent="0.25">
      <c r="A1179" s="8"/>
    </row>
    <row r="1180" spans="1:1" ht="13.8" x14ac:dyDescent="0.25">
      <c r="A1180" s="8"/>
    </row>
    <row r="1181" spans="1:1" ht="13.8" x14ac:dyDescent="0.25">
      <c r="A1181" s="8"/>
    </row>
    <row r="1182" spans="1:1" ht="13.8" x14ac:dyDescent="0.25">
      <c r="A1182" s="8"/>
    </row>
    <row r="1183" spans="1:1" ht="13.8" x14ac:dyDescent="0.25">
      <c r="A1183" s="8"/>
    </row>
    <row r="1184" spans="1:1" ht="13.8" x14ac:dyDescent="0.25">
      <c r="A1184" s="8"/>
    </row>
    <row r="1185" spans="1:1" ht="13.8" x14ac:dyDescent="0.25">
      <c r="A1185" s="8"/>
    </row>
    <row r="1186" spans="1:1" ht="13.8" x14ac:dyDescent="0.25">
      <c r="A1186" s="8"/>
    </row>
    <row r="1187" spans="1:1" ht="13.8" x14ac:dyDescent="0.25">
      <c r="A1187" s="8"/>
    </row>
    <row r="1188" spans="1:1" ht="13.8" x14ac:dyDescent="0.25">
      <c r="A1188" s="8"/>
    </row>
    <row r="1189" spans="1:1" ht="13.8" x14ac:dyDescent="0.25">
      <c r="A1189" s="8"/>
    </row>
    <row r="1190" spans="1:1" ht="13.8" x14ac:dyDescent="0.25">
      <c r="A1190" s="8"/>
    </row>
    <row r="1191" spans="1:1" ht="13.8" x14ac:dyDescent="0.25">
      <c r="A1191" s="8"/>
    </row>
    <row r="1192" spans="1:1" ht="13.8" x14ac:dyDescent="0.25">
      <c r="A1192" s="8"/>
    </row>
    <row r="1193" spans="1:1" ht="13.8" x14ac:dyDescent="0.25">
      <c r="A1193" s="8"/>
    </row>
    <row r="1194" spans="1:1" ht="13.8" x14ac:dyDescent="0.25">
      <c r="A1194" s="8"/>
    </row>
    <row r="1195" spans="1:1" ht="13.8" x14ac:dyDescent="0.25">
      <c r="A1195" s="8"/>
    </row>
    <row r="1196" spans="1:1" ht="13.8" x14ac:dyDescent="0.25">
      <c r="A1196" s="8"/>
    </row>
    <row r="1197" spans="1:1" ht="13.8" x14ac:dyDescent="0.25">
      <c r="A1197" s="8"/>
    </row>
    <row r="1198" spans="1:1" ht="13.8" x14ac:dyDescent="0.25">
      <c r="A1198" s="8"/>
    </row>
    <row r="1199" spans="1:1" ht="13.8" x14ac:dyDescent="0.25">
      <c r="A1199" s="8"/>
    </row>
    <row r="1200" spans="1:1" ht="13.8" x14ac:dyDescent="0.25">
      <c r="A1200" s="8"/>
    </row>
    <row r="1201" spans="1:1" ht="13.8" x14ac:dyDescent="0.25">
      <c r="A1201" s="8"/>
    </row>
    <row r="1202" spans="1:1" ht="13.8" x14ac:dyDescent="0.25">
      <c r="A1202" s="8"/>
    </row>
    <row r="1203" spans="1:1" ht="13.8" x14ac:dyDescent="0.25">
      <c r="A1203" s="8"/>
    </row>
    <row r="1204" spans="1:1" ht="13.8" x14ac:dyDescent="0.25">
      <c r="A1204" s="8"/>
    </row>
    <row r="1205" spans="1:1" ht="13.8" x14ac:dyDescent="0.25">
      <c r="A1205" s="8"/>
    </row>
    <row r="1206" spans="1:1" ht="13.8" x14ac:dyDescent="0.25">
      <c r="A1206" s="8"/>
    </row>
    <row r="1207" spans="1:1" ht="13.8" x14ac:dyDescent="0.25">
      <c r="A1207" s="8"/>
    </row>
    <row r="1208" spans="1:1" ht="13.8" x14ac:dyDescent="0.25">
      <c r="A1208" s="8"/>
    </row>
    <row r="1209" spans="1:1" ht="13.8" x14ac:dyDescent="0.25">
      <c r="A1209" s="8"/>
    </row>
    <row r="1210" spans="1:1" ht="13.8" x14ac:dyDescent="0.25">
      <c r="A1210" s="8"/>
    </row>
    <row r="1211" spans="1:1" ht="13.8" x14ac:dyDescent="0.25">
      <c r="A1211" s="8"/>
    </row>
    <row r="1212" spans="1:1" ht="13.8" x14ac:dyDescent="0.25">
      <c r="A1212" s="8"/>
    </row>
    <row r="1213" spans="1:1" ht="13.8" x14ac:dyDescent="0.25">
      <c r="A1213" s="8"/>
    </row>
    <row r="1214" spans="1:1" ht="13.8" x14ac:dyDescent="0.25">
      <c r="A1214" s="8"/>
    </row>
    <row r="1215" spans="1:1" ht="13.8" x14ac:dyDescent="0.25">
      <c r="A1215" s="8"/>
    </row>
    <row r="1216" spans="1:1" ht="13.8" x14ac:dyDescent="0.25">
      <c r="A1216" s="8"/>
    </row>
    <row r="1217" spans="1:1" ht="13.8" x14ac:dyDescent="0.25">
      <c r="A1217" s="8"/>
    </row>
    <row r="1218" spans="1:1" ht="13.8" x14ac:dyDescent="0.25">
      <c r="A1218" s="8"/>
    </row>
    <row r="1219" spans="1:1" ht="13.8" x14ac:dyDescent="0.25">
      <c r="A1219" s="8"/>
    </row>
    <row r="1220" spans="1:1" ht="13.8" x14ac:dyDescent="0.25">
      <c r="A1220" s="8"/>
    </row>
    <row r="1221" spans="1:1" ht="13.8" x14ac:dyDescent="0.25">
      <c r="A1221" s="8"/>
    </row>
    <row r="1222" spans="1:1" ht="13.8" x14ac:dyDescent="0.25">
      <c r="A1222" s="8"/>
    </row>
    <row r="1223" spans="1:1" ht="13.8" x14ac:dyDescent="0.25">
      <c r="A1223" s="8"/>
    </row>
    <row r="1224" spans="1:1" ht="13.8" x14ac:dyDescent="0.25">
      <c r="A1224" s="8"/>
    </row>
    <row r="1225" spans="1:1" ht="13.8" x14ac:dyDescent="0.25">
      <c r="A1225" s="8"/>
    </row>
    <row r="1226" spans="1:1" ht="13.8" x14ac:dyDescent="0.25">
      <c r="A1226" s="8"/>
    </row>
    <row r="1227" spans="1:1" ht="13.8" x14ac:dyDescent="0.25">
      <c r="A1227" s="8"/>
    </row>
    <row r="1228" spans="1:1" ht="13.8" x14ac:dyDescent="0.25">
      <c r="A1228" s="8"/>
    </row>
    <row r="1229" spans="1:1" ht="13.8" x14ac:dyDescent="0.25">
      <c r="A1229" s="8"/>
    </row>
    <row r="1230" spans="1:1" ht="13.8" x14ac:dyDescent="0.25">
      <c r="A1230" s="8"/>
    </row>
    <row r="1231" spans="1:1" ht="13.8" x14ac:dyDescent="0.25">
      <c r="A1231" s="8"/>
    </row>
    <row r="1232" spans="1:1" ht="13.8" x14ac:dyDescent="0.25">
      <c r="A1232" s="8"/>
    </row>
    <row r="1233" spans="1:1" ht="13.8" x14ac:dyDescent="0.25">
      <c r="A1233" s="8"/>
    </row>
    <row r="1234" spans="1:1" ht="13.8" x14ac:dyDescent="0.25">
      <c r="A1234" s="8"/>
    </row>
    <row r="1235" spans="1:1" ht="13.8" x14ac:dyDescent="0.25">
      <c r="A1235" s="8"/>
    </row>
    <row r="1236" spans="1:1" ht="13.8" x14ac:dyDescent="0.25">
      <c r="A1236" s="8"/>
    </row>
    <row r="1237" spans="1:1" ht="13.8" x14ac:dyDescent="0.25">
      <c r="A1237" s="8"/>
    </row>
    <row r="1238" spans="1:1" ht="13.8" x14ac:dyDescent="0.25">
      <c r="A1238" s="8"/>
    </row>
    <row r="1239" spans="1:1" ht="13.8" x14ac:dyDescent="0.25">
      <c r="A1239" s="8"/>
    </row>
    <row r="1240" spans="1:1" ht="13.8" x14ac:dyDescent="0.25">
      <c r="A1240" s="8"/>
    </row>
    <row r="1241" spans="1:1" ht="13.8" x14ac:dyDescent="0.25">
      <c r="A1241" s="8"/>
    </row>
    <row r="1242" spans="1:1" ht="13.8" x14ac:dyDescent="0.25">
      <c r="A1242" s="8"/>
    </row>
    <row r="1243" spans="1:1" ht="13.8" x14ac:dyDescent="0.25">
      <c r="A1243" s="8"/>
    </row>
    <row r="1244" spans="1:1" ht="13.8" x14ac:dyDescent="0.25">
      <c r="A1244" s="8"/>
    </row>
    <row r="1245" spans="1:1" ht="13.8" x14ac:dyDescent="0.25">
      <c r="A1245" s="8"/>
    </row>
    <row r="1246" spans="1:1" ht="13.8" x14ac:dyDescent="0.25">
      <c r="A1246" s="8"/>
    </row>
    <row r="1247" spans="1:1" ht="13.8" x14ac:dyDescent="0.25">
      <c r="A1247" s="8"/>
    </row>
    <row r="1248" spans="1:1" ht="13.8" x14ac:dyDescent="0.25">
      <c r="A1248" s="8"/>
    </row>
    <row r="1249" spans="1:1" ht="13.8" x14ac:dyDescent="0.25">
      <c r="A1249" s="8"/>
    </row>
    <row r="1250" spans="1:1" ht="13.8" x14ac:dyDescent="0.25">
      <c r="A1250" s="8"/>
    </row>
    <row r="1251" spans="1:1" ht="13.8" x14ac:dyDescent="0.25">
      <c r="A1251" s="8"/>
    </row>
    <row r="1252" spans="1:1" ht="13.8" x14ac:dyDescent="0.25">
      <c r="A1252" s="8"/>
    </row>
    <row r="1253" spans="1:1" ht="13.8" x14ac:dyDescent="0.25">
      <c r="A1253" s="8"/>
    </row>
    <row r="1254" spans="1:1" ht="13.8" x14ac:dyDescent="0.25">
      <c r="A1254" s="8"/>
    </row>
    <row r="1255" spans="1:1" ht="13.8" x14ac:dyDescent="0.25">
      <c r="A1255" s="8"/>
    </row>
    <row r="1256" spans="1:1" ht="13.8" x14ac:dyDescent="0.25">
      <c r="A1256" s="8"/>
    </row>
    <row r="1257" spans="1:1" ht="13.8" x14ac:dyDescent="0.25">
      <c r="A1257" s="8"/>
    </row>
    <row r="1258" spans="1:1" ht="13.8" x14ac:dyDescent="0.25">
      <c r="A1258" s="8"/>
    </row>
    <row r="1259" spans="1:1" ht="13.8" x14ac:dyDescent="0.25">
      <c r="A1259" s="8"/>
    </row>
    <row r="1260" spans="1:1" ht="13.8" x14ac:dyDescent="0.25">
      <c r="A1260" s="8"/>
    </row>
    <row r="1261" spans="1:1" ht="13.8" x14ac:dyDescent="0.25">
      <c r="A1261" s="8"/>
    </row>
    <row r="1262" spans="1:1" ht="13.8" x14ac:dyDescent="0.25">
      <c r="A1262" s="8"/>
    </row>
    <row r="1263" spans="1:1" ht="13.8" x14ac:dyDescent="0.25">
      <c r="A1263" s="8"/>
    </row>
    <row r="1264" spans="1:1" ht="13.8" x14ac:dyDescent="0.25">
      <c r="A1264" s="8"/>
    </row>
    <row r="1265" spans="1:1" ht="13.8" x14ac:dyDescent="0.25">
      <c r="A1265" s="8"/>
    </row>
    <row r="1266" spans="1:1" ht="13.8" x14ac:dyDescent="0.25">
      <c r="A1266" s="8"/>
    </row>
    <row r="1267" spans="1:1" ht="13.8" x14ac:dyDescent="0.25">
      <c r="A1267" s="8"/>
    </row>
    <row r="1268" spans="1:1" ht="13.8" x14ac:dyDescent="0.25">
      <c r="A1268" s="8"/>
    </row>
    <row r="1269" spans="1:1" ht="13.8" x14ac:dyDescent="0.25">
      <c r="A1269" s="8"/>
    </row>
    <row r="1270" spans="1:1" ht="13.8" x14ac:dyDescent="0.25">
      <c r="A1270" s="8"/>
    </row>
    <row r="1271" spans="1:1" ht="13.8" x14ac:dyDescent="0.25">
      <c r="A1271" s="8"/>
    </row>
    <row r="1272" spans="1:1" ht="13.8" x14ac:dyDescent="0.25">
      <c r="A1272" s="8"/>
    </row>
    <row r="1273" spans="1:1" ht="13.8" x14ac:dyDescent="0.25">
      <c r="A1273" s="8"/>
    </row>
    <row r="1274" spans="1:1" ht="13.8" x14ac:dyDescent="0.25">
      <c r="A1274" s="8"/>
    </row>
    <row r="1275" spans="1:1" ht="13.8" x14ac:dyDescent="0.25">
      <c r="A1275" s="8"/>
    </row>
    <row r="1276" spans="1:1" ht="13.8" x14ac:dyDescent="0.25">
      <c r="A1276" s="8"/>
    </row>
    <row r="1277" spans="1:1" ht="13.8" x14ac:dyDescent="0.25">
      <c r="A1277" s="8"/>
    </row>
    <row r="1278" spans="1:1" ht="13.8" x14ac:dyDescent="0.25">
      <c r="A1278" s="8"/>
    </row>
    <row r="1279" spans="1:1" ht="13.8" x14ac:dyDescent="0.25">
      <c r="A1279" s="8"/>
    </row>
    <row r="1280" spans="1:1" ht="13.8" x14ac:dyDescent="0.25">
      <c r="A1280" s="8"/>
    </row>
    <row r="1281" spans="1:1" ht="13.8" x14ac:dyDescent="0.25">
      <c r="A1281" s="8"/>
    </row>
    <row r="1282" spans="1:1" ht="13.8" x14ac:dyDescent="0.25">
      <c r="A1282" s="8"/>
    </row>
    <row r="1283" spans="1:1" ht="13.8" x14ac:dyDescent="0.25">
      <c r="A1283" s="8"/>
    </row>
    <row r="1284" spans="1:1" ht="13.8" x14ac:dyDescent="0.25">
      <c r="A1284" s="8"/>
    </row>
    <row r="1285" spans="1:1" ht="13.8" x14ac:dyDescent="0.25">
      <c r="A1285" s="8"/>
    </row>
    <row r="1286" spans="1:1" ht="13.8" x14ac:dyDescent="0.25">
      <c r="A1286" s="8"/>
    </row>
    <row r="1287" spans="1:1" ht="13.8" x14ac:dyDescent="0.25">
      <c r="A1287" s="8"/>
    </row>
    <row r="1288" spans="1:1" ht="13.8" x14ac:dyDescent="0.25">
      <c r="A1288" s="8"/>
    </row>
    <row r="1289" spans="1:1" ht="13.8" x14ac:dyDescent="0.25">
      <c r="A1289" s="8"/>
    </row>
    <row r="1290" spans="1:1" ht="13.8" x14ac:dyDescent="0.25">
      <c r="A1290" s="8"/>
    </row>
    <row r="1291" spans="1:1" ht="13.8" x14ac:dyDescent="0.25">
      <c r="A1291" s="8"/>
    </row>
    <row r="1292" spans="1:1" ht="13.8" x14ac:dyDescent="0.25">
      <c r="A1292" s="8"/>
    </row>
    <row r="1293" spans="1:1" ht="13.8" x14ac:dyDescent="0.25">
      <c r="A1293" s="8"/>
    </row>
    <row r="1294" spans="1:1" ht="13.8" x14ac:dyDescent="0.25">
      <c r="A1294" s="8"/>
    </row>
    <row r="1295" spans="1:1" ht="13.8" x14ac:dyDescent="0.25">
      <c r="A1295" s="8"/>
    </row>
    <row r="1296" spans="1:1" ht="13.8" x14ac:dyDescent="0.25">
      <c r="A1296" s="8"/>
    </row>
    <row r="1297" spans="1:1" ht="13.8" x14ac:dyDescent="0.25">
      <c r="A1297" s="8"/>
    </row>
    <row r="1298" spans="1:1" ht="13.8" x14ac:dyDescent="0.25">
      <c r="A1298" s="8"/>
    </row>
    <row r="1299" spans="1:1" ht="13.8" x14ac:dyDescent="0.25">
      <c r="A1299" s="8"/>
    </row>
    <row r="1300" spans="1:1" ht="13.8" x14ac:dyDescent="0.25">
      <c r="A1300" s="8"/>
    </row>
    <row r="1301" spans="1:1" ht="13.8" x14ac:dyDescent="0.25">
      <c r="A1301" s="8"/>
    </row>
    <row r="1302" spans="1:1" ht="13.8" x14ac:dyDescent="0.25">
      <c r="A1302" s="8"/>
    </row>
    <row r="1303" spans="1:1" ht="13.8" x14ac:dyDescent="0.25">
      <c r="A1303" s="8"/>
    </row>
    <row r="1304" spans="1:1" ht="13.8" x14ac:dyDescent="0.25">
      <c r="A1304" s="8"/>
    </row>
    <row r="1305" spans="1:1" ht="13.8" x14ac:dyDescent="0.25">
      <c r="A1305" s="8"/>
    </row>
    <row r="1306" spans="1:1" ht="13.8" x14ac:dyDescent="0.25">
      <c r="A1306" s="8"/>
    </row>
    <row r="1307" spans="1:1" ht="13.8" x14ac:dyDescent="0.25">
      <c r="A1307" s="8"/>
    </row>
    <row r="1308" spans="1:1" ht="13.8" x14ac:dyDescent="0.25">
      <c r="A1308" s="8"/>
    </row>
    <row r="1309" spans="1:1" ht="13.8" x14ac:dyDescent="0.25">
      <c r="A1309" s="8"/>
    </row>
    <row r="1310" spans="1:1" ht="13.8" x14ac:dyDescent="0.25">
      <c r="A1310" s="8"/>
    </row>
    <row r="1311" spans="1:1" ht="13.8" x14ac:dyDescent="0.25">
      <c r="A1311" s="8"/>
    </row>
    <row r="1312" spans="1:1" ht="13.8" x14ac:dyDescent="0.25">
      <c r="A1312" s="8"/>
    </row>
    <row r="1313" spans="1:1" ht="13.8" x14ac:dyDescent="0.25">
      <c r="A1313" s="8"/>
    </row>
    <row r="1314" spans="1:1" ht="13.8" x14ac:dyDescent="0.25">
      <c r="A1314" s="8"/>
    </row>
    <row r="1315" spans="1:1" ht="13.8" x14ac:dyDescent="0.25">
      <c r="A1315" s="8"/>
    </row>
    <row r="1316" spans="1:1" ht="13.8" x14ac:dyDescent="0.25">
      <c r="A1316" s="8"/>
    </row>
    <row r="1317" spans="1:1" ht="13.8" x14ac:dyDescent="0.25">
      <c r="A1317" s="8"/>
    </row>
    <row r="1318" spans="1:1" ht="13.8" x14ac:dyDescent="0.25">
      <c r="A1318" s="8"/>
    </row>
    <row r="1319" spans="1:1" ht="13.8" x14ac:dyDescent="0.25">
      <c r="A1319" s="8"/>
    </row>
    <row r="1320" spans="1:1" ht="13.8" x14ac:dyDescent="0.25">
      <c r="A1320" s="8"/>
    </row>
    <row r="1321" spans="1:1" ht="13.8" x14ac:dyDescent="0.25">
      <c r="A1321" s="8"/>
    </row>
    <row r="1322" spans="1:1" ht="13.8" x14ac:dyDescent="0.25">
      <c r="A1322" s="8"/>
    </row>
    <row r="1323" spans="1:1" ht="13.8" x14ac:dyDescent="0.25">
      <c r="A1323" s="8"/>
    </row>
    <row r="1324" spans="1:1" ht="13.8" x14ac:dyDescent="0.25">
      <c r="A1324" s="8"/>
    </row>
    <row r="1325" spans="1:1" ht="13.8" x14ac:dyDescent="0.25">
      <c r="A1325" s="8"/>
    </row>
    <row r="1326" spans="1:1" ht="13.8" x14ac:dyDescent="0.25">
      <c r="A1326" s="8"/>
    </row>
    <row r="1327" spans="1:1" ht="13.8" x14ac:dyDescent="0.25">
      <c r="A1327" s="8"/>
    </row>
    <row r="1328" spans="1:1" ht="13.8" x14ac:dyDescent="0.25">
      <c r="A1328" s="8"/>
    </row>
    <row r="1329" spans="1:1" ht="13.8" x14ac:dyDescent="0.25">
      <c r="A1329" s="8"/>
    </row>
    <row r="1330" spans="1:1" ht="13.8" x14ac:dyDescent="0.25">
      <c r="A1330" s="8"/>
    </row>
    <row r="1331" spans="1:1" ht="13.8" x14ac:dyDescent="0.25">
      <c r="A1331" s="8"/>
    </row>
    <row r="1332" spans="1:1" ht="13.8" x14ac:dyDescent="0.25">
      <c r="A1332" s="8"/>
    </row>
    <row r="1333" spans="1:1" ht="13.8" x14ac:dyDescent="0.25">
      <c r="A1333" s="8"/>
    </row>
    <row r="1334" spans="1:1" ht="13.8" x14ac:dyDescent="0.25">
      <c r="A1334" s="8"/>
    </row>
    <row r="1335" spans="1:1" ht="13.8" x14ac:dyDescent="0.25">
      <c r="A1335" s="8"/>
    </row>
    <row r="1336" spans="1:1" ht="13.8" x14ac:dyDescent="0.25">
      <c r="A1336" s="8"/>
    </row>
    <row r="1337" spans="1:1" ht="13.8" x14ac:dyDescent="0.25">
      <c r="A1337" s="8"/>
    </row>
    <row r="1338" spans="1:1" ht="13.8" x14ac:dyDescent="0.25">
      <c r="A1338" s="8"/>
    </row>
    <row r="1339" spans="1:1" ht="13.8" x14ac:dyDescent="0.25">
      <c r="A1339" s="8"/>
    </row>
    <row r="1340" spans="1:1" ht="13.8" x14ac:dyDescent="0.25">
      <c r="A1340" s="8"/>
    </row>
    <row r="1341" spans="1:1" ht="13.8" x14ac:dyDescent="0.25">
      <c r="A1341" s="8"/>
    </row>
    <row r="1342" spans="1:1" ht="13.8" x14ac:dyDescent="0.25">
      <c r="A1342" s="8"/>
    </row>
    <row r="1343" spans="1:1" ht="13.8" x14ac:dyDescent="0.25">
      <c r="A1343" s="8"/>
    </row>
    <row r="1344" spans="1:1" ht="13.8" x14ac:dyDescent="0.25">
      <c r="A1344" s="8"/>
    </row>
    <row r="1345" spans="1:1" ht="13.8" x14ac:dyDescent="0.25">
      <c r="A1345" s="8"/>
    </row>
    <row r="1346" spans="1:1" ht="13.8" x14ac:dyDescent="0.25">
      <c r="A1346" s="8"/>
    </row>
    <row r="1347" spans="1:1" ht="13.8" x14ac:dyDescent="0.25">
      <c r="A1347" s="8"/>
    </row>
    <row r="1348" spans="1:1" ht="13.8" x14ac:dyDescent="0.25">
      <c r="A1348" s="8"/>
    </row>
    <row r="1349" spans="1:1" ht="13.8" x14ac:dyDescent="0.25">
      <c r="A1349" s="8"/>
    </row>
    <row r="1350" spans="1:1" ht="13.8" x14ac:dyDescent="0.25">
      <c r="A1350" s="8"/>
    </row>
    <row r="1351" spans="1:1" ht="13.8" x14ac:dyDescent="0.25">
      <c r="A1351" s="8"/>
    </row>
    <row r="1352" spans="1:1" ht="13.8" x14ac:dyDescent="0.25">
      <c r="A1352" s="8"/>
    </row>
    <row r="1353" spans="1:1" ht="13.8" x14ac:dyDescent="0.25">
      <c r="A1353" s="8"/>
    </row>
    <row r="1354" spans="1:1" ht="13.8" x14ac:dyDescent="0.25">
      <c r="A1354" s="8"/>
    </row>
    <row r="1355" spans="1:1" ht="13.8" x14ac:dyDescent="0.25">
      <c r="A1355" s="8"/>
    </row>
    <row r="1356" spans="1:1" ht="13.8" x14ac:dyDescent="0.25">
      <c r="A1356" s="8"/>
    </row>
    <row r="1357" spans="1:1" ht="13.8" x14ac:dyDescent="0.25">
      <c r="A1357" s="8"/>
    </row>
    <row r="1358" spans="1:1" ht="13.8" x14ac:dyDescent="0.25">
      <c r="A1358" s="8"/>
    </row>
    <row r="1359" spans="1:1" ht="13.8" x14ac:dyDescent="0.25">
      <c r="A1359" s="8"/>
    </row>
    <row r="1360" spans="1:1" ht="13.8" x14ac:dyDescent="0.25">
      <c r="A1360" s="8"/>
    </row>
    <row r="1361" spans="1:1" ht="13.8" x14ac:dyDescent="0.25">
      <c r="A1361" s="8"/>
    </row>
    <row r="1362" spans="1:1" ht="13.8" x14ac:dyDescent="0.25">
      <c r="A1362" s="8"/>
    </row>
    <row r="1363" spans="1:1" ht="13.8" x14ac:dyDescent="0.25">
      <c r="A1363" s="8"/>
    </row>
    <row r="1364" spans="1:1" ht="13.8" x14ac:dyDescent="0.25">
      <c r="A1364" s="8"/>
    </row>
    <row r="1365" spans="1:1" ht="13.8" x14ac:dyDescent="0.25">
      <c r="A1365" s="8"/>
    </row>
    <row r="1366" spans="1:1" ht="13.8" x14ac:dyDescent="0.25">
      <c r="A1366" s="8"/>
    </row>
    <row r="1367" spans="1:1" ht="13.8" x14ac:dyDescent="0.25">
      <c r="A1367" s="8"/>
    </row>
    <row r="1368" spans="1:1" ht="13.8" x14ac:dyDescent="0.25">
      <c r="A1368" s="8"/>
    </row>
    <row r="1369" spans="1:1" ht="13.8" x14ac:dyDescent="0.25">
      <c r="A1369" s="8"/>
    </row>
    <row r="1370" spans="1:1" ht="13.8" x14ac:dyDescent="0.25">
      <c r="A1370" s="8"/>
    </row>
    <row r="1371" spans="1:1" ht="13.8" x14ac:dyDescent="0.25">
      <c r="A1371" s="8"/>
    </row>
    <row r="1372" spans="1:1" ht="13.8" x14ac:dyDescent="0.25">
      <c r="A1372" s="8"/>
    </row>
    <row r="1373" spans="1:1" ht="13.8" x14ac:dyDescent="0.25">
      <c r="A1373" s="8"/>
    </row>
    <row r="1374" spans="1:1" ht="13.8" x14ac:dyDescent="0.25">
      <c r="A1374" s="8"/>
    </row>
    <row r="1375" spans="1:1" ht="13.8" x14ac:dyDescent="0.25">
      <c r="A1375" s="8"/>
    </row>
    <row r="1376" spans="1:1" ht="13.8" x14ac:dyDescent="0.25">
      <c r="A1376" s="8"/>
    </row>
    <row r="1377" spans="1:1" ht="13.8" x14ac:dyDescent="0.25">
      <c r="A1377" s="8"/>
    </row>
    <row r="1378" spans="1:1" ht="13.8" x14ac:dyDescent="0.25">
      <c r="A1378" s="8"/>
    </row>
    <row r="1379" spans="1:1" ht="13.8" x14ac:dyDescent="0.25">
      <c r="A1379" s="8"/>
    </row>
    <row r="1380" spans="1:1" ht="13.8" x14ac:dyDescent="0.25">
      <c r="A1380" s="8"/>
    </row>
    <row r="1381" spans="1:1" ht="13.8" x14ac:dyDescent="0.25">
      <c r="A1381" s="8"/>
    </row>
    <row r="1382" spans="1:1" ht="13.8" x14ac:dyDescent="0.25">
      <c r="A1382" s="8"/>
    </row>
    <row r="1383" spans="1:1" ht="13.8" x14ac:dyDescent="0.25">
      <c r="A1383" s="8"/>
    </row>
    <row r="1384" spans="1:1" ht="13.8" x14ac:dyDescent="0.25">
      <c r="A1384" s="8"/>
    </row>
    <row r="1385" spans="1:1" ht="13.8" x14ac:dyDescent="0.25">
      <c r="A1385" s="8"/>
    </row>
    <row r="1386" spans="1:1" ht="13.8" x14ac:dyDescent="0.25">
      <c r="A1386" s="8"/>
    </row>
    <row r="1387" spans="1:1" ht="13.8" x14ac:dyDescent="0.25">
      <c r="A1387" s="8"/>
    </row>
    <row r="1388" spans="1:1" ht="13.8" x14ac:dyDescent="0.25">
      <c r="A1388" s="8"/>
    </row>
    <row r="1389" spans="1:1" ht="13.8" x14ac:dyDescent="0.25">
      <c r="A1389" s="8"/>
    </row>
    <row r="1390" spans="1:1" ht="13.8" x14ac:dyDescent="0.25">
      <c r="A1390" s="8"/>
    </row>
    <row r="1391" spans="1:1" ht="13.8" x14ac:dyDescent="0.25">
      <c r="A1391" s="8"/>
    </row>
    <row r="1392" spans="1:1" ht="13.8" x14ac:dyDescent="0.25">
      <c r="A1392" s="8"/>
    </row>
    <row r="1393" spans="1:1" ht="13.8" x14ac:dyDescent="0.25">
      <c r="A1393" s="8"/>
    </row>
    <row r="1394" spans="1:1" ht="13.8" x14ac:dyDescent="0.25">
      <c r="A1394" s="8"/>
    </row>
    <row r="1395" spans="1:1" ht="13.8" x14ac:dyDescent="0.25">
      <c r="A1395" s="8"/>
    </row>
    <row r="1396" spans="1:1" ht="13.8" x14ac:dyDescent="0.25">
      <c r="A1396" s="8"/>
    </row>
    <row r="1397" spans="1:1" ht="13.8" x14ac:dyDescent="0.25">
      <c r="A1397" s="8"/>
    </row>
    <row r="1398" spans="1:1" ht="13.8" x14ac:dyDescent="0.25">
      <c r="A1398" s="8"/>
    </row>
    <row r="1399" spans="1:1" ht="13.8" x14ac:dyDescent="0.25">
      <c r="A1399" s="8"/>
    </row>
    <row r="1400" spans="1:1" ht="13.8" x14ac:dyDescent="0.25">
      <c r="A1400" s="8"/>
    </row>
    <row r="1401" spans="1:1" ht="13.8" x14ac:dyDescent="0.25">
      <c r="A1401" s="8"/>
    </row>
    <row r="1402" spans="1:1" ht="13.8" x14ac:dyDescent="0.25">
      <c r="A1402" s="8"/>
    </row>
    <row r="1403" spans="1:1" ht="13.8" x14ac:dyDescent="0.25">
      <c r="A1403" s="8"/>
    </row>
    <row r="1404" spans="1:1" ht="13.8" x14ac:dyDescent="0.25">
      <c r="A1404" s="8"/>
    </row>
    <row r="1405" spans="1:1" ht="13.8" x14ac:dyDescent="0.25">
      <c r="A1405" s="8"/>
    </row>
    <row r="1406" spans="1:1" ht="13.8" x14ac:dyDescent="0.25">
      <c r="A1406" s="8"/>
    </row>
    <row r="1407" spans="1:1" ht="13.8" x14ac:dyDescent="0.25">
      <c r="A1407" s="8"/>
    </row>
    <row r="1408" spans="1:1" ht="13.8" x14ac:dyDescent="0.25">
      <c r="A1408" s="8"/>
    </row>
    <row r="1409" spans="1:1" ht="13.8" x14ac:dyDescent="0.25">
      <c r="A1409" s="8"/>
    </row>
    <row r="1410" spans="1:1" ht="13.8" x14ac:dyDescent="0.25">
      <c r="A1410" s="8"/>
    </row>
    <row r="1411" spans="1:1" ht="13.8" x14ac:dyDescent="0.25">
      <c r="A1411" s="8"/>
    </row>
    <row r="1412" spans="1:1" ht="13.8" x14ac:dyDescent="0.25">
      <c r="A1412" s="8"/>
    </row>
    <row r="1413" spans="1:1" ht="13.8" x14ac:dyDescent="0.25">
      <c r="A1413" s="8"/>
    </row>
    <row r="1414" spans="1:1" ht="13.8" x14ac:dyDescent="0.25">
      <c r="A1414" s="8"/>
    </row>
    <row r="1415" spans="1:1" ht="13.8" x14ac:dyDescent="0.25">
      <c r="A1415" s="8"/>
    </row>
    <row r="1416" spans="1:1" ht="13.8" x14ac:dyDescent="0.25">
      <c r="A1416" s="8"/>
    </row>
    <row r="1417" spans="1:1" ht="13.8" x14ac:dyDescent="0.25">
      <c r="A1417" s="8"/>
    </row>
    <row r="1418" spans="1:1" ht="13.8" x14ac:dyDescent="0.25">
      <c r="A1418" s="8"/>
    </row>
    <row r="1419" spans="1:1" ht="13.8" x14ac:dyDescent="0.25">
      <c r="A1419" s="8"/>
    </row>
    <row r="1420" spans="1:1" ht="13.8" x14ac:dyDescent="0.25">
      <c r="A1420" s="8"/>
    </row>
    <row r="1421" spans="1:1" ht="13.8" x14ac:dyDescent="0.25">
      <c r="A1421" s="8"/>
    </row>
    <row r="1422" spans="1:1" ht="13.8" x14ac:dyDescent="0.25">
      <c r="A1422" s="8"/>
    </row>
    <row r="1423" spans="1:1" ht="13.8" x14ac:dyDescent="0.25">
      <c r="A1423" s="8"/>
    </row>
    <row r="1424" spans="1:1" ht="13.8" x14ac:dyDescent="0.25">
      <c r="A1424" s="8"/>
    </row>
    <row r="1425" spans="1:1" ht="13.8" x14ac:dyDescent="0.25">
      <c r="A1425" s="8"/>
    </row>
    <row r="1426" spans="1:1" ht="13.8" x14ac:dyDescent="0.25">
      <c r="A1426" s="8"/>
    </row>
    <row r="1427" spans="1:1" ht="13.8" x14ac:dyDescent="0.25">
      <c r="A1427" s="8"/>
    </row>
    <row r="1428" spans="1:1" ht="13.8" x14ac:dyDescent="0.25">
      <c r="A1428" s="8"/>
    </row>
    <row r="1429" spans="1:1" ht="13.8" x14ac:dyDescent="0.25">
      <c r="A1429" s="8"/>
    </row>
    <row r="1430" spans="1:1" ht="13.8" x14ac:dyDescent="0.25">
      <c r="A1430" s="8"/>
    </row>
    <row r="1431" spans="1:1" ht="13.8" x14ac:dyDescent="0.25">
      <c r="A1431" s="8"/>
    </row>
    <row r="1432" spans="1:1" ht="13.8" x14ac:dyDescent="0.25">
      <c r="A1432" s="8"/>
    </row>
    <row r="1433" spans="1:1" ht="13.8" x14ac:dyDescent="0.25">
      <c r="A1433" s="8"/>
    </row>
    <row r="1434" spans="1:1" ht="13.8" x14ac:dyDescent="0.25">
      <c r="A1434" s="8"/>
    </row>
    <row r="1435" spans="1:1" ht="13.8" x14ac:dyDescent="0.25">
      <c r="A1435" s="8"/>
    </row>
    <row r="1436" spans="1:1" ht="13.8" x14ac:dyDescent="0.25">
      <c r="A1436" s="8"/>
    </row>
    <row r="1437" spans="1:1" ht="13.8" x14ac:dyDescent="0.25">
      <c r="A1437" s="8"/>
    </row>
    <row r="1438" spans="1:1" ht="13.8" x14ac:dyDescent="0.25">
      <c r="A1438" s="8"/>
    </row>
    <row r="1439" spans="1:1" ht="13.8" x14ac:dyDescent="0.25">
      <c r="A1439" s="8"/>
    </row>
    <row r="1440" spans="1:1" ht="13.8" x14ac:dyDescent="0.25">
      <c r="A1440" s="8"/>
    </row>
    <row r="1441" spans="1:1" ht="13.8" x14ac:dyDescent="0.25">
      <c r="A1441" s="8"/>
    </row>
    <row r="1442" spans="1:1" ht="13.8" x14ac:dyDescent="0.25">
      <c r="A1442" s="8"/>
    </row>
    <row r="1443" spans="1:1" ht="13.8" x14ac:dyDescent="0.25">
      <c r="A1443" s="8"/>
    </row>
    <row r="1444" spans="1:1" ht="13.8" x14ac:dyDescent="0.25">
      <c r="A1444" s="8"/>
    </row>
    <row r="1445" spans="1:1" ht="13.8" x14ac:dyDescent="0.25">
      <c r="A1445" s="8"/>
    </row>
    <row r="1446" spans="1:1" ht="13.8" x14ac:dyDescent="0.25">
      <c r="A1446" s="8"/>
    </row>
    <row r="1447" spans="1:1" ht="13.8" x14ac:dyDescent="0.25">
      <c r="A1447" s="8"/>
    </row>
    <row r="1448" spans="1:1" ht="13.8" x14ac:dyDescent="0.25">
      <c r="A1448" s="8"/>
    </row>
    <row r="1449" spans="1:1" ht="13.8" x14ac:dyDescent="0.25">
      <c r="A1449" s="8"/>
    </row>
    <row r="1450" spans="1:1" ht="13.8" x14ac:dyDescent="0.25">
      <c r="A1450" s="8"/>
    </row>
    <row r="1451" spans="1:1" ht="13.8" x14ac:dyDescent="0.25">
      <c r="A1451" s="8"/>
    </row>
    <row r="1452" spans="1:1" ht="13.8" x14ac:dyDescent="0.25">
      <c r="A1452" s="8"/>
    </row>
    <row r="1453" spans="1:1" ht="13.8" x14ac:dyDescent="0.25">
      <c r="A1453" s="8"/>
    </row>
    <row r="1454" spans="1:1" ht="13.8" x14ac:dyDescent="0.25">
      <c r="A1454" s="8"/>
    </row>
    <row r="1455" spans="1:1" ht="13.8" x14ac:dyDescent="0.25">
      <c r="A1455" s="8"/>
    </row>
    <row r="1456" spans="1:1" ht="13.8" x14ac:dyDescent="0.25">
      <c r="A1456" s="8"/>
    </row>
    <row r="1457" spans="1:1" ht="13.8" x14ac:dyDescent="0.25">
      <c r="A1457" s="8"/>
    </row>
    <row r="1458" spans="1:1" ht="13.8" x14ac:dyDescent="0.25">
      <c r="A1458" s="8"/>
    </row>
    <row r="1459" spans="1:1" ht="13.8" x14ac:dyDescent="0.25">
      <c r="A1459" s="8"/>
    </row>
    <row r="1460" spans="1:1" ht="13.8" x14ac:dyDescent="0.25">
      <c r="A1460" s="8"/>
    </row>
    <row r="1461" spans="1:1" ht="13.8" x14ac:dyDescent="0.25">
      <c r="A1461" s="8"/>
    </row>
    <row r="1462" spans="1:1" ht="13.8" x14ac:dyDescent="0.25">
      <c r="A1462" s="8"/>
    </row>
    <row r="1463" spans="1:1" ht="13.8" x14ac:dyDescent="0.25">
      <c r="A1463" s="8"/>
    </row>
    <row r="1464" spans="1:1" ht="13.8" x14ac:dyDescent="0.25">
      <c r="A1464" s="8"/>
    </row>
    <row r="1465" spans="1:1" ht="13.8" x14ac:dyDescent="0.25">
      <c r="A1465" s="8"/>
    </row>
    <row r="1466" spans="1:1" ht="13.8" x14ac:dyDescent="0.25">
      <c r="A1466" s="8"/>
    </row>
    <row r="1467" spans="1:1" ht="13.8" x14ac:dyDescent="0.25">
      <c r="A1467" s="8"/>
    </row>
    <row r="1468" spans="1:1" ht="13.8" x14ac:dyDescent="0.25">
      <c r="A1468" s="8"/>
    </row>
    <row r="1469" spans="1:1" ht="13.8" x14ac:dyDescent="0.25">
      <c r="A1469" s="8"/>
    </row>
    <row r="1470" spans="1:1" ht="13.8" x14ac:dyDescent="0.25">
      <c r="A1470" s="8"/>
    </row>
    <row r="1471" spans="1:1" ht="13.8" x14ac:dyDescent="0.25">
      <c r="A1471" s="8"/>
    </row>
    <row r="1472" spans="1:1" ht="13.8" x14ac:dyDescent="0.25">
      <c r="A1472" s="8"/>
    </row>
    <row r="1473" spans="1:1" ht="13.8" x14ac:dyDescent="0.25">
      <c r="A1473" s="8"/>
    </row>
    <row r="1474" spans="1:1" ht="13.8" x14ac:dyDescent="0.25">
      <c r="A1474" s="8"/>
    </row>
    <row r="1475" spans="1:1" ht="13.8" x14ac:dyDescent="0.25">
      <c r="A1475" s="8"/>
    </row>
    <row r="1476" spans="1:1" ht="13.8" x14ac:dyDescent="0.25">
      <c r="A1476" s="8"/>
    </row>
    <row r="1477" spans="1:1" ht="13.8" x14ac:dyDescent="0.25">
      <c r="A1477" s="8"/>
    </row>
    <row r="1478" spans="1:1" ht="13.8" x14ac:dyDescent="0.25">
      <c r="A1478" s="8"/>
    </row>
    <row r="1479" spans="1:1" ht="13.8" x14ac:dyDescent="0.25">
      <c r="A1479" s="8"/>
    </row>
    <row r="1480" spans="1:1" ht="13.8" x14ac:dyDescent="0.25">
      <c r="A1480" s="8"/>
    </row>
    <row r="1481" spans="1:1" ht="13.8" x14ac:dyDescent="0.25">
      <c r="A1481" s="8"/>
    </row>
    <row r="1482" spans="1:1" ht="13.8" x14ac:dyDescent="0.25">
      <c r="A1482" s="8"/>
    </row>
    <row r="1483" spans="1:1" ht="13.8" x14ac:dyDescent="0.25">
      <c r="A1483" s="8"/>
    </row>
    <row r="1484" spans="1:1" ht="13.8" x14ac:dyDescent="0.25">
      <c r="A1484" s="8"/>
    </row>
    <row r="1485" spans="1:1" ht="13.8" x14ac:dyDescent="0.25">
      <c r="A1485" s="8"/>
    </row>
    <row r="1486" spans="1:1" ht="13.8" x14ac:dyDescent="0.25">
      <c r="A1486" s="8"/>
    </row>
    <row r="1487" spans="1:1" ht="13.8" x14ac:dyDescent="0.25">
      <c r="A1487" s="8"/>
    </row>
    <row r="1488" spans="1:1" ht="13.8" x14ac:dyDescent="0.25">
      <c r="A1488" s="8"/>
    </row>
    <row r="1489" spans="1:1" ht="13.8" x14ac:dyDescent="0.25">
      <c r="A1489" s="8"/>
    </row>
    <row r="1490" spans="1:1" ht="13.8" x14ac:dyDescent="0.25">
      <c r="A1490" s="8"/>
    </row>
    <row r="1491" spans="1:1" ht="13.8" x14ac:dyDescent="0.25">
      <c r="A1491" s="8"/>
    </row>
    <row r="1492" spans="1:1" ht="13.8" x14ac:dyDescent="0.25">
      <c r="A1492" s="8"/>
    </row>
    <row r="1493" spans="1:1" ht="13.8" x14ac:dyDescent="0.25">
      <c r="A1493" s="8"/>
    </row>
    <row r="1494" spans="1:1" ht="13.8" x14ac:dyDescent="0.25">
      <c r="A1494" s="8"/>
    </row>
    <row r="1495" spans="1:1" ht="13.8" x14ac:dyDescent="0.25">
      <c r="A1495" s="8"/>
    </row>
    <row r="1496" spans="1:1" ht="13.8" x14ac:dyDescent="0.25">
      <c r="A1496" s="8"/>
    </row>
    <row r="1497" spans="1:1" ht="13.8" x14ac:dyDescent="0.25">
      <c r="A1497" s="8"/>
    </row>
    <row r="1498" spans="1:1" ht="13.8" x14ac:dyDescent="0.25">
      <c r="A1498" s="8"/>
    </row>
    <row r="1499" spans="1:1" ht="13.8" x14ac:dyDescent="0.25">
      <c r="A1499" s="8"/>
    </row>
    <row r="1500" spans="1:1" ht="13.8" x14ac:dyDescent="0.25">
      <c r="A1500" s="8"/>
    </row>
    <row r="1501" spans="1:1" ht="13.8" x14ac:dyDescent="0.25">
      <c r="A1501" s="8"/>
    </row>
    <row r="1502" spans="1:1" ht="13.8" x14ac:dyDescent="0.25">
      <c r="A1502" s="8"/>
    </row>
    <row r="1503" spans="1:1" ht="13.8" x14ac:dyDescent="0.25">
      <c r="A1503" s="8"/>
    </row>
    <row r="1504" spans="1:1" ht="13.8" x14ac:dyDescent="0.25">
      <c r="A1504" s="8"/>
    </row>
    <row r="1505" spans="1:1" ht="13.8" x14ac:dyDescent="0.25">
      <c r="A1505" s="8"/>
    </row>
    <row r="1506" spans="1:1" ht="13.8" x14ac:dyDescent="0.25">
      <c r="A1506" s="8"/>
    </row>
    <row r="1507" spans="1:1" ht="13.8" x14ac:dyDescent="0.25">
      <c r="A1507" s="8"/>
    </row>
    <row r="1508" spans="1:1" ht="13.8" x14ac:dyDescent="0.25">
      <c r="A1508" s="8"/>
    </row>
    <row r="1509" spans="1:1" ht="13.8" x14ac:dyDescent="0.25">
      <c r="A1509" s="8"/>
    </row>
    <row r="1510" spans="1:1" ht="13.8" x14ac:dyDescent="0.25">
      <c r="A1510" s="8"/>
    </row>
    <row r="1511" spans="1:1" ht="13.8" x14ac:dyDescent="0.25">
      <c r="A1511" s="8"/>
    </row>
    <row r="1512" spans="1:1" ht="13.8" x14ac:dyDescent="0.25">
      <c r="A1512" s="8"/>
    </row>
    <row r="1513" spans="1:1" ht="13.8" x14ac:dyDescent="0.25">
      <c r="A1513" s="8"/>
    </row>
    <row r="1514" spans="1:1" ht="13.8" x14ac:dyDescent="0.25">
      <c r="A1514" s="8"/>
    </row>
    <row r="1515" spans="1:1" ht="13.8" x14ac:dyDescent="0.25">
      <c r="A1515" s="8"/>
    </row>
    <row r="1516" spans="1:1" ht="13.8" x14ac:dyDescent="0.25">
      <c r="A1516" s="8"/>
    </row>
    <row r="1517" spans="1:1" ht="13.8" x14ac:dyDescent="0.25">
      <c r="A1517" s="8"/>
    </row>
    <row r="1518" spans="1:1" ht="13.8" x14ac:dyDescent="0.25">
      <c r="A1518" s="8"/>
    </row>
    <row r="1519" spans="1:1" ht="13.8" x14ac:dyDescent="0.25">
      <c r="A1519" s="8"/>
    </row>
    <row r="1520" spans="1:1" ht="13.8" x14ac:dyDescent="0.25">
      <c r="A1520" s="8"/>
    </row>
    <row r="1521" spans="1:1" ht="13.8" x14ac:dyDescent="0.25">
      <c r="A1521" s="8"/>
    </row>
    <row r="1522" spans="1:1" ht="13.8" x14ac:dyDescent="0.25">
      <c r="A1522" s="8"/>
    </row>
    <row r="1523" spans="1:1" ht="13.8" x14ac:dyDescent="0.25">
      <c r="A1523" s="8"/>
    </row>
    <row r="1524" spans="1:1" ht="13.8" x14ac:dyDescent="0.25">
      <c r="A1524" s="8"/>
    </row>
    <row r="1525" spans="1:1" ht="13.8" x14ac:dyDescent="0.25">
      <c r="A1525" s="8"/>
    </row>
    <row r="1526" spans="1:1" ht="13.8" x14ac:dyDescent="0.25">
      <c r="A1526" s="8"/>
    </row>
    <row r="1527" spans="1:1" ht="13.8" x14ac:dyDescent="0.25">
      <c r="A1527" s="8"/>
    </row>
    <row r="1528" spans="1:1" ht="13.8" x14ac:dyDescent="0.25">
      <c r="A1528" s="8"/>
    </row>
    <row r="1529" spans="1:1" ht="13.8" x14ac:dyDescent="0.25">
      <c r="A1529" s="8"/>
    </row>
    <row r="1530" spans="1:1" ht="13.8" x14ac:dyDescent="0.25">
      <c r="A1530" s="8"/>
    </row>
    <row r="1531" spans="1:1" ht="13.8" x14ac:dyDescent="0.25">
      <c r="A1531" s="8"/>
    </row>
    <row r="1532" spans="1:1" ht="13.8" x14ac:dyDescent="0.25">
      <c r="A1532" s="8"/>
    </row>
    <row r="1533" spans="1:1" ht="13.8" x14ac:dyDescent="0.25">
      <c r="A1533" s="8"/>
    </row>
    <row r="1534" spans="1:1" ht="13.8" x14ac:dyDescent="0.25">
      <c r="A1534" s="8"/>
    </row>
    <row r="1535" spans="1:1" ht="13.8" x14ac:dyDescent="0.25">
      <c r="A1535" s="8"/>
    </row>
    <row r="1536" spans="1:1" ht="13.8" x14ac:dyDescent="0.25">
      <c r="A1536" s="8"/>
    </row>
    <row r="1537" spans="1:1" ht="13.8" x14ac:dyDescent="0.25">
      <c r="A1537" s="8"/>
    </row>
    <row r="1538" spans="1:1" ht="13.8" x14ac:dyDescent="0.25">
      <c r="A1538" s="8"/>
    </row>
    <row r="1539" spans="1:1" ht="13.8" x14ac:dyDescent="0.25">
      <c r="A1539" s="8"/>
    </row>
    <row r="1540" spans="1:1" ht="13.8" x14ac:dyDescent="0.25">
      <c r="A1540" s="8"/>
    </row>
    <row r="1541" spans="1:1" ht="13.8" x14ac:dyDescent="0.25">
      <c r="A1541" s="8"/>
    </row>
    <row r="1542" spans="1:1" ht="13.8" x14ac:dyDescent="0.25">
      <c r="A1542" s="8"/>
    </row>
    <row r="1543" spans="1:1" ht="13.8" x14ac:dyDescent="0.25">
      <c r="A1543" s="8"/>
    </row>
    <row r="1544" spans="1:1" ht="13.8" x14ac:dyDescent="0.25">
      <c r="A1544" s="8"/>
    </row>
    <row r="1545" spans="1:1" ht="13.8" x14ac:dyDescent="0.25">
      <c r="A1545" s="8"/>
    </row>
    <row r="1546" spans="1:1" ht="13.8" x14ac:dyDescent="0.25">
      <c r="A1546" s="8"/>
    </row>
    <row r="1547" spans="1:1" ht="13.8" x14ac:dyDescent="0.25">
      <c r="A1547" s="8"/>
    </row>
    <row r="1548" spans="1:1" ht="13.8" x14ac:dyDescent="0.25">
      <c r="A1548" s="8"/>
    </row>
    <row r="1549" spans="1:1" ht="13.8" x14ac:dyDescent="0.25">
      <c r="A1549" s="8"/>
    </row>
    <row r="1550" spans="1:1" ht="13.8" x14ac:dyDescent="0.25">
      <c r="A1550" s="8"/>
    </row>
    <row r="1551" spans="1:1" ht="13.8" x14ac:dyDescent="0.25">
      <c r="A1551" s="8"/>
    </row>
    <row r="1552" spans="1:1" ht="13.8" x14ac:dyDescent="0.25">
      <c r="A1552" s="8"/>
    </row>
    <row r="1553" spans="1:1" ht="13.8" x14ac:dyDescent="0.25">
      <c r="A1553" s="8"/>
    </row>
    <row r="1554" spans="1:1" ht="13.8" x14ac:dyDescent="0.25">
      <c r="A1554" s="8"/>
    </row>
    <row r="1555" spans="1:1" ht="13.8" x14ac:dyDescent="0.25">
      <c r="A1555" s="8"/>
    </row>
    <row r="1556" spans="1:1" ht="13.8" x14ac:dyDescent="0.25">
      <c r="A1556" s="8"/>
    </row>
    <row r="1557" spans="1:1" ht="13.8" x14ac:dyDescent="0.25">
      <c r="A1557" s="8"/>
    </row>
    <row r="1558" spans="1:1" ht="13.8" x14ac:dyDescent="0.25">
      <c r="A1558" s="8"/>
    </row>
    <row r="1559" spans="1:1" ht="13.8" x14ac:dyDescent="0.25">
      <c r="A1559" s="8"/>
    </row>
    <row r="1560" spans="1:1" ht="13.8" x14ac:dyDescent="0.25">
      <c r="A1560" s="8"/>
    </row>
    <row r="1561" spans="1:1" ht="13.8" x14ac:dyDescent="0.25">
      <c r="A1561" s="8"/>
    </row>
    <row r="1562" spans="1:1" ht="13.8" x14ac:dyDescent="0.25">
      <c r="A1562" s="8"/>
    </row>
    <row r="1563" spans="1:1" ht="13.8" x14ac:dyDescent="0.25">
      <c r="A1563" s="8"/>
    </row>
    <row r="1564" spans="1:1" ht="13.8" x14ac:dyDescent="0.25">
      <c r="A1564" s="8"/>
    </row>
    <row r="1565" spans="1:1" ht="13.8" x14ac:dyDescent="0.25">
      <c r="A1565" s="8"/>
    </row>
    <row r="1566" spans="1:1" ht="13.8" x14ac:dyDescent="0.25">
      <c r="A1566" s="8"/>
    </row>
    <row r="1567" spans="1:1" ht="13.8" x14ac:dyDescent="0.25">
      <c r="A1567" s="8"/>
    </row>
    <row r="1568" spans="1:1" ht="13.8" x14ac:dyDescent="0.25">
      <c r="A1568" s="8"/>
    </row>
    <row r="1569" spans="1:1" ht="13.8" x14ac:dyDescent="0.25">
      <c r="A1569" s="8"/>
    </row>
    <row r="1570" spans="1:1" ht="13.8" x14ac:dyDescent="0.25">
      <c r="A1570" s="8"/>
    </row>
    <row r="1571" spans="1:1" ht="13.8" x14ac:dyDescent="0.25">
      <c r="A1571" s="8"/>
    </row>
    <row r="1572" spans="1:1" ht="13.8" x14ac:dyDescent="0.25">
      <c r="A1572" s="8"/>
    </row>
    <row r="1573" spans="1:1" ht="13.8" x14ac:dyDescent="0.25">
      <c r="A1573" s="8"/>
    </row>
    <row r="1574" spans="1:1" ht="13.8" x14ac:dyDescent="0.25">
      <c r="A1574" s="8"/>
    </row>
    <row r="1575" spans="1:1" ht="13.8" x14ac:dyDescent="0.25">
      <c r="A1575" s="8"/>
    </row>
    <row r="1576" spans="1:1" ht="13.8" x14ac:dyDescent="0.25">
      <c r="A1576" s="8"/>
    </row>
    <row r="1577" spans="1:1" ht="13.8" x14ac:dyDescent="0.25">
      <c r="A1577" s="8"/>
    </row>
    <row r="1578" spans="1:1" ht="13.8" x14ac:dyDescent="0.25">
      <c r="A1578" s="8"/>
    </row>
    <row r="1579" spans="1:1" ht="13.8" x14ac:dyDescent="0.25">
      <c r="A1579" s="8"/>
    </row>
    <row r="1580" spans="1:1" ht="13.8" x14ac:dyDescent="0.25">
      <c r="A1580" s="8"/>
    </row>
    <row r="1581" spans="1:1" ht="13.8" x14ac:dyDescent="0.25">
      <c r="A1581" s="8"/>
    </row>
    <row r="1582" spans="1:1" ht="13.8" x14ac:dyDescent="0.25">
      <c r="A1582" s="8"/>
    </row>
    <row r="1583" spans="1:1" ht="13.8" x14ac:dyDescent="0.25">
      <c r="A1583" s="8"/>
    </row>
    <row r="1584" spans="1:1" ht="13.8" x14ac:dyDescent="0.25">
      <c r="A1584" s="8"/>
    </row>
    <row r="1585" spans="1:1" ht="13.8" x14ac:dyDescent="0.25">
      <c r="A1585" s="8"/>
    </row>
    <row r="1586" spans="1:1" ht="13.8" x14ac:dyDescent="0.25">
      <c r="A1586" s="8"/>
    </row>
    <row r="1587" spans="1:1" ht="13.8" x14ac:dyDescent="0.25">
      <c r="A1587" s="8"/>
    </row>
    <row r="1588" spans="1:1" ht="13.8" x14ac:dyDescent="0.25">
      <c r="A1588" s="8"/>
    </row>
    <row r="1589" spans="1:1" ht="13.8" x14ac:dyDescent="0.25">
      <c r="A1589" s="8"/>
    </row>
    <row r="1590" spans="1:1" ht="13.8" x14ac:dyDescent="0.25">
      <c r="A1590" s="8"/>
    </row>
    <row r="1591" spans="1:1" ht="13.8" x14ac:dyDescent="0.25">
      <c r="A1591" s="8"/>
    </row>
    <row r="1592" spans="1:1" ht="13.8" x14ac:dyDescent="0.25">
      <c r="A1592" s="8"/>
    </row>
    <row r="1593" spans="1:1" ht="13.8" x14ac:dyDescent="0.25">
      <c r="A1593" s="8"/>
    </row>
    <row r="1594" spans="1:1" ht="13.8" x14ac:dyDescent="0.25">
      <c r="A1594" s="8"/>
    </row>
    <row r="1595" spans="1:1" ht="13.8" x14ac:dyDescent="0.25">
      <c r="A1595" s="8"/>
    </row>
    <row r="1596" spans="1:1" ht="13.8" x14ac:dyDescent="0.25">
      <c r="A1596" s="8"/>
    </row>
    <row r="1597" spans="1:1" ht="13.8" x14ac:dyDescent="0.25">
      <c r="A1597" s="8"/>
    </row>
    <row r="1598" spans="1:1" ht="13.8" x14ac:dyDescent="0.25">
      <c r="A1598" s="8"/>
    </row>
    <row r="1599" spans="1:1" ht="13.8" x14ac:dyDescent="0.25">
      <c r="A1599" s="8"/>
    </row>
    <row r="1600" spans="1:1" ht="13.8" x14ac:dyDescent="0.25">
      <c r="A1600" s="8"/>
    </row>
    <row r="1601" spans="1:1" ht="13.8" x14ac:dyDescent="0.25">
      <c r="A1601" s="8"/>
    </row>
    <row r="1602" spans="1:1" ht="13.8" x14ac:dyDescent="0.25">
      <c r="A1602" s="8"/>
    </row>
    <row r="1603" spans="1:1" ht="13.8" x14ac:dyDescent="0.25">
      <c r="A1603" s="8"/>
    </row>
    <row r="1604" spans="1:1" ht="13.8" x14ac:dyDescent="0.25">
      <c r="A1604" s="8"/>
    </row>
    <row r="1605" spans="1:1" ht="13.8" x14ac:dyDescent="0.25">
      <c r="A1605" s="8"/>
    </row>
    <row r="1606" spans="1:1" ht="13.8" x14ac:dyDescent="0.25">
      <c r="A1606" s="8"/>
    </row>
    <row r="1607" spans="1:1" ht="13.8" x14ac:dyDescent="0.25">
      <c r="A1607" s="8"/>
    </row>
    <row r="1608" spans="1:1" ht="13.8" x14ac:dyDescent="0.25">
      <c r="A1608" s="8"/>
    </row>
    <row r="1609" spans="1:1" ht="13.8" x14ac:dyDescent="0.25">
      <c r="A1609" s="8"/>
    </row>
    <row r="1610" spans="1:1" ht="13.8" x14ac:dyDescent="0.25">
      <c r="A1610" s="8"/>
    </row>
    <row r="1611" spans="1:1" ht="13.8" x14ac:dyDescent="0.25">
      <c r="A1611" s="8"/>
    </row>
    <row r="1612" spans="1:1" ht="13.8" x14ac:dyDescent="0.25">
      <c r="A1612" s="8"/>
    </row>
    <row r="1613" spans="1:1" ht="13.8" x14ac:dyDescent="0.25">
      <c r="A1613" s="8"/>
    </row>
    <row r="1614" spans="1:1" ht="13.8" x14ac:dyDescent="0.25">
      <c r="A1614" s="8"/>
    </row>
    <row r="1615" spans="1:1" ht="13.8" x14ac:dyDescent="0.25">
      <c r="A1615" s="8"/>
    </row>
    <row r="1616" spans="1:1" ht="13.8" x14ac:dyDescent="0.25">
      <c r="A1616" s="8"/>
    </row>
    <row r="1617" spans="1:1" ht="13.8" x14ac:dyDescent="0.25">
      <c r="A1617" s="8"/>
    </row>
    <row r="1618" spans="1:1" ht="13.8" x14ac:dyDescent="0.25">
      <c r="A1618" s="8"/>
    </row>
    <row r="1619" spans="1:1" ht="13.8" x14ac:dyDescent="0.25">
      <c r="A1619" s="8"/>
    </row>
    <row r="1620" spans="1:1" ht="13.8" x14ac:dyDescent="0.25">
      <c r="A1620" s="8"/>
    </row>
    <row r="1621" spans="1:1" ht="13.8" x14ac:dyDescent="0.25">
      <c r="A1621" s="8"/>
    </row>
    <row r="1622" spans="1:1" ht="13.8" x14ac:dyDescent="0.25">
      <c r="A1622" s="8"/>
    </row>
    <row r="1623" spans="1:1" ht="13.8" x14ac:dyDescent="0.25">
      <c r="A1623" s="8"/>
    </row>
    <row r="1624" spans="1:1" ht="13.8" x14ac:dyDescent="0.25">
      <c r="A1624" s="8"/>
    </row>
    <row r="1625" spans="1:1" ht="13.8" x14ac:dyDescent="0.25">
      <c r="A1625" s="8"/>
    </row>
    <row r="1626" spans="1:1" ht="13.8" x14ac:dyDescent="0.25">
      <c r="A1626" s="8"/>
    </row>
    <row r="1627" spans="1:1" ht="13.8" x14ac:dyDescent="0.25">
      <c r="A1627" s="8"/>
    </row>
    <row r="1628" spans="1:1" ht="13.8" x14ac:dyDescent="0.25">
      <c r="A1628" s="8"/>
    </row>
    <row r="1629" spans="1:1" ht="13.8" x14ac:dyDescent="0.25">
      <c r="A1629" s="8"/>
    </row>
    <row r="1630" spans="1:1" ht="13.8" x14ac:dyDescent="0.25">
      <c r="A1630" s="8"/>
    </row>
    <row r="1631" spans="1:1" ht="13.8" x14ac:dyDescent="0.25">
      <c r="A1631" s="8"/>
    </row>
    <row r="1632" spans="1:1" ht="13.8" x14ac:dyDescent="0.25">
      <c r="A1632" s="8"/>
    </row>
    <row r="1633" spans="1:1" ht="13.8" x14ac:dyDescent="0.25">
      <c r="A1633" s="8"/>
    </row>
    <row r="1634" spans="1:1" ht="13.8" x14ac:dyDescent="0.25">
      <c r="A1634" s="8"/>
    </row>
    <row r="1635" spans="1:1" ht="13.8" x14ac:dyDescent="0.25">
      <c r="A1635" s="8"/>
    </row>
    <row r="1636" spans="1:1" ht="13.8" x14ac:dyDescent="0.25">
      <c r="A1636" s="8"/>
    </row>
    <row r="1637" spans="1:1" ht="13.8" x14ac:dyDescent="0.25">
      <c r="A1637" s="8"/>
    </row>
    <row r="1638" spans="1:1" ht="13.8" x14ac:dyDescent="0.25">
      <c r="A1638" s="8"/>
    </row>
    <row r="1639" spans="1:1" ht="13.8" x14ac:dyDescent="0.25">
      <c r="A1639" s="8"/>
    </row>
    <row r="1640" spans="1:1" ht="13.8" x14ac:dyDescent="0.25">
      <c r="A1640" s="8"/>
    </row>
    <row r="1641" spans="1:1" ht="13.8" x14ac:dyDescent="0.25">
      <c r="A1641" s="8"/>
    </row>
    <row r="1642" spans="1:1" ht="13.8" x14ac:dyDescent="0.25">
      <c r="A1642" s="8"/>
    </row>
    <row r="1643" spans="1:1" ht="13.8" x14ac:dyDescent="0.25">
      <c r="A1643" s="8"/>
    </row>
    <row r="1644" spans="1:1" ht="13.8" x14ac:dyDescent="0.25">
      <c r="A1644" s="8"/>
    </row>
    <row r="1645" spans="1:1" ht="13.8" x14ac:dyDescent="0.25">
      <c r="A1645" s="8"/>
    </row>
    <row r="1646" spans="1:1" ht="13.8" x14ac:dyDescent="0.25">
      <c r="A1646" s="8"/>
    </row>
    <row r="1647" spans="1:1" ht="13.8" x14ac:dyDescent="0.25">
      <c r="A1647" s="8"/>
    </row>
    <row r="1648" spans="1:1" ht="13.8" x14ac:dyDescent="0.25">
      <c r="A1648" s="8"/>
    </row>
    <row r="1649" spans="1:1" ht="13.8" x14ac:dyDescent="0.25">
      <c r="A1649" s="8"/>
    </row>
    <row r="1650" spans="1:1" ht="13.8" x14ac:dyDescent="0.25">
      <c r="A1650" s="8"/>
    </row>
    <row r="1651" spans="1:1" ht="13.8" x14ac:dyDescent="0.25">
      <c r="A1651" s="8"/>
    </row>
    <row r="1652" spans="1:1" ht="13.8" x14ac:dyDescent="0.25">
      <c r="A1652" s="8"/>
    </row>
    <row r="1653" spans="1:1" ht="13.8" x14ac:dyDescent="0.25">
      <c r="A1653" s="8"/>
    </row>
    <row r="1654" spans="1:1" ht="13.8" x14ac:dyDescent="0.25">
      <c r="A1654" s="8"/>
    </row>
    <row r="1655" spans="1:1" ht="13.8" x14ac:dyDescent="0.25">
      <c r="A1655" s="8"/>
    </row>
    <row r="1656" spans="1:1" ht="13.8" x14ac:dyDescent="0.25">
      <c r="A1656" s="8"/>
    </row>
    <row r="1657" spans="1:1" ht="13.8" x14ac:dyDescent="0.25">
      <c r="A1657" s="8"/>
    </row>
    <row r="1658" spans="1:1" ht="13.8" x14ac:dyDescent="0.25">
      <c r="A1658" s="8"/>
    </row>
    <row r="1659" spans="1:1" ht="13.8" x14ac:dyDescent="0.25">
      <c r="A1659" s="8"/>
    </row>
    <row r="1660" spans="1:1" ht="13.8" x14ac:dyDescent="0.25">
      <c r="A1660" s="8"/>
    </row>
    <row r="1661" spans="1:1" ht="13.8" x14ac:dyDescent="0.25">
      <c r="A1661" s="8"/>
    </row>
    <row r="1662" spans="1:1" ht="13.8" x14ac:dyDescent="0.25">
      <c r="A1662" s="8"/>
    </row>
    <row r="1663" spans="1:1" ht="13.8" x14ac:dyDescent="0.25">
      <c r="A1663" s="8"/>
    </row>
    <row r="1664" spans="1:1" ht="13.8" x14ac:dyDescent="0.25">
      <c r="A1664" s="8"/>
    </row>
    <row r="1665" spans="1:1" ht="13.8" x14ac:dyDescent="0.25">
      <c r="A1665" s="8"/>
    </row>
    <row r="1666" spans="1:1" ht="13.8" x14ac:dyDescent="0.25">
      <c r="A1666" s="8"/>
    </row>
    <row r="1667" spans="1:1" ht="13.8" x14ac:dyDescent="0.25">
      <c r="A1667" s="8"/>
    </row>
    <row r="1668" spans="1:1" ht="13.8" x14ac:dyDescent="0.25">
      <c r="A1668" s="8"/>
    </row>
    <row r="1669" spans="1:1" ht="13.8" x14ac:dyDescent="0.25">
      <c r="A1669" s="8"/>
    </row>
    <row r="1670" spans="1:1" ht="13.8" x14ac:dyDescent="0.25">
      <c r="A1670" s="8"/>
    </row>
    <row r="1671" spans="1:1" ht="13.8" x14ac:dyDescent="0.25">
      <c r="A1671" s="8"/>
    </row>
    <row r="1672" spans="1:1" ht="13.8" x14ac:dyDescent="0.25">
      <c r="A1672" s="8"/>
    </row>
    <row r="1673" spans="1:1" ht="13.8" x14ac:dyDescent="0.25">
      <c r="A1673" s="8"/>
    </row>
    <row r="1674" spans="1:1" ht="13.8" x14ac:dyDescent="0.25">
      <c r="A1674" s="8"/>
    </row>
    <row r="1675" spans="1:1" ht="13.8" x14ac:dyDescent="0.25">
      <c r="A1675" s="8"/>
    </row>
    <row r="1676" spans="1:1" ht="13.8" x14ac:dyDescent="0.25">
      <c r="A1676" s="8"/>
    </row>
    <row r="1677" spans="1:1" ht="13.8" x14ac:dyDescent="0.25">
      <c r="A1677" s="8"/>
    </row>
    <row r="1678" spans="1:1" ht="13.8" x14ac:dyDescent="0.25">
      <c r="A1678" s="8"/>
    </row>
    <row r="1679" spans="1:1" ht="13.8" x14ac:dyDescent="0.25">
      <c r="A1679" s="8"/>
    </row>
    <row r="1680" spans="1:1" ht="13.8" x14ac:dyDescent="0.25">
      <c r="A1680" s="8"/>
    </row>
    <row r="1681" spans="1:1" ht="13.8" x14ac:dyDescent="0.25">
      <c r="A1681" s="8"/>
    </row>
    <row r="1682" spans="1:1" ht="13.8" x14ac:dyDescent="0.25">
      <c r="A1682" s="8"/>
    </row>
    <row r="1683" spans="1:1" ht="13.8" x14ac:dyDescent="0.25">
      <c r="A1683" s="8"/>
    </row>
    <row r="1684" spans="1:1" ht="13.8" x14ac:dyDescent="0.25">
      <c r="A1684" s="8"/>
    </row>
    <row r="1685" spans="1:1" ht="13.8" x14ac:dyDescent="0.25">
      <c r="A1685" s="8"/>
    </row>
    <row r="1686" spans="1:1" ht="13.8" x14ac:dyDescent="0.25">
      <c r="A1686" s="8"/>
    </row>
    <row r="1687" spans="1:1" ht="13.8" x14ac:dyDescent="0.25">
      <c r="A1687" s="8"/>
    </row>
    <row r="1688" spans="1:1" ht="13.8" x14ac:dyDescent="0.25">
      <c r="A1688" s="8"/>
    </row>
    <row r="1689" spans="1:1" ht="13.8" x14ac:dyDescent="0.25">
      <c r="A1689" s="8"/>
    </row>
    <row r="1690" spans="1:1" ht="13.8" x14ac:dyDescent="0.25">
      <c r="A1690" s="8"/>
    </row>
    <row r="1691" spans="1:1" ht="13.8" x14ac:dyDescent="0.25">
      <c r="A1691" s="8"/>
    </row>
    <row r="1692" spans="1:1" ht="13.8" x14ac:dyDescent="0.25">
      <c r="A1692" s="8"/>
    </row>
    <row r="1693" spans="1:1" ht="13.8" x14ac:dyDescent="0.25">
      <c r="A1693" s="8"/>
    </row>
    <row r="1694" spans="1:1" ht="13.8" x14ac:dyDescent="0.25">
      <c r="A1694" s="8"/>
    </row>
    <row r="1695" spans="1:1" ht="13.8" x14ac:dyDescent="0.25">
      <c r="A1695" s="8"/>
    </row>
    <row r="1696" spans="1:1" ht="13.8" x14ac:dyDescent="0.25">
      <c r="A1696" s="8"/>
    </row>
    <row r="1697" spans="1:1" ht="13.8" x14ac:dyDescent="0.25">
      <c r="A1697" s="8"/>
    </row>
    <row r="1698" spans="1:1" ht="13.8" x14ac:dyDescent="0.25">
      <c r="A1698" s="8"/>
    </row>
    <row r="1699" spans="1:1" ht="13.8" x14ac:dyDescent="0.25">
      <c r="A1699" s="8"/>
    </row>
    <row r="1700" spans="1:1" ht="13.8" x14ac:dyDescent="0.25">
      <c r="A1700" s="8"/>
    </row>
    <row r="1701" spans="1:1" ht="13.8" x14ac:dyDescent="0.25">
      <c r="A1701" s="8"/>
    </row>
    <row r="1702" spans="1:1" ht="13.8" x14ac:dyDescent="0.25">
      <c r="A1702" s="8"/>
    </row>
    <row r="1703" spans="1:1" ht="13.8" x14ac:dyDescent="0.25">
      <c r="A1703" s="8"/>
    </row>
    <row r="1704" spans="1:1" ht="13.8" x14ac:dyDescent="0.25">
      <c r="A1704" s="8"/>
    </row>
    <row r="1705" spans="1:1" ht="13.8" x14ac:dyDescent="0.25">
      <c r="A1705" s="8"/>
    </row>
    <row r="1706" spans="1:1" ht="13.8" x14ac:dyDescent="0.25">
      <c r="A1706" s="8"/>
    </row>
    <row r="1707" spans="1:1" ht="13.8" x14ac:dyDescent="0.25">
      <c r="A1707" s="8"/>
    </row>
    <row r="1708" spans="1:1" ht="13.8" x14ac:dyDescent="0.25">
      <c r="A1708" s="8"/>
    </row>
    <row r="1709" spans="1:1" ht="13.8" x14ac:dyDescent="0.25">
      <c r="A1709" s="8"/>
    </row>
    <row r="1710" spans="1:1" ht="13.8" x14ac:dyDescent="0.25">
      <c r="A1710" s="8"/>
    </row>
    <row r="1711" spans="1:1" ht="13.8" x14ac:dyDescent="0.25">
      <c r="A1711" s="8"/>
    </row>
    <row r="1712" spans="1:1" ht="13.8" x14ac:dyDescent="0.25">
      <c r="A1712" s="8"/>
    </row>
    <row r="1713" spans="1:1" ht="13.8" x14ac:dyDescent="0.25">
      <c r="A1713" s="8"/>
    </row>
    <row r="1714" spans="1:1" ht="13.8" x14ac:dyDescent="0.25">
      <c r="A1714" s="8"/>
    </row>
    <row r="1715" spans="1:1" ht="13.8" x14ac:dyDescent="0.25">
      <c r="A1715" s="8"/>
    </row>
    <row r="1716" spans="1:1" ht="13.8" x14ac:dyDescent="0.25">
      <c r="A1716" s="8"/>
    </row>
    <row r="1717" spans="1:1" ht="13.8" x14ac:dyDescent="0.25">
      <c r="A1717" s="8"/>
    </row>
    <row r="1718" spans="1:1" ht="13.8" x14ac:dyDescent="0.25">
      <c r="A1718" s="8"/>
    </row>
    <row r="1719" spans="1:1" ht="13.8" x14ac:dyDescent="0.25">
      <c r="A1719" s="8"/>
    </row>
    <row r="1720" spans="1:1" ht="13.8" x14ac:dyDescent="0.25">
      <c r="A1720" s="8"/>
    </row>
    <row r="1721" spans="1:1" ht="13.8" x14ac:dyDescent="0.25">
      <c r="A1721" s="8"/>
    </row>
    <row r="1722" spans="1:1" ht="13.8" x14ac:dyDescent="0.25">
      <c r="A1722" s="8"/>
    </row>
    <row r="1723" spans="1:1" ht="13.8" x14ac:dyDescent="0.25">
      <c r="A1723" s="8"/>
    </row>
    <row r="1724" spans="1:1" ht="13.8" x14ac:dyDescent="0.25">
      <c r="A1724" s="8"/>
    </row>
    <row r="1725" spans="1:1" ht="13.8" x14ac:dyDescent="0.25">
      <c r="A1725" s="8"/>
    </row>
    <row r="1726" spans="1:1" ht="13.8" x14ac:dyDescent="0.25">
      <c r="A1726" s="8"/>
    </row>
    <row r="1727" spans="1:1" ht="13.8" x14ac:dyDescent="0.25">
      <c r="A1727" s="8"/>
    </row>
    <row r="1728" spans="1:1" ht="13.8" x14ac:dyDescent="0.25">
      <c r="A1728" s="8"/>
    </row>
    <row r="1729" spans="1:1" ht="13.8" x14ac:dyDescent="0.25">
      <c r="A1729" s="8"/>
    </row>
    <row r="1730" spans="1:1" ht="13.8" x14ac:dyDescent="0.25">
      <c r="A1730" s="8"/>
    </row>
    <row r="1731" spans="1:1" ht="13.8" x14ac:dyDescent="0.25">
      <c r="A1731" s="8"/>
    </row>
    <row r="1732" spans="1:1" ht="13.8" x14ac:dyDescent="0.25">
      <c r="A1732" s="8"/>
    </row>
    <row r="1733" spans="1:1" ht="13.8" x14ac:dyDescent="0.25">
      <c r="A1733" s="8"/>
    </row>
    <row r="1734" spans="1:1" ht="13.8" x14ac:dyDescent="0.25">
      <c r="A1734" s="8"/>
    </row>
    <row r="1735" spans="1:1" ht="13.8" x14ac:dyDescent="0.25">
      <c r="A1735" s="8"/>
    </row>
    <row r="1736" spans="1:1" ht="13.8" x14ac:dyDescent="0.25">
      <c r="A1736" s="8"/>
    </row>
    <row r="1737" spans="1:1" ht="13.8" x14ac:dyDescent="0.25">
      <c r="A1737" s="8"/>
    </row>
    <row r="1738" spans="1:1" ht="13.8" x14ac:dyDescent="0.25">
      <c r="A1738" s="8"/>
    </row>
    <row r="1739" spans="1:1" ht="13.8" x14ac:dyDescent="0.25">
      <c r="A1739" s="8"/>
    </row>
    <row r="1740" spans="1:1" ht="13.8" x14ac:dyDescent="0.25">
      <c r="A1740" s="8"/>
    </row>
    <row r="1741" spans="1:1" ht="13.8" x14ac:dyDescent="0.25">
      <c r="A1741" s="8"/>
    </row>
    <row r="1742" spans="1:1" ht="13.8" x14ac:dyDescent="0.25">
      <c r="A1742" s="8"/>
    </row>
    <row r="1743" spans="1:1" ht="13.8" x14ac:dyDescent="0.25">
      <c r="A1743" s="8"/>
    </row>
    <row r="1744" spans="1:1" ht="13.8" x14ac:dyDescent="0.25">
      <c r="A1744" s="8"/>
    </row>
    <row r="1745" spans="1:1" ht="13.8" x14ac:dyDescent="0.25">
      <c r="A1745" s="8"/>
    </row>
    <row r="1746" spans="1:1" ht="13.8" x14ac:dyDescent="0.25">
      <c r="A1746" s="8"/>
    </row>
    <row r="1747" spans="1:1" ht="13.8" x14ac:dyDescent="0.25">
      <c r="A1747" s="8"/>
    </row>
    <row r="1748" spans="1:1" ht="13.8" x14ac:dyDescent="0.25">
      <c r="A1748" s="8"/>
    </row>
    <row r="1749" spans="1:1" ht="13.8" x14ac:dyDescent="0.25">
      <c r="A1749" s="8"/>
    </row>
    <row r="1750" spans="1:1" ht="13.8" x14ac:dyDescent="0.25">
      <c r="A1750" s="8"/>
    </row>
    <row r="1751" spans="1:1" ht="13.8" x14ac:dyDescent="0.25">
      <c r="A1751" s="8"/>
    </row>
    <row r="1752" spans="1:1" ht="13.8" x14ac:dyDescent="0.25">
      <c r="A1752" s="8"/>
    </row>
    <row r="1753" spans="1:1" ht="13.8" x14ac:dyDescent="0.25">
      <c r="A1753" s="8"/>
    </row>
    <row r="1754" spans="1:1" ht="13.8" x14ac:dyDescent="0.25">
      <c r="A1754" s="8"/>
    </row>
    <row r="1755" spans="1:1" ht="13.8" x14ac:dyDescent="0.25">
      <c r="A1755" s="8"/>
    </row>
    <row r="1756" spans="1:1" ht="13.8" x14ac:dyDescent="0.25">
      <c r="A1756" s="8"/>
    </row>
    <row r="1757" spans="1:1" ht="13.8" x14ac:dyDescent="0.25">
      <c r="A1757" s="8"/>
    </row>
    <row r="1758" spans="1:1" ht="13.8" x14ac:dyDescent="0.25">
      <c r="A1758" s="8"/>
    </row>
    <row r="1759" spans="1:1" ht="13.8" x14ac:dyDescent="0.25">
      <c r="A1759" s="8"/>
    </row>
    <row r="1760" spans="1:1" ht="13.8" x14ac:dyDescent="0.25">
      <c r="A1760" s="8"/>
    </row>
    <row r="1761" spans="1:1" ht="13.8" x14ac:dyDescent="0.25">
      <c r="A1761" s="8"/>
    </row>
    <row r="1762" spans="1:1" ht="13.8" x14ac:dyDescent="0.25">
      <c r="A1762" s="8"/>
    </row>
    <row r="1763" spans="1:1" ht="13.8" x14ac:dyDescent="0.25">
      <c r="A1763" s="8"/>
    </row>
    <row r="1764" spans="1:1" ht="13.8" x14ac:dyDescent="0.25">
      <c r="A1764" s="8"/>
    </row>
    <row r="1765" spans="1:1" ht="13.8" x14ac:dyDescent="0.25">
      <c r="A1765" s="8"/>
    </row>
    <row r="1766" spans="1:1" ht="13.8" x14ac:dyDescent="0.25">
      <c r="A1766" s="8"/>
    </row>
    <row r="1767" spans="1:1" ht="13.8" x14ac:dyDescent="0.25">
      <c r="A1767" s="8"/>
    </row>
    <row r="1768" spans="1:1" ht="13.8" x14ac:dyDescent="0.25">
      <c r="A1768" s="8"/>
    </row>
    <row r="1769" spans="1:1" ht="13.8" x14ac:dyDescent="0.25">
      <c r="A1769" s="8"/>
    </row>
    <row r="1770" spans="1:1" ht="13.8" x14ac:dyDescent="0.25">
      <c r="A1770" s="8"/>
    </row>
    <row r="1771" spans="1:1" ht="13.8" x14ac:dyDescent="0.25">
      <c r="A1771" s="8"/>
    </row>
    <row r="1772" spans="1:1" ht="13.8" x14ac:dyDescent="0.25">
      <c r="A1772" s="8"/>
    </row>
    <row r="1773" spans="1:1" ht="13.8" x14ac:dyDescent="0.25">
      <c r="A1773" s="8"/>
    </row>
    <row r="1774" spans="1:1" ht="13.8" x14ac:dyDescent="0.25">
      <c r="A1774" s="8"/>
    </row>
    <row r="1775" spans="1:1" ht="13.8" x14ac:dyDescent="0.25">
      <c r="A1775" s="8"/>
    </row>
    <row r="1776" spans="1:1" ht="13.8" x14ac:dyDescent="0.25">
      <c r="A1776" s="8"/>
    </row>
    <row r="1777" spans="1:1" ht="13.8" x14ac:dyDescent="0.25">
      <c r="A1777" s="8"/>
    </row>
    <row r="1778" spans="1:1" ht="13.8" x14ac:dyDescent="0.25">
      <c r="A1778" s="8"/>
    </row>
    <row r="1779" spans="1:1" ht="13.8" x14ac:dyDescent="0.25">
      <c r="A1779" s="8"/>
    </row>
    <row r="1780" spans="1:1" ht="13.8" x14ac:dyDescent="0.25">
      <c r="A1780" s="8"/>
    </row>
    <row r="1781" spans="1:1" ht="13.8" x14ac:dyDescent="0.25">
      <c r="A1781" s="8"/>
    </row>
    <row r="1782" spans="1:1" ht="13.8" x14ac:dyDescent="0.25">
      <c r="A1782" s="8"/>
    </row>
    <row r="1783" spans="1:1" ht="13.8" x14ac:dyDescent="0.25">
      <c r="A1783" s="8"/>
    </row>
    <row r="1784" spans="1:1" ht="13.8" x14ac:dyDescent="0.25">
      <c r="A1784" s="8"/>
    </row>
    <row r="1785" spans="1:1" ht="13.8" x14ac:dyDescent="0.25">
      <c r="A1785" s="8"/>
    </row>
    <row r="1786" spans="1:1" ht="13.8" x14ac:dyDescent="0.25">
      <c r="A1786" s="8"/>
    </row>
    <row r="1787" spans="1:1" ht="13.8" x14ac:dyDescent="0.25">
      <c r="A1787" s="8"/>
    </row>
    <row r="1788" spans="1:1" ht="13.8" x14ac:dyDescent="0.25">
      <c r="A1788" s="8"/>
    </row>
    <row r="1789" spans="1:1" ht="13.8" x14ac:dyDescent="0.25">
      <c r="A1789" s="8"/>
    </row>
    <row r="1790" spans="1:1" ht="13.8" x14ac:dyDescent="0.25">
      <c r="A1790" s="8"/>
    </row>
    <row r="1791" spans="1:1" ht="13.8" x14ac:dyDescent="0.25">
      <c r="A1791" s="8"/>
    </row>
    <row r="1792" spans="1:1" ht="13.8" x14ac:dyDescent="0.25">
      <c r="A1792" s="8"/>
    </row>
    <row r="1793" spans="1:1" ht="13.8" x14ac:dyDescent="0.25">
      <c r="A1793" s="8"/>
    </row>
    <row r="1794" spans="1:1" ht="13.8" x14ac:dyDescent="0.25">
      <c r="A1794" s="8"/>
    </row>
    <row r="1795" spans="1:1" ht="13.8" x14ac:dyDescent="0.25">
      <c r="A1795" s="8"/>
    </row>
    <row r="1796" spans="1:1" ht="13.8" x14ac:dyDescent="0.25">
      <c r="A1796" s="8"/>
    </row>
    <row r="1797" spans="1:1" ht="13.8" x14ac:dyDescent="0.25">
      <c r="A1797" s="8"/>
    </row>
    <row r="1798" spans="1:1" ht="13.8" x14ac:dyDescent="0.25">
      <c r="A1798" s="8"/>
    </row>
    <row r="1799" spans="1:1" ht="13.8" x14ac:dyDescent="0.25">
      <c r="A1799" s="8"/>
    </row>
    <row r="1800" spans="1:1" ht="13.8" x14ac:dyDescent="0.25">
      <c r="A1800" s="8"/>
    </row>
    <row r="1801" spans="1:1" ht="13.8" x14ac:dyDescent="0.25">
      <c r="A1801" s="8"/>
    </row>
    <row r="1802" spans="1:1" ht="13.8" x14ac:dyDescent="0.25">
      <c r="A1802" s="8"/>
    </row>
    <row r="1803" spans="1:1" ht="13.8" x14ac:dyDescent="0.25">
      <c r="A1803" s="8"/>
    </row>
    <row r="1804" spans="1:1" ht="13.8" x14ac:dyDescent="0.25">
      <c r="A1804" s="8"/>
    </row>
    <row r="1805" spans="1:1" ht="13.8" x14ac:dyDescent="0.25">
      <c r="A1805" s="8"/>
    </row>
    <row r="1806" spans="1:1" ht="13.8" x14ac:dyDescent="0.25">
      <c r="A1806" s="8"/>
    </row>
    <row r="1807" spans="1:1" ht="13.8" x14ac:dyDescent="0.25">
      <c r="A1807" s="8"/>
    </row>
    <row r="1808" spans="1:1" ht="13.8" x14ac:dyDescent="0.25">
      <c r="A1808" s="8"/>
    </row>
    <row r="1809" spans="1:1" ht="13.8" x14ac:dyDescent="0.25">
      <c r="A1809" s="8"/>
    </row>
    <row r="1810" spans="1:1" ht="13.8" x14ac:dyDescent="0.25">
      <c r="A1810" s="8"/>
    </row>
    <row r="1811" spans="1:1" ht="13.8" x14ac:dyDescent="0.25">
      <c r="A1811" s="8"/>
    </row>
    <row r="1812" spans="1:1" ht="13.8" x14ac:dyDescent="0.25">
      <c r="A1812" s="8"/>
    </row>
    <row r="1813" spans="1:1" ht="13.8" x14ac:dyDescent="0.25">
      <c r="A1813" s="8"/>
    </row>
    <row r="1814" spans="1:1" ht="13.8" x14ac:dyDescent="0.25">
      <c r="A1814" s="8"/>
    </row>
    <row r="1815" spans="1:1" ht="13.8" x14ac:dyDescent="0.25">
      <c r="A1815" s="8"/>
    </row>
    <row r="1816" spans="1:1" ht="13.8" x14ac:dyDescent="0.25">
      <c r="A1816" s="8"/>
    </row>
    <row r="1817" spans="1:1" ht="13.8" x14ac:dyDescent="0.25">
      <c r="A1817" s="8"/>
    </row>
    <row r="1818" spans="1:1" ht="13.8" x14ac:dyDescent="0.25">
      <c r="A1818" s="8"/>
    </row>
    <row r="1819" spans="1:1" ht="13.8" x14ac:dyDescent="0.25">
      <c r="A1819" s="8"/>
    </row>
    <row r="1820" spans="1:1" ht="13.8" x14ac:dyDescent="0.25">
      <c r="A1820" s="8"/>
    </row>
    <row r="1821" spans="1:1" ht="13.8" x14ac:dyDescent="0.25">
      <c r="A1821" s="8"/>
    </row>
    <row r="1822" spans="1:1" ht="13.8" x14ac:dyDescent="0.25">
      <c r="A1822" s="8"/>
    </row>
    <row r="1823" spans="1:1" ht="13.8" x14ac:dyDescent="0.25">
      <c r="A1823" s="8"/>
    </row>
    <row r="1824" spans="1:1" ht="13.8" x14ac:dyDescent="0.25">
      <c r="A1824" s="8"/>
    </row>
    <row r="1825" spans="1:1" ht="13.8" x14ac:dyDescent="0.25">
      <c r="A1825" s="8"/>
    </row>
    <row r="1826" spans="1:1" ht="13.8" x14ac:dyDescent="0.25">
      <c r="A1826" s="8"/>
    </row>
    <row r="1827" spans="1:1" ht="13.8" x14ac:dyDescent="0.25">
      <c r="A1827" s="8"/>
    </row>
    <row r="1828" spans="1:1" ht="13.8" x14ac:dyDescent="0.25">
      <c r="A1828" s="8"/>
    </row>
    <row r="1829" spans="1:1" ht="13.8" x14ac:dyDescent="0.25">
      <c r="A1829" s="8"/>
    </row>
    <row r="1830" spans="1:1" ht="13.8" x14ac:dyDescent="0.25">
      <c r="A1830" s="8"/>
    </row>
    <row r="1831" spans="1:1" ht="13.8" x14ac:dyDescent="0.25">
      <c r="A1831" s="8"/>
    </row>
    <row r="1832" spans="1:1" ht="13.8" x14ac:dyDescent="0.25">
      <c r="A1832" s="8"/>
    </row>
    <row r="1833" spans="1:1" ht="13.8" x14ac:dyDescent="0.25">
      <c r="A1833" s="8"/>
    </row>
    <row r="1834" spans="1:1" ht="13.8" x14ac:dyDescent="0.25">
      <c r="A1834" s="8"/>
    </row>
    <row r="1835" spans="1:1" ht="13.8" x14ac:dyDescent="0.25">
      <c r="A1835" s="8"/>
    </row>
    <row r="1836" spans="1:1" ht="13.8" x14ac:dyDescent="0.25">
      <c r="A1836" s="8"/>
    </row>
    <row r="1837" spans="1:1" ht="13.8" x14ac:dyDescent="0.25">
      <c r="A1837" s="8"/>
    </row>
    <row r="1838" spans="1:1" ht="13.8" x14ac:dyDescent="0.25">
      <c r="A1838" s="8"/>
    </row>
    <row r="1839" spans="1:1" ht="13.8" x14ac:dyDescent="0.25">
      <c r="A1839" s="8"/>
    </row>
    <row r="1840" spans="1:1" ht="13.8" x14ac:dyDescent="0.25">
      <c r="A1840" s="8"/>
    </row>
    <row r="1841" spans="1:1" ht="13.8" x14ac:dyDescent="0.25">
      <c r="A1841" s="8"/>
    </row>
    <row r="1842" spans="1:1" ht="13.8" x14ac:dyDescent="0.25">
      <c r="A1842" s="8"/>
    </row>
    <row r="1843" spans="1:1" ht="13.8" x14ac:dyDescent="0.25">
      <c r="A1843" s="8"/>
    </row>
    <row r="1844" spans="1:1" ht="13.8" x14ac:dyDescent="0.25">
      <c r="A1844" s="8"/>
    </row>
    <row r="1845" spans="1:1" ht="13.8" x14ac:dyDescent="0.25">
      <c r="A1845" s="8"/>
    </row>
    <row r="1846" spans="1:1" ht="13.8" x14ac:dyDescent="0.25">
      <c r="A1846" s="8"/>
    </row>
    <row r="1847" spans="1:1" ht="13.8" x14ac:dyDescent="0.25">
      <c r="A1847" s="8"/>
    </row>
    <row r="1848" spans="1:1" ht="13.8" x14ac:dyDescent="0.25">
      <c r="A1848" s="8"/>
    </row>
    <row r="1849" spans="1:1" ht="13.8" x14ac:dyDescent="0.25">
      <c r="A1849" s="8"/>
    </row>
    <row r="1850" spans="1:1" ht="13.8" x14ac:dyDescent="0.25">
      <c r="A1850" s="8"/>
    </row>
    <row r="1851" spans="1:1" ht="13.8" x14ac:dyDescent="0.25">
      <c r="A1851" s="8"/>
    </row>
    <row r="1852" spans="1:1" ht="13.8" x14ac:dyDescent="0.25">
      <c r="A1852" s="8"/>
    </row>
    <row r="1853" spans="1:1" ht="13.8" x14ac:dyDescent="0.25">
      <c r="A1853" s="8"/>
    </row>
    <row r="1854" spans="1:1" ht="13.8" x14ac:dyDescent="0.25">
      <c r="A1854" s="8"/>
    </row>
    <row r="1855" spans="1:1" ht="13.8" x14ac:dyDescent="0.25">
      <c r="A1855" s="8"/>
    </row>
    <row r="1856" spans="1:1" ht="13.8" x14ac:dyDescent="0.25">
      <c r="A1856" s="8"/>
    </row>
    <row r="1857" spans="1:1" ht="13.8" x14ac:dyDescent="0.25">
      <c r="A1857" s="8"/>
    </row>
    <row r="1858" spans="1:1" ht="13.8" x14ac:dyDescent="0.25">
      <c r="A1858" s="8"/>
    </row>
    <row r="1859" spans="1:1" ht="13.8" x14ac:dyDescent="0.25">
      <c r="A1859" s="8"/>
    </row>
    <row r="1860" spans="1:1" ht="13.8" x14ac:dyDescent="0.25">
      <c r="A1860" s="8"/>
    </row>
    <row r="1861" spans="1:1" ht="13.8" x14ac:dyDescent="0.25">
      <c r="A1861" s="8"/>
    </row>
    <row r="1862" spans="1:1" ht="13.8" x14ac:dyDescent="0.25">
      <c r="A1862" s="8"/>
    </row>
    <row r="1863" spans="1:1" ht="13.8" x14ac:dyDescent="0.25">
      <c r="A1863" s="8"/>
    </row>
    <row r="1864" spans="1:1" ht="13.8" x14ac:dyDescent="0.25">
      <c r="A1864" s="8"/>
    </row>
    <row r="1865" spans="1:1" ht="13.8" x14ac:dyDescent="0.25">
      <c r="A1865" s="8"/>
    </row>
    <row r="1866" spans="1:1" ht="13.8" x14ac:dyDescent="0.25">
      <c r="A1866" s="8"/>
    </row>
    <row r="1867" spans="1:1" ht="13.8" x14ac:dyDescent="0.25">
      <c r="A1867" s="8"/>
    </row>
    <row r="1868" spans="1:1" ht="13.8" x14ac:dyDescent="0.25">
      <c r="A1868" s="8"/>
    </row>
    <row r="1869" spans="1:1" ht="13.8" x14ac:dyDescent="0.25">
      <c r="A1869" s="8"/>
    </row>
    <row r="1870" spans="1:1" ht="13.8" x14ac:dyDescent="0.25">
      <c r="A1870" s="8"/>
    </row>
    <row r="1871" spans="1:1" ht="13.8" x14ac:dyDescent="0.25">
      <c r="A1871" s="8"/>
    </row>
    <row r="1872" spans="1:1" ht="13.8" x14ac:dyDescent="0.25">
      <c r="A1872" s="8"/>
    </row>
    <row r="1873" spans="1:1" ht="13.8" x14ac:dyDescent="0.25">
      <c r="A1873" s="8"/>
    </row>
    <row r="1874" spans="1:1" ht="13.8" x14ac:dyDescent="0.25">
      <c r="A1874" s="8"/>
    </row>
    <row r="1875" spans="1:1" ht="13.8" x14ac:dyDescent="0.25">
      <c r="A1875" s="8"/>
    </row>
    <row r="1876" spans="1:1" ht="13.8" x14ac:dyDescent="0.25">
      <c r="A1876" s="8"/>
    </row>
    <row r="1877" spans="1:1" ht="13.8" x14ac:dyDescent="0.25">
      <c r="A1877" s="8"/>
    </row>
    <row r="1878" spans="1:1" ht="13.8" x14ac:dyDescent="0.25">
      <c r="A1878" s="8"/>
    </row>
    <row r="1879" spans="1:1" ht="13.8" x14ac:dyDescent="0.25">
      <c r="A1879" s="8"/>
    </row>
    <row r="1880" spans="1:1" ht="13.8" x14ac:dyDescent="0.25">
      <c r="A1880" s="8"/>
    </row>
    <row r="1881" spans="1:1" ht="13.8" x14ac:dyDescent="0.25">
      <c r="A1881" s="8"/>
    </row>
    <row r="1882" spans="1:1" ht="13.8" x14ac:dyDescent="0.25">
      <c r="A1882" s="8"/>
    </row>
    <row r="1883" spans="1:1" ht="13.8" x14ac:dyDescent="0.25">
      <c r="A1883" s="8"/>
    </row>
    <row r="1884" spans="1:1" ht="13.8" x14ac:dyDescent="0.25">
      <c r="A1884" s="8"/>
    </row>
    <row r="1885" spans="1:1" ht="13.8" x14ac:dyDescent="0.25">
      <c r="A1885" s="8"/>
    </row>
    <row r="1886" spans="1:1" ht="13.8" x14ac:dyDescent="0.25">
      <c r="A1886" s="8"/>
    </row>
    <row r="1887" spans="1:1" ht="13.8" x14ac:dyDescent="0.25">
      <c r="A1887" s="8"/>
    </row>
    <row r="1888" spans="1:1" ht="13.8" x14ac:dyDescent="0.25">
      <c r="A1888" s="8"/>
    </row>
    <row r="1889" spans="1:1" ht="13.8" x14ac:dyDescent="0.25">
      <c r="A1889" s="8"/>
    </row>
    <row r="1890" spans="1:1" ht="13.8" x14ac:dyDescent="0.25">
      <c r="A1890" s="8"/>
    </row>
    <row r="1891" spans="1:1" ht="13.8" x14ac:dyDescent="0.25">
      <c r="A1891" s="8"/>
    </row>
    <row r="1892" spans="1:1" ht="13.8" x14ac:dyDescent="0.25">
      <c r="A1892" s="8"/>
    </row>
    <row r="1893" spans="1:1" ht="13.8" x14ac:dyDescent="0.25">
      <c r="A1893" s="8"/>
    </row>
    <row r="1894" spans="1:1" ht="13.8" x14ac:dyDescent="0.25">
      <c r="A1894" s="8"/>
    </row>
    <row r="1895" spans="1:1" ht="13.8" x14ac:dyDescent="0.25">
      <c r="A1895" s="8"/>
    </row>
    <row r="1896" spans="1:1" ht="13.8" x14ac:dyDescent="0.25">
      <c r="A1896" s="8"/>
    </row>
    <row r="1897" spans="1:1" ht="13.8" x14ac:dyDescent="0.25">
      <c r="A1897" s="8"/>
    </row>
    <row r="1898" spans="1:1" ht="13.8" x14ac:dyDescent="0.25">
      <c r="A1898" s="8"/>
    </row>
    <row r="1899" spans="1:1" ht="13.8" x14ac:dyDescent="0.25">
      <c r="A1899" s="8"/>
    </row>
    <row r="1900" spans="1:1" ht="13.8" x14ac:dyDescent="0.25">
      <c r="A1900" s="8"/>
    </row>
    <row r="1901" spans="1:1" ht="13.8" x14ac:dyDescent="0.25">
      <c r="A1901" s="8"/>
    </row>
    <row r="1902" spans="1:1" ht="13.8" x14ac:dyDescent="0.25">
      <c r="A1902" s="8"/>
    </row>
    <row r="1903" spans="1:1" ht="13.8" x14ac:dyDescent="0.25">
      <c r="A1903" s="8"/>
    </row>
    <row r="1904" spans="1:1" ht="13.8" x14ac:dyDescent="0.25">
      <c r="A1904" s="8"/>
    </row>
    <row r="1905" spans="1:1" ht="13.8" x14ac:dyDescent="0.25">
      <c r="A1905" s="8"/>
    </row>
    <row r="1906" spans="1:1" ht="13.8" x14ac:dyDescent="0.25">
      <c r="A1906" s="8"/>
    </row>
    <row r="1907" spans="1:1" ht="13.8" x14ac:dyDescent="0.25">
      <c r="A1907" s="8"/>
    </row>
    <row r="1908" spans="1:1" ht="13.8" x14ac:dyDescent="0.25">
      <c r="A1908" s="8"/>
    </row>
    <row r="1909" spans="1:1" ht="13.8" x14ac:dyDescent="0.25">
      <c r="A1909" s="8"/>
    </row>
    <row r="1910" spans="1:1" ht="13.8" x14ac:dyDescent="0.25">
      <c r="A1910" s="8"/>
    </row>
    <row r="1911" spans="1:1" ht="13.8" x14ac:dyDescent="0.25">
      <c r="A1911" s="8"/>
    </row>
    <row r="1912" spans="1:1" ht="13.8" x14ac:dyDescent="0.25">
      <c r="A1912" s="8"/>
    </row>
    <row r="1913" spans="1:1" ht="13.8" x14ac:dyDescent="0.25">
      <c r="A1913" s="8"/>
    </row>
    <row r="1914" spans="1:1" ht="13.8" x14ac:dyDescent="0.25">
      <c r="A1914" s="8"/>
    </row>
    <row r="1915" spans="1:1" ht="13.8" x14ac:dyDescent="0.25">
      <c r="A1915" s="8"/>
    </row>
    <row r="1916" spans="1:1" ht="13.8" x14ac:dyDescent="0.25">
      <c r="A1916" s="8"/>
    </row>
    <row r="1917" spans="1:1" ht="13.8" x14ac:dyDescent="0.25">
      <c r="A1917" s="8"/>
    </row>
    <row r="1918" spans="1:1" ht="13.8" x14ac:dyDescent="0.25">
      <c r="A1918" s="8"/>
    </row>
    <row r="1919" spans="1:1" ht="13.8" x14ac:dyDescent="0.25">
      <c r="A1919" s="8"/>
    </row>
    <row r="1920" spans="1:1" ht="13.8" x14ac:dyDescent="0.25">
      <c r="A1920" s="8"/>
    </row>
    <row r="1921" spans="1:1" ht="13.8" x14ac:dyDescent="0.25">
      <c r="A1921" s="8"/>
    </row>
    <row r="1922" spans="1:1" ht="13.8" x14ac:dyDescent="0.25">
      <c r="A1922" s="8"/>
    </row>
    <row r="1923" spans="1:1" ht="13.8" x14ac:dyDescent="0.25">
      <c r="A1923" s="8"/>
    </row>
    <row r="1924" spans="1:1" ht="13.8" x14ac:dyDescent="0.25">
      <c r="A1924" s="8"/>
    </row>
    <row r="1925" spans="1:1" ht="13.8" x14ac:dyDescent="0.25">
      <c r="A1925" s="8"/>
    </row>
    <row r="1926" spans="1:1" ht="13.8" x14ac:dyDescent="0.25">
      <c r="A1926" s="8"/>
    </row>
    <row r="1927" spans="1:1" ht="13.8" x14ac:dyDescent="0.25">
      <c r="A1927" s="8"/>
    </row>
    <row r="1928" spans="1:1" ht="13.8" x14ac:dyDescent="0.25">
      <c r="A1928" s="8"/>
    </row>
    <row r="1929" spans="1:1" ht="13.8" x14ac:dyDescent="0.25">
      <c r="A1929" s="8"/>
    </row>
    <row r="1930" spans="1:1" ht="13.8" x14ac:dyDescent="0.25">
      <c r="A1930" s="8"/>
    </row>
    <row r="1931" spans="1:1" ht="13.8" x14ac:dyDescent="0.25">
      <c r="A1931" s="8"/>
    </row>
    <row r="1932" spans="1:1" ht="13.8" x14ac:dyDescent="0.25">
      <c r="A1932" s="8"/>
    </row>
    <row r="1933" spans="1:1" ht="13.8" x14ac:dyDescent="0.25">
      <c r="A1933" s="8"/>
    </row>
    <row r="1934" spans="1:1" ht="13.8" x14ac:dyDescent="0.25">
      <c r="A1934" s="8"/>
    </row>
    <row r="1935" spans="1:1" ht="13.8" x14ac:dyDescent="0.25">
      <c r="A1935" s="8"/>
    </row>
    <row r="1936" spans="1:1" ht="13.8" x14ac:dyDescent="0.25">
      <c r="A1936" s="8"/>
    </row>
    <row r="1937" spans="1:1" ht="13.8" x14ac:dyDescent="0.25">
      <c r="A1937" s="8"/>
    </row>
    <row r="1938" spans="1:1" ht="13.8" x14ac:dyDescent="0.25">
      <c r="A1938" s="8"/>
    </row>
    <row r="1939" spans="1:1" ht="13.8" x14ac:dyDescent="0.25">
      <c r="A1939" s="8"/>
    </row>
    <row r="1940" spans="1:1" ht="13.8" x14ac:dyDescent="0.25">
      <c r="A1940" s="8"/>
    </row>
    <row r="1941" spans="1:1" ht="13.8" x14ac:dyDescent="0.25">
      <c r="A1941" s="8"/>
    </row>
    <row r="1942" spans="1:1" ht="13.8" x14ac:dyDescent="0.25">
      <c r="A1942" s="8"/>
    </row>
    <row r="1943" spans="1:1" ht="13.8" x14ac:dyDescent="0.25">
      <c r="A1943" s="8"/>
    </row>
    <row r="1944" spans="1:1" ht="13.8" x14ac:dyDescent="0.25">
      <c r="A1944" s="8"/>
    </row>
    <row r="1945" spans="1:1" ht="13.8" x14ac:dyDescent="0.25">
      <c r="A1945" s="8"/>
    </row>
    <row r="1946" spans="1:1" ht="13.8" x14ac:dyDescent="0.25">
      <c r="A1946" s="8"/>
    </row>
    <row r="1947" spans="1:1" ht="13.8" x14ac:dyDescent="0.25">
      <c r="A1947" s="8"/>
    </row>
    <row r="1948" spans="1:1" ht="13.8" x14ac:dyDescent="0.25">
      <c r="A1948" s="8"/>
    </row>
    <row r="1949" spans="1:1" ht="13.8" x14ac:dyDescent="0.25">
      <c r="A1949" s="8"/>
    </row>
    <row r="1950" spans="1:1" ht="13.8" x14ac:dyDescent="0.25">
      <c r="A1950" s="8"/>
    </row>
    <row r="1951" spans="1:1" ht="13.8" x14ac:dyDescent="0.25">
      <c r="A1951" s="8"/>
    </row>
    <row r="1952" spans="1:1" ht="13.8" x14ac:dyDescent="0.25">
      <c r="A1952" s="8"/>
    </row>
    <row r="1953" spans="1:1" ht="13.8" x14ac:dyDescent="0.25">
      <c r="A1953" s="8"/>
    </row>
    <row r="1954" spans="1:1" ht="13.8" x14ac:dyDescent="0.25">
      <c r="A1954" s="8"/>
    </row>
    <row r="1955" spans="1:1" ht="13.8" x14ac:dyDescent="0.25">
      <c r="A1955" s="8"/>
    </row>
    <row r="1956" spans="1:1" ht="13.8" x14ac:dyDescent="0.25">
      <c r="A1956" s="8"/>
    </row>
    <row r="1957" spans="1:1" ht="13.8" x14ac:dyDescent="0.25">
      <c r="A1957" s="8"/>
    </row>
    <row r="1958" spans="1:1" ht="13.8" x14ac:dyDescent="0.25">
      <c r="A1958" s="8"/>
    </row>
    <row r="1959" spans="1:1" ht="13.8" x14ac:dyDescent="0.25">
      <c r="A1959" s="8"/>
    </row>
    <row r="1960" spans="1:1" ht="13.8" x14ac:dyDescent="0.25">
      <c r="A1960" s="8"/>
    </row>
    <row r="1961" spans="1:1" ht="13.8" x14ac:dyDescent="0.25">
      <c r="A1961" s="8"/>
    </row>
    <row r="1962" spans="1:1" ht="13.8" x14ac:dyDescent="0.25">
      <c r="A1962" s="8"/>
    </row>
    <row r="1963" spans="1:1" ht="13.8" x14ac:dyDescent="0.25">
      <c r="A1963" s="8"/>
    </row>
    <row r="1964" spans="1:1" ht="13.8" x14ac:dyDescent="0.25">
      <c r="A1964" s="8"/>
    </row>
    <row r="1965" spans="1:1" ht="13.8" x14ac:dyDescent="0.25">
      <c r="A1965" s="8"/>
    </row>
    <row r="1966" spans="1:1" ht="13.8" x14ac:dyDescent="0.25">
      <c r="A1966" s="8"/>
    </row>
    <row r="1967" spans="1:1" ht="13.8" x14ac:dyDescent="0.25">
      <c r="A1967" s="8"/>
    </row>
    <row r="1968" spans="1:1" ht="13.8" x14ac:dyDescent="0.25">
      <c r="A1968" s="8"/>
    </row>
    <row r="1969" spans="1:1" ht="13.8" x14ac:dyDescent="0.25">
      <c r="A1969" s="8"/>
    </row>
    <row r="1970" spans="1:1" ht="13.8" x14ac:dyDescent="0.25">
      <c r="A1970" s="8"/>
    </row>
    <row r="1971" spans="1:1" ht="13.8" x14ac:dyDescent="0.25">
      <c r="A1971" s="8"/>
    </row>
    <row r="1972" spans="1:1" ht="13.8" x14ac:dyDescent="0.25">
      <c r="A1972" s="8"/>
    </row>
    <row r="1973" spans="1:1" ht="13.8" x14ac:dyDescent="0.25">
      <c r="A1973" s="8"/>
    </row>
    <row r="1974" spans="1:1" ht="13.8" x14ac:dyDescent="0.25">
      <c r="A1974" s="8"/>
    </row>
    <row r="1975" spans="1:1" ht="13.8" x14ac:dyDescent="0.25">
      <c r="A1975" s="8"/>
    </row>
    <row r="1976" spans="1:1" ht="13.8" x14ac:dyDescent="0.25">
      <c r="A1976" s="8"/>
    </row>
    <row r="1977" spans="1:1" ht="13.8" x14ac:dyDescent="0.25">
      <c r="A1977" s="8"/>
    </row>
    <row r="1978" spans="1:1" ht="13.8" x14ac:dyDescent="0.25">
      <c r="A1978" s="8"/>
    </row>
    <row r="1979" spans="1:1" ht="13.8" x14ac:dyDescent="0.25">
      <c r="A1979" s="8"/>
    </row>
    <row r="1980" spans="1:1" ht="13.8" x14ac:dyDescent="0.25">
      <c r="A1980" s="8"/>
    </row>
    <row r="1981" spans="1:1" ht="13.8" x14ac:dyDescent="0.25">
      <c r="A1981" s="8"/>
    </row>
    <row r="1982" spans="1:1" ht="13.8" x14ac:dyDescent="0.25">
      <c r="A1982" s="8"/>
    </row>
    <row r="1983" spans="1:1" ht="13.8" x14ac:dyDescent="0.25">
      <c r="A1983" s="8"/>
    </row>
    <row r="1984" spans="1:1" ht="13.8" x14ac:dyDescent="0.25">
      <c r="A1984" s="8"/>
    </row>
    <row r="1985" spans="1:1" ht="13.8" x14ac:dyDescent="0.25">
      <c r="A1985" s="8"/>
    </row>
    <row r="1986" spans="1:1" ht="13.8" x14ac:dyDescent="0.25">
      <c r="A1986" s="8"/>
    </row>
    <row r="1987" spans="1:1" ht="13.8" x14ac:dyDescent="0.25">
      <c r="A1987" s="8"/>
    </row>
    <row r="1988" spans="1:1" ht="13.8" x14ac:dyDescent="0.25">
      <c r="A1988" s="8"/>
    </row>
    <row r="1989" spans="1:1" ht="13.8" x14ac:dyDescent="0.25">
      <c r="A1989" s="8"/>
    </row>
    <row r="1990" spans="1:1" ht="13.8" x14ac:dyDescent="0.25">
      <c r="A1990" s="8"/>
    </row>
    <row r="1991" spans="1:1" ht="13.8" x14ac:dyDescent="0.25">
      <c r="A1991" s="8"/>
    </row>
    <row r="1992" spans="1:1" ht="13.8" x14ac:dyDescent="0.25">
      <c r="A1992" s="8"/>
    </row>
    <row r="1993" spans="1:1" ht="13.8" x14ac:dyDescent="0.25">
      <c r="A1993" s="8"/>
    </row>
    <row r="1994" spans="1:1" ht="13.8" x14ac:dyDescent="0.25">
      <c r="A1994" s="8"/>
    </row>
    <row r="1995" spans="1:1" ht="13.8" x14ac:dyDescent="0.25">
      <c r="A1995" s="8"/>
    </row>
    <row r="1996" spans="1:1" ht="13.8" x14ac:dyDescent="0.25">
      <c r="A1996" s="8"/>
    </row>
    <row r="1997" spans="1:1" ht="13.8" x14ac:dyDescent="0.25">
      <c r="A1997" s="8"/>
    </row>
    <row r="1998" spans="1:1" ht="13.8" x14ac:dyDescent="0.25">
      <c r="A1998" s="8"/>
    </row>
    <row r="1999" spans="1:1" ht="13.8" x14ac:dyDescent="0.25">
      <c r="A1999" s="8"/>
    </row>
    <row r="2000" spans="1:1" ht="13.8" x14ac:dyDescent="0.25">
      <c r="A2000" s="8"/>
    </row>
    <row r="2001" spans="1:1" ht="13.8" x14ac:dyDescent="0.25">
      <c r="A2001" s="8"/>
    </row>
    <row r="2002" spans="1:1" ht="13.8" x14ac:dyDescent="0.25">
      <c r="A2002" s="8"/>
    </row>
    <row r="2003" spans="1:1" ht="13.8" x14ac:dyDescent="0.25">
      <c r="A2003" s="8"/>
    </row>
    <row r="2004" spans="1:1" ht="13.8" x14ac:dyDescent="0.25">
      <c r="A2004" s="8"/>
    </row>
    <row r="2005" spans="1:1" ht="13.8" x14ac:dyDescent="0.25">
      <c r="A2005" s="8"/>
    </row>
    <row r="2006" spans="1:1" ht="13.8" x14ac:dyDescent="0.25">
      <c r="A2006" s="8"/>
    </row>
    <row r="2007" spans="1:1" ht="13.8" x14ac:dyDescent="0.25">
      <c r="A2007" s="8"/>
    </row>
    <row r="2008" spans="1:1" ht="13.8" x14ac:dyDescent="0.25">
      <c r="A2008" s="8"/>
    </row>
    <row r="2009" spans="1:1" ht="13.8" x14ac:dyDescent="0.25">
      <c r="A2009" s="8"/>
    </row>
    <row r="2010" spans="1:1" ht="13.8" x14ac:dyDescent="0.25">
      <c r="A2010" s="8"/>
    </row>
    <row r="2011" spans="1:1" ht="13.8" x14ac:dyDescent="0.25">
      <c r="A2011" s="8"/>
    </row>
    <row r="2012" spans="1:1" ht="13.8" x14ac:dyDescent="0.25">
      <c r="A2012" s="8"/>
    </row>
    <row r="2013" spans="1:1" ht="13.8" x14ac:dyDescent="0.25">
      <c r="A2013" s="8"/>
    </row>
    <row r="2014" spans="1:1" ht="13.8" x14ac:dyDescent="0.25">
      <c r="A2014" s="8"/>
    </row>
    <row r="2015" spans="1:1" ht="13.8" x14ac:dyDescent="0.25">
      <c r="A2015" s="8"/>
    </row>
    <row r="2016" spans="1:1" ht="13.8" x14ac:dyDescent="0.25">
      <c r="A2016" s="8"/>
    </row>
    <row r="2017" spans="1:1" ht="13.8" x14ac:dyDescent="0.25">
      <c r="A2017" s="8"/>
    </row>
    <row r="2018" spans="1:1" ht="13.8" x14ac:dyDescent="0.25">
      <c r="A2018" s="8"/>
    </row>
    <row r="2019" spans="1:1" ht="13.8" x14ac:dyDescent="0.25">
      <c r="A2019" s="8"/>
    </row>
    <row r="2020" spans="1:1" ht="13.8" x14ac:dyDescent="0.25">
      <c r="A2020" s="8"/>
    </row>
    <row r="2021" spans="1:1" ht="13.8" x14ac:dyDescent="0.25">
      <c r="A2021" s="8"/>
    </row>
    <row r="2022" spans="1:1" ht="13.8" x14ac:dyDescent="0.25">
      <c r="A2022" s="8"/>
    </row>
    <row r="2023" spans="1:1" ht="13.8" x14ac:dyDescent="0.25">
      <c r="A2023" s="8"/>
    </row>
    <row r="2024" spans="1:1" ht="13.8" x14ac:dyDescent="0.25">
      <c r="A2024" s="8"/>
    </row>
    <row r="2025" spans="1:1" ht="13.8" x14ac:dyDescent="0.25">
      <c r="A2025" s="8"/>
    </row>
    <row r="2026" spans="1:1" ht="13.8" x14ac:dyDescent="0.25">
      <c r="A2026" s="8"/>
    </row>
    <row r="2027" spans="1:1" ht="13.8" x14ac:dyDescent="0.25">
      <c r="A2027" s="8"/>
    </row>
    <row r="2028" spans="1:1" ht="13.8" x14ac:dyDescent="0.25">
      <c r="A2028" s="8"/>
    </row>
    <row r="2029" spans="1:1" ht="13.8" x14ac:dyDescent="0.25">
      <c r="A2029" s="8"/>
    </row>
    <row r="2030" spans="1:1" ht="13.8" x14ac:dyDescent="0.25">
      <c r="A2030" s="8"/>
    </row>
    <row r="2031" spans="1:1" ht="13.8" x14ac:dyDescent="0.25">
      <c r="A2031" s="8"/>
    </row>
    <row r="2032" spans="1:1" ht="13.8" x14ac:dyDescent="0.25">
      <c r="A2032" s="8"/>
    </row>
    <row r="2033" spans="1:1" ht="13.8" x14ac:dyDescent="0.25">
      <c r="A2033" s="8"/>
    </row>
    <row r="2034" spans="1:1" ht="13.8" x14ac:dyDescent="0.25">
      <c r="A2034" s="8"/>
    </row>
    <row r="2035" spans="1:1" ht="13.8" x14ac:dyDescent="0.25">
      <c r="A2035" s="8"/>
    </row>
    <row r="2036" spans="1:1" ht="13.8" x14ac:dyDescent="0.25">
      <c r="A2036" s="8"/>
    </row>
    <row r="2037" spans="1:1" ht="13.8" x14ac:dyDescent="0.25">
      <c r="A2037" s="8"/>
    </row>
    <row r="2038" spans="1:1" ht="13.8" x14ac:dyDescent="0.25">
      <c r="A2038" s="8"/>
    </row>
    <row r="2039" spans="1:1" ht="13.8" x14ac:dyDescent="0.25">
      <c r="A2039" s="8"/>
    </row>
    <row r="2040" spans="1:1" ht="13.8" x14ac:dyDescent="0.25">
      <c r="A2040" s="8"/>
    </row>
    <row r="2041" spans="1:1" ht="13.8" x14ac:dyDescent="0.25">
      <c r="A2041" s="8"/>
    </row>
    <row r="2042" spans="1:1" ht="13.8" x14ac:dyDescent="0.25">
      <c r="A2042" s="8"/>
    </row>
    <row r="2043" spans="1:1" ht="13.8" x14ac:dyDescent="0.25">
      <c r="A2043" s="8"/>
    </row>
    <row r="2044" spans="1:1" ht="13.8" x14ac:dyDescent="0.25">
      <c r="A2044" s="8"/>
    </row>
    <row r="2045" spans="1:1" ht="13.8" x14ac:dyDescent="0.25">
      <c r="A2045" s="8"/>
    </row>
    <row r="2046" spans="1:1" ht="13.8" x14ac:dyDescent="0.25">
      <c r="A2046" s="8"/>
    </row>
    <row r="2047" spans="1:1" ht="13.8" x14ac:dyDescent="0.25">
      <c r="A2047" s="8"/>
    </row>
    <row r="2048" spans="1:1" ht="13.8" x14ac:dyDescent="0.25">
      <c r="A2048" s="8"/>
    </row>
    <row r="2049" spans="1:1" ht="13.8" x14ac:dyDescent="0.25">
      <c r="A2049" s="8"/>
    </row>
    <row r="2050" spans="1:1" ht="13.8" x14ac:dyDescent="0.25">
      <c r="A2050" s="8"/>
    </row>
    <row r="2051" spans="1:1" ht="13.8" x14ac:dyDescent="0.25">
      <c r="A2051" s="8"/>
    </row>
    <row r="2052" spans="1:1" ht="13.8" x14ac:dyDescent="0.25">
      <c r="A2052" s="8"/>
    </row>
    <row r="2053" spans="1:1" ht="13.8" x14ac:dyDescent="0.25">
      <c r="A2053" s="8"/>
    </row>
    <row r="2054" spans="1:1" ht="13.8" x14ac:dyDescent="0.25">
      <c r="A2054" s="8"/>
    </row>
    <row r="2055" spans="1:1" ht="13.8" x14ac:dyDescent="0.25">
      <c r="A2055" s="8"/>
    </row>
    <row r="2056" spans="1:1" ht="13.8" x14ac:dyDescent="0.25">
      <c r="A2056" s="8"/>
    </row>
    <row r="2057" spans="1:1" ht="13.8" x14ac:dyDescent="0.25">
      <c r="A2057" s="8"/>
    </row>
    <row r="2058" spans="1:1" ht="13.8" x14ac:dyDescent="0.25">
      <c r="A2058" s="8"/>
    </row>
    <row r="2059" spans="1:1" ht="13.8" x14ac:dyDescent="0.25">
      <c r="A2059" s="8"/>
    </row>
    <row r="2060" spans="1:1" ht="13.8" x14ac:dyDescent="0.25">
      <c r="A2060" s="8"/>
    </row>
    <row r="2061" spans="1:1" ht="13.8" x14ac:dyDescent="0.25">
      <c r="A2061" s="8"/>
    </row>
    <row r="2062" spans="1:1" ht="13.8" x14ac:dyDescent="0.25">
      <c r="A2062" s="8"/>
    </row>
    <row r="2063" spans="1:1" ht="13.8" x14ac:dyDescent="0.25">
      <c r="A2063" s="8"/>
    </row>
    <row r="2064" spans="1:1" ht="13.8" x14ac:dyDescent="0.25">
      <c r="A2064" s="8"/>
    </row>
    <row r="2065" spans="1:1" ht="13.8" x14ac:dyDescent="0.25">
      <c r="A2065" s="8"/>
    </row>
    <row r="2066" spans="1:1" ht="13.8" x14ac:dyDescent="0.25">
      <c r="A2066" s="8"/>
    </row>
    <row r="2067" spans="1:1" ht="13.8" x14ac:dyDescent="0.25">
      <c r="A2067" s="8"/>
    </row>
    <row r="2068" spans="1:1" ht="13.8" x14ac:dyDescent="0.25">
      <c r="A2068" s="8"/>
    </row>
    <row r="2069" spans="1:1" ht="13.8" x14ac:dyDescent="0.25">
      <c r="A2069" s="8"/>
    </row>
    <row r="2070" spans="1:1" ht="13.8" x14ac:dyDescent="0.25">
      <c r="A2070" s="8"/>
    </row>
    <row r="2071" spans="1:1" ht="13.8" x14ac:dyDescent="0.25">
      <c r="A2071" s="8"/>
    </row>
    <row r="2072" spans="1:1" ht="13.8" x14ac:dyDescent="0.25">
      <c r="A2072" s="8"/>
    </row>
    <row r="2073" spans="1:1" ht="13.8" x14ac:dyDescent="0.25">
      <c r="A2073" s="8"/>
    </row>
    <row r="2074" spans="1:1" ht="13.8" x14ac:dyDescent="0.25">
      <c r="A2074" s="8"/>
    </row>
    <row r="2075" spans="1:1" ht="13.8" x14ac:dyDescent="0.25">
      <c r="A2075" s="8"/>
    </row>
    <row r="2076" spans="1:1" ht="13.8" x14ac:dyDescent="0.25">
      <c r="A2076" s="8"/>
    </row>
    <row r="2077" spans="1:1" ht="13.8" x14ac:dyDescent="0.25">
      <c r="A2077" s="8"/>
    </row>
    <row r="2078" spans="1:1" ht="13.8" x14ac:dyDescent="0.25">
      <c r="A2078" s="8"/>
    </row>
    <row r="2079" spans="1:1" ht="13.8" x14ac:dyDescent="0.25">
      <c r="A2079" s="8"/>
    </row>
    <row r="2080" spans="1:1" ht="13.8" x14ac:dyDescent="0.25">
      <c r="A2080" s="8"/>
    </row>
    <row r="2081" spans="1:1" ht="13.8" x14ac:dyDescent="0.25">
      <c r="A2081" s="8"/>
    </row>
    <row r="2082" spans="1:1" ht="13.8" x14ac:dyDescent="0.25">
      <c r="A2082" s="8"/>
    </row>
    <row r="2083" spans="1:1" ht="13.8" x14ac:dyDescent="0.25">
      <c r="A2083" s="8"/>
    </row>
    <row r="2084" spans="1:1" ht="13.8" x14ac:dyDescent="0.25">
      <c r="A2084" s="8"/>
    </row>
    <row r="2085" spans="1:1" ht="13.8" x14ac:dyDescent="0.25">
      <c r="A2085" s="8"/>
    </row>
    <row r="2086" spans="1:1" ht="13.8" x14ac:dyDescent="0.25">
      <c r="A2086" s="8"/>
    </row>
    <row r="2087" spans="1:1" ht="13.8" x14ac:dyDescent="0.25">
      <c r="A2087" s="8"/>
    </row>
    <row r="2088" spans="1:1" ht="13.8" x14ac:dyDescent="0.25">
      <c r="A2088" s="8"/>
    </row>
    <row r="2089" spans="1:1" ht="13.8" x14ac:dyDescent="0.25">
      <c r="A2089" s="8"/>
    </row>
    <row r="2090" spans="1:1" ht="13.8" x14ac:dyDescent="0.25">
      <c r="A2090" s="8"/>
    </row>
    <row r="2091" spans="1:1" ht="13.8" x14ac:dyDescent="0.25">
      <c r="A2091" s="8"/>
    </row>
    <row r="2092" spans="1:1" ht="13.8" x14ac:dyDescent="0.25">
      <c r="A2092" s="8"/>
    </row>
    <row r="2093" spans="1:1" ht="13.8" x14ac:dyDescent="0.25">
      <c r="A2093" s="8"/>
    </row>
    <row r="2094" spans="1:1" ht="13.8" x14ac:dyDescent="0.25">
      <c r="A2094" s="8"/>
    </row>
    <row r="2095" spans="1:1" ht="13.8" x14ac:dyDescent="0.25">
      <c r="A2095" s="8"/>
    </row>
    <row r="2096" spans="1:1" ht="13.8" x14ac:dyDescent="0.25">
      <c r="A2096" s="8"/>
    </row>
    <row r="2097" spans="1:1" ht="13.8" x14ac:dyDescent="0.25">
      <c r="A2097" s="8"/>
    </row>
    <row r="2098" spans="1:1" ht="13.8" x14ac:dyDescent="0.25">
      <c r="A2098" s="8"/>
    </row>
    <row r="2099" spans="1:1" ht="13.8" x14ac:dyDescent="0.25">
      <c r="A2099" s="8"/>
    </row>
    <row r="2100" spans="1:1" ht="13.8" x14ac:dyDescent="0.25">
      <c r="A2100" s="8"/>
    </row>
    <row r="2101" spans="1:1" ht="13.8" x14ac:dyDescent="0.25">
      <c r="A2101" s="8"/>
    </row>
    <row r="2102" spans="1:1" ht="13.8" x14ac:dyDescent="0.25">
      <c r="A2102" s="8"/>
    </row>
    <row r="2103" spans="1:1" ht="13.8" x14ac:dyDescent="0.25">
      <c r="A2103" s="8"/>
    </row>
    <row r="2104" spans="1:1" ht="13.8" x14ac:dyDescent="0.25">
      <c r="A2104" s="8"/>
    </row>
    <row r="2105" spans="1:1" ht="13.8" x14ac:dyDescent="0.25">
      <c r="A2105" s="8"/>
    </row>
    <row r="2106" spans="1:1" ht="13.8" x14ac:dyDescent="0.25">
      <c r="A2106" s="8"/>
    </row>
    <row r="2107" spans="1:1" ht="13.8" x14ac:dyDescent="0.25">
      <c r="A2107" s="8"/>
    </row>
    <row r="2108" spans="1:1" ht="13.8" x14ac:dyDescent="0.25">
      <c r="A2108" s="8"/>
    </row>
    <row r="2109" spans="1:1" ht="13.8" x14ac:dyDescent="0.25">
      <c r="A2109" s="8"/>
    </row>
    <row r="2110" spans="1:1" ht="13.8" x14ac:dyDescent="0.25">
      <c r="A2110" s="8"/>
    </row>
    <row r="2111" spans="1:1" ht="13.8" x14ac:dyDescent="0.25">
      <c r="A2111" s="8"/>
    </row>
    <row r="2112" spans="1:1" ht="13.8" x14ac:dyDescent="0.25">
      <c r="A2112" s="8"/>
    </row>
    <row r="2113" spans="1:1" ht="13.8" x14ac:dyDescent="0.25">
      <c r="A2113" s="8"/>
    </row>
    <row r="2114" spans="1:1" ht="13.8" x14ac:dyDescent="0.25">
      <c r="A2114" s="8"/>
    </row>
    <row r="2115" spans="1:1" ht="13.8" x14ac:dyDescent="0.25">
      <c r="A2115" s="8"/>
    </row>
    <row r="2116" spans="1:1" ht="13.8" x14ac:dyDescent="0.25">
      <c r="A2116" s="8"/>
    </row>
    <row r="2117" spans="1:1" ht="13.8" x14ac:dyDescent="0.25">
      <c r="A2117" s="8"/>
    </row>
    <row r="2118" spans="1:1" ht="13.8" x14ac:dyDescent="0.25">
      <c r="A2118" s="8"/>
    </row>
    <row r="2119" spans="1:1" ht="13.8" x14ac:dyDescent="0.25">
      <c r="A2119" s="8"/>
    </row>
    <row r="2120" spans="1:1" ht="13.8" x14ac:dyDescent="0.25">
      <c r="A2120" s="8"/>
    </row>
    <row r="2121" spans="1:1" ht="13.8" x14ac:dyDescent="0.25">
      <c r="A2121" s="8"/>
    </row>
    <row r="2122" spans="1:1" ht="13.8" x14ac:dyDescent="0.25">
      <c r="A2122" s="8"/>
    </row>
    <row r="2123" spans="1:1" ht="13.8" x14ac:dyDescent="0.25">
      <c r="A2123" s="8"/>
    </row>
    <row r="2124" spans="1:1" ht="13.8" x14ac:dyDescent="0.25">
      <c r="A2124" s="8"/>
    </row>
    <row r="2125" spans="1:1" ht="13.8" x14ac:dyDescent="0.25">
      <c r="A2125" s="8"/>
    </row>
    <row r="2126" spans="1:1" ht="13.8" x14ac:dyDescent="0.25">
      <c r="A2126" s="8"/>
    </row>
    <row r="2127" spans="1:1" ht="13.8" x14ac:dyDescent="0.25">
      <c r="A2127" s="8"/>
    </row>
    <row r="2128" spans="1:1" ht="13.8" x14ac:dyDescent="0.25">
      <c r="A2128" s="8"/>
    </row>
    <row r="2129" spans="1:1" ht="13.8" x14ac:dyDescent="0.25">
      <c r="A2129" s="8"/>
    </row>
    <row r="2130" spans="1:1" ht="13.8" x14ac:dyDescent="0.25">
      <c r="A2130" s="8"/>
    </row>
    <row r="2131" spans="1:1" ht="13.8" x14ac:dyDescent="0.25">
      <c r="A2131" s="8"/>
    </row>
    <row r="2132" spans="1:1" ht="13.8" x14ac:dyDescent="0.25">
      <c r="A2132" s="8"/>
    </row>
    <row r="2133" spans="1:1" ht="13.8" x14ac:dyDescent="0.25">
      <c r="A2133" s="8"/>
    </row>
    <row r="2134" spans="1:1" ht="13.8" x14ac:dyDescent="0.25">
      <c r="A2134" s="8"/>
    </row>
    <row r="2135" spans="1:1" ht="13.8" x14ac:dyDescent="0.25">
      <c r="A2135" s="8"/>
    </row>
    <row r="2136" spans="1:1" ht="13.8" x14ac:dyDescent="0.25">
      <c r="A2136" s="8"/>
    </row>
    <row r="2137" spans="1:1" ht="13.8" x14ac:dyDescent="0.25">
      <c r="A2137" s="8"/>
    </row>
    <row r="2138" spans="1:1" ht="13.8" x14ac:dyDescent="0.25">
      <c r="A2138" s="8"/>
    </row>
    <row r="2139" spans="1:1" ht="13.8" x14ac:dyDescent="0.25">
      <c r="A2139" s="8"/>
    </row>
    <row r="2140" spans="1:1" ht="13.8" x14ac:dyDescent="0.25">
      <c r="A2140" s="8"/>
    </row>
    <row r="2141" spans="1:1" ht="13.8" x14ac:dyDescent="0.25">
      <c r="A2141" s="8"/>
    </row>
    <row r="2142" spans="1:1" ht="13.8" x14ac:dyDescent="0.25">
      <c r="A2142" s="8"/>
    </row>
    <row r="2143" spans="1:1" ht="13.8" x14ac:dyDescent="0.25">
      <c r="A2143" s="8"/>
    </row>
    <row r="2144" spans="1:1" ht="13.8" x14ac:dyDescent="0.25">
      <c r="A2144" s="8"/>
    </row>
    <row r="2145" spans="1:1" ht="13.8" x14ac:dyDescent="0.25">
      <c r="A2145" s="8"/>
    </row>
    <row r="2146" spans="1:1" ht="13.8" x14ac:dyDescent="0.25">
      <c r="A2146" s="8"/>
    </row>
    <row r="2147" spans="1:1" ht="13.8" x14ac:dyDescent="0.25">
      <c r="A2147" s="8"/>
    </row>
    <row r="2148" spans="1:1" ht="13.8" x14ac:dyDescent="0.25">
      <c r="A2148" s="8"/>
    </row>
    <row r="2149" spans="1:1" ht="13.8" x14ac:dyDescent="0.25">
      <c r="A2149" s="8"/>
    </row>
    <row r="2150" spans="1:1" ht="13.8" x14ac:dyDescent="0.25">
      <c r="A2150" s="8"/>
    </row>
    <row r="2151" spans="1:1" ht="13.8" x14ac:dyDescent="0.25">
      <c r="A2151" s="8"/>
    </row>
    <row r="2152" spans="1:1" ht="13.8" x14ac:dyDescent="0.25">
      <c r="A2152" s="8"/>
    </row>
    <row r="2153" spans="1:1" ht="13.8" x14ac:dyDescent="0.25">
      <c r="A2153" s="8"/>
    </row>
    <row r="2154" spans="1:1" ht="13.8" x14ac:dyDescent="0.25">
      <c r="A2154" s="8"/>
    </row>
    <row r="2155" spans="1:1" ht="13.8" x14ac:dyDescent="0.25">
      <c r="A2155" s="8"/>
    </row>
    <row r="2156" spans="1:1" ht="13.8" x14ac:dyDescent="0.25">
      <c r="A2156" s="8"/>
    </row>
    <row r="2157" spans="1:1" ht="13.8" x14ac:dyDescent="0.25">
      <c r="A2157" s="8"/>
    </row>
    <row r="2158" spans="1:1" ht="13.8" x14ac:dyDescent="0.25">
      <c r="A2158" s="8"/>
    </row>
    <row r="2159" spans="1:1" ht="13.8" x14ac:dyDescent="0.25">
      <c r="A2159" s="8"/>
    </row>
    <row r="2160" spans="1:1" ht="13.8" x14ac:dyDescent="0.25">
      <c r="A2160" s="8"/>
    </row>
    <row r="2161" spans="1:1" ht="13.8" x14ac:dyDescent="0.25">
      <c r="A2161" s="8"/>
    </row>
    <row r="2162" spans="1:1" ht="13.8" x14ac:dyDescent="0.25">
      <c r="A2162" s="8"/>
    </row>
    <row r="2163" spans="1:1" ht="13.8" x14ac:dyDescent="0.25">
      <c r="A2163" s="8"/>
    </row>
    <row r="2164" spans="1:1" ht="13.8" x14ac:dyDescent="0.25">
      <c r="A2164" s="8"/>
    </row>
    <row r="2165" spans="1:1" ht="13.8" x14ac:dyDescent="0.25">
      <c r="A2165" s="8"/>
    </row>
    <row r="2166" spans="1:1" ht="13.8" x14ac:dyDescent="0.25">
      <c r="A2166" s="8"/>
    </row>
    <row r="2167" spans="1:1" ht="13.8" x14ac:dyDescent="0.25">
      <c r="A2167" s="8"/>
    </row>
    <row r="2168" spans="1:1" ht="13.8" x14ac:dyDescent="0.25">
      <c r="A2168" s="8"/>
    </row>
    <row r="2169" spans="1:1" ht="13.8" x14ac:dyDescent="0.25">
      <c r="A2169" s="8"/>
    </row>
    <row r="2170" spans="1:1" ht="13.8" x14ac:dyDescent="0.25">
      <c r="A2170" s="8"/>
    </row>
    <row r="2171" spans="1:1" ht="13.8" x14ac:dyDescent="0.25">
      <c r="A2171" s="8"/>
    </row>
    <row r="2172" spans="1:1" ht="13.8" x14ac:dyDescent="0.25">
      <c r="A2172" s="8"/>
    </row>
    <row r="2173" spans="1:1" ht="13.8" x14ac:dyDescent="0.25">
      <c r="A2173" s="8"/>
    </row>
    <row r="2174" spans="1:1" ht="13.8" x14ac:dyDescent="0.25">
      <c r="A2174" s="8"/>
    </row>
    <row r="2175" spans="1:1" ht="13.8" x14ac:dyDescent="0.25">
      <c r="A2175" s="8"/>
    </row>
    <row r="2176" spans="1:1" ht="13.8" x14ac:dyDescent="0.25">
      <c r="A2176" s="8"/>
    </row>
    <row r="2177" spans="1:1" ht="13.8" x14ac:dyDescent="0.25">
      <c r="A2177" s="8"/>
    </row>
    <row r="2178" spans="1:1" ht="13.8" x14ac:dyDescent="0.25">
      <c r="A2178" s="8"/>
    </row>
    <row r="2179" spans="1:1" ht="13.8" x14ac:dyDescent="0.25">
      <c r="A2179" s="8"/>
    </row>
    <row r="2180" spans="1:1" ht="13.8" x14ac:dyDescent="0.25">
      <c r="A2180" s="8"/>
    </row>
    <row r="2181" spans="1:1" ht="13.8" x14ac:dyDescent="0.25">
      <c r="A2181" s="8"/>
    </row>
    <row r="2182" spans="1:1" ht="13.8" x14ac:dyDescent="0.25">
      <c r="A2182" s="8"/>
    </row>
    <row r="2183" spans="1:1" ht="13.8" x14ac:dyDescent="0.25">
      <c r="A2183" s="8"/>
    </row>
    <row r="2184" spans="1:1" ht="13.8" x14ac:dyDescent="0.25">
      <c r="A2184" s="8"/>
    </row>
    <row r="2185" spans="1:1" ht="13.8" x14ac:dyDescent="0.25">
      <c r="A2185" s="8"/>
    </row>
    <row r="2186" spans="1:1" ht="13.8" x14ac:dyDescent="0.25">
      <c r="A2186" s="8"/>
    </row>
    <row r="2187" spans="1:1" ht="13.8" x14ac:dyDescent="0.25">
      <c r="A2187" s="8"/>
    </row>
    <row r="2188" spans="1:1" ht="13.8" x14ac:dyDescent="0.25">
      <c r="A2188" s="8"/>
    </row>
    <row r="2189" spans="1:1" ht="13.8" x14ac:dyDescent="0.25">
      <c r="A2189" s="8"/>
    </row>
    <row r="2190" spans="1:1" ht="13.8" x14ac:dyDescent="0.25">
      <c r="A2190" s="8"/>
    </row>
    <row r="2191" spans="1:1" ht="13.8" x14ac:dyDescent="0.25">
      <c r="A2191" s="8"/>
    </row>
    <row r="2192" spans="1:1" ht="13.8" x14ac:dyDescent="0.25">
      <c r="A2192" s="8"/>
    </row>
    <row r="2193" spans="1:1" ht="13.8" x14ac:dyDescent="0.25">
      <c r="A2193" s="8"/>
    </row>
    <row r="2194" spans="1:1" ht="13.8" x14ac:dyDescent="0.25">
      <c r="A2194" s="8"/>
    </row>
    <row r="2195" spans="1:1" ht="13.8" x14ac:dyDescent="0.25">
      <c r="A2195" s="8"/>
    </row>
    <row r="2196" spans="1:1" ht="13.8" x14ac:dyDescent="0.25">
      <c r="A2196" s="8"/>
    </row>
    <row r="2197" spans="1:1" ht="13.8" x14ac:dyDescent="0.25">
      <c r="A2197" s="8"/>
    </row>
    <row r="2198" spans="1:1" ht="13.8" x14ac:dyDescent="0.25">
      <c r="A2198" s="8"/>
    </row>
    <row r="2199" spans="1:1" ht="13.8" x14ac:dyDescent="0.25">
      <c r="A2199" s="8"/>
    </row>
    <row r="2200" spans="1:1" ht="13.8" x14ac:dyDescent="0.25">
      <c r="A2200" s="8"/>
    </row>
    <row r="2201" spans="1:1" ht="13.8" x14ac:dyDescent="0.25">
      <c r="A2201" s="8"/>
    </row>
    <row r="2202" spans="1:1" ht="13.8" x14ac:dyDescent="0.25">
      <c r="A2202" s="8"/>
    </row>
    <row r="2203" spans="1:1" ht="13.8" x14ac:dyDescent="0.25">
      <c r="A2203" s="8"/>
    </row>
    <row r="2204" spans="1:1" ht="13.8" x14ac:dyDescent="0.25">
      <c r="A2204" s="8"/>
    </row>
    <row r="2205" spans="1:1" ht="13.8" x14ac:dyDescent="0.25">
      <c r="A2205" s="8"/>
    </row>
    <row r="2206" spans="1:1" ht="13.8" x14ac:dyDescent="0.25">
      <c r="A2206" s="8"/>
    </row>
    <row r="2207" spans="1:1" ht="13.8" x14ac:dyDescent="0.25">
      <c r="A2207" s="8"/>
    </row>
    <row r="2208" spans="1:1" ht="13.8" x14ac:dyDescent="0.25">
      <c r="A2208" s="8"/>
    </row>
    <row r="2209" spans="1:1" ht="13.8" x14ac:dyDescent="0.25">
      <c r="A2209" s="8"/>
    </row>
    <row r="2210" spans="1:1" ht="13.8" x14ac:dyDescent="0.25">
      <c r="A2210" s="8"/>
    </row>
    <row r="2211" spans="1:1" ht="13.8" x14ac:dyDescent="0.25">
      <c r="A2211" s="8"/>
    </row>
    <row r="2212" spans="1:1" ht="13.8" x14ac:dyDescent="0.25">
      <c r="A2212" s="8"/>
    </row>
    <row r="2213" spans="1:1" ht="13.8" x14ac:dyDescent="0.25">
      <c r="A2213" s="8"/>
    </row>
    <row r="2214" spans="1:1" ht="13.8" x14ac:dyDescent="0.25">
      <c r="A2214" s="8"/>
    </row>
    <row r="2215" spans="1:1" ht="13.8" x14ac:dyDescent="0.25">
      <c r="A2215" s="8"/>
    </row>
    <row r="2216" spans="1:1" ht="13.8" x14ac:dyDescent="0.25">
      <c r="A2216" s="8"/>
    </row>
    <row r="2217" spans="1:1" ht="13.8" x14ac:dyDescent="0.25">
      <c r="A2217" s="8"/>
    </row>
    <row r="2218" spans="1:1" ht="13.8" x14ac:dyDescent="0.25">
      <c r="A2218" s="8"/>
    </row>
    <row r="2219" spans="1:1" ht="13.8" x14ac:dyDescent="0.25">
      <c r="A2219" s="8"/>
    </row>
    <row r="2220" spans="1:1" ht="13.8" x14ac:dyDescent="0.25">
      <c r="A2220" s="8"/>
    </row>
    <row r="2221" spans="1:1" ht="13.8" x14ac:dyDescent="0.25">
      <c r="A2221" s="8"/>
    </row>
    <row r="2222" spans="1:1" ht="13.8" x14ac:dyDescent="0.25">
      <c r="A2222" s="8"/>
    </row>
    <row r="2223" spans="1:1" ht="13.8" x14ac:dyDescent="0.25">
      <c r="A2223" s="8"/>
    </row>
    <row r="2224" spans="1:1" ht="13.8" x14ac:dyDescent="0.25">
      <c r="A2224" s="8"/>
    </row>
    <row r="2225" spans="1:1" ht="13.8" x14ac:dyDescent="0.25">
      <c r="A2225" s="8"/>
    </row>
    <row r="2226" spans="1:1" ht="13.8" x14ac:dyDescent="0.25">
      <c r="A2226" s="8"/>
    </row>
    <row r="2227" spans="1:1" ht="13.8" x14ac:dyDescent="0.25">
      <c r="A2227" s="8"/>
    </row>
    <row r="2228" spans="1:1" ht="13.8" x14ac:dyDescent="0.25">
      <c r="A2228" s="8"/>
    </row>
    <row r="2229" spans="1:1" ht="13.8" x14ac:dyDescent="0.25">
      <c r="A2229" s="8"/>
    </row>
    <row r="2230" spans="1:1" ht="13.8" x14ac:dyDescent="0.25">
      <c r="A2230" s="8"/>
    </row>
    <row r="2231" spans="1:1" ht="13.8" x14ac:dyDescent="0.25">
      <c r="A2231" s="8"/>
    </row>
    <row r="2232" spans="1:1" ht="13.8" x14ac:dyDescent="0.25">
      <c r="A2232" s="8"/>
    </row>
    <row r="2233" spans="1:1" ht="13.8" x14ac:dyDescent="0.25">
      <c r="A2233" s="8"/>
    </row>
    <row r="2234" spans="1:1" ht="13.8" x14ac:dyDescent="0.25">
      <c r="A2234" s="8"/>
    </row>
    <row r="2235" spans="1:1" ht="13.8" x14ac:dyDescent="0.25">
      <c r="A2235" s="8"/>
    </row>
    <row r="2236" spans="1:1" ht="13.8" x14ac:dyDescent="0.25">
      <c r="A2236" s="8"/>
    </row>
    <row r="2237" spans="1:1" ht="13.8" x14ac:dyDescent="0.25">
      <c r="A2237" s="8"/>
    </row>
    <row r="2238" spans="1:1" ht="13.8" x14ac:dyDescent="0.25">
      <c r="A2238" s="8"/>
    </row>
    <row r="2239" spans="1:1" ht="13.8" x14ac:dyDescent="0.25">
      <c r="A2239" s="8"/>
    </row>
    <row r="2240" spans="1:1" ht="13.8" x14ac:dyDescent="0.25">
      <c r="A2240" s="8"/>
    </row>
    <row r="2241" spans="1:1" ht="13.8" x14ac:dyDescent="0.25">
      <c r="A2241" s="8"/>
    </row>
    <row r="2242" spans="1:1" ht="13.8" x14ac:dyDescent="0.25">
      <c r="A2242" s="8"/>
    </row>
    <row r="2243" spans="1:1" ht="13.8" x14ac:dyDescent="0.25">
      <c r="A2243" s="8"/>
    </row>
    <row r="2244" spans="1:1" ht="13.8" x14ac:dyDescent="0.25">
      <c r="A2244" s="8"/>
    </row>
    <row r="2245" spans="1:1" ht="13.8" x14ac:dyDescent="0.25">
      <c r="A2245" s="8"/>
    </row>
    <row r="2246" spans="1:1" ht="13.8" x14ac:dyDescent="0.25">
      <c r="A2246" s="8"/>
    </row>
    <row r="2247" spans="1:1" ht="13.8" x14ac:dyDescent="0.25">
      <c r="A2247" s="8"/>
    </row>
    <row r="2248" spans="1:1" ht="13.8" x14ac:dyDescent="0.25">
      <c r="A2248" s="8"/>
    </row>
    <row r="2249" spans="1:1" ht="13.8" x14ac:dyDescent="0.25">
      <c r="A2249" s="8"/>
    </row>
    <row r="2250" spans="1:1" ht="13.8" x14ac:dyDescent="0.25">
      <c r="A2250" s="8"/>
    </row>
    <row r="2251" spans="1:1" ht="13.8" x14ac:dyDescent="0.25">
      <c r="A2251" s="8"/>
    </row>
    <row r="2252" spans="1:1" ht="13.8" x14ac:dyDescent="0.25">
      <c r="A2252" s="8"/>
    </row>
    <row r="2253" spans="1:1" ht="13.8" x14ac:dyDescent="0.25">
      <c r="A2253" s="8"/>
    </row>
    <row r="2254" spans="1:1" ht="13.8" x14ac:dyDescent="0.25">
      <c r="A2254" s="8"/>
    </row>
    <row r="2255" spans="1:1" ht="13.8" x14ac:dyDescent="0.25">
      <c r="A2255" s="8"/>
    </row>
    <row r="2256" spans="1:1" ht="13.8" x14ac:dyDescent="0.25">
      <c r="A2256" s="8"/>
    </row>
    <row r="2257" spans="1:1" ht="13.8" x14ac:dyDescent="0.25">
      <c r="A2257" s="8"/>
    </row>
    <row r="2258" spans="1:1" ht="13.8" x14ac:dyDescent="0.25">
      <c r="A2258" s="8"/>
    </row>
    <row r="2259" spans="1:1" ht="13.8" x14ac:dyDescent="0.25">
      <c r="A2259" s="8"/>
    </row>
    <row r="2260" spans="1:1" ht="13.8" x14ac:dyDescent="0.25">
      <c r="A2260" s="8"/>
    </row>
    <row r="2261" spans="1:1" ht="13.8" x14ac:dyDescent="0.25">
      <c r="A2261" s="8"/>
    </row>
    <row r="2262" spans="1:1" ht="13.8" x14ac:dyDescent="0.25">
      <c r="A2262" s="8"/>
    </row>
    <row r="2263" spans="1:1" ht="13.8" x14ac:dyDescent="0.25">
      <c r="A2263" s="8"/>
    </row>
    <row r="2264" spans="1:1" ht="13.8" x14ac:dyDescent="0.25">
      <c r="A2264" s="8"/>
    </row>
    <row r="2265" spans="1:1" ht="13.8" x14ac:dyDescent="0.25">
      <c r="A2265" s="8"/>
    </row>
    <row r="2266" spans="1:1" ht="13.8" x14ac:dyDescent="0.25">
      <c r="A2266" s="8"/>
    </row>
    <row r="2267" spans="1:1" ht="13.8" x14ac:dyDescent="0.25">
      <c r="A2267" s="8"/>
    </row>
    <row r="2268" spans="1:1" ht="13.8" x14ac:dyDescent="0.25">
      <c r="A2268" s="8"/>
    </row>
    <row r="2269" spans="1:1" ht="13.8" x14ac:dyDescent="0.25">
      <c r="A2269" s="8"/>
    </row>
    <row r="2270" spans="1:1" ht="13.8" x14ac:dyDescent="0.25">
      <c r="A2270" s="8"/>
    </row>
    <row r="2271" spans="1:1" ht="13.8" x14ac:dyDescent="0.25">
      <c r="A2271" s="8"/>
    </row>
    <row r="2272" spans="1:1" ht="13.8" x14ac:dyDescent="0.25">
      <c r="A2272" s="8"/>
    </row>
    <row r="2273" spans="1:1" ht="13.8" x14ac:dyDescent="0.25">
      <c r="A2273" s="8"/>
    </row>
    <row r="2274" spans="1:1" ht="13.8" x14ac:dyDescent="0.25">
      <c r="A2274" s="8"/>
    </row>
    <row r="2275" spans="1:1" ht="13.8" x14ac:dyDescent="0.25">
      <c r="A2275" s="8"/>
    </row>
    <row r="2276" spans="1:1" ht="13.8" x14ac:dyDescent="0.25">
      <c r="A2276" s="8"/>
    </row>
    <row r="2277" spans="1:1" ht="13.8" x14ac:dyDescent="0.25">
      <c r="A2277" s="8"/>
    </row>
    <row r="2278" spans="1:1" ht="13.8" x14ac:dyDescent="0.25">
      <c r="A2278" s="8"/>
    </row>
    <row r="2279" spans="1:1" ht="13.8" x14ac:dyDescent="0.25">
      <c r="A2279" s="8"/>
    </row>
    <row r="2280" spans="1:1" ht="13.8" x14ac:dyDescent="0.25">
      <c r="A2280" s="8"/>
    </row>
    <row r="2281" spans="1:1" ht="13.8" x14ac:dyDescent="0.25">
      <c r="A2281" s="8"/>
    </row>
    <row r="2282" spans="1:1" ht="13.8" x14ac:dyDescent="0.25">
      <c r="A2282" s="8"/>
    </row>
    <row r="2283" spans="1:1" ht="13.8" x14ac:dyDescent="0.25">
      <c r="A2283" s="8"/>
    </row>
    <row r="2284" spans="1:1" ht="13.8" x14ac:dyDescent="0.25">
      <c r="A2284" s="8"/>
    </row>
    <row r="2285" spans="1:1" ht="13.8" x14ac:dyDescent="0.25">
      <c r="A2285" s="8"/>
    </row>
    <row r="2286" spans="1:1" ht="13.8" x14ac:dyDescent="0.25">
      <c r="A2286" s="8"/>
    </row>
    <row r="2287" spans="1:1" ht="13.8" x14ac:dyDescent="0.25">
      <c r="A2287" s="8"/>
    </row>
    <row r="2288" spans="1:1" ht="13.8" x14ac:dyDescent="0.25">
      <c r="A2288" s="8"/>
    </row>
    <row r="2289" spans="1:1" ht="13.8" x14ac:dyDescent="0.25">
      <c r="A2289" s="8"/>
    </row>
    <row r="2290" spans="1:1" ht="13.8" x14ac:dyDescent="0.25">
      <c r="A2290" s="8"/>
    </row>
    <row r="2291" spans="1:1" ht="13.8" x14ac:dyDescent="0.25">
      <c r="A2291" s="8"/>
    </row>
    <row r="2292" spans="1:1" ht="13.8" x14ac:dyDescent="0.25">
      <c r="A2292" s="8"/>
    </row>
    <row r="2293" spans="1:1" ht="13.8" x14ac:dyDescent="0.25">
      <c r="A2293" s="8"/>
    </row>
    <row r="2294" spans="1:1" ht="13.8" x14ac:dyDescent="0.25">
      <c r="A2294" s="8"/>
    </row>
    <row r="2295" spans="1:1" ht="13.8" x14ac:dyDescent="0.25">
      <c r="A2295" s="8"/>
    </row>
    <row r="2296" spans="1:1" ht="13.8" x14ac:dyDescent="0.25">
      <c r="A2296" s="8"/>
    </row>
    <row r="2297" spans="1:1" ht="13.8" x14ac:dyDescent="0.25">
      <c r="A2297" s="8"/>
    </row>
    <row r="2298" spans="1:1" ht="13.8" x14ac:dyDescent="0.25">
      <c r="A2298" s="8"/>
    </row>
    <row r="2299" spans="1:1" ht="13.8" x14ac:dyDescent="0.25">
      <c r="A2299" s="8"/>
    </row>
    <row r="2300" spans="1:1" ht="13.8" x14ac:dyDescent="0.25">
      <c r="A2300" s="8"/>
    </row>
    <row r="2301" spans="1:1" ht="13.8" x14ac:dyDescent="0.25">
      <c r="A2301" s="8"/>
    </row>
    <row r="2302" spans="1:1" ht="13.8" x14ac:dyDescent="0.25">
      <c r="A2302" s="8"/>
    </row>
    <row r="2303" spans="1:1" ht="13.8" x14ac:dyDescent="0.25">
      <c r="A2303" s="8"/>
    </row>
    <row r="2304" spans="1:1" ht="13.8" x14ac:dyDescent="0.25">
      <c r="A2304" s="8"/>
    </row>
    <row r="2305" spans="1:1" ht="13.8" x14ac:dyDescent="0.25">
      <c r="A2305" s="8"/>
    </row>
    <row r="2306" spans="1:1" ht="13.8" x14ac:dyDescent="0.25">
      <c r="A2306" s="8"/>
    </row>
    <row r="2307" spans="1:1" ht="13.8" x14ac:dyDescent="0.25">
      <c r="A2307" s="8"/>
    </row>
    <row r="2308" spans="1:1" ht="13.8" x14ac:dyDescent="0.25">
      <c r="A2308" s="8"/>
    </row>
    <row r="2309" spans="1:1" ht="13.8" x14ac:dyDescent="0.25">
      <c r="A2309" s="8"/>
    </row>
    <row r="2310" spans="1:1" ht="13.8" x14ac:dyDescent="0.25">
      <c r="A2310" s="8"/>
    </row>
    <row r="2311" spans="1:1" ht="13.8" x14ac:dyDescent="0.25">
      <c r="A2311" s="8"/>
    </row>
    <row r="2312" spans="1:1" ht="13.8" x14ac:dyDescent="0.25">
      <c r="A2312" s="8"/>
    </row>
    <row r="2313" spans="1:1" ht="13.8" x14ac:dyDescent="0.25">
      <c r="A2313" s="8"/>
    </row>
    <row r="2314" spans="1:1" ht="13.8" x14ac:dyDescent="0.25">
      <c r="A2314" s="8"/>
    </row>
    <row r="2315" spans="1:1" ht="13.8" x14ac:dyDescent="0.25">
      <c r="A2315" s="8"/>
    </row>
    <row r="2316" spans="1:1" ht="13.8" x14ac:dyDescent="0.25">
      <c r="A2316" s="8"/>
    </row>
    <row r="2317" spans="1:1" ht="13.8" x14ac:dyDescent="0.25">
      <c r="A2317" s="8"/>
    </row>
    <row r="2318" spans="1:1" ht="13.8" x14ac:dyDescent="0.25">
      <c r="A2318" s="8"/>
    </row>
    <row r="2319" spans="1:1" ht="13.8" x14ac:dyDescent="0.25">
      <c r="A2319" s="8"/>
    </row>
    <row r="2320" spans="1:1" ht="13.8" x14ac:dyDescent="0.25">
      <c r="A2320" s="8"/>
    </row>
    <row r="2321" spans="1:1" ht="13.8" x14ac:dyDescent="0.25">
      <c r="A2321" s="8"/>
    </row>
    <row r="2322" spans="1:1" ht="13.8" x14ac:dyDescent="0.25">
      <c r="A2322" s="8"/>
    </row>
    <row r="2323" spans="1:1" ht="13.8" x14ac:dyDescent="0.25">
      <c r="A2323" s="8"/>
    </row>
    <row r="2324" spans="1:1" ht="13.8" x14ac:dyDescent="0.25">
      <c r="A2324" s="8"/>
    </row>
    <row r="2325" spans="1:1" ht="13.8" x14ac:dyDescent="0.25">
      <c r="A2325" s="8"/>
    </row>
    <row r="2326" spans="1:1" ht="13.8" x14ac:dyDescent="0.25">
      <c r="A2326" s="8"/>
    </row>
    <row r="2327" spans="1:1" ht="13.8" x14ac:dyDescent="0.25">
      <c r="A2327" s="8"/>
    </row>
    <row r="2328" spans="1:1" ht="13.8" x14ac:dyDescent="0.25">
      <c r="A2328" s="8"/>
    </row>
    <row r="2329" spans="1:1" ht="13.8" x14ac:dyDescent="0.25">
      <c r="A2329" s="8"/>
    </row>
    <row r="2330" spans="1:1" ht="13.8" x14ac:dyDescent="0.25">
      <c r="A2330" s="8"/>
    </row>
    <row r="2331" spans="1:1" ht="13.8" x14ac:dyDescent="0.25">
      <c r="A2331" s="8"/>
    </row>
    <row r="2332" spans="1:1" ht="13.8" x14ac:dyDescent="0.25">
      <c r="A2332" s="8"/>
    </row>
    <row r="2333" spans="1:1" ht="13.8" x14ac:dyDescent="0.25">
      <c r="A2333" s="8"/>
    </row>
    <row r="2334" spans="1:1" ht="13.8" x14ac:dyDescent="0.25">
      <c r="A2334" s="8"/>
    </row>
    <row r="2335" spans="1:1" ht="13.8" x14ac:dyDescent="0.25">
      <c r="A2335" s="8"/>
    </row>
    <row r="2336" spans="1:1" ht="13.8" x14ac:dyDescent="0.25">
      <c r="A2336" s="8"/>
    </row>
    <row r="2337" spans="1:1" ht="13.8" x14ac:dyDescent="0.25">
      <c r="A2337" s="8"/>
    </row>
    <row r="2338" spans="1:1" ht="13.8" x14ac:dyDescent="0.25">
      <c r="A2338" s="8"/>
    </row>
    <row r="2339" spans="1:1" ht="13.8" x14ac:dyDescent="0.25">
      <c r="A2339" s="8"/>
    </row>
    <row r="2340" spans="1:1" ht="13.8" x14ac:dyDescent="0.25">
      <c r="A2340" s="8"/>
    </row>
    <row r="2341" spans="1:1" ht="13.8" x14ac:dyDescent="0.25">
      <c r="A2341" s="8"/>
    </row>
    <row r="2342" spans="1:1" ht="13.8" x14ac:dyDescent="0.25">
      <c r="A2342" s="8"/>
    </row>
    <row r="2343" spans="1:1" ht="13.8" x14ac:dyDescent="0.25">
      <c r="A2343" s="8"/>
    </row>
    <row r="2344" spans="1:1" ht="13.8" x14ac:dyDescent="0.25">
      <c r="A2344" s="8"/>
    </row>
    <row r="2345" spans="1:1" ht="13.8" x14ac:dyDescent="0.25">
      <c r="A2345" s="8"/>
    </row>
    <row r="2346" spans="1:1" ht="13.8" x14ac:dyDescent="0.25">
      <c r="A2346" s="8"/>
    </row>
    <row r="2347" spans="1:1" ht="13.8" x14ac:dyDescent="0.25">
      <c r="A2347" s="8"/>
    </row>
    <row r="2348" spans="1:1" ht="13.8" x14ac:dyDescent="0.25">
      <c r="A2348" s="8"/>
    </row>
    <row r="2349" spans="1:1" ht="13.8" x14ac:dyDescent="0.25">
      <c r="A2349" s="8"/>
    </row>
    <row r="2350" spans="1:1" ht="13.8" x14ac:dyDescent="0.25">
      <c r="A2350" s="8"/>
    </row>
    <row r="2351" spans="1:1" ht="13.8" x14ac:dyDescent="0.25">
      <c r="A2351" s="8"/>
    </row>
    <row r="2352" spans="1:1" ht="13.8" x14ac:dyDescent="0.25">
      <c r="A2352" s="8"/>
    </row>
    <row r="2353" spans="1:1" ht="13.8" x14ac:dyDescent="0.25">
      <c r="A2353" s="8"/>
    </row>
    <row r="2354" spans="1:1" ht="13.8" x14ac:dyDescent="0.25">
      <c r="A2354" s="8"/>
    </row>
    <row r="2355" spans="1:1" ht="13.8" x14ac:dyDescent="0.25">
      <c r="A2355" s="8"/>
    </row>
    <row r="2356" spans="1:1" ht="13.8" x14ac:dyDescent="0.25">
      <c r="A2356" s="8"/>
    </row>
    <row r="2357" spans="1:1" ht="13.8" x14ac:dyDescent="0.25">
      <c r="A2357" s="8"/>
    </row>
    <row r="2358" spans="1:1" ht="13.8" x14ac:dyDescent="0.25">
      <c r="A2358" s="8"/>
    </row>
    <row r="2359" spans="1:1" ht="13.8" x14ac:dyDescent="0.25">
      <c r="A2359" s="8"/>
    </row>
    <row r="2360" spans="1:1" ht="13.8" x14ac:dyDescent="0.25">
      <c r="A2360" s="8"/>
    </row>
    <row r="2361" spans="1:1" ht="13.8" x14ac:dyDescent="0.25">
      <c r="A2361" s="8"/>
    </row>
    <row r="2362" spans="1:1" ht="13.8" x14ac:dyDescent="0.25">
      <c r="A2362" s="8"/>
    </row>
    <row r="2363" spans="1:1" ht="13.8" x14ac:dyDescent="0.25">
      <c r="A2363" s="8"/>
    </row>
    <row r="2364" spans="1:1" ht="13.8" x14ac:dyDescent="0.25">
      <c r="A2364" s="8"/>
    </row>
    <row r="2365" spans="1:1" ht="13.8" x14ac:dyDescent="0.25">
      <c r="A2365" s="8"/>
    </row>
    <row r="2366" spans="1:1" ht="13.8" x14ac:dyDescent="0.25">
      <c r="A2366" s="8"/>
    </row>
    <row r="2367" spans="1:1" ht="13.8" x14ac:dyDescent="0.25">
      <c r="A2367" s="8"/>
    </row>
    <row r="2368" spans="1:1" ht="13.8" x14ac:dyDescent="0.25">
      <c r="A2368" s="8"/>
    </row>
    <row r="2369" spans="1:1" ht="13.8" x14ac:dyDescent="0.25">
      <c r="A2369" s="8"/>
    </row>
    <row r="2370" spans="1:1" ht="13.8" x14ac:dyDescent="0.25">
      <c r="A2370" s="8"/>
    </row>
    <row r="2371" spans="1:1" ht="13.8" x14ac:dyDescent="0.25">
      <c r="A2371" s="8"/>
    </row>
    <row r="2372" spans="1:1" ht="13.8" x14ac:dyDescent="0.25">
      <c r="A2372" s="8"/>
    </row>
    <row r="2373" spans="1:1" ht="13.8" x14ac:dyDescent="0.25">
      <c r="A2373" s="8"/>
    </row>
    <row r="2374" spans="1:1" ht="13.8" x14ac:dyDescent="0.25">
      <c r="A2374" s="8"/>
    </row>
    <row r="2375" spans="1:1" ht="13.8" x14ac:dyDescent="0.25">
      <c r="A2375" s="8"/>
    </row>
    <row r="2376" spans="1:1" ht="13.8" x14ac:dyDescent="0.25">
      <c r="A2376" s="8"/>
    </row>
    <row r="2377" spans="1:1" ht="13.8" x14ac:dyDescent="0.25">
      <c r="A2377" s="8"/>
    </row>
    <row r="2378" spans="1:1" ht="13.8" x14ac:dyDescent="0.25">
      <c r="A2378" s="8"/>
    </row>
    <row r="2379" spans="1:1" ht="13.8" x14ac:dyDescent="0.25">
      <c r="A2379" s="8"/>
    </row>
    <row r="2380" spans="1:1" ht="13.8" x14ac:dyDescent="0.25">
      <c r="A2380" s="8"/>
    </row>
    <row r="2381" spans="1:1" ht="13.8" x14ac:dyDescent="0.25">
      <c r="A2381" s="8"/>
    </row>
    <row r="2382" spans="1:1" ht="13.8" x14ac:dyDescent="0.25">
      <c r="A2382" s="8"/>
    </row>
    <row r="2383" spans="1:1" ht="13.8" x14ac:dyDescent="0.25">
      <c r="A2383" s="8"/>
    </row>
    <row r="2384" spans="1:1" ht="13.8" x14ac:dyDescent="0.25">
      <c r="A2384" s="8"/>
    </row>
    <row r="2385" spans="1:1" ht="13.8" x14ac:dyDescent="0.25">
      <c r="A2385" s="8"/>
    </row>
    <row r="2386" spans="1:1" ht="13.8" x14ac:dyDescent="0.25">
      <c r="A2386" s="8"/>
    </row>
    <row r="2387" spans="1:1" ht="13.8" x14ac:dyDescent="0.25">
      <c r="A2387" s="8"/>
    </row>
    <row r="2388" spans="1:1" ht="13.8" x14ac:dyDescent="0.25">
      <c r="A2388" s="8"/>
    </row>
    <row r="2389" spans="1:1" ht="13.8" x14ac:dyDescent="0.25">
      <c r="A2389" s="8"/>
    </row>
    <row r="2390" spans="1:1" ht="13.8" x14ac:dyDescent="0.25">
      <c r="A2390" s="8"/>
    </row>
    <row r="2391" spans="1:1" ht="13.8" x14ac:dyDescent="0.25">
      <c r="A2391" s="8"/>
    </row>
    <row r="2392" spans="1:1" ht="13.8" x14ac:dyDescent="0.25">
      <c r="A2392" s="8"/>
    </row>
    <row r="2393" spans="1:1" ht="13.8" x14ac:dyDescent="0.25">
      <c r="A2393" s="8"/>
    </row>
    <row r="2394" spans="1:1" ht="13.8" x14ac:dyDescent="0.25">
      <c r="A2394" s="8"/>
    </row>
    <row r="2395" spans="1:1" ht="13.8" x14ac:dyDescent="0.25">
      <c r="A2395" s="8"/>
    </row>
    <row r="2396" spans="1:1" ht="13.8" x14ac:dyDescent="0.25">
      <c r="A2396" s="8"/>
    </row>
    <row r="2397" spans="1:1" ht="13.8" x14ac:dyDescent="0.25">
      <c r="A2397" s="8"/>
    </row>
    <row r="2398" spans="1:1" ht="13.8" x14ac:dyDescent="0.25">
      <c r="A2398" s="8"/>
    </row>
    <row r="2399" spans="1:1" ht="13.8" x14ac:dyDescent="0.25">
      <c r="A2399" s="8"/>
    </row>
    <row r="2400" spans="1:1" ht="13.8" x14ac:dyDescent="0.25">
      <c r="A2400" s="8"/>
    </row>
    <row r="2401" spans="1:1" ht="13.8" x14ac:dyDescent="0.25">
      <c r="A2401" s="8"/>
    </row>
    <row r="2402" spans="1:1" ht="13.8" x14ac:dyDescent="0.25">
      <c r="A2402" s="8"/>
    </row>
    <row r="2403" spans="1:1" ht="13.8" x14ac:dyDescent="0.25">
      <c r="A2403" s="8"/>
    </row>
    <row r="2404" spans="1:1" ht="13.8" x14ac:dyDescent="0.25">
      <c r="A2404" s="8"/>
    </row>
    <row r="2405" spans="1:1" ht="13.8" x14ac:dyDescent="0.25">
      <c r="A2405" s="8"/>
    </row>
    <row r="2406" spans="1:1" ht="13.8" x14ac:dyDescent="0.25">
      <c r="A2406" s="8"/>
    </row>
    <row r="2407" spans="1:1" ht="13.8" x14ac:dyDescent="0.25">
      <c r="A2407" s="8"/>
    </row>
    <row r="2408" spans="1:1" ht="13.8" x14ac:dyDescent="0.25">
      <c r="A2408" s="8"/>
    </row>
    <row r="2409" spans="1:1" ht="13.8" x14ac:dyDescent="0.25">
      <c r="A2409" s="8"/>
    </row>
    <row r="2410" spans="1:1" ht="13.8" x14ac:dyDescent="0.25">
      <c r="A2410" s="8"/>
    </row>
    <row r="2411" spans="1:1" ht="13.8" x14ac:dyDescent="0.25">
      <c r="A2411" s="8"/>
    </row>
    <row r="2412" spans="1:1" ht="13.8" x14ac:dyDescent="0.25">
      <c r="A2412" s="8"/>
    </row>
    <row r="2413" spans="1:1" ht="13.8" x14ac:dyDescent="0.25">
      <c r="A2413" s="8"/>
    </row>
    <row r="2414" spans="1:1" ht="13.8" x14ac:dyDescent="0.25">
      <c r="A2414" s="8"/>
    </row>
    <row r="2415" spans="1:1" ht="13.8" x14ac:dyDescent="0.25">
      <c r="A2415" s="8"/>
    </row>
    <row r="2416" spans="1:1" ht="13.8" x14ac:dyDescent="0.25">
      <c r="A2416" s="8"/>
    </row>
    <row r="2417" spans="1:1" ht="13.8" x14ac:dyDescent="0.25">
      <c r="A2417" s="8"/>
    </row>
    <row r="2418" spans="1:1" ht="13.8" x14ac:dyDescent="0.25">
      <c r="A2418" s="8"/>
    </row>
    <row r="2419" spans="1:1" ht="13.8" x14ac:dyDescent="0.25">
      <c r="A2419" s="8"/>
    </row>
    <row r="2420" spans="1:1" ht="13.8" x14ac:dyDescent="0.25">
      <c r="A2420" s="8"/>
    </row>
    <row r="2421" spans="1:1" ht="13.8" x14ac:dyDescent="0.25">
      <c r="A2421" s="8"/>
    </row>
    <row r="2422" spans="1:1" ht="13.8" x14ac:dyDescent="0.25">
      <c r="A2422" s="8"/>
    </row>
    <row r="2423" spans="1:1" ht="13.8" x14ac:dyDescent="0.25">
      <c r="A2423" s="8"/>
    </row>
    <row r="2424" spans="1:1" ht="13.8" x14ac:dyDescent="0.25">
      <c r="A2424" s="8"/>
    </row>
    <row r="2425" spans="1:1" ht="13.8" x14ac:dyDescent="0.25">
      <c r="A2425" s="8"/>
    </row>
    <row r="2426" spans="1:1" ht="13.8" x14ac:dyDescent="0.25">
      <c r="A2426" s="8"/>
    </row>
    <row r="2427" spans="1:1" ht="13.8" x14ac:dyDescent="0.25">
      <c r="A2427" s="8"/>
    </row>
    <row r="2428" spans="1:1" ht="13.8" x14ac:dyDescent="0.25">
      <c r="A2428" s="8"/>
    </row>
    <row r="2429" spans="1:1" ht="13.8" x14ac:dyDescent="0.25">
      <c r="A2429" s="8"/>
    </row>
    <row r="2430" spans="1:1" ht="13.8" x14ac:dyDescent="0.25">
      <c r="A2430" s="8"/>
    </row>
    <row r="2431" spans="1:1" ht="13.8" x14ac:dyDescent="0.25">
      <c r="A2431" s="8"/>
    </row>
    <row r="2432" spans="1:1" ht="13.8" x14ac:dyDescent="0.25">
      <c r="A2432" s="8"/>
    </row>
    <row r="2433" spans="1:1" ht="13.8" x14ac:dyDescent="0.25">
      <c r="A2433" s="8"/>
    </row>
    <row r="2434" spans="1:1" ht="13.8" x14ac:dyDescent="0.25">
      <c r="A2434" s="8"/>
    </row>
    <row r="2435" spans="1:1" ht="13.8" x14ac:dyDescent="0.25">
      <c r="A2435" s="8"/>
    </row>
    <row r="2436" spans="1:1" ht="13.8" x14ac:dyDescent="0.25">
      <c r="A2436" s="8"/>
    </row>
    <row r="2437" spans="1:1" ht="13.8" x14ac:dyDescent="0.25">
      <c r="A2437" s="8"/>
    </row>
    <row r="2438" spans="1:1" ht="13.8" x14ac:dyDescent="0.25">
      <c r="A2438" s="8"/>
    </row>
    <row r="2439" spans="1:1" ht="13.8" x14ac:dyDescent="0.25">
      <c r="A2439" s="8"/>
    </row>
    <row r="2440" spans="1:1" ht="13.8" x14ac:dyDescent="0.25">
      <c r="A2440" s="8"/>
    </row>
    <row r="2441" spans="1:1" ht="13.8" x14ac:dyDescent="0.25">
      <c r="A2441" s="8"/>
    </row>
    <row r="2442" spans="1:1" ht="13.8" x14ac:dyDescent="0.25">
      <c r="A2442" s="8"/>
    </row>
    <row r="2443" spans="1:1" ht="13.8" x14ac:dyDescent="0.25">
      <c r="A2443" s="8"/>
    </row>
    <row r="2444" spans="1:1" ht="13.8" x14ac:dyDescent="0.25">
      <c r="A2444" s="8"/>
    </row>
    <row r="2445" spans="1:1" ht="13.8" x14ac:dyDescent="0.25">
      <c r="A2445" s="8"/>
    </row>
    <row r="2446" spans="1:1" ht="13.8" x14ac:dyDescent="0.25">
      <c r="A2446" s="8"/>
    </row>
    <row r="2447" spans="1:1" ht="13.8" x14ac:dyDescent="0.25">
      <c r="A2447" s="8"/>
    </row>
    <row r="2448" spans="1:1" ht="13.8" x14ac:dyDescent="0.25">
      <c r="A2448" s="8"/>
    </row>
    <row r="2449" spans="1:1" ht="13.8" x14ac:dyDescent="0.25">
      <c r="A2449" s="8"/>
    </row>
    <row r="2450" spans="1:1" ht="13.8" x14ac:dyDescent="0.25">
      <c r="A2450" s="8"/>
    </row>
    <row r="2451" spans="1:1" ht="13.8" x14ac:dyDescent="0.25">
      <c r="A2451" s="8"/>
    </row>
    <row r="2452" spans="1:1" ht="13.8" x14ac:dyDescent="0.25">
      <c r="A2452" s="8"/>
    </row>
    <row r="2453" spans="1:1" ht="13.8" x14ac:dyDescent="0.25">
      <c r="A2453" s="8"/>
    </row>
    <row r="2454" spans="1:1" ht="13.8" x14ac:dyDescent="0.25">
      <c r="A2454" s="8"/>
    </row>
    <row r="2455" spans="1:1" ht="13.8" x14ac:dyDescent="0.25">
      <c r="A2455" s="8"/>
    </row>
    <row r="2456" spans="1:1" ht="13.8" x14ac:dyDescent="0.25">
      <c r="A2456" s="8"/>
    </row>
    <row r="2457" spans="1:1" ht="13.8" x14ac:dyDescent="0.25">
      <c r="A2457" s="8"/>
    </row>
    <row r="2458" spans="1:1" ht="13.8" x14ac:dyDescent="0.25">
      <c r="A2458" s="8"/>
    </row>
    <row r="2459" spans="1:1" ht="13.8" x14ac:dyDescent="0.25">
      <c r="A2459" s="8"/>
    </row>
    <row r="2460" spans="1:1" ht="13.8" x14ac:dyDescent="0.25">
      <c r="A2460" s="8"/>
    </row>
    <row r="2461" spans="1:1" ht="13.8" x14ac:dyDescent="0.25">
      <c r="A2461" s="8"/>
    </row>
    <row r="2462" spans="1:1" ht="13.8" x14ac:dyDescent="0.25">
      <c r="A2462" s="8"/>
    </row>
    <row r="2463" spans="1:1" ht="13.8" x14ac:dyDescent="0.25">
      <c r="A2463" s="8"/>
    </row>
    <row r="2464" spans="1:1" ht="13.8" x14ac:dyDescent="0.25">
      <c r="A2464" s="8"/>
    </row>
    <row r="2465" spans="1:1" ht="13.8" x14ac:dyDescent="0.25">
      <c r="A2465" s="8"/>
    </row>
    <row r="2466" spans="1:1" ht="13.8" x14ac:dyDescent="0.25">
      <c r="A2466" s="8"/>
    </row>
    <row r="2467" spans="1:1" ht="13.8" x14ac:dyDescent="0.25">
      <c r="A2467" s="8"/>
    </row>
    <row r="2468" spans="1:1" ht="13.8" x14ac:dyDescent="0.25">
      <c r="A2468" s="8"/>
    </row>
    <row r="2469" spans="1:1" ht="13.8" x14ac:dyDescent="0.25">
      <c r="A2469" s="8"/>
    </row>
    <row r="2470" spans="1:1" ht="13.8" x14ac:dyDescent="0.25">
      <c r="A2470" s="8"/>
    </row>
    <row r="2471" spans="1:1" ht="13.8" x14ac:dyDescent="0.25">
      <c r="A2471" s="8"/>
    </row>
    <row r="2472" spans="1:1" ht="13.8" x14ac:dyDescent="0.25">
      <c r="A2472" s="8"/>
    </row>
    <row r="2473" spans="1:1" ht="13.8" x14ac:dyDescent="0.25">
      <c r="A2473" s="8"/>
    </row>
    <row r="2474" spans="1:1" ht="13.8" x14ac:dyDescent="0.25">
      <c r="A2474" s="8"/>
    </row>
    <row r="2475" spans="1:1" ht="13.8" x14ac:dyDescent="0.25">
      <c r="A2475" s="8"/>
    </row>
    <row r="2476" spans="1:1" ht="13.8" x14ac:dyDescent="0.25">
      <c r="A2476" s="8"/>
    </row>
    <row r="2477" spans="1:1" ht="13.8" x14ac:dyDescent="0.25">
      <c r="A2477" s="8"/>
    </row>
    <row r="2478" spans="1:1" ht="13.8" x14ac:dyDescent="0.25">
      <c r="A2478" s="8"/>
    </row>
    <row r="2479" spans="1:1" ht="13.8" x14ac:dyDescent="0.25">
      <c r="A2479" s="8"/>
    </row>
    <row r="2480" spans="1:1" ht="13.8" x14ac:dyDescent="0.25">
      <c r="A2480" s="8"/>
    </row>
    <row r="2481" spans="1:1" ht="13.8" x14ac:dyDescent="0.25">
      <c r="A2481" s="8"/>
    </row>
    <row r="2482" spans="1:1" ht="13.8" x14ac:dyDescent="0.25">
      <c r="A2482" s="8"/>
    </row>
    <row r="2483" spans="1:1" ht="13.8" x14ac:dyDescent="0.25">
      <c r="A2483" s="8"/>
    </row>
    <row r="2484" spans="1:1" ht="13.8" x14ac:dyDescent="0.25">
      <c r="A2484" s="8"/>
    </row>
    <row r="2485" spans="1:1" ht="13.8" x14ac:dyDescent="0.25">
      <c r="A2485" s="8"/>
    </row>
    <row r="2486" spans="1:1" ht="13.8" x14ac:dyDescent="0.25">
      <c r="A2486" s="8"/>
    </row>
    <row r="2487" spans="1:1" ht="13.8" x14ac:dyDescent="0.25">
      <c r="A2487" s="8"/>
    </row>
    <row r="2488" spans="1:1" ht="13.8" x14ac:dyDescent="0.25">
      <c r="A2488" s="8"/>
    </row>
    <row r="2489" spans="1:1" ht="13.8" x14ac:dyDescent="0.25">
      <c r="A2489" s="8"/>
    </row>
    <row r="2490" spans="1:1" ht="13.8" x14ac:dyDescent="0.25">
      <c r="A2490" s="8"/>
    </row>
    <row r="2491" spans="1:1" ht="13.8" x14ac:dyDescent="0.25">
      <c r="A2491" s="8"/>
    </row>
    <row r="2492" spans="1:1" ht="13.8" x14ac:dyDescent="0.25">
      <c r="A2492" s="8"/>
    </row>
    <row r="2493" spans="1:1" ht="13.8" x14ac:dyDescent="0.25">
      <c r="A2493" s="8"/>
    </row>
    <row r="2494" spans="1:1" ht="13.8" x14ac:dyDescent="0.25">
      <c r="A2494" s="8"/>
    </row>
    <row r="2495" spans="1:1" ht="13.8" x14ac:dyDescent="0.25">
      <c r="A2495" s="8"/>
    </row>
    <row r="2496" spans="1:1" ht="13.8" x14ac:dyDescent="0.25">
      <c r="A2496" s="8"/>
    </row>
    <row r="2497" spans="1:1" ht="13.8" x14ac:dyDescent="0.25">
      <c r="A2497" s="8"/>
    </row>
    <row r="2498" spans="1:1" ht="13.8" x14ac:dyDescent="0.25">
      <c r="A2498" s="8"/>
    </row>
    <row r="2499" spans="1:1" ht="13.8" x14ac:dyDescent="0.25">
      <c r="A2499" s="8"/>
    </row>
    <row r="2500" spans="1:1" ht="13.8" x14ac:dyDescent="0.25">
      <c r="A2500" s="8"/>
    </row>
    <row r="2501" spans="1:1" ht="13.8" x14ac:dyDescent="0.25">
      <c r="A2501" s="8"/>
    </row>
    <row r="2502" spans="1:1" ht="13.8" x14ac:dyDescent="0.25">
      <c r="A2502" s="8"/>
    </row>
    <row r="2503" spans="1:1" ht="13.8" x14ac:dyDescent="0.25">
      <c r="A2503" s="8"/>
    </row>
    <row r="2504" spans="1:1" ht="13.8" x14ac:dyDescent="0.25">
      <c r="A2504" s="8"/>
    </row>
    <row r="2505" spans="1:1" ht="13.8" x14ac:dyDescent="0.25">
      <c r="A2505" s="8"/>
    </row>
    <row r="2506" spans="1:1" ht="13.8" x14ac:dyDescent="0.25">
      <c r="A2506" s="8"/>
    </row>
    <row r="2507" spans="1:1" ht="13.8" x14ac:dyDescent="0.25">
      <c r="A2507" s="8"/>
    </row>
    <row r="2508" spans="1:1" ht="13.8" x14ac:dyDescent="0.25">
      <c r="A2508" s="8"/>
    </row>
    <row r="2509" spans="1:1" ht="13.8" x14ac:dyDescent="0.25">
      <c r="A2509" s="8"/>
    </row>
    <row r="2510" spans="1:1" ht="13.8" x14ac:dyDescent="0.25">
      <c r="A2510" s="8"/>
    </row>
    <row r="2511" spans="1:1" ht="13.8" x14ac:dyDescent="0.25">
      <c r="A2511" s="8"/>
    </row>
    <row r="2512" spans="1:1" ht="13.8" x14ac:dyDescent="0.25">
      <c r="A2512" s="8"/>
    </row>
    <row r="2513" spans="1:1" ht="13.8" x14ac:dyDescent="0.25">
      <c r="A2513" s="8"/>
    </row>
    <row r="2514" spans="1:1" ht="13.8" x14ac:dyDescent="0.25">
      <c r="A2514" s="8"/>
    </row>
    <row r="2515" spans="1:1" ht="13.8" x14ac:dyDescent="0.25">
      <c r="A2515" s="8"/>
    </row>
    <row r="2516" spans="1:1" ht="13.8" x14ac:dyDescent="0.25">
      <c r="A2516" s="8"/>
    </row>
    <row r="2517" spans="1:1" ht="13.8" x14ac:dyDescent="0.25">
      <c r="A2517" s="8"/>
    </row>
    <row r="2518" spans="1:1" ht="13.8" x14ac:dyDescent="0.25">
      <c r="A2518" s="8"/>
    </row>
    <row r="2519" spans="1:1" ht="13.8" x14ac:dyDescent="0.25">
      <c r="A2519" s="8"/>
    </row>
    <row r="2520" spans="1:1" ht="13.8" x14ac:dyDescent="0.25">
      <c r="A2520" s="8"/>
    </row>
    <row r="2521" spans="1:1" ht="13.8" x14ac:dyDescent="0.25">
      <c r="A2521" s="8"/>
    </row>
    <row r="2522" spans="1:1" ht="13.8" x14ac:dyDescent="0.25">
      <c r="A2522" s="8"/>
    </row>
    <row r="2523" spans="1:1" ht="13.8" x14ac:dyDescent="0.25">
      <c r="A2523" s="8"/>
    </row>
    <row r="2524" spans="1:1" ht="13.8" x14ac:dyDescent="0.25">
      <c r="A2524" s="8"/>
    </row>
    <row r="2525" spans="1:1" ht="13.8" x14ac:dyDescent="0.25">
      <c r="A2525" s="8"/>
    </row>
    <row r="2526" spans="1:1" ht="13.8" x14ac:dyDescent="0.25">
      <c r="A2526" s="8"/>
    </row>
    <row r="2527" spans="1:1" ht="13.8" x14ac:dyDescent="0.25">
      <c r="A2527" s="8"/>
    </row>
    <row r="2528" spans="1:1" ht="13.8" x14ac:dyDescent="0.25">
      <c r="A2528" s="8"/>
    </row>
    <row r="2529" spans="1:1" ht="13.8" x14ac:dyDescent="0.25">
      <c r="A2529" s="8"/>
    </row>
    <row r="2530" spans="1:1" ht="13.8" x14ac:dyDescent="0.25">
      <c r="A2530" s="8"/>
    </row>
    <row r="2531" spans="1:1" ht="13.8" x14ac:dyDescent="0.25">
      <c r="A2531" s="8"/>
    </row>
    <row r="2532" spans="1:1" ht="13.8" x14ac:dyDescent="0.25">
      <c r="A2532" s="8"/>
    </row>
    <row r="2533" spans="1:1" ht="13.8" x14ac:dyDescent="0.25">
      <c r="A2533" s="8"/>
    </row>
    <row r="2534" spans="1:1" ht="13.8" x14ac:dyDescent="0.25">
      <c r="A2534" s="8"/>
    </row>
    <row r="2535" spans="1:1" ht="13.8" x14ac:dyDescent="0.25">
      <c r="A2535" s="8"/>
    </row>
    <row r="2536" spans="1:1" ht="13.8" x14ac:dyDescent="0.25">
      <c r="A2536" s="8"/>
    </row>
    <row r="2537" spans="1:1" ht="13.8" x14ac:dyDescent="0.25">
      <c r="A2537" s="8"/>
    </row>
    <row r="2538" spans="1:1" ht="13.8" x14ac:dyDescent="0.25">
      <c r="A2538" s="8"/>
    </row>
    <row r="2539" spans="1:1" ht="13.8" x14ac:dyDescent="0.25">
      <c r="A2539" s="8"/>
    </row>
    <row r="2540" spans="1:1" ht="13.8" x14ac:dyDescent="0.25">
      <c r="A2540" s="8"/>
    </row>
    <row r="2541" spans="1:1" ht="13.8" x14ac:dyDescent="0.25">
      <c r="A2541" s="8"/>
    </row>
    <row r="2542" spans="1:1" ht="13.8" x14ac:dyDescent="0.25">
      <c r="A2542" s="8"/>
    </row>
    <row r="2543" spans="1:1" ht="13.8" x14ac:dyDescent="0.25">
      <c r="A2543" s="8"/>
    </row>
    <row r="2544" spans="1:1" ht="13.8" x14ac:dyDescent="0.25">
      <c r="A2544" s="8"/>
    </row>
    <row r="2545" spans="1:1" ht="13.8" x14ac:dyDescent="0.25">
      <c r="A2545" s="8"/>
    </row>
    <row r="2546" spans="1:1" ht="13.8" x14ac:dyDescent="0.25">
      <c r="A2546" s="8"/>
    </row>
    <row r="2547" spans="1:1" ht="13.8" x14ac:dyDescent="0.25">
      <c r="A2547" s="8"/>
    </row>
    <row r="2548" spans="1:1" ht="13.8" x14ac:dyDescent="0.25">
      <c r="A2548" s="8"/>
    </row>
    <row r="2549" spans="1:1" ht="13.8" x14ac:dyDescent="0.25">
      <c r="A2549" s="8"/>
    </row>
    <row r="2550" spans="1:1" ht="13.8" x14ac:dyDescent="0.25">
      <c r="A2550" s="8"/>
    </row>
    <row r="2551" spans="1:1" ht="13.8" x14ac:dyDescent="0.25">
      <c r="A2551" s="8"/>
    </row>
    <row r="2552" spans="1:1" ht="13.8" x14ac:dyDescent="0.25">
      <c r="A2552" s="8"/>
    </row>
    <row r="2553" spans="1:1" ht="13.8" x14ac:dyDescent="0.25">
      <c r="A2553" s="8"/>
    </row>
    <row r="2554" spans="1:1" ht="13.8" x14ac:dyDescent="0.25">
      <c r="A2554" s="8"/>
    </row>
    <row r="2555" spans="1:1" ht="13.8" x14ac:dyDescent="0.25">
      <c r="A2555" s="8"/>
    </row>
    <row r="2556" spans="1:1" ht="13.8" x14ac:dyDescent="0.25">
      <c r="A2556" s="8"/>
    </row>
    <row r="2557" spans="1:1" ht="13.8" x14ac:dyDescent="0.25">
      <c r="A2557" s="8"/>
    </row>
    <row r="2558" spans="1:1" ht="13.8" x14ac:dyDescent="0.25">
      <c r="A2558" s="8"/>
    </row>
    <row r="2559" spans="1:1" ht="13.8" x14ac:dyDescent="0.25">
      <c r="A2559" s="8"/>
    </row>
    <row r="2560" spans="1:1" ht="13.8" x14ac:dyDescent="0.25">
      <c r="A2560" s="8"/>
    </row>
    <row r="2561" spans="1:1" ht="13.8" x14ac:dyDescent="0.25">
      <c r="A2561" s="8"/>
    </row>
    <row r="2562" spans="1:1" ht="13.8" x14ac:dyDescent="0.25">
      <c r="A2562" s="8"/>
    </row>
    <row r="2563" spans="1:1" ht="13.8" x14ac:dyDescent="0.25">
      <c r="A2563" s="8"/>
    </row>
    <row r="2564" spans="1:1" ht="13.8" x14ac:dyDescent="0.25">
      <c r="A2564" s="8"/>
    </row>
    <row r="2565" spans="1:1" ht="13.8" x14ac:dyDescent="0.25">
      <c r="A2565" s="8"/>
    </row>
    <row r="2566" spans="1:1" ht="13.8" x14ac:dyDescent="0.25">
      <c r="A2566" s="8"/>
    </row>
    <row r="2567" spans="1:1" ht="13.8" x14ac:dyDescent="0.25">
      <c r="A2567" s="8"/>
    </row>
    <row r="2568" spans="1:1" ht="13.8" x14ac:dyDescent="0.25">
      <c r="A2568" s="8"/>
    </row>
    <row r="2569" spans="1:1" ht="13.8" x14ac:dyDescent="0.25">
      <c r="A2569" s="8"/>
    </row>
    <row r="2570" spans="1:1" ht="13.8" x14ac:dyDescent="0.25">
      <c r="A2570" s="8"/>
    </row>
    <row r="2571" spans="1:1" ht="13.8" x14ac:dyDescent="0.25">
      <c r="A2571" s="8"/>
    </row>
    <row r="2572" spans="1:1" ht="13.8" x14ac:dyDescent="0.25">
      <c r="A2572" s="8"/>
    </row>
    <row r="2573" spans="1:1" ht="13.8" x14ac:dyDescent="0.25">
      <c r="A2573" s="8"/>
    </row>
    <row r="2574" spans="1:1" ht="13.8" x14ac:dyDescent="0.25">
      <c r="A2574" s="8"/>
    </row>
    <row r="2575" spans="1:1" ht="13.8" x14ac:dyDescent="0.25">
      <c r="A2575" s="8"/>
    </row>
    <row r="2576" spans="1:1" ht="13.8" x14ac:dyDescent="0.25">
      <c r="A2576" s="8"/>
    </row>
    <row r="2577" spans="1:1" ht="13.8" x14ac:dyDescent="0.25">
      <c r="A2577" s="8"/>
    </row>
    <row r="2578" spans="1:1" ht="13.8" x14ac:dyDescent="0.25">
      <c r="A2578" s="8"/>
    </row>
    <row r="2579" spans="1:1" ht="13.8" x14ac:dyDescent="0.25">
      <c r="A2579" s="8"/>
    </row>
    <row r="2580" spans="1:1" ht="13.8" x14ac:dyDescent="0.25">
      <c r="A2580" s="8"/>
    </row>
    <row r="2581" spans="1:1" ht="13.8" x14ac:dyDescent="0.25">
      <c r="A2581" s="8"/>
    </row>
    <row r="2582" spans="1:1" ht="13.8" x14ac:dyDescent="0.25">
      <c r="A2582" s="8"/>
    </row>
    <row r="2583" spans="1:1" ht="13.8" x14ac:dyDescent="0.25">
      <c r="A2583" s="8"/>
    </row>
    <row r="2584" spans="1:1" ht="13.8" x14ac:dyDescent="0.25">
      <c r="A2584" s="8"/>
    </row>
    <row r="2585" spans="1:1" ht="13.8" x14ac:dyDescent="0.25">
      <c r="A2585" s="8"/>
    </row>
    <row r="2586" spans="1:1" ht="13.8" x14ac:dyDescent="0.25">
      <c r="A2586" s="8"/>
    </row>
    <row r="2587" spans="1:1" ht="13.8" x14ac:dyDescent="0.25">
      <c r="A2587" s="8"/>
    </row>
    <row r="2588" spans="1:1" ht="13.8" x14ac:dyDescent="0.25">
      <c r="A2588" s="8"/>
    </row>
    <row r="2589" spans="1:1" ht="13.8" x14ac:dyDescent="0.25">
      <c r="A2589" s="8"/>
    </row>
    <row r="2590" spans="1:1" ht="13.8" x14ac:dyDescent="0.25">
      <c r="A2590" s="8"/>
    </row>
    <row r="2591" spans="1:1" ht="13.8" x14ac:dyDescent="0.25">
      <c r="A2591" s="8"/>
    </row>
    <row r="2592" spans="1:1" ht="13.8" x14ac:dyDescent="0.25">
      <c r="A2592" s="8"/>
    </row>
    <row r="2593" spans="1:1" ht="13.8" x14ac:dyDescent="0.25">
      <c r="A2593" s="8"/>
    </row>
    <row r="2594" spans="1:1" ht="13.8" x14ac:dyDescent="0.25">
      <c r="A2594" s="8"/>
    </row>
    <row r="2595" spans="1:1" ht="13.8" x14ac:dyDescent="0.25">
      <c r="A2595" s="8"/>
    </row>
    <row r="2596" spans="1:1" ht="13.8" x14ac:dyDescent="0.25">
      <c r="A2596" s="8"/>
    </row>
    <row r="2597" spans="1:1" ht="13.8" x14ac:dyDescent="0.25">
      <c r="A2597" s="8"/>
    </row>
    <row r="2598" spans="1:1" ht="13.8" x14ac:dyDescent="0.25">
      <c r="A2598" s="8"/>
    </row>
    <row r="2599" spans="1:1" ht="13.8" x14ac:dyDescent="0.25">
      <c r="A2599" s="8"/>
    </row>
    <row r="2600" spans="1:1" ht="13.8" x14ac:dyDescent="0.25">
      <c r="A2600" s="8"/>
    </row>
    <row r="2601" spans="1:1" ht="13.8" x14ac:dyDescent="0.25">
      <c r="A2601" s="8"/>
    </row>
    <row r="2602" spans="1:1" ht="13.8" x14ac:dyDescent="0.25">
      <c r="A2602" s="8"/>
    </row>
    <row r="2603" spans="1:1" ht="13.8" x14ac:dyDescent="0.25">
      <c r="A2603" s="8"/>
    </row>
    <row r="2604" spans="1:1" ht="13.8" x14ac:dyDescent="0.25">
      <c r="A2604" s="8"/>
    </row>
    <row r="2605" spans="1:1" ht="13.8" x14ac:dyDescent="0.25">
      <c r="A2605" s="8"/>
    </row>
    <row r="2606" spans="1:1" ht="13.8" x14ac:dyDescent="0.25">
      <c r="A2606" s="8"/>
    </row>
    <row r="2607" spans="1:1" ht="13.8" x14ac:dyDescent="0.25">
      <c r="A2607" s="8"/>
    </row>
    <row r="2608" spans="1:1" ht="13.8" x14ac:dyDescent="0.25">
      <c r="A2608" s="8"/>
    </row>
    <row r="2609" spans="1:1" ht="13.8" x14ac:dyDescent="0.25">
      <c r="A2609" s="8"/>
    </row>
    <row r="2610" spans="1:1" ht="13.8" x14ac:dyDescent="0.25">
      <c r="A2610" s="8"/>
    </row>
    <row r="2611" spans="1:1" ht="13.8" x14ac:dyDescent="0.25">
      <c r="A2611" s="8"/>
    </row>
    <row r="2612" spans="1:1" ht="13.8" x14ac:dyDescent="0.25">
      <c r="A2612" s="8"/>
    </row>
    <row r="2613" spans="1:1" ht="13.8" x14ac:dyDescent="0.25">
      <c r="A2613" s="8"/>
    </row>
    <row r="2614" spans="1:1" ht="13.8" x14ac:dyDescent="0.25">
      <c r="A2614" s="8"/>
    </row>
    <row r="2615" spans="1:1" ht="13.8" x14ac:dyDescent="0.25">
      <c r="A2615" s="8"/>
    </row>
    <row r="2616" spans="1:1" ht="13.8" x14ac:dyDescent="0.25">
      <c r="A2616" s="8"/>
    </row>
    <row r="2617" spans="1:1" ht="13.8" x14ac:dyDescent="0.25">
      <c r="A2617" s="8"/>
    </row>
    <row r="2618" spans="1:1" ht="13.8" x14ac:dyDescent="0.25">
      <c r="A2618" s="8"/>
    </row>
    <row r="2619" spans="1:1" ht="13.8" x14ac:dyDescent="0.25">
      <c r="A2619" s="8"/>
    </row>
    <row r="2620" spans="1:1" ht="13.8" x14ac:dyDescent="0.25">
      <c r="A2620" s="8"/>
    </row>
    <row r="2621" spans="1:1" ht="13.8" x14ac:dyDescent="0.25">
      <c r="A2621" s="8"/>
    </row>
    <row r="2622" spans="1:1" ht="13.8" x14ac:dyDescent="0.25">
      <c r="A2622" s="8"/>
    </row>
    <row r="2623" spans="1:1" ht="13.8" x14ac:dyDescent="0.25">
      <c r="A2623" s="8"/>
    </row>
    <row r="2624" spans="1:1" ht="13.8" x14ac:dyDescent="0.25">
      <c r="A2624" s="8"/>
    </row>
    <row r="2625" spans="1:1" ht="13.8" x14ac:dyDescent="0.25">
      <c r="A2625" s="8"/>
    </row>
    <row r="2626" spans="1:1" ht="13.8" x14ac:dyDescent="0.25">
      <c r="A2626" s="8"/>
    </row>
    <row r="2627" spans="1:1" ht="13.8" x14ac:dyDescent="0.25">
      <c r="A2627" s="8"/>
    </row>
    <row r="2628" spans="1:1" ht="13.8" x14ac:dyDescent="0.25">
      <c r="A2628" s="8"/>
    </row>
    <row r="2629" spans="1:1" ht="13.8" x14ac:dyDescent="0.25">
      <c r="A2629" s="8"/>
    </row>
    <row r="2630" spans="1:1" ht="13.8" x14ac:dyDescent="0.25">
      <c r="A2630" s="8"/>
    </row>
    <row r="2631" spans="1:1" ht="13.8" x14ac:dyDescent="0.25">
      <c r="A2631" s="8"/>
    </row>
    <row r="2632" spans="1:1" ht="13.8" x14ac:dyDescent="0.25">
      <c r="A2632" s="8"/>
    </row>
    <row r="2633" spans="1:1" ht="13.8" x14ac:dyDescent="0.25">
      <c r="A2633" s="8"/>
    </row>
    <row r="2634" spans="1:1" ht="13.8" x14ac:dyDescent="0.25">
      <c r="A2634" s="8"/>
    </row>
    <row r="2635" spans="1:1" ht="13.8" x14ac:dyDescent="0.25">
      <c r="A2635" s="8"/>
    </row>
    <row r="2636" spans="1:1" ht="13.8" x14ac:dyDescent="0.25">
      <c r="A2636" s="8"/>
    </row>
    <row r="2637" spans="1:1" ht="13.8" x14ac:dyDescent="0.25">
      <c r="A2637" s="8"/>
    </row>
    <row r="2638" spans="1:1" ht="13.8" x14ac:dyDescent="0.25">
      <c r="A2638" s="8"/>
    </row>
    <row r="2639" spans="1:1" ht="13.8" x14ac:dyDescent="0.25">
      <c r="A2639" s="8"/>
    </row>
    <row r="2640" spans="1:1" ht="13.8" x14ac:dyDescent="0.25">
      <c r="A2640" s="8"/>
    </row>
    <row r="2641" spans="1:1" ht="13.8" x14ac:dyDescent="0.25">
      <c r="A2641" s="8"/>
    </row>
    <row r="2642" spans="1:1" ht="13.8" x14ac:dyDescent="0.25">
      <c r="A2642" s="8"/>
    </row>
    <row r="2643" spans="1:1" ht="13.8" x14ac:dyDescent="0.25">
      <c r="A2643" s="8"/>
    </row>
    <row r="2644" spans="1:1" ht="13.8" x14ac:dyDescent="0.25">
      <c r="A2644" s="8"/>
    </row>
    <row r="2645" spans="1:1" ht="13.8" x14ac:dyDescent="0.25">
      <c r="A2645" s="8"/>
    </row>
    <row r="2646" spans="1:1" ht="13.8" x14ac:dyDescent="0.25">
      <c r="A2646" s="8"/>
    </row>
    <row r="2647" spans="1:1" ht="13.8" x14ac:dyDescent="0.25">
      <c r="A2647" s="8"/>
    </row>
    <row r="2648" spans="1:1" ht="13.8" x14ac:dyDescent="0.25">
      <c r="A2648" s="8"/>
    </row>
    <row r="2649" spans="1:1" ht="13.8" x14ac:dyDescent="0.25">
      <c r="A2649" s="8"/>
    </row>
    <row r="2650" spans="1:1" ht="13.8" x14ac:dyDescent="0.25">
      <c r="A2650" s="8"/>
    </row>
    <row r="2651" spans="1:1" ht="13.8" x14ac:dyDescent="0.25">
      <c r="A2651" s="8"/>
    </row>
    <row r="2652" spans="1:1" ht="13.8" x14ac:dyDescent="0.25">
      <c r="A2652" s="8"/>
    </row>
    <row r="2653" spans="1:1" ht="13.8" x14ac:dyDescent="0.25">
      <c r="A2653" s="8"/>
    </row>
    <row r="2654" spans="1:1" ht="13.8" x14ac:dyDescent="0.25">
      <c r="A2654" s="8"/>
    </row>
    <row r="2655" spans="1:1" ht="13.8" x14ac:dyDescent="0.25">
      <c r="A2655" s="8"/>
    </row>
    <row r="2656" spans="1:1" ht="13.8" x14ac:dyDescent="0.25">
      <c r="A2656" s="8"/>
    </row>
    <row r="2657" spans="1:1" ht="13.8" x14ac:dyDescent="0.25">
      <c r="A2657" s="8"/>
    </row>
    <row r="2658" spans="1:1" ht="13.8" x14ac:dyDescent="0.25">
      <c r="A2658" s="8"/>
    </row>
    <row r="2659" spans="1:1" ht="13.8" x14ac:dyDescent="0.25">
      <c r="A2659" s="8"/>
    </row>
    <row r="2660" spans="1:1" ht="13.8" x14ac:dyDescent="0.25">
      <c r="A2660" s="8"/>
    </row>
    <row r="2661" spans="1:1" ht="13.8" x14ac:dyDescent="0.25">
      <c r="A2661" s="8"/>
    </row>
    <row r="2662" spans="1:1" ht="13.8" x14ac:dyDescent="0.25">
      <c r="A2662" s="8"/>
    </row>
    <row r="2663" spans="1:1" ht="13.8" x14ac:dyDescent="0.25">
      <c r="A2663" s="8"/>
    </row>
    <row r="2664" spans="1:1" ht="13.8" x14ac:dyDescent="0.25">
      <c r="A2664" s="8"/>
    </row>
    <row r="2665" spans="1:1" ht="13.8" x14ac:dyDescent="0.25">
      <c r="A2665" s="8"/>
    </row>
    <row r="2666" spans="1:1" ht="13.8" x14ac:dyDescent="0.25">
      <c r="A2666" s="8"/>
    </row>
    <row r="2667" spans="1:1" ht="13.8" x14ac:dyDescent="0.25">
      <c r="A2667" s="8"/>
    </row>
    <row r="2668" spans="1:1" ht="13.8" x14ac:dyDescent="0.25">
      <c r="A2668" s="8"/>
    </row>
    <row r="2669" spans="1:1" ht="13.8" x14ac:dyDescent="0.25">
      <c r="A2669" s="8"/>
    </row>
    <row r="2670" spans="1:1" ht="13.8" x14ac:dyDescent="0.25">
      <c r="A2670" s="8"/>
    </row>
    <row r="2671" spans="1:1" ht="13.8" x14ac:dyDescent="0.25">
      <c r="A2671" s="8"/>
    </row>
    <row r="2672" spans="1:1" ht="13.8" x14ac:dyDescent="0.25">
      <c r="A2672" s="8"/>
    </row>
    <row r="2673" spans="1:1" ht="13.8" x14ac:dyDescent="0.25">
      <c r="A2673" s="8"/>
    </row>
    <row r="2674" spans="1:1" ht="13.8" x14ac:dyDescent="0.25">
      <c r="A2674" s="8"/>
    </row>
    <row r="2675" spans="1:1" ht="13.8" x14ac:dyDescent="0.25">
      <c r="A2675" s="8"/>
    </row>
    <row r="2676" spans="1:1" ht="13.8" x14ac:dyDescent="0.25">
      <c r="A2676" s="8"/>
    </row>
    <row r="2677" spans="1:1" ht="13.8" x14ac:dyDescent="0.25">
      <c r="A2677" s="8"/>
    </row>
    <row r="2678" spans="1:1" ht="13.8" x14ac:dyDescent="0.25">
      <c r="A2678" s="8"/>
    </row>
    <row r="2679" spans="1:1" ht="13.8" x14ac:dyDescent="0.25">
      <c r="A2679" s="8"/>
    </row>
    <row r="2680" spans="1:1" ht="13.8" x14ac:dyDescent="0.25">
      <c r="A2680" s="8"/>
    </row>
    <row r="2681" spans="1:1" ht="13.8" x14ac:dyDescent="0.25">
      <c r="A2681" s="8"/>
    </row>
    <row r="2682" spans="1:1" ht="13.8" x14ac:dyDescent="0.25">
      <c r="A2682" s="8"/>
    </row>
    <row r="2683" spans="1:1" ht="13.8" x14ac:dyDescent="0.25">
      <c r="A2683" s="8"/>
    </row>
    <row r="2684" spans="1:1" ht="13.8" x14ac:dyDescent="0.25">
      <c r="A2684" s="8"/>
    </row>
    <row r="2685" spans="1:1" ht="13.8" x14ac:dyDescent="0.25">
      <c r="A2685" s="8"/>
    </row>
    <row r="2686" spans="1:1" ht="13.8" x14ac:dyDescent="0.25">
      <c r="A2686" s="8"/>
    </row>
    <row r="2687" spans="1:1" ht="13.8" x14ac:dyDescent="0.25">
      <c r="A2687" s="8"/>
    </row>
    <row r="2688" spans="1:1" ht="13.8" x14ac:dyDescent="0.25">
      <c r="A2688" s="8"/>
    </row>
    <row r="2689" spans="1:1" ht="13.8" x14ac:dyDescent="0.25">
      <c r="A2689" s="8"/>
    </row>
    <row r="2690" spans="1:1" ht="13.8" x14ac:dyDescent="0.25">
      <c r="A2690" s="8"/>
    </row>
    <row r="2691" spans="1:1" ht="13.8" x14ac:dyDescent="0.25">
      <c r="A2691" s="8"/>
    </row>
    <row r="2692" spans="1:1" ht="13.8" x14ac:dyDescent="0.25">
      <c r="A2692" s="8"/>
    </row>
    <row r="2693" spans="1:1" ht="13.8" x14ac:dyDescent="0.25">
      <c r="A2693" s="8"/>
    </row>
    <row r="2694" spans="1:1" ht="13.8" x14ac:dyDescent="0.25">
      <c r="A2694" s="8"/>
    </row>
    <row r="2695" spans="1:1" ht="13.8" x14ac:dyDescent="0.25">
      <c r="A2695" s="8"/>
    </row>
    <row r="2696" spans="1:1" ht="13.8" x14ac:dyDescent="0.25">
      <c r="A2696" s="8"/>
    </row>
    <row r="2697" spans="1:1" ht="13.8" x14ac:dyDescent="0.25">
      <c r="A2697" s="8"/>
    </row>
    <row r="2698" spans="1:1" ht="13.8" x14ac:dyDescent="0.25">
      <c r="A2698" s="8"/>
    </row>
    <row r="2699" spans="1:1" ht="13.8" x14ac:dyDescent="0.25">
      <c r="A2699" s="8"/>
    </row>
    <row r="2700" spans="1:1" ht="13.8" x14ac:dyDescent="0.25">
      <c r="A2700" s="8"/>
    </row>
    <row r="2701" spans="1:1" ht="13.8" x14ac:dyDescent="0.25">
      <c r="A2701" s="8"/>
    </row>
    <row r="2702" spans="1:1" ht="13.8" x14ac:dyDescent="0.25">
      <c r="A2702" s="8"/>
    </row>
    <row r="2703" spans="1:1" ht="13.8" x14ac:dyDescent="0.25">
      <c r="A2703" s="8"/>
    </row>
    <row r="2704" spans="1:1" ht="13.8" x14ac:dyDescent="0.25">
      <c r="A2704" s="8"/>
    </row>
    <row r="2705" spans="1:1" ht="13.8" x14ac:dyDescent="0.25">
      <c r="A2705" s="8"/>
    </row>
    <row r="2706" spans="1:1" ht="13.8" x14ac:dyDescent="0.25">
      <c r="A2706" s="8"/>
    </row>
    <row r="2707" spans="1:1" ht="13.8" x14ac:dyDescent="0.25">
      <c r="A2707" s="8"/>
    </row>
    <row r="2708" spans="1:1" ht="13.8" x14ac:dyDescent="0.25">
      <c r="A2708" s="8"/>
    </row>
    <row r="2709" spans="1:1" ht="13.8" x14ac:dyDescent="0.25">
      <c r="A2709" s="8"/>
    </row>
    <row r="2710" spans="1:1" ht="13.8" x14ac:dyDescent="0.25">
      <c r="A2710" s="8"/>
    </row>
    <row r="2711" spans="1:1" ht="13.8" x14ac:dyDescent="0.25">
      <c r="A2711" s="8"/>
    </row>
    <row r="2712" spans="1:1" ht="13.8" x14ac:dyDescent="0.25">
      <c r="A2712" s="8"/>
    </row>
    <row r="2713" spans="1:1" ht="13.8" x14ac:dyDescent="0.25">
      <c r="A2713" s="8"/>
    </row>
    <row r="2714" spans="1:1" ht="13.8" x14ac:dyDescent="0.25">
      <c r="A2714" s="8"/>
    </row>
    <row r="2715" spans="1:1" ht="13.8" x14ac:dyDescent="0.25">
      <c r="A2715" s="8"/>
    </row>
    <row r="2716" spans="1:1" ht="13.8" x14ac:dyDescent="0.25">
      <c r="A2716" s="8"/>
    </row>
    <row r="2717" spans="1:1" ht="13.8" x14ac:dyDescent="0.25">
      <c r="A2717" s="8"/>
    </row>
    <row r="2718" spans="1:1" ht="13.8" x14ac:dyDescent="0.25">
      <c r="A2718" s="8"/>
    </row>
    <row r="2719" spans="1:1" ht="13.8" x14ac:dyDescent="0.25">
      <c r="A2719" s="8"/>
    </row>
    <row r="2720" spans="1:1" ht="13.8" x14ac:dyDescent="0.25">
      <c r="A2720" s="8"/>
    </row>
    <row r="2721" spans="1:1" ht="13.8" x14ac:dyDescent="0.25">
      <c r="A2721" s="8"/>
    </row>
    <row r="2722" spans="1:1" ht="13.8" x14ac:dyDescent="0.25">
      <c r="A2722" s="8"/>
    </row>
    <row r="2723" spans="1:1" ht="13.8" x14ac:dyDescent="0.25">
      <c r="A2723" s="8"/>
    </row>
    <row r="2724" spans="1:1" ht="13.8" x14ac:dyDescent="0.25">
      <c r="A2724" s="8"/>
    </row>
    <row r="2725" spans="1:1" ht="13.8" x14ac:dyDescent="0.25">
      <c r="A2725" s="8"/>
    </row>
    <row r="2726" spans="1:1" ht="13.8" x14ac:dyDescent="0.25">
      <c r="A2726" s="8"/>
    </row>
    <row r="2727" spans="1:1" ht="13.8" x14ac:dyDescent="0.25">
      <c r="A2727" s="8"/>
    </row>
    <row r="2728" spans="1:1" ht="13.8" x14ac:dyDescent="0.25">
      <c r="A2728" s="8"/>
    </row>
    <row r="2729" spans="1:1" ht="13.8" x14ac:dyDescent="0.25">
      <c r="A2729" s="8"/>
    </row>
    <row r="2730" spans="1:1" ht="13.8" x14ac:dyDescent="0.25">
      <c r="A2730" s="8"/>
    </row>
    <row r="2731" spans="1:1" ht="13.8" x14ac:dyDescent="0.25">
      <c r="A2731" s="8"/>
    </row>
    <row r="2732" spans="1:1" ht="13.8" x14ac:dyDescent="0.25">
      <c r="A2732" s="8"/>
    </row>
    <row r="2733" spans="1:1" ht="13.8" x14ac:dyDescent="0.25">
      <c r="A2733" s="8"/>
    </row>
    <row r="2734" spans="1:1" ht="13.8" x14ac:dyDescent="0.25">
      <c r="A2734" s="8"/>
    </row>
    <row r="2735" spans="1:1" ht="13.8" x14ac:dyDescent="0.25">
      <c r="A2735" s="8"/>
    </row>
    <row r="2736" spans="1:1" ht="13.8" x14ac:dyDescent="0.25">
      <c r="A2736" s="8"/>
    </row>
    <row r="2737" spans="1:1" ht="13.8" x14ac:dyDescent="0.25">
      <c r="A2737" s="8"/>
    </row>
    <row r="2738" spans="1:1" ht="13.8" x14ac:dyDescent="0.25">
      <c r="A2738" s="8"/>
    </row>
    <row r="2739" spans="1:1" ht="13.8" x14ac:dyDescent="0.25">
      <c r="A2739" s="8"/>
    </row>
    <row r="2740" spans="1:1" ht="13.8" x14ac:dyDescent="0.25">
      <c r="A2740" s="8"/>
    </row>
    <row r="2741" spans="1:1" ht="13.8" x14ac:dyDescent="0.25">
      <c r="A2741" s="8"/>
    </row>
    <row r="2742" spans="1:1" ht="13.8" x14ac:dyDescent="0.25">
      <c r="A2742" s="8"/>
    </row>
    <row r="2743" spans="1:1" ht="13.8" x14ac:dyDescent="0.25">
      <c r="A2743" s="8"/>
    </row>
    <row r="2744" spans="1:1" ht="13.8" x14ac:dyDescent="0.25">
      <c r="A2744" s="8"/>
    </row>
    <row r="2745" spans="1:1" ht="13.8" x14ac:dyDescent="0.25">
      <c r="A2745" s="8"/>
    </row>
    <row r="2746" spans="1:1" ht="13.8" x14ac:dyDescent="0.25">
      <c r="A2746" s="8"/>
    </row>
    <row r="2747" spans="1:1" ht="13.8" x14ac:dyDescent="0.25">
      <c r="A2747" s="8"/>
    </row>
    <row r="2748" spans="1:1" ht="13.8" x14ac:dyDescent="0.25">
      <c r="A2748" s="8"/>
    </row>
    <row r="2749" spans="1:1" ht="13.8" x14ac:dyDescent="0.25">
      <c r="A2749" s="8"/>
    </row>
    <row r="2750" spans="1:1" ht="13.8" x14ac:dyDescent="0.25">
      <c r="A2750" s="8"/>
    </row>
    <row r="2751" spans="1:1" ht="13.8" x14ac:dyDescent="0.25">
      <c r="A2751" s="8"/>
    </row>
    <row r="2752" spans="1:1" ht="13.8" x14ac:dyDescent="0.25">
      <c r="A2752" s="8"/>
    </row>
    <row r="2753" spans="1:1" ht="13.8" x14ac:dyDescent="0.25">
      <c r="A2753" s="8"/>
    </row>
    <row r="2754" spans="1:1" ht="13.8" x14ac:dyDescent="0.25">
      <c r="A2754" s="8"/>
    </row>
    <row r="2755" spans="1:1" ht="13.8" x14ac:dyDescent="0.25">
      <c r="A2755" s="8"/>
    </row>
    <row r="2756" spans="1:1" ht="13.8" x14ac:dyDescent="0.25">
      <c r="A2756" s="8"/>
    </row>
    <row r="2757" spans="1:1" ht="13.8" x14ac:dyDescent="0.25">
      <c r="A2757" s="8"/>
    </row>
    <row r="2758" spans="1:1" ht="13.8" x14ac:dyDescent="0.25">
      <c r="A2758" s="8"/>
    </row>
    <row r="2759" spans="1:1" ht="13.8" x14ac:dyDescent="0.25">
      <c r="A2759" s="8"/>
    </row>
    <row r="2760" spans="1:1" ht="13.8" x14ac:dyDescent="0.25">
      <c r="A2760" s="8"/>
    </row>
    <row r="2761" spans="1:1" ht="13.8" x14ac:dyDescent="0.25">
      <c r="A2761" s="8"/>
    </row>
    <row r="2762" spans="1:1" ht="13.8" x14ac:dyDescent="0.25">
      <c r="A2762" s="8"/>
    </row>
    <row r="2763" spans="1:1" ht="13.8" x14ac:dyDescent="0.25">
      <c r="A2763" s="8"/>
    </row>
    <row r="2764" spans="1:1" ht="13.8" x14ac:dyDescent="0.25">
      <c r="A2764" s="8"/>
    </row>
    <row r="2765" spans="1:1" ht="13.8" x14ac:dyDescent="0.25">
      <c r="A2765" s="8"/>
    </row>
    <row r="2766" spans="1:1" ht="13.8" x14ac:dyDescent="0.25">
      <c r="A2766" s="8"/>
    </row>
    <row r="2767" spans="1:1" ht="13.8" x14ac:dyDescent="0.25">
      <c r="A2767" s="8"/>
    </row>
    <row r="2768" spans="1:1" ht="13.8" x14ac:dyDescent="0.25">
      <c r="A2768" s="8"/>
    </row>
    <row r="2769" spans="1:1" ht="13.8" x14ac:dyDescent="0.25">
      <c r="A2769" s="8"/>
    </row>
    <row r="2770" spans="1:1" ht="13.8" x14ac:dyDescent="0.25">
      <c r="A2770" s="8"/>
    </row>
    <row r="2771" spans="1:1" ht="13.8" x14ac:dyDescent="0.25">
      <c r="A2771" s="8"/>
    </row>
    <row r="2772" spans="1:1" ht="13.8" x14ac:dyDescent="0.25">
      <c r="A2772" s="8"/>
    </row>
    <row r="2773" spans="1:1" ht="13.8" x14ac:dyDescent="0.25">
      <c r="A2773" s="8"/>
    </row>
    <row r="2774" spans="1:1" ht="13.8" x14ac:dyDescent="0.25">
      <c r="A2774" s="8"/>
    </row>
    <row r="2775" spans="1:1" ht="13.8" x14ac:dyDescent="0.25">
      <c r="A2775" s="8"/>
    </row>
    <row r="2776" spans="1:1" ht="13.8" x14ac:dyDescent="0.25">
      <c r="A2776" s="8"/>
    </row>
    <row r="2777" spans="1:1" ht="13.8" x14ac:dyDescent="0.25">
      <c r="A2777" s="8"/>
    </row>
    <row r="2778" spans="1:1" ht="13.8" x14ac:dyDescent="0.25">
      <c r="A2778" s="8"/>
    </row>
    <row r="2779" spans="1:1" ht="13.8" x14ac:dyDescent="0.25">
      <c r="A2779" s="8"/>
    </row>
    <row r="2780" spans="1:1" ht="13.8" x14ac:dyDescent="0.25">
      <c r="A2780" s="8"/>
    </row>
    <row r="2781" spans="1:1" ht="13.8" x14ac:dyDescent="0.25">
      <c r="A2781" s="8"/>
    </row>
    <row r="2782" spans="1:1" ht="13.8" x14ac:dyDescent="0.25">
      <c r="A2782" s="8"/>
    </row>
    <row r="2783" spans="1:1" ht="13.8" x14ac:dyDescent="0.25">
      <c r="A2783" s="8"/>
    </row>
    <row r="2784" spans="1:1" ht="13.8" x14ac:dyDescent="0.25">
      <c r="A2784" s="8"/>
    </row>
    <row r="2785" spans="1:1" ht="13.8" x14ac:dyDescent="0.25">
      <c r="A2785" s="8"/>
    </row>
    <row r="2786" spans="1:1" ht="13.8" x14ac:dyDescent="0.25">
      <c r="A2786" s="8"/>
    </row>
    <row r="2787" spans="1:1" ht="13.8" x14ac:dyDescent="0.25">
      <c r="A2787" s="8"/>
    </row>
    <row r="2788" spans="1:1" ht="13.8" x14ac:dyDescent="0.25">
      <c r="A2788" s="8"/>
    </row>
    <row r="2789" spans="1:1" ht="13.8" x14ac:dyDescent="0.25">
      <c r="A2789" s="8"/>
    </row>
    <row r="2790" spans="1:1" ht="13.8" x14ac:dyDescent="0.25">
      <c r="A2790" s="8"/>
    </row>
    <row r="2791" spans="1:1" ht="13.8" x14ac:dyDescent="0.25">
      <c r="A2791" s="8"/>
    </row>
    <row r="2792" spans="1:1" ht="13.8" x14ac:dyDescent="0.25">
      <c r="A2792" s="8"/>
    </row>
    <row r="2793" spans="1:1" ht="13.8" x14ac:dyDescent="0.25">
      <c r="A2793" s="8"/>
    </row>
    <row r="2794" spans="1:1" ht="13.8" x14ac:dyDescent="0.25">
      <c r="A2794" s="8"/>
    </row>
    <row r="2795" spans="1:1" ht="13.8" x14ac:dyDescent="0.25">
      <c r="A2795" s="8"/>
    </row>
    <row r="2796" spans="1:1" ht="13.8" x14ac:dyDescent="0.25">
      <c r="A2796" s="8"/>
    </row>
    <row r="2797" spans="1:1" ht="13.8" x14ac:dyDescent="0.25">
      <c r="A2797" s="8"/>
    </row>
    <row r="2798" spans="1:1" ht="13.8" x14ac:dyDescent="0.25">
      <c r="A2798" s="8"/>
    </row>
    <row r="2799" spans="1:1" ht="13.8" x14ac:dyDescent="0.25">
      <c r="A2799" s="8"/>
    </row>
    <row r="2800" spans="1:1" ht="13.8" x14ac:dyDescent="0.25">
      <c r="A2800" s="8"/>
    </row>
    <row r="2801" spans="1:1" ht="13.8" x14ac:dyDescent="0.25">
      <c r="A2801" s="8"/>
    </row>
    <row r="2802" spans="1:1" ht="13.8" x14ac:dyDescent="0.25">
      <c r="A2802" s="8"/>
    </row>
    <row r="2803" spans="1:1" ht="13.8" x14ac:dyDescent="0.25">
      <c r="A2803" s="8"/>
    </row>
    <row r="2804" spans="1:1" ht="13.8" x14ac:dyDescent="0.25">
      <c r="A2804" s="8"/>
    </row>
    <row r="2805" spans="1:1" ht="13.8" x14ac:dyDescent="0.25">
      <c r="A2805" s="8"/>
    </row>
    <row r="2806" spans="1:1" ht="13.8" x14ac:dyDescent="0.25">
      <c r="A2806" s="8"/>
    </row>
    <row r="2807" spans="1:1" ht="13.8" x14ac:dyDescent="0.25">
      <c r="A2807" s="8"/>
    </row>
    <row r="2808" spans="1:1" ht="13.8" x14ac:dyDescent="0.25">
      <c r="A2808" s="8"/>
    </row>
    <row r="2809" spans="1:1" ht="13.8" x14ac:dyDescent="0.25">
      <c r="A2809" s="8"/>
    </row>
    <row r="2810" spans="1:1" ht="13.8" x14ac:dyDescent="0.25">
      <c r="A2810" s="8"/>
    </row>
    <row r="2811" spans="1:1" ht="13.8" x14ac:dyDescent="0.25">
      <c r="A2811" s="8"/>
    </row>
    <row r="2812" spans="1:1" ht="13.8" x14ac:dyDescent="0.25">
      <c r="A2812" s="8"/>
    </row>
    <row r="2813" spans="1:1" ht="13.8" x14ac:dyDescent="0.25">
      <c r="A2813" s="8"/>
    </row>
    <row r="2814" spans="1:1" ht="13.8" x14ac:dyDescent="0.25">
      <c r="A2814" s="8"/>
    </row>
    <row r="2815" spans="1:1" ht="13.8" x14ac:dyDescent="0.25">
      <c r="A2815" s="8"/>
    </row>
    <row r="2816" spans="1:1" ht="13.8" x14ac:dyDescent="0.25">
      <c r="A2816" s="8"/>
    </row>
    <row r="2817" spans="1:1" ht="13.8" x14ac:dyDescent="0.25">
      <c r="A2817" s="8"/>
    </row>
    <row r="2818" spans="1:1" ht="13.8" x14ac:dyDescent="0.25">
      <c r="A2818" s="8"/>
    </row>
    <row r="2819" spans="1:1" ht="13.8" x14ac:dyDescent="0.25">
      <c r="A2819" s="8"/>
    </row>
    <row r="2820" spans="1:1" ht="13.8" x14ac:dyDescent="0.25">
      <c r="A2820" s="8"/>
    </row>
    <row r="2821" spans="1:1" ht="13.8" x14ac:dyDescent="0.25">
      <c r="A2821" s="8"/>
    </row>
    <row r="2822" spans="1:1" ht="13.8" x14ac:dyDescent="0.25">
      <c r="A2822" s="8"/>
    </row>
    <row r="2823" spans="1:1" ht="13.8" x14ac:dyDescent="0.25">
      <c r="A2823" s="8"/>
    </row>
    <row r="2824" spans="1:1" ht="13.8" x14ac:dyDescent="0.25">
      <c r="A2824" s="8"/>
    </row>
    <row r="2825" spans="1:1" ht="13.8" x14ac:dyDescent="0.25">
      <c r="A2825" s="8"/>
    </row>
    <row r="2826" spans="1:1" ht="13.8" x14ac:dyDescent="0.25">
      <c r="A2826" s="8"/>
    </row>
    <row r="2827" spans="1:1" ht="13.8" x14ac:dyDescent="0.25">
      <c r="A2827" s="8"/>
    </row>
    <row r="2828" spans="1:1" ht="13.8" x14ac:dyDescent="0.25">
      <c r="A2828" s="8"/>
    </row>
    <row r="2829" spans="1:1" ht="13.8" x14ac:dyDescent="0.25">
      <c r="A2829" s="8"/>
    </row>
    <row r="2830" spans="1:1" ht="13.8" x14ac:dyDescent="0.25">
      <c r="A2830" s="8"/>
    </row>
    <row r="2831" spans="1:1" ht="13.8" x14ac:dyDescent="0.25">
      <c r="A2831" s="8"/>
    </row>
    <row r="2832" spans="1:1" ht="13.8" x14ac:dyDescent="0.25">
      <c r="A2832" s="8"/>
    </row>
    <row r="2833" spans="1:1" ht="13.8" x14ac:dyDescent="0.25">
      <c r="A2833" s="8"/>
    </row>
    <row r="2834" spans="1:1" ht="13.8" x14ac:dyDescent="0.25">
      <c r="A2834" s="8"/>
    </row>
    <row r="2835" spans="1:1" ht="13.8" x14ac:dyDescent="0.25">
      <c r="A2835" s="8"/>
    </row>
    <row r="2836" spans="1:1" ht="13.8" x14ac:dyDescent="0.25">
      <c r="A2836" s="8"/>
    </row>
    <row r="2837" spans="1:1" ht="13.8" x14ac:dyDescent="0.25">
      <c r="A2837" s="8"/>
    </row>
    <row r="2838" spans="1:1" ht="13.8" x14ac:dyDescent="0.25">
      <c r="A2838" s="8"/>
    </row>
    <row r="2839" spans="1:1" ht="13.8" x14ac:dyDescent="0.25">
      <c r="A2839" s="8"/>
    </row>
    <row r="2840" spans="1:1" ht="13.8" x14ac:dyDescent="0.25">
      <c r="A2840" s="8"/>
    </row>
    <row r="2841" spans="1:1" ht="13.8" x14ac:dyDescent="0.25">
      <c r="A2841" s="8"/>
    </row>
    <row r="2842" spans="1:1" ht="13.8" x14ac:dyDescent="0.25">
      <c r="A2842" s="8"/>
    </row>
    <row r="2843" spans="1:1" ht="13.8" x14ac:dyDescent="0.25">
      <c r="A2843" s="8"/>
    </row>
    <row r="2844" spans="1:1" ht="13.8" x14ac:dyDescent="0.25">
      <c r="A2844" s="8"/>
    </row>
    <row r="2845" spans="1:1" ht="13.8" x14ac:dyDescent="0.25">
      <c r="A2845" s="8"/>
    </row>
    <row r="2846" spans="1:1" ht="13.8" x14ac:dyDescent="0.25">
      <c r="A2846" s="8"/>
    </row>
    <row r="2847" spans="1:1" ht="13.8" x14ac:dyDescent="0.25">
      <c r="A2847" s="8"/>
    </row>
    <row r="2848" spans="1:1" ht="13.8" x14ac:dyDescent="0.25">
      <c r="A2848" s="8"/>
    </row>
    <row r="2849" spans="1:1" ht="13.8" x14ac:dyDescent="0.25">
      <c r="A2849" s="8"/>
    </row>
    <row r="2850" spans="1:1" ht="13.8" x14ac:dyDescent="0.25">
      <c r="A2850" s="8"/>
    </row>
    <row r="2851" spans="1:1" ht="13.8" x14ac:dyDescent="0.25">
      <c r="A2851" s="8"/>
    </row>
    <row r="2852" spans="1:1" ht="13.8" x14ac:dyDescent="0.25">
      <c r="A2852" s="8"/>
    </row>
    <row r="2853" spans="1:1" ht="13.8" x14ac:dyDescent="0.25">
      <c r="A2853" s="8"/>
    </row>
    <row r="2854" spans="1:1" ht="13.8" x14ac:dyDescent="0.25">
      <c r="A2854" s="8"/>
    </row>
    <row r="2855" spans="1:1" ht="13.8" x14ac:dyDescent="0.25">
      <c r="A2855" s="8"/>
    </row>
    <row r="2856" spans="1:1" ht="13.8" x14ac:dyDescent="0.25">
      <c r="A2856" s="8"/>
    </row>
    <row r="2857" spans="1:1" ht="13.8" x14ac:dyDescent="0.25">
      <c r="A2857" s="8"/>
    </row>
    <row r="2858" spans="1:1" ht="13.8" x14ac:dyDescent="0.25">
      <c r="A2858" s="8"/>
    </row>
    <row r="2859" spans="1:1" ht="13.8" x14ac:dyDescent="0.25">
      <c r="A2859" s="8"/>
    </row>
    <row r="2860" spans="1:1" ht="13.8" x14ac:dyDescent="0.25">
      <c r="A2860" s="8"/>
    </row>
    <row r="2861" spans="1:1" ht="13.8" x14ac:dyDescent="0.25">
      <c r="A2861" s="8"/>
    </row>
    <row r="2862" spans="1:1" ht="13.8" x14ac:dyDescent="0.25">
      <c r="A2862" s="8"/>
    </row>
    <row r="2863" spans="1:1" ht="13.8" x14ac:dyDescent="0.25">
      <c r="A2863" s="8"/>
    </row>
    <row r="2864" spans="1:1" ht="13.8" x14ac:dyDescent="0.25">
      <c r="A2864" s="8"/>
    </row>
    <row r="2865" spans="1:1" ht="13.8" x14ac:dyDescent="0.25">
      <c r="A2865" s="8"/>
    </row>
    <row r="2866" spans="1:1" ht="13.8" x14ac:dyDescent="0.25">
      <c r="A2866" s="8"/>
    </row>
    <row r="2867" spans="1:1" ht="13.8" x14ac:dyDescent="0.25">
      <c r="A2867" s="8"/>
    </row>
    <row r="2868" spans="1:1" ht="13.8" x14ac:dyDescent="0.25">
      <c r="A2868" s="8"/>
    </row>
    <row r="2869" spans="1:1" ht="13.8" x14ac:dyDescent="0.25">
      <c r="A2869" s="8"/>
    </row>
    <row r="2870" spans="1:1" ht="13.8" x14ac:dyDescent="0.25">
      <c r="A2870" s="8"/>
    </row>
    <row r="2871" spans="1:1" ht="13.8" x14ac:dyDescent="0.25">
      <c r="A2871" s="8"/>
    </row>
    <row r="2872" spans="1:1" ht="13.8" x14ac:dyDescent="0.25">
      <c r="A2872" s="8"/>
    </row>
    <row r="2873" spans="1:1" ht="13.8" x14ac:dyDescent="0.25">
      <c r="A2873" s="8"/>
    </row>
    <row r="2874" spans="1:1" ht="13.8" x14ac:dyDescent="0.25">
      <c r="A2874" s="8"/>
    </row>
    <row r="2875" spans="1:1" ht="13.8" x14ac:dyDescent="0.25">
      <c r="A2875" s="8"/>
    </row>
    <row r="2876" spans="1:1" ht="13.8" x14ac:dyDescent="0.25">
      <c r="A2876" s="8"/>
    </row>
    <row r="2877" spans="1:1" ht="13.8" x14ac:dyDescent="0.25">
      <c r="A2877" s="8"/>
    </row>
    <row r="2878" spans="1:1" ht="13.8" x14ac:dyDescent="0.25">
      <c r="A2878" s="8"/>
    </row>
    <row r="2879" spans="1:1" ht="13.8" x14ac:dyDescent="0.25">
      <c r="A2879" s="8"/>
    </row>
    <row r="2880" spans="1:1" ht="13.8" x14ac:dyDescent="0.25">
      <c r="A2880" s="8"/>
    </row>
    <row r="2881" spans="1:1" ht="13.8" x14ac:dyDescent="0.25">
      <c r="A2881" s="8"/>
    </row>
    <row r="2882" spans="1:1" ht="13.8" x14ac:dyDescent="0.25">
      <c r="A2882" s="8"/>
    </row>
    <row r="2883" spans="1:1" ht="13.8" x14ac:dyDescent="0.25">
      <c r="A2883" s="8"/>
    </row>
    <row r="2884" spans="1:1" ht="13.8" x14ac:dyDescent="0.25">
      <c r="A2884" s="8"/>
    </row>
    <row r="2885" spans="1:1" ht="13.8" x14ac:dyDescent="0.25">
      <c r="A2885" s="8"/>
    </row>
    <row r="2886" spans="1:1" ht="13.8" x14ac:dyDescent="0.25">
      <c r="A2886" s="8"/>
    </row>
    <row r="2887" spans="1:1" ht="13.8" x14ac:dyDescent="0.25">
      <c r="A2887" s="8"/>
    </row>
    <row r="2888" spans="1:1" ht="13.8" x14ac:dyDescent="0.25">
      <c r="A2888" s="8"/>
    </row>
    <row r="2889" spans="1:1" ht="13.8" x14ac:dyDescent="0.25">
      <c r="A2889" s="8"/>
    </row>
    <row r="2890" spans="1:1" ht="13.8" x14ac:dyDescent="0.25">
      <c r="A2890" s="8"/>
    </row>
    <row r="2891" spans="1:1" ht="13.8" x14ac:dyDescent="0.25">
      <c r="A2891" s="8"/>
    </row>
    <row r="2892" spans="1:1" ht="13.8" x14ac:dyDescent="0.25">
      <c r="A2892" s="8"/>
    </row>
    <row r="2893" spans="1:1" ht="13.8" x14ac:dyDescent="0.25">
      <c r="A2893" s="8"/>
    </row>
    <row r="2894" spans="1:1" ht="13.8" x14ac:dyDescent="0.25">
      <c r="A2894" s="8"/>
    </row>
    <row r="2895" spans="1:1" ht="13.8" x14ac:dyDescent="0.25">
      <c r="A2895" s="8"/>
    </row>
    <row r="2896" spans="1:1" ht="13.8" x14ac:dyDescent="0.25">
      <c r="A2896" s="8"/>
    </row>
    <row r="2897" spans="1:1" ht="13.8" x14ac:dyDescent="0.25">
      <c r="A2897" s="8"/>
    </row>
    <row r="2898" spans="1:1" ht="13.8" x14ac:dyDescent="0.25">
      <c r="A2898" s="8"/>
    </row>
    <row r="2899" spans="1:1" ht="13.8" x14ac:dyDescent="0.25">
      <c r="A2899" s="8"/>
    </row>
    <row r="2900" spans="1:1" ht="13.8" x14ac:dyDescent="0.25">
      <c r="A2900" s="8"/>
    </row>
    <row r="2901" spans="1:1" ht="13.8" x14ac:dyDescent="0.25">
      <c r="A2901" s="8"/>
    </row>
    <row r="2902" spans="1:1" ht="13.8" x14ac:dyDescent="0.25">
      <c r="A2902" s="8"/>
    </row>
    <row r="2903" spans="1:1" ht="13.8" x14ac:dyDescent="0.25">
      <c r="A2903" s="8"/>
    </row>
    <row r="2904" spans="1:1" ht="13.8" x14ac:dyDescent="0.25">
      <c r="A2904" s="8"/>
    </row>
    <row r="2905" spans="1:1" ht="13.8" x14ac:dyDescent="0.25">
      <c r="A2905" s="8"/>
    </row>
    <row r="2906" spans="1:1" ht="13.8" x14ac:dyDescent="0.25">
      <c r="A2906" s="8"/>
    </row>
    <row r="2907" spans="1:1" ht="13.8" x14ac:dyDescent="0.25">
      <c r="A2907" s="8"/>
    </row>
    <row r="2908" spans="1:1" ht="13.8" x14ac:dyDescent="0.25">
      <c r="A2908" s="8"/>
    </row>
    <row r="2909" spans="1:1" ht="13.8" x14ac:dyDescent="0.25">
      <c r="A2909" s="8"/>
    </row>
    <row r="2910" spans="1:1" ht="13.8" x14ac:dyDescent="0.25">
      <c r="A2910" s="8"/>
    </row>
    <row r="2911" spans="1:1" ht="13.8" x14ac:dyDescent="0.25">
      <c r="A2911" s="8"/>
    </row>
    <row r="2912" spans="1:1" ht="13.8" x14ac:dyDescent="0.25">
      <c r="A2912" s="8"/>
    </row>
    <row r="2913" spans="1:1" ht="13.8" x14ac:dyDescent="0.25">
      <c r="A2913" s="8"/>
    </row>
    <row r="2914" spans="1:1" ht="13.8" x14ac:dyDescent="0.25">
      <c r="A2914" s="8"/>
    </row>
    <row r="2915" spans="1:1" ht="13.8" x14ac:dyDescent="0.25">
      <c r="A2915" s="8"/>
    </row>
    <row r="2916" spans="1:1" ht="13.8" x14ac:dyDescent="0.25">
      <c r="A2916" s="8"/>
    </row>
    <row r="2917" spans="1:1" ht="13.8" x14ac:dyDescent="0.25">
      <c r="A2917" s="8"/>
    </row>
    <row r="2918" spans="1:1" ht="13.8" x14ac:dyDescent="0.25">
      <c r="A2918" s="8"/>
    </row>
    <row r="2919" spans="1:1" ht="13.8" x14ac:dyDescent="0.25">
      <c r="A2919" s="8"/>
    </row>
    <row r="2920" spans="1:1" ht="13.8" x14ac:dyDescent="0.25">
      <c r="A2920" s="8"/>
    </row>
    <row r="2921" spans="1:1" ht="13.8" x14ac:dyDescent="0.25">
      <c r="A2921" s="8"/>
    </row>
    <row r="2922" spans="1:1" ht="13.8" x14ac:dyDescent="0.25">
      <c r="A2922" s="8"/>
    </row>
    <row r="2923" spans="1:1" ht="13.8" x14ac:dyDescent="0.25">
      <c r="A2923" s="8"/>
    </row>
    <row r="2924" spans="1:1" ht="13.8" x14ac:dyDescent="0.25">
      <c r="A2924" s="8"/>
    </row>
    <row r="2925" spans="1:1" ht="13.8" x14ac:dyDescent="0.25">
      <c r="A2925" s="8"/>
    </row>
    <row r="2926" spans="1:1" ht="13.8" x14ac:dyDescent="0.25">
      <c r="A2926" s="8"/>
    </row>
    <row r="2927" spans="1:1" ht="13.8" x14ac:dyDescent="0.25">
      <c r="A2927" s="8"/>
    </row>
    <row r="2928" spans="1:1" ht="13.8" x14ac:dyDescent="0.25">
      <c r="A2928" s="8"/>
    </row>
    <row r="2929" spans="1:1" ht="13.8" x14ac:dyDescent="0.25">
      <c r="A2929" s="8"/>
    </row>
    <row r="2930" spans="1:1" ht="13.8" x14ac:dyDescent="0.25">
      <c r="A2930" s="8"/>
    </row>
    <row r="2931" spans="1:1" ht="13.8" x14ac:dyDescent="0.25">
      <c r="A2931" s="8"/>
    </row>
    <row r="2932" spans="1:1" ht="13.8" x14ac:dyDescent="0.25">
      <c r="A2932" s="8"/>
    </row>
    <row r="2933" spans="1:1" ht="13.8" x14ac:dyDescent="0.25">
      <c r="A2933" s="8"/>
    </row>
    <row r="2934" spans="1:1" ht="13.8" x14ac:dyDescent="0.25">
      <c r="A2934" s="8"/>
    </row>
    <row r="2935" spans="1:1" ht="13.8" x14ac:dyDescent="0.25">
      <c r="A2935" s="8"/>
    </row>
    <row r="2936" spans="1:1" ht="13.8" x14ac:dyDescent="0.25">
      <c r="A2936" s="8"/>
    </row>
    <row r="2937" spans="1:1" ht="13.8" x14ac:dyDescent="0.25">
      <c r="A2937" s="8"/>
    </row>
    <row r="2938" spans="1:1" ht="13.8" x14ac:dyDescent="0.25">
      <c r="A2938" s="8"/>
    </row>
    <row r="2939" spans="1:1" ht="13.8" x14ac:dyDescent="0.25">
      <c r="A2939" s="8"/>
    </row>
    <row r="2940" spans="1:1" ht="13.8" x14ac:dyDescent="0.25">
      <c r="A2940" s="8"/>
    </row>
    <row r="2941" spans="1:1" ht="13.8" x14ac:dyDescent="0.25">
      <c r="A2941" s="8"/>
    </row>
    <row r="2942" spans="1:1" ht="13.8" x14ac:dyDescent="0.25">
      <c r="A2942" s="8"/>
    </row>
    <row r="2943" spans="1:1" ht="13.8" x14ac:dyDescent="0.25">
      <c r="A2943" s="8"/>
    </row>
    <row r="2944" spans="1:1" ht="13.8" x14ac:dyDescent="0.25">
      <c r="A2944" s="8"/>
    </row>
    <row r="2945" spans="1:1" ht="13.8" x14ac:dyDescent="0.25">
      <c r="A2945" s="8"/>
    </row>
    <row r="2946" spans="1:1" ht="13.8" x14ac:dyDescent="0.25">
      <c r="A2946" s="8"/>
    </row>
    <row r="2947" spans="1:1" ht="13.8" x14ac:dyDescent="0.25">
      <c r="A2947" s="8"/>
    </row>
    <row r="2948" spans="1:1" ht="13.8" x14ac:dyDescent="0.25">
      <c r="A2948" s="8"/>
    </row>
    <row r="2949" spans="1:1" ht="13.8" x14ac:dyDescent="0.25">
      <c r="A2949" s="8"/>
    </row>
    <row r="2950" spans="1:1" ht="13.8" x14ac:dyDescent="0.25">
      <c r="A2950" s="8"/>
    </row>
    <row r="2951" spans="1:1" ht="13.8" x14ac:dyDescent="0.25">
      <c r="A2951" s="8"/>
    </row>
    <row r="2952" spans="1:1" ht="13.8" x14ac:dyDescent="0.25">
      <c r="A2952" s="8"/>
    </row>
    <row r="2953" spans="1:1" ht="13.8" x14ac:dyDescent="0.25">
      <c r="A2953" s="8"/>
    </row>
    <row r="2954" spans="1:1" ht="13.8" x14ac:dyDescent="0.25">
      <c r="A2954" s="8"/>
    </row>
    <row r="2955" spans="1:1" ht="13.8" x14ac:dyDescent="0.25">
      <c r="A2955" s="8"/>
    </row>
    <row r="2956" spans="1:1" ht="13.8" x14ac:dyDescent="0.25">
      <c r="A2956" s="8"/>
    </row>
    <row r="2957" spans="1:1" ht="13.8" x14ac:dyDescent="0.25">
      <c r="A2957" s="8"/>
    </row>
    <row r="2958" spans="1:1" ht="13.8" x14ac:dyDescent="0.25">
      <c r="A2958" s="8"/>
    </row>
    <row r="2959" spans="1:1" ht="13.8" x14ac:dyDescent="0.25">
      <c r="A2959" s="8"/>
    </row>
    <row r="2960" spans="1:1" ht="13.8" x14ac:dyDescent="0.25">
      <c r="A2960" s="8"/>
    </row>
    <row r="2961" spans="1:1" ht="13.8" x14ac:dyDescent="0.25">
      <c r="A2961" s="8"/>
    </row>
    <row r="2962" spans="1:1" ht="13.8" x14ac:dyDescent="0.25">
      <c r="A2962" s="8"/>
    </row>
    <row r="2963" spans="1:1" ht="13.8" x14ac:dyDescent="0.25">
      <c r="A2963" s="8"/>
    </row>
    <row r="2964" spans="1:1" ht="13.8" x14ac:dyDescent="0.25">
      <c r="A2964" s="8"/>
    </row>
    <row r="2965" spans="1:1" ht="13.8" x14ac:dyDescent="0.25">
      <c r="A2965" s="8"/>
    </row>
    <row r="2966" spans="1:1" ht="13.8" x14ac:dyDescent="0.25">
      <c r="A2966" s="8"/>
    </row>
    <row r="2967" spans="1:1" ht="13.8" x14ac:dyDescent="0.25">
      <c r="A2967" s="8"/>
    </row>
    <row r="2968" spans="1:1" ht="13.8" x14ac:dyDescent="0.25">
      <c r="A2968" s="8"/>
    </row>
    <row r="2969" spans="1:1" ht="13.8" x14ac:dyDescent="0.25">
      <c r="A2969" s="8"/>
    </row>
    <row r="2970" spans="1:1" ht="13.8" x14ac:dyDescent="0.25">
      <c r="A2970" s="8"/>
    </row>
    <row r="2971" spans="1:1" ht="13.8" x14ac:dyDescent="0.25">
      <c r="A2971" s="8"/>
    </row>
    <row r="2972" spans="1:1" ht="13.8" x14ac:dyDescent="0.25">
      <c r="A2972" s="8"/>
    </row>
    <row r="2973" spans="1:1" ht="13.8" x14ac:dyDescent="0.25">
      <c r="A2973" s="8"/>
    </row>
    <row r="2974" spans="1:1" ht="13.8" x14ac:dyDescent="0.25">
      <c r="A2974" s="8"/>
    </row>
    <row r="2975" spans="1:1" ht="13.8" x14ac:dyDescent="0.25">
      <c r="A2975" s="8"/>
    </row>
    <row r="2976" spans="1:1" ht="13.8" x14ac:dyDescent="0.25">
      <c r="A2976" s="8"/>
    </row>
    <row r="2977" spans="1:1" ht="13.8" x14ac:dyDescent="0.25">
      <c r="A2977" s="8"/>
    </row>
    <row r="2978" spans="1:1" ht="13.8" x14ac:dyDescent="0.25">
      <c r="A2978" s="8"/>
    </row>
    <row r="2979" spans="1:1" ht="13.8" x14ac:dyDescent="0.25">
      <c r="A2979" s="8"/>
    </row>
    <row r="2980" spans="1:1" ht="13.8" x14ac:dyDescent="0.25">
      <c r="A2980" s="8"/>
    </row>
    <row r="2981" spans="1:1" ht="13.8" x14ac:dyDescent="0.25">
      <c r="A2981" s="8"/>
    </row>
    <row r="2982" spans="1:1" ht="13.8" x14ac:dyDescent="0.25">
      <c r="A2982" s="8"/>
    </row>
    <row r="2983" spans="1:1" ht="13.8" x14ac:dyDescent="0.25">
      <c r="A2983" s="8"/>
    </row>
    <row r="2984" spans="1:1" ht="13.8" x14ac:dyDescent="0.25">
      <c r="A2984" s="8"/>
    </row>
    <row r="2985" spans="1:1" ht="13.8" x14ac:dyDescent="0.25">
      <c r="A2985" s="8"/>
    </row>
    <row r="2986" spans="1:1" ht="13.8" x14ac:dyDescent="0.25">
      <c r="A2986" s="8"/>
    </row>
    <row r="2987" spans="1:1" ht="13.8" x14ac:dyDescent="0.25">
      <c r="A2987" s="8"/>
    </row>
    <row r="2988" spans="1:1" ht="13.8" x14ac:dyDescent="0.25">
      <c r="A2988" s="8"/>
    </row>
    <row r="2989" spans="1:1" ht="13.8" x14ac:dyDescent="0.25">
      <c r="A2989" s="8"/>
    </row>
    <row r="2990" spans="1:1" ht="13.8" x14ac:dyDescent="0.25">
      <c r="A2990" s="8"/>
    </row>
    <row r="2991" spans="1:1" ht="13.8" x14ac:dyDescent="0.25">
      <c r="A2991" s="8"/>
    </row>
    <row r="2992" spans="1:1" ht="13.8" x14ac:dyDescent="0.25">
      <c r="A2992" s="8"/>
    </row>
    <row r="2993" spans="1:1" ht="13.8" x14ac:dyDescent="0.25">
      <c r="A2993" s="8"/>
    </row>
    <row r="2994" spans="1:1" ht="13.8" x14ac:dyDescent="0.25">
      <c r="A2994" s="8"/>
    </row>
    <row r="2995" spans="1:1" ht="13.8" x14ac:dyDescent="0.25">
      <c r="A2995" s="8"/>
    </row>
    <row r="2996" spans="1:1" ht="13.8" x14ac:dyDescent="0.25">
      <c r="A2996" s="8"/>
    </row>
    <row r="2997" spans="1:1" ht="13.8" x14ac:dyDescent="0.25">
      <c r="A2997" s="8"/>
    </row>
    <row r="2998" spans="1:1" ht="13.8" x14ac:dyDescent="0.25">
      <c r="A2998" s="8"/>
    </row>
    <row r="2999" spans="1:1" ht="13.8" x14ac:dyDescent="0.25">
      <c r="A2999" s="8"/>
    </row>
    <row r="3000" spans="1:1" ht="13.8" x14ac:dyDescent="0.25">
      <c r="A3000" s="8"/>
    </row>
    <row r="3001" spans="1:1" ht="13.8" x14ac:dyDescent="0.25">
      <c r="A3001" s="8"/>
    </row>
    <row r="3002" spans="1:1" ht="13.8" x14ac:dyDescent="0.25">
      <c r="A3002" s="8"/>
    </row>
    <row r="3003" spans="1:1" ht="13.8" x14ac:dyDescent="0.25">
      <c r="A3003" s="8"/>
    </row>
    <row r="3004" spans="1:1" ht="13.8" x14ac:dyDescent="0.25">
      <c r="A3004" s="8"/>
    </row>
    <row r="3005" spans="1:1" ht="13.8" x14ac:dyDescent="0.25">
      <c r="A3005" s="8"/>
    </row>
    <row r="3006" spans="1:1" ht="13.8" x14ac:dyDescent="0.25">
      <c r="A3006" s="8"/>
    </row>
    <row r="3007" spans="1:1" ht="13.8" x14ac:dyDescent="0.25">
      <c r="A3007" s="8"/>
    </row>
    <row r="3008" spans="1:1" ht="13.8" x14ac:dyDescent="0.25">
      <c r="A3008" s="8"/>
    </row>
    <row r="3009" spans="1:1" ht="13.8" x14ac:dyDescent="0.25">
      <c r="A3009" s="8"/>
    </row>
    <row r="3010" spans="1:1" ht="13.8" x14ac:dyDescent="0.25">
      <c r="A3010" s="8"/>
    </row>
    <row r="3011" spans="1:1" ht="13.8" x14ac:dyDescent="0.25">
      <c r="A3011" s="8"/>
    </row>
    <row r="3012" spans="1:1" ht="13.8" x14ac:dyDescent="0.25">
      <c r="A3012" s="8"/>
    </row>
    <row r="3013" spans="1:1" ht="13.8" x14ac:dyDescent="0.25">
      <c r="A3013" s="8"/>
    </row>
    <row r="3014" spans="1:1" ht="13.8" x14ac:dyDescent="0.25">
      <c r="A3014" s="8"/>
    </row>
    <row r="3015" spans="1:1" ht="13.8" x14ac:dyDescent="0.25">
      <c r="A3015" s="8"/>
    </row>
    <row r="3016" spans="1:1" ht="13.8" x14ac:dyDescent="0.25">
      <c r="A3016" s="8"/>
    </row>
    <row r="3017" spans="1:1" ht="13.8" x14ac:dyDescent="0.25">
      <c r="A3017" s="8"/>
    </row>
    <row r="3018" spans="1:1" ht="13.8" x14ac:dyDescent="0.25">
      <c r="A3018" s="8"/>
    </row>
    <row r="3019" spans="1:1" ht="13.8" x14ac:dyDescent="0.25">
      <c r="A3019" s="8"/>
    </row>
    <row r="3020" spans="1:1" ht="13.8" x14ac:dyDescent="0.25">
      <c r="A3020" s="8"/>
    </row>
    <row r="3021" spans="1:1" ht="13.8" x14ac:dyDescent="0.25">
      <c r="A3021" s="8"/>
    </row>
    <row r="3022" spans="1:1" ht="13.8" x14ac:dyDescent="0.25">
      <c r="A3022" s="8"/>
    </row>
    <row r="3023" spans="1:1" ht="13.8" x14ac:dyDescent="0.25">
      <c r="A3023" s="8"/>
    </row>
    <row r="3024" spans="1:1" ht="13.8" x14ac:dyDescent="0.25">
      <c r="A3024" s="8"/>
    </row>
    <row r="3025" spans="1:1" ht="13.8" x14ac:dyDescent="0.25">
      <c r="A3025" s="8"/>
    </row>
    <row r="3026" spans="1:1" ht="13.8" x14ac:dyDescent="0.25">
      <c r="A3026" s="8"/>
    </row>
    <row r="3027" spans="1:1" ht="13.8" x14ac:dyDescent="0.25">
      <c r="A3027" s="8"/>
    </row>
    <row r="3028" spans="1:1" ht="13.8" x14ac:dyDescent="0.25">
      <c r="A3028" s="8"/>
    </row>
    <row r="3029" spans="1:1" ht="13.8" x14ac:dyDescent="0.25">
      <c r="A3029" s="8"/>
    </row>
    <row r="3030" spans="1:1" ht="13.8" x14ac:dyDescent="0.25">
      <c r="A3030" s="8"/>
    </row>
    <row r="3031" spans="1:1" ht="13.8" x14ac:dyDescent="0.25">
      <c r="A3031" s="8"/>
    </row>
    <row r="3032" spans="1:1" ht="13.8" x14ac:dyDescent="0.25">
      <c r="A3032" s="8"/>
    </row>
    <row r="3033" spans="1:1" ht="13.8" x14ac:dyDescent="0.25">
      <c r="A3033" s="8"/>
    </row>
    <row r="3034" spans="1:1" ht="13.8" x14ac:dyDescent="0.25">
      <c r="A3034" s="8"/>
    </row>
    <row r="3035" spans="1:1" ht="13.8" x14ac:dyDescent="0.25">
      <c r="A3035" s="8"/>
    </row>
    <row r="3036" spans="1:1" ht="13.8" x14ac:dyDescent="0.25">
      <c r="A3036" s="8"/>
    </row>
    <row r="3037" spans="1:1" ht="13.8" x14ac:dyDescent="0.25">
      <c r="A3037" s="8"/>
    </row>
    <row r="3038" spans="1:1" ht="13.8" x14ac:dyDescent="0.25">
      <c r="A3038" s="8"/>
    </row>
    <row r="3039" spans="1:1" ht="13.8" x14ac:dyDescent="0.25">
      <c r="A3039" s="8"/>
    </row>
    <row r="3040" spans="1:1" ht="13.8" x14ac:dyDescent="0.25">
      <c r="A3040" s="8"/>
    </row>
    <row r="3041" spans="1:1" ht="13.8" x14ac:dyDescent="0.25">
      <c r="A3041" s="8"/>
    </row>
    <row r="3042" spans="1:1" ht="13.8" x14ac:dyDescent="0.25">
      <c r="A3042" s="8"/>
    </row>
    <row r="3043" spans="1:1" ht="13.8" x14ac:dyDescent="0.25">
      <c r="A3043" s="8"/>
    </row>
    <row r="3044" spans="1:1" ht="13.8" x14ac:dyDescent="0.25">
      <c r="A3044" s="8"/>
    </row>
    <row r="3045" spans="1:1" ht="13.8" x14ac:dyDescent="0.25">
      <c r="A3045" s="8"/>
    </row>
    <row r="3046" spans="1:1" ht="13.8" x14ac:dyDescent="0.25">
      <c r="A3046" s="8"/>
    </row>
    <row r="3047" spans="1:1" ht="13.8" x14ac:dyDescent="0.25">
      <c r="A3047" s="8"/>
    </row>
    <row r="3048" spans="1:1" ht="13.8" x14ac:dyDescent="0.25">
      <c r="A3048" s="8"/>
    </row>
    <row r="3049" spans="1:1" ht="13.8" x14ac:dyDescent="0.25">
      <c r="A3049" s="8"/>
    </row>
    <row r="3050" spans="1:1" ht="13.8" x14ac:dyDescent="0.25">
      <c r="A3050" s="8"/>
    </row>
    <row r="3051" spans="1:1" ht="13.8" x14ac:dyDescent="0.25">
      <c r="A3051" s="8"/>
    </row>
    <row r="3052" spans="1:1" ht="13.8" x14ac:dyDescent="0.25">
      <c r="A3052" s="8"/>
    </row>
    <row r="3053" spans="1:1" ht="13.8" x14ac:dyDescent="0.25">
      <c r="A3053" s="8"/>
    </row>
    <row r="3054" spans="1:1" ht="13.8" x14ac:dyDescent="0.25">
      <c r="A3054" s="8"/>
    </row>
    <row r="3055" spans="1:1" ht="13.8" x14ac:dyDescent="0.25">
      <c r="A3055" s="8"/>
    </row>
    <row r="3056" spans="1:1" ht="13.8" x14ac:dyDescent="0.25">
      <c r="A3056" s="8"/>
    </row>
    <row r="3057" spans="1:1" ht="13.8" x14ac:dyDescent="0.25">
      <c r="A3057" s="8"/>
    </row>
    <row r="3058" spans="1:1" ht="13.8" x14ac:dyDescent="0.25">
      <c r="A3058" s="8"/>
    </row>
    <row r="3059" spans="1:1" ht="13.8" x14ac:dyDescent="0.25">
      <c r="A3059" s="8"/>
    </row>
    <row r="3060" spans="1:1" ht="13.8" x14ac:dyDescent="0.25">
      <c r="A3060" s="8"/>
    </row>
    <row r="3061" spans="1:1" ht="13.8" x14ac:dyDescent="0.25">
      <c r="A3061" s="8"/>
    </row>
    <row r="3062" spans="1:1" ht="13.8" x14ac:dyDescent="0.25">
      <c r="A3062" s="8"/>
    </row>
    <row r="3063" spans="1:1" ht="13.8" x14ac:dyDescent="0.25">
      <c r="A3063" s="8"/>
    </row>
    <row r="3064" spans="1:1" ht="13.8" x14ac:dyDescent="0.25">
      <c r="A3064" s="8"/>
    </row>
    <row r="3065" spans="1:1" ht="13.8" x14ac:dyDescent="0.25">
      <c r="A3065" s="8"/>
    </row>
    <row r="3066" spans="1:1" ht="13.8" x14ac:dyDescent="0.25">
      <c r="A3066" s="8"/>
    </row>
    <row r="3067" spans="1:1" ht="13.8" x14ac:dyDescent="0.25">
      <c r="A3067" s="8"/>
    </row>
    <row r="3068" spans="1:1" ht="13.8" x14ac:dyDescent="0.25">
      <c r="A3068" s="8"/>
    </row>
    <row r="3069" spans="1:1" ht="13.8" x14ac:dyDescent="0.25">
      <c r="A3069" s="8"/>
    </row>
    <row r="3070" spans="1:1" ht="13.8" x14ac:dyDescent="0.25">
      <c r="A3070" s="8"/>
    </row>
    <row r="3071" spans="1:1" ht="13.8" x14ac:dyDescent="0.25">
      <c r="A3071" s="8"/>
    </row>
    <row r="3072" spans="1:1" ht="13.8" x14ac:dyDescent="0.25">
      <c r="A3072" s="8"/>
    </row>
    <row r="3073" spans="1:1" ht="13.8" x14ac:dyDescent="0.25">
      <c r="A3073" s="8"/>
    </row>
    <row r="3074" spans="1:1" ht="13.8" x14ac:dyDescent="0.25">
      <c r="A3074" s="8"/>
    </row>
    <row r="3075" spans="1:1" ht="13.8" x14ac:dyDescent="0.25">
      <c r="A3075" s="8"/>
    </row>
    <row r="3076" spans="1:1" ht="13.8" x14ac:dyDescent="0.25">
      <c r="A3076" s="8"/>
    </row>
    <row r="3077" spans="1:1" ht="13.8" x14ac:dyDescent="0.25">
      <c r="A3077" s="8"/>
    </row>
    <row r="3078" spans="1:1" ht="13.8" x14ac:dyDescent="0.25">
      <c r="A3078" s="8"/>
    </row>
    <row r="3079" spans="1:1" ht="13.8" x14ac:dyDescent="0.25">
      <c r="A3079" s="8"/>
    </row>
    <row r="3080" spans="1:1" ht="13.8" x14ac:dyDescent="0.25">
      <c r="A3080" s="8"/>
    </row>
    <row r="3081" spans="1:1" ht="13.8" x14ac:dyDescent="0.25">
      <c r="A3081" s="8"/>
    </row>
    <row r="3082" spans="1:1" ht="13.8" x14ac:dyDescent="0.25">
      <c r="A3082" s="8"/>
    </row>
    <row r="3083" spans="1:1" ht="13.8" x14ac:dyDescent="0.25">
      <c r="A3083" s="8"/>
    </row>
    <row r="3084" spans="1:1" ht="13.8" x14ac:dyDescent="0.25">
      <c r="A3084" s="8"/>
    </row>
    <row r="3085" spans="1:1" ht="13.8" x14ac:dyDescent="0.25">
      <c r="A3085" s="8"/>
    </row>
    <row r="3086" spans="1:1" ht="13.8" x14ac:dyDescent="0.25">
      <c r="A3086" s="8"/>
    </row>
    <row r="3087" spans="1:1" ht="13.8" x14ac:dyDescent="0.25">
      <c r="A3087" s="8"/>
    </row>
    <row r="3088" spans="1:1" ht="13.8" x14ac:dyDescent="0.25">
      <c r="A3088" s="8"/>
    </row>
    <row r="3089" spans="1:1" ht="13.8" x14ac:dyDescent="0.25">
      <c r="A3089" s="8"/>
    </row>
    <row r="3090" spans="1:1" ht="13.8" x14ac:dyDescent="0.25">
      <c r="A3090" s="8"/>
    </row>
    <row r="3091" spans="1:1" ht="13.8" x14ac:dyDescent="0.25">
      <c r="A3091" s="8"/>
    </row>
    <row r="3092" spans="1:1" ht="13.8" x14ac:dyDescent="0.25">
      <c r="A3092" s="8"/>
    </row>
    <row r="3093" spans="1:1" ht="13.8" x14ac:dyDescent="0.25">
      <c r="A3093" s="8"/>
    </row>
    <row r="3094" spans="1:1" ht="13.8" x14ac:dyDescent="0.25">
      <c r="A3094" s="8"/>
    </row>
    <row r="3095" spans="1:1" ht="13.8" x14ac:dyDescent="0.25">
      <c r="A3095" s="8"/>
    </row>
    <row r="3096" spans="1:1" ht="13.8" x14ac:dyDescent="0.25">
      <c r="A3096" s="8"/>
    </row>
    <row r="3097" spans="1:1" ht="13.8" x14ac:dyDescent="0.25">
      <c r="A3097" s="8"/>
    </row>
    <row r="3098" spans="1:1" ht="13.8" x14ac:dyDescent="0.25">
      <c r="A3098" s="8"/>
    </row>
    <row r="3099" spans="1:1" ht="13.8" x14ac:dyDescent="0.25">
      <c r="A3099" s="8"/>
    </row>
    <row r="3100" spans="1:1" ht="13.8" x14ac:dyDescent="0.25">
      <c r="A3100" s="8"/>
    </row>
    <row r="3101" spans="1:1" ht="13.8" x14ac:dyDescent="0.25">
      <c r="A3101" s="8"/>
    </row>
    <row r="3102" spans="1:1" ht="13.8" x14ac:dyDescent="0.25">
      <c r="A3102" s="8"/>
    </row>
    <row r="3103" spans="1:1" ht="13.8" x14ac:dyDescent="0.25">
      <c r="A3103" s="8"/>
    </row>
    <row r="3104" spans="1:1" ht="13.8" x14ac:dyDescent="0.25">
      <c r="A3104" s="8"/>
    </row>
    <row r="3105" spans="1:1" ht="13.8" x14ac:dyDescent="0.25">
      <c r="A3105" s="8"/>
    </row>
    <row r="3106" spans="1:1" ht="13.8" x14ac:dyDescent="0.25">
      <c r="A3106" s="8"/>
    </row>
    <row r="3107" spans="1:1" ht="13.8" x14ac:dyDescent="0.25">
      <c r="A3107" s="8"/>
    </row>
    <row r="3108" spans="1:1" ht="13.8" x14ac:dyDescent="0.25">
      <c r="A3108" s="8"/>
    </row>
    <row r="3109" spans="1:1" ht="13.8" x14ac:dyDescent="0.25">
      <c r="A3109" s="8"/>
    </row>
    <row r="3110" spans="1:1" ht="13.8" x14ac:dyDescent="0.25">
      <c r="A3110" s="8"/>
    </row>
    <row r="3111" spans="1:1" ht="13.8" x14ac:dyDescent="0.25">
      <c r="A3111" s="8"/>
    </row>
    <row r="3112" spans="1:1" ht="13.8" x14ac:dyDescent="0.25">
      <c r="A3112" s="8"/>
    </row>
    <row r="3113" spans="1:1" ht="13.8" x14ac:dyDescent="0.25">
      <c r="A3113" s="8"/>
    </row>
    <row r="3114" spans="1:1" ht="13.8" x14ac:dyDescent="0.25">
      <c r="A3114" s="8"/>
    </row>
    <row r="3115" spans="1:1" ht="13.8" x14ac:dyDescent="0.25">
      <c r="A3115" s="8"/>
    </row>
    <row r="3116" spans="1:1" ht="13.8" x14ac:dyDescent="0.25">
      <c r="A3116" s="8"/>
    </row>
    <row r="3117" spans="1:1" ht="13.8" x14ac:dyDescent="0.25">
      <c r="A3117" s="8"/>
    </row>
    <row r="3118" spans="1:1" ht="13.8" x14ac:dyDescent="0.25">
      <c r="A3118" s="8"/>
    </row>
    <row r="3119" spans="1:1" ht="13.8" x14ac:dyDescent="0.25">
      <c r="A3119" s="8"/>
    </row>
    <row r="3120" spans="1:1" ht="13.8" x14ac:dyDescent="0.25">
      <c r="A3120" s="8"/>
    </row>
    <row r="3121" spans="1:1" ht="13.8" x14ac:dyDescent="0.25">
      <c r="A3121" s="8"/>
    </row>
    <row r="3122" spans="1:1" ht="13.8" x14ac:dyDescent="0.25">
      <c r="A3122" s="8"/>
    </row>
    <row r="3123" spans="1:1" ht="13.8" x14ac:dyDescent="0.25">
      <c r="A3123" s="8"/>
    </row>
    <row r="3124" spans="1:1" ht="13.8" x14ac:dyDescent="0.25">
      <c r="A3124" s="8"/>
    </row>
    <row r="3125" spans="1:1" ht="13.8" x14ac:dyDescent="0.25">
      <c r="A3125" s="8"/>
    </row>
    <row r="3126" spans="1:1" ht="13.8" x14ac:dyDescent="0.25">
      <c r="A3126" s="8"/>
    </row>
    <row r="3127" spans="1:1" ht="13.8" x14ac:dyDescent="0.25">
      <c r="A3127" s="8"/>
    </row>
    <row r="3128" spans="1:1" ht="13.8" x14ac:dyDescent="0.25">
      <c r="A3128" s="8"/>
    </row>
    <row r="3129" spans="1:1" ht="13.8" x14ac:dyDescent="0.25">
      <c r="A3129" s="8"/>
    </row>
    <row r="3130" spans="1:1" ht="13.8" x14ac:dyDescent="0.25">
      <c r="A3130" s="8"/>
    </row>
    <row r="3131" spans="1:1" ht="13.8" x14ac:dyDescent="0.25">
      <c r="A3131" s="8"/>
    </row>
    <row r="3132" spans="1:1" ht="13.8" x14ac:dyDescent="0.25">
      <c r="A3132" s="8"/>
    </row>
    <row r="3133" spans="1:1" ht="13.8" x14ac:dyDescent="0.25">
      <c r="A3133" s="8"/>
    </row>
    <row r="3134" spans="1:1" ht="13.8" x14ac:dyDescent="0.25">
      <c r="A3134" s="8"/>
    </row>
    <row r="3135" spans="1:1" ht="13.8" x14ac:dyDescent="0.25">
      <c r="A3135" s="8"/>
    </row>
    <row r="3136" spans="1:1" ht="13.8" x14ac:dyDescent="0.25">
      <c r="A3136" s="8"/>
    </row>
    <row r="3137" spans="1:1" ht="13.8" x14ac:dyDescent="0.25">
      <c r="A3137" s="8"/>
    </row>
    <row r="3138" spans="1:1" ht="13.8" x14ac:dyDescent="0.25">
      <c r="A3138" s="8"/>
    </row>
    <row r="3139" spans="1:1" ht="13.8" x14ac:dyDescent="0.25">
      <c r="A3139" s="8"/>
    </row>
    <row r="3140" spans="1:1" ht="13.8" x14ac:dyDescent="0.25">
      <c r="A3140" s="8"/>
    </row>
    <row r="3141" spans="1:1" ht="13.8" x14ac:dyDescent="0.25">
      <c r="A3141" s="8"/>
    </row>
    <row r="3142" spans="1:1" ht="13.8" x14ac:dyDescent="0.25">
      <c r="A3142" s="8"/>
    </row>
    <row r="3143" spans="1:1" ht="13.8" x14ac:dyDescent="0.25">
      <c r="A3143" s="8"/>
    </row>
    <row r="3144" spans="1:1" ht="13.8" x14ac:dyDescent="0.25">
      <c r="A3144" s="8"/>
    </row>
    <row r="3145" spans="1:1" ht="13.8" x14ac:dyDescent="0.25">
      <c r="A3145" s="8"/>
    </row>
    <row r="3146" spans="1:1" ht="13.8" x14ac:dyDescent="0.25">
      <c r="A3146" s="8"/>
    </row>
    <row r="3147" spans="1:1" ht="13.8" x14ac:dyDescent="0.25">
      <c r="A3147" s="8"/>
    </row>
    <row r="3148" spans="1:1" ht="13.8" x14ac:dyDescent="0.25">
      <c r="A3148" s="8"/>
    </row>
    <row r="3149" spans="1:1" ht="13.8" x14ac:dyDescent="0.25">
      <c r="A3149" s="8"/>
    </row>
    <row r="3150" spans="1:1" ht="13.8" x14ac:dyDescent="0.25">
      <c r="A3150" s="8"/>
    </row>
    <row r="3151" spans="1:1" ht="13.8" x14ac:dyDescent="0.25">
      <c r="A3151" s="8"/>
    </row>
    <row r="3152" spans="1:1" ht="13.8" x14ac:dyDescent="0.25">
      <c r="A3152" s="8"/>
    </row>
    <row r="3153" spans="1:1" ht="13.8" x14ac:dyDescent="0.25">
      <c r="A3153" s="8"/>
    </row>
    <row r="3154" spans="1:1" ht="13.8" x14ac:dyDescent="0.25">
      <c r="A3154" s="8"/>
    </row>
    <row r="3155" spans="1:1" ht="13.8" x14ac:dyDescent="0.25">
      <c r="A3155" s="8"/>
    </row>
    <row r="3156" spans="1:1" ht="13.8" x14ac:dyDescent="0.25">
      <c r="A3156" s="8"/>
    </row>
    <row r="3157" spans="1:1" ht="13.8" x14ac:dyDescent="0.25">
      <c r="A3157" s="8"/>
    </row>
    <row r="3158" spans="1:1" ht="13.8" x14ac:dyDescent="0.25">
      <c r="A3158" s="8"/>
    </row>
    <row r="3159" spans="1:1" ht="13.8" x14ac:dyDescent="0.25">
      <c r="A3159" s="8"/>
    </row>
    <row r="3160" spans="1:1" ht="13.8" x14ac:dyDescent="0.25">
      <c r="A3160" s="8"/>
    </row>
    <row r="3161" spans="1:1" ht="13.8" x14ac:dyDescent="0.25">
      <c r="A3161" s="8"/>
    </row>
    <row r="3162" spans="1:1" ht="13.8" x14ac:dyDescent="0.25">
      <c r="A3162" s="8"/>
    </row>
    <row r="3163" spans="1:1" ht="13.8" x14ac:dyDescent="0.25">
      <c r="A3163" s="8"/>
    </row>
    <row r="3164" spans="1:1" ht="13.8" x14ac:dyDescent="0.25">
      <c r="A3164" s="8"/>
    </row>
    <row r="3165" spans="1:1" ht="13.8" x14ac:dyDescent="0.25">
      <c r="A3165" s="8"/>
    </row>
    <row r="3166" spans="1:1" ht="13.8" x14ac:dyDescent="0.25">
      <c r="A3166" s="8"/>
    </row>
    <row r="3167" spans="1:1" ht="13.8" x14ac:dyDescent="0.25">
      <c r="A3167" s="8"/>
    </row>
    <row r="3168" spans="1:1" ht="13.8" x14ac:dyDescent="0.25">
      <c r="A3168" s="8"/>
    </row>
    <row r="3169" spans="1:1" ht="13.8" x14ac:dyDescent="0.25">
      <c r="A3169" s="8"/>
    </row>
    <row r="3170" spans="1:1" ht="13.8" x14ac:dyDescent="0.25">
      <c r="A3170" s="8"/>
    </row>
    <row r="3171" spans="1:1" ht="13.8" x14ac:dyDescent="0.25">
      <c r="A3171" s="8"/>
    </row>
    <row r="3172" spans="1:1" ht="13.8" x14ac:dyDescent="0.25">
      <c r="A3172" s="8"/>
    </row>
    <row r="3173" spans="1:1" ht="13.8" x14ac:dyDescent="0.25">
      <c r="A3173" s="8"/>
    </row>
    <row r="3174" spans="1:1" ht="13.8" x14ac:dyDescent="0.25">
      <c r="A3174" s="8"/>
    </row>
    <row r="3175" spans="1:1" ht="13.8" x14ac:dyDescent="0.25">
      <c r="A3175" s="8"/>
    </row>
    <row r="3176" spans="1:1" ht="13.8" x14ac:dyDescent="0.25">
      <c r="A3176" s="8"/>
    </row>
    <row r="3177" spans="1:1" ht="13.8" x14ac:dyDescent="0.25">
      <c r="A3177" s="8"/>
    </row>
    <row r="3178" spans="1:1" ht="13.8" x14ac:dyDescent="0.25">
      <c r="A3178" s="8"/>
    </row>
    <row r="3179" spans="1:1" ht="13.8" x14ac:dyDescent="0.25">
      <c r="A3179" s="8"/>
    </row>
    <row r="3180" spans="1:1" ht="13.8" x14ac:dyDescent="0.25">
      <c r="A3180" s="8"/>
    </row>
    <row r="3181" spans="1:1" ht="13.8" x14ac:dyDescent="0.25">
      <c r="A3181" s="8"/>
    </row>
    <row r="3182" spans="1:1" ht="13.8" x14ac:dyDescent="0.25">
      <c r="A3182" s="8"/>
    </row>
    <row r="3183" spans="1:1" ht="13.8" x14ac:dyDescent="0.25">
      <c r="A3183" s="8"/>
    </row>
    <row r="3184" spans="1:1" ht="13.8" x14ac:dyDescent="0.25">
      <c r="A3184" s="8"/>
    </row>
    <row r="3185" spans="1:1" ht="13.8" x14ac:dyDescent="0.25">
      <c r="A3185" s="8"/>
    </row>
    <row r="3186" spans="1:1" ht="13.8" x14ac:dyDescent="0.25">
      <c r="A3186" s="8"/>
    </row>
    <row r="3187" spans="1:1" ht="13.8" x14ac:dyDescent="0.25">
      <c r="A3187" s="8"/>
    </row>
    <row r="3188" spans="1:1" ht="13.8" x14ac:dyDescent="0.25">
      <c r="A3188" s="8"/>
    </row>
    <row r="3189" spans="1:1" ht="13.8" x14ac:dyDescent="0.25">
      <c r="A3189" s="8"/>
    </row>
    <row r="3190" spans="1:1" ht="13.8" x14ac:dyDescent="0.25">
      <c r="A3190" s="8"/>
    </row>
    <row r="3191" spans="1:1" ht="13.8" x14ac:dyDescent="0.25">
      <c r="A3191" s="8"/>
    </row>
    <row r="3192" spans="1:1" ht="13.8" x14ac:dyDescent="0.25">
      <c r="A3192" s="8"/>
    </row>
    <row r="3193" spans="1:1" ht="13.8" x14ac:dyDescent="0.25">
      <c r="A3193" s="8"/>
    </row>
    <row r="3194" spans="1:1" ht="13.8" x14ac:dyDescent="0.25">
      <c r="A3194" s="8"/>
    </row>
    <row r="3195" spans="1:1" ht="13.8" x14ac:dyDescent="0.25">
      <c r="A3195" s="8"/>
    </row>
    <row r="3196" spans="1:1" ht="13.8" x14ac:dyDescent="0.25">
      <c r="A3196" s="8"/>
    </row>
    <row r="3197" spans="1:1" ht="13.8" x14ac:dyDescent="0.25">
      <c r="A3197" s="8"/>
    </row>
    <row r="3198" spans="1:1" ht="13.8" x14ac:dyDescent="0.25">
      <c r="A3198" s="8"/>
    </row>
    <row r="3199" spans="1:1" ht="13.8" x14ac:dyDescent="0.25">
      <c r="A3199" s="8"/>
    </row>
    <row r="3200" spans="1:1" ht="13.8" x14ac:dyDescent="0.25">
      <c r="A3200" s="8"/>
    </row>
    <row r="3201" spans="1:1" ht="13.8" x14ac:dyDescent="0.25">
      <c r="A3201" s="8"/>
    </row>
    <row r="3202" spans="1:1" ht="13.8" x14ac:dyDescent="0.25">
      <c r="A3202" s="8"/>
    </row>
    <row r="3203" spans="1:1" ht="13.8" x14ac:dyDescent="0.25">
      <c r="A3203" s="8"/>
    </row>
    <row r="3204" spans="1:1" ht="13.8" x14ac:dyDescent="0.25">
      <c r="A3204" s="8"/>
    </row>
    <row r="3205" spans="1:1" ht="13.8" x14ac:dyDescent="0.25">
      <c r="A3205" s="8"/>
    </row>
    <row r="3206" spans="1:1" ht="13.8" x14ac:dyDescent="0.25">
      <c r="A3206" s="8"/>
    </row>
    <row r="3207" spans="1:1" ht="13.8" x14ac:dyDescent="0.25">
      <c r="A3207" s="8"/>
    </row>
    <row r="3208" spans="1:1" ht="13.8" x14ac:dyDescent="0.25">
      <c r="A3208" s="8"/>
    </row>
    <row r="3209" spans="1:1" ht="13.8" x14ac:dyDescent="0.25">
      <c r="A3209" s="8"/>
    </row>
    <row r="3210" spans="1:1" ht="13.8" x14ac:dyDescent="0.25">
      <c r="A3210" s="8"/>
    </row>
    <row r="3211" spans="1:1" ht="13.8" x14ac:dyDescent="0.25">
      <c r="A3211" s="8"/>
    </row>
    <row r="3212" spans="1:1" ht="13.8" x14ac:dyDescent="0.25">
      <c r="A3212" s="8"/>
    </row>
    <row r="3213" spans="1:1" ht="13.8" x14ac:dyDescent="0.25">
      <c r="A3213" s="8"/>
    </row>
    <row r="3214" spans="1:1" ht="13.8" x14ac:dyDescent="0.25">
      <c r="A3214" s="8"/>
    </row>
    <row r="3215" spans="1:1" ht="13.8" x14ac:dyDescent="0.25">
      <c r="A3215" s="8"/>
    </row>
    <row r="3216" spans="1:1" ht="13.8" x14ac:dyDescent="0.25">
      <c r="A3216" s="8"/>
    </row>
    <row r="3217" spans="1:1" ht="13.8" x14ac:dyDescent="0.25">
      <c r="A3217" s="8"/>
    </row>
    <row r="3218" spans="1:1" ht="13.8" x14ac:dyDescent="0.25">
      <c r="A3218" s="8"/>
    </row>
    <row r="3219" spans="1:1" ht="13.8" x14ac:dyDescent="0.25">
      <c r="A3219" s="8"/>
    </row>
    <row r="3220" spans="1:1" ht="13.8" x14ac:dyDescent="0.25">
      <c r="A3220" s="8"/>
    </row>
    <row r="3221" spans="1:1" ht="13.8" x14ac:dyDescent="0.25">
      <c r="A3221" s="8"/>
    </row>
    <row r="3222" spans="1:1" ht="13.8" x14ac:dyDescent="0.25">
      <c r="A3222" s="8"/>
    </row>
    <row r="3223" spans="1:1" ht="13.8" x14ac:dyDescent="0.25">
      <c r="A3223" s="8"/>
    </row>
    <row r="3224" spans="1:1" ht="13.8" x14ac:dyDescent="0.25">
      <c r="A3224" s="8"/>
    </row>
    <row r="3225" spans="1:1" ht="13.8" x14ac:dyDescent="0.25">
      <c r="A3225" s="8"/>
    </row>
    <row r="3226" spans="1:1" ht="13.8" x14ac:dyDescent="0.25">
      <c r="A3226" s="8"/>
    </row>
    <row r="3227" spans="1:1" ht="13.8" x14ac:dyDescent="0.25">
      <c r="A3227" s="8"/>
    </row>
    <row r="3228" spans="1:1" ht="13.8" x14ac:dyDescent="0.25">
      <c r="A3228" s="8"/>
    </row>
    <row r="3229" spans="1:1" ht="13.8" x14ac:dyDescent="0.25">
      <c r="A3229" s="8"/>
    </row>
    <row r="3230" spans="1:1" ht="13.8" x14ac:dyDescent="0.25">
      <c r="A3230" s="8"/>
    </row>
    <row r="3231" spans="1:1" ht="13.8" x14ac:dyDescent="0.25">
      <c r="A3231" s="8"/>
    </row>
    <row r="3232" spans="1:1" ht="13.8" x14ac:dyDescent="0.25">
      <c r="A3232" s="8"/>
    </row>
    <row r="3233" spans="1:1" ht="13.8" x14ac:dyDescent="0.25">
      <c r="A3233" s="8"/>
    </row>
    <row r="3234" spans="1:1" ht="13.8" x14ac:dyDescent="0.25">
      <c r="A3234" s="8"/>
    </row>
    <row r="3235" spans="1:1" ht="13.8" x14ac:dyDescent="0.25">
      <c r="A3235" s="8"/>
    </row>
    <row r="3236" spans="1:1" ht="13.8" x14ac:dyDescent="0.25">
      <c r="A3236" s="8"/>
    </row>
    <row r="3237" spans="1:1" ht="13.8" x14ac:dyDescent="0.25">
      <c r="A3237" s="8"/>
    </row>
    <row r="3238" spans="1:1" ht="13.8" x14ac:dyDescent="0.25">
      <c r="A3238" s="8"/>
    </row>
    <row r="3239" spans="1:1" ht="13.8" x14ac:dyDescent="0.25">
      <c r="A3239" s="8"/>
    </row>
    <row r="3240" spans="1:1" ht="13.8" x14ac:dyDescent="0.25">
      <c r="A3240" s="8"/>
    </row>
    <row r="3241" spans="1:1" ht="13.8" x14ac:dyDescent="0.25">
      <c r="A3241" s="8"/>
    </row>
    <row r="3242" spans="1:1" ht="13.8" x14ac:dyDescent="0.25">
      <c r="A3242" s="8"/>
    </row>
    <row r="3243" spans="1:1" ht="13.8" x14ac:dyDescent="0.25">
      <c r="A3243" s="8"/>
    </row>
    <row r="3244" spans="1:1" ht="13.8" x14ac:dyDescent="0.25">
      <c r="A3244" s="8"/>
    </row>
    <row r="3245" spans="1:1" ht="13.8" x14ac:dyDescent="0.25">
      <c r="A3245" s="8"/>
    </row>
    <row r="3246" spans="1:1" ht="13.8" x14ac:dyDescent="0.25">
      <c r="A3246" s="8"/>
    </row>
    <row r="3247" spans="1:1" ht="13.8" x14ac:dyDescent="0.25">
      <c r="A3247" s="8"/>
    </row>
    <row r="3248" spans="1:1" ht="13.8" x14ac:dyDescent="0.25">
      <c r="A3248" s="8"/>
    </row>
    <row r="3249" spans="1:1" ht="13.8" x14ac:dyDescent="0.25">
      <c r="A3249" s="8"/>
    </row>
    <row r="3250" spans="1:1" ht="13.8" x14ac:dyDescent="0.25">
      <c r="A3250" s="8"/>
    </row>
    <row r="3251" spans="1:1" ht="13.8" x14ac:dyDescent="0.25">
      <c r="A3251" s="8"/>
    </row>
    <row r="3252" spans="1:1" ht="13.8" x14ac:dyDescent="0.25">
      <c r="A3252" s="8"/>
    </row>
    <row r="3253" spans="1:1" ht="13.8" x14ac:dyDescent="0.25">
      <c r="A3253" s="8"/>
    </row>
    <row r="3254" spans="1:1" ht="13.8" x14ac:dyDescent="0.25">
      <c r="A3254" s="8"/>
    </row>
    <row r="3255" spans="1:1" ht="13.8" x14ac:dyDescent="0.25">
      <c r="A3255" s="8"/>
    </row>
    <row r="3256" spans="1:1" ht="13.8" x14ac:dyDescent="0.25">
      <c r="A3256" s="8"/>
    </row>
    <row r="3257" spans="1:1" ht="13.8" x14ac:dyDescent="0.25">
      <c r="A3257" s="8"/>
    </row>
    <row r="3258" spans="1:1" ht="13.8" x14ac:dyDescent="0.25">
      <c r="A3258" s="8"/>
    </row>
    <row r="3259" spans="1:1" ht="13.8" x14ac:dyDescent="0.25">
      <c r="A3259" s="8"/>
    </row>
    <row r="3260" spans="1:1" ht="13.8" x14ac:dyDescent="0.25">
      <c r="A3260" s="8"/>
    </row>
    <row r="3261" spans="1:1" ht="13.8" x14ac:dyDescent="0.25">
      <c r="A3261" s="8"/>
    </row>
    <row r="3262" spans="1:1" ht="13.8" x14ac:dyDescent="0.25">
      <c r="A3262" s="8"/>
    </row>
    <row r="3263" spans="1:1" ht="13.8" x14ac:dyDescent="0.25">
      <c r="A3263" s="8"/>
    </row>
    <row r="3264" spans="1:1" ht="13.8" x14ac:dyDescent="0.25">
      <c r="A3264" s="8"/>
    </row>
    <row r="3265" spans="1:1" ht="13.8" x14ac:dyDescent="0.25">
      <c r="A3265" s="8"/>
    </row>
    <row r="3266" spans="1:1" ht="13.8" x14ac:dyDescent="0.25">
      <c r="A3266" s="8"/>
    </row>
    <row r="3267" spans="1:1" ht="13.8" x14ac:dyDescent="0.25">
      <c r="A3267" s="8"/>
    </row>
    <row r="3268" spans="1:1" ht="13.8" x14ac:dyDescent="0.25">
      <c r="A3268" s="8"/>
    </row>
    <row r="3269" spans="1:1" ht="13.8" x14ac:dyDescent="0.25">
      <c r="A3269" s="8"/>
    </row>
    <row r="3270" spans="1:1" ht="13.8" x14ac:dyDescent="0.25">
      <c r="A3270" s="8"/>
    </row>
    <row r="3271" spans="1:1" ht="13.8" x14ac:dyDescent="0.25">
      <c r="A3271" s="8"/>
    </row>
    <row r="3272" spans="1:1" ht="13.8" x14ac:dyDescent="0.25">
      <c r="A3272" s="8"/>
    </row>
    <row r="3273" spans="1:1" ht="13.8" x14ac:dyDescent="0.25">
      <c r="A3273" s="8"/>
    </row>
    <row r="3274" spans="1:1" ht="13.8" x14ac:dyDescent="0.25">
      <c r="A3274" s="8"/>
    </row>
    <row r="3275" spans="1:1" ht="13.8" x14ac:dyDescent="0.25">
      <c r="A3275" s="8"/>
    </row>
    <row r="3276" spans="1:1" ht="13.8" x14ac:dyDescent="0.25">
      <c r="A3276" s="8"/>
    </row>
    <row r="3277" spans="1:1" ht="13.8" x14ac:dyDescent="0.25">
      <c r="A3277" s="8"/>
    </row>
    <row r="3278" spans="1:1" ht="13.8" x14ac:dyDescent="0.25">
      <c r="A3278" s="8"/>
    </row>
    <row r="3279" spans="1:1" ht="13.8" x14ac:dyDescent="0.25">
      <c r="A3279" s="8"/>
    </row>
    <row r="3280" spans="1:1" ht="13.8" x14ac:dyDescent="0.25">
      <c r="A3280" s="8"/>
    </row>
    <row r="3281" spans="1:1" ht="13.8" x14ac:dyDescent="0.25">
      <c r="A3281" s="8"/>
    </row>
    <row r="3282" spans="1:1" ht="13.8" x14ac:dyDescent="0.25">
      <c r="A3282" s="8"/>
    </row>
    <row r="3283" spans="1:1" ht="13.8" x14ac:dyDescent="0.25">
      <c r="A3283" s="8"/>
    </row>
    <row r="3284" spans="1:1" ht="13.8" x14ac:dyDescent="0.25">
      <c r="A3284" s="8"/>
    </row>
    <row r="3285" spans="1:1" ht="13.8" x14ac:dyDescent="0.25">
      <c r="A3285" s="8"/>
    </row>
    <row r="3286" spans="1:1" ht="13.8" x14ac:dyDescent="0.25">
      <c r="A3286" s="8"/>
    </row>
    <row r="3287" spans="1:1" ht="13.8" x14ac:dyDescent="0.25">
      <c r="A3287" s="8"/>
    </row>
    <row r="3288" spans="1:1" ht="13.8" x14ac:dyDescent="0.25">
      <c r="A3288" s="8"/>
    </row>
    <row r="3289" spans="1:1" ht="13.8" x14ac:dyDescent="0.25">
      <c r="A3289" s="8"/>
    </row>
    <row r="3290" spans="1:1" ht="13.8" x14ac:dyDescent="0.25">
      <c r="A3290" s="8"/>
    </row>
    <row r="3291" spans="1:1" ht="13.8" x14ac:dyDescent="0.25">
      <c r="A3291" s="8"/>
    </row>
    <row r="3292" spans="1:1" ht="13.8" x14ac:dyDescent="0.25">
      <c r="A3292" s="8"/>
    </row>
    <row r="3293" spans="1:1" ht="13.8" x14ac:dyDescent="0.25">
      <c r="A3293" s="8"/>
    </row>
    <row r="3294" spans="1:1" ht="13.8" x14ac:dyDescent="0.25">
      <c r="A3294" s="8"/>
    </row>
    <row r="3295" spans="1:1" ht="13.8" x14ac:dyDescent="0.25">
      <c r="A3295" s="8"/>
    </row>
    <row r="3296" spans="1:1" ht="13.8" x14ac:dyDescent="0.25">
      <c r="A3296" s="8"/>
    </row>
    <row r="3297" spans="1:1" ht="13.8" x14ac:dyDescent="0.25">
      <c r="A3297" s="8"/>
    </row>
    <row r="3298" spans="1:1" ht="13.8" x14ac:dyDescent="0.25">
      <c r="A3298" s="8"/>
    </row>
    <row r="3299" spans="1:1" ht="13.8" x14ac:dyDescent="0.25">
      <c r="A3299" s="8"/>
    </row>
    <row r="3300" spans="1:1" ht="13.8" x14ac:dyDescent="0.25">
      <c r="A3300" s="8"/>
    </row>
    <row r="3301" spans="1:1" ht="13.8" x14ac:dyDescent="0.25">
      <c r="A3301" s="8"/>
    </row>
    <row r="3302" spans="1:1" ht="13.8" x14ac:dyDescent="0.25">
      <c r="A3302" s="8"/>
    </row>
    <row r="3303" spans="1:1" ht="13.8" x14ac:dyDescent="0.25">
      <c r="A3303" s="8"/>
    </row>
    <row r="3304" spans="1:1" ht="13.8" x14ac:dyDescent="0.25">
      <c r="A3304" s="8"/>
    </row>
    <row r="3305" spans="1:1" ht="13.8" x14ac:dyDescent="0.25">
      <c r="A3305" s="8"/>
    </row>
    <row r="3306" spans="1:1" ht="13.8" x14ac:dyDescent="0.25">
      <c r="A3306" s="8"/>
    </row>
    <row r="3307" spans="1:1" ht="13.8" x14ac:dyDescent="0.25">
      <c r="A3307" s="8"/>
    </row>
    <row r="3308" spans="1:1" ht="13.8" x14ac:dyDescent="0.25">
      <c r="A3308" s="8"/>
    </row>
    <row r="3309" spans="1:1" ht="13.8" x14ac:dyDescent="0.25">
      <c r="A3309" s="8"/>
    </row>
    <row r="3310" spans="1:1" ht="13.8" x14ac:dyDescent="0.25">
      <c r="A3310" s="8"/>
    </row>
    <row r="3311" spans="1:1" ht="13.8" x14ac:dyDescent="0.25">
      <c r="A3311" s="8"/>
    </row>
    <row r="3312" spans="1:1" ht="13.8" x14ac:dyDescent="0.25">
      <c r="A3312" s="8"/>
    </row>
    <row r="3313" spans="1:1" ht="13.8" x14ac:dyDescent="0.25">
      <c r="A3313" s="8"/>
    </row>
    <row r="3314" spans="1:1" ht="13.8" x14ac:dyDescent="0.25">
      <c r="A3314" s="8"/>
    </row>
    <row r="3315" spans="1:1" ht="13.8" x14ac:dyDescent="0.25">
      <c r="A3315" s="8"/>
    </row>
    <row r="3316" spans="1:1" ht="13.8" x14ac:dyDescent="0.25">
      <c r="A3316" s="8"/>
    </row>
    <row r="3317" spans="1:1" ht="13.8" x14ac:dyDescent="0.25">
      <c r="A3317" s="8"/>
    </row>
    <row r="3318" spans="1:1" ht="13.8" x14ac:dyDescent="0.25">
      <c r="A3318" s="8"/>
    </row>
    <row r="3319" spans="1:1" ht="13.8" x14ac:dyDescent="0.25">
      <c r="A3319" s="8"/>
    </row>
    <row r="3320" spans="1:1" ht="13.8" x14ac:dyDescent="0.25">
      <c r="A3320" s="8"/>
    </row>
    <row r="3321" spans="1:1" ht="13.8" x14ac:dyDescent="0.25">
      <c r="A3321" s="8"/>
    </row>
    <row r="3322" spans="1:1" ht="13.8" x14ac:dyDescent="0.25">
      <c r="A3322" s="8"/>
    </row>
    <row r="3323" spans="1:1" ht="13.8" x14ac:dyDescent="0.25">
      <c r="A3323" s="8"/>
    </row>
    <row r="3324" spans="1:1" ht="13.8" x14ac:dyDescent="0.25">
      <c r="A3324" s="8"/>
    </row>
    <row r="3325" spans="1:1" ht="13.8" x14ac:dyDescent="0.25">
      <c r="A3325" s="8"/>
    </row>
    <row r="3326" spans="1:1" ht="13.8" x14ac:dyDescent="0.25">
      <c r="A3326" s="8"/>
    </row>
    <row r="3327" spans="1:1" ht="13.8" x14ac:dyDescent="0.25">
      <c r="A3327" s="8"/>
    </row>
    <row r="3328" spans="1:1" ht="13.8" x14ac:dyDescent="0.25">
      <c r="A3328" s="8"/>
    </row>
    <row r="3329" spans="1:1" ht="13.8" x14ac:dyDescent="0.25">
      <c r="A3329" s="8"/>
    </row>
    <row r="3330" spans="1:1" ht="13.8" x14ac:dyDescent="0.25">
      <c r="A3330" s="8"/>
    </row>
    <row r="3331" spans="1:1" ht="13.8" x14ac:dyDescent="0.25">
      <c r="A3331" s="8"/>
    </row>
    <row r="3332" spans="1:1" ht="13.8" x14ac:dyDescent="0.25">
      <c r="A3332" s="8"/>
    </row>
    <row r="3333" spans="1:1" ht="13.8" x14ac:dyDescent="0.25">
      <c r="A3333" s="8"/>
    </row>
    <row r="3334" spans="1:1" ht="13.8" x14ac:dyDescent="0.25">
      <c r="A3334" s="8"/>
    </row>
    <row r="3335" spans="1:1" ht="13.8" x14ac:dyDescent="0.25">
      <c r="A3335" s="8"/>
    </row>
    <row r="3336" spans="1:1" ht="13.8" x14ac:dyDescent="0.25">
      <c r="A3336" s="8"/>
    </row>
    <row r="3337" spans="1:1" ht="13.8" x14ac:dyDescent="0.25">
      <c r="A3337" s="8"/>
    </row>
    <row r="3338" spans="1:1" ht="13.8" x14ac:dyDescent="0.25">
      <c r="A3338" s="8"/>
    </row>
    <row r="3339" spans="1:1" ht="13.8" x14ac:dyDescent="0.25">
      <c r="A3339" s="8"/>
    </row>
    <row r="3340" spans="1:1" ht="13.8" x14ac:dyDescent="0.25">
      <c r="A3340" s="8"/>
    </row>
    <row r="3341" spans="1:1" ht="13.8" x14ac:dyDescent="0.25">
      <c r="A3341" s="8"/>
    </row>
    <row r="3342" spans="1:1" ht="13.8" x14ac:dyDescent="0.25">
      <c r="A3342" s="8"/>
    </row>
    <row r="3343" spans="1:1" ht="13.8" x14ac:dyDescent="0.25">
      <c r="A3343" s="8"/>
    </row>
    <row r="3344" spans="1:1" ht="13.8" x14ac:dyDescent="0.25">
      <c r="A3344" s="8"/>
    </row>
    <row r="3345" spans="1:1" ht="13.8" x14ac:dyDescent="0.25">
      <c r="A3345" s="8"/>
    </row>
    <row r="3346" spans="1:1" ht="13.8" x14ac:dyDescent="0.25">
      <c r="A3346" s="8"/>
    </row>
    <row r="3347" spans="1:1" ht="13.8" x14ac:dyDescent="0.25">
      <c r="A3347" s="8"/>
    </row>
    <row r="3348" spans="1:1" ht="13.8" x14ac:dyDescent="0.25">
      <c r="A3348" s="8"/>
    </row>
    <row r="3349" spans="1:1" ht="13.8" x14ac:dyDescent="0.25">
      <c r="A3349" s="8"/>
    </row>
    <row r="3350" spans="1:1" ht="13.8" x14ac:dyDescent="0.25">
      <c r="A3350" s="8"/>
    </row>
    <row r="3351" spans="1:1" ht="13.8" x14ac:dyDescent="0.25">
      <c r="A3351" s="8"/>
    </row>
    <row r="3352" spans="1:1" ht="13.8" x14ac:dyDescent="0.25">
      <c r="A3352" s="8"/>
    </row>
    <row r="3353" spans="1:1" ht="13.8" x14ac:dyDescent="0.25">
      <c r="A3353" s="8"/>
    </row>
    <row r="3354" spans="1:1" ht="13.8" x14ac:dyDescent="0.25">
      <c r="A3354" s="8"/>
    </row>
    <row r="3355" spans="1:1" ht="13.8" x14ac:dyDescent="0.25">
      <c r="A3355" s="8"/>
    </row>
    <row r="3356" spans="1:1" ht="13.8" x14ac:dyDescent="0.25">
      <c r="A3356" s="8"/>
    </row>
    <row r="3357" spans="1:1" ht="13.8" x14ac:dyDescent="0.25">
      <c r="A3357" s="8"/>
    </row>
    <row r="3358" spans="1:1" ht="13.8" x14ac:dyDescent="0.25">
      <c r="A3358" s="8"/>
    </row>
    <row r="3359" spans="1:1" ht="13.8" x14ac:dyDescent="0.25">
      <c r="A3359" s="8"/>
    </row>
    <row r="3360" spans="1:1" ht="13.8" x14ac:dyDescent="0.25">
      <c r="A3360" s="8"/>
    </row>
    <row r="3361" spans="1:1" ht="13.8" x14ac:dyDescent="0.25">
      <c r="A3361" s="8"/>
    </row>
    <row r="3362" spans="1:1" ht="13.8" x14ac:dyDescent="0.25">
      <c r="A3362" s="8"/>
    </row>
    <row r="3363" spans="1:1" ht="13.8" x14ac:dyDescent="0.25">
      <c r="A3363" s="8"/>
    </row>
    <row r="3364" spans="1:1" ht="13.8" x14ac:dyDescent="0.25">
      <c r="A3364" s="8"/>
    </row>
    <row r="3365" spans="1:1" ht="13.8" x14ac:dyDescent="0.25">
      <c r="A3365" s="8"/>
    </row>
    <row r="3366" spans="1:1" ht="13.8" x14ac:dyDescent="0.25">
      <c r="A3366" s="8"/>
    </row>
    <row r="3367" spans="1:1" ht="13.8" x14ac:dyDescent="0.25">
      <c r="A3367" s="8"/>
    </row>
    <row r="3368" spans="1:1" ht="13.8" x14ac:dyDescent="0.25">
      <c r="A3368" s="8"/>
    </row>
    <row r="3369" spans="1:1" ht="13.8" x14ac:dyDescent="0.25">
      <c r="A3369" s="8"/>
    </row>
    <row r="3370" spans="1:1" ht="13.8" x14ac:dyDescent="0.25">
      <c r="A3370" s="8"/>
    </row>
    <row r="3371" spans="1:1" ht="13.8" x14ac:dyDescent="0.25">
      <c r="A3371" s="8"/>
    </row>
    <row r="3372" spans="1:1" ht="13.8" x14ac:dyDescent="0.25">
      <c r="A3372" s="8"/>
    </row>
    <row r="3373" spans="1:1" ht="13.8" x14ac:dyDescent="0.25">
      <c r="A3373" s="8"/>
    </row>
    <row r="3374" spans="1:1" ht="13.8" x14ac:dyDescent="0.25">
      <c r="A3374" s="8"/>
    </row>
    <row r="3375" spans="1:1" ht="13.8" x14ac:dyDescent="0.25">
      <c r="A3375" s="8"/>
    </row>
    <row r="3376" spans="1:1" ht="13.8" x14ac:dyDescent="0.25">
      <c r="A3376" s="8"/>
    </row>
    <row r="3377" spans="1:1" ht="13.8" x14ac:dyDescent="0.25">
      <c r="A3377" s="8"/>
    </row>
    <row r="3378" spans="1:1" ht="13.8" x14ac:dyDescent="0.25">
      <c r="A3378" s="8"/>
    </row>
    <row r="3379" spans="1:1" ht="13.8" x14ac:dyDescent="0.25">
      <c r="A3379" s="8"/>
    </row>
    <row r="3380" spans="1:1" ht="13.8" x14ac:dyDescent="0.25">
      <c r="A3380" s="8"/>
    </row>
    <row r="3381" spans="1:1" ht="13.8" x14ac:dyDescent="0.25">
      <c r="A3381" s="8"/>
    </row>
    <row r="3382" spans="1:1" ht="13.8" x14ac:dyDescent="0.25">
      <c r="A3382" s="8"/>
    </row>
    <row r="3383" spans="1:1" ht="13.8" x14ac:dyDescent="0.25">
      <c r="A3383" s="8"/>
    </row>
    <row r="3384" spans="1:1" ht="13.8" x14ac:dyDescent="0.25">
      <c r="A3384" s="8"/>
    </row>
    <row r="3385" spans="1:1" ht="13.8" x14ac:dyDescent="0.25">
      <c r="A3385" s="8"/>
    </row>
    <row r="3386" spans="1:1" ht="13.8" x14ac:dyDescent="0.25">
      <c r="A3386" s="8"/>
    </row>
    <row r="3387" spans="1:1" ht="13.8" x14ac:dyDescent="0.25">
      <c r="A3387" s="8"/>
    </row>
    <row r="3388" spans="1:1" ht="13.8" x14ac:dyDescent="0.25">
      <c r="A3388" s="8"/>
    </row>
    <row r="3389" spans="1:1" ht="13.8" x14ac:dyDescent="0.25">
      <c r="A3389" s="8"/>
    </row>
    <row r="3390" spans="1:1" ht="13.8" x14ac:dyDescent="0.25">
      <c r="A3390" s="8"/>
    </row>
    <row r="3391" spans="1:1" ht="13.8" x14ac:dyDescent="0.25">
      <c r="A3391" s="8"/>
    </row>
    <row r="3392" spans="1:1" ht="13.8" x14ac:dyDescent="0.25">
      <c r="A3392" s="8"/>
    </row>
    <row r="3393" spans="1:1" ht="13.8" x14ac:dyDescent="0.25">
      <c r="A3393" s="8"/>
    </row>
    <row r="3394" spans="1:1" ht="13.8" x14ac:dyDescent="0.25">
      <c r="A3394" s="8"/>
    </row>
    <row r="3395" spans="1:1" ht="13.8" x14ac:dyDescent="0.25">
      <c r="A3395" s="8"/>
    </row>
    <row r="3396" spans="1:1" ht="13.8" x14ac:dyDescent="0.25">
      <c r="A3396" s="8"/>
    </row>
    <row r="3397" spans="1:1" ht="13.8" x14ac:dyDescent="0.25">
      <c r="A3397" s="8"/>
    </row>
    <row r="3398" spans="1:1" ht="13.8" x14ac:dyDescent="0.25">
      <c r="A3398" s="8"/>
    </row>
    <row r="3399" spans="1:1" ht="13.8" x14ac:dyDescent="0.25">
      <c r="A3399" s="8"/>
    </row>
    <row r="3400" spans="1:1" ht="13.8" x14ac:dyDescent="0.25">
      <c r="A3400" s="8"/>
    </row>
    <row r="3401" spans="1:1" ht="13.8" x14ac:dyDescent="0.25">
      <c r="A3401" s="8"/>
    </row>
    <row r="3402" spans="1:1" ht="13.8" x14ac:dyDescent="0.25">
      <c r="A3402" s="8"/>
    </row>
    <row r="3403" spans="1:1" ht="13.8" x14ac:dyDescent="0.25">
      <c r="A3403" s="8"/>
    </row>
    <row r="3404" spans="1:1" ht="13.8" x14ac:dyDescent="0.25">
      <c r="A3404" s="8"/>
    </row>
    <row r="3405" spans="1:1" ht="13.8" x14ac:dyDescent="0.25">
      <c r="A3405" s="8"/>
    </row>
    <row r="3406" spans="1:1" ht="13.8" x14ac:dyDescent="0.25">
      <c r="A3406" s="8"/>
    </row>
    <row r="3407" spans="1:1" ht="13.8" x14ac:dyDescent="0.25">
      <c r="A3407" s="8"/>
    </row>
    <row r="3408" spans="1:1" ht="13.8" x14ac:dyDescent="0.25">
      <c r="A3408" s="8"/>
    </row>
    <row r="3409" spans="1:1" ht="13.8" x14ac:dyDescent="0.25">
      <c r="A3409" s="8"/>
    </row>
    <row r="3410" spans="1:1" ht="13.8" x14ac:dyDescent="0.25">
      <c r="A3410" s="8"/>
    </row>
    <row r="3411" spans="1:1" ht="13.8" x14ac:dyDescent="0.25">
      <c r="A3411" s="8"/>
    </row>
    <row r="3412" spans="1:1" ht="13.8" x14ac:dyDescent="0.25">
      <c r="A3412" s="8"/>
    </row>
    <row r="3413" spans="1:1" ht="13.8" x14ac:dyDescent="0.25">
      <c r="A3413" s="8"/>
    </row>
    <row r="3414" spans="1:1" ht="13.8" x14ac:dyDescent="0.25">
      <c r="A3414" s="8"/>
    </row>
    <row r="3415" spans="1:1" ht="13.8" x14ac:dyDescent="0.25">
      <c r="A3415" s="8"/>
    </row>
    <row r="3416" spans="1:1" ht="13.8" x14ac:dyDescent="0.25">
      <c r="A3416" s="8"/>
    </row>
    <row r="3417" spans="1:1" ht="13.8" x14ac:dyDescent="0.25">
      <c r="A3417" s="8"/>
    </row>
    <row r="3418" spans="1:1" ht="13.8" x14ac:dyDescent="0.25">
      <c r="A3418" s="8"/>
    </row>
    <row r="3419" spans="1:1" ht="13.8" x14ac:dyDescent="0.25">
      <c r="A3419" s="8"/>
    </row>
    <row r="3420" spans="1:1" ht="13.8" x14ac:dyDescent="0.25">
      <c r="A3420" s="8"/>
    </row>
    <row r="3421" spans="1:1" ht="13.8" x14ac:dyDescent="0.25">
      <c r="A3421" s="8"/>
    </row>
    <row r="3422" spans="1:1" ht="13.8" x14ac:dyDescent="0.25">
      <c r="A3422" s="8"/>
    </row>
    <row r="3423" spans="1:1" ht="13.8" x14ac:dyDescent="0.25">
      <c r="A3423" s="8"/>
    </row>
    <row r="3424" spans="1:1" ht="13.8" x14ac:dyDescent="0.25">
      <c r="A3424" s="8"/>
    </row>
    <row r="3425" spans="1:1" ht="13.8" x14ac:dyDescent="0.25">
      <c r="A3425" s="8"/>
    </row>
    <row r="3426" spans="1:1" ht="13.8" x14ac:dyDescent="0.25">
      <c r="A3426" s="8"/>
    </row>
    <row r="3427" spans="1:1" ht="13.8" x14ac:dyDescent="0.25">
      <c r="A3427" s="8"/>
    </row>
    <row r="3428" spans="1:1" ht="13.8" x14ac:dyDescent="0.25">
      <c r="A3428" s="8"/>
    </row>
    <row r="3429" spans="1:1" ht="13.8" x14ac:dyDescent="0.25">
      <c r="A3429" s="8"/>
    </row>
    <row r="3430" spans="1:1" ht="13.8" x14ac:dyDescent="0.25">
      <c r="A3430" s="8"/>
    </row>
    <row r="3431" spans="1:1" ht="13.8" x14ac:dyDescent="0.25">
      <c r="A3431" s="8"/>
    </row>
    <row r="3432" spans="1:1" ht="13.8" x14ac:dyDescent="0.25">
      <c r="A3432" s="8"/>
    </row>
    <row r="3433" spans="1:1" ht="13.8" x14ac:dyDescent="0.25">
      <c r="A3433" s="8"/>
    </row>
    <row r="3434" spans="1:1" ht="13.8" x14ac:dyDescent="0.25">
      <c r="A3434" s="8"/>
    </row>
    <row r="3435" spans="1:1" ht="13.8" x14ac:dyDescent="0.25">
      <c r="A3435" s="8"/>
    </row>
    <row r="3436" spans="1:1" ht="13.8" x14ac:dyDescent="0.25">
      <c r="A3436" s="8"/>
    </row>
    <row r="3437" spans="1:1" ht="13.8" x14ac:dyDescent="0.25">
      <c r="A3437" s="8"/>
    </row>
    <row r="3438" spans="1:1" ht="13.8" x14ac:dyDescent="0.25">
      <c r="A3438" s="8"/>
    </row>
    <row r="3439" spans="1:1" ht="13.8" x14ac:dyDescent="0.25">
      <c r="A3439" s="8"/>
    </row>
    <row r="3440" spans="1:1" ht="13.8" x14ac:dyDescent="0.25">
      <c r="A3440" s="8"/>
    </row>
    <row r="3441" spans="1:1" ht="13.8" x14ac:dyDescent="0.25">
      <c r="A3441" s="8"/>
    </row>
    <row r="3442" spans="1:1" ht="13.8" x14ac:dyDescent="0.25">
      <c r="A3442" s="8"/>
    </row>
    <row r="3443" spans="1:1" ht="13.8" x14ac:dyDescent="0.25">
      <c r="A3443" s="8"/>
    </row>
    <row r="3444" spans="1:1" ht="13.8" x14ac:dyDescent="0.25">
      <c r="A3444" s="8"/>
    </row>
    <row r="3445" spans="1:1" ht="13.8" x14ac:dyDescent="0.25">
      <c r="A3445" s="8"/>
    </row>
    <row r="3446" spans="1:1" ht="13.8" x14ac:dyDescent="0.25">
      <c r="A3446" s="8"/>
    </row>
    <row r="3447" spans="1:1" ht="13.8" x14ac:dyDescent="0.25">
      <c r="A3447" s="8"/>
    </row>
    <row r="3448" spans="1:1" ht="13.8" x14ac:dyDescent="0.25">
      <c r="A3448" s="8"/>
    </row>
    <row r="3449" spans="1:1" ht="13.8" x14ac:dyDescent="0.25">
      <c r="A3449" s="8"/>
    </row>
    <row r="3450" spans="1:1" ht="13.8" x14ac:dyDescent="0.25">
      <c r="A3450" s="8"/>
    </row>
    <row r="3451" spans="1:1" ht="13.8" x14ac:dyDescent="0.25">
      <c r="A3451" s="8"/>
    </row>
    <row r="3452" spans="1:1" ht="13.8" x14ac:dyDescent="0.25">
      <c r="A3452" s="8"/>
    </row>
    <row r="3453" spans="1:1" ht="13.8" x14ac:dyDescent="0.25">
      <c r="A3453" s="8"/>
    </row>
    <row r="3454" spans="1:1" ht="13.8" x14ac:dyDescent="0.25">
      <c r="A3454" s="8"/>
    </row>
    <row r="3455" spans="1:1" ht="13.8" x14ac:dyDescent="0.25">
      <c r="A3455" s="8"/>
    </row>
    <row r="3456" spans="1:1" ht="13.8" x14ac:dyDescent="0.25">
      <c r="A3456" s="8"/>
    </row>
    <row r="3457" spans="1:1" ht="13.8" x14ac:dyDescent="0.25">
      <c r="A3457" s="8"/>
    </row>
    <row r="3458" spans="1:1" ht="13.8" x14ac:dyDescent="0.25">
      <c r="A3458" s="8"/>
    </row>
    <row r="3459" spans="1:1" ht="13.8" x14ac:dyDescent="0.25">
      <c r="A3459" s="8"/>
    </row>
    <row r="3460" spans="1:1" ht="13.8" x14ac:dyDescent="0.25">
      <c r="A3460" s="8"/>
    </row>
    <row r="3461" spans="1:1" ht="13.8" x14ac:dyDescent="0.25">
      <c r="A3461" s="8"/>
    </row>
    <row r="3462" spans="1:1" ht="13.8" x14ac:dyDescent="0.25">
      <c r="A3462" s="8"/>
    </row>
    <row r="3463" spans="1:1" ht="13.8" x14ac:dyDescent="0.25">
      <c r="A3463" s="8"/>
    </row>
    <row r="3464" spans="1:1" ht="13.8" x14ac:dyDescent="0.25">
      <c r="A3464" s="8"/>
    </row>
    <row r="3465" spans="1:1" ht="13.8" x14ac:dyDescent="0.25">
      <c r="A3465" s="8"/>
    </row>
    <row r="3466" spans="1:1" ht="13.8" x14ac:dyDescent="0.25">
      <c r="A3466" s="8"/>
    </row>
    <row r="3467" spans="1:1" ht="13.8" x14ac:dyDescent="0.25">
      <c r="A3467" s="8"/>
    </row>
    <row r="3468" spans="1:1" ht="13.8" x14ac:dyDescent="0.25">
      <c r="A3468" s="8"/>
    </row>
    <row r="3469" spans="1:1" ht="13.8" x14ac:dyDescent="0.25">
      <c r="A3469" s="8"/>
    </row>
    <row r="3470" spans="1:1" ht="13.8" x14ac:dyDescent="0.25">
      <c r="A3470" s="8"/>
    </row>
    <row r="3471" spans="1:1" ht="13.8" x14ac:dyDescent="0.25">
      <c r="A3471" s="8"/>
    </row>
    <row r="3472" spans="1:1" ht="13.8" x14ac:dyDescent="0.25">
      <c r="A3472" s="8"/>
    </row>
    <row r="3473" spans="1:1" ht="13.8" x14ac:dyDescent="0.25">
      <c r="A3473" s="8"/>
    </row>
    <row r="3474" spans="1:1" ht="13.8" x14ac:dyDescent="0.25">
      <c r="A3474" s="8"/>
    </row>
    <row r="3475" spans="1:1" ht="13.8" x14ac:dyDescent="0.25">
      <c r="A3475" s="8"/>
    </row>
    <row r="3476" spans="1:1" ht="13.8" x14ac:dyDescent="0.25">
      <c r="A3476" s="8"/>
    </row>
    <row r="3477" spans="1:1" ht="13.8" x14ac:dyDescent="0.25">
      <c r="A3477" s="8"/>
    </row>
    <row r="3478" spans="1:1" ht="13.8" x14ac:dyDescent="0.25">
      <c r="A3478" s="8"/>
    </row>
    <row r="3479" spans="1:1" ht="13.8" x14ac:dyDescent="0.25">
      <c r="A3479" s="8"/>
    </row>
    <row r="3480" spans="1:1" ht="13.8" x14ac:dyDescent="0.25">
      <c r="A3480" s="8"/>
    </row>
    <row r="3481" spans="1:1" ht="13.8" x14ac:dyDescent="0.25">
      <c r="A3481" s="8"/>
    </row>
    <row r="3482" spans="1:1" ht="13.8" x14ac:dyDescent="0.25">
      <c r="A3482" s="8"/>
    </row>
    <row r="3483" spans="1:1" ht="13.8" x14ac:dyDescent="0.25">
      <c r="A3483" s="8"/>
    </row>
    <row r="3484" spans="1:1" ht="13.8" x14ac:dyDescent="0.25">
      <c r="A3484" s="8"/>
    </row>
    <row r="3485" spans="1:1" ht="13.8" x14ac:dyDescent="0.25">
      <c r="A3485" s="8"/>
    </row>
    <row r="3486" spans="1:1" ht="13.8" x14ac:dyDescent="0.25">
      <c r="A3486" s="8"/>
    </row>
    <row r="3487" spans="1:1" ht="13.8" x14ac:dyDescent="0.25">
      <c r="A3487" s="8"/>
    </row>
    <row r="3488" spans="1:1" ht="13.8" x14ac:dyDescent="0.25">
      <c r="A3488" s="8"/>
    </row>
    <row r="3489" spans="1:1" ht="13.8" x14ac:dyDescent="0.25">
      <c r="A3489" s="8"/>
    </row>
    <row r="3490" spans="1:1" ht="13.8" x14ac:dyDescent="0.25">
      <c r="A3490" s="8"/>
    </row>
    <row r="3491" spans="1:1" ht="13.8" x14ac:dyDescent="0.25">
      <c r="A3491" s="8"/>
    </row>
    <row r="3492" spans="1:1" ht="13.8" x14ac:dyDescent="0.25">
      <c r="A3492" s="8"/>
    </row>
    <row r="3493" spans="1:1" ht="13.8" x14ac:dyDescent="0.25">
      <c r="A3493" s="8"/>
    </row>
    <row r="3494" spans="1:1" ht="13.8" x14ac:dyDescent="0.25">
      <c r="A3494" s="8"/>
    </row>
    <row r="3495" spans="1:1" ht="13.8" x14ac:dyDescent="0.25">
      <c r="A3495" s="8"/>
    </row>
    <row r="3496" spans="1:1" ht="13.8" x14ac:dyDescent="0.25">
      <c r="A3496" s="8"/>
    </row>
    <row r="3497" spans="1:1" ht="13.8" x14ac:dyDescent="0.25">
      <c r="A3497" s="8"/>
    </row>
    <row r="3498" spans="1:1" ht="13.8" x14ac:dyDescent="0.25">
      <c r="A3498" s="8"/>
    </row>
    <row r="3499" spans="1:1" ht="13.8" x14ac:dyDescent="0.25">
      <c r="A3499" s="8"/>
    </row>
    <row r="3500" spans="1:1" ht="13.8" x14ac:dyDescent="0.25">
      <c r="A3500" s="8"/>
    </row>
    <row r="3501" spans="1:1" ht="13.8" x14ac:dyDescent="0.25">
      <c r="A3501" s="8"/>
    </row>
    <row r="3502" spans="1:1" ht="13.8" x14ac:dyDescent="0.25">
      <c r="A3502" s="8"/>
    </row>
    <row r="3503" spans="1:1" ht="13.8" x14ac:dyDescent="0.25">
      <c r="A3503" s="8"/>
    </row>
    <row r="3504" spans="1:1" ht="13.8" x14ac:dyDescent="0.25">
      <c r="A3504" s="8"/>
    </row>
    <row r="3505" spans="1:1" ht="13.8" x14ac:dyDescent="0.25">
      <c r="A3505" s="8"/>
    </row>
    <row r="3506" spans="1:1" ht="13.8" x14ac:dyDescent="0.25">
      <c r="A3506" s="8"/>
    </row>
    <row r="3507" spans="1:1" ht="13.8" x14ac:dyDescent="0.25">
      <c r="A3507" s="8"/>
    </row>
    <row r="3508" spans="1:1" ht="13.8" x14ac:dyDescent="0.25">
      <c r="A3508" s="8"/>
    </row>
    <row r="3509" spans="1:1" ht="13.8" x14ac:dyDescent="0.25">
      <c r="A3509" s="8"/>
    </row>
    <row r="3510" spans="1:1" ht="13.8" x14ac:dyDescent="0.25">
      <c r="A3510" s="8"/>
    </row>
    <row r="3511" spans="1:1" ht="13.8" x14ac:dyDescent="0.25">
      <c r="A3511" s="8"/>
    </row>
    <row r="3512" spans="1:1" ht="13.8" x14ac:dyDescent="0.25">
      <c r="A3512" s="8"/>
    </row>
    <row r="3513" spans="1:1" ht="13.8" x14ac:dyDescent="0.25">
      <c r="A3513" s="8"/>
    </row>
    <row r="3514" spans="1:1" ht="13.8" x14ac:dyDescent="0.25">
      <c r="A3514" s="8"/>
    </row>
    <row r="3515" spans="1:1" ht="13.8" x14ac:dyDescent="0.25">
      <c r="A3515" s="8"/>
    </row>
    <row r="3516" spans="1:1" ht="13.8" x14ac:dyDescent="0.25">
      <c r="A3516" s="8"/>
    </row>
    <row r="3517" spans="1:1" ht="13.8" x14ac:dyDescent="0.25">
      <c r="A3517" s="8"/>
    </row>
    <row r="3518" spans="1:1" ht="13.8" x14ac:dyDescent="0.25">
      <c r="A3518" s="8"/>
    </row>
    <row r="3519" spans="1:1" ht="13.8" x14ac:dyDescent="0.25">
      <c r="A3519" s="8"/>
    </row>
    <row r="3520" spans="1:1" ht="13.8" x14ac:dyDescent="0.25">
      <c r="A3520" s="8"/>
    </row>
    <row r="3521" spans="1:1" ht="13.8" x14ac:dyDescent="0.25">
      <c r="A3521" s="8"/>
    </row>
    <row r="3522" spans="1:1" ht="13.8" x14ac:dyDescent="0.25">
      <c r="A3522" s="8"/>
    </row>
    <row r="3523" spans="1:1" ht="13.8" x14ac:dyDescent="0.25">
      <c r="A3523" s="8"/>
    </row>
    <row r="3524" spans="1:1" ht="13.8" x14ac:dyDescent="0.25">
      <c r="A3524" s="8"/>
    </row>
    <row r="3525" spans="1:1" ht="13.8" x14ac:dyDescent="0.25">
      <c r="A3525" s="8"/>
    </row>
    <row r="3526" spans="1:1" ht="13.8" x14ac:dyDescent="0.25">
      <c r="A3526" s="8"/>
    </row>
    <row r="3527" spans="1:1" ht="13.8" x14ac:dyDescent="0.25">
      <c r="A3527" s="8"/>
    </row>
    <row r="3528" spans="1:1" ht="13.8" x14ac:dyDescent="0.25">
      <c r="A3528" s="8"/>
    </row>
    <row r="3529" spans="1:1" ht="13.8" x14ac:dyDescent="0.25">
      <c r="A3529" s="8"/>
    </row>
    <row r="3530" spans="1:1" ht="13.8" x14ac:dyDescent="0.25">
      <c r="A3530" s="8"/>
    </row>
    <row r="3531" spans="1:1" ht="13.8" x14ac:dyDescent="0.25">
      <c r="A3531" s="8"/>
    </row>
    <row r="3532" spans="1:1" ht="13.8" x14ac:dyDescent="0.25">
      <c r="A3532" s="8"/>
    </row>
    <row r="3533" spans="1:1" ht="13.8" x14ac:dyDescent="0.25">
      <c r="A3533" s="8"/>
    </row>
    <row r="3534" spans="1:1" ht="13.8" x14ac:dyDescent="0.25">
      <c r="A3534" s="8"/>
    </row>
    <row r="3535" spans="1:1" ht="13.8" x14ac:dyDescent="0.25">
      <c r="A3535" s="8"/>
    </row>
    <row r="3536" spans="1:1" ht="13.8" x14ac:dyDescent="0.25">
      <c r="A3536" s="8"/>
    </row>
    <row r="3537" spans="1:1" ht="13.8" x14ac:dyDescent="0.25">
      <c r="A3537" s="8"/>
    </row>
    <row r="3538" spans="1:1" ht="13.8" x14ac:dyDescent="0.25">
      <c r="A3538" s="8"/>
    </row>
    <row r="3539" spans="1:1" ht="13.8" x14ac:dyDescent="0.25">
      <c r="A3539" s="8"/>
    </row>
    <row r="3540" spans="1:1" ht="13.8" x14ac:dyDescent="0.25">
      <c r="A3540" s="8"/>
    </row>
    <row r="3541" spans="1:1" ht="13.8" x14ac:dyDescent="0.25">
      <c r="A3541" s="8"/>
    </row>
    <row r="3542" spans="1:1" ht="13.8" x14ac:dyDescent="0.25">
      <c r="A3542" s="8"/>
    </row>
    <row r="3543" spans="1:1" ht="13.8" x14ac:dyDescent="0.25">
      <c r="A3543" s="8"/>
    </row>
    <row r="3544" spans="1:1" ht="13.8" x14ac:dyDescent="0.25">
      <c r="A3544" s="8"/>
    </row>
    <row r="3545" spans="1:1" ht="13.8" x14ac:dyDescent="0.25">
      <c r="A3545" s="8"/>
    </row>
    <row r="3546" spans="1:1" ht="13.8" x14ac:dyDescent="0.25">
      <c r="A3546" s="8"/>
    </row>
    <row r="3547" spans="1:1" ht="13.8" x14ac:dyDescent="0.25">
      <c r="A3547" s="8"/>
    </row>
    <row r="3548" spans="1:1" ht="13.8" x14ac:dyDescent="0.25">
      <c r="A3548" s="8"/>
    </row>
    <row r="3549" spans="1:1" ht="13.8" x14ac:dyDescent="0.25">
      <c r="A3549" s="8"/>
    </row>
    <row r="3550" spans="1:1" ht="13.8" x14ac:dyDescent="0.25">
      <c r="A3550" s="8"/>
    </row>
    <row r="3551" spans="1:1" ht="13.8" x14ac:dyDescent="0.25">
      <c r="A3551" s="8"/>
    </row>
    <row r="3552" spans="1:1" ht="13.8" x14ac:dyDescent="0.25">
      <c r="A3552" s="8"/>
    </row>
    <row r="3553" spans="1:1" ht="13.8" x14ac:dyDescent="0.25">
      <c r="A3553" s="8"/>
    </row>
    <row r="3554" spans="1:1" ht="13.8" x14ac:dyDescent="0.25">
      <c r="A3554" s="8"/>
    </row>
    <row r="3555" spans="1:1" ht="13.8" x14ac:dyDescent="0.25">
      <c r="A3555" s="8"/>
    </row>
    <row r="3556" spans="1:1" ht="13.8" x14ac:dyDescent="0.25">
      <c r="A3556" s="8"/>
    </row>
    <row r="3557" spans="1:1" ht="13.8" x14ac:dyDescent="0.25">
      <c r="A3557" s="8"/>
    </row>
    <row r="3558" spans="1:1" ht="13.8" x14ac:dyDescent="0.25">
      <c r="A3558" s="8"/>
    </row>
    <row r="3559" spans="1:1" ht="13.8" x14ac:dyDescent="0.25">
      <c r="A3559" s="8"/>
    </row>
    <row r="3560" spans="1:1" ht="13.8" x14ac:dyDescent="0.25">
      <c r="A3560" s="8"/>
    </row>
    <row r="3561" spans="1:1" ht="13.8" x14ac:dyDescent="0.25">
      <c r="A3561" s="8"/>
    </row>
    <row r="3562" spans="1:1" ht="13.8" x14ac:dyDescent="0.25">
      <c r="A3562" s="8"/>
    </row>
    <row r="3563" spans="1:1" ht="13.8" x14ac:dyDescent="0.25">
      <c r="A3563" s="8"/>
    </row>
    <row r="3564" spans="1:1" ht="13.8" x14ac:dyDescent="0.25">
      <c r="A3564" s="8"/>
    </row>
    <row r="3565" spans="1:1" ht="13.8" x14ac:dyDescent="0.25">
      <c r="A3565" s="8"/>
    </row>
    <row r="3566" spans="1:1" ht="13.8" x14ac:dyDescent="0.25">
      <c r="A3566" s="8"/>
    </row>
    <row r="3567" spans="1:1" ht="13.8" x14ac:dyDescent="0.25">
      <c r="A3567" s="8"/>
    </row>
    <row r="3568" spans="1:1" ht="13.8" x14ac:dyDescent="0.25">
      <c r="A3568" s="8"/>
    </row>
    <row r="3569" spans="1:1" ht="13.8" x14ac:dyDescent="0.25">
      <c r="A3569" s="8"/>
    </row>
    <row r="3570" spans="1:1" ht="13.8" x14ac:dyDescent="0.25">
      <c r="A3570" s="8"/>
    </row>
    <row r="3571" spans="1:1" ht="13.8" x14ac:dyDescent="0.25">
      <c r="A3571" s="8"/>
    </row>
    <row r="3572" spans="1:1" ht="13.8" x14ac:dyDescent="0.25">
      <c r="A3572" s="8"/>
    </row>
    <row r="3573" spans="1:1" ht="13.8" x14ac:dyDescent="0.25">
      <c r="A3573" s="8"/>
    </row>
    <row r="3574" spans="1:1" ht="13.8" x14ac:dyDescent="0.25">
      <c r="A3574" s="8"/>
    </row>
    <row r="3575" spans="1:1" ht="13.8" x14ac:dyDescent="0.25">
      <c r="A3575" s="8"/>
    </row>
    <row r="3576" spans="1:1" ht="13.8" x14ac:dyDescent="0.25">
      <c r="A3576" s="8"/>
    </row>
    <row r="3577" spans="1:1" ht="13.8" x14ac:dyDescent="0.25">
      <c r="A3577" s="8"/>
    </row>
    <row r="3578" spans="1:1" ht="13.8" x14ac:dyDescent="0.25">
      <c r="A3578" s="8"/>
    </row>
    <row r="3579" spans="1:1" ht="13.8" x14ac:dyDescent="0.25">
      <c r="A3579" s="8"/>
    </row>
    <row r="3580" spans="1:1" ht="13.8" x14ac:dyDescent="0.25">
      <c r="A3580" s="8"/>
    </row>
    <row r="3581" spans="1:1" ht="13.8" x14ac:dyDescent="0.25">
      <c r="A3581" s="8"/>
    </row>
    <row r="3582" spans="1:1" ht="13.8" x14ac:dyDescent="0.25">
      <c r="A3582" s="8"/>
    </row>
    <row r="3583" spans="1:1" ht="13.8" x14ac:dyDescent="0.25">
      <c r="A3583" s="8"/>
    </row>
    <row r="3584" spans="1:1" ht="13.8" x14ac:dyDescent="0.25">
      <c r="A3584" s="8"/>
    </row>
    <row r="3585" spans="1:1" ht="13.8" x14ac:dyDescent="0.25">
      <c r="A3585" s="8"/>
    </row>
    <row r="3586" spans="1:1" ht="13.8" x14ac:dyDescent="0.25">
      <c r="A3586" s="8"/>
    </row>
    <row r="3587" spans="1:1" ht="13.8" x14ac:dyDescent="0.25">
      <c r="A3587" s="8"/>
    </row>
    <row r="3588" spans="1:1" ht="13.8" x14ac:dyDescent="0.25">
      <c r="A3588" s="8"/>
    </row>
    <row r="3589" spans="1:1" ht="13.8" x14ac:dyDescent="0.25">
      <c r="A3589" s="8"/>
    </row>
    <row r="3590" spans="1:1" ht="13.8" x14ac:dyDescent="0.25">
      <c r="A3590" s="8"/>
    </row>
    <row r="3591" spans="1:1" ht="13.8" x14ac:dyDescent="0.25">
      <c r="A3591" s="8"/>
    </row>
    <row r="3592" spans="1:1" ht="13.8" x14ac:dyDescent="0.25">
      <c r="A3592" s="8"/>
    </row>
    <row r="3593" spans="1:1" ht="13.8" x14ac:dyDescent="0.25">
      <c r="A3593" s="8"/>
    </row>
    <row r="3594" spans="1:1" ht="13.8" x14ac:dyDescent="0.25">
      <c r="A3594" s="8"/>
    </row>
    <row r="3595" spans="1:1" ht="13.8" x14ac:dyDescent="0.25">
      <c r="A3595" s="8"/>
    </row>
    <row r="3596" spans="1:1" ht="13.8" x14ac:dyDescent="0.25">
      <c r="A3596" s="8"/>
    </row>
    <row r="3597" spans="1:1" ht="13.8" x14ac:dyDescent="0.25">
      <c r="A3597" s="8"/>
    </row>
    <row r="3598" spans="1:1" ht="13.8" x14ac:dyDescent="0.25">
      <c r="A3598" s="8"/>
    </row>
    <row r="3599" spans="1:1" ht="13.8" x14ac:dyDescent="0.25">
      <c r="A3599" s="8"/>
    </row>
    <row r="3600" spans="1:1" ht="13.8" x14ac:dyDescent="0.25">
      <c r="A3600" s="8"/>
    </row>
    <row r="3601" spans="1:1" ht="13.8" x14ac:dyDescent="0.25">
      <c r="A3601" s="8"/>
    </row>
    <row r="3602" spans="1:1" ht="13.8" x14ac:dyDescent="0.25">
      <c r="A3602" s="8"/>
    </row>
    <row r="3603" spans="1:1" ht="13.8" x14ac:dyDescent="0.25">
      <c r="A3603" s="8"/>
    </row>
    <row r="3604" spans="1:1" ht="13.8" x14ac:dyDescent="0.25">
      <c r="A3604" s="8"/>
    </row>
    <row r="3605" spans="1:1" ht="13.8" x14ac:dyDescent="0.25">
      <c r="A3605" s="8"/>
    </row>
    <row r="3606" spans="1:1" ht="13.8" x14ac:dyDescent="0.25">
      <c r="A3606" s="8"/>
    </row>
    <row r="3607" spans="1:1" ht="13.8" x14ac:dyDescent="0.25">
      <c r="A3607" s="8"/>
    </row>
    <row r="3608" spans="1:1" ht="13.8" x14ac:dyDescent="0.25">
      <c r="A3608" s="8"/>
    </row>
    <row r="3609" spans="1:1" ht="13.8" x14ac:dyDescent="0.25">
      <c r="A3609" s="8"/>
    </row>
    <row r="3610" spans="1:1" ht="13.8" x14ac:dyDescent="0.25">
      <c r="A3610" s="8"/>
    </row>
    <row r="3611" spans="1:1" ht="13.8" x14ac:dyDescent="0.25">
      <c r="A3611" s="8"/>
    </row>
    <row r="3612" spans="1:1" ht="13.8" x14ac:dyDescent="0.25">
      <c r="A3612" s="8"/>
    </row>
    <row r="3613" spans="1:1" ht="13.8" x14ac:dyDescent="0.25">
      <c r="A3613" s="8"/>
    </row>
    <row r="3614" spans="1:1" ht="13.8" x14ac:dyDescent="0.25">
      <c r="A3614" s="8"/>
    </row>
    <row r="3615" spans="1:1" ht="13.8" x14ac:dyDescent="0.25">
      <c r="A3615" s="8"/>
    </row>
    <row r="3616" spans="1:1" ht="13.8" x14ac:dyDescent="0.25">
      <c r="A3616" s="8"/>
    </row>
    <row r="3617" spans="1:1" ht="13.8" x14ac:dyDescent="0.25">
      <c r="A3617" s="8"/>
    </row>
    <row r="3618" spans="1:1" ht="13.8" x14ac:dyDescent="0.25">
      <c r="A3618" s="8"/>
    </row>
    <row r="3619" spans="1:1" ht="13.8" x14ac:dyDescent="0.25">
      <c r="A3619" s="8"/>
    </row>
    <row r="3620" spans="1:1" ht="13.8" x14ac:dyDescent="0.25">
      <c r="A3620" s="8"/>
    </row>
    <row r="3621" spans="1:1" ht="13.8" x14ac:dyDescent="0.25">
      <c r="A3621" s="8"/>
    </row>
    <row r="3622" spans="1:1" ht="13.8" x14ac:dyDescent="0.25">
      <c r="A3622" s="8"/>
    </row>
    <row r="3623" spans="1:1" ht="13.8" x14ac:dyDescent="0.25">
      <c r="A3623" s="8"/>
    </row>
    <row r="3624" spans="1:1" ht="13.8" x14ac:dyDescent="0.25">
      <c r="A3624" s="8"/>
    </row>
    <row r="3625" spans="1:1" ht="13.8" x14ac:dyDescent="0.25">
      <c r="A3625" s="8"/>
    </row>
    <row r="3626" spans="1:1" ht="13.8" x14ac:dyDescent="0.25">
      <c r="A3626" s="8"/>
    </row>
    <row r="3627" spans="1:1" ht="13.8" x14ac:dyDescent="0.25">
      <c r="A3627" s="8"/>
    </row>
    <row r="3628" spans="1:1" ht="13.8" x14ac:dyDescent="0.25">
      <c r="A3628" s="8"/>
    </row>
    <row r="3629" spans="1:1" ht="13.8" x14ac:dyDescent="0.25">
      <c r="A3629" s="8"/>
    </row>
    <row r="3630" spans="1:1" ht="13.8" x14ac:dyDescent="0.25">
      <c r="A3630" s="8"/>
    </row>
    <row r="3631" spans="1:1" ht="13.8" x14ac:dyDescent="0.25">
      <c r="A3631" s="8"/>
    </row>
    <row r="3632" spans="1:1" ht="13.8" x14ac:dyDescent="0.25">
      <c r="A3632" s="8"/>
    </row>
    <row r="3633" spans="1:1" ht="13.8" x14ac:dyDescent="0.25">
      <c r="A3633" s="8"/>
    </row>
    <row r="3634" spans="1:1" ht="13.8" x14ac:dyDescent="0.25">
      <c r="A3634" s="8"/>
    </row>
    <row r="3635" spans="1:1" ht="13.8" x14ac:dyDescent="0.25">
      <c r="A3635" s="8"/>
    </row>
    <row r="3636" spans="1:1" ht="13.8" x14ac:dyDescent="0.25">
      <c r="A3636" s="8"/>
    </row>
    <row r="3637" spans="1:1" ht="13.8" x14ac:dyDescent="0.25">
      <c r="A3637" s="8"/>
    </row>
    <row r="3638" spans="1:1" ht="13.8" x14ac:dyDescent="0.25">
      <c r="A3638" s="8"/>
    </row>
    <row r="3639" spans="1:1" ht="13.8" x14ac:dyDescent="0.25">
      <c r="A3639" s="8"/>
    </row>
    <row r="3640" spans="1:1" ht="13.8" x14ac:dyDescent="0.25">
      <c r="A3640" s="8"/>
    </row>
    <row r="3641" spans="1:1" ht="13.8" x14ac:dyDescent="0.25">
      <c r="A3641" s="8"/>
    </row>
    <row r="3642" spans="1:1" ht="13.8" x14ac:dyDescent="0.25">
      <c r="A3642" s="8"/>
    </row>
    <row r="3643" spans="1:1" ht="13.8" x14ac:dyDescent="0.25">
      <c r="A3643" s="8"/>
    </row>
    <row r="3644" spans="1:1" ht="13.8" x14ac:dyDescent="0.25">
      <c r="A3644" s="8"/>
    </row>
    <row r="3645" spans="1:1" ht="13.8" x14ac:dyDescent="0.25">
      <c r="A3645" s="8"/>
    </row>
    <row r="3646" spans="1:1" ht="13.8" x14ac:dyDescent="0.25">
      <c r="A3646" s="8"/>
    </row>
    <row r="3647" spans="1:1" ht="13.8" x14ac:dyDescent="0.25">
      <c r="A3647" s="8"/>
    </row>
    <row r="3648" spans="1:1" ht="13.8" x14ac:dyDescent="0.25">
      <c r="A3648" s="8"/>
    </row>
    <row r="3649" spans="1:1" ht="13.8" x14ac:dyDescent="0.25">
      <c r="A3649" s="8"/>
    </row>
    <row r="3650" spans="1:1" ht="13.8" x14ac:dyDescent="0.25">
      <c r="A3650" s="8"/>
    </row>
    <row r="3651" spans="1:1" ht="13.8" x14ac:dyDescent="0.25">
      <c r="A3651" s="8"/>
    </row>
    <row r="3652" spans="1:1" ht="13.8" x14ac:dyDescent="0.25">
      <c r="A3652" s="8"/>
    </row>
    <row r="3653" spans="1:1" ht="13.8" x14ac:dyDescent="0.25">
      <c r="A3653" s="8"/>
    </row>
    <row r="3654" spans="1:1" ht="13.8" x14ac:dyDescent="0.25">
      <c r="A3654" s="8"/>
    </row>
    <row r="3655" spans="1:1" ht="13.8" x14ac:dyDescent="0.25">
      <c r="A3655" s="8"/>
    </row>
    <row r="3656" spans="1:1" ht="13.8" x14ac:dyDescent="0.25">
      <c r="A3656" s="8"/>
    </row>
    <row r="3657" spans="1:1" ht="13.8" x14ac:dyDescent="0.25">
      <c r="A3657" s="8"/>
    </row>
    <row r="3658" spans="1:1" ht="13.8" x14ac:dyDescent="0.25">
      <c r="A3658" s="8"/>
    </row>
    <row r="3659" spans="1:1" ht="13.8" x14ac:dyDescent="0.25">
      <c r="A3659" s="8"/>
    </row>
    <row r="3660" spans="1:1" ht="13.8" x14ac:dyDescent="0.25">
      <c r="A3660" s="8"/>
    </row>
    <row r="3661" spans="1:1" ht="13.8" x14ac:dyDescent="0.25">
      <c r="A3661" s="8"/>
    </row>
    <row r="3662" spans="1:1" ht="13.8" x14ac:dyDescent="0.25">
      <c r="A3662" s="8"/>
    </row>
    <row r="3663" spans="1:1" ht="13.8" x14ac:dyDescent="0.25">
      <c r="A3663" s="8"/>
    </row>
    <row r="3664" spans="1:1" ht="13.8" x14ac:dyDescent="0.25">
      <c r="A3664" s="8"/>
    </row>
    <row r="3665" spans="1:1" ht="13.8" x14ac:dyDescent="0.25">
      <c r="A3665" s="8"/>
    </row>
    <row r="3666" spans="1:1" ht="13.8" x14ac:dyDescent="0.25">
      <c r="A3666" s="8"/>
    </row>
    <row r="3667" spans="1:1" ht="13.8" x14ac:dyDescent="0.25">
      <c r="A3667" s="8"/>
    </row>
    <row r="3668" spans="1:1" ht="13.8" x14ac:dyDescent="0.25">
      <c r="A3668" s="8"/>
    </row>
    <row r="3669" spans="1:1" ht="13.8" x14ac:dyDescent="0.25">
      <c r="A3669" s="8"/>
    </row>
    <row r="3670" spans="1:1" ht="13.8" x14ac:dyDescent="0.25">
      <c r="A3670" s="8"/>
    </row>
    <row r="3671" spans="1:1" ht="13.8" x14ac:dyDescent="0.25">
      <c r="A3671" s="8"/>
    </row>
    <row r="3672" spans="1:1" ht="13.8" x14ac:dyDescent="0.25">
      <c r="A3672" s="8"/>
    </row>
    <row r="3673" spans="1:1" ht="13.8" x14ac:dyDescent="0.25">
      <c r="A3673" s="8"/>
    </row>
    <row r="3674" spans="1:1" ht="13.8" x14ac:dyDescent="0.25">
      <c r="A3674" s="8"/>
    </row>
    <row r="3675" spans="1:1" ht="13.8" x14ac:dyDescent="0.25">
      <c r="A3675" s="8"/>
    </row>
    <row r="3676" spans="1:1" ht="13.8" x14ac:dyDescent="0.25">
      <c r="A3676" s="8"/>
    </row>
    <row r="3677" spans="1:1" ht="13.8" x14ac:dyDescent="0.25">
      <c r="A3677" s="8"/>
    </row>
    <row r="3678" spans="1:1" ht="13.8" x14ac:dyDescent="0.25">
      <c r="A3678" s="8"/>
    </row>
    <row r="3679" spans="1:1" ht="13.8" x14ac:dyDescent="0.25">
      <c r="A3679" s="8"/>
    </row>
    <row r="3680" spans="1:1" ht="13.8" x14ac:dyDescent="0.25">
      <c r="A3680" s="8"/>
    </row>
    <row r="3681" spans="1:1" ht="13.8" x14ac:dyDescent="0.25">
      <c r="A3681" s="8"/>
    </row>
    <row r="3682" spans="1:1" ht="13.8" x14ac:dyDescent="0.25">
      <c r="A3682" s="8"/>
    </row>
    <row r="3683" spans="1:1" ht="13.8" x14ac:dyDescent="0.25">
      <c r="A3683" s="8"/>
    </row>
    <row r="3684" spans="1:1" ht="13.8" x14ac:dyDescent="0.25">
      <c r="A3684" s="8"/>
    </row>
    <row r="3685" spans="1:1" ht="13.8" x14ac:dyDescent="0.25">
      <c r="A3685" s="8"/>
    </row>
    <row r="3686" spans="1:1" ht="13.8" x14ac:dyDescent="0.25">
      <c r="A3686" s="8"/>
    </row>
    <row r="3687" spans="1:1" ht="13.8" x14ac:dyDescent="0.25">
      <c r="A3687" s="8"/>
    </row>
    <row r="3688" spans="1:1" ht="13.8" x14ac:dyDescent="0.25">
      <c r="A3688" s="8"/>
    </row>
    <row r="3689" spans="1:1" ht="13.8" x14ac:dyDescent="0.25">
      <c r="A3689" s="8"/>
    </row>
    <row r="3690" spans="1:1" ht="13.8" x14ac:dyDescent="0.25">
      <c r="A3690" s="8"/>
    </row>
    <row r="3691" spans="1:1" ht="13.8" x14ac:dyDescent="0.25">
      <c r="A3691" s="8"/>
    </row>
    <row r="3692" spans="1:1" ht="13.8" x14ac:dyDescent="0.25">
      <c r="A3692" s="8"/>
    </row>
    <row r="3693" spans="1:1" ht="13.8" x14ac:dyDescent="0.25">
      <c r="A3693" s="8"/>
    </row>
    <row r="3694" spans="1:1" ht="13.8" x14ac:dyDescent="0.25">
      <c r="A3694" s="8"/>
    </row>
    <row r="3695" spans="1:1" ht="13.8" x14ac:dyDescent="0.25">
      <c r="A3695" s="8"/>
    </row>
    <row r="3696" spans="1:1" ht="13.8" x14ac:dyDescent="0.25">
      <c r="A3696" s="8"/>
    </row>
    <row r="3697" spans="1:1" ht="13.8" x14ac:dyDescent="0.25">
      <c r="A3697" s="8"/>
    </row>
    <row r="3698" spans="1:1" ht="13.8" x14ac:dyDescent="0.25">
      <c r="A3698" s="8"/>
    </row>
    <row r="3699" spans="1:1" ht="13.8" x14ac:dyDescent="0.25">
      <c r="A3699" s="8"/>
    </row>
    <row r="3700" spans="1:1" ht="13.8" x14ac:dyDescent="0.25">
      <c r="A3700" s="8"/>
    </row>
    <row r="3701" spans="1:1" ht="13.8" x14ac:dyDescent="0.25">
      <c r="A3701" s="8"/>
    </row>
    <row r="3702" spans="1:1" ht="13.8" x14ac:dyDescent="0.25">
      <c r="A3702" s="8"/>
    </row>
    <row r="3703" spans="1:1" ht="13.8" x14ac:dyDescent="0.25">
      <c r="A3703" s="8"/>
    </row>
    <row r="3704" spans="1:1" ht="13.8" x14ac:dyDescent="0.25">
      <c r="A3704" s="8"/>
    </row>
    <row r="3705" spans="1:1" ht="13.8" x14ac:dyDescent="0.25">
      <c r="A3705" s="8"/>
    </row>
    <row r="3706" spans="1:1" ht="13.8" x14ac:dyDescent="0.25">
      <c r="A3706" s="8"/>
    </row>
    <row r="3707" spans="1:1" ht="13.8" x14ac:dyDescent="0.25">
      <c r="A3707" s="8"/>
    </row>
    <row r="3708" spans="1:1" ht="13.8" x14ac:dyDescent="0.25">
      <c r="A3708" s="8"/>
    </row>
    <row r="3709" spans="1:1" ht="13.8" x14ac:dyDescent="0.25">
      <c r="A3709" s="8"/>
    </row>
    <row r="3710" spans="1:1" ht="13.8" x14ac:dyDescent="0.25">
      <c r="A3710" s="8"/>
    </row>
    <row r="3711" spans="1:1" ht="13.8" x14ac:dyDescent="0.25">
      <c r="A3711" s="8"/>
    </row>
    <row r="3712" spans="1:1" ht="13.8" x14ac:dyDescent="0.25">
      <c r="A3712" s="8"/>
    </row>
    <row r="3713" spans="1:1" ht="13.8" x14ac:dyDescent="0.25">
      <c r="A3713" s="8"/>
    </row>
    <row r="3714" spans="1:1" ht="13.8" x14ac:dyDescent="0.25">
      <c r="A3714" s="8"/>
    </row>
    <row r="3715" spans="1:1" ht="13.8" x14ac:dyDescent="0.25">
      <c r="A3715" s="8"/>
    </row>
    <row r="3716" spans="1:1" ht="13.8" x14ac:dyDescent="0.25">
      <c r="A3716" s="8"/>
    </row>
    <row r="3717" spans="1:1" ht="13.8" x14ac:dyDescent="0.25">
      <c r="A3717" s="8"/>
    </row>
    <row r="3718" spans="1:1" ht="13.8" x14ac:dyDescent="0.25">
      <c r="A3718" s="8"/>
    </row>
    <row r="3719" spans="1:1" ht="13.8" x14ac:dyDescent="0.25">
      <c r="A3719" s="8"/>
    </row>
    <row r="3720" spans="1:1" ht="13.8" x14ac:dyDescent="0.25">
      <c r="A3720" s="8"/>
    </row>
    <row r="3721" spans="1:1" ht="13.8" x14ac:dyDescent="0.25">
      <c r="A3721" s="8"/>
    </row>
    <row r="3722" spans="1:1" ht="13.8" x14ac:dyDescent="0.25">
      <c r="A3722" s="8"/>
    </row>
    <row r="3723" spans="1:1" ht="13.8" x14ac:dyDescent="0.25">
      <c r="A3723" s="8"/>
    </row>
    <row r="3724" spans="1:1" ht="13.8" x14ac:dyDescent="0.25">
      <c r="A3724" s="8"/>
    </row>
    <row r="3725" spans="1:1" ht="13.8" x14ac:dyDescent="0.25">
      <c r="A3725" s="8"/>
    </row>
    <row r="3726" spans="1:1" ht="13.8" x14ac:dyDescent="0.25">
      <c r="A3726" s="8"/>
    </row>
    <row r="3727" spans="1:1" ht="13.8" x14ac:dyDescent="0.25">
      <c r="A3727" s="8"/>
    </row>
    <row r="3728" spans="1:1" ht="13.8" x14ac:dyDescent="0.25">
      <c r="A3728" s="8"/>
    </row>
    <row r="3729" spans="1:1" ht="13.8" x14ac:dyDescent="0.25">
      <c r="A3729" s="8"/>
    </row>
    <row r="3730" spans="1:1" ht="13.8" x14ac:dyDescent="0.25">
      <c r="A3730" s="8"/>
    </row>
    <row r="3731" spans="1:1" ht="13.8" x14ac:dyDescent="0.25">
      <c r="A3731" s="8"/>
    </row>
    <row r="3732" spans="1:1" ht="13.8" x14ac:dyDescent="0.25">
      <c r="A3732" s="8"/>
    </row>
    <row r="3733" spans="1:1" ht="13.8" x14ac:dyDescent="0.25">
      <c r="A3733" s="8"/>
    </row>
    <row r="3734" spans="1:1" ht="13.8" x14ac:dyDescent="0.25">
      <c r="A3734" s="8"/>
    </row>
    <row r="3735" spans="1:1" ht="13.8" x14ac:dyDescent="0.25">
      <c r="A3735" s="8"/>
    </row>
    <row r="3736" spans="1:1" ht="13.8" x14ac:dyDescent="0.25">
      <c r="A3736" s="8"/>
    </row>
    <row r="3737" spans="1:1" ht="13.8" x14ac:dyDescent="0.25">
      <c r="A3737" s="8"/>
    </row>
    <row r="3738" spans="1:1" ht="13.8" x14ac:dyDescent="0.25">
      <c r="A3738" s="8"/>
    </row>
    <row r="3739" spans="1:1" ht="13.8" x14ac:dyDescent="0.25">
      <c r="A3739" s="8"/>
    </row>
    <row r="3740" spans="1:1" ht="13.8" x14ac:dyDescent="0.25">
      <c r="A3740" s="8"/>
    </row>
    <row r="3741" spans="1:1" ht="13.8" x14ac:dyDescent="0.25">
      <c r="A3741" s="8"/>
    </row>
    <row r="3742" spans="1:1" ht="13.8" x14ac:dyDescent="0.25">
      <c r="A3742" s="8"/>
    </row>
    <row r="3743" spans="1:1" ht="13.8" x14ac:dyDescent="0.25">
      <c r="A3743" s="8"/>
    </row>
    <row r="3744" spans="1:1" ht="13.8" x14ac:dyDescent="0.25">
      <c r="A3744" s="8"/>
    </row>
    <row r="3745" spans="1:1" ht="13.8" x14ac:dyDescent="0.25">
      <c r="A3745" s="8"/>
    </row>
    <row r="3746" spans="1:1" ht="13.8" x14ac:dyDescent="0.25">
      <c r="A3746" s="8"/>
    </row>
    <row r="3747" spans="1:1" ht="13.8" x14ac:dyDescent="0.25">
      <c r="A3747" s="8"/>
    </row>
    <row r="3748" spans="1:1" ht="13.8" x14ac:dyDescent="0.25">
      <c r="A3748" s="8"/>
    </row>
    <row r="3749" spans="1:1" ht="13.8" x14ac:dyDescent="0.25">
      <c r="A3749" s="8"/>
    </row>
    <row r="3750" spans="1:1" ht="13.8" x14ac:dyDescent="0.25">
      <c r="A3750" s="8"/>
    </row>
    <row r="3751" spans="1:1" ht="13.8" x14ac:dyDescent="0.25">
      <c r="A3751" s="8"/>
    </row>
    <row r="3752" spans="1:1" ht="13.8" x14ac:dyDescent="0.25">
      <c r="A3752" s="8"/>
    </row>
    <row r="3753" spans="1:1" ht="13.8" x14ac:dyDescent="0.25">
      <c r="A3753" s="8"/>
    </row>
    <row r="3754" spans="1:1" ht="13.8" x14ac:dyDescent="0.25">
      <c r="A3754" s="8"/>
    </row>
    <row r="3755" spans="1:1" ht="13.8" x14ac:dyDescent="0.25">
      <c r="A3755" s="8"/>
    </row>
    <row r="3756" spans="1:1" ht="13.8" x14ac:dyDescent="0.25">
      <c r="A3756" s="8"/>
    </row>
    <row r="3757" spans="1:1" ht="13.8" x14ac:dyDescent="0.25">
      <c r="A3757" s="8"/>
    </row>
    <row r="3758" spans="1:1" ht="13.8" x14ac:dyDescent="0.25">
      <c r="A3758" s="8"/>
    </row>
    <row r="3759" spans="1:1" ht="13.8" x14ac:dyDescent="0.25">
      <c r="A3759" s="8"/>
    </row>
    <row r="3760" spans="1:1" ht="13.8" x14ac:dyDescent="0.25">
      <c r="A3760" s="8"/>
    </row>
    <row r="3761" spans="1:1" ht="13.8" x14ac:dyDescent="0.25">
      <c r="A3761" s="8"/>
    </row>
    <row r="3762" spans="1:1" ht="13.8" x14ac:dyDescent="0.25">
      <c r="A3762" s="8"/>
    </row>
    <row r="3763" spans="1:1" ht="13.8" x14ac:dyDescent="0.25">
      <c r="A3763" s="8"/>
    </row>
    <row r="3764" spans="1:1" ht="13.8" x14ac:dyDescent="0.25">
      <c r="A3764" s="8"/>
    </row>
    <row r="3765" spans="1:1" ht="13.8" x14ac:dyDescent="0.25">
      <c r="A3765" s="8"/>
    </row>
    <row r="3766" spans="1:1" ht="13.8" x14ac:dyDescent="0.25">
      <c r="A3766" s="8"/>
    </row>
    <row r="3767" spans="1:1" ht="13.8" x14ac:dyDescent="0.25">
      <c r="A3767" s="8"/>
    </row>
    <row r="3768" spans="1:1" ht="13.8" x14ac:dyDescent="0.25">
      <c r="A3768" s="8"/>
    </row>
    <row r="3769" spans="1:1" ht="13.8" x14ac:dyDescent="0.25">
      <c r="A3769" s="8"/>
    </row>
    <row r="3770" spans="1:1" ht="13.8" x14ac:dyDescent="0.25">
      <c r="A3770" s="8"/>
    </row>
    <row r="3771" spans="1:1" ht="13.8" x14ac:dyDescent="0.25">
      <c r="A3771" s="8"/>
    </row>
    <row r="3772" spans="1:1" ht="13.8" x14ac:dyDescent="0.25">
      <c r="A3772" s="8"/>
    </row>
    <row r="3773" spans="1:1" ht="13.8" x14ac:dyDescent="0.25">
      <c r="A3773" s="8"/>
    </row>
    <row r="3774" spans="1:1" ht="13.8" x14ac:dyDescent="0.25">
      <c r="A3774" s="8"/>
    </row>
    <row r="3775" spans="1:1" ht="13.8" x14ac:dyDescent="0.25">
      <c r="A3775" s="8"/>
    </row>
    <row r="3776" spans="1:1" ht="13.8" x14ac:dyDescent="0.25">
      <c r="A3776" s="8"/>
    </row>
    <row r="3777" spans="1:1" ht="13.8" x14ac:dyDescent="0.25">
      <c r="A3777" s="8"/>
    </row>
    <row r="3778" spans="1:1" ht="13.8" x14ac:dyDescent="0.25">
      <c r="A3778" s="8"/>
    </row>
    <row r="3779" spans="1:1" ht="13.8" x14ac:dyDescent="0.25">
      <c r="A3779" s="8"/>
    </row>
    <row r="3780" spans="1:1" ht="13.8" x14ac:dyDescent="0.25">
      <c r="A3780" s="8"/>
    </row>
    <row r="3781" spans="1:1" ht="13.8" x14ac:dyDescent="0.25">
      <c r="A3781" s="8"/>
    </row>
    <row r="3782" spans="1:1" ht="13.8" x14ac:dyDescent="0.25">
      <c r="A3782" s="8"/>
    </row>
    <row r="3783" spans="1:1" ht="13.8" x14ac:dyDescent="0.25">
      <c r="A3783" s="8"/>
    </row>
    <row r="3784" spans="1:1" ht="13.8" x14ac:dyDescent="0.25">
      <c r="A3784" s="8"/>
    </row>
    <row r="3785" spans="1:1" ht="13.8" x14ac:dyDescent="0.25">
      <c r="A3785" s="8"/>
    </row>
    <row r="3786" spans="1:1" ht="13.8" x14ac:dyDescent="0.25">
      <c r="A3786" s="8"/>
    </row>
    <row r="3787" spans="1:1" ht="13.8" x14ac:dyDescent="0.25">
      <c r="A3787" s="8"/>
    </row>
    <row r="3788" spans="1:1" ht="13.8" x14ac:dyDescent="0.25">
      <c r="A3788" s="8"/>
    </row>
    <row r="3789" spans="1:1" ht="13.8" x14ac:dyDescent="0.25">
      <c r="A3789" s="8"/>
    </row>
    <row r="3790" spans="1:1" ht="13.8" x14ac:dyDescent="0.25">
      <c r="A3790" s="8"/>
    </row>
    <row r="3791" spans="1:1" ht="13.8" x14ac:dyDescent="0.25">
      <c r="A3791" s="8"/>
    </row>
    <row r="3792" spans="1:1" ht="13.8" x14ac:dyDescent="0.25">
      <c r="A3792" s="8"/>
    </row>
    <row r="3793" spans="1:1" ht="13.8" x14ac:dyDescent="0.25">
      <c r="A3793" s="8"/>
    </row>
    <row r="3794" spans="1:1" ht="13.8" x14ac:dyDescent="0.25">
      <c r="A3794" s="8"/>
    </row>
    <row r="3795" spans="1:1" ht="13.8" x14ac:dyDescent="0.25">
      <c r="A3795" s="8"/>
    </row>
    <row r="3796" spans="1:1" ht="13.8" x14ac:dyDescent="0.25">
      <c r="A3796" s="8"/>
    </row>
    <row r="3797" spans="1:1" ht="13.8" x14ac:dyDescent="0.25">
      <c r="A3797" s="8"/>
    </row>
    <row r="3798" spans="1:1" ht="13.8" x14ac:dyDescent="0.25">
      <c r="A3798" s="8"/>
    </row>
    <row r="3799" spans="1:1" ht="13.8" x14ac:dyDescent="0.25">
      <c r="A3799" s="8"/>
    </row>
    <row r="3800" spans="1:1" ht="13.8" x14ac:dyDescent="0.25">
      <c r="A3800" s="8"/>
    </row>
    <row r="3801" spans="1:1" ht="13.8" x14ac:dyDescent="0.25">
      <c r="A3801" s="8"/>
    </row>
    <row r="3802" spans="1:1" ht="13.8" x14ac:dyDescent="0.25">
      <c r="A3802" s="8"/>
    </row>
    <row r="3803" spans="1:1" ht="13.8" x14ac:dyDescent="0.25">
      <c r="A3803" s="8"/>
    </row>
    <row r="3804" spans="1:1" ht="13.8" x14ac:dyDescent="0.25">
      <c r="A3804" s="8"/>
    </row>
    <row r="3805" spans="1:1" ht="13.8" x14ac:dyDescent="0.25">
      <c r="A3805" s="8"/>
    </row>
    <row r="3806" spans="1:1" ht="13.8" x14ac:dyDescent="0.25">
      <c r="A3806" s="8"/>
    </row>
    <row r="3807" spans="1:1" ht="13.8" x14ac:dyDescent="0.25">
      <c r="A3807" s="8"/>
    </row>
    <row r="3808" spans="1:1" ht="13.8" x14ac:dyDescent="0.25">
      <c r="A3808" s="8"/>
    </row>
    <row r="3809" spans="1:1" ht="13.8" x14ac:dyDescent="0.25">
      <c r="A3809" s="8"/>
    </row>
    <row r="3810" spans="1:1" ht="13.8" x14ac:dyDescent="0.25">
      <c r="A3810" s="8"/>
    </row>
    <row r="3811" spans="1:1" ht="13.8" x14ac:dyDescent="0.25">
      <c r="A3811" s="8"/>
    </row>
    <row r="3812" spans="1:1" ht="13.8" x14ac:dyDescent="0.25">
      <c r="A3812" s="8"/>
    </row>
    <row r="3813" spans="1:1" ht="13.8" x14ac:dyDescent="0.25">
      <c r="A3813" s="8"/>
    </row>
    <row r="3814" spans="1:1" ht="13.8" x14ac:dyDescent="0.25">
      <c r="A3814" s="8"/>
    </row>
    <row r="3815" spans="1:1" ht="13.8" x14ac:dyDescent="0.25">
      <c r="A3815" s="8"/>
    </row>
    <row r="3816" spans="1:1" ht="13.8" x14ac:dyDescent="0.25">
      <c r="A3816" s="8"/>
    </row>
    <row r="3817" spans="1:1" ht="13.8" x14ac:dyDescent="0.25">
      <c r="A3817" s="8"/>
    </row>
    <row r="3818" spans="1:1" ht="13.8" x14ac:dyDescent="0.25">
      <c r="A3818" s="8"/>
    </row>
    <row r="3819" spans="1:1" ht="13.8" x14ac:dyDescent="0.25">
      <c r="A3819" s="8"/>
    </row>
    <row r="3820" spans="1:1" ht="13.8" x14ac:dyDescent="0.25">
      <c r="A3820" s="8"/>
    </row>
    <row r="3821" spans="1:1" ht="13.8" x14ac:dyDescent="0.25">
      <c r="A3821" s="8"/>
    </row>
    <row r="3822" spans="1:1" ht="13.8" x14ac:dyDescent="0.25">
      <c r="A3822" s="8"/>
    </row>
    <row r="3823" spans="1:1" ht="13.8" x14ac:dyDescent="0.25">
      <c r="A3823" s="8"/>
    </row>
    <row r="3824" spans="1:1" ht="13.8" x14ac:dyDescent="0.25">
      <c r="A3824" s="8"/>
    </row>
    <row r="3825" spans="1:1" ht="13.8" x14ac:dyDescent="0.25">
      <c r="A3825" s="8"/>
    </row>
    <row r="3826" spans="1:1" ht="13.8" x14ac:dyDescent="0.25">
      <c r="A3826" s="8"/>
    </row>
    <row r="3827" spans="1:1" ht="13.8" x14ac:dyDescent="0.25">
      <c r="A3827" s="8"/>
    </row>
    <row r="3828" spans="1:1" ht="13.8" x14ac:dyDescent="0.25">
      <c r="A3828" s="8"/>
    </row>
    <row r="3829" spans="1:1" ht="13.8" x14ac:dyDescent="0.25">
      <c r="A3829" s="8"/>
    </row>
    <row r="3830" spans="1:1" ht="13.8" x14ac:dyDescent="0.25">
      <c r="A3830" s="8"/>
    </row>
    <row r="3831" spans="1:1" ht="13.8" x14ac:dyDescent="0.25">
      <c r="A3831" s="8"/>
    </row>
    <row r="3832" spans="1:1" ht="13.8" x14ac:dyDescent="0.25">
      <c r="A3832" s="8"/>
    </row>
    <row r="3833" spans="1:1" ht="13.8" x14ac:dyDescent="0.25">
      <c r="A3833" s="8"/>
    </row>
    <row r="3834" spans="1:1" ht="13.8" x14ac:dyDescent="0.25">
      <c r="A3834" s="8"/>
    </row>
    <row r="3835" spans="1:1" ht="13.8" x14ac:dyDescent="0.25">
      <c r="A3835" s="8"/>
    </row>
    <row r="3836" spans="1:1" ht="13.8" x14ac:dyDescent="0.25">
      <c r="A3836" s="8"/>
    </row>
    <row r="3837" spans="1:1" ht="13.8" x14ac:dyDescent="0.25">
      <c r="A3837" s="8"/>
    </row>
    <row r="3838" spans="1:1" ht="13.8" x14ac:dyDescent="0.25">
      <c r="A3838" s="8"/>
    </row>
    <row r="3839" spans="1:1" ht="13.8" x14ac:dyDescent="0.25">
      <c r="A3839" s="8"/>
    </row>
    <row r="3840" spans="1:1" ht="13.8" x14ac:dyDescent="0.25">
      <c r="A3840" s="8"/>
    </row>
    <row r="3841" spans="1:1" ht="13.8" x14ac:dyDescent="0.25">
      <c r="A3841" s="8"/>
    </row>
    <row r="3842" spans="1:1" ht="13.8" x14ac:dyDescent="0.25">
      <c r="A3842" s="8"/>
    </row>
    <row r="3843" spans="1:1" ht="13.8" x14ac:dyDescent="0.25">
      <c r="A3843" s="8"/>
    </row>
    <row r="3844" spans="1:1" ht="13.8" x14ac:dyDescent="0.25">
      <c r="A3844" s="8"/>
    </row>
    <row r="3845" spans="1:1" ht="13.8" x14ac:dyDescent="0.25">
      <c r="A3845" s="8"/>
    </row>
    <row r="3846" spans="1:1" ht="13.8" x14ac:dyDescent="0.25">
      <c r="A3846" s="8"/>
    </row>
    <row r="3847" spans="1:1" ht="13.8" x14ac:dyDescent="0.25">
      <c r="A3847" s="8"/>
    </row>
    <row r="3848" spans="1:1" ht="13.8" x14ac:dyDescent="0.25">
      <c r="A3848" s="8"/>
    </row>
    <row r="3849" spans="1:1" ht="13.8" x14ac:dyDescent="0.25">
      <c r="A3849" s="8"/>
    </row>
    <row r="3850" spans="1:1" ht="13.8" x14ac:dyDescent="0.25">
      <c r="A3850" s="8"/>
    </row>
    <row r="3851" spans="1:1" ht="13.8" x14ac:dyDescent="0.25">
      <c r="A3851" s="8"/>
    </row>
    <row r="3852" spans="1:1" ht="13.8" x14ac:dyDescent="0.25">
      <c r="A3852" s="8"/>
    </row>
    <row r="3853" spans="1:1" ht="13.8" x14ac:dyDescent="0.25">
      <c r="A3853" s="8"/>
    </row>
    <row r="3854" spans="1:1" ht="13.8" x14ac:dyDescent="0.25">
      <c r="A3854" s="8"/>
    </row>
    <row r="3855" spans="1:1" ht="13.8" x14ac:dyDescent="0.25">
      <c r="A3855" s="8"/>
    </row>
    <row r="3856" spans="1:1" ht="13.8" x14ac:dyDescent="0.25">
      <c r="A3856" s="8"/>
    </row>
    <row r="3857" spans="1:1" ht="13.8" x14ac:dyDescent="0.25">
      <c r="A3857" s="8"/>
    </row>
    <row r="3858" spans="1:1" ht="13.8" x14ac:dyDescent="0.25">
      <c r="A3858" s="8"/>
    </row>
    <row r="3859" spans="1:1" ht="13.8" x14ac:dyDescent="0.25">
      <c r="A3859" s="8"/>
    </row>
    <row r="3860" spans="1:1" ht="13.8" x14ac:dyDescent="0.25">
      <c r="A3860" s="8"/>
    </row>
    <row r="3861" spans="1:1" ht="13.8" x14ac:dyDescent="0.25">
      <c r="A3861" s="8"/>
    </row>
    <row r="3862" spans="1:1" ht="13.8" x14ac:dyDescent="0.25">
      <c r="A3862" s="8"/>
    </row>
    <row r="3863" spans="1:1" ht="13.8" x14ac:dyDescent="0.25">
      <c r="A3863" s="8"/>
    </row>
    <row r="3864" spans="1:1" ht="13.8" x14ac:dyDescent="0.25">
      <c r="A3864" s="8"/>
    </row>
    <row r="3865" spans="1:1" ht="13.8" x14ac:dyDescent="0.25">
      <c r="A3865" s="8"/>
    </row>
    <row r="3866" spans="1:1" ht="13.8" x14ac:dyDescent="0.25">
      <c r="A3866" s="8"/>
    </row>
    <row r="3867" spans="1:1" ht="13.8" x14ac:dyDescent="0.25">
      <c r="A3867" s="8"/>
    </row>
    <row r="3868" spans="1:1" ht="13.8" x14ac:dyDescent="0.25">
      <c r="A3868" s="8"/>
    </row>
    <row r="3869" spans="1:1" ht="13.8" x14ac:dyDescent="0.25">
      <c r="A3869" s="8"/>
    </row>
    <row r="3870" spans="1:1" ht="13.8" x14ac:dyDescent="0.25">
      <c r="A3870" s="8"/>
    </row>
    <row r="3871" spans="1:1" ht="13.8" x14ac:dyDescent="0.25">
      <c r="A3871" s="8"/>
    </row>
    <row r="3872" spans="1:1" ht="13.8" x14ac:dyDescent="0.25">
      <c r="A3872" s="8"/>
    </row>
    <row r="3873" spans="1:1" ht="13.8" x14ac:dyDescent="0.25">
      <c r="A3873" s="8"/>
    </row>
    <row r="3874" spans="1:1" ht="13.8" x14ac:dyDescent="0.25">
      <c r="A3874" s="8"/>
    </row>
    <row r="3875" spans="1:1" ht="13.8" x14ac:dyDescent="0.25">
      <c r="A3875" s="8"/>
    </row>
    <row r="3876" spans="1:1" ht="13.8" x14ac:dyDescent="0.25">
      <c r="A3876" s="8"/>
    </row>
    <row r="3877" spans="1:1" ht="13.8" x14ac:dyDescent="0.25">
      <c r="A3877" s="8"/>
    </row>
    <row r="3878" spans="1:1" ht="13.8" x14ac:dyDescent="0.25">
      <c r="A3878" s="8"/>
    </row>
    <row r="3879" spans="1:1" ht="13.8" x14ac:dyDescent="0.25">
      <c r="A3879" s="8"/>
    </row>
    <row r="3880" spans="1:1" ht="13.8" x14ac:dyDescent="0.25">
      <c r="A3880" s="8"/>
    </row>
    <row r="3881" spans="1:1" ht="13.8" x14ac:dyDescent="0.25">
      <c r="A3881" s="8"/>
    </row>
    <row r="3882" spans="1:1" ht="13.8" x14ac:dyDescent="0.25">
      <c r="A3882" s="8"/>
    </row>
    <row r="3883" spans="1:1" ht="13.8" x14ac:dyDescent="0.25">
      <c r="A3883" s="8"/>
    </row>
    <row r="3884" spans="1:1" ht="13.8" x14ac:dyDescent="0.25">
      <c r="A3884" s="8"/>
    </row>
    <row r="3885" spans="1:1" ht="13.8" x14ac:dyDescent="0.25">
      <c r="A3885" s="8"/>
    </row>
    <row r="3886" spans="1:1" ht="13.8" x14ac:dyDescent="0.25">
      <c r="A3886" s="8"/>
    </row>
    <row r="3887" spans="1:1" ht="13.8" x14ac:dyDescent="0.25">
      <c r="A3887" s="8"/>
    </row>
    <row r="3888" spans="1:1" ht="13.8" x14ac:dyDescent="0.25">
      <c r="A3888" s="8"/>
    </row>
    <row r="3889" spans="1:1" ht="13.8" x14ac:dyDescent="0.25">
      <c r="A3889" s="8"/>
    </row>
    <row r="3890" spans="1:1" ht="13.8" x14ac:dyDescent="0.25">
      <c r="A3890" s="8"/>
    </row>
    <row r="3891" spans="1:1" ht="13.8" x14ac:dyDescent="0.25">
      <c r="A3891" s="8"/>
    </row>
    <row r="3892" spans="1:1" ht="13.8" x14ac:dyDescent="0.25">
      <c r="A3892" s="8"/>
    </row>
    <row r="3893" spans="1:1" ht="13.8" x14ac:dyDescent="0.25">
      <c r="A3893" s="8"/>
    </row>
    <row r="3894" spans="1:1" ht="13.8" x14ac:dyDescent="0.25">
      <c r="A3894" s="8"/>
    </row>
    <row r="3895" spans="1:1" ht="13.8" x14ac:dyDescent="0.25">
      <c r="A3895" s="8"/>
    </row>
    <row r="3896" spans="1:1" ht="13.8" x14ac:dyDescent="0.25">
      <c r="A3896" s="8"/>
    </row>
    <row r="3897" spans="1:1" ht="13.8" x14ac:dyDescent="0.25">
      <c r="A3897" s="8"/>
    </row>
    <row r="3898" spans="1:1" ht="13.8" x14ac:dyDescent="0.25">
      <c r="A3898" s="8"/>
    </row>
    <row r="3899" spans="1:1" ht="13.8" x14ac:dyDescent="0.25">
      <c r="A3899" s="8"/>
    </row>
    <row r="3900" spans="1:1" ht="13.8" x14ac:dyDescent="0.25">
      <c r="A3900" s="8"/>
    </row>
    <row r="3901" spans="1:1" ht="13.8" x14ac:dyDescent="0.25">
      <c r="A3901" s="8"/>
    </row>
    <row r="3902" spans="1:1" ht="13.8" x14ac:dyDescent="0.25">
      <c r="A3902" s="8"/>
    </row>
    <row r="3903" spans="1:1" ht="13.8" x14ac:dyDescent="0.25">
      <c r="A3903" s="8"/>
    </row>
    <row r="3904" spans="1:1" ht="13.8" x14ac:dyDescent="0.25">
      <c r="A3904" s="8"/>
    </row>
    <row r="3905" spans="1:1" ht="13.8" x14ac:dyDescent="0.25">
      <c r="A3905" s="8"/>
    </row>
    <row r="3906" spans="1:1" ht="13.8" x14ac:dyDescent="0.25">
      <c r="A3906" s="8"/>
    </row>
    <row r="3907" spans="1:1" ht="13.8" x14ac:dyDescent="0.25">
      <c r="A3907" s="8"/>
    </row>
    <row r="3908" spans="1:1" ht="13.8" x14ac:dyDescent="0.25">
      <c r="A3908" s="8"/>
    </row>
    <row r="3909" spans="1:1" ht="13.8" x14ac:dyDescent="0.25">
      <c r="A3909" s="8"/>
    </row>
    <row r="3910" spans="1:1" ht="13.8" x14ac:dyDescent="0.25">
      <c r="A3910" s="8"/>
    </row>
    <row r="3911" spans="1:1" ht="13.8" x14ac:dyDescent="0.25">
      <c r="A3911" s="8"/>
    </row>
    <row r="3912" spans="1:1" ht="13.8" x14ac:dyDescent="0.25">
      <c r="A3912" s="8"/>
    </row>
    <row r="3913" spans="1:1" ht="13.8" x14ac:dyDescent="0.25">
      <c r="A3913" s="8"/>
    </row>
    <row r="3914" spans="1:1" ht="13.8" x14ac:dyDescent="0.25">
      <c r="A3914" s="8"/>
    </row>
    <row r="3915" spans="1:1" ht="13.8" x14ac:dyDescent="0.25">
      <c r="A3915" s="8"/>
    </row>
    <row r="3916" spans="1:1" ht="13.8" x14ac:dyDescent="0.25">
      <c r="A3916" s="8"/>
    </row>
    <row r="3917" spans="1:1" ht="13.8" x14ac:dyDescent="0.25">
      <c r="A3917" s="8"/>
    </row>
    <row r="3918" spans="1:1" ht="13.8" x14ac:dyDescent="0.25">
      <c r="A3918" s="8"/>
    </row>
    <row r="3919" spans="1:1" ht="13.8" x14ac:dyDescent="0.25">
      <c r="A3919" s="8"/>
    </row>
    <row r="3920" spans="1:1" ht="13.8" x14ac:dyDescent="0.25">
      <c r="A3920" s="8"/>
    </row>
    <row r="3921" spans="1:1" ht="13.8" x14ac:dyDescent="0.25">
      <c r="A3921" s="8"/>
    </row>
    <row r="3922" spans="1:1" ht="13.8" x14ac:dyDescent="0.25">
      <c r="A3922" s="8"/>
    </row>
    <row r="3923" spans="1:1" ht="13.8" x14ac:dyDescent="0.25">
      <c r="A3923" s="8"/>
    </row>
    <row r="3924" spans="1:1" ht="13.8" x14ac:dyDescent="0.25">
      <c r="A3924" s="8"/>
    </row>
    <row r="3925" spans="1:1" ht="13.8" x14ac:dyDescent="0.25">
      <c r="A3925" s="8"/>
    </row>
    <row r="3926" spans="1:1" ht="13.8" x14ac:dyDescent="0.25">
      <c r="A3926" s="8"/>
    </row>
    <row r="3927" spans="1:1" ht="13.8" x14ac:dyDescent="0.25">
      <c r="A3927" s="8"/>
    </row>
    <row r="3928" spans="1:1" ht="13.8" x14ac:dyDescent="0.25">
      <c r="A3928" s="8"/>
    </row>
    <row r="3929" spans="1:1" ht="13.8" x14ac:dyDescent="0.25">
      <c r="A3929" s="8"/>
    </row>
    <row r="3930" spans="1:1" ht="13.8" x14ac:dyDescent="0.25">
      <c r="A3930" s="8"/>
    </row>
    <row r="3931" spans="1:1" ht="13.8" x14ac:dyDescent="0.25">
      <c r="A3931" s="8"/>
    </row>
    <row r="3932" spans="1:1" ht="13.8" x14ac:dyDescent="0.25">
      <c r="A3932" s="8"/>
    </row>
    <row r="3933" spans="1:1" ht="13.8" x14ac:dyDescent="0.25">
      <c r="A3933" s="8"/>
    </row>
    <row r="3934" spans="1:1" ht="13.8" x14ac:dyDescent="0.25">
      <c r="A3934" s="8"/>
    </row>
    <row r="3935" spans="1:1" ht="13.8" x14ac:dyDescent="0.25">
      <c r="A3935" s="8"/>
    </row>
    <row r="3936" spans="1:1" ht="13.8" x14ac:dyDescent="0.25">
      <c r="A3936" s="8"/>
    </row>
    <row r="3937" spans="1:1" ht="13.8" x14ac:dyDescent="0.25">
      <c r="A3937" s="8"/>
    </row>
    <row r="3938" spans="1:1" ht="13.8" x14ac:dyDescent="0.25">
      <c r="A3938" s="8"/>
    </row>
    <row r="3939" spans="1:1" ht="13.8" x14ac:dyDescent="0.25">
      <c r="A3939" s="8"/>
    </row>
    <row r="3940" spans="1:1" ht="13.8" x14ac:dyDescent="0.25">
      <c r="A3940" s="8"/>
    </row>
    <row r="3941" spans="1:1" ht="13.8" x14ac:dyDescent="0.25">
      <c r="A3941" s="8"/>
    </row>
    <row r="3942" spans="1:1" ht="13.8" x14ac:dyDescent="0.25">
      <c r="A3942" s="8"/>
    </row>
    <row r="3943" spans="1:1" ht="13.8" x14ac:dyDescent="0.25">
      <c r="A3943" s="8"/>
    </row>
    <row r="3944" spans="1:1" ht="13.8" x14ac:dyDescent="0.25">
      <c r="A3944" s="8"/>
    </row>
    <row r="3945" spans="1:1" ht="13.8" x14ac:dyDescent="0.25">
      <c r="A3945" s="8"/>
    </row>
    <row r="3946" spans="1:1" ht="13.8" x14ac:dyDescent="0.25">
      <c r="A3946" s="8"/>
    </row>
    <row r="3947" spans="1:1" ht="13.8" x14ac:dyDescent="0.25">
      <c r="A3947" s="8"/>
    </row>
    <row r="3948" spans="1:1" ht="13.8" x14ac:dyDescent="0.25">
      <c r="A3948" s="8"/>
    </row>
    <row r="3949" spans="1:1" ht="13.8" x14ac:dyDescent="0.25">
      <c r="A3949" s="8"/>
    </row>
    <row r="3950" spans="1:1" ht="13.8" x14ac:dyDescent="0.25">
      <c r="A3950" s="8"/>
    </row>
    <row r="3951" spans="1:1" ht="13.8" x14ac:dyDescent="0.25">
      <c r="A3951" s="8"/>
    </row>
    <row r="3952" spans="1:1" ht="13.8" x14ac:dyDescent="0.25">
      <c r="A3952" s="8"/>
    </row>
    <row r="3953" spans="1:1" ht="13.8" x14ac:dyDescent="0.25">
      <c r="A3953" s="8"/>
    </row>
    <row r="3954" spans="1:1" ht="13.8" x14ac:dyDescent="0.25">
      <c r="A3954" s="8"/>
    </row>
    <row r="3955" spans="1:1" ht="13.8" x14ac:dyDescent="0.25">
      <c r="A3955" s="8"/>
    </row>
    <row r="3956" spans="1:1" ht="13.8" x14ac:dyDescent="0.25">
      <c r="A3956" s="8"/>
    </row>
    <row r="3957" spans="1:1" ht="13.8" x14ac:dyDescent="0.25">
      <c r="A3957" s="8"/>
    </row>
    <row r="3958" spans="1:1" ht="13.8" x14ac:dyDescent="0.25">
      <c r="A3958" s="8"/>
    </row>
    <row r="3959" spans="1:1" ht="13.8" x14ac:dyDescent="0.25">
      <c r="A3959" s="8"/>
    </row>
    <row r="3960" spans="1:1" ht="13.8" x14ac:dyDescent="0.25">
      <c r="A3960" s="8"/>
    </row>
    <row r="3961" spans="1:1" ht="13.8" x14ac:dyDescent="0.25">
      <c r="A3961" s="8"/>
    </row>
    <row r="3962" spans="1:1" ht="13.8" x14ac:dyDescent="0.25">
      <c r="A3962" s="8"/>
    </row>
    <row r="3963" spans="1:1" ht="13.8" x14ac:dyDescent="0.25">
      <c r="A3963" s="8"/>
    </row>
    <row r="3964" spans="1:1" ht="13.8" x14ac:dyDescent="0.25">
      <c r="A3964" s="8"/>
    </row>
    <row r="3965" spans="1:1" ht="13.8" x14ac:dyDescent="0.25">
      <c r="A3965" s="8"/>
    </row>
    <row r="3966" spans="1:1" ht="13.8" x14ac:dyDescent="0.25">
      <c r="A3966" s="8"/>
    </row>
    <row r="3967" spans="1:1" ht="13.8" x14ac:dyDescent="0.25">
      <c r="A3967" s="8"/>
    </row>
    <row r="3968" spans="1:1" ht="13.8" x14ac:dyDescent="0.25">
      <c r="A3968" s="8"/>
    </row>
    <row r="3969" spans="1:1" ht="13.8" x14ac:dyDescent="0.25">
      <c r="A3969" s="8"/>
    </row>
    <row r="3970" spans="1:1" ht="13.8" x14ac:dyDescent="0.25">
      <c r="A3970" s="8"/>
    </row>
    <row r="3971" spans="1:1" ht="13.8" x14ac:dyDescent="0.25">
      <c r="A3971" s="8"/>
    </row>
    <row r="3972" spans="1:1" ht="13.8" x14ac:dyDescent="0.25">
      <c r="A3972" s="8"/>
    </row>
    <row r="3973" spans="1:1" ht="13.8" x14ac:dyDescent="0.25">
      <c r="A3973" s="8"/>
    </row>
    <row r="3974" spans="1:1" ht="13.8" x14ac:dyDescent="0.25">
      <c r="A3974" s="8"/>
    </row>
    <row r="3975" spans="1:1" ht="13.8" x14ac:dyDescent="0.25">
      <c r="A3975" s="8"/>
    </row>
    <row r="3976" spans="1:1" ht="13.8" x14ac:dyDescent="0.25">
      <c r="A3976" s="8"/>
    </row>
    <row r="3977" spans="1:1" ht="13.8" x14ac:dyDescent="0.25">
      <c r="A3977" s="8"/>
    </row>
    <row r="3978" spans="1:1" ht="13.8" x14ac:dyDescent="0.25">
      <c r="A3978" s="8"/>
    </row>
    <row r="3979" spans="1:1" ht="13.8" x14ac:dyDescent="0.25">
      <c r="A3979" s="8"/>
    </row>
    <row r="3980" spans="1:1" ht="13.8" x14ac:dyDescent="0.25">
      <c r="A3980" s="8"/>
    </row>
    <row r="3981" spans="1:1" ht="13.8" x14ac:dyDescent="0.25">
      <c r="A3981" s="8"/>
    </row>
    <row r="3982" spans="1:1" ht="13.8" x14ac:dyDescent="0.25">
      <c r="A3982" s="8"/>
    </row>
    <row r="3983" spans="1:1" ht="13.8" x14ac:dyDescent="0.25">
      <c r="A3983" s="8"/>
    </row>
    <row r="3984" spans="1:1" ht="13.8" x14ac:dyDescent="0.25">
      <c r="A3984" s="8"/>
    </row>
    <row r="3985" spans="1:1" ht="13.8" x14ac:dyDescent="0.25">
      <c r="A3985" s="8"/>
    </row>
    <row r="3986" spans="1:1" ht="13.8" x14ac:dyDescent="0.25">
      <c r="A3986" s="8"/>
    </row>
    <row r="3987" spans="1:1" ht="13.8" x14ac:dyDescent="0.25">
      <c r="A3987" s="8"/>
    </row>
    <row r="3988" spans="1:1" ht="13.8" x14ac:dyDescent="0.25">
      <c r="A3988" s="8"/>
    </row>
    <row r="3989" spans="1:1" ht="13.8" x14ac:dyDescent="0.25">
      <c r="A3989" s="8"/>
    </row>
    <row r="3990" spans="1:1" ht="13.8" x14ac:dyDescent="0.25">
      <c r="A3990" s="8"/>
    </row>
    <row r="3991" spans="1:1" ht="13.8" x14ac:dyDescent="0.25">
      <c r="A3991" s="8"/>
    </row>
    <row r="3992" spans="1:1" ht="13.8" x14ac:dyDescent="0.25">
      <c r="A3992" s="8"/>
    </row>
    <row r="3993" spans="1:1" ht="13.8" x14ac:dyDescent="0.25">
      <c r="A3993" s="8"/>
    </row>
    <row r="3994" spans="1:1" ht="13.8" x14ac:dyDescent="0.25">
      <c r="A3994" s="8"/>
    </row>
    <row r="3995" spans="1:1" ht="13.8" x14ac:dyDescent="0.25">
      <c r="A3995" s="8"/>
    </row>
    <row r="3996" spans="1:1" ht="13.8" x14ac:dyDescent="0.25">
      <c r="A3996" s="8"/>
    </row>
    <row r="3997" spans="1:1" ht="13.8" x14ac:dyDescent="0.25">
      <c r="A3997" s="8"/>
    </row>
    <row r="3998" spans="1:1" ht="13.8" x14ac:dyDescent="0.25">
      <c r="A3998" s="8"/>
    </row>
    <row r="3999" spans="1:1" ht="13.8" x14ac:dyDescent="0.25">
      <c r="A3999" s="8"/>
    </row>
    <row r="4000" spans="1:1" ht="13.8" x14ac:dyDescent="0.25">
      <c r="A4000" s="8"/>
    </row>
    <row r="4001" spans="1:1" ht="13.8" x14ac:dyDescent="0.25">
      <c r="A4001" s="8"/>
    </row>
    <row r="4002" spans="1:1" ht="13.8" x14ac:dyDescent="0.25">
      <c r="A4002" s="8"/>
    </row>
    <row r="4003" spans="1:1" ht="13.8" x14ac:dyDescent="0.25">
      <c r="A4003" s="8"/>
    </row>
    <row r="4004" spans="1:1" ht="13.8" x14ac:dyDescent="0.25">
      <c r="A4004" s="8"/>
    </row>
    <row r="4005" spans="1:1" ht="13.8" x14ac:dyDescent="0.25">
      <c r="A4005" s="8"/>
    </row>
    <row r="4006" spans="1:1" ht="13.8" x14ac:dyDescent="0.25">
      <c r="A4006" s="8"/>
    </row>
    <row r="4007" spans="1:1" ht="13.8" x14ac:dyDescent="0.25">
      <c r="A4007" s="8"/>
    </row>
    <row r="4008" spans="1:1" ht="13.8" x14ac:dyDescent="0.25">
      <c r="A4008" s="8"/>
    </row>
    <row r="4009" spans="1:1" ht="13.8" x14ac:dyDescent="0.25">
      <c r="A4009" s="8"/>
    </row>
    <row r="4010" spans="1:1" ht="13.8" x14ac:dyDescent="0.25">
      <c r="A4010" s="8"/>
    </row>
    <row r="4011" spans="1:1" ht="13.8" x14ac:dyDescent="0.25">
      <c r="A4011" s="8"/>
    </row>
    <row r="4012" spans="1:1" ht="13.8" x14ac:dyDescent="0.25">
      <c r="A4012" s="8"/>
    </row>
    <row r="4013" spans="1:1" ht="13.8" x14ac:dyDescent="0.25">
      <c r="A4013" s="8"/>
    </row>
    <row r="4014" spans="1:1" ht="13.8" x14ac:dyDescent="0.25">
      <c r="A4014" s="8"/>
    </row>
    <row r="4015" spans="1:1" ht="13.8" x14ac:dyDescent="0.25">
      <c r="A4015" s="8"/>
    </row>
    <row r="4016" spans="1:1" ht="13.8" x14ac:dyDescent="0.25">
      <c r="A4016" s="8"/>
    </row>
    <row r="4017" spans="1:1" ht="13.8" x14ac:dyDescent="0.25">
      <c r="A4017" s="8"/>
    </row>
    <row r="4018" spans="1:1" ht="13.8" x14ac:dyDescent="0.25">
      <c r="A4018" s="8"/>
    </row>
    <row r="4019" spans="1:1" ht="13.8" x14ac:dyDescent="0.25">
      <c r="A4019" s="8"/>
    </row>
    <row r="4020" spans="1:1" ht="13.8" x14ac:dyDescent="0.25">
      <c r="A4020" s="8"/>
    </row>
    <row r="4021" spans="1:1" ht="13.8" x14ac:dyDescent="0.25">
      <c r="A4021" s="8"/>
    </row>
    <row r="4022" spans="1:1" ht="13.8" x14ac:dyDescent="0.25">
      <c r="A4022" s="8"/>
    </row>
    <row r="4023" spans="1:1" ht="13.8" x14ac:dyDescent="0.25">
      <c r="A4023" s="8"/>
    </row>
    <row r="4024" spans="1:1" ht="13.8" x14ac:dyDescent="0.25">
      <c r="A4024" s="8"/>
    </row>
    <row r="4025" spans="1:1" ht="13.8" x14ac:dyDescent="0.25">
      <c r="A4025" s="8"/>
    </row>
    <row r="4026" spans="1:1" ht="13.8" x14ac:dyDescent="0.25">
      <c r="A4026" s="8"/>
    </row>
    <row r="4027" spans="1:1" ht="13.8" x14ac:dyDescent="0.25">
      <c r="A4027" s="8"/>
    </row>
    <row r="4028" spans="1:1" ht="13.8" x14ac:dyDescent="0.25">
      <c r="A4028" s="8"/>
    </row>
    <row r="4029" spans="1:1" ht="13.8" x14ac:dyDescent="0.25">
      <c r="A4029" s="8"/>
    </row>
    <row r="4030" spans="1:1" ht="13.8" x14ac:dyDescent="0.25">
      <c r="A4030" s="8"/>
    </row>
    <row r="4031" spans="1:1" ht="13.8" x14ac:dyDescent="0.25">
      <c r="A4031" s="8"/>
    </row>
    <row r="4032" spans="1:1" ht="13.8" x14ac:dyDescent="0.25">
      <c r="A4032" s="8"/>
    </row>
    <row r="4033" spans="1:1" ht="13.8" x14ac:dyDescent="0.25">
      <c r="A4033" s="8"/>
    </row>
    <row r="4034" spans="1:1" ht="13.8" x14ac:dyDescent="0.25">
      <c r="A4034" s="8"/>
    </row>
    <row r="4035" spans="1:1" ht="13.8" x14ac:dyDescent="0.25">
      <c r="A4035" s="8"/>
    </row>
    <row r="4036" spans="1:1" ht="13.8" x14ac:dyDescent="0.25">
      <c r="A4036" s="8"/>
    </row>
    <row r="4037" spans="1:1" ht="13.8" x14ac:dyDescent="0.25">
      <c r="A4037" s="8"/>
    </row>
    <row r="4038" spans="1:1" ht="13.8" x14ac:dyDescent="0.25">
      <c r="A4038" s="8"/>
    </row>
    <row r="4039" spans="1:1" ht="13.8" x14ac:dyDescent="0.25">
      <c r="A4039" s="8"/>
    </row>
    <row r="4040" spans="1:1" ht="13.8" x14ac:dyDescent="0.25">
      <c r="A4040" s="8"/>
    </row>
    <row r="4041" spans="1:1" ht="13.8" x14ac:dyDescent="0.25">
      <c r="A4041" s="8"/>
    </row>
    <row r="4042" spans="1:1" ht="13.8" x14ac:dyDescent="0.25">
      <c r="A4042" s="8"/>
    </row>
    <row r="4043" spans="1:1" ht="13.8" x14ac:dyDescent="0.25">
      <c r="A4043" s="8"/>
    </row>
    <row r="4044" spans="1:1" ht="13.8" x14ac:dyDescent="0.25">
      <c r="A4044" s="8"/>
    </row>
    <row r="4045" spans="1:1" ht="13.8" x14ac:dyDescent="0.25">
      <c r="A4045" s="8"/>
    </row>
    <row r="4046" spans="1:1" ht="13.8" x14ac:dyDescent="0.25">
      <c r="A4046" s="8"/>
    </row>
    <row r="4047" spans="1:1" ht="13.8" x14ac:dyDescent="0.25">
      <c r="A4047" s="8"/>
    </row>
    <row r="4048" spans="1:1" ht="13.8" x14ac:dyDescent="0.25">
      <c r="A4048" s="8"/>
    </row>
    <row r="4049" spans="1:1" ht="13.8" x14ac:dyDescent="0.25">
      <c r="A4049" s="8"/>
    </row>
    <row r="4050" spans="1:1" ht="13.8" x14ac:dyDescent="0.25">
      <c r="A4050" s="8"/>
    </row>
    <row r="4051" spans="1:1" ht="13.8" x14ac:dyDescent="0.25">
      <c r="A4051" s="8"/>
    </row>
    <row r="4052" spans="1:1" ht="13.8" x14ac:dyDescent="0.25">
      <c r="A4052" s="8"/>
    </row>
    <row r="4053" spans="1:1" ht="13.8" x14ac:dyDescent="0.25">
      <c r="A4053" s="8"/>
    </row>
    <row r="4054" spans="1:1" ht="13.8" x14ac:dyDescent="0.25">
      <c r="A4054" s="8"/>
    </row>
    <row r="4055" spans="1:1" ht="13.8" x14ac:dyDescent="0.25">
      <c r="A4055" s="8"/>
    </row>
    <row r="4056" spans="1:1" ht="13.8" x14ac:dyDescent="0.25">
      <c r="A4056" s="8"/>
    </row>
    <row r="4057" spans="1:1" ht="13.8" x14ac:dyDescent="0.25">
      <c r="A4057" s="8"/>
    </row>
    <row r="4058" spans="1:1" ht="13.8" x14ac:dyDescent="0.25">
      <c r="A4058" s="8"/>
    </row>
    <row r="4059" spans="1:1" ht="13.8" x14ac:dyDescent="0.25">
      <c r="A4059" s="8"/>
    </row>
    <row r="4060" spans="1:1" ht="13.8" x14ac:dyDescent="0.25">
      <c r="A4060" s="8"/>
    </row>
    <row r="4061" spans="1:1" ht="13.8" x14ac:dyDescent="0.25">
      <c r="A4061" s="8"/>
    </row>
    <row r="4062" spans="1:1" ht="13.8" x14ac:dyDescent="0.25">
      <c r="A4062" s="8"/>
    </row>
    <row r="4063" spans="1:1" ht="13.8" x14ac:dyDescent="0.25">
      <c r="A4063" s="8"/>
    </row>
    <row r="4064" spans="1:1" ht="13.8" x14ac:dyDescent="0.25">
      <c r="A4064" s="8"/>
    </row>
    <row r="4065" spans="1:1" ht="13.8" x14ac:dyDescent="0.25">
      <c r="A4065" s="8"/>
    </row>
    <row r="4066" spans="1:1" ht="13.8" x14ac:dyDescent="0.25">
      <c r="A4066" s="8"/>
    </row>
    <row r="4067" spans="1:1" ht="13.8" x14ac:dyDescent="0.25">
      <c r="A4067" s="8"/>
    </row>
    <row r="4068" spans="1:1" ht="13.8" x14ac:dyDescent="0.25">
      <c r="A4068" s="8"/>
    </row>
    <row r="4069" spans="1:1" ht="13.8" x14ac:dyDescent="0.25">
      <c r="A4069" s="8"/>
    </row>
    <row r="4070" spans="1:1" ht="13.8" x14ac:dyDescent="0.25">
      <c r="A4070" s="8"/>
    </row>
    <row r="4071" spans="1:1" ht="13.8" x14ac:dyDescent="0.25">
      <c r="A4071" s="8"/>
    </row>
    <row r="4072" spans="1:1" ht="13.8" x14ac:dyDescent="0.25">
      <c r="A4072" s="8"/>
    </row>
    <row r="4073" spans="1:1" ht="13.8" x14ac:dyDescent="0.25">
      <c r="A4073" s="8"/>
    </row>
    <row r="4074" spans="1:1" ht="13.8" x14ac:dyDescent="0.25">
      <c r="A4074" s="8"/>
    </row>
    <row r="4075" spans="1:1" ht="13.8" x14ac:dyDescent="0.25">
      <c r="A4075" s="8"/>
    </row>
    <row r="4076" spans="1:1" ht="13.8" x14ac:dyDescent="0.25">
      <c r="A4076" s="8"/>
    </row>
    <row r="4077" spans="1:1" ht="13.8" x14ac:dyDescent="0.25">
      <c r="A4077" s="8"/>
    </row>
    <row r="4078" spans="1:1" ht="13.8" x14ac:dyDescent="0.25">
      <c r="A4078" s="8"/>
    </row>
    <row r="4079" spans="1:1" ht="13.8" x14ac:dyDescent="0.25">
      <c r="A4079" s="8"/>
    </row>
    <row r="4080" spans="1:1" ht="13.8" x14ac:dyDescent="0.25">
      <c r="A4080" s="8"/>
    </row>
    <row r="4081" spans="1:1" ht="13.8" x14ac:dyDescent="0.25">
      <c r="A4081" s="8"/>
    </row>
    <row r="4082" spans="1:1" ht="13.8" x14ac:dyDescent="0.25">
      <c r="A4082" s="8"/>
    </row>
    <row r="4083" spans="1:1" ht="13.8" x14ac:dyDescent="0.25">
      <c r="A4083" s="8"/>
    </row>
    <row r="4084" spans="1:1" ht="13.8" x14ac:dyDescent="0.25">
      <c r="A4084" s="8"/>
    </row>
    <row r="4085" spans="1:1" ht="13.8" x14ac:dyDescent="0.25">
      <c r="A4085" s="8"/>
    </row>
    <row r="4086" spans="1:1" ht="13.8" x14ac:dyDescent="0.25">
      <c r="A4086" s="8"/>
    </row>
    <row r="4087" spans="1:1" ht="13.8" x14ac:dyDescent="0.25">
      <c r="A4087" s="8"/>
    </row>
    <row r="4088" spans="1:1" ht="13.8" x14ac:dyDescent="0.25">
      <c r="A4088" s="8"/>
    </row>
    <row r="4089" spans="1:1" ht="13.8" x14ac:dyDescent="0.25">
      <c r="A4089" s="8"/>
    </row>
    <row r="4090" spans="1:1" ht="13.8" x14ac:dyDescent="0.25">
      <c r="A4090" s="8"/>
    </row>
    <row r="4091" spans="1:1" ht="13.8" x14ac:dyDescent="0.25">
      <c r="A4091" s="8"/>
    </row>
    <row r="4092" spans="1:1" ht="13.8" x14ac:dyDescent="0.25">
      <c r="A4092" s="8"/>
    </row>
    <row r="4093" spans="1:1" ht="13.8" x14ac:dyDescent="0.25">
      <c r="A4093" s="8"/>
    </row>
    <row r="4094" spans="1:1" ht="13.8" x14ac:dyDescent="0.25">
      <c r="A4094" s="8"/>
    </row>
    <row r="4095" spans="1:1" ht="13.8" x14ac:dyDescent="0.25">
      <c r="A4095" s="8"/>
    </row>
    <row r="4096" spans="1:1" ht="13.8" x14ac:dyDescent="0.25">
      <c r="A4096" s="8"/>
    </row>
    <row r="4097" spans="1:1" ht="13.8" x14ac:dyDescent="0.25">
      <c r="A4097" s="8"/>
    </row>
    <row r="4098" spans="1:1" ht="13.8" x14ac:dyDescent="0.25">
      <c r="A4098" s="8"/>
    </row>
    <row r="4099" spans="1:1" ht="13.8" x14ac:dyDescent="0.25">
      <c r="A4099" s="8"/>
    </row>
    <row r="4100" spans="1:1" ht="13.8" x14ac:dyDescent="0.25">
      <c r="A4100" s="8"/>
    </row>
    <row r="4101" spans="1:1" ht="13.8" x14ac:dyDescent="0.25">
      <c r="A4101" s="8"/>
    </row>
    <row r="4102" spans="1:1" ht="13.8" x14ac:dyDescent="0.25">
      <c r="A4102" s="8"/>
    </row>
    <row r="4103" spans="1:1" ht="13.8" x14ac:dyDescent="0.25">
      <c r="A4103" s="8"/>
    </row>
    <row r="4104" spans="1:1" ht="13.8" x14ac:dyDescent="0.25">
      <c r="A4104" s="8"/>
    </row>
    <row r="4105" spans="1:1" ht="13.8" x14ac:dyDescent="0.25">
      <c r="A4105" s="8"/>
    </row>
    <row r="4106" spans="1:1" ht="13.8" x14ac:dyDescent="0.25">
      <c r="A4106" s="8"/>
    </row>
    <row r="4107" spans="1:1" ht="13.8" x14ac:dyDescent="0.25">
      <c r="A4107" s="8"/>
    </row>
    <row r="4108" spans="1:1" ht="13.8" x14ac:dyDescent="0.25">
      <c r="A4108" s="8"/>
    </row>
    <row r="4109" spans="1:1" ht="13.8" x14ac:dyDescent="0.25">
      <c r="A4109" s="8"/>
    </row>
    <row r="4110" spans="1:1" ht="13.8" x14ac:dyDescent="0.25">
      <c r="A4110" s="8"/>
    </row>
    <row r="4111" spans="1:1" ht="13.8" x14ac:dyDescent="0.25">
      <c r="A4111" s="8"/>
    </row>
    <row r="4112" spans="1:1" ht="13.8" x14ac:dyDescent="0.25">
      <c r="A4112" s="8"/>
    </row>
    <row r="4113" spans="1:1" ht="13.8" x14ac:dyDescent="0.25">
      <c r="A4113" s="8"/>
    </row>
    <row r="4114" spans="1:1" ht="13.8" x14ac:dyDescent="0.25">
      <c r="A4114" s="8"/>
    </row>
    <row r="4115" spans="1:1" ht="13.8" x14ac:dyDescent="0.25">
      <c r="A4115" s="8"/>
    </row>
    <row r="4116" spans="1:1" ht="13.8" x14ac:dyDescent="0.25">
      <c r="A4116" s="8"/>
    </row>
    <row r="4117" spans="1:1" ht="13.8" x14ac:dyDescent="0.25">
      <c r="A4117" s="8"/>
    </row>
    <row r="4118" spans="1:1" ht="13.8" x14ac:dyDescent="0.25">
      <c r="A4118" s="8"/>
    </row>
    <row r="4119" spans="1:1" ht="13.8" x14ac:dyDescent="0.25">
      <c r="A4119" s="8"/>
    </row>
    <row r="4120" spans="1:1" ht="13.8" x14ac:dyDescent="0.25">
      <c r="A4120" s="8"/>
    </row>
    <row r="4121" spans="1:1" ht="13.8" x14ac:dyDescent="0.25">
      <c r="A4121" s="8"/>
    </row>
    <row r="4122" spans="1:1" ht="13.8" x14ac:dyDescent="0.25">
      <c r="A4122" s="8"/>
    </row>
    <row r="4123" spans="1:1" ht="13.8" x14ac:dyDescent="0.25">
      <c r="A4123" s="8"/>
    </row>
    <row r="4124" spans="1:1" ht="13.8" x14ac:dyDescent="0.25">
      <c r="A4124" s="8"/>
    </row>
    <row r="4125" spans="1:1" ht="13.8" x14ac:dyDescent="0.25">
      <c r="A4125" s="8"/>
    </row>
    <row r="4126" spans="1:1" ht="13.8" x14ac:dyDescent="0.25">
      <c r="A4126" s="8"/>
    </row>
    <row r="4127" spans="1:1" ht="13.8" x14ac:dyDescent="0.25">
      <c r="A4127" s="8"/>
    </row>
    <row r="4128" spans="1:1" ht="13.8" x14ac:dyDescent="0.25">
      <c r="A4128" s="8"/>
    </row>
    <row r="4129" spans="1:1" ht="13.8" x14ac:dyDescent="0.25">
      <c r="A4129" s="8"/>
    </row>
    <row r="4130" spans="1:1" ht="13.8" x14ac:dyDescent="0.25">
      <c r="A4130" s="8"/>
    </row>
    <row r="4131" spans="1:1" ht="13.8" x14ac:dyDescent="0.25">
      <c r="A4131" s="8"/>
    </row>
    <row r="4132" spans="1:1" ht="13.8" x14ac:dyDescent="0.25">
      <c r="A4132" s="8"/>
    </row>
    <row r="4133" spans="1:1" ht="13.8" x14ac:dyDescent="0.25">
      <c r="A4133" s="8"/>
    </row>
    <row r="4134" spans="1:1" ht="13.8" x14ac:dyDescent="0.25">
      <c r="A4134" s="8"/>
    </row>
    <row r="4135" spans="1:1" ht="13.8" x14ac:dyDescent="0.25">
      <c r="A4135" s="8"/>
    </row>
    <row r="4136" spans="1:1" ht="13.8" x14ac:dyDescent="0.25">
      <c r="A4136" s="8"/>
    </row>
    <row r="4137" spans="1:1" ht="13.8" x14ac:dyDescent="0.25">
      <c r="A4137" s="8"/>
    </row>
    <row r="4138" spans="1:1" ht="13.8" x14ac:dyDescent="0.25">
      <c r="A4138" s="8"/>
    </row>
    <row r="4139" spans="1:1" ht="13.8" x14ac:dyDescent="0.25">
      <c r="A4139" s="8"/>
    </row>
    <row r="4140" spans="1:1" ht="13.8" x14ac:dyDescent="0.25">
      <c r="A4140" s="8"/>
    </row>
    <row r="4141" spans="1:1" ht="13.8" x14ac:dyDescent="0.25">
      <c r="A4141" s="8"/>
    </row>
    <row r="4142" spans="1:1" ht="13.8" x14ac:dyDescent="0.25">
      <c r="A4142" s="8"/>
    </row>
    <row r="4143" spans="1:1" ht="13.8" x14ac:dyDescent="0.25">
      <c r="A4143" s="8"/>
    </row>
    <row r="4144" spans="1:1" ht="13.8" x14ac:dyDescent="0.25">
      <c r="A4144" s="8"/>
    </row>
    <row r="4145" spans="1:1" ht="13.8" x14ac:dyDescent="0.25">
      <c r="A4145" s="8"/>
    </row>
    <row r="4146" spans="1:1" ht="13.8" x14ac:dyDescent="0.25">
      <c r="A4146" s="8"/>
    </row>
    <row r="4147" spans="1:1" ht="13.8" x14ac:dyDescent="0.25">
      <c r="A4147" s="8"/>
    </row>
    <row r="4148" spans="1:1" ht="13.8" x14ac:dyDescent="0.25">
      <c r="A4148" s="8"/>
    </row>
    <row r="4149" spans="1:1" ht="13.8" x14ac:dyDescent="0.25">
      <c r="A4149" s="8"/>
    </row>
    <row r="4150" spans="1:1" ht="13.8" x14ac:dyDescent="0.25">
      <c r="A4150" s="8"/>
    </row>
    <row r="4151" spans="1:1" ht="13.8" x14ac:dyDescent="0.25">
      <c r="A4151" s="8"/>
    </row>
    <row r="4152" spans="1:1" ht="13.8" x14ac:dyDescent="0.25">
      <c r="A4152" s="8"/>
    </row>
    <row r="4153" spans="1:1" ht="13.8" x14ac:dyDescent="0.25">
      <c r="A4153" s="8"/>
    </row>
    <row r="4154" spans="1:1" ht="13.8" x14ac:dyDescent="0.25">
      <c r="A4154" s="8"/>
    </row>
    <row r="4155" spans="1:1" ht="13.8" x14ac:dyDescent="0.25">
      <c r="A4155" s="8"/>
    </row>
    <row r="4156" spans="1:1" ht="13.8" x14ac:dyDescent="0.25">
      <c r="A4156" s="8"/>
    </row>
    <row r="4157" spans="1:1" ht="13.8" x14ac:dyDescent="0.25">
      <c r="A4157" s="8"/>
    </row>
    <row r="4158" spans="1:1" ht="13.8" x14ac:dyDescent="0.25">
      <c r="A4158" s="8"/>
    </row>
    <row r="4159" spans="1:1" ht="13.8" x14ac:dyDescent="0.25">
      <c r="A4159" s="8"/>
    </row>
    <row r="4160" spans="1:1" ht="13.8" x14ac:dyDescent="0.25">
      <c r="A4160" s="8"/>
    </row>
    <row r="4161" spans="1:1" ht="13.8" x14ac:dyDescent="0.25">
      <c r="A4161" s="8"/>
    </row>
    <row r="4162" spans="1:1" ht="13.8" x14ac:dyDescent="0.25">
      <c r="A4162" s="8"/>
    </row>
    <row r="4163" spans="1:1" ht="13.8" x14ac:dyDescent="0.25">
      <c r="A4163" s="8"/>
    </row>
    <row r="4164" spans="1:1" ht="13.8" x14ac:dyDescent="0.25">
      <c r="A4164" s="8"/>
    </row>
    <row r="4165" spans="1:1" ht="13.8" x14ac:dyDescent="0.25">
      <c r="A4165" s="8"/>
    </row>
    <row r="4166" spans="1:1" ht="13.8" x14ac:dyDescent="0.25">
      <c r="A4166" s="8"/>
    </row>
    <row r="4167" spans="1:1" ht="13.8" x14ac:dyDescent="0.25">
      <c r="A4167" s="8"/>
    </row>
    <row r="4168" spans="1:1" ht="13.8" x14ac:dyDescent="0.25">
      <c r="A4168" s="8"/>
    </row>
    <row r="4169" spans="1:1" ht="13.8" x14ac:dyDescent="0.25">
      <c r="A4169" s="8"/>
    </row>
    <row r="4170" spans="1:1" ht="13.8" x14ac:dyDescent="0.25">
      <c r="A4170" s="8"/>
    </row>
    <row r="4171" spans="1:1" ht="13.8" x14ac:dyDescent="0.25">
      <c r="A4171" s="8"/>
    </row>
    <row r="4172" spans="1:1" ht="13.8" x14ac:dyDescent="0.25">
      <c r="A4172" s="8"/>
    </row>
    <row r="4173" spans="1:1" ht="13.8" x14ac:dyDescent="0.25">
      <c r="A4173" s="8"/>
    </row>
    <row r="4174" spans="1:1" ht="13.8" x14ac:dyDescent="0.25">
      <c r="A4174" s="8"/>
    </row>
    <row r="4175" spans="1:1" ht="13.8" x14ac:dyDescent="0.25">
      <c r="A4175" s="8"/>
    </row>
    <row r="4176" spans="1:1" ht="13.8" x14ac:dyDescent="0.25">
      <c r="A4176" s="8"/>
    </row>
    <row r="4177" spans="1:1" ht="13.8" x14ac:dyDescent="0.25">
      <c r="A4177" s="8"/>
    </row>
    <row r="4178" spans="1:1" ht="13.8" x14ac:dyDescent="0.25">
      <c r="A4178" s="8"/>
    </row>
    <row r="4179" spans="1:1" ht="13.8" x14ac:dyDescent="0.25">
      <c r="A4179" s="8"/>
    </row>
    <row r="4180" spans="1:1" ht="13.8" x14ac:dyDescent="0.25">
      <c r="A4180" s="8"/>
    </row>
    <row r="4181" spans="1:1" ht="13.8" x14ac:dyDescent="0.25">
      <c r="A4181" s="8"/>
    </row>
    <row r="4182" spans="1:1" ht="13.8" x14ac:dyDescent="0.25">
      <c r="A4182" s="8"/>
    </row>
    <row r="4183" spans="1:1" ht="13.8" x14ac:dyDescent="0.25">
      <c r="A4183" s="8"/>
    </row>
    <row r="4184" spans="1:1" ht="13.8" x14ac:dyDescent="0.25">
      <c r="A4184" s="8"/>
    </row>
    <row r="4185" spans="1:1" ht="13.8" x14ac:dyDescent="0.25">
      <c r="A4185" s="8"/>
    </row>
    <row r="4186" spans="1:1" ht="13.8" x14ac:dyDescent="0.25">
      <c r="A4186" s="8"/>
    </row>
    <row r="4187" spans="1:1" ht="13.8" x14ac:dyDescent="0.25">
      <c r="A4187" s="8"/>
    </row>
    <row r="4188" spans="1:1" ht="13.8" x14ac:dyDescent="0.25">
      <c r="A4188" s="8"/>
    </row>
    <row r="4189" spans="1:1" ht="13.8" x14ac:dyDescent="0.25">
      <c r="A4189" s="8"/>
    </row>
    <row r="4190" spans="1:1" ht="13.8" x14ac:dyDescent="0.25">
      <c r="A4190" s="8"/>
    </row>
    <row r="4191" spans="1:1" ht="13.8" x14ac:dyDescent="0.25">
      <c r="A4191" s="8"/>
    </row>
    <row r="4192" spans="1:1" ht="13.8" x14ac:dyDescent="0.25">
      <c r="A4192" s="8"/>
    </row>
    <row r="4193" spans="1:1" ht="13.8" x14ac:dyDescent="0.25">
      <c r="A4193" s="8"/>
    </row>
    <row r="4194" spans="1:1" ht="13.8" x14ac:dyDescent="0.25">
      <c r="A4194" s="8"/>
    </row>
    <row r="4195" spans="1:1" ht="13.8" x14ac:dyDescent="0.25">
      <c r="A4195" s="8"/>
    </row>
    <row r="4196" spans="1:1" ht="13.8" x14ac:dyDescent="0.25">
      <c r="A4196" s="8"/>
    </row>
    <row r="4197" spans="1:1" ht="13.8" x14ac:dyDescent="0.25">
      <c r="A4197" s="8"/>
    </row>
    <row r="4198" spans="1:1" ht="13.8" x14ac:dyDescent="0.25">
      <c r="A4198" s="8"/>
    </row>
    <row r="4199" spans="1:1" ht="13.8" x14ac:dyDescent="0.25">
      <c r="A4199" s="8"/>
    </row>
    <row r="4200" spans="1:1" ht="13.8" x14ac:dyDescent="0.25">
      <c r="A4200" s="8"/>
    </row>
    <row r="4201" spans="1:1" ht="13.8" x14ac:dyDescent="0.25">
      <c r="A4201" s="8"/>
    </row>
    <row r="4202" spans="1:1" ht="13.8" x14ac:dyDescent="0.25">
      <c r="A4202" s="8"/>
    </row>
    <row r="4203" spans="1:1" ht="13.8" x14ac:dyDescent="0.25">
      <c r="A4203" s="8"/>
    </row>
    <row r="4204" spans="1:1" ht="13.8" x14ac:dyDescent="0.25">
      <c r="A4204" s="8"/>
    </row>
    <row r="4205" spans="1:1" ht="13.8" x14ac:dyDescent="0.25">
      <c r="A4205" s="8"/>
    </row>
    <row r="4206" spans="1:1" ht="13.8" x14ac:dyDescent="0.25">
      <c r="A4206" s="8"/>
    </row>
    <row r="4207" spans="1:1" ht="13.8" x14ac:dyDescent="0.25">
      <c r="A4207" s="8"/>
    </row>
    <row r="4208" spans="1:1" ht="13.8" x14ac:dyDescent="0.25">
      <c r="A4208" s="8"/>
    </row>
    <row r="4209" spans="1:1" ht="13.8" x14ac:dyDescent="0.25">
      <c r="A4209" s="8"/>
    </row>
    <row r="4210" spans="1:1" ht="13.8" x14ac:dyDescent="0.25">
      <c r="A4210" s="8"/>
    </row>
    <row r="4211" spans="1:1" ht="13.8" x14ac:dyDescent="0.25">
      <c r="A4211" s="8"/>
    </row>
    <row r="4212" spans="1:1" ht="13.8" x14ac:dyDescent="0.25">
      <c r="A4212" s="8"/>
    </row>
    <row r="4213" spans="1:1" ht="13.8" x14ac:dyDescent="0.25">
      <c r="A4213" s="8"/>
    </row>
    <row r="4214" spans="1:1" ht="13.8" x14ac:dyDescent="0.25">
      <c r="A4214" s="8"/>
    </row>
    <row r="4215" spans="1:1" ht="13.8" x14ac:dyDescent="0.25">
      <c r="A4215" s="8"/>
    </row>
    <row r="4216" spans="1:1" ht="13.8" x14ac:dyDescent="0.25">
      <c r="A4216" s="8"/>
    </row>
    <row r="4217" spans="1:1" ht="13.8" x14ac:dyDescent="0.25">
      <c r="A4217" s="8"/>
    </row>
    <row r="4218" spans="1:1" ht="13.8" x14ac:dyDescent="0.25">
      <c r="A4218" s="8"/>
    </row>
    <row r="4219" spans="1:1" ht="13.8" x14ac:dyDescent="0.25">
      <c r="A4219" s="8"/>
    </row>
    <row r="4220" spans="1:1" ht="13.8" x14ac:dyDescent="0.25">
      <c r="A4220" s="8"/>
    </row>
    <row r="4221" spans="1:1" ht="13.8" x14ac:dyDescent="0.25">
      <c r="A4221" s="8"/>
    </row>
    <row r="4222" spans="1:1" ht="13.8" x14ac:dyDescent="0.25">
      <c r="A4222" s="8"/>
    </row>
    <row r="4223" spans="1:1" ht="13.8" x14ac:dyDescent="0.25">
      <c r="A4223" s="8"/>
    </row>
    <row r="4224" spans="1:1" ht="13.8" x14ac:dyDescent="0.25">
      <c r="A4224" s="8"/>
    </row>
    <row r="4225" spans="1:1" ht="13.8" x14ac:dyDescent="0.25">
      <c r="A4225" s="8"/>
    </row>
    <row r="4226" spans="1:1" ht="13.8" x14ac:dyDescent="0.25">
      <c r="A4226" s="8"/>
    </row>
    <row r="4227" spans="1:1" ht="13.8" x14ac:dyDescent="0.25">
      <c r="A4227" s="8"/>
    </row>
    <row r="4228" spans="1:1" ht="13.8" x14ac:dyDescent="0.25">
      <c r="A4228" s="8"/>
    </row>
    <row r="4229" spans="1:1" ht="13.8" x14ac:dyDescent="0.25">
      <c r="A4229" s="8"/>
    </row>
    <row r="4230" spans="1:1" ht="13.8" x14ac:dyDescent="0.25">
      <c r="A4230" s="8"/>
    </row>
    <row r="4231" spans="1:1" ht="13.8" x14ac:dyDescent="0.25">
      <c r="A4231" s="8"/>
    </row>
    <row r="4232" spans="1:1" ht="13.8" x14ac:dyDescent="0.25">
      <c r="A4232" s="8"/>
    </row>
    <row r="4233" spans="1:1" ht="13.8" x14ac:dyDescent="0.25">
      <c r="A4233" s="8"/>
    </row>
    <row r="4234" spans="1:1" ht="13.8" x14ac:dyDescent="0.25">
      <c r="A4234" s="8"/>
    </row>
    <row r="4235" spans="1:1" ht="13.8" x14ac:dyDescent="0.25">
      <c r="A4235" s="8"/>
    </row>
    <row r="4236" spans="1:1" ht="13.8" x14ac:dyDescent="0.25">
      <c r="A4236" s="8"/>
    </row>
    <row r="4237" spans="1:1" ht="13.8" x14ac:dyDescent="0.25">
      <c r="A4237" s="8"/>
    </row>
    <row r="4238" spans="1:1" ht="13.8" x14ac:dyDescent="0.25">
      <c r="A4238" s="8"/>
    </row>
    <row r="4239" spans="1:1" ht="13.8" x14ac:dyDescent="0.25">
      <c r="A4239" s="8"/>
    </row>
    <row r="4240" spans="1:1" ht="13.8" x14ac:dyDescent="0.25">
      <c r="A4240" s="8"/>
    </row>
    <row r="4241" spans="1:1" ht="13.8" x14ac:dyDescent="0.25">
      <c r="A4241" s="8"/>
    </row>
    <row r="4242" spans="1:1" ht="13.8" x14ac:dyDescent="0.25">
      <c r="A4242" s="8"/>
    </row>
    <row r="4243" spans="1:1" ht="13.8" x14ac:dyDescent="0.25">
      <c r="A4243" s="8"/>
    </row>
    <row r="4244" spans="1:1" ht="13.8" x14ac:dyDescent="0.25">
      <c r="A4244" s="8"/>
    </row>
    <row r="4245" spans="1:1" ht="13.8" x14ac:dyDescent="0.25">
      <c r="A4245" s="8"/>
    </row>
    <row r="4246" spans="1:1" ht="13.8" x14ac:dyDescent="0.25">
      <c r="A4246" s="8"/>
    </row>
    <row r="4247" spans="1:1" ht="13.8" x14ac:dyDescent="0.25">
      <c r="A4247" s="8"/>
    </row>
    <row r="4248" spans="1:1" ht="13.8" x14ac:dyDescent="0.25">
      <c r="A4248" s="8"/>
    </row>
    <row r="4249" spans="1:1" ht="13.8" x14ac:dyDescent="0.25">
      <c r="A4249" s="8"/>
    </row>
    <row r="4250" spans="1:1" ht="13.8" x14ac:dyDescent="0.25">
      <c r="A4250" s="8"/>
    </row>
    <row r="4251" spans="1:1" ht="13.8" x14ac:dyDescent="0.25">
      <c r="A4251" s="8"/>
    </row>
    <row r="4252" spans="1:1" ht="13.8" x14ac:dyDescent="0.25">
      <c r="A4252" s="8"/>
    </row>
    <row r="4253" spans="1:1" ht="13.8" x14ac:dyDescent="0.25">
      <c r="A4253" s="8"/>
    </row>
    <row r="4254" spans="1:1" ht="13.8" x14ac:dyDescent="0.25">
      <c r="A4254" s="8"/>
    </row>
    <row r="4255" spans="1:1" ht="13.8" x14ac:dyDescent="0.25">
      <c r="A4255" s="8"/>
    </row>
    <row r="4256" spans="1:1" ht="13.8" x14ac:dyDescent="0.25">
      <c r="A4256" s="8"/>
    </row>
    <row r="4257" spans="1:1" ht="13.8" x14ac:dyDescent="0.25">
      <c r="A4257" s="8"/>
    </row>
    <row r="4258" spans="1:1" ht="13.8" x14ac:dyDescent="0.25">
      <c r="A4258" s="8"/>
    </row>
    <row r="4259" spans="1:1" ht="13.8" x14ac:dyDescent="0.25">
      <c r="A4259" s="8"/>
    </row>
    <row r="4260" spans="1:1" ht="13.8" x14ac:dyDescent="0.25">
      <c r="A4260" s="8"/>
    </row>
    <row r="4261" spans="1:1" ht="13.8" x14ac:dyDescent="0.25">
      <c r="A4261" s="8"/>
    </row>
    <row r="4262" spans="1:1" ht="13.8" x14ac:dyDescent="0.25">
      <c r="A4262" s="8"/>
    </row>
    <row r="4263" spans="1:1" ht="13.8" x14ac:dyDescent="0.25">
      <c r="A4263" s="8"/>
    </row>
    <row r="4264" spans="1:1" ht="13.8" x14ac:dyDescent="0.25">
      <c r="A4264" s="8"/>
    </row>
    <row r="4265" spans="1:1" ht="13.8" x14ac:dyDescent="0.25">
      <c r="A4265" s="8"/>
    </row>
    <row r="4266" spans="1:1" ht="13.8" x14ac:dyDescent="0.25">
      <c r="A4266" s="8"/>
    </row>
    <row r="4267" spans="1:1" ht="13.8" x14ac:dyDescent="0.25">
      <c r="A4267" s="8"/>
    </row>
    <row r="4268" spans="1:1" ht="13.8" x14ac:dyDescent="0.25">
      <c r="A4268" s="8"/>
    </row>
    <row r="4269" spans="1:1" ht="13.8" x14ac:dyDescent="0.25">
      <c r="A4269" s="8"/>
    </row>
    <row r="4270" spans="1:1" ht="13.8" x14ac:dyDescent="0.25">
      <c r="A4270" s="8"/>
    </row>
    <row r="4271" spans="1:1" ht="13.8" x14ac:dyDescent="0.25">
      <c r="A4271" s="8"/>
    </row>
    <row r="4272" spans="1:1" ht="13.8" x14ac:dyDescent="0.25">
      <c r="A4272" s="8"/>
    </row>
    <row r="4273" spans="1:1" ht="13.8" x14ac:dyDescent="0.25">
      <c r="A4273" s="8"/>
    </row>
    <row r="4274" spans="1:1" ht="13.8" x14ac:dyDescent="0.25">
      <c r="A4274" s="8"/>
    </row>
    <row r="4275" spans="1:1" ht="13.8" x14ac:dyDescent="0.25">
      <c r="A4275" s="8"/>
    </row>
    <row r="4276" spans="1:1" ht="13.8" x14ac:dyDescent="0.25">
      <c r="A4276" s="8"/>
    </row>
    <row r="4277" spans="1:1" ht="13.8" x14ac:dyDescent="0.25">
      <c r="A4277" s="8"/>
    </row>
    <row r="4278" spans="1:1" ht="13.8" x14ac:dyDescent="0.25">
      <c r="A4278" s="8"/>
    </row>
    <row r="4279" spans="1:1" ht="13.8" x14ac:dyDescent="0.25">
      <c r="A4279" s="8"/>
    </row>
    <row r="4280" spans="1:1" ht="13.8" x14ac:dyDescent="0.25">
      <c r="A4280" s="8"/>
    </row>
    <row r="4281" spans="1:1" ht="13.8" x14ac:dyDescent="0.25">
      <c r="A4281" s="8"/>
    </row>
    <row r="4282" spans="1:1" ht="13.8" x14ac:dyDescent="0.25">
      <c r="A4282" s="8"/>
    </row>
    <row r="4283" spans="1:1" ht="13.8" x14ac:dyDescent="0.25">
      <c r="A4283" s="8"/>
    </row>
    <row r="4284" spans="1:1" ht="13.8" x14ac:dyDescent="0.25">
      <c r="A4284" s="8"/>
    </row>
    <row r="4285" spans="1:1" ht="13.8" x14ac:dyDescent="0.25">
      <c r="A4285" s="8"/>
    </row>
    <row r="4286" spans="1:1" ht="13.8" x14ac:dyDescent="0.25">
      <c r="A4286" s="8"/>
    </row>
    <row r="4287" spans="1:1" ht="13.8" x14ac:dyDescent="0.25">
      <c r="A4287" s="8"/>
    </row>
    <row r="4288" spans="1:1" ht="13.8" x14ac:dyDescent="0.25">
      <c r="A4288" s="8"/>
    </row>
    <row r="4289" spans="1:1" ht="13.8" x14ac:dyDescent="0.25">
      <c r="A4289" s="8"/>
    </row>
    <row r="4290" spans="1:1" ht="13.8" x14ac:dyDescent="0.25">
      <c r="A4290" s="8"/>
    </row>
    <row r="4291" spans="1:1" ht="13.8" x14ac:dyDescent="0.25">
      <c r="A4291" s="8"/>
    </row>
    <row r="4292" spans="1:1" ht="13.8" x14ac:dyDescent="0.25">
      <c r="A4292" s="8"/>
    </row>
    <row r="4293" spans="1:1" ht="13.8" x14ac:dyDescent="0.25">
      <c r="A4293" s="8"/>
    </row>
    <row r="4294" spans="1:1" ht="13.8" x14ac:dyDescent="0.25">
      <c r="A4294" s="8"/>
    </row>
    <row r="4295" spans="1:1" ht="13.8" x14ac:dyDescent="0.25">
      <c r="A4295" s="8"/>
    </row>
    <row r="4296" spans="1:1" ht="13.8" x14ac:dyDescent="0.25">
      <c r="A4296" s="8"/>
    </row>
    <row r="4297" spans="1:1" ht="13.8" x14ac:dyDescent="0.25">
      <c r="A4297" s="8"/>
    </row>
    <row r="4298" spans="1:1" ht="13.8" x14ac:dyDescent="0.25">
      <c r="A4298" s="8"/>
    </row>
    <row r="4299" spans="1:1" ht="13.8" x14ac:dyDescent="0.25">
      <c r="A4299" s="8"/>
    </row>
    <row r="4300" spans="1:1" ht="13.8" x14ac:dyDescent="0.25">
      <c r="A4300" s="8"/>
    </row>
    <row r="4301" spans="1:1" ht="13.8" x14ac:dyDescent="0.25">
      <c r="A4301" s="8"/>
    </row>
    <row r="4302" spans="1:1" ht="13.8" x14ac:dyDescent="0.25">
      <c r="A4302" s="8"/>
    </row>
    <row r="4303" spans="1:1" ht="13.8" x14ac:dyDescent="0.25">
      <c r="A4303" s="8"/>
    </row>
    <row r="4304" spans="1:1" ht="13.8" x14ac:dyDescent="0.25">
      <c r="A4304" s="8"/>
    </row>
    <row r="4305" spans="1:1" ht="13.8" x14ac:dyDescent="0.25">
      <c r="A4305" s="8"/>
    </row>
    <row r="4306" spans="1:1" ht="13.8" x14ac:dyDescent="0.25">
      <c r="A4306" s="8"/>
    </row>
    <row r="4307" spans="1:1" ht="13.8" x14ac:dyDescent="0.25">
      <c r="A4307" s="8"/>
    </row>
    <row r="4308" spans="1:1" ht="13.8" x14ac:dyDescent="0.25">
      <c r="A4308" s="8"/>
    </row>
    <row r="4309" spans="1:1" ht="13.8" x14ac:dyDescent="0.25">
      <c r="A4309" s="8"/>
    </row>
    <row r="4310" spans="1:1" ht="13.8" x14ac:dyDescent="0.25">
      <c r="A4310" s="8"/>
    </row>
    <row r="4311" spans="1:1" ht="13.8" x14ac:dyDescent="0.25">
      <c r="A4311" s="8"/>
    </row>
    <row r="4312" spans="1:1" ht="13.8" x14ac:dyDescent="0.25">
      <c r="A4312" s="8"/>
    </row>
    <row r="4313" spans="1:1" ht="13.8" x14ac:dyDescent="0.25">
      <c r="A4313" s="8"/>
    </row>
    <row r="4314" spans="1:1" ht="13.8" x14ac:dyDescent="0.25">
      <c r="A4314" s="8"/>
    </row>
    <row r="4315" spans="1:1" ht="13.8" x14ac:dyDescent="0.25">
      <c r="A4315" s="8"/>
    </row>
    <row r="4316" spans="1:1" ht="13.8" x14ac:dyDescent="0.25">
      <c r="A4316" s="8"/>
    </row>
    <row r="4317" spans="1:1" ht="13.8" x14ac:dyDescent="0.25">
      <c r="A4317" s="8"/>
    </row>
    <row r="4318" spans="1:1" ht="13.8" x14ac:dyDescent="0.25">
      <c r="A4318" s="8"/>
    </row>
    <row r="4319" spans="1:1" ht="13.8" x14ac:dyDescent="0.25">
      <c r="A4319" s="8"/>
    </row>
    <row r="4320" spans="1:1" ht="13.8" x14ac:dyDescent="0.25">
      <c r="A4320" s="8"/>
    </row>
    <row r="4321" spans="1:1" ht="13.8" x14ac:dyDescent="0.25">
      <c r="A4321" s="8"/>
    </row>
    <row r="4322" spans="1:1" ht="13.8" x14ac:dyDescent="0.25">
      <c r="A4322" s="8"/>
    </row>
    <row r="4323" spans="1:1" ht="13.8" x14ac:dyDescent="0.25">
      <c r="A4323" s="8"/>
    </row>
    <row r="4324" spans="1:1" ht="13.8" x14ac:dyDescent="0.25">
      <c r="A4324" s="8"/>
    </row>
    <row r="4325" spans="1:1" ht="13.8" x14ac:dyDescent="0.25">
      <c r="A4325" s="8"/>
    </row>
    <row r="4326" spans="1:1" ht="13.8" x14ac:dyDescent="0.25">
      <c r="A4326" s="8"/>
    </row>
    <row r="4327" spans="1:1" ht="13.8" x14ac:dyDescent="0.25">
      <c r="A4327" s="8"/>
    </row>
    <row r="4328" spans="1:1" ht="13.8" x14ac:dyDescent="0.25">
      <c r="A4328" s="8"/>
    </row>
    <row r="4329" spans="1:1" ht="13.8" x14ac:dyDescent="0.25">
      <c r="A4329" s="8"/>
    </row>
    <row r="4330" spans="1:1" ht="13.8" x14ac:dyDescent="0.25">
      <c r="A4330" s="8"/>
    </row>
    <row r="4331" spans="1:1" ht="13.8" x14ac:dyDescent="0.25">
      <c r="A4331" s="8"/>
    </row>
    <row r="4332" spans="1:1" ht="13.8" x14ac:dyDescent="0.25">
      <c r="A4332" s="8"/>
    </row>
    <row r="4333" spans="1:1" ht="13.8" x14ac:dyDescent="0.25">
      <c r="A4333" s="8"/>
    </row>
    <row r="4334" spans="1:1" ht="13.8" x14ac:dyDescent="0.25">
      <c r="A4334" s="8"/>
    </row>
    <row r="4335" spans="1:1" ht="13.8" x14ac:dyDescent="0.25">
      <c r="A4335" s="8"/>
    </row>
    <row r="4336" spans="1:1" ht="13.8" x14ac:dyDescent="0.25">
      <c r="A4336" s="8"/>
    </row>
    <row r="4337" spans="1:1" ht="13.8" x14ac:dyDescent="0.25">
      <c r="A4337" s="8"/>
    </row>
    <row r="4338" spans="1:1" ht="13.8" x14ac:dyDescent="0.25">
      <c r="A4338" s="8"/>
    </row>
    <row r="4339" spans="1:1" ht="13.8" x14ac:dyDescent="0.25">
      <c r="A4339" s="8"/>
    </row>
    <row r="4340" spans="1:1" ht="13.8" x14ac:dyDescent="0.25">
      <c r="A4340" s="8"/>
    </row>
    <row r="4341" spans="1:1" ht="13.8" x14ac:dyDescent="0.25">
      <c r="A4341" s="8"/>
    </row>
    <row r="4342" spans="1:1" ht="13.8" x14ac:dyDescent="0.25">
      <c r="A4342" s="8"/>
    </row>
    <row r="4343" spans="1:1" ht="13.8" x14ac:dyDescent="0.25">
      <c r="A4343" s="8"/>
    </row>
    <row r="4344" spans="1:1" ht="13.8" x14ac:dyDescent="0.25">
      <c r="A4344" s="8"/>
    </row>
    <row r="4345" spans="1:1" ht="13.8" x14ac:dyDescent="0.25">
      <c r="A4345" s="8"/>
    </row>
    <row r="4346" spans="1:1" ht="13.8" x14ac:dyDescent="0.25">
      <c r="A4346" s="8"/>
    </row>
    <row r="4347" spans="1:1" ht="13.8" x14ac:dyDescent="0.25">
      <c r="A4347" s="8"/>
    </row>
    <row r="4348" spans="1:1" ht="13.8" x14ac:dyDescent="0.25">
      <c r="A4348" s="8"/>
    </row>
    <row r="4349" spans="1:1" ht="13.8" x14ac:dyDescent="0.25">
      <c r="A4349" s="8"/>
    </row>
    <row r="4350" spans="1:1" ht="13.8" x14ac:dyDescent="0.25">
      <c r="A4350" s="8"/>
    </row>
    <row r="4351" spans="1:1" ht="13.8" x14ac:dyDescent="0.25">
      <c r="A4351" s="8"/>
    </row>
    <row r="4352" spans="1:1" ht="13.8" x14ac:dyDescent="0.25">
      <c r="A4352" s="8"/>
    </row>
    <row r="4353" spans="1:1" ht="13.8" x14ac:dyDescent="0.25">
      <c r="A4353" s="8"/>
    </row>
    <row r="4354" spans="1:1" ht="13.8" x14ac:dyDescent="0.25">
      <c r="A4354" s="8"/>
    </row>
    <row r="4355" spans="1:1" ht="13.8" x14ac:dyDescent="0.25">
      <c r="A4355" s="8"/>
    </row>
    <row r="4356" spans="1:1" ht="13.8" x14ac:dyDescent="0.25">
      <c r="A4356" s="8"/>
    </row>
    <row r="4357" spans="1:1" ht="13.8" x14ac:dyDescent="0.25">
      <c r="A4357" s="8"/>
    </row>
    <row r="4358" spans="1:1" ht="13.8" x14ac:dyDescent="0.25">
      <c r="A4358" s="8"/>
    </row>
    <row r="4359" spans="1:1" ht="13.8" x14ac:dyDescent="0.25">
      <c r="A4359" s="8"/>
    </row>
    <row r="4360" spans="1:1" ht="13.8" x14ac:dyDescent="0.25">
      <c r="A4360" s="8"/>
    </row>
    <row r="4361" spans="1:1" ht="13.8" x14ac:dyDescent="0.25">
      <c r="A4361" s="8"/>
    </row>
    <row r="4362" spans="1:1" ht="13.8" x14ac:dyDescent="0.25">
      <c r="A4362" s="8"/>
    </row>
    <row r="4363" spans="1:1" ht="13.8" x14ac:dyDescent="0.25">
      <c r="A4363" s="8"/>
    </row>
    <row r="4364" spans="1:1" ht="13.8" x14ac:dyDescent="0.25">
      <c r="A4364" s="8"/>
    </row>
    <row r="4365" spans="1:1" ht="13.8" x14ac:dyDescent="0.25">
      <c r="A4365" s="8"/>
    </row>
    <row r="4366" spans="1:1" ht="13.8" x14ac:dyDescent="0.25">
      <c r="A4366" s="8"/>
    </row>
    <row r="4367" spans="1:1" ht="13.8" x14ac:dyDescent="0.25">
      <c r="A4367" s="8"/>
    </row>
    <row r="4368" spans="1:1" ht="13.8" x14ac:dyDescent="0.25">
      <c r="A4368" s="8"/>
    </row>
    <row r="4369" spans="1:1" ht="13.8" x14ac:dyDescent="0.25">
      <c r="A4369" s="8"/>
    </row>
    <row r="4370" spans="1:1" ht="13.8" x14ac:dyDescent="0.25">
      <c r="A4370" s="8"/>
    </row>
    <row r="4371" spans="1:1" ht="13.8" x14ac:dyDescent="0.25">
      <c r="A4371" s="8"/>
    </row>
    <row r="4372" spans="1:1" ht="13.8" x14ac:dyDescent="0.25">
      <c r="A4372" s="8"/>
    </row>
    <row r="4373" spans="1:1" ht="13.8" x14ac:dyDescent="0.25">
      <c r="A4373" s="8"/>
    </row>
    <row r="4374" spans="1:1" ht="13.8" x14ac:dyDescent="0.25">
      <c r="A4374" s="8"/>
    </row>
    <row r="4375" spans="1:1" ht="13.8" x14ac:dyDescent="0.25">
      <c r="A4375" s="8"/>
    </row>
    <row r="4376" spans="1:1" ht="13.8" x14ac:dyDescent="0.25">
      <c r="A4376" s="8"/>
    </row>
    <row r="4377" spans="1:1" ht="13.8" x14ac:dyDescent="0.25">
      <c r="A4377" s="8"/>
    </row>
    <row r="4378" spans="1:1" ht="13.8" x14ac:dyDescent="0.25">
      <c r="A4378" s="8"/>
    </row>
    <row r="4379" spans="1:1" ht="13.8" x14ac:dyDescent="0.25">
      <c r="A4379" s="8"/>
    </row>
    <row r="4380" spans="1:1" ht="13.8" x14ac:dyDescent="0.25">
      <c r="A4380" s="8"/>
    </row>
    <row r="4381" spans="1:1" ht="13.8" x14ac:dyDescent="0.25">
      <c r="A4381" s="8"/>
    </row>
    <row r="4382" spans="1:1" ht="13.8" x14ac:dyDescent="0.25">
      <c r="A4382" s="8"/>
    </row>
    <row r="4383" spans="1:1" ht="13.8" x14ac:dyDescent="0.25">
      <c r="A4383" s="8"/>
    </row>
    <row r="4384" spans="1:1" ht="13.8" x14ac:dyDescent="0.25">
      <c r="A4384" s="8"/>
    </row>
    <row r="4385" spans="1:1" ht="13.8" x14ac:dyDescent="0.25">
      <c r="A4385" s="8"/>
    </row>
    <row r="4386" spans="1:1" ht="13.8" x14ac:dyDescent="0.25">
      <c r="A4386" s="8"/>
    </row>
    <row r="4387" spans="1:1" ht="13.8" x14ac:dyDescent="0.25">
      <c r="A4387" s="8"/>
    </row>
    <row r="4388" spans="1:1" ht="13.8" x14ac:dyDescent="0.25">
      <c r="A4388" s="8"/>
    </row>
    <row r="4389" spans="1:1" ht="13.8" x14ac:dyDescent="0.25">
      <c r="A4389" s="8"/>
    </row>
    <row r="4390" spans="1:1" ht="13.8" x14ac:dyDescent="0.25">
      <c r="A4390" s="8"/>
    </row>
    <row r="4391" spans="1:1" ht="13.8" x14ac:dyDescent="0.25">
      <c r="A4391" s="8"/>
    </row>
    <row r="4392" spans="1:1" ht="13.8" x14ac:dyDescent="0.25">
      <c r="A4392" s="8"/>
    </row>
    <row r="4393" spans="1:1" ht="13.8" x14ac:dyDescent="0.25">
      <c r="A4393" s="8"/>
    </row>
    <row r="4394" spans="1:1" ht="13.8" x14ac:dyDescent="0.25">
      <c r="A4394" s="8"/>
    </row>
    <row r="4395" spans="1:1" ht="13.8" x14ac:dyDescent="0.25">
      <c r="A4395" s="8"/>
    </row>
    <row r="4396" spans="1:1" ht="13.8" x14ac:dyDescent="0.25">
      <c r="A4396" s="8"/>
    </row>
    <row r="4397" spans="1:1" ht="13.8" x14ac:dyDescent="0.25">
      <c r="A4397" s="8"/>
    </row>
    <row r="4398" spans="1:1" ht="13.8" x14ac:dyDescent="0.25">
      <c r="A4398" s="8"/>
    </row>
    <row r="4399" spans="1:1" ht="13.8" x14ac:dyDescent="0.25">
      <c r="A4399" s="8"/>
    </row>
    <row r="4400" spans="1:1" ht="13.8" x14ac:dyDescent="0.25">
      <c r="A4400" s="8"/>
    </row>
    <row r="4401" spans="1:1" ht="13.8" x14ac:dyDescent="0.25">
      <c r="A4401" s="8"/>
    </row>
    <row r="4402" spans="1:1" ht="13.8" x14ac:dyDescent="0.25">
      <c r="A4402" s="8"/>
    </row>
    <row r="4403" spans="1:1" ht="13.8" x14ac:dyDescent="0.25">
      <c r="A4403" s="8"/>
    </row>
    <row r="4404" spans="1:1" ht="13.8" x14ac:dyDescent="0.25">
      <c r="A4404" s="8"/>
    </row>
    <row r="4405" spans="1:1" ht="13.8" x14ac:dyDescent="0.25">
      <c r="A4405" s="8"/>
    </row>
    <row r="4406" spans="1:1" ht="13.8" x14ac:dyDescent="0.25">
      <c r="A4406" s="8"/>
    </row>
    <row r="4407" spans="1:1" ht="13.8" x14ac:dyDescent="0.25">
      <c r="A4407" s="8"/>
    </row>
    <row r="4408" spans="1:1" ht="13.8" x14ac:dyDescent="0.25">
      <c r="A4408" s="8"/>
    </row>
    <row r="4409" spans="1:1" ht="13.8" x14ac:dyDescent="0.25">
      <c r="A4409" s="8"/>
    </row>
    <row r="4410" spans="1:1" ht="13.8" x14ac:dyDescent="0.25">
      <c r="A4410" s="8"/>
    </row>
    <row r="4411" spans="1:1" ht="13.8" x14ac:dyDescent="0.25">
      <c r="A4411" s="8"/>
    </row>
    <row r="4412" spans="1:1" ht="13.8" x14ac:dyDescent="0.25">
      <c r="A4412" s="8"/>
    </row>
    <row r="4413" spans="1:1" ht="13.8" x14ac:dyDescent="0.25">
      <c r="A4413" s="8"/>
    </row>
    <row r="4414" spans="1:1" ht="13.8" x14ac:dyDescent="0.25">
      <c r="A4414" s="8"/>
    </row>
    <row r="4415" spans="1:1" ht="13.8" x14ac:dyDescent="0.25">
      <c r="A4415" s="8"/>
    </row>
    <row r="4416" spans="1:1" ht="13.8" x14ac:dyDescent="0.25">
      <c r="A4416" s="8"/>
    </row>
    <row r="4417" spans="1:1" ht="13.8" x14ac:dyDescent="0.25">
      <c r="A4417" s="8"/>
    </row>
    <row r="4418" spans="1:1" ht="13.8" x14ac:dyDescent="0.25">
      <c r="A4418" s="8"/>
    </row>
    <row r="4419" spans="1:1" ht="13.8" x14ac:dyDescent="0.25">
      <c r="A4419" s="8"/>
    </row>
    <row r="4420" spans="1:1" ht="13.8" x14ac:dyDescent="0.25">
      <c r="A4420" s="8"/>
    </row>
    <row r="4421" spans="1:1" ht="13.8" x14ac:dyDescent="0.25">
      <c r="A4421" s="8"/>
    </row>
    <row r="4422" spans="1:1" ht="13.8" x14ac:dyDescent="0.25">
      <c r="A4422" s="8"/>
    </row>
    <row r="4423" spans="1:1" ht="13.8" x14ac:dyDescent="0.25">
      <c r="A4423" s="8"/>
    </row>
    <row r="4424" spans="1:1" ht="13.8" x14ac:dyDescent="0.25">
      <c r="A4424" s="8"/>
    </row>
    <row r="4425" spans="1:1" ht="13.8" x14ac:dyDescent="0.25">
      <c r="A4425" s="8"/>
    </row>
    <row r="4426" spans="1:1" ht="13.8" x14ac:dyDescent="0.25">
      <c r="A4426" s="8"/>
    </row>
    <row r="4427" spans="1:1" ht="13.8" x14ac:dyDescent="0.25">
      <c r="A4427" s="8"/>
    </row>
    <row r="4428" spans="1:1" ht="13.8" x14ac:dyDescent="0.25">
      <c r="A4428" s="8"/>
    </row>
    <row r="4429" spans="1:1" ht="13.8" x14ac:dyDescent="0.25">
      <c r="A4429" s="8"/>
    </row>
    <row r="4430" spans="1:1" ht="13.8" x14ac:dyDescent="0.25">
      <c r="A4430" s="8"/>
    </row>
    <row r="4431" spans="1:1" ht="13.8" x14ac:dyDescent="0.25">
      <c r="A4431" s="8"/>
    </row>
    <row r="4432" spans="1:1" ht="13.8" x14ac:dyDescent="0.25">
      <c r="A4432" s="8"/>
    </row>
    <row r="4433" spans="1:1" ht="13.8" x14ac:dyDescent="0.25">
      <c r="A4433" s="8"/>
    </row>
    <row r="4434" spans="1:1" ht="13.8" x14ac:dyDescent="0.25">
      <c r="A4434" s="8"/>
    </row>
    <row r="4435" spans="1:1" ht="13.8" x14ac:dyDescent="0.25">
      <c r="A4435" s="8"/>
    </row>
    <row r="4436" spans="1:1" ht="13.8" x14ac:dyDescent="0.25">
      <c r="A4436" s="8"/>
    </row>
    <row r="4437" spans="1:1" ht="13.8" x14ac:dyDescent="0.25">
      <c r="A4437" s="8"/>
    </row>
    <row r="4438" spans="1:1" ht="13.8" x14ac:dyDescent="0.25">
      <c r="A4438" s="8"/>
    </row>
    <row r="4439" spans="1:1" ht="13.8" x14ac:dyDescent="0.25">
      <c r="A4439" s="8"/>
    </row>
    <row r="4440" spans="1:1" ht="13.8" x14ac:dyDescent="0.25">
      <c r="A4440" s="8"/>
    </row>
    <row r="4441" spans="1:1" ht="13.8" x14ac:dyDescent="0.25">
      <c r="A4441" s="8"/>
    </row>
    <row r="4442" spans="1:1" ht="13.8" x14ac:dyDescent="0.25">
      <c r="A4442" s="8"/>
    </row>
    <row r="4443" spans="1:1" ht="13.8" x14ac:dyDescent="0.25">
      <c r="A4443" s="8"/>
    </row>
    <row r="4444" spans="1:1" ht="13.8" x14ac:dyDescent="0.25">
      <c r="A4444" s="8"/>
    </row>
    <row r="4445" spans="1:1" ht="13.8" x14ac:dyDescent="0.25">
      <c r="A4445" s="8"/>
    </row>
    <row r="4446" spans="1:1" ht="13.8" x14ac:dyDescent="0.25">
      <c r="A4446" s="8"/>
    </row>
    <row r="4447" spans="1:1" ht="13.8" x14ac:dyDescent="0.25">
      <c r="A4447" s="8"/>
    </row>
    <row r="4448" spans="1:1" ht="13.8" x14ac:dyDescent="0.25">
      <c r="A4448" s="8"/>
    </row>
    <row r="4449" spans="1:1" ht="13.8" x14ac:dyDescent="0.25">
      <c r="A4449" s="8"/>
    </row>
    <row r="4450" spans="1:1" ht="13.8" x14ac:dyDescent="0.25">
      <c r="A4450" s="8"/>
    </row>
    <row r="4451" spans="1:1" ht="13.8" x14ac:dyDescent="0.25">
      <c r="A4451" s="8"/>
    </row>
    <row r="4452" spans="1:1" ht="13.8" x14ac:dyDescent="0.25">
      <c r="A4452" s="8"/>
    </row>
    <row r="4453" spans="1:1" ht="13.8" x14ac:dyDescent="0.25">
      <c r="A4453" s="8"/>
    </row>
    <row r="4454" spans="1:1" ht="13.8" x14ac:dyDescent="0.25">
      <c r="A4454" s="8"/>
    </row>
    <row r="4455" spans="1:1" ht="13.8" x14ac:dyDescent="0.25">
      <c r="A4455" s="8"/>
    </row>
    <row r="4456" spans="1:1" ht="13.8" x14ac:dyDescent="0.25">
      <c r="A4456" s="8"/>
    </row>
    <row r="4457" spans="1:1" ht="13.8" x14ac:dyDescent="0.25">
      <c r="A4457" s="8"/>
    </row>
    <row r="4458" spans="1:1" ht="13.8" x14ac:dyDescent="0.25">
      <c r="A4458" s="8"/>
    </row>
    <row r="4459" spans="1:1" ht="13.8" x14ac:dyDescent="0.25">
      <c r="A4459" s="8"/>
    </row>
    <row r="4460" spans="1:1" ht="13.8" x14ac:dyDescent="0.25">
      <c r="A4460" s="8"/>
    </row>
    <row r="4461" spans="1:1" ht="13.8" x14ac:dyDescent="0.25">
      <c r="A4461" s="8"/>
    </row>
    <row r="4462" spans="1:1" ht="13.8" x14ac:dyDescent="0.25">
      <c r="A4462" s="8"/>
    </row>
    <row r="4463" spans="1:1" ht="13.8" x14ac:dyDescent="0.25">
      <c r="A4463" s="8"/>
    </row>
    <row r="4464" spans="1:1" ht="13.8" x14ac:dyDescent="0.25">
      <c r="A4464" s="8"/>
    </row>
    <row r="4465" spans="1:1" ht="13.8" x14ac:dyDescent="0.25">
      <c r="A4465" s="8"/>
    </row>
    <row r="4466" spans="1:1" ht="13.8" x14ac:dyDescent="0.25">
      <c r="A4466" s="8"/>
    </row>
    <row r="4467" spans="1:1" ht="13.8" x14ac:dyDescent="0.25">
      <c r="A4467" s="8"/>
    </row>
    <row r="4468" spans="1:1" ht="13.8" x14ac:dyDescent="0.25">
      <c r="A4468" s="8"/>
    </row>
    <row r="4469" spans="1:1" ht="13.8" x14ac:dyDescent="0.25">
      <c r="A4469" s="8"/>
    </row>
    <row r="4470" spans="1:1" ht="13.8" x14ac:dyDescent="0.25">
      <c r="A4470" s="8"/>
    </row>
    <row r="4471" spans="1:1" ht="13.8" x14ac:dyDescent="0.25">
      <c r="A4471" s="8"/>
    </row>
    <row r="4472" spans="1:1" ht="13.8" x14ac:dyDescent="0.25">
      <c r="A4472" s="8"/>
    </row>
    <row r="4473" spans="1:1" ht="13.8" x14ac:dyDescent="0.25">
      <c r="A4473" s="8"/>
    </row>
    <row r="4474" spans="1:1" ht="13.8" x14ac:dyDescent="0.25">
      <c r="A4474" s="8"/>
    </row>
    <row r="4475" spans="1:1" ht="13.8" x14ac:dyDescent="0.25">
      <c r="A4475" s="8"/>
    </row>
    <row r="4476" spans="1:1" ht="13.8" x14ac:dyDescent="0.25">
      <c r="A4476" s="8"/>
    </row>
    <row r="4477" spans="1:1" ht="13.8" x14ac:dyDescent="0.25">
      <c r="A4477" s="8"/>
    </row>
    <row r="4478" spans="1:1" ht="13.8" x14ac:dyDescent="0.25">
      <c r="A4478" s="8"/>
    </row>
    <row r="4479" spans="1:1" ht="13.8" x14ac:dyDescent="0.25">
      <c r="A4479" s="8"/>
    </row>
    <row r="4480" spans="1:1" ht="13.8" x14ac:dyDescent="0.25">
      <c r="A4480" s="8"/>
    </row>
    <row r="4481" spans="1:1" ht="13.8" x14ac:dyDescent="0.25">
      <c r="A4481" s="8"/>
    </row>
    <row r="4482" spans="1:1" ht="13.8" x14ac:dyDescent="0.25">
      <c r="A4482" s="8"/>
    </row>
    <row r="4483" spans="1:1" ht="13.8" x14ac:dyDescent="0.25">
      <c r="A4483" s="8"/>
    </row>
    <row r="4484" spans="1:1" ht="13.8" x14ac:dyDescent="0.25">
      <c r="A4484" s="8"/>
    </row>
    <row r="4485" spans="1:1" ht="13.8" x14ac:dyDescent="0.25">
      <c r="A4485" s="8"/>
    </row>
    <row r="4486" spans="1:1" ht="13.8" x14ac:dyDescent="0.25">
      <c r="A4486" s="8"/>
    </row>
    <row r="4487" spans="1:1" ht="13.8" x14ac:dyDescent="0.25">
      <c r="A4487" s="8"/>
    </row>
    <row r="4488" spans="1:1" ht="13.8" x14ac:dyDescent="0.25">
      <c r="A4488" s="8"/>
    </row>
    <row r="4489" spans="1:1" ht="13.8" x14ac:dyDescent="0.25">
      <c r="A4489" s="8"/>
    </row>
    <row r="4490" spans="1:1" ht="13.8" x14ac:dyDescent="0.25">
      <c r="A4490" s="8"/>
    </row>
    <row r="4491" spans="1:1" ht="13.8" x14ac:dyDescent="0.25">
      <c r="A4491" s="8"/>
    </row>
    <row r="4492" spans="1:1" ht="13.8" x14ac:dyDescent="0.25">
      <c r="A4492" s="8"/>
    </row>
    <row r="4493" spans="1:1" ht="13.8" x14ac:dyDescent="0.25">
      <c r="A4493" s="8"/>
    </row>
    <row r="4494" spans="1:1" ht="13.8" x14ac:dyDescent="0.25">
      <c r="A4494" s="8"/>
    </row>
    <row r="4495" spans="1:1" ht="13.8" x14ac:dyDescent="0.25">
      <c r="A4495" s="8"/>
    </row>
    <row r="4496" spans="1:1" ht="13.8" x14ac:dyDescent="0.25">
      <c r="A4496" s="8"/>
    </row>
    <row r="4497" spans="1:1" ht="13.8" x14ac:dyDescent="0.25">
      <c r="A4497" s="8"/>
    </row>
    <row r="4498" spans="1:1" ht="13.8" x14ac:dyDescent="0.25">
      <c r="A4498" s="8"/>
    </row>
    <row r="4499" spans="1:1" ht="13.8" x14ac:dyDescent="0.25">
      <c r="A4499" s="8"/>
    </row>
    <row r="4500" spans="1:1" ht="13.8" x14ac:dyDescent="0.25">
      <c r="A4500" s="8"/>
    </row>
    <row r="4501" spans="1:1" ht="13.8" x14ac:dyDescent="0.25">
      <c r="A4501" s="8"/>
    </row>
    <row r="4502" spans="1:1" ht="13.8" x14ac:dyDescent="0.25">
      <c r="A4502" s="8"/>
    </row>
    <row r="4503" spans="1:1" ht="13.8" x14ac:dyDescent="0.25">
      <c r="A4503" s="8"/>
    </row>
    <row r="4504" spans="1:1" ht="13.8" x14ac:dyDescent="0.25">
      <c r="A4504" s="8"/>
    </row>
    <row r="4505" spans="1:1" ht="13.8" x14ac:dyDescent="0.25">
      <c r="A4505" s="8"/>
    </row>
    <row r="4506" spans="1:1" ht="13.8" x14ac:dyDescent="0.25">
      <c r="A4506" s="8"/>
    </row>
    <row r="4507" spans="1:1" ht="13.8" x14ac:dyDescent="0.25">
      <c r="A4507" s="8"/>
    </row>
    <row r="4508" spans="1:1" ht="13.8" x14ac:dyDescent="0.25">
      <c r="A4508" s="8"/>
    </row>
    <row r="4509" spans="1:1" ht="13.8" x14ac:dyDescent="0.25">
      <c r="A4509" s="8"/>
    </row>
    <row r="4510" spans="1:1" ht="13.8" x14ac:dyDescent="0.25">
      <c r="A4510" s="8"/>
    </row>
    <row r="4511" spans="1:1" ht="13.8" x14ac:dyDescent="0.25">
      <c r="A4511" s="8"/>
    </row>
    <row r="4512" spans="1:1" ht="13.8" x14ac:dyDescent="0.25">
      <c r="A4512" s="8"/>
    </row>
    <row r="4513" spans="1:1" ht="13.8" x14ac:dyDescent="0.25">
      <c r="A4513" s="8"/>
    </row>
    <row r="4514" spans="1:1" ht="13.8" x14ac:dyDescent="0.25">
      <c r="A4514" s="8"/>
    </row>
    <row r="4515" spans="1:1" ht="13.8" x14ac:dyDescent="0.25">
      <c r="A4515" s="8"/>
    </row>
    <row r="4516" spans="1:1" ht="13.8" x14ac:dyDescent="0.25">
      <c r="A4516" s="8"/>
    </row>
    <row r="4517" spans="1:1" ht="13.8" x14ac:dyDescent="0.25">
      <c r="A4517" s="8"/>
    </row>
    <row r="4518" spans="1:1" ht="13.8" x14ac:dyDescent="0.25">
      <c r="A4518" s="8"/>
    </row>
    <row r="4519" spans="1:1" ht="13.8" x14ac:dyDescent="0.25">
      <c r="A4519" s="8"/>
    </row>
    <row r="4520" spans="1:1" ht="13.8" x14ac:dyDescent="0.25">
      <c r="A4520" s="8"/>
    </row>
    <row r="4521" spans="1:1" ht="13.8" x14ac:dyDescent="0.25">
      <c r="A4521" s="8"/>
    </row>
    <row r="4522" spans="1:1" ht="13.8" x14ac:dyDescent="0.25">
      <c r="A4522" s="8"/>
    </row>
    <row r="4523" spans="1:1" ht="13.8" x14ac:dyDescent="0.25">
      <c r="A4523" s="8"/>
    </row>
    <row r="4524" spans="1:1" ht="13.8" x14ac:dyDescent="0.25">
      <c r="A4524" s="8"/>
    </row>
    <row r="4525" spans="1:1" ht="13.8" x14ac:dyDescent="0.25">
      <c r="A4525" s="8"/>
    </row>
    <row r="4526" spans="1:1" ht="13.8" x14ac:dyDescent="0.25">
      <c r="A4526" s="8"/>
    </row>
    <row r="4527" spans="1:1" ht="13.8" x14ac:dyDescent="0.25">
      <c r="A4527" s="8"/>
    </row>
    <row r="4528" spans="1:1" ht="13.8" x14ac:dyDescent="0.25">
      <c r="A4528" s="8"/>
    </row>
    <row r="4529" spans="1:1" ht="13.8" x14ac:dyDescent="0.25">
      <c r="A4529" s="8"/>
    </row>
    <row r="4530" spans="1:1" ht="13.8" x14ac:dyDescent="0.25">
      <c r="A4530" s="8"/>
    </row>
    <row r="4531" spans="1:1" ht="13.8" x14ac:dyDescent="0.25">
      <c r="A4531" s="8"/>
    </row>
    <row r="4532" spans="1:1" ht="13.8" x14ac:dyDescent="0.25">
      <c r="A4532" s="8"/>
    </row>
    <row r="4533" spans="1:1" ht="13.8" x14ac:dyDescent="0.25">
      <c r="A4533" s="8"/>
    </row>
    <row r="4534" spans="1:1" ht="13.8" x14ac:dyDescent="0.25">
      <c r="A4534" s="8"/>
    </row>
    <row r="4535" spans="1:1" ht="13.8" x14ac:dyDescent="0.25">
      <c r="A4535" s="8"/>
    </row>
    <row r="4536" spans="1:1" ht="13.8" x14ac:dyDescent="0.25">
      <c r="A4536" s="8"/>
    </row>
    <row r="4537" spans="1:1" ht="13.8" x14ac:dyDescent="0.25">
      <c r="A4537" s="8"/>
    </row>
    <row r="4538" spans="1:1" ht="13.8" x14ac:dyDescent="0.25">
      <c r="A4538" s="8"/>
    </row>
    <row r="4539" spans="1:1" ht="13.8" x14ac:dyDescent="0.25">
      <c r="A4539" s="8"/>
    </row>
    <row r="4540" spans="1:1" ht="13.8" x14ac:dyDescent="0.25">
      <c r="A4540" s="8"/>
    </row>
    <row r="4541" spans="1:1" ht="13.8" x14ac:dyDescent="0.25">
      <c r="A4541" s="8"/>
    </row>
    <row r="4542" spans="1:1" ht="13.8" x14ac:dyDescent="0.25">
      <c r="A4542" s="8"/>
    </row>
    <row r="4543" spans="1:1" ht="13.8" x14ac:dyDescent="0.25">
      <c r="A4543" s="8"/>
    </row>
    <row r="4544" spans="1:1" ht="13.8" x14ac:dyDescent="0.25">
      <c r="A4544" s="8"/>
    </row>
    <row r="4545" spans="1:1" ht="13.8" x14ac:dyDescent="0.25">
      <c r="A4545" s="8"/>
    </row>
    <row r="4546" spans="1:1" ht="13.8" x14ac:dyDescent="0.25">
      <c r="A4546" s="8"/>
    </row>
    <row r="4547" spans="1:1" ht="13.8" x14ac:dyDescent="0.25">
      <c r="A4547" s="8"/>
    </row>
    <row r="4548" spans="1:1" ht="13.8" x14ac:dyDescent="0.25">
      <c r="A4548" s="8"/>
    </row>
    <row r="4549" spans="1:1" ht="13.8" x14ac:dyDescent="0.25">
      <c r="A4549" s="8"/>
    </row>
    <row r="4550" spans="1:1" ht="13.8" x14ac:dyDescent="0.25">
      <c r="A4550" s="8"/>
    </row>
    <row r="4551" spans="1:1" ht="13.8" x14ac:dyDescent="0.25">
      <c r="A4551" s="8"/>
    </row>
    <row r="4552" spans="1:1" ht="13.8" x14ac:dyDescent="0.25">
      <c r="A4552" s="8"/>
    </row>
    <row r="4553" spans="1:1" ht="13.8" x14ac:dyDescent="0.25">
      <c r="A4553" s="8"/>
    </row>
    <row r="4554" spans="1:1" ht="13.8" x14ac:dyDescent="0.25">
      <c r="A4554" s="8"/>
    </row>
    <row r="4555" spans="1:1" ht="13.8" x14ac:dyDescent="0.25">
      <c r="A4555" s="8"/>
    </row>
    <row r="4556" spans="1:1" ht="13.8" x14ac:dyDescent="0.25">
      <c r="A4556" s="8"/>
    </row>
    <row r="4557" spans="1:1" ht="13.8" x14ac:dyDescent="0.25">
      <c r="A4557" s="8"/>
    </row>
    <row r="4558" spans="1:1" ht="13.8" x14ac:dyDescent="0.25">
      <c r="A4558" s="8"/>
    </row>
    <row r="4559" spans="1:1" ht="13.8" x14ac:dyDescent="0.25">
      <c r="A4559" s="8"/>
    </row>
    <row r="4560" spans="1:1" ht="13.8" x14ac:dyDescent="0.25">
      <c r="A4560" s="8"/>
    </row>
    <row r="4561" spans="1:1" ht="13.8" x14ac:dyDescent="0.25">
      <c r="A4561" s="8"/>
    </row>
    <row r="4562" spans="1:1" ht="13.8" x14ac:dyDescent="0.25">
      <c r="A4562" s="8"/>
    </row>
    <row r="4563" spans="1:1" ht="13.8" x14ac:dyDescent="0.25">
      <c r="A4563" s="8"/>
    </row>
    <row r="4564" spans="1:1" ht="13.8" x14ac:dyDescent="0.25">
      <c r="A4564" s="8"/>
    </row>
    <row r="4565" spans="1:1" ht="13.8" x14ac:dyDescent="0.25">
      <c r="A4565" s="8"/>
    </row>
    <row r="4566" spans="1:1" ht="13.8" x14ac:dyDescent="0.25">
      <c r="A4566" s="8"/>
    </row>
    <row r="4567" spans="1:1" ht="13.8" x14ac:dyDescent="0.25">
      <c r="A4567" s="8"/>
    </row>
    <row r="4568" spans="1:1" ht="13.8" x14ac:dyDescent="0.25">
      <c r="A4568" s="8"/>
    </row>
    <row r="4569" spans="1:1" ht="13.8" x14ac:dyDescent="0.25">
      <c r="A4569" s="8"/>
    </row>
    <row r="4570" spans="1:1" ht="13.8" x14ac:dyDescent="0.25">
      <c r="A4570" s="8"/>
    </row>
    <row r="4571" spans="1:1" ht="13.8" x14ac:dyDescent="0.25">
      <c r="A4571" s="8"/>
    </row>
    <row r="4572" spans="1:1" ht="13.8" x14ac:dyDescent="0.25">
      <c r="A4572" s="8"/>
    </row>
    <row r="4573" spans="1:1" ht="13.8" x14ac:dyDescent="0.25">
      <c r="A4573" s="8"/>
    </row>
    <row r="4574" spans="1:1" ht="13.8" x14ac:dyDescent="0.25">
      <c r="A4574" s="8"/>
    </row>
    <row r="4575" spans="1:1" ht="13.8" x14ac:dyDescent="0.25">
      <c r="A4575" s="8"/>
    </row>
    <row r="4576" spans="1:1" ht="13.8" x14ac:dyDescent="0.25">
      <c r="A4576" s="8"/>
    </row>
    <row r="4577" spans="1:1" ht="13.8" x14ac:dyDescent="0.25">
      <c r="A4577" s="8"/>
    </row>
    <row r="4578" spans="1:1" ht="13.8" x14ac:dyDescent="0.25">
      <c r="A4578" s="8"/>
    </row>
    <row r="4579" spans="1:1" ht="13.8" x14ac:dyDescent="0.25">
      <c r="A4579" s="8"/>
    </row>
    <row r="4580" spans="1:1" ht="13.8" x14ac:dyDescent="0.25">
      <c r="A4580" s="8"/>
    </row>
    <row r="4581" spans="1:1" ht="13.8" x14ac:dyDescent="0.25">
      <c r="A4581" s="8"/>
    </row>
    <row r="4582" spans="1:1" ht="13.8" x14ac:dyDescent="0.25">
      <c r="A4582" s="8"/>
    </row>
    <row r="4583" spans="1:1" ht="13.8" x14ac:dyDescent="0.25">
      <c r="A4583" s="8"/>
    </row>
    <row r="4584" spans="1:1" ht="13.8" x14ac:dyDescent="0.25">
      <c r="A4584" s="8"/>
    </row>
    <row r="4585" spans="1:1" ht="13.8" x14ac:dyDescent="0.25">
      <c r="A4585" s="8"/>
    </row>
    <row r="4586" spans="1:1" ht="13.8" x14ac:dyDescent="0.25">
      <c r="A4586" s="8"/>
    </row>
    <row r="4587" spans="1:1" ht="13.8" x14ac:dyDescent="0.25">
      <c r="A4587" s="8"/>
    </row>
    <row r="4588" spans="1:1" ht="13.8" x14ac:dyDescent="0.25">
      <c r="A4588" s="8"/>
    </row>
    <row r="4589" spans="1:1" ht="13.8" x14ac:dyDescent="0.25">
      <c r="A4589" s="8"/>
    </row>
    <row r="4590" spans="1:1" ht="13.8" x14ac:dyDescent="0.25">
      <c r="A4590" s="8"/>
    </row>
    <row r="4591" spans="1:1" ht="13.8" x14ac:dyDescent="0.25">
      <c r="A4591" s="8"/>
    </row>
    <row r="4592" spans="1:1" ht="13.8" x14ac:dyDescent="0.25">
      <c r="A4592" s="8"/>
    </row>
    <row r="4593" spans="1:1" ht="13.8" x14ac:dyDescent="0.25">
      <c r="A4593" s="8"/>
    </row>
    <row r="4594" spans="1:1" ht="13.8" x14ac:dyDescent="0.25">
      <c r="A4594" s="8"/>
    </row>
    <row r="4595" spans="1:1" ht="13.8" x14ac:dyDescent="0.25">
      <c r="A4595" s="8"/>
    </row>
    <row r="4596" spans="1:1" ht="13.8" x14ac:dyDescent="0.25">
      <c r="A4596" s="8"/>
    </row>
    <row r="4597" spans="1:1" ht="13.8" x14ac:dyDescent="0.25">
      <c r="A4597" s="8"/>
    </row>
    <row r="4598" spans="1:1" ht="13.8" x14ac:dyDescent="0.25">
      <c r="A4598" s="8"/>
    </row>
    <row r="4599" spans="1:1" ht="13.8" x14ac:dyDescent="0.25">
      <c r="A4599" s="8"/>
    </row>
    <row r="4600" spans="1:1" ht="13.8" x14ac:dyDescent="0.25">
      <c r="A4600" s="8"/>
    </row>
    <row r="4601" spans="1:1" ht="13.8" x14ac:dyDescent="0.25">
      <c r="A4601" s="8"/>
    </row>
    <row r="4602" spans="1:1" ht="13.8" x14ac:dyDescent="0.25">
      <c r="A4602" s="8"/>
    </row>
    <row r="4603" spans="1:1" ht="13.8" x14ac:dyDescent="0.25">
      <c r="A4603" s="8"/>
    </row>
    <row r="4604" spans="1:1" ht="13.8" x14ac:dyDescent="0.25">
      <c r="A4604" s="8"/>
    </row>
    <row r="4605" spans="1:1" ht="13.8" x14ac:dyDescent="0.25">
      <c r="A4605" s="8"/>
    </row>
    <row r="4606" spans="1:1" ht="13.8" x14ac:dyDescent="0.25">
      <c r="A4606" s="8"/>
    </row>
    <row r="4607" spans="1:1" ht="13.8" x14ac:dyDescent="0.25">
      <c r="A4607" s="8"/>
    </row>
    <row r="4608" spans="1:1" ht="13.8" x14ac:dyDescent="0.25">
      <c r="A4608" s="8"/>
    </row>
    <row r="4609" spans="1:1" ht="13.8" x14ac:dyDescent="0.25">
      <c r="A4609" s="8"/>
    </row>
    <row r="4610" spans="1:1" ht="13.8" x14ac:dyDescent="0.25">
      <c r="A4610" s="8"/>
    </row>
    <row r="4611" spans="1:1" ht="13.8" x14ac:dyDescent="0.25">
      <c r="A4611" s="8"/>
    </row>
    <row r="4612" spans="1:1" ht="13.8" x14ac:dyDescent="0.25">
      <c r="A4612" s="8"/>
    </row>
    <row r="4613" spans="1:1" ht="13.8" x14ac:dyDescent="0.25">
      <c r="A4613" s="8"/>
    </row>
    <row r="4614" spans="1:1" ht="13.8" x14ac:dyDescent="0.25">
      <c r="A4614" s="8"/>
    </row>
    <row r="4615" spans="1:1" ht="13.8" x14ac:dyDescent="0.25">
      <c r="A4615" s="8"/>
    </row>
    <row r="4616" spans="1:1" ht="13.8" x14ac:dyDescent="0.25">
      <c r="A4616" s="8"/>
    </row>
    <row r="4617" spans="1:1" ht="13.8" x14ac:dyDescent="0.25">
      <c r="A4617" s="8"/>
    </row>
    <row r="4618" spans="1:1" ht="13.8" x14ac:dyDescent="0.25">
      <c r="A4618" s="8"/>
    </row>
    <row r="4619" spans="1:1" ht="13.8" x14ac:dyDescent="0.25">
      <c r="A4619" s="8"/>
    </row>
    <row r="4620" spans="1:1" ht="13.8" x14ac:dyDescent="0.25">
      <c r="A4620" s="8"/>
    </row>
    <row r="4621" spans="1:1" ht="13.8" x14ac:dyDescent="0.25">
      <c r="A4621" s="8"/>
    </row>
    <row r="4622" spans="1:1" ht="13.8" x14ac:dyDescent="0.25">
      <c r="A4622" s="8"/>
    </row>
    <row r="4623" spans="1:1" ht="13.8" x14ac:dyDescent="0.25">
      <c r="A4623" s="8"/>
    </row>
    <row r="4624" spans="1:1" ht="13.8" x14ac:dyDescent="0.25">
      <c r="A4624" s="8"/>
    </row>
    <row r="4625" spans="1:1" ht="13.8" x14ac:dyDescent="0.25">
      <c r="A4625" s="8"/>
    </row>
    <row r="4626" spans="1:1" ht="13.8" x14ac:dyDescent="0.25">
      <c r="A4626" s="8"/>
    </row>
    <row r="4627" spans="1:1" ht="13.8" x14ac:dyDescent="0.25">
      <c r="A4627" s="8"/>
    </row>
    <row r="4628" spans="1:1" ht="13.8" x14ac:dyDescent="0.25">
      <c r="A4628" s="8"/>
    </row>
    <row r="4629" spans="1:1" ht="13.8" x14ac:dyDescent="0.25">
      <c r="A4629" s="8"/>
    </row>
    <row r="4630" spans="1:1" ht="13.8" x14ac:dyDescent="0.25">
      <c r="A4630" s="8"/>
    </row>
    <row r="4631" spans="1:1" ht="13.8" x14ac:dyDescent="0.25">
      <c r="A4631" s="8"/>
    </row>
    <row r="4632" spans="1:1" ht="13.8" x14ac:dyDescent="0.25">
      <c r="A4632" s="8"/>
    </row>
    <row r="4633" spans="1:1" ht="13.8" x14ac:dyDescent="0.25">
      <c r="A4633" s="8"/>
    </row>
    <row r="4634" spans="1:1" ht="13.8" x14ac:dyDescent="0.25">
      <c r="A4634" s="8"/>
    </row>
    <row r="4635" spans="1:1" ht="13.8" x14ac:dyDescent="0.25">
      <c r="A4635" s="8"/>
    </row>
    <row r="4636" spans="1:1" ht="13.8" x14ac:dyDescent="0.25">
      <c r="A4636" s="8"/>
    </row>
    <row r="4637" spans="1:1" ht="13.8" x14ac:dyDescent="0.25">
      <c r="A4637" s="8"/>
    </row>
    <row r="4638" spans="1:1" ht="13.8" x14ac:dyDescent="0.25">
      <c r="A4638" s="8"/>
    </row>
    <row r="4639" spans="1:1" ht="13.8" x14ac:dyDescent="0.25">
      <c r="A4639" s="8"/>
    </row>
    <row r="4640" spans="1:1" ht="13.8" x14ac:dyDescent="0.25">
      <c r="A4640" s="8"/>
    </row>
    <row r="4641" spans="1:1" ht="13.8" x14ac:dyDescent="0.25">
      <c r="A4641" s="8"/>
    </row>
    <row r="4642" spans="1:1" ht="13.8" x14ac:dyDescent="0.25">
      <c r="A4642" s="8"/>
    </row>
    <row r="4643" spans="1:1" ht="13.8" x14ac:dyDescent="0.25">
      <c r="A4643" s="8"/>
    </row>
    <row r="4644" spans="1:1" ht="13.8" x14ac:dyDescent="0.25">
      <c r="A4644" s="8"/>
    </row>
    <row r="4645" spans="1:1" ht="13.8" x14ac:dyDescent="0.25">
      <c r="A4645" s="8"/>
    </row>
    <row r="4646" spans="1:1" ht="13.8" x14ac:dyDescent="0.25">
      <c r="A4646" s="8"/>
    </row>
    <row r="4647" spans="1:1" ht="13.8" x14ac:dyDescent="0.25">
      <c r="A4647" s="8"/>
    </row>
    <row r="4648" spans="1:1" ht="13.8" x14ac:dyDescent="0.25">
      <c r="A4648" s="8"/>
    </row>
    <row r="4649" spans="1:1" ht="13.8" x14ac:dyDescent="0.25">
      <c r="A4649" s="8"/>
    </row>
    <row r="4650" spans="1:1" ht="13.8" x14ac:dyDescent="0.25">
      <c r="A4650" s="8"/>
    </row>
    <row r="4651" spans="1:1" ht="13.8" x14ac:dyDescent="0.25">
      <c r="A4651" s="8"/>
    </row>
    <row r="4652" spans="1:1" ht="13.8" x14ac:dyDescent="0.25">
      <c r="A4652" s="8"/>
    </row>
    <row r="4653" spans="1:1" ht="13.8" x14ac:dyDescent="0.25">
      <c r="A4653" s="8"/>
    </row>
    <row r="4654" spans="1:1" ht="13.8" x14ac:dyDescent="0.25">
      <c r="A4654" s="8"/>
    </row>
    <row r="4655" spans="1:1" ht="13.8" x14ac:dyDescent="0.25">
      <c r="A4655" s="8"/>
    </row>
    <row r="4656" spans="1:1" ht="13.8" x14ac:dyDescent="0.25">
      <c r="A4656" s="8"/>
    </row>
    <row r="4657" spans="1:1" ht="13.8" x14ac:dyDescent="0.25">
      <c r="A4657" s="8"/>
    </row>
    <row r="4658" spans="1:1" ht="13.8" x14ac:dyDescent="0.25">
      <c r="A4658" s="8"/>
    </row>
    <row r="4659" spans="1:1" ht="13.8" x14ac:dyDescent="0.25">
      <c r="A4659" s="8"/>
    </row>
    <row r="4660" spans="1:1" ht="13.8" x14ac:dyDescent="0.25">
      <c r="A4660" s="8"/>
    </row>
    <row r="4661" spans="1:1" ht="13.8" x14ac:dyDescent="0.25">
      <c r="A4661" s="8"/>
    </row>
    <row r="4662" spans="1:1" ht="13.8" x14ac:dyDescent="0.25">
      <c r="A4662" s="8"/>
    </row>
    <row r="4663" spans="1:1" ht="13.8" x14ac:dyDescent="0.25">
      <c r="A4663" s="8"/>
    </row>
    <row r="4664" spans="1:1" ht="13.8" x14ac:dyDescent="0.25">
      <c r="A4664" s="8"/>
    </row>
    <row r="4665" spans="1:1" ht="13.8" x14ac:dyDescent="0.25">
      <c r="A4665" s="8"/>
    </row>
    <row r="4666" spans="1:1" ht="13.8" x14ac:dyDescent="0.25">
      <c r="A4666" s="8"/>
    </row>
    <row r="4667" spans="1:1" ht="13.8" x14ac:dyDescent="0.25">
      <c r="A4667" s="8"/>
    </row>
    <row r="4668" spans="1:1" ht="13.8" x14ac:dyDescent="0.25">
      <c r="A4668" s="8"/>
    </row>
    <row r="4669" spans="1:1" ht="13.8" x14ac:dyDescent="0.25">
      <c r="A4669" s="8"/>
    </row>
    <row r="4670" spans="1:1" ht="13.8" x14ac:dyDescent="0.25">
      <c r="A4670" s="8"/>
    </row>
    <row r="4671" spans="1:1" ht="13.8" x14ac:dyDescent="0.25">
      <c r="A4671" s="8"/>
    </row>
    <row r="4672" spans="1:1" ht="13.8" x14ac:dyDescent="0.25">
      <c r="A4672" s="8"/>
    </row>
    <row r="4673" spans="1:1" ht="13.8" x14ac:dyDescent="0.25">
      <c r="A4673" s="8"/>
    </row>
    <row r="4674" spans="1:1" ht="13.8" x14ac:dyDescent="0.25">
      <c r="A4674" s="8"/>
    </row>
    <row r="4675" spans="1:1" ht="13.8" x14ac:dyDescent="0.25">
      <c r="A4675" s="8"/>
    </row>
    <row r="4676" spans="1:1" ht="13.8" x14ac:dyDescent="0.25">
      <c r="A4676" s="8"/>
    </row>
    <row r="4677" spans="1:1" ht="13.8" x14ac:dyDescent="0.25">
      <c r="A4677" s="8"/>
    </row>
    <row r="4678" spans="1:1" ht="13.8" x14ac:dyDescent="0.25">
      <c r="A4678" s="8"/>
    </row>
    <row r="4679" spans="1:1" ht="13.8" x14ac:dyDescent="0.25">
      <c r="A4679" s="8"/>
    </row>
    <row r="4680" spans="1:1" ht="13.8" x14ac:dyDescent="0.25">
      <c r="A4680" s="8"/>
    </row>
    <row r="4681" spans="1:1" ht="13.8" x14ac:dyDescent="0.25">
      <c r="A4681" s="8"/>
    </row>
    <row r="4682" spans="1:1" ht="13.8" x14ac:dyDescent="0.25">
      <c r="A4682" s="8"/>
    </row>
    <row r="4683" spans="1:1" ht="13.8" x14ac:dyDescent="0.25">
      <c r="A4683" s="8"/>
    </row>
    <row r="4684" spans="1:1" ht="13.8" x14ac:dyDescent="0.25">
      <c r="A4684" s="8"/>
    </row>
    <row r="4685" spans="1:1" ht="13.8" x14ac:dyDescent="0.25">
      <c r="A4685" s="8"/>
    </row>
    <row r="4686" spans="1:1" ht="13.8" x14ac:dyDescent="0.25">
      <c r="A4686" s="8"/>
    </row>
    <row r="4687" spans="1:1" ht="13.8" x14ac:dyDescent="0.25">
      <c r="A4687" s="8"/>
    </row>
    <row r="4688" spans="1:1" ht="13.8" x14ac:dyDescent="0.25">
      <c r="A4688" s="8"/>
    </row>
    <row r="4689" spans="1:1" ht="13.8" x14ac:dyDescent="0.25">
      <c r="A4689" s="8"/>
    </row>
    <row r="4690" spans="1:1" ht="13.8" x14ac:dyDescent="0.25">
      <c r="A4690" s="8"/>
    </row>
    <row r="4691" spans="1:1" ht="13.8" x14ac:dyDescent="0.25">
      <c r="A4691" s="8"/>
    </row>
    <row r="4692" spans="1:1" ht="13.8" x14ac:dyDescent="0.25">
      <c r="A4692" s="8"/>
    </row>
    <row r="4693" spans="1:1" ht="13.8" x14ac:dyDescent="0.25">
      <c r="A4693" s="8"/>
    </row>
    <row r="4694" spans="1:1" ht="13.8" x14ac:dyDescent="0.25">
      <c r="A4694" s="8"/>
    </row>
    <row r="4695" spans="1:1" ht="13.8" x14ac:dyDescent="0.25">
      <c r="A4695" s="8"/>
    </row>
    <row r="4696" spans="1:1" ht="13.8" x14ac:dyDescent="0.25">
      <c r="A4696" s="8"/>
    </row>
    <row r="4697" spans="1:1" ht="13.8" x14ac:dyDescent="0.25">
      <c r="A4697" s="8"/>
    </row>
    <row r="4698" spans="1:1" ht="13.8" x14ac:dyDescent="0.25">
      <c r="A4698" s="8"/>
    </row>
    <row r="4699" spans="1:1" ht="13.8" x14ac:dyDescent="0.25">
      <c r="A4699" s="8"/>
    </row>
    <row r="4700" spans="1:1" ht="13.8" x14ac:dyDescent="0.25">
      <c r="A4700" s="8"/>
    </row>
    <row r="4701" spans="1:1" ht="13.8" x14ac:dyDescent="0.25">
      <c r="A4701" s="8"/>
    </row>
    <row r="4702" spans="1:1" ht="13.8" x14ac:dyDescent="0.25">
      <c r="A4702" s="8"/>
    </row>
    <row r="4703" spans="1:1" ht="13.8" x14ac:dyDescent="0.25">
      <c r="A4703" s="8"/>
    </row>
    <row r="4704" spans="1:1" ht="13.8" x14ac:dyDescent="0.25">
      <c r="A4704" s="8"/>
    </row>
    <row r="4705" spans="1:1" ht="13.8" x14ac:dyDescent="0.25">
      <c r="A4705" s="8"/>
    </row>
    <row r="4706" spans="1:1" ht="13.8" x14ac:dyDescent="0.25">
      <c r="A4706" s="8"/>
    </row>
    <row r="4707" spans="1:1" ht="13.8" x14ac:dyDescent="0.25">
      <c r="A4707" s="8"/>
    </row>
    <row r="4708" spans="1:1" ht="13.8" x14ac:dyDescent="0.25">
      <c r="A4708" s="8"/>
    </row>
    <row r="4709" spans="1:1" ht="13.8" x14ac:dyDescent="0.25">
      <c r="A4709" s="8"/>
    </row>
    <row r="4710" spans="1:1" ht="13.8" x14ac:dyDescent="0.25">
      <c r="A4710" s="8"/>
    </row>
    <row r="4711" spans="1:1" ht="13.8" x14ac:dyDescent="0.25">
      <c r="A4711" s="8"/>
    </row>
    <row r="4712" spans="1:1" ht="13.8" x14ac:dyDescent="0.25">
      <c r="A4712" s="8"/>
    </row>
    <row r="4713" spans="1:1" ht="13.8" x14ac:dyDescent="0.25">
      <c r="A4713" s="8"/>
    </row>
    <row r="4714" spans="1:1" ht="13.8" x14ac:dyDescent="0.25">
      <c r="A4714" s="8"/>
    </row>
    <row r="4715" spans="1:1" ht="13.8" x14ac:dyDescent="0.25">
      <c r="A4715" s="8"/>
    </row>
    <row r="4716" spans="1:1" ht="13.8" x14ac:dyDescent="0.25">
      <c r="A4716" s="8"/>
    </row>
    <row r="4717" spans="1:1" ht="13.8" x14ac:dyDescent="0.25">
      <c r="A4717" s="8"/>
    </row>
    <row r="4718" spans="1:1" ht="13.8" x14ac:dyDescent="0.25">
      <c r="A4718" s="8"/>
    </row>
    <row r="4719" spans="1:1" ht="13.8" x14ac:dyDescent="0.25">
      <c r="A4719" s="8"/>
    </row>
    <row r="4720" spans="1:1" ht="13.8" x14ac:dyDescent="0.25">
      <c r="A4720" s="8"/>
    </row>
    <row r="4721" spans="1:1" ht="13.8" x14ac:dyDescent="0.25">
      <c r="A4721" s="8"/>
    </row>
    <row r="4722" spans="1:1" ht="13.8" x14ac:dyDescent="0.25">
      <c r="A4722" s="8"/>
    </row>
    <row r="4723" spans="1:1" ht="13.8" x14ac:dyDescent="0.25">
      <c r="A4723" s="8"/>
    </row>
    <row r="4724" spans="1:1" ht="13.8" x14ac:dyDescent="0.25">
      <c r="A4724" s="8"/>
    </row>
    <row r="4725" spans="1:1" ht="13.8" x14ac:dyDescent="0.25">
      <c r="A4725" s="8"/>
    </row>
    <row r="4726" spans="1:1" ht="13.8" x14ac:dyDescent="0.25">
      <c r="A4726" s="8"/>
    </row>
    <row r="4727" spans="1:1" ht="13.8" x14ac:dyDescent="0.25">
      <c r="A4727" s="8"/>
    </row>
    <row r="4728" spans="1:1" ht="13.8" x14ac:dyDescent="0.25">
      <c r="A4728" s="8"/>
    </row>
    <row r="4729" spans="1:1" ht="13.8" x14ac:dyDescent="0.25">
      <c r="A4729" s="8"/>
    </row>
    <row r="4730" spans="1:1" ht="13.8" x14ac:dyDescent="0.25">
      <c r="A4730" s="8"/>
    </row>
    <row r="4731" spans="1:1" ht="13.8" x14ac:dyDescent="0.25">
      <c r="A4731" s="8"/>
    </row>
    <row r="4732" spans="1:1" ht="13.8" x14ac:dyDescent="0.25">
      <c r="A4732" s="8"/>
    </row>
    <row r="4733" spans="1:1" ht="13.8" x14ac:dyDescent="0.25">
      <c r="A4733" s="8"/>
    </row>
    <row r="4734" spans="1:1" ht="13.8" x14ac:dyDescent="0.25">
      <c r="A4734" s="8"/>
    </row>
    <row r="4735" spans="1:1" ht="13.8" x14ac:dyDescent="0.25">
      <c r="A4735" s="8"/>
    </row>
    <row r="4736" spans="1:1" ht="13.8" x14ac:dyDescent="0.25">
      <c r="A4736" s="8"/>
    </row>
    <row r="4737" spans="1:1" ht="13.8" x14ac:dyDescent="0.25">
      <c r="A4737" s="8"/>
    </row>
    <row r="4738" spans="1:1" ht="13.8" x14ac:dyDescent="0.25">
      <c r="A4738" s="8"/>
    </row>
    <row r="4739" spans="1:1" ht="13.8" x14ac:dyDescent="0.25">
      <c r="A4739" s="8"/>
    </row>
    <row r="4740" spans="1:1" ht="13.8" x14ac:dyDescent="0.25">
      <c r="A4740" s="8"/>
    </row>
    <row r="4741" spans="1:1" ht="13.8" x14ac:dyDescent="0.25">
      <c r="A4741" s="8"/>
    </row>
    <row r="4742" spans="1:1" ht="13.8" x14ac:dyDescent="0.25">
      <c r="A4742" s="8"/>
    </row>
    <row r="4743" spans="1:1" ht="13.8" x14ac:dyDescent="0.25">
      <c r="A4743" s="8"/>
    </row>
    <row r="4744" spans="1:1" ht="13.8" x14ac:dyDescent="0.25">
      <c r="A4744" s="8"/>
    </row>
    <row r="4745" spans="1:1" ht="13.8" x14ac:dyDescent="0.25">
      <c r="A4745" s="8"/>
    </row>
    <row r="4746" spans="1:1" ht="13.8" x14ac:dyDescent="0.25">
      <c r="A4746" s="8"/>
    </row>
    <row r="4747" spans="1:1" ht="13.8" x14ac:dyDescent="0.25">
      <c r="A4747" s="8"/>
    </row>
    <row r="4748" spans="1:1" ht="13.8" x14ac:dyDescent="0.25">
      <c r="A4748" s="8"/>
    </row>
    <row r="4749" spans="1:1" ht="13.8" x14ac:dyDescent="0.25">
      <c r="A4749" s="8"/>
    </row>
    <row r="4750" spans="1:1" ht="13.8" x14ac:dyDescent="0.25">
      <c r="A4750" s="8"/>
    </row>
    <row r="4751" spans="1:1" ht="13.8" x14ac:dyDescent="0.25">
      <c r="A4751" s="8"/>
    </row>
    <row r="4752" spans="1:1" ht="13.8" x14ac:dyDescent="0.25">
      <c r="A4752" s="8"/>
    </row>
    <row r="4753" spans="1:1" ht="13.8" x14ac:dyDescent="0.25">
      <c r="A4753" s="8"/>
    </row>
    <row r="4754" spans="1:1" ht="13.8" x14ac:dyDescent="0.25">
      <c r="A4754" s="8"/>
    </row>
    <row r="4755" spans="1:1" ht="13.8" x14ac:dyDescent="0.25">
      <c r="A4755" s="8"/>
    </row>
    <row r="4756" spans="1:1" ht="13.8" x14ac:dyDescent="0.25">
      <c r="A4756" s="8"/>
    </row>
    <row r="4757" spans="1:1" ht="13.8" x14ac:dyDescent="0.25">
      <c r="A4757" s="8"/>
    </row>
    <row r="4758" spans="1:1" ht="13.8" x14ac:dyDescent="0.25">
      <c r="A4758" s="8"/>
    </row>
    <row r="4759" spans="1:1" ht="13.8" x14ac:dyDescent="0.25">
      <c r="A4759" s="8"/>
    </row>
    <row r="4760" spans="1:1" ht="13.8" x14ac:dyDescent="0.25">
      <c r="A4760" s="8"/>
    </row>
    <row r="4761" spans="1:1" ht="13.8" x14ac:dyDescent="0.25">
      <c r="A4761" s="8"/>
    </row>
    <row r="4762" spans="1:1" ht="13.8" x14ac:dyDescent="0.25">
      <c r="A4762" s="8"/>
    </row>
    <row r="4763" spans="1:1" ht="13.8" x14ac:dyDescent="0.25">
      <c r="A4763" s="8"/>
    </row>
    <row r="4764" spans="1:1" ht="13.8" x14ac:dyDescent="0.25">
      <c r="A4764" s="8"/>
    </row>
    <row r="4765" spans="1:1" ht="13.8" x14ac:dyDescent="0.25">
      <c r="A4765" s="8"/>
    </row>
    <row r="4766" spans="1:1" ht="13.8" x14ac:dyDescent="0.25">
      <c r="A4766" s="8"/>
    </row>
    <row r="4767" spans="1:1" ht="13.8" x14ac:dyDescent="0.25">
      <c r="A4767" s="8"/>
    </row>
    <row r="4768" spans="1:1" ht="13.8" x14ac:dyDescent="0.25">
      <c r="A4768" s="8"/>
    </row>
    <row r="4769" spans="1:1" ht="13.8" x14ac:dyDescent="0.25">
      <c r="A4769" s="8"/>
    </row>
    <row r="4770" spans="1:1" ht="13.8" x14ac:dyDescent="0.25">
      <c r="A4770" s="8"/>
    </row>
    <row r="4771" spans="1:1" ht="13.8" x14ac:dyDescent="0.25">
      <c r="A4771" s="8"/>
    </row>
    <row r="4772" spans="1:1" ht="13.8" x14ac:dyDescent="0.25">
      <c r="A4772" s="8"/>
    </row>
    <row r="4773" spans="1:1" ht="13.8" x14ac:dyDescent="0.25">
      <c r="A4773" s="8"/>
    </row>
    <row r="4774" spans="1:1" ht="13.8" x14ac:dyDescent="0.25">
      <c r="A4774" s="8"/>
    </row>
    <row r="4775" spans="1:1" ht="13.8" x14ac:dyDescent="0.25">
      <c r="A4775" s="8"/>
    </row>
    <row r="4776" spans="1:1" ht="13.8" x14ac:dyDescent="0.25">
      <c r="A4776" s="8"/>
    </row>
    <row r="4777" spans="1:1" ht="13.8" x14ac:dyDescent="0.25">
      <c r="A4777" s="8"/>
    </row>
    <row r="4778" spans="1:1" ht="13.8" x14ac:dyDescent="0.25">
      <c r="A4778" s="8"/>
    </row>
    <row r="4779" spans="1:1" ht="13.8" x14ac:dyDescent="0.25">
      <c r="A4779" s="8"/>
    </row>
    <row r="4780" spans="1:1" ht="13.8" x14ac:dyDescent="0.25">
      <c r="A4780" s="8"/>
    </row>
    <row r="4781" spans="1:1" ht="13.8" x14ac:dyDescent="0.25">
      <c r="A4781" s="8"/>
    </row>
    <row r="4782" spans="1:1" ht="13.8" x14ac:dyDescent="0.25">
      <c r="A4782" s="8"/>
    </row>
    <row r="4783" spans="1:1" ht="13.8" x14ac:dyDescent="0.25">
      <c r="A4783" s="8"/>
    </row>
    <row r="4784" spans="1:1" ht="13.8" x14ac:dyDescent="0.25">
      <c r="A4784" s="8"/>
    </row>
    <row r="4785" spans="1:1" ht="13.8" x14ac:dyDescent="0.25">
      <c r="A4785" s="8"/>
    </row>
    <row r="4786" spans="1:1" ht="13.8" x14ac:dyDescent="0.25">
      <c r="A4786" s="8"/>
    </row>
    <row r="4787" spans="1:1" ht="13.8" x14ac:dyDescent="0.25">
      <c r="A4787" s="8"/>
    </row>
    <row r="4788" spans="1:1" ht="13.8" x14ac:dyDescent="0.25">
      <c r="A4788" s="8"/>
    </row>
    <row r="4789" spans="1:1" ht="13.8" x14ac:dyDescent="0.25">
      <c r="A4789" s="8"/>
    </row>
    <row r="4790" spans="1:1" ht="13.8" x14ac:dyDescent="0.25">
      <c r="A4790" s="8"/>
    </row>
    <row r="4791" spans="1:1" ht="13.8" x14ac:dyDescent="0.25">
      <c r="A4791" s="8"/>
    </row>
    <row r="4792" spans="1:1" ht="13.8" x14ac:dyDescent="0.25">
      <c r="A4792" s="8"/>
    </row>
    <row r="4793" spans="1:1" ht="13.8" x14ac:dyDescent="0.25">
      <c r="A4793" s="8"/>
    </row>
    <row r="4794" spans="1:1" ht="13.8" x14ac:dyDescent="0.25">
      <c r="A4794" s="8"/>
    </row>
    <row r="4795" spans="1:1" ht="13.8" x14ac:dyDescent="0.25">
      <c r="A4795" s="8"/>
    </row>
    <row r="4796" spans="1:1" ht="13.8" x14ac:dyDescent="0.25">
      <c r="A4796" s="8"/>
    </row>
    <row r="4797" spans="1:1" ht="13.8" x14ac:dyDescent="0.25">
      <c r="A4797" s="8"/>
    </row>
    <row r="4798" spans="1:1" ht="13.8" x14ac:dyDescent="0.25">
      <c r="A4798" s="8"/>
    </row>
    <row r="4799" spans="1:1" ht="13.8" x14ac:dyDescent="0.25">
      <c r="A4799" s="8"/>
    </row>
    <row r="4800" spans="1:1" ht="13.8" x14ac:dyDescent="0.25">
      <c r="A4800" s="8"/>
    </row>
    <row r="4801" spans="1:1" ht="13.8" x14ac:dyDescent="0.25">
      <c r="A4801" s="8"/>
    </row>
    <row r="4802" spans="1:1" ht="13.8" x14ac:dyDescent="0.25">
      <c r="A4802" s="8"/>
    </row>
    <row r="4803" spans="1:1" ht="13.8" x14ac:dyDescent="0.25">
      <c r="A4803" s="8"/>
    </row>
    <row r="4804" spans="1:1" ht="13.8" x14ac:dyDescent="0.25">
      <c r="A4804" s="8"/>
    </row>
    <row r="4805" spans="1:1" ht="13.8" x14ac:dyDescent="0.25">
      <c r="A4805" s="8"/>
    </row>
    <row r="4806" spans="1:1" ht="13.8" x14ac:dyDescent="0.25">
      <c r="A4806" s="8"/>
    </row>
    <row r="4807" spans="1:1" ht="13.8" x14ac:dyDescent="0.25">
      <c r="A4807" s="8"/>
    </row>
    <row r="4808" spans="1:1" ht="13.8" x14ac:dyDescent="0.25">
      <c r="A4808" s="8"/>
    </row>
    <row r="4809" spans="1:1" ht="13.8" x14ac:dyDescent="0.25">
      <c r="A4809" s="8"/>
    </row>
    <row r="4810" spans="1:1" ht="13.8" x14ac:dyDescent="0.25">
      <c r="A4810" s="8"/>
    </row>
    <row r="4811" spans="1:1" ht="13.8" x14ac:dyDescent="0.25">
      <c r="A4811" s="8"/>
    </row>
    <row r="4812" spans="1:1" ht="13.8" x14ac:dyDescent="0.25">
      <c r="A4812" s="8"/>
    </row>
    <row r="4813" spans="1:1" ht="13.8" x14ac:dyDescent="0.25">
      <c r="A4813" s="8"/>
    </row>
    <row r="4814" spans="1:1" ht="13.8" x14ac:dyDescent="0.25">
      <c r="A4814" s="8"/>
    </row>
    <row r="4815" spans="1:1" ht="13.8" x14ac:dyDescent="0.25">
      <c r="A4815" s="8"/>
    </row>
    <row r="4816" spans="1:1" ht="13.8" x14ac:dyDescent="0.25">
      <c r="A4816" s="8"/>
    </row>
    <row r="4817" spans="1:1" ht="13.8" x14ac:dyDescent="0.25">
      <c r="A4817" s="8"/>
    </row>
    <row r="4818" spans="1:1" ht="13.8" x14ac:dyDescent="0.25">
      <c r="A4818" s="8"/>
    </row>
    <row r="4819" spans="1:1" ht="13.8" x14ac:dyDescent="0.25">
      <c r="A4819" s="8"/>
    </row>
    <row r="4820" spans="1:1" ht="13.8" x14ac:dyDescent="0.25">
      <c r="A4820" s="8"/>
    </row>
    <row r="4821" spans="1:1" ht="13.8" x14ac:dyDescent="0.25">
      <c r="A4821" s="8"/>
    </row>
    <row r="4822" spans="1:1" ht="13.8" x14ac:dyDescent="0.25">
      <c r="A4822" s="8"/>
    </row>
    <row r="4823" spans="1:1" ht="13.8" x14ac:dyDescent="0.25">
      <c r="A4823" s="8"/>
    </row>
    <row r="4824" spans="1:1" ht="13.8" x14ac:dyDescent="0.25">
      <c r="A4824" s="8"/>
    </row>
    <row r="4825" spans="1:1" ht="13.8" x14ac:dyDescent="0.25">
      <c r="A4825" s="8"/>
    </row>
    <row r="4826" spans="1:1" ht="13.8" x14ac:dyDescent="0.25">
      <c r="A4826" s="8"/>
    </row>
    <row r="4827" spans="1:1" ht="13.8" x14ac:dyDescent="0.25">
      <c r="A4827" s="8"/>
    </row>
    <row r="4828" spans="1:1" ht="13.8" x14ac:dyDescent="0.25">
      <c r="A4828" s="8"/>
    </row>
    <row r="4829" spans="1:1" ht="13.8" x14ac:dyDescent="0.25">
      <c r="A4829" s="8"/>
    </row>
    <row r="4830" spans="1:1" ht="13.8" x14ac:dyDescent="0.25">
      <c r="A4830" s="8"/>
    </row>
    <row r="4831" spans="1:1" ht="13.8" x14ac:dyDescent="0.25">
      <c r="A4831" s="8"/>
    </row>
    <row r="4832" spans="1:1" ht="13.8" x14ac:dyDescent="0.25">
      <c r="A4832" s="8"/>
    </row>
    <row r="4833" spans="1:1" ht="13.8" x14ac:dyDescent="0.25">
      <c r="A4833" s="8"/>
    </row>
    <row r="4834" spans="1:1" ht="13.8" x14ac:dyDescent="0.25">
      <c r="A4834" s="8"/>
    </row>
    <row r="4835" spans="1:1" ht="13.8" x14ac:dyDescent="0.25">
      <c r="A4835" s="8"/>
    </row>
    <row r="4836" spans="1:1" ht="13.8" x14ac:dyDescent="0.25">
      <c r="A4836" s="8"/>
    </row>
    <row r="4837" spans="1:1" ht="13.8" x14ac:dyDescent="0.25">
      <c r="A4837" s="8"/>
    </row>
    <row r="4838" spans="1:1" ht="13.8" x14ac:dyDescent="0.25">
      <c r="A4838" s="8"/>
    </row>
    <row r="4839" spans="1:1" ht="13.8" x14ac:dyDescent="0.25">
      <c r="A4839" s="8"/>
    </row>
    <row r="4840" spans="1:1" ht="13.8" x14ac:dyDescent="0.25">
      <c r="A4840" s="8"/>
    </row>
    <row r="4841" spans="1:1" ht="13.8" x14ac:dyDescent="0.25">
      <c r="A4841" s="8"/>
    </row>
    <row r="4842" spans="1:1" ht="13.8" x14ac:dyDescent="0.25">
      <c r="A4842" s="8"/>
    </row>
    <row r="4843" spans="1:1" ht="13.8" x14ac:dyDescent="0.25">
      <c r="A4843" s="8"/>
    </row>
    <row r="4844" spans="1:1" ht="13.8" x14ac:dyDescent="0.25">
      <c r="A4844" s="8"/>
    </row>
    <row r="4845" spans="1:1" ht="13.8" x14ac:dyDescent="0.25">
      <c r="A4845" s="8"/>
    </row>
    <row r="4846" spans="1:1" ht="13.8" x14ac:dyDescent="0.25">
      <c r="A4846" s="8"/>
    </row>
    <row r="4847" spans="1:1" ht="13.8" x14ac:dyDescent="0.25">
      <c r="A4847" s="8"/>
    </row>
    <row r="4848" spans="1:1" ht="13.8" x14ac:dyDescent="0.25">
      <c r="A4848" s="8"/>
    </row>
    <row r="4849" spans="1:1" ht="13.8" x14ac:dyDescent="0.25">
      <c r="A4849" s="8"/>
    </row>
    <row r="4850" spans="1:1" ht="13.8" x14ac:dyDescent="0.25">
      <c r="A4850" s="8"/>
    </row>
    <row r="4851" spans="1:1" ht="13.8" x14ac:dyDescent="0.25">
      <c r="A4851" s="8"/>
    </row>
    <row r="4852" spans="1:1" ht="13.8" x14ac:dyDescent="0.25">
      <c r="A4852" s="8"/>
    </row>
    <row r="4853" spans="1:1" ht="13.8" x14ac:dyDescent="0.25">
      <c r="A4853" s="8"/>
    </row>
    <row r="4854" spans="1:1" ht="13.8" x14ac:dyDescent="0.25">
      <c r="A4854" s="8"/>
    </row>
    <row r="4855" spans="1:1" ht="13.8" x14ac:dyDescent="0.25">
      <c r="A4855" s="8"/>
    </row>
    <row r="4856" spans="1:1" ht="13.8" x14ac:dyDescent="0.25">
      <c r="A4856" s="8"/>
    </row>
    <row r="4857" spans="1:1" ht="13.8" x14ac:dyDescent="0.25">
      <c r="A4857" s="8"/>
    </row>
    <row r="4858" spans="1:1" ht="13.8" x14ac:dyDescent="0.25">
      <c r="A4858" s="8"/>
    </row>
    <row r="4859" spans="1:1" ht="13.8" x14ac:dyDescent="0.25">
      <c r="A4859" s="8"/>
    </row>
    <row r="4860" spans="1:1" ht="13.8" x14ac:dyDescent="0.25">
      <c r="A4860" s="8"/>
    </row>
    <row r="4861" spans="1:1" ht="13.8" x14ac:dyDescent="0.25">
      <c r="A4861" s="8"/>
    </row>
    <row r="4862" spans="1:1" ht="13.8" x14ac:dyDescent="0.25">
      <c r="A4862" s="8"/>
    </row>
    <row r="4863" spans="1:1" ht="13.8" x14ac:dyDescent="0.25">
      <c r="A4863" s="8"/>
    </row>
    <row r="4864" spans="1:1" ht="13.8" x14ac:dyDescent="0.25">
      <c r="A4864" s="8"/>
    </row>
    <row r="4865" spans="1:1" ht="13.8" x14ac:dyDescent="0.25">
      <c r="A4865" s="8"/>
    </row>
    <row r="4866" spans="1:1" ht="13.8" x14ac:dyDescent="0.25">
      <c r="A4866" s="8"/>
    </row>
    <row r="4867" spans="1:1" ht="13.8" x14ac:dyDescent="0.25">
      <c r="A4867" s="8"/>
    </row>
    <row r="4868" spans="1:1" ht="13.8" x14ac:dyDescent="0.25">
      <c r="A4868" s="8"/>
    </row>
    <row r="4869" spans="1:1" ht="13.8" x14ac:dyDescent="0.25">
      <c r="A4869" s="8"/>
    </row>
    <row r="4870" spans="1:1" ht="13.8" x14ac:dyDescent="0.25">
      <c r="A4870" s="8"/>
    </row>
    <row r="4871" spans="1:1" ht="13.8" x14ac:dyDescent="0.25">
      <c r="A4871" s="8"/>
    </row>
    <row r="4872" spans="1:1" ht="13.8" x14ac:dyDescent="0.25">
      <c r="A4872" s="8"/>
    </row>
    <row r="4873" spans="1:1" ht="13.8" x14ac:dyDescent="0.25">
      <c r="A4873" s="8"/>
    </row>
    <row r="4874" spans="1:1" ht="13.8" x14ac:dyDescent="0.25">
      <c r="A4874" s="8"/>
    </row>
    <row r="4875" spans="1:1" ht="13.8" x14ac:dyDescent="0.25">
      <c r="A4875" s="8"/>
    </row>
    <row r="4876" spans="1:1" ht="13.8" x14ac:dyDescent="0.25">
      <c r="A4876" s="8"/>
    </row>
    <row r="4877" spans="1:1" ht="13.8" x14ac:dyDescent="0.25">
      <c r="A4877" s="8"/>
    </row>
    <row r="4878" spans="1:1" ht="13.8" x14ac:dyDescent="0.25">
      <c r="A4878" s="8"/>
    </row>
    <row r="4879" spans="1:1" ht="13.8" x14ac:dyDescent="0.25">
      <c r="A4879" s="8"/>
    </row>
    <row r="4880" spans="1:1" ht="13.8" x14ac:dyDescent="0.25">
      <c r="A4880" s="8"/>
    </row>
    <row r="4881" spans="1:1" ht="13.8" x14ac:dyDescent="0.25">
      <c r="A4881" s="8"/>
    </row>
    <row r="4882" spans="1:1" ht="13.8" x14ac:dyDescent="0.25">
      <c r="A4882" s="8"/>
    </row>
    <row r="4883" spans="1:1" ht="13.8" x14ac:dyDescent="0.25">
      <c r="A4883" s="8"/>
    </row>
    <row r="4884" spans="1:1" ht="13.8" x14ac:dyDescent="0.25">
      <c r="A4884" s="8"/>
    </row>
    <row r="4885" spans="1:1" ht="13.8" x14ac:dyDescent="0.25">
      <c r="A4885" s="8"/>
    </row>
    <row r="4886" spans="1:1" ht="13.8" x14ac:dyDescent="0.25">
      <c r="A4886" s="8"/>
    </row>
    <row r="4887" spans="1:1" ht="13.8" x14ac:dyDescent="0.25">
      <c r="A4887" s="8"/>
    </row>
    <row r="4888" spans="1:1" ht="13.8" x14ac:dyDescent="0.25">
      <c r="A4888" s="8"/>
    </row>
    <row r="4889" spans="1:1" ht="13.8" x14ac:dyDescent="0.25">
      <c r="A4889" s="8"/>
    </row>
    <row r="4890" spans="1:1" ht="13.8" x14ac:dyDescent="0.25">
      <c r="A4890" s="8"/>
    </row>
    <row r="4891" spans="1:1" ht="13.8" x14ac:dyDescent="0.25">
      <c r="A4891" s="8"/>
    </row>
    <row r="4892" spans="1:1" ht="13.8" x14ac:dyDescent="0.25">
      <c r="A4892" s="8"/>
    </row>
    <row r="4893" spans="1:1" ht="13.8" x14ac:dyDescent="0.25">
      <c r="A4893" s="8"/>
    </row>
    <row r="4894" spans="1:1" ht="13.8" x14ac:dyDescent="0.25">
      <c r="A4894" s="8"/>
    </row>
    <row r="4895" spans="1:1" ht="13.8" x14ac:dyDescent="0.25">
      <c r="A4895" s="8"/>
    </row>
    <row r="4896" spans="1:1" ht="13.8" x14ac:dyDescent="0.25">
      <c r="A4896" s="8"/>
    </row>
    <row r="4897" spans="1:1" ht="13.8" x14ac:dyDescent="0.25">
      <c r="A4897" s="8"/>
    </row>
    <row r="4898" spans="1:1" ht="13.8" x14ac:dyDescent="0.25">
      <c r="A4898" s="8"/>
    </row>
    <row r="4899" spans="1:1" ht="13.8" x14ac:dyDescent="0.25">
      <c r="A4899" s="8"/>
    </row>
    <row r="4900" spans="1:1" ht="13.8" x14ac:dyDescent="0.25">
      <c r="A4900" s="8"/>
    </row>
    <row r="4901" spans="1:1" ht="13.8" x14ac:dyDescent="0.25">
      <c r="A4901" s="8"/>
    </row>
    <row r="4902" spans="1:1" ht="13.8" x14ac:dyDescent="0.25">
      <c r="A4902" s="8"/>
    </row>
    <row r="4903" spans="1:1" ht="13.8" x14ac:dyDescent="0.25">
      <c r="A4903" s="8"/>
    </row>
    <row r="4904" spans="1:1" ht="13.8" x14ac:dyDescent="0.25">
      <c r="A4904" s="8"/>
    </row>
    <row r="4905" spans="1:1" ht="13.8" x14ac:dyDescent="0.25">
      <c r="A4905" s="8"/>
    </row>
    <row r="4906" spans="1:1" ht="13.8" x14ac:dyDescent="0.25">
      <c r="A4906" s="8"/>
    </row>
    <row r="4907" spans="1:1" ht="13.8" x14ac:dyDescent="0.25">
      <c r="A4907" s="8"/>
    </row>
    <row r="4908" spans="1:1" ht="13.8" x14ac:dyDescent="0.25">
      <c r="A4908" s="8"/>
    </row>
    <row r="4909" spans="1:1" ht="13.8" x14ac:dyDescent="0.25">
      <c r="A4909" s="8"/>
    </row>
    <row r="4910" spans="1:1" ht="13.8" x14ac:dyDescent="0.25">
      <c r="A4910" s="8"/>
    </row>
    <row r="4911" spans="1:1" ht="13.8" x14ac:dyDescent="0.25">
      <c r="A4911" s="8"/>
    </row>
    <row r="4912" spans="1:1" ht="13.8" x14ac:dyDescent="0.25">
      <c r="A4912" s="8"/>
    </row>
    <row r="4913" spans="1:1" ht="13.8" x14ac:dyDescent="0.25">
      <c r="A4913" s="8"/>
    </row>
    <row r="4914" spans="1:1" ht="13.8" x14ac:dyDescent="0.25">
      <c r="A4914" s="8"/>
    </row>
    <row r="4915" spans="1:1" ht="13.8" x14ac:dyDescent="0.25">
      <c r="A4915" s="8"/>
    </row>
    <row r="4916" spans="1:1" ht="13.8" x14ac:dyDescent="0.25">
      <c r="A4916" s="8"/>
    </row>
    <row r="4917" spans="1:1" ht="13.8" x14ac:dyDescent="0.25">
      <c r="A4917" s="8"/>
    </row>
    <row r="4918" spans="1:1" ht="13.8" x14ac:dyDescent="0.25">
      <c r="A4918" s="8"/>
    </row>
    <row r="4919" spans="1:1" ht="13.8" x14ac:dyDescent="0.25">
      <c r="A4919" s="8"/>
    </row>
    <row r="4920" spans="1:1" ht="13.8" x14ac:dyDescent="0.25">
      <c r="A4920" s="8"/>
    </row>
    <row r="4921" spans="1:1" ht="13.8" x14ac:dyDescent="0.25">
      <c r="A4921" s="8"/>
    </row>
    <row r="4922" spans="1:1" ht="13.8" x14ac:dyDescent="0.25">
      <c r="A4922" s="8"/>
    </row>
    <row r="4923" spans="1:1" ht="13.8" x14ac:dyDescent="0.25">
      <c r="A4923" s="8"/>
    </row>
    <row r="4924" spans="1:1" ht="13.8" x14ac:dyDescent="0.25">
      <c r="A4924" s="8"/>
    </row>
    <row r="4925" spans="1:1" ht="13.8" x14ac:dyDescent="0.25">
      <c r="A4925" s="8"/>
    </row>
    <row r="4926" spans="1:1" ht="13.8" x14ac:dyDescent="0.25">
      <c r="A4926" s="8"/>
    </row>
    <row r="4927" spans="1:1" ht="13.8" x14ac:dyDescent="0.25">
      <c r="A4927" s="8"/>
    </row>
    <row r="4928" spans="1:1" ht="13.8" x14ac:dyDescent="0.25">
      <c r="A4928" s="8"/>
    </row>
    <row r="4929" spans="1:1" ht="13.8" x14ac:dyDescent="0.25">
      <c r="A4929" s="8"/>
    </row>
    <row r="4930" spans="1:1" ht="13.8" x14ac:dyDescent="0.25">
      <c r="A4930" s="8"/>
    </row>
    <row r="4931" spans="1:1" ht="13.8" x14ac:dyDescent="0.25">
      <c r="A4931" s="8"/>
    </row>
    <row r="4932" spans="1:1" ht="13.8" x14ac:dyDescent="0.25">
      <c r="A4932" s="8"/>
    </row>
    <row r="4933" spans="1:1" ht="13.8" x14ac:dyDescent="0.25">
      <c r="A4933" s="8"/>
    </row>
    <row r="4934" spans="1:1" ht="13.8" x14ac:dyDescent="0.25">
      <c r="A4934" s="8"/>
    </row>
    <row r="4935" spans="1:1" ht="13.8" x14ac:dyDescent="0.25">
      <c r="A4935" s="8"/>
    </row>
    <row r="4936" spans="1:1" ht="13.8" x14ac:dyDescent="0.25">
      <c r="A4936" s="8"/>
    </row>
    <row r="4937" spans="1:1" ht="13.8" x14ac:dyDescent="0.25">
      <c r="A4937" s="8"/>
    </row>
    <row r="4938" spans="1:1" ht="13.8" x14ac:dyDescent="0.25">
      <c r="A4938" s="8"/>
    </row>
    <row r="4939" spans="1:1" ht="13.8" x14ac:dyDescent="0.25">
      <c r="A4939" s="8"/>
    </row>
    <row r="4940" spans="1:1" ht="13.8" x14ac:dyDescent="0.25">
      <c r="A4940" s="8"/>
    </row>
    <row r="4941" spans="1:1" ht="13.8" x14ac:dyDescent="0.25">
      <c r="A4941" s="8"/>
    </row>
    <row r="4942" spans="1:1" ht="13.8" x14ac:dyDescent="0.25">
      <c r="A4942" s="8"/>
    </row>
    <row r="4943" spans="1:1" ht="13.8" x14ac:dyDescent="0.25">
      <c r="A4943" s="8"/>
    </row>
    <row r="4944" spans="1:1" ht="13.8" x14ac:dyDescent="0.25">
      <c r="A4944" s="8"/>
    </row>
    <row r="4945" spans="1:1" ht="13.8" x14ac:dyDescent="0.25">
      <c r="A4945" s="8"/>
    </row>
    <row r="4946" spans="1:1" ht="13.8" x14ac:dyDescent="0.25">
      <c r="A4946" s="8"/>
    </row>
    <row r="4947" spans="1:1" ht="13.8" x14ac:dyDescent="0.25">
      <c r="A4947" s="8"/>
    </row>
    <row r="4948" spans="1:1" ht="13.8" x14ac:dyDescent="0.25">
      <c r="A4948" s="8"/>
    </row>
    <row r="4949" spans="1:1" ht="13.8" x14ac:dyDescent="0.25">
      <c r="A4949" s="8"/>
    </row>
    <row r="4950" spans="1:1" ht="13.8" x14ac:dyDescent="0.25">
      <c r="A4950" s="8"/>
    </row>
    <row r="4951" spans="1:1" ht="13.8" x14ac:dyDescent="0.25">
      <c r="A4951" s="8"/>
    </row>
    <row r="4952" spans="1:1" ht="13.8" x14ac:dyDescent="0.25">
      <c r="A4952" s="8"/>
    </row>
    <row r="4953" spans="1:1" ht="13.8" x14ac:dyDescent="0.25">
      <c r="A4953" s="8"/>
    </row>
    <row r="4954" spans="1:1" ht="13.8" x14ac:dyDescent="0.25">
      <c r="A4954" s="8"/>
    </row>
    <row r="4955" spans="1:1" ht="13.8" x14ac:dyDescent="0.25">
      <c r="A4955" s="8"/>
    </row>
    <row r="4956" spans="1:1" ht="13.8" x14ac:dyDescent="0.25">
      <c r="A4956" s="8"/>
    </row>
    <row r="4957" spans="1:1" ht="13.8" x14ac:dyDescent="0.25">
      <c r="A4957" s="8"/>
    </row>
    <row r="4958" spans="1:1" ht="13.8" x14ac:dyDescent="0.25">
      <c r="A4958" s="8"/>
    </row>
    <row r="4959" spans="1:1" ht="13.8" x14ac:dyDescent="0.25">
      <c r="A4959" s="8"/>
    </row>
    <row r="4960" spans="1:1" ht="13.8" x14ac:dyDescent="0.25">
      <c r="A4960" s="8"/>
    </row>
    <row r="4961" spans="1:1" ht="13.8" x14ac:dyDescent="0.25">
      <c r="A4961" s="8"/>
    </row>
    <row r="4962" spans="1:1" ht="13.8" x14ac:dyDescent="0.25">
      <c r="A4962" s="8"/>
    </row>
    <row r="4963" spans="1:1" ht="13.8" x14ac:dyDescent="0.25">
      <c r="A4963" s="8"/>
    </row>
    <row r="4964" spans="1:1" ht="13.8" x14ac:dyDescent="0.25">
      <c r="A4964" s="8"/>
    </row>
    <row r="4965" spans="1:1" ht="13.8" x14ac:dyDescent="0.25">
      <c r="A4965" s="8"/>
    </row>
    <row r="4966" spans="1:1" ht="13.8" x14ac:dyDescent="0.25">
      <c r="A4966" s="8"/>
    </row>
    <row r="4967" spans="1:1" ht="13.8" x14ac:dyDescent="0.25">
      <c r="A4967" s="8"/>
    </row>
    <row r="4968" spans="1:1" ht="13.8" x14ac:dyDescent="0.25">
      <c r="A4968" s="8"/>
    </row>
    <row r="4969" spans="1:1" ht="13.8" x14ac:dyDescent="0.25">
      <c r="A4969" s="8"/>
    </row>
    <row r="4970" spans="1:1" ht="13.8" x14ac:dyDescent="0.25">
      <c r="A4970" s="8"/>
    </row>
    <row r="4971" spans="1:1" ht="13.8" x14ac:dyDescent="0.25">
      <c r="A4971" s="8"/>
    </row>
    <row r="4972" spans="1:1" ht="13.8" x14ac:dyDescent="0.25">
      <c r="A4972" s="8"/>
    </row>
    <row r="4973" spans="1:1" ht="13.8" x14ac:dyDescent="0.25">
      <c r="A4973" s="8"/>
    </row>
    <row r="4974" spans="1:1" ht="13.8" x14ac:dyDescent="0.25">
      <c r="A4974" s="8"/>
    </row>
    <row r="4975" spans="1:1" ht="13.8" x14ac:dyDescent="0.25">
      <c r="A4975" s="8"/>
    </row>
    <row r="4976" spans="1:1" ht="13.8" x14ac:dyDescent="0.25">
      <c r="A4976" s="8"/>
    </row>
    <row r="4977" spans="1:1" ht="13.8" x14ac:dyDescent="0.25">
      <c r="A4977" s="8"/>
    </row>
    <row r="4978" spans="1:1" ht="13.8" x14ac:dyDescent="0.25">
      <c r="A4978" s="8"/>
    </row>
    <row r="4979" spans="1:1" ht="13.8" x14ac:dyDescent="0.25">
      <c r="A4979" s="8"/>
    </row>
    <row r="4980" spans="1:1" ht="13.8" x14ac:dyDescent="0.25">
      <c r="A4980" s="8"/>
    </row>
    <row r="4981" spans="1:1" ht="13.8" x14ac:dyDescent="0.25">
      <c r="A4981" s="8"/>
    </row>
    <row r="4982" spans="1:1" ht="13.8" x14ac:dyDescent="0.25">
      <c r="A4982" s="8"/>
    </row>
    <row r="4983" spans="1:1" ht="13.8" x14ac:dyDescent="0.25">
      <c r="A4983" s="8"/>
    </row>
    <row r="4984" spans="1:1" ht="13.8" x14ac:dyDescent="0.25">
      <c r="A4984" s="8"/>
    </row>
    <row r="4985" spans="1:1" ht="13.8" x14ac:dyDescent="0.25">
      <c r="A4985" s="8"/>
    </row>
    <row r="4986" spans="1:1" ht="13.8" x14ac:dyDescent="0.25">
      <c r="A4986" s="8"/>
    </row>
    <row r="4987" spans="1:1" ht="13.8" x14ac:dyDescent="0.25">
      <c r="A4987" s="8"/>
    </row>
    <row r="4988" spans="1:1" ht="13.8" x14ac:dyDescent="0.25">
      <c r="A4988" s="8"/>
    </row>
    <row r="4989" spans="1:1" ht="13.8" x14ac:dyDescent="0.25">
      <c r="A4989" s="8"/>
    </row>
    <row r="4990" spans="1:1" ht="13.8" x14ac:dyDescent="0.25">
      <c r="A4990" s="8"/>
    </row>
    <row r="4991" spans="1:1" ht="13.8" x14ac:dyDescent="0.25">
      <c r="A4991" s="8"/>
    </row>
    <row r="4992" spans="1:1" ht="13.8" x14ac:dyDescent="0.25">
      <c r="A4992" s="8"/>
    </row>
    <row r="4993" spans="1:1" ht="13.8" x14ac:dyDescent="0.25">
      <c r="A4993" s="8"/>
    </row>
    <row r="4994" spans="1:1" ht="13.8" x14ac:dyDescent="0.25">
      <c r="A4994" s="8"/>
    </row>
    <row r="4995" spans="1:1" ht="13.8" x14ac:dyDescent="0.25">
      <c r="A4995" s="8"/>
    </row>
    <row r="4996" spans="1:1" ht="13.8" x14ac:dyDescent="0.25">
      <c r="A4996" s="8"/>
    </row>
    <row r="4997" spans="1:1" ht="13.8" x14ac:dyDescent="0.25">
      <c r="A4997" s="8"/>
    </row>
    <row r="4998" spans="1:1" ht="13.8" x14ac:dyDescent="0.25">
      <c r="A4998" s="8"/>
    </row>
    <row r="4999" spans="1:1" ht="13.8" x14ac:dyDescent="0.25">
      <c r="A4999" s="8"/>
    </row>
    <row r="5000" spans="1:1" ht="13.8" x14ac:dyDescent="0.25">
      <c r="A5000" s="8"/>
    </row>
    <row r="5001" spans="1:1" ht="13.8" x14ac:dyDescent="0.25">
      <c r="A5001" s="8"/>
    </row>
    <row r="5002" spans="1:1" ht="13.8" x14ac:dyDescent="0.25">
      <c r="A5002" s="8"/>
    </row>
    <row r="5003" spans="1:1" ht="13.8" x14ac:dyDescent="0.25">
      <c r="A5003" s="8"/>
    </row>
    <row r="5004" spans="1:1" ht="13.8" x14ac:dyDescent="0.25">
      <c r="A5004" s="8"/>
    </row>
    <row r="5005" spans="1:1" ht="13.8" x14ac:dyDescent="0.25">
      <c r="A5005" s="8"/>
    </row>
    <row r="5006" spans="1:1" ht="13.8" x14ac:dyDescent="0.25">
      <c r="A5006" s="8"/>
    </row>
    <row r="5007" spans="1:1" ht="13.8" x14ac:dyDescent="0.25">
      <c r="A5007" s="8"/>
    </row>
    <row r="5008" spans="1:1" ht="13.8" x14ac:dyDescent="0.25">
      <c r="A5008" s="8"/>
    </row>
    <row r="5009" spans="1:1" ht="13.8" x14ac:dyDescent="0.25">
      <c r="A5009" s="8"/>
    </row>
    <row r="5010" spans="1:1" ht="13.8" x14ac:dyDescent="0.25">
      <c r="A5010" s="8"/>
    </row>
    <row r="5011" spans="1:1" ht="13.8" x14ac:dyDescent="0.25">
      <c r="A5011" s="8"/>
    </row>
    <row r="5012" spans="1:1" ht="13.8" x14ac:dyDescent="0.25">
      <c r="A5012" s="8"/>
    </row>
    <row r="5013" spans="1:1" ht="13.8" x14ac:dyDescent="0.25">
      <c r="A5013" s="8"/>
    </row>
    <row r="5014" spans="1:1" ht="13.8" x14ac:dyDescent="0.25">
      <c r="A5014" s="8"/>
    </row>
    <row r="5015" spans="1:1" ht="13.8" x14ac:dyDescent="0.25">
      <c r="A5015" s="8"/>
    </row>
    <row r="5016" spans="1:1" ht="13.8" x14ac:dyDescent="0.25">
      <c r="A5016" s="8"/>
    </row>
    <row r="5017" spans="1:1" ht="13.8" x14ac:dyDescent="0.25">
      <c r="A5017" s="8"/>
    </row>
    <row r="5018" spans="1:1" ht="13.8" x14ac:dyDescent="0.25">
      <c r="A5018" s="8"/>
    </row>
    <row r="5019" spans="1:1" ht="13.8" x14ac:dyDescent="0.25">
      <c r="A5019" s="8"/>
    </row>
    <row r="5020" spans="1:1" ht="13.8" x14ac:dyDescent="0.25">
      <c r="A5020" s="8"/>
    </row>
    <row r="5021" spans="1:1" ht="13.8" x14ac:dyDescent="0.25">
      <c r="A5021" s="8"/>
    </row>
    <row r="5022" spans="1:1" ht="13.8" x14ac:dyDescent="0.25">
      <c r="A5022" s="8"/>
    </row>
    <row r="5023" spans="1:1" ht="13.8" x14ac:dyDescent="0.25">
      <c r="A5023" s="8"/>
    </row>
    <row r="5024" spans="1:1" ht="13.8" x14ac:dyDescent="0.25">
      <c r="A5024" s="8"/>
    </row>
    <row r="5025" spans="1:1" ht="13.8" x14ac:dyDescent="0.25">
      <c r="A5025" s="8"/>
    </row>
    <row r="5026" spans="1:1" ht="13.8" x14ac:dyDescent="0.25">
      <c r="A5026" s="8"/>
    </row>
    <row r="5027" spans="1:1" ht="13.8" x14ac:dyDescent="0.25">
      <c r="A5027" s="8"/>
    </row>
    <row r="5028" spans="1:1" ht="13.8" x14ac:dyDescent="0.25">
      <c r="A5028" s="8"/>
    </row>
    <row r="5029" spans="1:1" ht="13.8" x14ac:dyDescent="0.25">
      <c r="A5029" s="8"/>
    </row>
    <row r="5030" spans="1:1" ht="13.8" x14ac:dyDescent="0.25">
      <c r="A5030" s="8"/>
    </row>
    <row r="5031" spans="1:1" ht="13.8" x14ac:dyDescent="0.25">
      <c r="A5031" s="8"/>
    </row>
    <row r="5032" spans="1:1" ht="13.8" x14ac:dyDescent="0.25">
      <c r="A5032" s="8"/>
    </row>
    <row r="5033" spans="1:1" ht="13.8" x14ac:dyDescent="0.25">
      <c r="A5033" s="8"/>
    </row>
    <row r="5034" spans="1:1" ht="13.8" x14ac:dyDescent="0.25">
      <c r="A5034" s="8"/>
    </row>
    <row r="5035" spans="1:1" ht="13.8" x14ac:dyDescent="0.25">
      <c r="A5035" s="8"/>
    </row>
    <row r="5036" spans="1:1" ht="13.8" x14ac:dyDescent="0.25">
      <c r="A5036" s="8"/>
    </row>
    <row r="5037" spans="1:1" ht="13.8" x14ac:dyDescent="0.25">
      <c r="A5037" s="8"/>
    </row>
    <row r="5038" spans="1:1" ht="13.8" x14ac:dyDescent="0.25">
      <c r="A5038" s="8"/>
    </row>
    <row r="5039" spans="1:1" ht="13.8" x14ac:dyDescent="0.25">
      <c r="A5039" s="8"/>
    </row>
    <row r="5040" spans="1:1" ht="13.8" x14ac:dyDescent="0.25">
      <c r="A5040" s="8"/>
    </row>
    <row r="5041" spans="1:1" ht="13.8" x14ac:dyDescent="0.25">
      <c r="A5041" s="8"/>
    </row>
    <row r="5042" spans="1:1" ht="13.8" x14ac:dyDescent="0.25">
      <c r="A5042" s="8"/>
    </row>
    <row r="5043" spans="1:1" ht="13.8" x14ac:dyDescent="0.25">
      <c r="A5043" s="8"/>
    </row>
    <row r="5044" spans="1:1" ht="13.8" x14ac:dyDescent="0.25">
      <c r="A5044" s="8"/>
    </row>
    <row r="5045" spans="1:1" ht="13.8" x14ac:dyDescent="0.25">
      <c r="A5045" s="8"/>
    </row>
    <row r="5046" spans="1:1" ht="13.8" x14ac:dyDescent="0.25">
      <c r="A5046" s="8"/>
    </row>
    <row r="5047" spans="1:1" ht="13.8" x14ac:dyDescent="0.25">
      <c r="A5047" s="8"/>
    </row>
    <row r="5048" spans="1:1" ht="13.8" x14ac:dyDescent="0.25">
      <c r="A5048" s="8"/>
    </row>
    <row r="5049" spans="1:1" ht="13.8" x14ac:dyDescent="0.25">
      <c r="A5049" s="8"/>
    </row>
    <row r="5050" spans="1:1" ht="13.8" x14ac:dyDescent="0.25">
      <c r="A5050" s="8"/>
    </row>
    <row r="5051" spans="1:1" ht="13.8" x14ac:dyDescent="0.25">
      <c r="A5051" s="8"/>
    </row>
    <row r="5052" spans="1:1" ht="13.8" x14ac:dyDescent="0.25">
      <c r="A5052" s="8"/>
    </row>
    <row r="5053" spans="1:1" ht="13.8" x14ac:dyDescent="0.25">
      <c r="A5053" s="8"/>
    </row>
    <row r="5054" spans="1:1" ht="13.8" x14ac:dyDescent="0.25">
      <c r="A5054" s="8"/>
    </row>
    <row r="5055" spans="1:1" ht="13.8" x14ac:dyDescent="0.25">
      <c r="A5055" s="8"/>
    </row>
    <row r="5056" spans="1:1" ht="13.8" x14ac:dyDescent="0.25">
      <c r="A5056" s="8"/>
    </row>
    <row r="5057" spans="1:1" ht="13.8" x14ac:dyDescent="0.25">
      <c r="A5057" s="8"/>
    </row>
    <row r="5058" spans="1:1" ht="13.8" x14ac:dyDescent="0.25">
      <c r="A5058" s="8"/>
    </row>
    <row r="5059" spans="1:1" ht="13.8" x14ac:dyDescent="0.25">
      <c r="A5059" s="8"/>
    </row>
    <row r="5060" spans="1:1" ht="13.8" x14ac:dyDescent="0.25">
      <c r="A5060" s="8"/>
    </row>
    <row r="5061" spans="1:1" ht="13.8" x14ac:dyDescent="0.25">
      <c r="A5061" s="8"/>
    </row>
    <row r="5062" spans="1:1" ht="13.8" x14ac:dyDescent="0.25">
      <c r="A5062" s="8"/>
    </row>
    <row r="5063" spans="1:1" ht="13.8" x14ac:dyDescent="0.25">
      <c r="A5063" s="8"/>
    </row>
    <row r="5064" spans="1:1" ht="13.8" x14ac:dyDescent="0.25">
      <c r="A5064" s="8"/>
    </row>
    <row r="5065" spans="1:1" ht="13.8" x14ac:dyDescent="0.25">
      <c r="A5065" s="8"/>
    </row>
    <row r="5066" spans="1:1" ht="13.8" x14ac:dyDescent="0.25">
      <c r="A5066" s="8"/>
    </row>
    <row r="5067" spans="1:1" ht="13.8" x14ac:dyDescent="0.25">
      <c r="A5067" s="8"/>
    </row>
    <row r="5068" spans="1:1" ht="13.8" x14ac:dyDescent="0.25">
      <c r="A5068" s="8"/>
    </row>
    <row r="5069" spans="1:1" ht="13.8" x14ac:dyDescent="0.25">
      <c r="A5069" s="8"/>
    </row>
    <row r="5070" spans="1:1" ht="13.8" x14ac:dyDescent="0.25">
      <c r="A5070" s="8"/>
    </row>
    <row r="5071" spans="1:1" ht="13.8" x14ac:dyDescent="0.25">
      <c r="A5071" s="8"/>
    </row>
    <row r="5072" spans="1:1" ht="13.8" x14ac:dyDescent="0.25">
      <c r="A5072" s="8"/>
    </row>
    <row r="5073" spans="1:1" ht="13.8" x14ac:dyDescent="0.25">
      <c r="A5073" s="8"/>
    </row>
    <row r="5074" spans="1:1" ht="13.8" x14ac:dyDescent="0.25">
      <c r="A5074" s="8"/>
    </row>
    <row r="5075" spans="1:1" ht="13.8" x14ac:dyDescent="0.25">
      <c r="A5075" s="8"/>
    </row>
    <row r="5076" spans="1:1" ht="13.8" x14ac:dyDescent="0.25">
      <c r="A5076" s="8"/>
    </row>
    <row r="5077" spans="1:1" ht="13.8" x14ac:dyDescent="0.25">
      <c r="A5077" s="8"/>
    </row>
    <row r="5078" spans="1:1" ht="13.8" x14ac:dyDescent="0.25">
      <c r="A5078" s="8"/>
    </row>
    <row r="5079" spans="1:1" ht="13.8" x14ac:dyDescent="0.25">
      <c r="A5079" s="8"/>
    </row>
    <row r="5080" spans="1:1" ht="13.8" x14ac:dyDescent="0.25">
      <c r="A5080" s="8"/>
    </row>
    <row r="5081" spans="1:1" ht="13.8" x14ac:dyDescent="0.25">
      <c r="A5081" s="8"/>
    </row>
    <row r="5082" spans="1:1" ht="13.8" x14ac:dyDescent="0.25">
      <c r="A5082" s="8"/>
    </row>
    <row r="5083" spans="1:1" ht="13.8" x14ac:dyDescent="0.25">
      <c r="A5083" s="8"/>
    </row>
    <row r="5084" spans="1:1" ht="13.8" x14ac:dyDescent="0.25">
      <c r="A5084" s="8"/>
    </row>
    <row r="5085" spans="1:1" ht="13.8" x14ac:dyDescent="0.25">
      <c r="A5085" s="8"/>
    </row>
    <row r="5086" spans="1:1" ht="13.8" x14ac:dyDescent="0.25">
      <c r="A5086" s="8"/>
    </row>
    <row r="5087" spans="1:1" ht="13.8" x14ac:dyDescent="0.25">
      <c r="A5087" s="8"/>
    </row>
    <row r="5088" spans="1:1" ht="13.8" x14ac:dyDescent="0.25">
      <c r="A5088" s="8"/>
    </row>
    <row r="5089" spans="1:1" ht="13.8" x14ac:dyDescent="0.25">
      <c r="A5089" s="8"/>
    </row>
    <row r="5090" spans="1:1" ht="13.8" x14ac:dyDescent="0.25">
      <c r="A5090" s="8"/>
    </row>
    <row r="5091" spans="1:1" ht="13.8" x14ac:dyDescent="0.25">
      <c r="A5091" s="8"/>
    </row>
    <row r="5092" spans="1:1" ht="13.8" x14ac:dyDescent="0.25">
      <c r="A5092" s="8"/>
    </row>
    <row r="5093" spans="1:1" ht="13.8" x14ac:dyDescent="0.25">
      <c r="A5093" s="8"/>
    </row>
    <row r="5094" spans="1:1" ht="13.8" x14ac:dyDescent="0.25">
      <c r="A5094" s="8"/>
    </row>
    <row r="5095" spans="1:1" ht="13.8" x14ac:dyDescent="0.25">
      <c r="A5095" s="8"/>
    </row>
    <row r="5096" spans="1:1" ht="13.8" x14ac:dyDescent="0.25">
      <c r="A5096" s="8"/>
    </row>
    <row r="5097" spans="1:1" ht="13.8" x14ac:dyDescent="0.25">
      <c r="A5097" s="8"/>
    </row>
    <row r="5098" spans="1:1" ht="13.8" x14ac:dyDescent="0.25">
      <c r="A5098" s="8"/>
    </row>
    <row r="5099" spans="1:1" ht="13.8" x14ac:dyDescent="0.25">
      <c r="A5099" s="8"/>
    </row>
    <row r="5100" spans="1:1" ht="13.8" x14ac:dyDescent="0.25">
      <c r="A5100" s="8"/>
    </row>
    <row r="5101" spans="1:1" ht="13.8" x14ac:dyDescent="0.25">
      <c r="A5101" s="8"/>
    </row>
    <row r="5102" spans="1:1" ht="13.8" x14ac:dyDescent="0.25">
      <c r="A5102" s="8"/>
    </row>
    <row r="5103" spans="1:1" ht="13.8" x14ac:dyDescent="0.25">
      <c r="A5103" s="8"/>
    </row>
    <row r="5104" spans="1:1" ht="13.8" x14ac:dyDescent="0.25">
      <c r="A5104" s="8"/>
    </row>
    <row r="5105" spans="1:1" ht="13.8" x14ac:dyDescent="0.25">
      <c r="A5105" s="8"/>
    </row>
    <row r="5106" spans="1:1" ht="13.8" x14ac:dyDescent="0.25">
      <c r="A5106" s="8"/>
    </row>
    <row r="5107" spans="1:1" ht="13.8" x14ac:dyDescent="0.25">
      <c r="A5107" s="8"/>
    </row>
    <row r="5108" spans="1:1" ht="13.8" x14ac:dyDescent="0.25">
      <c r="A5108" s="8"/>
    </row>
    <row r="5109" spans="1:1" ht="13.8" x14ac:dyDescent="0.25">
      <c r="A5109" s="8"/>
    </row>
    <row r="5110" spans="1:1" ht="13.8" x14ac:dyDescent="0.25">
      <c r="A5110" s="8"/>
    </row>
    <row r="5111" spans="1:1" ht="13.8" x14ac:dyDescent="0.25">
      <c r="A5111" s="8"/>
    </row>
    <row r="5112" spans="1:1" ht="13.8" x14ac:dyDescent="0.25">
      <c r="A5112" s="8"/>
    </row>
    <row r="5113" spans="1:1" ht="13.8" x14ac:dyDescent="0.25">
      <c r="A5113" s="8"/>
    </row>
    <row r="5114" spans="1:1" ht="13.8" x14ac:dyDescent="0.25">
      <c r="A5114" s="8"/>
    </row>
    <row r="5115" spans="1:1" ht="13.8" x14ac:dyDescent="0.25">
      <c r="A5115" s="8"/>
    </row>
    <row r="5116" spans="1:1" ht="13.8" x14ac:dyDescent="0.25">
      <c r="A5116" s="8"/>
    </row>
    <row r="5117" spans="1:1" ht="13.8" x14ac:dyDescent="0.25">
      <c r="A5117" s="8"/>
    </row>
    <row r="5118" spans="1:1" ht="13.8" x14ac:dyDescent="0.25">
      <c r="A5118" s="8"/>
    </row>
    <row r="5119" spans="1:1" ht="13.8" x14ac:dyDescent="0.25">
      <c r="A5119" s="8"/>
    </row>
    <row r="5120" spans="1:1" ht="13.8" x14ac:dyDescent="0.25">
      <c r="A5120" s="8"/>
    </row>
    <row r="5121" spans="1:1" ht="13.8" x14ac:dyDescent="0.25">
      <c r="A5121" s="8"/>
    </row>
    <row r="5122" spans="1:1" ht="13.8" x14ac:dyDescent="0.25">
      <c r="A5122" s="8"/>
    </row>
    <row r="5123" spans="1:1" ht="13.8" x14ac:dyDescent="0.25">
      <c r="A5123" s="8"/>
    </row>
    <row r="5124" spans="1:1" ht="13.8" x14ac:dyDescent="0.25">
      <c r="A5124" s="8"/>
    </row>
    <row r="5125" spans="1:1" ht="13.8" x14ac:dyDescent="0.25">
      <c r="A5125" s="8"/>
    </row>
    <row r="5126" spans="1:1" ht="13.8" x14ac:dyDescent="0.25">
      <c r="A5126" s="8"/>
    </row>
    <row r="5127" spans="1:1" ht="13.8" x14ac:dyDescent="0.25">
      <c r="A5127" s="8"/>
    </row>
    <row r="5128" spans="1:1" ht="13.8" x14ac:dyDescent="0.25">
      <c r="A5128" s="8"/>
    </row>
    <row r="5129" spans="1:1" ht="13.8" x14ac:dyDescent="0.25">
      <c r="A5129" s="8"/>
    </row>
    <row r="5130" spans="1:1" ht="13.8" x14ac:dyDescent="0.25">
      <c r="A5130" s="8"/>
    </row>
    <row r="5131" spans="1:1" ht="13.8" x14ac:dyDescent="0.25">
      <c r="A5131" s="8"/>
    </row>
    <row r="5132" spans="1:1" ht="13.8" x14ac:dyDescent="0.25">
      <c r="A5132" s="8"/>
    </row>
    <row r="5133" spans="1:1" ht="13.8" x14ac:dyDescent="0.25">
      <c r="A5133" s="8"/>
    </row>
    <row r="5134" spans="1:1" ht="13.8" x14ac:dyDescent="0.25">
      <c r="A5134" s="8"/>
    </row>
    <row r="5135" spans="1:1" ht="13.8" x14ac:dyDescent="0.25">
      <c r="A5135" s="8"/>
    </row>
    <row r="5136" spans="1:1" ht="13.8" x14ac:dyDescent="0.25">
      <c r="A5136" s="8"/>
    </row>
    <row r="5137" spans="1:1" ht="13.8" x14ac:dyDescent="0.25">
      <c r="A5137" s="8"/>
    </row>
    <row r="5138" spans="1:1" ht="13.8" x14ac:dyDescent="0.25">
      <c r="A5138" s="8"/>
    </row>
    <row r="5139" spans="1:1" ht="13.8" x14ac:dyDescent="0.25">
      <c r="A5139" s="8"/>
    </row>
    <row r="5140" spans="1:1" ht="13.8" x14ac:dyDescent="0.25">
      <c r="A5140" s="8"/>
    </row>
    <row r="5141" spans="1:1" ht="13.8" x14ac:dyDescent="0.25">
      <c r="A5141" s="8"/>
    </row>
    <row r="5142" spans="1:1" ht="13.8" x14ac:dyDescent="0.25">
      <c r="A5142" s="8"/>
    </row>
    <row r="5143" spans="1:1" ht="13.8" x14ac:dyDescent="0.25">
      <c r="A5143" s="8"/>
    </row>
    <row r="5144" spans="1:1" ht="13.8" x14ac:dyDescent="0.25">
      <c r="A5144" s="8"/>
    </row>
    <row r="5145" spans="1:1" ht="13.8" x14ac:dyDescent="0.25">
      <c r="A5145" s="8"/>
    </row>
    <row r="5146" spans="1:1" ht="13.8" x14ac:dyDescent="0.25">
      <c r="A5146" s="8"/>
    </row>
    <row r="5147" spans="1:1" ht="13.8" x14ac:dyDescent="0.25">
      <c r="A5147" s="8"/>
    </row>
    <row r="5148" spans="1:1" ht="13.8" x14ac:dyDescent="0.25">
      <c r="A5148" s="8"/>
    </row>
    <row r="5149" spans="1:1" ht="13.8" x14ac:dyDescent="0.25">
      <c r="A5149" s="8"/>
    </row>
    <row r="5150" spans="1:1" ht="13.8" x14ac:dyDescent="0.25">
      <c r="A5150" s="8"/>
    </row>
    <row r="5151" spans="1:1" ht="13.8" x14ac:dyDescent="0.25">
      <c r="A5151" s="8"/>
    </row>
    <row r="5152" spans="1:1" ht="13.8" x14ac:dyDescent="0.25">
      <c r="A5152" s="8"/>
    </row>
    <row r="5153" spans="1:1" ht="13.8" x14ac:dyDescent="0.25">
      <c r="A5153" s="8"/>
    </row>
    <row r="5154" spans="1:1" ht="13.8" x14ac:dyDescent="0.25">
      <c r="A5154" s="8"/>
    </row>
    <row r="5155" spans="1:1" ht="13.8" x14ac:dyDescent="0.25">
      <c r="A5155" s="8"/>
    </row>
    <row r="5156" spans="1:1" ht="13.8" x14ac:dyDescent="0.25">
      <c r="A5156" s="8"/>
    </row>
    <row r="5157" spans="1:1" ht="13.8" x14ac:dyDescent="0.25">
      <c r="A5157" s="8"/>
    </row>
    <row r="5158" spans="1:1" ht="13.8" x14ac:dyDescent="0.25">
      <c r="A5158" s="8"/>
    </row>
    <row r="5159" spans="1:1" ht="13.8" x14ac:dyDescent="0.25">
      <c r="A5159" s="8"/>
    </row>
    <row r="5160" spans="1:1" ht="13.8" x14ac:dyDescent="0.25">
      <c r="A5160" s="8"/>
    </row>
    <row r="5161" spans="1:1" ht="13.8" x14ac:dyDescent="0.25">
      <c r="A5161" s="8"/>
    </row>
    <row r="5162" spans="1:1" ht="13.8" x14ac:dyDescent="0.25">
      <c r="A5162" s="8"/>
    </row>
    <row r="5163" spans="1:1" ht="13.8" x14ac:dyDescent="0.25">
      <c r="A5163" s="8"/>
    </row>
    <row r="5164" spans="1:1" ht="13.8" x14ac:dyDescent="0.25">
      <c r="A5164" s="8"/>
    </row>
    <row r="5165" spans="1:1" ht="13.8" x14ac:dyDescent="0.25">
      <c r="A5165" s="8"/>
    </row>
    <row r="5166" spans="1:1" ht="13.8" x14ac:dyDescent="0.25">
      <c r="A5166" s="8"/>
    </row>
    <row r="5167" spans="1:1" ht="13.8" x14ac:dyDescent="0.25">
      <c r="A5167" s="8"/>
    </row>
    <row r="5168" spans="1:1" ht="13.8" x14ac:dyDescent="0.25">
      <c r="A5168" s="8"/>
    </row>
    <row r="5169" spans="1:1" ht="13.8" x14ac:dyDescent="0.25">
      <c r="A5169" s="8"/>
    </row>
    <row r="5170" spans="1:1" ht="13.8" x14ac:dyDescent="0.25">
      <c r="A5170" s="8"/>
    </row>
    <row r="5171" spans="1:1" ht="13.8" x14ac:dyDescent="0.25">
      <c r="A5171" s="8"/>
    </row>
    <row r="5172" spans="1:1" ht="13.8" x14ac:dyDescent="0.25">
      <c r="A5172" s="8"/>
    </row>
    <row r="5173" spans="1:1" ht="13.8" x14ac:dyDescent="0.25">
      <c r="A5173" s="8"/>
    </row>
    <row r="5174" spans="1:1" ht="13.8" x14ac:dyDescent="0.25">
      <c r="A5174" s="8"/>
    </row>
    <row r="5175" spans="1:1" ht="13.8" x14ac:dyDescent="0.25">
      <c r="A5175" s="8"/>
    </row>
    <row r="5176" spans="1:1" ht="13.8" x14ac:dyDescent="0.25">
      <c r="A5176" s="8"/>
    </row>
    <row r="5177" spans="1:1" ht="13.8" x14ac:dyDescent="0.25">
      <c r="A5177" s="8"/>
    </row>
    <row r="5178" spans="1:1" ht="13.8" x14ac:dyDescent="0.25">
      <c r="A5178" s="8"/>
    </row>
    <row r="5179" spans="1:1" ht="13.8" x14ac:dyDescent="0.25">
      <c r="A5179" s="8"/>
    </row>
    <row r="5180" spans="1:1" ht="13.8" x14ac:dyDescent="0.25">
      <c r="A5180" s="8"/>
    </row>
    <row r="5181" spans="1:1" ht="13.8" x14ac:dyDescent="0.25">
      <c r="A5181" s="8"/>
    </row>
    <row r="5182" spans="1:1" ht="13.8" x14ac:dyDescent="0.25">
      <c r="A5182" s="8"/>
    </row>
    <row r="5183" spans="1:1" ht="13.8" x14ac:dyDescent="0.25">
      <c r="A5183" s="8"/>
    </row>
    <row r="5184" spans="1:1" ht="13.8" x14ac:dyDescent="0.25">
      <c r="A5184" s="8"/>
    </row>
    <row r="5185" spans="1:1" ht="13.8" x14ac:dyDescent="0.25">
      <c r="A5185" s="8"/>
    </row>
    <row r="5186" spans="1:1" ht="13.8" x14ac:dyDescent="0.25">
      <c r="A5186" s="8"/>
    </row>
    <row r="5187" spans="1:1" ht="13.8" x14ac:dyDescent="0.25">
      <c r="A5187" s="8"/>
    </row>
    <row r="5188" spans="1:1" ht="13.8" x14ac:dyDescent="0.25">
      <c r="A5188" s="8"/>
    </row>
    <row r="5189" spans="1:1" ht="13.8" x14ac:dyDescent="0.25">
      <c r="A5189" s="8"/>
    </row>
    <row r="5190" spans="1:1" ht="13.8" x14ac:dyDescent="0.25">
      <c r="A5190" s="8"/>
    </row>
    <row r="5191" spans="1:1" ht="13.8" x14ac:dyDescent="0.25">
      <c r="A5191" s="8"/>
    </row>
    <row r="5192" spans="1:1" ht="13.8" x14ac:dyDescent="0.25">
      <c r="A5192" s="8"/>
    </row>
    <row r="5193" spans="1:1" ht="13.8" x14ac:dyDescent="0.25">
      <c r="A5193" s="8"/>
    </row>
    <row r="5194" spans="1:1" ht="13.8" x14ac:dyDescent="0.25">
      <c r="A5194" s="8"/>
    </row>
    <row r="5195" spans="1:1" ht="13.8" x14ac:dyDescent="0.25">
      <c r="A5195" s="8"/>
    </row>
    <row r="5196" spans="1:1" ht="13.8" x14ac:dyDescent="0.25">
      <c r="A5196" s="8"/>
    </row>
    <row r="5197" spans="1:1" ht="13.8" x14ac:dyDescent="0.25">
      <c r="A5197" s="8"/>
    </row>
    <row r="5198" spans="1:1" ht="13.8" x14ac:dyDescent="0.25">
      <c r="A5198" s="8"/>
    </row>
    <row r="5199" spans="1:1" ht="13.8" x14ac:dyDescent="0.25">
      <c r="A5199" s="8"/>
    </row>
    <row r="5200" spans="1:1" ht="13.8" x14ac:dyDescent="0.25">
      <c r="A5200" s="8"/>
    </row>
    <row r="5201" spans="1:1" ht="13.8" x14ac:dyDescent="0.25">
      <c r="A5201" s="8"/>
    </row>
    <row r="5202" spans="1:1" ht="13.8" x14ac:dyDescent="0.25">
      <c r="A5202" s="8"/>
    </row>
    <row r="5203" spans="1:1" ht="13.8" x14ac:dyDescent="0.25">
      <c r="A5203" s="8"/>
    </row>
    <row r="5204" spans="1:1" ht="13.8" x14ac:dyDescent="0.25">
      <c r="A5204" s="8"/>
    </row>
    <row r="5205" spans="1:1" ht="13.8" x14ac:dyDescent="0.25">
      <c r="A5205" s="8"/>
    </row>
    <row r="5206" spans="1:1" ht="13.8" x14ac:dyDescent="0.25">
      <c r="A5206" s="8"/>
    </row>
    <row r="5207" spans="1:1" ht="13.8" x14ac:dyDescent="0.25">
      <c r="A5207" s="8"/>
    </row>
    <row r="5208" spans="1:1" ht="13.8" x14ac:dyDescent="0.25">
      <c r="A5208" s="8"/>
    </row>
    <row r="5209" spans="1:1" ht="13.8" x14ac:dyDescent="0.25">
      <c r="A5209" s="8"/>
    </row>
    <row r="5210" spans="1:1" ht="13.8" x14ac:dyDescent="0.25">
      <c r="A5210" s="8"/>
    </row>
    <row r="5211" spans="1:1" ht="13.8" x14ac:dyDescent="0.25">
      <c r="A5211" s="8"/>
    </row>
    <row r="5212" spans="1:1" ht="13.8" x14ac:dyDescent="0.25">
      <c r="A5212" s="8"/>
    </row>
    <row r="5213" spans="1:1" ht="13.8" x14ac:dyDescent="0.25">
      <c r="A5213" s="8"/>
    </row>
    <row r="5214" spans="1:1" ht="13.8" x14ac:dyDescent="0.25">
      <c r="A5214" s="8"/>
    </row>
    <row r="5215" spans="1:1" ht="13.8" x14ac:dyDescent="0.25">
      <c r="A5215" s="8"/>
    </row>
    <row r="5216" spans="1:1" ht="13.8" x14ac:dyDescent="0.25">
      <c r="A5216" s="8"/>
    </row>
    <row r="5217" spans="1:1" ht="13.8" x14ac:dyDescent="0.25">
      <c r="A5217" s="8"/>
    </row>
    <row r="5218" spans="1:1" ht="13.8" x14ac:dyDescent="0.25">
      <c r="A5218" s="8"/>
    </row>
    <row r="5219" spans="1:1" ht="13.8" x14ac:dyDescent="0.25">
      <c r="A5219" s="8"/>
    </row>
    <row r="5220" spans="1:1" ht="13.8" x14ac:dyDescent="0.25">
      <c r="A5220" s="8"/>
    </row>
    <row r="5221" spans="1:1" ht="13.8" x14ac:dyDescent="0.25">
      <c r="A5221" s="8"/>
    </row>
    <row r="5222" spans="1:1" ht="13.8" x14ac:dyDescent="0.25">
      <c r="A5222" s="8"/>
    </row>
    <row r="5223" spans="1:1" ht="13.8" x14ac:dyDescent="0.25">
      <c r="A5223" s="8"/>
    </row>
    <row r="5224" spans="1:1" ht="13.8" x14ac:dyDescent="0.25">
      <c r="A5224" s="8"/>
    </row>
    <row r="5225" spans="1:1" ht="13.8" x14ac:dyDescent="0.25">
      <c r="A5225" s="8"/>
    </row>
    <row r="5226" spans="1:1" ht="13.8" x14ac:dyDescent="0.25">
      <c r="A5226" s="8"/>
    </row>
    <row r="5227" spans="1:1" ht="13.8" x14ac:dyDescent="0.25">
      <c r="A5227" s="8"/>
    </row>
    <row r="5228" spans="1:1" ht="13.8" x14ac:dyDescent="0.25">
      <c r="A5228" s="8"/>
    </row>
    <row r="5229" spans="1:1" ht="13.8" x14ac:dyDescent="0.25">
      <c r="A5229" s="8"/>
    </row>
    <row r="5230" spans="1:1" ht="13.8" x14ac:dyDescent="0.25">
      <c r="A5230" s="8"/>
    </row>
    <row r="5231" spans="1:1" ht="13.8" x14ac:dyDescent="0.25">
      <c r="A5231" s="8"/>
    </row>
    <row r="5232" spans="1:1" ht="13.8" x14ac:dyDescent="0.25">
      <c r="A5232" s="8"/>
    </row>
    <row r="5233" spans="1:1" ht="13.8" x14ac:dyDescent="0.25">
      <c r="A5233" s="8"/>
    </row>
    <row r="5234" spans="1:1" ht="13.8" x14ac:dyDescent="0.25">
      <c r="A5234" s="8"/>
    </row>
    <row r="5235" spans="1:1" ht="13.8" x14ac:dyDescent="0.25">
      <c r="A5235" s="8"/>
    </row>
    <row r="5236" spans="1:1" ht="13.8" x14ac:dyDescent="0.25">
      <c r="A5236" s="8"/>
    </row>
    <row r="5237" spans="1:1" ht="13.8" x14ac:dyDescent="0.25">
      <c r="A5237" s="8"/>
    </row>
    <row r="5238" spans="1:1" ht="13.8" x14ac:dyDescent="0.25">
      <c r="A5238" s="8"/>
    </row>
    <row r="5239" spans="1:1" ht="13.8" x14ac:dyDescent="0.25">
      <c r="A5239" s="8"/>
    </row>
    <row r="5240" spans="1:1" ht="13.8" x14ac:dyDescent="0.25">
      <c r="A5240" s="8"/>
    </row>
    <row r="5241" spans="1:1" ht="13.8" x14ac:dyDescent="0.25">
      <c r="A5241" s="8"/>
    </row>
    <row r="5242" spans="1:1" ht="13.8" x14ac:dyDescent="0.25">
      <c r="A5242" s="8"/>
    </row>
    <row r="5243" spans="1:1" ht="13.8" x14ac:dyDescent="0.25">
      <c r="A5243" s="8"/>
    </row>
    <row r="5244" spans="1:1" ht="13.8" x14ac:dyDescent="0.25">
      <c r="A5244" s="8"/>
    </row>
    <row r="5245" spans="1:1" ht="13.8" x14ac:dyDescent="0.25">
      <c r="A5245" s="8"/>
    </row>
    <row r="5246" spans="1:1" ht="13.8" x14ac:dyDescent="0.25">
      <c r="A5246" s="8"/>
    </row>
    <row r="5247" spans="1:1" ht="13.8" x14ac:dyDescent="0.25">
      <c r="A5247" s="8"/>
    </row>
    <row r="5248" spans="1:1" ht="13.8" x14ac:dyDescent="0.25">
      <c r="A5248" s="8"/>
    </row>
    <row r="5249" spans="1:1" ht="13.8" x14ac:dyDescent="0.25">
      <c r="A5249" s="8"/>
    </row>
    <row r="5250" spans="1:1" ht="13.8" x14ac:dyDescent="0.25">
      <c r="A5250" s="8"/>
    </row>
    <row r="5251" spans="1:1" ht="13.8" x14ac:dyDescent="0.25">
      <c r="A5251" s="8"/>
    </row>
    <row r="5252" spans="1:1" ht="13.8" x14ac:dyDescent="0.25">
      <c r="A5252" s="8"/>
    </row>
    <row r="5253" spans="1:1" ht="13.8" x14ac:dyDescent="0.25">
      <c r="A5253" s="8"/>
    </row>
    <row r="5254" spans="1:1" ht="13.8" x14ac:dyDescent="0.25">
      <c r="A5254" s="8"/>
    </row>
    <row r="5255" spans="1:1" ht="13.8" x14ac:dyDescent="0.25">
      <c r="A5255" s="8"/>
    </row>
    <row r="5256" spans="1:1" ht="13.8" x14ac:dyDescent="0.25">
      <c r="A5256" s="8"/>
    </row>
    <row r="5257" spans="1:1" ht="13.8" x14ac:dyDescent="0.25">
      <c r="A5257" s="8"/>
    </row>
    <row r="5258" spans="1:1" ht="13.8" x14ac:dyDescent="0.25">
      <c r="A5258" s="8"/>
    </row>
    <row r="5259" spans="1:1" ht="13.8" x14ac:dyDescent="0.25">
      <c r="A5259" s="8"/>
    </row>
    <row r="5260" spans="1:1" ht="13.8" x14ac:dyDescent="0.25">
      <c r="A5260" s="8"/>
    </row>
    <row r="5261" spans="1:1" ht="13.8" x14ac:dyDescent="0.25">
      <c r="A5261" s="8"/>
    </row>
    <row r="5262" spans="1:1" ht="13.8" x14ac:dyDescent="0.25">
      <c r="A5262" s="8"/>
    </row>
    <row r="5263" spans="1:1" ht="13.8" x14ac:dyDescent="0.25">
      <c r="A5263" s="8"/>
    </row>
    <row r="5264" spans="1:1" ht="13.8" x14ac:dyDescent="0.25">
      <c r="A5264" s="8"/>
    </row>
    <row r="5265" spans="1:1" ht="13.8" x14ac:dyDescent="0.25">
      <c r="A5265" s="8"/>
    </row>
    <row r="5266" spans="1:1" ht="13.8" x14ac:dyDescent="0.25">
      <c r="A5266" s="8"/>
    </row>
    <row r="5267" spans="1:1" ht="13.8" x14ac:dyDescent="0.25">
      <c r="A5267" s="8"/>
    </row>
    <row r="5268" spans="1:1" ht="13.8" x14ac:dyDescent="0.25">
      <c r="A5268" s="8"/>
    </row>
    <row r="5269" spans="1:1" ht="13.8" x14ac:dyDescent="0.25">
      <c r="A5269" s="8"/>
    </row>
    <row r="5270" spans="1:1" ht="13.8" x14ac:dyDescent="0.25">
      <c r="A5270" s="8"/>
    </row>
    <row r="5271" spans="1:1" ht="13.8" x14ac:dyDescent="0.25">
      <c r="A5271" s="8"/>
    </row>
    <row r="5272" spans="1:1" ht="13.8" x14ac:dyDescent="0.25">
      <c r="A5272" s="8"/>
    </row>
    <row r="5273" spans="1:1" ht="13.8" x14ac:dyDescent="0.25">
      <c r="A5273" s="8"/>
    </row>
    <row r="5274" spans="1:1" ht="13.8" x14ac:dyDescent="0.25">
      <c r="A5274" s="8"/>
    </row>
    <row r="5275" spans="1:1" ht="13.8" x14ac:dyDescent="0.25">
      <c r="A5275" s="8"/>
    </row>
    <row r="5276" spans="1:1" ht="13.8" x14ac:dyDescent="0.25">
      <c r="A5276" s="8"/>
    </row>
    <row r="5277" spans="1:1" ht="13.8" x14ac:dyDescent="0.25">
      <c r="A5277" s="8"/>
    </row>
    <row r="5278" spans="1:1" ht="13.8" x14ac:dyDescent="0.25">
      <c r="A5278" s="8"/>
    </row>
    <row r="5279" spans="1:1" ht="13.8" x14ac:dyDescent="0.25">
      <c r="A5279" s="8"/>
    </row>
    <row r="5280" spans="1:1" ht="13.8" x14ac:dyDescent="0.25">
      <c r="A5280" s="8"/>
    </row>
    <row r="5281" spans="1:1" ht="13.8" x14ac:dyDescent="0.25">
      <c r="A5281" s="8"/>
    </row>
    <row r="5282" spans="1:1" ht="13.8" x14ac:dyDescent="0.25">
      <c r="A5282" s="8"/>
    </row>
    <row r="5283" spans="1:1" ht="13.8" x14ac:dyDescent="0.25">
      <c r="A5283" s="8"/>
    </row>
    <row r="5284" spans="1:1" ht="13.8" x14ac:dyDescent="0.25">
      <c r="A5284" s="8"/>
    </row>
    <row r="5285" spans="1:1" ht="13.8" x14ac:dyDescent="0.25">
      <c r="A5285" s="8"/>
    </row>
    <row r="5286" spans="1:1" ht="13.8" x14ac:dyDescent="0.25">
      <c r="A5286" s="8"/>
    </row>
    <row r="5287" spans="1:1" ht="13.8" x14ac:dyDescent="0.25">
      <c r="A5287" s="8"/>
    </row>
    <row r="5288" spans="1:1" ht="13.8" x14ac:dyDescent="0.25">
      <c r="A5288" s="8"/>
    </row>
    <row r="5289" spans="1:1" ht="13.8" x14ac:dyDescent="0.25">
      <c r="A5289" s="8"/>
    </row>
    <row r="5290" spans="1:1" ht="13.8" x14ac:dyDescent="0.25">
      <c r="A5290" s="8"/>
    </row>
    <row r="5291" spans="1:1" ht="13.8" x14ac:dyDescent="0.25">
      <c r="A5291" s="8"/>
    </row>
    <row r="5292" spans="1:1" ht="13.8" x14ac:dyDescent="0.25">
      <c r="A5292" s="8"/>
    </row>
    <row r="5293" spans="1:1" ht="13.8" x14ac:dyDescent="0.25">
      <c r="A5293" s="8"/>
    </row>
    <row r="5294" spans="1:1" ht="13.8" x14ac:dyDescent="0.25">
      <c r="A5294" s="8"/>
    </row>
    <row r="5295" spans="1:1" ht="13.8" x14ac:dyDescent="0.25">
      <c r="A5295" s="8"/>
    </row>
    <row r="5296" spans="1:1" ht="13.8" x14ac:dyDescent="0.25">
      <c r="A5296" s="8"/>
    </row>
    <row r="5297" spans="1:1" ht="13.8" x14ac:dyDescent="0.25">
      <c r="A5297" s="8"/>
    </row>
    <row r="5298" spans="1:1" ht="13.8" x14ac:dyDescent="0.25">
      <c r="A5298" s="8"/>
    </row>
    <row r="5299" spans="1:1" ht="13.8" x14ac:dyDescent="0.25">
      <c r="A5299" s="8"/>
    </row>
    <row r="5300" spans="1:1" ht="13.8" x14ac:dyDescent="0.25">
      <c r="A5300" s="8"/>
    </row>
    <row r="5301" spans="1:1" ht="13.8" x14ac:dyDescent="0.25">
      <c r="A5301" s="8"/>
    </row>
    <row r="5302" spans="1:1" ht="13.8" x14ac:dyDescent="0.25">
      <c r="A5302" s="8"/>
    </row>
    <row r="5303" spans="1:1" ht="13.8" x14ac:dyDescent="0.25">
      <c r="A5303" s="8"/>
    </row>
    <row r="5304" spans="1:1" ht="13.8" x14ac:dyDescent="0.25">
      <c r="A5304" s="8"/>
    </row>
    <row r="5305" spans="1:1" ht="13.8" x14ac:dyDescent="0.25">
      <c r="A5305" s="8"/>
    </row>
    <row r="5306" spans="1:1" ht="13.8" x14ac:dyDescent="0.25">
      <c r="A5306" s="8"/>
    </row>
    <row r="5307" spans="1:1" ht="13.8" x14ac:dyDescent="0.25">
      <c r="A5307" s="8"/>
    </row>
    <row r="5308" spans="1:1" ht="13.8" x14ac:dyDescent="0.25">
      <c r="A5308" s="8"/>
    </row>
    <row r="5309" spans="1:1" ht="13.8" x14ac:dyDescent="0.25">
      <c r="A5309" s="8"/>
    </row>
    <row r="5310" spans="1:1" ht="13.8" x14ac:dyDescent="0.25">
      <c r="A5310" s="8"/>
    </row>
    <row r="5311" spans="1:1" ht="13.8" x14ac:dyDescent="0.25">
      <c r="A5311" s="8"/>
    </row>
    <row r="5312" spans="1:1" ht="13.8" x14ac:dyDescent="0.25">
      <c r="A5312" s="8"/>
    </row>
    <row r="5313" spans="1:1" ht="13.8" x14ac:dyDescent="0.25">
      <c r="A5313" s="8"/>
    </row>
    <row r="5314" spans="1:1" ht="13.8" x14ac:dyDescent="0.25">
      <c r="A5314" s="8"/>
    </row>
    <row r="5315" spans="1:1" ht="13.8" x14ac:dyDescent="0.25">
      <c r="A5315" s="8"/>
    </row>
    <row r="5316" spans="1:1" ht="13.8" x14ac:dyDescent="0.25">
      <c r="A5316" s="8"/>
    </row>
    <row r="5317" spans="1:1" ht="13.8" x14ac:dyDescent="0.25">
      <c r="A5317" s="8"/>
    </row>
    <row r="5318" spans="1:1" ht="13.8" x14ac:dyDescent="0.25">
      <c r="A5318" s="8"/>
    </row>
    <row r="5319" spans="1:1" ht="13.8" x14ac:dyDescent="0.25">
      <c r="A5319" s="8"/>
    </row>
    <row r="5320" spans="1:1" ht="13.8" x14ac:dyDescent="0.25">
      <c r="A5320" s="8"/>
    </row>
    <row r="5321" spans="1:1" ht="13.8" x14ac:dyDescent="0.25">
      <c r="A5321" s="8"/>
    </row>
    <row r="5322" spans="1:1" ht="13.8" x14ac:dyDescent="0.25">
      <c r="A5322" s="8"/>
    </row>
    <row r="5323" spans="1:1" ht="13.8" x14ac:dyDescent="0.25">
      <c r="A5323" s="8"/>
    </row>
    <row r="5324" spans="1:1" ht="13.8" x14ac:dyDescent="0.25">
      <c r="A5324" s="8"/>
    </row>
    <row r="5325" spans="1:1" ht="13.8" x14ac:dyDescent="0.25">
      <c r="A5325" s="8"/>
    </row>
    <row r="5326" spans="1:1" ht="13.8" x14ac:dyDescent="0.25">
      <c r="A5326" s="8"/>
    </row>
    <row r="5327" spans="1:1" ht="13.8" x14ac:dyDescent="0.25">
      <c r="A5327" s="8"/>
    </row>
    <row r="5328" spans="1:1" ht="13.8" x14ac:dyDescent="0.25">
      <c r="A5328" s="8"/>
    </row>
    <row r="5329" spans="1:1" ht="13.8" x14ac:dyDescent="0.25">
      <c r="A5329" s="8"/>
    </row>
    <row r="5330" spans="1:1" ht="13.8" x14ac:dyDescent="0.25">
      <c r="A5330" s="8"/>
    </row>
    <row r="5331" spans="1:1" ht="13.8" x14ac:dyDescent="0.25">
      <c r="A5331" s="8"/>
    </row>
    <row r="5332" spans="1:1" ht="13.8" x14ac:dyDescent="0.25">
      <c r="A5332" s="8"/>
    </row>
    <row r="5333" spans="1:1" ht="13.8" x14ac:dyDescent="0.25">
      <c r="A5333" s="8"/>
    </row>
    <row r="5334" spans="1:1" ht="13.8" x14ac:dyDescent="0.25">
      <c r="A5334" s="8"/>
    </row>
    <row r="5335" spans="1:1" ht="13.8" x14ac:dyDescent="0.25">
      <c r="A5335" s="8"/>
    </row>
    <row r="5336" spans="1:1" ht="13.8" x14ac:dyDescent="0.25">
      <c r="A5336" s="8"/>
    </row>
    <row r="5337" spans="1:1" ht="13.8" x14ac:dyDescent="0.25">
      <c r="A5337" s="8"/>
    </row>
    <row r="5338" spans="1:1" ht="13.8" x14ac:dyDescent="0.25">
      <c r="A5338" s="8"/>
    </row>
    <row r="5339" spans="1:1" ht="13.8" x14ac:dyDescent="0.25">
      <c r="A5339" s="8"/>
    </row>
    <row r="5340" spans="1:1" ht="13.8" x14ac:dyDescent="0.25">
      <c r="A5340" s="8"/>
    </row>
    <row r="5341" spans="1:1" ht="13.8" x14ac:dyDescent="0.25">
      <c r="A5341" s="8"/>
    </row>
    <row r="5342" spans="1:1" ht="13.8" x14ac:dyDescent="0.25">
      <c r="A5342" s="8"/>
    </row>
    <row r="5343" spans="1:1" ht="13.8" x14ac:dyDescent="0.25">
      <c r="A5343" s="8"/>
    </row>
    <row r="5344" spans="1:1" ht="13.8" x14ac:dyDescent="0.25">
      <c r="A5344" s="8"/>
    </row>
    <row r="5345" spans="1:1" ht="13.8" x14ac:dyDescent="0.25">
      <c r="A5345" s="8"/>
    </row>
    <row r="5346" spans="1:1" ht="13.8" x14ac:dyDescent="0.25">
      <c r="A5346" s="8"/>
    </row>
    <row r="5347" spans="1:1" ht="13.8" x14ac:dyDescent="0.25">
      <c r="A5347" s="8"/>
    </row>
    <row r="5348" spans="1:1" ht="13.8" x14ac:dyDescent="0.25">
      <c r="A5348" s="8"/>
    </row>
    <row r="5349" spans="1:1" ht="13.8" x14ac:dyDescent="0.25">
      <c r="A5349" s="8"/>
    </row>
    <row r="5350" spans="1:1" ht="13.8" x14ac:dyDescent="0.25">
      <c r="A5350" s="8"/>
    </row>
    <row r="5351" spans="1:1" ht="13.8" x14ac:dyDescent="0.25">
      <c r="A5351" s="8"/>
    </row>
    <row r="5352" spans="1:1" ht="13.8" x14ac:dyDescent="0.25">
      <c r="A5352" s="8"/>
    </row>
    <row r="5353" spans="1:1" ht="13.8" x14ac:dyDescent="0.25">
      <c r="A5353" s="8"/>
    </row>
    <row r="5354" spans="1:1" ht="13.8" x14ac:dyDescent="0.25">
      <c r="A5354" s="8"/>
    </row>
    <row r="5355" spans="1:1" ht="13.8" x14ac:dyDescent="0.25">
      <c r="A5355" s="8"/>
    </row>
    <row r="5356" spans="1:1" ht="13.8" x14ac:dyDescent="0.25">
      <c r="A5356" s="8"/>
    </row>
    <row r="5357" spans="1:1" ht="13.8" x14ac:dyDescent="0.25">
      <c r="A5357" s="8"/>
    </row>
    <row r="5358" spans="1:1" ht="13.8" x14ac:dyDescent="0.25">
      <c r="A5358" s="8"/>
    </row>
    <row r="5359" spans="1:1" ht="13.8" x14ac:dyDescent="0.25">
      <c r="A5359" s="8"/>
    </row>
    <row r="5360" spans="1:1" ht="13.8" x14ac:dyDescent="0.25">
      <c r="A5360" s="8"/>
    </row>
    <row r="5361" spans="1:1" ht="13.8" x14ac:dyDescent="0.25">
      <c r="A5361" s="8"/>
    </row>
    <row r="5362" spans="1:1" ht="13.8" x14ac:dyDescent="0.25">
      <c r="A5362" s="8"/>
    </row>
    <row r="5363" spans="1:1" ht="13.8" x14ac:dyDescent="0.25">
      <c r="A5363" s="8"/>
    </row>
    <row r="5364" spans="1:1" ht="13.8" x14ac:dyDescent="0.25">
      <c r="A5364" s="8"/>
    </row>
    <row r="5365" spans="1:1" ht="13.8" x14ac:dyDescent="0.25">
      <c r="A5365" s="8"/>
    </row>
    <row r="5366" spans="1:1" ht="13.8" x14ac:dyDescent="0.25">
      <c r="A5366" s="8"/>
    </row>
    <row r="5367" spans="1:1" ht="13.8" x14ac:dyDescent="0.25">
      <c r="A5367" s="8"/>
    </row>
    <row r="5368" spans="1:1" ht="13.8" x14ac:dyDescent="0.25">
      <c r="A5368" s="8"/>
    </row>
    <row r="5369" spans="1:1" ht="13.8" x14ac:dyDescent="0.25">
      <c r="A5369" s="8"/>
    </row>
    <row r="5370" spans="1:1" ht="13.8" x14ac:dyDescent="0.25">
      <c r="A5370" s="8"/>
    </row>
    <row r="5371" spans="1:1" ht="13.8" x14ac:dyDescent="0.25">
      <c r="A5371" s="8"/>
    </row>
    <row r="5372" spans="1:1" ht="13.8" x14ac:dyDescent="0.25">
      <c r="A5372" s="8"/>
    </row>
    <row r="5373" spans="1:1" ht="13.8" x14ac:dyDescent="0.25">
      <c r="A5373" s="8"/>
    </row>
    <row r="5374" spans="1:1" ht="13.8" x14ac:dyDescent="0.25">
      <c r="A5374" s="8"/>
    </row>
    <row r="5375" spans="1:1" ht="13.8" x14ac:dyDescent="0.25">
      <c r="A5375" s="8"/>
    </row>
    <row r="5376" spans="1:1" ht="13.8" x14ac:dyDescent="0.25">
      <c r="A5376" s="8"/>
    </row>
    <row r="5377" spans="1:1" ht="13.8" x14ac:dyDescent="0.25">
      <c r="A5377" s="8"/>
    </row>
    <row r="5378" spans="1:1" ht="13.8" x14ac:dyDescent="0.25">
      <c r="A5378" s="8"/>
    </row>
    <row r="5379" spans="1:1" ht="13.8" x14ac:dyDescent="0.25">
      <c r="A5379" s="8"/>
    </row>
    <row r="5380" spans="1:1" ht="13.8" x14ac:dyDescent="0.25">
      <c r="A5380" s="8"/>
    </row>
    <row r="5381" spans="1:1" ht="13.8" x14ac:dyDescent="0.25">
      <c r="A5381" s="8"/>
    </row>
    <row r="5382" spans="1:1" ht="13.8" x14ac:dyDescent="0.25">
      <c r="A5382" s="8"/>
    </row>
    <row r="5383" spans="1:1" ht="13.8" x14ac:dyDescent="0.25">
      <c r="A5383" s="8"/>
    </row>
    <row r="5384" spans="1:1" ht="13.8" x14ac:dyDescent="0.25">
      <c r="A5384" s="8"/>
    </row>
    <row r="5385" spans="1:1" ht="13.8" x14ac:dyDescent="0.25">
      <c r="A5385" s="8"/>
    </row>
    <row r="5386" spans="1:1" ht="13.8" x14ac:dyDescent="0.25">
      <c r="A5386" s="8"/>
    </row>
    <row r="5387" spans="1:1" ht="13.8" x14ac:dyDescent="0.25">
      <c r="A5387" s="8"/>
    </row>
    <row r="5388" spans="1:1" ht="13.8" x14ac:dyDescent="0.25">
      <c r="A5388" s="8"/>
    </row>
    <row r="5389" spans="1:1" ht="13.8" x14ac:dyDescent="0.25">
      <c r="A5389" s="8"/>
    </row>
    <row r="5390" spans="1:1" ht="13.8" x14ac:dyDescent="0.25">
      <c r="A5390" s="8"/>
    </row>
    <row r="5391" spans="1:1" ht="13.8" x14ac:dyDescent="0.25">
      <c r="A5391" s="8"/>
    </row>
    <row r="5392" spans="1:1" ht="13.8" x14ac:dyDescent="0.25">
      <c r="A5392" s="8"/>
    </row>
    <row r="5393" spans="1:1" ht="13.8" x14ac:dyDescent="0.25">
      <c r="A5393" s="8"/>
    </row>
    <row r="5394" spans="1:1" ht="13.8" x14ac:dyDescent="0.25">
      <c r="A5394" s="8"/>
    </row>
    <row r="5395" spans="1:1" ht="13.8" x14ac:dyDescent="0.25">
      <c r="A5395" s="8"/>
    </row>
    <row r="5396" spans="1:1" ht="13.8" x14ac:dyDescent="0.25">
      <c r="A5396" s="8"/>
    </row>
    <row r="5397" spans="1:1" ht="13.8" x14ac:dyDescent="0.25">
      <c r="A5397" s="8"/>
    </row>
    <row r="5398" spans="1:1" ht="13.8" x14ac:dyDescent="0.25">
      <c r="A5398" s="8"/>
    </row>
    <row r="5399" spans="1:1" ht="13.8" x14ac:dyDescent="0.25">
      <c r="A5399" s="8"/>
    </row>
    <row r="5400" spans="1:1" ht="13.8" x14ac:dyDescent="0.25">
      <c r="A5400" s="8"/>
    </row>
    <row r="5401" spans="1:1" ht="13.8" x14ac:dyDescent="0.25">
      <c r="A5401" s="8"/>
    </row>
    <row r="5402" spans="1:1" ht="13.8" x14ac:dyDescent="0.25">
      <c r="A5402" s="8"/>
    </row>
    <row r="5403" spans="1:1" ht="13.8" x14ac:dyDescent="0.25">
      <c r="A5403" s="8"/>
    </row>
    <row r="5404" spans="1:1" ht="13.8" x14ac:dyDescent="0.25">
      <c r="A5404" s="8"/>
    </row>
    <row r="5405" spans="1:1" ht="13.8" x14ac:dyDescent="0.25">
      <c r="A5405" s="8"/>
    </row>
    <row r="5406" spans="1:1" ht="13.8" x14ac:dyDescent="0.25">
      <c r="A5406" s="8"/>
    </row>
    <row r="5407" spans="1:1" ht="13.8" x14ac:dyDescent="0.25">
      <c r="A5407" s="8"/>
    </row>
    <row r="5408" spans="1:1" ht="13.8" x14ac:dyDescent="0.25">
      <c r="A5408" s="8"/>
    </row>
    <row r="5409" spans="1:1" ht="13.8" x14ac:dyDescent="0.25">
      <c r="A5409" s="8"/>
    </row>
    <row r="5410" spans="1:1" ht="13.8" x14ac:dyDescent="0.25">
      <c r="A5410" s="8"/>
    </row>
    <row r="5411" spans="1:1" ht="13.8" x14ac:dyDescent="0.25">
      <c r="A5411" s="8"/>
    </row>
    <row r="5412" spans="1:1" ht="13.8" x14ac:dyDescent="0.25">
      <c r="A5412" s="8"/>
    </row>
    <row r="5413" spans="1:1" ht="13.8" x14ac:dyDescent="0.25">
      <c r="A5413" s="8"/>
    </row>
    <row r="5414" spans="1:1" ht="13.8" x14ac:dyDescent="0.25">
      <c r="A5414" s="8"/>
    </row>
    <row r="5415" spans="1:1" ht="13.8" x14ac:dyDescent="0.25">
      <c r="A5415" s="8"/>
    </row>
    <row r="5416" spans="1:1" ht="13.8" x14ac:dyDescent="0.25">
      <c r="A5416" s="8"/>
    </row>
    <row r="5417" spans="1:1" ht="13.8" x14ac:dyDescent="0.25">
      <c r="A5417" s="8"/>
    </row>
    <row r="5418" spans="1:1" ht="13.8" x14ac:dyDescent="0.25">
      <c r="A5418" s="8"/>
    </row>
    <row r="5419" spans="1:1" ht="13.8" x14ac:dyDescent="0.25">
      <c r="A5419" s="8"/>
    </row>
    <row r="5420" spans="1:1" ht="13.8" x14ac:dyDescent="0.25">
      <c r="A5420" s="8"/>
    </row>
    <row r="5421" spans="1:1" ht="13.8" x14ac:dyDescent="0.25">
      <c r="A5421" s="8"/>
    </row>
    <row r="5422" spans="1:1" ht="13.8" x14ac:dyDescent="0.25">
      <c r="A5422" s="8"/>
    </row>
    <row r="5423" spans="1:1" ht="13.8" x14ac:dyDescent="0.25">
      <c r="A5423" s="8"/>
    </row>
    <row r="5424" spans="1:1" ht="13.8" x14ac:dyDescent="0.25">
      <c r="A5424" s="8"/>
    </row>
    <row r="5425" spans="1:1" ht="13.8" x14ac:dyDescent="0.25">
      <c r="A5425" s="8"/>
    </row>
    <row r="5426" spans="1:1" ht="13.8" x14ac:dyDescent="0.25">
      <c r="A5426" s="8"/>
    </row>
    <row r="5427" spans="1:1" ht="13.8" x14ac:dyDescent="0.25">
      <c r="A5427" s="8"/>
    </row>
    <row r="5428" spans="1:1" ht="13.8" x14ac:dyDescent="0.25">
      <c r="A5428" s="8"/>
    </row>
    <row r="5429" spans="1:1" ht="13.8" x14ac:dyDescent="0.25">
      <c r="A5429" s="8"/>
    </row>
    <row r="5430" spans="1:1" ht="13.8" x14ac:dyDescent="0.25">
      <c r="A5430" s="8"/>
    </row>
    <row r="5431" spans="1:1" ht="13.8" x14ac:dyDescent="0.25">
      <c r="A5431" s="8"/>
    </row>
    <row r="5432" spans="1:1" ht="13.8" x14ac:dyDescent="0.25">
      <c r="A5432" s="8"/>
    </row>
    <row r="5433" spans="1:1" ht="13.8" x14ac:dyDescent="0.25">
      <c r="A5433" s="8"/>
    </row>
    <row r="5434" spans="1:1" ht="13.8" x14ac:dyDescent="0.25">
      <c r="A5434" s="8"/>
    </row>
    <row r="5435" spans="1:1" ht="13.8" x14ac:dyDescent="0.25">
      <c r="A5435" s="8"/>
    </row>
    <row r="5436" spans="1:1" ht="13.8" x14ac:dyDescent="0.25">
      <c r="A5436" s="8"/>
    </row>
    <row r="5437" spans="1:1" ht="13.8" x14ac:dyDescent="0.25">
      <c r="A5437" s="8"/>
    </row>
    <row r="5438" spans="1:1" ht="13.8" x14ac:dyDescent="0.25">
      <c r="A5438" s="8"/>
    </row>
    <row r="5439" spans="1:1" ht="13.8" x14ac:dyDescent="0.25">
      <c r="A5439" s="8"/>
    </row>
    <row r="5440" spans="1:1" ht="13.8" x14ac:dyDescent="0.25">
      <c r="A5440" s="8"/>
    </row>
    <row r="5441" spans="1:1" ht="13.8" x14ac:dyDescent="0.25">
      <c r="A5441" s="8"/>
    </row>
    <row r="5442" spans="1:1" ht="13.8" x14ac:dyDescent="0.25">
      <c r="A5442" s="8"/>
    </row>
    <row r="5443" spans="1:1" ht="13.8" x14ac:dyDescent="0.25">
      <c r="A5443" s="8"/>
    </row>
    <row r="5444" spans="1:1" ht="13.8" x14ac:dyDescent="0.25">
      <c r="A5444" s="8"/>
    </row>
    <row r="5445" spans="1:1" ht="13.8" x14ac:dyDescent="0.25">
      <c r="A5445" s="8"/>
    </row>
    <row r="5446" spans="1:1" ht="13.8" x14ac:dyDescent="0.25">
      <c r="A5446" s="8"/>
    </row>
    <row r="5447" spans="1:1" ht="13.8" x14ac:dyDescent="0.25">
      <c r="A5447" s="8"/>
    </row>
    <row r="5448" spans="1:1" ht="13.8" x14ac:dyDescent="0.25">
      <c r="A5448" s="8"/>
    </row>
    <row r="5449" spans="1:1" ht="13.8" x14ac:dyDescent="0.25">
      <c r="A5449" s="8"/>
    </row>
    <row r="5450" spans="1:1" ht="13.8" x14ac:dyDescent="0.25">
      <c r="A5450" s="8"/>
    </row>
    <row r="5451" spans="1:1" ht="13.8" x14ac:dyDescent="0.25">
      <c r="A5451" s="8"/>
    </row>
    <row r="5452" spans="1:1" ht="13.8" x14ac:dyDescent="0.25">
      <c r="A5452" s="8"/>
    </row>
    <row r="5453" spans="1:1" ht="13.8" x14ac:dyDescent="0.25">
      <c r="A5453" s="8"/>
    </row>
    <row r="5454" spans="1:1" ht="13.8" x14ac:dyDescent="0.25">
      <c r="A5454" s="8"/>
    </row>
    <row r="5455" spans="1:1" ht="13.8" x14ac:dyDescent="0.25">
      <c r="A5455" s="8"/>
    </row>
    <row r="5456" spans="1:1" ht="13.8" x14ac:dyDescent="0.25">
      <c r="A5456" s="8"/>
    </row>
    <row r="5457" spans="1:1" ht="13.8" x14ac:dyDescent="0.25">
      <c r="A5457" s="8"/>
    </row>
    <row r="5458" spans="1:1" ht="13.8" x14ac:dyDescent="0.25">
      <c r="A5458" s="8"/>
    </row>
    <row r="5459" spans="1:1" ht="13.8" x14ac:dyDescent="0.25">
      <c r="A5459" s="8"/>
    </row>
    <row r="5460" spans="1:1" ht="13.8" x14ac:dyDescent="0.25">
      <c r="A5460" s="8"/>
    </row>
    <row r="5461" spans="1:1" ht="13.8" x14ac:dyDescent="0.25">
      <c r="A5461" s="8"/>
    </row>
    <row r="5462" spans="1:1" ht="13.8" x14ac:dyDescent="0.25">
      <c r="A5462" s="8"/>
    </row>
    <row r="5463" spans="1:1" ht="13.8" x14ac:dyDescent="0.25">
      <c r="A5463" s="8"/>
    </row>
    <row r="5464" spans="1:1" ht="13.8" x14ac:dyDescent="0.25">
      <c r="A5464" s="8"/>
    </row>
    <row r="5465" spans="1:1" ht="13.8" x14ac:dyDescent="0.25">
      <c r="A5465" s="8"/>
    </row>
    <row r="5466" spans="1:1" ht="13.8" x14ac:dyDescent="0.25">
      <c r="A5466" s="8"/>
    </row>
    <row r="5467" spans="1:1" ht="13.8" x14ac:dyDescent="0.25">
      <c r="A5467" s="8"/>
    </row>
    <row r="5468" spans="1:1" ht="13.8" x14ac:dyDescent="0.25">
      <c r="A5468" s="8"/>
    </row>
    <row r="5469" spans="1:1" ht="13.8" x14ac:dyDescent="0.25">
      <c r="A5469" s="8"/>
    </row>
    <row r="5470" spans="1:1" ht="13.8" x14ac:dyDescent="0.25">
      <c r="A5470" s="8"/>
    </row>
    <row r="5471" spans="1:1" ht="13.8" x14ac:dyDescent="0.25">
      <c r="A5471" s="8"/>
    </row>
    <row r="5472" spans="1:1" ht="13.8" x14ac:dyDescent="0.25">
      <c r="A5472" s="8"/>
    </row>
    <row r="5473" spans="1:1" ht="13.8" x14ac:dyDescent="0.25">
      <c r="A5473" s="8"/>
    </row>
    <row r="5474" spans="1:1" ht="13.8" x14ac:dyDescent="0.25">
      <c r="A5474" s="8"/>
    </row>
    <row r="5475" spans="1:1" ht="13.8" x14ac:dyDescent="0.25">
      <c r="A5475" s="8"/>
    </row>
    <row r="5476" spans="1:1" ht="13.8" x14ac:dyDescent="0.25">
      <c r="A5476" s="8"/>
    </row>
    <row r="5477" spans="1:1" ht="13.8" x14ac:dyDescent="0.25">
      <c r="A5477" s="8"/>
    </row>
    <row r="5478" spans="1:1" ht="13.8" x14ac:dyDescent="0.25">
      <c r="A5478" s="8"/>
    </row>
    <row r="5479" spans="1:1" ht="13.8" x14ac:dyDescent="0.25">
      <c r="A5479" s="8"/>
    </row>
    <row r="5480" spans="1:1" ht="13.8" x14ac:dyDescent="0.25">
      <c r="A5480" s="8"/>
    </row>
    <row r="5481" spans="1:1" ht="13.8" x14ac:dyDescent="0.25">
      <c r="A5481" s="8"/>
    </row>
    <row r="5482" spans="1:1" ht="13.8" x14ac:dyDescent="0.25">
      <c r="A5482" s="8"/>
    </row>
    <row r="5483" spans="1:1" ht="13.8" x14ac:dyDescent="0.25">
      <c r="A5483" s="8"/>
    </row>
    <row r="5484" spans="1:1" ht="13.8" x14ac:dyDescent="0.25">
      <c r="A5484" s="8"/>
    </row>
    <row r="5485" spans="1:1" ht="13.8" x14ac:dyDescent="0.25">
      <c r="A5485" s="8"/>
    </row>
    <row r="5486" spans="1:1" ht="13.8" x14ac:dyDescent="0.25">
      <c r="A5486" s="8"/>
    </row>
    <row r="5487" spans="1:1" ht="13.8" x14ac:dyDescent="0.25">
      <c r="A5487" s="8"/>
    </row>
    <row r="5488" spans="1:1" ht="13.8" x14ac:dyDescent="0.25">
      <c r="A5488" s="8"/>
    </row>
    <row r="5489" spans="1:1" ht="13.8" x14ac:dyDescent="0.25">
      <c r="A5489" s="8"/>
    </row>
    <row r="5490" spans="1:1" ht="13.8" x14ac:dyDescent="0.25">
      <c r="A5490" s="8"/>
    </row>
    <row r="5491" spans="1:1" ht="13.8" x14ac:dyDescent="0.25">
      <c r="A5491" s="8"/>
    </row>
    <row r="5492" spans="1:1" ht="13.8" x14ac:dyDescent="0.25">
      <c r="A5492" s="8"/>
    </row>
    <row r="5493" spans="1:1" ht="13.8" x14ac:dyDescent="0.25">
      <c r="A5493" s="8"/>
    </row>
    <row r="5494" spans="1:1" ht="13.8" x14ac:dyDescent="0.25">
      <c r="A5494" s="8"/>
    </row>
    <row r="5495" spans="1:1" ht="13.8" x14ac:dyDescent="0.25">
      <c r="A5495" s="8"/>
    </row>
    <row r="5496" spans="1:1" ht="13.8" x14ac:dyDescent="0.25">
      <c r="A5496" s="8"/>
    </row>
    <row r="5497" spans="1:1" ht="13.8" x14ac:dyDescent="0.25">
      <c r="A5497" s="8"/>
    </row>
    <row r="5498" spans="1:1" ht="13.8" x14ac:dyDescent="0.25">
      <c r="A5498" s="8"/>
    </row>
    <row r="5499" spans="1:1" ht="13.8" x14ac:dyDescent="0.25">
      <c r="A5499" s="8"/>
    </row>
    <row r="5500" spans="1:1" ht="13.8" x14ac:dyDescent="0.25">
      <c r="A5500" s="8"/>
    </row>
    <row r="5501" spans="1:1" ht="13.8" x14ac:dyDescent="0.25">
      <c r="A5501" s="8"/>
    </row>
    <row r="5502" spans="1:1" ht="13.8" x14ac:dyDescent="0.25">
      <c r="A5502" s="8"/>
    </row>
    <row r="5503" spans="1:1" ht="13.8" x14ac:dyDescent="0.25">
      <c r="A5503" s="8"/>
    </row>
    <row r="5504" spans="1:1" ht="13.8" x14ac:dyDescent="0.25">
      <c r="A5504" s="8"/>
    </row>
    <row r="5505" spans="1:1" ht="13.8" x14ac:dyDescent="0.25">
      <c r="A5505" s="8"/>
    </row>
    <row r="5506" spans="1:1" ht="13.8" x14ac:dyDescent="0.25">
      <c r="A5506" s="8"/>
    </row>
    <row r="5507" spans="1:1" ht="13.8" x14ac:dyDescent="0.25">
      <c r="A5507" s="8"/>
    </row>
    <row r="5508" spans="1:1" ht="13.8" x14ac:dyDescent="0.25">
      <c r="A5508" s="8"/>
    </row>
    <row r="5509" spans="1:1" ht="13.8" x14ac:dyDescent="0.25">
      <c r="A5509" s="8"/>
    </row>
    <row r="5510" spans="1:1" ht="13.8" x14ac:dyDescent="0.25">
      <c r="A5510" s="8"/>
    </row>
    <row r="5511" spans="1:1" ht="13.8" x14ac:dyDescent="0.25">
      <c r="A5511" s="8"/>
    </row>
    <row r="5512" spans="1:1" ht="13.8" x14ac:dyDescent="0.25">
      <c r="A5512" s="8"/>
    </row>
    <row r="5513" spans="1:1" ht="13.8" x14ac:dyDescent="0.25">
      <c r="A5513" s="8"/>
    </row>
    <row r="5514" spans="1:1" ht="13.8" x14ac:dyDescent="0.25">
      <c r="A5514" s="8"/>
    </row>
    <row r="5515" spans="1:1" ht="13.8" x14ac:dyDescent="0.25">
      <c r="A5515" s="8"/>
    </row>
    <row r="5516" spans="1:1" ht="13.8" x14ac:dyDescent="0.25">
      <c r="A5516" s="8"/>
    </row>
    <row r="5517" spans="1:1" ht="13.8" x14ac:dyDescent="0.25">
      <c r="A5517" s="8"/>
    </row>
    <row r="5518" spans="1:1" ht="13.8" x14ac:dyDescent="0.25">
      <c r="A5518" s="8"/>
    </row>
    <row r="5519" spans="1:1" ht="13.8" x14ac:dyDescent="0.25">
      <c r="A5519" s="8"/>
    </row>
    <row r="5520" spans="1:1" ht="13.8" x14ac:dyDescent="0.25">
      <c r="A5520" s="8"/>
    </row>
    <row r="5521" spans="1:1" ht="13.8" x14ac:dyDescent="0.25">
      <c r="A5521" s="8"/>
    </row>
    <row r="5522" spans="1:1" ht="13.8" x14ac:dyDescent="0.25">
      <c r="A5522" s="8"/>
    </row>
    <row r="5523" spans="1:1" ht="13.8" x14ac:dyDescent="0.25">
      <c r="A5523" s="8"/>
    </row>
    <row r="5524" spans="1:1" ht="13.8" x14ac:dyDescent="0.25">
      <c r="A5524" s="8"/>
    </row>
    <row r="5525" spans="1:1" ht="13.8" x14ac:dyDescent="0.25">
      <c r="A5525" s="8"/>
    </row>
    <row r="5526" spans="1:1" ht="13.8" x14ac:dyDescent="0.25">
      <c r="A5526" s="8"/>
    </row>
    <row r="5527" spans="1:1" ht="13.8" x14ac:dyDescent="0.25">
      <c r="A5527" s="8"/>
    </row>
    <row r="5528" spans="1:1" ht="13.8" x14ac:dyDescent="0.25">
      <c r="A5528" s="8"/>
    </row>
    <row r="5529" spans="1:1" ht="13.8" x14ac:dyDescent="0.25">
      <c r="A5529" s="8"/>
    </row>
    <row r="5530" spans="1:1" ht="13.8" x14ac:dyDescent="0.25">
      <c r="A5530" s="8"/>
    </row>
    <row r="5531" spans="1:1" ht="13.8" x14ac:dyDescent="0.25">
      <c r="A5531" s="8"/>
    </row>
    <row r="5532" spans="1:1" ht="13.8" x14ac:dyDescent="0.25">
      <c r="A5532" s="8"/>
    </row>
    <row r="5533" spans="1:1" ht="13.8" x14ac:dyDescent="0.25">
      <c r="A5533" s="8"/>
    </row>
    <row r="5534" spans="1:1" ht="13.8" x14ac:dyDescent="0.25">
      <c r="A5534" s="8"/>
    </row>
    <row r="5535" spans="1:1" ht="13.8" x14ac:dyDescent="0.25">
      <c r="A5535" s="8"/>
    </row>
    <row r="5536" spans="1:1" ht="13.8" x14ac:dyDescent="0.25">
      <c r="A5536" s="8"/>
    </row>
    <row r="5537" spans="1:1" ht="13.8" x14ac:dyDescent="0.25">
      <c r="A5537" s="8"/>
    </row>
    <row r="5538" spans="1:1" ht="13.8" x14ac:dyDescent="0.25">
      <c r="A5538" s="8"/>
    </row>
    <row r="5539" spans="1:1" ht="13.8" x14ac:dyDescent="0.25">
      <c r="A5539" s="8"/>
    </row>
    <row r="5540" spans="1:1" ht="13.8" x14ac:dyDescent="0.25">
      <c r="A5540" s="8"/>
    </row>
    <row r="5541" spans="1:1" ht="13.8" x14ac:dyDescent="0.25">
      <c r="A5541" s="8"/>
    </row>
    <row r="5542" spans="1:1" ht="13.8" x14ac:dyDescent="0.25">
      <c r="A5542" s="8"/>
    </row>
    <row r="5543" spans="1:1" ht="13.8" x14ac:dyDescent="0.25">
      <c r="A5543" s="8"/>
    </row>
    <row r="5544" spans="1:1" ht="13.8" x14ac:dyDescent="0.25">
      <c r="A5544" s="8"/>
    </row>
    <row r="5545" spans="1:1" ht="13.8" x14ac:dyDescent="0.25">
      <c r="A5545" s="8"/>
    </row>
    <row r="5546" spans="1:1" ht="13.8" x14ac:dyDescent="0.25">
      <c r="A5546" s="8"/>
    </row>
    <row r="5547" spans="1:1" ht="13.8" x14ac:dyDescent="0.25">
      <c r="A5547" s="8"/>
    </row>
    <row r="5548" spans="1:1" ht="13.8" x14ac:dyDescent="0.25">
      <c r="A5548" s="8"/>
    </row>
    <row r="5549" spans="1:1" ht="13.8" x14ac:dyDescent="0.25">
      <c r="A5549" s="8"/>
    </row>
    <row r="5550" spans="1:1" ht="13.8" x14ac:dyDescent="0.25">
      <c r="A5550" s="8"/>
    </row>
    <row r="5551" spans="1:1" ht="13.8" x14ac:dyDescent="0.25">
      <c r="A5551" s="8"/>
    </row>
    <row r="5552" spans="1:1" ht="13.8" x14ac:dyDescent="0.25">
      <c r="A5552" s="8"/>
    </row>
    <row r="5553" spans="1:1" ht="13.8" x14ac:dyDescent="0.25">
      <c r="A5553" s="8"/>
    </row>
    <row r="5554" spans="1:1" ht="13.8" x14ac:dyDescent="0.25">
      <c r="A5554" s="8"/>
    </row>
    <row r="5555" spans="1:1" ht="13.8" x14ac:dyDescent="0.25">
      <c r="A5555" s="8"/>
    </row>
    <row r="5556" spans="1:1" ht="13.8" x14ac:dyDescent="0.25">
      <c r="A5556" s="8"/>
    </row>
    <row r="5557" spans="1:1" ht="13.8" x14ac:dyDescent="0.25">
      <c r="A5557" s="8"/>
    </row>
    <row r="5558" spans="1:1" ht="13.8" x14ac:dyDescent="0.25">
      <c r="A5558" s="8"/>
    </row>
    <row r="5559" spans="1:1" ht="13.8" x14ac:dyDescent="0.25">
      <c r="A5559" s="8"/>
    </row>
    <row r="5560" spans="1:1" ht="13.8" x14ac:dyDescent="0.25">
      <c r="A5560" s="8"/>
    </row>
    <row r="5561" spans="1:1" ht="13.8" x14ac:dyDescent="0.25">
      <c r="A5561" s="8"/>
    </row>
    <row r="5562" spans="1:1" ht="13.8" x14ac:dyDescent="0.25">
      <c r="A5562" s="8"/>
    </row>
    <row r="5563" spans="1:1" ht="13.8" x14ac:dyDescent="0.25">
      <c r="A5563" s="8"/>
    </row>
    <row r="5564" spans="1:1" ht="13.8" x14ac:dyDescent="0.25">
      <c r="A5564" s="8"/>
    </row>
    <row r="5565" spans="1:1" ht="13.8" x14ac:dyDescent="0.25">
      <c r="A5565" s="8"/>
    </row>
    <row r="5566" spans="1:1" ht="13.8" x14ac:dyDescent="0.25">
      <c r="A5566" s="8"/>
    </row>
    <row r="5567" spans="1:1" ht="13.8" x14ac:dyDescent="0.25">
      <c r="A5567" s="8"/>
    </row>
    <row r="5568" spans="1:1" ht="13.8" x14ac:dyDescent="0.25">
      <c r="A5568" s="8"/>
    </row>
    <row r="5569" spans="1:1" ht="13.8" x14ac:dyDescent="0.25">
      <c r="A5569" s="8"/>
    </row>
    <row r="5570" spans="1:1" ht="13.8" x14ac:dyDescent="0.25">
      <c r="A5570" s="8"/>
    </row>
    <row r="5571" spans="1:1" ht="13.8" x14ac:dyDescent="0.25">
      <c r="A5571" s="8"/>
    </row>
    <row r="5572" spans="1:1" ht="13.8" x14ac:dyDescent="0.25">
      <c r="A5572" s="8"/>
    </row>
    <row r="5573" spans="1:1" ht="13.8" x14ac:dyDescent="0.25">
      <c r="A5573" s="8"/>
    </row>
    <row r="5574" spans="1:1" ht="13.8" x14ac:dyDescent="0.25">
      <c r="A5574" s="8"/>
    </row>
    <row r="5575" spans="1:1" ht="13.8" x14ac:dyDescent="0.25">
      <c r="A5575" s="8"/>
    </row>
    <row r="5576" spans="1:1" ht="13.8" x14ac:dyDescent="0.25">
      <c r="A5576" s="8"/>
    </row>
    <row r="5577" spans="1:1" ht="13.8" x14ac:dyDescent="0.25">
      <c r="A5577" s="8"/>
    </row>
    <row r="5578" spans="1:1" ht="13.8" x14ac:dyDescent="0.25">
      <c r="A5578" s="8"/>
    </row>
    <row r="5579" spans="1:1" ht="13.8" x14ac:dyDescent="0.25">
      <c r="A5579" s="8"/>
    </row>
    <row r="5580" spans="1:1" ht="13.8" x14ac:dyDescent="0.25">
      <c r="A5580" s="8"/>
    </row>
    <row r="5581" spans="1:1" ht="13.8" x14ac:dyDescent="0.25">
      <c r="A5581" s="8"/>
    </row>
    <row r="5582" spans="1:1" ht="13.8" x14ac:dyDescent="0.25">
      <c r="A5582" s="8"/>
    </row>
    <row r="5583" spans="1:1" ht="13.8" x14ac:dyDescent="0.25">
      <c r="A5583" s="8"/>
    </row>
    <row r="5584" spans="1:1" ht="13.8" x14ac:dyDescent="0.25">
      <c r="A5584" s="8"/>
    </row>
    <row r="5585" spans="1:1" ht="13.8" x14ac:dyDescent="0.25">
      <c r="A5585" s="8"/>
    </row>
    <row r="5586" spans="1:1" ht="13.8" x14ac:dyDescent="0.25">
      <c r="A5586" s="8"/>
    </row>
    <row r="5587" spans="1:1" ht="13.8" x14ac:dyDescent="0.25">
      <c r="A5587" s="8"/>
    </row>
    <row r="5588" spans="1:1" ht="13.8" x14ac:dyDescent="0.25">
      <c r="A5588" s="8"/>
    </row>
    <row r="5589" spans="1:1" ht="13.8" x14ac:dyDescent="0.25">
      <c r="A5589" s="8"/>
    </row>
    <row r="5590" spans="1:1" ht="13.8" x14ac:dyDescent="0.25">
      <c r="A5590" s="8"/>
    </row>
    <row r="5591" spans="1:1" ht="13.8" x14ac:dyDescent="0.25">
      <c r="A5591" s="8"/>
    </row>
    <row r="5592" spans="1:1" ht="13.8" x14ac:dyDescent="0.25">
      <c r="A5592" s="8"/>
    </row>
    <row r="5593" spans="1:1" ht="13.8" x14ac:dyDescent="0.25">
      <c r="A5593" s="8"/>
    </row>
    <row r="5594" spans="1:1" ht="13.8" x14ac:dyDescent="0.25">
      <c r="A5594" s="8"/>
    </row>
    <row r="5595" spans="1:1" ht="13.8" x14ac:dyDescent="0.25">
      <c r="A5595" s="8"/>
    </row>
    <row r="5596" spans="1:1" ht="13.8" x14ac:dyDescent="0.25">
      <c r="A5596" s="8"/>
    </row>
    <row r="5597" spans="1:1" ht="13.8" x14ac:dyDescent="0.25">
      <c r="A5597" s="8"/>
    </row>
    <row r="5598" spans="1:1" ht="13.8" x14ac:dyDescent="0.25">
      <c r="A5598" s="8"/>
    </row>
    <row r="5599" spans="1:1" ht="13.8" x14ac:dyDescent="0.25">
      <c r="A5599" s="8"/>
    </row>
    <row r="5600" spans="1:1" ht="13.8" x14ac:dyDescent="0.25">
      <c r="A5600" s="8"/>
    </row>
    <row r="5601" spans="1:1" ht="13.8" x14ac:dyDescent="0.25">
      <c r="A5601" s="8"/>
    </row>
    <row r="5602" spans="1:1" ht="13.8" x14ac:dyDescent="0.25">
      <c r="A5602" s="8"/>
    </row>
    <row r="5603" spans="1:1" ht="13.8" x14ac:dyDescent="0.25">
      <c r="A5603" s="8"/>
    </row>
    <row r="5604" spans="1:1" ht="13.8" x14ac:dyDescent="0.25">
      <c r="A5604" s="8"/>
    </row>
    <row r="5605" spans="1:1" ht="13.8" x14ac:dyDescent="0.25">
      <c r="A5605" s="8"/>
    </row>
    <row r="5606" spans="1:1" ht="13.8" x14ac:dyDescent="0.25">
      <c r="A5606" s="8"/>
    </row>
    <row r="5607" spans="1:1" ht="13.8" x14ac:dyDescent="0.25">
      <c r="A5607" s="8"/>
    </row>
    <row r="5608" spans="1:1" ht="13.8" x14ac:dyDescent="0.25">
      <c r="A5608" s="8"/>
    </row>
    <row r="5609" spans="1:1" ht="13.8" x14ac:dyDescent="0.25">
      <c r="A5609" s="8"/>
    </row>
    <row r="5610" spans="1:1" ht="13.8" x14ac:dyDescent="0.25">
      <c r="A5610" s="8"/>
    </row>
    <row r="5611" spans="1:1" ht="13.8" x14ac:dyDescent="0.25">
      <c r="A5611" s="8"/>
    </row>
    <row r="5612" spans="1:1" ht="13.8" x14ac:dyDescent="0.25">
      <c r="A5612" s="8"/>
    </row>
    <row r="5613" spans="1:1" ht="13.8" x14ac:dyDescent="0.25">
      <c r="A5613" s="8"/>
    </row>
    <row r="5614" spans="1:1" ht="13.8" x14ac:dyDescent="0.25">
      <c r="A5614" s="8"/>
    </row>
    <row r="5615" spans="1:1" ht="13.8" x14ac:dyDescent="0.25">
      <c r="A5615" s="8"/>
    </row>
    <row r="5616" spans="1:1" ht="13.8" x14ac:dyDescent="0.25">
      <c r="A5616" s="8"/>
    </row>
    <row r="5617" spans="1:1" ht="13.8" x14ac:dyDescent="0.25">
      <c r="A5617" s="8"/>
    </row>
    <row r="5618" spans="1:1" ht="13.8" x14ac:dyDescent="0.25">
      <c r="A5618" s="8"/>
    </row>
    <row r="5619" spans="1:1" ht="13.8" x14ac:dyDescent="0.25">
      <c r="A5619" s="8"/>
    </row>
    <row r="5620" spans="1:1" ht="13.8" x14ac:dyDescent="0.25">
      <c r="A5620" s="8"/>
    </row>
    <row r="5621" spans="1:1" ht="13.8" x14ac:dyDescent="0.25">
      <c r="A5621" s="8"/>
    </row>
    <row r="5622" spans="1:1" ht="13.8" x14ac:dyDescent="0.25">
      <c r="A5622" s="8"/>
    </row>
    <row r="5623" spans="1:1" ht="13.8" x14ac:dyDescent="0.25">
      <c r="A5623" s="8"/>
    </row>
    <row r="5624" spans="1:1" ht="13.8" x14ac:dyDescent="0.25">
      <c r="A5624" s="8"/>
    </row>
    <row r="5625" spans="1:1" ht="13.8" x14ac:dyDescent="0.25">
      <c r="A5625" s="8"/>
    </row>
    <row r="5626" spans="1:1" ht="13.8" x14ac:dyDescent="0.25">
      <c r="A5626" s="8"/>
    </row>
    <row r="5627" spans="1:1" ht="13.8" x14ac:dyDescent="0.25">
      <c r="A5627" s="8"/>
    </row>
    <row r="5628" spans="1:1" ht="13.8" x14ac:dyDescent="0.25">
      <c r="A5628" s="8"/>
    </row>
    <row r="5629" spans="1:1" ht="13.8" x14ac:dyDescent="0.25">
      <c r="A5629" s="8"/>
    </row>
    <row r="5630" spans="1:1" ht="13.8" x14ac:dyDescent="0.25">
      <c r="A5630" s="8"/>
    </row>
    <row r="5631" spans="1:1" ht="13.8" x14ac:dyDescent="0.25">
      <c r="A5631" s="8"/>
    </row>
    <row r="5632" spans="1:1" ht="13.8" x14ac:dyDescent="0.25">
      <c r="A5632" s="8"/>
    </row>
    <row r="5633" spans="1:1" ht="13.8" x14ac:dyDescent="0.25">
      <c r="A5633" s="8"/>
    </row>
    <row r="5634" spans="1:1" ht="13.8" x14ac:dyDescent="0.25">
      <c r="A5634" s="8"/>
    </row>
    <row r="5635" spans="1:1" ht="13.8" x14ac:dyDescent="0.25">
      <c r="A5635" s="8"/>
    </row>
    <row r="5636" spans="1:1" ht="13.8" x14ac:dyDescent="0.25">
      <c r="A5636" s="8"/>
    </row>
    <row r="5637" spans="1:1" ht="13.8" x14ac:dyDescent="0.25">
      <c r="A5637" s="8"/>
    </row>
    <row r="5638" spans="1:1" ht="13.8" x14ac:dyDescent="0.25">
      <c r="A5638" s="8"/>
    </row>
    <row r="5639" spans="1:1" ht="13.8" x14ac:dyDescent="0.25">
      <c r="A5639" s="8"/>
    </row>
    <row r="5640" spans="1:1" ht="13.8" x14ac:dyDescent="0.25">
      <c r="A5640" s="8"/>
    </row>
    <row r="5641" spans="1:1" ht="13.8" x14ac:dyDescent="0.25">
      <c r="A5641" s="8"/>
    </row>
    <row r="5642" spans="1:1" ht="13.8" x14ac:dyDescent="0.25">
      <c r="A5642" s="8"/>
    </row>
    <row r="5643" spans="1:1" ht="13.8" x14ac:dyDescent="0.25">
      <c r="A5643" s="8"/>
    </row>
    <row r="5644" spans="1:1" ht="13.8" x14ac:dyDescent="0.25">
      <c r="A5644" s="8"/>
    </row>
    <row r="5645" spans="1:1" ht="13.8" x14ac:dyDescent="0.25">
      <c r="A5645" s="8"/>
    </row>
    <row r="5646" spans="1:1" ht="13.8" x14ac:dyDescent="0.25">
      <c r="A5646" s="8"/>
    </row>
    <row r="5647" spans="1:1" ht="13.8" x14ac:dyDescent="0.25">
      <c r="A5647" s="8"/>
    </row>
    <row r="5648" spans="1:1" ht="13.8" x14ac:dyDescent="0.25">
      <c r="A5648" s="8"/>
    </row>
    <row r="5649" spans="1:1" ht="13.8" x14ac:dyDescent="0.25">
      <c r="A5649" s="8"/>
    </row>
    <row r="5650" spans="1:1" ht="13.8" x14ac:dyDescent="0.25">
      <c r="A5650" s="8"/>
    </row>
    <row r="5651" spans="1:1" ht="13.8" x14ac:dyDescent="0.25">
      <c r="A5651" s="8"/>
    </row>
    <row r="5652" spans="1:1" ht="13.8" x14ac:dyDescent="0.25">
      <c r="A5652" s="8"/>
    </row>
    <row r="5653" spans="1:1" ht="13.8" x14ac:dyDescent="0.25">
      <c r="A5653" s="8"/>
    </row>
    <row r="5654" spans="1:1" ht="13.8" x14ac:dyDescent="0.25">
      <c r="A5654" s="8"/>
    </row>
    <row r="5655" spans="1:1" ht="13.8" x14ac:dyDescent="0.25">
      <c r="A5655" s="8"/>
    </row>
    <row r="5656" spans="1:1" ht="13.8" x14ac:dyDescent="0.25">
      <c r="A5656" s="8"/>
    </row>
    <row r="5657" spans="1:1" ht="13.8" x14ac:dyDescent="0.25">
      <c r="A5657" s="8"/>
    </row>
    <row r="5658" spans="1:1" ht="13.8" x14ac:dyDescent="0.25">
      <c r="A5658" s="8"/>
    </row>
    <row r="5659" spans="1:1" ht="13.8" x14ac:dyDescent="0.25">
      <c r="A5659" s="8"/>
    </row>
    <row r="5660" spans="1:1" ht="13.8" x14ac:dyDescent="0.25">
      <c r="A5660" s="8"/>
    </row>
    <row r="5661" spans="1:1" ht="13.8" x14ac:dyDescent="0.25">
      <c r="A5661" s="8"/>
    </row>
    <row r="5662" spans="1:1" ht="13.8" x14ac:dyDescent="0.25">
      <c r="A5662" s="8"/>
    </row>
    <row r="5663" spans="1:1" ht="13.8" x14ac:dyDescent="0.25">
      <c r="A5663" s="8"/>
    </row>
    <row r="5664" spans="1:1" ht="13.8" x14ac:dyDescent="0.25">
      <c r="A5664" s="8"/>
    </row>
    <row r="5665" spans="1:1" ht="13.8" x14ac:dyDescent="0.25">
      <c r="A5665" s="8"/>
    </row>
    <row r="5666" spans="1:1" ht="13.8" x14ac:dyDescent="0.25">
      <c r="A5666" s="8"/>
    </row>
    <row r="5667" spans="1:1" ht="13.8" x14ac:dyDescent="0.25">
      <c r="A5667" s="8"/>
    </row>
    <row r="5668" spans="1:1" ht="13.8" x14ac:dyDescent="0.25">
      <c r="A5668" s="8"/>
    </row>
    <row r="5669" spans="1:1" ht="13.8" x14ac:dyDescent="0.25">
      <c r="A5669" s="8"/>
    </row>
    <row r="5670" spans="1:1" ht="13.8" x14ac:dyDescent="0.25">
      <c r="A5670" s="8"/>
    </row>
    <row r="5671" spans="1:1" ht="13.8" x14ac:dyDescent="0.25">
      <c r="A5671" s="8"/>
    </row>
    <row r="5672" spans="1:1" ht="13.8" x14ac:dyDescent="0.25">
      <c r="A5672" s="8"/>
    </row>
    <row r="5673" spans="1:1" ht="13.8" x14ac:dyDescent="0.25">
      <c r="A5673" s="8"/>
    </row>
    <row r="5674" spans="1:1" ht="13.8" x14ac:dyDescent="0.25">
      <c r="A5674" s="8"/>
    </row>
    <row r="5675" spans="1:1" ht="13.8" x14ac:dyDescent="0.25">
      <c r="A5675" s="8"/>
    </row>
    <row r="5676" spans="1:1" ht="13.8" x14ac:dyDescent="0.25">
      <c r="A5676" s="8"/>
    </row>
    <row r="5677" spans="1:1" ht="13.8" x14ac:dyDescent="0.25">
      <c r="A5677" s="8"/>
    </row>
    <row r="5678" spans="1:1" ht="13.8" x14ac:dyDescent="0.25">
      <c r="A5678" s="8"/>
    </row>
    <row r="5679" spans="1:1" ht="13.8" x14ac:dyDescent="0.25">
      <c r="A5679" s="8"/>
    </row>
    <row r="5680" spans="1:1" ht="13.8" x14ac:dyDescent="0.25">
      <c r="A5680" s="8"/>
    </row>
    <row r="5681" spans="1:1" ht="13.8" x14ac:dyDescent="0.25">
      <c r="A5681" s="8"/>
    </row>
    <row r="5682" spans="1:1" ht="13.8" x14ac:dyDescent="0.25">
      <c r="A5682" s="8"/>
    </row>
    <row r="5683" spans="1:1" ht="13.8" x14ac:dyDescent="0.25">
      <c r="A5683" s="8"/>
    </row>
    <row r="5684" spans="1:1" ht="13.8" x14ac:dyDescent="0.25">
      <c r="A5684" s="8"/>
    </row>
    <row r="5685" spans="1:1" ht="13.8" x14ac:dyDescent="0.25">
      <c r="A5685" s="8"/>
    </row>
    <row r="5686" spans="1:1" ht="13.8" x14ac:dyDescent="0.25">
      <c r="A5686" s="8"/>
    </row>
    <row r="5687" spans="1:1" ht="13.8" x14ac:dyDescent="0.25">
      <c r="A5687" s="8"/>
    </row>
    <row r="5688" spans="1:1" ht="13.8" x14ac:dyDescent="0.25">
      <c r="A5688" s="8"/>
    </row>
    <row r="5689" spans="1:1" ht="13.8" x14ac:dyDescent="0.25">
      <c r="A5689" s="8"/>
    </row>
    <row r="5690" spans="1:1" ht="13.8" x14ac:dyDescent="0.25">
      <c r="A5690" s="8"/>
    </row>
    <row r="5691" spans="1:1" ht="13.8" x14ac:dyDescent="0.25">
      <c r="A5691" s="8"/>
    </row>
    <row r="5692" spans="1:1" ht="13.8" x14ac:dyDescent="0.25">
      <c r="A5692" s="8"/>
    </row>
    <row r="5693" spans="1:1" ht="13.8" x14ac:dyDescent="0.25">
      <c r="A5693" s="8"/>
    </row>
    <row r="5694" spans="1:1" ht="13.8" x14ac:dyDescent="0.25">
      <c r="A5694" s="8"/>
    </row>
    <row r="5695" spans="1:1" ht="13.8" x14ac:dyDescent="0.25">
      <c r="A5695" s="8"/>
    </row>
    <row r="5696" spans="1:1" ht="13.8" x14ac:dyDescent="0.25">
      <c r="A5696" s="8"/>
    </row>
    <row r="5697" spans="1:1" ht="13.8" x14ac:dyDescent="0.25">
      <c r="A5697" s="8"/>
    </row>
    <row r="5698" spans="1:1" ht="13.8" x14ac:dyDescent="0.25">
      <c r="A5698" s="8"/>
    </row>
    <row r="5699" spans="1:1" ht="13.8" x14ac:dyDescent="0.25">
      <c r="A5699" s="8"/>
    </row>
    <row r="5700" spans="1:1" ht="13.8" x14ac:dyDescent="0.25">
      <c r="A5700" s="8"/>
    </row>
    <row r="5701" spans="1:1" ht="13.8" x14ac:dyDescent="0.25">
      <c r="A5701" s="8"/>
    </row>
    <row r="5702" spans="1:1" ht="13.8" x14ac:dyDescent="0.25">
      <c r="A5702" s="8"/>
    </row>
    <row r="5703" spans="1:1" ht="13.8" x14ac:dyDescent="0.25">
      <c r="A5703" s="8"/>
    </row>
    <row r="5704" spans="1:1" ht="13.8" x14ac:dyDescent="0.25">
      <c r="A5704" s="8"/>
    </row>
    <row r="5705" spans="1:1" ht="13.8" x14ac:dyDescent="0.25">
      <c r="A5705" s="8"/>
    </row>
    <row r="5706" spans="1:1" ht="13.8" x14ac:dyDescent="0.25">
      <c r="A5706" s="8"/>
    </row>
    <row r="5707" spans="1:1" ht="13.8" x14ac:dyDescent="0.25">
      <c r="A5707" s="8"/>
    </row>
    <row r="5708" spans="1:1" ht="13.8" x14ac:dyDescent="0.25">
      <c r="A5708" s="8"/>
    </row>
    <row r="5709" spans="1:1" ht="13.8" x14ac:dyDescent="0.25">
      <c r="A5709" s="8"/>
    </row>
    <row r="5710" spans="1:1" ht="13.8" x14ac:dyDescent="0.25">
      <c r="A5710" s="8"/>
    </row>
    <row r="5711" spans="1:1" ht="13.8" x14ac:dyDescent="0.25">
      <c r="A5711" s="8"/>
    </row>
    <row r="5712" spans="1:1" ht="13.8" x14ac:dyDescent="0.25">
      <c r="A5712" s="8"/>
    </row>
    <row r="5713" spans="1:1" ht="13.8" x14ac:dyDescent="0.25">
      <c r="A5713" s="8"/>
    </row>
    <row r="5714" spans="1:1" ht="13.8" x14ac:dyDescent="0.25">
      <c r="A5714" s="8"/>
    </row>
    <row r="5715" spans="1:1" ht="13.8" x14ac:dyDescent="0.25">
      <c r="A5715" s="8"/>
    </row>
    <row r="5716" spans="1:1" ht="13.8" x14ac:dyDescent="0.25">
      <c r="A5716" s="8"/>
    </row>
    <row r="5717" spans="1:1" ht="13.8" x14ac:dyDescent="0.25">
      <c r="A5717" s="8"/>
    </row>
    <row r="5718" spans="1:1" ht="13.8" x14ac:dyDescent="0.25">
      <c r="A5718" s="8"/>
    </row>
    <row r="5719" spans="1:1" ht="13.8" x14ac:dyDescent="0.25">
      <c r="A5719" s="8"/>
    </row>
    <row r="5720" spans="1:1" ht="13.8" x14ac:dyDescent="0.25">
      <c r="A5720" s="8"/>
    </row>
    <row r="5721" spans="1:1" ht="13.8" x14ac:dyDescent="0.25">
      <c r="A5721" s="8"/>
    </row>
    <row r="5722" spans="1:1" ht="13.8" x14ac:dyDescent="0.25">
      <c r="A5722" s="8"/>
    </row>
    <row r="5723" spans="1:1" ht="13.8" x14ac:dyDescent="0.25">
      <c r="A5723" s="8"/>
    </row>
    <row r="5724" spans="1:1" ht="13.8" x14ac:dyDescent="0.25">
      <c r="A5724" s="8"/>
    </row>
    <row r="5725" spans="1:1" ht="13.8" x14ac:dyDescent="0.25">
      <c r="A5725" s="8"/>
    </row>
    <row r="5726" spans="1:1" ht="13.8" x14ac:dyDescent="0.25">
      <c r="A5726" s="8"/>
    </row>
    <row r="5727" spans="1:1" ht="13.8" x14ac:dyDescent="0.25">
      <c r="A5727" s="8"/>
    </row>
    <row r="5728" spans="1:1" ht="13.8" x14ac:dyDescent="0.25">
      <c r="A5728" s="8"/>
    </row>
    <row r="5729" spans="1:1" ht="13.8" x14ac:dyDescent="0.25">
      <c r="A5729" s="8"/>
    </row>
    <row r="5730" spans="1:1" ht="13.8" x14ac:dyDescent="0.25">
      <c r="A5730" s="8"/>
    </row>
    <row r="5731" spans="1:1" ht="13.8" x14ac:dyDescent="0.25">
      <c r="A5731" s="8"/>
    </row>
    <row r="5732" spans="1:1" ht="13.8" x14ac:dyDescent="0.25">
      <c r="A5732" s="8"/>
    </row>
    <row r="5733" spans="1:1" ht="13.8" x14ac:dyDescent="0.25">
      <c r="A5733" s="8"/>
    </row>
    <row r="5734" spans="1:1" ht="13.8" x14ac:dyDescent="0.25">
      <c r="A5734" s="8"/>
    </row>
    <row r="5735" spans="1:1" ht="13.8" x14ac:dyDescent="0.25">
      <c r="A5735" s="8"/>
    </row>
    <row r="5736" spans="1:1" ht="13.8" x14ac:dyDescent="0.25">
      <c r="A5736" s="8"/>
    </row>
    <row r="5737" spans="1:1" ht="13.8" x14ac:dyDescent="0.25">
      <c r="A5737" s="8"/>
    </row>
    <row r="5738" spans="1:1" ht="13.8" x14ac:dyDescent="0.25">
      <c r="A5738" s="8"/>
    </row>
    <row r="5739" spans="1:1" ht="13.8" x14ac:dyDescent="0.25">
      <c r="A5739" s="8"/>
    </row>
    <row r="5740" spans="1:1" ht="13.8" x14ac:dyDescent="0.25">
      <c r="A5740" s="8"/>
    </row>
    <row r="5741" spans="1:1" ht="13.8" x14ac:dyDescent="0.25">
      <c r="A5741" s="8"/>
    </row>
    <row r="5742" spans="1:1" ht="13.8" x14ac:dyDescent="0.25">
      <c r="A5742" s="8"/>
    </row>
    <row r="5743" spans="1:1" ht="13.8" x14ac:dyDescent="0.25">
      <c r="A5743" s="8"/>
    </row>
    <row r="5744" spans="1:1" ht="13.8" x14ac:dyDescent="0.25">
      <c r="A5744" s="8"/>
    </row>
    <row r="5745" spans="1:1" ht="13.8" x14ac:dyDescent="0.25">
      <c r="A5745" s="8"/>
    </row>
    <row r="5746" spans="1:1" ht="13.8" x14ac:dyDescent="0.25">
      <c r="A5746" s="8"/>
    </row>
    <row r="5747" spans="1:1" ht="13.8" x14ac:dyDescent="0.25">
      <c r="A5747" s="8"/>
    </row>
    <row r="5748" spans="1:1" ht="13.8" x14ac:dyDescent="0.25">
      <c r="A5748" s="8"/>
    </row>
    <row r="5749" spans="1:1" ht="13.8" x14ac:dyDescent="0.25">
      <c r="A5749" s="8"/>
    </row>
    <row r="5750" spans="1:1" ht="13.8" x14ac:dyDescent="0.25">
      <c r="A5750" s="8"/>
    </row>
    <row r="5751" spans="1:1" ht="13.8" x14ac:dyDescent="0.25">
      <c r="A5751" s="8"/>
    </row>
    <row r="5752" spans="1:1" ht="13.8" x14ac:dyDescent="0.25">
      <c r="A5752" s="8"/>
    </row>
    <row r="5753" spans="1:1" ht="13.8" x14ac:dyDescent="0.25">
      <c r="A5753" s="8"/>
    </row>
    <row r="5754" spans="1:1" ht="13.8" x14ac:dyDescent="0.25">
      <c r="A5754" s="8"/>
    </row>
    <row r="5755" spans="1:1" ht="13.8" x14ac:dyDescent="0.25">
      <c r="A5755" s="8"/>
    </row>
    <row r="5756" spans="1:1" ht="13.8" x14ac:dyDescent="0.25">
      <c r="A5756" s="8"/>
    </row>
    <row r="5757" spans="1:1" ht="13.8" x14ac:dyDescent="0.25">
      <c r="A5757" s="8"/>
    </row>
    <row r="5758" spans="1:1" ht="13.8" x14ac:dyDescent="0.25">
      <c r="A5758" s="8"/>
    </row>
    <row r="5759" spans="1:1" ht="13.8" x14ac:dyDescent="0.25">
      <c r="A5759" s="8"/>
    </row>
    <row r="5760" spans="1:1" ht="13.8" x14ac:dyDescent="0.25">
      <c r="A5760" s="8"/>
    </row>
    <row r="5761" spans="1:1" ht="13.8" x14ac:dyDescent="0.25">
      <c r="A5761" s="8"/>
    </row>
    <row r="5762" spans="1:1" ht="13.8" x14ac:dyDescent="0.25">
      <c r="A5762" s="8"/>
    </row>
    <row r="5763" spans="1:1" ht="13.8" x14ac:dyDescent="0.25">
      <c r="A5763" s="8"/>
    </row>
    <row r="5764" spans="1:1" ht="13.8" x14ac:dyDescent="0.25">
      <c r="A5764" s="8"/>
    </row>
    <row r="5765" spans="1:1" ht="13.8" x14ac:dyDescent="0.25">
      <c r="A5765" s="8"/>
    </row>
    <row r="5766" spans="1:1" ht="13.8" x14ac:dyDescent="0.25">
      <c r="A5766" s="8"/>
    </row>
    <row r="5767" spans="1:1" ht="13.8" x14ac:dyDescent="0.25">
      <c r="A5767" s="8"/>
    </row>
    <row r="5768" spans="1:1" ht="13.8" x14ac:dyDescent="0.25">
      <c r="A5768" s="8"/>
    </row>
    <row r="5769" spans="1:1" ht="13.8" x14ac:dyDescent="0.25">
      <c r="A5769" s="8"/>
    </row>
    <row r="5770" spans="1:1" ht="13.8" x14ac:dyDescent="0.25">
      <c r="A5770" s="8"/>
    </row>
    <row r="5771" spans="1:1" ht="13.8" x14ac:dyDescent="0.25">
      <c r="A5771" s="8"/>
    </row>
    <row r="5772" spans="1:1" ht="13.8" x14ac:dyDescent="0.25">
      <c r="A5772" s="8"/>
    </row>
    <row r="5773" spans="1:1" ht="13.8" x14ac:dyDescent="0.25">
      <c r="A5773" s="8"/>
    </row>
    <row r="5774" spans="1:1" ht="13.8" x14ac:dyDescent="0.25">
      <c r="A5774" s="8"/>
    </row>
    <row r="5775" spans="1:1" ht="13.8" x14ac:dyDescent="0.25">
      <c r="A5775" s="8"/>
    </row>
    <row r="5776" spans="1:1" ht="13.8" x14ac:dyDescent="0.25">
      <c r="A5776" s="8"/>
    </row>
    <row r="5777" spans="1:1" ht="13.8" x14ac:dyDescent="0.25">
      <c r="A5777" s="8"/>
    </row>
    <row r="5778" spans="1:1" ht="13.8" x14ac:dyDescent="0.25">
      <c r="A5778" s="8"/>
    </row>
    <row r="5779" spans="1:1" ht="13.8" x14ac:dyDescent="0.25">
      <c r="A5779" s="8"/>
    </row>
    <row r="5780" spans="1:1" ht="13.8" x14ac:dyDescent="0.25">
      <c r="A5780" s="8"/>
    </row>
    <row r="5781" spans="1:1" ht="13.8" x14ac:dyDescent="0.25">
      <c r="A5781" s="8"/>
    </row>
    <row r="5782" spans="1:1" ht="13.8" x14ac:dyDescent="0.25">
      <c r="A5782" s="8"/>
    </row>
    <row r="5783" spans="1:1" ht="13.8" x14ac:dyDescent="0.25">
      <c r="A5783" s="8"/>
    </row>
    <row r="5784" spans="1:1" ht="13.8" x14ac:dyDescent="0.25">
      <c r="A5784" s="8"/>
    </row>
    <row r="5785" spans="1:1" ht="13.8" x14ac:dyDescent="0.25">
      <c r="A5785" s="8"/>
    </row>
    <row r="5786" spans="1:1" ht="13.8" x14ac:dyDescent="0.25">
      <c r="A5786" s="8"/>
    </row>
    <row r="5787" spans="1:1" ht="13.8" x14ac:dyDescent="0.25">
      <c r="A5787" s="8"/>
    </row>
    <row r="5788" spans="1:1" ht="13.8" x14ac:dyDescent="0.25">
      <c r="A5788" s="8"/>
    </row>
    <row r="5789" spans="1:1" ht="13.8" x14ac:dyDescent="0.25">
      <c r="A5789" s="8"/>
    </row>
    <row r="5790" spans="1:1" ht="13.8" x14ac:dyDescent="0.25">
      <c r="A5790" s="8"/>
    </row>
    <row r="5791" spans="1:1" ht="13.8" x14ac:dyDescent="0.25">
      <c r="A5791" s="8"/>
    </row>
    <row r="5792" spans="1:1" ht="13.8" x14ac:dyDescent="0.25">
      <c r="A5792" s="8"/>
    </row>
    <row r="5793" spans="1:1" ht="13.8" x14ac:dyDescent="0.25">
      <c r="A5793" s="8"/>
    </row>
    <row r="5794" spans="1:1" ht="13.8" x14ac:dyDescent="0.25">
      <c r="A5794" s="8"/>
    </row>
    <row r="5795" spans="1:1" ht="13.8" x14ac:dyDescent="0.25">
      <c r="A5795" s="8"/>
    </row>
    <row r="5796" spans="1:1" ht="13.8" x14ac:dyDescent="0.25">
      <c r="A5796" s="8"/>
    </row>
    <row r="5797" spans="1:1" ht="13.8" x14ac:dyDescent="0.25">
      <c r="A5797" s="8"/>
    </row>
    <row r="5798" spans="1:1" ht="13.8" x14ac:dyDescent="0.25">
      <c r="A5798" s="8"/>
    </row>
    <row r="5799" spans="1:1" ht="13.8" x14ac:dyDescent="0.25">
      <c r="A5799" s="8"/>
    </row>
    <row r="5800" spans="1:1" ht="13.8" x14ac:dyDescent="0.25">
      <c r="A5800" s="8"/>
    </row>
    <row r="5801" spans="1:1" ht="13.8" x14ac:dyDescent="0.25">
      <c r="A5801" s="8"/>
    </row>
    <row r="5802" spans="1:1" ht="13.8" x14ac:dyDescent="0.25">
      <c r="A5802" s="8"/>
    </row>
    <row r="5803" spans="1:1" ht="13.8" x14ac:dyDescent="0.25">
      <c r="A5803" s="8"/>
    </row>
    <row r="5804" spans="1:1" ht="13.8" x14ac:dyDescent="0.25">
      <c r="A5804" s="8"/>
    </row>
    <row r="5805" spans="1:1" ht="13.8" x14ac:dyDescent="0.25">
      <c r="A5805" s="8"/>
    </row>
    <row r="5806" spans="1:1" ht="13.8" x14ac:dyDescent="0.25">
      <c r="A5806" s="8"/>
    </row>
    <row r="5807" spans="1:1" ht="13.8" x14ac:dyDescent="0.25">
      <c r="A5807" s="8"/>
    </row>
    <row r="5808" spans="1:1" ht="13.8" x14ac:dyDescent="0.25">
      <c r="A5808" s="8"/>
    </row>
    <row r="5809" spans="1:1" ht="13.8" x14ac:dyDescent="0.25">
      <c r="A5809" s="8"/>
    </row>
    <row r="5810" spans="1:1" ht="13.8" x14ac:dyDescent="0.25">
      <c r="A5810" s="8"/>
    </row>
    <row r="5811" spans="1:1" ht="13.8" x14ac:dyDescent="0.25">
      <c r="A5811" s="8"/>
    </row>
    <row r="5812" spans="1:1" ht="13.8" x14ac:dyDescent="0.25">
      <c r="A5812" s="8"/>
    </row>
    <row r="5813" spans="1:1" ht="13.8" x14ac:dyDescent="0.25">
      <c r="A5813" s="8"/>
    </row>
    <row r="5814" spans="1:1" ht="13.8" x14ac:dyDescent="0.25">
      <c r="A5814" s="8"/>
    </row>
    <row r="5815" spans="1:1" ht="13.8" x14ac:dyDescent="0.25">
      <c r="A5815" s="8"/>
    </row>
    <row r="5816" spans="1:1" ht="13.8" x14ac:dyDescent="0.25">
      <c r="A5816" s="8"/>
    </row>
    <row r="5817" spans="1:1" ht="13.8" x14ac:dyDescent="0.25">
      <c r="A5817" s="8"/>
    </row>
    <row r="5818" spans="1:1" ht="13.8" x14ac:dyDescent="0.25">
      <c r="A5818" s="8"/>
    </row>
    <row r="5819" spans="1:1" ht="13.8" x14ac:dyDescent="0.25">
      <c r="A5819" s="8"/>
    </row>
    <row r="5820" spans="1:1" ht="13.8" x14ac:dyDescent="0.25">
      <c r="A5820" s="8"/>
    </row>
    <row r="5821" spans="1:1" ht="13.8" x14ac:dyDescent="0.25">
      <c r="A5821" s="8"/>
    </row>
    <row r="5822" spans="1:1" ht="13.8" x14ac:dyDescent="0.25">
      <c r="A5822" s="8"/>
    </row>
    <row r="5823" spans="1:1" ht="13.8" x14ac:dyDescent="0.25">
      <c r="A5823" s="8"/>
    </row>
    <row r="5824" spans="1:1" ht="13.8" x14ac:dyDescent="0.25">
      <c r="A5824" s="8"/>
    </row>
    <row r="5825" spans="1:1" ht="13.8" x14ac:dyDescent="0.25">
      <c r="A5825" s="8"/>
    </row>
    <row r="5826" spans="1:1" ht="13.8" x14ac:dyDescent="0.25">
      <c r="A5826" s="8"/>
    </row>
    <row r="5827" spans="1:1" ht="13.8" x14ac:dyDescent="0.25">
      <c r="A5827" s="8"/>
    </row>
    <row r="5828" spans="1:1" ht="13.8" x14ac:dyDescent="0.25">
      <c r="A5828" s="8"/>
    </row>
    <row r="5829" spans="1:1" ht="13.8" x14ac:dyDescent="0.25">
      <c r="A5829" s="8"/>
    </row>
    <row r="5830" spans="1:1" ht="13.8" x14ac:dyDescent="0.25">
      <c r="A5830" s="8"/>
    </row>
    <row r="5831" spans="1:1" ht="13.8" x14ac:dyDescent="0.25">
      <c r="A5831" s="8"/>
    </row>
    <row r="5832" spans="1:1" ht="13.8" x14ac:dyDescent="0.25">
      <c r="A5832" s="8"/>
    </row>
    <row r="5833" spans="1:1" ht="13.8" x14ac:dyDescent="0.25">
      <c r="A5833" s="8"/>
    </row>
    <row r="5834" spans="1:1" ht="13.8" x14ac:dyDescent="0.25">
      <c r="A5834" s="8"/>
    </row>
    <row r="5835" spans="1:1" ht="13.8" x14ac:dyDescent="0.25">
      <c r="A5835" s="8"/>
    </row>
    <row r="5836" spans="1:1" ht="13.8" x14ac:dyDescent="0.25">
      <c r="A5836" s="8"/>
    </row>
    <row r="5837" spans="1:1" ht="13.8" x14ac:dyDescent="0.25">
      <c r="A5837" s="8"/>
    </row>
    <row r="5838" spans="1:1" ht="13.8" x14ac:dyDescent="0.25">
      <c r="A5838" s="8"/>
    </row>
    <row r="5839" spans="1:1" ht="13.8" x14ac:dyDescent="0.25">
      <c r="A5839" s="8"/>
    </row>
    <row r="5840" spans="1:1" ht="13.8" x14ac:dyDescent="0.25">
      <c r="A5840" s="8"/>
    </row>
    <row r="5841" spans="1:1" ht="13.8" x14ac:dyDescent="0.25">
      <c r="A5841" s="8"/>
    </row>
    <row r="5842" spans="1:1" ht="13.8" x14ac:dyDescent="0.25">
      <c r="A5842" s="8"/>
    </row>
    <row r="5843" spans="1:1" ht="13.8" x14ac:dyDescent="0.25">
      <c r="A5843" s="8"/>
    </row>
    <row r="5844" spans="1:1" ht="13.8" x14ac:dyDescent="0.25">
      <c r="A5844" s="8"/>
    </row>
    <row r="5845" spans="1:1" ht="13.8" x14ac:dyDescent="0.25">
      <c r="A5845" s="8"/>
    </row>
    <row r="5846" spans="1:1" ht="13.8" x14ac:dyDescent="0.25">
      <c r="A5846" s="8"/>
    </row>
    <row r="5847" spans="1:1" ht="13.8" x14ac:dyDescent="0.25">
      <c r="A5847" s="8"/>
    </row>
    <row r="5848" spans="1:1" ht="13.8" x14ac:dyDescent="0.25">
      <c r="A5848" s="8"/>
    </row>
    <row r="5849" spans="1:1" ht="13.8" x14ac:dyDescent="0.25">
      <c r="A5849" s="8"/>
    </row>
    <row r="5850" spans="1:1" ht="13.8" x14ac:dyDescent="0.25">
      <c r="A5850" s="8"/>
    </row>
    <row r="5851" spans="1:1" ht="13.8" x14ac:dyDescent="0.25">
      <c r="A5851" s="8"/>
    </row>
    <row r="5852" spans="1:1" ht="13.8" x14ac:dyDescent="0.25">
      <c r="A5852" s="8"/>
    </row>
    <row r="5853" spans="1:1" ht="13.8" x14ac:dyDescent="0.25">
      <c r="A5853" s="8"/>
    </row>
    <row r="5854" spans="1:1" ht="13.8" x14ac:dyDescent="0.25">
      <c r="A5854" s="8"/>
    </row>
    <row r="5855" spans="1:1" ht="13.8" x14ac:dyDescent="0.25">
      <c r="A5855" s="8"/>
    </row>
    <row r="5856" spans="1:1" ht="13.8" x14ac:dyDescent="0.25">
      <c r="A5856" s="8"/>
    </row>
    <row r="5857" spans="1:1" ht="13.8" x14ac:dyDescent="0.25">
      <c r="A5857" s="8"/>
    </row>
    <row r="5858" spans="1:1" ht="13.8" x14ac:dyDescent="0.25">
      <c r="A5858" s="8"/>
    </row>
    <row r="5859" spans="1:1" ht="13.8" x14ac:dyDescent="0.25">
      <c r="A5859" s="8"/>
    </row>
    <row r="5860" spans="1:1" ht="13.8" x14ac:dyDescent="0.25">
      <c r="A5860" s="8"/>
    </row>
    <row r="5861" spans="1:1" ht="13.8" x14ac:dyDescent="0.25">
      <c r="A5861" s="8"/>
    </row>
    <row r="5862" spans="1:1" ht="13.8" x14ac:dyDescent="0.25">
      <c r="A5862" s="8"/>
    </row>
    <row r="5863" spans="1:1" ht="13.8" x14ac:dyDescent="0.25">
      <c r="A5863" s="8"/>
    </row>
    <row r="5864" spans="1:1" ht="13.8" x14ac:dyDescent="0.25">
      <c r="A5864" s="8"/>
    </row>
    <row r="5865" spans="1:1" ht="13.8" x14ac:dyDescent="0.25">
      <c r="A5865" s="8"/>
    </row>
    <row r="5866" spans="1:1" ht="13.8" x14ac:dyDescent="0.25">
      <c r="A5866" s="8"/>
    </row>
    <row r="5867" spans="1:1" ht="13.8" x14ac:dyDescent="0.25">
      <c r="A5867" s="8"/>
    </row>
    <row r="5868" spans="1:1" ht="13.8" x14ac:dyDescent="0.25">
      <c r="A5868" s="8"/>
    </row>
    <row r="5869" spans="1:1" ht="13.8" x14ac:dyDescent="0.25">
      <c r="A5869" s="8"/>
    </row>
    <row r="5870" spans="1:1" ht="13.8" x14ac:dyDescent="0.25">
      <c r="A5870" s="8"/>
    </row>
    <row r="5871" spans="1:1" ht="13.8" x14ac:dyDescent="0.25">
      <c r="A5871" s="8"/>
    </row>
    <row r="5872" spans="1:1" ht="13.8" x14ac:dyDescent="0.25">
      <c r="A5872" s="8"/>
    </row>
    <row r="5873" spans="1:1" ht="13.8" x14ac:dyDescent="0.25">
      <c r="A5873" s="8"/>
    </row>
    <row r="5874" spans="1:1" ht="13.8" x14ac:dyDescent="0.25">
      <c r="A5874" s="8"/>
    </row>
    <row r="5875" spans="1:1" ht="13.8" x14ac:dyDescent="0.25">
      <c r="A5875" s="8"/>
    </row>
    <row r="5876" spans="1:1" ht="13.8" x14ac:dyDescent="0.25">
      <c r="A5876" s="8"/>
    </row>
    <row r="5877" spans="1:1" ht="13.8" x14ac:dyDescent="0.25">
      <c r="A5877" s="8"/>
    </row>
    <row r="5878" spans="1:1" ht="13.8" x14ac:dyDescent="0.25">
      <c r="A5878" s="8"/>
    </row>
    <row r="5879" spans="1:1" ht="13.8" x14ac:dyDescent="0.25">
      <c r="A5879" s="8"/>
    </row>
    <row r="5880" spans="1:1" ht="13.8" x14ac:dyDescent="0.25">
      <c r="A5880" s="8"/>
    </row>
    <row r="5881" spans="1:1" ht="13.8" x14ac:dyDescent="0.25">
      <c r="A5881" s="8"/>
    </row>
    <row r="5882" spans="1:1" ht="13.8" x14ac:dyDescent="0.25">
      <c r="A5882" s="8"/>
    </row>
    <row r="5883" spans="1:1" ht="13.8" x14ac:dyDescent="0.25">
      <c r="A5883" s="8"/>
    </row>
    <row r="5884" spans="1:1" ht="13.8" x14ac:dyDescent="0.25">
      <c r="A5884" s="8"/>
    </row>
    <row r="5885" spans="1:1" ht="13.8" x14ac:dyDescent="0.25">
      <c r="A5885" s="8"/>
    </row>
    <row r="5886" spans="1:1" ht="13.8" x14ac:dyDescent="0.25">
      <c r="A5886" s="8"/>
    </row>
    <row r="5887" spans="1:1" ht="13.8" x14ac:dyDescent="0.25">
      <c r="A5887" s="8"/>
    </row>
    <row r="5888" spans="1:1" ht="13.8" x14ac:dyDescent="0.25">
      <c r="A5888" s="8"/>
    </row>
    <row r="5889" spans="1:1" ht="13.8" x14ac:dyDescent="0.25">
      <c r="A5889" s="8"/>
    </row>
    <row r="5890" spans="1:1" ht="13.8" x14ac:dyDescent="0.25">
      <c r="A5890" s="8"/>
    </row>
    <row r="5891" spans="1:1" ht="13.8" x14ac:dyDescent="0.25">
      <c r="A5891" s="8"/>
    </row>
    <row r="5892" spans="1:1" ht="13.8" x14ac:dyDescent="0.25">
      <c r="A5892" s="8"/>
    </row>
    <row r="5893" spans="1:1" ht="13.8" x14ac:dyDescent="0.25">
      <c r="A5893" s="8"/>
    </row>
    <row r="5894" spans="1:1" ht="13.8" x14ac:dyDescent="0.25">
      <c r="A5894" s="8"/>
    </row>
    <row r="5895" spans="1:1" ht="13.8" x14ac:dyDescent="0.25">
      <c r="A5895" s="8"/>
    </row>
    <row r="5896" spans="1:1" ht="13.8" x14ac:dyDescent="0.25">
      <c r="A5896" s="8"/>
    </row>
    <row r="5897" spans="1:1" ht="13.8" x14ac:dyDescent="0.25">
      <c r="A5897" s="8"/>
    </row>
    <row r="5898" spans="1:1" ht="13.8" x14ac:dyDescent="0.25">
      <c r="A5898" s="8"/>
    </row>
    <row r="5899" spans="1:1" ht="13.8" x14ac:dyDescent="0.25">
      <c r="A5899" s="8"/>
    </row>
    <row r="5900" spans="1:1" ht="13.8" x14ac:dyDescent="0.25">
      <c r="A5900" s="8"/>
    </row>
    <row r="5901" spans="1:1" ht="13.8" x14ac:dyDescent="0.25">
      <c r="A5901" s="8"/>
    </row>
    <row r="5902" spans="1:1" ht="13.8" x14ac:dyDescent="0.25">
      <c r="A5902" s="8"/>
    </row>
    <row r="5903" spans="1:1" ht="13.8" x14ac:dyDescent="0.25">
      <c r="A5903" s="8"/>
    </row>
    <row r="5904" spans="1:1" ht="13.8" x14ac:dyDescent="0.25">
      <c r="A5904" s="8"/>
    </row>
    <row r="5905" spans="1:1" ht="13.8" x14ac:dyDescent="0.25">
      <c r="A5905" s="8"/>
    </row>
    <row r="5906" spans="1:1" ht="13.8" x14ac:dyDescent="0.25">
      <c r="A5906" s="8"/>
    </row>
    <row r="5907" spans="1:1" ht="13.8" x14ac:dyDescent="0.25">
      <c r="A5907" s="8"/>
    </row>
    <row r="5908" spans="1:1" ht="13.8" x14ac:dyDescent="0.25">
      <c r="A5908" s="8"/>
    </row>
    <row r="5909" spans="1:1" ht="13.8" x14ac:dyDescent="0.25">
      <c r="A5909" s="8"/>
    </row>
    <row r="5910" spans="1:1" ht="13.8" x14ac:dyDescent="0.25">
      <c r="A5910" s="8"/>
    </row>
    <row r="5911" spans="1:1" ht="13.8" x14ac:dyDescent="0.25">
      <c r="A5911" s="8"/>
    </row>
    <row r="5912" spans="1:1" ht="13.8" x14ac:dyDescent="0.25">
      <c r="A5912" s="8"/>
    </row>
    <row r="5913" spans="1:1" ht="13.8" x14ac:dyDescent="0.25">
      <c r="A5913" s="8"/>
    </row>
    <row r="5914" spans="1:1" ht="13.8" x14ac:dyDescent="0.25">
      <c r="A5914" s="8"/>
    </row>
    <row r="5915" spans="1:1" ht="13.8" x14ac:dyDescent="0.25">
      <c r="A5915" s="8"/>
    </row>
    <row r="5916" spans="1:1" ht="13.8" x14ac:dyDescent="0.25">
      <c r="A5916" s="8"/>
    </row>
    <row r="5917" spans="1:1" ht="13.8" x14ac:dyDescent="0.25">
      <c r="A5917" s="8"/>
    </row>
    <row r="5918" spans="1:1" ht="13.8" x14ac:dyDescent="0.25">
      <c r="A5918" s="8"/>
    </row>
    <row r="5919" spans="1:1" ht="13.8" x14ac:dyDescent="0.25">
      <c r="A5919" s="8"/>
    </row>
    <row r="5920" spans="1:1" ht="13.8" x14ac:dyDescent="0.25">
      <c r="A5920" s="8"/>
    </row>
    <row r="5921" spans="1:1" ht="13.8" x14ac:dyDescent="0.25">
      <c r="A5921" s="8"/>
    </row>
    <row r="5922" spans="1:1" ht="13.8" x14ac:dyDescent="0.25">
      <c r="A5922" s="8"/>
    </row>
    <row r="5923" spans="1:1" ht="13.8" x14ac:dyDescent="0.25">
      <c r="A5923" s="8"/>
    </row>
    <row r="5924" spans="1:1" ht="13.8" x14ac:dyDescent="0.25">
      <c r="A5924" s="8"/>
    </row>
    <row r="5925" spans="1:1" ht="13.8" x14ac:dyDescent="0.25">
      <c r="A5925" s="8"/>
    </row>
    <row r="5926" spans="1:1" ht="13.8" x14ac:dyDescent="0.25">
      <c r="A5926" s="8"/>
    </row>
    <row r="5927" spans="1:1" ht="13.8" x14ac:dyDescent="0.25">
      <c r="A5927" s="8"/>
    </row>
    <row r="5928" spans="1:1" ht="13.8" x14ac:dyDescent="0.25">
      <c r="A5928" s="8"/>
    </row>
    <row r="5929" spans="1:1" ht="13.8" x14ac:dyDescent="0.25">
      <c r="A5929" s="8"/>
    </row>
    <row r="5930" spans="1:1" ht="13.8" x14ac:dyDescent="0.25">
      <c r="A5930" s="8"/>
    </row>
    <row r="5931" spans="1:1" ht="13.8" x14ac:dyDescent="0.25">
      <c r="A5931" s="8"/>
    </row>
    <row r="5932" spans="1:1" ht="13.8" x14ac:dyDescent="0.25">
      <c r="A5932" s="8"/>
    </row>
    <row r="5933" spans="1:1" ht="13.8" x14ac:dyDescent="0.25">
      <c r="A5933" s="8"/>
    </row>
    <row r="5934" spans="1:1" ht="13.8" x14ac:dyDescent="0.25">
      <c r="A5934" s="8"/>
    </row>
    <row r="5935" spans="1:1" ht="13.8" x14ac:dyDescent="0.25">
      <c r="A5935" s="8"/>
    </row>
    <row r="5936" spans="1:1" ht="13.8" x14ac:dyDescent="0.25">
      <c r="A5936" s="8"/>
    </row>
    <row r="5937" spans="1:1" ht="13.8" x14ac:dyDescent="0.25">
      <c r="A5937" s="8"/>
    </row>
    <row r="5938" spans="1:1" ht="13.8" x14ac:dyDescent="0.25">
      <c r="A5938" s="8"/>
    </row>
    <row r="5939" spans="1:1" ht="13.8" x14ac:dyDescent="0.25">
      <c r="A5939" s="8"/>
    </row>
    <row r="5940" spans="1:1" ht="13.8" x14ac:dyDescent="0.25">
      <c r="A5940" s="8"/>
    </row>
    <row r="5941" spans="1:1" ht="13.8" x14ac:dyDescent="0.25">
      <c r="A5941" s="8"/>
    </row>
    <row r="5942" spans="1:1" ht="13.8" x14ac:dyDescent="0.25">
      <c r="A5942" s="8"/>
    </row>
    <row r="5943" spans="1:1" ht="13.8" x14ac:dyDescent="0.25">
      <c r="A5943" s="8"/>
    </row>
    <row r="5944" spans="1:1" ht="13.8" x14ac:dyDescent="0.25">
      <c r="A5944" s="8"/>
    </row>
    <row r="5945" spans="1:1" ht="13.8" x14ac:dyDescent="0.25">
      <c r="A5945" s="8"/>
    </row>
    <row r="5946" spans="1:1" ht="13.8" x14ac:dyDescent="0.25">
      <c r="A5946" s="8"/>
    </row>
    <row r="5947" spans="1:1" ht="13.8" x14ac:dyDescent="0.25">
      <c r="A5947" s="8"/>
    </row>
    <row r="5948" spans="1:1" ht="13.8" x14ac:dyDescent="0.25">
      <c r="A5948" s="8"/>
    </row>
    <row r="5949" spans="1:1" ht="13.8" x14ac:dyDescent="0.25">
      <c r="A5949" s="8"/>
    </row>
    <row r="5950" spans="1:1" ht="13.8" x14ac:dyDescent="0.25">
      <c r="A5950" s="8"/>
    </row>
    <row r="5951" spans="1:1" ht="13.8" x14ac:dyDescent="0.25">
      <c r="A5951" s="8"/>
    </row>
    <row r="5952" spans="1:1" ht="13.8" x14ac:dyDescent="0.25">
      <c r="A5952" s="8"/>
    </row>
    <row r="5953" spans="1:1" ht="13.8" x14ac:dyDescent="0.25">
      <c r="A5953" s="8"/>
    </row>
    <row r="5954" spans="1:1" ht="13.8" x14ac:dyDescent="0.25">
      <c r="A5954" s="8"/>
    </row>
    <row r="5955" spans="1:1" ht="13.8" x14ac:dyDescent="0.25">
      <c r="A5955" s="8"/>
    </row>
    <row r="5956" spans="1:1" ht="13.8" x14ac:dyDescent="0.25">
      <c r="A5956" s="8"/>
    </row>
    <row r="5957" spans="1:1" ht="13.8" x14ac:dyDescent="0.25">
      <c r="A5957" s="8"/>
    </row>
    <row r="5958" spans="1:1" ht="13.8" x14ac:dyDescent="0.25">
      <c r="A5958" s="8"/>
    </row>
    <row r="5959" spans="1:1" ht="13.8" x14ac:dyDescent="0.25">
      <c r="A5959" s="8"/>
    </row>
    <row r="5960" spans="1:1" ht="13.8" x14ac:dyDescent="0.25">
      <c r="A5960" s="8"/>
    </row>
    <row r="5961" spans="1:1" ht="13.8" x14ac:dyDescent="0.25">
      <c r="A5961" s="8"/>
    </row>
    <row r="5962" spans="1:1" ht="13.8" x14ac:dyDescent="0.25">
      <c r="A5962" s="8"/>
    </row>
    <row r="5963" spans="1:1" ht="13.8" x14ac:dyDescent="0.25">
      <c r="A5963" s="8"/>
    </row>
    <row r="5964" spans="1:1" ht="13.8" x14ac:dyDescent="0.25">
      <c r="A5964" s="8"/>
    </row>
    <row r="5965" spans="1:1" ht="13.8" x14ac:dyDescent="0.25">
      <c r="A5965" s="8"/>
    </row>
    <row r="5966" spans="1:1" ht="13.8" x14ac:dyDescent="0.25">
      <c r="A5966" s="8"/>
    </row>
    <row r="5967" spans="1:1" ht="13.8" x14ac:dyDescent="0.25">
      <c r="A5967" s="8"/>
    </row>
    <row r="5968" spans="1:1" ht="13.8" x14ac:dyDescent="0.25">
      <c r="A5968" s="8"/>
    </row>
    <row r="5969" spans="1:1" ht="13.8" x14ac:dyDescent="0.25">
      <c r="A5969" s="8"/>
    </row>
    <row r="5970" spans="1:1" ht="13.8" x14ac:dyDescent="0.25">
      <c r="A5970" s="8"/>
    </row>
    <row r="5971" spans="1:1" ht="13.8" x14ac:dyDescent="0.25">
      <c r="A5971" s="8"/>
    </row>
    <row r="5972" spans="1:1" ht="13.8" x14ac:dyDescent="0.25">
      <c r="A5972" s="8"/>
    </row>
    <row r="5973" spans="1:1" ht="13.8" x14ac:dyDescent="0.25">
      <c r="A5973" s="8"/>
    </row>
    <row r="5974" spans="1:1" ht="13.8" x14ac:dyDescent="0.25">
      <c r="A5974" s="8"/>
    </row>
    <row r="5975" spans="1:1" ht="13.8" x14ac:dyDescent="0.25">
      <c r="A5975" s="8"/>
    </row>
    <row r="5976" spans="1:1" ht="13.8" x14ac:dyDescent="0.25">
      <c r="A5976" s="8"/>
    </row>
    <row r="5977" spans="1:1" ht="13.8" x14ac:dyDescent="0.25">
      <c r="A5977" s="8"/>
    </row>
    <row r="5978" spans="1:1" ht="13.8" x14ac:dyDescent="0.25">
      <c r="A5978" s="8"/>
    </row>
    <row r="5979" spans="1:1" ht="13.8" x14ac:dyDescent="0.25">
      <c r="A5979" s="8"/>
    </row>
    <row r="5980" spans="1:1" ht="13.8" x14ac:dyDescent="0.25">
      <c r="A5980" s="8"/>
    </row>
    <row r="5981" spans="1:1" ht="13.8" x14ac:dyDescent="0.25">
      <c r="A5981" s="8"/>
    </row>
    <row r="5982" spans="1:1" ht="13.8" x14ac:dyDescent="0.25">
      <c r="A5982" s="8"/>
    </row>
    <row r="5983" spans="1:1" ht="13.8" x14ac:dyDescent="0.25">
      <c r="A5983" s="8"/>
    </row>
    <row r="5984" spans="1:1" ht="13.8" x14ac:dyDescent="0.25">
      <c r="A5984" s="8"/>
    </row>
    <row r="5985" spans="1:1" ht="13.8" x14ac:dyDescent="0.25">
      <c r="A5985" s="8"/>
    </row>
    <row r="5986" spans="1:1" ht="13.8" x14ac:dyDescent="0.25">
      <c r="A5986" s="8"/>
    </row>
    <row r="5987" spans="1:1" ht="13.8" x14ac:dyDescent="0.25">
      <c r="A5987" s="8"/>
    </row>
    <row r="5988" spans="1:1" ht="13.8" x14ac:dyDescent="0.25">
      <c r="A5988" s="8"/>
    </row>
    <row r="5989" spans="1:1" ht="13.8" x14ac:dyDescent="0.25">
      <c r="A5989" s="8"/>
    </row>
    <row r="5990" spans="1:1" ht="13.8" x14ac:dyDescent="0.25">
      <c r="A5990" s="8"/>
    </row>
    <row r="5991" spans="1:1" ht="13.8" x14ac:dyDescent="0.25">
      <c r="A5991" s="8"/>
    </row>
    <row r="5992" spans="1:1" ht="13.8" x14ac:dyDescent="0.25">
      <c r="A5992" s="8"/>
    </row>
    <row r="5993" spans="1:1" ht="13.8" x14ac:dyDescent="0.25">
      <c r="A5993" s="8"/>
    </row>
    <row r="5994" spans="1:1" ht="13.8" x14ac:dyDescent="0.25">
      <c r="A5994" s="8"/>
    </row>
    <row r="5995" spans="1:1" ht="13.8" x14ac:dyDescent="0.25">
      <c r="A5995" s="8"/>
    </row>
    <row r="5996" spans="1:1" ht="13.8" x14ac:dyDescent="0.25">
      <c r="A5996" s="8"/>
    </row>
    <row r="5997" spans="1:1" ht="13.8" x14ac:dyDescent="0.25">
      <c r="A5997" s="8"/>
    </row>
    <row r="5998" spans="1:1" ht="13.8" x14ac:dyDescent="0.25">
      <c r="A5998" s="8"/>
    </row>
    <row r="5999" spans="1:1" ht="13.8" x14ac:dyDescent="0.25">
      <c r="A5999" s="8"/>
    </row>
    <row r="6000" spans="1:1" ht="13.8" x14ac:dyDescent="0.25">
      <c r="A6000" s="8"/>
    </row>
  </sheetData>
  <conditionalFormatting sqref="A2:CA6000">
    <cfRule type="expression" dxfId="4" priority="1">
      <formula>$A:$A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CA6000"/>
  <sheetViews>
    <sheetView workbookViewId="0">
      <selection sqref="A1:XFD1048576"/>
    </sheetView>
  </sheetViews>
  <sheetFormatPr defaultColWidth="12.5546875" defaultRowHeight="15.75" customHeight="1" x14ac:dyDescent="0.25"/>
  <cols>
    <col min="1" max="1" width="6.88671875" customWidth="1"/>
    <col min="2" max="2" width="15.44140625" customWidth="1"/>
    <col min="3" max="3" width="24" customWidth="1"/>
    <col min="4" max="4" width="33.44140625" customWidth="1"/>
  </cols>
  <sheetData>
    <row r="1" spans="1:79" ht="15.75" customHeight="1" x14ac:dyDescent="0.25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  <c r="R1" s="3" t="s">
        <v>18</v>
      </c>
      <c r="S1" s="3" t="s">
        <v>19</v>
      </c>
      <c r="T1" s="3" t="s">
        <v>20</v>
      </c>
      <c r="U1" s="3" t="s">
        <v>21</v>
      </c>
      <c r="V1" s="3" t="s">
        <v>22</v>
      </c>
      <c r="W1" s="3" t="s">
        <v>23</v>
      </c>
      <c r="X1" s="3" t="s">
        <v>24</v>
      </c>
      <c r="Y1" s="3" t="s">
        <v>4</v>
      </c>
      <c r="Z1" s="3" t="s">
        <v>5</v>
      </c>
      <c r="AA1" s="3" t="s">
        <v>6</v>
      </c>
      <c r="AB1" s="3" t="s">
        <v>7</v>
      </c>
      <c r="AC1" s="3" t="s">
        <v>8</v>
      </c>
      <c r="AD1" s="3" t="s">
        <v>9</v>
      </c>
      <c r="AE1" s="3" t="s">
        <v>10</v>
      </c>
      <c r="AF1" s="3" t="s">
        <v>11</v>
      </c>
      <c r="AG1" s="3" t="s">
        <v>12</v>
      </c>
      <c r="AH1" s="3" t="s">
        <v>13</v>
      </c>
      <c r="AI1" s="3" t="s">
        <v>14</v>
      </c>
      <c r="AJ1" s="3" t="s">
        <v>15</v>
      </c>
      <c r="AK1" s="3" t="s">
        <v>16</v>
      </c>
      <c r="AL1" s="3" t="s">
        <v>17</v>
      </c>
      <c r="AM1" s="3" t="s">
        <v>18</v>
      </c>
      <c r="AN1" s="3" t="s">
        <v>19</v>
      </c>
      <c r="AO1" s="3" t="s">
        <v>20</v>
      </c>
      <c r="AP1" s="3" t="s">
        <v>21</v>
      </c>
      <c r="AQ1" s="3" t="s">
        <v>22</v>
      </c>
      <c r="AR1" s="3" t="s">
        <v>23</v>
      </c>
      <c r="AS1" s="3" t="s">
        <v>24</v>
      </c>
      <c r="AT1" s="3"/>
      <c r="AU1" s="3"/>
      <c r="AV1" s="3"/>
      <c r="AW1" s="3"/>
      <c r="AX1" s="3"/>
      <c r="AY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</row>
    <row r="2" spans="1:79" ht="15.75" customHeight="1" x14ac:dyDescent="0.25">
      <c r="A2" s="8" t="s">
        <v>3711</v>
      </c>
      <c r="B2" s="3" t="s">
        <v>357</v>
      </c>
      <c r="C2" s="3" t="s">
        <v>358</v>
      </c>
      <c r="D2" s="3" t="s">
        <v>359</v>
      </c>
      <c r="E2" s="3" t="s">
        <v>360</v>
      </c>
      <c r="F2" s="3" t="s">
        <v>3748</v>
      </c>
      <c r="G2" s="3" t="s">
        <v>74</v>
      </c>
      <c r="H2" s="3" t="s">
        <v>3749</v>
      </c>
      <c r="I2" s="3" t="s">
        <v>3750</v>
      </c>
      <c r="J2" s="3" t="s">
        <v>357</v>
      </c>
      <c r="K2" s="3" t="s">
        <v>43</v>
      </c>
      <c r="L2" s="3" t="s">
        <v>31</v>
      </c>
      <c r="M2" s="3" t="s">
        <v>361</v>
      </c>
      <c r="N2" s="3" t="s">
        <v>248</v>
      </c>
      <c r="O2" s="3" t="s">
        <v>362</v>
      </c>
      <c r="P2" s="3" t="s">
        <v>3751</v>
      </c>
      <c r="Q2" s="3" t="s">
        <v>231</v>
      </c>
      <c r="R2" s="3" t="s">
        <v>360</v>
      </c>
      <c r="S2" s="3" t="s">
        <v>363</v>
      </c>
      <c r="T2" s="3" t="s">
        <v>3752</v>
      </c>
      <c r="U2" s="3" t="s">
        <v>3752</v>
      </c>
      <c r="V2" s="3" t="s">
        <v>3753</v>
      </c>
      <c r="W2" s="3" t="s">
        <v>106</v>
      </c>
      <c r="X2" s="3" t="s">
        <v>364</v>
      </c>
      <c r="Y2" s="3" t="s">
        <v>3703</v>
      </c>
      <c r="Z2" s="3" t="s">
        <v>3703</v>
      </c>
      <c r="AA2" s="3" t="s">
        <v>3703</v>
      </c>
      <c r="AB2" s="3" t="s">
        <v>3703</v>
      </c>
      <c r="AC2" s="3" t="s">
        <v>3703</v>
      </c>
      <c r="AD2" s="3" t="s">
        <v>3703</v>
      </c>
      <c r="AE2" s="3" t="s">
        <v>3703</v>
      </c>
      <c r="AF2" s="3" t="s">
        <v>3703</v>
      </c>
      <c r="AG2" s="3" t="s">
        <v>3703</v>
      </c>
      <c r="AH2" s="3" t="s">
        <v>3703</v>
      </c>
      <c r="AI2" s="3" t="s">
        <v>3703</v>
      </c>
      <c r="AJ2" s="3" t="s">
        <v>3703</v>
      </c>
      <c r="AK2" s="3" t="s">
        <v>3703</v>
      </c>
      <c r="AL2" s="3" t="s">
        <v>3703</v>
      </c>
      <c r="AM2" s="3" t="s">
        <v>3703</v>
      </c>
      <c r="AN2" s="3" t="s">
        <v>3703</v>
      </c>
      <c r="AO2" s="3" t="s">
        <v>3703</v>
      </c>
      <c r="AP2" s="3" t="s">
        <v>3703</v>
      </c>
      <c r="AQ2" s="3" t="s">
        <v>3703</v>
      </c>
      <c r="AR2" s="3" t="s">
        <v>3703</v>
      </c>
      <c r="AS2" s="3" t="s">
        <v>3703</v>
      </c>
    </row>
    <row r="3" spans="1:79" ht="15.75" customHeight="1" x14ac:dyDescent="0.25">
      <c r="A3" s="8" t="s">
        <v>3711</v>
      </c>
      <c r="B3" s="3" t="s">
        <v>225</v>
      </c>
      <c r="C3" s="3" t="s">
        <v>358</v>
      </c>
      <c r="D3" s="3" t="s">
        <v>402</v>
      </c>
      <c r="E3" s="3" t="s">
        <v>403</v>
      </c>
      <c r="F3" s="3" t="s">
        <v>3754</v>
      </c>
      <c r="G3" s="3" t="s">
        <v>161</v>
      </c>
      <c r="H3" s="3" t="s">
        <v>3755</v>
      </c>
      <c r="I3" s="3" t="s">
        <v>3756</v>
      </c>
      <c r="J3" s="3" t="s">
        <v>404</v>
      </c>
      <c r="K3" s="3" t="s">
        <v>43</v>
      </c>
      <c r="L3" s="3" t="s">
        <v>76</v>
      </c>
      <c r="M3" s="3" t="s">
        <v>405</v>
      </c>
      <c r="N3" s="3" t="s">
        <v>229</v>
      </c>
      <c r="O3" s="3" t="s">
        <v>406</v>
      </c>
      <c r="P3" s="3" t="s">
        <v>3757</v>
      </c>
      <c r="Q3" s="3" t="s">
        <v>231</v>
      </c>
      <c r="R3" s="3" t="s">
        <v>227</v>
      </c>
      <c r="S3" s="3" t="s">
        <v>225</v>
      </c>
      <c r="T3" s="3" t="s">
        <v>407</v>
      </c>
      <c r="U3" s="3" t="s">
        <v>408</v>
      </c>
      <c r="V3" s="3" t="s">
        <v>409</v>
      </c>
      <c r="W3" s="3" t="s">
        <v>37</v>
      </c>
      <c r="X3" s="3" t="s">
        <v>410</v>
      </c>
      <c r="Y3" s="3" t="s">
        <v>3703</v>
      </c>
      <c r="Z3" s="3" t="s">
        <v>3703</v>
      </c>
      <c r="AA3" s="3" t="s">
        <v>3703</v>
      </c>
      <c r="AB3" s="3" t="s">
        <v>3703</v>
      </c>
      <c r="AC3" s="3" t="s">
        <v>3703</v>
      </c>
      <c r="AD3" s="3" t="s">
        <v>3703</v>
      </c>
      <c r="AE3" s="3" t="s">
        <v>3703</v>
      </c>
      <c r="AF3" s="3" t="s">
        <v>3703</v>
      </c>
      <c r="AG3" s="3" t="s">
        <v>3703</v>
      </c>
      <c r="AH3" s="3" t="s">
        <v>3703</v>
      </c>
      <c r="AI3" s="3" t="s">
        <v>3703</v>
      </c>
      <c r="AJ3" s="3" t="s">
        <v>3703</v>
      </c>
      <c r="AK3" s="3" t="s">
        <v>3703</v>
      </c>
      <c r="AL3" s="3" t="s">
        <v>3703</v>
      </c>
      <c r="AM3" s="3" t="s">
        <v>3703</v>
      </c>
      <c r="AN3" s="3" t="s">
        <v>3703</v>
      </c>
      <c r="AO3" s="3" t="s">
        <v>3703</v>
      </c>
      <c r="AP3" s="3" t="s">
        <v>3703</v>
      </c>
      <c r="AQ3" s="3" t="s">
        <v>3703</v>
      </c>
      <c r="AR3" s="3" t="s">
        <v>3703</v>
      </c>
      <c r="AS3" s="3" t="s">
        <v>3703</v>
      </c>
    </row>
    <row r="4" spans="1:79" ht="15.75" customHeight="1" x14ac:dyDescent="0.25">
      <c r="A4" s="8" t="s">
        <v>3711</v>
      </c>
      <c r="B4" s="3" t="s">
        <v>316</v>
      </c>
      <c r="C4" s="3" t="s">
        <v>358</v>
      </c>
      <c r="D4" s="3" t="s">
        <v>505</v>
      </c>
      <c r="E4" s="3" t="s">
        <v>553</v>
      </c>
      <c r="F4" s="3" t="s">
        <v>3758</v>
      </c>
      <c r="G4" s="3" t="s">
        <v>318</v>
      </c>
      <c r="H4" s="3" t="s">
        <v>3759</v>
      </c>
      <c r="I4" s="3" t="s">
        <v>3760</v>
      </c>
      <c r="J4" s="3" t="s">
        <v>316</v>
      </c>
      <c r="K4" s="3" t="s">
        <v>30</v>
      </c>
      <c r="L4" s="3" t="s">
        <v>76</v>
      </c>
      <c r="M4" s="3" t="s">
        <v>285</v>
      </c>
      <c r="N4" s="3" t="s">
        <v>92</v>
      </c>
      <c r="O4" s="3" t="s">
        <v>554</v>
      </c>
      <c r="P4" s="3" t="s">
        <v>3761</v>
      </c>
      <c r="Q4" s="3" t="s">
        <v>555</v>
      </c>
      <c r="R4" s="3" t="s">
        <v>553</v>
      </c>
      <c r="S4" s="3" t="s">
        <v>556</v>
      </c>
      <c r="T4" s="3" t="s">
        <v>3762</v>
      </c>
      <c r="U4" s="3" t="s">
        <v>3762</v>
      </c>
      <c r="V4" s="3" t="s">
        <v>3703</v>
      </c>
      <c r="W4" s="3" t="s">
        <v>115</v>
      </c>
      <c r="X4" s="3" t="s">
        <v>3763</v>
      </c>
      <c r="Y4" s="3" t="s">
        <v>3703</v>
      </c>
      <c r="Z4" s="3" t="s">
        <v>3703</v>
      </c>
      <c r="AA4" s="3" t="s">
        <v>3703</v>
      </c>
      <c r="AB4" s="3" t="s">
        <v>3703</v>
      </c>
      <c r="AC4" s="3" t="s">
        <v>3703</v>
      </c>
      <c r="AD4" s="3" t="s">
        <v>3703</v>
      </c>
      <c r="AE4" s="3" t="s">
        <v>3703</v>
      </c>
      <c r="AF4" s="3" t="s">
        <v>3703</v>
      </c>
      <c r="AG4" s="3" t="s">
        <v>3703</v>
      </c>
      <c r="AH4" s="3" t="s">
        <v>3703</v>
      </c>
      <c r="AI4" s="3" t="s">
        <v>3703</v>
      </c>
      <c r="AJ4" s="3" t="s">
        <v>3703</v>
      </c>
      <c r="AK4" s="3" t="s">
        <v>3703</v>
      </c>
      <c r="AL4" s="3" t="s">
        <v>3703</v>
      </c>
      <c r="AM4" s="3" t="s">
        <v>3703</v>
      </c>
      <c r="AN4" s="3" t="s">
        <v>3703</v>
      </c>
      <c r="AO4" s="3" t="s">
        <v>3703</v>
      </c>
      <c r="AP4" s="3" t="s">
        <v>3703</v>
      </c>
      <c r="AQ4" s="3" t="s">
        <v>3703</v>
      </c>
      <c r="AR4" s="3" t="s">
        <v>3703</v>
      </c>
      <c r="AS4" s="3" t="s">
        <v>3703</v>
      </c>
    </row>
    <row r="5" spans="1:79" ht="15.75" customHeight="1" x14ac:dyDescent="0.25">
      <c r="A5" s="8" t="s">
        <v>3711</v>
      </c>
      <c r="B5" s="3" t="s">
        <v>660</v>
      </c>
      <c r="C5" s="3" t="s">
        <v>358</v>
      </c>
      <c r="D5" s="3" t="s">
        <v>661</v>
      </c>
      <c r="E5" s="3" t="s">
        <v>662</v>
      </c>
      <c r="F5" s="3" t="s">
        <v>3764</v>
      </c>
      <c r="G5" s="3" t="s">
        <v>74</v>
      </c>
      <c r="H5" s="3" t="s">
        <v>3765</v>
      </c>
      <c r="I5" s="3" t="s">
        <v>3766</v>
      </c>
      <c r="J5" s="3" t="s">
        <v>660</v>
      </c>
      <c r="K5" s="3" t="s">
        <v>43</v>
      </c>
      <c r="L5" s="3" t="s">
        <v>663</v>
      </c>
      <c r="M5" s="3" t="s">
        <v>44</v>
      </c>
      <c r="N5" s="3" t="s">
        <v>664</v>
      </c>
      <c r="O5" s="3" t="s">
        <v>665</v>
      </c>
      <c r="P5" s="3" t="s">
        <v>666</v>
      </c>
      <c r="Q5" s="3" t="s">
        <v>667</v>
      </c>
      <c r="R5" s="3" t="s">
        <v>662</v>
      </c>
      <c r="S5" s="3" t="s">
        <v>668</v>
      </c>
      <c r="T5" s="3" t="s">
        <v>3767</v>
      </c>
      <c r="U5" s="3" t="s">
        <v>3768</v>
      </c>
      <c r="V5" s="3" t="s">
        <v>3703</v>
      </c>
      <c r="W5" s="3" t="s">
        <v>669</v>
      </c>
      <c r="X5" s="3" t="s">
        <v>670</v>
      </c>
      <c r="Y5" s="3" t="s">
        <v>3703</v>
      </c>
      <c r="Z5" s="3" t="s">
        <v>3703</v>
      </c>
      <c r="AA5" s="3" t="s">
        <v>3703</v>
      </c>
      <c r="AB5" s="3" t="s">
        <v>3703</v>
      </c>
      <c r="AC5" s="3" t="s">
        <v>3703</v>
      </c>
      <c r="AD5" s="3" t="s">
        <v>3703</v>
      </c>
      <c r="AE5" s="3" t="s">
        <v>3703</v>
      </c>
      <c r="AF5" s="3" t="s">
        <v>3703</v>
      </c>
      <c r="AG5" s="3" t="s">
        <v>3703</v>
      </c>
      <c r="AH5" s="3" t="s">
        <v>3703</v>
      </c>
      <c r="AI5" s="3" t="s">
        <v>3703</v>
      </c>
      <c r="AJ5" s="3" t="s">
        <v>3703</v>
      </c>
      <c r="AK5" s="3" t="s">
        <v>3703</v>
      </c>
      <c r="AL5" s="3" t="s">
        <v>3703</v>
      </c>
      <c r="AM5" s="3" t="s">
        <v>3703</v>
      </c>
      <c r="AN5" s="3" t="s">
        <v>3703</v>
      </c>
      <c r="AO5" s="3" t="s">
        <v>3703</v>
      </c>
      <c r="AP5" s="3" t="s">
        <v>3703</v>
      </c>
      <c r="AQ5" s="3" t="s">
        <v>3703</v>
      </c>
      <c r="AR5" s="3" t="s">
        <v>3703</v>
      </c>
      <c r="AS5" s="3" t="s">
        <v>3703</v>
      </c>
    </row>
    <row r="6" spans="1:79" ht="15.75" customHeight="1" x14ac:dyDescent="0.25">
      <c r="A6" s="8" t="s">
        <v>3711</v>
      </c>
      <c r="B6" s="3" t="s">
        <v>711</v>
      </c>
      <c r="C6" s="3" t="s">
        <v>358</v>
      </c>
      <c r="D6" s="3" t="s">
        <v>300</v>
      </c>
      <c r="E6" s="3" t="s">
        <v>713</v>
      </c>
      <c r="F6" s="3" t="s">
        <v>3769</v>
      </c>
      <c r="G6" s="3" t="s">
        <v>318</v>
      </c>
      <c r="H6" s="3" t="s">
        <v>3770</v>
      </c>
      <c r="I6" s="3" t="s">
        <v>3771</v>
      </c>
      <c r="J6" s="3" t="s">
        <v>711</v>
      </c>
      <c r="K6" s="3" t="s">
        <v>43</v>
      </c>
      <c r="L6" s="3" t="s">
        <v>311</v>
      </c>
      <c r="M6" s="3" t="s">
        <v>384</v>
      </c>
      <c r="N6" s="3" t="s">
        <v>720</v>
      </c>
      <c r="O6" s="3" t="s">
        <v>721</v>
      </c>
      <c r="P6" s="3" t="s">
        <v>3772</v>
      </c>
      <c r="Q6" s="3" t="s">
        <v>715</v>
      </c>
      <c r="R6" s="3" t="s">
        <v>716</v>
      </c>
      <c r="S6" s="3" t="s">
        <v>711</v>
      </c>
      <c r="T6" s="3" t="s">
        <v>3773</v>
      </c>
      <c r="U6" s="3" t="s">
        <v>3773</v>
      </c>
      <c r="V6" s="3" t="s">
        <v>3774</v>
      </c>
      <c r="W6" s="3" t="s">
        <v>717</v>
      </c>
      <c r="X6" s="3" t="s">
        <v>722</v>
      </c>
      <c r="Y6" s="3" t="s">
        <v>3703</v>
      </c>
      <c r="Z6" s="3" t="s">
        <v>3703</v>
      </c>
      <c r="AA6" s="3" t="s">
        <v>3703</v>
      </c>
      <c r="AB6" s="3" t="s">
        <v>3703</v>
      </c>
      <c r="AC6" s="3" t="s">
        <v>3703</v>
      </c>
      <c r="AD6" s="3" t="s">
        <v>3703</v>
      </c>
      <c r="AE6" s="3" t="s">
        <v>3703</v>
      </c>
      <c r="AF6" s="3" t="s">
        <v>3703</v>
      </c>
      <c r="AG6" s="3" t="s">
        <v>3703</v>
      </c>
      <c r="AH6" s="3" t="s">
        <v>3703</v>
      </c>
      <c r="AI6" s="3" t="s">
        <v>3703</v>
      </c>
      <c r="AJ6" s="3" t="s">
        <v>3703</v>
      </c>
      <c r="AK6" s="3" t="s">
        <v>3703</v>
      </c>
      <c r="AL6" s="3" t="s">
        <v>3703</v>
      </c>
      <c r="AM6" s="3" t="s">
        <v>3703</v>
      </c>
      <c r="AN6" s="3" t="s">
        <v>3703</v>
      </c>
      <c r="AO6" s="3" t="s">
        <v>3703</v>
      </c>
      <c r="AP6" s="3" t="s">
        <v>3703</v>
      </c>
      <c r="AQ6" s="3" t="s">
        <v>3703</v>
      </c>
      <c r="AR6" s="3" t="s">
        <v>3703</v>
      </c>
      <c r="AS6" s="3" t="s">
        <v>3703</v>
      </c>
    </row>
    <row r="7" spans="1:79" ht="15.75" customHeight="1" x14ac:dyDescent="0.25">
      <c r="A7" s="8" t="s">
        <v>3711</v>
      </c>
      <c r="B7" s="3" t="s">
        <v>826</v>
      </c>
      <c r="C7" s="3" t="s">
        <v>358</v>
      </c>
      <c r="D7" s="3" t="s">
        <v>827</v>
      </c>
      <c r="E7" s="3" t="s">
        <v>828</v>
      </c>
      <c r="F7" s="3" t="s">
        <v>3775</v>
      </c>
      <c r="G7" s="3" t="s">
        <v>318</v>
      </c>
      <c r="H7" s="3" t="s">
        <v>3776</v>
      </c>
      <c r="I7" s="3" t="s">
        <v>3777</v>
      </c>
      <c r="J7" s="3" t="s">
        <v>826</v>
      </c>
      <c r="K7" s="3" t="s">
        <v>43</v>
      </c>
      <c r="L7" s="3" t="s">
        <v>31</v>
      </c>
      <c r="M7" s="3" t="s">
        <v>44</v>
      </c>
      <c r="N7" s="3" t="s">
        <v>829</v>
      </c>
      <c r="O7" s="3" t="s">
        <v>830</v>
      </c>
      <c r="P7" s="3" t="s">
        <v>3778</v>
      </c>
      <c r="Q7" s="3" t="s">
        <v>831</v>
      </c>
      <c r="R7" s="3" t="s">
        <v>832</v>
      </c>
      <c r="S7" s="3" t="s">
        <v>826</v>
      </c>
      <c r="T7" s="3" t="s">
        <v>3779</v>
      </c>
      <c r="U7" s="3" t="s">
        <v>3779</v>
      </c>
      <c r="V7" s="3" t="s">
        <v>3780</v>
      </c>
      <c r="W7" s="3" t="s">
        <v>448</v>
      </c>
      <c r="X7" s="3" t="s">
        <v>3781</v>
      </c>
      <c r="Y7" s="3" t="s">
        <v>3703</v>
      </c>
      <c r="Z7" s="3" t="s">
        <v>3703</v>
      </c>
      <c r="AA7" s="3" t="s">
        <v>3703</v>
      </c>
      <c r="AB7" s="3" t="s">
        <v>3703</v>
      </c>
      <c r="AC7" s="3" t="s">
        <v>3703</v>
      </c>
      <c r="AD7" s="3" t="s">
        <v>3703</v>
      </c>
      <c r="AE7" s="3" t="s">
        <v>3703</v>
      </c>
      <c r="AF7" s="3" t="s">
        <v>3703</v>
      </c>
      <c r="AG7" s="3" t="s">
        <v>3703</v>
      </c>
      <c r="AH7" s="3" t="s">
        <v>3703</v>
      </c>
      <c r="AI7" s="3" t="s">
        <v>3703</v>
      </c>
      <c r="AJ7" s="3" t="s">
        <v>3703</v>
      </c>
      <c r="AK7" s="3" t="s">
        <v>3703</v>
      </c>
      <c r="AL7" s="3" t="s">
        <v>3703</v>
      </c>
      <c r="AM7" s="3" t="s">
        <v>3703</v>
      </c>
      <c r="AN7" s="3" t="s">
        <v>3703</v>
      </c>
      <c r="AO7" s="3" t="s">
        <v>3703</v>
      </c>
      <c r="AP7" s="3" t="s">
        <v>3703</v>
      </c>
      <c r="AQ7" s="3" t="s">
        <v>3703</v>
      </c>
      <c r="AR7" s="3" t="s">
        <v>3703</v>
      </c>
      <c r="AS7" s="3" t="s">
        <v>3703</v>
      </c>
    </row>
    <row r="8" spans="1:79" ht="15.75" customHeight="1" x14ac:dyDescent="0.25">
      <c r="A8" s="8" t="s">
        <v>3711</v>
      </c>
      <c r="B8" s="3" t="s">
        <v>873</v>
      </c>
      <c r="C8" s="3" t="s">
        <v>358</v>
      </c>
      <c r="D8" s="3" t="s">
        <v>874</v>
      </c>
      <c r="E8" s="3" t="s">
        <v>875</v>
      </c>
      <c r="F8" s="3" t="s">
        <v>3782</v>
      </c>
      <c r="G8" s="3" t="s">
        <v>42</v>
      </c>
      <c r="H8" s="3" t="s">
        <v>3783</v>
      </c>
      <c r="I8" s="3" t="s">
        <v>3784</v>
      </c>
      <c r="J8" s="3" t="s">
        <v>873</v>
      </c>
      <c r="K8" s="3" t="s">
        <v>43</v>
      </c>
      <c r="L8" s="3" t="s">
        <v>31</v>
      </c>
      <c r="M8" s="3" t="s">
        <v>285</v>
      </c>
      <c r="N8" s="3" t="s">
        <v>45</v>
      </c>
      <c r="O8" s="3" t="s">
        <v>876</v>
      </c>
      <c r="P8" s="3" t="s">
        <v>3715</v>
      </c>
      <c r="Q8" s="3" t="s">
        <v>3703</v>
      </c>
      <c r="R8" s="3" t="s">
        <v>3703</v>
      </c>
      <c r="S8" s="3" t="s">
        <v>3703</v>
      </c>
      <c r="T8" s="3" t="s">
        <v>3703</v>
      </c>
      <c r="U8" s="3" t="s">
        <v>3785</v>
      </c>
      <c r="V8" s="3" t="s">
        <v>3703</v>
      </c>
      <c r="W8" s="3" t="s">
        <v>877</v>
      </c>
      <c r="X8" s="3" t="s">
        <v>3786</v>
      </c>
      <c r="Y8" s="3" t="s">
        <v>3703</v>
      </c>
      <c r="Z8" s="3" t="s">
        <v>3703</v>
      </c>
      <c r="AA8" s="3" t="s">
        <v>3703</v>
      </c>
      <c r="AB8" s="3" t="s">
        <v>3703</v>
      </c>
      <c r="AC8" s="3" t="s">
        <v>3703</v>
      </c>
      <c r="AD8" s="3" t="s">
        <v>3703</v>
      </c>
      <c r="AE8" s="3" t="s">
        <v>3703</v>
      </c>
      <c r="AF8" s="3" t="s">
        <v>3703</v>
      </c>
      <c r="AG8" s="3" t="s">
        <v>3703</v>
      </c>
      <c r="AH8" s="3" t="s">
        <v>3703</v>
      </c>
      <c r="AI8" s="3" t="s">
        <v>3703</v>
      </c>
      <c r="AJ8" s="3" t="s">
        <v>3703</v>
      </c>
      <c r="AK8" s="3" t="s">
        <v>3703</v>
      </c>
      <c r="AL8" s="3" t="s">
        <v>3703</v>
      </c>
      <c r="AM8" s="3" t="s">
        <v>3703</v>
      </c>
      <c r="AN8" s="3" t="s">
        <v>3703</v>
      </c>
      <c r="AO8" s="3" t="s">
        <v>3703</v>
      </c>
      <c r="AP8" s="3" t="s">
        <v>3703</v>
      </c>
      <c r="AQ8" s="3" t="s">
        <v>3703</v>
      </c>
      <c r="AR8" s="3" t="s">
        <v>3703</v>
      </c>
      <c r="AS8" s="3" t="s">
        <v>3703</v>
      </c>
    </row>
    <row r="9" spans="1:79" ht="15.75" customHeight="1" x14ac:dyDescent="0.25">
      <c r="A9" s="8" t="s">
        <v>3711</v>
      </c>
      <c r="B9" s="3" t="s">
        <v>905</v>
      </c>
      <c r="C9" s="3" t="s">
        <v>358</v>
      </c>
      <c r="D9" s="3" t="s">
        <v>337</v>
      </c>
      <c r="E9" s="3" t="s">
        <v>900</v>
      </c>
      <c r="F9" s="3" t="s">
        <v>3787</v>
      </c>
      <c r="G9" s="3" t="s">
        <v>352</v>
      </c>
      <c r="H9" s="3" t="s">
        <v>3788</v>
      </c>
      <c r="I9" s="3" t="s">
        <v>3120</v>
      </c>
      <c r="J9" s="3" t="s">
        <v>908</v>
      </c>
      <c r="K9" s="3" t="s">
        <v>43</v>
      </c>
      <c r="L9" s="3" t="s">
        <v>31</v>
      </c>
      <c r="M9" s="3" t="s">
        <v>44</v>
      </c>
      <c r="N9" s="3" t="s">
        <v>901</v>
      </c>
      <c r="O9" s="3" t="s">
        <v>902</v>
      </c>
      <c r="P9" s="3" t="s">
        <v>3789</v>
      </c>
      <c r="Q9" s="3" t="s">
        <v>903</v>
      </c>
      <c r="R9" s="3" t="s">
        <v>904</v>
      </c>
      <c r="S9" s="3" t="s">
        <v>905</v>
      </c>
      <c r="T9" s="3" t="s">
        <v>3790</v>
      </c>
      <c r="U9" s="3" t="s">
        <v>906</v>
      </c>
      <c r="V9" s="3" t="s">
        <v>907</v>
      </c>
      <c r="W9" s="3" t="s">
        <v>140</v>
      </c>
      <c r="X9" s="3" t="s">
        <v>3791</v>
      </c>
      <c r="Y9" s="3" t="s">
        <v>3703</v>
      </c>
      <c r="Z9" s="3" t="s">
        <v>3703</v>
      </c>
      <c r="AA9" s="3" t="s">
        <v>3703</v>
      </c>
      <c r="AB9" s="3" t="s">
        <v>3703</v>
      </c>
      <c r="AC9" s="3" t="s">
        <v>3703</v>
      </c>
      <c r="AD9" s="3" t="s">
        <v>3703</v>
      </c>
      <c r="AE9" s="3" t="s">
        <v>3703</v>
      </c>
      <c r="AF9" s="3" t="s">
        <v>3703</v>
      </c>
      <c r="AG9" s="3" t="s">
        <v>3703</v>
      </c>
      <c r="AH9" s="3" t="s">
        <v>3703</v>
      </c>
      <c r="AI9" s="3" t="s">
        <v>3703</v>
      </c>
      <c r="AJ9" s="3" t="s">
        <v>3703</v>
      </c>
      <c r="AK9" s="3" t="s">
        <v>3703</v>
      </c>
      <c r="AL9" s="3" t="s">
        <v>3703</v>
      </c>
      <c r="AM9" s="3" t="s">
        <v>3703</v>
      </c>
      <c r="AN9" s="3" t="s">
        <v>3703</v>
      </c>
      <c r="AO9" s="3" t="s">
        <v>3703</v>
      </c>
      <c r="AP9" s="3" t="s">
        <v>3703</v>
      </c>
      <c r="AQ9" s="3" t="s">
        <v>3703</v>
      </c>
      <c r="AR9" s="3" t="s">
        <v>3703</v>
      </c>
      <c r="AS9" s="3" t="s">
        <v>3703</v>
      </c>
    </row>
    <row r="10" spans="1:79" ht="15.75" customHeight="1" x14ac:dyDescent="0.25">
      <c r="A10" s="8" t="s">
        <v>3711</v>
      </c>
      <c r="B10" s="3" t="s">
        <v>964</v>
      </c>
      <c r="C10" s="3" t="s">
        <v>358</v>
      </c>
      <c r="D10" s="3" t="s">
        <v>965</v>
      </c>
      <c r="E10" s="3" t="s">
        <v>966</v>
      </c>
      <c r="F10" s="3" t="s">
        <v>3792</v>
      </c>
      <c r="G10" s="3" t="s">
        <v>352</v>
      </c>
      <c r="H10" s="3" t="s">
        <v>3793</v>
      </c>
      <c r="I10" s="3" t="s">
        <v>3794</v>
      </c>
      <c r="J10" s="3" t="s">
        <v>964</v>
      </c>
      <c r="K10" s="3" t="s">
        <v>30</v>
      </c>
      <c r="L10" s="3" t="s">
        <v>31</v>
      </c>
      <c r="M10" s="3" t="s">
        <v>44</v>
      </c>
      <c r="N10" s="3" t="s">
        <v>111</v>
      </c>
      <c r="O10" s="3" t="s">
        <v>967</v>
      </c>
      <c r="P10" s="3" t="s">
        <v>3795</v>
      </c>
      <c r="Q10" s="3" t="s">
        <v>564</v>
      </c>
      <c r="R10" s="3" t="s">
        <v>966</v>
      </c>
      <c r="S10" s="3" t="s">
        <v>964</v>
      </c>
      <c r="T10" s="3" t="s">
        <v>3796</v>
      </c>
      <c r="U10" s="3" t="s">
        <v>3796</v>
      </c>
      <c r="V10" s="3" t="s">
        <v>3703</v>
      </c>
      <c r="W10" s="3" t="s">
        <v>968</v>
      </c>
      <c r="X10" s="3" t="s">
        <v>3797</v>
      </c>
      <c r="Y10" s="3" t="s">
        <v>3703</v>
      </c>
      <c r="Z10" s="3" t="s">
        <v>3703</v>
      </c>
      <c r="AA10" s="3" t="s">
        <v>3703</v>
      </c>
      <c r="AB10" s="3" t="s">
        <v>3703</v>
      </c>
      <c r="AC10" s="3" t="s">
        <v>3703</v>
      </c>
      <c r="AD10" s="3" t="s">
        <v>3703</v>
      </c>
      <c r="AE10" s="3" t="s">
        <v>3703</v>
      </c>
      <c r="AF10" s="3" t="s">
        <v>3703</v>
      </c>
      <c r="AG10" s="3" t="s">
        <v>3703</v>
      </c>
      <c r="AH10" s="3" t="s">
        <v>3703</v>
      </c>
      <c r="AI10" s="3" t="s">
        <v>3703</v>
      </c>
      <c r="AJ10" s="3" t="s">
        <v>3703</v>
      </c>
      <c r="AK10" s="3" t="s">
        <v>3703</v>
      </c>
      <c r="AL10" s="3" t="s">
        <v>3703</v>
      </c>
      <c r="AM10" s="3" t="s">
        <v>3703</v>
      </c>
      <c r="AN10" s="3" t="s">
        <v>3703</v>
      </c>
      <c r="AO10" s="3" t="s">
        <v>3703</v>
      </c>
      <c r="AP10" s="3" t="s">
        <v>3703</v>
      </c>
      <c r="AQ10" s="3" t="s">
        <v>3703</v>
      </c>
      <c r="AR10" s="3" t="s">
        <v>3703</v>
      </c>
      <c r="AS10" s="3" t="s">
        <v>3703</v>
      </c>
    </row>
    <row r="11" spans="1:79" ht="15.75" customHeight="1" x14ac:dyDescent="0.25">
      <c r="A11" s="8" t="s">
        <v>3711</v>
      </c>
      <c r="B11" s="3" t="s">
        <v>964</v>
      </c>
      <c r="C11" s="3" t="s">
        <v>358</v>
      </c>
      <c r="D11" s="3" t="s">
        <v>564</v>
      </c>
      <c r="E11" s="3" t="s">
        <v>966</v>
      </c>
      <c r="F11" s="3" t="s">
        <v>3798</v>
      </c>
      <c r="G11" s="3" t="s">
        <v>352</v>
      </c>
      <c r="H11" s="3" t="s">
        <v>3799</v>
      </c>
      <c r="I11" s="3" t="s">
        <v>3800</v>
      </c>
      <c r="J11" s="3" t="s">
        <v>964</v>
      </c>
      <c r="K11" s="3" t="s">
        <v>43</v>
      </c>
      <c r="L11" s="3" t="s">
        <v>31</v>
      </c>
      <c r="M11" s="3" t="s">
        <v>44</v>
      </c>
      <c r="N11" s="3" t="s">
        <v>111</v>
      </c>
      <c r="O11" s="3" t="s">
        <v>967</v>
      </c>
      <c r="P11" s="3" t="s">
        <v>3795</v>
      </c>
      <c r="Q11" s="3" t="s">
        <v>3703</v>
      </c>
      <c r="R11" s="3" t="s">
        <v>3703</v>
      </c>
      <c r="S11" s="3" t="s">
        <v>3703</v>
      </c>
      <c r="T11" s="3" t="s">
        <v>3703</v>
      </c>
      <c r="U11" s="3" t="s">
        <v>3796</v>
      </c>
      <c r="V11" s="3" t="s">
        <v>3703</v>
      </c>
      <c r="W11" s="3" t="s">
        <v>968</v>
      </c>
      <c r="X11" s="3" t="s">
        <v>3801</v>
      </c>
      <c r="Y11" s="3" t="s">
        <v>3703</v>
      </c>
      <c r="Z11" s="3" t="s">
        <v>3703</v>
      </c>
      <c r="AA11" s="3" t="s">
        <v>3703</v>
      </c>
      <c r="AB11" s="3" t="s">
        <v>3703</v>
      </c>
      <c r="AC11" s="3" t="s">
        <v>3703</v>
      </c>
      <c r="AD11" s="3" t="s">
        <v>3703</v>
      </c>
      <c r="AE11" s="3" t="s">
        <v>3703</v>
      </c>
      <c r="AF11" s="3" t="s">
        <v>3703</v>
      </c>
      <c r="AG11" s="3" t="s">
        <v>3703</v>
      </c>
      <c r="AH11" s="3" t="s">
        <v>3703</v>
      </c>
      <c r="AI11" s="3" t="s">
        <v>3703</v>
      </c>
      <c r="AJ11" s="3" t="s">
        <v>3703</v>
      </c>
      <c r="AK11" s="3" t="s">
        <v>3703</v>
      </c>
      <c r="AL11" s="3" t="s">
        <v>3703</v>
      </c>
      <c r="AM11" s="3" t="s">
        <v>3703</v>
      </c>
      <c r="AN11" s="3" t="s">
        <v>3703</v>
      </c>
      <c r="AO11" s="3" t="s">
        <v>3703</v>
      </c>
      <c r="AP11" s="3" t="s">
        <v>3703</v>
      </c>
      <c r="AQ11" s="3" t="s">
        <v>3703</v>
      </c>
      <c r="AR11" s="3" t="s">
        <v>3703</v>
      </c>
      <c r="AS11" s="3" t="s">
        <v>3703</v>
      </c>
    </row>
    <row r="12" spans="1:79" ht="15.75" customHeight="1" x14ac:dyDescent="0.25">
      <c r="A12" s="8" t="s">
        <v>3711</v>
      </c>
      <c r="B12" s="3" t="s">
        <v>1051</v>
      </c>
      <c r="C12" s="3" t="s">
        <v>358</v>
      </c>
      <c r="D12" s="3" t="s">
        <v>970</v>
      </c>
      <c r="E12" s="3" t="s">
        <v>1052</v>
      </c>
      <c r="F12" s="3" t="s">
        <v>3802</v>
      </c>
      <c r="G12" s="3" t="s">
        <v>318</v>
      </c>
      <c r="H12" s="3" t="s">
        <v>3803</v>
      </c>
      <c r="I12" s="3" t="s">
        <v>3804</v>
      </c>
      <c r="J12" s="3" t="s">
        <v>1051</v>
      </c>
      <c r="K12" s="3" t="s">
        <v>30</v>
      </c>
      <c r="L12" s="3" t="s">
        <v>76</v>
      </c>
      <c r="M12" s="3" t="s">
        <v>91</v>
      </c>
      <c r="N12" s="3" t="s">
        <v>248</v>
      </c>
      <c r="O12" s="3" t="s">
        <v>1053</v>
      </c>
      <c r="P12" s="3" t="s">
        <v>3751</v>
      </c>
      <c r="Q12" s="3" t="s">
        <v>1054</v>
      </c>
      <c r="R12" s="3" t="s">
        <v>1052</v>
      </c>
      <c r="S12" s="3" t="s">
        <v>1055</v>
      </c>
      <c r="T12" s="3" t="s">
        <v>3805</v>
      </c>
      <c r="U12" s="3" t="s">
        <v>3805</v>
      </c>
      <c r="V12" s="3" t="s">
        <v>3806</v>
      </c>
      <c r="W12" s="3" t="s">
        <v>694</v>
      </c>
      <c r="X12" s="3" t="s">
        <v>1056</v>
      </c>
      <c r="Y12" s="3" t="s">
        <v>3703</v>
      </c>
      <c r="Z12" s="3" t="s">
        <v>3703</v>
      </c>
      <c r="AA12" s="3" t="s">
        <v>3703</v>
      </c>
      <c r="AB12" s="3" t="s">
        <v>3703</v>
      </c>
      <c r="AC12" s="3" t="s">
        <v>3703</v>
      </c>
      <c r="AD12" s="3" t="s">
        <v>3703</v>
      </c>
      <c r="AE12" s="3" t="s">
        <v>3703</v>
      </c>
      <c r="AF12" s="3" t="s">
        <v>3703</v>
      </c>
      <c r="AG12" s="3" t="s">
        <v>3703</v>
      </c>
      <c r="AH12" s="3" t="s">
        <v>3703</v>
      </c>
      <c r="AI12" s="3" t="s">
        <v>3703</v>
      </c>
      <c r="AJ12" s="3" t="s">
        <v>3703</v>
      </c>
      <c r="AK12" s="3" t="s">
        <v>3703</v>
      </c>
      <c r="AL12" s="3" t="s">
        <v>3703</v>
      </c>
      <c r="AM12" s="3" t="s">
        <v>3703</v>
      </c>
      <c r="AN12" s="3" t="s">
        <v>3703</v>
      </c>
      <c r="AO12" s="3" t="s">
        <v>3703</v>
      </c>
      <c r="AP12" s="3" t="s">
        <v>3703</v>
      </c>
      <c r="AQ12" s="3" t="s">
        <v>3703</v>
      </c>
      <c r="AR12" s="3" t="s">
        <v>3703</v>
      </c>
      <c r="AS12" s="3" t="s">
        <v>3703</v>
      </c>
    </row>
    <row r="13" spans="1:79" ht="15.75" customHeight="1" x14ac:dyDescent="0.25">
      <c r="A13" s="8" t="s">
        <v>3711</v>
      </c>
      <c r="B13" s="3" t="s">
        <v>1057</v>
      </c>
      <c r="C13" s="3" t="s">
        <v>358</v>
      </c>
      <c r="D13" s="3" t="s">
        <v>827</v>
      </c>
      <c r="E13" s="3" t="s">
        <v>1058</v>
      </c>
      <c r="F13" s="3" t="s">
        <v>3807</v>
      </c>
      <c r="G13" s="3" t="s">
        <v>54</v>
      </c>
      <c r="H13" s="3" t="s">
        <v>3808</v>
      </c>
      <c r="I13" s="3" t="s">
        <v>3809</v>
      </c>
      <c r="J13" s="3" t="s">
        <v>1057</v>
      </c>
      <c r="K13" s="3" t="s">
        <v>43</v>
      </c>
      <c r="L13" s="3" t="s">
        <v>31</v>
      </c>
      <c r="M13" s="3" t="s">
        <v>44</v>
      </c>
      <c r="N13" s="3" t="s">
        <v>1059</v>
      </c>
      <c r="O13" s="3" t="s">
        <v>1060</v>
      </c>
      <c r="P13" s="3" t="s">
        <v>3810</v>
      </c>
      <c r="Q13" s="3" t="s">
        <v>1061</v>
      </c>
      <c r="R13" s="3" t="s">
        <v>1062</v>
      </c>
      <c r="S13" s="3" t="s">
        <v>3703</v>
      </c>
      <c r="T13" s="3" t="s">
        <v>1063</v>
      </c>
      <c r="U13" s="3" t="s">
        <v>1063</v>
      </c>
      <c r="V13" s="3" t="s">
        <v>1064</v>
      </c>
      <c r="W13" s="3" t="s">
        <v>211</v>
      </c>
      <c r="X13" s="3" t="s">
        <v>3811</v>
      </c>
      <c r="Y13" s="3" t="s">
        <v>3703</v>
      </c>
      <c r="Z13" s="3" t="s">
        <v>3703</v>
      </c>
      <c r="AA13" s="3" t="s">
        <v>3703</v>
      </c>
      <c r="AB13" s="3" t="s">
        <v>3703</v>
      </c>
      <c r="AC13" s="3" t="s">
        <v>3703</v>
      </c>
      <c r="AD13" s="3" t="s">
        <v>3703</v>
      </c>
      <c r="AE13" s="3" t="s">
        <v>3703</v>
      </c>
      <c r="AF13" s="3" t="s">
        <v>3703</v>
      </c>
      <c r="AG13" s="3" t="s">
        <v>3703</v>
      </c>
      <c r="AH13" s="3" t="s">
        <v>3703</v>
      </c>
      <c r="AI13" s="3" t="s">
        <v>3703</v>
      </c>
      <c r="AJ13" s="3" t="s">
        <v>3703</v>
      </c>
      <c r="AK13" s="3" t="s">
        <v>3703</v>
      </c>
      <c r="AL13" s="3" t="s">
        <v>3703</v>
      </c>
      <c r="AM13" s="3" t="s">
        <v>3703</v>
      </c>
      <c r="AN13" s="3" t="s">
        <v>3703</v>
      </c>
      <c r="AO13" s="3" t="s">
        <v>3703</v>
      </c>
      <c r="AP13" s="3" t="s">
        <v>3703</v>
      </c>
      <c r="AQ13" s="3" t="s">
        <v>3703</v>
      </c>
      <c r="AR13" s="3" t="s">
        <v>3703</v>
      </c>
      <c r="AS13" s="3" t="s">
        <v>3703</v>
      </c>
    </row>
    <row r="14" spans="1:79" ht="15.75" customHeight="1" x14ac:dyDescent="0.25">
      <c r="A14" s="8" t="s">
        <v>3698</v>
      </c>
      <c r="B14" s="3" t="s">
        <v>1069</v>
      </c>
      <c r="C14" s="3" t="s">
        <v>358</v>
      </c>
      <c r="D14" s="3" t="s">
        <v>704</v>
      </c>
      <c r="E14" s="3" t="s">
        <v>1070</v>
      </c>
      <c r="F14" s="3" t="s">
        <v>3812</v>
      </c>
      <c r="G14" s="3" t="s">
        <v>42</v>
      </c>
      <c r="H14" s="3" t="s">
        <v>3813</v>
      </c>
      <c r="I14" s="3" t="s">
        <v>3814</v>
      </c>
      <c r="J14" s="3" t="s">
        <v>1069</v>
      </c>
      <c r="K14" s="3" t="s">
        <v>43</v>
      </c>
      <c r="L14" s="3" t="s">
        <v>1071</v>
      </c>
      <c r="M14" s="3" t="s">
        <v>1072</v>
      </c>
      <c r="N14" s="3" t="s">
        <v>1073</v>
      </c>
      <c r="O14" s="3" t="s">
        <v>1074</v>
      </c>
      <c r="P14" s="3" t="s">
        <v>3715</v>
      </c>
      <c r="Q14" s="3" t="s">
        <v>3703</v>
      </c>
      <c r="R14" s="3" t="s">
        <v>3703</v>
      </c>
      <c r="S14" s="3" t="s">
        <v>3703</v>
      </c>
      <c r="T14" s="3" t="s">
        <v>3703</v>
      </c>
      <c r="U14" s="3" t="s">
        <v>3815</v>
      </c>
      <c r="V14" s="3" t="s">
        <v>3703</v>
      </c>
      <c r="W14" s="3" t="s">
        <v>1075</v>
      </c>
      <c r="X14" s="3" t="s">
        <v>1076</v>
      </c>
      <c r="Y14" s="3" t="s">
        <v>3703</v>
      </c>
      <c r="Z14" s="3" t="s">
        <v>3703</v>
      </c>
      <c r="AA14" s="3" t="s">
        <v>3703</v>
      </c>
      <c r="AB14" s="3" t="s">
        <v>3703</v>
      </c>
      <c r="AC14" s="3" t="s">
        <v>3703</v>
      </c>
      <c r="AD14" s="3" t="s">
        <v>3703</v>
      </c>
      <c r="AE14" s="3" t="s">
        <v>3703</v>
      </c>
      <c r="AF14" s="3" t="s">
        <v>3703</v>
      </c>
      <c r="AG14" s="3" t="s">
        <v>3703</v>
      </c>
      <c r="AH14" s="3" t="s">
        <v>3703</v>
      </c>
      <c r="AI14" s="3" t="s">
        <v>3703</v>
      </c>
      <c r="AJ14" s="3" t="s">
        <v>3703</v>
      </c>
      <c r="AK14" s="3" t="s">
        <v>3703</v>
      </c>
      <c r="AL14" s="3" t="s">
        <v>3703</v>
      </c>
      <c r="AM14" s="3" t="s">
        <v>3703</v>
      </c>
      <c r="AN14" s="3" t="s">
        <v>3703</v>
      </c>
      <c r="AO14" s="3" t="s">
        <v>3703</v>
      </c>
      <c r="AP14" s="3" t="s">
        <v>3703</v>
      </c>
      <c r="AQ14" s="3" t="s">
        <v>3703</v>
      </c>
      <c r="AR14" s="3" t="s">
        <v>3703</v>
      </c>
      <c r="AS14" s="3" t="s">
        <v>3703</v>
      </c>
    </row>
    <row r="15" spans="1:79" ht="15.75" customHeight="1" x14ac:dyDescent="0.25">
      <c r="A15" s="8" t="s">
        <v>3711</v>
      </c>
      <c r="B15" s="3" t="s">
        <v>1097</v>
      </c>
      <c r="C15" s="3" t="s">
        <v>358</v>
      </c>
      <c r="D15" s="3" t="s">
        <v>1098</v>
      </c>
      <c r="E15" s="3" t="s">
        <v>1099</v>
      </c>
      <c r="F15" s="3" t="s">
        <v>3816</v>
      </c>
      <c r="G15" s="3" t="s">
        <v>326</v>
      </c>
      <c r="H15" s="3" t="s">
        <v>3817</v>
      </c>
      <c r="I15" s="3" t="s">
        <v>3818</v>
      </c>
      <c r="J15" s="3" t="s">
        <v>1100</v>
      </c>
      <c r="K15" s="3" t="s">
        <v>43</v>
      </c>
      <c r="L15" s="3" t="s">
        <v>76</v>
      </c>
      <c r="M15" s="3" t="s">
        <v>285</v>
      </c>
      <c r="N15" s="3" t="s">
        <v>1101</v>
      </c>
      <c r="O15" s="3" t="s">
        <v>3819</v>
      </c>
      <c r="P15" s="3" t="s">
        <v>3820</v>
      </c>
      <c r="Q15" s="3" t="s">
        <v>1102</v>
      </c>
      <c r="R15" s="3" t="s">
        <v>1103</v>
      </c>
      <c r="S15" s="3" t="s">
        <v>3703</v>
      </c>
      <c r="T15" s="3" t="s">
        <v>3821</v>
      </c>
      <c r="U15" s="3" t="s">
        <v>3821</v>
      </c>
      <c r="V15" s="3" t="s">
        <v>3822</v>
      </c>
      <c r="W15" s="3" t="s">
        <v>741</v>
      </c>
      <c r="X15" s="3" t="s">
        <v>1104</v>
      </c>
      <c r="Y15" s="3" t="s">
        <v>3703</v>
      </c>
      <c r="Z15" s="3" t="s">
        <v>3703</v>
      </c>
      <c r="AA15" s="3" t="s">
        <v>3703</v>
      </c>
      <c r="AB15" s="3" t="s">
        <v>3703</v>
      </c>
      <c r="AC15" s="3" t="s">
        <v>3703</v>
      </c>
      <c r="AD15" s="3" t="s">
        <v>3703</v>
      </c>
      <c r="AE15" s="3" t="s">
        <v>3703</v>
      </c>
      <c r="AF15" s="3" t="s">
        <v>3703</v>
      </c>
      <c r="AG15" s="3" t="s">
        <v>3703</v>
      </c>
      <c r="AH15" s="3" t="s">
        <v>3703</v>
      </c>
      <c r="AI15" s="3" t="s">
        <v>3703</v>
      </c>
      <c r="AJ15" s="3" t="s">
        <v>3703</v>
      </c>
      <c r="AK15" s="3" t="s">
        <v>3703</v>
      </c>
      <c r="AL15" s="3" t="s">
        <v>3703</v>
      </c>
      <c r="AM15" s="3" t="s">
        <v>3703</v>
      </c>
      <c r="AN15" s="3" t="s">
        <v>3703</v>
      </c>
      <c r="AO15" s="3" t="s">
        <v>3703</v>
      </c>
      <c r="AP15" s="3" t="s">
        <v>3703</v>
      </c>
      <c r="AQ15" s="3" t="s">
        <v>3703</v>
      </c>
      <c r="AR15" s="3" t="s">
        <v>3703</v>
      </c>
      <c r="AS15" s="3" t="s">
        <v>3703</v>
      </c>
    </row>
    <row r="16" spans="1:79" ht="15.75" customHeight="1" x14ac:dyDescent="0.25">
      <c r="A16" s="8" t="s">
        <v>3711</v>
      </c>
      <c r="B16" s="3" t="s">
        <v>1120</v>
      </c>
      <c r="C16" s="3" t="s">
        <v>358</v>
      </c>
      <c r="D16" s="3" t="s">
        <v>1121</v>
      </c>
      <c r="E16" s="3" t="s">
        <v>1122</v>
      </c>
      <c r="F16" s="3" t="s">
        <v>3823</v>
      </c>
      <c r="G16" s="3" t="s">
        <v>318</v>
      </c>
      <c r="H16" s="3" t="s">
        <v>3824</v>
      </c>
      <c r="I16" s="3" t="s">
        <v>3825</v>
      </c>
      <c r="J16" s="3" t="s">
        <v>1120</v>
      </c>
      <c r="K16" s="3" t="s">
        <v>43</v>
      </c>
      <c r="L16" s="3" t="s">
        <v>31</v>
      </c>
      <c r="M16" s="3" t="s">
        <v>312</v>
      </c>
      <c r="N16" s="3" t="s">
        <v>142</v>
      </c>
      <c r="O16" s="3" t="s">
        <v>1123</v>
      </c>
      <c r="P16" s="3" t="s">
        <v>3826</v>
      </c>
      <c r="Q16" s="3" t="s">
        <v>3703</v>
      </c>
      <c r="R16" s="3" t="s">
        <v>3703</v>
      </c>
      <c r="S16" s="3" t="s">
        <v>1120</v>
      </c>
      <c r="T16" s="3" t="s">
        <v>3703</v>
      </c>
      <c r="U16" s="3" t="s">
        <v>3827</v>
      </c>
      <c r="V16" s="3" t="s">
        <v>3703</v>
      </c>
      <c r="W16" s="3" t="s">
        <v>514</v>
      </c>
      <c r="X16" s="3" t="s">
        <v>3824</v>
      </c>
      <c r="Y16" s="3" t="s">
        <v>3703</v>
      </c>
      <c r="Z16" s="3" t="s">
        <v>3703</v>
      </c>
      <c r="AA16" s="3" t="s">
        <v>3703</v>
      </c>
      <c r="AB16" s="3" t="s">
        <v>3703</v>
      </c>
      <c r="AC16" s="3" t="s">
        <v>3703</v>
      </c>
      <c r="AD16" s="3" t="s">
        <v>3703</v>
      </c>
      <c r="AE16" s="3" t="s">
        <v>3703</v>
      </c>
      <c r="AF16" s="3" t="s">
        <v>3703</v>
      </c>
      <c r="AG16" s="3" t="s">
        <v>3703</v>
      </c>
      <c r="AH16" s="3" t="s">
        <v>3703</v>
      </c>
      <c r="AI16" s="3" t="s">
        <v>3703</v>
      </c>
      <c r="AJ16" s="3" t="s">
        <v>3703</v>
      </c>
      <c r="AK16" s="3" t="s">
        <v>3703</v>
      </c>
      <c r="AL16" s="3" t="s">
        <v>3703</v>
      </c>
      <c r="AM16" s="3" t="s">
        <v>3703</v>
      </c>
      <c r="AN16" s="3" t="s">
        <v>3703</v>
      </c>
      <c r="AO16" s="3" t="s">
        <v>3703</v>
      </c>
      <c r="AP16" s="3" t="s">
        <v>3703</v>
      </c>
      <c r="AQ16" s="3" t="s">
        <v>3703</v>
      </c>
      <c r="AR16" s="3" t="s">
        <v>3703</v>
      </c>
      <c r="AS16" s="3" t="s">
        <v>3703</v>
      </c>
    </row>
    <row r="17" spans="1:45" ht="15.75" customHeight="1" x14ac:dyDescent="0.25">
      <c r="A17" s="8" t="s">
        <v>3711</v>
      </c>
      <c r="B17" s="3" t="s">
        <v>1120</v>
      </c>
      <c r="C17" s="3" t="s">
        <v>358</v>
      </c>
      <c r="D17" s="3" t="s">
        <v>1124</v>
      </c>
      <c r="E17" s="3" t="s">
        <v>1125</v>
      </c>
      <c r="F17" s="3" t="s">
        <v>3828</v>
      </c>
      <c r="G17" s="3" t="s">
        <v>318</v>
      </c>
      <c r="H17" s="3" t="s">
        <v>3829</v>
      </c>
      <c r="I17" s="3" t="s">
        <v>3830</v>
      </c>
      <c r="J17" s="3" t="s">
        <v>1120</v>
      </c>
      <c r="K17" s="3" t="s">
        <v>43</v>
      </c>
      <c r="L17" s="3" t="s">
        <v>31</v>
      </c>
      <c r="M17" s="3" t="s">
        <v>92</v>
      </c>
      <c r="N17" s="3" t="s">
        <v>92</v>
      </c>
      <c r="O17" s="3" t="s">
        <v>1123</v>
      </c>
      <c r="P17" s="3" t="s">
        <v>3826</v>
      </c>
      <c r="Q17" s="3" t="s">
        <v>1126</v>
      </c>
      <c r="R17" s="3" t="s">
        <v>1127</v>
      </c>
      <c r="S17" s="3" t="s">
        <v>1120</v>
      </c>
      <c r="T17" s="3" t="s">
        <v>3831</v>
      </c>
      <c r="U17" s="3" t="s">
        <v>3831</v>
      </c>
      <c r="V17" s="3" t="s">
        <v>3703</v>
      </c>
      <c r="W17" s="3" t="s">
        <v>514</v>
      </c>
      <c r="X17" s="3" t="s">
        <v>3829</v>
      </c>
      <c r="Y17" s="3" t="s">
        <v>3703</v>
      </c>
      <c r="Z17" s="3" t="s">
        <v>3703</v>
      </c>
      <c r="AA17" s="3" t="s">
        <v>3703</v>
      </c>
      <c r="AB17" s="3" t="s">
        <v>3703</v>
      </c>
      <c r="AC17" s="3" t="s">
        <v>3703</v>
      </c>
      <c r="AD17" s="3" t="s">
        <v>3703</v>
      </c>
      <c r="AE17" s="3" t="s">
        <v>3703</v>
      </c>
      <c r="AF17" s="3" t="s">
        <v>3703</v>
      </c>
      <c r="AG17" s="3" t="s">
        <v>3703</v>
      </c>
      <c r="AH17" s="3" t="s">
        <v>3703</v>
      </c>
      <c r="AI17" s="3" t="s">
        <v>3703</v>
      </c>
      <c r="AJ17" s="3" t="s">
        <v>3703</v>
      </c>
      <c r="AK17" s="3" t="s">
        <v>3703</v>
      </c>
      <c r="AL17" s="3" t="s">
        <v>3703</v>
      </c>
      <c r="AM17" s="3" t="s">
        <v>3703</v>
      </c>
      <c r="AN17" s="3" t="s">
        <v>3703</v>
      </c>
      <c r="AO17" s="3" t="s">
        <v>3703</v>
      </c>
      <c r="AP17" s="3" t="s">
        <v>3703</v>
      </c>
      <c r="AQ17" s="3" t="s">
        <v>3703</v>
      </c>
      <c r="AR17" s="3" t="s">
        <v>3703</v>
      </c>
      <c r="AS17" s="3" t="s">
        <v>3703</v>
      </c>
    </row>
    <row r="18" spans="1:45" ht="15.75" customHeight="1" x14ac:dyDescent="0.25">
      <c r="A18" s="8" t="s">
        <v>3711</v>
      </c>
      <c r="B18" s="3" t="s">
        <v>1175</v>
      </c>
      <c r="C18" s="3" t="s">
        <v>358</v>
      </c>
      <c r="D18" s="3" t="s">
        <v>1176</v>
      </c>
      <c r="E18" s="3" t="s">
        <v>1177</v>
      </c>
      <c r="F18" s="3" t="s">
        <v>3678</v>
      </c>
      <c r="G18" s="3" t="s">
        <v>198</v>
      </c>
      <c r="H18" s="3" t="s">
        <v>3832</v>
      </c>
      <c r="I18" s="3" t="s">
        <v>3833</v>
      </c>
      <c r="J18" s="3" t="s">
        <v>1175</v>
      </c>
      <c r="K18" s="3" t="s">
        <v>43</v>
      </c>
      <c r="L18" s="3" t="s">
        <v>1178</v>
      </c>
      <c r="M18" s="3" t="s">
        <v>92</v>
      </c>
      <c r="N18" s="3" t="s">
        <v>92</v>
      </c>
      <c r="O18" s="3" t="s">
        <v>1179</v>
      </c>
      <c r="P18" s="3" t="s">
        <v>3834</v>
      </c>
      <c r="Q18" s="3" t="s">
        <v>3703</v>
      </c>
      <c r="R18" s="3" t="s">
        <v>3703</v>
      </c>
      <c r="S18" s="3" t="s">
        <v>3703</v>
      </c>
      <c r="T18" s="3" t="s">
        <v>3703</v>
      </c>
      <c r="U18" s="3" t="s">
        <v>1180</v>
      </c>
      <c r="V18" s="3" t="s">
        <v>3703</v>
      </c>
      <c r="W18" s="3" t="s">
        <v>1181</v>
      </c>
      <c r="X18" s="3" t="s">
        <v>3835</v>
      </c>
      <c r="Y18" s="3" t="s">
        <v>3703</v>
      </c>
      <c r="Z18" s="3" t="s">
        <v>3703</v>
      </c>
      <c r="AA18" s="3" t="s">
        <v>3703</v>
      </c>
      <c r="AB18" s="3" t="s">
        <v>3703</v>
      </c>
      <c r="AC18" s="3" t="s">
        <v>3703</v>
      </c>
      <c r="AD18" s="3" t="s">
        <v>3703</v>
      </c>
      <c r="AE18" s="3" t="s">
        <v>3703</v>
      </c>
      <c r="AF18" s="3" t="s">
        <v>3703</v>
      </c>
      <c r="AG18" s="3" t="s">
        <v>3703</v>
      </c>
      <c r="AH18" s="3" t="s">
        <v>3703</v>
      </c>
      <c r="AI18" s="3" t="s">
        <v>3703</v>
      </c>
      <c r="AJ18" s="3" t="s">
        <v>3703</v>
      </c>
      <c r="AK18" s="3" t="s">
        <v>3703</v>
      </c>
      <c r="AL18" s="3" t="s">
        <v>3703</v>
      </c>
      <c r="AM18" s="3" t="s">
        <v>3703</v>
      </c>
      <c r="AN18" s="3" t="s">
        <v>3703</v>
      </c>
      <c r="AO18" s="3" t="s">
        <v>3703</v>
      </c>
      <c r="AP18" s="3" t="s">
        <v>3703</v>
      </c>
      <c r="AQ18" s="3" t="s">
        <v>3703</v>
      </c>
      <c r="AR18" s="3" t="s">
        <v>3703</v>
      </c>
      <c r="AS18" s="3" t="s">
        <v>3703</v>
      </c>
    </row>
    <row r="19" spans="1:45" ht="15.75" customHeight="1" x14ac:dyDescent="0.25">
      <c r="A19" s="8" t="s">
        <v>3711</v>
      </c>
      <c r="B19" s="3" t="s">
        <v>1273</v>
      </c>
      <c r="C19" s="3" t="s">
        <v>358</v>
      </c>
      <c r="D19" s="3" t="s">
        <v>538</v>
      </c>
      <c r="E19" s="3" t="s">
        <v>1274</v>
      </c>
      <c r="F19" s="3" t="s">
        <v>3782</v>
      </c>
      <c r="G19" s="3" t="s">
        <v>1275</v>
      </c>
      <c r="H19" s="3" t="s">
        <v>3836</v>
      </c>
      <c r="I19" s="3" t="s">
        <v>3837</v>
      </c>
      <c r="J19" s="3" t="s">
        <v>1273</v>
      </c>
      <c r="K19" s="3" t="s">
        <v>43</v>
      </c>
      <c r="L19" s="3" t="s">
        <v>31</v>
      </c>
      <c r="M19" s="3" t="s">
        <v>44</v>
      </c>
      <c r="N19" s="3" t="s">
        <v>200</v>
      </c>
      <c r="O19" s="3" t="s">
        <v>1276</v>
      </c>
      <c r="P19" s="3" t="s">
        <v>3838</v>
      </c>
      <c r="Q19" s="3" t="s">
        <v>3703</v>
      </c>
      <c r="R19" s="3" t="s">
        <v>3703</v>
      </c>
      <c r="S19" s="3" t="s">
        <v>3703</v>
      </c>
      <c r="T19" s="3" t="s">
        <v>3703</v>
      </c>
      <c r="U19" s="3" t="s">
        <v>1277</v>
      </c>
      <c r="V19" s="3" t="s">
        <v>3703</v>
      </c>
      <c r="W19" s="3" t="s">
        <v>157</v>
      </c>
      <c r="X19" s="3" t="s">
        <v>1278</v>
      </c>
      <c r="Y19" s="3" t="s">
        <v>3703</v>
      </c>
      <c r="Z19" s="3" t="s">
        <v>3703</v>
      </c>
      <c r="AA19" s="3" t="s">
        <v>3703</v>
      </c>
      <c r="AB19" s="3" t="s">
        <v>3703</v>
      </c>
      <c r="AC19" s="3" t="s">
        <v>3703</v>
      </c>
      <c r="AD19" s="3" t="s">
        <v>3703</v>
      </c>
      <c r="AE19" s="3" t="s">
        <v>3703</v>
      </c>
      <c r="AF19" s="3" t="s">
        <v>3703</v>
      </c>
      <c r="AG19" s="3" t="s">
        <v>3703</v>
      </c>
      <c r="AH19" s="3" t="s">
        <v>3703</v>
      </c>
      <c r="AI19" s="3" t="s">
        <v>3703</v>
      </c>
      <c r="AJ19" s="3" t="s">
        <v>3703</v>
      </c>
      <c r="AK19" s="3" t="s">
        <v>3703</v>
      </c>
      <c r="AL19" s="3" t="s">
        <v>3703</v>
      </c>
      <c r="AM19" s="3" t="s">
        <v>3703</v>
      </c>
      <c r="AN19" s="3" t="s">
        <v>3703</v>
      </c>
      <c r="AO19" s="3" t="s">
        <v>3703</v>
      </c>
      <c r="AP19" s="3" t="s">
        <v>3703</v>
      </c>
      <c r="AQ19" s="3" t="s">
        <v>3703</v>
      </c>
      <c r="AR19" s="3" t="s">
        <v>3703</v>
      </c>
      <c r="AS19" s="3" t="s">
        <v>3703</v>
      </c>
    </row>
    <row r="20" spans="1:45" ht="15.75" customHeight="1" x14ac:dyDescent="0.25">
      <c r="A20" s="8" t="s">
        <v>3711</v>
      </c>
      <c r="B20" s="3" t="s">
        <v>1292</v>
      </c>
      <c r="C20" s="3" t="s">
        <v>358</v>
      </c>
      <c r="D20" s="3" t="s">
        <v>1293</v>
      </c>
      <c r="E20" s="3" t="s">
        <v>1294</v>
      </c>
      <c r="F20" s="3" t="s">
        <v>3839</v>
      </c>
      <c r="G20" s="3" t="s">
        <v>352</v>
      </c>
      <c r="H20" s="3" t="s">
        <v>3840</v>
      </c>
      <c r="I20" s="3" t="s">
        <v>3841</v>
      </c>
      <c r="J20" s="3" t="s">
        <v>1295</v>
      </c>
      <c r="K20" s="3" t="s">
        <v>43</v>
      </c>
      <c r="L20" s="3" t="s">
        <v>31</v>
      </c>
      <c r="M20" s="3" t="s">
        <v>240</v>
      </c>
      <c r="N20" s="3" t="s">
        <v>172</v>
      </c>
      <c r="O20" s="3" t="s">
        <v>1296</v>
      </c>
      <c r="P20" s="3" t="s">
        <v>3746</v>
      </c>
      <c r="Q20" s="3" t="s">
        <v>1297</v>
      </c>
      <c r="R20" s="3" t="s">
        <v>1298</v>
      </c>
      <c r="S20" s="3" t="s">
        <v>1299</v>
      </c>
      <c r="T20" s="3" t="s">
        <v>3842</v>
      </c>
      <c r="U20" s="3" t="s">
        <v>3842</v>
      </c>
      <c r="V20" s="3" t="s">
        <v>3843</v>
      </c>
      <c r="W20" s="3" t="s">
        <v>115</v>
      </c>
      <c r="X20" s="3" t="s">
        <v>3844</v>
      </c>
      <c r="Y20" s="3" t="s">
        <v>3703</v>
      </c>
      <c r="Z20" s="3" t="s">
        <v>3703</v>
      </c>
      <c r="AA20" s="3" t="s">
        <v>3703</v>
      </c>
      <c r="AB20" s="3" t="s">
        <v>3703</v>
      </c>
      <c r="AC20" s="3" t="s">
        <v>3703</v>
      </c>
      <c r="AD20" s="3" t="s">
        <v>3703</v>
      </c>
      <c r="AE20" s="3" t="s">
        <v>3703</v>
      </c>
      <c r="AF20" s="3" t="s">
        <v>3703</v>
      </c>
      <c r="AG20" s="3" t="s">
        <v>3703</v>
      </c>
      <c r="AH20" s="3" t="s">
        <v>3703</v>
      </c>
      <c r="AI20" s="3" t="s">
        <v>3703</v>
      </c>
      <c r="AJ20" s="3" t="s">
        <v>3703</v>
      </c>
      <c r="AK20" s="3" t="s">
        <v>3703</v>
      </c>
      <c r="AL20" s="3" t="s">
        <v>3703</v>
      </c>
      <c r="AM20" s="3" t="s">
        <v>3703</v>
      </c>
      <c r="AN20" s="3" t="s">
        <v>3703</v>
      </c>
      <c r="AO20" s="3" t="s">
        <v>3703</v>
      </c>
      <c r="AP20" s="3" t="s">
        <v>3703</v>
      </c>
      <c r="AQ20" s="3" t="s">
        <v>3703</v>
      </c>
      <c r="AR20" s="3" t="s">
        <v>3703</v>
      </c>
      <c r="AS20" s="3" t="s">
        <v>3703</v>
      </c>
    </row>
    <row r="21" spans="1:45" ht="15.75" customHeight="1" x14ac:dyDescent="0.25">
      <c r="A21" s="8" t="s">
        <v>3711</v>
      </c>
      <c r="B21" s="3" t="s">
        <v>1323</v>
      </c>
      <c r="C21" s="3" t="s">
        <v>358</v>
      </c>
      <c r="D21" s="3" t="s">
        <v>1324</v>
      </c>
      <c r="E21" s="3" t="s">
        <v>451</v>
      </c>
      <c r="F21" s="3" t="s">
        <v>3845</v>
      </c>
      <c r="G21" s="3" t="s">
        <v>1325</v>
      </c>
      <c r="H21" s="3" t="s">
        <v>3846</v>
      </c>
      <c r="I21" s="3" t="s">
        <v>3847</v>
      </c>
      <c r="J21" s="3" t="s">
        <v>1323</v>
      </c>
      <c r="K21" s="3" t="s">
        <v>43</v>
      </c>
      <c r="L21" s="3" t="s">
        <v>415</v>
      </c>
      <c r="M21" s="3" t="s">
        <v>285</v>
      </c>
      <c r="N21" s="3" t="s">
        <v>1326</v>
      </c>
      <c r="O21" s="3" t="s">
        <v>1327</v>
      </c>
      <c r="P21" s="3" t="s">
        <v>3789</v>
      </c>
      <c r="Q21" s="3" t="s">
        <v>153</v>
      </c>
      <c r="R21" s="3" t="s">
        <v>1328</v>
      </c>
      <c r="S21" s="3" t="s">
        <v>1329</v>
      </c>
      <c r="T21" s="3" t="s">
        <v>1330</v>
      </c>
      <c r="U21" s="3" t="s">
        <v>1330</v>
      </c>
      <c r="V21" s="3" t="s">
        <v>3703</v>
      </c>
      <c r="W21" s="3" t="s">
        <v>140</v>
      </c>
      <c r="X21" s="3" t="s">
        <v>3848</v>
      </c>
      <c r="Y21" s="3" t="s">
        <v>3703</v>
      </c>
      <c r="Z21" s="3" t="s">
        <v>3703</v>
      </c>
      <c r="AA21" s="3" t="s">
        <v>3703</v>
      </c>
      <c r="AB21" s="3" t="s">
        <v>3703</v>
      </c>
      <c r="AC21" s="3" t="s">
        <v>3703</v>
      </c>
      <c r="AD21" s="3" t="s">
        <v>3703</v>
      </c>
      <c r="AE21" s="3" t="s">
        <v>3703</v>
      </c>
      <c r="AF21" s="3" t="s">
        <v>3703</v>
      </c>
      <c r="AG21" s="3" t="s">
        <v>3703</v>
      </c>
      <c r="AH21" s="3" t="s">
        <v>3703</v>
      </c>
      <c r="AI21" s="3" t="s">
        <v>3703</v>
      </c>
      <c r="AJ21" s="3" t="s">
        <v>3703</v>
      </c>
      <c r="AK21" s="3" t="s">
        <v>3703</v>
      </c>
      <c r="AL21" s="3" t="s">
        <v>3703</v>
      </c>
      <c r="AM21" s="3" t="s">
        <v>3703</v>
      </c>
      <c r="AN21" s="3" t="s">
        <v>3703</v>
      </c>
      <c r="AO21" s="3" t="s">
        <v>3703</v>
      </c>
      <c r="AP21" s="3" t="s">
        <v>3703</v>
      </c>
      <c r="AQ21" s="3" t="s">
        <v>3703</v>
      </c>
      <c r="AR21" s="3" t="s">
        <v>3703</v>
      </c>
      <c r="AS21" s="3" t="s">
        <v>3703</v>
      </c>
    </row>
    <row r="22" spans="1:45" ht="15.75" customHeight="1" x14ac:dyDescent="0.25">
      <c r="A22" s="8" t="s">
        <v>3711</v>
      </c>
      <c r="B22" s="3" t="s">
        <v>1331</v>
      </c>
      <c r="C22" s="3" t="s">
        <v>358</v>
      </c>
      <c r="D22" s="3" t="s">
        <v>1332</v>
      </c>
      <c r="E22" s="3" t="s">
        <v>1333</v>
      </c>
      <c r="F22" s="3" t="s">
        <v>3849</v>
      </c>
      <c r="G22" s="3" t="s">
        <v>74</v>
      </c>
      <c r="H22" s="3" t="s">
        <v>3850</v>
      </c>
      <c r="I22" s="3" t="s">
        <v>3851</v>
      </c>
      <c r="J22" s="3" t="s">
        <v>1331</v>
      </c>
      <c r="K22" s="3" t="s">
        <v>43</v>
      </c>
      <c r="L22" s="3" t="s">
        <v>415</v>
      </c>
      <c r="M22" s="3" t="s">
        <v>92</v>
      </c>
      <c r="N22" s="3" t="s">
        <v>92</v>
      </c>
      <c r="O22" s="3" t="s">
        <v>1334</v>
      </c>
      <c r="P22" s="3" t="s">
        <v>3852</v>
      </c>
      <c r="Q22" s="3" t="s">
        <v>3703</v>
      </c>
      <c r="R22" s="3" t="s">
        <v>3703</v>
      </c>
      <c r="S22" s="3" t="s">
        <v>3703</v>
      </c>
      <c r="T22" s="3" t="s">
        <v>3703</v>
      </c>
      <c r="U22" s="3" t="s">
        <v>3853</v>
      </c>
      <c r="V22" s="3" t="s">
        <v>3703</v>
      </c>
      <c r="W22" s="3" t="s">
        <v>1335</v>
      </c>
      <c r="X22" s="3" t="s">
        <v>1336</v>
      </c>
      <c r="Y22" s="3" t="s">
        <v>3703</v>
      </c>
      <c r="Z22" s="3" t="s">
        <v>3703</v>
      </c>
      <c r="AA22" s="3" t="s">
        <v>3703</v>
      </c>
      <c r="AB22" s="3" t="s">
        <v>3703</v>
      </c>
      <c r="AC22" s="3" t="s">
        <v>3703</v>
      </c>
      <c r="AD22" s="3" t="s">
        <v>3703</v>
      </c>
      <c r="AE22" s="3" t="s">
        <v>3703</v>
      </c>
      <c r="AF22" s="3" t="s">
        <v>3703</v>
      </c>
      <c r="AG22" s="3" t="s">
        <v>3703</v>
      </c>
      <c r="AH22" s="3" t="s">
        <v>3703</v>
      </c>
      <c r="AI22" s="3" t="s">
        <v>3703</v>
      </c>
      <c r="AJ22" s="3" t="s">
        <v>3703</v>
      </c>
      <c r="AK22" s="3" t="s">
        <v>3703</v>
      </c>
      <c r="AL22" s="3" t="s">
        <v>3703</v>
      </c>
      <c r="AM22" s="3" t="s">
        <v>3703</v>
      </c>
      <c r="AN22" s="3" t="s">
        <v>3703</v>
      </c>
      <c r="AO22" s="3" t="s">
        <v>3703</v>
      </c>
      <c r="AP22" s="3" t="s">
        <v>3703</v>
      </c>
      <c r="AQ22" s="3" t="s">
        <v>3703</v>
      </c>
      <c r="AR22" s="3" t="s">
        <v>3703</v>
      </c>
      <c r="AS22" s="3" t="s">
        <v>3703</v>
      </c>
    </row>
    <row r="23" spans="1:45" ht="15.75" customHeight="1" x14ac:dyDescent="0.25">
      <c r="A23" s="8" t="s">
        <v>3711</v>
      </c>
      <c r="B23" s="3" t="s">
        <v>1356</v>
      </c>
      <c r="C23" s="3" t="s">
        <v>358</v>
      </c>
      <c r="D23" s="3" t="s">
        <v>1357</v>
      </c>
      <c r="E23" s="3" t="s">
        <v>1358</v>
      </c>
      <c r="F23" s="3" t="s">
        <v>3854</v>
      </c>
      <c r="G23" s="3" t="s">
        <v>352</v>
      </c>
      <c r="H23" s="3" t="s">
        <v>3855</v>
      </c>
      <c r="I23" s="3" t="s">
        <v>3856</v>
      </c>
      <c r="J23" s="3" t="s">
        <v>1359</v>
      </c>
      <c r="K23" s="3" t="s">
        <v>43</v>
      </c>
      <c r="L23" s="3" t="s">
        <v>76</v>
      </c>
      <c r="M23" s="3" t="s">
        <v>44</v>
      </c>
      <c r="N23" s="3" t="s">
        <v>102</v>
      </c>
      <c r="O23" s="3" t="s">
        <v>1360</v>
      </c>
      <c r="P23" s="3" t="s">
        <v>3746</v>
      </c>
      <c r="Q23" s="3" t="s">
        <v>3703</v>
      </c>
      <c r="R23" s="3" t="s">
        <v>3703</v>
      </c>
      <c r="S23" s="3" t="s">
        <v>3703</v>
      </c>
      <c r="T23" s="3" t="s">
        <v>3703</v>
      </c>
      <c r="U23" s="3" t="s">
        <v>1361</v>
      </c>
      <c r="V23" s="3" t="s">
        <v>3703</v>
      </c>
      <c r="W23" s="3" t="s">
        <v>115</v>
      </c>
      <c r="X23" s="3" t="s">
        <v>3857</v>
      </c>
      <c r="Y23" s="3" t="s">
        <v>3703</v>
      </c>
      <c r="Z23" s="3" t="s">
        <v>3703</v>
      </c>
      <c r="AA23" s="3" t="s">
        <v>3703</v>
      </c>
      <c r="AB23" s="3" t="s">
        <v>3703</v>
      </c>
      <c r="AC23" s="3" t="s">
        <v>3703</v>
      </c>
      <c r="AD23" s="3" t="s">
        <v>3703</v>
      </c>
      <c r="AE23" s="3" t="s">
        <v>3703</v>
      </c>
      <c r="AF23" s="3" t="s">
        <v>3703</v>
      </c>
      <c r="AG23" s="3" t="s">
        <v>3703</v>
      </c>
      <c r="AH23" s="3" t="s">
        <v>3703</v>
      </c>
      <c r="AI23" s="3" t="s">
        <v>3703</v>
      </c>
      <c r="AJ23" s="3" t="s">
        <v>3703</v>
      </c>
      <c r="AK23" s="3" t="s">
        <v>3703</v>
      </c>
      <c r="AL23" s="3" t="s">
        <v>3703</v>
      </c>
      <c r="AM23" s="3" t="s">
        <v>3703</v>
      </c>
      <c r="AN23" s="3" t="s">
        <v>3703</v>
      </c>
      <c r="AO23" s="3" t="s">
        <v>3703</v>
      </c>
      <c r="AP23" s="3" t="s">
        <v>3703</v>
      </c>
      <c r="AQ23" s="3" t="s">
        <v>3703</v>
      </c>
      <c r="AR23" s="3" t="s">
        <v>3703</v>
      </c>
      <c r="AS23" s="3" t="s">
        <v>3703</v>
      </c>
    </row>
    <row r="24" spans="1:45" ht="15.75" customHeight="1" x14ac:dyDescent="0.25">
      <c r="A24" s="8" t="s">
        <v>3711</v>
      </c>
      <c r="B24" s="3" t="s">
        <v>1382</v>
      </c>
      <c r="C24" s="3" t="s">
        <v>358</v>
      </c>
      <c r="D24" s="3" t="s">
        <v>1383</v>
      </c>
      <c r="E24" s="3" t="s">
        <v>1384</v>
      </c>
      <c r="F24" s="3" t="s">
        <v>1385</v>
      </c>
      <c r="G24" s="3" t="s">
        <v>318</v>
      </c>
      <c r="H24" s="3" t="s">
        <v>3858</v>
      </c>
      <c r="I24" s="3" t="s">
        <v>3204</v>
      </c>
      <c r="J24" s="3" t="s">
        <v>1382</v>
      </c>
      <c r="K24" s="3" t="s">
        <v>43</v>
      </c>
      <c r="L24" s="3" t="s">
        <v>31</v>
      </c>
      <c r="M24" s="3" t="s">
        <v>44</v>
      </c>
      <c r="N24" s="3" t="s">
        <v>92</v>
      </c>
      <c r="O24" s="3" t="s">
        <v>1386</v>
      </c>
      <c r="P24" s="3" t="s">
        <v>3859</v>
      </c>
      <c r="Q24" s="3" t="s">
        <v>1387</v>
      </c>
      <c r="R24" s="3" t="s">
        <v>1388</v>
      </c>
      <c r="S24" s="3" t="s">
        <v>1389</v>
      </c>
      <c r="T24" s="3" t="s">
        <v>1390</v>
      </c>
      <c r="U24" s="3" t="s">
        <v>1391</v>
      </c>
      <c r="V24" s="3" t="s">
        <v>3703</v>
      </c>
      <c r="W24" s="3" t="s">
        <v>1392</v>
      </c>
      <c r="X24" s="3" t="s">
        <v>3858</v>
      </c>
      <c r="Y24" s="3" t="s">
        <v>3703</v>
      </c>
      <c r="Z24" s="3" t="s">
        <v>3703</v>
      </c>
      <c r="AA24" s="3" t="s">
        <v>3703</v>
      </c>
      <c r="AB24" s="3" t="s">
        <v>3703</v>
      </c>
      <c r="AC24" s="3" t="s">
        <v>3703</v>
      </c>
      <c r="AD24" s="3" t="s">
        <v>3703</v>
      </c>
      <c r="AE24" s="3" t="s">
        <v>3703</v>
      </c>
      <c r="AF24" s="3" t="s">
        <v>3703</v>
      </c>
      <c r="AG24" s="3" t="s">
        <v>3703</v>
      </c>
      <c r="AH24" s="3" t="s">
        <v>3703</v>
      </c>
      <c r="AI24" s="3" t="s">
        <v>3703</v>
      </c>
      <c r="AJ24" s="3" t="s">
        <v>3703</v>
      </c>
      <c r="AK24" s="3" t="s">
        <v>3703</v>
      </c>
      <c r="AL24" s="3" t="s">
        <v>3703</v>
      </c>
      <c r="AM24" s="3" t="s">
        <v>3703</v>
      </c>
      <c r="AN24" s="3" t="s">
        <v>3703</v>
      </c>
      <c r="AO24" s="3" t="s">
        <v>3703</v>
      </c>
      <c r="AP24" s="3" t="s">
        <v>3703</v>
      </c>
      <c r="AQ24" s="3" t="s">
        <v>3703</v>
      </c>
      <c r="AR24" s="3" t="s">
        <v>3703</v>
      </c>
      <c r="AS24" s="3" t="s">
        <v>3703</v>
      </c>
    </row>
    <row r="25" spans="1:45" ht="15.75" customHeight="1" x14ac:dyDescent="0.25">
      <c r="A25" s="8" t="s">
        <v>3711</v>
      </c>
      <c r="B25" s="3" t="s">
        <v>1411</v>
      </c>
      <c r="C25" s="3" t="s">
        <v>358</v>
      </c>
      <c r="D25" s="3" t="s">
        <v>879</v>
      </c>
      <c r="E25" s="3" t="s">
        <v>1413</v>
      </c>
      <c r="F25" s="3" t="s">
        <v>3860</v>
      </c>
      <c r="G25" s="3" t="s">
        <v>326</v>
      </c>
      <c r="H25" s="3" t="s">
        <v>3861</v>
      </c>
      <c r="I25" s="3" t="s">
        <v>3862</v>
      </c>
      <c r="J25" s="3" t="s">
        <v>1411</v>
      </c>
      <c r="K25" s="3" t="s">
        <v>43</v>
      </c>
      <c r="L25" s="3" t="s">
        <v>31</v>
      </c>
      <c r="M25" s="3" t="s">
        <v>44</v>
      </c>
      <c r="N25" s="3" t="s">
        <v>327</v>
      </c>
      <c r="O25" s="3" t="s">
        <v>1417</v>
      </c>
      <c r="P25" s="3" t="s">
        <v>3863</v>
      </c>
      <c r="Q25" s="3" t="s">
        <v>546</v>
      </c>
      <c r="R25" s="3" t="s">
        <v>1415</v>
      </c>
      <c r="S25" s="3" t="s">
        <v>3703</v>
      </c>
      <c r="T25" s="3" t="s">
        <v>3703</v>
      </c>
      <c r="U25" s="3" t="s">
        <v>1416</v>
      </c>
      <c r="V25" s="3" t="s">
        <v>3703</v>
      </c>
      <c r="W25" s="3" t="s">
        <v>70</v>
      </c>
      <c r="X25" s="3" t="s">
        <v>3864</v>
      </c>
      <c r="Y25" s="3" t="s">
        <v>3703</v>
      </c>
      <c r="Z25" s="3" t="s">
        <v>3703</v>
      </c>
      <c r="AA25" s="3" t="s">
        <v>3703</v>
      </c>
      <c r="AB25" s="3" t="s">
        <v>3703</v>
      </c>
      <c r="AC25" s="3" t="s">
        <v>3703</v>
      </c>
      <c r="AD25" s="3" t="s">
        <v>3703</v>
      </c>
      <c r="AE25" s="3" t="s">
        <v>3703</v>
      </c>
      <c r="AF25" s="3" t="s">
        <v>3703</v>
      </c>
      <c r="AG25" s="3" t="s">
        <v>3703</v>
      </c>
      <c r="AH25" s="3" t="s">
        <v>3703</v>
      </c>
      <c r="AI25" s="3" t="s">
        <v>3703</v>
      </c>
      <c r="AJ25" s="3" t="s">
        <v>3703</v>
      </c>
      <c r="AK25" s="3" t="s">
        <v>3703</v>
      </c>
      <c r="AL25" s="3" t="s">
        <v>3703</v>
      </c>
      <c r="AM25" s="3" t="s">
        <v>3703</v>
      </c>
      <c r="AN25" s="3" t="s">
        <v>3703</v>
      </c>
      <c r="AO25" s="3" t="s">
        <v>3703</v>
      </c>
      <c r="AP25" s="3" t="s">
        <v>3703</v>
      </c>
      <c r="AQ25" s="3" t="s">
        <v>3703</v>
      </c>
      <c r="AR25" s="3" t="s">
        <v>3703</v>
      </c>
      <c r="AS25" s="3" t="s">
        <v>3703</v>
      </c>
    </row>
    <row r="26" spans="1:45" ht="15.75" customHeight="1" x14ac:dyDescent="0.25">
      <c r="A26" s="8" t="s">
        <v>3711</v>
      </c>
      <c r="B26" s="3" t="s">
        <v>1450</v>
      </c>
      <c r="C26" s="3" t="s">
        <v>358</v>
      </c>
      <c r="D26" s="3" t="s">
        <v>1451</v>
      </c>
      <c r="E26" s="3" t="s">
        <v>1452</v>
      </c>
      <c r="F26" s="3" t="s">
        <v>3865</v>
      </c>
      <c r="G26" s="3" t="s">
        <v>470</v>
      </c>
      <c r="H26" s="3" t="s">
        <v>3866</v>
      </c>
      <c r="I26" s="3" t="s">
        <v>3867</v>
      </c>
      <c r="J26" s="3" t="s">
        <v>1450</v>
      </c>
      <c r="K26" s="3" t="s">
        <v>43</v>
      </c>
      <c r="L26" s="3" t="s">
        <v>31</v>
      </c>
      <c r="M26" s="3" t="s">
        <v>44</v>
      </c>
      <c r="N26" s="3" t="s">
        <v>1453</v>
      </c>
      <c r="O26" s="3" t="s">
        <v>1454</v>
      </c>
      <c r="P26" s="3" t="s">
        <v>3868</v>
      </c>
      <c r="Q26" s="3" t="s">
        <v>3703</v>
      </c>
      <c r="R26" s="3" t="s">
        <v>3703</v>
      </c>
      <c r="S26" s="3" t="s">
        <v>3703</v>
      </c>
      <c r="T26" s="3" t="s">
        <v>3703</v>
      </c>
      <c r="U26" s="3" t="s">
        <v>3869</v>
      </c>
      <c r="V26" s="3" t="s">
        <v>3703</v>
      </c>
      <c r="W26" s="3" t="s">
        <v>140</v>
      </c>
      <c r="X26" s="3" t="s">
        <v>3870</v>
      </c>
      <c r="Y26" s="3" t="s">
        <v>3703</v>
      </c>
      <c r="Z26" s="3" t="s">
        <v>3703</v>
      </c>
      <c r="AA26" s="3" t="s">
        <v>3703</v>
      </c>
      <c r="AB26" s="3" t="s">
        <v>3703</v>
      </c>
      <c r="AC26" s="3" t="s">
        <v>3703</v>
      </c>
      <c r="AD26" s="3" t="s">
        <v>3703</v>
      </c>
      <c r="AE26" s="3" t="s">
        <v>3703</v>
      </c>
      <c r="AF26" s="3" t="s">
        <v>3703</v>
      </c>
      <c r="AG26" s="3" t="s">
        <v>3703</v>
      </c>
      <c r="AH26" s="3" t="s">
        <v>3703</v>
      </c>
      <c r="AI26" s="3" t="s">
        <v>3703</v>
      </c>
      <c r="AJ26" s="3" t="s">
        <v>3703</v>
      </c>
      <c r="AK26" s="3" t="s">
        <v>3703</v>
      </c>
      <c r="AL26" s="3" t="s">
        <v>3703</v>
      </c>
      <c r="AM26" s="3" t="s">
        <v>3703</v>
      </c>
      <c r="AN26" s="3" t="s">
        <v>3703</v>
      </c>
      <c r="AO26" s="3" t="s">
        <v>3703</v>
      </c>
      <c r="AP26" s="3" t="s">
        <v>3703</v>
      </c>
      <c r="AQ26" s="3" t="s">
        <v>3703</v>
      </c>
      <c r="AR26" s="3" t="s">
        <v>3703</v>
      </c>
      <c r="AS26" s="3" t="s">
        <v>3703</v>
      </c>
    </row>
    <row r="27" spans="1:45" ht="13.8" x14ac:dyDescent="0.25">
      <c r="A27" s="8" t="s">
        <v>3711</v>
      </c>
      <c r="B27" s="3" t="s">
        <v>1471</v>
      </c>
      <c r="C27" s="3" t="s">
        <v>358</v>
      </c>
      <c r="D27" s="3" t="s">
        <v>1472</v>
      </c>
      <c r="E27" s="3" t="s">
        <v>1473</v>
      </c>
      <c r="F27" s="3" t="s">
        <v>3871</v>
      </c>
      <c r="G27" s="3" t="s">
        <v>65</v>
      </c>
      <c r="H27" s="3" t="s">
        <v>3872</v>
      </c>
      <c r="I27" s="3" t="s">
        <v>3873</v>
      </c>
      <c r="J27" s="3" t="s">
        <v>1471</v>
      </c>
      <c r="K27" s="3" t="s">
        <v>30</v>
      </c>
      <c r="L27" s="3" t="s">
        <v>311</v>
      </c>
      <c r="M27" s="3" t="s">
        <v>384</v>
      </c>
      <c r="N27" s="3" t="s">
        <v>1474</v>
      </c>
      <c r="O27" s="3" t="s">
        <v>1475</v>
      </c>
      <c r="P27" s="3" t="s">
        <v>3874</v>
      </c>
      <c r="Q27" s="3" t="s">
        <v>3703</v>
      </c>
      <c r="R27" s="3" t="s">
        <v>3703</v>
      </c>
      <c r="S27" s="3" t="s">
        <v>3703</v>
      </c>
      <c r="T27" s="3" t="s">
        <v>3703</v>
      </c>
      <c r="U27" s="3" t="s">
        <v>3875</v>
      </c>
      <c r="V27" s="3" t="s">
        <v>3703</v>
      </c>
      <c r="W27" s="3" t="s">
        <v>211</v>
      </c>
      <c r="X27" s="3" t="s">
        <v>3876</v>
      </c>
      <c r="Y27" s="3" t="s">
        <v>3703</v>
      </c>
      <c r="Z27" s="3" t="s">
        <v>3703</v>
      </c>
      <c r="AA27" s="3" t="s">
        <v>3703</v>
      </c>
      <c r="AB27" s="3" t="s">
        <v>3703</v>
      </c>
      <c r="AC27" s="3" t="s">
        <v>3703</v>
      </c>
      <c r="AD27" s="3" t="s">
        <v>3703</v>
      </c>
      <c r="AE27" s="3" t="s">
        <v>3703</v>
      </c>
      <c r="AF27" s="3" t="s">
        <v>3703</v>
      </c>
      <c r="AG27" s="3" t="s">
        <v>3703</v>
      </c>
      <c r="AH27" s="3" t="s">
        <v>3703</v>
      </c>
      <c r="AI27" s="3" t="s">
        <v>3703</v>
      </c>
      <c r="AJ27" s="3" t="s">
        <v>3703</v>
      </c>
      <c r="AK27" s="3" t="s">
        <v>3703</v>
      </c>
      <c r="AL27" s="3" t="s">
        <v>3703</v>
      </c>
      <c r="AM27" s="3" t="s">
        <v>3703</v>
      </c>
      <c r="AN27" s="3" t="s">
        <v>3703</v>
      </c>
      <c r="AO27" s="3" t="s">
        <v>3703</v>
      </c>
      <c r="AP27" s="3" t="s">
        <v>3703</v>
      </c>
      <c r="AQ27" s="3" t="s">
        <v>3703</v>
      </c>
      <c r="AR27" s="3" t="s">
        <v>3703</v>
      </c>
      <c r="AS27" s="3" t="s">
        <v>3703</v>
      </c>
    </row>
    <row r="28" spans="1:45" ht="13.8" x14ac:dyDescent="0.25">
      <c r="A28" s="8" t="s">
        <v>3711</v>
      </c>
      <c r="B28" s="3" t="s">
        <v>1553</v>
      </c>
      <c r="C28" s="3" t="s">
        <v>358</v>
      </c>
      <c r="D28" s="3" t="s">
        <v>581</v>
      </c>
      <c r="E28" s="3" t="s">
        <v>1554</v>
      </c>
      <c r="F28" s="3" t="s">
        <v>3877</v>
      </c>
      <c r="G28" s="3" t="s">
        <v>470</v>
      </c>
      <c r="H28" s="3" t="s">
        <v>3878</v>
      </c>
      <c r="I28" s="3" t="s">
        <v>3879</v>
      </c>
      <c r="J28" s="3" t="s">
        <v>1555</v>
      </c>
      <c r="K28" s="3" t="s">
        <v>43</v>
      </c>
      <c r="L28" s="3" t="s">
        <v>31</v>
      </c>
      <c r="M28" s="3" t="s">
        <v>240</v>
      </c>
      <c r="N28" s="3" t="s">
        <v>1556</v>
      </c>
      <c r="O28" s="3" t="s">
        <v>1557</v>
      </c>
      <c r="P28" s="3" t="s">
        <v>1558</v>
      </c>
      <c r="Q28" s="3" t="s">
        <v>3703</v>
      </c>
      <c r="R28" s="3" t="s">
        <v>3703</v>
      </c>
      <c r="S28" s="3" t="s">
        <v>3703</v>
      </c>
      <c r="T28" s="3" t="s">
        <v>3703</v>
      </c>
      <c r="U28" s="3" t="s">
        <v>1559</v>
      </c>
      <c r="V28" s="3" t="s">
        <v>3703</v>
      </c>
      <c r="W28" s="3" t="s">
        <v>1560</v>
      </c>
      <c r="X28" s="3" t="s">
        <v>1561</v>
      </c>
      <c r="Y28" s="3" t="s">
        <v>3703</v>
      </c>
      <c r="Z28" s="3" t="s">
        <v>3703</v>
      </c>
      <c r="AA28" s="3" t="s">
        <v>3703</v>
      </c>
      <c r="AB28" s="3" t="s">
        <v>3703</v>
      </c>
      <c r="AC28" s="3" t="s">
        <v>3703</v>
      </c>
      <c r="AD28" s="3" t="s">
        <v>3703</v>
      </c>
      <c r="AE28" s="3" t="s">
        <v>3703</v>
      </c>
      <c r="AF28" s="3" t="s">
        <v>3703</v>
      </c>
      <c r="AG28" s="3" t="s">
        <v>3703</v>
      </c>
      <c r="AH28" s="3" t="s">
        <v>3703</v>
      </c>
      <c r="AI28" s="3" t="s">
        <v>3703</v>
      </c>
      <c r="AJ28" s="3" t="s">
        <v>3703</v>
      </c>
      <c r="AK28" s="3" t="s">
        <v>3703</v>
      </c>
      <c r="AL28" s="3" t="s">
        <v>3703</v>
      </c>
      <c r="AM28" s="3" t="s">
        <v>3703</v>
      </c>
      <c r="AN28" s="3" t="s">
        <v>3703</v>
      </c>
      <c r="AO28" s="3" t="s">
        <v>3703</v>
      </c>
      <c r="AP28" s="3" t="s">
        <v>3703</v>
      </c>
      <c r="AQ28" s="3" t="s">
        <v>3703</v>
      </c>
      <c r="AR28" s="3" t="s">
        <v>3703</v>
      </c>
      <c r="AS28" s="3" t="s">
        <v>3703</v>
      </c>
    </row>
    <row r="29" spans="1:45" ht="13.8" x14ac:dyDescent="0.25">
      <c r="A29" s="8" t="s">
        <v>3711</v>
      </c>
      <c r="B29" s="3" t="s">
        <v>1592</v>
      </c>
      <c r="C29" s="3" t="s">
        <v>358</v>
      </c>
      <c r="D29" s="3" t="s">
        <v>1593</v>
      </c>
      <c r="E29" s="3" t="s">
        <v>1594</v>
      </c>
      <c r="F29" s="3" t="s">
        <v>3880</v>
      </c>
      <c r="G29" s="3" t="s">
        <v>1275</v>
      </c>
      <c r="H29" s="3" t="s">
        <v>3881</v>
      </c>
      <c r="I29" s="3" t="s">
        <v>3882</v>
      </c>
      <c r="J29" s="3" t="s">
        <v>1595</v>
      </c>
      <c r="K29" s="3" t="s">
        <v>43</v>
      </c>
      <c r="L29" s="3" t="s">
        <v>31</v>
      </c>
      <c r="M29" s="3" t="s">
        <v>1596</v>
      </c>
      <c r="N29" s="3" t="s">
        <v>1597</v>
      </c>
      <c r="O29" s="3" t="s">
        <v>1598</v>
      </c>
      <c r="P29" s="3" t="s">
        <v>3883</v>
      </c>
      <c r="Q29" s="3" t="s">
        <v>1599</v>
      </c>
      <c r="R29" s="3" t="s">
        <v>1600</v>
      </c>
      <c r="S29" s="3" t="s">
        <v>1595</v>
      </c>
      <c r="T29" s="3" t="s">
        <v>3884</v>
      </c>
      <c r="U29" s="3" t="s">
        <v>3885</v>
      </c>
      <c r="V29" s="3" t="s">
        <v>3884</v>
      </c>
      <c r="W29" s="3" t="s">
        <v>968</v>
      </c>
      <c r="X29" s="3" t="s">
        <v>3886</v>
      </c>
      <c r="Y29" s="3" t="s">
        <v>3703</v>
      </c>
      <c r="Z29" s="3" t="s">
        <v>3703</v>
      </c>
      <c r="AA29" s="3" t="s">
        <v>3703</v>
      </c>
      <c r="AB29" s="3" t="s">
        <v>3703</v>
      </c>
      <c r="AC29" s="3" t="s">
        <v>3703</v>
      </c>
      <c r="AD29" s="3" t="s">
        <v>3703</v>
      </c>
      <c r="AE29" s="3" t="s">
        <v>3703</v>
      </c>
      <c r="AF29" s="3" t="s">
        <v>3703</v>
      </c>
      <c r="AG29" s="3" t="s">
        <v>3703</v>
      </c>
      <c r="AH29" s="3" t="s">
        <v>3703</v>
      </c>
      <c r="AI29" s="3" t="s">
        <v>3703</v>
      </c>
      <c r="AJ29" s="3" t="s">
        <v>3703</v>
      </c>
      <c r="AK29" s="3" t="s">
        <v>3703</v>
      </c>
      <c r="AL29" s="3" t="s">
        <v>3703</v>
      </c>
      <c r="AM29" s="3" t="s">
        <v>3703</v>
      </c>
      <c r="AN29" s="3" t="s">
        <v>3703</v>
      </c>
      <c r="AO29" s="3" t="s">
        <v>3703</v>
      </c>
      <c r="AP29" s="3" t="s">
        <v>3703</v>
      </c>
      <c r="AQ29" s="3" t="s">
        <v>3703</v>
      </c>
      <c r="AR29" s="3" t="s">
        <v>3703</v>
      </c>
      <c r="AS29" s="3" t="s">
        <v>3703</v>
      </c>
    </row>
    <row r="30" spans="1:45" ht="13.8" x14ac:dyDescent="0.25">
      <c r="A30" s="8" t="s">
        <v>3711</v>
      </c>
      <c r="B30" s="3" t="s">
        <v>1628</v>
      </c>
      <c r="C30" s="3" t="s">
        <v>358</v>
      </c>
      <c r="D30" s="3" t="s">
        <v>300</v>
      </c>
      <c r="E30" s="3" t="s">
        <v>1629</v>
      </c>
      <c r="F30" s="3" t="s">
        <v>3887</v>
      </c>
      <c r="G30" s="3" t="s">
        <v>352</v>
      </c>
      <c r="H30" s="3" t="s">
        <v>3888</v>
      </c>
      <c r="I30" s="3" t="s">
        <v>3889</v>
      </c>
      <c r="J30" s="3" t="s">
        <v>1628</v>
      </c>
      <c r="K30" s="3" t="s">
        <v>43</v>
      </c>
      <c r="L30" s="3" t="s">
        <v>31</v>
      </c>
      <c r="M30" s="3" t="s">
        <v>44</v>
      </c>
      <c r="N30" s="3" t="s">
        <v>111</v>
      </c>
      <c r="O30" s="3" t="s">
        <v>1630</v>
      </c>
      <c r="P30" s="3" t="s">
        <v>3890</v>
      </c>
      <c r="Q30" s="3" t="s">
        <v>1199</v>
      </c>
      <c r="R30" s="3" t="s">
        <v>1629</v>
      </c>
      <c r="S30" s="3" t="s">
        <v>1631</v>
      </c>
      <c r="T30" s="3" t="s">
        <v>1632</v>
      </c>
      <c r="U30" s="3" t="s">
        <v>1632</v>
      </c>
      <c r="V30" s="3" t="s">
        <v>1633</v>
      </c>
      <c r="W30" s="3" t="s">
        <v>115</v>
      </c>
      <c r="X30" s="3" t="s">
        <v>3891</v>
      </c>
      <c r="Y30" s="3" t="s">
        <v>3703</v>
      </c>
      <c r="Z30" s="3" t="s">
        <v>3703</v>
      </c>
      <c r="AA30" s="3" t="s">
        <v>3703</v>
      </c>
      <c r="AB30" s="3" t="s">
        <v>3703</v>
      </c>
      <c r="AC30" s="3" t="s">
        <v>3703</v>
      </c>
      <c r="AD30" s="3" t="s">
        <v>3703</v>
      </c>
      <c r="AE30" s="3" t="s">
        <v>3703</v>
      </c>
      <c r="AF30" s="3" t="s">
        <v>3703</v>
      </c>
      <c r="AG30" s="3" t="s">
        <v>3703</v>
      </c>
      <c r="AH30" s="3" t="s">
        <v>3703</v>
      </c>
      <c r="AI30" s="3" t="s">
        <v>3703</v>
      </c>
      <c r="AJ30" s="3" t="s">
        <v>3703</v>
      </c>
      <c r="AK30" s="3" t="s">
        <v>3703</v>
      </c>
      <c r="AL30" s="3" t="s">
        <v>3703</v>
      </c>
      <c r="AM30" s="3" t="s">
        <v>3703</v>
      </c>
      <c r="AN30" s="3" t="s">
        <v>3703</v>
      </c>
      <c r="AO30" s="3" t="s">
        <v>3703</v>
      </c>
      <c r="AP30" s="3" t="s">
        <v>3703</v>
      </c>
      <c r="AQ30" s="3" t="s">
        <v>3703</v>
      </c>
      <c r="AR30" s="3" t="s">
        <v>3703</v>
      </c>
      <c r="AS30" s="3" t="s">
        <v>3703</v>
      </c>
    </row>
    <row r="31" spans="1:45" ht="13.8" x14ac:dyDescent="0.25">
      <c r="A31" s="8" t="s">
        <v>3698</v>
      </c>
      <c r="B31" s="3" t="s">
        <v>1670</v>
      </c>
      <c r="C31" s="3" t="s">
        <v>358</v>
      </c>
      <c r="D31" s="3" t="s">
        <v>194</v>
      </c>
      <c r="E31" s="3" t="s">
        <v>1671</v>
      </c>
      <c r="F31" s="3" t="s">
        <v>3892</v>
      </c>
      <c r="G31" s="3" t="s">
        <v>452</v>
      </c>
      <c r="H31" s="3" t="s">
        <v>3893</v>
      </c>
      <c r="I31" s="3" t="s">
        <v>3894</v>
      </c>
      <c r="J31" s="3" t="s">
        <v>1672</v>
      </c>
      <c r="K31" s="3" t="s">
        <v>43</v>
      </c>
      <c r="L31" s="3" t="s">
        <v>76</v>
      </c>
      <c r="M31" s="3" t="s">
        <v>551</v>
      </c>
      <c r="N31" s="3" t="s">
        <v>551</v>
      </c>
      <c r="O31" s="3" t="s">
        <v>1673</v>
      </c>
      <c r="P31" s="3" t="s">
        <v>3724</v>
      </c>
      <c r="Q31" s="3" t="s">
        <v>3703</v>
      </c>
      <c r="R31" s="3" t="s">
        <v>3703</v>
      </c>
      <c r="S31" s="3" t="s">
        <v>3703</v>
      </c>
      <c r="T31" s="3" t="s">
        <v>3703</v>
      </c>
      <c r="U31" s="3" t="s">
        <v>3895</v>
      </c>
      <c r="V31" s="3" t="s">
        <v>3703</v>
      </c>
      <c r="W31" s="3" t="s">
        <v>1674</v>
      </c>
      <c r="X31" s="3" t="s">
        <v>1675</v>
      </c>
      <c r="Y31" s="3" t="s">
        <v>3703</v>
      </c>
      <c r="Z31" s="3" t="s">
        <v>3703</v>
      </c>
      <c r="AA31" s="3" t="s">
        <v>3703</v>
      </c>
      <c r="AB31" s="3" t="s">
        <v>3703</v>
      </c>
      <c r="AC31" s="3" t="s">
        <v>3703</v>
      </c>
      <c r="AD31" s="3" t="s">
        <v>3703</v>
      </c>
      <c r="AE31" s="3" t="s">
        <v>3703</v>
      </c>
      <c r="AF31" s="3" t="s">
        <v>3703</v>
      </c>
      <c r="AG31" s="3" t="s">
        <v>3703</v>
      </c>
      <c r="AH31" s="3" t="s">
        <v>3703</v>
      </c>
      <c r="AI31" s="3" t="s">
        <v>3703</v>
      </c>
      <c r="AJ31" s="3" t="s">
        <v>3703</v>
      </c>
      <c r="AK31" s="3" t="s">
        <v>3703</v>
      </c>
      <c r="AL31" s="3" t="s">
        <v>3703</v>
      </c>
      <c r="AM31" s="3" t="s">
        <v>3703</v>
      </c>
      <c r="AN31" s="3" t="s">
        <v>3703</v>
      </c>
      <c r="AO31" s="3" t="s">
        <v>3703</v>
      </c>
      <c r="AP31" s="3" t="s">
        <v>3703</v>
      </c>
      <c r="AQ31" s="3" t="s">
        <v>3703</v>
      </c>
      <c r="AR31" s="3" t="s">
        <v>3703</v>
      </c>
      <c r="AS31" s="3" t="s">
        <v>3703</v>
      </c>
    </row>
    <row r="32" spans="1:45" ht="13.8" x14ac:dyDescent="0.25">
      <c r="A32" s="8" t="s">
        <v>3711</v>
      </c>
      <c r="B32" s="3" t="s">
        <v>365</v>
      </c>
      <c r="C32" s="3" t="s">
        <v>358</v>
      </c>
      <c r="D32" s="3" t="s">
        <v>1199</v>
      </c>
      <c r="E32" s="3" t="s">
        <v>1716</v>
      </c>
      <c r="F32" s="3" t="s">
        <v>3896</v>
      </c>
      <c r="G32" s="3" t="s">
        <v>74</v>
      </c>
      <c r="H32" s="3" t="s">
        <v>3700</v>
      </c>
      <c r="I32" s="3" t="s">
        <v>3701</v>
      </c>
      <c r="J32" s="3" t="s">
        <v>365</v>
      </c>
      <c r="K32" s="3" t="s">
        <v>43</v>
      </c>
      <c r="L32" s="3" t="s">
        <v>31</v>
      </c>
      <c r="M32" s="3" t="s">
        <v>44</v>
      </c>
      <c r="N32" s="3" t="s">
        <v>142</v>
      </c>
      <c r="O32" s="3" t="s">
        <v>1717</v>
      </c>
      <c r="P32" s="3" t="s">
        <v>3702</v>
      </c>
      <c r="Q32" s="3" t="s">
        <v>3703</v>
      </c>
      <c r="R32" s="3" t="s">
        <v>3703</v>
      </c>
      <c r="S32" s="3" t="s">
        <v>3703</v>
      </c>
      <c r="T32" s="3" t="s">
        <v>3703</v>
      </c>
      <c r="U32" s="3" t="s">
        <v>3704</v>
      </c>
      <c r="V32" s="3" t="s">
        <v>3703</v>
      </c>
      <c r="W32" s="3" t="s">
        <v>392</v>
      </c>
      <c r="X32" s="3" t="s">
        <v>3706</v>
      </c>
      <c r="Y32" s="3" t="s">
        <v>3703</v>
      </c>
      <c r="Z32" s="3" t="s">
        <v>3703</v>
      </c>
      <c r="AA32" s="3" t="s">
        <v>3703</v>
      </c>
      <c r="AB32" s="3" t="s">
        <v>3703</v>
      </c>
      <c r="AC32" s="3" t="s">
        <v>3703</v>
      </c>
      <c r="AD32" s="3" t="s">
        <v>3703</v>
      </c>
      <c r="AE32" s="3" t="s">
        <v>3703</v>
      </c>
      <c r="AF32" s="3" t="s">
        <v>3703</v>
      </c>
      <c r="AG32" s="3" t="s">
        <v>3703</v>
      </c>
      <c r="AH32" s="3" t="s">
        <v>3703</v>
      </c>
      <c r="AI32" s="3" t="s">
        <v>3703</v>
      </c>
      <c r="AJ32" s="3" t="s">
        <v>3703</v>
      </c>
      <c r="AK32" s="3" t="s">
        <v>3703</v>
      </c>
      <c r="AL32" s="3" t="s">
        <v>3703</v>
      </c>
      <c r="AM32" s="3" t="s">
        <v>3703</v>
      </c>
      <c r="AN32" s="3" t="s">
        <v>3703</v>
      </c>
      <c r="AO32" s="3" t="s">
        <v>3703</v>
      </c>
      <c r="AP32" s="3" t="s">
        <v>3703</v>
      </c>
      <c r="AQ32" s="3" t="s">
        <v>3703</v>
      </c>
      <c r="AR32" s="3" t="s">
        <v>3703</v>
      </c>
      <c r="AS32" s="3" t="s">
        <v>3703</v>
      </c>
    </row>
    <row r="33" spans="1:45" ht="13.8" x14ac:dyDescent="0.25">
      <c r="A33" s="8" t="s">
        <v>3711</v>
      </c>
      <c r="B33" s="3" t="s">
        <v>1748</v>
      </c>
      <c r="C33" s="3" t="s">
        <v>358</v>
      </c>
      <c r="D33" s="3" t="s">
        <v>1338</v>
      </c>
      <c r="E33" s="3" t="s">
        <v>1749</v>
      </c>
      <c r="F33" s="3" t="s">
        <v>3897</v>
      </c>
      <c r="G33" s="3" t="s">
        <v>1275</v>
      </c>
      <c r="H33" s="3" t="s">
        <v>3898</v>
      </c>
      <c r="I33" s="3" t="s">
        <v>3899</v>
      </c>
      <c r="J33" s="3" t="s">
        <v>1750</v>
      </c>
      <c r="K33" s="3" t="s">
        <v>43</v>
      </c>
      <c r="L33" s="3" t="s">
        <v>76</v>
      </c>
      <c r="M33" s="3" t="s">
        <v>240</v>
      </c>
      <c r="N33" s="3" t="s">
        <v>142</v>
      </c>
      <c r="O33" s="3" t="s">
        <v>1751</v>
      </c>
      <c r="P33" s="3" t="s">
        <v>3900</v>
      </c>
      <c r="Q33" s="3" t="s">
        <v>1752</v>
      </c>
      <c r="R33" s="3" t="s">
        <v>1753</v>
      </c>
      <c r="S33" s="3" t="s">
        <v>1754</v>
      </c>
      <c r="T33" s="3" t="s">
        <v>3901</v>
      </c>
      <c r="U33" s="3" t="s">
        <v>3902</v>
      </c>
      <c r="V33" s="3" t="s">
        <v>3703</v>
      </c>
      <c r="W33" s="3" t="s">
        <v>1755</v>
      </c>
      <c r="X33" s="3" t="s">
        <v>3903</v>
      </c>
      <c r="Y33" s="3" t="s">
        <v>3703</v>
      </c>
      <c r="Z33" s="3" t="s">
        <v>3703</v>
      </c>
      <c r="AA33" s="3" t="s">
        <v>3703</v>
      </c>
      <c r="AB33" s="3" t="s">
        <v>3703</v>
      </c>
      <c r="AC33" s="3" t="s">
        <v>3703</v>
      </c>
      <c r="AD33" s="3" t="s">
        <v>3703</v>
      </c>
      <c r="AE33" s="3" t="s">
        <v>3703</v>
      </c>
      <c r="AF33" s="3" t="s">
        <v>3703</v>
      </c>
      <c r="AG33" s="3" t="s">
        <v>3703</v>
      </c>
      <c r="AH33" s="3" t="s">
        <v>3703</v>
      </c>
      <c r="AI33" s="3" t="s">
        <v>3703</v>
      </c>
      <c r="AJ33" s="3" t="s">
        <v>3703</v>
      </c>
      <c r="AK33" s="3" t="s">
        <v>3703</v>
      </c>
      <c r="AL33" s="3" t="s">
        <v>3703</v>
      </c>
      <c r="AM33" s="3" t="s">
        <v>3703</v>
      </c>
      <c r="AN33" s="3" t="s">
        <v>3703</v>
      </c>
      <c r="AO33" s="3" t="s">
        <v>3703</v>
      </c>
      <c r="AP33" s="3" t="s">
        <v>3703</v>
      </c>
      <c r="AQ33" s="3" t="s">
        <v>3703</v>
      </c>
      <c r="AR33" s="3" t="s">
        <v>3703</v>
      </c>
      <c r="AS33" s="3" t="s">
        <v>3703</v>
      </c>
    </row>
    <row r="34" spans="1:45" ht="13.8" x14ac:dyDescent="0.25">
      <c r="A34" s="8" t="s">
        <v>3711</v>
      </c>
      <c r="B34" s="3" t="s">
        <v>1765</v>
      </c>
      <c r="C34" s="3" t="s">
        <v>358</v>
      </c>
      <c r="D34" s="3" t="s">
        <v>1766</v>
      </c>
      <c r="E34" s="3" t="s">
        <v>1767</v>
      </c>
      <c r="F34" s="3" t="s">
        <v>3904</v>
      </c>
      <c r="G34" s="3" t="s">
        <v>1275</v>
      </c>
      <c r="H34" s="3" t="s">
        <v>3905</v>
      </c>
      <c r="I34" s="3" t="s">
        <v>3906</v>
      </c>
      <c r="J34" s="3" t="s">
        <v>1765</v>
      </c>
      <c r="K34" s="3" t="s">
        <v>30</v>
      </c>
      <c r="L34" s="3" t="s">
        <v>415</v>
      </c>
      <c r="M34" s="3" t="s">
        <v>1768</v>
      </c>
      <c r="N34" s="3" t="s">
        <v>102</v>
      </c>
      <c r="O34" s="3" t="s">
        <v>1769</v>
      </c>
      <c r="P34" s="3" t="s">
        <v>3907</v>
      </c>
      <c r="Q34" s="3" t="s">
        <v>3703</v>
      </c>
      <c r="R34" s="3" t="s">
        <v>3703</v>
      </c>
      <c r="S34" s="3" t="s">
        <v>3703</v>
      </c>
      <c r="T34" s="3" t="s">
        <v>3703</v>
      </c>
      <c r="U34" s="3" t="s">
        <v>3908</v>
      </c>
      <c r="V34" s="3" t="s">
        <v>3703</v>
      </c>
      <c r="W34" s="3" t="s">
        <v>1770</v>
      </c>
      <c r="X34" s="3" t="s">
        <v>3909</v>
      </c>
      <c r="Y34" s="3" t="s">
        <v>3703</v>
      </c>
      <c r="Z34" s="3" t="s">
        <v>3703</v>
      </c>
      <c r="AA34" s="3" t="s">
        <v>3703</v>
      </c>
      <c r="AB34" s="3" t="s">
        <v>3703</v>
      </c>
      <c r="AC34" s="3" t="s">
        <v>3703</v>
      </c>
      <c r="AD34" s="3" t="s">
        <v>3703</v>
      </c>
      <c r="AE34" s="3" t="s">
        <v>3703</v>
      </c>
      <c r="AF34" s="3" t="s">
        <v>3703</v>
      </c>
      <c r="AG34" s="3" t="s">
        <v>3703</v>
      </c>
      <c r="AH34" s="3" t="s">
        <v>3703</v>
      </c>
      <c r="AI34" s="3" t="s">
        <v>3703</v>
      </c>
      <c r="AJ34" s="3" t="s">
        <v>3703</v>
      </c>
      <c r="AK34" s="3" t="s">
        <v>3703</v>
      </c>
      <c r="AL34" s="3" t="s">
        <v>3703</v>
      </c>
      <c r="AM34" s="3" t="s">
        <v>3703</v>
      </c>
      <c r="AN34" s="3" t="s">
        <v>3703</v>
      </c>
      <c r="AO34" s="3" t="s">
        <v>3703</v>
      </c>
      <c r="AP34" s="3" t="s">
        <v>3703</v>
      </c>
      <c r="AQ34" s="3" t="s">
        <v>3703</v>
      </c>
      <c r="AR34" s="3" t="s">
        <v>3703</v>
      </c>
      <c r="AS34" s="3" t="s">
        <v>3703</v>
      </c>
    </row>
    <row r="35" spans="1:45" ht="13.8" x14ac:dyDescent="0.25">
      <c r="A35" s="8" t="s">
        <v>3711</v>
      </c>
      <c r="B35" s="3" t="s">
        <v>1815</v>
      </c>
      <c r="C35" s="3" t="s">
        <v>358</v>
      </c>
      <c r="D35" s="3" t="s">
        <v>1816</v>
      </c>
      <c r="E35" s="3" t="s">
        <v>1817</v>
      </c>
      <c r="F35" s="3" t="s">
        <v>3910</v>
      </c>
      <c r="G35" s="3" t="s">
        <v>326</v>
      </c>
      <c r="H35" s="3" t="s">
        <v>3911</v>
      </c>
      <c r="I35" s="3" t="s">
        <v>3912</v>
      </c>
      <c r="J35" s="3" t="s">
        <v>1815</v>
      </c>
      <c r="K35" s="3" t="s">
        <v>43</v>
      </c>
      <c r="L35" s="3" t="s">
        <v>311</v>
      </c>
      <c r="M35" s="3" t="s">
        <v>384</v>
      </c>
      <c r="N35" s="3" t="s">
        <v>1458</v>
      </c>
      <c r="O35" s="3" t="s">
        <v>1818</v>
      </c>
      <c r="P35" s="3" t="s">
        <v>3913</v>
      </c>
      <c r="Q35" s="3" t="s">
        <v>3703</v>
      </c>
      <c r="R35" s="3" t="s">
        <v>3703</v>
      </c>
      <c r="S35" s="3" t="s">
        <v>3703</v>
      </c>
      <c r="T35" s="3" t="s">
        <v>3703</v>
      </c>
      <c r="U35" s="3" t="s">
        <v>3914</v>
      </c>
      <c r="V35" s="3" t="s">
        <v>3915</v>
      </c>
      <c r="W35" s="3" t="s">
        <v>1154</v>
      </c>
      <c r="X35" s="3" t="s">
        <v>3916</v>
      </c>
      <c r="Y35" s="3" t="s">
        <v>3703</v>
      </c>
      <c r="Z35" s="3" t="s">
        <v>3703</v>
      </c>
      <c r="AA35" s="3" t="s">
        <v>3703</v>
      </c>
      <c r="AB35" s="3" t="s">
        <v>3703</v>
      </c>
      <c r="AC35" s="3" t="s">
        <v>3703</v>
      </c>
      <c r="AD35" s="3" t="s">
        <v>3703</v>
      </c>
      <c r="AE35" s="3" t="s">
        <v>3703</v>
      </c>
      <c r="AF35" s="3" t="s">
        <v>3703</v>
      </c>
      <c r="AG35" s="3" t="s">
        <v>3703</v>
      </c>
      <c r="AH35" s="3" t="s">
        <v>3703</v>
      </c>
      <c r="AI35" s="3" t="s">
        <v>3703</v>
      </c>
      <c r="AJ35" s="3" t="s">
        <v>3703</v>
      </c>
      <c r="AK35" s="3" t="s">
        <v>3703</v>
      </c>
      <c r="AL35" s="3" t="s">
        <v>3703</v>
      </c>
      <c r="AM35" s="3" t="s">
        <v>3703</v>
      </c>
      <c r="AN35" s="3" t="s">
        <v>3703</v>
      </c>
      <c r="AO35" s="3" t="s">
        <v>3703</v>
      </c>
      <c r="AP35" s="3" t="s">
        <v>3703</v>
      </c>
      <c r="AQ35" s="3" t="s">
        <v>3703</v>
      </c>
      <c r="AR35" s="3" t="s">
        <v>3703</v>
      </c>
      <c r="AS35" s="3" t="s">
        <v>3703</v>
      </c>
    </row>
    <row r="36" spans="1:45" ht="13.8" x14ac:dyDescent="0.25">
      <c r="A36" s="8" t="s">
        <v>3711</v>
      </c>
      <c r="B36" s="3" t="s">
        <v>1915</v>
      </c>
      <c r="C36" s="3" t="s">
        <v>358</v>
      </c>
      <c r="D36" s="3" t="s">
        <v>1916</v>
      </c>
      <c r="E36" s="3" t="s">
        <v>1917</v>
      </c>
      <c r="F36" s="3" t="s">
        <v>3917</v>
      </c>
      <c r="G36" s="3" t="s">
        <v>54</v>
      </c>
      <c r="H36" s="3" t="s">
        <v>3918</v>
      </c>
      <c r="I36" s="3" t="s">
        <v>3919</v>
      </c>
      <c r="J36" s="3" t="s">
        <v>1915</v>
      </c>
      <c r="K36" s="3" t="s">
        <v>43</v>
      </c>
      <c r="L36" s="3" t="s">
        <v>31</v>
      </c>
      <c r="M36" s="3" t="s">
        <v>44</v>
      </c>
      <c r="N36" s="3" t="s">
        <v>1918</v>
      </c>
      <c r="O36" s="3" t="s">
        <v>1237</v>
      </c>
      <c r="P36" s="3" t="s">
        <v>3920</v>
      </c>
      <c r="Q36" s="3" t="s">
        <v>3703</v>
      </c>
      <c r="R36" s="3" t="s">
        <v>3703</v>
      </c>
      <c r="S36" s="3" t="s">
        <v>3703</v>
      </c>
      <c r="T36" s="3" t="s">
        <v>3703</v>
      </c>
      <c r="U36" s="3" t="s">
        <v>3921</v>
      </c>
      <c r="V36" s="3" t="s">
        <v>3922</v>
      </c>
      <c r="W36" s="3" t="s">
        <v>896</v>
      </c>
      <c r="X36" s="3" t="s">
        <v>1919</v>
      </c>
      <c r="Y36" s="3" t="s">
        <v>3703</v>
      </c>
      <c r="Z36" s="3" t="s">
        <v>3703</v>
      </c>
      <c r="AA36" s="3" t="s">
        <v>3703</v>
      </c>
      <c r="AB36" s="3" t="s">
        <v>3703</v>
      </c>
      <c r="AC36" s="3" t="s">
        <v>3703</v>
      </c>
      <c r="AD36" s="3" t="s">
        <v>3703</v>
      </c>
      <c r="AE36" s="3" t="s">
        <v>3703</v>
      </c>
      <c r="AF36" s="3" t="s">
        <v>3703</v>
      </c>
      <c r="AG36" s="3" t="s">
        <v>3703</v>
      </c>
      <c r="AH36" s="3" t="s">
        <v>3703</v>
      </c>
      <c r="AI36" s="3" t="s">
        <v>3703</v>
      </c>
      <c r="AJ36" s="3" t="s">
        <v>3703</v>
      </c>
      <c r="AK36" s="3" t="s">
        <v>3703</v>
      </c>
      <c r="AL36" s="3" t="s">
        <v>3703</v>
      </c>
      <c r="AM36" s="3" t="s">
        <v>3703</v>
      </c>
      <c r="AN36" s="3" t="s">
        <v>3703</v>
      </c>
      <c r="AO36" s="3" t="s">
        <v>3703</v>
      </c>
      <c r="AP36" s="3" t="s">
        <v>3703</v>
      </c>
      <c r="AQ36" s="3" t="s">
        <v>3703</v>
      </c>
      <c r="AR36" s="3" t="s">
        <v>3703</v>
      </c>
      <c r="AS36" s="3" t="s">
        <v>3703</v>
      </c>
    </row>
    <row r="37" spans="1:45" ht="13.8" x14ac:dyDescent="0.25">
      <c r="A37" s="8" t="s">
        <v>3711</v>
      </c>
      <c r="B37" s="3" t="s">
        <v>2001</v>
      </c>
      <c r="C37" s="3" t="s">
        <v>358</v>
      </c>
      <c r="D37" s="3" t="s">
        <v>2002</v>
      </c>
      <c r="E37" s="3" t="s">
        <v>2003</v>
      </c>
      <c r="F37" s="3" t="s">
        <v>3923</v>
      </c>
      <c r="G37" s="3" t="s">
        <v>452</v>
      </c>
      <c r="H37" s="3" t="s">
        <v>3924</v>
      </c>
      <c r="I37" s="3" t="s">
        <v>3193</v>
      </c>
      <c r="J37" s="3" t="s">
        <v>2004</v>
      </c>
      <c r="K37" s="3" t="s">
        <v>43</v>
      </c>
      <c r="L37" s="3" t="s">
        <v>311</v>
      </c>
      <c r="M37" s="3" t="s">
        <v>384</v>
      </c>
      <c r="N37" s="3" t="s">
        <v>312</v>
      </c>
      <c r="O37" s="3" t="s">
        <v>2005</v>
      </c>
      <c r="P37" s="3" t="s">
        <v>3728</v>
      </c>
      <c r="Q37" s="3" t="s">
        <v>2006</v>
      </c>
      <c r="R37" s="3" t="s">
        <v>2003</v>
      </c>
      <c r="S37" s="3" t="s">
        <v>2001</v>
      </c>
      <c r="T37" s="3" t="s">
        <v>3729</v>
      </c>
      <c r="U37" s="3" t="s">
        <v>3729</v>
      </c>
      <c r="V37" s="3" t="s">
        <v>3703</v>
      </c>
      <c r="W37" s="3" t="s">
        <v>802</v>
      </c>
      <c r="X37" s="3" t="s">
        <v>2007</v>
      </c>
      <c r="Y37" s="3" t="s">
        <v>2008</v>
      </c>
      <c r="Z37" s="3" t="s">
        <v>2003</v>
      </c>
      <c r="AA37" s="3" t="s">
        <v>3923</v>
      </c>
      <c r="AB37" s="3" t="s">
        <v>2009</v>
      </c>
      <c r="AC37" s="3" t="s">
        <v>3924</v>
      </c>
      <c r="AD37" s="3" t="s">
        <v>3193</v>
      </c>
      <c r="AE37" s="3" t="s">
        <v>2004</v>
      </c>
      <c r="AF37" s="3" t="s">
        <v>43</v>
      </c>
      <c r="AG37" s="3" t="s">
        <v>311</v>
      </c>
      <c r="AH37" s="3" t="s">
        <v>384</v>
      </c>
      <c r="AI37" s="3" t="s">
        <v>312</v>
      </c>
      <c r="AJ37" s="3" t="s">
        <v>2005</v>
      </c>
      <c r="AK37" s="3" t="s">
        <v>3728</v>
      </c>
      <c r="AL37" s="3" t="s">
        <v>2010</v>
      </c>
      <c r="AM37" s="3" t="s">
        <v>2003</v>
      </c>
      <c r="AN37" s="3" t="s">
        <v>2001</v>
      </c>
      <c r="AO37" s="3" t="s">
        <v>3729</v>
      </c>
      <c r="AP37" s="3" t="s">
        <v>3729</v>
      </c>
      <c r="AQ37" s="3" t="s">
        <v>3703</v>
      </c>
      <c r="AR37" s="3" t="s">
        <v>2011</v>
      </c>
      <c r="AS37" s="3" t="s">
        <v>2012</v>
      </c>
    </row>
    <row r="38" spans="1:45" ht="13.8" x14ac:dyDescent="0.25">
      <c r="A38" s="8" t="s">
        <v>3711</v>
      </c>
      <c r="B38" s="3" t="s">
        <v>2016</v>
      </c>
      <c r="C38" s="3" t="s">
        <v>358</v>
      </c>
      <c r="D38" s="3" t="s">
        <v>2017</v>
      </c>
      <c r="E38" s="3" t="s">
        <v>2018</v>
      </c>
      <c r="F38" s="3" t="s">
        <v>3925</v>
      </c>
      <c r="G38" s="3" t="s">
        <v>318</v>
      </c>
      <c r="H38" s="3" t="s">
        <v>3926</v>
      </c>
      <c r="I38" s="3" t="s">
        <v>3927</v>
      </c>
      <c r="J38" s="3" t="s">
        <v>2019</v>
      </c>
      <c r="K38" s="3" t="s">
        <v>43</v>
      </c>
      <c r="L38" s="3" t="s">
        <v>31</v>
      </c>
      <c r="M38" s="3" t="s">
        <v>142</v>
      </c>
      <c r="N38" s="3" t="s">
        <v>142</v>
      </c>
      <c r="O38" s="3" t="s">
        <v>2020</v>
      </c>
      <c r="P38" s="3" t="s">
        <v>3900</v>
      </c>
      <c r="Q38" s="3" t="s">
        <v>2021</v>
      </c>
      <c r="R38" s="3" t="s">
        <v>2022</v>
      </c>
      <c r="S38" s="3" t="s">
        <v>2016</v>
      </c>
      <c r="T38" s="3" t="s">
        <v>3928</v>
      </c>
      <c r="U38" s="3" t="s">
        <v>3928</v>
      </c>
      <c r="V38" s="3" t="s">
        <v>3929</v>
      </c>
      <c r="W38" s="3" t="s">
        <v>2023</v>
      </c>
      <c r="X38" s="3" t="s">
        <v>3930</v>
      </c>
      <c r="Y38" s="3" t="s">
        <v>3703</v>
      </c>
      <c r="Z38" s="3" t="s">
        <v>3703</v>
      </c>
      <c r="AA38" s="3" t="s">
        <v>3703</v>
      </c>
      <c r="AB38" s="3" t="s">
        <v>3703</v>
      </c>
      <c r="AC38" s="3" t="s">
        <v>3703</v>
      </c>
      <c r="AD38" s="3" t="s">
        <v>3703</v>
      </c>
      <c r="AE38" s="3" t="s">
        <v>3703</v>
      </c>
      <c r="AF38" s="3" t="s">
        <v>3703</v>
      </c>
      <c r="AG38" s="3" t="s">
        <v>3703</v>
      </c>
      <c r="AH38" s="3" t="s">
        <v>3703</v>
      </c>
      <c r="AI38" s="3" t="s">
        <v>3703</v>
      </c>
      <c r="AJ38" s="3" t="s">
        <v>3703</v>
      </c>
      <c r="AK38" s="3" t="s">
        <v>3703</v>
      </c>
      <c r="AL38" s="3" t="s">
        <v>3703</v>
      </c>
      <c r="AM38" s="3" t="s">
        <v>3703</v>
      </c>
      <c r="AN38" s="3" t="s">
        <v>3703</v>
      </c>
      <c r="AO38" s="3" t="s">
        <v>3703</v>
      </c>
      <c r="AP38" s="3" t="s">
        <v>3703</v>
      </c>
      <c r="AQ38" s="3" t="s">
        <v>3703</v>
      </c>
      <c r="AR38" s="3" t="s">
        <v>3703</v>
      </c>
      <c r="AS38" s="3" t="s">
        <v>3703</v>
      </c>
    </row>
    <row r="39" spans="1:45" ht="13.8" x14ac:dyDescent="0.25">
      <c r="A39" s="8" t="s">
        <v>3698</v>
      </c>
      <c r="B39" s="3" t="s">
        <v>2047</v>
      </c>
      <c r="C39" s="3" t="s">
        <v>358</v>
      </c>
      <c r="D39" s="3" t="s">
        <v>2048</v>
      </c>
      <c r="E39" s="3" t="s">
        <v>2049</v>
      </c>
      <c r="F39" s="3" t="s">
        <v>3931</v>
      </c>
      <c r="G39" s="3" t="s">
        <v>1275</v>
      </c>
      <c r="H39" s="3" t="s">
        <v>3932</v>
      </c>
      <c r="I39" s="3" t="s">
        <v>3933</v>
      </c>
      <c r="J39" s="3" t="s">
        <v>2050</v>
      </c>
      <c r="K39" s="3" t="s">
        <v>30</v>
      </c>
      <c r="L39" s="3" t="s">
        <v>2051</v>
      </c>
      <c r="M39" s="3" t="s">
        <v>952</v>
      </c>
      <c r="N39" s="3" t="s">
        <v>102</v>
      </c>
      <c r="O39" s="3" t="s">
        <v>2052</v>
      </c>
      <c r="P39" s="3" t="s">
        <v>2053</v>
      </c>
      <c r="Q39" s="3" t="s">
        <v>3703</v>
      </c>
      <c r="R39" s="3" t="s">
        <v>3703</v>
      </c>
      <c r="S39" s="3" t="s">
        <v>3703</v>
      </c>
      <c r="T39" s="3" t="s">
        <v>3703</v>
      </c>
      <c r="U39" s="3" t="s">
        <v>3934</v>
      </c>
      <c r="V39" s="3" t="s">
        <v>3703</v>
      </c>
      <c r="W39" s="3" t="s">
        <v>794</v>
      </c>
      <c r="X39" s="3" t="s">
        <v>3935</v>
      </c>
      <c r="Y39" s="3" t="s">
        <v>3703</v>
      </c>
      <c r="Z39" s="3" t="s">
        <v>3703</v>
      </c>
      <c r="AA39" s="3" t="s">
        <v>3703</v>
      </c>
      <c r="AB39" s="3" t="s">
        <v>3703</v>
      </c>
      <c r="AC39" s="3" t="s">
        <v>3703</v>
      </c>
      <c r="AD39" s="3" t="s">
        <v>3703</v>
      </c>
      <c r="AE39" s="3" t="s">
        <v>3703</v>
      </c>
      <c r="AF39" s="3" t="s">
        <v>3703</v>
      </c>
      <c r="AG39" s="3" t="s">
        <v>3703</v>
      </c>
      <c r="AH39" s="3" t="s">
        <v>3703</v>
      </c>
      <c r="AI39" s="3" t="s">
        <v>3703</v>
      </c>
      <c r="AJ39" s="3" t="s">
        <v>3703</v>
      </c>
      <c r="AK39" s="3" t="s">
        <v>3703</v>
      </c>
      <c r="AL39" s="3" t="s">
        <v>3703</v>
      </c>
      <c r="AM39" s="3" t="s">
        <v>3703</v>
      </c>
      <c r="AN39" s="3" t="s">
        <v>3703</v>
      </c>
      <c r="AO39" s="3" t="s">
        <v>3703</v>
      </c>
      <c r="AP39" s="3" t="s">
        <v>3703</v>
      </c>
      <c r="AQ39" s="3" t="s">
        <v>3703</v>
      </c>
      <c r="AR39" s="3" t="s">
        <v>3703</v>
      </c>
      <c r="AS39" s="3" t="s">
        <v>3703</v>
      </c>
    </row>
    <row r="40" spans="1:45" ht="13.8" x14ac:dyDescent="0.25">
      <c r="A40" s="8" t="s">
        <v>3698</v>
      </c>
      <c r="B40" s="3" t="s">
        <v>2083</v>
      </c>
      <c r="C40" s="3" t="s">
        <v>358</v>
      </c>
      <c r="D40" s="3" t="s">
        <v>422</v>
      </c>
      <c r="E40" s="3" t="s">
        <v>2084</v>
      </c>
      <c r="F40" s="3" t="s">
        <v>3936</v>
      </c>
      <c r="G40" s="3" t="s">
        <v>352</v>
      </c>
      <c r="H40" s="3" t="s">
        <v>3937</v>
      </c>
      <c r="I40" s="3" t="s">
        <v>3938</v>
      </c>
      <c r="J40" s="3" t="s">
        <v>2083</v>
      </c>
      <c r="K40" s="3" t="s">
        <v>43</v>
      </c>
      <c r="L40" s="3" t="s">
        <v>31</v>
      </c>
      <c r="M40" s="3" t="s">
        <v>44</v>
      </c>
      <c r="N40" s="3" t="s">
        <v>102</v>
      </c>
      <c r="O40" s="3" t="s">
        <v>2077</v>
      </c>
      <c r="P40" s="3" t="s">
        <v>3746</v>
      </c>
      <c r="Q40" s="3" t="s">
        <v>2078</v>
      </c>
      <c r="R40" s="3" t="s">
        <v>1138</v>
      </c>
      <c r="S40" s="3" t="s">
        <v>1139</v>
      </c>
      <c r="T40" s="3" t="s">
        <v>3939</v>
      </c>
      <c r="U40" s="3" t="s">
        <v>3940</v>
      </c>
      <c r="V40" s="3" t="s">
        <v>3703</v>
      </c>
      <c r="W40" s="3" t="s">
        <v>794</v>
      </c>
      <c r="X40" s="3" t="s">
        <v>3941</v>
      </c>
      <c r="Y40" s="3" t="s">
        <v>3703</v>
      </c>
      <c r="Z40" s="3" t="s">
        <v>3703</v>
      </c>
      <c r="AA40" s="3" t="s">
        <v>3703</v>
      </c>
      <c r="AB40" s="3" t="s">
        <v>3703</v>
      </c>
      <c r="AC40" s="3" t="s">
        <v>3703</v>
      </c>
      <c r="AD40" s="3" t="s">
        <v>3703</v>
      </c>
      <c r="AE40" s="3" t="s">
        <v>3703</v>
      </c>
      <c r="AF40" s="3" t="s">
        <v>3703</v>
      </c>
      <c r="AG40" s="3" t="s">
        <v>3703</v>
      </c>
      <c r="AH40" s="3" t="s">
        <v>3703</v>
      </c>
      <c r="AI40" s="3" t="s">
        <v>3703</v>
      </c>
      <c r="AJ40" s="3" t="s">
        <v>3703</v>
      </c>
      <c r="AK40" s="3" t="s">
        <v>3703</v>
      </c>
      <c r="AL40" s="3" t="s">
        <v>3703</v>
      </c>
      <c r="AM40" s="3" t="s">
        <v>3703</v>
      </c>
      <c r="AN40" s="3" t="s">
        <v>3703</v>
      </c>
      <c r="AO40" s="3" t="s">
        <v>3703</v>
      </c>
      <c r="AP40" s="3" t="s">
        <v>3703</v>
      </c>
      <c r="AQ40" s="3" t="s">
        <v>3703</v>
      </c>
      <c r="AR40" s="3" t="s">
        <v>3703</v>
      </c>
      <c r="AS40" s="3" t="s">
        <v>3703</v>
      </c>
    </row>
    <row r="41" spans="1:45" ht="13.8" x14ac:dyDescent="0.25">
      <c r="A41" s="8" t="s">
        <v>3711</v>
      </c>
      <c r="B41" s="3" t="s">
        <v>2164</v>
      </c>
      <c r="C41" s="3" t="s">
        <v>358</v>
      </c>
      <c r="D41" s="3" t="s">
        <v>841</v>
      </c>
      <c r="E41" s="3" t="s">
        <v>2165</v>
      </c>
      <c r="F41" s="3" t="s">
        <v>3942</v>
      </c>
      <c r="G41" s="3" t="s">
        <v>352</v>
      </c>
      <c r="H41" s="3" t="s">
        <v>3943</v>
      </c>
      <c r="I41" s="3" t="s">
        <v>3944</v>
      </c>
      <c r="J41" s="3" t="s">
        <v>2164</v>
      </c>
      <c r="K41" s="3" t="s">
        <v>30</v>
      </c>
      <c r="L41" s="3" t="s">
        <v>31</v>
      </c>
      <c r="M41" s="3" t="s">
        <v>240</v>
      </c>
      <c r="N41" s="3" t="s">
        <v>2166</v>
      </c>
      <c r="O41" s="3" t="s">
        <v>2167</v>
      </c>
      <c r="P41" s="3" t="s">
        <v>3945</v>
      </c>
      <c r="Q41" s="3" t="s">
        <v>3703</v>
      </c>
      <c r="R41" s="3" t="s">
        <v>3703</v>
      </c>
      <c r="S41" s="3" t="s">
        <v>3703</v>
      </c>
      <c r="T41" s="3" t="s">
        <v>3703</v>
      </c>
      <c r="U41" s="3" t="s">
        <v>2168</v>
      </c>
      <c r="V41" s="3" t="s">
        <v>2168</v>
      </c>
      <c r="W41" s="3" t="s">
        <v>741</v>
      </c>
      <c r="X41" s="3" t="s">
        <v>3946</v>
      </c>
      <c r="Y41" s="3" t="s">
        <v>3703</v>
      </c>
      <c r="Z41" s="3" t="s">
        <v>3703</v>
      </c>
      <c r="AA41" s="3" t="s">
        <v>3703</v>
      </c>
      <c r="AB41" s="3" t="s">
        <v>3703</v>
      </c>
      <c r="AC41" s="3" t="s">
        <v>3703</v>
      </c>
      <c r="AD41" s="3" t="s">
        <v>3703</v>
      </c>
      <c r="AE41" s="3" t="s">
        <v>3703</v>
      </c>
      <c r="AF41" s="3" t="s">
        <v>3703</v>
      </c>
      <c r="AG41" s="3" t="s">
        <v>3703</v>
      </c>
      <c r="AH41" s="3" t="s">
        <v>3703</v>
      </c>
      <c r="AI41" s="3" t="s">
        <v>3703</v>
      </c>
      <c r="AJ41" s="3" t="s">
        <v>3703</v>
      </c>
      <c r="AK41" s="3" t="s">
        <v>3703</v>
      </c>
      <c r="AL41" s="3" t="s">
        <v>3703</v>
      </c>
      <c r="AM41" s="3" t="s">
        <v>3703</v>
      </c>
      <c r="AN41" s="3" t="s">
        <v>3703</v>
      </c>
      <c r="AO41" s="3" t="s">
        <v>3703</v>
      </c>
      <c r="AP41" s="3" t="s">
        <v>3703</v>
      </c>
      <c r="AQ41" s="3" t="s">
        <v>3703</v>
      </c>
      <c r="AR41" s="3" t="s">
        <v>3703</v>
      </c>
      <c r="AS41" s="3" t="s">
        <v>3703</v>
      </c>
    </row>
    <row r="42" spans="1:45" ht="13.8" x14ac:dyDescent="0.25">
      <c r="A42" s="8" t="s">
        <v>3711</v>
      </c>
      <c r="B42" s="3" t="s">
        <v>2246</v>
      </c>
      <c r="C42" s="3" t="s">
        <v>358</v>
      </c>
      <c r="D42" s="3" t="s">
        <v>2247</v>
      </c>
      <c r="E42" s="3" t="s">
        <v>2248</v>
      </c>
      <c r="F42" s="3" t="s">
        <v>3947</v>
      </c>
      <c r="G42" s="3" t="s">
        <v>470</v>
      </c>
      <c r="H42" s="3" t="s">
        <v>3948</v>
      </c>
      <c r="I42" s="3" t="s">
        <v>3949</v>
      </c>
      <c r="J42" s="3" t="s">
        <v>2246</v>
      </c>
      <c r="K42" s="3" t="s">
        <v>43</v>
      </c>
      <c r="L42" s="3" t="s">
        <v>76</v>
      </c>
      <c r="M42" s="3" t="s">
        <v>285</v>
      </c>
      <c r="N42" s="3" t="s">
        <v>2249</v>
      </c>
      <c r="O42" s="3" t="s">
        <v>2250</v>
      </c>
      <c r="P42" s="3" t="s">
        <v>3950</v>
      </c>
      <c r="Q42" s="3" t="s">
        <v>3703</v>
      </c>
      <c r="R42" s="3" t="s">
        <v>3703</v>
      </c>
      <c r="S42" s="3" t="s">
        <v>3703</v>
      </c>
      <c r="T42" s="3" t="s">
        <v>3703</v>
      </c>
      <c r="U42" s="3" t="s">
        <v>3951</v>
      </c>
      <c r="V42" s="3" t="s">
        <v>3703</v>
      </c>
      <c r="W42" s="3" t="s">
        <v>2251</v>
      </c>
      <c r="X42" s="3" t="s">
        <v>2252</v>
      </c>
      <c r="Y42" s="3" t="s">
        <v>3703</v>
      </c>
      <c r="Z42" s="3" t="s">
        <v>3703</v>
      </c>
      <c r="AA42" s="3" t="s">
        <v>3703</v>
      </c>
      <c r="AB42" s="3" t="s">
        <v>3703</v>
      </c>
      <c r="AC42" s="3" t="s">
        <v>3703</v>
      </c>
      <c r="AD42" s="3" t="s">
        <v>3703</v>
      </c>
      <c r="AE42" s="3" t="s">
        <v>3703</v>
      </c>
      <c r="AF42" s="3" t="s">
        <v>3703</v>
      </c>
      <c r="AG42" s="3" t="s">
        <v>3703</v>
      </c>
      <c r="AH42" s="3" t="s">
        <v>3703</v>
      </c>
      <c r="AI42" s="3" t="s">
        <v>3703</v>
      </c>
      <c r="AJ42" s="3" t="s">
        <v>3703</v>
      </c>
      <c r="AK42" s="3" t="s">
        <v>3703</v>
      </c>
      <c r="AL42" s="3" t="s">
        <v>3703</v>
      </c>
      <c r="AM42" s="3" t="s">
        <v>3703</v>
      </c>
      <c r="AN42" s="3" t="s">
        <v>3703</v>
      </c>
      <c r="AO42" s="3" t="s">
        <v>3703</v>
      </c>
      <c r="AP42" s="3" t="s">
        <v>3703</v>
      </c>
      <c r="AQ42" s="3" t="s">
        <v>3703</v>
      </c>
      <c r="AR42" s="3" t="s">
        <v>3703</v>
      </c>
      <c r="AS42" s="3" t="s">
        <v>3703</v>
      </c>
    </row>
    <row r="43" spans="1:45" ht="13.8" x14ac:dyDescent="0.25">
      <c r="A43" s="8" t="s">
        <v>3698</v>
      </c>
      <c r="B43" s="3" t="s">
        <v>2301</v>
      </c>
      <c r="C43" s="3" t="s">
        <v>358</v>
      </c>
      <c r="D43" s="3" t="s">
        <v>2302</v>
      </c>
      <c r="E43" s="3" t="s">
        <v>2303</v>
      </c>
      <c r="F43" s="3" t="s">
        <v>3952</v>
      </c>
      <c r="G43" s="3" t="s">
        <v>470</v>
      </c>
      <c r="H43" s="3" t="s">
        <v>3953</v>
      </c>
      <c r="I43" s="3" t="s">
        <v>3954</v>
      </c>
      <c r="J43" s="3" t="s">
        <v>2301</v>
      </c>
      <c r="K43" s="3" t="s">
        <v>43</v>
      </c>
      <c r="L43" s="3" t="s">
        <v>31</v>
      </c>
      <c r="M43" s="3" t="s">
        <v>44</v>
      </c>
      <c r="N43" s="3" t="s">
        <v>2304</v>
      </c>
      <c r="O43" s="3" t="s">
        <v>2305</v>
      </c>
      <c r="P43" s="3" t="s">
        <v>3955</v>
      </c>
      <c r="Q43" s="3" t="s">
        <v>3703</v>
      </c>
      <c r="R43" s="3" t="s">
        <v>3703</v>
      </c>
      <c r="S43" s="3" t="s">
        <v>3703</v>
      </c>
      <c r="T43" s="3" t="s">
        <v>3703</v>
      </c>
      <c r="U43" s="3" t="s">
        <v>3956</v>
      </c>
      <c r="V43" s="3" t="s">
        <v>3703</v>
      </c>
      <c r="W43" s="3" t="s">
        <v>115</v>
      </c>
      <c r="X43" s="3" t="s">
        <v>3957</v>
      </c>
      <c r="Y43" s="3" t="s">
        <v>3703</v>
      </c>
      <c r="Z43" s="3" t="s">
        <v>3703</v>
      </c>
      <c r="AA43" s="3" t="s">
        <v>3952</v>
      </c>
      <c r="AB43" s="3" t="s">
        <v>3703</v>
      </c>
      <c r="AC43" s="3" t="s">
        <v>3703</v>
      </c>
      <c r="AD43" s="3" t="s">
        <v>3703</v>
      </c>
      <c r="AE43" s="3" t="s">
        <v>3703</v>
      </c>
      <c r="AF43" s="3" t="s">
        <v>3703</v>
      </c>
      <c r="AG43" s="3" t="s">
        <v>3703</v>
      </c>
      <c r="AH43" s="3" t="s">
        <v>3703</v>
      </c>
      <c r="AI43" s="3" t="s">
        <v>3703</v>
      </c>
      <c r="AJ43" s="3" t="s">
        <v>3703</v>
      </c>
      <c r="AK43" s="3" t="s">
        <v>3703</v>
      </c>
      <c r="AL43" s="3" t="s">
        <v>3703</v>
      </c>
      <c r="AM43" s="3" t="s">
        <v>3703</v>
      </c>
      <c r="AN43" s="3" t="s">
        <v>3703</v>
      </c>
      <c r="AO43" s="3" t="s">
        <v>3703</v>
      </c>
      <c r="AP43" s="3" t="s">
        <v>3703</v>
      </c>
      <c r="AQ43" s="3" t="s">
        <v>3703</v>
      </c>
      <c r="AR43" s="3" t="s">
        <v>3703</v>
      </c>
      <c r="AS43" s="3" t="s">
        <v>3703</v>
      </c>
    </row>
    <row r="44" spans="1:45" ht="13.8" x14ac:dyDescent="0.25">
      <c r="A44" s="8" t="s">
        <v>3698</v>
      </c>
      <c r="B44" s="3" t="s">
        <v>2320</v>
      </c>
      <c r="C44" s="3" t="s">
        <v>358</v>
      </c>
      <c r="D44" s="3" t="s">
        <v>2321</v>
      </c>
      <c r="E44" s="3" t="s">
        <v>2322</v>
      </c>
      <c r="F44" s="3" t="s">
        <v>3958</v>
      </c>
      <c r="G44" s="3" t="s">
        <v>54</v>
      </c>
      <c r="H44" s="3" t="s">
        <v>3959</v>
      </c>
      <c r="I44" s="3" t="s">
        <v>3960</v>
      </c>
      <c r="J44" s="3" t="s">
        <v>2320</v>
      </c>
      <c r="K44" s="3" t="s">
        <v>30</v>
      </c>
      <c r="L44" s="3" t="s">
        <v>31</v>
      </c>
      <c r="M44" s="3" t="s">
        <v>2323</v>
      </c>
      <c r="N44" s="3" t="s">
        <v>102</v>
      </c>
      <c r="O44" s="3" t="s">
        <v>2324</v>
      </c>
      <c r="P44" s="3" t="s">
        <v>3746</v>
      </c>
      <c r="Q44" s="3" t="s">
        <v>3703</v>
      </c>
      <c r="R44" s="3" t="s">
        <v>3703</v>
      </c>
      <c r="S44" s="3" t="s">
        <v>3703</v>
      </c>
      <c r="T44" s="3" t="s">
        <v>3703</v>
      </c>
      <c r="U44" s="3" t="s">
        <v>2325</v>
      </c>
      <c r="V44" s="3" t="s">
        <v>3703</v>
      </c>
      <c r="W44" s="3" t="s">
        <v>115</v>
      </c>
      <c r="X44" s="3" t="s">
        <v>3961</v>
      </c>
      <c r="Y44" s="3" t="s">
        <v>3703</v>
      </c>
      <c r="Z44" s="3" t="s">
        <v>3703</v>
      </c>
      <c r="AA44" s="3" t="s">
        <v>3703</v>
      </c>
      <c r="AB44" s="3" t="s">
        <v>3703</v>
      </c>
      <c r="AC44" s="3" t="s">
        <v>3703</v>
      </c>
      <c r="AD44" s="3" t="s">
        <v>3703</v>
      </c>
      <c r="AE44" s="3" t="s">
        <v>3703</v>
      </c>
      <c r="AF44" s="3" t="s">
        <v>3703</v>
      </c>
      <c r="AG44" s="3" t="s">
        <v>3703</v>
      </c>
      <c r="AH44" s="3" t="s">
        <v>3703</v>
      </c>
      <c r="AI44" s="3" t="s">
        <v>3703</v>
      </c>
      <c r="AJ44" s="3" t="s">
        <v>3703</v>
      </c>
      <c r="AK44" s="3" t="s">
        <v>3703</v>
      </c>
      <c r="AL44" s="3" t="s">
        <v>3703</v>
      </c>
      <c r="AM44" s="3" t="s">
        <v>3703</v>
      </c>
      <c r="AN44" s="3" t="s">
        <v>3703</v>
      </c>
      <c r="AO44" s="3" t="s">
        <v>3703</v>
      </c>
      <c r="AP44" s="3" t="s">
        <v>3703</v>
      </c>
      <c r="AQ44" s="3" t="s">
        <v>3703</v>
      </c>
      <c r="AR44" s="3" t="s">
        <v>3703</v>
      </c>
      <c r="AS44" s="3" t="s">
        <v>3703</v>
      </c>
    </row>
    <row r="45" spans="1:45" ht="13.8" x14ac:dyDescent="0.25">
      <c r="A45" s="8" t="s">
        <v>3698</v>
      </c>
      <c r="B45" s="3" t="s">
        <v>1765</v>
      </c>
      <c r="C45" s="3" t="s">
        <v>358</v>
      </c>
      <c r="D45" s="3" t="s">
        <v>1199</v>
      </c>
      <c r="E45" s="3" t="s">
        <v>1767</v>
      </c>
      <c r="F45" s="3" t="s">
        <v>3962</v>
      </c>
      <c r="G45" s="3" t="s">
        <v>1275</v>
      </c>
      <c r="H45" s="3" t="s">
        <v>3963</v>
      </c>
      <c r="I45" s="3" t="s">
        <v>3964</v>
      </c>
      <c r="J45" s="3" t="s">
        <v>1765</v>
      </c>
      <c r="K45" s="3" t="s">
        <v>30</v>
      </c>
      <c r="L45" s="3" t="s">
        <v>31</v>
      </c>
      <c r="M45" s="3" t="s">
        <v>44</v>
      </c>
      <c r="N45" s="3" t="s">
        <v>286</v>
      </c>
      <c r="O45" s="3" t="s">
        <v>2352</v>
      </c>
      <c r="P45" s="3" t="s">
        <v>3907</v>
      </c>
      <c r="Q45" s="3" t="s">
        <v>3703</v>
      </c>
      <c r="R45" s="3" t="s">
        <v>3703</v>
      </c>
      <c r="S45" s="3" t="s">
        <v>3703</v>
      </c>
      <c r="T45" s="3" t="s">
        <v>3703</v>
      </c>
      <c r="U45" s="3" t="s">
        <v>3908</v>
      </c>
      <c r="V45" s="3" t="s">
        <v>3703</v>
      </c>
      <c r="W45" s="3" t="s">
        <v>2353</v>
      </c>
      <c r="X45" s="3" t="s">
        <v>2354</v>
      </c>
      <c r="Y45" s="3" t="s">
        <v>3703</v>
      </c>
      <c r="Z45" s="3" t="s">
        <v>3703</v>
      </c>
      <c r="AA45" s="3" t="s">
        <v>3703</v>
      </c>
      <c r="AB45" s="3" t="s">
        <v>3703</v>
      </c>
      <c r="AC45" s="3" t="s">
        <v>3703</v>
      </c>
      <c r="AD45" s="3" t="s">
        <v>3703</v>
      </c>
      <c r="AE45" s="3" t="s">
        <v>3703</v>
      </c>
      <c r="AF45" s="3" t="s">
        <v>3703</v>
      </c>
      <c r="AG45" s="3" t="s">
        <v>3703</v>
      </c>
      <c r="AH45" s="3" t="s">
        <v>3703</v>
      </c>
      <c r="AI45" s="3" t="s">
        <v>3703</v>
      </c>
      <c r="AJ45" s="3" t="s">
        <v>3703</v>
      </c>
      <c r="AK45" s="3" t="s">
        <v>3703</v>
      </c>
      <c r="AL45" s="3" t="s">
        <v>3703</v>
      </c>
      <c r="AM45" s="3" t="s">
        <v>3703</v>
      </c>
      <c r="AN45" s="3" t="s">
        <v>3703</v>
      </c>
      <c r="AO45" s="3" t="s">
        <v>3703</v>
      </c>
      <c r="AP45" s="3" t="s">
        <v>3703</v>
      </c>
      <c r="AQ45" s="3" t="s">
        <v>3703</v>
      </c>
      <c r="AR45" s="3" t="s">
        <v>3703</v>
      </c>
      <c r="AS45" s="3" t="s">
        <v>3703</v>
      </c>
    </row>
    <row r="46" spans="1:45" ht="13.8" x14ac:dyDescent="0.25">
      <c r="A46" s="8" t="s">
        <v>3698</v>
      </c>
      <c r="B46" s="3" t="s">
        <v>2371</v>
      </c>
      <c r="C46" s="3" t="s">
        <v>358</v>
      </c>
      <c r="D46" s="3" t="s">
        <v>2372</v>
      </c>
      <c r="E46" s="3" t="s">
        <v>2373</v>
      </c>
      <c r="F46" s="3" t="s">
        <v>3965</v>
      </c>
      <c r="G46" s="3" t="s">
        <v>470</v>
      </c>
      <c r="H46" s="3" t="s">
        <v>3966</v>
      </c>
      <c r="I46" s="3" t="s">
        <v>3967</v>
      </c>
      <c r="J46" s="3" t="s">
        <v>2374</v>
      </c>
      <c r="K46" s="3" t="s">
        <v>43</v>
      </c>
      <c r="L46" s="3" t="s">
        <v>311</v>
      </c>
      <c r="M46" s="3" t="s">
        <v>384</v>
      </c>
      <c r="N46" s="3" t="s">
        <v>312</v>
      </c>
      <c r="O46" s="3" t="s">
        <v>2375</v>
      </c>
      <c r="P46" s="3" t="s">
        <v>3968</v>
      </c>
      <c r="Q46" s="3" t="s">
        <v>2376</v>
      </c>
      <c r="R46" s="3" t="s">
        <v>2377</v>
      </c>
      <c r="S46" s="3" t="s">
        <v>2378</v>
      </c>
      <c r="T46" s="3" t="s">
        <v>2379</v>
      </c>
      <c r="U46" s="3" t="s">
        <v>2379</v>
      </c>
      <c r="V46" s="3" t="s">
        <v>2379</v>
      </c>
      <c r="W46" s="3" t="s">
        <v>2380</v>
      </c>
      <c r="X46" s="3" t="s">
        <v>2381</v>
      </c>
      <c r="Y46" s="3" t="s">
        <v>3703</v>
      </c>
      <c r="Z46" s="3" t="s">
        <v>3703</v>
      </c>
      <c r="AA46" s="3" t="s">
        <v>3703</v>
      </c>
      <c r="AB46" s="3" t="s">
        <v>3703</v>
      </c>
      <c r="AC46" s="3" t="s">
        <v>3703</v>
      </c>
      <c r="AD46" s="3" t="s">
        <v>3703</v>
      </c>
      <c r="AE46" s="3" t="s">
        <v>3703</v>
      </c>
      <c r="AF46" s="3" t="s">
        <v>3703</v>
      </c>
      <c r="AG46" s="3" t="s">
        <v>3703</v>
      </c>
      <c r="AH46" s="3" t="s">
        <v>3703</v>
      </c>
      <c r="AI46" s="3" t="s">
        <v>3703</v>
      </c>
      <c r="AJ46" s="3" t="s">
        <v>3703</v>
      </c>
      <c r="AK46" s="3" t="s">
        <v>3703</v>
      </c>
      <c r="AL46" s="3" t="s">
        <v>3703</v>
      </c>
      <c r="AM46" s="3" t="s">
        <v>3703</v>
      </c>
      <c r="AN46" s="3" t="s">
        <v>3703</v>
      </c>
      <c r="AO46" s="3" t="s">
        <v>3703</v>
      </c>
      <c r="AP46" s="3" t="s">
        <v>3703</v>
      </c>
      <c r="AQ46" s="3" t="s">
        <v>3703</v>
      </c>
      <c r="AR46" s="3" t="s">
        <v>3703</v>
      </c>
      <c r="AS46" s="3" t="s">
        <v>3703</v>
      </c>
    </row>
    <row r="47" spans="1:45" ht="13.8" x14ac:dyDescent="0.25">
      <c r="A47" s="8" t="s">
        <v>3711</v>
      </c>
      <c r="B47" s="3" t="s">
        <v>2382</v>
      </c>
      <c r="C47" s="3" t="s">
        <v>358</v>
      </c>
      <c r="D47" s="3" t="s">
        <v>2383</v>
      </c>
      <c r="E47" s="3" t="s">
        <v>2384</v>
      </c>
      <c r="F47" s="3" t="s">
        <v>3969</v>
      </c>
      <c r="G47" s="3" t="s">
        <v>54</v>
      </c>
      <c r="H47" s="3" t="s">
        <v>3970</v>
      </c>
      <c r="I47" s="3" t="s">
        <v>3971</v>
      </c>
      <c r="J47" s="3" t="s">
        <v>2382</v>
      </c>
      <c r="K47" s="3" t="s">
        <v>43</v>
      </c>
      <c r="L47" s="3" t="s">
        <v>951</v>
      </c>
      <c r="M47" s="3" t="s">
        <v>44</v>
      </c>
      <c r="N47" s="3" t="s">
        <v>2385</v>
      </c>
      <c r="O47" s="3" t="s">
        <v>2386</v>
      </c>
      <c r="P47" s="3" t="s">
        <v>3746</v>
      </c>
      <c r="Q47" s="3" t="s">
        <v>3703</v>
      </c>
      <c r="R47" s="3" t="s">
        <v>3703</v>
      </c>
      <c r="S47" s="3" t="s">
        <v>3703</v>
      </c>
      <c r="T47" s="3" t="s">
        <v>3703</v>
      </c>
      <c r="U47" s="3" t="s">
        <v>3972</v>
      </c>
      <c r="V47" s="3" t="s">
        <v>3703</v>
      </c>
      <c r="W47" s="3" t="s">
        <v>1369</v>
      </c>
      <c r="X47" s="3" t="s">
        <v>3973</v>
      </c>
      <c r="Y47" s="3" t="s">
        <v>3703</v>
      </c>
      <c r="Z47" s="3" t="s">
        <v>3703</v>
      </c>
      <c r="AA47" s="3" t="s">
        <v>3703</v>
      </c>
      <c r="AB47" s="3" t="s">
        <v>3703</v>
      </c>
      <c r="AC47" s="3" t="s">
        <v>3703</v>
      </c>
      <c r="AD47" s="3" t="s">
        <v>3703</v>
      </c>
      <c r="AE47" s="3" t="s">
        <v>3703</v>
      </c>
      <c r="AF47" s="3" t="s">
        <v>3703</v>
      </c>
      <c r="AG47" s="3" t="s">
        <v>3703</v>
      </c>
      <c r="AH47" s="3" t="s">
        <v>3703</v>
      </c>
      <c r="AI47" s="3" t="s">
        <v>3703</v>
      </c>
      <c r="AJ47" s="3" t="s">
        <v>3703</v>
      </c>
      <c r="AK47" s="3" t="s">
        <v>3703</v>
      </c>
      <c r="AL47" s="3" t="s">
        <v>3703</v>
      </c>
      <c r="AM47" s="3" t="s">
        <v>3703</v>
      </c>
      <c r="AN47" s="3" t="s">
        <v>3703</v>
      </c>
      <c r="AO47" s="3" t="s">
        <v>3703</v>
      </c>
      <c r="AP47" s="3" t="s">
        <v>3703</v>
      </c>
      <c r="AQ47" s="3" t="s">
        <v>3703</v>
      </c>
      <c r="AR47" s="3" t="s">
        <v>3703</v>
      </c>
      <c r="AS47" s="3" t="s">
        <v>3703</v>
      </c>
    </row>
    <row r="48" spans="1:45" ht="13.8" x14ac:dyDescent="0.25">
      <c r="A48" s="8" t="s">
        <v>3711</v>
      </c>
      <c r="B48" s="3" t="s">
        <v>2470</v>
      </c>
      <c r="C48" s="3" t="s">
        <v>358</v>
      </c>
      <c r="D48" s="3" t="s">
        <v>1316</v>
      </c>
      <c r="E48" s="3" t="s">
        <v>2471</v>
      </c>
      <c r="F48" s="3" t="s">
        <v>3974</v>
      </c>
      <c r="G48" s="3" t="s">
        <v>54</v>
      </c>
      <c r="H48" s="3" t="s">
        <v>3975</v>
      </c>
      <c r="I48" s="3" t="s">
        <v>3976</v>
      </c>
      <c r="J48" s="3" t="s">
        <v>2472</v>
      </c>
      <c r="K48" s="3" t="s">
        <v>43</v>
      </c>
      <c r="L48" s="3" t="s">
        <v>415</v>
      </c>
      <c r="M48" s="3" t="s">
        <v>92</v>
      </c>
      <c r="N48" s="3" t="s">
        <v>92</v>
      </c>
      <c r="O48" s="3" t="s">
        <v>2473</v>
      </c>
      <c r="P48" s="3" t="s">
        <v>3852</v>
      </c>
      <c r="Q48" s="3" t="s">
        <v>3703</v>
      </c>
      <c r="R48" s="3" t="s">
        <v>3703</v>
      </c>
      <c r="S48" s="3" t="s">
        <v>3703</v>
      </c>
      <c r="T48" s="3" t="s">
        <v>3703</v>
      </c>
      <c r="U48" s="3" t="s">
        <v>2474</v>
      </c>
      <c r="V48" s="3" t="s">
        <v>3703</v>
      </c>
      <c r="W48" s="3" t="s">
        <v>2475</v>
      </c>
      <c r="X48" s="3" t="s">
        <v>2476</v>
      </c>
      <c r="Y48" s="3" t="s">
        <v>3703</v>
      </c>
      <c r="Z48" s="3" t="s">
        <v>3703</v>
      </c>
      <c r="AA48" s="3" t="s">
        <v>3703</v>
      </c>
      <c r="AB48" s="3" t="s">
        <v>3703</v>
      </c>
      <c r="AC48" s="3" t="s">
        <v>3703</v>
      </c>
      <c r="AD48" s="3" t="s">
        <v>3703</v>
      </c>
      <c r="AE48" s="3" t="s">
        <v>3703</v>
      </c>
      <c r="AF48" s="3" t="s">
        <v>3703</v>
      </c>
      <c r="AG48" s="3" t="s">
        <v>3703</v>
      </c>
      <c r="AH48" s="3" t="s">
        <v>3703</v>
      </c>
      <c r="AI48" s="3" t="s">
        <v>3703</v>
      </c>
      <c r="AJ48" s="3" t="s">
        <v>3703</v>
      </c>
      <c r="AK48" s="3" t="s">
        <v>3703</v>
      </c>
      <c r="AL48" s="3" t="s">
        <v>3703</v>
      </c>
      <c r="AM48" s="3" t="s">
        <v>3703</v>
      </c>
      <c r="AN48" s="3" t="s">
        <v>3703</v>
      </c>
      <c r="AO48" s="3" t="s">
        <v>3703</v>
      </c>
      <c r="AP48" s="3" t="s">
        <v>3703</v>
      </c>
      <c r="AQ48" s="3" t="s">
        <v>3703</v>
      </c>
      <c r="AR48" s="3" t="s">
        <v>3703</v>
      </c>
      <c r="AS48" s="3" t="s">
        <v>3703</v>
      </c>
    </row>
    <row r="49" spans="1:45" ht="13.8" x14ac:dyDescent="0.25">
      <c r="A49" s="8" t="s">
        <v>3698</v>
      </c>
      <c r="B49" s="3" t="s">
        <v>2488</v>
      </c>
      <c r="C49" s="3" t="s">
        <v>358</v>
      </c>
      <c r="D49" s="3" t="s">
        <v>2489</v>
      </c>
      <c r="E49" s="3" t="s">
        <v>2490</v>
      </c>
      <c r="F49" s="3" t="s">
        <v>3977</v>
      </c>
      <c r="G49" s="3" t="s">
        <v>29</v>
      </c>
      <c r="H49" s="3" t="s">
        <v>3978</v>
      </c>
      <c r="I49" s="3" t="s">
        <v>3979</v>
      </c>
      <c r="J49" s="3" t="s">
        <v>2488</v>
      </c>
      <c r="K49" s="3" t="s">
        <v>30</v>
      </c>
      <c r="L49" s="3" t="s">
        <v>293</v>
      </c>
      <c r="M49" s="3" t="s">
        <v>2491</v>
      </c>
      <c r="N49" s="3" t="s">
        <v>1645</v>
      </c>
      <c r="O49" s="3" t="s">
        <v>2492</v>
      </c>
      <c r="P49" s="3" t="s">
        <v>3739</v>
      </c>
      <c r="Q49" s="3" t="s">
        <v>2493</v>
      </c>
      <c r="R49" s="3" t="s">
        <v>2494</v>
      </c>
      <c r="S49" s="3" t="s">
        <v>2488</v>
      </c>
      <c r="T49" s="3" t="s">
        <v>3980</v>
      </c>
      <c r="U49" s="3" t="s">
        <v>3981</v>
      </c>
      <c r="V49" s="3" t="s">
        <v>3982</v>
      </c>
      <c r="W49" s="3" t="s">
        <v>849</v>
      </c>
      <c r="X49" s="3" t="s">
        <v>3983</v>
      </c>
      <c r="Y49" s="3" t="s">
        <v>3703</v>
      </c>
      <c r="Z49" s="3" t="s">
        <v>3703</v>
      </c>
      <c r="AA49" s="3" t="s">
        <v>3703</v>
      </c>
      <c r="AB49" s="3" t="s">
        <v>3703</v>
      </c>
      <c r="AC49" s="3" t="s">
        <v>3703</v>
      </c>
      <c r="AD49" s="3" t="s">
        <v>3703</v>
      </c>
      <c r="AE49" s="3" t="s">
        <v>3703</v>
      </c>
      <c r="AF49" s="3" t="s">
        <v>3703</v>
      </c>
      <c r="AG49" s="3" t="s">
        <v>3703</v>
      </c>
      <c r="AH49" s="3" t="s">
        <v>3703</v>
      </c>
      <c r="AI49" s="3" t="s">
        <v>3703</v>
      </c>
      <c r="AJ49" s="3" t="s">
        <v>3703</v>
      </c>
      <c r="AK49" s="3" t="s">
        <v>3703</v>
      </c>
      <c r="AL49" s="3" t="s">
        <v>3703</v>
      </c>
      <c r="AM49" s="3" t="s">
        <v>3703</v>
      </c>
      <c r="AN49" s="3" t="s">
        <v>3703</v>
      </c>
      <c r="AO49" s="3" t="s">
        <v>3703</v>
      </c>
      <c r="AP49" s="3" t="s">
        <v>3703</v>
      </c>
      <c r="AQ49" s="3" t="s">
        <v>3703</v>
      </c>
      <c r="AR49" s="3" t="s">
        <v>3703</v>
      </c>
      <c r="AS49" s="3" t="s">
        <v>3703</v>
      </c>
    </row>
    <row r="50" spans="1:45" ht="13.8" x14ac:dyDescent="0.25">
      <c r="A50" s="8" t="s">
        <v>3698</v>
      </c>
      <c r="B50" s="3" t="s">
        <v>2519</v>
      </c>
      <c r="C50" s="3" t="s">
        <v>358</v>
      </c>
      <c r="D50" s="3" t="s">
        <v>2520</v>
      </c>
      <c r="E50" s="3" t="s">
        <v>2521</v>
      </c>
      <c r="F50" s="3" t="s">
        <v>3984</v>
      </c>
      <c r="G50" s="3" t="s">
        <v>74</v>
      </c>
      <c r="H50" s="3" t="s">
        <v>3985</v>
      </c>
      <c r="I50" s="3" t="s">
        <v>3986</v>
      </c>
      <c r="J50" s="3" t="s">
        <v>2519</v>
      </c>
      <c r="K50" s="3" t="s">
        <v>43</v>
      </c>
      <c r="L50" s="3" t="s">
        <v>311</v>
      </c>
      <c r="M50" s="3" t="s">
        <v>312</v>
      </c>
      <c r="N50" s="3" t="s">
        <v>312</v>
      </c>
      <c r="O50" s="3" t="s">
        <v>2522</v>
      </c>
      <c r="P50" s="3" t="s">
        <v>3900</v>
      </c>
      <c r="Q50" s="3" t="s">
        <v>3703</v>
      </c>
      <c r="R50" s="3" t="s">
        <v>3703</v>
      </c>
      <c r="S50" s="3" t="s">
        <v>3703</v>
      </c>
      <c r="T50" s="3" t="s">
        <v>3703</v>
      </c>
      <c r="U50" s="3" t="s">
        <v>3987</v>
      </c>
      <c r="V50" s="3" t="s">
        <v>3703</v>
      </c>
      <c r="W50" s="3" t="s">
        <v>523</v>
      </c>
      <c r="X50" s="3" t="s">
        <v>2523</v>
      </c>
      <c r="Y50" s="3" t="s">
        <v>3703</v>
      </c>
      <c r="Z50" s="3" t="s">
        <v>3703</v>
      </c>
      <c r="AA50" s="3" t="s">
        <v>3703</v>
      </c>
      <c r="AB50" s="3" t="s">
        <v>3703</v>
      </c>
      <c r="AC50" s="3" t="s">
        <v>3703</v>
      </c>
      <c r="AD50" s="3" t="s">
        <v>3703</v>
      </c>
      <c r="AE50" s="3" t="s">
        <v>3703</v>
      </c>
      <c r="AF50" s="3" t="s">
        <v>3703</v>
      </c>
      <c r="AG50" s="3" t="s">
        <v>3703</v>
      </c>
      <c r="AH50" s="3" t="s">
        <v>3703</v>
      </c>
      <c r="AI50" s="3" t="s">
        <v>3703</v>
      </c>
      <c r="AJ50" s="3" t="s">
        <v>3703</v>
      </c>
      <c r="AK50" s="3" t="s">
        <v>3703</v>
      </c>
      <c r="AL50" s="3" t="s">
        <v>3703</v>
      </c>
      <c r="AM50" s="3" t="s">
        <v>3703</v>
      </c>
      <c r="AN50" s="3" t="s">
        <v>3703</v>
      </c>
      <c r="AO50" s="3" t="s">
        <v>3703</v>
      </c>
      <c r="AP50" s="3" t="s">
        <v>3703</v>
      </c>
      <c r="AQ50" s="3" t="s">
        <v>3703</v>
      </c>
      <c r="AR50" s="3" t="s">
        <v>3703</v>
      </c>
      <c r="AS50" s="3" t="s">
        <v>3703</v>
      </c>
    </row>
    <row r="51" spans="1:45" ht="13.8" x14ac:dyDescent="0.25">
      <c r="A51" s="8" t="s">
        <v>3698</v>
      </c>
      <c r="B51" s="3" t="s">
        <v>2528</v>
      </c>
      <c r="C51" s="3" t="s">
        <v>358</v>
      </c>
      <c r="D51" s="3" t="s">
        <v>2520</v>
      </c>
      <c r="E51" s="3" t="s">
        <v>2529</v>
      </c>
      <c r="F51" s="3" t="s">
        <v>3988</v>
      </c>
      <c r="G51" s="3" t="s">
        <v>74</v>
      </c>
      <c r="H51" s="3" t="s">
        <v>3989</v>
      </c>
      <c r="I51" s="3" t="s">
        <v>3990</v>
      </c>
      <c r="J51" s="3" t="s">
        <v>2528</v>
      </c>
      <c r="K51" s="3" t="s">
        <v>43</v>
      </c>
      <c r="L51" s="3" t="s">
        <v>31</v>
      </c>
      <c r="M51" s="3" t="s">
        <v>44</v>
      </c>
      <c r="N51" s="3" t="s">
        <v>44</v>
      </c>
      <c r="O51" s="3" t="s">
        <v>2530</v>
      </c>
      <c r="P51" s="3" t="s">
        <v>3991</v>
      </c>
      <c r="Q51" s="3" t="s">
        <v>2531</v>
      </c>
      <c r="R51" s="3" t="s">
        <v>2531</v>
      </c>
      <c r="S51" s="3" t="s">
        <v>2531</v>
      </c>
      <c r="T51" s="3" t="s">
        <v>2531</v>
      </c>
      <c r="U51" s="3" t="s">
        <v>2532</v>
      </c>
      <c r="V51" s="3" t="s">
        <v>2532</v>
      </c>
      <c r="W51" s="3" t="s">
        <v>392</v>
      </c>
      <c r="X51" s="3" t="s">
        <v>2533</v>
      </c>
      <c r="Y51" s="3" t="s">
        <v>3703</v>
      </c>
      <c r="Z51" s="3" t="s">
        <v>3703</v>
      </c>
      <c r="AA51" s="3" t="s">
        <v>3703</v>
      </c>
      <c r="AB51" s="3" t="s">
        <v>3703</v>
      </c>
      <c r="AC51" s="3" t="s">
        <v>3703</v>
      </c>
      <c r="AD51" s="3" t="s">
        <v>3703</v>
      </c>
      <c r="AE51" s="3" t="s">
        <v>3703</v>
      </c>
      <c r="AF51" s="3" t="s">
        <v>3703</v>
      </c>
      <c r="AG51" s="3" t="s">
        <v>3703</v>
      </c>
      <c r="AH51" s="3" t="s">
        <v>3703</v>
      </c>
      <c r="AI51" s="3" t="s">
        <v>3703</v>
      </c>
      <c r="AJ51" s="3" t="s">
        <v>3703</v>
      </c>
      <c r="AK51" s="3" t="s">
        <v>3703</v>
      </c>
      <c r="AL51" s="3" t="s">
        <v>3703</v>
      </c>
      <c r="AM51" s="3" t="s">
        <v>3703</v>
      </c>
      <c r="AN51" s="3" t="s">
        <v>3703</v>
      </c>
      <c r="AO51" s="3" t="s">
        <v>3703</v>
      </c>
      <c r="AP51" s="3" t="s">
        <v>3703</v>
      </c>
      <c r="AQ51" s="3" t="s">
        <v>3703</v>
      </c>
      <c r="AR51" s="3" t="s">
        <v>3703</v>
      </c>
      <c r="AS51" s="3" t="s">
        <v>3703</v>
      </c>
    </row>
    <row r="52" spans="1:45" ht="13.8" x14ac:dyDescent="0.25">
      <c r="A52" s="8" t="s">
        <v>3698</v>
      </c>
      <c r="B52" s="3" t="s">
        <v>2591</v>
      </c>
      <c r="C52" s="3" t="s">
        <v>358</v>
      </c>
      <c r="D52" s="3" t="s">
        <v>1357</v>
      </c>
      <c r="E52" s="3" t="s">
        <v>2592</v>
      </c>
      <c r="F52" s="3" t="s">
        <v>3992</v>
      </c>
      <c r="G52" s="3" t="s">
        <v>470</v>
      </c>
      <c r="H52" s="3" t="s">
        <v>3993</v>
      </c>
      <c r="I52" s="3" t="s">
        <v>3994</v>
      </c>
      <c r="J52" s="3" t="s">
        <v>2591</v>
      </c>
      <c r="K52" s="3" t="s">
        <v>43</v>
      </c>
      <c r="L52" s="3" t="s">
        <v>31</v>
      </c>
      <c r="M52" s="3" t="s">
        <v>44</v>
      </c>
      <c r="N52" s="3" t="s">
        <v>1453</v>
      </c>
      <c r="O52" s="3" t="s">
        <v>2593</v>
      </c>
      <c r="P52" s="3" t="s">
        <v>3868</v>
      </c>
      <c r="Q52" s="3" t="s">
        <v>3703</v>
      </c>
      <c r="R52" s="3" t="s">
        <v>3703</v>
      </c>
      <c r="S52" s="3" t="s">
        <v>3703</v>
      </c>
      <c r="T52" s="3" t="s">
        <v>3703</v>
      </c>
      <c r="U52" s="3" t="s">
        <v>3995</v>
      </c>
      <c r="V52" s="3" t="s">
        <v>3703</v>
      </c>
      <c r="W52" s="3" t="s">
        <v>140</v>
      </c>
      <c r="X52" s="3" t="s">
        <v>3996</v>
      </c>
      <c r="Y52" s="3" t="s">
        <v>3703</v>
      </c>
      <c r="Z52" s="3" t="s">
        <v>3703</v>
      </c>
      <c r="AA52" s="3" t="s">
        <v>3703</v>
      </c>
      <c r="AB52" s="3" t="s">
        <v>3703</v>
      </c>
      <c r="AC52" s="3" t="s">
        <v>3703</v>
      </c>
      <c r="AD52" s="3" t="s">
        <v>3703</v>
      </c>
      <c r="AE52" s="3" t="s">
        <v>3703</v>
      </c>
      <c r="AF52" s="3" t="s">
        <v>3703</v>
      </c>
      <c r="AG52" s="3" t="s">
        <v>3703</v>
      </c>
      <c r="AH52" s="3" t="s">
        <v>3703</v>
      </c>
      <c r="AI52" s="3" t="s">
        <v>3703</v>
      </c>
      <c r="AJ52" s="3" t="s">
        <v>3703</v>
      </c>
      <c r="AK52" s="3" t="s">
        <v>3703</v>
      </c>
      <c r="AL52" s="3" t="s">
        <v>3703</v>
      </c>
      <c r="AM52" s="3" t="s">
        <v>3703</v>
      </c>
      <c r="AN52" s="3" t="s">
        <v>3703</v>
      </c>
      <c r="AO52" s="3" t="s">
        <v>3703</v>
      </c>
      <c r="AP52" s="3" t="s">
        <v>3703</v>
      </c>
      <c r="AQ52" s="3" t="s">
        <v>3703</v>
      </c>
      <c r="AR52" s="3" t="s">
        <v>3703</v>
      </c>
      <c r="AS52" s="3" t="s">
        <v>3703</v>
      </c>
    </row>
    <row r="53" spans="1:45" ht="13.8" x14ac:dyDescent="0.25">
      <c r="A53" s="8" t="s">
        <v>3698</v>
      </c>
      <c r="B53" s="3" t="s">
        <v>2650</v>
      </c>
      <c r="C53" s="3" t="s">
        <v>358</v>
      </c>
      <c r="D53" s="3" t="s">
        <v>2629</v>
      </c>
      <c r="E53" s="3" t="s">
        <v>2651</v>
      </c>
      <c r="F53" s="3" t="s">
        <v>3997</v>
      </c>
      <c r="G53" s="3" t="s">
        <v>54</v>
      </c>
      <c r="H53" s="3" t="s">
        <v>3998</v>
      </c>
      <c r="I53" s="3" t="s">
        <v>3999</v>
      </c>
      <c r="J53" s="3" t="s">
        <v>2650</v>
      </c>
      <c r="K53" s="3" t="s">
        <v>43</v>
      </c>
      <c r="L53" s="3" t="s">
        <v>31</v>
      </c>
      <c r="M53" s="3" t="s">
        <v>285</v>
      </c>
      <c r="N53" s="3" t="s">
        <v>1059</v>
      </c>
      <c r="O53" s="3" t="s">
        <v>2652</v>
      </c>
      <c r="P53" s="3" t="s">
        <v>3810</v>
      </c>
      <c r="Q53" s="3" t="s">
        <v>2653</v>
      </c>
      <c r="R53" s="3" t="s">
        <v>2654</v>
      </c>
      <c r="S53" s="3" t="s">
        <v>2655</v>
      </c>
      <c r="T53" s="3" t="s">
        <v>4000</v>
      </c>
      <c r="U53" s="3" t="s">
        <v>4000</v>
      </c>
      <c r="V53" s="3" t="s">
        <v>4001</v>
      </c>
      <c r="W53" s="3" t="s">
        <v>2656</v>
      </c>
      <c r="X53" s="3" t="s">
        <v>2657</v>
      </c>
      <c r="Y53" s="3" t="s">
        <v>3703</v>
      </c>
      <c r="Z53" s="3" t="s">
        <v>3703</v>
      </c>
      <c r="AA53" s="3" t="s">
        <v>3703</v>
      </c>
      <c r="AB53" s="3" t="s">
        <v>3703</v>
      </c>
      <c r="AC53" s="3" t="s">
        <v>3703</v>
      </c>
      <c r="AD53" s="3" t="s">
        <v>3703</v>
      </c>
      <c r="AE53" s="3" t="s">
        <v>3703</v>
      </c>
      <c r="AF53" s="3" t="s">
        <v>3703</v>
      </c>
      <c r="AG53" s="3" t="s">
        <v>3703</v>
      </c>
      <c r="AH53" s="3" t="s">
        <v>3703</v>
      </c>
      <c r="AI53" s="3" t="s">
        <v>3703</v>
      </c>
      <c r="AJ53" s="3" t="s">
        <v>3703</v>
      </c>
      <c r="AK53" s="3" t="s">
        <v>3703</v>
      </c>
      <c r="AL53" s="3" t="s">
        <v>3703</v>
      </c>
      <c r="AM53" s="3" t="s">
        <v>3703</v>
      </c>
      <c r="AN53" s="3" t="s">
        <v>3703</v>
      </c>
      <c r="AO53" s="3" t="s">
        <v>3703</v>
      </c>
      <c r="AP53" s="3" t="s">
        <v>3703</v>
      </c>
      <c r="AQ53" s="3" t="s">
        <v>3703</v>
      </c>
      <c r="AR53" s="3" t="s">
        <v>3703</v>
      </c>
      <c r="AS53" s="3" t="s">
        <v>3703</v>
      </c>
    </row>
    <row r="54" spans="1:45" ht="13.8" x14ac:dyDescent="0.25">
      <c r="A54" s="8" t="s">
        <v>3698</v>
      </c>
      <c r="B54" s="3" t="s">
        <v>2745</v>
      </c>
      <c r="C54" s="3" t="s">
        <v>358</v>
      </c>
      <c r="D54" s="3" t="s">
        <v>1023</v>
      </c>
      <c r="E54" s="3" t="s">
        <v>2746</v>
      </c>
      <c r="F54" s="3" t="s">
        <v>4002</v>
      </c>
      <c r="G54" s="3" t="s">
        <v>470</v>
      </c>
      <c r="H54" s="3" t="s">
        <v>4003</v>
      </c>
      <c r="I54" s="3" t="s">
        <v>4004</v>
      </c>
      <c r="J54" s="3" t="s">
        <v>2745</v>
      </c>
      <c r="K54" s="3" t="s">
        <v>43</v>
      </c>
      <c r="L54" s="3" t="s">
        <v>31</v>
      </c>
      <c r="M54" s="3" t="s">
        <v>44</v>
      </c>
      <c r="N54" s="3" t="s">
        <v>2747</v>
      </c>
      <c r="O54" s="3" t="s">
        <v>2748</v>
      </c>
      <c r="P54" s="3" t="s">
        <v>4005</v>
      </c>
      <c r="Q54" s="3" t="s">
        <v>1159</v>
      </c>
      <c r="R54" s="3" t="s">
        <v>2746</v>
      </c>
      <c r="S54" s="3" t="s">
        <v>2749</v>
      </c>
      <c r="T54" s="3" t="s">
        <v>4006</v>
      </c>
      <c r="U54" s="3" t="s">
        <v>4007</v>
      </c>
      <c r="V54" s="3" t="s">
        <v>3703</v>
      </c>
      <c r="W54" s="3" t="s">
        <v>49</v>
      </c>
      <c r="X54" s="3" t="s">
        <v>2750</v>
      </c>
      <c r="Y54" s="3" t="s">
        <v>3703</v>
      </c>
      <c r="Z54" s="3" t="s">
        <v>3703</v>
      </c>
      <c r="AA54" s="3" t="s">
        <v>3703</v>
      </c>
      <c r="AB54" s="3" t="s">
        <v>3703</v>
      </c>
      <c r="AC54" s="3" t="s">
        <v>3703</v>
      </c>
      <c r="AD54" s="3" t="s">
        <v>3703</v>
      </c>
      <c r="AE54" s="3" t="s">
        <v>3703</v>
      </c>
      <c r="AF54" s="3" t="s">
        <v>3703</v>
      </c>
      <c r="AG54" s="3" t="s">
        <v>3703</v>
      </c>
      <c r="AH54" s="3" t="s">
        <v>3703</v>
      </c>
      <c r="AI54" s="3" t="s">
        <v>3703</v>
      </c>
      <c r="AJ54" s="3" t="s">
        <v>3703</v>
      </c>
      <c r="AK54" s="3" t="s">
        <v>3703</v>
      </c>
      <c r="AL54" s="3" t="s">
        <v>3703</v>
      </c>
      <c r="AM54" s="3" t="s">
        <v>3703</v>
      </c>
      <c r="AN54" s="3" t="s">
        <v>3703</v>
      </c>
      <c r="AO54" s="3" t="s">
        <v>3703</v>
      </c>
      <c r="AP54" s="3" t="s">
        <v>3703</v>
      </c>
      <c r="AQ54" s="3" t="s">
        <v>3703</v>
      </c>
      <c r="AR54" s="3" t="s">
        <v>3703</v>
      </c>
      <c r="AS54" s="3" t="s">
        <v>3703</v>
      </c>
    </row>
    <row r="55" spans="1:45" ht="13.8" x14ac:dyDescent="0.25">
      <c r="A55" s="8" t="s">
        <v>3698</v>
      </c>
      <c r="B55" s="3" t="s">
        <v>2843</v>
      </c>
      <c r="C55" s="3" t="s">
        <v>358</v>
      </c>
      <c r="D55" s="3" t="s">
        <v>2844</v>
      </c>
      <c r="E55" s="3" t="s">
        <v>2845</v>
      </c>
      <c r="F55" s="3" t="s">
        <v>4008</v>
      </c>
      <c r="G55" s="3" t="s">
        <v>318</v>
      </c>
      <c r="H55" s="3" t="s">
        <v>4009</v>
      </c>
      <c r="I55" s="3" t="s">
        <v>4010</v>
      </c>
      <c r="J55" s="3" t="s">
        <v>2846</v>
      </c>
      <c r="K55" s="3" t="s">
        <v>43</v>
      </c>
      <c r="L55" s="3" t="s">
        <v>311</v>
      </c>
      <c r="M55" s="3" t="s">
        <v>2847</v>
      </c>
      <c r="N55" s="3" t="s">
        <v>2848</v>
      </c>
      <c r="O55" s="3" t="s">
        <v>2849</v>
      </c>
      <c r="P55" s="3" t="s">
        <v>3733</v>
      </c>
      <c r="Q55" s="3" t="s">
        <v>2850</v>
      </c>
      <c r="R55" s="3" t="s">
        <v>2845</v>
      </c>
      <c r="S55" s="3" t="s">
        <v>2843</v>
      </c>
      <c r="T55" s="3" t="s">
        <v>4011</v>
      </c>
      <c r="U55" s="3" t="s">
        <v>4012</v>
      </c>
      <c r="V55" s="3" t="s">
        <v>3703</v>
      </c>
      <c r="W55" s="3" t="s">
        <v>211</v>
      </c>
      <c r="X55" s="3" t="s">
        <v>4013</v>
      </c>
      <c r="Y55" s="3" t="s">
        <v>3703</v>
      </c>
      <c r="Z55" s="3" t="s">
        <v>3703</v>
      </c>
      <c r="AA55" s="3" t="s">
        <v>3703</v>
      </c>
      <c r="AB55" s="3" t="s">
        <v>3703</v>
      </c>
      <c r="AC55" s="3" t="s">
        <v>3703</v>
      </c>
      <c r="AD55" s="3" t="s">
        <v>3703</v>
      </c>
      <c r="AE55" s="3" t="s">
        <v>3703</v>
      </c>
      <c r="AF55" s="3" t="s">
        <v>3703</v>
      </c>
      <c r="AG55" s="3" t="s">
        <v>3703</v>
      </c>
      <c r="AH55" s="3" t="s">
        <v>3703</v>
      </c>
      <c r="AI55" s="3" t="s">
        <v>3703</v>
      </c>
      <c r="AJ55" s="3" t="s">
        <v>3703</v>
      </c>
      <c r="AK55" s="3" t="s">
        <v>3703</v>
      </c>
      <c r="AL55" s="3" t="s">
        <v>3703</v>
      </c>
      <c r="AM55" s="3" t="s">
        <v>3703</v>
      </c>
      <c r="AN55" s="3" t="s">
        <v>3703</v>
      </c>
      <c r="AO55" s="3" t="s">
        <v>3703</v>
      </c>
      <c r="AP55" s="3" t="s">
        <v>3703</v>
      </c>
      <c r="AQ55" s="3" t="s">
        <v>3703</v>
      </c>
      <c r="AR55" s="3" t="s">
        <v>3703</v>
      </c>
      <c r="AS55" s="3" t="s">
        <v>3703</v>
      </c>
    </row>
    <row r="56" spans="1:45" ht="13.8" x14ac:dyDescent="0.25">
      <c r="A56" s="8" t="s">
        <v>3698</v>
      </c>
      <c r="B56" s="3" t="s">
        <v>2918</v>
      </c>
      <c r="C56" s="3" t="s">
        <v>358</v>
      </c>
      <c r="D56" s="3" t="s">
        <v>899</v>
      </c>
      <c r="E56" s="3" t="s">
        <v>2919</v>
      </c>
      <c r="F56" s="3" t="s">
        <v>4014</v>
      </c>
      <c r="G56" s="3" t="s">
        <v>352</v>
      </c>
      <c r="H56" s="3" t="s">
        <v>4015</v>
      </c>
      <c r="I56" s="3" t="s">
        <v>4016</v>
      </c>
      <c r="J56" s="3" t="s">
        <v>2918</v>
      </c>
      <c r="K56" s="3" t="s">
        <v>43</v>
      </c>
      <c r="L56" s="3" t="s">
        <v>31</v>
      </c>
      <c r="M56" s="3" t="s">
        <v>44</v>
      </c>
      <c r="N56" s="3" t="s">
        <v>44</v>
      </c>
      <c r="O56" s="3" t="s">
        <v>2920</v>
      </c>
      <c r="P56" s="3" t="s">
        <v>3859</v>
      </c>
      <c r="Q56" s="3" t="s">
        <v>3703</v>
      </c>
      <c r="R56" s="3" t="s">
        <v>3703</v>
      </c>
      <c r="S56" s="3" t="s">
        <v>3703</v>
      </c>
      <c r="T56" s="3" t="s">
        <v>3703</v>
      </c>
      <c r="U56" s="3" t="s">
        <v>4017</v>
      </c>
      <c r="V56" s="3" t="s">
        <v>3703</v>
      </c>
      <c r="W56" s="3" t="s">
        <v>115</v>
      </c>
      <c r="X56" s="3" t="s">
        <v>4018</v>
      </c>
      <c r="Y56" s="3" t="s">
        <v>3703</v>
      </c>
      <c r="Z56" s="3" t="s">
        <v>3703</v>
      </c>
      <c r="AA56" s="3" t="s">
        <v>3703</v>
      </c>
      <c r="AB56" s="3" t="s">
        <v>3703</v>
      </c>
      <c r="AC56" s="3" t="s">
        <v>3703</v>
      </c>
      <c r="AD56" s="3" t="s">
        <v>3703</v>
      </c>
      <c r="AE56" s="3" t="s">
        <v>3703</v>
      </c>
      <c r="AF56" s="3" t="s">
        <v>3703</v>
      </c>
      <c r="AG56" s="3" t="s">
        <v>3703</v>
      </c>
      <c r="AH56" s="3" t="s">
        <v>3703</v>
      </c>
      <c r="AI56" s="3" t="s">
        <v>3703</v>
      </c>
      <c r="AJ56" s="3" t="s">
        <v>3703</v>
      </c>
      <c r="AK56" s="3" t="s">
        <v>3703</v>
      </c>
      <c r="AL56" s="3" t="s">
        <v>3703</v>
      </c>
      <c r="AM56" s="3" t="s">
        <v>3703</v>
      </c>
      <c r="AN56" s="3" t="s">
        <v>3703</v>
      </c>
      <c r="AO56" s="3" t="s">
        <v>3703</v>
      </c>
      <c r="AP56" s="3" t="s">
        <v>3703</v>
      </c>
      <c r="AQ56" s="3" t="s">
        <v>3703</v>
      </c>
      <c r="AR56" s="3" t="s">
        <v>3703</v>
      </c>
      <c r="AS56" s="3" t="s">
        <v>3703</v>
      </c>
    </row>
    <row r="57" spans="1:45" ht="13.8" x14ac:dyDescent="0.25">
      <c r="A57" s="8" t="s">
        <v>3698</v>
      </c>
      <c r="B57" s="3" t="s">
        <v>2843</v>
      </c>
      <c r="C57" s="3" t="s">
        <v>358</v>
      </c>
      <c r="D57" s="3" t="s">
        <v>2927</v>
      </c>
      <c r="E57" s="3" t="s">
        <v>780</v>
      </c>
      <c r="F57" s="3" t="s">
        <v>4019</v>
      </c>
      <c r="G57" s="3" t="s">
        <v>318</v>
      </c>
      <c r="H57" s="3" t="s">
        <v>4020</v>
      </c>
      <c r="I57" s="3" t="s">
        <v>4021</v>
      </c>
      <c r="J57" s="3" t="s">
        <v>2843</v>
      </c>
      <c r="K57" s="3" t="s">
        <v>43</v>
      </c>
      <c r="L57" s="3" t="s">
        <v>527</v>
      </c>
      <c r="M57" s="3" t="s">
        <v>2847</v>
      </c>
      <c r="N57" s="3" t="s">
        <v>2929</v>
      </c>
      <c r="O57" s="3" t="s">
        <v>2849</v>
      </c>
      <c r="P57" s="3" t="s">
        <v>3733</v>
      </c>
      <c r="Q57" s="3" t="s">
        <v>3703</v>
      </c>
      <c r="R57" s="3" t="s">
        <v>3703</v>
      </c>
      <c r="S57" s="3" t="s">
        <v>3703</v>
      </c>
      <c r="T57" s="3" t="s">
        <v>3703</v>
      </c>
      <c r="U57" s="3" t="s">
        <v>4012</v>
      </c>
      <c r="V57" s="3" t="s">
        <v>3703</v>
      </c>
      <c r="W57" s="3" t="s">
        <v>211</v>
      </c>
      <c r="X57" s="3" t="s">
        <v>4022</v>
      </c>
      <c r="Y57" s="3" t="s">
        <v>3703</v>
      </c>
      <c r="Z57" s="3" t="s">
        <v>3703</v>
      </c>
      <c r="AA57" s="3" t="s">
        <v>3703</v>
      </c>
      <c r="AB57" s="3" t="s">
        <v>3703</v>
      </c>
      <c r="AC57" s="3" t="s">
        <v>3703</v>
      </c>
      <c r="AD57" s="3" t="s">
        <v>3703</v>
      </c>
      <c r="AE57" s="3" t="s">
        <v>3703</v>
      </c>
      <c r="AF57" s="3" t="s">
        <v>3703</v>
      </c>
      <c r="AG57" s="3" t="s">
        <v>3703</v>
      </c>
      <c r="AH57" s="3" t="s">
        <v>3703</v>
      </c>
      <c r="AI57" s="3" t="s">
        <v>3703</v>
      </c>
      <c r="AJ57" s="3" t="s">
        <v>3703</v>
      </c>
      <c r="AK57" s="3" t="s">
        <v>3703</v>
      </c>
      <c r="AL57" s="3" t="s">
        <v>3703</v>
      </c>
      <c r="AM57" s="3" t="s">
        <v>3703</v>
      </c>
      <c r="AN57" s="3" t="s">
        <v>3703</v>
      </c>
      <c r="AO57" s="3" t="s">
        <v>3703</v>
      </c>
      <c r="AP57" s="3" t="s">
        <v>3703</v>
      </c>
      <c r="AQ57" s="3" t="s">
        <v>3703</v>
      </c>
      <c r="AR57" s="3" t="s">
        <v>3703</v>
      </c>
      <c r="AS57" s="3" t="s">
        <v>3703</v>
      </c>
    </row>
    <row r="58" spans="1:45" ht="13.8" x14ac:dyDescent="0.25">
      <c r="A58" s="8" t="s">
        <v>3698</v>
      </c>
      <c r="B58" s="3" t="s">
        <v>2960</v>
      </c>
      <c r="C58" s="3" t="s">
        <v>358</v>
      </c>
      <c r="D58" s="3" t="s">
        <v>2571</v>
      </c>
      <c r="E58" s="3" t="s">
        <v>2961</v>
      </c>
      <c r="F58" s="3" t="s">
        <v>4023</v>
      </c>
      <c r="G58" s="3" t="s">
        <v>2962</v>
      </c>
      <c r="H58" s="3" t="s">
        <v>4024</v>
      </c>
      <c r="I58" s="3" t="s">
        <v>4025</v>
      </c>
      <c r="J58" s="3" t="s">
        <v>2960</v>
      </c>
      <c r="K58" s="3" t="s">
        <v>43</v>
      </c>
      <c r="L58" s="3" t="s">
        <v>31</v>
      </c>
      <c r="M58" s="3" t="s">
        <v>44</v>
      </c>
      <c r="N58" s="3" t="s">
        <v>2963</v>
      </c>
      <c r="O58" s="3" t="s">
        <v>2964</v>
      </c>
      <c r="P58" s="3" t="s">
        <v>3907</v>
      </c>
      <c r="Q58" s="3" t="s">
        <v>3703</v>
      </c>
      <c r="R58" s="3" t="s">
        <v>3703</v>
      </c>
      <c r="S58" s="3" t="s">
        <v>3703</v>
      </c>
      <c r="T58" s="3" t="s">
        <v>3703</v>
      </c>
      <c r="U58" s="3" t="s">
        <v>4026</v>
      </c>
      <c r="V58" s="3" t="s">
        <v>3703</v>
      </c>
      <c r="W58" s="3" t="s">
        <v>115</v>
      </c>
      <c r="X58" s="3" t="s">
        <v>4027</v>
      </c>
      <c r="Y58" s="3" t="s">
        <v>3703</v>
      </c>
      <c r="Z58" s="3" t="s">
        <v>3703</v>
      </c>
      <c r="AA58" s="3" t="s">
        <v>3703</v>
      </c>
      <c r="AB58" s="3" t="s">
        <v>3703</v>
      </c>
      <c r="AC58" s="3" t="s">
        <v>3703</v>
      </c>
      <c r="AD58" s="3" t="s">
        <v>3703</v>
      </c>
      <c r="AE58" s="3" t="s">
        <v>3703</v>
      </c>
      <c r="AF58" s="3" t="s">
        <v>3703</v>
      </c>
      <c r="AG58" s="3" t="s">
        <v>3703</v>
      </c>
      <c r="AH58" s="3" t="s">
        <v>3703</v>
      </c>
      <c r="AI58" s="3" t="s">
        <v>3703</v>
      </c>
      <c r="AJ58" s="3" t="s">
        <v>3703</v>
      </c>
      <c r="AK58" s="3" t="s">
        <v>3703</v>
      </c>
      <c r="AL58" s="3" t="s">
        <v>3703</v>
      </c>
      <c r="AM58" s="3" t="s">
        <v>3703</v>
      </c>
      <c r="AN58" s="3" t="s">
        <v>3703</v>
      </c>
      <c r="AO58" s="3" t="s">
        <v>3703</v>
      </c>
      <c r="AP58" s="3" t="s">
        <v>3703</v>
      </c>
      <c r="AQ58" s="3" t="s">
        <v>3703</v>
      </c>
      <c r="AR58" s="3" t="s">
        <v>3703</v>
      </c>
      <c r="AS58" s="3" t="s">
        <v>3703</v>
      </c>
    </row>
    <row r="59" spans="1:45" ht="13.8" x14ac:dyDescent="0.25">
      <c r="A59" s="8"/>
    </row>
    <row r="60" spans="1:45" ht="13.8" x14ac:dyDescent="0.25">
      <c r="A60" s="8"/>
    </row>
    <row r="61" spans="1:45" ht="13.8" x14ac:dyDescent="0.25">
      <c r="A61" s="8"/>
    </row>
    <row r="62" spans="1:45" ht="13.8" x14ac:dyDescent="0.25">
      <c r="A62" s="8"/>
    </row>
    <row r="63" spans="1:45" ht="13.8" x14ac:dyDescent="0.25">
      <c r="A63" s="8"/>
    </row>
    <row r="64" spans="1:45" ht="13.8" x14ac:dyDescent="0.25">
      <c r="A64" s="8"/>
    </row>
    <row r="65" spans="1:1" ht="13.8" x14ac:dyDescent="0.25">
      <c r="A65" s="8"/>
    </row>
    <row r="66" spans="1:1" ht="13.8" x14ac:dyDescent="0.25">
      <c r="A66" s="8"/>
    </row>
    <row r="67" spans="1:1" ht="13.8" x14ac:dyDescent="0.25">
      <c r="A67" s="8"/>
    </row>
    <row r="68" spans="1:1" ht="13.8" x14ac:dyDescent="0.25">
      <c r="A68" s="8"/>
    </row>
    <row r="69" spans="1:1" ht="13.8" x14ac:dyDescent="0.25">
      <c r="A69" s="8"/>
    </row>
    <row r="70" spans="1:1" ht="13.8" x14ac:dyDescent="0.25">
      <c r="A70" s="8"/>
    </row>
    <row r="71" spans="1:1" ht="13.8" x14ac:dyDescent="0.25">
      <c r="A71" s="8"/>
    </row>
    <row r="72" spans="1:1" ht="13.8" x14ac:dyDescent="0.25">
      <c r="A72" s="8"/>
    </row>
    <row r="73" spans="1:1" ht="13.8" x14ac:dyDescent="0.25">
      <c r="A73" s="8"/>
    </row>
    <row r="74" spans="1:1" ht="13.8" x14ac:dyDescent="0.25">
      <c r="A74" s="8"/>
    </row>
    <row r="75" spans="1:1" ht="13.8" x14ac:dyDescent="0.25">
      <c r="A75" s="8"/>
    </row>
    <row r="76" spans="1:1" ht="13.8" x14ac:dyDescent="0.25">
      <c r="A76" s="8"/>
    </row>
    <row r="77" spans="1:1" ht="13.8" x14ac:dyDescent="0.25">
      <c r="A77" s="8"/>
    </row>
    <row r="78" spans="1:1" ht="13.8" x14ac:dyDescent="0.25">
      <c r="A78" s="8"/>
    </row>
    <row r="79" spans="1:1" ht="13.8" x14ac:dyDescent="0.25">
      <c r="A79" s="8"/>
    </row>
    <row r="80" spans="1:1" ht="13.8" x14ac:dyDescent="0.25">
      <c r="A80" s="8"/>
    </row>
    <row r="81" spans="1:1" ht="13.8" x14ac:dyDescent="0.25">
      <c r="A81" s="8"/>
    </row>
    <row r="82" spans="1:1" ht="13.8" x14ac:dyDescent="0.25">
      <c r="A82" s="8"/>
    </row>
    <row r="83" spans="1:1" ht="13.8" x14ac:dyDescent="0.25">
      <c r="A83" s="8"/>
    </row>
    <row r="84" spans="1:1" ht="13.8" x14ac:dyDescent="0.25">
      <c r="A84" s="8"/>
    </row>
    <row r="85" spans="1:1" ht="13.8" x14ac:dyDescent="0.25">
      <c r="A85" s="8"/>
    </row>
    <row r="86" spans="1:1" ht="13.8" x14ac:dyDescent="0.25">
      <c r="A86" s="8"/>
    </row>
    <row r="87" spans="1:1" ht="13.8" x14ac:dyDescent="0.25">
      <c r="A87" s="8"/>
    </row>
    <row r="88" spans="1:1" ht="13.8" x14ac:dyDescent="0.25">
      <c r="A88" s="8"/>
    </row>
    <row r="89" spans="1:1" ht="13.8" x14ac:dyDescent="0.25">
      <c r="A89" s="8"/>
    </row>
    <row r="90" spans="1:1" ht="13.8" x14ac:dyDescent="0.25">
      <c r="A90" s="8"/>
    </row>
    <row r="91" spans="1:1" ht="13.8" x14ac:dyDescent="0.25">
      <c r="A91" s="8"/>
    </row>
    <row r="92" spans="1:1" ht="13.8" x14ac:dyDescent="0.25">
      <c r="A92" s="8"/>
    </row>
    <row r="93" spans="1:1" ht="13.8" x14ac:dyDescent="0.25">
      <c r="A93" s="8"/>
    </row>
    <row r="94" spans="1:1" ht="13.8" x14ac:dyDescent="0.25">
      <c r="A94" s="8"/>
    </row>
    <row r="95" spans="1:1" ht="13.8" x14ac:dyDescent="0.25">
      <c r="A95" s="8"/>
    </row>
    <row r="96" spans="1:1" ht="13.8" x14ac:dyDescent="0.25">
      <c r="A96" s="8"/>
    </row>
    <row r="97" spans="1:1" ht="13.8" x14ac:dyDescent="0.25">
      <c r="A97" s="8"/>
    </row>
    <row r="98" spans="1:1" ht="13.8" x14ac:dyDescent="0.25">
      <c r="A98" s="8"/>
    </row>
    <row r="99" spans="1:1" ht="13.8" x14ac:dyDescent="0.25">
      <c r="A99" s="8"/>
    </row>
    <row r="100" spans="1:1" ht="13.8" x14ac:dyDescent="0.25">
      <c r="A100" s="8"/>
    </row>
    <row r="101" spans="1:1" ht="13.8" x14ac:dyDescent="0.25">
      <c r="A101" s="8"/>
    </row>
    <row r="102" spans="1:1" ht="13.8" x14ac:dyDescent="0.25">
      <c r="A102" s="8"/>
    </row>
    <row r="103" spans="1:1" ht="13.8" x14ac:dyDescent="0.25">
      <c r="A103" s="8"/>
    </row>
    <row r="104" spans="1:1" ht="13.8" x14ac:dyDescent="0.25">
      <c r="A104" s="8"/>
    </row>
    <row r="105" spans="1:1" ht="13.8" x14ac:dyDescent="0.25">
      <c r="A105" s="8"/>
    </row>
    <row r="106" spans="1:1" ht="13.8" x14ac:dyDescent="0.25">
      <c r="A106" s="8"/>
    </row>
    <row r="107" spans="1:1" ht="13.8" x14ac:dyDescent="0.25">
      <c r="A107" s="8"/>
    </row>
    <row r="108" spans="1:1" ht="13.8" x14ac:dyDescent="0.25">
      <c r="A108" s="8"/>
    </row>
    <row r="109" spans="1:1" ht="13.8" x14ac:dyDescent="0.25">
      <c r="A109" s="8"/>
    </row>
    <row r="110" spans="1:1" ht="13.8" x14ac:dyDescent="0.25">
      <c r="A110" s="8"/>
    </row>
    <row r="111" spans="1:1" ht="13.8" x14ac:dyDescent="0.25">
      <c r="A111" s="8"/>
    </row>
    <row r="112" spans="1:1" ht="13.8" x14ac:dyDescent="0.25">
      <c r="A112" s="8"/>
    </row>
    <row r="113" spans="1:1" ht="13.8" x14ac:dyDescent="0.25">
      <c r="A113" s="8"/>
    </row>
    <row r="114" spans="1:1" ht="13.8" x14ac:dyDescent="0.25">
      <c r="A114" s="8"/>
    </row>
    <row r="115" spans="1:1" ht="13.8" x14ac:dyDescent="0.25">
      <c r="A115" s="8"/>
    </row>
    <row r="116" spans="1:1" ht="13.8" x14ac:dyDescent="0.25">
      <c r="A116" s="8"/>
    </row>
    <row r="117" spans="1:1" ht="13.8" x14ac:dyDescent="0.25">
      <c r="A117" s="8"/>
    </row>
    <row r="118" spans="1:1" ht="13.8" x14ac:dyDescent="0.25">
      <c r="A118" s="8"/>
    </row>
    <row r="119" spans="1:1" ht="13.8" x14ac:dyDescent="0.25">
      <c r="A119" s="8"/>
    </row>
    <row r="120" spans="1:1" ht="13.8" x14ac:dyDescent="0.25">
      <c r="A120" s="8"/>
    </row>
    <row r="121" spans="1:1" ht="13.8" x14ac:dyDescent="0.25">
      <c r="A121" s="8"/>
    </row>
    <row r="122" spans="1:1" ht="13.8" x14ac:dyDescent="0.25">
      <c r="A122" s="8"/>
    </row>
    <row r="123" spans="1:1" ht="13.8" x14ac:dyDescent="0.25">
      <c r="A123" s="8"/>
    </row>
    <row r="124" spans="1:1" ht="13.8" x14ac:dyDescent="0.25">
      <c r="A124" s="8"/>
    </row>
    <row r="125" spans="1:1" ht="13.8" x14ac:dyDescent="0.25">
      <c r="A125" s="8"/>
    </row>
    <row r="126" spans="1:1" ht="13.8" x14ac:dyDescent="0.25">
      <c r="A126" s="8"/>
    </row>
    <row r="127" spans="1:1" ht="13.8" x14ac:dyDescent="0.25">
      <c r="A127" s="8"/>
    </row>
    <row r="128" spans="1:1" ht="13.8" x14ac:dyDescent="0.25">
      <c r="A128" s="8"/>
    </row>
    <row r="129" spans="1:1" ht="13.8" x14ac:dyDescent="0.25">
      <c r="A129" s="8"/>
    </row>
    <row r="130" spans="1:1" ht="13.8" x14ac:dyDescent="0.25">
      <c r="A130" s="8"/>
    </row>
    <row r="131" spans="1:1" ht="13.8" x14ac:dyDescent="0.25">
      <c r="A131" s="8"/>
    </row>
    <row r="132" spans="1:1" ht="13.8" x14ac:dyDescent="0.25">
      <c r="A132" s="8"/>
    </row>
    <row r="133" spans="1:1" ht="13.8" x14ac:dyDescent="0.25">
      <c r="A133" s="8"/>
    </row>
    <row r="134" spans="1:1" ht="13.8" x14ac:dyDescent="0.25">
      <c r="A134" s="8"/>
    </row>
    <row r="135" spans="1:1" ht="13.8" x14ac:dyDescent="0.25">
      <c r="A135" s="8"/>
    </row>
    <row r="136" spans="1:1" ht="13.8" x14ac:dyDescent="0.25">
      <c r="A136" s="8"/>
    </row>
    <row r="137" spans="1:1" ht="13.8" x14ac:dyDescent="0.25">
      <c r="A137" s="8"/>
    </row>
    <row r="138" spans="1:1" ht="13.8" x14ac:dyDescent="0.25">
      <c r="A138" s="8"/>
    </row>
    <row r="139" spans="1:1" ht="13.8" x14ac:dyDescent="0.25">
      <c r="A139" s="8"/>
    </row>
    <row r="140" spans="1:1" ht="13.8" x14ac:dyDescent="0.25">
      <c r="A140" s="8"/>
    </row>
    <row r="141" spans="1:1" ht="13.8" x14ac:dyDescent="0.25">
      <c r="A141" s="8"/>
    </row>
    <row r="142" spans="1:1" ht="13.8" x14ac:dyDescent="0.25">
      <c r="A142" s="8"/>
    </row>
    <row r="143" spans="1:1" ht="13.8" x14ac:dyDescent="0.25">
      <c r="A143" s="8"/>
    </row>
    <row r="144" spans="1:1" ht="13.8" x14ac:dyDescent="0.25">
      <c r="A144" s="8"/>
    </row>
    <row r="145" spans="1:1" ht="13.8" x14ac:dyDescent="0.25">
      <c r="A145" s="8"/>
    </row>
    <row r="146" spans="1:1" ht="13.8" x14ac:dyDescent="0.25">
      <c r="A146" s="8"/>
    </row>
    <row r="147" spans="1:1" ht="13.8" x14ac:dyDescent="0.25">
      <c r="A147" s="8"/>
    </row>
    <row r="148" spans="1:1" ht="13.8" x14ac:dyDescent="0.25">
      <c r="A148" s="8"/>
    </row>
    <row r="149" spans="1:1" ht="13.8" x14ac:dyDescent="0.25">
      <c r="A149" s="8"/>
    </row>
    <row r="150" spans="1:1" ht="13.8" x14ac:dyDescent="0.25">
      <c r="A150" s="8"/>
    </row>
    <row r="151" spans="1:1" ht="13.8" x14ac:dyDescent="0.25">
      <c r="A151" s="8"/>
    </row>
    <row r="152" spans="1:1" ht="13.8" x14ac:dyDescent="0.25">
      <c r="A152" s="8"/>
    </row>
    <row r="153" spans="1:1" ht="13.8" x14ac:dyDescent="0.25">
      <c r="A153" s="8"/>
    </row>
    <row r="154" spans="1:1" ht="13.8" x14ac:dyDescent="0.25">
      <c r="A154" s="8"/>
    </row>
    <row r="155" spans="1:1" ht="13.8" x14ac:dyDescent="0.25">
      <c r="A155" s="8"/>
    </row>
    <row r="156" spans="1:1" ht="13.8" x14ac:dyDescent="0.25">
      <c r="A156" s="8"/>
    </row>
    <row r="157" spans="1:1" ht="13.8" x14ac:dyDescent="0.25">
      <c r="A157" s="8"/>
    </row>
    <row r="158" spans="1:1" ht="13.8" x14ac:dyDescent="0.25">
      <c r="A158" s="8"/>
    </row>
    <row r="159" spans="1:1" ht="13.8" x14ac:dyDescent="0.25">
      <c r="A159" s="8"/>
    </row>
    <row r="160" spans="1:1" ht="13.8" x14ac:dyDescent="0.25">
      <c r="A160" s="8"/>
    </row>
    <row r="161" spans="1:1" ht="13.8" x14ac:dyDescent="0.25">
      <c r="A161" s="8"/>
    </row>
    <row r="162" spans="1:1" ht="13.8" x14ac:dyDescent="0.25">
      <c r="A162" s="8"/>
    </row>
    <row r="163" spans="1:1" ht="13.8" x14ac:dyDescent="0.25">
      <c r="A163" s="8"/>
    </row>
    <row r="164" spans="1:1" ht="13.8" x14ac:dyDescent="0.25">
      <c r="A164" s="8"/>
    </row>
    <row r="165" spans="1:1" ht="13.8" x14ac:dyDescent="0.25">
      <c r="A165" s="8"/>
    </row>
    <row r="166" spans="1:1" ht="13.8" x14ac:dyDescent="0.25">
      <c r="A166" s="8"/>
    </row>
    <row r="167" spans="1:1" ht="13.8" x14ac:dyDescent="0.25">
      <c r="A167" s="8"/>
    </row>
    <row r="168" spans="1:1" ht="13.8" x14ac:dyDescent="0.25">
      <c r="A168" s="8"/>
    </row>
    <row r="169" spans="1:1" ht="13.8" x14ac:dyDescent="0.25">
      <c r="A169" s="8"/>
    </row>
    <row r="170" spans="1:1" ht="13.8" x14ac:dyDescent="0.25">
      <c r="A170" s="8"/>
    </row>
    <row r="171" spans="1:1" ht="13.8" x14ac:dyDescent="0.25">
      <c r="A171" s="8"/>
    </row>
    <row r="172" spans="1:1" ht="13.8" x14ac:dyDescent="0.25">
      <c r="A172" s="8"/>
    </row>
    <row r="173" spans="1:1" ht="13.8" x14ac:dyDescent="0.25">
      <c r="A173" s="8"/>
    </row>
    <row r="174" spans="1:1" ht="13.8" x14ac:dyDescent="0.25">
      <c r="A174" s="8"/>
    </row>
    <row r="175" spans="1:1" ht="13.8" x14ac:dyDescent="0.25">
      <c r="A175" s="8"/>
    </row>
    <row r="176" spans="1:1" ht="13.8" x14ac:dyDescent="0.25">
      <c r="A176" s="8"/>
    </row>
    <row r="177" spans="1:1" ht="13.8" x14ac:dyDescent="0.25">
      <c r="A177" s="8"/>
    </row>
    <row r="178" spans="1:1" ht="13.8" x14ac:dyDescent="0.25">
      <c r="A178" s="8"/>
    </row>
    <row r="179" spans="1:1" ht="13.8" x14ac:dyDescent="0.25">
      <c r="A179" s="8"/>
    </row>
    <row r="180" spans="1:1" ht="13.8" x14ac:dyDescent="0.25">
      <c r="A180" s="8"/>
    </row>
    <row r="181" spans="1:1" ht="13.8" x14ac:dyDescent="0.25">
      <c r="A181" s="8"/>
    </row>
    <row r="182" spans="1:1" ht="13.8" x14ac:dyDescent="0.25">
      <c r="A182" s="8"/>
    </row>
    <row r="183" spans="1:1" ht="13.8" x14ac:dyDescent="0.25">
      <c r="A183" s="8"/>
    </row>
    <row r="184" spans="1:1" ht="13.8" x14ac:dyDescent="0.25">
      <c r="A184" s="8"/>
    </row>
    <row r="185" spans="1:1" ht="13.8" x14ac:dyDescent="0.25">
      <c r="A185" s="8"/>
    </row>
    <row r="186" spans="1:1" ht="13.8" x14ac:dyDescent="0.25">
      <c r="A186" s="8"/>
    </row>
    <row r="187" spans="1:1" ht="13.8" x14ac:dyDescent="0.25">
      <c r="A187" s="8"/>
    </row>
    <row r="188" spans="1:1" ht="13.8" x14ac:dyDescent="0.25">
      <c r="A188" s="8"/>
    </row>
    <row r="189" spans="1:1" ht="13.8" x14ac:dyDescent="0.25">
      <c r="A189" s="8"/>
    </row>
    <row r="190" spans="1:1" ht="13.8" x14ac:dyDescent="0.25">
      <c r="A190" s="8"/>
    </row>
    <row r="191" spans="1:1" ht="13.8" x14ac:dyDescent="0.25">
      <c r="A191" s="8"/>
    </row>
    <row r="192" spans="1:1" ht="13.8" x14ac:dyDescent="0.25">
      <c r="A192" s="8"/>
    </row>
    <row r="193" spans="1:1" ht="13.8" x14ac:dyDescent="0.25">
      <c r="A193" s="8"/>
    </row>
    <row r="194" spans="1:1" ht="13.8" x14ac:dyDescent="0.25">
      <c r="A194" s="8"/>
    </row>
    <row r="195" spans="1:1" ht="13.8" x14ac:dyDescent="0.25">
      <c r="A195" s="8"/>
    </row>
    <row r="196" spans="1:1" ht="13.8" x14ac:dyDescent="0.25">
      <c r="A196" s="8"/>
    </row>
    <row r="197" spans="1:1" ht="13.8" x14ac:dyDescent="0.25">
      <c r="A197" s="8"/>
    </row>
    <row r="198" spans="1:1" ht="13.8" x14ac:dyDescent="0.25">
      <c r="A198" s="8"/>
    </row>
    <row r="199" spans="1:1" ht="13.8" x14ac:dyDescent="0.25">
      <c r="A199" s="8"/>
    </row>
    <row r="200" spans="1:1" ht="13.8" x14ac:dyDescent="0.25">
      <c r="A200" s="8"/>
    </row>
    <row r="201" spans="1:1" ht="13.8" x14ac:dyDescent="0.25">
      <c r="A201" s="8"/>
    </row>
    <row r="202" spans="1:1" ht="13.8" x14ac:dyDescent="0.25">
      <c r="A202" s="8"/>
    </row>
    <row r="203" spans="1:1" ht="13.8" x14ac:dyDescent="0.25">
      <c r="A203" s="8"/>
    </row>
    <row r="204" spans="1:1" ht="13.8" x14ac:dyDescent="0.25">
      <c r="A204" s="8"/>
    </row>
    <row r="205" spans="1:1" ht="13.8" x14ac:dyDescent="0.25">
      <c r="A205" s="8"/>
    </row>
    <row r="206" spans="1:1" ht="13.8" x14ac:dyDescent="0.25">
      <c r="A206" s="8"/>
    </row>
    <row r="207" spans="1:1" ht="13.8" x14ac:dyDescent="0.25">
      <c r="A207" s="8"/>
    </row>
    <row r="208" spans="1:1" ht="13.8" x14ac:dyDescent="0.25">
      <c r="A208" s="8"/>
    </row>
    <row r="209" spans="1:1" ht="13.8" x14ac:dyDescent="0.25">
      <c r="A209" s="8"/>
    </row>
    <row r="210" spans="1:1" ht="13.8" x14ac:dyDescent="0.25">
      <c r="A210" s="8"/>
    </row>
    <row r="211" spans="1:1" ht="13.8" x14ac:dyDescent="0.25">
      <c r="A211" s="8"/>
    </row>
    <row r="212" spans="1:1" ht="13.8" x14ac:dyDescent="0.25">
      <c r="A212" s="8"/>
    </row>
    <row r="213" spans="1:1" ht="13.8" x14ac:dyDescent="0.25">
      <c r="A213" s="8"/>
    </row>
    <row r="214" spans="1:1" ht="13.8" x14ac:dyDescent="0.25">
      <c r="A214" s="8"/>
    </row>
    <row r="215" spans="1:1" ht="13.8" x14ac:dyDescent="0.25">
      <c r="A215" s="8"/>
    </row>
    <row r="216" spans="1:1" ht="13.8" x14ac:dyDescent="0.25">
      <c r="A216" s="8"/>
    </row>
    <row r="217" spans="1:1" ht="13.8" x14ac:dyDescent="0.25">
      <c r="A217" s="8"/>
    </row>
    <row r="218" spans="1:1" ht="13.8" x14ac:dyDescent="0.25">
      <c r="A218" s="8"/>
    </row>
    <row r="219" spans="1:1" ht="13.8" x14ac:dyDescent="0.25">
      <c r="A219" s="8"/>
    </row>
    <row r="220" spans="1:1" ht="13.8" x14ac:dyDescent="0.25">
      <c r="A220" s="8"/>
    </row>
    <row r="221" spans="1:1" ht="13.8" x14ac:dyDescent="0.25">
      <c r="A221" s="8"/>
    </row>
    <row r="222" spans="1:1" ht="13.8" x14ac:dyDescent="0.25">
      <c r="A222" s="8"/>
    </row>
    <row r="223" spans="1:1" ht="13.8" x14ac:dyDescent="0.25">
      <c r="A223" s="8"/>
    </row>
    <row r="224" spans="1:1" ht="13.8" x14ac:dyDescent="0.25">
      <c r="A224" s="8"/>
    </row>
    <row r="225" spans="1:1" ht="13.8" x14ac:dyDescent="0.25">
      <c r="A225" s="8"/>
    </row>
    <row r="226" spans="1:1" ht="13.8" x14ac:dyDescent="0.25">
      <c r="A226" s="8"/>
    </row>
    <row r="227" spans="1:1" ht="13.8" x14ac:dyDescent="0.25">
      <c r="A227" s="8"/>
    </row>
    <row r="228" spans="1:1" ht="13.8" x14ac:dyDescent="0.25">
      <c r="A228" s="8"/>
    </row>
    <row r="229" spans="1:1" ht="13.8" x14ac:dyDescent="0.25">
      <c r="A229" s="8"/>
    </row>
    <row r="230" spans="1:1" ht="13.8" x14ac:dyDescent="0.25">
      <c r="A230" s="8"/>
    </row>
    <row r="231" spans="1:1" ht="13.8" x14ac:dyDescent="0.25">
      <c r="A231" s="8"/>
    </row>
    <row r="232" spans="1:1" ht="13.8" x14ac:dyDescent="0.25">
      <c r="A232" s="8"/>
    </row>
    <row r="233" spans="1:1" ht="13.8" x14ac:dyDescent="0.25">
      <c r="A233" s="8"/>
    </row>
    <row r="234" spans="1:1" ht="13.8" x14ac:dyDescent="0.25">
      <c r="A234" s="8"/>
    </row>
    <row r="235" spans="1:1" ht="13.8" x14ac:dyDescent="0.25">
      <c r="A235" s="8"/>
    </row>
    <row r="236" spans="1:1" ht="13.8" x14ac:dyDescent="0.25">
      <c r="A236" s="8"/>
    </row>
    <row r="237" spans="1:1" ht="13.8" x14ac:dyDescent="0.25">
      <c r="A237" s="8"/>
    </row>
    <row r="238" spans="1:1" ht="13.8" x14ac:dyDescent="0.25">
      <c r="A238" s="8"/>
    </row>
    <row r="239" spans="1:1" ht="13.8" x14ac:dyDescent="0.25">
      <c r="A239" s="8"/>
    </row>
    <row r="240" spans="1:1" ht="13.8" x14ac:dyDescent="0.25">
      <c r="A240" s="8"/>
    </row>
    <row r="241" spans="1:1" ht="13.8" x14ac:dyDescent="0.25">
      <c r="A241" s="8"/>
    </row>
    <row r="242" spans="1:1" ht="13.8" x14ac:dyDescent="0.25">
      <c r="A242" s="8"/>
    </row>
    <row r="243" spans="1:1" ht="13.8" x14ac:dyDescent="0.25">
      <c r="A243" s="8"/>
    </row>
    <row r="244" spans="1:1" ht="13.8" x14ac:dyDescent="0.25">
      <c r="A244" s="8"/>
    </row>
    <row r="245" spans="1:1" ht="13.8" x14ac:dyDescent="0.25">
      <c r="A245" s="8"/>
    </row>
    <row r="246" spans="1:1" ht="13.8" x14ac:dyDescent="0.25">
      <c r="A246" s="8"/>
    </row>
    <row r="247" spans="1:1" ht="13.8" x14ac:dyDescent="0.25">
      <c r="A247" s="8"/>
    </row>
    <row r="248" spans="1:1" ht="13.8" x14ac:dyDescent="0.25">
      <c r="A248" s="8"/>
    </row>
    <row r="249" spans="1:1" ht="13.8" x14ac:dyDescent="0.25">
      <c r="A249" s="8"/>
    </row>
    <row r="250" spans="1:1" ht="13.8" x14ac:dyDescent="0.25">
      <c r="A250" s="8"/>
    </row>
    <row r="251" spans="1:1" ht="13.8" x14ac:dyDescent="0.25">
      <c r="A251" s="8"/>
    </row>
    <row r="252" spans="1:1" ht="13.8" x14ac:dyDescent="0.25">
      <c r="A252" s="8"/>
    </row>
    <row r="253" spans="1:1" ht="13.8" x14ac:dyDescent="0.25">
      <c r="A253" s="8"/>
    </row>
    <row r="254" spans="1:1" ht="13.8" x14ac:dyDescent="0.25">
      <c r="A254" s="8"/>
    </row>
    <row r="255" spans="1:1" ht="13.8" x14ac:dyDescent="0.25">
      <c r="A255" s="8"/>
    </row>
    <row r="256" spans="1:1" ht="13.8" x14ac:dyDescent="0.25">
      <c r="A256" s="8"/>
    </row>
    <row r="257" spans="1:1" ht="13.8" x14ac:dyDescent="0.25">
      <c r="A257" s="8"/>
    </row>
    <row r="258" spans="1:1" ht="13.8" x14ac:dyDescent="0.25">
      <c r="A258" s="8"/>
    </row>
    <row r="259" spans="1:1" ht="13.8" x14ac:dyDescent="0.25">
      <c r="A259" s="8"/>
    </row>
    <row r="260" spans="1:1" ht="13.8" x14ac:dyDescent="0.25">
      <c r="A260" s="8"/>
    </row>
    <row r="261" spans="1:1" ht="13.8" x14ac:dyDescent="0.25">
      <c r="A261" s="8"/>
    </row>
    <row r="262" spans="1:1" ht="13.8" x14ac:dyDescent="0.25">
      <c r="A262" s="8"/>
    </row>
    <row r="263" spans="1:1" ht="13.8" x14ac:dyDescent="0.25">
      <c r="A263" s="8"/>
    </row>
    <row r="264" spans="1:1" ht="13.8" x14ac:dyDescent="0.25">
      <c r="A264" s="8"/>
    </row>
    <row r="265" spans="1:1" ht="13.8" x14ac:dyDescent="0.25">
      <c r="A265" s="8"/>
    </row>
    <row r="266" spans="1:1" ht="13.8" x14ac:dyDescent="0.25">
      <c r="A266" s="8"/>
    </row>
    <row r="267" spans="1:1" ht="13.8" x14ac:dyDescent="0.25">
      <c r="A267" s="8"/>
    </row>
    <row r="268" spans="1:1" ht="13.8" x14ac:dyDescent="0.25">
      <c r="A268" s="8"/>
    </row>
    <row r="269" spans="1:1" ht="13.8" x14ac:dyDescent="0.25">
      <c r="A269" s="8"/>
    </row>
    <row r="270" spans="1:1" ht="13.8" x14ac:dyDescent="0.25">
      <c r="A270" s="8"/>
    </row>
    <row r="271" spans="1:1" ht="13.8" x14ac:dyDescent="0.25">
      <c r="A271" s="8"/>
    </row>
    <row r="272" spans="1:1" ht="13.8" x14ac:dyDescent="0.25">
      <c r="A272" s="8"/>
    </row>
    <row r="273" spans="1:1" ht="13.8" x14ac:dyDescent="0.25">
      <c r="A273" s="8"/>
    </row>
    <row r="274" spans="1:1" ht="13.8" x14ac:dyDescent="0.25">
      <c r="A274" s="8"/>
    </row>
    <row r="275" spans="1:1" ht="13.8" x14ac:dyDescent="0.25">
      <c r="A275" s="8"/>
    </row>
    <row r="276" spans="1:1" ht="13.8" x14ac:dyDescent="0.25">
      <c r="A276" s="8"/>
    </row>
    <row r="277" spans="1:1" ht="13.8" x14ac:dyDescent="0.25">
      <c r="A277" s="8"/>
    </row>
    <row r="278" spans="1:1" ht="13.8" x14ac:dyDescent="0.25">
      <c r="A278" s="8"/>
    </row>
    <row r="279" spans="1:1" ht="13.8" x14ac:dyDescent="0.25">
      <c r="A279" s="8"/>
    </row>
    <row r="280" spans="1:1" ht="13.8" x14ac:dyDescent="0.25">
      <c r="A280" s="8"/>
    </row>
    <row r="281" spans="1:1" ht="13.8" x14ac:dyDescent="0.25">
      <c r="A281" s="8"/>
    </row>
    <row r="282" spans="1:1" ht="13.8" x14ac:dyDescent="0.25">
      <c r="A282" s="8"/>
    </row>
    <row r="283" spans="1:1" ht="13.8" x14ac:dyDescent="0.25">
      <c r="A283" s="8"/>
    </row>
    <row r="284" spans="1:1" ht="13.8" x14ac:dyDescent="0.25">
      <c r="A284" s="8"/>
    </row>
    <row r="285" spans="1:1" ht="13.8" x14ac:dyDescent="0.25">
      <c r="A285" s="8"/>
    </row>
    <row r="286" spans="1:1" ht="13.8" x14ac:dyDescent="0.25">
      <c r="A286" s="8"/>
    </row>
    <row r="287" spans="1:1" ht="13.8" x14ac:dyDescent="0.25">
      <c r="A287" s="8"/>
    </row>
    <row r="288" spans="1:1" ht="13.8" x14ac:dyDescent="0.25">
      <c r="A288" s="8"/>
    </row>
    <row r="289" spans="1:1" ht="13.8" x14ac:dyDescent="0.25">
      <c r="A289" s="8"/>
    </row>
    <row r="290" spans="1:1" ht="13.8" x14ac:dyDescent="0.25">
      <c r="A290" s="8"/>
    </row>
    <row r="291" spans="1:1" ht="13.8" x14ac:dyDescent="0.25">
      <c r="A291" s="8"/>
    </row>
    <row r="292" spans="1:1" ht="13.8" x14ac:dyDescent="0.25">
      <c r="A292" s="8"/>
    </row>
    <row r="293" spans="1:1" ht="13.8" x14ac:dyDescent="0.25">
      <c r="A293" s="8"/>
    </row>
    <row r="294" spans="1:1" ht="13.8" x14ac:dyDescent="0.25">
      <c r="A294" s="8"/>
    </row>
    <row r="295" spans="1:1" ht="13.8" x14ac:dyDescent="0.25">
      <c r="A295" s="8"/>
    </row>
    <row r="296" spans="1:1" ht="13.8" x14ac:dyDescent="0.25">
      <c r="A296" s="8"/>
    </row>
    <row r="297" spans="1:1" ht="13.8" x14ac:dyDescent="0.25">
      <c r="A297" s="8"/>
    </row>
    <row r="298" spans="1:1" ht="13.8" x14ac:dyDescent="0.25">
      <c r="A298" s="8"/>
    </row>
    <row r="299" spans="1:1" ht="13.8" x14ac:dyDescent="0.25">
      <c r="A299" s="8"/>
    </row>
    <row r="300" spans="1:1" ht="13.8" x14ac:dyDescent="0.25">
      <c r="A300" s="8"/>
    </row>
    <row r="301" spans="1:1" ht="13.8" x14ac:dyDescent="0.25">
      <c r="A301" s="8"/>
    </row>
    <row r="302" spans="1:1" ht="13.8" x14ac:dyDescent="0.25">
      <c r="A302" s="8"/>
    </row>
    <row r="303" spans="1:1" ht="13.8" x14ac:dyDescent="0.25">
      <c r="A303" s="8"/>
    </row>
    <row r="304" spans="1:1" ht="13.8" x14ac:dyDescent="0.25">
      <c r="A304" s="8"/>
    </row>
    <row r="305" spans="1:1" ht="13.8" x14ac:dyDescent="0.25">
      <c r="A305" s="8"/>
    </row>
    <row r="306" spans="1:1" ht="13.8" x14ac:dyDescent="0.25">
      <c r="A306" s="8"/>
    </row>
    <row r="307" spans="1:1" ht="13.8" x14ac:dyDescent="0.25">
      <c r="A307" s="8"/>
    </row>
    <row r="308" spans="1:1" ht="13.8" x14ac:dyDescent="0.25">
      <c r="A308" s="8"/>
    </row>
    <row r="309" spans="1:1" ht="13.8" x14ac:dyDescent="0.25">
      <c r="A309" s="8"/>
    </row>
    <row r="310" spans="1:1" ht="13.8" x14ac:dyDescent="0.25">
      <c r="A310" s="8"/>
    </row>
    <row r="311" spans="1:1" ht="13.8" x14ac:dyDescent="0.25">
      <c r="A311" s="8"/>
    </row>
    <row r="312" spans="1:1" ht="13.8" x14ac:dyDescent="0.25">
      <c r="A312" s="8"/>
    </row>
    <row r="313" spans="1:1" ht="13.8" x14ac:dyDescent="0.25">
      <c r="A313" s="8"/>
    </row>
    <row r="314" spans="1:1" ht="13.8" x14ac:dyDescent="0.25">
      <c r="A314" s="8"/>
    </row>
    <row r="315" spans="1:1" ht="13.8" x14ac:dyDescent="0.25">
      <c r="A315" s="8"/>
    </row>
    <row r="316" spans="1:1" ht="13.8" x14ac:dyDescent="0.25">
      <c r="A316" s="8"/>
    </row>
    <row r="317" spans="1:1" ht="13.8" x14ac:dyDescent="0.25">
      <c r="A317" s="8"/>
    </row>
    <row r="318" spans="1:1" ht="13.8" x14ac:dyDescent="0.25">
      <c r="A318" s="8"/>
    </row>
    <row r="319" spans="1:1" ht="13.8" x14ac:dyDescent="0.25">
      <c r="A319" s="8"/>
    </row>
    <row r="320" spans="1:1" ht="13.8" x14ac:dyDescent="0.25">
      <c r="A320" s="8"/>
    </row>
    <row r="321" spans="1:1" ht="13.8" x14ac:dyDescent="0.25">
      <c r="A321" s="8"/>
    </row>
    <row r="322" spans="1:1" ht="13.8" x14ac:dyDescent="0.25">
      <c r="A322" s="8"/>
    </row>
    <row r="323" spans="1:1" ht="13.8" x14ac:dyDescent="0.25">
      <c r="A323" s="8"/>
    </row>
    <row r="324" spans="1:1" ht="13.8" x14ac:dyDescent="0.25">
      <c r="A324" s="8"/>
    </row>
    <row r="325" spans="1:1" ht="13.8" x14ac:dyDescent="0.25">
      <c r="A325" s="8"/>
    </row>
    <row r="326" spans="1:1" ht="13.8" x14ac:dyDescent="0.25">
      <c r="A326" s="8"/>
    </row>
    <row r="327" spans="1:1" ht="13.8" x14ac:dyDescent="0.25">
      <c r="A327" s="8"/>
    </row>
    <row r="328" spans="1:1" ht="13.8" x14ac:dyDescent="0.25">
      <c r="A328" s="8"/>
    </row>
    <row r="329" spans="1:1" ht="13.8" x14ac:dyDescent="0.25">
      <c r="A329" s="8"/>
    </row>
    <row r="330" spans="1:1" ht="13.8" x14ac:dyDescent="0.25">
      <c r="A330" s="8"/>
    </row>
    <row r="331" spans="1:1" ht="13.8" x14ac:dyDescent="0.25">
      <c r="A331" s="8"/>
    </row>
    <row r="332" spans="1:1" ht="13.8" x14ac:dyDescent="0.25">
      <c r="A332" s="8"/>
    </row>
    <row r="333" spans="1:1" ht="13.8" x14ac:dyDescent="0.25">
      <c r="A333" s="8"/>
    </row>
    <row r="334" spans="1:1" ht="13.8" x14ac:dyDescent="0.25">
      <c r="A334" s="8"/>
    </row>
    <row r="335" spans="1:1" ht="13.8" x14ac:dyDescent="0.25">
      <c r="A335" s="8"/>
    </row>
    <row r="336" spans="1:1" ht="13.8" x14ac:dyDescent="0.25">
      <c r="A336" s="8"/>
    </row>
    <row r="337" spans="1:1" ht="13.8" x14ac:dyDescent="0.25">
      <c r="A337" s="8"/>
    </row>
    <row r="338" spans="1:1" ht="13.8" x14ac:dyDescent="0.25">
      <c r="A338" s="8"/>
    </row>
    <row r="339" spans="1:1" ht="13.8" x14ac:dyDescent="0.25">
      <c r="A339" s="8"/>
    </row>
    <row r="340" spans="1:1" ht="13.8" x14ac:dyDescent="0.25">
      <c r="A340" s="8"/>
    </row>
    <row r="341" spans="1:1" ht="13.8" x14ac:dyDescent="0.25">
      <c r="A341" s="8"/>
    </row>
    <row r="342" spans="1:1" ht="13.8" x14ac:dyDescent="0.25">
      <c r="A342" s="8"/>
    </row>
    <row r="343" spans="1:1" ht="13.8" x14ac:dyDescent="0.25">
      <c r="A343" s="8"/>
    </row>
    <row r="344" spans="1:1" ht="13.8" x14ac:dyDescent="0.25">
      <c r="A344" s="8"/>
    </row>
    <row r="345" spans="1:1" ht="13.8" x14ac:dyDescent="0.25">
      <c r="A345" s="8"/>
    </row>
    <row r="346" spans="1:1" ht="13.8" x14ac:dyDescent="0.25">
      <c r="A346" s="8"/>
    </row>
    <row r="347" spans="1:1" ht="13.8" x14ac:dyDescent="0.25">
      <c r="A347" s="8"/>
    </row>
    <row r="348" spans="1:1" ht="13.8" x14ac:dyDescent="0.25">
      <c r="A348" s="8"/>
    </row>
    <row r="349" spans="1:1" ht="13.8" x14ac:dyDescent="0.25">
      <c r="A349" s="8"/>
    </row>
    <row r="350" spans="1:1" ht="13.8" x14ac:dyDescent="0.25">
      <c r="A350" s="8"/>
    </row>
    <row r="351" spans="1:1" ht="13.8" x14ac:dyDescent="0.25">
      <c r="A351" s="8"/>
    </row>
    <row r="352" spans="1:1" ht="13.8" x14ac:dyDescent="0.25">
      <c r="A352" s="8"/>
    </row>
    <row r="353" spans="1:1" ht="13.8" x14ac:dyDescent="0.25">
      <c r="A353" s="8"/>
    </row>
    <row r="354" spans="1:1" ht="13.8" x14ac:dyDescent="0.25">
      <c r="A354" s="8"/>
    </row>
    <row r="355" spans="1:1" ht="13.8" x14ac:dyDescent="0.25">
      <c r="A355" s="8"/>
    </row>
    <row r="356" spans="1:1" ht="13.8" x14ac:dyDescent="0.25">
      <c r="A356" s="8"/>
    </row>
    <row r="357" spans="1:1" ht="13.8" x14ac:dyDescent="0.25">
      <c r="A357" s="8"/>
    </row>
    <row r="358" spans="1:1" ht="13.8" x14ac:dyDescent="0.25">
      <c r="A358" s="8"/>
    </row>
    <row r="359" spans="1:1" ht="13.8" x14ac:dyDescent="0.25">
      <c r="A359" s="8"/>
    </row>
    <row r="360" spans="1:1" ht="13.8" x14ac:dyDescent="0.25">
      <c r="A360" s="8"/>
    </row>
    <row r="361" spans="1:1" ht="13.8" x14ac:dyDescent="0.25">
      <c r="A361" s="8"/>
    </row>
    <row r="362" spans="1:1" ht="13.8" x14ac:dyDescent="0.25">
      <c r="A362" s="8"/>
    </row>
    <row r="363" spans="1:1" ht="13.8" x14ac:dyDescent="0.25">
      <c r="A363" s="8"/>
    </row>
    <row r="364" spans="1:1" ht="13.8" x14ac:dyDescent="0.25">
      <c r="A364" s="8"/>
    </row>
    <row r="365" spans="1:1" ht="13.8" x14ac:dyDescent="0.25">
      <c r="A365" s="8"/>
    </row>
    <row r="366" spans="1:1" ht="13.8" x14ac:dyDescent="0.25">
      <c r="A366" s="8"/>
    </row>
    <row r="367" spans="1:1" ht="13.8" x14ac:dyDescent="0.25">
      <c r="A367" s="8"/>
    </row>
    <row r="368" spans="1:1" ht="13.8" x14ac:dyDescent="0.25">
      <c r="A368" s="8"/>
    </row>
    <row r="369" spans="1:1" ht="13.8" x14ac:dyDescent="0.25">
      <c r="A369" s="8"/>
    </row>
    <row r="370" spans="1:1" ht="13.8" x14ac:dyDescent="0.25">
      <c r="A370" s="8"/>
    </row>
    <row r="371" spans="1:1" ht="13.8" x14ac:dyDescent="0.25">
      <c r="A371" s="8"/>
    </row>
    <row r="372" spans="1:1" ht="13.8" x14ac:dyDescent="0.25">
      <c r="A372" s="8"/>
    </row>
    <row r="373" spans="1:1" ht="13.8" x14ac:dyDescent="0.25">
      <c r="A373" s="8"/>
    </row>
    <row r="374" spans="1:1" ht="13.8" x14ac:dyDescent="0.25">
      <c r="A374" s="8"/>
    </row>
    <row r="375" spans="1:1" ht="13.8" x14ac:dyDescent="0.25">
      <c r="A375" s="8"/>
    </row>
    <row r="376" spans="1:1" ht="13.8" x14ac:dyDescent="0.25">
      <c r="A376" s="8"/>
    </row>
    <row r="377" spans="1:1" ht="13.8" x14ac:dyDescent="0.25">
      <c r="A377" s="8"/>
    </row>
    <row r="378" spans="1:1" ht="13.8" x14ac:dyDescent="0.25">
      <c r="A378" s="8"/>
    </row>
    <row r="379" spans="1:1" ht="13.8" x14ac:dyDescent="0.25">
      <c r="A379" s="8"/>
    </row>
    <row r="380" spans="1:1" ht="13.8" x14ac:dyDescent="0.25">
      <c r="A380" s="8"/>
    </row>
    <row r="381" spans="1:1" ht="13.8" x14ac:dyDescent="0.25">
      <c r="A381" s="8"/>
    </row>
    <row r="382" spans="1:1" ht="13.8" x14ac:dyDescent="0.25">
      <c r="A382" s="8"/>
    </row>
    <row r="383" spans="1:1" ht="13.8" x14ac:dyDescent="0.25">
      <c r="A383" s="8"/>
    </row>
    <row r="384" spans="1:1" ht="13.8" x14ac:dyDescent="0.25">
      <c r="A384" s="8"/>
    </row>
    <row r="385" spans="1:1" ht="13.8" x14ac:dyDescent="0.25">
      <c r="A385" s="8"/>
    </row>
    <row r="386" spans="1:1" ht="13.8" x14ac:dyDescent="0.25">
      <c r="A386" s="8"/>
    </row>
    <row r="387" spans="1:1" ht="13.8" x14ac:dyDescent="0.25">
      <c r="A387" s="8"/>
    </row>
    <row r="388" spans="1:1" ht="13.8" x14ac:dyDescent="0.25">
      <c r="A388" s="8"/>
    </row>
    <row r="389" spans="1:1" ht="13.8" x14ac:dyDescent="0.25">
      <c r="A389" s="8"/>
    </row>
    <row r="390" spans="1:1" ht="13.8" x14ac:dyDescent="0.25">
      <c r="A390" s="8"/>
    </row>
    <row r="391" spans="1:1" ht="13.8" x14ac:dyDescent="0.25">
      <c r="A391" s="8"/>
    </row>
    <row r="392" spans="1:1" ht="13.8" x14ac:dyDescent="0.25">
      <c r="A392" s="8"/>
    </row>
    <row r="393" spans="1:1" ht="13.8" x14ac:dyDescent="0.25">
      <c r="A393" s="8"/>
    </row>
    <row r="394" spans="1:1" ht="13.8" x14ac:dyDescent="0.25">
      <c r="A394" s="8"/>
    </row>
    <row r="395" spans="1:1" ht="13.8" x14ac:dyDescent="0.25">
      <c r="A395" s="8"/>
    </row>
    <row r="396" spans="1:1" ht="13.8" x14ac:dyDescent="0.25">
      <c r="A396" s="8"/>
    </row>
    <row r="397" spans="1:1" ht="13.8" x14ac:dyDescent="0.25">
      <c r="A397" s="8"/>
    </row>
    <row r="398" spans="1:1" ht="13.8" x14ac:dyDescent="0.25">
      <c r="A398" s="8"/>
    </row>
    <row r="399" spans="1:1" ht="13.8" x14ac:dyDescent="0.25">
      <c r="A399" s="8"/>
    </row>
    <row r="400" spans="1:1" ht="13.8" x14ac:dyDescent="0.25">
      <c r="A400" s="8"/>
    </row>
    <row r="401" spans="1:1" ht="13.8" x14ac:dyDescent="0.25">
      <c r="A401" s="8"/>
    </row>
    <row r="402" spans="1:1" ht="13.8" x14ac:dyDescent="0.25">
      <c r="A402" s="8"/>
    </row>
    <row r="403" spans="1:1" ht="13.8" x14ac:dyDescent="0.25">
      <c r="A403" s="8"/>
    </row>
    <row r="404" spans="1:1" ht="13.8" x14ac:dyDescent="0.25">
      <c r="A404" s="8"/>
    </row>
    <row r="405" spans="1:1" ht="13.8" x14ac:dyDescent="0.25">
      <c r="A405" s="8"/>
    </row>
    <row r="406" spans="1:1" ht="13.8" x14ac:dyDescent="0.25">
      <c r="A406" s="8"/>
    </row>
    <row r="407" spans="1:1" ht="13.8" x14ac:dyDescent="0.25">
      <c r="A407" s="8"/>
    </row>
    <row r="408" spans="1:1" ht="13.8" x14ac:dyDescent="0.25">
      <c r="A408" s="8"/>
    </row>
    <row r="409" spans="1:1" ht="13.8" x14ac:dyDescent="0.25">
      <c r="A409" s="8"/>
    </row>
    <row r="410" spans="1:1" ht="13.8" x14ac:dyDescent="0.25">
      <c r="A410" s="8"/>
    </row>
    <row r="411" spans="1:1" ht="13.8" x14ac:dyDescent="0.25">
      <c r="A411" s="8"/>
    </row>
    <row r="412" spans="1:1" ht="13.8" x14ac:dyDescent="0.25">
      <c r="A412" s="8"/>
    </row>
    <row r="413" spans="1:1" ht="13.8" x14ac:dyDescent="0.25">
      <c r="A413" s="8"/>
    </row>
    <row r="414" spans="1:1" ht="13.8" x14ac:dyDescent="0.25">
      <c r="A414" s="8"/>
    </row>
    <row r="415" spans="1:1" ht="13.8" x14ac:dyDescent="0.25">
      <c r="A415" s="8"/>
    </row>
    <row r="416" spans="1:1" ht="13.8" x14ac:dyDescent="0.25">
      <c r="A416" s="8"/>
    </row>
    <row r="417" spans="1:1" ht="13.8" x14ac:dyDescent="0.25">
      <c r="A417" s="8"/>
    </row>
    <row r="418" spans="1:1" ht="13.8" x14ac:dyDescent="0.25">
      <c r="A418" s="8"/>
    </row>
    <row r="419" spans="1:1" ht="13.8" x14ac:dyDescent="0.25">
      <c r="A419" s="8"/>
    </row>
    <row r="420" spans="1:1" ht="13.8" x14ac:dyDescent="0.25">
      <c r="A420" s="8"/>
    </row>
    <row r="421" spans="1:1" ht="13.8" x14ac:dyDescent="0.25">
      <c r="A421" s="8"/>
    </row>
    <row r="422" spans="1:1" ht="13.8" x14ac:dyDescent="0.25">
      <c r="A422" s="8"/>
    </row>
    <row r="423" spans="1:1" ht="13.8" x14ac:dyDescent="0.25">
      <c r="A423" s="8"/>
    </row>
    <row r="424" spans="1:1" ht="13.8" x14ac:dyDescent="0.25">
      <c r="A424" s="8"/>
    </row>
    <row r="425" spans="1:1" ht="13.8" x14ac:dyDescent="0.25">
      <c r="A425" s="8"/>
    </row>
    <row r="426" spans="1:1" ht="13.8" x14ac:dyDescent="0.25">
      <c r="A426" s="8"/>
    </row>
    <row r="427" spans="1:1" ht="13.8" x14ac:dyDescent="0.25">
      <c r="A427" s="8"/>
    </row>
    <row r="428" spans="1:1" ht="13.8" x14ac:dyDescent="0.25">
      <c r="A428" s="8"/>
    </row>
    <row r="429" spans="1:1" ht="13.8" x14ac:dyDescent="0.25">
      <c r="A429" s="8"/>
    </row>
    <row r="430" spans="1:1" ht="13.8" x14ac:dyDescent="0.25">
      <c r="A430" s="8"/>
    </row>
    <row r="431" spans="1:1" ht="13.8" x14ac:dyDescent="0.25">
      <c r="A431" s="8"/>
    </row>
    <row r="432" spans="1:1" ht="13.8" x14ac:dyDescent="0.25">
      <c r="A432" s="8"/>
    </row>
    <row r="433" spans="1:1" ht="13.8" x14ac:dyDescent="0.25">
      <c r="A433" s="8"/>
    </row>
    <row r="434" spans="1:1" ht="13.8" x14ac:dyDescent="0.25">
      <c r="A434" s="8"/>
    </row>
    <row r="435" spans="1:1" ht="13.8" x14ac:dyDescent="0.25">
      <c r="A435" s="8"/>
    </row>
    <row r="436" spans="1:1" ht="13.8" x14ac:dyDescent="0.25">
      <c r="A436" s="8"/>
    </row>
    <row r="437" spans="1:1" ht="13.8" x14ac:dyDescent="0.25">
      <c r="A437" s="8"/>
    </row>
    <row r="438" spans="1:1" ht="13.8" x14ac:dyDescent="0.25">
      <c r="A438" s="8"/>
    </row>
    <row r="439" spans="1:1" ht="13.8" x14ac:dyDescent="0.25">
      <c r="A439" s="8"/>
    </row>
    <row r="440" spans="1:1" ht="13.8" x14ac:dyDescent="0.25">
      <c r="A440" s="8"/>
    </row>
    <row r="441" spans="1:1" ht="13.8" x14ac:dyDescent="0.25">
      <c r="A441" s="8"/>
    </row>
    <row r="442" spans="1:1" ht="13.8" x14ac:dyDescent="0.25">
      <c r="A442" s="8"/>
    </row>
    <row r="443" spans="1:1" ht="13.8" x14ac:dyDescent="0.25">
      <c r="A443" s="8"/>
    </row>
    <row r="444" spans="1:1" ht="13.8" x14ac:dyDescent="0.25">
      <c r="A444" s="8"/>
    </row>
    <row r="445" spans="1:1" ht="13.8" x14ac:dyDescent="0.25">
      <c r="A445" s="8"/>
    </row>
    <row r="446" spans="1:1" ht="13.8" x14ac:dyDescent="0.25">
      <c r="A446" s="8"/>
    </row>
    <row r="447" spans="1:1" ht="13.8" x14ac:dyDescent="0.25">
      <c r="A447" s="8"/>
    </row>
    <row r="448" spans="1:1" ht="13.8" x14ac:dyDescent="0.25">
      <c r="A448" s="8"/>
    </row>
    <row r="449" spans="1:1" ht="13.8" x14ac:dyDescent="0.25">
      <c r="A449" s="8"/>
    </row>
    <row r="450" spans="1:1" ht="13.8" x14ac:dyDescent="0.25">
      <c r="A450" s="8"/>
    </row>
    <row r="451" spans="1:1" ht="13.8" x14ac:dyDescent="0.25">
      <c r="A451" s="8"/>
    </row>
    <row r="452" spans="1:1" ht="13.8" x14ac:dyDescent="0.25">
      <c r="A452" s="8"/>
    </row>
    <row r="453" spans="1:1" ht="13.8" x14ac:dyDescent="0.25">
      <c r="A453" s="8"/>
    </row>
    <row r="454" spans="1:1" ht="13.8" x14ac:dyDescent="0.25">
      <c r="A454" s="8"/>
    </row>
    <row r="455" spans="1:1" ht="13.8" x14ac:dyDescent="0.25">
      <c r="A455" s="8"/>
    </row>
    <row r="456" spans="1:1" ht="13.8" x14ac:dyDescent="0.25">
      <c r="A456" s="8"/>
    </row>
    <row r="457" spans="1:1" ht="13.8" x14ac:dyDescent="0.25">
      <c r="A457" s="8"/>
    </row>
    <row r="458" spans="1:1" ht="13.8" x14ac:dyDescent="0.25">
      <c r="A458" s="8"/>
    </row>
    <row r="459" spans="1:1" ht="13.8" x14ac:dyDescent="0.25">
      <c r="A459" s="8"/>
    </row>
    <row r="460" spans="1:1" ht="13.8" x14ac:dyDescent="0.25">
      <c r="A460" s="8"/>
    </row>
    <row r="461" spans="1:1" ht="13.8" x14ac:dyDescent="0.25">
      <c r="A461" s="8"/>
    </row>
    <row r="462" spans="1:1" ht="13.8" x14ac:dyDescent="0.25">
      <c r="A462" s="8"/>
    </row>
    <row r="463" spans="1:1" ht="13.8" x14ac:dyDescent="0.25">
      <c r="A463" s="8"/>
    </row>
    <row r="464" spans="1:1" ht="13.8" x14ac:dyDescent="0.25">
      <c r="A464" s="8"/>
    </row>
    <row r="465" spans="1:1" ht="13.8" x14ac:dyDescent="0.25">
      <c r="A465" s="8"/>
    </row>
    <row r="466" spans="1:1" ht="13.8" x14ac:dyDescent="0.25">
      <c r="A466" s="8"/>
    </row>
    <row r="467" spans="1:1" ht="13.8" x14ac:dyDescent="0.25">
      <c r="A467" s="8"/>
    </row>
    <row r="468" spans="1:1" ht="13.8" x14ac:dyDescent="0.25">
      <c r="A468" s="8"/>
    </row>
    <row r="469" spans="1:1" ht="13.8" x14ac:dyDescent="0.25">
      <c r="A469" s="8"/>
    </row>
    <row r="470" spans="1:1" ht="13.8" x14ac:dyDescent="0.25">
      <c r="A470" s="8"/>
    </row>
    <row r="471" spans="1:1" ht="13.8" x14ac:dyDescent="0.25">
      <c r="A471" s="8"/>
    </row>
    <row r="472" spans="1:1" ht="13.8" x14ac:dyDescent="0.25">
      <c r="A472" s="8"/>
    </row>
    <row r="473" spans="1:1" ht="13.8" x14ac:dyDescent="0.25">
      <c r="A473" s="8"/>
    </row>
    <row r="474" spans="1:1" ht="13.8" x14ac:dyDescent="0.25">
      <c r="A474" s="8"/>
    </row>
    <row r="475" spans="1:1" ht="13.8" x14ac:dyDescent="0.25">
      <c r="A475" s="8"/>
    </row>
    <row r="476" spans="1:1" ht="13.8" x14ac:dyDescent="0.25">
      <c r="A476" s="8"/>
    </row>
    <row r="477" spans="1:1" ht="13.8" x14ac:dyDescent="0.25">
      <c r="A477" s="8"/>
    </row>
    <row r="478" spans="1:1" ht="13.8" x14ac:dyDescent="0.25">
      <c r="A478" s="8"/>
    </row>
    <row r="479" spans="1:1" ht="13.8" x14ac:dyDescent="0.25">
      <c r="A479" s="8"/>
    </row>
    <row r="480" spans="1:1" ht="13.8" x14ac:dyDescent="0.25">
      <c r="A480" s="8"/>
    </row>
    <row r="481" spans="1:1" ht="13.8" x14ac:dyDescent="0.25">
      <c r="A481" s="8"/>
    </row>
    <row r="482" spans="1:1" ht="13.8" x14ac:dyDescent="0.25">
      <c r="A482" s="8"/>
    </row>
    <row r="483" spans="1:1" ht="13.8" x14ac:dyDescent="0.25">
      <c r="A483" s="8"/>
    </row>
    <row r="484" spans="1:1" ht="13.8" x14ac:dyDescent="0.25">
      <c r="A484" s="8"/>
    </row>
    <row r="485" spans="1:1" ht="13.8" x14ac:dyDescent="0.25">
      <c r="A485" s="8"/>
    </row>
    <row r="486" spans="1:1" ht="13.8" x14ac:dyDescent="0.25">
      <c r="A486" s="8"/>
    </row>
    <row r="487" spans="1:1" ht="13.8" x14ac:dyDescent="0.25">
      <c r="A487" s="8"/>
    </row>
    <row r="488" spans="1:1" ht="13.8" x14ac:dyDescent="0.25">
      <c r="A488" s="8"/>
    </row>
    <row r="489" spans="1:1" ht="13.8" x14ac:dyDescent="0.25">
      <c r="A489" s="8"/>
    </row>
    <row r="490" spans="1:1" ht="13.8" x14ac:dyDescent="0.25">
      <c r="A490" s="8"/>
    </row>
    <row r="491" spans="1:1" ht="13.8" x14ac:dyDescent="0.25">
      <c r="A491" s="8"/>
    </row>
    <row r="492" spans="1:1" ht="13.8" x14ac:dyDescent="0.25">
      <c r="A492" s="8"/>
    </row>
    <row r="493" spans="1:1" ht="13.8" x14ac:dyDescent="0.25">
      <c r="A493" s="8"/>
    </row>
    <row r="494" spans="1:1" ht="13.8" x14ac:dyDescent="0.25">
      <c r="A494" s="8"/>
    </row>
    <row r="495" spans="1:1" ht="13.8" x14ac:dyDescent="0.25">
      <c r="A495" s="8"/>
    </row>
    <row r="496" spans="1:1" ht="13.8" x14ac:dyDescent="0.25">
      <c r="A496" s="8"/>
    </row>
    <row r="497" spans="1:1" ht="13.8" x14ac:dyDescent="0.25">
      <c r="A497" s="8"/>
    </row>
    <row r="498" spans="1:1" ht="13.8" x14ac:dyDescent="0.25">
      <c r="A498" s="8"/>
    </row>
    <row r="499" spans="1:1" ht="13.8" x14ac:dyDescent="0.25">
      <c r="A499" s="8"/>
    </row>
    <row r="500" spans="1:1" ht="13.8" x14ac:dyDescent="0.25">
      <c r="A500" s="8"/>
    </row>
    <row r="501" spans="1:1" ht="13.8" x14ac:dyDescent="0.25">
      <c r="A501" s="8"/>
    </row>
    <row r="502" spans="1:1" ht="13.8" x14ac:dyDescent="0.25">
      <c r="A502" s="8"/>
    </row>
    <row r="503" spans="1:1" ht="13.8" x14ac:dyDescent="0.25">
      <c r="A503" s="8"/>
    </row>
    <row r="504" spans="1:1" ht="13.8" x14ac:dyDescent="0.25">
      <c r="A504" s="8"/>
    </row>
    <row r="505" spans="1:1" ht="13.8" x14ac:dyDescent="0.25">
      <c r="A505" s="8"/>
    </row>
    <row r="506" spans="1:1" ht="13.8" x14ac:dyDescent="0.25">
      <c r="A506" s="8"/>
    </row>
    <row r="507" spans="1:1" ht="13.8" x14ac:dyDescent="0.25">
      <c r="A507" s="8"/>
    </row>
    <row r="508" spans="1:1" ht="13.8" x14ac:dyDescent="0.25">
      <c r="A508" s="8"/>
    </row>
    <row r="509" spans="1:1" ht="13.8" x14ac:dyDescent="0.25">
      <c r="A509" s="8"/>
    </row>
    <row r="510" spans="1:1" ht="13.8" x14ac:dyDescent="0.25">
      <c r="A510" s="8"/>
    </row>
    <row r="511" spans="1:1" ht="13.8" x14ac:dyDescent="0.25">
      <c r="A511" s="8"/>
    </row>
    <row r="512" spans="1:1" ht="13.8" x14ac:dyDescent="0.25">
      <c r="A512" s="8"/>
    </row>
    <row r="513" spans="1:1" ht="13.8" x14ac:dyDescent="0.25">
      <c r="A513" s="8"/>
    </row>
    <row r="514" spans="1:1" ht="13.8" x14ac:dyDescent="0.25">
      <c r="A514" s="8"/>
    </row>
    <row r="515" spans="1:1" ht="13.8" x14ac:dyDescent="0.25">
      <c r="A515" s="8"/>
    </row>
    <row r="516" spans="1:1" ht="13.8" x14ac:dyDescent="0.25">
      <c r="A516" s="8"/>
    </row>
    <row r="517" spans="1:1" ht="13.8" x14ac:dyDescent="0.25">
      <c r="A517" s="8"/>
    </row>
    <row r="518" spans="1:1" ht="13.8" x14ac:dyDescent="0.25">
      <c r="A518" s="8"/>
    </row>
    <row r="519" spans="1:1" ht="13.8" x14ac:dyDescent="0.25">
      <c r="A519" s="8"/>
    </row>
    <row r="520" spans="1:1" ht="13.8" x14ac:dyDescent="0.25">
      <c r="A520" s="8"/>
    </row>
    <row r="521" spans="1:1" ht="13.8" x14ac:dyDescent="0.25">
      <c r="A521" s="8"/>
    </row>
    <row r="522" spans="1:1" ht="13.8" x14ac:dyDescent="0.25">
      <c r="A522" s="8"/>
    </row>
    <row r="523" spans="1:1" ht="13.8" x14ac:dyDescent="0.25">
      <c r="A523" s="8"/>
    </row>
    <row r="524" spans="1:1" ht="13.8" x14ac:dyDescent="0.25">
      <c r="A524" s="8"/>
    </row>
    <row r="525" spans="1:1" ht="13.8" x14ac:dyDescent="0.25">
      <c r="A525" s="8"/>
    </row>
    <row r="526" spans="1:1" ht="13.8" x14ac:dyDescent="0.25">
      <c r="A526" s="8"/>
    </row>
    <row r="527" spans="1:1" ht="13.8" x14ac:dyDescent="0.25">
      <c r="A527" s="8"/>
    </row>
    <row r="528" spans="1:1" ht="13.8" x14ac:dyDescent="0.25">
      <c r="A528" s="8"/>
    </row>
    <row r="529" spans="1:1" ht="13.8" x14ac:dyDescent="0.25">
      <c r="A529" s="8"/>
    </row>
    <row r="530" spans="1:1" ht="13.8" x14ac:dyDescent="0.25">
      <c r="A530" s="8"/>
    </row>
    <row r="531" spans="1:1" ht="13.8" x14ac:dyDescent="0.25">
      <c r="A531" s="8"/>
    </row>
    <row r="532" spans="1:1" ht="13.8" x14ac:dyDescent="0.25">
      <c r="A532" s="8"/>
    </row>
    <row r="533" spans="1:1" ht="13.8" x14ac:dyDescent="0.25">
      <c r="A533" s="8"/>
    </row>
    <row r="534" spans="1:1" ht="13.8" x14ac:dyDescent="0.25">
      <c r="A534" s="8"/>
    </row>
    <row r="535" spans="1:1" ht="13.8" x14ac:dyDescent="0.25">
      <c r="A535" s="8"/>
    </row>
    <row r="536" spans="1:1" ht="13.8" x14ac:dyDescent="0.25">
      <c r="A536" s="8"/>
    </row>
    <row r="537" spans="1:1" ht="13.8" x14ac:dyDescent="0.25">
      <c r="A537" s="8"/>
    </row>
    <row r="538" spans="1:1" ht="13.8" x14ac:dyDescent="0.25">
      <c r="A538" s="8"/>
    </row>
    <row r="539" spans="1:1" ht="13.8" x14ac:dyDescent="0.25">
      <c r="A539" s="8"/>
    </row>
    <row r="540" spans="1:1" ht="13.8" x14ac:dyDescent="0.25">
      <c r="A540" s="8"/>
    </row>
    <row r="541" spans="1:1" ht="13.8" x14ac:dyDescent="0.25">
      <c r="A541" s="8"/>
    </row>
    <row r="542" spans="1:1" ht="13.8" x14ac:dyDescent="0.25">
      <c r="A542" s="8"/>
    </row>
    <row r="543" spans="1:1" ht="13.8" x14ac:dyDescent="0.25">
      <c r="A543" s="8"/>
    </row>
    <row r="544" spans="1:1" ht="13.8" x14ac:dyDescent="0.25">
      <c r="A544" s="8"/>
    </row>
    <row r="545" spans="1:1" ht="13.8" x14ac:dyDescent="0.25">
      <c r="A545" s="8"/>
    </row>
    <row r="546" spans="1:1" ht="13.8" x14ac:dyDescent="0.25">
      <c r="A546" s="8"/>
    </row>
    <row r="547" spans="1:1" ht="13.8" x14ac:dyDescent="0.25">
      <c r="A547" s="8"/>
    </row>
    <row r="548" spans="1:1" ht="13.8" x14ac:dyDescent="0.25">
      <c r="A548" s="8"/>
    </row>
    <row r="549" spans="1:1" ht="13.8" x14ac:dyDescent="0.25">
      <c r="A549" s="8"/>
    </row>
    <row r="550" spans="1:1" ht="13.8" x14ac:dyDescent="0.25">
      <c r="A550" s="8"/>
    </row>
    <row r="551" spans="1:1" ht="13.8" x14ac:dyDescent="0.25">
      <c r="A551" s="8"/>
    </row>
    <row r="552" spans="1:1" ht="13.8" x14ac:dyDescent="0.25">
      <c r="A552" s="8"/>
    </row>
    <row r="553" spans="1:1" ht="13.8" x14ac:dyDescent="0.25">
      <c r="A553" s="8"/>
    </row>
    <row r="554" spans="1:1" ht="13.8" x14ac:dyDescent="0.25">
      <c r="A554" s="8"/>
    </row>
    <row r="555" spans="1:1" ht="13.8" x14ac:dyDescent="0.25">
      <c r="A555" s="8"/>
    </row>
    <row r="556" spans="1:1" ht="13.8" x14ac:dyDescent="0.25">
      <c r="A556" s="8"/>
    </row>
    <row r="557" spans="1:1" ht="13.8" x14ac:dyDescent="0.25">
      <c r="A557" s="8"/>
    </row>
    <row r="558" spans="1:1" ht="13.8" x14ac:dyDescent="0.25">
      <c r="A558" s="8"/>
    </row>
    <row r="559" spans="1:1" ht="13.8" x14ac:dyDescent="0.25">
      <c r="A559" s="8"/>
    </row>
    <row r="560" spans="1:1" ht="13.8" x14ac:dyDescent="0.25">
      <c r="A560" s="8"/>
    </row>
    <row r="561" spans="1:1" ht="13.8" x14ac:dyDescent="0.25">
      <c r="A561" s="8"/>
    </row>
    <row r="562" spans="1:1" ht="13.8" x14ac:dyDescent="0.25">
      <c r="A562" s="8"/>
    </row>
    <row r="563" spans="1:1" ht="13.8" x14ac:dyDescent="0.25">
      <c r="A563" s="8"/>
    </row>
    <row r="564" spans="1:1" ht="13.8" x14ac:dyDescent="0.25">
      <c r="A564" s="8"/>
    </row>
    <row r="565" spans="1:1" ht="13.8" x14ac:dyDescent="0.25">
      <c r="A565" s="8"/>
    </row>
    <row r="566" spans="1:1" ht="13.8" x14ac:dyDescent="0.25">
      <c r="A566" s="8"/>
    </row>
    <row r="567" spans="1:1" ht="13.8" x14ac:dyDescent="0.25">
      <c r="A567" s="8"/>
    </row>
    <row r="568" spans="1:1" ht="13.8" x14ac:dyDescent="0.25">
      <c r="A568" s="8"/>
    </row>
    <row r="569" spans="1:1" ht="13.8" x14ac:dyDescent="0.25">
      <c r="A569" s="8"/>
    </row>
    <row r="570" spans="1:1" ht="13.8" x14ac:dyDescent="0.25">
      <c r="A570" s="8"/>
    </row>
    <row r="571" spans="1:1" ht="13.8" x14ac:dyDescent="0.25">
      <c r="A571" s="8"/>
    </row>
    <row r="572" spans="1:1" ht="13.8" x14ac:dyDescent="0.25">
      <c r="A572" s="8"/>
    </row>
    <row r="573" spans="1:1" ht="13.8" x14ac:dyDescent="0.25">
      <c r="A573" s="8"/>
    </row>
    <row r="574" spans="1:1" ht="13.8" x14ac:dyDescent="0.25">
      <c r="A574" s="8"/>
    </row>
    <row r="575" spans="1:1" ht="13.8" x14ac:dyDescent="0.25">
      <c r="A575" s="8"/>
    </row>
    <row r="576" spans="1:1" ht="13.8" x14ac:dyDescent="0.25">
      <c r="A576" s="8"/>
    </row>
    <row r="577" spans="1:1" ht="13.8" x14ac:dyDescent="0.25">
      <c r="A577" s="8"/>
    </row>
    <row r="578" spans="1:1" ht="13.8" x14ac:dyDescent="0.25">
      <c r="A578" s="8"/>
    </row>
    <row r="579" spans="1:1" ht="13.8" x14ac:dyDescent="0.25">
      <c r="A579" s="8"/>
    </row>
    <row r="580" spans="1:1" ht="13.8" x14ac:dyDescent="0.25">
      <c r="A580" s="8"/>
    </row>
    <row r="581" spans="1:1" ht="13.8" x14ac:dyDescent="0.25">
      <c r="A581" s="8"/>
    </row>
    <row r="582" spans="1:1" ht="13.8" x14ac:dyDescent="0.25">
      <c r="A582" s="8"/>
    </row>
    <row r="583" spans="1:1" ht="13.8" x14ac:dyDescent="0.25">
      <c r="A583" s="8"/>
    </row>
    <row r="584" spans="1:1" ht="13.8" x14ac:dyDescent="0.25">
      <c r="A584" s="8"/>
    </row>
    <row r="585" spans="1:1" ht="13.8" x14ac:dyDescent="0.25">
      <c r="A585" s="8"/>
    </row>
    <row r="586" spans="1:1" ht="13.8" x14ac:dyDescent="0.25">
      <c r="A586" s="8"/>
    </row>
    <row r="587" spans="1:1" ht="13.8" x14ac:dyDescent="0.25">
      <c r="A587" s="8"/>
    </row>
    <row r="588" spans="1:1" ht="13.8" x14ac:dyDescent="0.25">
      <c r="A588" s="8"/>
    </row>
    <row r="589" spans="1:1" ht="13.8" x14ac:dyDescent="0.25">
      <c r="A589" s="8"/>
    </row>
    <row r="590" spans="1:1" ht="13.8" x14ac:dyDescent="0.25">
      <c r="A590" s="8"/>
    </row>
    <row r="591" spans="1:1" ht="13.8" x14ac:dyDescent="0.25">
      <c r="A591" s="8"/>
    </row>
    <row r="592" spans="1:1" ht="13.8" x14ac:dyDescent="0.25">
      <c r="A592" s="8"/>
    </row>
    <row r="593" spans="1:1" ht="13.8" x14ac:dyDescent="0.25">
      <c r="A593" s="8"/>
    </row>
    <row r="594" spans="1:1" ht="13.8" x14ac:dyDescent="0.25">
      <c r="A594" s="8"/>
    </row>
    <row r="595" spans="1:1" ht="13.8" x14ac:dyDescent="0.25">
      <c r="A595" s="8"/>
    </row>
    <row r="596" spans="1:1" ht="13.8" x14ac:dyDescent="0.25">
      <c r="A596" s="8"/>
    </row>
    <row r="597" spans="1:1" ht="13.8" x14ac:dyDescent="0.25">
      <c r="A597" s="8"/>
    </row>
    <row r="598" spans="1:1" ht="13.8" x14ac:dyDescent="0.25">
      <c r="A598" s="8"/>
    </row>
    <row r="599" spans="1:1" ht="13.8" x14ac:dyDescent="0.25">
      <c r="A599" s="8"/>
    </row>
    <row r="600" spans="1:1" ht="13.8" x14ac:dyDescent="0.25">
      <c r="A600" s="8"/>
    </row>
    <row r="601" spans="1:1" ht="13.8" x14ac:dyDescent="0.25">
      <c r="A601" s="8"/>
    </row>
    <row r="602" spans="1:1" ht="13.8" x14ac:dyDescent="0.25">
      <c r="A602" s="8"/>
    </row>
    <row r="603" spans="1:1" ht="13.8" x14ac:dyDescent="0.25">
      <c r="A603" s="8"/>
    </row>
    <row r="604" spans="1:1" ht="13.8" x14ac:dyDescent="0.25">
      <c r="A604" s="8"/>
    </row>
    <row r="605" spans="1:1" ht="13.8" x14ac:dyDescent="0.25">
      <c r="A605" s="8"/>
    </row>
    <row r="606" spans="1:1" ht="13.8" x14ac:dyDescent="0.25">
      <c r="A606" s="8"/>
    </row>
    <row r="607" spans="1:1" ht="13.8" x14ac:dyDescent="0.25">
      <c r="A607" s="8"/>
    </row>
    <row r="608" spans="1:1" ht="13.8" x14ac:dyDescent="0.25">
      <c r="A608" s="8"/>
    </row>
    <row r="609" spans="1:1" ht="13.8" x14ac:dyDescent="0.25">
      <c r="A609" s="8"/>
    </row>
    <row r="610" spans="1:1" ht="13.8" x14ac:dyDescent="0.25">
      <c r="A610" s="8"/>
    </row>
    <row r="611" spans="1:1" ht="13.8" x14ac:dyDescent="0.25">
      <c r="A611" s="8"/>
    </row>
    <row r="612" spans="1:1" ht="13.8" x14ac:dyDescent="0.25">
      <c r="A612" s="8"/>
    </row>
    <row r="613" spans="1:1" ht="13.8" x14ac:dyDescent="0.25">
      <c r="A613" s="8"/>
    </row>
    <row r="614" spans="1:1" ht="13.8" x14ac:dyDescent="0.25">
      <c r="A614" s="8"/>
    </row>
    <row r="615" spans="1:1" ht="13.8" x14ac:dyDescent="0.25">
      <c r="A615" s="8"/>
    </row>
    <row r="616" spans="1:1" ht="13.8" x14ac:dyDescent="0.25">
      <c r="A616" s="8"/>
    </row>
    <row r="617" spans="1:1" ht="13.8" x14ac:dyDescent="0.25">
      <c r="A617" s="8"/>
    </row>
    <row r="618" spans="1:1" ht="13.8" x14ac:dyDescent="0.25">
      <c r="A618" s="8"/>
    </row>
    <row r="619" spans="1:1" ht="13.8" x14ac:dyDescent="0.25">
      <c r="A619" s="8"/>
    </row>
    <row r="620" spans="1:1" ht="13.8" x14ac:dyDescent="0.25">
      <c r="A620" s="8"/>
    </row>
    <row r="621" spans="1:1" ht="13.8" x14ac:dyDescent="0.25">
      <c r="A621" s="8"/>
    </row>
    <row r="622" spans="1:1" ht="13.8" x14ac:dyDescent="0.25">
      <c r="A622" s="8"/>
    </row>
    <row r="623" spans="1:1" ht="13.8" x14ac:dyDescent="0.25">
      <c r="A623" s="8"/>
    </row>
    <row r="624" spans="1:1" ht="13.8" x14ac:dyDescent="0.25">
      <c r="A624" s="8"/>
    </row>
    <row r="625" spans="1:1" ht="13.8" x14ac:dyDescent="0.25">
      <c r="A625" s="8"/>
    </row>
    <row r="626" spans="1:1" ht="13.8" x14ac:dyDescent="0.25">
      <c r="A626" s="8"/>
    </row>
    <row r="627" spans="1:1" ht="13.8" x14ac:dyDescent="0.25">
      <c r="A627" s="8"/>
    </row>
    <row r="628" spans="1:1" ht="13.8" x14ac:dyDescent="0.25">
      <c r="A628" s="8"/>
    </row>
    <row r="629" spans="1:1" ht="13.8" x14ac:dyDescent="0.25">
      <c r="A629" s="8"/>
    </row>
    <row r="630" spans="1:1" ht="13.8" x14ac:dyDescent="0.25">
      <c r="A630" s="8"/>
    </row>
    <row r="631" spans="1:1" ht="13.8" x14ac:dyDescent="0.25">
      <c r="A631" s="8"/>
    </row>
    <row r="632" spans="1:1" ht="13.8" x14ac:dyDescent="0.25">
      <c r="A632" s="8"/>
    </row>
    <row r="633" spans="1:1" ht="13.8" x14ac:dyDescent="0.25">
      <c r="A633" s="8"/>
    </row>
    <row r="634" spans="1:1" ht="13.8" x14ac:dyDescent="0.25">
      <c r="A634" s="8"/>
    </row>
    <row r="635" spans="1:1" ht="13.8" x14ac:dyDescent="0.25">
      <c r="A635" s="8"/>
    </row>
    <row r="636" spans="1:1" ht="13.8" x14ac:dyDescent="0.25">
      <c r="A636" s="8"/>
    </row>
    <row r="637" spans="1:1" ht="13.8" x14ac:dyDescent="0.25">
      <c r="A637" s="8"/>
    </row>
    <row r="638" spans="1:1" ht="13.8" x14ac:dyDescent="0.25">
      <c r="A638" s="8"/>
    </row>
    <row r="639" spans="1:1" ht="13.8" x14ac:dyDescent="0.25">
      <c r="A639" s="8"/>
    </row>
    <row r="640" spans="1:1" ht="13.8" x14ac:dyDescent="0.25">
      <c r="A640" s="8"/>
    </row>
    <row r="641" spans="1:1" ht="13.8" x14ac:dyDescent="0.25">
      <c r="A641" s="8"/>
    </row>
    <row r="642" spans="1:1" ht="13.8" x14ac:dyDescent="0.25">
      <c r="A642" s="8"/>
    </row>
    <row r="643" spans="1:1" ht="13.8" x14ac:dyDescent="0.25">
      <c r="A643" s="8"/>
    </row>
    <row r="644" spans="1:1" ht="13.8" x14ac:dyDescent="0.25">
      <c r="A644" s="8"/>
    </row>
    <row r="645" spans="1:1" ht="13.8" x14ac:dyDescent="0.25">
      <c r="A645" s="8"/>
    </row>
    <row r="646" spans="1:1" ht="13.8" x14ac:dyDescent="0.25">
      <c r="A646" s="8"/>
    </row>
    <row r="647" spans="1:1" ht="13.8" x14ac:dyDescent="0.25">
      <c r="A647" s="8"/>
    </row>
    <row r="648" spans="1:1" ht="13.8" x14ac:dyDescent="0.25">
      <c r="A648" s="8"/>
    </row>
    <row r="649" spans="1:1" ht="13.8" x14ac:dyDescent="0.25">
      <c r="A649" s="8"/>
    </row>
    <row r="650" spans="1:1" ht="13.8" x14ac:dyDescent="0.25">
      <c r="A650" s="8"/>
    </row>
    <row r="651" spans="1:1" ht="13.8" x14ac:dyDescent="0.25">
      <c r="A651" s="8"/>
    </row>
    <row r="652" spans="1:1" ht="13.8" x14ac:dyDescent="0.25">
      <c r="A652" s="8"/>
    </row>
    <row r="653" spans="1:1" ht="13.8" x14ac:dyDescent="0.25">
      <c r="A653" s="8"/>
    </row>
    <row r="654" spans="1:1" ht="13.8" x14ac:dyDescent="0.25">
      <c r="A654" s="8"/>
    </row>
    <row r="655" spans="1:1" ht="13.8" x14ac:dyDescent="0.25">
      <c r="A655" s="8"/>
    </row>
    <row r="656" spans="1:1" ht="13.8" x14ac:dyDescent="0.25">
      <c r="A656" s="8"/>
    </row>
    <row r="657" spans="1:1" ht="13.8" x14ac:dyDescent="0.25">
      <c r="A657" s="8"/>
    </row>
    <row r="658" spans="1:1" ht="13.8" x14ac:dyDescent="0.25">
      <c r="A658" s="8"/>
    </row>
    <row r="659" spans="1:1" ht="13.8" x14ac:dyDescent="0.25">
      <c r="A659" s="8"/>
    </row>
    <row r="660" spans="1:1" ht="13.8" x14ac:dyDescent="0.25">
      <c r="A660" s="8"/>
    </row>
    <row r="661" spans="1:1" ht="13.8" x14ac:dyDescent="0.25">
      <c r="A661" s="8"/>
    </row>
    <row r="662" spans="1:1" ht="13.8" x14ac:dyDescent="0.25">
      <c r="A662" s="8"/>
    </row>
    <row r="663" spans="1:1" ht="13.8" x14ac:dyDescent="0.25">
      <c r="A663" s="8"/>
    </row>
    <row r="664" spans="1:1" ht="13.8" x14ac:dyDescent="0.25">
      <c r="A664" s="8"/>
    </row>
    <row r="665" spans="1:1" ht="13.8" x14ac:dyDescent="0.25">
      <c r="A665" s="8"/>
    </row>
    <row r="666" spans="1:1" ht="13.8" x14ac:dyDescent="0.25">
      <c r="A666" s="8"/>
    </row>
    <row r="667" spans="1:1" ht="13.8" x14ac:dyDescent="0.25">
      <c r="A667" s="8"/>
    </row>
    <row r="668" spans="1:1" ht="13.8" x14ac:dyDescent="0.25">
      <c r="A668" s="8"/>
    </row>
    <row r="669" spans="1:1" ht="13.8" x14ac:dyDescent="0.25">
      <c r="A669" s="8"/>
    </row>
    <row r="670" spans="1:1" ht="13.8" x14ac:dyDescent="0.25">
      <c r="A670" s="8"/>
    </row>
    <row r="671" spans="1:1" ht="13.8" x14ac:dyDescent="0.25">
      <c r="A671" s="8"/>
    </row>
    <row r="672" spans="1:1" ht="13.8" x14ac:dyDescent="0.25">
      <c r="A672" s="8"/>
    </row>
    <row r="673" spans="1:1" ht="13.8" x14ac:dyDescent="0.25">
      <c r="A673" s="8"/>
    </row>
    <row r="674" spans="1:1" ht="13.8" x14ac:dyDescent="0.25">
      <c r="A674" s="8"/>
    </row>
    <row r="675" spans="1:1" ht="13.8" x14ac:dyDescent="0.25">
      <c r="A675" s="8"/>
    </row>
    <row r="676" spans="1:1" ht="13.8" x14ac:dyDescent="0.25">
      <c r="A676" s="8"/>
    </row>
    <row r="677" spans="1:1" ht="13.8" x14ac:dyDescent="0.25">
      <c r="A677" s="8"/>
    </row>
    <row r="678" spans="1:1" ht="13.8" x14ac:dyDescent="0.25">
      <c r="A678" s="8"/>
    </row>
    <row r="679" spans="1:1" ht="13.8" x14ac:dyDescent="0.25">
      <c r="A679" s="8"/>
    </row>
    <row r="680" spans="1:1" ht="13.8" x14ac:dyDescent="0.25">
      <c r="A680" s="8"/>
    </row>
    <row r="681" spans="1:1" ht="13.8" x14ac:dyDescent="0.25">
      <c r="A681" s="8"/>
    </row>
    <row r="682" spans="1:1" ht="13.8" x14ac:dyDescent="0.25">
      <c r="A682" s="8"/>
    </row>
    <row r="683" spans="1:1" ht="13.8" x14ac:dyDescent="0.25">
      <c r="A683" s="8"/>
    </row>
    <row r="684" spans="1:1" ht="13.8" x14ac:dyDescent="0.25">
      <c r="A684" s="8"/>
    </row>
    <row r="685" spans="1:1" ht="13.8" x14ac:dyDescent="0.25">
      <c r="A685" s="8"/>
    </row>
    <row r="686" spans="1:1" ht="13.8" x14ac:dyDescent="0.25">
      <c r="A686" s="8"/>
    </row>
    <row r="687" spans="1:1" ht="13.8" x14ac:dyDescent="0.25">
      <c r="A687" s="8"/>
    </row>
    <row r="688" spans="1:1" ht="13.8" x14ac:dyDescent="0.25">
      <c r="A688" s="8"/>
    </row>
    <row r="689" spans="1:1" ht="13.8" x14ac:dyDescent="0.25">
      <c r="A689" s="8"/>
    </row>
    <row r="690" spans="1:1" ht="13.8" x14ac:dyDescent="0.25">
      <c r="A690" s="8"/>
    </row>
    <row r="691" spans="1:1" ht="13.8" x14ac:dyDescent="0.25">
      <c r="A691" s="8"/>
    </row>
    <row r="692" spans="1:1" ht="13.8" x14ac:dyDescent="0.25">
      <c r="A692" s="8"/>
    </row>
    <row r="693" spans="1:1" ht="13.8" x14ac:dyDescent="0.25">
      <c r="A693" s="8"/>
    </row>
    <row r="694" spans="1:1" ht="13.8" x14ac:dyDescent="0.25">
      <c r="A694" s="8"/>
    </row>
    <row r="695" spans="1:1" ht="13.8" x14ac:dyDescent="0.25">
      <c r="A695" s="8"/>
    </row>
    <row r="696" spans="1:1" ht="13.8" x14ac:dyDescent="0.25">
      <c r="A696" s="8"/>
    </row>
    <row r="697" spans="1:1" ht="13.8" x14ac:dyDescent="0.25">
      <c r="A697" s="8"/>
    </row>
    <row r="698" spans="1:1" ht="13.8" x14ac:dyDescent="0.25">
      <c r="A698" s="8"/>
    </row>
    <row r="699" spans="1:1" ht="13.8" x14ac:dyDescent="0.25">
      <c r="A699" s="8"/>
    </row>
    <row r="700" spans="1:1" ht="13.8" x14ac:dyDescent="0.25">
      <c r="A700" s="8"/>
    </row>
    <row r="701" spans="1:1" ht="13.8" x14ac:dyDescent="0.25">
      <c r="A701" s="8"/>
    </row>
    <row r="702" spans="1:1" ht="13.8" x14ac:dyDescent="0.25">
      <c r="A702" s="8"/>
    </row>
    <row r="703" spans="1:1" ht="13.8" x14ac:dyDescent="0.25">
      <c r="A703" s="8"/>
    </row>
    <row r="704" spans="1:1" ht="13.8" x14ac:dyDescent="0.25">
      <c r="A704" s="8"/>
    </row>
    <row r="705" spans="1:1" ht="13.8" x14ac:dyDescent="0.25">
      <c r="A705" s="8"/>
    </row>
    <row r="706" spans="1:1" ht="13.8" x14ac:dyDescent="0.25">
      <c r="A706" s="8"/>
    </row>
    <row r="707" spans="1:1" ht="13.8" x14ac:dyDescent="0.25">
      <c r="A707" s="8"/>
    </row>
    <row r="708" spans="1:1" ht="13.8" x14ac:dyDescent="0.25">
      <c r="A708" s="8"/>
    </row>
    <row r="709" spans="1:1" ht="13.8" x14ac:dyDescent="0.25">
      <c r="A709" s="8"/>
    </row>
    <row r="710" spans="1:1" ht="13.8" x14ac:dyDescent="0.25">
      <c r="A710" s="8"/>
    </row>
    <row r="711" spans="1:1" ht="13.8" x14ac:dyDescent="0.25">
      <c r="A711" s="8"/>
    </row>
    <row r="712" spans="1:1" ht="13.8" x14ac:dyDescent="0.25">
      <c r="A712" s="8"/>
    </row>
    <row r="713" spans="1:1" ht="13.8" x14ac:dyDescent="0.25">
      <c r="A713" s="8"/>
    </row>
    <row r="714" spans="1:1" ht="13.8" x14ac:dyDescent="0.25">
      <c r="A714" s="8"/>
    </row>
    <row r="715" spans="1:1" ht="13.8" x14ac:dyDescent="0.25">
      <c r="A715" s="8"/>
    </row>
    <row r="716" spans="1:1" ht="13.8" x14ac:dyDescent="0.25">
      <c r="A716" s="8"/>
    </row>
    <row r="717" spans="1:1" ht="13.8" x14ac:dyDescent="0.25">
      <c r="A717" s="8"/>
    </row>
    <row r="718" spans="1:1" ht="13.8" x14ac:dyDescent="0.25">
      <c r="A718" s="8"/>
    </row>
    <row r="719" spans="1:1" ht="13.8" x14ac:dyDescent="0.25">
      <c r="A719" s="8"/>
    </row>
    <row r="720" spans="1:1" ht="13.8" x14ac:dyDescent="0.25">
      <c r="A720" s="8"/>
    </row>
    <row r="721" spans="1:1" ht="13.8" x14ac:dyDescent="0.25">
      <c r="A721" s="8"/>
    </row>
    <row r="722" spans="1:1" ht="13.8" x14ac:dyDescent="0.25">
      <c r="A722" s="8"/>
    </row>
    <row r="723" spans="1:1" ht="13.8" x14ac:dyDescent="0.25">
      <c r="A723" s="8"/>
    </row>
    <row r="724" spans="1:1" ht="13.8" x14ac:dyDescent="0.25">
      <c r="A724" s="8"/>
    </row>
    <row r="725" spans="1:1" ht="13.8" x14ac:dyDescent="0.25">
      <c r="A725" s="8"/>
    </row>
    <row r="726" spans="1:1" ht="13.8" x14ac:dyDescent="0.25">
      <c r="A726" s="8"/>
    </row>
    <row r="727" spans="1:1" ht="13.8" x14ac:dyDescent="0.25">
      <c r="A727" s="8"/>
    </row>
    <row r="728" spans="1:1" ht="13.8" x14ac:dyDescent="0.25">
      <c r="A728" s="8"/>
    </row>
    <row r="729" spans="1:1" ht="13.8" x14ac:dyDescent="0.25">
      <c r="A729" s="8"/>
    </row>
    <row r="730" spans="1:1" ht="13.8" x14ac:dyDescent="0.25">
      <c r="A730" s="8"/>
    </row>
    <row r="731" spans="1:1" ht="13.8" x14ac:dyDescent="0.25">
      <c r="A731" s="8"/>
    </row>
    <row r="732" spans="1:1" ht="13.8" x14ac:dyDescent="0.25">
      <c r="A732" s="8"/>
    </row>
    <row r="733" spans="1:1" ht="13.8" x14ac:dyDescent="0.25">
      <c r="A733" s="8"/>
    </row>
    <row r="734" spans="1:1" ht="13.8" x14ac:dyDescent="0.25">
      <c r="A734" s="8"/>
    </row>
    <row r="735" spans="1:1" ht="13.8" x14ac:dyDescent="0.25">
      <c r="A735" s="8"/>
    </row>
    <row r="736" spans="1:1" ht="13.8" x14ac:dyDescent="0.25">
      <c r="A736" s="8"/>
    </row>
    <row r="737" spans="1:1" ht="13.8" x14ac:dyDescent="0.25">
      <c r="A737" s="8"/>
    </row>
    <row r="738" spans="1:1" ht="13.8" x14ac:dyDescent="0.25">
      <c r="A738" s="8"/>
    </row>
    <row r="739" spans="1:1" ht="13.8" x14ac:dyDescent="0.25">
      <c r="A739" s="8"/>
    </row>
    <row r="740" spans="1:1" ht="13.8" x14ac:dyDescent="0.25">
      <c r="A740" s="8"/>
    </row>
    <row r="741" spans="1:1" ht="13.8" x14ac:dyDescent="0.25">
      <c r="A741" s="8"/>
    </row>
    <row r="742" spans="1:1" ht="13.8" x14ac:dyDescent="0.25">
      <c r="A742" s="8"/>
    </row>
    <row r="743" spans="1:1" ht="13.8" x14ac:dyDescent="0.25">
      <c r="A743" s="8"/>
    </row>
    <row r="744" spans="1:1" ht="13.8" x14ac:dyDescent="0.25">
      <c r="A744" s="8"/>
    </row>
    <row r="745" spans="1:1" ht="13.8" x14ac:dyDescent="0.25">
      <c r="A745" s="8"/>
    </row>
    <row r="746" spans="1:1" ht="13.8" x14ac:dyDescent="0.25">
      <c r="A746" s="8"/>
    </row>
    <row r="747" spans="1:1" ht="13.8" x14ac:dyDescent="0.25">
      <c r="A747" s="8"/>
    </row>
    <row r="748" spans="1:1" ht="13.8" x14ac:dyDescent="0.25">
      <c r="A748" s="8"/>
    </row>
    <row r="749" spans="1:1" ht="13.8" x14ac:dyDescent="0.25">
      <c r="A749" s="8"/>
    </row>
    <row r="750" spans="1:1" ht="13.8" x14ac:dyDescent="0.25">
      <c r="A750" s="8"/>
    </row>
    <row r="751" spans="1:1" ht="13.8" x14ac:dyDescent="0.25">
      <c r="A751" s="8"/>
    </row>
    <row r="752" spans="1:1" ht="13.8" x14ac:dyDescent="0.25">
      <c r="A752" s="8"/>
    </row>
    <row r="753" spans="1:1" ht="13.8" x14ac:dyDescent="0.25">
      <c r="A753" s="8"/>
    </row>
    <row r="754" spans="1:1" ht="13.8" x14ac:dyDescent="0.25">
      <c r="A754" s="8"/>
    </row>
    <row r="755" spans="1:1" ht="13.8" x14ac:dyDescent="0.25">
      <c r="A755" s="8"/>
    </row>
    <row r="756" spans="1:1" ht="13.8" x14ac:dyDescent="0.25">
      <c r="A756" s="8"/>
    </row>
    <row r="757" spans="1:1" ht="13.8" x14ac:dyDescent="0.25">
      <c r="A757" s="8"/>
    </row>
    <row r="758" spans="1:1" ht="13.8" x14ac:dyDescent="0.25">
      <c r="A758" s="8"/>
    </row>
    <row r="759" spans="1:1" ht="13.8" x14ac:dyDescent="0.25">
      <c r="A759" s="8"/>
    </row>
    <row r="760" spans="1:1" ht="13.8" x14ac:dyDescent="0.25">
      <c r="A760" s="8"/>
    </row>
    <row r="761" spans="1:1" ht="13.8" x14ac:dyDescent="0.25">
      <c r="A761" s="8"/>
    </row>
    <row r="762" spans="1:1" ht="13.8" x14ac:dyDescent="0.25">
      <c r="A762" s="8"/>
    </row>
    <row r="763" spans="1:1" ht="13.8" x14ac:dyDescent="0.25">
      <c r="A763" s="8"/>
    </row>
    <row r="764" spans="1:1" ht="13.8" x14ac:dyDescent="0.25">
      <c r="A764" s="8"/>
    </row>
    <row r="765" spans="1:1" ht="13.8" x14ac:dyDescent="0.25">
      <c r="A765" s="8"/>
    </row>
    <row r="766" spans="1:1" ht="13.8" x14ac:dyDescent="0.25">
      <c r="A766" s="8"/>
    </row>
    <row r="767" spans="1:1" ht="13.8" x14ac:dyDescent="0.25">
      <c r="A767" s="8"/>
    </row>
    <row r="768" spans="1:1" ht="13.8" x14ac:dyDescent="0.25">
      <c r="A768" s="8"/>
    </row>
    <row r="769" spans="1:1" ht="13.8" x14ac:dyDescent="0.25">
      <c r="A769" s="8"/>
    </row>
    <row r="770" spans="1:1" ht="13.8" x14ac:dyDescent="0.25">
      <c r="A770" s="8"/>
    </row>
    <row r="771" spans="1:1" ht="13.8" x14ac:dyDescent="0.25">
      <c r="A771" s="8"/>
    </row>
    <row r="772" spans="1:1" ht="13.8" x14ac:dyDescent="0.25">
      <c r="A772" s="8"/>
    </row>
    <row r="773" spans="1:1" ht="13.8" x14ac:dyDescent="0.25">
      <c r="A773" s="8"/>
    </row>
    <row r="774" spans="1:1" ht="13.8" x14ac:dyDescent="0.25">
      <c r="A774" s="8"/>
    </row>
    <row r="775" spans="1:1" ht="13.8" x14ac:dyDescent="0.25">
      <c r="A775" s="8"/>
    </row>
    <row r="776" spans="1:1" ht="13.8" x14ac:dyDescent="0.25">
      <c r="A776" s="8"/>
    </row>
    <row r="777" spans="1:1" ht="13.8" x14ac:dyDescent="0.25">
      <c r="A777" s="8"/>
    </row>
    <row r="778" spans="1:1" ht="13.8" x14ac:dyDescent="0.25">
      <c r="A778" s="8"/>
    </row>
    <row r="779" spans="1:1" ht="13.8" x14ac:dyDescent="0.25">
      <c r="A779" s="8"/>
    </row>
    <row r="780" spans="1:1" ht="13.8" x14ac:dyDescent="0.25">
      <c r="A780" s="8"/>
    </row>
    <row r="781" spans="1:1" ht="13.8" x14ac:dyDescent="0.25">
      <c r="A781" s="8"/>
    </row>
    <row r="782" spans="1:1" ht="13.8" x14ac:dyDescent="0.25">
      <c r="A782" s="8"/>
    </row>
    <row r="783" spans="1:1" ht="13.8" x14ac:dyDescent="0.25">
      <c r="A783" s="8"/>
    </row>
    <row r="784" spans="1:1" ht="13.8" x14ac:dyDescent="0.25">
      <c r="A784" s="8"/>
    </row>
    <row r="785" spans="1:1" ht="13.8" x14ac:dyDescent="0.25">
      <c r="A785" s="8"/>
    </row>
    <row r="786" spans="1:1" ht="13.8" x14ac:dyDescent="0.25">
      <c r="A786" s="8"/>
    </row>
    <row r="787" spans="1:1" ht="13.8" x14ac:dyDescent="0.25">
      <c r="A787" s="8"/>
    </row>
    <row r="788" spans="1:1" ht="13.8" x14ac:dyDescent="0.25">
      <c r="A788" s="8"/>
    </row>
    <row r="789" spans="1:1" ht="13.8" x14ac:dyDescent="0.25">
      <c r="A789" s="8"/>
    </row>
    <row r="790" spans="1:1" ht="13.8" x14ac:dyDescent="0.25">
      <c r="A790" s="8"/>
    </row>
    <row r="791" spans="1:1" ht="13.8" x14ac:dyDescent="0.25">
      <c r="A791" s="8"/>
    </row>
    <row r="792" spans="1:1" ht="13.8" x14ac:dyDescent="0.25">
      <c r="A792" s="8"/>
    </row>
    <row r="793" spans="1:1" ht="13.8" x14ac:dyDescent="0.25">
      <c r="A793" s="8"/>
    </row>
    <row r="794" spans="1:1" ht="13.8" x14ac:dyDescent="0.25">
      <c r="A794" s="8"/>
    </row>
    <row r="795" spans="1:1" ht="13.8" x14ac:dyDescent="0.25">
      <c r="A795" s="8"/>
    </row>
    <row r="796" spans="1:1" ht="13.8" x14ac:dyDescent="0.25">
      <c r="A796" s="8"/>
    </row>
    <row r="797" spans="1:1" ht="13.8" x14ac:dyDescent="0.25">
      <c r="A797" s="8"/>
    </row>
    <row r="798" spans="1:1" ht="13.8" x14ac:dyDescent="0.25">
      <c r="A798" s="8"/>
    </row>
    <row r="799" spans="1:1" ht="13.8" x14ac:dyDescent="0.25">
      <c r="A799" s="8"/>
    </row>
    <row r="800" spans="1:1" ht="13.8" x14ac:dyDescent="0.25">
      <c r="A800" s="8"/>
    </row>
    <row r="801" spans="1:1" ht="13.8" x14ac:dyDescent="0.25">
      <c r="A801" s="8"/>
    </row>
    <row r="802" spans="1:1" ht="13.8" x14ac:dyDescent="0.25">
      <c r="A802" s="8"/>
    </row>
    <row r="803" spans="1:1" ht="13.8" x14ac:dyDescent="0.25">
      <c r="A803" s="8"/>
    </row>
    <row r="804" spans="1:1" ht="13.8" x14ac:dyDescent="0.25">
      <c r="A804" s="8"/>
    </row>
    <row r="805" spans="1:1" ht="13.8" x14ac:dyDescent="0.25">
      <c r="A805" s="8"/>
    </row>
    <row r="806" spans="1:1" ht="13.8" x14ac:dyDescent="0.25">
      <c r="A806" s="8"/>
    </row>
    <row r="807" spans="1:1" ht="13.8" x14ac:dyDescent="0.25">
      <c r="A807" s="8"/>
    </row>
    <row r="808" spans="1:1" ht="13.8" x14ac:dyDescent="0.25">
      <c r="A808" s="8"/>
    </row>
    <row r="809" spans="1:1" ht="13.8" x14ac:dyDescent="0.25">
      <c r="A809" s="8"/>
    </row>
    <row r="810" spans="1:1" ht="13.8" x14ac:dyDescent="0.25">
      <c r="A810" s="8"/>
    </row>
    <row r="811" spans="1:1" ht="13.8" x14ac:dyDescent="0.25">
      <c r="A811" s="8"/>
    </row>
    <row r="812" spans="1:1" ht="13.8" x14ac:dyDescent="0.25">
      <c r="A812" s="8"/>
    </row>
    <row r="813" spans="1:1" ht="13.8" x14ac:dyDescent="0.25">
      <c r="A813" s="8"/>
    </row>
    <row r="814" spans="1:1" ht="13.8" x14ac:dyDescent="0.25">
      <c r="A814" s="8"/>
    </row>
    <row r="815" spans="1:1" ht="13.8" x14ac:dyDescent="0.25">
      <c r="A815" s="8"/>
    </row>
    <row r="816" spans="1:1" ht="13.8" x14ac:dyDescent="0.25">
      <c r="A816" s="8"/>
    </row>
    <row r="817" spans="1:1" ht="13.8" x14ac:dyDescent="0.25">
      <c r="A817" s="8"/>
    </row>
    <row r="818" spans="1:1" ht="13.8" x14ac:dyDescent="0.25">
      <c r="A818" s="8"/>
    </row>
    <row r="819" spans="1:1" ht="13.8" x14ac:dyDescent="0.25">
      <c r="A819" s="8"/>
    </row>
    <row r="820" spans="1:1" ht="13.8" x14ac:dyDescent="0.25">
      <c r="A820" s="8"/>
    </row>
    <row r="821" spans="1:1" ht="13.8" x14ac:dyDescent="0.25">
      <c r="A821" s="8"/>
    </row>
    <row r="822" spans="1:1" ht="13.8" x14ac:dyDescent="0.25">
      <c r="A822" s="8"/>
    </row>
    <row r="823" spans="1:1" ht="13.8" x14ac:dyDescent="0.25">
      <c r="A823" s="8"/>
    </row>
    <row r="824" spans="1:1" ht="13.8" x14ac:dyDescent="0.25">
      <c r="A824" s="8"/>
    </row>
    <row r="825" spans="1:1" ht="13.8" x14ac:dyDescent="0.25">
      <c r="A825" s="8"/>
    </row>
    <row r="826" spans="1:1" ht="13.8" x14ac:dyDescent="0.25">
      <c r="A826" s="8"/>
    </row>
    <row r="827" spans="1:1" ht="13.8" x14ac:dyDescent="0.25">
      <c r="A827" s="8"/>
    </row>
    <row r="828" spans="1:1" ht="13.8" x14ac:dyDescent="0.25">
      <c r="A828" s="8"/>
    </row>
    <row r="829" spans="1:1" ht="13.8" x14ac:dyDescent="0.25">
      <c r="A829" s="8"/>
    </row>
    <row r="830" spans="1:1" ht="13.8" x14ac:dyDescent="0.25">
      <c r="A830" s="8"/>
    </row>
    <row r="831" spans="1:1" ht="13.8" x14ac:dyDescent="0.25">
      <c r="A831" s="8"/>
    </row>
    <row r="832" spans="1:1" ht="13.8" x14ac:dyDescent="0.25">
      <c r="A832" s="8"/>
    </row>
    <row r="833" spans="1:1" ht="13.8" x14ac:dyDescent="0.25">
      <c r="A833" s="8"/>
    </row>
    <row r="834" spans="1:1" ht="13.8" x14ac:dyDescent="0.25">
      <c r="A834" s="8"/>
    </row>
    <row r="835" spans="1:1" ht="13.8" x14ac:dyDescent="0.25">
      <c r="A835" s="8"/>
    </row>
    <row r="836" spans="1:1" ht="13.8" x14ac:dyDescent="0.25">
      <c r="A836" s="8"/>
    </row>
    <row r="837" spans="1:1" ht="13.8" x14ac:dyDescent="0.25">
      <c r="A837" s="8"/>
    </row>
    <row r="838" spans="1:1" ht="13.8" x14ac:dyDescent="0.25">
      <c r="A838" s="8"/>
    </row>
    <row r="839" spans="1:1" ht="13.8" x14ac:dyDescent="0.25">
      <c r="A839" s="8"/>
    </row>
    <row r="840" spans="1:1" ht="13.8" x14ac:dyDescent="0.25">
      <c r="A840" s="8"/>
    </row>
    <row r="841" spans="1:1" ht="13.8" x14ac:dyDescent="0.25">
      <c r="A841" s="8"/>
    </row>
    <row r="842" spans="1:1" ht="13.8" x14ac:dyDescent="0.25">
      <c r="A842" s="8"/>
    </row>
    <row r="843" spans="1:1" ht="13.8" x14ac:dyDescent="0.25">
      <c r="A843" s="8"/>
    </row>
    <row r="844" spans="1:1" ht="13.8" x14ac:dyDescent="0.25">
      <c r="A844" s="8"/>
    </row>
    <row r="845" spans="1:1" ht="13.8" x14ac:dyDescent="0.25">
      <c r="A845" s="8"/>
    </row>
    <row r="846" spans="1:1" ht="13.8" x14ac:dyDescent="0.25">
      <c r="A846" s="8"/>
    </row>
    <row r="847" spans="1:1" ht="13.8" x14ac:dyDescent="0.25">
      <c r="A847" s="8"/>
    </row>
    <row r="848" spans="1:1" ht="13.8" x14ac:dyDescent="0.25">
      <c r="A848" s="8"/>
    </row>
    <row r="849" spans="1:1" ht="13.8" x14ac:dyDescent="0.25">
      <c r="A849" s="8"/>
    </row>
    <row r="850" spans="1:1" ht="13.8" x14ac:dyDescent="0.25">
      <c r="A850" s="8"/>
    </row>
    <row r="851" spans="1:1" ht="13.8" x14ac:dyDescent="0.25">
      <c r="A851" s="8"/>
    </row>
    <row r="852" spans="1:1" ht="13.8" x14ac:dyDescent="0.25">
      <c r="A852" s="8"/>
    </row>
    <row r="853" spans="1:1" ht="13.8" x14ac:dyDescent="0.25">
      <c r="A853" s="8"/>
    </row>
    <row r="854" spans="1:1" ht="13.8" x14ac:dyDescent="0.25">
      <c r="A854" s="8"/>
    </row>
    <row r="855" spans="1:1" ht="13.8" x14ac:dyDescent="0.25">
      <c r="A855" s="8"/>
    </row>
    <row r="856" spans="1:1" ht="13.8" x14ac:dyDescent="0.25">
      <c r="A856" s="8"/>
    </row>
    <row r="857" spans="1:1" ht="13.8" x14ac:dyDescent="0.25">
      <c r="A857" s="8"/>
    </row>
    <row r="858" spans="1:1" ht="13.8" x14ac:dyDescent="0.25">
      <c r="A858" s="8"/>
    </row>
    <row r="859" spans="1:1" ht="13.8" x14ac:dyDescent="0.25">
      <c r="A859" s="8"/>
    </row>
    <row r="860" spans="1:1" ht="13.8" x14ac:dyDescent="0.25">
      <c r="A860" s="8"/>
    </row>
    <row r="861" spans="1:1" ht="13.8" x14ac:dyDescent="0.25">
      <c r="A861" s="8"/>
    </row>
    <row r="862" spans="1:1" ht="13.8" x14ac:dyDescent="0.25">
      <c r="A862" s="8"/>
    </row>
    <row r="863" spans="1:1" ht="13.8" x14ac:dyDescent="0.25">
      <c r="A863" s="8"/>
    </row>
    <row r="864" spans="1:1" ht="13.8" x14ac:dyDescent="0.25">
      <c r="A864" s="8"/>
    </row>
    <row r="865" spans="1:1" ht="13.8" x14ac:dyDescent="0.25">
      <c r="A865" s="8"/>
    </row>
    <row r="866" spans="1:1" ht="13.8" x14ac:dyDescent="0.25">
      <c r="A866" s="8"/>
    </row>
    <row r="867" spans="1:1" ht="13.8" x14ac:dyDescent="0.25">
      <c r="A867" s="8"/>
    </row>
    <row r="868" spans="1:1" ht="13.8" x14ac:dyDescent="0.25">
      <c r="A868" s="8"/>
    </row>
    <row r="869" spans="1:1" ht="13.8" x14ac:dyDescent="0.25">
      <c r="A869" s="8"/>
    </row>
    <row r="870" spans="1:1" ht="13.8" x14ac:dyDescent="0.25">
      <c r="A870" s="8"/>
    </row>
    <row r="871" spans="1:1" ht="13.8" x14ac:dyDescent="0.25">
      <c r="A871" s="8"/>
    </row>
    <row r="872" spans="1:1" ht="13.8" x14ac:dyDescent="0.25">
      <c r="A872" s="8"/>
    </row>
    <row r="873" spans="1:1" ht="13.8" x14ac:dyDescent="0.25">
      <c r="A873" s="8"/>
    </row>
    <row r="874" spans="1:1" ht="13.8" x14ac:dyDescent="0.25">
      <c r="A874" s="8"/>
    </row>
    <row r="875" spans="1:1" ht="13.8" x14ac:dyDescent="0.25">
      <c r="A875" s="8"/>
    </row>
    <row r="876" spans="1:1" ht="13.8" x14ac:dyDescent="0.25">
      <c r="A876" s="8"/>
    </row>
    <row r="877" spans="1:1" ht="13.8" x14ac:dyDescent="0.25">
      <c r="A877" s="8"/>
    </row>
    <row r="878" spans="1:1" ht="13.8" x14ac:dyDescent="0.25">
      <c r="A878" s="8"/>
    </row>
    <row r="879" spans="1:1" ht="13.8" x14ac:dyDescent="0.25">
      <c r="A879" s="8"/>
    </row>
    <row r="880" spans="1:1" ht="13.8" x14ac:dyDescent="0.25">
      <c r="A880" s="8"/>
    </row>
    <row r="881" spans="1:1" ht="13.8" x14ac:dyDescent="0.25">
      <c r="A881" s="8"/>
    </row>
    <row r="882" spans="1:1" ht="13.8" x14ac:dyDescent="0.25">
      <c r="A882" s="8"/>
    </row>
    <row r="883" spans="1:1" ht="13.8" x14ac:dyDescent="0.25">
      <c r="A883" s="8"/>
    </row>
    <row r="884" spans="1:1" ht="13.8" x14ac:dyDescent="0.25">
      <c r="A884" s="8"/>
    </row>
    <row r="885" spans="1:1" ht="13.8" x14ac:dyDescent="0.25">
      <c r="A885" s="8"/>
    </row>
    <row r="886" spans="1:1" ht="13.8" x14ac:dyDescent="0.25">
      <c r="A886" s="8"/>
    </row>
    <row r="887" spans="1:1" ht="13.8" x14ac:dyDescent="0.25">
      <c r="A887" s="8"/>
    </row>
    <row r="888" spans="1:1" ht="13.8" x14ac:dyDescent="0.25">
      <c r="A888" s="8"/>
    </row>
    <row r="889" spans="1:1" ht="13.8" x14ac:dyDescent="0.25">
      <c r="A889" s="8"/>
    </row>
    <row r="890" spans="1:1" ht="13.8" x14ac:dyDescent="0.25">
      <c r="A890" s="8"/>
    </row>
    <row r="891" spans="1:1" ht="13.8" x14ac:dyDescent="0.25">
      <c r="A891" s="8"/>
    </row>
    <row r="892" spans="1:1" ht="13.8" x14ac:dyDescent="0.25">
      <c r="A892" s="8"/>
    </row>
    <row r="893" spans="1:1" ht="13.8" x14ac:dyDescent="0.25">
      <c r="A893" s="8"/>
    </row>
    <row r="894" spans="1:1" ht="13.8" x14ac:dyDescent="0.25">
      <c r="A894" s="8"/>
    </row>
    <row r="895" spans="1:1" ht="13.8" x14ac:dyDescent="0.25">
      <c r="A895" s="8"/>
    </row>
    <row r="896" spans="1:1" ht="13.8" x14ac:dyDescent="0.25">
      <c r="A896" s="8"/>
    </row>
    <row r="897" spans="1:1" ht="13.8" x14ac:dyDescent="0.25">
      <c r="A897" s="8"/>
    </row>
    <row r="898" spans="1:1" ht="13.8" x14ac:dyDescent="0.25">
      <c r="A898" s="8"/>
    </row>
    <row r="899" spans="1:1" ht="13.8" x14ac:dyDescent="0.25">
      <c r="A899" s="8"/>
    </row>
    <row r="900" spans="1:1" ht="13.8" x14ac:dyDescent="0.25">
      <c r="A900" s="8"/>
    </row>
    <row r="901" spans="1:1" ht="13.8" x14ac:dyDescent="0.25">
      <c r="A901" s="8"/>
    </row>
    <row r="902" spans="1:1" ht="13.8" x14ac:dyDescent="0.25">
      <c r="A902" s="8"/>
    </row>
    <row r="903" spans="1:1" ht="13.8" x14ac:dyDescent="0.25">
      <c r="A903" s="8"/>
    </row>
    <row r="904" spans="1:1" ht="13.8" x14ac:dyDescent="0.25">
      <c r="A904" s="8"/>
    </row>
    <row r="905" spans="1:1" ht="13.8" x14ac:dyDescent="0.25">
      <c r="A905" s="8"/>
    </row>
    <row r="906" spans="1:1" ht="13.8" x14ac:dyDescent="0.25">
      <c r="A906" s="8"/>
    </row>
    <row r="907" spans="1:1" ht="13.8" x14ac:dyDescent="0.25">
      <c r="A907" s="8"/>
    </row>
    <row r="908" spans="1:1" ht="13.8" x14ac:dyDescent="0.25">
      <c r="A908" s="8"/>
    </row>
    <row r="909" spans="1:1" ht="13.8" x14ac:dyDescent="0.25">
      <c r="A909" s="8"/>
    </row>
    <row r="910" spans="1:1" ht="13.8" x14ac:dyDescent="0.25">
      <c r="A910" s="8"/>
    </row>
    <row r="911" spans="1:1" ht="13.8" x14ac:dyDescent="0.25">
      <c r="A911" s="8"/>
    </row>
    <row r="912" spans="1:1" ht="13.8" x14ac:dyDescent="0.25">
      <c r="A912" s="8"/>
    </row>
    <row r="913" spans="1:1" ht="13.8" x14ac:dyDescent="0.25">
      <c r="A913" s="8"/>
    </row>
    <row r="914" spans="1:1" ht="13.8" x14ac:dyDescent="0.25">
      <c r="A914" s="8"/>
    </row>
    <row r="915" spans="1:1" ht="13.8" x14ac:dyDescent="0.25">
      <c r="A915" s="8"/>
    </row>
    <row r="916" spans="1:1" ht="13.8" x14ac:dyDescent="0.25">
      <c r="A916" s="8"/>
    </row>
    <row r="917" spans="1:1" ht="13.8" x14ac:dyDescent="0.25">
      <c r="A917" s="8"/>
    </row>
    <row r="918" spans="1:1" ht="13.8" x14ac:dyDescent="0.25">
      <c r="A918" s="8"/>
    </row>
    <row r="919" spans="1:1" ht="13.8" x14ac:dyDescent="0.25">
      <c r="A919" s="8"/>
    </row>
    <row r="920" spans="1:1" ht="13.8" x14ac:dyDescent="0.25">
      <c r="A920" s="8"/>
    </row>
    <row r="921" spans="1:1" ht="13.8" x14ac:dyDescent="0.25">
      <c r="A921" s="8"/>
    </row>
    <row r="922" spans="1:1" ht="13.8" x14ac:dyDescent="0.25">
      <c r="A922" s="8"/>
    </row>
    <row r="923" spans="1:1" ht="13.8" x14ac:dyDescent="0.25">
      <c r="A923" s="8"/>
    </row>
    <row r="924" spans="1:1" ht="13.8" x14ac:dyDescent="0.25">
      <c r="A924" s="8"/>
    </row>
    <row r="925" spans="1:1" ht="13.8" x14ac:dyDescent="0.25">
      <c r="A925" s="8"/>
    </row>
    <row r="926" spans="1:1" ht="13.8" x14ac:dyDescent="0.25">
      <c r="A926" s="8"/>
    </row>
    <row r="927" spans="1:1" ht="13.8" x14ac:dyDescent="0.25">
      <c r="A927" s="8"/>
    </row>
    <row r="928" spans="1:1" ht="13.8" x14ac:dyDescent="0.25">
      <c r="A928" s="8"/>
    </row>
    <row r="929" spans="1:1" ht="13.8" x14ac:dyDescent="0.25">
      <c r="A929" s="8"/>
    </row>
    <row r="930" spans="1:1" ht="13.8" x14ac:dyDescent="0.25">
      <c r="A930" s="8"/>
    </row>
    <row r="931" spans="1:1" ht="13.8" x14ac:dyDescent="0.25">
      <c r="A931" s="8"/>
    </row>
    <row r="932" spans="1:1" ht="13.8" x14ac:dyDescent="0.25">
      <c r="A932" s="8"/>
    </row>
    <row r="933" spans="1:1" ht="13.8" x14ac:dyDescent="0.25">
      <c r="A933" s="8"/>
    </row>
    <row r="934" spans="1:1" ht="13.8" x14ac:dyDescent="0.25">
      <c r="A934" s="8"/>
    </row>
    <row r="935" spans="1:1" ht="13.8" x14ac:dyDescent="0.25">
      <c r="A935" s="8"/>
    </row>
    <row r="936" spans="1:1" ht="13.8" x14ac:dyDescent="0.25">
      <c r="A936" s="8"/>
    </row>
    <row r="937" spans="1:1" ht="13.8" x14ac:dyDescent="0.25">
      <c r="A937" s="8"/>
    </row>
    <row r="938" spans="1:1" ht="13.8" x14ac:dyDescent="0.25">
      <c r="A938" s="8"/>
    </row>
    <row r="939" spans="1:1" ht="13.8" x14ac:dyDescent="0.25">
      <c r="A939" s="8"/>
    </row>
    <row r="940" spans="1:1" ht="13.8" x14ac:dyDescent="0.25">
      <c r="A940" s="8"/>
    </row>
    <row r="941" spans="1:1" ht="13.8" x14ac:dyDescent="0.25">
      <c r="A941" s="8"/>
    </row>
    <row r="942" spans="1:1" ht="13.8" x14ac:dyDescent="0.25">
      <c r="A942" s="8"/>
    </row>
    <row r="943" spans="1:1" ht="13.8" x14ac:dyDescent="0.25">
      <c r="A943" s="8"/>
    </row>
    <row r="944" spans="1:1" ht="13.8" x14ac:dyDescent="0.25">
      <c r="A944" s="8"/>
    </row>
    <row r="945" spans="1:1" ht="13.8" x14ac:dyDescent="0.25">
      <c r="A945" s="8"/>
    </row>
    <row r="946" spans="1:1" ht="13.8" x14ac:dyDescent="0.25">
      <c r="A946" s="8"/>
    </row>
    <row r="947" spans="1:1" ht="13.8" x14ac:dyDescent="0.25">
      <c r="A947" s="8"/>
    </row>
    <row r="948" spans="1:1" ht="13.8" x14ac:dyDescent="0.25">
      <c r="A948" s="8"/>
    </row>
    <row r="949" spans="1:1" ht="13.8" x14ac:dyDescent="0.25">
      <c r="A949" s="8"/>
    </row>
    <row r="950" spans="1:1" ht="13.8" x14ac:dyDescent="0.25">
      <c r="A950" s="8"/>
    </row>
    <row r="951" spans="1:1" ht="13.8" x14ac:dyDescent="0.25">
      <c r="A951" s="8"/>
    </row>
    <row r="952" spans="1:1" ht="13.8" x14ac:dyDescent="0.25">
      <c r="A952" s="8"/>
    </row>
    <row r="953" spans="1:1" ht="13.8" x14ac:dyDescent="0.25">
      <c r="A953" s="8"/>
    </row>
    <row r="954" spans="1:1" ht="13.8" x14ac:dyDescent="0.25">
      <c r="A954" s="8"/>
    </row>
    <row r="955" spans="1:1" ht="13.8" x14ac:dyDescent="0.25">
      <c r="A955" s="8"/>
    </row>
    <row r="956" spans="1:1" ht="13.8" x14ac:dyDescent="0.25">
      <c r="A956" s="8"/>
    </row>
    <row r="957" spans="1:1" ht="13.8" x14ac:dyDescent="0.25">
      <c r="A957" s="8"/>
    </row>
    <row r="958" spans="1:1" ht="13.8" x14ac:dyDescent="0.25">
      <c r="A958" s="8"/>
    </row>
    <row r="959" spans="1:1" ht="13.8" x14ac:dyDescent="0.25">
      <c r="A959" s="8"/>
    </row>
    <row r="960" spans="1:1" ht="13.8" x14ac:dyDescent="0.25">
      <c r="A960" s="8"/>
    </row>
    <row r="961" spans="1:1" ht="13.8" x14ac:dyDescent="0.25">
      <c r="A961" s="8"/>
    </row>
    <row r="962" spans="1:1" ht="13.8" x14ac:dyDescent="0.25">
      <c r="A962" s="8"/>
    </row>
    <row r="963" spans="1:1" ht="13.8" x14ac:dyDescent="0.25">
      <c r="A963" s="8"/>
    </row>
    <row r="964" spans="1:1" ht="13.8" x14ac:dyDescent="0.25">
      <c r="A964" s="8"/>
    </row>
    <row r="965" spans="1:1" ht="13.8" x14ac:dyDescent="0.25">
      <c r="A965" s="8"/>
    </row>
    <row r="966" spans="1:1" ht="13.8" x14ac:dyDescent="0.25">
      <c r="A966" s="8"/>
    </row>
    <row r="967" spans="1:1" ht="13.8" x14ac:dyDescent="0.25">
      <c r="A967" s="8"/>
    </row>
    <row r="968" spans="1:1" ht="13.8" x14ac:dyDescent="0.25">
      <c r="A968" s="8"/>
    </row>
    <row r="969" spans="1:1" ht="13.8" x14ac:dyDescent="0.25">
      <c r="A969" s="8"/>
    </row>
    <row r="970" spans="1:1" ht="13.8" x14ac:dyDescent="0.25">
      <c r="A970" s="8"/>
    </row>
    <row r="971" spans="1:1" ht="13.8" x14ac:dyDescent="0.25">
      <c r="A971" s="8"/>
    </row>
    <row r="972" spans="1:1" ht="13.8" x14ac:dyDescent="0.25">
      <c r="A972" s="8"/>
    </row>
    <row r="973" spans="1:1" ht="13.8" x14ac:dyDescent="0.25">
      <c r="A973" s="8"/>
    </row>
    <row r="974" spans="1:1" ht="13.8" x14ac:dyDescent="0.25">
      <c r="A974" s="8"/>
    </row>
    <row r="975" spans="1:1" ht="13.8" x14ac:dyDescent="0.25">
      <c r="A975" s="8"/>
    </row>
    <row r="976" spans="1:1" ht="13.8" x14ac:dyDescent="0.25">
      <c r="A976" s="8"/>
    </row>
    <row r="977" spans="1:1" ht="13.8" x14ac:dyDescent="0.25">
      <c r="A977" s="8"/>
    </row>
    <row r="978" spans="1:1" ht="13.8" x14ac:dyDescent="0.25">
      <c r="A978" s="8"/>
    </row>
    <row r="979" spans="1:1" ht="13.8" x14ac:dyDescent="0.25">
      <c r="A979" s="8"/>
    </row>
    <row r="980" spans="1:1" ht="13.8" x14ac:dyDescent="0.25">
      <c r="A980" s="8"/>
    </row>
    <row r="981" spans="1:1" ht="13.8" x14ac:dyDescent="0.25">
      <c r="A981" s="8"/>
    </row>
    <row r="982" spans="1:1" ht="13.8" x14ac:dyDescent="0.25">
      <c r="A982" s="8"/>
    </row>
    <row r="983" spans="1:1" ht="13.8" x14ac:dyDescent="0.25">
      <c r="A983" s="8"/>
    </row>
    <row r="984" spans="1:1" ht="13.8" x14ac:dyDescent="0.25">
      <c r="A984" s="8"/>
    </row>
    <row r="985" spans="1:1" ht="13.8" x14ac:dyDescent="0.25">
      <c r="A985" s="8"/>
    </row>
    <row r="986" spans="1:1" ht="13.8" x14ac:dyDescent="0.25">
      <c r="A986" s="8"/>
    </row>
    <row r="987" spans="1:1" ht="13.8" x14ac:dyDescent="0.25">
      <c r="A987" s="8"/>
    </row>
    <row r="988" spans="1:1" ht="13.8" x14ac:dyDescent="0.25">
      <c r="A988" s="8"/>
    </row>
    <row r="989" spans="1:1" ht="13.8" x14ac:dyDescent="0.25">
      <c r="A989" s="8"/>
    </row>
    <row r="990" spans="1:1" ht="13.8" x14ac:dyDescent="0.25">
      <c r="A990" s="8"/>
    </row>
    <row r="991" spans="1:1" ht="13.8" x14ac:dyDescent="0.25">
      <c r="A991" s="8"/>
    </row>
    <row r="992" spans="1:1" ht="13.8" x14ac:dyDescent="0.25">
      <c r="A992" s="8"/>
    </row>
    <row r="993" spans="1:1" ht="13.8" x14ac:dyDescent="0.25">
      <c r="A993" s="8"/>
    </row>
    <row r="994" spans="1:1" ht="13.8" x14ac:dyDescent="0.25">
      <c r="A994" s="8"/>
    </row>
    <row r="995" spans="1:1" ht="13.8" x14ac:dyDescent="0.25">
      <c r="A995" s="8"/>
    </row>
    <row r="996" spans="1:1" ht="13.8" x14ac:dyDescent="0.25">
      <c r="A996" s="8"/>
    </row>
    <row r="997" spans="1:1" ht="13.8" x14ac:dyDescent="0.25">
      <c r="A997" s="8"/>
    </row>
    <row r="998" spans="1:1" ht="13.8" x14ac:dyDescent="0.25">
      <c r="A998" s="8"/>
    </row>
    <row r="999" spans="1:1" ht="13.8" x14ac:dyDescent="0.25">
      <c r="A999" s="8"/>
    </row>
    <row r="1000" spans="1:1" ht="13.8" x14ac:dyDescent="0.25">
      <c r="A1000" s="8"/>
    </row>
    <row r="1001" spans="1:1" ht="13.8" x14ac:dyDescent="0.25">
      <c r="A1001" s="8"/>
    </row>
    <row r="1002" spans="1:1" ht="13.8" x14ac:dyDescent="0.25">
      <c r="A1002" s="8"/>
    </row>
    <row r="1003" spans="1:1" ht="13.8" x14ac:dyDescent="0.25">
      <c r="A1003" s="8"/>
    </row>
    <row r="1004" spans="1:1" ht="13.8" x14ac:dyDescent="0.25">
      <c r="A1004" s="8"/>
    </row>
    <row r="1005" spans="1:1" ht="13.8" x14ac:dyDescent="0.25">
      <c r="A1005" s="8"/>
    </row>
    <row r="1006" spans="1:1" ht="13.8" x14ac:dyDescent="0.25">
      <c r="A1006" s="8"/>
    </row>
    <row r="1007" spans="1:1" ht="13.8" x14ac:dyDescent="0.25">
      <c r="A1007" s="8"/>
    </row>
    <row r="1008" spans="1:1" ht="13.8" x14ac:dyDescent="0.25">
      <c r="A1008" s="8"/>
    </row>
    <row r="1009" spans="1:1" ht="13.8" x14ac:dyDescent="0.25">
      <c r="A1009" s="8"/>
    </row>
    <row r="1010" spans="1:1" ht="13.8" x14ac:dyDescent="0.25">
      <c r="A1010" s="8"/>
    </row>
    <row r="1011" spans="1:1" ht="13.8" x14ac:dyDescent="0.25">
      <c r="A1011" s="8"/>
    </row>
    <row r="1012" spans="1:1" ht="13.8" x14ac:dyDescent="0.25">
      <c r="A1012" s="8"/>
    </row>
    <row r="1013" spans="1:1" ht="13.8" x14ac:dyDescent="0.25">
      <c r="A1013" s="8"/>
    </row>
    <row r="1014" spans="1:1" ht="13.8" x14ac:dyDescent="0.25">
      <c r="A1014" s="8"/>
    </row>
    <row r="1015" spans="1:1" ht="13.8" x14ac:dyDescent="0.25">
      <c r="A1015" s="8"/>
    </row>
    <row r="1016" spans="1:1" ht="13.8" x14ac:dyDescent="0.25">
      <c r="A1016" s="8"/>
    </row>
    <row r="1017" spans="1:1" ht="13.8" x14ac:dyDescent="0.25">
      <c r="A1017" s="8"/>
    </row>
    <row r="1018" spans="1:1" ht="13.8" x14ac:dyDescent="0.25">
      <c r="A1018" s="8"/>
    </row>
    <row r="1019" spans="1:1" ht="13.8" x14ac:dyDescent="0.25">
      <c r="A1019" s="8"/>
    </row>
    <row r="1020" spans="1:1" ht="13.8" x14ac:dyDescent="0.25">
      <c r="A1020" s="8"/>
    </row>
    <row r="1021" spans="1:1" ht="13.8" x14ac:dyDescent="0.25">
      <c r="A1021" s="8"/>
    </row>
    <row r="1022" spans="1:1" ht="13.8" x14ac:dyDescent="0.25">
      <c r="A1022" s="8"/>
    </row>
    <row r="1023" spans="1:1" ht="13.8" x14ac:dyDescent="0.25">
      <c r="A1023" s="8"/>
    </row>
    <row r="1024" spans="1:1" ht="13.8" x14ac:dyDescent="0.25">
      <c r="A1024" s="8"/>
    </row>
    <row r="1025" spans="1:1" ht="13.8" x14ac:dyDescent="0.25">
      <c r="A1025" s="8"/>
    </row>
    <row r="1026" spans="1:1" ht="13.8" x14ac:dyDescent="0.25">
      <c r="A1026" s="8"/>
    </row>
    <row r="1027" spans="1:1" ht="13.8" x14ac:dyDescent="0.25">
      <c r="A1027" s="8"/>
    </row>
    <row r="1028" spans="1:1" ht="13.8" x14ac:dyDescent="0.25">
      <c r="A1028" s="8"/>
    </row>
    <row r="1029" spans="1:1" ht="13.8" x14ac:dyDescent="0.25">
      <c r="A1029" s="8"/>
    </row>
    <row r="1030" spans="1:1" ht="13.8" x14ac:dyDescent="0.25">
      <c r="A1030" s="8"/>
    </row>
    <row r="1031" spans="1:1" ht="13.8" x14ac:dyDescent="0.25">
      <c r="A1031" s="8"/>
    </row>
    <row r="1032" spans="1:1" ht="13.8" x14ac:dyDescent="0.25">
      <c r="A1032" s="8"/>
    </row>
    <row r="1033" spans="1:1" ht="13.8" x14ac:dyDescent="0.25">
      <c r="A1033" s="8"/>
    </row>
    <row r="1034" spans="1:1" ht="13.8" x14ac:dyDescent="0.25">
      <c r="A1034" s="8"/>
    </row>
    <row r="1035" spans="1:1" ht="13.8" x14ac:dyDescent="0.25">
      <c r="A1035" s="8"/>
    </row>
    <row r="1036" spans="1:1" ht="13.8" x14ac:dyDescent="0.25">
      <c r="A1036" s="8"/>
    </row>
    <row r="1037" spans="1:1" ht="13.8" x14ac:dyDescent="0.25">
      <c r="A1037" s="8"/>
    </row>
    <row r="1038" spans="1:1" ht="13.8" x14ac:dyDescent="0.25">
      <c r="A1038" s="8"/>
    </row>
    <row r="1039" spans="1:1" ht="13.8" x14ac:dyDescent="0.25">
      <c r="A1039" s="8"/>
    </row>
    <row r="1040" spans="1:1" ht="13.8" x14ac:dyDescent="0.25">
      <c r="A1040" s="8"/>
    </row>
    <row r="1041" spans="1:1" ht="13.8" x14ac:dyDescent="0.25">
      <c r="A1041" s="8"/>
    </row>
    <row r="1042" spans="1:1" ht="13.8" x14ac:dyDescent="0.25">
      <c r="A1042" s="8"/>
    </row>
    <row r="1043" spans="1:1" ht="13.8" x14ac:dyDescent="0.25">
      <c r="A1043" s="8"/>
    </row>
    <row r="1044" spans="1:1" ht="13.8" x14ac:dyDescent="0.25">
      <c r="A1044" s="8"/>
    </row>
    <row r="1045" spans="1:1" ht="13.8" x14ac:dyDescent="0.25">
      <c r="A1045" s="8"/>
    </row>
    <row r="1046" spans="1:1" ht="13.8" x14ac:dyDescent="0.25">
      <c r="A1046" s="8"/>
    </row>
    <row r="1047" spans="1:1" ht="13.8" x14ac:dyDescent="0.25">
      <c r="A1047" s="8"/>
    </row>
    <row r="1048" spans="1:1" ht="13.8" x14ac:dyDescent="0.25">
      <c r="A1048" s="8"/>
    </row>
    <row r="1049" spans="1:1" ht="13.8" x14ac:dyDescent="0.25">
      <c r="A1049" s="8"/>
    </row>
    <row r="1050" spans="1:1" ht="13.8" x14ac:dyDescent="0.25">
      <c r="A1050" s="8"/>
    </row>
    <row r="1051" spans="1:1" ht="13.8" x14ac:dyDescent="0.25">
      <c r="A1051" s="8"/>
    </row>
    <row r="1052" spans="1:1" ht="13.8" x14ac:dyDescent="0.25">
      <c r="A1052" s="8"/>
    </row>
    <row r="1053" spans="1:1" ht="13.8" x14ac:dyDescent="0.25">
      <c r="A1053" s="8"/>
    </row>
    <row r="1054" spans="1:1" ht="13.8" x14ac:dyDescent="0.25">
      <c r="A1054" s="8"/>
    </row>
    <row r="1055" spans="1:1" ht="13.8" x14ac:dyDescent="0.25">
      <c r="A1055" s="8"/>
    </row>
    <row r="1056" spans="1:1" ht="13.8" x14ac:dyDescent="0.25">
      <c r="A1056" s="8"/>
    </row>
    <row r="1057" spans="1:1" ht="13.8" x14ac:dyDescent="0.25">
      <c r="A1057" s="8"/>
    </row>
    <row r="1058" spans="1:1" ht="13.8" x14ac:dyDescent="0.25">
      <c r="A1058" s="8"/>
    </row>
    <row r="1059" spans="1:1" ht="13.8" x14ac:dyDescent="0.25">
      <c r="A1059" s="8"/>
    </row>
    <row r="1060" spans="1:1" ht="13.8" x14ac:dyDescent="0.25">
      <c r="A1060" s="8"/>
    </row>
    <row r="1061" spans="1:1" ht="13.8" x14ac:dyDescent="0.25">
      <c r="A1061" s="8"/>
    </row>
    <row r="1062" spans="1:1" ht="13.8" x14ac:dyDescent="0.25">
      <c r="A1062" s="8"/>
    </row>
    <row r="1063" spans="1:1" ht="13.8" x14ac:dyDescent="0.25">
      <c r="A1063" s="8"/>
    </row>
    <row r="1064" spans="1:1" ht="13.8" x14ac:dyDescent="0.25">
      <c r="A1064" s="8"/>
    </row>
    <row r="1065" spans="1:1" ht="13.8" x14ac:dyDescent="0.25">
      <c r="A1065" s="8"/>
    </row>
    <row r="1066" spans="1:1" ht="13.8" x14ac:dyDescent="0.25">
      <c r="A1066" s="8"/>
    </row>
    <row r="1067" spans="1:1" ht="13.8" x14ac:dyDescent="0.25">
      <c r="A1067" s="8"/>
    </row>
    <row r="1068" spans="1:1" ht="13.8" x14ac:dyDescent="0.25">
      <c r="A1068" s="8"/>
    </row>
    <row r="1069" spans="1:1" ht="13.8" x14ac:dyDescent="0.25">
      <c r="A1069" s="8"/>
    </row>
    <row r="1070" spans="1:1" ht="13.8" x14ac:dyDescent="0.25">
      <c r="A1070" s="8"/>
    </row>
    <row r="1071" spans="1:1" ht="13.8" x14ac:dyDescent="0.25">
      <c r="A1071" s="8"/>
    </row>
    <row r="1072" spans="1:1" ht="13.8" x14ac:dyDescent="0.25">
      <c r="A1072" s="8"/>
    </row>
    <row r="1073" spans="1:1" ht="13.8" x14ac:dyDescent="0.25">
      <c r="A1073" s="8"/>
    </row>
    <row r="1074" spans="1:1" ht="13.8" x14ac:dyDescent="0.25">
      <c r="A1074" s="8"/>
    </row>
    <row r="1075" spans="1:1" ht="13.8" x14ac:dyDescent="0.25">
      <c r="A1075" s="8"/>
    </row>
    <row r="1076" spans="1:1" ht="13.8" x14ac:dyDescent="0.25">
      <c r="A1076" s="8"/>
    </row>
    <row r="1077" spans="1:1" ht="13.8" x14ac:dyDescent="0.25">
      <c r="A1077" s="8"/>
    </row>
    <row r="1078" spans="1:1" ht="13.8" x14ac:dyDescent="0.25">
      <c r="A1078" s="8"/>
    </row>
    <row r="1079" spans="1:1" ht="13.8" x14ac:dyDescent="0.25">
      <c r="A1079" s="8"/>
    </row>
    <row r="1080" spans="1:1" ht="13.8" x14ac:dyDescent="0.25">
      <c r="A1080" s="8"/>
    </row>
    <row r="1081" spans="1:1" ht="13.8" x14ac:dyDescent="0.25">
      <c r="A1081" s="8"/>
    </row>
    <row r="1082" spans="1:1" ht="13.8" x14ac:dyDescent="0.25">
      <c r="A1082" s="8"/>
    </row>
    <row r="1083" spans="1:1" ht="13.8" x14ac:dyDescent="0.25">
      <c r="A1083" s="8"/>
    </row>
    <row r="1084" spans="1:1" ht="13.8" x14ac:dyDescent="0.25">
      <c r="A1084" s="8"/>
    </row>
    <row r="1085" spans="1:1" ht="13.8" x14ac:dyDescent="0.25">
      <c r="A1085" s="8"/>
    </row>
    <row r="1086" spans="1:1" ht="13.8" x14ac:dyDescent="0.25">
      <c r="A1086" s="8"/>
    </row>
    <row r="1087" spans="1:1" ht="13.8" x14ac:dyDescent="0.25">
      <c r="A1087" s="8"/>
    </row>
    <row r="1088" spans="1:1" ht="13.8" x14ac:dyDescent="0.25">
      <c r="A1088" s="8"/>
    </row>
    <row r="1089" spans="1:1" ht="13.8" x14ac:dyDescent="0.25">
      <c r="A1089" s="8"/>
    </row>
    <row r="1090" spans="1:1" ht="13.8" x14ac:dyDescent="0.25">
      <c r="A1090" s="8"/>
    </row>
    <row r="1091" spans="1:1" ht="13.8" x14ac:dyDescent="0.25">
      <c r="A1091" s="8"/>
    </row>
    <row r="1092" spans="1:1" ht="13.8" x14ac:dyDescent="0.25">
      <c r="A1092" s="8"/>
    </row>
    <row r="1093" spans="1:1" ht="13.8" x14ac:dyDescent="0.25">
      <c r="A1093" s="8"/>
    </row>
    <row r="1094" spans="1:1" ht="13.8" x14ac:dyDescent="0.25">
      <c r="A1094" s="8"/>
    </row>
    <row r="1095" spans="1:1" ht="13.8" x14ac:dyDescent="0.25">
      <c r="A1095" s="8"/>
    </row>
    <row r="1096" spans="1:1" ht="13.8" x14ac:dyDescent="0.25">
      <c r="A1096" s="8"/>
    </row>
    <row r="1097" spans="1:1" ht="13.8" x14ac:dyDescent="0.25">
      <c r="A1097" s="8"/>
    </row>
    <row r="1098" spans="1:1" ht="13.8" x14ac:dyDescent="0.25">
      <c r="A1098" s="8"/>
    </row>
    <row r="1099" spans="1:1" ht="13.8" x14ac:dyDescent="0.25">
      <c r="A1099" s="8"/>
    </row>
    <row r="1100" spans="1:1" ht="13.8" x14ac:dyDescent="0.25">
      <c r="A1100" s="8"/>
    </row>
    <row r="1101" spans="1:1" ht="13.8" x14ac:dyDescent="0.25">
      <c r="A1101" s="8"/>
    </row>
    <row r="1102" spans="1:1" ht="13.8" x14ac:dyDescent="0.25">
      <c r="A1102" s="8"/>
    </row>
    <row r="1103" spans="1:1" ht="13.8" x14ac:dyDescent="0.25">
      <c r="A1103" s="8"/>
    </row>
    <row r="1104" spans="1:1" ht="13.8" x14ac:dyDescent="0.25">
      <c r="A1104" s="8"/>
    </row>
    <row r="1105" spans="1:1" ht="13.8" x14ac:dyDescent="0.25">
      <c r="A1105" s="8"/>
    </row>
    <row r="1106" spans="1:1" ht="13.8" x14ac:dyDescent="0.25">
      <c r="A1106" s="8"/>
    </row>
    <row r="1107" spans="1:1" ht="13.8" x14ac:dyDescent="0.25">
      <c r="A1107" s="8"/>
    </row>
    <row r="1108" spans="1:1" ht="13.8" x14ac:dyDescent="0.25">
      <c r="A1108" s="8"/>
    </row>
    <row r="1109" spans="1:1" ht="13.8" x14ac:dyDescent="0.25">
      <c r="A1109" s="8"/>
    </row>
    <row r="1110" spans="1:1" ht="13.8" x14ac:dyDescent="0.25">
      <c r="A1110" s="8"/>
    </row>
    <row r="1111" spans="1:1" ht="13.8" x14ac:dyDescent="0.25">
      <c r="A1111" s="8"/>
    </row>
    <row r="1112" spans="1:1" ht="13.8" x14ac:dyDescent="0.25">
      <c r="A1112" s="8"/>
    </row>
    <row r="1113" spans="1:1" ht="13.8" x14ac:dyDescent="0.25">
      <c r="A1113" s="8"/>
    </row>
    <row r="1114" spans="1:1" ht="13.8" x14ac:dyDescent="0.25">
      <c r="A1114" s="8"/>
    </row>
    <row r="1115" spans="1:1" ht="13.8" x14ac:dyDescent="0.25">
      <c r="A1115" s="8"/>
    </row>
    <row r="1116" spans="1:1" ht="13.8" x14ac:dyDescent="0.25">
      <c r="A1116" s="8"/>
    </row>
    <row r="1117" spans="1:1" ht="13.8" x14ac:dyDescent="0.25">
      <c r="A1117" s="8"/>
    </row>
    <row r="1118" spans="1:1" ht="13.8" x14ac:dyDescent="0.25">
      <c r="A1118" s="8"/>
    </row>
    <row r="1119" spans="1:1" ht="13.8" x14ac:dyDescent="0.25">
      <c r="A1119" s="8"/>
    </row>
    <row r="1120" spans="1:1" ht="13.8" x14ac:dyDescent="0.25">
      <c r="A1120" s="8"/>
    </row>
    <row r="1121" spans="1:1" ht="13.8" x14ac:dyDescent="0.25">
      <c r="A1121" s="8"/>
    </row>
    <row r="1122" spans="1:1" ht="13.8" x14ac:dyDescent="0.25">
      <c r="A1122" s="8"/>
    </row>
    <row r="1123" spans="1:1" ht="13.8" x14ac:dyDescent="0.25">
      <c r="A1123" s="8"/>
    </row>
    <row r="1124" spans="1:1" ht="13.8" x14ac:dyDescent="0.25">
      <c r="A1124" s="8"/>
    </row>
    <row r="1125" spans="1:1" ht="13.8" x14ac:dyDescent="0.25">
      <c r="A1125" s="8"/>
    </row>
    <row r="1126" spans="1:1" ht="13.8" x14ac:dyDescent="0.25">
      <c r="A1126" s="8"/>
    </row>
    <row r="1127" spans="1:1" ht="13.8" x14ac:dyDescent="0.25">
      <c r="A1127" s="8"/>
    </row>
    <row r="1128" spans="1:1" ht="13.8" x14ac:dyDescent="0.25">
      <c r="A1128" s="8"/>
    </row>
    <row r="1129" spans="1:1" ht="13.8" x14ac:dyDescent="0.25">
      <c r="A1129" s="8"/>
    </row>
    <row r="1130" spans="1:1" ht="13.8" x14ac:dyDescent="0.25">
      <c r="A1130" s="8"/>
    </row>
    <row r="1131" spans="1:1" ht="13.8" x14ac:dyDescent="0.25">
      <c r="A1131" s="8"/>
    </row>
    <row r="1132" spans="1:1" ht="13.8" x14ac:dyDescent="0.25">
      <c r="A1132" s="8"/>
    </row>
    <row r="1133" spans="1:1" ht="13.8" x14ac:dyDescent="0.25">
      <c r="A1133" s="8"/>
    </row>
    <row r="1134" spans="1:1" ht="13.8" x14ac:dyDescent="0.25">
      <c r="A1134" s="8"/>
    </row>
    <row r="1135" spans="1:1" ht="13.8" x14ac:dyDescent="0.25">
      <c r="A1135" s="8"/>
    </row>
    <row r="1136" spans="1:1" ht="13.8" x14ac:dyDescent="0.25">
      <c r="A1136" s="8"/>
    </row>
    <row r="1137" spans="1:1" ht="13.8" x14ac:dyDescent="0.25">
      <c r="A1137" s="8"/>
    </row>
    <row r="1138" spans="1:1" ht="13.8" x14ac:dyDescent="0.25">
      <c r="A1138" s="8"/>
    </row>
    <row r="1139" spans="1:1" ht="13.8" x14ac:dyDescent="0.25">
      <c r="A1139" s="8"/>
    </row>
    <row r="1140" spans="1:1" ht="13.8" x14ac:dyDescent="0.25">
      <c r="A1140" s="8"/>
    </row>
    <row r="1141" spans="1:1" ht="13.8" x14ac:dyDescent="0.25">
      <c r="A1141" s="8"/>
    </row>
    <row r="1142" spans="1:1" ht="13.8" x14ac:dyDescent="0.25">
      <c r="A1142" s="8"/>
    </row>
    <row r="1143" spans="1:1" ht="13.8" x14ac:dyDescent="0.25">
      <c r="A1143" s="8"/>
    </row>
    <row r="1144" spans="1:1" ht="13.8" x14ac:dyDescent="0.25">
      <c r="A1144" s="8"/>
    </row>
    <row r="1145" spans="1:1" ht="13.8" x14ac:dyDescent="0.25">
      <c r="A1145" s="8"/>
    </row>
    <row r="1146" spans="1:1" ht="13.8" x14ac:dyDescent="0.25">
      <c r="A1146" s="8"/>
    </row>
    <row r="1147" spans="1:1" ht="13.8" x14ac:dyDescent="0.25">
      <c r="A1147" s="8"/>
    </row>
    <row r="1148" spans="1:1" ht="13.8" x14ac:dyDescent="0.25">
      <c r="A1148" s="8"/>
    </row>
    <row r="1149" spans="1:1" ht="13.8" x14ac:dyDescent="0.25">
      <c r="A1149" s="8"/>
    </row>
    <row r="1150" spans="1:1" ht="13.8" x14ac:dyDescent="0.25">
      <c r="A1150" s="8"/>
    </row>
    <row r="1151" spans="1:1" ht="13.8" x14ac:dyDescent="0.25">
      <c r="A1151" s="8"/>
    </row>
    <row r="1152" spans="1:1" ht="13.8" x14ac:dyDescent="0.25">
      <c r="A1152" s="8"/>
    </row>
    <row r="1153" spans="1:1" ht="13.8" x14ac:dyDescent="0.25">
      <c r="A1153" s="8"/>
    </row>
    <row r="1154" spans="1:1" ht="13.8" x14ac:dyDescent="0.25">
      <c r="A1154" s="8"/>
    </row>
    <row r="1155" spans="1:1" ht="13.8" x14ac:dyDescent="0.25">
      <c r="A1155" s="8"/>
    </row>
    <row r="1156" spans="1:1" ht="13.8" x14ac:dyDescent="0.25">
      <c r="A1156" s="8"/>
    </row>
    <row r="1157" spans="1:1" ht="13.8" x14ac:dyDescent="0.25">
      <c r="A1157" s="8"/>
    </row>
    <row r="1158" spans="1:1" ht="13.8" x14ac:dyDescent="0.25">
      <c r="A1158" s="8"/>
    </row>
    <row r="1159" spans="1:1" ht="13.8" x14ac:dyDescent="0.25">
      <c r="A1159" s="8"/>
    </row>
    <row r="1160" spans="1:1" ht="13.8" x14ac:dyDescent="0.25">
      <c r="A1160" s="8"/>
    </row>
    <row r="1161" spans="1:1" ht="13.8" x14ac:dyDescent="0.25">
      <c r="A1161" s="8"/>
    </row>
    <row r="1162" spans="1:1" ht="13.8" x14ac:dyDescent="0.25">
      <c r="A1162" s="8"/>
    </row>
    <row r="1163" spans="1:1" ht="13.8" x14ac:dyDescent="0.25">
      <c r="A1163" s="8"/>
    </row>
    <row r="1164" spans="1:1" ht="13.8" x14ac:dyDescent="0.25">
      <c r="A1164" s="8"/>
    </row>
    <row r="1165" spans="1:1" ht="13.8" x14ac:dyDescent="0.25">
      <c r="A1165" s="8"/>
    </row>
    <row r="1166" spans="1:1" ht="13.8" x14ac:dyDescent="0.25">
      <c r="A1166" s="8"/>
    </row>
    <row r="1167" spans="1:1" ht="13.8" x14ac:dyDescent="0.25">
      <c r="A1167" s="8"/>
    </row>
    <row r="1168" spans="1:1" ht="13.8" x14ac:dyDescent="0.25">
      <c r="A1168" s="8"/>
    </row>
    <row r="1169" spans="1:1" ht="13.8" x14ac:dyDescent="0.25">
      <c r="A1169" s="8"/>
    </row>
    <row r="1170" spans="1:1" ht="13.8" x14ac:dyDescent="0.25">
      <c r="A1170" s="8"/>
    </row>
    <row r="1171" spans="1:1" ht="13.8" x14ac:dyDescent="0.25">
      <c r="A1171" s="8"/>
    </row>
    <row r="1172" spans="1:1" ht="13.8" x14ac:dyDescent="0.25">
      <c r="A1172" s="8"/>
    </row>
    <row r="1173" spans="1:1" ht="13.8" x14ac:dyDescent="0.25">
      <c r="A1173" s="8"/>
    </row>
    <row r="1174" spans="1:1" ht="13.8" x14ac:dyDescent="0.25">
      <c r="A1174" s="8"/>
    </row>
    <row r="1175" spans="1:1" ht="13.8" x14ac:dyDescent="0.25">
      <c r="A1175" s="8"/>
    </row>
    <row r="1176" spans="1:1" ht="13.8" x14ac:dyDescent="0.25">
      <c r="A1176" s="8"/>
    </row>
    <row r="1177" spans="1:1" ht="13.8" x14ac:dyDescent="0.25">
      <c r="A1177" s="8"/>
    </row>
    <row r="1178" spans="1:1" ht="13.8" x14ac:dyDescent="0.25">
      <c r="A1178" s="8"/>
    </row>
    <row r="1179" spans="1:1" ht="13.8" x14ac:dyDescent="0.25">
      <c r="A1179" s="8"/>
    </row>
    <row r="1180" spans="1:1" ht="13.8" x14ac:dyDescent="0.25">
      <c r="A1180" s="8"/>
    </row>
    <row r="1181" spans="1:1" ht="13.8" x14ac:dyDescent="0.25">
      <c r="A1181" s="8"/>
    </row>
    <row r="1182" spans="1:1" ht="13.8" x14ac:dyDescent="0.25">
      <c r="A1182" s="8"/>
    </row>
    <row r="1183" spans="1:1" ht="13.8" x14ac:dyDescent="0.25">
      <c r="A1183" s="8"/>
    </row>
    <row r="1184" spans="1:1" ht="13.8" x14ac:dyDescent="0.25">
      <c r="A1184" s="8"/>
    </row>
    <row r="1185" spans="1:1" ht="13.8" x14ac:dyDescent="0.25">
      <c r="A1185" s="8"/>
    </row>
    <row r="1186" spans="1:1" ht="13.8" x14ac:dyDescent="0.25">
      <c r="A1186" s="8"/>
    </row>
    <row r="1187" spans="1:1" ht="13.8" x14ac:dyDescent="0.25">
      <c r="A1187" s="8"/>
    </row>
    <row r="1188" spans="1:1" ht="13.8" x14ac:dyDescent="0.25">
      <c r="A1188" s="8"/>
    </row>
    <row r="1189" spans="1:1" ht="13.8" x14ac:dyDescent="0.25">
      <c r="A1189" s="8"/>
    </row>
    <row r="1190" spans="1:1" ht="13.8" x14ac:dyDescent="0.25">
      <c r="A1190" s="8"/>
    </row>
    <row r="1191" spans="1:1" ht="13.8" x14ac:dyDescent="0.25">
      <c r="A1191" s="8"/>
    </row>
    <row r="1192" spans="1:1" ht="13.8" x14ac:dyDescent="0.25">
      <c r="A1192" s="8"/>
    </row>
    <row r="1193" spans="1:1" ht="13.8" x14ac:dyDescent="0.25">
      <c r="A1193" s="8"/>
    </row>
    <row r="1194" spans="1:1" ht="13.8" x14ac:dyDescent="0.25">
      <c r="A1194" s="8"/>
    </row>
    <row r="1195" spans="1:1" ht="13.8" x14ac:dyDescent="0.25">
      <c r="A1195" s="8"/>
    </row>
    <row r="1196" spans="1:1" ht="13.8" x14ac:dyDescent="0.25">
      <c r="A1196" s="8"/>
    </row>
    <row r="1197" spans="1:1" ht="13.8" x14ac:dyDescent="0.25">
      <c r="A1197" s="8"/>
    </row>
    <row r="1198" spans="1:1" ht="13.8" x14ac:dyDescent="0.25">
      <c r="A1198" s="8"/>
    </row>
    <row r="1199" spans="1:1" ht="13.8" x14ac:dyDescent="0.25">
      <c r="A1199" s="8"/>
    </row>
    <row r="1200" spans="1:1" ht="13.8" x14ac:dyDescent="0.25">
      <c r="A1200" s="8"/>
    </row>
    <row r="1201" spans="1:1" ht="13.8" x14ac:dyDescent="0.25">
      <c r="A1201" s="8"/>
    </row>
    <row r="1202" spans="1:1" ht="13.8" x14ac:dyDescent="0.25">
      <c r="A1202" s="8"/>
    </row>
    <row r="1203" spans="1:1" ht="13.8" x14ac:dyDescent="0.25">
      <c r="A1203" s="8"/>
    </row>
    <row r="1204" spans="1:1" ht="13.8" x14ac:dyDescent="0.25">
      <c r="A1204" s="8"/>
    </row>
    <row r="1205" spans="1:1" ht="13.8" x14ac:dyDescent="0.25">
      <c r="A1205" s="8"/>
    </row>
    <row r="1206" spans="1:1" ht="13.8" x14ac:dyDescent="0.25">
      <c r="A1206" s="8"/>
    </row>
    <row r="1207" spans="1:1" ht="13.8" x14ac:dyDescent="0.25">
      <c r="A1207" s="8"/>
    </row>
    <row r="1208" spans="1:1" ht="13.8" x14ac:dyDescent="0.25">
      <c r="A1208" s="8"/>
    </row>
    <row r="1209" spans="1:1" ht="13.8" x14ac:dyDescent="0.25">
      <c r="A1209" s="8"/>
    </row>
    <row r="1210" spans="1:1" ht="13.8" x14ac:dyDescent="0.25">
      <c r="A1210" s="8"/>
    </row>
    <row r="1211" spans="1:1" ht="13.8" x14ac:dyDescent="0.25">
      <c r="A1211" s="8"/>
    </row>
    <row r="1212" spans="1:1" ht="13.8" x14ac:dyDescent="0.25">
      <c r="A1212" s="8"/>
    </row>
    <row r="1213" spans="1:1" ht="13.8" x14ac:dyDescent="0.25">
      <c r="A1213" s="8"/>
    </row>
    <row r="1214" spans="1:1" ht="13.8" x14ac:dyDescent="0.25">
      <c r="A1214" s="8"/>
    </row>
    <row r="1215" spans="1:1" ht="13.8" x14ac:dyDescent="0.25">
      <c r="A1215" s="8"/>
    </row>
    <row r="1216" spans="1:1" ht="13.8" x14ac:dyDescent="0.25">
      <c r="A1216" s="8"/>
    </row>
    <row r="1217" spans="1:1" ht="13.8" x14ac:dyDescent="0.25">
      <c r="A1217" s="8"/>
    </row>
    <row r="1218" spans="1:1" ht="13.8" x14ac:dyDescent="0.25">
      <c r="A1218" s="8"/>
    </row>
    <row r="1219" spans="1:1" ht="13.8" x14ac:dyDescent="0.25">
      <c r="A1219" s="8"/>
    </row>
    <row r="1220" spans="1:1" ht="13.8" x14ac:dyDescent="0.25">
      <c r="A1220" s="8"/>
    </row>
    <row r="1221" spans="1:1" ht="13.8" x14ac:dyDescent="0.25">
      <c r="A1221" s="8"/>
    </row>
    <row r="1222" spans="1:1" ht="13.8" x14ac:dyDescent="0.25">
      <c r="A1222" s="8"/>
    </row>
    <row r="1223" spans="1:1" ht="13.8" x14ac:dyDescent="0.25">
      <c r="A1223" s="8"/>
    </row>
    <row r="1224" spans="1:1" ht="13.8" x14ac:dyDescent="0.25">
      <c r="A1224" s="8"/>
    </row>
    <row r="1225" spans="1:1" ht="13.8" x14ac:dyDescent="0.25">
      <c r="A1225" s="8"/>
    </row>
    <row r="1226" spans="1:1" ht="13.8" x14ac:dyDescent="0.25">
      <c r="A1226" s="8"/>
    </row>
    <row r="1227" spans="1:1" ht="13.8" x14ac:dyDescent="0.25">
      <c r="A1227" s="8"/>
    </row>
    <row r="1228" spans="1:1" ht="13.8" x14ac:dyDescent="0.25">
      <c r="A1228" s="8"/>
    </row>
    <row r="1229" spans="1:1" ht="13.8" x14ac:dyDescent="0.25">
      <c r="A1229" s="8"/>
    </row>
    <row r="1230" spans="1:1" ht="13.8" x14ac:dyDescent="0.25">
      <c r="A1230" s="8"/>
    </row>
    <row r="1231" spans="1:1" ht="13.8" x14ac:dyDescent="0.25">
      <c r="A1231" s="8"/>
    </row>
    <row r="1232" spans="1:1" ht="13.8" x14ac:dyDescent="0.25">
      <c r="A1232" s="8"/>
    </row>
    <row r="1233" spans="1:1" ht="13.8" x14ac:dyDescent="0.25">
      <c r="A1233" s="8"/>
    </row>
    <row r="1234" spans="1:1" ht="13.8" x14ac:dyDescent="0.25">
      <c r="A1234" s="8"/>
    </row>
    <row r="1235" spans="1:1" ht="13.8" x14ac:dyDescent="0.25">
      <c r="A1235" s="8"/>
    </row>
    <row r="1236" spans="1:1" ht="13.8" x14ac:dyDescent="0.25">
      <c r="A1236" s="8"/>
    </row>
    <row r="1237" spans="1:1" ht="13.8" x14ac:dyDescent="0.25">
      <c r="A1237" s="8"/>
    </row>
    <row r="1238" spans="1:1" ht="13.8" x14ac:dyDescent="0.25">
      <c r="A1238" s="8"/>
    </row>
    <row r="1239" spans="1:1" ht="13.8" x14ac:dyDescent="0.25">
      <c r="A1239" s="8"/>
    </row>
    <row r="1240" spans="1:1" ht="13.8" x14ac:dyDescent="0.25">
      <c r="A1240" s="8"/>
    </row>
    <row r="1241" spans="1:1" ht="13.8" x14ac:dyDescent="0.25">
      <c r="A1241" s="8"/>
    </row>
    <row r="1242" spans="1:1" ht="13.8" x14ac:dyDescent="0.25">
      <c r="A1242" s="8"/>
    </row>
    <row r="1243" spans="1:1" ht="13.8" x14ac:dyDescent="0.25">
      <c r="A1243" s="8"/>
    </row>
    <row r="1244" spans="1:1" ht="13.8" x14ac:dyDescent="0.25">
      <c r="A1244" s="8"/>
    </row>
    <row r="1245" spans="1:1" ht="13.8" x14ac:dyDescent="0.25">
      <c r="A1245" s="8"/>
    </row>
    <row r="1246" spans="1:1" ht="13.8" x14ac:dyDescent="0.25">
      <c r="A1246" s="8"/>
    </row>
    <row r="1247" spans="1:1" ht="13.8" x14ac:dyDescent="0.25">
      <c r="A1247" s="8"/>
    </row>
    <row r="1248" spans="1:1" ht="13.8" x14ac:dyDescent="0.25">
      <c r="A1248" s="8"/>
    </row>
    <row r="1249" spans="1:1" ht="13.8" x14ac:dyDescent="0.25">
      <c r="A1249" s="8"/>
    </row>
    <row r="1250" spans="1:1" ht="13.8" x14ac:dyDescent="0.25">
      <c r="A1250" s="8"/>
    </row>
    <row r="1251" spans="1:1" ht="13.8" x14ac:dyDescent="0.25">
      <c r="A1251" s="8"/>
    </row>
    <row r="1252" spans="1:1" ht="13.8" x14ac:dyDescent="0.25">
      <c r="A1252" s="8"/>
    </row>
    <row r="1253" spans="1:1" ht="13.8" x14ac:dyDescent="0.25">
      <c r="A1253" s="8"/>
    </row>
    <row r="1254" spans="1:1" ht="13.8" x14ac:dyDescent="0.25">
      <c r="A1254" s="8"/>
    </row>
    <row r="1255" spans="1:1" ht="13.8" x14ac:dyDescent="0.25">
      <c r="A1255" s="8"/>
    </row>
    <row r="1256" spans="1:1" ht="13.8" x14ac:dyDescent="0.25">
      <c r="A1256" s="8"/>
    </row>
    <row r="1257" spans="1:1" ht="13.8" x14ac:dyDescent="0.25">
      <c r="A1257" s="8"/>
    </row>
    <row r="1258" spans="1:1" ht="13.8" x14ac:dyDescent="0.25">
      <c r="A1258" s="8"/>
    </row>
    <row r="1259" spans="1:1" ht="13.8" x14ac:dyDescent="0.25">
      <c r="A1259" s="8"/>
    </row>
    <row r="1260" spans="1:1" ht="13.8" x14ac:dyDescent="0.25">
      <c r="A1260" s="8"/>
    </row>
    <row r="1261" spans="1:1" ht="13.8" x14ac:dyDescent="0.25">
      <c r="A1261" s="8"/>
    </row>
    <row r="1262" spans="1:1" ht="13.8" x14ac:dyDescent="0.25">
      <c r="A1262" s="8"/>
    </row>
    <row r="1263" spans="1:1" ht="13.8" x14ac:dyDescent="0.25">
      <c r="A1263" s="8"/>
    </row>
    <row r="1264" spans="1:1" ht="13.8" x14ac:dyDescent="0.25">
      <c r="A1264" s="8"/>
    </row>
    <row r="1265" spans="1:1" ht="13.8" x14ac:dyDescent="0.25">
      <c r="A1265" s="8"/>
    </row>
    <row r="1266" spans="1:1" ht="13.8" x14ac:dyDescent="0.25">
      <c r="A1266" s="8"/>
    </row>
    <row r="1267" spans="1:1" ht="13.8" x14ac:dyDescent="0.25">
      <c r="A1267" s="8"/>
    </row>
    <row r="1268" spans="1:1" ht="13.8" x14ac:dyDescent="0.25">
      <c r="A1268" s="8"/>
    </row>
    <row r="1269" spans="1:1" ht="13.8" x14ac:dyDescent="0.25">
      <c r="A1269" s="8"/>
    </row>
    <row r="1270" spans="1:1" ht="13.8" x14ac:dyDescent="0.25">
      <c r="A1270" s="8"/>
    </row>
    <row r="1271" spans="1:1" ht="13.8" x14ac:dyDescent="0.25">
      <c r="A1271" s="8"/>
    </row>
    <row r="1272" spans="1:1" ht="13.8" x14ac:dyDescent="0.25">
      <c r="A1272" s="8"/>
    </row>
    <row r="1273" spans="1:1" ht="13.8" x14ac:dyDescent="0.25">
      <c r="A1273" s="8"/>
    </row>
    <row r="1274" spans="1:1" ht="13.8" x14ac:dyDescent="0.25">
      <c r="A1274" s="8"/>
    </row>
    <row r="1275" spans="1:1" ht="13.8" x14ac:dyDescent="0.25">
      <c r="A1275" s="8"/>
    </row>
    <row r="1276" spans="1:1" ht="13.8" x14ac:dyDescent="0.25">
      <c r="A1276" s="8"/>
    </row>
    <row r="1277" spans="1:1" ht="13.8" x14ac:dyDescent="0.25">
      <c r="A1277" s="8"/>
    </row>
    <row r="1278" spans="1:1" ht="13.8" x14ac:dyDescent="0.25">
      <c r="A1278" s="8"/>
    </row>
    <row r="1279" spans="1:1" ht="13.8" x14ac:dyDescent="0.25">
      <c r="A1279" s="8"/>
    </row>
    <row r="1280" spans="1:1" ht="13.8" x14ac:dyDescent="0.25">
      <c r="A1280" s="8"/>
    </row>
    <row r="1281" spans="1:1" ht="13.8" x14ac:dyDescent="0.25">
      <c r="A1281" s="8"/>
    </row>
    <row r="1282" spans="1:1" ht="13.8" x14ac:dyDescent="0.25">
      <c r="A1282" s="8"/>
    </row>
    <row r="1283" spans="1:1" ht="13.8" x14ac:dyDescent="0.25">
      <c r="A1283" s="8"/>
    </row>
    <row r="1284" spans="1:1" ht="13.8" x14ac:dyDescent="0.25">
      <c r="A1284" s="8"/>
    </row>
    <row r="1285" spans="1:1" ht="13.8" x14ac:dyDescent="0.25">
      <c r="A1285" s="8"/>
    </row>
    <row r="1286" spans="1:1" ht="13.8" x14ac:dyDescent="0.25">
      <c r="A1286" s="8"/>
    </row>
    <row r="1287" spans="1:1" ht="13.8" x14ac:dyDescent="0.25">
      <c r="A1287" s="8"/>
    </row>
    <row r="1288" spans="1:1" ht="13.8" x14ac:dyDescent="0.25">
      <c r="A1288" s="8"/>
    </row>
    <row r="1289" spans="1:1" ht="13.8" x14ac:dyDescent="0.25">
      <c r="A1289" s="8"/>
    </row>
    <row r="1290" spans="1:1" ht="13.8" x14ac:dyDescent="0.25">
      <c r="A1290" s="8"/>
    </row>
    <row r="1291" spans="1:1" ht="13.8" x14ac:dyDescent="0.25">
      <c r="A1291" s="8"/>
    </row>
    <row r="1292" spans="1:1" ht="13.8" x14ac:dyDescent="0.25">
      <c r="A1292" s="8"/>
    </row>
    <row r="1293" spans="1:1" ht="13.8" x14ac:dyDescent="0.25">
      <c r="A1293" s="8"/>
    </row>
    <row r="1294" spans="1:1" ht="13.8" x14ac:dyDescent="0.25">
      <c r="A1294" s="8"/>
    </row>
    <row r="1295" spans="1:1" ht="13.8" x14ac:dyDescent="0.25">
      <c r="A1295" s="8"/>
    </row>
    <row r="1296" spans="1:1" ht="13.8" x14ac:dyDescent="0.25">
      <c r="A1296" s="8"/>
    </row>
    <row r="1297" spans="1:1" ht="13.8" x14ac:dyDescent="0.25">
      <c r="A1297" s="8"/>
    </row>
    <row r="1298" spans="1:1" ht="13.8" x14ac:dyDescent="0.25">
      <c r="A1298" s="8"/>
    </row>
    <row r="1299" spans="1:1" ht="13.8" x14ac:dyDescent="0.25">
      <c r="A1299" s="8"/>
    </row>
    <row r="1300" spans="1:1" ht="13.8" x14ac:dyDescent="0.25">
      <c r="A1300" s="8"/>
    </row>
    <row r="1301" spans="1:1" ht="13.8" x14ac:dyDescent="0.25">
      <c r="A1301" s="8"/>
    </row>
    <row r="1302" spans="1:1" ht="13.8" x14ac:dyDescent="0.25">
      <c r="A1302" s="8"/>
    </row>
    <row r="1303" spans="1:1" ht="13.8" x14ac:dyDescent="0.25">
      <c r="A1303" s="8"/>
    </row>
    <row r="1304" spans="1:1" ht="13.8" x14ac:dyDescent="0.25">
      <c r="A1304" s="8"/>
    </row>
    <row r="1305" spans="1:1" ht="13.8" x14ac:dyDescent="0.25">
      <c r="A1305" s="8"/>
    </row>
    <row r="1306" spans="1:1" ht="13.8" x14ac:dyDescent="0.25">
      <c r="A1306" s="8"/>
    </row>
    <row r="1307" spans="1:1" ht="13.8" x14ac:dyDescent="0.25">
      <c r="A1307" s="8"/>
    </row>
    <row r="1308" spans="1:1" ht="13.8" x14ac:dyDescent="0.25">
      <c r="A1308" s="8"/>
    </row>
    <row r="1309" spans="1:1" ht="13.8" x14ac:dyDescent="0.25">
      <c r="A1309" s="8"/>
    </row>
    <row r="1310" spans="1:1" ht="13.8" x14ac:dyDescent="0.25">
      <c r="A1310" s="8"/>
    </row>
    <row r="1311" spans="1:1" ht="13.8" x14ac:dyDescent="0.25">
      <c r="A1311" s="8"/>
    </row>
    <row r="1312" spans="1:1" ht="13.8" x14ac:dyDescent="0.25">
      <c r="A1312" s="8"/>
    </row>
    <row r="1313" spans="1:1" ht="13.8" x14ac:dyDescent="0.25">
      <c r="A1313" s="8"/>
    </row>
    <row r="1314" spans="1:1" ht="13.8" x14ac:dyDescent="0.25">
      <c r="A1314" s="8"/>
    </row>
    <row r="1315" spans="1:1" ht="13.8" x14ac:dyDescent="0.25">
      <c r="A1315" s="8"/>
    </row>
    <row r="1316" spans="1:1" ht="13.8" x14ac:dyDescent="0.25">
      <c r="A1316" s="8"/>
    </row>
    <row r="1317" spans="1:1" ht="13.8" x14ac:dyDescent="0.25">
      <c r="A1317" s="8"/>
    </row>
    <row r="1318" spans="1:1" ht="13.8" x14ac:dyDescent="0.25">
      <c r="A1318" s="8"/>
    </row>
    <row r="1319" spans="1:1" ht="13.8" x14ac:dyDescent="0.25">
      <c r="A1319" s="8"/>
    </row>
    <row r="1320" spans="1:1" ht="13.8" x14ac:dyDescent="0.25">
      <c r="A1320" s="8"/>
    </row>
    <row r="1321" spans="1:1" ht="13.8" x14ac:dyDescent="0.25">
      <c r="A1321" s="8"/>
    </row>
    <row r="1322" spans="1:1" ht="13.8" x14ac:dyDescent="0.25">
      <c r="A1322" s="8"/>
    </row>
    <row r="1323" spans="1:1" ht="13.8" x14ac:dyDescent="0.25">
      <c r="A1323" s="8"/>
    </row>
    <row r="1324" spans="1:1" ht="13.8" x14ac:dyDescent="0.25">
      <c r="A1324" s="8"/>
    </row>
    <row r="1325" spans="1:1" ht="13.8" x14ac:dyDescent="0.25">
      <c r="A1325" s="8"/>
    </row>
    <row r="1326" spans="1:1" ht="13.8" x14ac:dyDescent="0.25">
      <c r="A1326" s="8"/>
    </row>
    <row r="1327" spans="1:1" ht="13.8" x14ac:dyDescent="0.25">
      <c r="A1327" s="8"/>
    </row>
    <row r="1328" spans="1:1" ht="13.8" x14ac:dyDescent="0.25">
      <c r="A1328" s="8"/>
    </row>
    <row r="1329" spans="1:1" ht="13.8" x14ac:dyDescent="0.25">
      <c r="A1329" s="8"/>
    </row>
    <row r="1330" spans="1:1" ht="13.8" x14ac:dyDescent="0.25">
      <c r="A1330" s="8"/>
    </row>
    <row r="1331" spans="1:1" ht="13.8" x14ac:dyDescent="0.25">
      <c r="A1331" s="8"/>
    </row>
    <row r="1332" spans="1:1" ht="13.8" x14ac:dyDescent="0.25">
      <c r="A1332" s="8"/>
    </row>
    <row r="1333" spans="1:1" ht="13.8" x14ac:dyDescent="0.25">
      <c r="A1333" s="8"/>
    </row>
    <row r="1334" spans="1:1" ht="13.8" x14ac:dyDescent="0.25">
      <c r="A1334" s="8"/>
    </row>
    <row r="1335" spans="1:1" ht="13.8" x14ac:dyDescent="0.25">
      <c r="A1335" s="8"/>
    </row>
    <row r="1336" spans="1:1" ht="13.8" x14ac:dyDescent="0.25">
      <c r="A1336" s="8"/>
    </row>
    <row r="1337" spans="1:1" ht="13.8" x14ac:dyDescent="0.25">
      <c r="A1337" s="8"/>
    </row>
    <row r="1338" spans="1:1" ht="13.8" x14ac:dyDescent="0.25">
      <c r="A1338" s="8"/>
    </row>
    <row r="1339" spans="1:1" ht="13.8" x14ac:dyDescent="0.25">
      <c r="A1339" s="8"/>
    </row>
    <row r="1340" spans="1:1" ht="13.8" x14ac:dyDescent="0.25">
      <c r="A1340" s="8"/>
    </row>
    <row r="1341" spans="1:1" ht="13.8" x14ac:dyDescent="0.25">
      <c r="A1341" s="8"/>
    </row>
    <row r="1342" spans="1:1" ht="13.8" x14ac:dyDescent="0.25">
      <c r="A1342" s="8"/>
    </row>
    <row r="1343" spans="1:1" ht="13.8" x14ac:dyDescent="0.25">
      <c r="A1343" s="8"/>
    </row>
    <row r="1344" spans="1:1" ht="13.8" x14ac:dyDescent="0.25">
      <c r="A1344" s="8"/>
    </row>
    <row r="1345" spans="1:1" ht="13.8" x14ac:dyDescent="0.25">
      <c r="A1345" s="8"/>
    </row>
    <row r="1346" spans="1:1" ht="13.8" x14ac:dyDescent="0.25">
      <c r="A1346" s="8"/>
    </row>
    <row r="1347" spans="1:1" ht="13.8" x14ac:dyDescent="0.25">
      <c r="A1347" s="8"/>
    </row>
    <row r="1348" spans="1:1" ht="13.8" x14ac:dyDescent="0.25">
      <c r="A1348" s="8"/>
    </row>
    <row r="1349" spans="1:1" ht="13.8" x14ac:dyDescent="0.25">
      <c r="A1349" s="8"/>
    </row>
    <row r="1350" spans="1:1" ht="13.8" x14ac:dyDescent="0.25">
      <c r="A1350" s="8"/>
    </row>
    <row r="1351" spans="1:1" ht="13.8" x14ac:dyDescent="0.25">
      <c r="A1351" s="8"/>
    </row>
    <row r="1352" spans="1:1" ht="13.8" x14ac:dyDescent="0.25">
      <c r="A1352" s="8"/>
    </row>
    <row r="1353" spans="1:1" ht="13.8" x14ac:dyDescent="0.25">
      <c r="A1353" s="8"/>
    </row>
    <row r="1354" spans="1:1" ht="13.8" x14ac:dyDescent="0.25">
      <c r="A1354" s="8"/>
    </row>
    <row r="1355" spans="1:1" ht="13.8" x14ac:dyDescent="0.25">
      <c r="A1355" s="8"/>
    </row>
    <row r="1356" spans="1:1" ht="13.8" x14ac:dyDescent="0.25">
      <c r="A1356" s="8"/>
    </row>
    <row r="1357" spans="1:1" ht="13.8" x14ac:dyDescent="0.25">
      <c r="A1357" s="8"/>
    </row>
    <row r="1358" spans="1:1" ht="13.8" x14ac:dyDescent="0.25">
      <c r="A1358" s="8"/>
    </row>
    <row r="1359" spans="1:1" ht="13.8" x14ac:dyDescent="0.25">
      <c r="A1359" s="8"/>
    </row>
    <row r="1360" spans="1:1" ht="13.8" x14ac:dyDescent="0.25">
      <c r="A1360" s="8"/>
    </row>
    <row r="1361" spans="1:1" ht="13.8" x14ac:dyDescent="0.25">
      <c r="A1361" s="8"/>
    </row>
    <row r="1362" spans="1:1" ht="13.8" x14ac:dyDescent="0.25">
      <c r="A1362" s="8"/>
    </row>
    <row r="1363" spans="1:1" ht="13.8" x14ac:dyDescent="0.25">
      <c r="A1363" s="8"/>
    </row>
    <row r="1364" spans="1:1" ht="13.8" x14ac:dyDescent="0.25">
      <c r="A1364" s="8"/>
    </row>
    <row r="1365" spans="1:1" ht="13.8" x14ac:dyDescent="0.25">
      <c r="A1365" s="8"/>
    </row>
    <row r="1366" spans="1:1" ht="13.8" x14ac:dyDescent="0.25">
      <c r="A1366" s="8"/>
    </row>
    <row r="1367" spans="1:1" ht="13.8" x14ac:dyDescent="0.25">
      <c r="A1367" s="8"/>
    </row>
    <row r="1368" spans="1:1" ht="13.8" x14ac:dyDescent="0.25">
      <c r="A1368" s="8"/>
    </row>
    <row r="1369" spans="1:1" ht="13.8" x14ac:dyDescent="0.25">
      <c r="A1369" s="8"/>
    </row>
    <row r="1370" spans="1:1" ht="13.8" x14ac:dyDescent="0.25">
      <c r="A1370" s="8"/>
    </row>
    <row r="1371" spans="1:1" ht="13.8" x14ac:dyDescent="0.25">
      <c r="A1371" s="8"/>
    </row>
    <row r="1372" spans="1:1" ht="13.8" x14ac:dyDescent="0.25">
      <c r="A1372" s="8"/>
    </row>
    <row r="1373" spans="1:1" ht="13.8" x14ac:dyDescent="0.25">
      <c r="A1373" s="8"/>
    </row>
    <row r="1374" spans="1:1" ht="13.8" x14ac:dyDescent="0.25">
      <c r="A1374" s="8"/>
    </row>
    <row r="1375" spans="1:1" ht="13.8" x14ac:dyDescent="0.25">
      <c r="A1375" s="8"/>
    </row>
    <row r="1376" spans="1:1" ht="13.8" x14ac:dyDescent="0.25">
      <c r="A1376" s="8"/>
    </row>
    <row r="1377" spans="1:1" ht="13.8" x14ac:dyDescent="0.25">
      <c r="A1377" s="8"/>
    </row>
    <row r="1378" spans="1:1" ht="13.8" x14ac:dyDescent="0.25">
      <c r="A1378" s="8"/>
    </row>
    <row r="1379" spans="1:1" ht="13.8" x14ac:dyDescent="0.25">
      <c r="A1379" s="8"/>
    </row>
    <row r="1380" spans="1:1" ht="13.8" x14ac:dyDescent="0.25">
      <c r="A1380" s="8"/>
    </row>
    <row r="1381" spans="1:1" ht="13.8" x14ac:dyDescent="0.25">
      <c r="A1381" s="8"/>
    </row>
    <row r="1382" spans="1:1" ht="13.8" x14ac:dyDescent="0.25">
      <c r="A1382" s="8"/>
    </row>
    <row r="1383" spans="1:1" ht="13.8" x14ac:dyDescent="0.25">
      <c r="A1383" s="8"/>
    </row>
    <row r="1384" spans="1:1" ht="13.8" x14ac:dyDescent="0.25">
      <c r="A1384" s="8"/>
    </row>
    <row r="1385" spans="1:1" ht="13.8" x14ac:dyDescent="0.25">
      <c r="A1385" s="8"/>
    </row>
    <row r="1386" spans="1:1" ht="13.8" x14ac:dyDescent="0.25">
      <c r="A1386" s="8"/>
    </row>
    <row r="1387" spans="1:1" ht="13.8" x14ac:dyDescent="0.25">
      <c r="A1387" s="8"/>
    </row>
    <row r="1388" spans="1:1" ht="13.8" x14ac:dyDescent="0.25">
      <c r="A1388" s="8"/>
    </row>
    <row r="1389" spans="1:1" ht="13.8" x14ac:dyDescent="0.25">
      <c r="A1389" s="8"/>
    </row>
    <row r="1390" spans="1:1" ht="13.8" x14ac:dyDescent="0.25">
      <c r="A1390" s="8"/>
    </row>
    <row r="1391" spans="1:1" ht="13.8" x14ac:dyDescent="0.25">
      <c r="A1391" s="8"/>
    </row>
    <row r="1392" spans="1:1" ht="13.8" x14ac:dyDescent="0.25">
      <c r="A1392" s="8"/>
    </row>
    <row r="1393" spans="1:1" ht="13.8" x14ac:dyDescent="0.25">
      <c r="A1393" s="8"/>
    </row>
    <row r="1394" spans="1:1" ht="13.8" x14ac:dyDescent="0.25">
      <c r="A1394" s="8"/>
    </row>
    <row r="1395" spans="1:1" ht="13.8" x14ac:dyDescent="0.25">
      <c r="A1395" s="8"/>
    </row>
    <row r="1396" spans="1:1" ht="13.8" x14ac:dyDescent="0.25">
      <c r="A1396" s="8"/>
    </row>
    <row r="1397" spans="1:1" ht="13.8" x14ac:dyDescent="0.25">
      <c r="A1397" s="8"/>
    </row>
    <row r="1398" spans="1:1" ht="13.8" x14ac:dyDescent="0.25">
      <c r="A1398" s="8"/>
    </row>
    <row r="1399" spans="1:1" ht="13.8" x14ac:dyDescent="0.25">
      <c r="A1399" s="8"/>
    </row>
    <row r="1400" spans="1:1" ht="13.8" x14ac:dyDescent="0.25">
      <c r="A1400" s="8"/>
    </row>
    <row r="1401" spans="1:1" ht="13.8" x14ac:dyDescent="0.25">
      <c r="A1401" s="8"/>
    </row>
    <row r="1402" spans="1:1" ht="13.8" x14ac:dyDescent="0.25">
      <c r="A1402" s="8"/>
    </row>
    <row r="1403" spans="1:1" ht="13.8" x14ac:dyDescent="0.25">
      <c r="A1403" s="8"/>
    </row>
    <row r="1404" spans="1:1" ht="13.8" x14ac:dyDescent="0.25">
      <c r="A1404" s="8"/>
    </row>
    <row r="1405" spans="1:1" ht="13.8" x14ac:dyDescent="0.25">
      <c r="A1405" s="8"/>
    </row>
    <row r="1406" spans="1:1" ht="13.8" x14ac:dyDescent="0.25">
      <c r="A1406" s="8"/>
    </row>
    <row r="1407" spans="1:1" ht="13.8" x14ac:dyDescent="0.25">
      <c r="A1407" s="8"/>
    </row>
    <row r="1408" spans="1:1" ht="13.8" x14ac:dyDescent="0.25">
      <c r="A1408" s="8"/>
    </row>
    <row r="1409" spans="1:1" ht="13.8" x14ac:dyDescent="0.25">
      <c r="A1409" s="8"/>
    </row>
    <row r="1410" spans="1:1" ht="13.8" x14ac:dyDescent="0.25">
      <c r="A1410" s="8"/>
    </row>
    <row r="1411" spans="1:1" ht="13.8" x14ac:dyDescent="0.25">
      <c r="A1411" s="8"/>
    </row>
    <row r="1412" spans="1:1" ht="13.8" x14ac:dyDescent="0.25">
      <c r="A1412" s="8"/>
    </row>
    <row r="1413" spans="1:1" ht="13.8" x14ac:dyDescent="0.25">
      <c r="A1413" s="8"/>
    </row>
    <row r="1414" spans="1:1" ht="13.8" x14ac:dyDescent="0.25">
      <c r="A1414" s="8"/>
    </row>
    <row r="1415" spans="1:1" ht="13.8" x14ac:dyDescent="0.25">
      <c r="A1415" s="8"/>
    </row>
    <row r="1416" spans="1:1" ht="13.8" x14ac:dyDescent="0.25">
      <c r="A1416" s="8"/>
    </row>
    <row r="1417" spans="1:1" ht="13.8" x14ac:dyDescent="0.25">
      <c r="A1417" s="8"/>
    </row>
    <row r="1418" spans="1:1" ht="13.8" x14ac:dyDescent="0.25">
      <c r="A1418" s="8"/>
    </row>
    <row r="1419" spans="1:1" ht="13.8" x14ac:dyDescent="0.25">
      <c r="A1419" s="8"/>
    </row>
    <row r="1420" spans="1:1" ht="13.8" x14ac:dyDescent="0.25">
      <c r="A1420" s="8"/>
    </row>
    <row r="1421" spans="1:1" ht="13.8" x14ac:dyDescent="0.25">
      <c r="A1421" s="8"/>
    </row>
    <row r="1422" spans="1:1" ht="13.8" x14ac:dyDescent="0.25">
      <c r="A1422" s="8"/>
    </row>
    <row r="1423" spans="1:1" ht="13.8" x14ac:dyDescent="0.25">
      <c r="A1423" s="8"/>
    </row>
    <row r="1424" spans="1:1" ht="13.8" x14ac:dyDescent="0.25">
      <c r="A1424" s="8"/>
    </row>
    <row r="1425" spans="1:1" ht="13.8" x14ac:dyDescent="0.25">
      <c r="A1425" s="8"/>
    </row>
    <row r="1426" spans="1:1" ht="13.8" x14ac:dyDescent="0.25">
      <c r="A1426" s="8"/>
    </row>
    <row r="1427" spans="1:1" ht="13.8" x14ac:dyDescent="0.25">
      <c r="A1427" s="8"/>
    </row>
    <row r="1428" spans="1:1" ht="13.8" x14ac:dyDescent="0.25">
      <c r="A1428" s="8"/>
    </row>
    <row r="1429" spans="1:1" ht="13.8" x14ac:dyDescent="0.25">
      <c r="A1429" s="8"/>
    </row>
    <row r="1430" spans="1:1" ht="13.8" x14ac:dyDescent="0.25">
      <c r="A1430" s="8"/>
    </row>
    <row r="1431" spans="1:1" ht="13.8" x14ac:dyDescent="0.25">
      <c r="A1431" s="8"/>
    </row>
    <row r="1432" spans="1:1" ht="13.8" x14ac:dyDescent="0.25">
      <c r="A1432" s="8"/>
    </row>
    <row r="1433" spans="1:1" ht="13.8" x14ac:dyDescent="0.25">
      <c r="A1433" s="8"/>
    </row>
    <row r="1434" spans="1:1" ht="13.8" x14ac:dyDescent="0.25">
      <c r="A1434" s="8"/>
    </row>
    <row r="1435" spans="1:1" ht="13.8" x14ac:dyDescent="0.25">
      <c r="A1435" s="8"/>
    </row>
    <row r="1436" spans="1:1" ht="13.8" x14ac:dyDescent="0.25">
      <c r="A1436" s="8"/>
    </row>
    <row r="1437" spans="1:1" ht="13.8" x14ac:dyDescent="0.25">
      <c r="A1437" s="8"/>
    </row>
    <row r="1438" spans="1:1" ht="13.8" x14ac:dyDescent="0.25">
      <c r="A1438" s="8"/>
    </row>
    <row r="1439" spans="1:1" ht="13.8" x14ac:dyDescent="0.25">
      <c r="A1439" s="8"/>
    </row>
    <row r="1440" spans="1:1" ht="13.8" x14ac:dyDescent="0.25">
      <c r="A1440" s="8"/>
    </row>
    <row r="1441" spans="1:1" ht="13.8" x14ac:dyDescent="0.25">
      <c r="A1441" s="8"/>
    </row>
    <row r="1442" spans="1:1" ht="13.8" x14ac:dyDescent="0.25">
      <c r="A1442" s="8"/>
    </row>
    <row r="1443" spans="1:1" ht="13.8" x14ac:dyDescent="0.25">
      <c r="A1443" s="8"/>
    </row>
    <row r="1444" spans="1:1" ht="13.8" x14ac:dyDescent="0.25">
      <c r="A1444" s="8"/>
    </row>
    <row r="1445" spans="1:1" ht="13.8" x14ac:dyDescent="0.25">
      <c r="A1445" s="8"/>
    </row>
    <row r="1446" spans="1:1" ht="13.8" x14ac:dyDescent="0.25">
      <c r="A1446" s="8"/>
    </row>
    <row r="1447" spans="1:1" ht="13.8" x14ac:dyDescent="0.25">
      <c r="A1447" s="8"/>
    </row>
    <row r="1448" spans="1:1" ht="13.8" x14ac:dyDescent="0.25">
      <c r="A1448" s="8"/>
    </row>
    <row r="1449" spans="1:1" ht="13.8" x14ac:dyDescent="0.25">
      <c r="A1449" s="8"/>
    </row>
    <row r="1450" spans="1:1" ht="13.8" x14ac:dyDescent="0.25">
      <c r="A1450" s="8"/>
    </row>
    <row r="1451" spans="1:1" ht="13.8" x14ac:dyDescent="0.25">
      <c r="A1451" s="8"/>
    </row>
    <row r="1452" spans="1:1" ht="13.8" x14ac:dyDescent="0.25">
      <c r="A1452" s="8"/>
    </row>
    <row r="1453" spans="1:1" ht="13.8" x14ac:dyDescent="0.25">
      <c r="A1453" s="8"/>
    </row>
    <row r="1454" spans="1:1" ht="13.8" x14ac:dyDescent="0.25">
      <c r="A1454" s="8"/>
    </row>
    <row r="1455" spans="1:1" ht="13.8" x14ac:dyDescent="0.25">
      <c r="A1455" s="8"/>
    </row>
    <row r="1456" spans="1:1" ht="13.8" x14ac:dyDescent="0.25">
      <c r="A1456" s="8"/>
    </row>
    <row r="1457" spans="1:1" ht="13.8" x14ac:dyDescent="0.25">
      <c r="A1457" s="8"/>
    </row>
    <row r="1458" spans="1:1" ht="13.8" x14ac:dyDescent="0.25">
      <c r="A1458" s="8"/>
    </row>
    <row r="1459" spans="1:1" ht="13.8" x14ac:dyDescent="0.25">
      <c r="A1459" s="8"/>
    </row>
    <row r="1460" spans="1:1" ht="13.8" x14ac:dyDescent="0.25">
      <c r="A1460" s="8"/>
    </row>
    <row r="1461" spans="1:1" ht="13.8" x14ac:dyDescent="0.25">
      <c r="A1461" s="8"/>
    </row>
    <row r="1462" spans="1:1" ht="13.8" x14ac:dyDescent="0.25">
      <c r="A1462" s="8"/>
    </row>
    <row r="1463" spans="1:1" ht="13.8" x14ac:dyDescent="0.25">
      <c r="A1463" s="8"/>
    </row>
    <row r="1464" spans="1:1" ht="13.8" x14ac:dyDescent="0.25">
      <c r="A1464" s="8"/>
    </row>
    <row r="1465" spans="1:1" ht="13.8" x14ac:dyDescent="0.25">
      <c r="A1465" s="8"/>
    </row>
    <row r="1466" spans="1:1" ht="13.8" x14ac:dyDescent="0.25">
      <c r="A1466" s="8"/>
    </row>
    <row r="1467" spans="1:1" ht="13.8" x14ac:dyDescent="0.25">
      <c r="A1467" s="8"/>
    </row>
    <row r="1468" spans="1:1" ht="13.8" x14ac:dyDescent="0.25">
      <c r="A1468" s="8"/>
    </row>
    <row r="1469" spans="1:1" ht="13.8" x14ac:dyDescent="0.25">
      <c r="A1469" s="8"/>
    </row>
    <row r="1470" spans="1:1" ht="13.8" x14ac:dyDescent="0.25">
      <c r="A1470" s="8"/>
    </row>
    <row r="1471" spans="1:1" ht="13.8" x14ac:dyDescent="0.25">
      <c r="A1471" s="8"/>
    </row>
    <row r="1472" spans="1:1" ht="13.8" x14ac:dyDescent="0.25">
      <c r="A1472" s="8"/>
    </row>
    <row r="1473" spans="1:1" ht="13.8" x14ac:dyDescent="0.25">
      <c r="A1473" s="8"/>
    </row>
    <row r="1474" spans="1:1" ht="13.8" x14ac:dyDescent="0.25">
      <c r="A1474" s="8"/>
    </row>
    <row r="1475" spans="1:1" ht="13.8" x14ac:dyDescent="0.25">
      <c r="A1475" s="8"/>
    </row>
    <row r="1476" spans="1:1" ht="13.8" x14ac:dyDescent="0.25">
      <c r="A1476" s="8"/>
    </row>
    <row r="1477" spans="1:1" ht="13.8" x14ac:dyDescent="0.25">
      <c r="A1477" s="8"/>
    </row>
    <row r="1478" spans="1:1" ht="13.8" x14ac:dyDescent="0.25">
      <c r="A1478" s="8"/>
    </row>
    <row r="1479" spans="1:1" ht="13.8" x14ac:dyDescent="0.25">
      <c r="A1479" s="8"/>
    </row>
    <row r="1480" spans="1:1" ht="13.8" x14ac:dyDescent="0.25">
      <c r="A1480" s="8"/>
    </row>
    <row r="1481" spans="1:1" ht="13.8" x14ac:dyDescent="0.25">
      <c r="A1481" s="8"/>
    </row>
    <row r="1482" spans="1:1" ht="13.8" x14ac:dyDescent="0.25">
      <c r="A1482" s="8"/>
    </row>
    <row r="1483" spans="1:1" ht="13.8" x14ac:dyDescent="0.25">
      <c r="A1483" s="8"/>
    </row>
    <row r="1484" spans="1:1" ht="13.8" x14ac:dyDescent="0.25">
      <c r="A1484" s="8"/>
    </row>
    <row r="1485" spans="1:1" ht="13.8" x14ac:dyDescent="0.25">
      <c r="A1485" s="8"/>
    </row>
    <row r="1486" spans="1:1" ht="13.8" x14ac:dyDescent="0.25">
      <c r="A1486" s="8"/>
    </row>
    <row r="1487" spans="1:1" ht="13.8" x14ac:dyDescent="0.25">
      <c r="A1487" s="8"/>
    </row>
    <row r="1488" spans="1:1" ht="13.8" x14ac:dyDescent="0.25">
      <c r="A1488" s="8"/>
    </row>
    <row r="1489" spans="1:1" ht="13.8" x14ac:dyDescent="0.25">
      <c r="A1489" s="8"/>
    </row>
    <row r="1490" spans="1:1" ht="13.8" x14ac:dyDescent="0.25">
      <c r="A1490" s="8"/>
    </row>
    <row r="1491" spans="1:1" ht="13.8" x14ac:dyDescent="0.25">
      <c r="A1491" s="8"/>
    </row>
    <row r="1492" spans="1:1" ht="13.8" x14ac:dyDescent="0.25">
      <c r="A1492" s="8"/>
    </row>
    <row r="1493" spans="1:1" ht="13.8" x14ac:dyDescent="0.25">
      <c r="A1493" s="8"/>
    </row>
    <row r="1494" spans="1:1" ht="13.8" x14ac:dyDescent="0.25">
      <c r="A1494" s="8"/>
    </row>
    <row r="1495" spans="1:1" ht="13.8" x14ac:dyDescent="0.25">
      <c r="A1495" s="8"/>
    </row>
    <row r="1496" spans="1:1" ht="13.8" x14ac:dyDescent="0.25">
      <c r="A1496" s="8"/>
    </row>
    <row r="1497" spans="1:1" ht="13.8" x14ac:dyDescent="0.25">
      <c r="A1497" s="8"/>
    </row>
    <row r="1498" spans="1:1" ht="13.8" x14ac:dyDescent="0.25">
      <c r="A1498" s="8"/>
    </row>
    <row r="1499" spans="1:1" ht="13.8" x14ac:dyDescent="0.25">
      <c r="A1499" s="8"/>
    </row>
    <row r="1500" spans="1:1" ht="13.8" x14ac:dyDescent="0.25">
      <c r="A1500" s="8"/>
    </row>
    <row r="1501" spans="1:1" ht="13.8" x14ac:dyDescent="0.25">
      <c r="A1501" s="8"/>
    </row>
    <row r="1502" spans="1:1" ht="13.8" x14ac:dyDescent="0.25">
      <c r="A1502" s="8"/>
    </row>
    <row r="1503" spans="1:1" ht="13.8" x14ac:dyDescent="0.25">
      <c r="A1503" s="8"/>
    </row>
    <row r="1504" spans="1:1" ht="13.8" x14ac:dyDescent="0.25">
      <c r="A1504" s="8"/>
    </row>
    <row r="1505" spans="1:1" ht="13.8" x14ac:dyDescent="0.25">
      <c r="A1505" s="8"/>
    </row>
    <row r="1506" spans="1:1" ht="13.8" x14ac:dyDescent="0.25">
      <c r="A1506" s="8"/>
    </row>
    <row r="1507" spans="1:1" ht="13.8" x14ac:dyDescent="0.25">
      <c r="A1507" s="8"/>
    </row>
    <row r="1508" spans="1:1" ht="13.8" x14ac:dyDescent="0.25">
      <c r="A1508" s="8"/>
    </row>
    <row r="1509" spans="1:1" ht="13.8" x14ac:dyDescent="0.25">
      <c r="A1509" s="8"/>
    </row>
    <row r="1510" spans="1:1" ht="13.8" x14ac:dyDescent="0.25">
      <c r="A1510" s="8"/>
    </row>
    <row r="1511" spans="1:1" ht="13.8" x14ac:dyDescent="0.25">
      <c r="A1511" s="8"/>
    </row>
    <row r="1512" spans="1:1" ht="13.8" x14ac:dyDescent="0.25">
      <c r="A1512" s="8"/>
    </row>
    <row r="1513" spans="1:1" ht="13.8" x14ac:dyDescent="0.25">
      <c r="A1513" s="8"/>
    </row>
    <row r="1514" spans="1:1" ht="13.8" x14ac:dyDescent="0.25">
      <c r="A1514" s="8"/>
    </row>
    <row r="1515" spans="1:1" ht="13.8" x14ac:dyDescent="0.25">
      <c r="A1515" s="8"/>
    </row>
    <row r="1516" spans="1:1" ht="13.8" x14ac:dyDescent="0.25">
      <c r="A1516" s="8"/>
    </row>
    <row r="1517" spans="1:1" ht="13.8" x14ac:dyDescent="0.25">
      <c r="A1517" s="8"/>
    </row>
    <row r="1518" spans="1:1" ht="13.8" x14ac:dyDescent="0.25">
      <c r="A1518" s="8"/>
    </row>
    <row r="1519" spans="1:1" ht="13.8" x14ac:dyDescent="0.25">
      <c r="A1519" s="8"/>
    </row>
    <row r="1520" spans="1:1" ht="13.8" x14ac:dyDescent="0.25">
      <c r="A1520" s="8"/>
    </row>
    <row r="1521" spans="1:1" ht="13.8" x14ac:dyDescent="0.25">
      <c r="A1521" s="8"/>
    </row>
    <row r="1522" spans="1:1" ht="13.8" x14ac:dyDescent="0.25">
      <c r="A1522" s="8"/>
    </row>
    <row r="1523" spans="1:1" ht="13.8" x14ac:dyDescent="0.25">
      <c r="A1523" s="8"/>
    </row>
    <row r="1524" spans="1:1" ht="13.8" x14ac:dyDescent="0.25">
      <c r="A1524" s="8"/>
    </row>
    <row r="1525" spans="1:1" ht="13.8" x14ac:dyDescent="0.25">
      <c r="A1525" s="8"/>
    </row>
    <row r="1526" spans="1:1" ht="13.8" x14ac:dyDescent="0.25">
      <c r="A1526" s="8"/>
    </row>
    <row r="1527" spans="1:1" ht="13.8" x14ac:dyDescent="0.25">
      <c r="A1527" s="8"/>
    </row>
    <row r="1528" spans="1:1" ht="13.8" x14ac:dyDescent="0.25">
      <c r="A1528" s="8"/>
    </row>
    <row r="1529" spans="1:1" ht="13.8" x14ac:dyDescent="0.25">
      <c r="A1529" s="8"/>
    </row>
    <row r="1530" spans="1:1" ht="13.8" x14ac:dyDescent="0.25">
      <c r="A1530" s="8"/>
    </row>
    <row r="1531" spans="1:1" ht="13.8" x14ac:dyDescent="0.25">
      <c r="A1531" s="8"/>
    </row>
    <row r="1532" spans="1:1" ht="13.8" x14ac:dyDescent="0.25">
      <c r="A1532" s="8"/>
    </row>
    <row r="1533" spans="1:1" ht="13.8" x14ac:dyDescent="0.25">
      <c r="A1533" s="8"/>
    </row>
    <row r="1534" spans="1:1" ht="13.8" x14ac:dyDescent="0.25">
      <c r="A1534" s="8"/>
    </row>
    <row r="1535" spans="1:1" ht="13.8" x14ac:dyDescent="0.25">
      <c r="A1535" s="8"/>
    </row>
    <row r="1536" spans="1:1" ht="13.8" x14ac:dyDescent="0.25">
      <c r="A1536" s="8"/>
    </row>
    <row r="1537" spans="1:1" ht="13.8" x14ac:dyDescent="0.25">
      <c r="A1537" s="8"/>
    </row>
    <row r="1538" spans="1:1" ht="13.8" x14ac:dyDescent="0.25">
      <c r="A1538" s="8"/>
    </row>
    <row r="1539" spans="1:1" ht="13.8" x14ac:dyDescent="0.25">
      <c r="A1539" s="8"/>
    </row>
    <row r="1540" spans="1:1" ht="13.8" x14ac:dyDescent="0.25">
      <c r="A1540" s="8"/>
    </row>
    <row r="1541" spans="1:1" ht="13.8" x14ac:dyDescent="0.25">
      <c r="A1541" s="8"/>
    </row>
    <row r="1542" spans="1:1" ht="13.8" x14ac:dyDescent="0.25">
      <c r="A1542" s="8"/>
    </row>
    <row r="1543" spans="1:1" ht="13.8" x14ac:dyDescent="0.25">
      <c r="A1543" s="8"/>
    </row>
    <row r="1544" spans="1:1" ht="13.8" x14ac:dyDescent="0.25">
      <c r="A1544" s="8"/>
    </row>
    <row r="1545" spans="1:1" ht="13.8" x14ac:dyDescent="0.25">
      <c r="A1545" s="8"/>
    </row>
    <row r="1546" spans="1:1" ht="13.8" x14ac:dyDescent="0.25">
      <c r="A1546" s="8"/>
    </row>
    <row r="1547" spans="1:1" ht="13.8" x14ac:dyDescent="0.25">
      <c r="A1547" s="8"/>
    </row>
    <row r="1548" spans="1:1" ht="13.8" x14ac:dyDescent="0.25">
      <c r="A1548" s="8"/>
    </row>
    <row r="1549" spans="1:1" ht="13.8" x14ac:dyDescent="0.25">
      <c r="A1549" s="8"/>
    </row>
    <row r="1550" spans="1:1" ht="13.8" x14ac:dyDescent="0.25">
      <c r="A1550" s="8"/>
    </row>
    <row r="1551" spans="1:1" ht="13.8" x14ac:dyDescent="0.25">
      <c r="A1551" s="8"/>
    </row>
    <row r="1552" spans="1:1" ht="13.8" x14ac:dyDescent="0.25">
      <c r="A1552" s="8"/>
    </row>
    <row r="1553" spans="1:1" ht="13.8" x14ac:dyDescent="0.25">
      <c r="A1553" s="8"/>
    </row>
    <row r="1554" spans="1:1" ht="13.8" x14ac:dyDescent="0.25">
      <c r="A1554" s="8"/>
    </row>
    <row r="1555" spans="1:1" ht="13.8" x14ac:dyDescent="0.25">
      <c r="A1555" s="8"/>
    </row>
    <row r="1556" spans="1:1" ht="13.8" x14ac:dyDescent="0.25">
      <c r="A1556" s="8"/>
    </row>
    <row r="1557" spans="1:1" ht="13.8" x14ac:dyDescent="0.25">
      <c r="A1557" s="8"/>
    </row>
    <row r="1558" spans="1:1" ht="13.8" x14ac:dyDescent="0.25">
      <c r="A1558" s="8"/>
    </row>
    <row r="1559" spans="1:1" ht="13.8" x14ac:dyDescent="0.25">
      <c r="A1559" s="8"/>
    </row>
    <row r="1560" spans="1:1" ht="13.8" x14ac:dyDescent="0.25">
      <c r="A1560" s="8"/>
    </row>
    <row r="1561" spans="1:1" ht="13.8" x14ac:dyDescent="0.25">
      <c r="A1561" s="8"/>
    </row>
    <row r="1562" spans="1:1" ht="13.8" x14ac:dyDescent="0.25">
      <c r="A1562" s="8"/>
    </row>
    <row r="1563" spans="1:1" ht="13.8" x14ac:dyDescent="0.25">
      <c r="A1563" s="8"/>
    </row>
    <row r="1564" spans="1:1" ht="13.8" x14ac:dyDescent="0.25">
      <c r="A1564" s="8"/>
    </row>
    <row r="1565" spans="1:1" ht="13.8" x14ac:dyDescent="0.25">
      <c r="A1565" s="8"/>
    </row>
    <row r="1566" spans="1:1" ht="13.8" x14ac:dyDescent="0.25">
      <c r="A1566" s="8"/>
    </row>
    <row r="1567" spans="1:1" ht="13.8" x14ac:dyDescent="0.25">
      <c r="A1567" s="8"/>
    </row>
    <row r="1568" spans="1:1" ht="13.8" x14ac:dyDescent="0.25">
      <c r="A1568" s="8"/>
    </row>
    <row r="1569" spans="1:1" ht="13.8" x14ac:dyDescent="0.25">
      <c r="A1569" s="8"/>
    </row>
    <row r="1570" spans="1:1" ht="13.8" x14ac:dyDescent="0.25">
      <c r="A1570" s="8"/>
    </row>
    <row r="1571" spans="1:1" ht="13.8" x14ac:dyDescent="0.25">
      <c r="A1571" s="8"/>
    </row>
    <row r="1572" spans="1:1" ht="13.8" x14ac:dyDescent="0.25">
      <c r="A1572" s="8"/>
    </row>
    <row r="1573" spans="1:1" ht="13.8" x14ac:dyDescent="0.25">
      <c r="A1573" s="8"/>
    </row>
    <row r="1574" spans="1:1" ht="13.8" x14ac:dyDescent="0.25">
      <c r="A1574" s="8"/>
    </row>
    <row r="1575" spans="1:1" ht="13.8" x14ac:dyDescent="0.25">
      <c r="A1575" s="8"/>
    </row>
    <row r="1576" spans="1:1" ht="13.8" x14ac:dyDescent="0.25">
      <c r="A1576" s="8"/>
    </row>
    <row r="1577" spans="1:1" ht="13.8" x14ac:dyDescent="0.25">
      <c r="A1577" s="8"/>
    </row>
    <row r="1578" spans="1:1" ht="13.8" x14ac:dyDescent="0.25">
      <c r="A1578" s="8"/>
    </row>
    <row r="1579" spans="1:1" ht="13.8" x14ac:dyDescent="0.25">
      <c r="A1579" s="8"/>
    </row>
    <row r="1580" spans="1:1" ht="13.8" x14ac:dyDescent="0.25">
      <c r="A1580" s="8"/>
    </row>
    <row r="1581" spans="1:1" ht="13.8" x14ac:dyDescent="0.25">
      <c r="A1581" s="8"/>
    </row>
    <row r="1582" spans="1:1" ht="13.8" x14ac:dyDescent="0.25">
      <c r="A1582" s="8"/>
    </row>
    <row r="1583" spans="1:1" ht="13.8" x14ac:dyDescent="0.25">
      <c r="A1583" s="8"/>
    </row>
    <row r="1584" spans="1:1" ht="13.8" x14ac:dyDescent="0.25">
      <c r="A1584" s="8"/>
    </row>
    <row r="1585" spans="1:1" ht="13.8" x14ac:dyDescent="0.25">
      <c r="A1585" s="8"/>
    </row>
    <row r="1586" spans="1:1" ht="13.8" x14ac:dyDescent="0.25">
      <c r="A1586" s="8"/>
    </row>
    <row r="1587" spans="1:1" ht="13.8" x14ac:dyDescent="0.25">
      <c r="A1587" s="8"/>
    </row>
    <row r="1588" spans="1:1" ht="13.8" x14ac:dyDescent="0.25">
      <c r="A1588" s="8"/>
    </row>
    <row r="1589" spans="1:1" ht="13.8" x14ac:dyDescent="0.25">
      <c r="A1589" s="8"/>
    </row>
    <row r="1590" spans="1:1" ht="13.8" x14ac:dyDescent="0.25">
      <c r="A1590" s="8"/>
    </row>
    <row r="1591" spans="1:1" ht="13.8" x14ac:dyDescent="0.25">
      <c r="A1591" s="8"/>
    </row>
    <row r="1592" spans="1:1" ht="13.8" x14ac:dyDescent="0.25">
      <c r="A1592" s="8"/>
    </row>
    <row r="1593" spans="1:1" ht="13.8" x14ac:dyDescent="0.25">
      <c r="A1593" s="8"/>
    </row>
    <row r="1594" spans="1:1" ht="13.8" x14ac:dyDescent="0.25">
      <c r="A1594" s="8"/>
    </row>
    <row r="1595" spans="1:1" ht="13.8" x14ac:dyDescent="0.25">
      <c r="A1595" s="8"/>
    </row>
    <row r="1596" spans="1:1" ht="13.8" x14ac:dyDescent="0.25">
      <c r="A1596" s="8"/>
    </row>
    <row r="1597" spans="1:1" ht="13.8" x14ac:dyDescent="0.25">
      <c r="A1597" s="8"/>
    </row>
    <row r="1598" spans="1:1" ht="13.8" x14ac:dyDescent="0.25">
      <c r="A1598" s="8"/>
    </row>
    <row r="1599" spans="1:1" ht="13.8" x14ac:dyDescent="0.25">
      <c r="A1599" s="8"/>
    </row>
    <row r="1600" spans="1:1" ht="13.8" x14ac:dyDescent="0.25">
      <c r="A1600" s="8"/>
    </row>
    <row r="1601" spans="1:1" ht="13.8" x14ac:dyDescent="0.25">
      <c r="A1601" s="8"/>
    </row>
    <row r="1602" spans="1:1" ht="13.8" x14ac:dyDescent="0.25">
      <c r="A1602" s="8"/>
    </row>
    <row r="1603" spans="1:1" ht="13.8" x14ac:dyDescent="0.25">
      <c r="A1603" s="8"/>
    </row>
    <row r="1604" spans="1:1" ht="13.8" x14ac:dyDescent="0.25">
      <c r="A1604" s="8"/>
    </row>
    <row r="1605" spans="1:1" ht="13.8" x14ac:dyDescent="0.25">
      <c r="A1605" s="8"/>
    </row>
    <row r="1606" spans="1:1" ht="13.8" x14ac:dyDescent="0.25">
      <c r="A1606" s="8"/>
    </row>
    <row r="1607" spans="1:1" ht="13.8" x14ac:dyDescent="0.25">
      <c r="A1607" s="8"/>
    </row>
    <row r="1608" spans="1:1" ht="13.8" x14ac:dyDescent="0.25">
      <c r="A1608" s="8"/>
    </row>
    <row r="1609" spans="1:1" ht="13.8" x14ac:dyDescent="0.25">
      <c r="A1609" s="8"/>
    </row>
    <row r="1610" spans="1:1" ht="13.8" x14ac:dyDescent="0.25">
      <c r="A1610" s="8"/>
    </row>
    <row r="1611" spans="1:1" ht="13.8" x14ac:dyDescent="0.25">
      <c r="A1611" s="8"/>
    </row>
    <row r="1612" spans="1:1" ht="13.8" x14ac:dyDescent="0.25">
      <c r="A1612" s="8"/>
    </row>
    <row r="1613" spans="1:1" ht="13.8" x14ac:dyDescent="0.25">
      <c r="A1613" s="8"/>
    </row>
    <row r="1614" spans="1:1" ht="13.8" x14ac:dyDescent="0.25">
      <c r="A1614" s="8"/>
    </row>
    <row r="1615" spans="1:1" ht="13.8" x14ac:dyDescent="0.25">
      <c r="A1615" s="8"/>
    </row>
    <row r="1616" spans="1:1" ht="13.8" x14ac:dyDescent="0.25">
      <c r="A1616" s="8"/>
    </row>
    <row r="1617" spans="1:1" ht="13.8" x14ac:dyDescent="0.25">
      <c r="A1617" s="8"/>
    </row>
    <row r="1618" spans="1:1" ht="13.8" x14ac:dyDescent="0.25">
      <c r="A1618" s="8"/>
    </row>
    <row r="1619" spans="1:1" ht="13.8" x14ac:dyDescent="0.25">
      <c r="A1619" s="8"/>
    </row>
    <row r="1620" spans="1:1" ht="13.8" x14ac:dyDescent="0.25">
      <c r="A1620" s="8"/>
    </row>
    <row r="1621" spans="1:1" ht="13.8" x14ac:dyDescent="0.25">
      <c r="A1621" s="8"/>
    </row>
    <row r="1622" spans="1:1" ht="13.8" x14ac:dyDescent="0.25">
      <c r="A1622" s="8"/>
    </row>
    <row r="1623" spans="1:1" ht="13.8" x14ac:dyDescent="0.25">
      <c r="A1623" s="8"/>
    </row>
    <row r="1624" spans="1:1" ht="13.8" x14ac:dyDescent="0.25">
      <c r="A1624" s="8"/>
    </row>
    <row r="1625" spans="1:1" ht="13.8" x14ac:dyDescent="0.25">
      <c r="A1625" s="8"/>
    </row>
    <row r="1626" spans="1:1" ht="13.8" x14ac:dyDescent="0.25">
      <c r="A1626" s="8"/>
    </row>
    <row r="1627" spans="1:1" ht="13.8" x14ac:dyDescent="0.25">
      <c r="A1627" s="8"/>
    </row>
    <row r="1628" spans="1:1" ht="13.8" x14ac:dyDescent="0.25">
      <c r="A1628" s="8"/>
    </row>
    <row r="1629" spans="1:1" ht="13.8" x14ac:dyDescent="0.25">
      <c r="A1629" s="8"/>
    </row>
    <row r="1630" spans="1:1" ht="13.8" x14ac:dyDescent="0.25">
      <c r="A1630" s="8"/>
    </row>
    <row r="1631" spans="1:1" ht="13.8" x14ac:dyDescent="0.25">
      <c r="A1631" s="8"/>
    </row>
    <row r="1632" spans="1:1" ht="13.8" x14ac:dyDescent="0.25">
      <c r="A1632" s="8"/>
    </row>
    <row r="1633" spans="1:1" ht="13.8" x14ac:dyDescent="0.25">
      <c r="A1633" s="8"/>
    </row>
    <row r="1634" spans="1:1" ht="13.8" x14ac:dyDescent="0.25">
      <c r="A1634" s="8"/>
    </row>
    <row r="1635" spans="1:1" ht="13.8" x14ac:dyDescent="0.25">
      <c r="A1635" s="8"/>
    </row>
    <row r="1636" spans="1:1" ht="13.8" x14ac:dyDescent="0.25">
      <c r="A1636" s="8"/>
    </row>
    <row r="1637" spans="1:1" ht="13.8" x14ac:dyDescent="0.25">
      <c r="A1637" s="8"/>
    </row>
    <row r="1638" spans="1:1" ht="13.8" x14ac:dyDescent="0.25">
      <c r="A1638" s="8"/>
    </row>
    <row r="1639" spans="1:1" ht="13.8" x14ac:dyDescent="0.25">
      <c r="A1639" s="8"/>
    </row>
    <row r="1640" spans="1:1" ht="13.8" x14ac:dyDescent="0.25">
      <c r="A1640" s="8"/>
    </row>
    <row r="1641" spans="1:1" ht="13.8" x14ac:dyDescent="0.25">
      <c r="A1641" s="8"/>
    </row>
    <row r="1642" spans="1:1" ht="13.8" x14ac:dyDescent="0.25">
      <c r="A1642" s="8"/>
    </row>
    <row r="1643" spans="1:1" ht="13.8" x14ac:dyDescent="0.25">
      <c r="A1643" s="8"/>
    </row>
    <row r="1644" spans="1:1" ht="13.8" x14ac:dyDescent="0.25">
      <c r="A1644" s="8"/>
    </row>
    <row r="1645" spans="1:1" ht="13.8" x14ac:dyDescent="0.25">
      <c r="A1645" s="8"/>
    </row>
    <row r="1646" spans="1:1" ht="13.8" x14ac:dyDescent="0.25">
      <c r="A1646" s="8"/>
    </row>
    <row r="1647" spans="1:1" ht="13.8" x14ac:dyDescent="0.25">
      <c r="A1647" s="8"/>
    </row>
    <row r="1648" spans="1:1" ht="13.8" x14ac:dyDescent="0.25">
      <c r="A1648" s="8"/>
    </row>
    <row r="1649" spans="1:1" ht="13.8" x14ac:dyDescent="0.25">
      <c r="A1649" s="8"/>
    </row>
    <row r="1650" spans="1:1" ht="13.8" x14ac:dyDescent="0.25">
      <c r="A1650" s="8"/>
    </row>
    <row r="1651" spans="1:1" ht="13.8" x14ac:dyDescent="0.25">
      <c r="A1651" s="8"/>
    </row>
    <row r="1652" spans="1:1" ht="13.8" x14ac:dyDescent="0.25">
      <c r="A1652" s="8"/>
    </row>
    <row r="1653" spans="1:1" ht="13.8" x14ac:dyDescent="0.25">
      <c r="A1653" s="8"/>
    </row>
    <row r="1654" spans="1:1" ht="13.8" x14ac:dyDescent="0.25">
      <c r="A1654" s="8"/>
    </row>
    <row r="1655" spans="1:1" ht="13.8" x14ac:dyDescent="0.25">
      <c r="A1655" s="8"/>
    </row>
    <row r="1656" spans="1:1" ht="13.8" x14ac:dyDescent="0.25">
      <c r="A1656" s="8"/>
    </row>
    <row r="1657" spans="1:1" ht="13.8" x14ac:dyDescent="0.25">
      <c r="A1657" s="8"/>
    </row>
    <row r="1658" spans="1:1" ht="13.8" x14ac:dyDescent="0.25">
      <c r="A1658" s="8"/>
    </row>
    <row r="1659" spans="1:1" ht="13.8" x14ac:dyDescent="0.25">
      <c r="A1659" s="8"/>
    </row>
    <row r="1660" spans="1:1" ht="13.8" x14ac:dyDescent="0.25">
      <c r="A1660" s="8"/>
    </row>
    <row r="1661" spans="1:1" ht="13.8" x14ac:dyDescent="0.25">
      <c r="A1661" s="8"/>
    </row>
    <row r="1662" spans="1:1" ht="13.8" x14ac:dyDescent="0.25">
      <c r="A1662" s="8"/>
    </row>
    <row r="1663" spans="1:1" ht="13.8" x14ac:dyDescent="0.25">
      <c r="A1663" s="8"/>
    </row>
    <row r="1664" spans="1:1" ht="13.8" x14ac:dyDescent="0.25">
      <c r="A1664" s="8"/>
    </row>
    <row r="1665" spans="1:1" ht="13.8" x14ac:dyDescent="0.25">
      <c r="A1665" s="8"/>
    </row>
    <row r="1666" spans="1:1" ht="13.8" x14ac:dyDescent="0.25">
      <c r="A1666" s="8"/>
    </row>
    <row r="1667" spans="1:1" ht="13.8" x14ac:dyDescent="0.25">
      <c r="A1667" s="8"/>
    </row>
    <row r="1668" spans="1:1" ht="13.8" x14ac:dyDescent="0.25">
      <c r="A1668" s="8"/>
    </row>
    <row r="1669" spans="1:1" ht="13.8" x14ac:dyDescent="0.25">
      <c r="A1669" s="8"/>
    </row>
    <row r="1670" spans="1:1" ht="13.8" x14ac:dyDescent="0.25">
      <c r="A1670" s="8"/>
    </row>
    <row r="1671" spans="1:1" ht="13.8" x14ac:dyDescent="0.25">
      <c r="A1671" s="8"/>
    </row>
    <row r="1672" spans="1:1" ht="13.8" x14ac:dyDescent="0.25">
      <c r="A1672" s="8"/>
    </row>
    <row r="1673" spans="1:1" ht="13.8" x14ac:dyDescent="0.25">
      <c r="A1673" s="8"/>
    </row>
    <row r="1674" spans="1:1" ht="13.8" x14ac:dyDescent="0.25">
      <c r="A1674" s="8"/>
    </row>
    <row r="1675" spans="1:1" ht="13.8" x14ac:dyDescent="0.25">
      <c r="A1675" s="8"/>
    </row>
    <row r="1676" spans="1:1" ht="13.8" x14ac:dyDescent="0.25">
      <c r="A1676" s="8"/>
    </row>
    <row r="1677" spans="1:1" ht="13.8" x14ac:dyDescent="0.25">
      <c r="A1677" s="8"/>
    </row>
    <row r="1678" spans="1:1" ht="13.8" x14ac:dyDescent="0.25">
      <c r="A1678" s="8"/>
    </row>
    <row r="1679" spans="1:1" ht="13.8" x14ac:dyDescent="0.25">
      <c r="A1679" s="8"/>
    </row>
    <row r="1680" spans="1:1" ht="13.8" x14ac:dyDescent="0.25">
      <c r="A1680" s="8"/>
    </row>
    <row r="1681" spans="1:1" ht="13.8" x14ac:dyDescent="0.25">
      <c r="A1681" s="8"/>
    </row>
    <row r="1682" spans="1:1" ht="13.8" x14ac:dyDescent="0.25">
      <c r="A1682" s="8"/>
    </row>
    <row r="1683" spans="1:1" ht="13.8" x14ac:dyDescent="0.25">
      <c r="A1683" s="8"/>
    </row>
    <row r="1684" spans="1:1" ht="13.8" x14ac:dyDescent="0.25">
      <c r="A1684" s="8"/>
    </row>
    <row r="1685" spans="1:1" ht="13.8" x14ac:dyDescent="0.25">
      <c r="A1685" s="8"/>
    </row>
    <row r="1686" spans="1:1" ht="13.8" x14ac:dyDescent="0.25">
      <c r="A1686" s="8"/>
    </row>
    <row r="1687" spans="1:1" ht="13.8" x14ac:dyDescent="0.25">
      <c r="A1687" s="8"/>
    </row>
    <row r="1688" spans="1:1" ht="13.8" x14ac:dyDescent="0.25">
      <c r="A1688" s="8"/>
    </row>
    <row r="1689" spans="1:1" ht="13.8" x14ac:dyDescent="0.25">
      <c r="A1689" s="8"/>
    </row>
    <row r="1690" spans="1:1" ht="13.8" x14ac:dyDescent="0.25">
      <c r="A1690" s="8"/>
    </row>
    <row r="1691" spans="1:1" ht="13.8" x14ac:dyDescent="0.25">
      <c r="A1691" s="8"/>
    </row>
    <row r="1692" spans="1:1" ht="13.8" x14ac:dyDescent="0.25">
      <c r="A1692" s="8"/>
    </row>
    <row r="1693" spans="1:1" ht="13.8" x14ac:dyDescent="0.25">
      <c r="A1693" s="8"/>
    </row>
    <row r="1694" spans="1:1" ht="13.8" x14ac:dyDescent="0.25">
      <c r="A1694" s="8"/>
    </row>
    <row r="1695" spans="1:1" ht="13.8" x14ac:dyDescent="0.25">
      <c r="A1695" s="8"/>
    </row>
    <row r="1696" spans="1:1" ht="13.8" x14ac:dyDescent="0.25">
      <c r="A1696" s="8"/>
    </row>
    <row r="1697" spans="1:1" ht="13.8" x14ac:dyDescent="0.25">
      <c r="A1697" s="8"/>
    </row>
    <row r="1698" spans="1:1" ht="13.8" x14ac:dyDescent="0.25">
      <c r="A1698" s="8"/>
    </row>
    <row r="1699" spans="1:1" ht="13.8" x14ac:dyDescent="0.25">
      <c r="A1699" s="8"/>
    </row>
    <row r="1700" spans="1:1" ht="13.8" x14ac:dyDescent="0.25">
      <c r="A1700" s="8"/>
    </row>
    <row r="1701" spans="1:1" ht="13.8" x14ac:dyDescent="0.25">
      <c r="A1701" s="8"/>
    </row>
    <row r="1702" spans="1:1" ht="13.8" x14ac:dyDescent="0.25">
      <c r="A1702" s="8"/>
    </row>
    <row r="1703" spans="1:1" ht="13.8" x14ac:dyDescent="0.25">
      <c r="A1703" s="8"/>
    </row>
    <row r="1704" spans="1:1" ht="13.8" x14ac:dyDescent="0.25">
      <c r="A1704" s="8"/>
    </row>
    <row r="1705" spans="1:1" ht="13.8" x14ac:dyDescent="0.25">
      <c r="A1705" s="8"/>
    </row>
    <row r="1706" spans="1:1" ht="13.8" x14ac:dyDescent="0.25">
      <c r="A1706" s="8"/>
    </row>
    <row r="1707" spans="1:1" ht="13.8" x14ac:dyDescent="0.25">
      <c r="A1707" s="8"/>
    </row>
    <row r="1708" spans="1:1" ht="13.8" x14ac:dyDescent="0.25">
      <c r="A1708" s="8"/>
    </row>
    <row r="1709" spans="1:1" ht="13.8" x14ac:dyDescent="0.25">
      <c r="A1709" s="8"/>
    </row>
    <row r="1710" spans="1:1" ht="13.8" x14ac:dyDescent="0.25">
      <c r="A1710" s="8"/>
    </row>
    <row r="1711" spans="1:1" ht="13.8" x14ac:dyDescent="0.25">
      <c r="A1711" s="8"/>
    </row>
    <row r="1712" spans="1:1" ht="13.8" x14ac:dyDescent="0.25">
      <c r="A1712" s="8"/>
    </row>
    <row r="1713" spans="1:1" ht="13.8" x14ac:dyDescent="0.25">
      <c r="A1713" s="8"/>
    </row>
    <row r="1714" spans="1:1" ht="13.8" x14ac:dyDescent="0.25">
      <c r="A1714" s="8"/>
    </row>
    <row r="1715" spans="1:1" ht="13.8" x14ac:dyDescent="0.25">
      <c r="A1715" s="8"/>
    </row>
    <row r="1716" spans="1:1" ht="13.8" x14ac:dyDescent="0.25">
      <c r="A1716" s="8"/>
    </row>
    <row r="1717" spans="1:1" ht="13.8" x14ac:dyDescent="0.25">
      <c r="A1717" s="8"/>
    </row>
    <row r="1718" spans="1:1" ht="13.8" x14ac:dyDescent="0.25">
      <c r="A1718" s="8"/>
    </row>
    <row r="1719" spans="1:1" ht="13.8" x14ac:dyDescent="0.25">
      <c r="A1719" s="8"/>
    </row>
    <row r="1720" spans="1:1" ht="13.8" x14ac:dyDescent="0.25">
      <c r="A1720" s="8"/>
    </row>
    <row r="1721" spans="1:1" ht="13.8" x14ac:dyDescent="0.25">
      <c r="A1721" s="8"/>
    </row>
    <row r="1722" spans="1:1" ht="13.8" x14ac:dyDescent="0.25">
      <c r="A1722" s="8"/>
    </row>
    <row r="1723" spans="1:1" ht="13.8" x14ac:dyDescent="0.25">
      <c r="A1723" s="8"/>
    </row>
    <row r="1724" spans="1:1" ht="13.8" x14ac:dyDescent="0.25">
      <c r="A1724" s="8"/>
    </row>
    <row r="1725" spans="1:1" ht="13.8" x14ac:dyDescent="0.25">
      <c r="A1725" s="8"/>
    </row>
    <row r="1726" spans="1:1" ht="13.8" x14ac:dyDescent="0.25">
      <c r="A1726" s="8"/>
    </row>
    <row r="1727" spans="1:1" ht="13.8" x14ac:dyDescent="0.25">
      <c r="A1727" s="8"/>
    </row>
    <row r="1728" spans="1:1" ht="13.8" x14ac:dyDescent="0.25">
      <c r="A1728" s="8"/>
    </row>
    <row r="1729" spans="1:1" ht="13.8" x14ac:dyDescent="0.25">
      <c r="A1729" s="8"/>
    </row>
    <row r="1730" spans="1:1" ht="13.8" x14ac:dyDescent="0.25">
      <c r="A1730" s="8"/>
    </row>
    <row r="1731" spans="1:1" ht="13.8" x14ac:dyDescent="0.25">
      <c r="A1731" s="8"/>
    </row>
    <row r="1732" spans="1:1" ht="13.8" x14ac:dyDescent="0.25">
      <c r="A1732" s="8"/>
    </row>
    <row r="1733" spans="1:1" ht="13.8" x14ac:dyDescent="0.25">
      <c r="A1733" s="8"/>
    </row>
    <row r="1734" spans="1:1" ht="13.8" x14ac:dyDescent="0.25">
      <c r="A1734" s="8"/>
    </row>
    <row r="1735" spans="1:1" ht="13.8" x14ac:dyDescent="0.25">
      <c r="A1735" s="8"/>
    </row>
    <row r="1736" spans="1:1" ht="13.8" x14ac:dyDescent="0.25">
      <c r="A1736" s="8"/>
    </row>
    <row r="1737" spans="1:1" ht="13.8" x14ac:dyDescent="0.25">
      <c r="A1737" s="8"/>
    </row>
    <row r="1738" spans="1:1" ht="13.8" x14ac:dyDescent="0.25">
      <c r="A1738" s="8"/>
    </row>
    <row r="1739" spans="1:1" ht="13.8" x14ac:dyDescent="0.25">
      <c r="A1739" s="8"/>
    </row>
    <row r="1740" spans="1:1" ht="13.8" x14ac:dyDescent="0.25">
      <c r="A1740" s="8"/>
    </row>
    <row r="1741" spans="1:1" ht="13.8" x14ac:dyDescent="0.25">
      <c r="A1741" s="8"/>
    </row>
    <row r="1742" spans="1:1" ht="13.8" x14ac:dyDescent="0.25">
      <c r="A1742" s="8"/>
    </row>
    <row r="1743" spans="1:1" ht="13.8" x14ac:dyDescent="0.25">
      <c r="A1743" s="8"/>
    </row>
    <row r="1744" spans="1:1" ht="13.8" x14ac:dyDescent="0.25">
      <c r="A1744" s="8"/>
    </row>
    <row r="1745" spans="1:1" ht="13.8" x14ac:dyDescent="0.25">
      <c r="A1745" s="8"/>
    </row>
    <row r="1746" spans="1:1" ht="13.8" x14ac:dyDescent="0.25">
      <c r="A1746" s="8"/>
    </row>
    <row r="1747" spans="1:1" ht="13.8" x14ac:dyDescent="0.25">
      <c r="A1747" s="8"/>
    </row>
    <row r="1748" spans="1:1" ht="13.8" x14ac:dyDescent="0.25">
      <c r="A1748" s="8"/>
    </row>
    <row r="1749" spans="1:1" ht="13.8" x14ac:dyDescent="0.25">
      <c r="A1749" s="8"/>
    </row>
    <row r="1750" spans="1:1" ht="13.8" x14ac:dyDescent="0.25">
      <c r="A1750" s="8"/>
    </row>
    <row r="1751" spans="1:1" ht="13.8" x14ac:dyDescent="0.25">
      <c r="A1751" s="8"/>
    </row>
    <row r="1752" spans="1:1" ht="13.8" x14ac:dyDescent="0.25">
      <c r="A1752" s="8"/>
    </row>
    <row r="1753" spans="1:1" ht="13.8" x14ac:dyDescent="0.25">
      <c r="A1753" s="8"/>
    </row>
    <row r="1754" spans="1:1" ht="13.8" x14ac:dyDescent="0.25">
      <c r="A1754" s="8"/>
    </row>
    <row r="1755" spans="1:1" ht="13.8" x14ac:dyDescent="0.25">
      <c r="A1755" s="8"/>
    </row>
    <row r="1756" spans="1:1" ht="13.8" x14ac:dyDescent="0.25">
      <c r="A1756" s="8"/>
    </row>
    <row r="1757" spans="1:1" ht="13.8" x14ac:dyDescent="0.25">
      <c r="A1757" s="8"/>
    </row>
    <row r="1758" spans="1:1" ht="13.8" x14ac:dyDescent="0.25">
      <c r="A1758" s="8"/>
    </row>
    <row r="1759" spans="1:1" ht="13.8" x14ac:dyDescent="0.25">
      <c r="A1759" s="8"/>
    </row>
    <row r="1760" spans="1:1" ht="13.8" x14ac:dyDescent="0.25">
      <c r="A1760" s="8"/>
    </row>
    <row r="1761" spans="1:1" ht="13.8" x14ac:dyDescent="0.25">
      <c r="A1761" s="8"/>
    </row>
    <row r="1762" spans="1:1" ht="13.8" x14ac:dyDescent="0.25">
      <c r="A1762" s="8"/>
    </row>
    <row r="1763" spans="1:1" ht="13.8" x14ac:dyDescent="0.25">
      <c r="A1763" s="8"/>
    </row>
    <row r="1764" spans="1:1" ht="13.8" x14ac:dyDescent="0.25">
      <c r="A1764" s="8"/>
    </row>
    <row r="1765" spans="1:1" ht="13.8" x14ac:dyDescent="0.25">
      <c r="A1765" s="8"/>
    </row>
    <row r="1766" spans="1:1" ht="13.8" x14ac:dyDescent="0.25">
      <c r="A1766" s="8"/>
    </row>
    <row r="1767" spans="1:1" ht="13.8" x14ac:dyDescent="0.25">
      <c r="A1767" s="8"/>
    </row>
    <row r="1768" spans="1:1" ht="13.8" x14ac:dyDescent="0.25">
      <c r="A1768" s="8"/>
    </row>
    <row r="1769" spans="1:1" ht="13.8" x14ac:dyDescent="0.25">
      <c r="A1769" s="8"/>
    </row>
    <row r="1770" spans="1:1" ht="13.8" x14ac:dyDescent="0.25">
      <c r="A1770" s="8"/>
    </row>
    <row r="1771" spans="1:1" ht="13.8" x14ac:dyDescent="0.25">
      <c r="A1771" s="8"/>
    </row>
    <row r="1772" spans="1:1" ht="13.8" x14ac:dyDescent="0.25">
      <c r="A1772" s="8"/>
    </row>
    <row r="1773" spans="1:1" ht="13.8" x14ac:dyDescent="0.25">
      <c r="A1773" s="8"/>
    </row>
    <row r="1774" spans="1:1" ht="13.8" x14ac:dyDescent="0.25">
      <c r="A1774" s="8"/>
    </row>
    <row r="1775" spans="1:1" ht="13.8" x14ac:dyDescent="0.25">
      <c r="A1775" s="8"/>
    </row>
    <row r="1776" spans="1:1" ht="13.8" x14ac:dyDescent="0.25">
      <c r="A1776" s="8"/>
    </row>
    <row r="1777" spans="1:1" ht="13.8" x14ac:dyDescent="0.25">
      <c r="A1777" s="8"/>
    </row>
    <row r="1778" spans="1:1" ht="13.8" x14ac:dyDescent="0.25">
      <c r="A1778" s="8"/>
    </row>
    <row r="1779" spans="1:1" ht="13.8" x14ac:dyDescent="0.25">
      <c r="A1779" s="8"/>
    </row>
    <row r="1780" spans="1:1" ht="13.8" x14ac:dyDescent="0.25">
      <c r="A1780" s="8"/>
    </row>
    <row r="1781" spans="1:1" ht="13.8" x14ac:dyDescent="0.25">
      <c r="A1781" s="8"/>
    </row>
    <row r="1782" spans="1:1" ht="13.8" x14ac:dyDescent="0.25">
      <c r="A1782" s="8"/>
    </row>
    <row r="1783" spans="1:1" ht="13.8" x14ac:dyDescent="0.25">
      <c r="A1783" s="8"/>
    </row>
    <row r="1784" spans="1:1" ht="13.8" x14ac:dyDescent="0.25">
      <c r="A1784" s="8"/>
    </row>
    <row r="1785" spans="1:1" ht="13.8" x14ac:dyDescent="0.25">
      <c r="A1785" s="8"/>
    </row>
    <row r="1786" spans="1:1" ht="13.8" x14ac:dyDescent="0.25">
      <c r="A1786" s="8"/>
    </row>
    <row r="1787" spans="1:1" ht="13.8" x14ac:dyDescent="0.25">
      <c r="A1787" s="8"/>
    </row>
    <row r="1788" spans="1:1" ht="13.8" x14ac:dyDescent="0.25">
      <c r="A1788" s="8"/>
    </row>
    <row r="1789" spans="1:1" ht="13.8" x14ac:dyDescent="0.25">
      <c r="A1789" s="8"/>
    </row>
    <row r="1790" spans="1:1" ht="13.8" x14ac:dyDescent="0.25">
      <c r="A1790" s="8"/>
    </row>
    <row r="1791" spans="1:1" ht="13.8" x14ac:dyDescent="0.25">
      <c r="A1791" s="8"/>
    </row>
    <row r="1792" spans="1:1" ht="13.8" x14ac:dyDescent="0.25">
      <c r="A1792" s="8"/>
    </row>
    <row r="1793" spans="1:1" ht="13.8" x14ac:dyDescent="0.25">
      <c r="A1793" s="8"/>
    </row>
    <row r="1794" spans="1:1" ht="13.8" x14ac:dyDescent="0.25">
      <c r="A1794" s="8"/>
    </row>
    <row r="1795" spans="1:1" ht="13.8" x14ac:dyDescent="0.25">
      <c r="A1795" s="8"/>
    </row>
    <row r="1796" spans="1:1" ht="13.8" x14ac:dyDescent="0.25">
      <c r="A1796" s="8"/>
    </row>
    <row r="1797" spans="1:1" ht="13.8" x14ac:dyDescent="0.25">
      <c r="A1797" s="8"/>
    </row>
    <row r="1798" spans="1:1" ht="13.8" x14ac:dyDescent="0.25">
      <c r="A1798" s="8"/>
    </row>
    <row r="1799" spans="1:1" ht="13.8" x14ac:dyDescent="0.25">
      <c r="A1799" s="8"/>
    </row>
    <row r="1800" spans="1:1" ht="13.8" x14ac:dyDescent="0.25">
      <c r="A1800" s="8"/>
    </row>
    <row r="1801" spans="1:1" ht="13.8" x14ac:dyDescent="0.25">
      <c r="A1801" s="8"/>
    </row>
    <row r="1802" spans="1:1" ht="13.8" x14ac:dyDescent="0.25">
      <c r="A1802" s="8"/>
    </row>
    <row r="1803" spans="1:1" ht="13.8" x14ac:dyDescent="0.25">
      <c r="A1803" s="8"/>
    </row>
    <row r="1804" spans="1:1" ht="13.8" x14ac:dyDescent="0.25">
      <c r="A1804" s="8"/>
    </row>
    <row r="1805" spans="1:1" ht="13.8" x14ac:dyDescent="0.25">
      <c r="A1805" s="8"/>
    </row>
    <row r="1806" spans="1:1" ht="13.8" x14ac:dyDescent="0.25">
      <c r="A1806" s="8"/>
    </row>
    <row r="1807" spans="1:1" ht="13.8" x14ac:dyDescent="0.25">
      <c r="A1807" s="8"/>
    </row>
    <row r="1808" spans="1:1" ht="13.8" x14ac:dyDescent="0.25">
      <c r="A1808" s="8"/>
    </row>
    <row r="1809" spans="1:1" ht="13.8" x14ac:dyDescent="0.25">
      <c r="A1809" s="8"/>
    </row>
    <row r="1810" spans="1:1" ht="13.8" x14ac:dyDescent="0.25">
      <c r="A1810" s="8"/>
    </row>
    <row r="1811" spans="1:1" ht="13.8" x14ac:dyDescent="0.25">
      <c r="A1811" s="8"/>
    </row>
    <row r="1812" spans="1:1" ht="13.8" x14ac:dyDescent="0.25">
      <c r="A1812" s="8"/>
    </row>
    <row r="1813" spans="1:1" ht="13.8" x14ac:dyDescent="0.25">
      <c r="A1813" s="8"/>
    </row>
    <row r="1814" spans="1:1" ht="13.8" x14ac:dyDescent="0.25">
      <c r="A1814" s="8"/>
    </row>
    <row r="1815" spans="1:1" ht="13.8" x14ac:dyDescent="0.25">
      <c r="A1815" s="8"/>
    </row>
    <row r="1816" spans="1:1" ht="13.8" x14ac:dyDescent="0.25">
      <c r="A1816" s="8"/>
    </row>
    <row r="1817" spans="1:1" ht="13.8" x14ac:dyDescent="0.25">
      <c r="A1817" s="8"/>
    </row>
    <row r="1818" spans="1:1" ht="13.8" x14ac:dyDescent="0.25">
      <c r="A1818" s="8"/>
    </row>
    <row r="1819" spans="1:1" ht="13.8" x14ac:dyDescent="0.25">
      <c r="A1819" s="8"/>
    </row>
    <row r="1820" spans="1:1" ht="13.8" x14ac:dyDescent="0.25">
      <c r="A1820" s="8"/>
    </row>
    <row r="1821" spans="1:1" ht="13.8" x14ac:dyDescent="0.25">
      <c r="A1821" s="8"/>
    </row>
    <row r="1822" spans="1:1" ht="13.8" x14ac:dyDescent="0.25">
      <c r="A1822" s="8"/>
    </row>
    <row r="1823" spans="1:1" ht="13.8" x14ac:dyDescent="0.25">
      <c r="A1823" s="8"/>
    </row>
    <row r="1824" spans="1:1" ht="13.8" x14ac:dyDescent="0.25">
      <c r="A1824" s="8"/>
    </row>
    <row r="1825" spans="1:1" ht="13.8" x14ac:dyDescent="0.25">
      <c r="A1825" s="8"/>
    </row>
    <row r="1826" spans="1:1" ht="13.8" x14ac:dyDescent="0.25">
      <c r="A1826" s="8"/>
    </row>
    <row r="1827" spans="1:1" ht="13.8" x14ac:dyDescent="0.25">
      <c r="A1827" s="8"/>
    </row>
    <row r="1828" spans="1:1" ht="13.8" x14ac:dyDescent="0.25">
      <c r="A1828" s="8"/>
    </row>
    <row r="1829" spans="1:1" ht="13.8" x14ac:dyDescent="0.25">
      <c r="A1829" s="8"/>
    </row>
    <row r="1830" spans="1:1" ht="13.8" x14ac:dyDescent="0.25">
      <c r="A1830" s="8"/>
    </row>
    <row r="1831" spans="1:1" ht="13.8" x14ac:dyDescent="0.25">
      <c r="A1831" s="8"/>
    </row>
    <row r="1832" spans="1:1" ht="13.8" x14ac:dyDescent="0.25">
      <c r="A1832" s="8"/>
    </row>
    <row r="1833" spans="1:1" ht="13.8" x14ac:dyDescent="0.25">
      <c r="A1833" s="8"/>
    </row>
    <row r="1834" spans="1:1" ht="13.8" x14ac:dyDescent="0.25">
      <c r="A1834" s="8"/>
    </row>
    <row r="1835" spans="1:1" ht="13.8" x14ac:dyDescent="0.25">
      <c r="A1835" s="8"/>
    </row>
    <row r="1836" spans="1:1" ht="13.8" x14ac:dyDescent="0.25">
      <c r="A1836" s="8"/>
    </row>
    <row r="1837" spans="1:1" ht="13.8" x14ac:dyDescent="0.25">
      <c r="A1837" s="8"/>
    </row>
    <row r="1838" spans="1:1" ht="13.8" x14ac:dyDescent="0.25">
      <c r="A1838" s="8"/>
    </row>
    <row r="1839" spans="1:1" ht="13.8" x14ac:dyDescent="0.25">
      <c r="A1839" s="8"/>
    </row>
    <row r="1840" spans="1:1" ht="13.8" x14ac:dyDescent="0.25">
      <c r="A1840" s="8"/>
    </row>
    <row r="1841" spans="1:1" ht="13.8" x14ac:dyDescent="0.25">
      <c r="A1841" s="8"/>
    </row>
    <row r="1842" spans="1:1" ht="13.8" x14ac:dyDescent="0.25">
      <c r="A1842" s="8"/>
    </row>
    <row r="1843" spans="1:1" ht="13.8" x14ac:dyDescent="0.25">
      <c r="A1843" s="8"/>
    </row>
    <row r="1844" spans="1:1" ht="13.8" x14ac:dyDescent="0.25">
      <c r="A1844" s="8"/>
    </row>
    <row r="1845" spans="1:1" ht="13.8" x14ac:dyDescent="0.25">
      <c r="A1845" s="8"/>
    </row>
    <row r="1846" spans="1:1" ht="13.8" x14ac:dyDescent="0.25">
      <c r="A1846" s="8"/>
    </row>
    <row r="1847" spans="1:1" ht="13.8" x14ac:dyDescent="0.25">
      <c r="A1847" s="8"/>
    </row>
    <row r="1848" spans="1:1" ht="13.8" x14ac:dyDescent="0.25">
      <c r="A1848" s="8"/>
    </row>
    <row r="1849" spans="1:1" ht="13.8" x14ac:dyDescent="0.25">
      <c r="A1849" s="8"/>
    </row>
    <row r="1850" spans="1:1" ht="13.8" x14ac:dyDescent="0.25">
      <c r="A1850" s="8"/>
    </row>
    <row r="1851" spans="1:1" ht="13.8" x14ac:dyDescent="0.25">
      <c r="A1851" s="8"/>
    </row>
    <row r="1852" spans="1:1" ht="13.8" x14ac:dyDescent="0.25">
      <c r="A1852" s="8"/>
    </row>
    <row r="1853" spans="1:1" ht="13.8" x14ac:dyDescent="0.25">
      <c r="A1853" s="8"/>
    </row>
    <row r="1854" spans="1:1" ht="13.8" x14ac:dyDescent="0.25">
      <c r="A1854" s="8"/>
    </row>
    <row r="1855" spans="1:1" ht="13.8" x14ac:dyDescent="0.25">
      <c r="A1855" s="8"/>
    </row>
    <row r="1856" spans="1:1" ht="13.8" x14ac:dyDescent="0.25">
      <c r="A1856" s="8"/>
    </row>
    <row r="1857" spans="1:1" ht="13.8" x14ac:dyDescent="0.25">
      <c r="A1857" s="8"/>
    </row>
    <row r="1858" spans="1:1" ht="13.8" x14ac:dyDescent="0.25">
      <c r="A1858" s="8"/>
    </row>
    <row r="1859" spans="1:1" ht="13.8" x14ac:dyDescent="0.25">
      <c r="A1859" s="8"/>
    </row>
    <row r="1860" spans="1:1" ht="13.8" x14ac:dyDescent="0.25">
      <c r="A1860" s="8"/>
    </row>
    <row r="1861" spans="1:1" ht="13.8" x14ac:dyDescent="0.25">
      <c r="A1861" s="8"/>
    </row>
    <row r="1862" spans="1:1" ht="13.8" x14ac:dyDescent="0.25">
      <c r="A1862" s="8"/>
    </row>
    <row r="1863" spans="1:1" ht="13.8" x14ac:dyDescent="0.25">
      <c r="A1863" s="8"/>
    </row>
    <row r="1864" spans="1:1" ht="13.8" x14ac:dyDescent="0.25">
      <c r="A1864" s="8"/>
    </row>
    <row r="1865" spans="1:1" ht="13.8" x14ac:dyDescent="0.25">
      <c r="A1865" s="8"/>
    </row>
    <row r="1866" spans="1:1" ht="13.8" x14ac:dyDescent="0.25">
      <c r="A1866" s="8"/>
    </row>
    <row r="1867" spans="1:1" ht="13.8" x14ac:dyDescent="0.25">
      <c r="A1867" s="8"/>
    </row>
    <row r="1868" spans="1:1" ht="13.8" x14ac:dyDescent="0.25">
      <c r="A1868" s="8"/>
    </row>
    <row r="1869" spans="1:1" ht="13.8" x14ac:dyDescent="0.25">
      <c r="A1869" s="8"/>
    </row>
    <row r="1870" spans="1:1" ht="13.8" x14ac:dyDescent="0.25">
      <c r="A1870" s="8"/>
    </row>
    <row r="1871" spans="1:1" ht="13.8" x14ac:dyDescent="0.25">
      <c r="A1871" s="8"/>
    </row>
    <row r="1872" spans="1:1" ht="13.8" x14ac:dyDescent="0.25">
      <c r="A1872" s="8"/>
    </row>
    <row r="1873" spans="1:1" ht="13.8" x14ac:dyDescent="0.25">
      <c r="A1873" s="8"/>
    </row>
    <row r="1874" spans="1:1" ht="13.8" x14ac:dyDescent="0.25">
      <c r="A1874" s="8"/>
    </row>
    <row r="1875" spans="1:1" ht="13.8" x14ac:dyDescent="0.25">
      <c r="A1875" s="8"/>
    </row>
    <row r="1876" spans="1:1" ht="13.8" x14ac:dyDescent="0.25">
      <c r="A1876" s="8"/>
    </row>
    <row r="1877" spans="1:1" ht="13.8" x14ac:dyDescent="0.25">
      <c r="A1877" s="8"/>
    </row>
    <row r="1878" spans="1:1" ht="13.8" x14ac:dyDescent="0.25">
      <c r="A1878" s="8"/>
    </row>
    <row r="1879" spans="1:1" ht="13.8" x14ac:dyDescent="0.25">
      <c r="A1879" s="8"/>
    </row>
    <row r="1880" spans="1:1" ht="13.8" x14ac:dyDescent="0.25">
      <c r="A1880" s="8"/>
    </row>
    <row r="1881" spans="1:1" ht="13.8" x14ac:dyDescent="0.25">
      <c r="A1881" s="8"/>
    </row>
    <row r="1882" spans="1:1" ht="13.8" x14ac:dyDescent="0.25">
      <c r="A1882" s="8"/>
    </row>
    <row r="1883" spans="1:1" ht="13.8" x14ac:dyDescent="0.25">
      <c r="A1883" s="8"/>
    </row>
    <row r="1884" spans="1:1" ht="13.8" x14ac:dyDescent="0.25">
      <c r="A1884" s="8"/>
    </row>
    <row r="1885" spans="1:1" ht="13.8" x14ac:dyDescent="0.25">
      <c r="A1885" s="8"/>
    </row>
    <row r="1886" spans="1:1" ht="13.8" x14ac:dyDescent="0.25">
      <c r="A1886" s="8"/>
    </row>
    <row r="1887" spans="1:1" ht="13.8" x14ac:dyDescent="0.25">
      <c r="A1887" s="8"/>
    </row>
    <row r="1888" spans="1:1" ht="13.8" x14ac:dyDescent="0.25">
      <c r="A1888" s="8"/>
    </row>
    <row r="1889" spans="1:1" ht="13.8" x14ac:dyDescent="0.25">
      <c r="A1889" s="8"/>
    </row>
    <row r="1890" spans="1:1" ht="13.8" x14ac:dyDescent="0.25">
      <c r="A1890" s="8"/>
    </row>
    <row r="1891" spans="1:1" ht="13.8" x14ac:dyDescent="0.25">
      <c r="A1891" s="8"/>
    </row>
    <row r="1892" spans="1:1" ht="13.8" x14ac:dyDescent="0.25">
      <c r="A1892" s="8"/>
    </row>
    <row r="1893" spans="1:1" ht="13.8" x14ac:dyDescent="0.25">
      <c r="A1893" s="8"/>
    </row>
    <row r="1894" spans="1:1" ht="13.8" x14ac:dyDescent="0.25">
      <c r="A1894" s="8"/>
    </row>
    <row r="1895" spans="1:1" ht="13.8" x14ac:dyDescent="0.25">
      <c r="A1895" s="8"/>
    </row>
    <row r="1896" spans="1:1" ht="13.8" x14ac:dyDescent="0.25">
      <c r="A1896" s="8"/>
    </row>
    <row r="1897" spans="1:1" ht="13.8" x14ac:dyDescent="0.25">
      <c r="A1897" s="8"/>
    </row>
    <row r="1898" spans="1:1" ht="13.8" x14ac:dyDescent="0.25">
      <c r="A1898" s="8"/>
    </row>
    <row r="1899" spans="1:1" ht="13.8" x14ac:dyDescent="0.25">
      <c r="A1899" s="8"/>
    </row>
    <row r="1900" spans="1:1" ht="13.8" x14ac:dyDescent="0.25">
      <c r="A1900" s="8"/>
    </row>
    <row r="1901" spans="1:1" ht="13.8" x14ac:dyDescent="0.25">
      <c r="A1901" s="8"/>
    </row>
    <row r="1902" spans="1:1" ht="13.8" x14ac:dyDescent="0.25">
      <c r="A1902" s="8"/>
    </row>
    <row r="1903" spans="1:1" ht="13.8" x14ac:dyDescent="0.25">
      <c r="A1903" s="8"/>
    </row>
    <row r="1904" spans="1:1" ht="13.8" x14ac:dyDescent="0.25">
      <c r="A1904" s="8"/>
    </row>
    <row r="1905" spans="1:1" ht="13.8" x14ac:dyDescent="0.25">
      <c r="A1905" s="8"/>
    </row>
    <row r="1906" spans="1:1" ht="13.8" x14ac:dyDescent="0.25">
      <c r="A1906" s="8"/>
    </row>
    <row r="1907" spans="1:1" ht="13.8" x14ac:dyDescent="0.25">
      <c r="A1907" s="8"/>
    </row>
    <row r="1908" spans="1:1" ht="13.8" x14ac:dyDescent="0.25">
      <c r="A1908" s="8"/>
    </row>
    <row r="1909" spans="1:1" ht="13.8" x14ac:dyDescent="0.25">
      <c r="A1909" s="8"/>
    </row>
    <row r="1910" spans="1:1" ht="13.8" x14ac:dyDescent="0.25">
      <c r="A1910" s="8"/>
    </row>
    <row r="1911" spans="1:1" ht="13.8" x14ac:dyDescent="0.25">
      <c r="A1911" s="8"/>
    </row>
    <row r="1912" spans="1:1" ht="13.8" x14ac:dyDescent="0.25">
      <c r="A1912" s="8"/>
    </row>
    <row r="1913" spans="1:1" ht="13.8" x14ac:dyDescent="0.25">
      <c r="A1913" s="8"/>
    </row>
    <row r="1914" spans="1:1" ht="13.8" x14ac:dyDescent="0.25">
      <c r="A1914" s="8"/>
    </row>
    <row r="1915" spans="1:1" ht="13.8" x14ac:dyDescent="0.25">
      <c r="A1915" s="8"/>
    </row>
    <row r="1916" spans="1:1" ht="13.8" x14ac:dyDescent="0.25">
      <c r="A1916" s="8"/>
    </row>
    <row r="1917" spans="1:1" ht="13.8" x14ac:dyDescent="0.25">
      <c r="A1917" s="8"/>
    </row>
    <row r="1918" spans="1:1" ht="13.8" x14ac:dyDescent="0.25">
      <c r="A1918" s="8"/>
    </row>
    <row r="1919" spans="1:1" ht="13.8" x14ac:dyDescent="0.25">
      <c r="A1919" s="8"/>
    </row>
    <row r="1920" spans="1:1" ht="13.8" x14ac:dyDescent="0.25">
      <c r="A1920" s="8"/>
    </row>
    <row r="1921" spans="1:1" ht="13.8" x14ac:dyDescent="0.25">
      <c r="A1921" s="8"/>
    </row>
    <row r="1922" spans="1:1" ht="13.8" x14ac:dyDescent="0.25">
      <c r="A1922" s="8"/>
    </row>
    <row r="1923" spans="1:1" ht="13.8" x14ac:dyDescent="0.25">
      <c r="A1923" s="8"/>
    </row>
    <row r="1924" spans="1:1" ht="13.8" x14ac:dyDescent="0.25">
      <c r="A1924" s="8"/>
    </row>
    <row r="1925" spans="1:1" ht="13.8" x14ac:dyDescent="0.25">
      <c r="A1925" s="8"/>
    </row>
    <row r="1926" spans="1:1" ht="13.8" x14ac:dyDescent="0.25">
      <c r="A1926" s="8"/>
    </row>
    <row r="1927" spans="1:1" ht="13.8" x14ac:dyDescent="0.25">
      <c r="A1927" s="8"/>
    </row>
    <row r="1928" spans="1:1" ht="13.8" x14ac:dyDescent="0.25">
      <c r="A1928" s="8"/>
    </row>
    <row r="1929" spans="1:1" ht="13.8" x14ac:dyDescent="0.25">
      <c r="A1929" s="8"/>
    </row>
    <row r="1930" spans="1:1" ht="13.8" x14ac:dyDescent="0.25">
      <c r="A1930" s="8"/>
    </row>
    <row r="1931" spans="1:1" ht="13.8" x14ac:dyDescent="0.25">
      <c r="A1931" s="8"/>
    </row>
    <row r="1932" spans="1:1" ht="13.8" x14ac:dyDescent="0.25">
      <c r="A1932" s="8"/>
    </row>
    <row r="1933" spans="1:1" ht="13.8" x14ac:dyDescent="0.25">
      <c r="A1933" s="8"/>
    </row>
    <row r="1934" spans="1:1" ht="13.8" x14ac:dyDescent="0.25">
      <c r="A1934" s="8"/>
    </row>
    <row r="1935" spans="1:1" ht="13.8" x14ac:dyDescent="0.25">
      <c r="A1935" s="8"/>
    </row>
    <row r="1936" spans="1:1" ht="13.8" x14ac:dyDescent="0.25">
      <c r="A1936" s="8"/>
    </row>
    <row r="1937" spans="1:1" ht="13.8" x14ac:dyDescent="0.25">
      <c r="A1937" s="8"/>
    </row>
    <row r="1938" spans="1:1" ht="13.8" x14ac:dyDescent="0.25">
      <c r="A1938" s="8"/>
    </row>
    <row r="1939" spans="1:1" ht="13.8" x14ac:dyDescent="0.25">
      <c r="A1939" s="8"/>
    </row>
    <row r="1940" spans="1:1" ht="13.8" x14ac:dyDescent="0.25">
      <c r="A1940" s="8"/>
    </row>
    <row r="1941" spans="1:1" ht="13.8" x14ac:dyDescent="0.25">
      <c r="A1941" s="8"/>
    </row>
    <row r="1942" spans="1:1" ht="13.8" x14ac:dyDescent="0.25">
      <c r="A1942" s="8"/>
    </row>
    <row r="1943" spans="1:1" ht="13.8" x14ac:dyDescent="0.25">
      <c r="A1943" s="8"/>
    </row>
    <row r="1944" spans="1:1" ht="13.8" x14ac:dyDescent="0.25">
      <c r="A1944" s="8"/>
    </row>
    <row r="1945" spans="1:1" ht="13.8" x14ac:dyDescent="0.25">
      <c r="A1945" s="8"/>
    </row>
    <row r="1946" spans="1:1" ht="13.8" x14ac:dyDescent="0.25">
      <c r="A1946" s="8"/>
    </row>
    <row r="1947" spans="1:1" ht="13.8" x14ac:dyDescent="0.25">
      <c r="A1947" s="8"/>
    </row>
    <row r="1948" spans="1:1" ht="13.8" x14ac:dyDescent="0.25">
      <c r="A1948" s="8"/>
    </row>
    <row r="1949" spans="1:1" ht="13.8" x14ac:dyDescent="0.25">
      <c r="A1949" s="8"/>
    </row>
    <row r="1950" spans="1:1" ht="13.8" x14ac:dyDescent="0.25">
      <c r="A1950" s="8"/>
    </row>
    <row r="1951" spans="1:1" ht="13.8" x14ac:dyDescent="0.25">
      <c r="A1951" s="8"/>
    </row>
    <row r="1952" spans="1:1" ht="13.8" x14ac:dyDescent="0.25">
      <c r="A1952" s="8"/>
    </row>
    <row r="1953" spans="1:1" ht="13.8" x14ac:dyDescent="0.25">
      <c r="A1953" s="8"/>
    </row>
    <row r="1954" spans="1:1" ht="13.8" x14ac:dyDescent="0.25">
      <c r="A1954" s="8"/>
    </row>
    <row r="1955" spans="1:1" ht="13.8" x14ac:dyDescent="0.25">
      <c r="A1955" s="8"/>
    </row>
    <row r="1956" spans="1:1" ht="13.8" x14ac:dyDescent="0.25">
      <c r="A1956" s="8"/>
    </row>
    <row r="1957" spans="1:1" ht="13.8" x14ac:dyDescent="0.25">
      <c r="A1957" s="8"/>
    </row>
    <row r="1958" spans="1:1" ht="13.8" x14ac:dyDescent="0.25">
      <c r="A1958" s="8"/>
    </row>
    <row r="1959" spans="1:1" ht="13.8" x14ac:dyDescent="0.25">
      <c r="A1959" s="8"/>
    </row>
    <row r="1960" spans="1:1" ht="13.8" x14ac:dyDescent="0.25">
      <c r="A1960" s="8"/>
    </row>
    <row r="1961" spans="1:1" ht="13.8" x14ac:dyDescent="0.25">
      <c r="A1961" s="8"/>
    </row>
    <row r="1962" spans="1:1" ht="13.8" x14ac:dyDescent="0.25">
      <c r="A1962" s="8"/>
    </row>
    <row r="1963" spans="1:1" ht="13.8" x14ac:dyDescent="0.25">
      <c r="A1963" s="8"/>
    </row>
    <row r="1964" spans="1:1" ht="13.8" x14ac:dyDescent="0.25">
      <c r="A1964" s="8"/>
    </row>
    <row r="1965" spans="1:1" ht="13.8" x14ac:dyDescent="0.25">
      <c r="A1965" s="8"/>
    </row>
    <row r="1966" spans="1:1" ht="13.8" x14ac:dyDescent="0.25">
      <c r="A1966" s="8"/>
    </row>
    <row r="1967" spans="1:1" ht="13.8" x14ac:dyDescent="0.25">
      <c r="A1967" s="8"/>
    </row>
    <row r="1968" spans="1:1" ht="13.8" x14ac:dyDescent="0.25">
      <c r="A1968" s="8"/>
    </row>
    <row r="1969" spans="1:1" ht="13.8" x14ac:dyDescent="0.25">
      <c r="A1969" s="8"/>
    </row>
    <row r="1970" spans="1:1" ht="13.8" x14ac:dyDescent="0.25">
      <c r="A1970" s="8"/>
    </row>
    <row r="1971" spans="1:1" ht="13.8" x14ac:dyDescent="0.25">
      <c r="A1971" s="8"/>
    </row>
    <row r="1972" spans="1:1" ht="13.8" x14ac:dyDescent="0.25">
      <c r="A1972" s="8"/>
    </row>
    <row r="1973" spans="1:1" ht="13.8" x14ac:dyDescent="0.25">
      <c r="A1973" s="8"/>
    </row>
    <row r="1974" spans="1:1" ht="13.8" x14ac:dyDescent="0.25">
      <c r="A1974" s="8"/>
    </row>
    <row r="1975" spans="1:1" ht="13.8" x14ac:dyDescent="0.25">
      <c r="A1975" s="8"/>
    </row>
    <row r="1976" spans="1:1" ht="13.8" x14ac:dyDescent="0.25">
      <c r="A1976" s="8"/>
    </row>
    <row r="1977" spans="1:1" ht="13.8" x14ac:dyDescent="0.25">
      <c r="A1977" s="8"/>
    </row>
    <row r="1978" spans="1:1" ht="13.8" x14ac:dyDescent="0.25">
      <c r="A1978" s="8"/>
    </row>
    <row r="1979" spans="1:1" ht="13.8" x14ac:dyDescent="0.25">
      <c r="A1979" s="8"/>
    </row>
    <row r="1980" spans="1:1" ht="13.8" x14ac:dyDescent="0.25">
      <c r="A1980" s="8"/>
    </row>
    <row r="1981" spans="1:1" ht="13.8" x14ac:dyDescent="0.25">
      <c r="A1981" s="8"/>
    </row>
    <row r="1982" spans="1:1" ht="13.8" x14ac:dyDescent="0.25">
      <c r="A1982" s="8"/>
    </row>
    <row r="1983" spans="1:1" ht="13.8" x14ac:dyDescent="0.25">
      <c r="A1983" s="8"/>
    </row>
    <row r="1984" spans="1:1" ht="13.8" x14ac:dyDescent="0.25">
      <c r="A1984" s="8"/>
    </row>
    <row r="1985" spans="1:1" ht="13.8" x14ac:dyDescent="0.25">
      <c r="A1985" s="8"/>
    </row>
    <row r="1986" spans="1:1" ht="13.8" x14ac:dyDescent="0.25">
      <c r="A1986" s="8"/>
    </row>
    <row r="1987" spans="1:1" ht="13.8" x14ac:dyDescent="0.25">
      <c r="A1987" s="8"/>
    </row>
    <row r="1988" spans="1:1" ht="13.8" x14ac:dyDescent="0.25">
      <c r="A1988" s="8"/>
    </row>
    <row r="1989" spans="1:1" ht="13.8" x14ac:dyDescent="0.25">
      <c r="A1989" s="8"/>
    </row>
    <row r="1990" spans="1:1" ht="13.8" x14ac:dyDescent="0.25">
      <c r="A1990" s="8"/>
    </row>
    <row r="1991" spans="1:1" ht="13.8" x14ac:dyDescent="0.25">
      <c r="A1991" s="8"/>
    </row>
    <row r="1992" spans="1:1" ht="13.8" x14ac:dyDescent="0.25">
      <c r="A1992" s="8"/>
    </row>
    <row r="1993" spans="1:1" ht="13.8" x14ac:dyDescent="0.25">
      <c r="A1993" s="8"/>
    </row>
    <row r="1994" spans="1:1" ht="13.8" x14ac:dyDescent="0.25">
      <c r="A1994" s="8"/>
    </row>
    <row r="1995" spans="1:1" ht="13.8" x14ac:dyDescent="0.25">
      <c r="A1995" s="8"/>
    </row>
    <row r="1996" spans="1:1" ht="13.8" x14ac:dyDescent="0.25">
      <c r="A1996" s="8"/>
    </row>
    <row r="1997" spans="1:1" ht="13.8" x14ac:dyDescent="0.25">
      <c r="A1997" s="8"/>
    </row>
    <row r="1998" spans="1:1" ht="13.8" x14ac:dyDescent="0.25">
      <c r="A1998" s="8"/>
    </row>
    <row r="1999" spans="1:1" ht="13.8" x14ac:dyDescent="0.25">
      <c r="A1999" s="8"/>
    </row>
    <row r="2000" spans="1:1" ht="13.8" x14ac:dyDescent="0.25">
      <c r="A2000" s="8"/>
    </row>
    <row r="2001" spans="1:1" ht="13.8" x14ac:dyDescent="0.25">
      <c r="A2001" s="8"/>
    </row>
    <row r="2002" spans="1:1" ht="13.8" x14ac:dyDescent="0.25">
      <c r="A2002" s="8"/>
    </row>
    <row r="2003" spans="1:1" ht="13.8" x14ac:dyDescent="0.25">
      <c r="A2003" s="8"/>
    </row>
    <row r="2004" spans="1:1" ht="13.8" x14ac:dyDescent="0.25">
      <c r="A2004" s="8"/>
    </row>
    <row r="2005" spans="1:1" ht="13.8" x14ac:dyDescent="0.25">
      <c r="A2005" s="8"/>
    </row>
    <row r="2006" spans="1:1" ht="13.8" x14ac:dyDescent="0.25">
      <c r="A2006" s="8"/>
    </row>
    <row r="2007" spans="1:1" ht="13.8" x14ac:dyDescent="0.25">
      <c r="A2007" s="8"/>
    </row>
    <row r="2008" spans="1:1" ht="13.8" x14ac:dyDescent="0.25">
      <c r="A2008" s="8"/>
    </row>
    <row r="2009" spans="1:1" ht="13.8" x14ac:dyDescent="0.25">
      <c r="A2009" s="8"/>
    </row>
    <row r="2010" spans="1:1" ht="13.8" x14ac:dyDescent="0.25">
      <c r="A2010" s="8"/>
    </row>
    <row r="2011" spans="1:1" ht="13.8" x14ac:dyDescent="0.25">
      <c r="A2011" s="8"/>
    </row>
    <row r="2012" spans="1:1" ht="13.8" x14ac:dyDescent="0.25">
      <c r="A2012" s="8"/>
    </row>
    <row r="2013" spans="1:1" ht="13.8" x14ac:dyDescent="0.25">
      <c r="A2013" s="8"/>
    </row>
    <row r="2014" spans="1:1" ht="13.8" x14ac:dyDescent="0.25">
      <c r="A2014" s="8"/>
    </row>
    <row r="2015" spans="1:1" ht="13.8" x14ac:dyDescent="0.25">
      <c r="A2015" s="8"/>
    </row>
    <row r="2016" spans="1:1" ht="13.8" x14ac:dyDescent="0.25">
      <c r="A2016" s="8"/>
    </row>
    <row r="2017" spans="1:1" ht="13.8" x14ac:dyDescent="0.25">
      <c r="A2017" s="8"/>
    </row>
    <row r="2018" spans="1:1" ht="13.8" x14ac:dyDescent="0.25">
      <c r="A2018" s="8"/>
    </row>
    <row r="2019" spans="1:1" ht="13.8" x14ac:dyDescent="0.25">
      <c r="A2019" s="8"/>
    </row>
    <row r="2020" spans="1:1" ht="13.8" x14ac:dyDescent="0.25">
      <c r="A2020" s="8"/>
    </row>
    <row r="2021" spans="1:1" ht="13.8" x14ac:dyDescent="0.25">
      <c r="A2021" s="8"/>
    </row>
    <row r="2022" spans="1:1" ht="13.8" x14ac:dyDescent="0.25">
      <c r="A2022" s="8"/>
    </row>
    <row r="2023" spans="1:1" ht="13.8" x14ac:dyDescent="0.25">
      <c r="A2023" s="8"/>
    </row>
    <row r="2024" spans="1:1" ht="13.8" x14ac:dyDescent="0.25">
      <c r="A2024" s="8"/>
    </row>
    <row r="2025" spans="1:1" ht="13.8" x14ac:dyDescent="0.25">
      <c r="A2025" s="8"/>
    </row>
    <row r="2026" spans="1:1" ht="13.8" x14ac:dyDescent="0.25">
      <c r="A2026" s="8"/>
    </row>
    <row r="2027" spans="1:1" ht="13.8" x14ac:dyDescent="0.25">
      <c r="A2027" s="8"/>
    </row>
    <row r="2028" spans="1:1" ht="13.8" x14ac:dyDescent="0.25">
      <c r="A2028" s="8"/>
    </row>
    <row r="2029" spans="1:1" ht="13.8" x14ac:dyDescent="0.25">
      <c r="A2029" s="8"/>
    </row>
    <row r="2030" spans="1:1" ht="13.8" x14ac:dyDescent="0.25">
      <c r="A2030" s="8"/>
    </row>
    <row r="2031" spans="1:1" ht="13.8" x14ac:dyDescent="0.25">
      <c r="A2031" s="8"/>
    </row>
    <row r="2032" spans="1:1" ht="13.8" x14ac:dyDescent="0.25">
      <c r="A2032" s="8"/>
    </row>
    <row r="2033" spans="1:1" ht="13.8" x14ac:dyDescent="0.25">
      <c r="A2033" s="8"/>
    </row>
    <row r="2034" spans="1:1" ht="13.8" x14ac:dyDescent="0.25">
      <c r="A2034" s="8"/>
    </row>
    <row r="2035" spans="1:1" ht="13.8" x14ac:dyDescent="0.25">
      <c r="A2035" s="8"/>
    </row>
    <row r="2036" spans="1:1" ht="13.8" x14ac:dyDescent="0.25">
      <c r="A2036" s="8"/>
    </row>
    <row r="2037" spans="1:1" ht="13.8" x14ac:dyDescent="0.25">
      <c r="A2037" s="8"/>
    </row>
    <row r="2038" spans="1:1" ht="13.8" x14ac:dyDescent="0.25">
      <c r="A2038" s="8"/>
    </row>
    <row r="2039" spans="1:1" ht="13.8" x14ac:dyDescent="0.25">
      <c r="A2039" s="8"/>
    </row>
    <row r="2040" spans="1:1" ht="13.8" x14ac:dyDescent="0.25">
      <c r="A2040" s="8"/>
    </row>
    <row r="2041" spans="1:1" ht="13.8" x14ac:dyDescent="0.25">
      <c r="A2041" s="8"/>
    </row>
    <row r="2042" spans="1:1" ht="13.8" x14ac:dyDescent="0.25">
      <c r="A2042" s="8"/>
    </row>
    <row r="2043" spans="1:1" ht="13.8" x14ac:dyDescent="0.25">
      <c r="A2043" s="8"/>
    </row>
    <row r="2044" spans="1:1" ht="13.8" x14ac:dyDescent="0.25">
      <c r="A2044" s="8"/>
    </row>
    <row r="2045" spans="1:1" ht="13.8" x14ac:dyDescent="0.25">
      <c r="A2045" s="8"/>
    </row>
    <row r="2046" spans="1:1" ht="13.8" x14ac:dyDescent="0.25">
      <c r="A2046" s="8"/>
    </row>
    <row r="2047" spans="1:1" ht="13.8" x14ac:dyDescent="0.25">
      <c r="A2047" s="8"/>
    </row>
    <row r="2048" spans="1:1" ht="13.8" x14ac:dyDescent="0.25">
      <c r="A2048" s="8"/>
    </row>
    <row r="2049" spans="1:1" ht="13.8" x14ac:dyDescent="0.25">
      <c r="A2049" s="8"/>
    </row>
    <row r="2050" spans="1:1" ht="13.8" x14ac:dyDescent="0.25">
      <c r="A2050" s="8"/>
    </row>
    <row r="2051" spans="1:1" ht="13.8" x14ac:dyDescent="0.25">
      <c r="A2051" s="8"/>
    </row>
    <row r="2052" spans="1:1" ht="13.8" x14ac:dyDescent="0.25">
      <c r="A2052" s="8"/>
    </row>
    <row r="2053" spans="1:1" ht="13.8" x14ac:dyDescent="0.25">
      <c r="A2053" s="8"/>
    </row>
    <row r="2054" spans="1:1" ht="13.8" x14ac:dyDescent="0.25">
      <c r="A2054" s="8"/>
    </row>
    <row r="2055" spans="1:1" ht="13.8" x14ac:dyDescent="0.25">
      <c r="A2055" s="8"/>
    </row>
    <row r="2056" spans="1:1" ht="13.8" x14ac:dyDescent="0.25">
      <c r="A2056" s="8"/>
    </row>
    <row r="2057" spans="1:1" ht="13.8" x14ac:dyDescent="0.25">
      <c r="A2057" s="8"/>
    </row>
    <row r="2058" spans="1:1" ht="13.8" x14ac:dyDescent="0.25">
      <c r="A2058" s="8"/>
    </row>
    <row r="2059" spans="1:1" ht="13.8" x14ac:dyDescent="0.25">
      <c r="A2059" s="8"/>
    </row>
    <row r="2060" spans="1:1" ht="13.8" x14ac:dyDescent="0.25">
      <c r="A2060" s="8"/>
    </row>
    <row r="2061" spans="1:1" ht="13.8" x14ac:dyDescent="0.25">
      <c r="A2061" s="8"/>
    </row>
    <row r="2062" spans="1:1" ht="13.8" x14ac:dyDescent="0.25">
      <c r="A2062" s="8"/>
    </row>
    <row r="2063" spans="1:1" ht="13.8" x14ac:dyDescent="0.25">
      <c r="A2063" s="8"/>
    </row>
    <row r="2064" spans="1:1" ht="13.8" x14ac:dyDescent="0.25">
      <c r="A2064" s="8"/>
    </row>
    <row r="2065" spans="1:1" ht="13.8" x14ac:dyDescent="0.25">
      <c r="A2065" s="8"/>
    </row>
    <row r="2066" spans="1:1" ht="13.8" x14ac:dyDescent="0.25">
      <c r="A2066" s="8"/>
    </row>
    <row r="2067" spans="1:1" ht="13.8" x14ac:dyDescent="0.25">
      <c r="A2067" s="8"/>
    </row>
    <row r="2068" spans="1:1" ht="13.8" x14ac:dyDescent="0.25">
      <c r="A2068" s="8"/>
    </row>
    <row r="2069" spans="1:1" ht="13.8" x14ac:dyDescent="0.25">
      <c r="A2069" s="8"/>
    </row>
    <row r="2070" spans="1:1" ht="13.8" x14ac:dyDescent="0.25">
      <c r="A2070" s="8"/>
    </row>
    <row r="2071" spans="1:1" ht="13.8" x14ac:dyDescent="0.25">
      <c r="A2071" s="8"/>
    </row>
    <row r="2072" spans="1:1" ht="13.8" x14ac:dyDescent="0.25">
      <c r="A2072" s="8"/>
    </row>
    <row r="2073" spans="1:1" ht="13.8" x14ac:dyDescent="0.25">
      <c r="A2073" s="8"/>
    </row>
    <row r="2074" spans="1:1" ht="13.8" x14ac:dyDescent="0.25">
      <c r="A2074" s="8"/>
    </row>
    <row r="2075" spans="1:1" ht="13.8" x14ac:dyDescent="0.25">
      <c r="A2075" s="8"/>
    </row>
    <row r="2076" spans="1:1" ht="13.8" x14ac:dyDescent="0.25">
      <c r="A2076" s="8"/>
    </row>
    <row r="2077" spans="1:1" ht="13.8" x14ac:dyDescent="0.25">
      <c r="A2077" s="8"/>
    </row>
    <row r="2078" spans="1:1" ht="13.8" x14ac:dyDescent="0.25">
      <c r="A2078" s="8"/>
    </row>
    <row r="2079" spans="1:1" ht="13.8" x14ac:dyDescent="0.25">
      <c r="A2079" s="8"/>
    </row>
    <row r="2080" spans="1:1" ht="13.8" x14ac:dyDescent="0.25">
      <c r="A2080" s="8"/>
    </row>
    <row r="2081" spans="1:1" ht="13.8" x14ac:dyDescent="0.25">
      <c r="A2081" s="8"/>
    </row>
    <row r="2082" spans="1:1" ht="13.8" x14ac:dyDescent="0.25">
      <c r="A2082" s="8"/>
    </row>
    <row r="2083" spans="1:1" ht="13.8" x14ac:dyDescent="0.25">
      <c r="A2083" s="8"/>
    </row>
    <row r="2084" spans="1:1" ht="13.8" x14ac:dyDescent="0.25">
      <c r="A2084" s="8"/>
    </row>
    <row r="2085" spans="1:1" ht="13.8" x14ac:dyDescent="0.25">
      <c r="A2085" s="8"/>
    </row>
    <row r="2086" spans="1:1" ht="13.8" x14ac:dyDescent="0.25">
      <c r="A2086" s="8"/>
    </row>
    <row r="2087" spans="1:1" ht="13.8" x14ac:dyDescent="0.25">
      <c r="A2087" s="8"/>
    </row>
    <row r="2088" spans="1:1" ht="13.8" x14ac:dyDescent="0.25">
      <c r="A2088" s="8"/>
    </row>
    <row r="2089" spans="1:1" ht="13.8" x14ac:dyDescent="0.25">
      <c r="A2089" s="8"/>
    </row>
    <row r="2090" spans="1:1" ht="13.8" x14ac:dyDescent="0.25">
      <c r="A2090" s="8"/>
    </row>
    <row r="2091" spans="1:1" ht="13.8" x14ac:dyDescent="0.25">
      <c r="A2091" s="8"/>
    </row>
    <row r="2092" spans="1:1" ht="13.8" x14ac:dyDescent="0.25">
      <c r="A2092" s="8"/>
    </row>
    <row r="2093" spans="1:1" ht="13.8" x14ac:dyDescent="0.25">
      <c r="A2093" s="8"/>
    </row>
    <row r="2094" spans="1:1" ht="13.8" x14ac:dyDescent="0.25">
      <c r="A2094" s="8"/>
    </row>
    <row r="2095" spans="1:1" ht="13.8" x14ac:dyDescent="0.25">
      <c r="A2095" s="8"/>
    </row>
    <row r="2096" spans="1:1" ht="13.8" x14ac:dyDescent="0.25">
      <c r="A2096" s="8"/>
    </row>
    <row r="2097" spans="1:1" ht="13.8" x14ac:dyDescent="0.25">
      <c r="A2097" s="8"/>
    </row>
    <row r="2098" spans="1:1" ht="13.8" x14ac:dyDescent="0.25">
      <c r="A2098" s="8"/>
    </row>
    <row r="2099" spans="1:1" ht="13.8" x14ac:dyDescent="0.25">
      <c r="A2099" s="8"/>
    </row>
    <row r="2100" spans="1:1" ht="13.8" x14ac:dyDescent="0.25">
      <c r="A2100" s="8"/>
    </row>
    <row r="2101" spans="1:1" ht="13.8" x14ac:dyDescent="0.25">
      <c r="A2101" s="8"/>
    </row>
    <row r="2102" spans="1:1" ht="13.8" x14ac:dyDescent="0.25">
      <c r="A2102" s="8"/>
    </row>
    <row r="2103" spans="1:1" ht="13.8" x14ac:dyDescent="0.25">
      <c r="A2103" s="8"/>
    </row>
    <row r="2104" spans="1:1" ht="13.8" x14ac:dyDescent="0.25">
      <c r="A2104" s="8"/>
    </row>
    <row r="2105" spans="1:1" ht="13.8" x14ac:dyDescent="0.25">
      <c r="A2105" s="8"/>
    </row>
    <row r="2106" spans="1:1" ht="13.8" x14ac:dyDescent="0.25">
      <c r="A2106" s="8"/>
    </row>
    <row r="2107" spans="1:1" ht="13.8" x14ac:dyDescent="0.25">
      <c r="A2107" s="8"/>
    </row>
    <row r="2108" spans="1:1" ht="13.8" x14ac:dyDescent="0.25">
      <c r="A2108" s="8"/>
    </row>
    <row r="2109" spans="1:1" ht="13.8" x14ac:dyDescent="0.25">
      <c r="A2109" s="8"/>
    </row>
    <row r="2110" spans="1:1" ht="13.8" x14ac:dyDescent="0.25">
      <c r="A2110" s="8"/>
    </row>
    <row r="2111" spans="1:1" ht="13.8" x14ac:dyDescent="0.25">
      <c r="A2111" s="8"/>
    </row>
    <row r="2112" spans="1:1" ht="13.8" x14ac:dyDescent="0.25">
      <c r="A2112" s="8"/>
    </row>
    <row r="2113" spans="1:1" ht="13.8" x14ac:dyDescent="0.25">
      <c r="A2113" s="8"/>
    </row>
    <row r="2114" spans="1:1" ht="13.8" x14ac:dyDescent="0.25">
      <c r="A2114" s="8"/>
    </row>
    <row r="2115" spans="1:1" ht="13.8" x14ac:dyDescent="0.25">
      <c r="A2115" s="8"/>
    </row>
    <row r="2116" spans="1:1" ht="13.8" x14ac:dyDescent="0.25">
      <c r="A2116" s="8"/>
    </row>
    <row r="2117" spans="1:1" ht="13.8" x14ac:dyDescent="0.25">
      <c r="A2117" s="8"/>
    </row>
    <row r="2118" spans="1:1" ht="13.8" x14ac:dyDescent="0.25">
      <c r="A2118" s="8"/>
    </row>
    <row r="2119" spans="1:1" ht="13.8" x14ac:dyDescent="0.25">
      <c r="A2119" s="8"/>
    </row>
    <row r="2120" spans="1:1" ht="13.8" x14ac:dyDescent="0.25">
      <c r="A2120" s="8"/>
    </row>
    <row r="2121" spans="1:1" ht="13.8" x14ac:dyDescent="0.25">
      <c r="A2121" s="8"/>
    </row>
    <row r="2122" spans="1:1" ht="13.8" x14ac:dyDescent="0.25">
      <c r="A2122" s="8"/>
    </row>
    <row r="2123" spans="1:1" ht="13.8" x14ac:dyDescent="0.25">
      <c r="A2123" s="8"/>
    </row>
    <row r="2124" spans="1:1" ht="13.8" x14ac:dyDescent="0.25">
      <c r="A2124" s="8"/>
    </row>
    <row r="2125" spans="1:1" ht="13.8" x14ac:dyDescent="0.25">
      <c r="A2125" s="8"/>
    </row>
    <row r="2126" spans="1:1" ht="13.8" x14ac:dyDescent="0.25">
      <c r="A2126" s="8"/>
    </row>
    <row r="2127" spans="1:1" ht="13.8" x14ac:dyDescent="0.25">
      <c r="A2127" s="8"/>
    </row>
    <row r="2128" spans="1:1" ht="13.8" x14ac:dyDescent="0.25">
      <c r="A2128" s="8"/>
    </row>
    <row r="2129" spans="1:1" ht="13.8" x14ac:dyDescent="0.25">
      <c r="A2129" s="8"/>
    </row>
    <row r="2130" spans="1:1" ht="13.8" x14ac:dyDescent="0.25">
      <c r="A2130" s="8"/>
    </row>
    <row r="2131" spans="1:1" ht="13.8" x14ac:dyDescent="0.25">
      <c r="A2131" s="8"/>
    </row>
    <row r="2132" spans="1:1" ht="13.8" x14ac:dyDescent="0.25">
      <c r="A2132" s="8"/>
    </row>
    <row r="2133" spans="1:1" ht="13.8" x14ac:dyDescent="0.25">
      <c r="A2133" s="8"/>
    </row>
    <row r="2134" spans="1:1" ht="13.8" x14ac:dyDescent="0.25">
      <c r="A2134" s="8"/>
    </row>
    <row r="2135" spans="1:1" ht="13.8" x14ac:dyDescent="0.25">
      <c r="A2135" s="8"/>
    </row>
    <row r="2136" spans="1:1" ht="13.8" x14ac:dyDescent="0.25">
      <c r="A2136" s="8"/>
    </row>
    <row r="2137" spans="1:1" ht="13.8" x14ac:dyDescent="0.25">
      <c r="A2137" s="8"/>
    </row>
    <row r="2138" spans="1:1" ht="13.8" x14ac:dyDescent="0.25">
      <c r="A2138" s="8"/>
    </row>
    <row r="2139" spans="1:1" ht="13.8" x14ac:dyDescent="0.25">
      <c r="A2139" s="8"/>
    </row>
    <row r="2140" spans="1:1" ht="13.8" x14ac:dyDescent="0.25">
      <c r="A2140" s="8"/>
    </row>
    <row r="2141" spans="1:1" ht="13.8" x14ac:dyDescent="0.25">
      <c r="A2141" s="8"/>
    </row>
    <row r="2142" spans="1:1" ht="13.8" x14ac:dyDescent="0.25">
      <c r="A2142" s="8"/>
    </row>
    <row r="2143" spans="1:1" ht="13.8" x14ac:dyDescent="0.25">
      <c r="A2143" s="8"/>
    </row>
    <row r="2144" spans="1:1" ht="13.8" x14ac:dyDescent="0.25">
      <c r="A2144" s="8"/>
    </row>
    <row r="2145" spans="1:1" ht="13.8" x14ac:dyDescent="0.25">
      <c r="A2145" s="8"/>
    </row>
    <row r="2146" spans="1:1" ht="13.8" x14ac:dyDescent="0.25">
      <c r="A2146" s="8"/>
    </row>
    <row r="2147" spans="1:1" ht="13.8" x14ac:dyDescent="0.25">
      <c r="A2147" s="8"/>
    </row>
    <row r="2148" spans="1:1" ht="13.8" x14ac:dyDescent="0.25">
      <c r="A2148" s="8"/>
    </row>
    <row r="2149" spans="1:1" ht="13.8" x14ac:dyDescent="0.25">
      <c r="A2149" s="8"/>
    </row>
    <row r="2150" spans="1:1" ht="13.8" x14ac:dyDescent="0.25">
      <c r="A2150" s="8"/>
    </row>
    <row r="2151" spans="1:1" ht="13.8" x14ac:dyDescent="0.25">
      <c r="A2151" s="8"/>
    </row>
    <row r="2152" spans="1:1" ht="13.8" x14ac:dyDescent="0.25">
      <c r="A2152" s="8"/>
    </row>
    <row r="2153" spans="1:1" ht="13.8" x14ac:dyDescent="0.25">
      <c r="A2153" s="8"/>
    </row>
    <row r="2154" spans="1:1" ht="13.8" x14ac:dyDescent="0.25">
      <c r="A2154" s="8"/>
    </row>
    <row r="2155" spans="1:1" ht="13.8" x14ac:dyDescent="0.25">
      <c r="A2155" s="8"/>
    </row>
    <row r="2156" spans="1:1" ht="13.8" x14ac:dyDescent="0.25">
      <c r="A2156" s="8"/>
    </row>
    <row r="2157" spans="1:1" ht="13.8" x14ac:dyDescent="0.25">
      <c r="A2157" s="8"/>
    </row>
    <row r="2158" spans="1:1" ht="13.8" x14ac:dyDescent="0.25">
      <c r="A2158" s="8"/>
    </row>
    <row r="2159" spans="1:1" ht="13.8" x14ac:dyDescent="0.25">
      <c r="A2159" s="8"/>
    </row>
    <row r="2160" spans="1:1" ht="13.8" x14ac:dyDescent="0.25">
      <c r="A2160" s="8"/>
    </row>
    <row r="2161" spans="1:1" ht="13.8" x14ac:dyDescent="0.25">
      <c r="A2161" s="8"/>
    </row>
    <row r="2162" spans="1:1" ht="13.8" x14ac:dyDescent="0.25">
      <c r="A2162" s="8"/>
    </row>
    <row r="2163" spans="1:1" ht="13.8" x14ac:dyDescent="0.25">
      <c r="A2163" s="8"/>
    </row>
    <row r="2164" spans="1:1" ht="13.8" x14ac:dyDescent="0.25">
      <c r="A2164" s="8"/>
    </row>
    <row r="2165" spans="1:1" ht="13.8" x14ac:dyDescent="0.25">
      <c r="A2165" s="8"/>
    </row>
    <row r="2166" spans="1:1" ht="13.8" x14ac:dyDescent="0.25">
      <c r="A2166" s="8"/>
    </row>
    <row r="2167" spans="1:1" ht="13.8" x14ac:dyDescent="0.25">
      <c r="A2167" s="8"/>
    </row>
    <row r="2168" spans="1:1" ht="13.8" x14ac:dyDescent="0.25">
      <c r="A2168" s="8"/>
    </row>
    <row r="2169" spans="1:1" ht="13.8" x14ac:dyDescent="0.25">
      <c r="A2169" s="8"/>
    </row>
    <row r="2170" spans="1:1" ht="13.8" x14ac:dyDescent="0.25">
      <c r="A2170" s="8"/>
    </row>
    <row r="2171" spans="1:1" ht="13.8" x14ac:dyDescent="0.25">
      <c r="A2171" s="8"/>
    </row>
    <row r="2172" spans="1:1" ht="13.8" x14ac:dyDescent="0.25">
      <c r="A2172" s="8"/>
    </row>
    <row r="2173" spans="1:1" ht="13.8" x14ac:dyDescent="0.25">
      <c r="A2173" s="8"/>
    </row>
    <row r="2174" spans="1:1" ht="13.8" x14ac:dyDescent="0.25">
      <c r="A2174" s="8"/>
    </row>
    <row r="2175" spans="1:1" ht="13.8" x14ac:dyDescent="0.25">
      <c r="A2175" s="8"/>
    </row>
    <row r="2176" spans="1:1" ht="13.8" x14ac:dyDescent="0.25">
      <c r="A2176" s="8"/>
    </row>
    <row r="2177" spans="1:1" ht="13.8" x14ac:dyDescent="0.25">
      <c r="A2177" s="8"/>
    </row>
    <row r="2178" spans="1:1" ht="13.8" x14ac:dyDescent="0.25">
      <c r="A2178" s="8"/>
    </row>
    <row r="2179" spans="1:1" ht="13.8" x14ac:dyDescent="0.25">
      <c r="A2179" s="8"/>
    </row>
    <row r="2180" spans="1:1" ht="13.8" x14ac:dyDescent="0.25">
      <c r="A2180" s="8"/>
    </row>
    <row r="2181" spans="1:1" ht="13.8" x14ac:dyDescent="0.25">
      <c r="A2181" s="8"/>
    </row>
    <row r="2182" spans="1:1" ht="13.8" x14ac:dyDescent="0.25">
      <c r="A2182" s="8"/>
    </row>
    <row r="2183" spans="1:1" ht="13.8" x14ac:dyDescent="0.25">
      <c r="A2183" s="8"/>
    </row>
    <row r="2184" spans="1:1" ht="13.8" x14ac:dyDescent="0.25">
      <c r="A2184" s="8"/>
    </row>
    <row r="2185" spans="1:1" ht="13.8" x14ac:dyDescent="0.25">
      <c r="A2185" s="8"/>
    </row>
    <row r="2186" spans="1:1" ht="13.8" x14ac:dyDescent="0.25">
      <c r="A2186" s="8"/>
    </row>
    <row r="2187" spans="1:1" ht="13.8" x14ac:dyDescent="0.25">
      <c r="A2187" s="8"/>
    </row>
    <row r="2188" spans="1:1" ht="13.8" x14ac:dyDescent="0.25">
      <c r="A2188" s="8"/>
    </row>
    <row r="2189" spans="1:1" ht="13.8" x14ac:dyDescent="0.25">
      <c r="A2189" s="8"/>
    </row>
    <row r="2190" spans="1:1" ht="13.8" x14ac:dyDescent="0.25">
      <c r="A2190" s="8"/>
    </row>
    <row r="2191" spans="1:1" ht="13.8" x14ac:dyDescent="0.25">
      <c r="A2191" s="8"/>
    </row>
    <row r="2192" spans="1:1" ht="13.8" x14ac:dyDescent="0.25">
      <c r="A2192" s="8"/>
    </row>
    <row r="2193" spans="1:1" ht="13.8" x14ac:dyDescent="0.25">
      <c r="A2193" s="8"/>
    </row>
    <row r="2194" spans="1:1" ht="13.8" x14ac:dyDescent="0.25">
      <c r="A2194" s="8"/>
    </row>
    <row r="2195" spans="1:1" ht="13.8" x14ac:dyDescent="0.25">
      <c r="A2195" s="8"/>
    </row>
    <row r="2196" spans="1:1" ht="13.8" x14ac:dyDescent="0.25">
      <c r="A2196" s="8"/>
    </row>
    <row r="2197" spans="1:1" ht="13.8" x14ac:dyDescent="0.25">
      <c r="A2197" s="8"/>
    </row>
    <row r="2198" spans="1:1" ht="13.8" x14ac:dyDescent="0.25">
      <c r="A2198" s="8"/>
    </row>
    <row r="2199" spans="1:1" ht="13.8" x14ac:dyDescent="0.25">
      <c r="A2199" s="8"/>
    </row>
    <row r="2200" spans="1:1" ht="13.8" x14ac:dyDescent="0.25">
      <c r="A2200" s="8"/>
    </row>
    <row r="2201" spans="1:1" ht="13.8" x14ac:dyDescent="0.25">
      <c r="A2201" s="8"/>
    </row>
    <row r="2202" spans="1:1" ht="13.8" x14ac:dyDescent="0.25">
      <c r="A2202" s="8"/>
    </row>
    <row r="2203" spans="1:1" ht="13.8" x14ac:dyDescent="0.25">
      <c r="A2203" s="8"/>
    </row>
    <row r="2204" spans="1:1" ht="13.8" x14ac:dyDescent="0.25">
      <c r="A2204" s="8"/>
    </row>
    <row r="2205" spans="1:1" ht="13.8" x14ac:dyDescent="0.25">
      <c r="A2205" s="8"/>
    </row>
    <row r="2206" spans="1:1" ht="13.8" x14ac:dyDescent="0.25">
      <c r="A2206" s="8"/>
    </row>
    <row r="2207" spans="1:1" ht="13.8" x14ac:dyDescent="0.25">
      <c r="A2207" s="8"/>
    </row>
    <row r="2208" spans="1:1" ht="13.8" x14ac:dyDescent="0.25">
      <c r="A2208" s="8"/>
    </row>
    <row r="2209" spans="1:1" ht="13.8" x14ac:dyDescent="0.25">
      <c r="A2209" s="8"/>
    </row>
    <row r="2210" spans="1:1" ht="13.8" x14ac:dyDescent="0.25">
      <c r="A2210" s="8"/>
    </row>
    <row r="2211" spans="1:1" ht="13.8" x14ac:dyDescent="0.25">
      <c r="A2211" s="8"/>
    </row>
    <row r="2212" spans="1:1" ht="13.8" x14ac:dyDescent="0.25">
      <c r="A2212" s="8"/>
    </row>
    <row r="2213" spans="1:1" ht="13.8" x14ac:dyDescent="0.25">
      <c r="A2213" s="8"/>
    </row>
    <row r="2214" spans="1:1" ht="13.8" x14ac:dyDescent="0.25">
      <c r="A2214" s="8"/>
    </row>
    <row r="2215" spans="1:1" ht="13.8" x14ac:dyDescent="0.25">
      <c r="A2215" s="8"/>
    </row>
    <row r="2216" spans="1:1" ht="13.8" x14ac:dyDescent="0.25">
      <c r="A2216" s="8"/>
    </row>
    <row r="2217" spans="1:1" ht="13.8" x14ac:dyDescent="0.25">
      <c r="A2217" s="8"/>
    </row>
    <row r="2218" spans="1:1" ht="13.8" x14ac:dyDescent="0.25">
      <c r="A2218" s="8"/>
    </row>
    <row r="2219" spans="1:1" ht="13.8" x14ac:dyDescent="0.25">
      <c r="A2219" s="8"/>
    </row>
    <row r="2220" spans="1:1" ht="13.8" x14ac:dyDescent="0.25">
      <c r="A2220" s="8"/>
    </row>
    <row r="2221" spans="1:1" ht="13.8" x14ac:dyDescent="0.25">
      <c r="A2221" s="8"/>
    </row>
    <row r="2222" spans="1:1" ht="13.8" x14ac:dyDescent="0.25">
      <c r="A2222" s="8"/>
    </row>
    <row r="2223" spans="1:1" ht="13.8" x14ac:dyDescent="0.25">
      <c r="A2223" s="8"/>
    </row>
    <row r="2224" spans="1:1" ht="13.8" x14ac:dyDescent="0.25">
      <c r="A2224" s="8"/>
    </row>
    <row r="2225" spans="1:1" ht="13.8" x14ac:dyDescent="0.25">
      <c r="A2225" s="8"/>
    </row>
    <row r="2226" spans="1:1" ht="13.8" x14ac:dyDescent="0.25">
      <c r="A2226" s="8"/>
    </row>
    <row r="2227" spans="1:1" ht="13.8" x14ac:dyDescent="0.25">
      <c r="A2227" s="8"/>
    </row>
    <row r="2228" spans="1:1" ht="13.8" x14ac:dyDescent="0.25">
      <c r="A2228" s="8"/>
    </row>
    <row r="2229" spans="1:1" ht="13.8" x14ac:dyDescent="0.25">
      <c r="A2229" s="8"/>
    </row>
    <row r="2230" spans="1:1" ht="13.8" x14ac:dyDescent="0.25">
      <c r="A2230" s="8"/>
    </row>
    <row r="2231" spans="1:1" ht="13.8" x14ac:dyDescent="0.25">
      <c r="A2231" s="8"/>
    </row>
    <row r="2232" spans="1:1" ht="13.8" x14ac:dyDescent="0.25">
      <c r="A2232" s="8"/>
    </row>
    <row r="2233" spans="1:1" ht="13.8" x14ac:dyDescent="0.25">
      <c r="A2233" s="8"/>
    </row>
    <row r="2234" spans="1:1" ht="13.8" x14ac:dyDescent="0.25">
      <c r="A2234" s="8"/>
    </row>
    <row r="2235" spans="1:1" ht="13.8" x14ac:dyDescent="0.25">
      <c r="A2235" s="8"/>
    </row>
    <row r="2236" spans="1:1" ht="13.8" x14ac:dyDescent="0.25">
      <c r="A2236" s="8"/>
    </row>
    <row r="2237" spans="1:1" ht="13.8" x14ac:dyDescent="0.25">
      <c r="A2237" s="8"/>
    </row>
    <row r="2238" spans="1:1" ht="13.8" x14ac:dyDescent="0.25">
      <c r="A2238" s="8"/>
    </row>
    <row r="2239" spans="1:1" ht="13.8" x14ac:dyDescent="0.25">
      <c r="A2239" s="8"/>
    </row>
    <row r="2240" spans="1:1" ht="13.8" x14ac:dyDescent="0.25">
      <c r="A2240" s="8"/>
    </row>
    <row r="2241" spans="1:1" ht="13.8" x14ac:dyDescent="0.25">
      <c r="A2241" s="8"/>
    </row>
    <row r="2242" spans="1:1" ht="13.8" x14ac:dyDescent="0.25">
      <c r="A2242" s="8"/>
    </row>
    <row r="2243" spans="1:1" ht="13.8" x14ac:dyDescent="0.25">
      <c r="A2243" s="8"/>
    </row>
    <row r="2244" spans="1:1" ht="13.8" x14ac:dyDescent="0.25">
      <c r="A2244" s="8"/>
    </row>
    <row r="2245" spans="1:1" ht="13.8" x14ac:dyDescent="0.25">
      <c r="A2245" s="8"/>
    </row>
    <row r="2246" spans="1:1" ht="13.8" x14ac:dyDescent="0.25">
      <c r="A2246" s="8"/>
    </row>
    <row r="2247" spans="1:1" ht="13.8" x14ac:dyDescent="0.25">
      <c r="A2247" s="8"/>
    </row>
    <row r="2248" spans="1:1" ht="13.8" x14ac:dyDescent="0.25">
      <c r="A2248" s="8"/>
    </row>
    <row r="2249" spans="1:1" ht="13.8" x14ac:dyDescent="0.25">
      <c r="A2249" s="8"/>
    </row>
    <row r="2250" spans="1:1" ht="13.8" x14ac:dyDescent="0.25">
      <c r="A2250" s="8"/>
    </row>
    <row r="2251" spans="1:1" ht="13.8" x14ac:dyDescent="0.25">
      <c r="A2251" s="8"/>
    </row>
    <row r="2252" spans="1:1" ht="13.8" x14ac:dyDescent="0.25">
      <c r="A2252" s="8"/>
    </row>
    <row r="2253" spans="1:1" ht="13.8" x14ac:dyDescent="0.25">
      <c r="A2253" s="8"/>
    </row>
    <row r="2254" spans="1:1" ht="13.8" x14ac:dyDescent="0.25">
      <c r="A2254" s="8"/>
    </row>
    <row r="2255" spans="1:1" ht="13.8" x14ac:dyDescent="0.25">
      <c r="A2255" s="8"/>
    </row>
    <row r="2256" spans="1:1" ht="13.8" x14ac:dyDescent="0.25">
      <c r="A2256" s="8"/>
    </row>
    <row r="2257" spans="1:1" ht="13.8" x14ac:dyDescent="0.25">
      <c r="A2257" s="8"/>
    </row>
    <row r="2258" spans="1:1" ht="13.8" x14ac:dyDescent="0.25">
      <c r="A2258" s="8"/>
    </row>
    <row r="2259" spans="1:1" ht="13.8" x14ac:dyDescent="0.25">
      <c r="A2259" s="8"/>
    </row>
    <row r="2260" spans="1:1" ht="13.8" x14ac:dyDescent="0.25">
      <c r="A2260" s="8"/>
    </row>
    <row r="2261" spans="1:1" ht="13.8" x14ac:dyDescent="0.25">
      <c r="A2261" s="8"/>
    </row>
    <row r="2262" spans="1:1" ht="13.8" x14ac:dyDescent="0.25">
      <c r="A2262" s="8"/>
    </row>
    <row r="2263" spans="1:1" ht="13.8" x14ac:dyDescent="0.25">
      <c r="A2263" s="8"/>
    </row>
    <row r="2264" spans="1:1" ht="13.8" x14ac:dyDescent="0.25">
      <c r="A2264" s="8"/>
    </row>
    <row r="2265" spans="1:1" ht="13.8" x14ac:dyDescent="0.25">
      <c r="A2265" s="8"/>
    </row>
    <row r="2266" spans="1:1" ht="13.8" x14ac:dyDescent="0.25">
      <c r="A2266" s="8"/>
    </row>
    <row r="2267" spans="1:1" ht="13.8" x14ac:dyDescent="0.25">
      <c r="A2267" s="8"/>
    </row>
    <row r="2268" spans="1:1" ht="13.8" x14ac:dyDescent="0.25">
      <c r="A2268" s="8"/>
    </row>
    <row r="2269" spans="1:1" ht="13.8" x14ac:dyDescent="0.25">
      <c r="A2269" s="8"/>
    </row>
    <row r="2270" spans="1:1" ht="13.8" x14ac:dyDescent="0.25">
      <c r="A2270" s="8"/>
    </row>
    <row r="2271" spans="1:1" ht="13.8" x14ac:dyDescent="0.25">
      <c r="A2271" s="8"/>
    </row>
    <row r="2272" spans="1:1" ht="13.8" x14ac:dyDescent="0.25">
      <c r="A2272" s="8"/>
    </row>
    <row r="2273" spans="1:1" ht="13.8" x14ac:dyDescent="0.25">
      <c r="A2273" s="8"/>
    </row>
    <row r="2274" spans="1:1" ht="13.8" x14ac:dyDescent="0.25">
      <c r="A2274" s="8"/>
    </row>
    <row r="2275" spans="1:1" ht="13.8" x14ac:dyDescent="0.25">
      <c r="A2275" s="8"/>
    </row>
    <row r="2276" spans="1:1" ht="13.8" x14ac:dyDescent="0.25">
      <c r="A2276" s="8"/>
    </row>
    <row r="2277" spans="1:1" ht="13.8" x14ac:dyDescent="0.25">
      <c r="A2277" s="8"/>
    </row>
    <row r="2278" spans="1:1" ht="13.8" x14ac:dyDescent="0.25">
      <c r="A2278" s="8"/>
    </row>
    <row r="2279" spans="1:1" ht="13.8" x14ac:dyDescent="0.25">
      <c r="A2279" s="8"/>
    </row>
    <row r="2280" spans="1:1" ht="13.8" x14ac:dyDescent="0.25">
      <c r="A2280" s="8"/>
    </row>
    <row r="2281" spans="1:1" ht="13.8" x14ac:dyDescent="0.25">
      <c r="A2281" s="8"/>
    </row>
    <row r="2282" spans="1:1" ht="13.8" x14ac:dyDescent="0.25">
      <c r="A2282" s="8"/>
    </row>
    <row r="2283" spans="1:1" ht="13.8" x14ac:dyDescent="0.25">
      <c r="A2283" s="8"/>
    </row>
    <row r="2284" spans="1:1" ht="13.8" x14ac:dyDescent="0.25">
      <c r="A2284" s="8"/>
    </row>
    <row r="2285" spans="1:1" ht="13.8" x14ac:dyDescent="0.25">
      <c r="A2285" s="8"/>
    </row>
    <row r="2286" spans="1:1" ht="13.8" x14ac:dyDescent="0.25">
      <c r="A2286" s="8"/>
    </row>
    <row r="2287" spans="1:1" ht="13.8" x14ac:dyDescent="0.25">
      <c r="A2287" s="8"/>
    </row>
    <row r="2288" spans="1:1" ht="13.8" x14ac:dyDescent="0.25">
      <c r="A2288" s="8"/>
    </row>
    <row r="2289" spans="1:1" ht="13.8" x14ac:dyDescent="0.25">
      <c r="A2289" s="8"/>
    </row>
    <row r="2290" spans="1:1" ht="13.8" x14ac:dyDescent="0.25">
      <c r="A2290" s="8"/>
    </row>
    <row r="2291" spans="1:1" ht="13.8" x14ac:dyDescent="0.25">
      <c r="A2291" s="8"/>
    </row>
    <row r="2292" spans="1:1" ht="13.8" x14ac:dyDescent="0.25">
      <c r="A2292" s="8"/>
    </row>
    <row r="2293" spans="1:1" ht="13.8" x14ac:dyDescent="0.25">
      <c r="A2293" s="8"/>
    </row>
    <row r="2294" spans="1:1" ht="13.8" x14ac:dyDescent="0.25">
      <c r="A2294" s="8"/>
    </row>
    <row r="2295" spans="1:1" ht="13.8" x14ac:dyDescent="0.25">
      <c r="A2295" s="8"/>
    </row>
    <row r="2296" spans="1:1" ht="13.8" x14ac:dyDescent="0.25">
      <c r="A2296" s="8"/>
    </row>
    <row r="2297" spans="1:1" ht="13.8" x14ac:dyDescent="0.25">
      <c r="A2297" s="8"/>
    </row>
    <row r="2298" spans="1:1" ht="13.8" x14ac:dyDescent="0.25">
      <c r="A2298" s="8"/>
    </row>
    <row r="2299" spans="1:1" ht="13.8" x14ac:dyDescent="0.25">
      <c r="A2299" s="8"/>
    </row>
    <row r="2300" spans="1:1" ht="13.8" x14ac:dyDescent="0.25">
      <c r="A2300" s="8"/>
    </row>
    <row r="2301" spans="1:1" ht="13.8" x14ac:dyDescent="0.25">
      <c r="A2301" s="8"/>
    </row>
    <row r="2302" spans="1:1" ht="13.8" x14ac:dyDescent="0.25">
      <c r="A2302" s="8"/>
    </row>
    <row r="2303" spans="1:1" ht="13.8" x14ac:dyDescent="0.25">
      <c r="A2303" s="8"/>
    </row>
    <row r="2304" spans="1:1" ht="13.8" x14ac:dyDescent="0.25">
      <c r="A2304" s="8"/>
    </row>
    <row r="2305" spans="1:1" ht="13.8" x14ac:dyDescent="0.25">
      <c r="A2305" s="8"/>
    </row>
    <row r="2306" spans="1:1" ht="13.8" x14ac:dyDescent="0.25">
      <c r="A2306" s="8"/>
    </row>
    <row r="2307" spans="1:1" ht="13.8" x14ac:dyDescent="0.25">
      <c r="A2307" s="8"/>
    </row>
    <row r="2308" spans="1:1" ht="13.8" x14ac:dyDescent="0.25">
      <c r="A2308" s="8"/>
    </row>
    <row r="2309" spans="1:1" ht="13.8" x14ac:dyDescent="0.25">
      <c r="A2309" s="8"/>
    </row>
    <row r="2310" spans="1:1" ht="13.8" x14ac:dyDescent="0.25">
      <c r="A2310" s="8"/>
    </row>
    <row r="2311" spans="1:1" ht="13.8" x14ac:dyDescent="0.25">
      <c r="A2311" s="8"/>
    </row>
    <row r="2312" spans="1:1" ht="13.8" x14ac:dyDescent="0.25">
      <c r="A2312" s="8"/>
    </row>
    <row r="2313" spans="1:1" ht="13.8" x14ac:dyDescent="0.25">
      <c r="A2313" s="8"/>
    </row>
    <row r="2314" spans="1:1" ht="13.8" x14ac:dyDescent="0.25">
      <c r="A2314" s="8"/>
    </row>
    <row r="2315" spans="1:1" ht="13.8" x14ac:dyDescent="0.25">
      <c r="A2315" s="8"/>
    </row>
    <row r="2316" spans="1:1" ht="13.8" x14ac:dyDescent="0.25">
      <c r="A2316" s="8"/>
    </row>
    <row r="2317" spans="1:1" ht="13.8" x14ac:dyDescent="0.25">
      <c r="A2317" s="8"/>
    </row>
    <row r="2318" spans="1:1" ht="13.8" x14ac:dyDescent="0.25">
      <c r="A2318" s="8"/>
    </row>
    <row r="2319" spans="1:1" ht="13.8" x14ac:dyDescent="0.25">
      <c r="A2319" s="8"/>
    </row>
    <row r="2320" spans="1:1" ht="13.8" x14ac:dyDescent="0.25">
      <c r="A2320" s="8"/>
    </row>
    <row r="2321" spans="1:1" ht="13.8" x14ac:dyDescent="0.25">
      <c r="A2321" s="8"/>
    </row>
    <row r="2322" spans="1:1" ht="13.8" x14ac:dyDescent="0.25">
      <c r="A2322" s="8"/>
    </row>
    <row r="2323" spans="1:1" ht="13.8" x14ac:dyDescent="0.25">
      <c r="A2323" s="8"/>
    </row>
    <row r="2324" spans="1:1" ht="13.8" x14ac:dyDescent="0.25">
      <c r="A2324" s="8"/>
    </row>
    <row r="2325" spans="1:1" ht="13.8" x14ac:dyDescent="0.25">
      <c r="A2325" s="8"/>
    </row>
    <row r="2326" spans="1:1" ht="13.8" x14ac:dyDescent="0.25">
      <c r="A2326" s="8"/>
    </row>
    <row r="2327" spans="1:1" ht="13.8" x14ac:dyDescent="0.25">
      <c r="A2327" s="8"/>
    </row>
    <row r="2328" spans="1:1" ht="13.8" x14ac:dyDescent="0.25">
      <c r="A2328" s="8"/>
    </row>
    <row r="2329" spans="1:1" ht="13.8" x14ac:dyDescent="0.25">
      <c r="A2329" s="8"/>
    </row>
    <row r="2330" spans="1:1" ht="13.8" x14ac:dyDescent="0.25">
      <c r="A2330" s="8"/>
    </row>
    <row r="2331" spans="1:1" ht="13.8" x14ac:dyDescent="0.25">
      <c r="A2331" s="8"/>
    </row>
    <row r="2332" spans="1:1" ht="13.8" x14ac:dyDescent="0.25">
      <c r="A2332" s="8"/>
    </row>
    <row r="2333" spans="1:1" ht="13.8" x14ac:dyDescent="0.25">
      <c r="A2333" s="8"/>
    </row>
    <row r="2334" spans="1:1" ht="13.8" x14ac:dyDescent="0.25">
      <c r="A2334" s="8"/>
    </row>
    <row r="2335" spans="1:1" ht="13.8" x14ac:dyDescent="0.25">
      <c r="A2335" s="8"/>
    </row>
    <row r="2336" spans="1:1" ht="13.8" x14ac:dyDescent="0.25">
      <c r="A2336" s="8"/>
    </row>
    <row r="2337" spans="1:1" ht="13.8" x14ac:dyDescent="0.25">
      <c r="A2337" s="8"/>
    </row>
    <row r="2338" spans="1:1" ht="13.8" x14ac:dyDescent="0.25">
      <c r="A2338" s="8"/>
    </row>
    <row r="2339" spans="1:1" ht="13.8" x14ac:dyDescent="0.25">
      <c r="A2339" s="8"/>
    </row>
    <row r="2340" spans="1:1" ht="13.8" x14ac:dyDescent="0.25">
      <c r="A2340" s="8"/>
    </row>
    <row r="2341" spans="1:1" ht="13.8" x14ac:dyDescent="0.25">
      <c r="A2341" s="8"/>
    </row>
    <row r="2342" spans="1:1" ht="13.8" x14ac:dyDescent="0.25">
      <c r="A2342" s="8"/>
    </row>
    <row r="2343" spans="1:1" ht="13.8" x14ac:dyDescent="0.25">
      <c r="A2343" s="8"/>
    </row>
    <row r="2344" spans="1:1" ht="13.8" x14ac:dyDescent="0.25">
      <c r="A2344" s="8"/>
    </row>
    <row r="2345" spans="1:1" ht="13.8" x14ac:dyDescent="0.25">
      <c r="A2345" s="8"/>
    </row>
    <row r="2346" spans="1:1" ht="13.8" x14ac:dyDescent="0.25">
      <c r="A2346" s="8"/>
    </row>
    <row r="2347" spans="1:1" ht="13.8" x14ac:dyDescent="0.25">
      <c r="A2347" s="8"/>
    </row>
    <row r="2348" spans="1:1" ht="13.8" x14ac:dyDescent="0.25">
      <c r="A2348" s="8"/>
    </row>
    <row r="2349" spans="1:1" ht="13.8" x14ac:dyDescent="0.25">
      <c r="A2349" s="8"/>
    </row>
    <row r="2350" spans="1:1" ht="13.8" x14ac:dyDescent="0.25">
      <c r="A2350" s="8"/>
    </row>
    <row r="2351" spans="1:1" ht="13.8" x14ac:dyDescent="0.25">
      <c r="A2351" s="8"/>
    </row>
    <row r="2352" spans="1:1" ht="13.8" x14ac:dyDescent="0.25">
      <c r="A2352" s="8"/>
    </row>
    <row r="2353" spans="1:1" ht="13.8" x14ac:dyDescent="0.25">
      <c r="A2353" s="8"/>
    </row>
    <row r="2354" spans="1:1" ht="13.8" x14ac:dyDescent="0.25">
      <c r="A2354" s="8"/>
    </row>
    <row r="2355" spans="1:1" ht="13.8" x14ac:dyDescent="0.25">
      <c r="A2355" s="8"/>
    </row>
    <row r="2356" spans="1:1" ht="13.8" x14ac:dyDescent="0.25">
      <c r="A2356" s="8"/>
    </row>
    <row r="2357" spans="1:1" ht="13.8" x14ac:dyDescent="0.25">
      <c r="A2357" s="8"/>
    </row>
    <row r="2358" spans="1:1" ht="13.8" x14ac:dyDescent="0.25">
      <c r="A2358" s="8"/>
    </row>
    <row r="2359" spans="1:1" ht="13.8" x14ac:dyDescent="0.25">
      <c r="A2359" s="8"/>
    </row>
    <row r="2360" spans="1:1" ht="13.8" x14ac:dyDescent="0.25">
      <c r="A2360" s="8"/>
    </row>
    <row r="2361" spans="1:1" ht="13.8" x14ac:dyDescent="0.25">
      <c r="A2361" s="8"/>
    </row>
    <row r="2362" spans="1:1" ht="13.8" x14ac:dyDescent="0.25">
      <c r="A2362" s="8"/>
    </row>
    <row r="2363" spans="1:1" ht="13.8" x14ac:dyDescent="0.25">
      <c r="A2363" s="8"/>
    </row>
    <row r="2364" spans="1:1" ht="13.8" x14ac:dyDescent="0.25">
      <c r="A2364" s="8"/>
    </row>
    <row r="2365" spans="1:1" ht="13.8" x14ac:dyDescent="0.25">
      <c r="A2365" s="8"/>
    </row>
    <row r="2366" spans="1:1" ht="13.8" x14ac:dyDescent="0.25">
      <c r="A2366" s="8"/>
    </row>
    <row r="2367" spans="1:1" ht="13.8" x14ac:dyDescent="0.25">
      <c r="A2367" s="8"/>
    </row>
    <row r="2368" spans="1:1" ht="13.8" x14ac:dyDescent="0.25">
      <c r="A2368" s="8"/>
    </row>
    <row r="2369" spans="1:1" ht="13.8" x14ac:dyDescent="0.25">
      <c r="A2369" s="8"/>
    </row>
    <row r="2370" spans="1:1" ht="13.8" x14ac:dyDescent="0.25">
      <c r="A2370" s="8"/>
    </row>
    <row r="2371" spans="1:1" ht="13.8" x14ac:dyDescent="0.25">
      <c r="A2371" s="8"/>
    </row>
    <row r="2372" spans="1:1" ht="13.8" x14ac:dyDescent="0.25">
      <c r="A2372" s="8"/>
    </row>
    <row r="2373" spans="1:1" ht="13.8" x14ac:dyDescent="0.25">
      <c r="A2373" s="8"/>
    </row>
    <row r="2374" spans="1:1" ht="13.8" x14ac:dyDescent="0.25">
      <c r="A2374" s="8"/>
    </row>
    <row r="2375" spans="1:1" ht="13.8" x14ac:dyDescent="0.25">
      <c r="A2375" s="8"/>
    </row>
    <row r="2376" spans="1:1" ht="13.8" x14ac:dyDescent="0.25">
      <c r="A2376" s="8"/>
    </row>
    <row r="2377" spans="1:1" ht="13.8" x14ac:dyDescent="0.25">
      <c r="A2377" s="8"/>
    </row>
    <row r="2378" spans="1:1" ht="13.8" x14ac:dyDescent="0.25">
      <c r="A2378" s="8"/>
    </row>
    <row r="2379" spans="1:1" ht="13.8" x14ac:dyDescent="0.25">
      <c r="A2379" s="8"/>
    </row>
    <row r="2380" spans="1:1" ht="13.8" x14ac:dyDescent="0.25">
      <c r="A2380" s="8"/>
    </row>
    <row r="2381" spans="1:1" ht="13.8" x14ac:dyDescent="0.25">
      <c r="A2381" s="8"/>
    </row>
    <row r="2382" spans="1:1" ht="13.8" x14ac:dyDescent="0.25">
      <c r="A2382" s="8"/>
    </row>
    <row r="2383" spans="1:1" ht="13.8" x14ac:dyDescent="0.25">
      <c r="A2383" s="8"/>
    </row>
    <row r="2384" spans="1:1" ht="13.8" x14ac:dyDescent="0.25">
      <c r="A2384" s="8"/>
    </row>
    <row r="2385" spans="1:1" ht="13.8" x14ac:dyDescent="0.25">
      <c r="A2385" s="8"/>
    </row>
    <row r="2386" spans="1:1" ht="13.8" x14ac:dyDescent="0.25">
      <c r="A2386" s="8"/>
    </row>
    <row r="2387" spans="1:1" ht="13.8" x14ac:dyDescent="0.25">
      <c r="A2387" s="8"/>
    </row>
    <row r="2388" spans="1:1" ht="13.8" x14ac:dyDescent="0.25">
      <c r="A2388" s="8"/>
    </row>
    <row r="2389" spans="1:1" ht="13.8" x14ac:dyDescent="0.25">
      <c r="A2389" s="8"/>
    </row>
    <row r="2390" spans="1:1" ht="13.8" x14ac:dyDescent="0.25">
      <c r="A2390" s="8"/>
    </row>
    <row r="2391" spans="1:1" ht="13.8" x14ac:dyDescent="0.25">
      <c r="A2391" s="8"/>
    </row>
    <row r="2392" spans="1:1" ht="13.8" x14ac:dyDescent="0.25">
      <c r="A2392" s="8"/>
    </row>
    <row r="2393" spans="1:1" ht="13.8" x14ac:dyDescent="0.25">
      <c r="A2393" s="8"/>
    </row>
    <row r="2394" spans="1:1" ht="13.8" x14ac:dyDescent="0.25">
      <c r="A2394" s="8"/>
    </row>
    <row r="2395" spans="1:1" ht="13.8" x14ac:dyDescent="0.25">
      <c r="A2395" s="8"/>
    </row>
    <row r="2396" spans="1:1" ht="13.8" x14ac:dyDescent="0.25">
      <c r="A2396" s="8"/>
    </row>
    <row r="2397" spans="1:1" ht="13.8" x14ac:dyDescent="0.25">
      <c r="A2397" s="8"/>
    </row>
    <row r="2398" spans="1:1" ht="13.8" x14ac:dyDescent="0.25">
      <c r="A2398" s="8"/>
    </row>
    <row r="2399" spans="1:1" ht="13.8" x14ac:dyDescent="0.25">
      <c r="A2399" s="8"/>
    </row>
    <row r="2400" spans="1:1" ht="13.8" x14ac:dyDescent="0.25">
      <c r="A2400" s="8"/>
    </row>
    <row r="2401" spans="1:1" ht="13.8" x14ac:dyDescent="0.25">
      <c r="A2401" s="8"/>
    </row>
    <row r="2402" spans="1:1" ht="13.8" x14ac:dyDescent="0.25">
      <c r="A2402" s="8"/>
    </row>
    <row r="2403" spans="1:1" ht="13.8" x14ac:dyDescent="0.25">
      <c r="A2403" s="8"/>
    </row>
    <row r="2404" spans="1:1" ht="13.8" x14ac:dyDescent="0.25">
      <c r="A2404" s="8"/>
    </row>
    <row r="2405" spans="1:1" ht="13.8" x14ac:dyDescent="0.25">
      <c r="A2405" s="8"/>
    </row>
    <row r="2406" spans="1:1" ht="13.8" x14ac:dyDescent="0.25">
      <c r="A2406" s="8"/>
    </row>
    <row r="2407" spans="1:1" ht="13.8" x14ac:dyDescent="0.25">
      <c r="A2407" s="8"/>
    </row>
    <row r="2408" spans="1:1" ht="13.8" x14ac:dyDescent="0.25">
      <c r="A2408" s="8"/>
    </row>
    <row r="2409" spans="1:1" ht="13.8" x14ac:dyDescent="0.25">
      <c r="A2409" s="8"/>
    </row>
    <row r="2410" spans="1:1" ht="13.8" x14ac:dyDescent="0.25">
      <c r="A2410" s="8"/>
    </row>
    <row r="2411" spans="1:1" ht="13.8" x14ac:dyDescent="0.25">
      <c r="A2411" s="8"/>
    </row>
    <row r="2412" spans="1:1" ht="13.8" x14ac:dyDescent="0.25">
      <c r="A2412" s="8"/>
    </row>
    <row r="2413" spans="1:1" ht="13.8" x14ac:dyDescent="0.25">
      <c r="A2413" s="8"/>
    </row>
    <row r="2414" spans="1:1" ht="13.8" x14ac:dyDescent="0.25">
      <c r="A2414" s="8"/>
    </row>
    <row r="2415" spans="1:1" ht="13.8" x14ac:dyDescent="0.25">
      <c r="A2415" s="8"/>
    </row>
    <row r="2416" spans="1:1" ht="13.8" x14ac:dyDescent="0.25">
      <c r="A2416" s="8"/>
    </row>
    <row r="2417" spans="1:1" ht="13.8" x14ac:dyDescent="0.25">
      <c r="A2417" s="8"/>
    </row>
    <row r="2418" spans="1:1" ht="13.8" x14ac:dyDescent="0.25">
      <c r="A2418" s="8"/>
    </row>
    <row r="2419" spans="1:1" ht="13.8" x14ac:dyDescent="0.25">
      <c r="A2419" s="8"/>
    </row>
    <row r="2420" spans="1:1" ht="13.8" x14ac:dyDescent="0.25">
      <c r="A2420" s="8"/>
    </row>
    <row r="2421" spans="1:1" ht="13.8" x14ac:dyDescent="0.25">
      <c r="A2421" s="8"/>
    </row>
    <row r="2422" spans="1:1" ht="13.8" x14ac:dyDescent="0.25">
      <c r="A2422" s="8"/>
    </row>
    <row r="2423" spans="1:1" ht="13.8" x14ac:dyDescent="0.25">
      <c r="A2423" s="8"/>
    </row>
    <row r="2424" spans="1:1" ht="13.8" x14ac:dyDescent="0.25">
      <c r="A2424" s="8"/>
    </row>
    <row r="2425" spans="1:1" ht="13.8" x14ac:dyDescent="0.25">
      <c r="A2425" s="8"/>
    </row>
    <row r="2426" spans="1:1" ht="13.8" x14ac:dyDescent="0.25">
      <c r="A2426" s="8"/>
    </row>
    <row r="2427" spans="1:1" ht="13.8" x14ac:dyDescent="0.25">
      <c r="A2427" s="8"/>
    </row>
    <row r="2428" spans="1:1" ht="13.8" x14ac:dyDescent="0.25">
      <c r="A2428" s="8"/>
    </row>
    <row r="2429" spans="1:1" ht="13.8" x14ac:dyDescent="0.25">
      <c r="A2429" s="8"/>
    </row>
    <row r="2430" spans="1:1" ht="13.8" x14ac:dyDescent="0.25">
      <c r="A2430" s="8"/>
    </row>
    <row r="2431" spans="1:1" ht="13.8" x14ac:dyDescent="0.25">
      <c r="A2431" s="8"/>
    </row>
    <row r="2432" spans="1:1" ht="13.8" x14ac:dyDescent="0.25">
      <c r="A2432" s="8"/>
    </row>
    <row r="2433" spans="1:1" ht="13.8" x14ac:dyDescent="0.25">
      <c r="A2433" s="8"/>
    </row>
    <row r="2434" spans="1:1" ht="13.8" x14ac:dyDescent="0.25">
      <c r="A2434" s="8"/>
    </row>
    <row r="2435" spans="1:1" ht="13.8" x14ac:dyDescent="0.25">
      <c r="A2435" s="8"/>
    </row>
    <row r="2436" spans="1:1" ht="13.8" x14ac:dyDescent="0.25">
      <c r="A2436" s="8"/>
    </row>
    <row r="2437" spans="1:1" ht="13.8" x14ac:dyDescent="0.25">
      <c r="A2437" s="8"/>
    </row>
    <row r="2438" spans="1:1" ht="13.8" x14ac:dyDescent="0.25">
      <c r="A2438" s="8"/>
    </row>
    <row r="2439" spans="1:1" ht="13.8" x14ac:dyDescent="0.25">
      <c r="A2439" s="8"/>
    </row>
    <row r="2440" spans="1:1" ht="13.8" x14ac:dyDescent="0.25">
      <c r="A2440" s="8"/>
    </row>
    <row r="2441" spans="1:1" ht="13.8" x14ac:dyDescent="0.25">
      <c r="A2441" s="8"/>
    </row>
    <row r="2442" spans="1:1" ht="13.8" x14ac:dyDescent="0.25">
      <c r="A2442" s="8"/>
    </row>
    <row r="2443" spans="1:1" ht="13.8" x14ac:dyDescent="0.25">
      <c r="A2443" s="8"/>
    </row>
    <row r="2444" spans="1:1" ht="13.8" x14ac:dyDescent="0.25">
      <c r="A2444" s="8"/>
    </row>
    <row r="2445" spans="1:1" ht="13.8" x14ac:dyDescent="0.25">
      <c r="A2445" s="8"/>
    </row>
    <row r="2446" spans="1:1" ht="13.8" x14ac:dyDescent="0.25">
      <c r="A2446" s="8"/>
    </row>
    <row r="2447" spans="1:1" ht="13.8" x14ac:dyDescent="0.25">
      <c r="A2447" s="8"/>
    </row>
    <row r="2448" spans="1:1" ht="13.8" x14ac:dyDescent="0.25">
      <c r="A2448" s="8"/>
    </row>
    <row r="2449" spans="1:1" ht="13.8" x14ac:dyDescent="0.25">
      <c r="A2449" s="8"/>
    </row>
    <row r="2450" spans="1:1" ht="13.8" x14ac:dyDescent="0.25">
      <c r="A2450" s="8"/>
    </row>
    <row r="2451" spans="1:1" ht="13.8" x14ac:dyDescent="0.25">
      <c r="A2451" s="8"/>
    </row>
    <row r="2452" spans="1:1" ht="13.8" x14ac:dyDescent="0.25">
      <c r="A2452" s="8"/>
    </row>
    <row r="2453" spans="1:1" ht="13.8" x14ac:dyDescent="0.25">
      <c r="A2453" s="8"/>
    </row>
    <row r="2454" spans="1:1" ht="13.8" x14ac:dyDescent="0.25">
      <c r="A2454" s="8"/>
    </row>
    <row r="2455" spans="1:1" ht="13.8" x14ac:dyDescent="0.25">
      <c r="A2455" s="8"/>
    </row>
    <row r="2456" spans="1:1" ht="13.8" x14ac:dyDescent="0.25">
      <c r="A2456" s="8"/>
    </row>
    <row r="2457" spans="1:1" ht="13.8" x14ac:dyDescent="0.25">
      <c r="A2457" s="8"/>
    </row>
    <row r="2458" spans="1:1" ht="13.8" x14ac:dyDescent="0.25">
      <c r="A2458" s="8"/>
    </row>
    <row r="2459" spans="1:1" ht="13.8" x14ac:dyDescent="0.25">
      <c r="A2459" s="8"/>
    </row>
    <row r="2460" spans="1:1" ht="13.8" x14ac:dyDescent="0.25">
      <c r="A2460" s="8"/>
    </row>
    <row r="2461" spans="1:1" ht="13.8" x14ac:dyDescent="0.25">
      <c r="A2461" s="8"/>
    </row>
    <row r="2462" spans="1:1" ht="13.8" x14ac:dyDescent="0.25">
      <c r="A2462" s="8"/>
    </row>
    <row r="2463" spans="1:1" ht="13.8" x14ac:dyDescent="0.25">
      <c r="A2463" s="8"/>
    </row>
    <row r="2464" spans="1:1" ht="13.8" x14ac:dyDescent="0.25">
      <c r="A2464" s="8"/>
    </row>
    <row r="2465" spans="1:1" ht="13.8" x14ac:dyDescent="0.25">
      <c r="A2465" s="8"/>
    </row>
    <row r="2466" spans="1:1" ht="13.8" x14ac:dyDescent="0.25">
      <c r="A2466" s="8"/>
    </row>
    <row r="2467" spans="1:1" ht="13.8" x14ac:dyDescent="0.25">
      <c r="A2467" s="8"/>
    </row>
    <row r="2468" spans="1:1" ht="13.8" x14ac:dyDescent="0.25">
      <c r="A2468" s="8"/>
    </row>
    <row r="2469" spans="1:1" ht="13.8" x14ac:dyDescent="0.25">
      <c r="A2469" s="8"/>
    </row>
    <row r="2470" spans="1:1" ht="13.8" x14ac:dyDescent="0.25">
      <c r="A2470" s="8"/>
    </row>
    <row r="2471" spans="1:1" ht="13.8" x14ac:dyDescent="0.25">
      <c r="A2471" s="8"/>
    </row>
    <row r="2472" spans="1:1" ht="13.8" x14ac:dyDescent="0.25">
      <c r="A2472" s="8"/>
    </row>
    <row r="2473" spans="1:1" ht="13.8" x14ac:dyDescent="0.25">
      <c r="A2473" s="8"/>
    </row>
    <row r="2474" spans="1:1" ht="13.8" x14ac:dyDescent="0.25">
      <c r="A2474" s="8"/>
    </row>
    <row r="2475" spans="1:1" ht="13.8" x14ac:dyDescent="0.25">
      <c r="A2475" s="8"/>
    </row>
    <row r="2476" spans="1:1" ht="13.8" x14ac:dyDescent="0.25">
      <c r="A2476" s="8"/>
    </row>
    <row r="2477" spans="1:1" ht="13.8" x14ac:dyDescent="0.25">
      <c r="A2477" s="8"/>
    </row>
    <row r="2478" spans="1:1" ht="13.8" x14ac:dyDescent="0.25">
      <c r="A2478" s="8"/>
    </row>
    <row r="2479" spans="1:1" ht="13.8" x14ac:dyDescent="0.25">
      <c r="A2479" s="8"/>
    </row>
    <row r="2480" spans="1:1" ht="13.8" x14ac:dyDescent="0.25">
      <c r="A2480" s="8"/>
    </row>
    <row r="2481" spans="1:1" ht="13.8" x14ac:dyDescent="0.25">
      <c r="A2481" s="8"/>
    </row>
    <row r="2482" spans="1:1" ht="13.8" x14ac:dyDescent="0.25">
      <c r="A2482" s="8"/>
    </row>
    <row r="2483" spans="1:1" ht="13.8" x14ac:dyDescent="0.25">
      <c r="A2483" s="8"/>
    </row>
    <row r="2484" spans="1:1" ht="13.8" x14ac:dyDescent="0.25">
      <c r="A2484" s="8"/>
    </row>
    <row r="2485" spans="1:1" ht="13.8" x14ac:dyDescent="0.25">
      <c r="A2485" s="8"/>
    </row>
    <row r="2486" spans="1:1" ht="13.8" x14ac:dyDescent="0.25">
      <c r="A2486" s="8"/>
    </row>
    <row r="2487" spans="1:1" ht="13.8" x14ac:dyDescent="0.25">
      <c r="A2487" s="8"/>
    </row>
    <row r="2488" spans="1:1" ht="13.8" x14ac:dyDescent="0.25">
      <c r="A2488" s="8"/>
    </row>
    <row r="2489" spans="1:1" ht="13.8" x14ac:dyDescent="0.25">
      <c r="A2489" s="8"/>
    </row>
    <row r="2490" spans="1:1" ht="13.8" x14ac:dyDescent="0.25">
      <c r="A2490" s="8"/>
    </row>
    <row r="2491" spans="1:1" ht="13.8" x14ac:dyDescent="0.25">
      <c r="A2491" s="8"/>
    </row>
    <row r="2492" spans="1:1" ht="13.8" x14ac:dyDescent="0.25">
      <c r="A2492" s="8"/>
    </row>
    <row r="2493" spans="1:1" ht="13.8" x14ac:dyDescent="0.25">
      <c r="A2493" s="8"/>
    </row>
    <row r="2494" spans="1:1" ht="13.8" x14ac:dyDescent="0.25">
      <c r="A2494" s="8"/>
    </row>
    <row r="2495" spans="1:1" ht="13.8" x14ac:dyDescent="0.25">
      <c r="A2495" s="8"/>
    </row>
    <row r="2496" spans="1:1" ht="13.8" x14ac:dyDescent="0.25">
      <c r="A2496" s="8"/>
    </row>
    <row r="2497" spans="1:1" ht="13.8" x14ac:dyDescent="0.25">
      <c r="A2497" s="8"/>
    </row>
    <row r="2498" spans="1:1" ht="13.8" x14ac:dyDescent="0.25">
      <c r="A2498" s="8"/>
    </row>
    <row r="2499" spans="1:1" ht="13.8" x14ac:dyDescent="0.25">
      <c r="A2499" s="8"/>
    </row>
    <row r="2500" spans="1:1" ht="13.8" x14ac:dyDescent="0.25">
      <c r="A2500" s="8"/>
    </row>
    <row r="2501" spans="1:1" ht="13.8" x14ac:dyDescent="0.25">
      <c r="A2501" s="8"/>
    </row>
    <row r="2502" spans="1:1" ht="13.8" x14ac:dyDescent="0.25">
      <c r="A2502" s="8"/>
    </row>
    <row r="2503" spans="1:1" ht="13.8" x14ac:dyDescent="0.25">
      <c r="A2503" s="8"/>
    </row>
    <row r="2504" spans="1:1" ht="13.8" x14ac:dyDescent="0.25">
      <c r="A2504" s="8"/>
    </row>
    <row r="2505" spans="1:1" ht="13.8" x14ac:dyDescent="0.25">
      <c r="A2505" s="8"/>
    </row>
    <row r="2506" spans="1:1" ht="13.8" x14ac:dyDescent="0.25">
      <c r="A2506" s="8"/>
    </row>
    <row r="2507" spans="1:1" ht="13.8" x14ac:dyDescent="0.25">
      <c r="A2507" s="8"/>
    </row>
    <row r="2508" spans="1:1" ht="13.8" x14ac:dyDescent="0.25">
      <c r="A2508" s="8"/>
    </row>
    <row r="2509" spans="1:1" ht="13.8" x14ac:dyDescent="0.25">
      <c r="A2509" s="8"/>
    </row>
    <row r="2510" spans="1:1" ht="13.8" x14ac:dyDescent="0.25">
      <c r="A2510" s="8"/>
    </row>
    <row r="2511" spans="1:1" ht="13.8" x14ac:dyDescent="0.25">
      <c r="A2511" s="8"/>
    </row>
    <row r="2512" spans="1:1" ht="13.8" x14ac:dyDescent="0.25">
      <c r="A2512" s="8"/>
    </row>
    <row r="2513" spans="1:1" ht="13.8" x14ac:dyDescent="0.25">
      <c r="A2513" s="8"/>
    </row>
    <row r="2514" spans="1:1" ht="13.8" x14ac:dyDescent="0.25">
      <c r="A2514" s="8"/>
    </row>
    <row r="2515" spans="1:1" ht="13.8" x14ac:dyDescent="0.25">
      <c r="A2515" s="8"/>
    </row>
    <row r="2516" spans="1:1" ht="13.8" x14ac:dyDescent="0.25">
      <c r="A2516" s="8"/>
    </row>
    <row r="2517" spans="1:1" ht="13.8" x14ac:dyDescent="0.25">
      <c r="A2517" s="8"/>
    </row>
    <row r="2518" spans="1:1" ht="13.8" x14ac:dyDescent="0.25">
      <c r="A2518" s="8"/>
    </row>
    <row r="2519" spans="1:1" ht="13.8" x14ac:dyDescent="0.25">
      <c r="A2519" s="8"/>
    </row>
    <row r="2520" spans="1:1" ht="13.8" x14ac:dyDescent="0.25">
      <c r="A2520" s="8"/>
    </row>
    <row r="2521" spans="1:1" ht="13.8" x14ac:dyDescent="0.25">
      <c r="A2521" s="8"/>
    </row>
    <row r="2522" spans="1:1" ht="13.8" x14ac:dyDescent="0.25">
      <c r="A2522" s="8"/>
    </row>
    <row r="2523" spans="1:1" ht="13.8" x14ac:dyDescent="0.25">
      <c r="A2523" s="8"/>
    </row>
    <row r="2524" spans="1:1" ht="13.8" x14ac:dyDescent="0.25">
      <c r="A2524" s="8"/>
    </row>
    <row r="2525" spans="1:1" ht="13.8" x14ac:dyDescent="0.25">
      <c r="A2525" s="8"/>
    </row>
    <row r="2526" spans="1:1" ht="13.8" x14ac:dyDescent="0.25">
      <c r="A2526" s="8"/>
    </row>
    <row r="2527" spans="1:1" ht="13.8" x14ac:dyDescent="0.25">
      <c r="A2527" s="8"/>
    </row>
    <row r="2528" spans="1:1" ht="13.8" x14ac:dyDescent="0.25">
      <c r="A2528" s="8"/>
    </row>
    <row r="2529" spans="1:1" ht="13.8" x14ac:dyDescent="0.25">
      <c r="A2529" s="8"/>
    </row>
    <row r="2530" spans="1:1" ht="13.8" x14ac:dyDescent="0.25">
      <c r="A2530" s="8"/>
    </row>
    <row r="2531" spans="1:1" ht="13.8" x14ac:dyDescent="0.25">
      <c r="A2531" s="8"/>
    </row>
    <row r="2532" spans="1:1" ht="13.8" x14ac:dyDescent="0.25">
      <c r="A2532" s="8"/>
    </row>
    <row r="2533" spans="1:1" ht="13.8" x14ac:dyDescent="0.25">
      <c r="A2533" s="8"/>
    </row>
    <row r="2534" spans="1:1" ht="13.8" x14ac:dyDescent="0.25">
      <c r="A2534" s="8"/>
    </row>
    <row r="2535" spans="1:1" ht="13.8" x14ac:dyDescent="0.25">
      <c r="A2535" s="8"/>
    </row>
    <row r="2536" spans="1:1" ht="13.8" x14ac:dyDescent="0.25">
      <c r="A2536" s="8"/>
    </row>
    <row r="2537" spans="1:1" ht="13.8" x14ac:dyDescent="0.25">
      <c r="A2537" s="8"/>
    </row>
    <row r="2538" spans="1:1" ht="13.8" x14ac:dyDescent="0.25">
      <c r="A2538" s="8"/>
    </row>
    <row r="2539" spans="1:1" ht="13.8" x14ac:dyDescent="0.25">
      <c r="A2539" s="8"/>
    </row>
    <row r="2540" spans="1:1" ht="13.8" x14ac:dyDescent="0.25">
      <c r="A2540" s="8"/>
    </row>
    <row r="2541" spans="1:1" ht="13.8" x14ac:dyDescent="0.25">
      <c r="A2541" s="8"/>
    </row>
    <row r="2542" spans="1:1" ht="13.8" x14ac:dyDescent="0.25">
      <c r="A2542" s="8"/>
    </row>
    <row r="2543" spans="1:1" ht="13.8" x14ac:dyDescent="0.25">
      <c r="A2543" s="8"/>
    </row>
    <row r="2544" spans="1:1" ht="13.8" x14ac:dyDescent="0.25">
      <c r="A2544" s="8"/>
    </row>
    <row r="2545" spans="1:1" ht="13.8" x14ac:dyDescent="0.25">
      <c r="A2545" s="8"/>
    </row>
    <row r="2546" spans="1:1" ht="13.8" x14ac:dyDescent="0.25">
      <c r="A2546" s="8"/>
    </row>
    <row r="2547" spans="1:1" ht="13.8" x14ac:dyDescent="0.25">
      <c r="A2547" s="8"/>
    </row>
    <row r="2548" spans="1:1" ht="13.8" x14ac:dyDescent="0.25">
      <c r="A2548" s="8"/>
    </row>
    <row r="2549" spans="1:1" ht="13.8" x14ac:dyDescent="0.25">
      <c r="A2549" s="8"/>
    </row>
    <row r="2550" spans="1:1" ht="13.8" x14ac:dyDescent="0.25">
      <c r="A2550" s="8"/>
    </row>
    <row r="2551" spans="1:1" ht="13.8" x14ac:dyDescent="0.25">
      <c r="A2551" s="8"/>
    </row>
    <row r="2552" spans="1:1" ht="13.8" x14ac:dyDescent="0.25">
      <c r="A2552" s="8"/>
    </row>
    <row r="2553" spans="1:1" ht="13.8" x14ac:dyDescent="0.25">
      <c r="A2553" s="8"/>
    </row>
    <row r="2554" spans="1:1" ht="13.8" x14ac:dyDescent="0.25">
      <c r="A2554" s="8"/>
    </row>
    <row r="2555" spans="1:1" ht="13.8" x14ac:dyDescent="0.25">
      <c r="A2555" s="8"/>
    </row>
    <row r="2556" spans="1:1" ht="13.8" x14ac:dyDescent="0.25">
      <c r="A2556" s="8"/>
    </row>
    <row r="2557" spans="1:1" ht="13.8" x14ac:dyDescent="0.25">
      <c r="A2557" s="8"/>
    </row>
    <row r="2558" spans="1:1" ht="13.8" x14ac:dyDescent="0.25">
      <c r="A2558" s="8"/>
    </row>
    <row r="2559" spans="1:1" ht="13.8" x14ac:dyDescent="0.25">
      <c r="A2559" s="8"/>
    </row>
    <row r="2560" spans="1:1" ht="13.8" x14ac:dyDescent="0.25">
      <c r="A2560" s="8"/>
    </row>
    <row r="2561" spans="1:1" ht="13.8" x14ac:dyDescent="0.25">
      <c r="A2561" s="8"/>
    </row>
    <row r="2562" spans="1:1" ht="13.8" x14ac:dyDescent="0.25">
      <c r="A2562" s="8"/>
    </row>
    <row r="2563" spans="1:1" ht="13.8" x14ac:dyDescent="0.25">
      <c r="A2563" s="8"/>
    </row>
    <row r="2564" spans="1:1" ht="13.8" x14ac:dyDescent="0.25">
      <c r="A2564" s="8"/>
    </row>
    <row r="2565" spans="1:1" ht="13.8" x14ac:dyDescent="0.25">
      <c r="A2565" s="8"/>
    </row>
    <row r="2566" spans="1:1" ht="13.8" x14ac:dyDescent="0.25">
      <c r="A2566" s="8"/>
    </row>
    <row r="2567" spans="1:1" ht="13.8" x14ac:dyDescent="0.25">
      <c r="A2567" s="8"/>
    </row>
    <row r="2568" spans="1:1" ht="13.8" x14ac:dyDescent="0.25">
      <c r="A2568" s="8"/>
    </row>
    <row r="2569" spans="1:1" ht="13.8" x14ac:dyDescent="0.25">
      <c r="A2569" s="8"/>
    </row>
    <row r="2570" spans="1:1" ht="13.8" x14ac:dyDescent="0.25">
      <c r="A2570" s="8"/>
    </row>
    <row r="2571" spans="1:1" ht="13.8" x14ac:dyDescent="0.25">
      <c r="A2571" s="8"/>
    </row>
    <row r="2572" spans="1:1" ht="13.8" x14ac:dyDescent="0.25">
      <c r="A2572" s="8"/>
    </row>
    <row r="2573" spans="1:1" ht="13.8" x14ac:dyDescent="0.25">
      <c r="A2573" s="8"/>
    </row>
    <row r="2574" spans="1:1" ht="13.8" x14ac:dyDescent="0.25">
      <c r="A2574" s="8"/>
    </row>
    <row r="2575" spans="1:1" ht="13.8" x14ac:dyDescent="0.25">
      <c r="A2575" s="8"/>
    </row>
    <row r="2576" spans="1:1" ht="13.8" x14ac:dyDescent="0.25">
      <c r="A2576" s="8"/>
    </row>
    <row r="2577" spans="1:1" ht="13.8" x14ac:dyDescent="0.25">
      <c r="A2577" s="8"/>
    </row>
    <row r="2578" spans="1:1" ht="13.8" x14ac:dyDescent="0.25">
      <c r="A2578" s="8"/>
    </row>
    <row r="2579" spans="1:1" ht="13.8" x14ac:dyDescent="0.25">
      <c r="A2579" s="8"/>
    </row>
    <row r="2580" spans="1:1" ht="13.8" x14ac:dyDescent="0.25">
      <c r="A2580" s="8"/>
    </row>
    <row r="2581" spans="1:1" ht="13.8" x14ac:dyDescent="0.25">
      <c r="A2581" s="8"/>
    </row>
    <row r="2582" spans="1:1" ht="13.8" x14ac:dyDescent="0.25">
      <c r="A2582" s="8"/>
    </row>
    <row r="2583" spans="1:1" ht="13.8" x14ac:dyDescent="0.25">
      <c r="A2583" s="8"/>
    </row>
    <row r="2584" spans="1:1" ht="13.8" x14ac:dyDescent="0.25">
      <c r="A2584" s="8"/>
    </row>
    <row r="2585" spans="1:1" ht="13.8" x14ac:dyDescent="0.25">
      <c r="A2585" s="8"/>
    </row>
    <row r="2586" spans="1:1" ht="13.8" x14ac:dyDescent="0.25">
      <c r="A2586" s="8"/>
    </row>
    <row r="2587" spans="1:1" ht="13.8" x14ac:dyDescent="0.25">
      <c r="A2587" s="8"/>
    </row>
    <row r="2588" spans="1:1" ht="13.8" x14ac:dyDescent="0.25">
      <c r="A2588" s="8"/>
    </row>
    <row r="2589" spans="1:1" ht="13.8" x14ac:dyDescent="0.25">
      <c r="A2589" s="8"/>
    </row>
    <row r="2590" spans="1:1" ht="13.8" x14ac:dyDescent="0.25">
      <c r="A2590" s="8"/>
    </row>
    <row r="2591" spans="1:1" ht="13.8" x14ac:dyDescent="0.25">
      <c r="A2591" s="8"/>
    </row>
    <row r="2592" spans="1:1" ht="13.8" x14ac:dyDescent="0.25">
      <c r="A2592" s="8"/>
    </row>
    <row r="2593" spans="1:1" ht="13.8" x14ac:dyDescent="0.25">
      <c r="A2593" s="8"/>
    </row>
    <row r="2594" spans="1:1" ht="13.8" x14ac:dyDescent="0.25">
      <c r="A2594" s="8"/>
    </row>
    <row r="2595" spans="1:1" ht="13.8" x14ac:dyDescent="0.25">
      <c r="A2595" s="8"/>
    </row>
    <row r="2596" spans="1:1" ht="13.8" x14ac:dyDescent="0.25">
      <c r="A2596" s="8"/>
    </row>
    <row r="2597" spans="1:1" ht="13.8" x14ac:dyDescent="0.25">
      <c r="A2597" s="8"/>
    </row>
    <row r="2598" spans="1:1" ht="13.8" x14ac:dyDescent="0.25">
      <c r="A2598" s="8"/>
    </row>
    <row r="2599" spans="1:1" ht="13.8" x14ac:dyDescent="0.25">
      <c r="A2599" s="8"/>
    </row>
    <row r="2600" spans="1:1" ht="13.8" x14ac:dyDescent="0.25">
      <c r="A2600" s="8"/>
    </row>
    <row r="2601" spans="1:1" ht="13.8" x14ac:dyDescent="0.25">
      <c r="A2601" s="8"/>
    </row>
    <row r="2602" spans="1:1" ht="13.8" x14ac:dyDescent="0.25">
      <c r="A2602" s="8"/>
    </row>
    <row r="2603" spans="1:1" ht="13.8" x14ac:dyDescent="0.25">
      <c r="A2603" s="8"/>
    </row>
    <row r="2604" spans="1:1" ht="13.8" x14ac:dyDescent="0.25">
      <c r="A2604" s="8"/>
    </row>
    <row r="2605" spans="1:1" ht="13.8" x14ac:dyDescent="0.25">
      <c r="A2605" s="8"/>
    </row>
    <row r="2606" spans="1:1" ht="13.8" x14ac:dyDescent="0.25">
      <c r="A2606" s="8"/>
    </row>
    <row r="2607" spans="1:1" ht="13.8" x14ac:dyDescent="0.25">
      <c r="A2607" s="8"/>
    </row>
    <row r="2608" spans="1:1" ht="13.8" x14ac:dyDescent="0.25">
      <c r="A2608" s="8"/>
    </row>
    <row r="2609" spans="1:1" ht="13.8" x14ac:dyDescent="0.25">
      <c r="A2609" s="8"/>
    </row>
    <row r="2610" spans="1:1" ht="13.8" x14ac:dyDescent="0.25">
      <c r="A2610" s="8"/>
    </row>
    <row r="2611" spans="1:1" ht="13.8" x14ac:dyDescent="0.25">
      <c r="A2611" s="8"/>
    </row>
    <row r="2612" spans="1:1" ht="13.8" x14ac:dyDescent="0.25">
      <c r="A2612" s="8"/>
    </row>
    <row r="2613" spans="1:1" ht="13.8" x14ac:dyDescent="0.25">
      <c r="A2613" s="8"/>
    </row>
    <row r="2614" spans="1:1" ht="13.8" x14ac:dyDescent="0.25">
      <c r="A2614" s="8"/>
    </row>
    <row r="2615" spans="1:1" ht="13.8" x14ac:dyDescent="0.25">
      <c r="A2615" s="8"/>
    </row>
    <row r="2616" spans="1:1" ht="13.8" x14ac:dyDescent="0.25">
      <c r="A2616" s="8"/>
    </row>
    <row r="2617" spans="1:1" ht="13.8" x14ac:dyDescent="0.25">
      <c r="A2617" s="8"/>
    </row>
    <row r="2618" spans="1:1" ht="13.8" x14ac:dyDescent="0.25">
      <c r="A2618" s="8"/>
    </row>
    <row r="2619" spans="1:1" ht="13.8" x14ac:dyDescent="0.25">
      <c r="A2619" s="8"/>
    </row>
    <row r="2620" spans="1:1" ht="13.8" x14ac:dyDescent="0.25">
      <c r="A2620" s="8"/>
    </row>
    <row r="2621" spans="1:1" ht="13.8" x14ac:dyDescent="0.25">
      <c r="A2621" s="8"/>
    </row>
    <row r="2622" spans="1:1" ht="13.8" x14ac:dyDescent="0.25">
      <c r="A2622" s="8"/>
    </row>
    <row r="2623" spans="1:1" ht="13.8" x14ac:dyDescent="0.25">
      <c r="A2623" s="8"/>
    </row>
    <row r="2624" spans="1:1" ht="13.8" x14ac:dyDescent="0.25">
      <c r="A2624" s="8"/>
    </row>
    <row r="2625" spans="1:1" ht="13.8" x14ac:dyDescent="0.25">
      <c r="A2625" s="8"/>
    </row>
    <row r="2626" spans="1:1" ht="13.8" x14ac:dyDescent="0.25">
      <c r="A2626" s="8"/>
    </row>
    <row r="2627" spans="1:1" ht="13.8" x14ac:dyDescent="0.25">
      <c r="A2627" s="8"/>
    </row>
    <row r="2628" spans="1:1" ht="13.8" x14ac:dyDescent="0.25">
      <c r="A2628" s="8"/>
    </row>
    <row r="2629" spans="1:1" ht="13.8" x14ac:dyDescent="0.25">
      <c r="A2629" s="8"/>
    </row>
    <row r="2630" spans="1:1" ht="13.8" x14ac:dyDescent="0.25">
      <c r="A2630" s="8"/>
    </row>
    <row r="2631" spans="1:1" ht="13.8" x14ac:dyDescent="0.25">
      <c r="A2631" s="8"/>
    </row>
    <row r="2632" spans="1:1" ht="13.8" x14ac:dyDescent="0.25">
      <c r="A2632" s="8"/>
    </row>
    <row r="2633" spans="1:1" ht="13.8" x14ac:dyDescent="0.25">
      <c r="A2633" s="8"/>
    </row>
    <row r="2634" spans="1:1" ht="13.8" x14ac:dyDescent="0.25">
      <c r="A2634" s="8"/>
    </row>
    <row r="2635" spans="1:1" ht="13.8" x14ac:dyDescent="0.25">
      <c r="A2635" s="8"/>
    </row>
    <row r="2636" spans="1:1" ht="13.8" x14ac:dyDescent="0.25">
      <c r="A2636" s="8"/>
    </row>
    <row r="2637" spans="1:1" ht="13.8" x14ac:dyDescent="0.25">
      <c r="A2637" s="8"/>
    </row>
    <row r="2638" spans="1:1" ht="13.8" x14ac:dyDescent="0.25">
      <c r="A2638" s="8"/>
    </row>
    <row r="2639" spans="1:1" ht="13.8" x14ac:dyDescent="0.25">
      <c r="A2639" s="8"/>
    </row>
    <row r="2640" spans="1:1" ht="13.8" x14ac:dyDescent="0.25">
      <c r="A2640" s="8"/>
    </row>
    <row r="2641" spans="1:1" ht="13.8" x14ac:dyDescent="0.25">
      <c r="A2641" s="8"/>
    </row>
    <row r="2642" spans="1:1" ht="13.8" x14ac:dyDescent="0.25">
      <c r="A2642" s="8"/>
    </row>
    <row r="2643" spans="1:1" ht="13.8" x14ac:dyDescent="0.25">
      <c r="A2643" s="8"/>
    </row>
    <row r="2644" spans="1:1" ht="13.8" x14ac:dyDescent="0.25">
      <c r="A2644" s="8"/>
    </row>
    <row r="2645" spans="1:1" ht="13.8" x14ac:dyDescent="0.25">
      <c r="A2645" s="8"/>
    </row>
    <row r="2646" spans="1:1" ht="13.8" x14ac:dyDescent="0.25">
      <c r="A2646" s="8"/>
    </row>
    <row r="2647" spans="1:1" ht="13.8" x14ac:dyDescent="0.25">
      <c r="A2647" s="8"/>
    </row>
    <row r="2648" spans="1:1" ht="13.8" x14ac:dyDescent="0.25">
      <c r="A2648" s="8"/>
    </row>
    <row r="2649" spans="1:1" ht="13.8" x14ac:dyDescent="0.25">
      <c r="A2649" s="8"/>
    </row>
    <row r="2650" spans="1:1" ht="13.8" x14ac:dyDescent="0.25">
      <c r="A2650" s="8"/>
    </row>
    <row r="2651" spans="1:1" ht="13.8" x14ac:dyDescent="0.25">
      <c r="A2651" s="8"/>
    </row>
    <row r="2652" spans="1:1" ht="13.8" x14ac:dyDescent="0.25">
      <c r="A2652" s="8"/>
    </row>
    <row r="2653" spans="1:1" ht="13.8" x14ac:dyDescent="0.25">
      <c r="A2653" s="8"/>
    </row>
    <row r="2654" spans="1:1" ht="13.8" x14ac:dyDescent="0.25">
      <c r="A2654" s="8"/>
    </row>
    <row r="2655" spans="1:1" ht="13.8" x14ac:dyDescent="0.25">
      <c r="A2655" s="8"/>
    </row>
    <row r="2656" spans="1:1" ht="13.8" x14ac:dyDescent="0.25">
      <c r="A2656" s="8"/>
    </row>
    <row r="2657" spans="1:1" ht="13.8" x14ac:dyDescent="0.25">
      <c r="A2657" s="8"/>
    </row>
    <row r="2658" spans="1:1" ht="13.8" x14ac:dyDescent="0.25">
      <c r="A2658" s="8"/>
    </row>
    <row r="2659" spans="1:1" ht="13.8" x14ac:dyDescent="0.25">
      <c r="A2659" s="8"/>
    </row>
    <row r="2660" spans="1:1" ht="13.8" x14ac:dyDescent="0.25">
      <c r="A2660" s="8"/>
    </row>
    <row r="2661" spans="1:1" ht="13.8" x14ac:dyDescent="0.25">
      <c r="A2661" s="8"/>
    </row>
    <row r="2662" spans="1:1" ht="13.8" x14ac:dyDescent="0.25">
      <c r="A2662" s="8"/>
    </row>
    <row r="2663" spans="1:1" ht="13.8" x14ac:dyDescent="0.25">
      <c r="A2663" s="8"/>
    </row>
    <row r="2664" spans="1:1" ht="13.8" x14ac:dyDescent="0.25">
      <c r="A2664" s="8"/>
    </row>
    <row r="2665" spans="1:1" ht="13.8" x14ac:dyDescent="0.25">
      <c r="A2665" s="8"/>
    </row>
    <row r="2666" spans="1:1" ht="13.8" x14ac:dyDescent="0.25">
      <c r="A2666" s="8"/>
    </row>
    <row r="2667" spans="1:1" ht="13.8" x14ac:dyDescent="0.25">
      <c r="A2667" s="8"/>
    </row>
    <row r="2668" spans="1:1" ht="13.8" x14ac:dyDescent="0.25">
      <c r="A2668" s="8"/>
    </row>
    <row r="2669" spans="1:1" ht="13.8" x14ac:dyDescent="0.25">
      <c r="A2669" s="8"/>
    </row>
    <row r="2670" spans="1:1" ht="13.8" x14ac:dyDescent="0.25">
      <c r="A2670" s="8"/>
    </row>
    <row r="2671" spans="1:1" ht="13.8" x14ac:dyDescent="0.25">
      <c r="A2671" s="8"/>
    </row>
    <row r="2672" spans="1:1" ht="13.8" x14ac:dyDescent="0.25">
      <c r="A2672" s="8"/>
    </row>
    <row r="2673" spans="1:1" ht="13.8" x14ac:dyDescent="0.25">
      <c r="A2673" s="8"/>
    </row>
    <row r="2674" spans="1:1" ht="13.8" x14ac:dyDescent="0.25">
      <c r="A2674" s="8"/>
    </row>
    <row r="2675" spans="1:1" ht="13.8" x14ac:dyDescent="0.25">
      <c r="A2675" s="8"/>
    </row>
    <row r="2676" spans="1:1" ht="13.8" x14ac:dyDescent="0.25">
      <c r="A2676" s="8"/>
    </row>
    <row r="2677" spans="1:1" ht="13.8" x14ac:dyDescent="0.25">
      <c r="A2677" s="8"/>
    </row>
    <row r="2678" spans="1:1" ht="13.8" x14ac:dyDescent="0.25">
      <c r="A2678" s="8"/>
    </row>
    <row r="2679" spans="1:1" ht="13.8" x14ac:dyDescent="0.25">
      <c r="A2679" s="8"/>
    </row>
    <row r="2680" spans="1:1" ht="13.8" x14ac:dyDescent="0.25">
      <c r="A2680" s="8"/>
    </row>
    <row r="2681" spans="1:1" ht="13.8" x14ac:dyDescent="0.25">
      <c r="A2681" s="8"/>
    </row>
    <row r="2682" spans="1:1" ht="13.8" x14ac:dyDescent="0.25">
      <c r="A2682" s="8"/>
    </row>
    <row r="2683" spans="1:1" ht="13.8" x14ac:dyDescent="0.25">
      <c r="A2683" s="8"/>
    </row>
    <row r="2684" spans="1:1" ht="13.8" x14ac:dyDescent="0.25">
      <c r="A2684" s="8"/>
    </row>
    <row r="2685" spans="1:1" ht="13.8" x14ac:dyDescent="0.25">
      <c r="A2685" s="8"/>
    </row>
    <row r="2686" spans="1:1" ht="13.8" x14ac:dyDescent="0.25">
      <c r="A2686" s="8"/>
    </row>
    <row r="2687" spans="1:1" ht="13.8" x14ac:dyDescent="0.25">
      <c r="A2687" s="8"/>
    </row>
    <row r="2688" spans="1:1" ht="13.8" x14ac:dyDescent="0.25">
      <c r="A2688" s="8"/>
    </row>
    <row r="2689" spans="1:1" ht="13.8" x14ac:dyDescent="0.25">
      <c r="A2689" s="8"/>
    </row>
    <row r="2690" spans="1:1" ht="13.8" x14ac:dyDescent="0.25">
      <c r="A2690" s="8"/>
    </row>
    <row r="2691" spans="1:1" ht="13.8" x14ac:dyDescent="0.25">
      <c r="A2691" s="8"/>
    </row>
    <row r="2692" spans="1:1" ht="13.8" x14ac:dyDescent="0.25">
      <c r="A2692" s="8"/>
    </row>
    <row r="2693" spans="1:1" ht="13.8" x14ac:dyDescent="0.25">
      <c r="A2693" s="8"/>
    </row>
    <row r="2694" spans="1:1" ht="13.8" x14ac:dyDescent="0.25">
      <c r="A2694" s="8"/>
    </row>
    <row r="2695" spans="1:1" ht="13.8" x14ac:dyDescent="0.25">
      <c r="A2695" s="8"/>
    </row>
    <row r="2696" spans="1:1" ht="13.8" x14ac:dyDescent="0.25">
      <c r="A2696" s="8"/>
    </row>
    <row r="2697" spans="1:1" ht="13.8" x14ac:dyDescent="0.25">
      <c r="A2697" s="8"/>
    </row>
    <row r="2698" spans="1:1" ht="13.8" x14ac:dyDescent="0.25">
      <c r="A2698" s="8"/>
    </row>
    <row r="2699" spans="1:1" ht="13.8" x14ac:dyDescent="0.25">
      <c r="A2699" s="8"/>
    </row>
    <row r="2700" spans="1:1" ht="13.8" x14ac:dyDescent="0.25">
      <c r="A2700" s="8"/>
    </row>
    <row r="2701" spans="1:1" ht="13.8" x14ac:dyDescent="0.25">
      <c r="A2701" s="8"/>
    </row>
    <row r="2702" spans="1:1" ht="13.8" x14ac:dyDescent="0.25">
      <c r="A2702" s="8"/>
    </row>
    <row r="2703" spans="1:1" ht="13.8" x14ac:dyDescent="0.25">
      <c r="A2703" s="8"/>
    </row>
    <row r="2704" spans="1:1" ht="13.8" x14ac:dyDescent="0.25">
      <c r="A2704" s="8"/>
    </row>
    <row r="2705" spans="1:1" ht="13.8" x14ac:dyDescent="0.25">
      <c r="A2705" s="8"/>
    </row>
    <row r="2706" spans="1:1" ht="13.8" x14ac:dyDescent="0.25">
      <c r="A2706" s="8"/>
    </row>
    <row r="2707" spans="1:1" ht="13.8" x14ac:dyDescent="0.25">
      <c r="A2707" s="8"/>
    </row>
    <row r="2708" spans="1:1" ht="13.8" x14ac:dyDescent="0.25">
      <c r="A2708" s="8"/>
    </row>
    <row r="2709" spans="1:1" ht="13.8" x14ac:dyDescent="0.25">
      <c r="A2709" s="8"/>
    </row>
    <row r="2710" spans="1:1" ht="13.8" x14ac:dyDescent="0.25">
      <c r="A2710" s="8"/>
    </row>
    <row r="2711" spans="1:1" ht="13.8" x14ac:dyDescent="0.25">
      <c r="A2711" s="8"/>
    </row>
    <row r="2712" spans="1:1" ht="13.8" x14ac:dyDescent="0.25">
      <c r="A2712" s="8"/>
    </row>
    <row r="2713" spans="1:1" ht="13.8" x14ac:dyDescent="0.25">
      <c r="A2713" s="8"/>
    </row>
    <row r="2714" spans="1:1" ht="13.8" x14ac:dyDescent="0.25">
      <c r="A2714" s="8"/>
    </row>
    <row r="2715" spans="1:1" ht="13.8" x14ac:dyDescent="0.25">
      <c r="A2715" s="8"/>
    </row>
    <row r="2716" spans="1:1" ht="13.8" x14ac:dyDescent="0.25">
      <c r="A2716" s="8"/>
    </row>
    <row r="2717" spans="1:1" ht="13.8" x14ac:dyDescent="0.25">
      <c r="A2717" s="8"/>
    </row>
    <row r="2718" spans="1:1" ht="13.8" x14ac:dyDescent="0.25">
      <c r="A2718" s="8"/>
    </row>
    <row r="2719" spans="1:1" ht="13.8" x14ac:dyDescent="0.25">
      <c r="A2719" s="8"/>
    </row>
    <row r="2720" spans="1:1" ht="13.8" x14ac:dyDescent="0.25">
      <c r="A2720" s="8"/>
    </row>
    <row r="2721" spans="1:1" ht="13.8" x14ac:dyDescent="0.25">
      <c r="A2721" s="8"/>
    </row>
    <row r="2722" spans="1:1" ht="13.8" x14ac:dyDescent="0.25">
      <c r="A2722" s="8"/>
    </row>
    <row r="2723" spans="1:1" ht="13.8" x14ac:dyDescent="0.25">
      <c r="A2723" s="8"/>
    </row>
    <row r="2724" spans="1:1" ht="13.8" x14ac:dyDescent="0.25">
      <c r="A2724" s="8"/>
    </row>
    <row r="2725" spans="1:1" ht="13.8" x14ac:dyDescent="0.25">
      <c r="A2725" s="8"/>
    </row>
    <row r="2726" spans="1:1" ht="13.8" x14ac:dyDescent="0.25">
      <c r="A2726" s="8"/>
    </row>
    <row r="2727" spans="1:1" ht="13.8" x14ac:dyDescent="0.25">
      <c r="A2727" s="8"/>
    </row>
    <row r="2728" spans="1:1" ht="13.8" x14ac:dyDescent="0.25">
      <c r="A2728" s="8"/>
    </row>
    <row r="2729" spans="1:1" ht="13.8" x14ac:dyDescent="0.25">
      <c r="A2729" s="8"/>
    </row>
    <row r="2730" spans="1:1" ht="13.8" x14ac:dyDescent="0.25">
      <c r="A2730" s="8"/>
    </row>
    <row r="2731" spans="1:1" ht="13.8" x14ac:dyDescent="0.25">
      <c r="A2731" s="8"/>
    </row>
    <row r="2732" spans="1:1" ht="13.8" x14ac:dyDescent="0.25">
      <c r="A2732" s="8"/>
    </row>
    <row r="2733" spans="1:1" ht="13.8" x14ac:dyDescent="0.25">
      <c r="A2733" s="8"/>
    </row>
    <row r="2734" spans="1:1" ht="13.8" x14ac:dyDescent="0.25">
      <c r="A2734" s="8"/>
    </row>
    <row r="2735" spans="1:1" ht="13.8" x14ac:dyDescent="0.25">
      <c r="A2735" s="8"/>
    </row>
    <row r="2736" spans="1:1" ht="13.8" x14ac:dyDescent="0.25">
      <c r="A2736" s="8"/>
    </row>
    <row r="2737" spans="1:1" ht="13.8" x14ac:dyDescent="0.25">
      <c r="A2737" s="8"/>
    </row>
    <row r="2738" spans="1:1" ht="13.8" x14ac:dyDescent="0.25">
      <c r="A2738" s="8"/>
    </row>
    <row r="2739" spans="1:1" ht="13.8" x14ac:dyDescent="0.25">
      <c r="A2739" s="8"/>
    </row>
    <row r="2740" spans="1:1" ht="13.8" x14ac:dyDescent="0.25">
      <c r="A2740" s="8"/>
    </row>
    <row r="2741" spans="1:1" ht="13.8" x14ac:dyDescent="0.25">
      <c r="A2741" s="8"/>
    </row>
    <row r="2742" spans="1:1" ht="13.8" x14ac:dyDescent="0.25">
      <c r="A2742" s="8"/>
    </row>
    <row r="2743" spans="1:1" ht="13.8" x14ac:dyDescent="0.25">
      <c r="A2743" s="8"/>
    </row>
    <row r="2744" spans="1:1" ht="13.8" x14ac:dyDescent="0.25">
      <c r="A2744" s="8"/>
    </row>
    <row r="2745" spans="1:1" ht="13.8" x14ac:dyDescent="0.25">
      <c r="A2745" s="8"/>
    </row>
    <row r="2746" spans="1:1" ht="13.8" x14ac:dyDescent="0.25">
      <c r="A2746" s="8"/>
    </row>
    <row r="2747" spans="1:1" ht="13.8" x14ac:dyDescent="0.25">
      <c r="A2747" s="8"/>
    </row>
    <row r="2748" spans="1:1" ht="13.8" x14ac:dyDescent="0.25">
      <c r="A2748" s="8"/>
    </row>
    <row r="2749" spans="1:1" ht="13.8" x14ac:dyDescent="0.25">
      <c r="A2749" s="8"/>
    </row>
    <row r="2750" spans="1:1" ht="13.8" x14ac:dyDescent="0.25">
      <c r="A2750" s="8"/>
    </row>
    <row r="2751" spans="1:1" ht="13.8" x14ac:dyDescent="0.25">
      <c r="A2751" s="8"/>
    </row>
    <row r="2752" spans="1:1" ht="13.8" x14ac:dyDescent="0.25">
      <c r="A2752" s="8"/>
    </row>
    <row r="2753" spans="1:1" ht="13.8" x14ac:dyDescent="0.25">
      <c r="A2753" s="8"/>
    </row>
    <row r="2754" spans="1:1" ht="13.8" x14ac:dyDescent="0.25">
      <c r="A2754" s="8"/>
    </row>
    <row r="2755" spans="1:1" ht="13.8" x14ac:dyDescent="0.25">
      <c r="A2755" s="8"/>
    </row>
    <row r="2756" spans="1:1" ht="13.8" x14ac:dyDescent="0.25">
      <c r="A2756" s="8"/>
    </row>
    <row r="2757" spans="1:1" ht="13.8" x14ac:dyDescent="0.25">
      <c r="A2757" s="8"/>
    </row>
    <row r="2758" spans="1:1" ht="13.8" x14ac:dyDescent="0.25">
      <c r="A2758" s="8"/>
    </row>
    <row r="2759" spans="1:1" ht="13.8" x14ac:dyDescent="0.25">
      <c r="A2759" s="8"/>
    </row>
    <row r="2760" spans="1:1" ht="13.8" x14ac:dyDescent="0.25">
      <c r="A2760" s="8"/>
    </row>
    <row r="2761" spans="1:1" ht="13.8" x14ac:dyDescent="0.25">
      <c r="A2761" s="8"/>
    </row>
    <row r="2762" spans="1:1" ht="13.8" x14ac:dyDescent="0.25">
      <c r="A2762" s="8"/>
    </row>
    <row r="2763" spans="1:1" ht="13.8" x14ac:dyDescent="0.25">
      <c r="A2763" s="8"/>
    </row>
    <row r="2764" spans="1:1" ht="13.8" x14ac:dyDescent="0.25">
      <c r="A2764" s="8"/>
    </row>
    <row r="2765" spans="1:1" ht="13.8" x14ac:dyDescent="0.25">
      <c r="A2765" s="8"/>
    </row>
    <row r="2766" spans="1:1" ht="13.8" x14ac:dyDescent="0.25">
      <c r="A2766" s="8"/>
    </row>
    <row r="2767" spans="1:1" ht="13.8" x14ac:dyDescent="0.25">
      <c r="A2767" s="8"/>
    </row>
    <row r="2768" spans="1:1" ht="13.8" x14ac:dyDescent="0.25">
      <c r="A2768" s="8"/>
    </row>
    <row r="2769" spans="1:1" ht="13.8" x14ac:dyDescent="0.25">
      <c r="A2769" s="8"/>
    </row>
    <row r="2770" spans="1:1" ht="13.8" x14ac:dyDescent="0.25">
      <c r="A2770" s="8"/>
    </row>
    <row r="2771" spans="1:1" ht="13.8" x14ac:dyDescent="0.25">
      <c r="A2771" s="8"/>
    </row>
    <row r="2772" spans="1:1" ht="13.8" x14ac:dyDescent="0.25">
      <c r="A2772" s="8"/>
    </row>
    <row r="2773" spans="1:1" ht="13.8" x14ac:dyDescent="0.25">
      <c r="A2773" s="8"/>
    </row>
    <row r="2774" spans="1:1" ht="13.8" x14ac:dyDescent="0.25">
      <c r="A2774" s="8"/>
    </row>
    <row r="2775" spans="1:1" ht="13.8" x14ac:dyDescent="0.25">
      <c r="A2775" s="8"/>
    </row>
    <row r="2776" spans="1:1" ht="13.8" x14ac:dyDescent="0.25">
      <c r="A2776" s="8"/>
    </row>
    <row r="2777" spans="1:1" ht="13.8" x14ac:dyDescent="0.25">
      <c r="A2777" s="8"/>
    </row>
    <row r="2778" spans="1:1" ht="13.8" x14ac:dyDescent="0.25">
      <c r="A2778" s="8"/>
    </row>
    <row r="2779" spans="1:1" ht="13.8" x14ac:dyDescent="0.25">
      <c r="A2779" s="8"/>
    </row>
    <row r="2780" spans="1:1" ht="13.8" x14ac:dyDescent="0.25">
      <c r="A2780" s="8"/>
    </row>
    <row r="2781" spans="1:1" ht="13.8" x14ac:dyDescent="0.25">
      <c r="A2781" s="8"/>
    </row>
    <row r="2782" spans="1:1" ht="13.8" x14ac:dyDescent="0.25">
      <c r="A2782" s="8"/>
    </row>
    <row r="2783" spans="1:1" ht="13.8" x14ac:dyDescent="0.25">
      <c r="A2783" s="8"/>
    </row>
    <row r="2784" spans="1:1" ht="13.8" x14ac:dyDescent="0.25">
      <c r="A2784" s="8"/>
    </row>
    <row r="2785" spans="1:1" ht="13.8" x14ac:dyDescent="0.25">
      <c r="A2785" s="8"/>
    </row>
    <row r="2786" spans="1:1" ht="13.8" x14ac:dyDescent="0.25">
      <c r="A2786" s="8"/>
    </row>
    <row r="2787" spans="1:1" ht="13.8" x14ac:dyDescent="0.25">
      <c r="A2787" s="8"/>
    </row>
    <row r="2788" spans="1:1" ht="13.8" x14ac:dyDescent="0.25">
      <c r="A2788" s="8"/>
    </row>
    <row r="2789" spans="1:1" ht="13.8" x14ac:dyDescent="0.25">
      <c r="A2789" s="8"/>
    </row>
    <row r="2790" spans="1:1" ht="13.8" x14ac:dyDescent="0.25">
      <c r="A2790" s="8"/>
    </row>
    <row r="2791" spans="1:1" ht="13.8" x14ac:dyDescent="0.25">
      <c r="A2791" s="8"/>
    </row>
    <row r="2792" spans="1:1" ht="13.8" x14ac:dyDescent="0.25">
      <c r="A2792" s="8"/>
    </row>
    <row r="2793" spans="1:1" ht="13.8" x14ac:dyDescent="0.25">
      <c r="A2793" s="8"/>
    </row>
    <row r="2794" spans="1:1" ht="13.8" x14ac:dyDescent="0.25">
      <c r="A2794" s="8"/>
    </row>
    <row r="2795" spans="1:1" ht="13.8" x14ac:dyDescent="0.25">
      <c r="A2795" s="8"/>
    </row>
    <row r="2796" spans="1:1" ht="13.8" x14ac:dyDescent="0.25">
      <c r="A2796" s="8"/>
    </row>
    <row r="2797" spans="1:1" ht="13.8" x14ac:dyDescent="0.25">
      <c r="A2797" s="8"/>
    </row>
    <row r="2798" spans="1:1" ht="13.8" x14ac:dyDescent="0.25">
      <c r="A2798" s="8"/>
    </row>
    <row r="2799" spans="1:1" ht="13.8" x14ac:dyDescent="0.25">
      <c r="A2799" s="8"/>
    </row>
    <row r="2800" spans="1:1" ht="13.8" x14ac:dyDescent="0.25">
      <c r="A2800" s="8"/>
    </row>
    <row r="2801" spans="1:1" ht="13.8" x14ac:dyDescent="0.25">
      <c r="A2801" s="8"/>
    </row>
    <row r="2802" spans="1:1" ht="13.8" x14ac:dyDescent="0.25">
      <c r="A2802" s="8"/>
    </row>
    <row r="2803" spans="1:1" ht="13.8" x14ac:dyDescent="0.25">
      <c r="A2803" s="8"/>
    </row>
    <row r="2804" spans="1:1" ht="13.8" x14ac:dyDescent="0.25">
      <c r="A2804" s="8"/>
    </row>
    <row r="2805" spans="1:1" ht="13.8" x14ac:dyDescent="0.25">
      <c r="A2805" s="8"/>
    </row>
    <row r="2806" spans="1:1" ht="13.8" x14ac:dyDescent="0.25">
      <c r="A2806" s="8"/>
    </row>
    <row r="2807" spans="1:1" ht="13.8" x14ac:dyDescent="0.25">
      <c r="A2807" s="8"/>
    </row>
    <row r="2808" spans="1:1" ht="13.8" x14ac:dyDescent="0.25">
      <c r="A2808" s="8"/>
    </row>
    <row r="2809" spans="1:1" ht="13.8" x14ac:dyDescent="0.25">
      <c r="A2809" s="8"/>
    </row>
    <row r="2810" spans="1:1" ht="13.8" x14ac:dyDescent="0.25">
      <c r="A2810" s="8"/>
    </row>
    <row r="2811" spans="1:1" ht="13.8" x14ac:dyDescent="0.25">
      <c r="A2811" s="8"/>
    </row>
    <row r="2812" spans="1:1" ht="13.8" x14ac:dyDescent="0.25">
      <c r="A2812" s="8"/>
    </row>
    <row r="2813" spans="1:1" ht="13.8" x14ac:dyDescent="0.25">
      <c r="A2813" s="8"/>
    </row>
    <row r="2814" spans="1:1" ht="13.8" x14ac:dyDescent="0.25">
      <c r="A2814" s="8"/>
    </row>
    <row r="2815" spans="1:1" ht="13.8" x14ac:dyDescent="0.25">
      <c r="A2815" s="8"/>
    </row>
    <row r="2816" spans="1:1" ht="13.8" x14ac:dyDescent="0.25">
      <c r="A2816" s="8"/>
    </row>
    <row r="2817" spans="1:1" ht="13.8" x14ac:dyDescent="0.25">
      <c r="A2817" s="8"/>
    </row>
    <row r="2818" spans="1:1" ht="13.8" x14ac:dyDescent="0.25">
      <c r="A2818" s="8"/>
    </row>
    <row r="2819" spans="1:1" ht="13.8" x14ac:dyDescent="0.25">
      <c r="A2819" s="8"/>
    </row>
    <row r="2820" spans="1:1" ht="13.8" x14ac:dyDescent="0.25">
      <c r="A2820" s="8"/>
    </row>
    <row r="2821" spans="1:1" ht="13.8" x14ac:dyDescent="0.25">
      <c r="A2821" s="8"/>
    </row>
    <row r="2822" spans="1:1" ht="13.8" x14ac:dyDescent="0.25">
      <c r="A2822" s="8"/>
    </row>
    <row r="2823" spans="1:1" ht="13.8" x14ac:dyDescent="0.25">
      <c r="A2823" s="8"/>
    </row>
    <row r="2824" spans="1:1" ht="13.8" x14ac:dyDescent="0.25">
      <c r="A2824" s="8"/>
    </row>
    <row r="2825" spans="1:1" ht="13.8" x14ac:dyDescent="0.25">
      <c r="A2825" s="8"/>
    </row>
    <row r="2826" spans="1:1" ht="13.8" x14ac:dyDescent="0.25">
      <c r="A2826" s="8"/>
    </row>
    <row r="2827" spans="1:1" ht="13.8" x14ac:dyDescent="0.25">
      <c r="A2827" s="8"/>
    </row>
    <row r="2828" spans="1:1" ht="13.8" x14ac:dyDescent="0.25">
      <c r="A2828" s="8"/>
    </row>
    <row r="2829" spans="1:1" ht="13.8" x14ac:dyDescent="0.25">
      <c r="A2829" s="8"/>
    </row>
    <row r="2830" spans="1:1" ht="13.8" x14ac:dyDescent="0.25">
      <c r="A2830" s="8"/>
    </row>
    <row r="2831" spans="1:1" ht="13.8" x14ac:dyDescent="0.25">
      <c r="A2831" s="8"/>
    </row>
    <row r="2832" spans="1:1" ht="13.8" x14ac:dyDescent="0.25">
      <c r="A2832" s="8"/>
    </row>
    <row r="2833" spans="1:1" ht="13.8" x14ac:dyDescent="0.25">
      <c r="A2833" s="8"/>
    </row>
    <row r="2834" spans="1:1" ht="13.8" x14ac:dyDescent="0.25">
      <c r="A2834" s="8"/>
    </row>
    <row r="2835" spans="1:1" ht="13.8" x14ac:dyDescent="0.25">
      <c r="A2835" s="8"/>
    </row>
    <row r="2836" spans="1:1" ht="13.8" x14ac:dyDescent="0.25">
      <c r="A2836" s="8"/>
    </row>
    <row r="2837" spans="1:1" ht="13.8" x14ac:dyDescent="0.25">
      <c r="A2837" s="8"/>
    </row>
    <row r="2838" spans="1:1" ht="13.8" x14ac:dyDescent="0.25">
      <c r="A2838" s="8"/>
    </row>
    <row r="2839" spans="1:1" ht="13.8" x14ac:dyDescent="0.25">
      <c r="A2839" s="8"/>
    </row>
    <row r="2840" spans="1:1" ht="13.8" x14ac:dyDescent="0.25">
      <c r="A2840" s="8"/>
    </row>
    <row r="2841" spans="1:1" ht="13.8" x14ac:dyDescent="0.25">
      <c r="A2841" s="8"/>
    </row>
    <row r="2842" spans="1:1" ht="13.8" x14ac:dyDescent="0.25">
      <c r="A2842" s="8"/>
    </row>
    <row r="2843" spans="1:1" ht="13.8" x14ac:dyDescent="0.25">
      <c r="A2843" s="8"/>
    </row>
    <row r="2844" spans="1:1" ht="13.8" x14ac:dyDescent="0.25">
      <c r="A2844" s="8"/>
    </row>
    <row r="2845" spans="1:1" ht="13.8" x14ac:dyDescent="0.25">
      <c r="A2845" s="8"/>
    </row>
    <row r="2846" spans="1:1" ht="13.8" x14ac:dyDescent="0.25">
      <c r="A2846" s="8"/>
    </row>
    <row r="2847" spans="1:1" ht="13.8" x14ac:dyDescent="0.25">
      <c r="A2847" s="8"/>
    </row>
    <row r="2848" spans="1:1" ht="13.8" x14ac:dyDescent="0.25">
      <c r="A2848" s="8"/>
    </row>
    <row r="2849" spans="1:1" ht="13.8" x14ac:dyDescent="0.25">
      <c r="A2849" s="8"/>
    </row>
    <row r="2850" spans="1:1" ht="13.8" x14ac:dyDescent="0.25">
      <c r="A2850" s="8"/>
    </row>
    <row r="2851" spans="1:1" ht="13.8" x14ac:dyDescent="0.25">
      <c r="A2851" s="8"/>
    </row>
    <row r="2852" spans="1:1" ht="13.8" x14ac:dyDescent="0.25">
      <c r="A2852" s="8"/>
    </row>
    <row r="2853" spans="1:1" ht="13.8" x14ac:dyDescent="0.25">
      <c r="A2853" s="8"/>
    </row>
    <row r="2854" spans="1:1" ht="13.8" x14ac:dyDescent="0.25">
      <c r="A2854" s="8"/>
    </row>
    <row r="2855" spans="1:1" ht="13.8" x14ac:dyDescent="0.25">
      <c r="A2855" s="8"/>
    </row>
    <row r="2856" spans="1:1" ht="13.8" x14ac:dyDescent="0.25">
      <c r="A2856" s="8"/>
    </row>
    <row r="2857" spans="1:1" ht="13.8" x14ac:dyDescent="0.25">
      <c r="A2857" s="8"/>
    </row>
    <row r="2858" spans="1:1" ht="13.8" x14ac:dyDescent="0.25">
      <c r="A2858" s="8"/>
    </row>
    <row r="2859" spans="1:1" ht="13.8" x14ac:dyDescent="0.25">
      <c r="A2859" s="8"/>
    </row>
    <row r="2860" spans="1:1" ht="13.8" x14ac:dyDescent="0.25">
      <c r="A2860" s="8"/>
    </row>
    <row r="2861" spans="1:1" ht="13.8" x14ac:dyDescent="0.25">
      <c r="A2861" s="8"/>
    </row>
    <row r="2862" spans="1:1" ht="13.8" x14ac:dyDescent="0.25">
      <c r="A2862" s="8"/>
    </row>
    <row r="2863" spans="1:1" ht="13.8" x14ac:dyDescent="0.25">
      <c r="A2863" s="8"/>
    </row>
    <row r="2864" spans="1:1" ht="13.8" x14ac:dyDescent="0.25">
      <c r="A2864" s="8"/>
    </row>
    <row r="2865" spans="1:1" ht="13.8" x14ac:dyDescent="0.25">
      <c r="A2865" s="8"/>
    </row>
    <row r="2866" spans="1:1" ht="13.8" x14ac:dyDescent="0.25">
      <c r="A2866" s="8"/>
    </row>
    <row r="2867" spans="1:1" ht="13.8" x14ac:dyDescent="0.25">
      <c r="A2867" s="8"/>
    </row>
    <row r="2868" spans="1:1" ht="13.8" x14ac:dyDescent="0.25">
      <c r="A2868" s="8"/>
    </row>
    <row r="2869" spans="1:1" ht="13.8" x14ac:dyDescent="0.25">
      <c r="A2869" s="8"/>
    </row>
    <row r="2870" spans="1:1" ht="13.8" x14ac:dyDescent="0.25">
      <c r="A2870" s="8"/>
    </row>
    <row r="2871" spans="1:1" ht="13.8" x14ac:dyDescent="0.25">
      <c r="A2871" s="8"/>
    </row>
    <row r="2872" spans="1:1" ht="13.8" x14ac:dyDescent="0.25">
      <c r="A2872" s="8"/>
    </row>
    <row r="2873" spans="1:1" ht="13.8" x14ac:dyDescent="0.25">
      <c r="A2873" s="8"/>
    </row>
    <row r="2874" spans="1:1" ht="13.8" x14ac:dyDescent="0.25">
      <c r="A2874" s="8"/>
    </row>
    <row r="2875" spans="1:1" ht="13.8" x14ac:dyDescent="0.25">
      <c r="A2875" s="8"/>
    </row>
    <row r="2876" spans="1:1" ht="13.8" x14ac:dyDescent="0.25">
      <c r="A2876" s="8"/>
    </row>
    <row r="2877" spans="1:1" ht="13.8" x14ac:dyDescent="0.25">
      <c r="A2877" s="8"/>
    </row>
    <row r="2878" spans="1:1" ht="13.8" x14ac:dyDescent="0.25">
      <c r="A2878" s="8"/>
    </row>
    <row r="2879" spans="1:1" ht="13.8" x14ac:dyDescent="0.25">
      <c r="A2879" s="8"/>
    </row>
    <row r="2880" spans="1:1" ht="13.8" x14ac:dyDescent="0.25">
      <c r="A2880" s="8"/>
    </row>
    <row r="2881" spans="1:1" ht="13.8" x14ac:dyDescent="0.25">
      <c r="A2881" s="8"/>
    </row>
    <row r="2882" spans="1:1" ht="13.8" x14ac:dyDescent="0.25">
      <c r="A2882" s="8"/>
    </row>
    <row r="2883" spans="1:1" ht="13.8" x14ac:dyDescent="0.25">
      <c r="A2883" s="8"/>
    </row>
    <row r="2884" spans="1:1" ht="13.8" x14ac:dyDescent="0.25">
      <c r="A2884" s="8"/>
    </row>
    <row r="2885" spans="1:1" ht="13.8" x14ac:dyDescent="0.25">
      <c r="A2885" s="8"/>
    </row>
    <row r="2886" spans="1:1" ht="13.8" x14ac:dyDescent="0.25">
      <c r="A2886" s="8"/>
    </row>
    <row r="2887" spans="1:1" ht="13.8" x14ac:dyDescent="0.25">
      <c r="A2887" s="8"/>
    </row>
    <row r="2888" spans="1:1" ht="13.8" x14ac:dyDescent="0.25">
      <c r="A2888" s="8"/>
    </row>
    <row r="2889" spans="1:1" ht="13.8" x14ac:dyDescent="0.25">
      <c r="A2889" s="8"/>
    </row>
    <row r="2890" spans="1:1" ht="13.8" x14ac:dyDescent="0.25">
      <c r="A2890" s="8"/>
    </row>
    <row r="2891" spans="1:1" ht="13.8" x14ac:dyDescent="0.25">
      <c r="A2891" s="8"/>
    </row>
    <row r="2892" spans="1:1" ht="13.8" x14ac:dyDescent="0.25">
      <c r="A2892" s="8"/>
    </row>
    <row r="2893" spans="1:1" ht="13.8" x14ac:dyDescent="0.25">
      <c r="A2893" s="8"/>
    </row>
    <row r="2894" spans="1:1" ht="13.8" x14ac:dyDescent="0.25">
      <c r="A2894" s="8"/>
    </row>
    <row r="2895" spans="1:1" ht="13.8" x14ac:dyDescent="0.25">
      <c r="A2895" s="8"/>
    </row>
    <row r="2896" spans="1:1" ht="13.8" x14ac:dyDescent="0.25">
      <c r="A2896" s="8"/>
    </row>
    <row r="2897" spans="1:1" ht="13.8" x14ac:dyDescent="0.25">
      <c r="A2897" s="8"/>
    </row>
    <row r="2898" spans="1:1" ht="13.8" x14ac:dyDescent="0.25">
      <c r="A2898" s="8"/>
    </row>
    <row r="2899" spans="1:1" ht="13.8" x14ac:dyDescent="0.25">
      <c r="A2899" s="8"/>
    </row>
    <row r="2900" spans="1:1" ht="13.8" x14ac:dyDescent="0.25">
      <c r="A2900" s="8"/>
    </row>
    <row r="2901" spans="1:1" ht="13.8" x14ac:dyDescent="0.25">
      <c r="A2901" s="8"/>
    </row>
    <row r="2902" spans="1:1" ht="13.8" x14ac:dyDescent="0.25">
      <c r="A2902" s="8"/>
    </row>
    <row r="2903" spans="1:1" ht="13.8" x14ac:dyDescent="0.25">
      <c r="A2903" s="8"/>
    </row>
    <row r="2904" spans="1:1" ht="13.8" x14ac:dyDescent="0.25">
      <c r="A2904" s="8"/>
    </row>
    <row r="2905" spans="1:1" ht="13.8" x14ac:dyDescent="0.25">
      <c r="A2905" s="8"/>
    </row>
    <row r="2906" spans="1:1" ht="13.8" x14ac:dyDescent="0.25">
      <c r="A2906" s="8"/>
    </row>
    <row r="2907" spans="1:1" ht="13.8" x14ac:dyDescent="0.25">
      <c r="A2907" s="8"/>
    </row>
    <row r="2908" spans="1:1" ht="13.8" x14ac:dyDescent="0.25">
      <c r="A2908" s="8"/>
    </row>
    <row r="2909" spans="1:1" ht="13.8" x14ac:dyDescent="0.25">
      <c r="A2909" s="8"/>
    </row>
    <row r="2910" spans="1:1" ht="13.8" x14ac:dyDescent="0.25">
      <c r="A2910" s="8"/>
    </row>
    <row r="2911" spans="1:1" ht="13.8" x14ac:dyDescent="0.25">
      <c r="A2911" s="8"/>
    </row>
    <row r="2912" spans="1:1" ht="13.8" x14ac:dyDescent="0.25">
      <c r="A2912" s="8"/>
    </row>
    <row r="2913" spans="1:1" ht="13.8" x14ac:dyDescent="0.25">
      <c r="A2913" s="8"/>
    </row>
    <row r="2914" spans="1:1" ht="13.8" x14ac:dyDescent="0.25">
      <c r="A2914" s="8"/>
    </row>
    <row r="2915" spans="1:1" ht="13.8" x14ac:dyDescent="0.25">
      <c r="A2915" s="8"/>
    </row>
    <row r="2916" spans="1:1" ht="13.8" x14ac:dyDescent="0.25">
      <c r="A2916" s="8"/>
    </row>
    <row r="2917" spans="1:1" ht="13.8" x14ac:dyDescent="0.25">
      <c r="A2917" s="8"/>
    </row>
    <row r="2918" spans="1:1" ht="13.8" x14ac:dyDescent="0.25">
      <c r="A2918" s="8"/>
    </row>
    <row r="2919" spans="1:1" ht="13.8" x14ac:dyDescent="0.25">
      <c r="A2919" s="8"/>
    </row>
    <row r="2920" spans="1:1" ht="13.8" x14ac:dyDescent="0.25">
      <c r="A2920" s="8"/>
    </row>
    <row r="2921" spans="1:1" ht="13.8" x14ac:dyDescent="0.25">
      <c r="A2921" s="8"/>
    </row>
    <row r="2922" spans="1:1" ht="13.8" x14ac:dyDescent="0.25">
      <c r="A2922" s="8"/>
    </row>
    <row r="2923" spans="1:1" ht="13.8" x14ac:dyDescent="0.25">
      <c r="A2923" s="8"/>
    </row>
    <row r="2924" spans="1:1" ht="13.8" x14ac:dyDescent="0.25">
      <c r="A2924" s="8"/>
    </row>
    <row r="2925" spans="1:1" ht="13.8" x14ac:dyDescent="0.25">
      <c r="A2925" s="8"/>
    </row>
    <row r="2926" spans="1:1" ht="13.8" x14ac:dyDescent="0.25">
      <c r="A2926" s="8"/>
    </row>
    <row r="2927" spans="1:1" ht="13.8" x14ac:dyDescent="0.25">
      <c r="A2927" s="8"/>
    </row>
    <row r="2928" spans="1:1" ht="13.8" x14ac:dyDescent="0.25">
      <c r="A2928" s="8"/>
    </row>
    <row r="2929" spans="1:1" ht="13.8" x14ac:dyDescent="0.25">
      <c r="A2929" s="8"/>
    </row>
    <row r="2930" spans="1:1" ht="13.8" x14ac:dyDescent="0.25">
      <c r="A2930" s="8"/>
    </row>
    <row r="2931" spans="1:1" ht="13.8" x14ac:dyDescent="0.25">
      <c r="A2931" s="8"/>
    </row>
    <row r="2932" spans="1:1" ht="13.8" x14ac:dyDescent="0.25">
      <c r="A2932" s="8"/>
    </row>
    <row r="2933" spans="1:1" ht="13.8" x14ac:dyDescent="0.25">
      <c r="A2933" s="8"/>
    </row>
    <row r="2934" spans="1:1" ht="13.8" x14ac:dyDescent="0.25">
      <c r="A2934" s="8"/>
    </row>
    <row r="2935" spans="1:1" ht="13.8" x14ac:dyDescent="0.25">
      <c r="A2935" s="8"/>
    </row>
    <row r="2936" spans="1:1" ht="13.8" x14ac:dyDescent="0.25">
      <c r="A2936" s="8"/>
    </row>
    <row r="2937" spans="1:1" ht="13.8" x14ac:dyDescent="0.25">
      <c r="A2937" s="8"/>
    </row>
    <row r="2938" spans="1:1" ht="13.8" x14ac:dyDescent="0.25">
      <c r="A2938" s="8"/>
    </row>
    <row r="2939" spans="1:1" ht="13.8" x14ac:dyDescent="0.25">
      <c r="A2939" s="8"/>
    </row>
    <row r="2940" spans="1:1" ht="13.8" x14ac:dyDescent="0.25">
      <c r="A2940" s="8"/>
    </row>
    <row r="2941" spans="1:1" ht="13.8" x14ac:dyDescent="0.25">
      <c r="A2941" s="8"/>
    </row>
    <row r="2942" spans="1:1" ht="13.8" x14ac:dyDescent="0.25">
      <c r="A2942" s="8"/>
    </row>
    <row r="2943" spans="1:1" ht="13.8" x14ac:dyDescent="0.25">
      <c r="A2943" s="8"/>
    </row>
    <row r="2944" spans="1:1" ht="13.8" x14ac:dyDescent="0.25">
      <c r="A2944" s="8"/>
    </row>
    <row r="2945" spans="1:1" ht="13.8" x14ac:dyDescent="0.25">
      <c r="A2945" s="8"/>
    </row>
    <row r="2946" spans="1:1" ht="13.8" x14ac:dyDescent="0.25">
      <c r="A2946" s="8"/>
    </row>
    <row r="2947" spans="1:1" ht="13.8" x14ac:dyDescent="0.25">
      <c r="A2947" s="8"/>
    </row>
    <row r="2948" spans="1:1" ht="13.8" x14ac:dyDescent="0.25">
      <c r="A2948" s="8"/>
    </row>
    <row r="2949" spans="1:1" ht="13.8" x14ac:dyDescent="0.25">
      <c r="A2949" s="8"/>
    </row>
    <row r="2950" spans="1:1" ht="13.8" x14ac:dyDescent="0.25">
      <c r="A2950" s="8"/>
    </row>
    <row r="2951" spans="1:1" ht="13.8" x14ac:dyDescent="0.25">
      <c r="A2951" s="8"/>
    </row>
    <row r="2952" spans="1:1" ht="13.8" x14ac:dyDescent="0.25">
      <c r="A2952" s="8"/>
    </row>
    <row r="2953" spans="1:1" ht="13.8" x14ac:dyDescent="0.25">
      <c r="A2953" s="8"/>
    </row>
    <row r="2954" spans="1:1" ht="13.8" x14ac:dyDescent="0.25">
      <c r="A2954" s="8"/>
    </row>
    <row r="2955" spans="1:1" ht="13.8" x14ac:dyDescent="0.25">
      <c r="A2955" s="8"/>
    </row>
    <row r="2956" spans="1:1" ht="13.8" x14ac:dyDescent="0.25">
      <c r="A2956" s="8"/>
    </row>
    <row r="2957" spans="1:1" ht="13.8" x14ac:dyDescent="0.25">
      <c r="A2957" s="8"/>
    </row>
    <row r="2958" spans="1:1" ht="13.8" x14ac:dyDescent="0.25">
      <c r="A2958" s="8"/>
    </row>
    <row r="2959" spans="1:1" ht="13.8" x14ac:dyDescent="0.25">
      <c r="A2959" s="8"/>
    </row>
    <row r="2960" spans="1:1" ht="13.8" x14ac:dyDescent="0.25">
      <c r="A2960" s="8"/>
    </row>
    <row r="2961" spans="1:1" ht="13.8" x14ac:dyDescent="0.25">
      <c r="A2961" s="8"/>
    </row>
    <row r="2962" spans="1:1" ht="13.8" x14ac:dyDescent="0.25">
      <c r="A2962" s="8"/>
    </row>
    <row r="2963" spans="1:1" ht="13.8" x14ac:dyDescent="0.25">
      <c r="A2963" s="8"/>
    </row>
    <row r="2964" spans="1:1" ht="13.8" x14ac:dyDescent="0.25">
      <c r="A2964" s="8"/>
    </row>
    <row r="2965" spans="1:1" ht="13.8" x14ac:dyDescent="0.25">
      <c r="A2965" s="8"/>
    </row>
    <row r="2966" spans="1:1" ht="13.8" x14ac:dyDescent="0.25">
      <c r="A2966" s="8"/>
    </row>
    <row r="2967" spans="1:1" ht="13.8" x14ac:dyDescent="0.25">
      <c r="A2967" s="8"/>
    </row>
    <row r="2968" spans="1:1" ht="13.8" x14ac:dyDescent="0.25">
      <c r="A2968" s="8"/>
    </row>
    <row r="2969" spans="1:1" ht="13.8" x14ac:dyDescent="0.25">
      <c r="A2969" s="8"/>
    </row>
    <row r="2970" spans="1:1" ht="13.8" x14ac:dyDescent="0.25">
      <c r="A2970" s="8"/>
    </row>
    <row r="2971" spans="1:1" ht="13.8" x14ac:dyDescent="0.25">
      <c r="A2971" s="8"/>
    </row>
    <row r="2972" spans="1:1" ht="13.8" x14ac:dyDescent="0.25">
      <c r="A2972" s="8"/>
    </row>
    <row r="2973" spans="1:1" ht="13.8" x14ac:dyDescent="0.25">
      <c r="A2973" s="8"/>
    </row>
    <row r="2974" spans="1:1" ht="13.8" x14ac:dyDescent="0.25">
      <c r="A2974" s="8"/>
    </row>
    <row r="2975" spans="1:1" ht="13.8" x14ac:dyDescent="0.25">
      <c r="A2975" s="8"/>
    </row>
    <row r="2976" spans="1:1" ht="13.8" x14ac:dyDescent="0.25">
      <c r="A2976" s="8"/>
    </row>
    <row r="2977" spans="1:1" ht="13.8" x14ac:dyDescent="0.25">
      <c r="A2977" s="8"/>
    </row>
    <row r="2978" spans="1:1" ht="13.8" x14ac:dyDescent="0.25">
      <c r="A2978" s="8"/>
    </row>
    <row r="2979" spans="1:1" ht="13.8" x14ac:dyDescent="0.25">
      <c r="A2979" s="8"/>
    </row>
    <row r="2980" spans="1:1" ht="13.8" x14ac:dyDescent="0.25">
      <c r="A2980" s="8"/>
    </row>
    <row r="2981" spans="1:1" ht="13.8" x14ac:dyDescent="0.25">
      <c r="A2981" s="8"/>
    </row>
    <row r="2982" spans="1:1" ht="13.8" x14ac:dyDescent="0.25">
      <c r="A2982" s="8"/>
    </row>
    <row r="2983" spans="1:1" ht="13.8" x14ac:dyDescent="0.25">
      <c r="A2983" s="8"/>
    </row>
    <row r="2984" spans="1:1" ht="13.8" x14ac:dyDescent="0.25">
      <c r="A2984" s="8"/>
    </row>
    <row r="2985" spans="1:1" ht="13.8" x14ac:dyDescent="0.25">
      <c r="A2985" s="8"/>
    </row>
    <row r="2986" spans="1:1" ht="13.8" x14ac:dyDescent="0.25">
      <c r="A2986" s="8"/>
    </row>
    <row r="2987" spans="1:1" ht="13.8" x14ac:dyDescent="0.25">
      <c r="A2987" s="8"/>
    </row>
    <row r="2988" spans="1:1" ht="13.8" x14ac:dyDescent="0.25">
      <c r="A2988" s="8"/>
    </row>
    <row r="2989" spans="1:1" ht="13.8" x14ac:dyDescent="0.25">
      <c r="A2989" s="8"/>
    </row>
    <row r="2990" spans="1:1" ht="13.8" x14ac:dyDescent="0.25">
      <c r="A2990" s="8"/>
    </row>
    <row r="2991" spans="1:1" ht="13.8" x14ac:dyDescent="0.25">
      <c r="A2991" s="8"/>
    </row>
    <row r="2992" spans="1:1" ht="13.8" x14ac:dyDescent="0.25">
      <c r="A2992" s="8"/>
    </row>
    <row r="2993" spans="1:1" ht="13.8" x14ac:dyDescent="0.25">
      <c r="A2993" s="8"/>
    </row>
    <row r="2994" spans="1:1" ht="13.8" x14ac:dyDescent="0.25">
      <c r="A2994" s="8"/>
    </row>
    <row r="2995" spans="1:1" ht="13.8" x14ac:dyDescent="0.25">
      <c r="A2995" s="8"/>
    </row>
    <row r="2996" spans="1:1" ht="13.8" x14ac:dyDescent="0.25">
      <c r="A2996" s="8"/>
    </row>
    <row r="2997" spans="1:1" ht="13.8" x14ac:dyDescent="0.25">
      <c r="A2997" s="8"/>
    </row>
    <row r="2998" spans="1:1" ht="13.8" x14ac:dyDescent="0.25">
      <c r="A2998" s="8"/>
    </row>
    <row r="2999" spans="1:1" ht="13.8" x14ac:dyDescent="0.25">
      <c r="A2999" s="8"/>
    </row>
    <row r="3000" spans="1:1" ht="13.8" x14ac:dyDescent="0.25">
      <c r="A3000" s="8"/>
    </row>
    <row r="3001" spans="1:1" ht="13.8" x14ac:dyDescent="0.25">
      <c r="A3001" s="8"/>
    </row>
    <row r="3002" spans="1:1" ht="13.8" x14ac:dyDescent="0.25">
      <c r="A3002" s="8"/>
    </row>
    <row r="3003" spans="1:1" ht="13.8" x14ac:dyDescent="0.25">
      <c r="A3003" s="8"/>
    </row>
    <row r="3004" spans="1:1" ht="13.8" x14ac:dyDescent="0.25">
      <c r="A3004" s="8"/>
    </row>
    <row r="3005" spans="1:1" ht="13.8" x14ac:dyDescent="0.25">
      <c r="A3005" s="8"/>
    </row>
    <row r="3006" spans="1:1" ht="13.8" x14ac:dyDescent="0.25">
      <c r="A3006" s="8"/>
    </row>
    <row r="3007" spans="1:1" ht="13.8" x14ac:dyDescent="0.25">
      <c r="A3007" s="8"/>
    </row>
    <row r="3008" spans="1:1" ht="13.8" x14ac:dyDescent="0.25">
      <c r="A3008" s="8"/>
    </row>
    <row r="3009" spans="1:1" ht="13.8" x14ac:dyDescent="0.25">
      <c r="A3009" s="8"/>
    </row>
    <row r="3010" spans="1:1" ht="13.8" x14ac:dyDescent="0.25">
      <c r="A3010" s="8"/>
    </row>
    <row r="3011" spans="1:1" ht="13.8" x14ac:dyDescent="0.25">
      <c r="A3011" s="8"/>
    </row>
    <row r="3012" spans="1:1" ht="13.8" x14ac:dyDescent="0.25">
      <c r="A3012" s="8"/>
    </row>
    <row r="3013" spans="1:1" ht="13.8" x14ac:dyDescent="0.25">
      <c r="A3013" s="8"/>
    </row>
    <row r="3014" spans="1:1" ht="13.8" x14ac:dyDescent="0.25">
      <c r="A3014" s="8"/>
    </row>
    <row r="3015" spans="1:1" ht="13.8" x14ac:dyDescent="0.25">
      <c r="A3015" s="8"/>
    </row>
    <row r="3016" spans="1:1" ht="13.8" x14ac:dyDescent="0.25">
      <c r="A3016" s="8"/>
    </row>
    <row r="3017" spans="1:1" ht="13.8" x14ac:dyDescent="0.25">
      <c r="A3017" s="8"/>
    </row>
    <row r="3018" spans="1:1" ht="13.8" x14ac:dyDescent="0.25">
      <c r="A3018" s="8"/>
    </row>
    <row r="3019" spans="1:1" ht="13.8" x14ac:dyDescent="0.25">
      <c r="A3019" s="8"/>
    </row>
    <row r="3020" spans="1:1" ht="13.8" x14ac:dyDescent="0.25">
      <c r="A3020" s="8"/>
    </row>
    <row r="3021" spans="1:1" ht="13.8" x14ac:dyDescent="0.25">
      <c r="A3021" s="8"/>
    </row>
    <row r="3022" spans="1:1" ht="13.8" x14ac:dyDescent="0.25">
      <c r="A3022" s="8"/>
    </row>
    <row r="3023" spans="1:1" ht="13.8" x14ac:dyDescent="0.25">
      <c r="A3023" s="8"/>
    </row>
    <row r="3024" spans="1:1" ht="13.8" x14ac:dyDescent="0.25">
      <c r="A3024" s="8"/>
    </row>
    <row r="3025" spans="1:1" ht="13.8" x14ac:dyDescent="0.25">
      <c r="A3025" s="8"/>
    </row>
    <row r="3026" spans="1:1" ht="13.8" x14ac:dyDescent="0.25">
      <c r="A3026" s="8"/>
    </row>
    <row r="3027" spans="1:1" ht="13.8" x14ac:dyDescent="0.25">
      <c r="A3027" s="8"/>
    </row>
    <row r="3028" spans="1:1" ht="13.8" x14ac:dyDescent="0.25">
      <c r="A3028" s="8"/>
    </row>
    <row r="3029" spans="1:1" ht="13.8" x14ac:dyDescent="0.25">
      <c r="A3029" s="8"/>
    </row>
    <row r="3030" spans="1:1" ht="13.8" x14ac:dyDescent="0.25">
      <c r="A3030" s="8"/>
    </row>
    <row r="3031" spans="1:1" ht="13.8" x14ac:dyDescent="0.25">
      <c r="A3031" s="8"/>
    </row>
    <row r="3032" spans="1:1" ht="13.8" x14ac:dyDescent="0.25">
      <c r="A3032" s="8"/>
    </row>
    <row r="3033" spans="1:1" ht="13.8" x14ac:dyDescent="0.25">
      <c r="A3033" s="8"/>
    </row>
    <row r="3034" spans="1:1" ht="13.8" x14ac:dyDescent="0.25">
      <c r="A3034" s="8"/>
    </row>
    <row r="3035" spans="1:1" ht="13.8" x14ac:dyDescent="0.25">
      <c r="A3035" s="8"/>
    </row>
    <row r="3036" spans="1:1" ht="13.8" x14ac:dyDescent="0.25">
      <c r="A3036" s="8"/>
    </row>
    <row r="3037" spans="1:1" ht="13.8" x14ac:dyDescent="0.25">
      <c r="A3037" s="8"/>
    </row>
    <row r="3038" spans="1:1" ht="13.8" x14ac:dyDescent="0.25">
      <c r="A3038" s="8"/>
    </row>
    <row r="3039" spans="1:1" ht="13.8" x14ac:dyDescent="0.25">
      <c r="A3039" s="8"/>
    </row>
    <row r="3040" spans="1:1" ht="13.8" x14ac:dyDescent="0.25">
      <c r="A3040" s="8"/>
    </row>
    <row r="3041" spans="1:1" ht="13.8" x14ac:dyDescent="0.25">
      <c r="A3041" s="8"/>
    </row>
    <row r="3042" spans="1:1" ht="13.8" x14ac:dyDescent="0.25">
      <c r="A3042" s="8"/>
    </row>
    <row r="3043" spans="1:1" ht="13.8" x14ac:dyDescent="0.25">
      <c r="A3043" s="8"/>
    </row>
    <row r="3044" spans="1:1" ht="13.8" x14ac:dyDescent="0.25">
      <c r="A3044" s="8"/>
    </row>
    <row r="3045" spans="1:1" ht="13.8" x14ac:dyDescent="0.25">
      <c r="A3045" s="8"/>
    </row>
    <row r="3046" spans="1:1" ht="13.8" x14ac:dyDescent="0.25">
      <c r="A3046" s="8"/>
    </row>
    <row r="3047" spans="1:1" ht="13.8" x14ac:dyDescent="0.25">
      <c r="A3047" s="8"/>
    </row>
    <row r="3048" spans="1:1" ht="13.8" x14ac:dyDescent="0.25">
      <c r="A3048" s="8"/>
    </row>
    <row r="3049" spans="1:1" ht="13.8" x14ac:dyDescent="0.25">
      <c r="A3049" s="8"/>
    </row>
    <row r="3050" spans="1:1" ht="13.8" x14ac:dyDescent="0.25">
      <c r="A3050" s="8"/>
    </row>
    <row r="3051" spans="1:1" ht="13.8" x14ac:dyDescent="0.25">
      <c r="A3051" s="8"/>
    </row>
    <row r="3052" spans="1:1" ht="13.8" x14ac:dyDescent="0.25">
      <c r="A3052" s="8"/>
    </row>
    <row r="3053" spans="1:1" ht="13.8" x14ac:dyDescent="0.25">
      <c r="A3053" s="8"/>
    </row>
    <row r="3054" spans="1:1" ht="13.8" x14ac:dyDescent="0.25">
      <c r="A3054" s="8"/>
    </row>
    <row r="3055" spans="1:1" ht="13.8" x14ac:dyDescent="0.25">
      <c r="A3055" s="8"/>
    </row>
    <row r="3056" spans="1:1" ht="13.8" x14ac:dyDescent="0.25">
      <c r="A3056" s="8"/>
    </row>
    <row r="3057" spans="1:1" ht="13.8" x14ac:dyDescent="0.25">
      <c r="A3057" s="8"/>
    </row>
    <row r="3058" spans="1:1" ht="13.8" x14ac:dyDescent="0.25">
      <c r="A3058" s="8"/>
    </row>
    <row r="3059" spans="1:1" ht="13.8" x14ac:dyDescent="0.25">
      <c r="A3059" s="8"/>
    </row>
    <row r="3060" spans="1:1" ht="13.8" x14ac:dyDescent="0.25">
      <c r="A3060" s="8"/>
    </row>
    <row r="3061" spans="1:1" ht="13.8" x14ac:dyDescent="0.25">
      <c r="A3061" s="8"/>
    </row>
    <row r="3062" spans="1:1" ht="13.8" x14ac:dyDescent="0.25">
      <c r="A3062" s="8"/>
    </row>
    <row r="3063" spans="1:1" ht="13.8" x14ac:dyDescent="0.25">
      <c r="A3063" s="8"/>
    </row>
    <row r="3064" spans="1:1" ht="13.8" x14ac:dyDescent="0.25">
      <c r="A3064" s="8"/>
    </row>
    <row r="3065" spans="1:1" ht="13.8" x14ac:dyDescent="0.25">
      <c r="A3065" s="8"/>
    </row>
    <row r="3066" spans="1:1" ht="13.8" x14ac:dyDescent="0.25">
      <c r="A3066" s="8"/>
    </row>
    <row r="3067" spans="1:1" ht="13.8" x14ac:dyDescent="0.25">
      <c r="A3067" s="8"/>
    </row>
    <row r="3068" spans="1:1" ht="13.8" x14ac:dyDescent="0.25">
      <c r="A3068" s="8"/>
    </row>
    <row r="3069" spans="1:1" ht="13.8" x14ac:dyDescent="0.25">
      <c r="A3069" s="8"/>
    </row>
    <row r="3070" spans="1:1" ht="13.8" x14ac:dyDescent="0.25">
      <c r="A3070" s="8"/>
    </row>
    <row r="3071" spans="1:1" ht="13.8" x14ac:dyDescent="0.25">
      <c r="A3071" s="8"/>
    </row>
    <row r="3072" spans="1:1" ht="13.8" x14ac:dyDescent="0.25">
      <c r="A3072" s="8"/>
    </row>
    <row r="3073" spans="1:1" ht="13.8" x14ac:dyDescent="0.25">
      <c r="A3073" s="8"/>
    </row>
    <row r="3074" spans="1:1" ht="13.8" x14ac:dyDescent="0.25">
      <c r="A3074" s="8"/>
    </row>
    <row r="3075" spans="1:1" ht="13.8" x14ac:dyDescent="0.25">
      <c r="A3075" s="8"/>
    </row>
    <row r="3076" spans="1:1" ht="13.8" x14ac:dyDescent="0.25">
      <c r="A3076" s="8"/>
    </row>
    <row r="3077" spans="1:1" ht="13.8" x14ac:dyDescent="0.25">
      <c r="A3077" s="8"/>
    </row>
    <row r="3078" spans="1:1" ht="13.8" x14ac:dyDescent="0.25">
      <c r="A3078" s="8"/>
    </row>
    <row r="3079" spans="1:1" ht="13.8" x14ac:dyDescent="0.25">
      <c r="A3079" s="8"/>
    </row>
    <row r="3080" spans="1:1" ht="13.8" x14ac:dyDescent="0.25">
      <c r="A3080" s="8"/>
    </row>
    <row r="3081" spans="1:1" ht="13.8" x14ac:dyDescent="0.25">
      <c r="A3081" s="8"/>
    </row>
    <row r="3082" spans="1:1" ht="13.8" x14ac:dyDescent="0.25">
      <c r="A3082" s="8"/>
    </row>
    <row r="3083" spans="1:1" ht="13.8" x14ac:dyDescent="0.25">
      <c r="A3083" s="8"/>
    </row>
    <row r="3084" spans="1:1" ht="13.8" x14ac:dyDescent="0.25">
      <c r="A3084" s="8"/>
    </row>
    <row r="3085" spans="1:1" ht="13.8" x14ac:dyDescent="0.25">
      <c r="A3085" s="8"/>
    </row>
    <row r="3086" spans="1:1" ht="13.8" x14ac:dyDescent="0.25">
      <c r="A3086" s="8"/>
    </row>
    <row r="3087" spans="1:1" ht="13.8" x14ac:dyDescent="0.25">
      <c r="A3087" s="8"/>
    </row>
    <row r="3088" spans="1:1" ht="13.8" x14ac:dyDescent="0.25">
      <c r="A3088" s="8"/>
    </row>
    <row r="3089" spans="1:1" ht="13.8" x14ac:dyDescent="0.25">
      <c r="A3089" s="8"/>
    </row>
    <row r="3090" spans="1:1" ht="13.8" x14ac:dyDescent="0.25">
      <c r="A3090" s="8"/>
    </row>
    <row r="3091" spans="1:1" ht="13.8" x14ac:dyDescent="0.25">
      <c r="A3091" s="8"/>
    </row>
    <row r="3092" spans="1:1" ht="13.8" x14ac:dyDescent="0.25">
      <c r="A3092" s="8"/>
    </row>
    <row r="3093" spans="1:1" ht="13.8" x14ac:dyDescent="0.25">
      <c r="A3093" s="8"/>
    </row>
    <row r="3094" spans="1:1" ht="13.8" x14ac:dyDescent="0.25">
      <c r="A3094" s="8"/>
    </row>
    <row r="3095" spans="1:1" ht="13.8" x14ac:dyDescent="0.25">
      <c r="A3095" s="8"/>
    </row>
    <row r="3096" spans="1:1" ht="13.8" x14ac:dyDescent="0.25">
      <c r="A3096" s="8"/>
    </row>
    <row r="3097" spans="1:1" ht="13.8" x14ac:dyDescent="0.25">
      <c r="A3097" s="8"/>
    </row>
    <row r="3098" spans="1:1" ht="13.8" x14ac:dyDescent="0.25">
      <c r="A3098" s="8"/>
    </row>
    <row r="3099" spans="1:1" ht="13.8" x14ac:dyDescent="0.25">
      <c r="A3099" s="8"/>
    </row>
    <row r="3100" spans="1:1" ht="13.8" x14ac:dyDescent="0.25">
      <c r="A3100" s="8"/>
    </row>
    <row r="3101" spans="1:1" ht="13.8" x14ac:dyDescent="0.25">
      <c r="A3101" s="8"/>
    </row>
    <row r="3102" spans="1:1" ht="13.8" x14ac:dyDescent="0.25">
      <c r="A3102" s="8"/>
    </row>
    <row r="3103" spans="1:1" ht="13.8" x14ac:dyDescent="0.25">
      <c r="A3103" s="8"/>
    </row>
    <row r="3104" spans="1:1" ht="13.8" x14ac:dyDescent="0.25">
      <c r="A3104" s="8"/>
    </row>
    <row r="3105" spans="1:1" ht="13.8" x14ac:dyDescent="0.25">
      <c r="A3105" s="8"/>
    </row>
    <row r="3106" spans="1:1" ht="13.8" x14ac:dyDescent="0.25">
      <c r="A3106" s="8"/>
    </row>
    <row r="3107" spans="1:1" ht="13.8" x14ac:dyDescent="0.25">
      <c r="A3107" s="8"/>
    </row>
    <row r="3108" spans="1:1" ht="13.8" x14ac:dyDescent="0.25">
      <c r="A3108" s="8"/>
    </row>
    <row r="3109" spans="1:1" ht="13.8" x14ac:dyDescent="0.25">
      <c r="A3109" s="8"/>
    </row>
    <row r="3110" spans="1:1" ht="13.8" x14ac:dyDescent="0.25">
      <c r="A3110" s="8"/>
    </row>
    <row r="3111" spans="1:1" ht="13.8" x14ac:dyDescent="0.25">
      <c r="A3111" s="8"/>
    </row>
    <row r="3112" spans="1:1" ht="13.8" x14ac:dyDescent="0.25">
      <c r="A3112" s="8"/>
    </row>
    <row r="3113" spans="1:1" ht="13.8" x14ac:dyDescent="0.25">
      <c r="A3113" s="8"/>
    </row>
    <row r="3114" spans="1:1" ht="13.8" x14ac:dyDescent="0.25">
      <c r="A3114" s="8"/>
    </row>
    <row r="3115" spans="1:1" ht="13.8" x14ac:dyDescent="0.25">
      <c r="A3115" s="8"/>
    </row>
    <row r="3116" spans="1:1" ht="13.8" x14ac:dyDescent="0.25">
      <c r="A3116" s="8"/>
    </row>
    <row r="3117" spans="1:1" ht="13.8" x14ac:dyDescent="0.25">
      <c r="A3117" s="8"/>
    </row>
    <row r="3118" spans="1:1" ht="13.8" x14ac:dyDescent="0.25">
      <c r="A3118" s="8"/>
    </row>
    <row r="3119" spans="1:1" ht="13.8" x14ac:dyDescent="0.25">
      <c r="A3119" s="8"/>
    </row>
    <row r="3120" spans="1:1" ht="13.8" x14ac:dyDescent="0.25">
      <c r="A3120" s="8"/>
    </row>
    <row r="3121" spans="1:1" ht="13.8" x14ac:dyDescent="0.25">
      <c r="A3121" s="8"/>
    </row>
    <row r="3122" spans="1:1" ht="13.8" x14ac:dyDescent="0.25">
      <c r="A3122" s="8"/>
    </row>
    <row r="3123" spans="1:1" ht="13.8" x14ac:dyDescent="0.25">
      <c r="A3123" s="8"/>
    </row>
    <row r="3124" spans="1:1" ht="13.8" x14ac:dyDescent="0.25">
      <c r="A3124" s="8"/>
    </row>
    <row r="3125" spans="1:1" ht="13.8" x14ac:dyDescent="0.25">
      <c r="A3125" s="8"/>
    </row>
    <row r="3126" spans="1:1" ht="13.8" x14ac:dyDescent="0.25">
      <c r="A3126" s="8"/>
    </row>
    <row r="3127" spans="1:1" ht="13.8" x14ac:dyDescent="0.25">
      <c r="A3127" s="8"/>
    </row>
    <row r="3128" spans="1:1" ht="13.8" x14ac:dyDescent="0.25">
      <c r="A3128" s="8"/>
    </row>
    <row r="3129" spans="1:1" ht="13.8" x14ac:dyDescent="0.25">
      <c r="A3129" s="8"/>
    </row>
    <row r="3130" spans="1:1" ht="13.8" x14ac:dyDescent="0.25">
      <c r="A3130" s="8"/>
    </row>
    <row r="3131" spans="1:1" ht="13.8" x14ac:dyDescent="0.25">
      <c r="A3131" s="8"/>
    </row>
    <row r="3132" spans="1:1" ht="13.8" x14ac:dyDescent="0.25">
      <c r="A3132" s="8"/>
    </row>
    <row r="3133" spans="1:1" ht="13.8" x14ac:dyDescent="0.25">
      <c r="A3133" s="8"/>
    </row>
    <row r="3134" spans="1:1" ht="13.8" x14ac:dyDescent="0.25">
      <c r="A3134" s="8"/>
    </row>
    <row r="3135" spans="1:1" ht="13.8" x14ac:dyDescent="0.25">
      <c r="A3135" s="8"/>
    </row>
    <row r="3136" spans="1:1" ht="13.8" x14ac:dyDescent="0.25">
      <c r="A3136" s="8"/>
    </row>
    <row r="3137" spans="1:1" ht="13.8" x14ac:dyDescent="0.25">
      <c r="A3137" s="8"/>
    </row>
    <row r="3138" spans="1:1" ht="13.8" x14ac:dyDescent="0.25">
      <c r="A3138" s="8"/>
    </row>
    <row r="3139" spans="1:1" ht="13.8" x14ac:dyDescent="0.25">
      <c r="A3139" s="8"/>
    </row>
    <row r="3140" spans="1:1" ht="13.8" x14ac:dyDescent="0.25">
      <c r="A3140" s="8"/>
    </row>
    <row r="3141" spans="1:1" ht="13.8" x14ac:dyDescent="0.25">
      <c r="A3141" s="8"/>
    </row>
    <row r="3142" spans="1:1" ht="13.8" x14ac:dyDescent="0.25">
      <c r="A3142" s="8"/>
    </row>
    <row r="3143" spans="1:1" ht="13.8" x14ac:dyDescent="0.25">
      <c r="A3143" s="8"/>
    </row>
    <row r="3144" spans="1:1" ht="13.8" x14ac:dyDescent="0.25">
      <c r="A3144" s="8"/>
    </row>
    <row r="3145" spans="1:1" ht="13.8" x14ac:dyDescent="0.25">
      <c r="A3145" s="8"/>
    </row>
    <row r="3146" spans="1:1" ht="13.8" x14ac:dyDescent="0.25">
      <c r="A3146" s="8"/>
    </row>
    <row r="3147" spans="1:1" ht="13.8" x14ac:dyDescent="0.25">
      <c r="A3147" s="8"/>
    </row>
    <row r="3148" spans="1:1" ht="13.8" x14ac:dyDescent="0.25">
      <c r="A3148" s="8"/>
    </row>
    <row r="3149" spans="1:1" ht="13.8" x14ac:dyDescent="0.25">
      <c r="A3149" s="8"/>
    </row>
    <row r="3150" spans="1:1" ht="13.8" x14ac:dyDescent="0.25">
      <c r="A3150" s="8"/>
    </row>
    <row r="3151" spans="1:1" ht="13.8" x14ac:dyDescent="0.25">
      <c r="A3151" s="8"/>
    </row>
    <row r="3152" spans="1:1" ht="13.8" x14ac:dyDescent="0.25">
      <c r="A3152" s="8"/>
    </row>
    <row r="3153" spans="1:1" ht="13.8" x14ac:dyDescent="0.25">
      <c r="A3153" s="8"/>
    </row>
    <row r="3154" spans="1:1" ht="13.8" x14ac:dyDescent="0.25">
      <c r="A3154" s="8"/>
    </row>
    <row r="3155" spans="1:1" ht="13.8" x14ac:dyDescent="0.25">
      <c r="A3155" s="8"/>
    </row>
    <row r="3156" spans="1:1" ht="13.8" x14ac:dyDescent="0.25">
      <c r="A3156" s="8"/>
    </row>
    <row r="3157" spans="1:1" ht="13.8" x14ac:dyDescent="0.25">
      <c r="A3157" s="8"/>
    </row>
    <row r="3158" spans="1:1" ht="13.8" x14ac:dyDescent="0.25">
      <c r="A3158" s="8"/>
    </row>
    <row r="3159" spans="1:1" ht="13.8" x14ac:dyDescent="0.25">
      <c r="A3159" s="8"/>
    </row>
    <row r="3160" spans="1:1" ht="13.8" x14ac:dyDescent="0.25">
      <c r="A3160" s="8"/>
    </row>
    <row r="3161" spans="1:1" ht="13.8" x14ac:dyDescent="0.25">
      <c r="A3161" s="8"/>
    </row>
    <row r="3162" spans="1:1" ht="13.8" x14ac:dyDescent="0.25">
      <c r="A3162" s="8"/>
    </row>
    <row r="3163" spans="1:1" ht="13.8" x14ac:dyDescent="0.25">
      <c r="A3163" s="8"/>
    </row>
    <row r="3164" spans="1:1" ht="13.8" x14ac:dyDescent="0.25">
      <c r="A3164" s="8"/>
    </row>
    <row r="3165" spans="1:1" ht="13.8" x14ac:dyDescent="0.25">
      <c r="A3165" s="8"/>
    </row>
    <row r="3166" spans="1:1" ht="13.8" x14ac:dyDescent="0.25">
      <c r="A3166" s="8"/>
    </row>
    <row r="3167" spans="1:1" ht="13.8" x14ac:dyDescent="0.25">
      <c r="A3167" s="8"/>
    </row>
    <row r="3168" spans="1:1" ht="13.8" x14ac:dyDescent="0.25">
      <c r="A3168" s="8"/>
    </row>
    <row r="3169" spans="1:1" ht="13.8" x14ac:dyDescent="0.25">
      <c r="A3169" s="8"/>
    </row>
    <row r="3170" spans="1:1" ht="13.8" x14ac:dyDescent="0.25">
      <c r="A3170" s="8"/>
    </row>
    <row r="3171" spans="1:1" ht="13.8" x14ac:dyDescent="0.25">
      <c r="A3171" s="8"/>
    </row>
    <row r="3172" spans="1:1" ht="13.8" x14ac:dyDescent="0.25">
      <c r="A3172" s="8"/>
    </row>
    <row r="3173" spans="1:1" ht="13.8" x14ac:dyDescent="0.25">
      <c r="A3173" s="8"/>
    </row>
    <row r="3174" spans="1:1" ht="13.8" x14ac:dyDescent="0.25">
      <c r="A3174" s="8"/>
    </row>
    <row r="3175" spans="1:1" ht="13.8" x14ac:dyDescent="0.25">
      <c r="A3175" s="8"/>
    </row>
    <row r="3176" spans="1:1" ht="13.8" x14ac:dyDescent="0.25">
      <c r="A3176" s="8"/>
    </row>
    <row r="3177" spans="1:1" ht="13.8" x14ac:dyDescent="0.25">
      <c r="A3177" s="8"/>
    </row>
    <row r="3178" spans="1:1" ht="13.8" x14ac:dyDescent="0.25">
      <c r="A3178" s="8"/>
    </row>
    <row r="3179" spans="1:1" ht="13.8" x14ac:dyDescent="0.25">
      <c r="A3179" s="8"/>
    </row>
    <row r="3180" spans="1:1" ht="13.8" x14ac:dyDescent="0.25">
      <c r="A3180" s="8"/>
    </row>
    <row r="3181" spans="1:1" ht="13.8" x14ac:dyDescent="0.25">
      <c r="A3181" s="8"/>
    </row>
    <row r="3182" spans="1:1" ht="13.8" x14ac:dyDescent="0.25">
      <c r="A3182" s="8"/>
    </row>
    <row r="3183" spans="1:1" ht="13.8" x14ac:dyDescent="0.25">
      <c r="A3183" s="8"/>
    </row>
    <row r="3184" spans="1:1" ht="13.8" x14ac:dyDescent="0.25">
      <c r="A3184" s="8"/>
    </row>
    <row r="3185" spans="1:1" ht="13.8" x14ac:dyDescent="0.25">
      <c r="A3185" s="8"/>
    </row>
    <row r="3186" spans="1:1" ht="13.8" x14ac:dyDescent="0.25">
      <c r="A3186" s="8"/>
    </row>
    <row r="3187" spans="1:1" ht="13.8" x14ac:dyDescent="0.25">
      <c r="A3187" s="8"/>
    </row>
    <row r="3188" spans="1:1" ht="13.8" x14ac:dyDescent="0.25">
      <c r="A3188" s="8"/>
    </row>
    <row r="3189" spans="1:1" ht="13.8" x14ac:dyDescent="0.25">
      <c r="A3189" s="8"/>
    </row>
    <row r="3190" spans="1:1" ht="13.8" x14ac:dyDescent="0.25">
      <c r="A3190" s="8"/>
    </row>
    <row r="3191" spans="1:1" ht="13.8" x14ac:dyDescent="0.25">
      <c r="A3191" s="8"/>
    </row>
    <row r="3192" spans="1:1" ht="13.8" x14ac:dyDescent="0.25">
      <c r="A3192" s="8"/>
    </row>
    <row r="3193" spans="1:1" ht="13.8" x14ac:dyDescent="0.25">
      <c r="A3193" s="8"/>
    </row>
    <row r="3194" spans="1:1" ht="13.8" x14ac:dyDescent="0.25">
      <c r="A3194" s="8"/>
    </row>
    <row r="3195" spans="1:1" ht="13.8" x14ac:dyDescent="0.25">
      <c r="A3195" s="8"/>
    </row>
    <row r="3196" spans="1:1" ht="13.8" x14ac:dyDescent="0.25">
      <c r="A3196" s="8"/>
    </row>
    <row r="3197" spans="1:1" ht="13.8" x14ac:dyDescent="0.25">
      <c r="A3197" s="8"/>
    </row>
    <row r="3198" spans="1:1" ht="13.8" x14ac:dyDescent="0.25">
      <c r="A3198" s="8"/>
    </row>
    <row r="3199" spans="1:1" ht="13.8" x14ac:dyDescent="0.25">
      <c r="A3199" s="8"/>
    </row>
    <row r="3200" spans="1:1" ht="13.8" x14ac:dyDescent="0.25">
      <c r="A3200" s="8"/>
    </row>
    <row r="3201" spans="1:1" ht="13.8" x14ac:dyDescent="0.25">
      <c r="A3201" s="8"/>
    </row>
    <row r="3202" spans="1:1" ht="13.8" x14ac:dyDescent="0.25">
      <c r="A3202" s="8"/>
    </row>
    <row r="3203" spans="1:1" ht="13.8" x14ac:dyDescent="0.25">
      <c r="A3203" s="8"/>
    </row>
    <row r="3204" spans="1:1" ht="13.8" x14ac:dyDescent="0.25">
      <c r="A3204" s="8"/>
    </row>
    <row r="3205" spans="1:1" ht="13.8" x14ac:dyDescent="0.25">
      <c r="A3205" s="8"/>
    </row>
    <row r="3206" spans="1:1" ht="13.8" x14ac:dyDescent="0.25">
      <c r="A3206" s="8"/>
    </row>
    <row r="3207" spans="1:1" ht="13.8" x14ac:dyDescent="0.25">
      <c r="A3207" s="8"/>
    </row>
    <row r="3208" spans="1:1" ht="13.8" x14ac:dyDescent="0.25">
      <c r="A3208" s="8"/>
    </row>
    <row r="3209" spans="1:1" ht="13.8" x14ac:dyDescent="0.25">
      <c r="A3209" s="8"/>
    </row>
    <row r="3210" spans="1:1" ht="13.8" x14ac:dyDescent="0.25">
      <c r="A3210" s="8"/>
    </row>
    <row r="3211" spans="1:1" ht="13.8" x14ac:dyDescent="0.25">
      <c r="A3211" s="8"/>
    </row>
    <row r="3212" spans="1:1" ht="13.8" x14ac:dyDescent="0.25">
      <c r="A3212" s="8"/>
    </row>
    <row r="3213" spans="1:1" ht="13.8" x14ac:dyDescent="0.25">
      <c r="A3213" s="8"/>
    </row>
    <row r="3214" spans="1:1" ht="13.8" x14ac:dyDescent="0.25">
      <c r="A3214" s="8"/>
    </row>
    <row r="3215" spans="1:1" ht="13.8" x14ac:dyDescent="0.25">
      <c r="A3215" s="8"/>
    </row>
    <row r="3216" spans="1:1" ht="13.8" x14ac:dyDescent="0.25">
      <c r="A3216" s="8"/>
    </row>
    <row r="3217" spans="1:1" ht="13.8" x14ac:dyDescent="0.25">
      <c r="A3217" s="8"/>
    </row>
    <row r="3218" spans="1:1" ht="13.8" x14ac:dyDescent="0.25">
      <c r="A3218" s="8"/>
    </row>
    <row r="3219" spans="1:1" ht="13.8" x14ac:dyDescent="0.25">
      <c r="A3219" s="8"/>
    </row>
    <row r="3220" spans="1:1" ht="13.8" x14ac:dyDescent="0.25">
      <c r="A3220" s="8"/>
    </row>
    <row r="3221" spans="1:1" ht="13.8" x14ac:dyDescent="0.25">
      <c r="A3221" s="8"/>
    </row>
    <row r="3222" spans="1:1" ht="13.8" x14ac:dyDescent="0.25">
      <c r="A3222" s="8"/>
    </row>
    <row r="3223" spans="1:1" ht="13.8" x14ac:dyDescent="0.25">
      <c r="A3223" s="8"/>
    </row>
    <row r="3224" spans="1:1" ht="13.8" x14ac:dyDescent="0.25">
      <c r="A3224" s="8"/>
    </row>
    <row r="3225" spans="1:1" ht="13.8" x14ac:dyDescent="0.25">
      <c r="A3225" s="8"/>
    </row>
    <row r="3226" spans="1:1" ht="13.8" x14ac:dyDescent="0.25">
      <c r="A3226" s="8"/>
    </row>
    <row r="3227" spans="1:1" ht="13.8" x14ac:dyDescent="0.25">
      <c r="A3227" s="8"/>
    </row>
    <row r="3228" spans="1:1" ht="13.8" x14ac:dyDescent="0.25">
      <c r="A3228" s="8"/>
    </row>
    <row r="3229" spans="1:1" ht="13.8" x14ac:dyDescent="0.25">
      <c r="A3229" s="8"/>
    </row>
    <row r="3230" spans="1:1" ht="13.8" x14ac:dyDescent="0.25">
      <c r="A3230" s="8"/>
    </row>
    <row r="3231" spans="1:1" ht="13.8" x14ac:dyDescent="0.25">
      <c r="A3231" s="8"/>
    </row>
    <row r="3232" spans="1:1" ht="13.8" x14ac:dyDescent="0.25">
      <c r="A3232" s="8"/>
    </row>
    <row r="3233" spans="1:1" ht="13.8" x14ac:dyDescent="0.25">
      <c r="A3233" s="8"/>
    </row>
    <row r="3234" spans="1:1" ht="13.8" x14ac:dyDescent="0.25">
      <c r="A3234" s="8"/>
    </row>
    <row r="3235" spans="1:1" ht="13.8" x14ac:dyDescent="0.25">
      <c r="A3235" s="8"/>
    </row>
    <row r="3236" spans="1:1" ht="13.8" x14ac:dyDescent="0.25">
      <c r="A3236" s="8"/>
    </row>
    <row r="3237" spans="1:1" ht="13.8" x14ac:dyDescent="0.25">
      <c r="A3237" s="8"/>
    </row>
    <row r="3238" spans="1:1" ht="13.8" x14ac:dyDescent="0.25">
      <c r="A3238" s="8"/>
    </row>
    <row r="3239" spans="1:1" ht="13.8" x14ac:dyDescent="0.25">
      <c r="A3239" s="8"/>
    </row>
    <row r="3240" spans="1:1" ht="13.8" x14ac:dyDescent="0.25">
      <c r="A3240" s="8"/>
    </row>
    <row r="3241" spans="1:1" ht="13.8" x14ac:dyDescent="0.25">
      <c r="A3241" s="8"/>
    </row>
    <row r="3242" spans="1:1" ht="13.8" x14ac:dyDescent="0.25">
      <c r="A3242" s="8"/>
    </row>
    <row r="3243" spans="1:1" ht="13.8" x14ac:dyDescent="0.25">
      <c r="A3243" s="8"/>
    </row>
    <row r="3244" spans="1:1" ht="13.8" x14ac:dyDescent="0.25">
      <c r="A3244" s="8"/>
    </row>
    <row r="3245" spans="1:1" ht="13.8" x14ac:dyDescent="0.25">
      <c r="A3245" s="8"/>
    </row>
    <row r="3246" spans="1:1" ht="13.8" x14ac:dyDescent="0.25">
      <c r="A3246" s="8"/>
    </row>
    <row r="3247" spans="1:1" ht="13.8" x14ac:dyDescent="0.25">
      <c r="A3247" s="8"/>
    </row>
    <row r="3248" spans="1:1" ht="13.8" x14ac:dyDescent="0.25">
      <c r="A3248" s="8"/>
    </row>
    <row r="3249" spans="1:1" ht="13.8" x14ac:dyDescent="0.25">
      <c r="A3249" s="8"/>
    </row>
    <row r="3250" spans="1:1" ht="13.8" x14ac:dyDescent="0.25">
      <c r="A3250" s="8"/>
    </row>
    <row r="3251" spans="1:1" ht="13.8" x14ac:dyDescent="0.25">
      <c r="A3251" s="8"/>
    </row>
    <row r="3252" spans="1:1" ht="13.8" x14ac:dyDescent="0.25">
      <c r="A3252" s="8"/>
    </row>
    <row r="3253" spans="1:1" ht="13.8" x14ac:dyDescent="0.25">
      <c r="A3253" s="8"/>
    </row>
    <row r="3254" spans="1:1" ht="13.8" x14ac:dyDescent="0.25">
      <c r="A3254" s="8"/>
    </row>
    <row r="3255" spans="1:1" ht="13.8" x14ac:dyDescent="0.25">
      <c r="A3255" s="8"/>
    </row>
    <row r="3256" spans="1:1" ht="13.8" x14ac:dyDescent="0.25">
      <c r="A3256" s="8"/>
    </row>
    <row r="3257" spans="1:1" ht="13.8" x14ac:dyDescent="0.25">
      <c r="A3257" s="8"/>
    </row>
    <row r="3258" spans="1:1" ht="13.8" x14ac:dyDescent="0.25">
      <c r="A3258" s="8"/>
    </row>
    <row r="3259" spans="1:1" ht="13.8" x14ac:dyDescent="0.25">
      <c r="A3259" s="8"/>
    </row>
    <row r="3260" spans="1:1" ht="13.8" x14ac:dyDescent="0.25">
      <c r="A3260" s="8"/>
    </row>
    <row r="3261" spans="1:1" ht="13.8" x14ac:dyDescent="0.25">
      <c r="A3261" s="8"/>
    </row>
    <row r="3262" spans="1:1" ht="13.8" x14ac:dyDescent="0.25">
      <c r="A3262" s="8"/>
    </row>
    <row r="3263" spans="1:1" ht="13.8" x14ac:dyDescent="0.25">
      <c r="A3263" s="8"/>
    </row>
    <row r="3264" spans="1:1" ht="13.8" x14ac:dyDescent="0.25">
      <c r="A3264" s="8"/>
    </row>
    <row r="3265" spans="1:1" ht="13.8" x14ac:dyDescent="0.25">
      <c r="A3265" s="8"/>
    </row>
    <row r="3266" spans="1:1" ht="13.8" x14ac:dyDescent="0.25">
      <c r="A3266" s="8"/>
    </row>
    <row r="3267" spans="1:1" ht="13.8" x14ac:dyDescent="0.25">
      <c r="A3267" s="8"/>
    </row>
    <row r="3268" spans="1:1" ht="13.8" x14ac:dyDescent="0.25">
      <c r="A3268" s="8"/>
    </row>
    <row r="3269" spans="1:1" ht="13.8" x14ac:dyDescent="0.25">
      <c r="A3269" s="8"/>
    </row>
    <row r="3270" spans="1:1" ht="13.8" x14ac:dyDescent="0.25">
      <c r="A3270" s="8"/>
    </row>
    <row r="3271" spans="1:1" ht="13.8" x14ac:dyDescent="0.25">
      <c r="A3271" s="8"/>
    </row>
    <row r="3272" spans="1:1" ht="13.8" x14ac:dyDescent="0.25">
      <c r="A3272" s="8"/>
    </row>
    <row r="3273" spans="1:1" ht="13.8" x14ac:dyDescent="0.25">
      <c r="A3273" s="8"/>
    </row>
    <row r="3274" spans="1:1" ht="13.8" x14ac:dyDescent="0.25">
      <c r="A3274" s="8"/>
    </row>
    <row r="3275" spans="1:1" ht="13.8" x14ac:dyDescent="0.25">
      <c r="A3275" s="8"/>
    </row>
    <row r="3276" spans="1:1" ht="13.8" x14ac:dyDescent="0.25">
      <c r="A3276" s="8"/>
    </row>
    <row r="3277" spans="1:1" ht="13.8" x14ac:dyDescent="0.25">
      <c r="A3277" s="8"/>
    </row>
    <row r="3278" spans="1:1" ht="13.8" x14ac:dyDescent="0.25">
      <c r="A3278" s="8"/>
    </row>
    <row r="3279" spans="1:1" ht="13.8" x14ac:dyDescent="0.25">
      <c r="A3279" s="8"/>
    </row>
    <row r="3280" spans="1:1" ht="13.8" x14ac:dyDescent="0.25">
      <c r="A3280" s="8"/>
    </row>
    <row r="3281" spans="1:1" ht="13.8" x14ac:dyDescent="0.25">
      <c r="A3281" s="8"/>
    </row>
    <row r="3282" spans="1:1" ht="13.8" x14ac:dyDescent="0.25">
      <c r="A3282" s="8"/>
    </row>
    <row r="3283" spans="1:1" ht="13.8" x14ac:dyDescent="0.25">
      <c r="A3283" s="8"/>
    </row>
    <row r="3284" spans="1:1" ht="13.8" x14ac:dyDescent="0.25">
      <c r="A3284" s="8"/>
    </row>
    <row r="3285" spans="1:1" ht="13.8" x14ac:dyDescent="0.25">
      <c r="A3285" s="8"/>
    </row>
    <row r="3286" spans="1:1" ht="13.8" x14ac:dyDescent="0.25">
      <c r="A3286" s="8"/>
    </row>
    <row r="3287" spans="1:1" ht="13.8" x14ac:dyDescent="0.25">
      <c r="A3287" s="8"/>
    </row>
    <row r="3288" spans="1:1" ht="13.8" x14ac:dyDescent="0.25">
      <c r="A3288" s="8"/>
    </row>
    <row r="3289" spans="1:1" ht="13.8" x14ac:dyDescent="0.25">
      <c r="A3289" s="8"/>
    </row>
    <row r="3290" spans="1:1" ht="13.8" x14ac:dyDescent="0.25">
      <c r="A3290" s="8"/>
    </row>
    <row r="3291" spans="1:1" ht="13.8" x14ac:dyDescent="0.25">
      <c r="A3291" s="8"/>
    </row>
    <row r="3292" spans="1:1" ht="13.8" x14ac:dyDescent="0.25">
      <c r="A3292" s="8"/>
    </row>
    <row r="3293" spans="1:1" ht="13.8" x14ac:dyDescent="0.25">
      <c r="A3293" s="8"/>
    </row>
    <row r="3294" spans="1:1" ht="13.8" x14ac:dyDescent="0.25">
      <c r="A3294" s="8"/>
    </row>
    <row r="3295" spans="1:1" ht="13.8" x14ac:dyDescent="0.25">
      <c r="A3295" s="8"/>
    </row>
    <row r="3296" spans="1:1" ht="13.8" x14ac:dyDescent="0.25">
      <c r="A3296" s="8"/>
    </row>
    <row r="3297" spans="1:1" ht="13.8" x14ac:dyDescent="0.25">
      <c r="A3297" s="8"/>
    </row>
    <row r="3298" spans="1:1" ht="13.8" x14ac:dyDescent="0.25">
      <c r="A3298" s="8"/>
    </row>
    <row r="3299" spans="1:1" ht="13.8" x14ac:dyDescent="0.25">
      <c r="A3299" s="8"/>
    </row>
    <row r="3300" spans="1:1" ht="13.8" x14ac:dyDescent="0.25">
      <c r="A3300" s="8"/>
    </row>
    <row r="3301" spans="1:1" ht="13.8" x14ac:dyDescent="0.25">
      <c r="A3301" s="8"/>
    </row>
    <row r="3302" spans="1:1" ht="13.8" x14ac:dyDescent="0.25">
      <c r="A3302" s="8"/>
    </row>
    <row r="3303" spans="1:1" ht="13.8" x14ac:dyDescent="0.25">
      <c r="A3303" s="8"/>
    </row>
    <row r="3304" spans="1:1" ht="13.8" x14ac:dyDescent="0.25">
      <c r="A3304" s="8"/>
    </row>
    <row r="3305" spans="1:1" ht="13.8" x14ac:dyDescent="0.25">
      <c r="A3305" s="8"/>
    </row>
    <row r="3306" spans="1:1" ht="13.8" x14ac:dyDescent="0.25">
      <c r="A3306" s="8"/>
    </row>
    <row r="3307" spans="1:1" ht="13.8" x14ac:dyDescent="0.25">
      <c r="A3307" s="8"/>
    </row>
    <row r="3308" spans="1:1" ht="13.8" x14ac:dyDescent="0.25">
      <c r="A3308" s="8"/>
    </row>
    <row r="3309" spans="1:1" ht="13.8" x14ac:dyDescent="0.25">
      <c r="A3309" s="8"/>
    </row>
    <row r="3310" spans="1:1" ht="13.8" x14ac:dyDescent="0.25">
      <c r="A3310" s="8"/>
    </row>
    <row r="3311" spans="1:1" ht="13.8" x14ac:dyDescent="0.25">
      <c r="A3311" s="8"/>
    </row>
    <row r="3312" spans="1:1" ht="13.8" x14ac:dyDescent="0.25">
      <c r="A3312" s="8"/>
    </row>
    <row r="3313" spans="1:1" ht="13.8" x14ac:dyDescent="0.25">
      <c r="A3313" s="8"/>
    </row>
    <row r="3314" spans="1:1" ht="13.8" x14ac:dyDescent="0.25">
      <c r="A3314" s="8"/>
    </row>
    <row r="3315" spans="1:1" ht="13.8" x14ac:dyDescent="0.25">
      <c r="A3315" s="8"/>
    </row>
    <row r="3316" spans="1:1" ht="13.8" x14ac:dyDescent="0.25">
      <c r="A3316" s="8"/>
    </row>
    <row r="3317" spans="1:1" ht="13.8" x14ac:dyDescent="0.25">
      <c r="A3317" s="8"/>
    </row>
    <row r="3318" spans="1:1" ht="13.8" x14ac:dyDescent="0.25">
      <c r="A3318" s="8"/>
    </row>
    <row r="3319" spans="1:1" ht="13.8" x14ac:dyDescent="0.25">
      <c r="A3319" s="8"/>
    </row>
    <row r="3320" spans="1:1" ht="13.8" x14ac:dyDescent="0.25">
      <c r="A3320" s="8"/>
    </row>
    <row r="3321" spans="1:1" ht="13.8" x14ac:dyDescent="0.25">
      <c r="A3321" s="8"/>
    </row>
    <row r="3322" spans="1:1" ht="13.8" x14ac:dyDescent="0.25">
      <c r="A3322" s="8"/>
    </row>
    <row r="3323" spans="1:1" ht="13.8" x14ac:dyDescent="0.25">
      <c r="A3323" s="8"/>
    </row>
    <row r="3324" spans="1:1" ht="13.8" x14ac:dyDescent="0.25">
      <c r="A3324" s="8"/>
    </row>
    <row r="3325" spans="1:1" ht="13.8" x14ac:dyDescent="0.25">
      <c r="A3325" s="8"/>
    </row>
    <row r="3326" spans="1:1" ht="13.8" x14ac:dyDescent="0.25">
      <c r="A3326" s="8"/>
    </row>
    <row r="3327" spans="1:1" ht="13.8" x14ac:dyDescent="0.25">
      <c r="A3327" s="8"/>
    </row>
    <row r="3328" spans="1:1" ht="13.8" x14ac:dyDescent="0.25">
      <c r="A3328" s="8"/>
    </row>
    <row r="3329" spans="1:1" ht="13.8" x14ac:dyDescent="0.25">
      <c r="A3329" s="8"/>
    </row>
    <row r="3330" spans="1:1" ht="13.8" x14ac:dyDescent="0.25">
      <c r="A3330" s="8"/>
    </row>
    <row r="3331" spans="1:1" ht="13.8" x14ac:dyDescent="0.25">
      <c r="A3331" s="8"/>
    </row>
    <row r="3332" spans="1:1" ht="13.8" x14ac:dyDescent="0.25">
      <c r="A3332" s="8"/>
    </row>
    <row r="3333" spans="1:1" ht="13.8" x14ac:dyDescent="0.25">
      <c r="A3333" s="8"/>
    </row>
    <row r="3334" spans="1:1" ht="13.8" x14ac:dyDescent="0.25">
      <c r="A3334" s="8"/>
    </row>
    <row r="3335" spans="1:1" ht="13.8" x14ac:dyDescent="0.25">
      <c r="A3335" s="8"/>
    </row>
    <row r="3336" spans="1:1" ht="13.8" x14ac:dyDescent="0.25">
      <c r="A3336" s="8"/>
    </row>
    <row r="3337" spans="1:1" ht="13.8" x14ac:dyDescent="0.25">
      <c r="A3337" s="8"/>
    </row>
    <row r="3338" spans="1:1" ht="13.8" x14ac:dyDescent="0.25">
      <c r="A3338" s="8"/>
    </row>
    <row r="3339" spans="1:1" ht="13.8" x14ac:dyDescent="0.25">
      <c r="A3339" s="8"/>
    </row>
    <row r="3340" spans="1:1" ht="13.8" x14ac:dyDescent="0.25">
      <c r="A3340" s="8"/>
    </row>
    <row r="3341" spans="1:1" ht="13.8" x14ac:dyDescent="0.25">
      <c r="A3341" s="8"/>
    </row>
    <row r="3342" spans="1:1" ht="13.8" x14ac:dyDescent="0.25">
      <c r="A3342" s="8"/>
    </row>
    <row r="3343" spans="1:1" ht="13.8" x14ac:dyDescent="0.25">
      <c r="A3343" s="8"/>
    </row>
    <row r="3344" spans="1:1" ht="13.8" x14ac:dyDescent="0.25">
      <c r="A3344" s="8"/>
    </row>
    <row r="3345" spans="1:1" ht="13.8" x14ac:dyDescent="0.25">
      <c r="A3345" s="8"/>
    </row>
    <row r="3346" spans="1:1" ht="13.8" x14ac:dyDescent="0.25">
      <c r="A3346" s="8"/>
    </row>
    <row r="3347" spans="1:1" ht="13.8" x14ac:dyDescent="0.25">
      <c r="A3347" s="8"/>
    </row>
    <row r="3348" spans="1:1" ht="13.8" x14ac:dyDescent="0.25">
      <c r="A3348" s="8"/>
    </row>
    <row r="3349" spans="1:1" ht="13.8" x14ac:dyDescent="0.25">
      <c r="A3349" s="8"/>
    </row>
    <row r="3350" spans="1:1" ht="13.8" x14ac:dyDescent="0.25">
      <c r="A3350" s="8"/>
    </row>
    <row r="3351" spans="1:1" ht="13.8" x14ac:dyDescent="0.25">
      <c r="A3351" s="8"/>
    </row>
    <row r="3352" spans="1:1" ht="13.8" x14ac:dyDescent="0.25">
      <c r="A3352" s="8"/>
    </row>
    <row r="3353" spans="1:1" ht="13.8" x14ac:dyDescent="0.25">
      <c r="A3353" s="8"/>
    </row>
    <row r="3354" spans="1:1" ht="13.8" x14ac:dyDescent="0.25">
      <c r="A3354" s="8"/>
    </row>
    <row r="3355" spans="1:1" ht="13.8" x14ac:dyDescent="0.25">
      <c r="A3355" s="8"/>
    </row>
    <row r="3356" spans="1:1" ht="13.8" x14ac:dyDescent="0.25">
      <c r="A3356" s="8"/>
    </row>
    <row r="3357" spans="1:1" ht="13.8" x14ac:dyDescent="0.25">
      <c r="A3357" s="8"/>
    </row>
    <row r="3358" spans="1:1" ht="13.8" x14ac:dyDescent="0.25">
      <c r="A3358" s="8"/>
    </row>
    <row r="3359" spans="1:1" ht="13.8" x14ac:dyDescent="0.25">
      <c r="A3359" s="8"/>
    </row>
    <row r="3360" spans="1:1" ht="13.8" x14ac:dyDescent="0.25">
      <c r="A3360" s="8"/>
    </row>
    <row r="3361" spans="1:1" ht="13.8" x14ac:dyDescent="0.25">
      <c r="A3361" s="8"/>
    </row>
    <row r="3362" spans="1:1" ht="13.8" x14ac:dyDescent="0.25">
      <c r="A3362" s="8"/>
    </row>
    <row r="3363" spans="1:1" ht="13.8" x14ac:dyDescent="0.25">
      <c r="A3363" s="8"/>
    </row>
    <row r="3364" spans="1:1" ht="13.8" x14ac:dyDescent="0.25">
      <c r="A3364" s="8"/>
    </row>
    <row r="3365" spans="1:1" ht="13.8" x14ac:dyDescent="0.25">
      <c r="A3365" s="8"/>
    </row>
    <row r="3366" spans="1:1" ht="13.8" x14ac:dyDescent="0.25">
      <c r="A3366" s="8"/>
    </row>
    <row r="3367" spans="1:1" ht="13.8" x14ac:dyDescent="0.25">
      <c r="A3367" s="8"/>
    </row>
    <row r="3368" spans="1:1" ht="13.8" x14ac:dyDescent="0.25">
      <c r="A3368" s="8"/>
    </row>
    <row r="3369" spans="1:1" ht="13.8" x14ac:dyDescent="0.25">
      <c r="A3369" s="8"/>
    </row>
    <row r="3370" spans="1:1" ht="13.8" x14ac:dyDescent="0.25">
      <c r="A3370" s="8"/>
    </row>
    <row r="3371" spans="1:1" ht="13.8" x14ac:dyDescent="0.25">
      <c r="A3371" s="8"/>
    </row>
    <row r="3372" spans="1:1" ht="13.8" x14ac:dyDescent="0.25">
      <c r="A3372" s="8"/>
    </row>
    <row r="3373" spans="1:1" ht="13.8" x14ac:dyDescent="0.25">
      <c r="A3373" s="8"/>
    </row>
    <row r="3374" spans="1:1" ht="13.8" x14ac:dyDescent="0.25">
      <c r="A3374" s="8"/>
    </row>
    <row r="3375" spans="1:1" ht="13.8" x14ac:dyDescent="0.25">
      <c r="A3375" s="8"/>
    </row>
    <row r="3376" spans="1:1" ht="13.8" x14ac:dyDescent="0.25">
      <c r="A3376" s="8"/>
    </row>
    <row r="3377" spans="1:1" ht="13.8" x14ac:dyDescent="0.25">
      <c r="A3377" s="8"/>
    </row>
    <row r="3378" spans="1:1" ht="13.8" x14ac:dyDescent="0.25">
      <c r="A3378" s="8"/>
    </row>
    <row r="3379" spans="1:1" ht="13.8" x14ac:dyDescent="0.25">
      <c r="A3379" s="8"/>
    </row>
    <row r="3380" spans="1:1" ht="13.8" x14ac:dyDescent="0.25">
      <c r="A3380" s="8"/>
    </row>
    <row r="3381" spans="1:1" ht="13.8" x14ac:dyDescent="0.25">
      <c r="A3381" s="8"/>
    </row>
    <row r="3382" spans="1:1" ht="13.8" x14ac:dyDescent="0.25">
      <c r="A3382" s="8"/>
    </row>
    <row r="3383" spans="1:1" ht="13.8" x14ac:dyDescent="0.25">
      <c r="A3383" s="8"/>
    </row>
    <row r="3384" spans="1:1" ht="13.8" x14ac:dyDescent="0.25">
      <c r="A3384" s="8"/>
    </row>
    <row r="3385" spans="1:1" ht="13.8" x14ac:dyDescent="0.25">
      <c r="A3385" s="8"/>
    </row>
    <row r="3386" spans="1:1" ht="13.8" x14ac:dyDescent="0.25">
      <c r="A3386" s="8"/>
    </row>
    <row r="3387" spans="1:1" ht="13.8" x14ac:dyDescent="0.25">
      <c r="A3387" s="8"/>
    </row>
    <row r="3388" spans="1:1" ht="13.8" x14ac:dyDescent="0.25">
      <c r="A3388" s="8"/>
    </row>
    <row r="3389" spans="1:1" ht="13.8" x14ac:dyDescent="0.25">
      <c r="A3389" s="8"/>
    </row>
    <row r="3390" spans="1:1" ht="13.8" x14ac:dyDescent="0.25">
      <c r="A3390" s="8"/>
    </row>
    <row r="3391" spans="1:1" ht="13.8" x14ac:dyDescent="0.25">
      <c r="A3391" s="8"/>
    </row>
    <row r="3392" spans="1:1" ht="13.8" x14ac:dyDescent="0.25">
      <c r="A3392" s="8"/>
    </row>
    <row r="3393" spans="1:1" ht="13.8" x14ac:dyDescent="0.25">
      <c r="A3393" s="8"/>
    </row>
    <row r="3394" spans="1:1" ht="13.8" x14ac:dyDescent="0.25">
      <c r="A3394" s="8"/>
    </row>
    <row r="3395" spans="1:1" ht="13.8" x14ac:dyDescent="0.25">
      <c r="A3395" s="8"/>
    </row>
    <row r="3396" spans="1:1" ht="13.8" x14ac:dyDescent="0.25">
      <c r="A3396" s="8"/>
    </row>
    <row r="3397" spans="1:1" ht="13.8" x14ac:dyDescent="0.25">
      <c r="A3397" s="8"/>
    </row>
    <row r="3398" spans="1:1" ht="13.8" x14ac:dyDescent="0.25">
      <c r="A3398" s="8"/>
    </row>
    <row r="3399" spans="1:1" ht="13.8" x14ac:dyDescent="0.25">
      <c r="A3399" s="8"/>
    </row>
    <row r="3400" spans="1:1" ht="13.8" x14ac:dyDescent="0.25">
      <c r="A3400" s="8"/>
    </row>
    <row r="3401" spans="1:1" ht="13.8" x14ac:dyDescent="0.25">
      <c r="A3401" s="8"/>
    </row>
    <row r="3402" spans="1:1" ht="13.8" x14ac:dyDescent="0.25">
      <c r="A3402" s="8"/>
    </row>
    <row r="3403" spans="1:1" ht="13.8" x14ac:dyDescent="0.25">
      <c r="A3403" s="8"/>
    </row>
    <row r="3404" spans="1:1" ht="13.8" x14ac:dyDescent="0.25">
      <c r="A3404" s="8"/>
    </row>
    <row r="3405" spans="1:1" ht="13.8" x14ac:dyDescent="0.25">
      <c r="A3405" s="8"/>
    </row>
    <row r="3406" spans="1:1" ht="13.8" x14ac:dyDescent="0.25">
      <c r="A3406" s="8"/>
    </row>
    <row r="3407" spans="1:1" ht="13.8" x14ac:dyDescent="0.25">
      <c r="A3407" s="8"/>
    </row>
    <row r="3408" spans="1:1" ht="13.8" x14ac:dyDescent="0.25">
      <c r="A3408" s="8"/>
    </row>
    <row r="3409" spans="1:1" ht="13.8" x14ac:dyDescent="0.25">
      <c r="A3409" s="8"/>
    </row>
    <row r="3410" spans="1:1" ht="13.8" x14ac:dyDescent="0.25">
      <c r="A3410" s="8"/>
    </row>
    <row r="3411" spans="1:1" ht="13.8" x14ac:dyDescent="0.25">
      <c r="A3411" s="8"/>
    </row>
    <row r="3412" spans="1:1" ht="13.8" x14ac:dyDescent="0.25">
      <c r="A3412" s="8"/>
    </row>
    <row r="3413" spans="1:1" ht="13.8" x14ac:dyDescent="0.25">
      <c r="A3413" s="8"/>
    </row>
    <row r="3414" spans="1:1" ht="13.8" x14ac:dyDescent="0.25">
      <c r="A3414" s="8"/>
    </row>
    <row r="3415" spans="1:1" ht="13.8" x14ac:dyDescent="0.25">
      <c r="A3415" s="8"/>
    </row>
    <row r="3416" spans="1:1" ht="13.8" x14ac:dyDescent="0.25">
      <c r="A3416" s="8"/>
    </row>
    <row r="3417" spans="1:1" ht="13.8" x14ac:dyDescent="0.25">
      <c r="A3417" s="8"/>
    </row>
    <row r="3418" spans="1:1" ht="13.8" x14ac:dyDescent="0.25">
      <c r="A3418" s="8"/>
    </row>
    <row r="3419" spans="1:1" ht="13.8" x14ac:dyDescent="0.25">
      <c r="A3419" s="8"/>
    </row>
    <row r="3420" spans="1:1" ht="13.8" x14ac:dyDescent="0.25">
      <c r="A3420" s="8"/>
    </row>
    <row r="3421" spans="1:1" ht="13.8" x14ac:dyDescent="0.25">
      <c r="A3421" s="8"/>
    </row>
    <row r="3422" spans="1:1" ht="13.8" x14ac:dyDescent="0.25">
      <c r="A3422" s="8"/>
    </row>
    <row r="3423" spans="1:1" ht="13.8" x14ac:dyDescent="0.25">
      <c r="A3423" s="8"/>
    </row>
    <row r="3424" spans="1:1" ht="13.8" x14ac:dyDescent="0.25">
      <c r="A3424" s="8"/>
    </row>
    <row r="3425" spans="1:1" ht="13.8" x14ac:dyDescent="0.25">
      <c r="A3425" s="8"/>
    </row>
    <row r="3426" spans="1:1" ht="13.8" x14ac:dyDescent="0.25">
      <c r="A3426" s="8"/>
    </row>
    <row r="3427" spans="1:1" ht="13.8" x14ac:dyDescent="0.25">
      <c r="A3427" s="8"/>
    </row>
    <row r="3428" spans="1:1" ht="13.8" x14ac:dyDescent="0.25">
      <c r="A3428" s="8"/>
    </row>
    <row r="3429" spans="1:1" ht="13.8" x14ac:dyDescent="0.25">
      <c r="A3429" s="8"/>
    </row>
    <row r="3430" spans="1:1" ht="13.8" x14ac:dyDescent="0.25">
      <c r="A3430" s="8"/>
    </row>
    <row r="3431" spans="1:1" ht="13.8" x14ac:dyDescent="0.25">
      <c r="A3431" s="8"/>
    </row>
    <row r="3432" spans="1:1" ht="13.8" x14ac:dyDescent="0.25">
      <c r="A3432" s="8"/>
    </row>
    <row r="3433" spans="1:1" ht="13.8" x14ac:dyDescent="0.25">
      <c r="A3433" s="8"/>
    </row>
    <row r="3434" spans="1:1" ht="13.8" x14ac:dyDescent="0.25">
      <c r="A3434" s="8"/>
    </row>
    <row r="3435" spans="1:1" ht="13.8" x14ac:dyDescent="0.25">
      <c r="A3435" s="8"/>
    </row>
    <row r="3436" spans="1:1" ht="13.8" x14ac:dyDescent="0.25">
      <c r="A3436" s="8"/>
    </row>
    <row r="3437" spans="1:1" ht="13.8" x14ac:dyDescent="0.25">
      <c r="A3437" s="8"/>
    </row>
    <row r="3438" spans="1:1" ht="13.8" x14ac:dyDescent="0.25">
      <c r="A3438" s="8"/>
    </row>
    <row r="3439" spans="1:1" ht="13.8" x14ac:dyDescent="0.25">
      <c r="A3439" s="8"/>
    </row>
    <row r="3440" spans="1:1" ht="13.8" x14ac:dyDescent="0.25">
      <c r="A3440" s="8"/>
    </row>
    <row r="3441" spans="1:1" ht="13.8" x14ac:dyDescent="0.25">
      <c r="A3441" s="8"/>
    </row>
    <row r="3442" spans="1:1" ht="13.8" x14ac:dyDescent="0.25">
      <c r="A3442" s="8"/>
    </row>
    <row r="3443" spans="1:1" ht="13.8" x14ac:dyDescent="0.25">
      <c r="A3443" s="8"/>
    </row>
    <row r="3444" spans="1:1" ht="13.8" x14ac:dyDescent="0.25">
      <c r="A3444" s="8"/>
    </row>
    <row r="3445" spans="1:1" ht="13.8" x14ac:dyDescent="0.25">
      <c r="A3445" s="8"/>
    </row>
    <row r="3446" spans="1:1" ht="13.8" x14ac:dyDescent="0.25">
      <c r="A3446" s="8"/>
    </row>
    <row r="3447" spans="1:1" ht="13.8" x14ac:dyDescent="0.25">
      <c r="A3447" s="8"/>
    </row>
    <row r="3448" spans="1:1" ht="13.8" x14ac:dyDescent="0.25">
      <c r="A3448" s="8"/>
    </row>
    <row r="3449" spans="1:1" ht="13.8" x14ac:dyDescent="0.25">
      <c r="A3449" s="8"/>
    </row>
    <row r="3450" spans="1:1" ht="13.8" x14ac:dyDescent="0.25">
      <c r="A3450" s="8"/>
    </row>
    <row r="3451" spans="1:1" ht="13.8" x14ac:dyDescent="0.25">
      <c r="A3451" s="8"/>
    </row>
    <row r="3452" spans="1:1" ht="13.8" x14ac:dyDescent="0.25">
      <c r="A3452" s="8"/>
    </row>
    <row r="3453" spans="1:1" ht="13.8" x14ac:dyDescent="0.25">
      <c r="A3453" s="8"/>
    </row>
    <row r="3454" spans="1:1" ht="13.8" x14ac:dyDescent="0.25">
      <c r="A3454" s="8"/>
    </row>
    <row r="3455" spans="1:1" ht="13.8" x14ac:dyDescent="0.25">
      <c r="A3455" s="8"/>
    </row>
    <row r="3456" spans="1:1" ht="13.8" x14ac:dyDescent="0.25">
      <c r="A3456" s="8"/>
    </row>
    <row r="3457" spans="1:1" ht="13.8" x14ac:dyDescent="0.25">
      <c r="A3457" s="8"/>
    </row>
    <row r="3458" spans="1:1" ht="13.8" x14ac:dyDescent="0.25">
      <c r="A3458" s="8"/>
    </row>
    <row r="3459" spans="1:1" ht="13.8" x14ac:dyDescent="0.25">
      <c r="A3459" s="8"/>
    </row>
    <row r="3460" spans="1:1" ht="13.8" x14ac:dyDescent="0.25">
      <c r="A3460" s="8"/>
    </row>
    <row r="3461" spans="1:1" ht="13.8" x14ac:dyDescent="0.25">
      <c r="A3461" s="8"/>
    </row>
    <row r="3462" spans="1:1" ht="13.8" x14ac:dyDescent="0.25">
      <c r="A3462" s="8"/>
    </row>
    <row r="3463" spans="1:1" ht="13.8" x14ac:dyDescent="0.25">
      <c r="A3463" s="8"/>
    </row>
    <row r="3464" spans="1:1" ht="13.8" x14ac:dyDescent="0.25">
      <c r="A3464" s="8"/>
    </row>
    <row r="3465" spans="1:1" ht="13.8" x14ac:dyDescent="0.25">
      <c r="A3465" s="8"/>
    </row>
    <row r="3466" spans="1:1" ht="13.8" x14ac:dyDescent="0.25">
      <c r="A3466" s="8"/>
    </row>
    <row r="3467" spans="1:1" ht="13.8" x14ac:dyDescent="0.25">
      <c r="A3467" s="8"/>
    </row>
    <row r="3468" spans="1:1" ht="13.8" x14ac:dyDescent="0.25">
      <c r="A3468" s="8"/>
    </row>
    <row r="3469" spans="1:1" ht="13.8" x14ac:dyDescent="0.25">
      <c r="A3469" s="8"/>
    </row>
    <row r="3470" spans="1:1" ht="13.8" x14ac:dyDescent="0.25">
      <c r="A3470" s="8"/>
    </row>
    <row r="3471" spans="1:1" ht="13.8" x14ac:dyDescent="0.25">
      <c r="A3471" s="8"/>
    </row>
    <row r="3472" spans="1:1" ht="13.8" x14ac:dyDescent="0.25">
      <c r="A3472" s="8"/>
    </row>
    <row r="3473" spans="1:1" ht="13.8" x14ac:dyDescent="0.25">
      <c r="A3473" s="8"/>
    </row>
    <row r="3474" spans="1:1" ht="13.8" x14ac:dyDescent="0.25">
      <c r="A3474" s="8"/>
    </row>
    <row r="3475" spans="1:1" ht="13.8" x14ac:dyDescent="0.25">
      <c r="A3475" s="8"/>
    </row>
    <row r="3476" spans="1:1" ht="13.8" x14ac:dyDescent="0.25">
      <c r="A3476" s="8"/>
    </row>
    <row r="3477" spans="1:1" ht="13.8" x14ac:dyDescent="0.25">
      <c r="A3477" s="8"/>
    </row>
    <row r="3478" spans="1:1" ht="13.8" x14ac:dyDescent="0.25">
      <c r="A3478" s="8"/>
    </row>
    <row r="3479" spans="1:1" ht="13.8" x14ac:dyDescent="0.25">
      <c r="A3479" s="8"/>
    </row>
    <row r="3480" spans="1:1" ht="13.8" x14ac:dyDescent="0.25">
      <c r="A3480" s="8"/>
    </row>
    <row r="3481" spans="1:1" ht="13.8" x14ac:dyDescent="0.25">
      <c r="A3481" s="8"/>
    </row>
    <row r="3482" spans="1:1" ht="13.8" x14ac:dyDescent="0.25">
      <c r="A3482" s="8"/>
    </row>
    <row r="3483" spans="1:1" ht="13.8" x14ac:dyDescent="0.25">
      <c r="A3483" s="8"/>
    </row>
    <row r="3484" spans="1:1" ht="13.8" x14ac:dyDescent="0.25">
      <c r="A3484" s="8"/>
    </row>
    <row r="3485" spans="1:1" ht="13.8" x14ac:dyDescent="0.25">
      <c r="A3485" s="8"/>
    </row>
    <row r="3486" spans="1:1" ht="13.8" x14ac:dyDescent="0.25">
      <c r="A3486" s="8"/>
    </row>
    <row r="3487" spans="1:1" ht="13.8" x14ac:dyDescent="0.25">
      <c r="A3487" s="8"/>
    </row>
    <row r="3488" spans="1:1" ht="13.8" x14ac:dyDescent="0.25">
      <c r="A3488" s="8"/>
    </row>
    <row r="3489" spans="1:1" ht="13.8" x14ac:dyDescent="0.25">
      <c r="A3489" s="8"/>
    </row>
    <row r="3490" spans="1:1" ht="13.8" x14ac:dyDescent="0.25">
      <c r="A3490" s="8"/>
    </row>
    <row r="3491" spans="1:1" ht="13.8" x14ac:dyDescent="0.25">
      <c r="A3491" s="8"/>
    </row>
    <row r="3492" spans="1:1" ht="13.8" x14ac:dyDescent="0.25">
      <c r="A3492" s="8"/>
    </row>
    <row r="3493" spans="1:1" ht="13.8" x14ac:dyDescent="0.25">
      <c r="A3493" s="8"/>
    </row>
    <row r="3494" spans="1:1" ht="13.8" x14ac:dyDescent="0.25">
      <c r="A3494" s="8"/>
    </row>
    <row r="3495" spans="1:1" ht="13.8" x14ac:dyDescent="0.25">
      <c r="A3495" s="8"/>
    </row>
    <row r="3496" spans="1:1" ht="13.8" x14ac:dyDescent="0.25">
      <c r="A3496" s="8"/>
    </row>
    <row r="3497" spans="1:1" ht="13.8" x14ac:dyDescent="0.25">
      <c r="A3497" s="8"/>
    </row>
    <row r="3498" spans="1:1" ht="13.8" x14ac:dyDescent="0.25">
      <c r="A3498" s="8"/>
    </row>
    <row r="3499" spans="1:1" ht="13.8" x14ac:dyDescent="0.25">
      <c r="A3499" s="8"/>
    </row>
    <row r="3500" spans="1:1" ht="13.8" x14ac:dyDescent="0.25">
      <c r="A3500" s="8"/>
    </row>
    <row r="3501" spans="1:1" ht="13.8" x14ac:dyDescent="0.25">
      <c r="A3501" s="8"/>
    </row>
    <row r="3502" spans="1:1" ht="13.8" x14ac:dyDescent="0.25">
      <c r="A3502" s="8"/>
    </row>
    <row r="3503" spans="1:1" ht="13.8" x14ac:dyDescent="0.25">
      <c r="A3503" s="8"/>
    </row>
    <row r="3504" spans="1:1" ht="13.8" x14ac:dyDescent="0.25">
      <c r="A3504" s="8"/>
    </row>
    <row r="3505" spans="1:1" ht="13.8" x14ac:dyDescent="0.25">
      <c r="A3505" s="8"/>
    </row>
    <row r="3506" spans="1:1" ht="13.8" x14ac:dyDescent="0.25">
      <c r="A3506" s="8"/>
    </row>
    <row r="3507" spans="1:1" ht="13.8" x14ac:dyDescent="0.25">
      <c r="A3507" s="8"/>
    </row>
    <row r="3508" spans="1:1" ht="13.8" x14ac:dyDescent="0.25">
      <c r="A3508" s="8"/>
    </row>
    <row r="3509" spans="1:1" ht="13.8" x14ac:dyDescent="0.25">
      <c r="A3509" s="8"/>
    </row>
    <row r="3510" spans="1:1" ht="13.8" x14ac:dyDescent="0.25">
      <c r="A3510" s="8"/>
    </row>
    <row r="3511" spans="1:1" ht="13.8" x14ac:dyDescent="0.25">
      <c r="A3511" s="8"/>
    </row>
    <row r="3512" spans="1:1" ht="13.8" x14ac:dyDescent="0.25">
      <c r="A3512" s="8"/>
    </row>
    <row r="3513" spans="1:1" ht="13.8" x14ac:dyDescent="0.25">
      <c r="A3513" s="8"/>
    </row>
    <row r="3514" spans="1:1" ht="13.8" x14ac:dyDescent="0.25">
      <c r="A3514" s="8"/>
    </row>
    <row r="3515" spans="1:1" ht="13.8" x14ac:dyDescent="0.25">
      <c r="A3515" s="8"/>
    </row>
    <row r="3516" spans="1:1" ht="13.8" x14ac:dyDescent="0.25">
      <c r="A3516" s="8"/>
    </row>
    <row r="3517" spans="1:1" ht="13.8" x14ac:dyDescent="0.25">
      <c r="A3517" s="8"/>
    </row>
    <row r="3518" spans="1:1" ht="13.8" x14ac:dyDescent="0.25">
      <c r="A3518" s="8"/>
    </row>
    <row r="3519" spans="1:1" ht="13.8" x14ac:dyDescent="0.25">
      <c r="A3519" s="8"/>
    </row>
    <row r="3520" spans="1:1" ht="13.8" x14ac:dyDescent="0.25">
      <c r="A3520" s="8"/>
    </row>
    <row r="3521" spans="1:1" ht="13.8" x14ac:dyDescent="0.25">
      <c r="A3521" s="8"/>
    </row>
    <row r="3522" spans="1:1" ht="13.8" x14ac:dyDescent="0.25">
      <c r="A3522" s="8"/>
    </row>
    <row r="3523" spans="1:1" ht="13.8" x14ac:dyDescent="0.25">
      <c r="A3523" s="8"/>
    </row>
    <row r="3524" spans="1:1" ht="13.8" x14ac:dyDescent="0.25">
      <c r="A3524" s="8"/>
    </row>
    <row r="3525" spans="1:1" ht="13.8" x14ac:dyDescent="0.25">
      <c r="A3525" s="8"/>
    </row>
    <row r="3526" spans="1:1" ht="13.8" x14ac:dyDescent="0.25">
      <c r="A3526" s="8"/>
    </row>
    <row r="3527" spans="1:1" ht="13.8" x14ac:dyDescent="0.25">
      <c r="A3527" s="8"/>
    </row>
    <row r="3528" spans="1:1" ht="13.8" x14ac:dyDescent="0.25">
      <c r="A3528" s="8"/>
    </row>
    <row r="3529" spans="1:1" ht="13.8" x14ac:dyDescent="0.25">
      <c r="A3529" s="8"/>
    </row>
    <row r="3530" spans="1:1" ht="13.8" x14ac:dyDescent="0.25">
      <c r="A3530" s="8"/>
    </row>
    <row r="3531" spans="1:1" ht="13.8" x14ac:dyDescent="0.25">
      <c r="A3531" s="8"/>
    </row>
    <row r="3532" spans="1:1" ht="13.8" x14ac:dyDescent="0.25">
      <c r="A3532" s="8"/>
    </row>
    <row r="3533" spans="1:1" ht="13.8" x14ac:dyDescent="0.25">
      <c r="A3533" s="8"/>
    </row>
    <row r="3534" spans="1:1" ht="13.8" x14ac:dyDescent="0.25">
      <c r="A3534" s="8"/>
    </row>
    <row r="3535" spans="1:1" ht="13.8" x14ac:dyDescent="0.25">
      <c r="A3535" s="8"/>
    </row>
    <row r="3536" spans="1:1" ht="13.8" x14ac:dyDescent="0.25">
      <c r="A3536" s="8"/>
    </row>
    <row r="3537" spans="1:1" ht="13.8" x14ac:dyDescent="0.25">
      <c r="A3537" s="8"/>
    </row>
    <row r="3538" spans="1:1" ht="13.8" x14ac:dyDescent="0.25">
      <c r="A3538" s="8"/>
    </row>
    <row r="3539" spans="1:1" ht="13.8" x14ac:dyDescent="0.25">
      <c r="A3539" s="8"/>
    </row>
    <row r="3540" spans="1:1" ht="13.8" x14ac:dyDescent="0.25">
      <c r="A3540" s="8"/>
    </row>
    <row r="3541" spans="1:1" ht="13.8" x14ac:dyDescent="0.25">
      <c r="A3541" s="8"/>
    </row>
    <row r="3542" spans="1:1" ht="13.8" x14ac:dyDescent="0.25">
      <c r="A3542" s="8"/>
    </row>
    <row r="3543" spans="1:1" ht="13.8" x14ac:dyDescent="0.25">
      <c r="A3543" s="8"/>
    </row>
    <row r="3544" spans="1:1" ht="13.8" x14ac:dyDescent="0.25">
      <c r="A3544" s="8"/>
    </row>
    <row r="3545" spans="1:1" ht="13.8" x14ac:dyDescent="0.25">
      <c r="A3545" s="8"/>
    </row>
    <row r="3546" spans="1:1" ht="13.8" x14ac:dyDescent="0.25">
      <c r="A3546" s="8"/>
    </row>
    <row r="3547" spans="1:1" ht="13.8" x14ac:dyDescent="0.25">
      <c r="A3547" s="8"/>
    </row>
    <row r="3548" spans="1:1" ht="13.8" x14ac:dyDescent="0.25">
      <c r="A3548" s="8"/>
    </row>
    <row r="3549" spans="1:1" ht="13.8" x14ac:dyDescent="0.25">
      <c r="A3549" s="8"/>
    </row>
    <row r="3550" spans="1:1" ht="13.8" x14ac:dyDescent="0.25">
      <c r="A3550" s="8"/>
    </row>
    <row r="3551" spans="1:1" ht="13.8" x14ac:dyDescent="0.25">
      <c r="A3551" s="8"/>
    </row>
    <row r="3552" spans="1:1" ht="13.8" x14ac:dyDescent="0.25">
      <c r="A3552" s="8"/>
    </row>
    <row r="3553" spans="1:1" ht="13.8" x14ac:dyDescent="0.25">
      <c r="A3553" s="8"/>
    </row>
    <row r="3554" spans="1:1" ht="13.8" x14ac:dyDescent="0.25">
      <c r="A3554" s="8"/>
    </row>
    <row r="3555" spans="1:1" ht="13.8" x14ac:dyDescent="0.25">
      <c r="A3555" s="8"/>
    </row>
    <row r="3556" spans="1:1" ht="13.8" x14ac:dyDescent="0.25">
      <c r="A3556" s="8"/>
    </row>
    <row r="3557" spans="1:1" ht="13.8" x14ac:dyDescent="0.25">
      <c r="A3557" s="8"/>
    </row>
    <row r="3558" spans="1:1" ht="13.8" x14ac:dyDescent="0.25">
      <c r="A3558" s="8"/>
    </row>
    <row r="3559" spans="1:1" ht="13.8" x14ac:dyDescent="0.25">
      <c r="A3559" s="8"/>
    </row>
    <row r="3560" spans="1:1" ht="13.8" x14ac:dyDescent="0.25">
      <c r="A3560" s="8"/>
    </row>
    <row r="3561" spans="1:1" ht="13.8" x14ac:dyDescent="0.25">
      <c r="A3561" s="8"/>
    </row>
    <row r="3562" spans="1:1" ht="13.8" x14ac:dyDescent="0.25">
      <c r="A3562" s="8"/>
    </row>
    <row r="3563" spans="1:1" ht="13.8" x14ac:dyDescent="0.25">
      <c r="A3563" s="8"/>
    </row>
    <row r="3564" spans="1:1" ht="13.8" x14ac:dyDescent="0.25">
      <c r="A3564" s="8"/>
    </row>
    <row r="3565" spans="1:1" ht="13.8" x14ac:dyDescent="0.25">
      <c r="A3565" s="8"/>
    </row>
    <row r="3566" spans="1:1" ht="13.8" x14ac:dyDescent="0.25">
      <c r="A3566" s="8"/>
    </row>
    <row r="3567" spans="1:1" ht="13.8" x14ac:dyDescent="0.25">
      <c r="A3567" s="8"/>
    </row>
    <row r="3568" spans="1:1" ht="13.8" x14ac:dyDescent="0.25">
      <c r="A3568" s="8"/>
    </row>
    <row r="3569" spans="1:1" ht="13.8" x14ac:dyDescent="0.25">
      <c r="A3569" s="8"/>
    </row>
    <row r="3570" spans="1:1" ht="13.8" x14ac:dyDescent="0.25">
      <c r="A3570" s="8"/>
    </row>
    <row r="3571" spans="1:1" ht="13.8" x14ac:dyDescent="0.25">
      <c r="A3571" s="8"/>
    </row>
    <row r="3572" spans="1:1" ht="13.8" x14ac:dyDescent="0.25">
      <c r="A3572" s="8"/>
    </row>
    <row r="3573" spans="1:1" ht="13.8" x14ac:dyDescent="0.25">
      <c r="A3573" s="8"/>
    </row>
    <row r="3574" spans="1:1" ht="13.8" x14ac:dyDescent="0.25">
      <c r="A3574" s="8"/>
    </row>
    <row r="3575" spans="1:1" ht="13.8" x14ac:dyDescent="0.25">
      <c r="A3575" s="8"/>
    </row>
    <row r="3576" spans="1:1" ht="13.8" x14ac:dyDescent="0.25">
      <c r="A3576" s="8"/>
    </row>
    <row r="3577" spans="1:1" ht="13.8" x14ac:dyDescent="0.25">
      <c r="A3577" s="8"/>
    </row>
    <row r="3578" spans="1:1" ht="13.8" x14ac:dyDescent="0.25">
      <c r="A3578" s="8"/>
    </row>
    <row r="3579" spans="1:1" ht="13.8" x14ac:dyDescent="0.25">
      <c r="A3579" s="8"/>
    </row>
    <row r="3580" spans="1:1" ht="13.8" x14ac:dyDescent="0.25">
      <c r="A3580" s="8"/>
    </row>
    <row r="3581" spans="1:1" ht="13.8" x14ac:dyDescent="0.25">
      <c r="A3581" s="8"/>
    </row>
    <row r="3582" spans="1:1" ht="13.8" x14ac:dyDescent="0.25">
      <c r="A3582" s="8"/>
    </row>
    <row r="3583" spans="1:1" ht="13.8" x14ac:dyDescent="0.25">
      <c r="A3583" s="8"/>
    </row>
    <row r="3584" spans="1:1" ht="13.8" x14ac:dyDescent="0.25">
      <c r="A3584" s="8"/>
    </row>
    <row r="3585" spans="1:1" ht="13.8" x14ac:dyDescent="0.25">
      <c r="A3585" s="8"/>
    </row>
    <row r="3586" spans="1:1" ht="13.8" x14ac:dyDescent="0.25">
      <c r="A3586" s="8"/>
    </row>
    <row r="3587" spans="1:1" ht="13.8" x14ac:dyDescent="0.25">
      <c r="A3587" s="8"/>
    </row>
    <row r="3588" spans="1:1" ht="13.8" x14ac:dyDescent="0.25">
      <c r="A3588" s="8"/>
    </row>
    <row r="3589" spans="1:1" ht="13.8" x14ac:dyDescent="0.25">
      <c r="A3589" s="8"/>
    </row>
    <row r="3590" spans="1:1" ht="13.8" x14ac:dyDescent="0.25">
      <c r="A3590" s="8"/>
    </row>
    <row r="3591" spans="1:1" ht="13.8" x14ac:dyDescent="0.25">
      <c r="A3591" s="8"/>
    </row>
    <row r="3592" spans="1:1" ht="13.8" x14ac:dyDescent="0.25">
      <c r="A3592" s="8"/>
    </row>
    <row r="3593" spans="1:1" ht="13.8" x14ac:dyDescent="0.25">
      <c r="A3593" s="8"/>
    </row>
    <row r="3594" spans="1:1" ht="13.8" x14ac:dyDescent="0.25">
      <c r="A3594" s="8"/>
    </row>
    <row r="3595" spans="1:1" ht="13.8" x14ac:dyDescent="0.25">
      <c r="A3595" s="8"/>
    </row>
    <row r="3596" spans="1:1" ht="13.8" x14ac:dyDescent="0.25">
      <c r="A3596" s="8"/>
    </row>
    <row r="3597" spans="1:1" ht="13.8" x14ac:dyDescent="0.25">
      <c r="A3597" s="8"/>
    </row>
    <row r="3598" spans="1:1" ht="13.8" x14ac:dyDescent="0.25">
      <c r="A3598" s="8"/>
    </row>
    <row r="3599" spans="1:1" ht="13.8" x14ac:dyDescent="0.25">
      <c r="A3599" s="8"/>
    </row>
    <row r="3600" spans="1:1" ht="13.8" x14ac:dyDescent="0.25">
      <c r="A3600" s="8"/>
    </row>
    <row r="3601" spans="1:1" ht="13.8" x14ac:dyDescent="0.25">
      <c r="A3601" s="8"/>
    </row>
    <row r="3602" spans="1:1" ht="13.8" x14ac:dyDescent="0.25">
      <c r="A3602" s="8"/>
    </row>
    <row r="3603" spans="1:1" ht="13.8" x14ac:dyDescent="0.25">
      <c r="A3603" s="8"/>
    </row>
    <row r="3604" spans="1:1" ht="13.8" x14ac:dyDescent="0.25">
      <c r="A3604" s="8"/>
    </row>
    <row r="3605" spans="1:1" ht="13.8" x14ac:dyDescent="0.25">
      <c r="A3605" s="8"/>
    </row>
    <row r="3606" spans="1:1" ht="13.8" x14ac:dyDescent="0.25">
      <c r="A3606" s="8"/>
    </row>
    <row r="3607" spans="1:1" ht="13.8" x14ac:dyDescent="0.25">
      <c r="A3607" s="8"/>
    </row>
    <row r="3608" spans="1:1" ht="13.8" x14ac:dyDescent="0.25">
      <c r="A3608" s="8"/>
    </row>
    <row r="3609" spans="1:1" ht="13.8" x14ac:dyDescent="0.25">
      <c r="A3609" s="8"/>
    </row>
    <row r="3610" spans="1:1" ht="13.8" x14ac:dyDescent="0.25">
      <c r="A3610" s="8"/>
    </row>
    <row r="3611" spans="1:1" ht="13.8" x14ac:dyDescent="0.25">
      <c r="A3611" s="8"/>
    </row>
    <row r="3612" spans="1:1" ht="13.8" x14ac:dyDescent="0.25">
      <c r="A3612" s="8"/>
    </row>
    <row r="3613" spans="1:1" ht="13.8" x14ac:dyDescent="0.25">
      <c r="A3613" s="8"/>
    </row>
    <row r="3614" spans="1:1" ht="13.8" x14ac:dyDescent="0.25">
      <c r="A3614" s="8"/>
    </row>
    <row r="3615" spans="1:1" ht="13.8" x14ac:dyDescent="0.25">
      <c r="A3615" s="8"/>
    </row>
    <row r="3616" spans="1:1" ht="13.8" x14ac:dyDescent="0.25">
      <c r="A3616" s="8"/>
    </row>
    <row r="3617" spans="1:1" ht="13.8" x14ac:dyDescent="0.25">
      <c r="A3617" s="8"/>
    </row>
    <row r="3618" spans="1:1" ht="13.8" x14ac:dyDescent="0.25">
      <c r="A3618" s="8"/>
    </row>
    <row r="3619" spans="1:1" ht="13.8" x14ac:dyDescent="0.25">
      <c r="A3619" s="8"/>
    </row>
    <row r="3620" spans="1:1" ht="13.8" x14ac:dyDescent="0.25">
      <c r="A3620" s="8"/>
    </row>
    <row r="3621" spans="1:1" ht="13.8" x14ac:dyDescent="0.25">
      <c r="A3621" s="8"/>
    </row>
    <row r="3622" spans="1:1" ht="13.8" x14ac:dyDescent="0.25">
      <c r="A3622" s="8"/>
    </row>
    <row r="3623" spans="1:1" ht="13.8" x14ac:dyDescent="0.25">
      <c r="A3623" s="8"/>
    </row>
    <row r="3624" spans="1:1" ht="13.8" x14ac:dyDescent="0.25">
      <c r="A3624" s="8"/>
    </row>
    <row r="3625" spans="1:1" ht="13.8" x14ac:dyDescent="0.25">
      <c r="A3625" s="8"/>
    </row>
    <row r="3626" spans="1:1" ht="13.8" x14ac:dyDescent="0.25">
      <c r="A3626" s="8"/>
    </row>
    <row r="3627" spans="1:1" ht="13.8" x14ac:dyDescent="0.25">
      <c r="A3627" s="8"/>
    </row>
    <row r="3628" spans="1:1" ht="13.8" x14ac:dyDescent="0.25">
      <c r="A3628" s="8"/>
    </row>
    <row r="3629" spans="1:1" ht="13.8" x14ac:dyDescent="0.25">
      <c r="A3629" s="8"/>
    </row>
    <row r="3630" spans="1:1" ht="13.8" x14ac:dyDescent="0.25">
      <c r="A3630" s="8"/>
    </row>
    <row r="3631" spans="1:1" ht="13.8" x14ac:dyDescent="0.25">
      <c r="A3631" s="8"/>
    </row>
    <row r="3632" spans="1:1" ht="13.8" x14ac:dyDescent="0.25">
      <c r="A3632" s="8"/>
    </row>
    <row r="3633" spans="1:1" ht="13.8" x14ac:dyDescent="0.25">
      <c r="A3633" s="8"/>
    </row>
    <row r="3634" spans="1:1" ht="13.8" x14ac:dyDescent="0.25">
      <c r="A3634" s="8"/>
    </row>
    <row r="3635" spans="1:1" ht="13.8" x14ac:dyDescent="0.25">
      <c r="A3635" s="8"/>
    </row>
    <row r="3636" spans="1:1" ht="13.8" x14ac:dyDescent="0.25">
      <c r="A3636" s="8"/>
    </row>
    <row r="3637" spans="1:1" ht="13.8" x14ac:dyDescent="0.25">
      <c r="A3637" s="8"/>
    </row>
    <row r="3638" spans="1:1" ht="13.8" x14ac:dyDescent="0.25">
      <c r="A3638" s="8"/>
    </row>
    <row r="3639" spans="1:1" ht="13.8" x14ac:dyDescent="0.25">
      <c r="A3639" s="8"/>
    </row>
    <row r="3640" spans="1:1" ht="13.8" x14ac:dyDescent="0.25">
      <c r="A3640" s="8"/>
    </row>
    <row r="3641" spans="1:1" ht="13.8" x14ac:dyDescent="0.25">
      <c r="A3641" s="8"/>
    </row>
    <row r="3642" spans="1:1" ht="13.8" x14ac:dyDescent="0.25">
      <c r="A3642" s="8"/>
    </row>
    <row r="3643" spans="1:1" ht="13.8" x14ac:dyDescent="0.25">
      <c r="A3643" s="8"/>
    </row>
    <row r="3644" spans="1:1" ht="13.8" x14ac:dyDescent="0.25">
      <c r="A3644" s="8"/>
    </row>
    <row r="3645" spans="1:1" ht="13.8" x14ac:dyDescent="0.25">
      <c r="A3645" s="8"/>
    </row>
    <row r="3646" spans="1:1" ht="13.8" x14ac:dyDescent="0.25">
      <c r="A3646" s="8"/>
    </row>
    <row r="3647" spans="1:1" ht="13.8" x14ac:dyDescent="0.25">
      <c r="A3647" s="8"/>
    </row>
    <row r="3648" spans="1:1" ht="13.8" x14ac:dyDescent="0.25">
      <c r="A3648" s="8"/>
    </row>
    <row r="3649" spans="1:1" ht="13.8" x14ac:dyDescent="0.25">
      <c r="A3649" s="8"/>
    </row>
    <row r="3650" spans="1:1" ht="13.8" x14ac:dyDescent="0.25">
      <c r="A3650" s="8"/>
    </row>
    <row r="3651" spans="1:1" ht="13.8" x14ac:dyDescent="0.25">
      <c r="A3651" s="8"/>
    </row>
    <row r="3652" spans="1:1" ht="13.8" x14ac:dyDescent="0.25">
      <c r="A3652" s="8"/>
    </row>
    <row r="3653" spans="1:1" ht="13.8" x14ac:dyDescent="0.25">
      <c r="A3653" s="8"/>
    </row>
    <row r="3654" spans="1:1" ht="13.8" x14ac:dyDescent="0.25">
      <c r="A3654" s="8"/>
    </row>
    <row r="3655" spans="1:1" ht="13.8" x14ac:dyDescent="0.25">
      <c r="A3655" s="8"/>
    </row>
    <row r="3656" spans="1:1" ht="13.8" x14ac:dyDescent="0.25">
      <c r="A3656" s="8"/>
    </row>
    <row r="3657" spans="1:1" ht="13.8" x14ac:dyDescent="0.25">
      <c r="A3657" s="8"/>
    </row>
    <row r="3658" spans="1:1" ht="13.8" x14ac:dyDescent="0.25">
      <c r="A3658" s="8"/>
    </row>
    <row r="3659" spans="1:1" ht="13.8" x14ac:dyDescent="0.25">
      <c r="A3659" s="8"/>
    </row>
    <row r="3660" spans="1:1" ht="13.8" x14ac:dyDescent="0.25">
      <c r="A3660" s="8"/>
    </row>
    <row r="3661" spans="1:1" ht="13.8" x14ac:dyDescent="0.25">
      <c r="A3661" s="8"/>
    </row>
    <row r="3662" spans="1:1" ht="13.8" x14ac:dyDescent="0.25">
      <c r="A3662" s="8"/>
    </row>
    <row r="3663" spans="1:1" ht="13.8" x14ac:dyDescent="0.25">
      <c r="A3663" s="8"/>
    </row>
    <row r="3664" spans="1:1" ht="13.8" x14ac:dyDescent="0.25">
      <c r="A3664" s="8"/>
    </row>
    <row r="3665" spans="1:1" ht="13.8" x14ac:dyDescent="0.25">
      <c r="A3665" s="8"/>
    </row>
    <row r="3666" spans="1:1" ht="13.8" x14ac:dyDescent="0.25">
      <c r="A3666" s="8"/>
    </row>
    <row r="3667" spans="1:1" ht="13.8" x14ac:dyDescent="0.25">
      <c r="A3667" s="8"/>
    </row>
    <row r="3668" spans="1:1" ht="13.8" x14ac:dyDescent="0.25">
      <c r="A3668" s="8"/>
    </row>
    <row r="3669" spans="1:1" ht="13.8" x14ac:dyDescent="0.25">
      <c r="A3669" s="8"/>
    </row>
    <row r="3670" spans="1:1" ht="13.8" x14ac:dyDescent="0.25">
      <c r="A3670" s="8"/>
    </row>
    <row r="3671" spans="1:1" ht="13.8" x14ac:dyDescent="0.25">
      <c r="A3671" s="8"/>
    </row>
    <row r="3672" spans="1:1" ht="13.8" x14ac:dyDescent="0.25">
      <c r="A3672" s="8"/>
    </row>
    <row r="3673" spans="1:1" ht="13.8" x14ac:dyDescent="0.25">
      <c r="A3673" s="8"/>
    </row>
    <row r="3674" spans="1:1" ht="13.8" x14ac:dyDescent="0.25">
      <c r="A3674" s="8"/>
    </row>
    <row r="3675" spans="1:1" ht="13.8" x14ac:dyDescent="0.25">
      <c r="A3675" s="8"/>
    </row>
    <row r="3676" spans="1:1" ht="13.8" x14ac:dyDescent="0.25">
      <c r="A3676" s="8"/>
    </row>
    <row r="3677" spans="1:1" ht="13.8" x14ac:dyDescent="0.25">
      <c r="A3677" s="8"/>
    </row>
    <row r="3678" spans="1:1" ht="13.8" x14ac:dyDescent="0.25">
      <c r="A3678" s="8"/>
    </row>
    <row r="3679" spans="1:1" ht="13.8" x14ac:dyDescent="0.25">
      <c r="A3679" s="8"/>
    </row>
    <row r="3680" spans="1:1" ht="13.8" x14ac:dyDescent="0.25">
      <c r="A3680" s="8"/>
    </row>
    <row r="3681" spans="1:1" ht="13.8" x14ac:dyDescent="0.25">
      <c r="A3681" s="8"/>
    </row>
    <row r="3682" spans="1:1" ht="13.8" x14ac:dyDescent="0.25">
      <c r="A3682" s="8"/>
    </row>
    <row r="3683" spans="1:1" ht="13.8" x14ac:dyDescent="0.25">
      <c r="A3683" s="8"/>
    </row>
    <row r="3684" spans="1:1" ht="13.8" x14ac:dyDescent="0.25">
      <c r="A3684" s="8"/>
    </row>
    <row r="3685" spans="1:1" ht="13.8" x14ac:dyDescent="0.25">
      <c r="A3685" s="8"/>
    </row>
    <row r="3686" spans="1:1" ht="13.8" x14ac:dyDescent="0.25">
      <c r="A3686" s="8"/>
    </row>
    <row r="3687" spans="1:1" ht="13.8" x14ac:dyDescent="0.25">
      <c r="A3687" s="8"/>
    </row>
    <row r="3688" spans="1:1" ht="13.8" x14ac:dyDescent="0.25">
      <c r="A3688" s="8"/>
    </row>
    <row r="3689" spans="1:1" ht="13.8" x14ac:dyDescent="0.25">
      <c r="A3689" s="8"/>
    </row>
    <row r="3690" spans="1:1" ht="13.8" x14ac:dyDescent="0.25">
      <c r="A3690" s="8"/>
    </row>
    <row r="3691" spans="1:1" ht="13.8" x14ac:dyDescent="0.25">
      <c r="A3691" s="8"/>
    </row>
    <row r="3692" spans="1:1" ht="13.8" x14ac:dyDescent="0.25">
      <c r="A3692" s="8"/>
    </row>
    <row r="3693" spans="1:1" ht="13.8" x14ac:dyDescent="0.25">
      <c r="A3693" s="8"/>
    </row>
    <row r="3694" spans="1:1" ht="13.8" x14ac:dyDescent="0.25">
      <c r="A3694" s="8"/>
    </row>
    <row r="3695" spans="1:1" ht="13.8" x14ac:dyDescent="0.25">
      <c r="A3695" s="8"/>
    </row>
    <row r="3696" spans="1:1" ht="13.8" x14ac:dyDescent="0.25">
      <c r="A3696" s="8"/>
    </row>
    <row r="3697" spans="1:1" ht="13.8" x14ac:dyDescent="0.25">
      <c r="A3697" s="8"/>
    </row>
    <row r="3698" spans="1:1" ht="13.8" x14ac:dyDescent="0.25">
      <c r="A3698" s="8"/>
    </row>
    <row r="3699" spans="1:1" ht="13.8" x14ac:dyDescent="0.25">
      <c r="A3699" s="8"/>
    </row>
    <row r="3700" spans="1:1" ht="13.8" x14ac:dyDescent="0.25">
      <c r="A3700" s="8"/>
    </row>
    <row r="3701" spans="1:1" ht="13.8" x14ac:dyDescent="0.25">
      <c r="A3701" s="8"/>
    </row>
    <row r="3702" spans="1:1" ht="13.8" x14ac:dyDescent="0.25">
      <c r="A3702" s="8"/>
    </row>
    <row r="3703" spans="1:1" ht="13.8" x14ac:dyDescent="0.25">
      <c r="A3703" s="8"/>
    </row>
    <row r="3704" spans="1:1" ht="13.8" x14ac:dyDescent="0.25">
      <c r="A3704" s="8"/>
    </row>
    <row r="3705" spans="1:1" ht="13.8" x14ac:dyDescent="0.25">
      <c r="A3705" s="8"/>
    </row>
    <row r="3706" spans="1:1" ht="13.8" x14ac:dyDescent="0.25">
      <c r="A3706" s="8"/>
    </row>
    <row r="3707" spans="1:1" ht="13.8" x14ac:dyDescent="0.25">
      <c r="A3707" s="8"/>
    </row>
    <row r="3708" spans="1:1" ht="13.8" x14ac:dyDescent="0.25">
      <c r="A3708" s="8"/>
    </row>
    <row r="3709" spans="1:1" ht="13.8" x14ac:dyDescent="0.25">
      <c r="A3709" s="8"/>
    </row>
    <row r="3710" spans="1:1" ht="13.8" x14ac:dyDescent="0.25">
      <c r="A3710" s="8"/>
    </row>
    <row r="3711" spans="1:1" ht="13.8" x14ac:dyDescent="0.25">
      <c r="A3711" s="8"/>
    </row>
    <row r="3712" spans="1:1" ht="13.8" x14ac:dyDescent="0.25">
      <c r="A3712" s="8"/>
    </row>
    <row r="3713" spans="1:1" ht="13.8" x14ac:dyDescent="0.25">
      <c r="A3713" s="8"/>
    </row>
    <row r="3714" spans="1:1" ht="13.8" x14ac:dyDescent="0.25">
      <c r="A3714" s="8"/>
    </row>
    <row r="3715" spans="1:1" ht="13.8" x14ac:dyDescent="0.25">
      <c r="A3715" s="8"/>
    </row>
    <row r="3716" spans="1:1" ht="13.8" x14ac:dyDescent="0.25">
      <c r="A3716" s="8"/>
    </row>
    <row r="3717" spans="1:1" ht="13.8" x14ac:dyDescent="0.25">
      <c r="A3717" s="8"/>
    </row>
    <row r="3718" spans="1:1" ht="13.8" x14ac:dyDescent="0.25">
      <c r="A3718" s="8"/>
    </row>
    <row r="3719" spans="1:1" ht="13.8" x14ac:dyDescent="0.25">
      <c r="A3719" s="8"/>
    </row>
    <row r="3720" spans="1:1" ht="13.8" x14ac:dyDescent="0.25">
      <c r="A3720" s="8"/>
    </row>
    <row r="3721" spans="1:1" ht="13.8" x14ac:dyDescent="0.25">
      <c r="A3721" s="8"/>
    </row>
    <row r="3722" spans="1:1" ht="13.8" x14ac:dyDescent="0.25">
      <c r="A3722" s="8"/>
    </row>
    <row r="3723" spans="1:1" ht="13.8" x14ac:dyDescent="0.25">
      <c r="A3723" s="8"/>
    </row>
    <row r="3724" spans="1:1" ht="13.8" x14ac:dyDescent="0.25">
      <c r="A3724" s="8"/>
    </row>
    <row r="3725" spans="1:1" ht="13.8" x14ac:dyDescent="0.25">
      <c r="A3725" s="8"/>
    </row>
    <row r="3726" spans="1:1" ht="13.8" x14ac:dyDescent="0.25">
      <c r="A3726" s="8"/>
    </row>
    <row r="3727" spans="1:1" ht="13.8" x14ac:dyDescent="0.25">
      <c r="A3727" s="8"/>
    </row>
    <row r="3728" spans="1:1" ht="13.8" x14ac:dyDescent="0.25">
      <c r="A3728" s="8"/>
    </row>
    <row r="3729" spans="1:1" ht="13.8" x14ac:dyDescent="0.25">
      <c r="A3729" s="8"/>
    </row>
    <row r="3730" spans="1:1" ht="13.8" x14ac:dyDescent="0.25">
      <c r="A3730" s="8"/>
    </row>
    <row r="3731" spans="1:1" ht="13.8" x14ac:dyDescent="0.25">
      <c r="A3731" s="8"/>
    </row>
    <row r="3732" spans="1:1" ht="13.8" x14ac:dyDescent="0.25">
      <c r="A3732" s="8"/>
    </row>
    <row r="3733" spans="1:1" ht="13.8" x14ac:dyDescent="0.25">
      <c r="A3733" s="8"/>
    </row>
    <row r="3734" spans="1:1" ht="13.8" x14ac:dyDescent="0.25">
      <c r="A3734" s="8"/>
    </row>
    <row r="3735" spans="1:1" ht="13.8" x14ac:dyDescent="0.25">
      <c r="A3735" s="8"/>
    </row>
    <row r="3736" spans="1:1" ht="13.8" x14ac:dyDescent="0.25">
      <c r="A3736" s="8"/>
    </row>
    <row r="3737" spans="1:1" ht="13.8" x14ac:dyDescent="0.25">
      <c r="A3737" s="8"/>
    </row>
    <row r="3738" spans="1:1" ht="13.8" x14ac:dyDescent="0.25">
      <c r="A3738" s="8"/>
    </row>
    <row r="3739" spans="1:1" ht="13.8" x14ac:dyDescent="0.25">
      <c r="A3739" s="8"/>
    </row>
    <row r="3740" spans="1:1" ht="13.8" x14ac:dyDescent="0.25">
      <c r="A3740" s="8"/>
    </row>
    <row r="3741" spans="1:1" ht="13.8" x14ac:dyDescent="0.25">
      <c r="A3741" s="8"/>
    </row>
    <row r="3742" spans="1:1" ht="13.8" x14ac:dyDescent="0.25">
      <c r="A3742" s="8"/>
    </row>
    <row r="3743" spans="1:1" ht="13.8" x14ac:dyDescent="0.25">
      <c r="A3743" s="8"/>
    </row>
    <row r="3744" spans="1:1" ht="13.8" x14ac:dyDescent="0.25">
      <c r="A3744" s="8"/>
    </row>
    <row r="3745" spans="1:1" ht="13.8" x14ac:dyDescent="0.25">
      <c r="A3745" s="8"/>
    </row>
    <row r="3746" spans="1:1" ht="13.8" x14ac:dyDescent="0.25">
      <c r="A3746" s="8"/>
    </row>
    <row r="3747" spans="1:1" ht="13.8" x14ac:dyDescent="0.25">
      <c r="A3747" s="8"/>
    </row>
    <row r="3748" spans="1:1" ht="13.8" x14ac:dyDescent="0.25">
      <c r="A3748" s="8"/>
    </row>
    <row r="3749" spans="1:1" ht="13.8" x14ac:dyDescent="0.25">
      <c r="A3749" s="8"/>
    </row>
    <row r="3750" spans="1:1" ht="13.8" x14ac:dyDescent="0.25">
      <c r="A3750" s="8"/>
    </row>
    <row r="3751" spans="1:1" ht="13.8" x14ac:dyDescent="0.25">
      <c r="A3751" s="8"/>
    </row>
    <row r="3752" spans="1:1" ht="13.8" x14ac:dyDescent="0.25">
      <c r="A3752" s="8"/>
    </row>
    <row r="3753" spans="1:1" ht="13.8" x14ac:dyDescent="0.25">
      <c r="A3753" s="8"/>
    </row>
    <row r="3754" spans="1:1" ht="13.8" x14ac:dyDescent="0.25">
      <c r="A3754" s="8"/>
    </row>
    <row r="3755" spans="1:1" ht="13.8" x14ac:dyDescent="0.25">
      <c r="A3755" s="8"/>
    </row>
    <row r="3756" spans="1:1" ht="13.8" x14ac:dyDescent="0.25">
      <c r="A3756" s="8"/>
    </row>
    <row r="3757" spans="1:1" ht="13.8" x14ac:dyDescent="0.25">
      <c r="A3757" s="8"/>
    </row>
    <row r="3758" spans="1:1" ht="13.8" x14ac:dyDescent="0.25">
      <c r="A3758" s="8"/>
    </row>
    <row r="3759" spans="1:1" ht="13.8" x14ac:dyDescent="0.25">
      <c r="A3759" s="8"/>
    </row>
    <row r="3760" spans="1:1" ht="13.8" x14ac:dyDescent="0.25">
      <c r="A3760" s="8"/>
    </row>
    <row r="3761" spans="1:1" ht="13.8" x14ac:dyDescent="0.25">
      <c r="A3761" s="8"/>
    </row>
    <row r="3762" spans="1:1" ht="13.8" x14ac:dyDescent="0.25">
      <c r="A3762" s="8"/>
    </row>
    <row r="3763" spans="1:1" ht="13.8" x14ac:dyDescent="0.25">
      <c r="A3763" s="8"/>
    </row>
    <row r="3764" spans="1:1" ht="13.8" x14ac:dyDescent="0.25">
      <c r="A3764" s="8"/>
    </row>
    <row r="3765" spans="1:1" ht="13.8" x14ac:dyDescent="0.25">
      <c r="A3765" s="8"/>
    </row>
    <row r="3766" spans="1:1" ht="13.8" x14ac:dyDescent="0.25">
      <c r="A3766" s="8"/>
    </row>
    <row r="3767" spans="1:1" ht="13.8" x14ac:dyDescent="0.25">
      <c r="A3767" s="8"/>
    </row>
    <row r="3768" spans="1:1" ht="13.8" x14ac:dyDescent="0.25">
      <c r="A3768" s="8"/>
    </row>
    <row r="3769" spans="1:1" ht="13.8" x14ac:dyDescent="0.25">
      <c r="A3769" s="8"/>
    </row>
    <row r="3770" spans="1:1" ht="13.8" x14ac:dyDescent="0.25">
      <c r="A3770" s="8"/>
    </row>
    <row r="3771" spans="1:1" ht="13.8" x14ac:dyDescent="0.25">
      <c r="A3771" s="8"/>
    </row>
    <row r="3772" spans="1:1" ht="13.8" x14ac:dyDescent="0.25">
      <c r="A3772" s="8"/>
    </row>
    <row r="3773" spans="1:1" ht="13.8" x14ac:dyDescent="0.25">
      <c r="A3773" s="8"/>
    </row>
    <row r="3774" spans="1:1" ht="13.8" x14ac:dyDescent="0.25">
      <c r="A3774" s="8"/>
    </row>
    <row r="3775" spans="1:1" ht="13.8" x14ac:dyDescent="0.25">
      <c r="A3775" s="8"/>
    </row>
    <row r="3776" spans="1:1" ht="13.8" x14ac:dyDescent="0.25">
      <c r="A3776" s="8"/>
    </row>
    <row r="3777" spans="1:1" ht="13.8" x14ac:dyDescent="0.25">
      <c r="A3777" s="8"/>
    </row>
    <row r="3778" spans="1:1" ht="13.8" x14ac:dyDescent="0.25">
      <c r="A3778" s="8"/>
    </row>
    <row r="3779" spans="1:1" ht="13.8" x14ac:dyDescent="0.25">
      <c r="A3779" s="8"/>
    </row>
    <row r="3780" spans="1:1" ht="13.8" x14ac:dyDescent="0.25">
      <c r="A3780" s="8"/>
    </row>
    <row r="3781" spans="1:1" ht="13.8" x14ac:dyDescent="0.25">
      <c r="A3781" s="8"/>
    </row>
    <row r="3782" spans="1:1" ht="13.8" x14ac:dyDescent="0.25">
      <c r="A3782" s="8"/>
    </row>
    <row r="3783" spans="1:1" ht="13.8" x14ac:dyDescent="0.25">
      <c r="A3783" s="8"/>
    </row>
    <row r="3784" spans="1:1" ht="13.8" x14ac:dyDescent="0.25">
      <c r="A3784" s="8"/>
    </row>
    <row r="3785" spans="1:1" ht="13.8" x14ac:dyDescent="0.25">
      <c r="A3785" s="8"/>
    </row>
    <row r="3786" spans="1:1" ht="13.8" x14ac:dyDescent="0.25">
      <c r="A3786" s="8"/>
    </row>
    <row r="3787" spans="1:1" ht="13.8" x14ac:dyDescent="0.25">
      <c r="A3787" s="8"/>
    </row>
    <row r="3788" spans="1:1" ht="13.8" x14ac:dyDescent="0.25">
      <c r="A3788" s="8"/>
    </row>
    <row r="3789" spans="1:1" ht="13.8" x14ac:dyDescent="0.25">
      <c r="A3789" s="8"/>
    </row>
    <row r="3790" spans="1:1" ht="13.8" x14ac:dyDescent="0.25">
      <c r="A3790" s="8"/>
    </row>
    <row r="3791" spans="1:1" ht="13.8" x14ac:dyDescent="0.25">
      <c r="A3791" s="8"/>
    </row>
    <row r="3792" spans="1:1" ht="13.8" x14ac:dyDescent="0.25">
      <c r="A3792" s="8"/>
    </row>
    <row r="3793" spans="1:1" ht="13.8" x14ac:dyDescent="0.25">
      <c r="A3793" s="8"/>
    </row>
    <row r="3794" spans="1:1" ht="13.8" x14ac:dyDescent="0.25">
      <c r="A3794" s="8"/>
    </row>
    <row r="3795" spans="1:1" ht="13.8" x14ac:dyDescent="0.25">
      <c r="A3795" s="8"/>
    </row>
    <row r="3796" spans="1:1" ht="13.8" x14ac:dyDescent="0.25">
      <c r="A3796" s="8"/>
    </row>
    <row r="3797" spans="1:1" ht="13.8" x14ac:dyDescent="0.25">
      <c r="A3797" s="8"/>
    </row>
    <row r="3798" spans="1:1" ht="13.8" x14ac:dyDescent="0.25">
      <c r="A3798" s="8"/>
    </row>
    <row r="3799" spans="1:1" ht="13.8" x14ac:dyDescent="0.25">
      <c r="A3799" s="8"/>
    </row>
    <row r="3800" spans="1:1" ht="13.8" x14ac:dyDescent="0.25">
      <c r="A3800" s="8"/>
    </row>
    <row r="3801" spans="1:1" ht="13.8" x14ac:dyDescent="0.25">
      <c r="A3801" s="8"/>
    </row>
    <row r="3802" spans="1:1" ht="13.8" x14ac:dyDescent="0.25">
      <c r="A3802" s="8"/>
    </row>
    <row r="3803" spans="1:1" ht="13.8" x14ac:dyDescent="0.25">
      <c r="A3803" s="8"/>
    </row>
    <row r="3804" spans="1:1" ht="13.8" x14ac:dyDescent="0.25">
      <c r="A3804" s="8"/>
    </row>
    <row r="3805" spans="1:1" ht="13.8" x14ac:dyDescent="0.25">
      <c r="A3805" s="8"/>
    </row>
    <row r="3806" spans="1:1" ht="13.8" x14ac:dyDescent="0.25">
      <c r="A3806" s="8"/>
    </row>
    <row r="3807" spans="1:1" ht="13.8" x14ac:dyDescent="0.25">
      <c r="A3807" s="8"/>
    </row>
    <row r="3808" spans="1:1" ht="13.8" x14ac:dyDescent="0.25">
      <c r="A3808" s="8"/>
    </row>
    <row r="3809" spans="1:1" ht="13.8" x14ac:dyDescent="0.25">
      <c r="A3809" s="8"/>
    </row>
    <row r="3810" spans="1:1" ht="13.8" x14ac:dyDescent="0.25">
      <c r="A3810" s="8"/>
    </row>
    <row r="3811" spans="1:1" ht="13.8" x14ac:dyDescent="0.25">
      <c r="A3811" s="8"/>
    </row>
    <row r="3812" spans="1:1" ht="13.8" x14ac:dyDescent="0.25">
      <c r="A3812" s="8"/>
    </row>
    <row r="3813" spans="1:1" ht="13.8" x14ac:dyDescent="0.25">
      <c r="A3813" s="8"/>
    </row>
    <row r="3814" spans="1:1" ht="13.8" x14ac:dyDescent="0.25">
      <c r="A3814" s="8"/>
    </row>
    <row r="3815" spans="1:1" ht="13.8" x14ac:dyDescent="0.25">
      <c r="A3815" s="8"/>
    </row>
    <row r="3816" spans="1:1" ht="13.8" x14ac:dyDescent="0.25">
      <c r="A3816" s="8"/>
    </row>
    <row r="3817" spans="1:1" ht="13.8" x14ac:dyDescent="0.25">
      <c r="A3817" s="8"/>
    </row>
    <row r="3818" spans="1:1" ht="13.8" x14ac:dyDescent="0.25">
      <c r="A3818" s="8"/>
    </row>
    <row r="3819" spans="1:1" ht="13.8" x14ac:dyDescent="0.25">
      <c r="A3819" s="8"/>
    </row>
    <row r="3820" spans="1:1" ht="13.8" x14ac:dyDescent="0.25">
      <c r="A3820" s="8"/>
    </row>
    <row r="3821" spans="1:1" ht="13.8" x14ac:dyDescent="0.25">
      <c r="A3821" s="8"/>
    </row>
    <row r="3822" spans="1:1" ht="13.8" x14ac:dyDescent="0.25">
      <c r="A3822" s="8"/>
    </row>
    <row r="3823" spans="1:1" ht="13.8" x14ac:dyDescent="0.25">
      <c r="A3823" s="8"/>
    </row>
    <row r="3824" spans="1:1" ht="13.8" x14ac:dyDescent="0.25">
      <c r="A3824" s="8"/>
    </row>
    <row r="3825" spans="1:1" ht="13.8" x14ac:dyDescent="0.25">
      <c r="A3825" s="8"/>
    </row>
    <row r="3826" spans="1:1" ht="13.8" x14ac:dyDescent="0.25">
      <c r="A3826" s="8"/>
    </row>
    <row r="3827" spans="1:1" ht="13.8" x14ac:dyDescent="0.25">
      <c r="A3827" s="8"/>
    </row>
    <row r="3828" spans="1:1" ht="13.8" x14ac:dyDescent="0.25">
      <c r="A3828" s="8"/>
    </row>
    <row r="3829" spans="1:1" ht="13.8" x14ac:dyDescent="0.25">
      <c r="A3829" s="8"/>
    </row>
    <row r="3830" spans="1:1" ht="13.8" x14ac:dyDescent="0.25">
      <c r="A3830" s="8"/>
    </row>
    <row r="3831" spans="1:1" ht="13.8" x14ac:dyDescent="0.25">
      <c r="A3831" s="8"/>
    </row>
    <row r="3832" spans="1:1" ht="13.8" x14ac:dyDescent="0.25">
      <c r="A3832" s="8"/>
    </row>
    <row r="3833" spans="1:1" ht="13.8" x14ac:dyDescent="0.25">
      <c r="A3833" s="8"/>
    </row>
    <row r="3834" spans="1:1" ht="13.8" x14ac:dyDescent="0.25">
      <c r="A3834" s="8"/>
    </row>
    <row r="3835" spans="1:1" ht="13.8" x14ac:dyDescent="0.25">
      <c r="A3835" s="8"/>
    </row>
    <row r="3836" spans="1:1" ht="13.8" x14ac:dyDescent="0.25">
      <c r="A3836" s="8"/>
    </row>
    <row r="3837" spans="1:1" ht="13.8" x14ac:dyDescent="0.25">
      <c r="A3837" s="8"/>
    </row>
    <row r="3838" spans="1:1" ht="13.8" x14ac:dyDescent="0.25">
      <c r="A3838" s="8"/>
    </row>
    <row r="3839" spans="1:1" ht="13.8" x14ac:dyDescent="0.25">
      <c r="A3839" s="8"/>
    </row>
    <row r="3840" spans="1:1" ht="13.8" x14ac:dyDescent="0.25">
      <c r="A3840" s="8"/>
    </row>
    <row r="3841" spans="1:1" ht="13.8" x14ac:dyDescent="0.25">
      <c r="A3841" s="8"/>
    </row>
    <row r="3842" spans="1:1" ht="13.8" x14ac:dyDescent="0.25">
      <c r="A3842" s="8"/>
    </row>
    <row r="3843" spans="1:1" ht="13.8" x14ac:dyDescent="0.25">
      <c r="A3843" s="8"/>
    </row>
    <row r="3844" spans="1:1" ht="13.8" x14ac:dyDescent="0.25">
      <c r="A3844" s="8"/>
    </row>
    <row r="3845" spans="1:1" ht="13.8" x14ac:dyDescent="0.25">
      <c r="A3845" s="8"/>
    </row>
    <row r="3846" spans="1:1" ht="13.8" x14ac:dyDescent="0.25">
      <c r="A3846" s="8"/>
    </row>
    <row r="3847" spans="1:1" ht="13.8" x14ac:dyDescent="0.25">
      <c r="A3847" s="8"/>
    </row>
    <row r="3848" spans="1:1" ht="13.8" x14ac:dyDescent="0.25">
      <c r="A3848" s="8"/>
    </row>
    <row r="3849" spans="1:1" ht="13.8" x14ac:dyDescent="0.25">
      <c r="A3849" s="8"/>
    </row>
    <row r="3850" spans="1:1" ht="13.8" x14ac:dyDescent="0.25">
      <c r="A3850" s="8"/>
    </row>
    <row r="3851" spans="1:1" ht="13.8" x14ac:dyDescent="0.25">
      <c r="A3851" s="8"/>
    </row>
    <row r="3852" spans="1:1" ht="13.8" x14ac:dyDescent="0.25">
      <c r="A3852" s="8"/>
    </row>
    <row r="3853" spans="1:1" ht="13.8" x14ac:dyDescent="0.25">
      <c r="A3853" s="8"/>
    </row>
    <row r="3854" spans="1:1" ht="13.8" x14ac:dyDescent="0.25">
      <c r="A3854" s="8"/>
    </row>
    <row r="3855" spans="1:1" ht="13.8" x14ac:dyDescent="0.25">
      <c r="A3855" s="8"/>
    </row>
    <row r="3856" spans="1:1" ht="13.8" x14ac:dyDescent="0.25">
      <c r="A3856" s="8"/>
    </row>
    <row r="3857" spans="1:1" ht="13.8" x14ac:dyDescent="0.25">
      <c r="A3857" s="8"/>
    </row>
    <row r="3858" spans="1:1" ht="13.8" x14ac:dyDescent="0.25">
      <c r="A3858" s="8"/>
    </row>
    <row r="3859" spans="1:1" ht="13.8" x14ac:dyDescent="0.25">
      <c r="A3859" s="8"/>
    </row>
    <row r="3860" spans="1:1" ht="13.8" x14ac:dyDescent="0.25">
      <c r="A3860" s="8"/>
    </row>
    <row r="3861" spans="1:1" ht="13.8" x14ac:dyDescent="0.25">
      <c r="A3861" s="8"/>
    </row>
    <row r="3862" spans="1:1" ht="13.8" x14ac:dyDescent="0.25">
      <c r="A3862" s="8"/>
    </row>
    <row r="3863" spans="1:1" ht="13.8" x14ac:dyDescent="0.25">
      <c r="A3863" s="8"/>
    </row>
    <row r="3864" spans="1:1" ht="13.8" x14ac:dyDescent="0.25">
      <c r="A3864" s="8"/>
    </row>
    <row r="3865" spans="1:1" ht="13.8" x14ac:dyDescent="0.25">
      <c r="A3865" s="8"/>
    </row>
    <row r="3866" spans="1:1" ht="13.8" x14ac:dyDescent="0.25">
      <c r="A3866" s="8"/>
    </row>
    <row r="3867" spans="1:1" ht="13.8" x14ac:dyDescent="0.25">
      <c r="A3867" s="8"/>
    </row>
    <row r="3868" spans="1:1" ht="13.8" x14ac:dyDescent="0.25">
      <c r="A3868" s="8"/>
    </row>
    <row r="3869" spans="1:1" ht="13.8" x14ac:dyDescent="0.25">
      <c r="A3869" s="8"/>
    </row>
    <row r="3870" spans="1:1" ht="13.8" x14ac:dyDescent="0.25">
      <c r="A3870" s="8"/>
    </row>
    <row r="3871" spans="1:1" ht="13.8" x14ac:dyDescent="0.25">
      <c r="A3871" s="8"/>
    </row>
    <row r="3872" spans="1:1" ht="13.8" x14ac:dyDescent="0.25">
      <c r="A3872" s="8"/>
    </row>
    <row r="3873" spans="1:1" ht="13.8" x14ac:dyDescent="0.25">
      <c r="A3873" s="8"/>
    </row>
    <row r="3874" spans="1:1" ht="13.8" x14ac:dyDescent="0.25">
      <c r="A3874" s="8"/>
    </row>
    <row r="3875" spans="1:1" ht="13.8" x14ac:dyDescent="0.25">
      <c r="A3875" s="8"/>
    </row>
    <row r="3876" spans="1:1" ht="13.8" x14ac:dyDescent="0.25">
      <c r="A3876" s="8"/>
    </row>
    <row r="3877" spans="1:1" ht="13.8" x14ac:dyDescent="0.25">
      <c r="A3877" s="8"/>
    </row>
    <row r="3878" spans="1:1" ht="13.8" x14ac:dyDescent="0.25">
      <c r="A3878" s="8"/>
    </row>
    <row r="3879" spans="1:1" ht="13.8" x14ac:dyDescent="0.25">
      <c r="A3879" s="8"/>
    </row>
    <row r="3880" spans="1:1" ht="13.8" x14ac:dyDescent="0.25">
      <c r="A3880" s="8"/>
    </row>
    <row r="3881" spans="1:1" ht="13.8" x14ac:dyDescent="0.25">
      <c r="A3881" s="8"/>
    </row>
    <row r="3882" spans="1:1" ht="13.8" x14ac:dyDescent="0.25">
      <c r="A3882" s="8"/>
    </row>
    <row r="3883" spans="1:1" ht="13.8" x14ac:dyDescent="0.25">
      <c r="A3883" s="8"/>
    </row>
    <row r="3884" spans="1:1" ht="13.8" x14ac:dyDescent="0.25">
      <c r="A3884" s="8"/>
    </row>
    <row r="3885" spans="1:1" ht="13.8" x14ac:dyDescent="0.25">
      <c r="A3885" s="8"/>
    </row>
    <row r="3886" spans="1:1" ht="13.8" x14ac:dyDescent="0.25">
      <c r="A3886" s="8"/>
    </row>
    <row r="3887" spans="1:1" ht="13.8" x14ac:dyDescent="0.25">
      <c r="A3887" s="8"/>
    </row>
    <row r="3888" spans="1:1" ht="13.8" x14ac:dyDescent="0.25">
      <c r="A3888" s="8"/>
    </row>
    <row r="3889" spans="1:1" ht="13.8" x14ac:dyDescent="0.25">
      <c r="A3889" s="8"/>
    </row>
    <row r="3890" spans="1:1" ht="13.8" x14ac:dyDescent="0.25">
      <c r="A3890" s="8"/>
    </row>
    <row r="3891" spans="1:1" ht="13.8" x14ac:dyDescent="0.25">
      <c r="A3891" s="8"/>
    </row>
    <row r="3892" spans="1:1" ht="13.8" x14ac:dyDescent="0.25">
      <c r="A3892" s="8"/>
    </row>
    <row r="3893" spans="1:1" ht="13.8" x14ac:dyDescent="0.25">
      <c r="A3893" s="8"/>
    </row>
    <row r="3894" spans="1:1" ht="13.8" x14ac:dyDescent="0.25">
      <c r="A3894" s="8"/>
    </row>
    <row r="3895" spans="1:1" ht="13.8" x14ac:dyDescent="0.25">
      <c r="A3895" s="8"/>
    </row>
    <row r="3896" spans="1:1" ht="13.8" x14ac:dyDescent="0.25">
      <c r="A3896" s="8"/>
    </row>
    <row r="3897" spans="1:1" ht="13.8" x14ac:dyDescent="0.25">
      <c r="A3897" s="8"/>
    </row>
    <row r="3898" spans="1:1" ht="13.8" x14ac:dyDescent="0.25">
      <c r="A3898" s="8"/>
    </row>
    <row r="3899" spans="1:1" ht="13.8" x14ac:dyDescent="0.25">
      <c r="A3899" s="8"/>
    </row>
    <row r="3900" spans="1:1" ht="13.8" x14ac:dyDescent="0.25">
      <c r="A3900" s="8"/>
    </row>
    <row r="3901" spans="1:1" ht="13.8" x14ac:dyDescent="0.25">
      <c r="A3901" s="8"/>
    </row>
    <row r="3902" spans="1:1" ht="13.8" x14ac:dyDescent="0.25">
      <c r="A3902" s="8"/>
    </row>
    <row r="3903" spans="1:1" ht="13.8" x14ac:dyDescent="0.25">
      <c r="A3903" s="8"/>
    </row>
    <row r="3904" spans="1:1" ht="13.8" x14ac:dyDescent="0.25">
      <c r="A3904" s="8"/>
    </row>
    <row r="3905" spans="1:1" ht="13.8" x14ac:dyDescent="0.25">
      <c r="A3905" s="8"/>
    </row>
    <row r="3906" spans="1:1" ht="13.8" x14ac:dyDescent="0.25">
      <c r="A3906" s="8"/>
    </row>
    <row r="3907" spans="1:1" ht="13.8" x14ac:dyDescent="0.25">
      <c r="A3907" s="8"/>
    </row>
    <row r="3908" spans="1:1" ht="13.8" x14ac:dyDescent="0.25">
      <c r="A3908" s="8"/>
    </row>
    <row r="3909" spans="1:1" ht="13.8" x14ac:dyDescent="0.25">
      <c r="A3909" s="8"/>
    </row>
    <row r="3910" spans="1:1" ht="13.8" x14ac:dyDescent="0.25">
      <c r="A3910" s="8"/>
    </row>
    <row r="3911" spans="1:1" ht="13.8" x14ac:dyDescent="0.25">
      <c r="A3911" s="8"/>
    </row>
    <row r="3912" spans="1:1" ht="13.8" x14ac:dyDescent="0.25">
      <c r="A3912" s="8"/>
    </row>
    <row r="3913" spans="1:1" ht="13.8" x14ac:dyDescent="0.25">
      <c r="A3913" s="8"/>
    </row>
    <row r="3914" spans="1:1" ht="13.8" x14ac:dyDescent="0.25">
      <c r="A3914" s="8"/>
    </row>
    <row r="3915" spans="1:1" ht="13.8" x14ac:dyDescent="0.25">
      <c r="A3915" s="8"/>
    </row>
    <row r="3916" spans="1:1" ht="13.8" x14ac:dyDescent="0.25">
      <c r="A3916" s="8"/>
    </row>
    <row r="3917" spans="1:1" ht="13.8" x14ac:dyDescent="0.25">
      <c r="A3917" s="8"/>
    </row>
    <row r="3918" spans="1:1" ht="13.8" x14ac:dyDescent="0.25">
      <c r="A3918" s="8"/>
    </row>
    <row r="3919" spans="1:1" ht="13.8" x14ac:dyDescent="0.25">
      <c r="A3919" s="8"/>
    </row>
    <row r="3920" spans="1:1" ht="13.8" x14ac:dyDescent="0.25">
      <c r="A3920" s="8"/>
    </row>
    <row r="3921" spans="1:1" ht="13.8" x14ac:dyDescent="0.25">
      <c r="A3921" s="8"/>
    </row>
    <row r="3922" spans="1:1" ht="13.8" x14ac:dyDescent="0.25">
      <c r="A3922" s="8"/>
    </row>
    <row r="3923" spans="1:1" ht="13.8" x14ac:dyDescent="0.25">
      <c r="A3923" s="8"/>
    </row>
    <row r="3924" spans="1:1" ht="13.8" x14ac:dyDescent="0.25">
      <c r="A3924" s="8"/>
    </row>
    <row r="3925" spans="1:1" ht="13.8" x14ac:dyDescent="0.25">
      <c r="A3925" s="8"/>
    </row>
    <row r="3926" spans="1:1" ht="13.8" x14ac:dyDescent="0.25">
      <c r="A3926" s="8"/>
    </row>
    <row r="3927" spans="1:1" ht="13.8" x14ac:dyDescent="0.25">
      <c r="A3927" s="8"/>
    </row>
    <row r="3928" spans="1:1" ht="13.8" x14ac:dyDescent="0.25">
      <c r="A3928" s="8"/>
    </row>
    <row r="3929" spans="1:1" ht="13.8" x14ac:dyDescent="0.25">
      <c r="A3929" s="8"/>
    </row>
    <row r="3930" spans="1:1" ht="13.8" x14ac:dyDescent="0.25">
      <c r="A3930" s="8"/>
    </row>
    <row r="3931" spans="1:1" ht="13.8" x14ac:dyDescent="0.25">
      <c r="A3931" s="8"/>
    </row>
    <row r="3932" spans="1:1" ht="13.8" x14ac:dyDescent="0.25">
      <c r="A3932" s="8"/>
    </row>
    <row r="3933" spans="1:1" ht="13.8" x14ac:dyDescent="0.25">
      <c r="A3933" s="8"/>
    </row>
    <row r="3934" spans="1:1" ht="13.8" x14ac:dyDescent="0.25">
      <c r="A3934" s="8"/>
    </row>
    <row r="3935" spans="1:1" ht="13.8" x14ac:dyDescent="0.25">
      <c r="A3935" s="8"/>
    </row>
    <row r="3936" spans="1:1" ht="13.8" x14ac:dyDescent="0.25">
      <c r="A3936" s="8"/>
    </row>
    <row r="3937" spans="1:1" ht="13.8" x14ac:dyDescent="0.25">
      <c r="A3937" s="8"/>
    </row>
    <row r="3938" spans="1:1" ht="13.8" x14ac:dyDescent="0.25">
      <c r="A3938" s="8"/>
    </row>
    <row r="3939" spans="1:1" ht="13.8" x14ac:dyDescent="0.25">
      <c r="A3939" s="8"/>
    </row>
    <row r="3940" spans="1:1" ht="13.8" x14ac:dyDescent="0.25">
      <c r="A3940" s="8"/>
    </row>
    <row r="3941" spans="1:1" ht="13.8" x14ac:dyDescent="0.25">
      <c r="A3941" s="8"/>
    </row>
    <row r="3942" spans="1:1" ht="13.8" x14ac:dyDescent="0.25">
      <c r="A3942" s="8"/>
    </row>
    <row r="3943" spans="1:1" ht="13.8" x14ac:dyDescent="0.25">
      <c r="A3943" s="8"/>
    </row>
    <row r="3944" spans="1:1" ht="13.8" x14ac:dyDescent="0.25">
      <c r="A3944" s="8"/>
    </row>
    <row r="3945" spans="1:1" ht="13.8" x14ac:dyDescent="0.25">
      <c r="A3945" s="8"/>
    </row>
    <row r="3946" spans="1:1" ht="13.8" x14ac:dyDescent="0.25">
      <c r="A3946" s="8"/>
    </row>
    <row r="3947" spans="1:1" ht="13.8" x14ac:dyDescent="0.25">
      <c r="A3947" s="8"/>
    </row>
    <row r="3948" spans="1:1" ht="13.8" x14ac:dyDescent="0.25">
      <c r="A3948" s="8"/>
    </row>
    <row r="3949" spans="1:1" ht="13.8" x14ac:dyDescent="0.25">
      <c r="A3949" s="8"/>
    </row>
    <row r="3950" spans="1:1" ht="13.8" x14ac:dyDescent="0.25">
      <c r="A3950" s="8"/>
    </row>
    <row r="3951" spans="1:1" ht="13.8" x14ac:dyDescent="0.25">
      <c r="A3951" s="8"/>
    </row>
    <row r="3952" spans="1:1" ht="13.8" x14ac:dyDescent="0.25">
      <c r="A3952" s="8"/>
    </row>
    <row r="3953" spans="1:1" ht="13.8" x14ac:dyDescent="0.25">
      <c r="A3953" s="8"/>
    </row>
    <row r="3954" spans="1:1" ht="13.8" x14ac:dyDescent="0.25">
      <c r="A3954" s="8"/>
    </row>
    <row r="3955" spans="1:1" ht="13.8" x14ac:dyDescent="0.25">
      <c r="A3955" s="8"/>
    </row>
    <row r="3956" spans="1:1" ht="13.8" x14ac:dyDescent="0.25">
      <c r="A3956" s="8"/>
    </row>
    <row r="3957" spans="1:1" ht="13.8" x14ac:dyDescent="0.25">
      <c r="A3957" s="8"/>
    </row>
    <row r="3958" spans="1:1" ht="13.8" x14ac:dyDescent="0.25">
      <c r="A3958" s="8"/>
    </row>
    <row r="3959" spans="1:1" ht="13.8" x14ac:dyDescent="0.25">
      <c r="A3959" s="8"/>
    </row>
    <row r="3960" spans="1:1" ht="13.8" x14ac:dyDescent="0.25">
      <c r="A3960" s="8"/>
    </row>
    <row r="3961" spans="1:1" ht="13.8" x14ac:dyDescent="0.25">
      <c r="A3961" s="8"/>
    </row>
    <row r="3962" spans="1:1" ht="13.8" x14ac:dyDescent="0.25">
      <c r="A3962" s="8"/>
    </row>
    <row r="3963" spans="1:1" ht="13.8" x14ac:dyDescent="0.25">
      <c r="A3963" s="8"/>
    </row>
    <row r="3964" spans="1:1" ht="13.8" x14ac:dyDescent="0.25">
      <c r="A3964" s="8"/>
    </row>
    <row r="3965" spans="1:1" ht="13.8" x14ac:dyDescent="0.25">
      <c r="A3965" s="8"/>
    </row>
    <row r="3966" spans="1:1" ht="13.8" x14ac:dyDescent="0.25">
      <c r="A3966" s="8"/>
    </row>
    <row r="3967" spans="1:1" ht="13.8" x14ac:dyDescent="0.25">
      <c r="A3967" s="8"/>
    </row>
    <row r="3968" spans="1:1" ht="13.8" x14ac:dyDescent="0.25">
      <c r="A3968" s="8"/>
    </row>
    <row r="3969" spans="1:1" ht="13.8" x14ac:dyDescent="0.25">
      <c r="A3969" s="8"/>
    </row>
    <row r="3970" spans="1:1" ht="13.8" x14ac:dyDescent="0.25">
      <c r="A3970" s="8"/>
    </row>
    <row r="3971" spans="1:1" ht="13.8" x14ac:dyDescent="0.25">
      <c r="A3971" s="8"/>
    </row>
    <row r="3972" spans="1:1" ht="13.8" x14ac:dyDescent="0.25">
      <c r="A3972" s="8"/>
    </row>
    <row r="3973" spans="1:1" ht="13.8" x14ac:dyDescent="0.25">
      <c r="A3973" s="8"/>
    </row>
    <row r="3974" spans="1:1" ht="13.8" x14ac:dyDescent="0.25">
      <c r="A3974" s="8"/>
    </row>
    <row r="3975" spans="1:1" ht="13.8" x14ac:dyDescent="0.25">
      <c r="A3975" s="8"/>
    </row>
    <row r="3976" spans="1:1" ht="13.8" x14ac:dyDescent="0.25">
      <c r="A3976" s="8"/>
    </row>
    <row r="3977" spans="1:1" ht="13.8" x14ac:dyDescent="0.25">
      <c r="A3977" s="8"/>
    </row>
    <row r="3978" spans="1:1" ht="13.8" x14ac:dyDescent="0.25">
      <c r="A3978" s="8"/>
    </row>
    <row r="3979" spans="1:1" ht="13.8" x14ac:dyDescent="0.25">
      <c r="A3979" s="8"/>
    </row>
    <row r="3980" spans="1:1" ht="13.8" x14ac:dyDescent="0.25">
      <c r="A3980" s="8"/>
    </row>
    <row r="3981" spans="1:1" ht="13.8" x14ac:dyDescent="0.25">
      <c r="A3981" s="8"/>
    </row>
    <row r="3982" spans="1:1" ht="13.8" x14ac:dyDescent="0.25">
      <c r="A3982" s="8"/>
    </row>
    <row r="3983" spans="1:1" ht="13.8" x14ac:dyDescent="0.25">
      <c r="A3983" s="8"/>
    </row>
    <row r="3984" spans="1:1" ht="13.8" x14ac:dyDescent="0.25">
      <c r="A3984" s="8"/>
    </row>
    <row r="3985" spans="1:1" ht="13.8" x14ac:dyDescent="0.25">
      <c r="A3985" s="8"/>
    </row>
    <row r="3986" spans="1:1" ht="13.8" x14ac:dyDescent="0.25">
      <c r="A3986" s="8"/>
    </row>
    <row r="3987" spans="1:1" ht="13.8" x14ac:dyDescent="0.25">
      <c r="A3987" s="8"/>
    </row>
    <row r="3988" spans="1:1" ht="13.8" x14ac:dyDescent="0.25">
      <c r="A3988" s="8"/>
    </row>
    <row r="3989" spans="1:1" ht="13.8" x14ac:dyDescent="0.25">
      <c r="A3989" s="8"/>
    </row>
    <row r="3990" spans="1:1" ht="13.8" x14ac:dyDescent="0.25">
      <c r="A3990" s="8"/>
    </row>
    <row r="3991" spans="1:1" ht="13.8" x14ac:dyDescent="0.25">
      <c r="A3991" s="8"/>
    </row>
    <row r="3992" spans="1:1" ht="13.8" x14ac:dyDescent="0.25">
      <c r="A3992" s="8"/>
    </row>
    <row r="3993" spans="1:1" ht="13.8" x14ac:dyDescent="0.25">
      <c r="A3993" s="8"/>
    </row>
    <row r="3994" spans="1:1" ht="13.8" x14ac:dyDescent="0.25">
      <c r="A3994" s="8"/>
    </row>
    <row r="3995" spans="1:1" ht="13.8" x14ac:dyDescent="0.25">
      <c r="A3995" s="8"/>
    </row>
    <row r="3996" spans="1:1" ht="13.8" x14ac:dyDescent="0.25">
      <c r="A3996" s="8"/>
    </row>
    <row r="3997" spans="1:1" ht="13.8" x14ac:dyDescent="0.25">
      <c r="A3997" s="8"/>
    </row>
    <row r="3998" spans="1:1" ht="13.8" x14ac:dyDescent="0.25">
      <c r="A3998" s="8"/>
    </row>
    <row r="3999" spans="1:1" ht="13.8" x14ac:dyDescent="0.25">
      <c r="A3999" s="8"/>
    </row>
    <row r="4000" spans="1:1" ht="13.8" x14ac:dyDescent="0.25">
      <c r="A4000" s="8"/>
    </row>
    <row r="4001" spans="1:1" ht="13.8" x14ac:dyDescent="0.25">
      <c r="A4001" s="8"/>
    </row>
    <row r="4002" spans="1:1" ht="13.8" x14ac:dyDescent="0.25">
      <c r="A4002" s="8"/>
    </row>
    <row r="4003" spans="1:1" ht="13.8" x14ac:dyDescent="0.25">
      <c r="A4003" s="8"/>
    </row>
    <row r="4004" spans="1:1" ht="13.8" x14ac:dyDescent="0.25">
      <c r="A4004" s="8"/>
    </row>
    <row r="4005" spans="1:1" ht="13.8" x14ac:dyDescent="0.25">
      <c r="A4005" s="8"/>
    </row>
    <row r="4006" spans="1:1" ht="13.8" x14ac:dyDescent="0.25">
      <c r="A4006" s="8"/>
    </row>
    <row r="4007" spans="1:1" ht="13.8" x14ac:dyDescent="0.25">
      <c r="A4007" s="8"/>
    </row>
    <row r="4008" spans="1:1" ht="13.8" x14ac:dyDescent="0.25">
      <c r="A4008" s="8"/>
    </row>
    <row r="4009" spans="1:1" ht="13.8" x14ac:dyDescent="0.25">
      <c r="A4009" s="8"/>
    </row>
    <row r="4010" spans="1:1" ht="13.8" x14ac:dyDescent="0.25">
      <c r="A4010" s="8"/>
    </row>
    <row r="4011" spans="1:1" ht="13.8" x14ac:dyDescent="0.25">
      <c r="A4011" s="8"/>
    </row>
    <row r="4012" spans="1:1" ht="13.8" x14ac:dyDescent="0.25">
      <c r="A4012" s="8"/>
    </row>
    <row r="4013" spans="1:1" ht="13.8" x14ac:dyDescent="0.25">
      <c r="A4013" s="8"/>
    </row>
    <row r="4014" spans="1:1" ht="13.8" x14ac:dyDescent="0.25">
      <c r="A4014" s="8"/>
    </row>
    <row r="4015" spans="1:1" ht="13.8" x14ac:dyDescent="0.25">
      <c r="A4015" s="8"/>
    </row>
    <row r="4016" spans="1:1" ht="13.8" x14ac:dyDescent="0.25">
      <c r="A4016" s="8"/>
    </row>
    <row r="4017" spans="1:1" ht="13.8" x14ac:dyDescent="0.25">
      <c r="A4017" s="8"/>
    </row>
    <row r="4018" spans="1:1" ht="13.8" x14ac:dyDescent="0.25">
      <c r="A4018" s="8"/>
    </row>
    <row r="4019" spans="1:1" ht="13.8" x14ac:dyDescent="0.25">
      <c r="A4019" s="8"/>
    </row>
    <row r="4020" spans="1:1" ht="13.8" x14ac:dyDescent="0.25">
      <c r="A4020" s="8"/>
    </row>
    <row r="4021" spans="1:1" ht="13.8" x14ac:dyDescent="0.25">
      <c r="A4021" s="8"/>
    </row>
    <row r="4022" spans="1:1" ht="13.8" x14ac:dyDescent="0.25">
      <c r="A4022" s="8"/>
    </row>
    <row r="4023" spans="1:1" ht="13.8" x14ac:dyDescent="0.25">
      <c r="A4023" s="8"/>
    </row>
    <row r="4024" spans="1:1" ht="13.8" x14ac:dyDescent="0.25">
      <c r="A4024" s="8"/>
    </row>
    <row r="4025" spans="1:1" ht="13.8" x14ac:dyDescent="0.25">
      <c r="A4025" s="8"/>
    </row>
    <row r="4026" spans="1:1" ht="13.8" x14ac:dyDescent="0.25">
      <c r="A4026" s="8"/>
    </row>
    <row r="4027" spans="1:1" ht="13.8" x14ac:dyDescent="0.25">
      <c r="A4027" s="8"/>
    </row>
    <row r="4028" spans="1:1" ht="13.8" x14ac:dyDescent="0.25">
      <c r="A4028" s="8"/>
    </row>
    <row r="4029" spans="1:1" ht="13.8" x14ac:dyDescent="0.25">
      <c r="A4029" s="8"/>
    </row>
    <row r="4030" spans="1:1" ht="13.8" x14ac:dyDescent="0.25">
      <c r="A4030" s="8"/>
    </row>
    <row r="4031" spans="1:1" ht="13.8" x14ac:dyDescent="0.25">
      <c r="A4031" s="8"/>
    </row>
    <row r="4032" spans="1:1" ht="13.8" x14ac:dyDescent="0.25">
      <c r="A4032" s="8"/>
    </row>
    <row r="4033" spans="1:1" ht="13.8" x14ac:dyDescent="0.25">
      <c r="A4033" s="8"/>
    </row>
    <row r="4034" spans="1:1" ht="13.8" x14ac:dyDescent="0.25">
      <c r="A4034" s="8"/>
    </row>
    <row r="4035" spans="1:1" ht="13.8" x14ac:dyDescent="0.25">
      <c r="A4035" s="8"/>
    </row>
    <row r="4036" spans="1:1" ht="13.8" x14ac:dyDescent="0.25">
      <c r="A4036" s="8"/>
    </row>
    <row r="4037" spans="1:1" ht="13.8" x14ac:dyDescent="0.25">
      <c r="A4037" s="8"/>
    </row>
    <row r="4038" spans="1:1" ht="13.8" x14ac:dyDescent="0.25">
      <c r="A4038" s="8"/>
    </row>
    <row r="4039" spans="1:1" ht="13.8" x14ac:dyDescent="0.25">
      <c r="A4039" s="8"/>
    </row>
    <row r="4040" spans="1:1" ht="13.8" x14ac:dyDescent="0.25">
      <c r="A4040" s="8"/>
    </row>
    <row r="4041" spans="1:1" ht="13.8" x14ac:dyDescent="0.25">
      <c r="A4041" s="8"/>
    </row>
    <row r="4042" spans="1:1" ht="13.8" x14ac:dyDescent="0.25">
      <c r="A4042" s="8"/>
    </row>
    <row r="4043" spans="1:1" ht="13.8" x14ac:dyDescent="0.25">
      <c r="A4043" s="8"/>
    </row>
    <row r="4044" spans="1:1" ht="13.8" x14ac:dyDescent="0.25">
      <c r="A4044" s="8"/>
    </row>
    <row r="4045" spans="1:1" ht="13.8" x14ac:dyDescent="0.25">
      <c r="A4045" s="8"/>
    </row>
    <row r="4046" spans="1:1" ht="13.8" x14ac:dyDescent="0.25">
      <c r="A4046" s="8"/>
    </row>
    <row r="4047" spans="1:1" ht="13.8" x14ac:dyDescent="0.25">
      <c r="A4047" s="8"/>
    </row>
    <row r="4048" spans="1:1" ht="13.8" x14ac:dyDescent="0.25">
      <c r="A4048" s="8"/>
    </row>
    <row r="4049" spans="1:1" ht="13.8" x14ac:dyDescent="0.25">
      <c r="A4049" s="8"/>
    </row>
    <row r="4050" spans="1:1" ht="13.8" x14ac:dyDescent="0.25">
      <c r="A4050" s="8"/>
    </row>
    <row r="4051" spans="1:1" ht="13.8" x14ac:dyDescent="0.25">
      <c r="A4051" s="8"/>
    </row>
    <row r="4052" spans="1:1" ht="13.8" x14ac:dyDescent="0.25">
      <c r="A4052" s="8"/>
    </row>
    <row r="4053" spans="1:1" ht="13.8" x14ac:dyDescent="0.25">
      <c r="A4053" s="8"/>
    </row>
    <row r="4054" spans="1:1" ht="13.8" x14ac:dyDescent="0.25">
      <c r="A4054" s="8"/>
    </row>
    <row r="4055" spans="1:1" ht="13.8" x14ac:dyDescent="0.25">
      <c r="A4055" s="8"/>
    </row>
    <row r="4056" spans="1:1" ht="13.8" x14ac:dyDescent="0.25">
      <c r="A4056" s="8"/>
    </row>
    <row r="4057" spans="1:1" ht="13.8" x14ac:dyDescent="0.25">
      <c r="A4057" s="8"/>
    </row>
    <row r="4058" spans="1:1" ht="13.8" x14ac:dyDescent="0.25">
      <c r="A4058" s="8"/>
    </row>
    <row r="4059" spans="1:1" ht="13.8" x14ac:dyDescent="0.25">
      <c r="A4059" s="8"/>
    </row>
    <row r="4060" spans="1:1" ht="13.8" x14ac:dyDescent="0.25">
      <c r="A4060" s="8"/>
    </row>
    <row r="4061" spans="1:1" ht="13.8" x14ac:dyDescent="0.25">
      <c r="A4061" s="8"/>
    </row>
    <row r="4062" spans="1:1" ht="13.8" x14ac:dyDescent="0.25">
      <c r="A4062" s="8"/>
    </row>
    <row r="4063" spans="1:1" ht="13.8" x14ac:dyDescent="0.25">
      <c r="A4063" s="8"/>
    </row>
    <row r="4064" spans="1:1" ht="13.8" x14ac:dyDescent="0.25">
      <c r="A4064" s="8"/>
    </row>
    <row r="4065" spans="1:1" ht="13.8" x14ac:dyDescent="0.25">
      <c r="A4065" s="8"/>
    </row>
    <row r="4066" spans="1:1" ht="13.8" x14ac:dyDescent="0.25">
      <c r="A4066" s="8"/>
    </row>
    <row r="4067" spans="1:1" ht="13.8" x14ac:dyDescent="0.25">
      <c r="A4067" s="8"/>
    </row>
    <row r="4068" spans="1:1" ht="13.8" x14ac:dyDescent="0.25">
      <c r="A4068" s="8"/>
    </row>
    <row r="4069" spans="1:1" ht="13.8" x14ac:dyDescent="0.25">
      <c r="A4069" s="8"/>
    </row>
    <row r="4070" spans="1:1" ht="13.8" x14ac:dyDescent="0.25">
      <c r="A4070" s="8"/>
    </row>
    <row r="4071" spans="1:1" ht="13.8" x14ac:dyDescent="0.25">
      <c r="A4071" s="8"/>
    </row>
    <row r="4072" spans="1:1" ht="13.8" x14ac:dyDescent="0.25">
      <c r="A4072" s="8"/>
    </row>
    <row r="4073" spans="1:1" ht="13.8" x14ac:dyDescent="0.25">
      <c r="A4073" s="8"/>
    </row>
    <row r="4074" spans="1:1" ht="13.8" x14ac:dyDescent="0.25">
      <c r="A4074" s="8"/>
    </row>
    <row r="4075" spans="1:1" ht="13.8" x14ac:dyDescent="0.25">
      <c r="A4075" s="8"/>
    </row>
    <row r="4076" spans="1:1" ht="13.8" x14ac:dyDescent="0.25">
      <c r="A4076" s="8"/>
    </row>
    <row r="4077" spans="1:1" ht="13.8" x14ac:dyDescent="0.25">
      <c r="A4077" s="8"/>
    </row>
    <row r="4078" spans="1:1" ht="13.8" x14ac:dyDescent="0.25">
      <c r="A4078" s="8"/>
    </row>
    <row r="4079" spans="1:1" ht="13.8" x14ac:dyDescent="0.25">
      <c r="A4079" s="8"/>
    </row>
    <row r="4080" spans="1:1" ht="13.8" x14ac:dyDescent="0.25">
      <c r="A4080" s="8"/>
    </row>
    <row r="4081" spans="1:1" ht="13.8" x14ac:dyDescent="0.25">
      <c r="A4081" s="8"/>
    </row>
    <row r="4082" spans="1:1" ht="13.8" x14ac:dyDescent="0.25">
      <c r="A4082" s="8"/>
    </row>
    <row r="4083" spans="1:1" ht="13.8" x14ac:dyDescent="0.25">
      <c r="A4083" s="8"/>
    </row>
    <row r="4084" spans="1:1" ht="13.8" x14ac:dyDescent="0.25">
      <c r="A4084" s="8"/>
    </row>
    <row r="4085" spans="1:1" ht="13.8" x14ac:dyDescent="0.25">
      <c r="A4085" s="8"/>
    </row>
    <row r="4086" spans="1:1" ht="13.8" x14ac:dyDescent="0.25">
      <c r="A4086" s="8"/>
    </row>
    <row r="4087" spans="1:1" ht="13.8" x14ac:dyDescent="0.25">
      <c r="A4087" s="8"/>
    </row>
    <row r="4088" spans="1:1" ht="13.8" x14ac:dyDescent="0.25">
      <c r="A4088" s="8"/>
    </row>
    <row r="4089" spans="1:1" ht="13.8" x14ac:dyDescent="0.25">
      <c r="A4089" s="8"/>
    </row>
    <row r="4090" spans="1:1" ht="13.8" x14ac:dyDescent="0.25">
      <c r="A4090" s="8"/>
    </row>
    <row r="4091" spans="1:1" ht="13.8" x14ac:dyDescent="0.25">
      <c r="A4091" s="8"/>
    </row>
    <row r="4092" spans="1:1" ht="13.8" x14ac:dyDescent="0.25">
      <c r="A4092" s="8"/>
    </row>
    <row r="4093" spans="1:1" ht="13.8" x14ac:dyDescent="0.25">
      <c r="A4093" s="8"/>
    </row>
    <row r="4094" spans="1:1" ht="13.8" x14ac:dyDescent="0.25">
      <c r="A4094" s="8"/>
    </row>
    <row r="4095" spans="1:1" ht="13.8" x14ac:dyDescent="0.25">
      <c r="A4095" s="8"/>
    </row>
    <row r="4096" spans="1:1" ht="13.8" x14ac:dyDescent="0.25">
      <c r="A4096" s="8"/>
    </row>
    <row r="4097" spans="1:1" ht="13.8" x14ac:dyDescent="0.25">
      <c r="A4097" s="8"/>
    </row>
    <row r="4098" spans="1:1" ht="13.8" x14ac:dyDescent="0.25">
      <c r="A4098" s="8"/>
    </row>
    <row r="4099" spans="1:1" ht="13.8" x14ac:dyDescent="0.25">
      <c r="A4099" s="8"/>
    </row>
    <row r="4100" spans="1:1" ht="13.8" x14ac:dyDescent="0.25">
      <c r="A4100" s="8"/>
    </row>
    <row r="4101" spans="1:1" ht="13.8" x14ac:dyDescent="0.25">
      <c r="A4101" s="8"/>
    </row>
    <row r="4102" spans="1:1" ht="13.8" x14ac:dyDescent="0.25">
      <c r="A4102" s="8"/>
    </row>
    <row r="4103" spans="1:1" ht="13.8" x14ac:dyDescent="0.25">
      <c r="A4103" s="8"/>
    </row>
    <row r="4104" spans="1:1" ht="13.8" x14ac:dyDescent="0.25">
      <c r="A4104" s="8"/>
    </row>
    <row r="4105" spans="1:1" ht="13.8" x14ac:dyDescent="0.25">
      <c r="A4105" s="8"/>
    </row>
    <row r="4106" spans="1:1" ht="13.8" x14ac:dyDescent="0.25">
      <c r="A4106" s="8"/>
    </row>
    <row r="4107" spans="1:1" ht="13.8" x14ac:dyDescent="0.25">
      <c r="A4107" s="8"/>
    </row>
    <row r="4108" spans="1:1" ht="13.8" x14ac:dyDescent="0.25">
      <c r="A4108" s="8"/>
    </row>
    <row r="4109" spans="1:1" ht="13.8" x14ac:dyDescent="0.25">
      <c r="A4109" s="8"/>
    </row>
    <row r="4110" spans="1:1" ht="13.8" x14ac:dyDescent="0.25">
      <c r="A4110" s="8"/>
    </row>
    <row r="4111" spans="1:1" ht="13.8" x14ac:dyDescent="0.25">
      <c r="A4111" s="8"/>
    </row>
    <row r="4112" spans="1:1" ht="13.8" x14ac:dyDescent="0.25">
      <c r="A4112" s="8"/>
    </row>
    <row r="4113" spans="1:1" ht="13.8" x14ac:dyDescent="0.25">
      <c r="A4113" s="8"/>
    </row>
    <row r="4114" spans="1:1" ht="13.8" x14ac:dyDescent="0.25">
      <c r="A4114" s="8"/>
    </row>
    <row r="4115" spans="1:1" ht="13.8" x14ac:dyDescent="0.25">
      <c r="A4115" s="8"/>
    </row>
    <row r="4116" spans="1:1" ht="13.8" x14ac:dyDescent="0.25">
      <c r="A4116" s="8"/>
    </row>
    <row r="4117" spans="1:1" ht="13.8" x14ac:dyDescent="0.25">
      <c r="A4117" s="8"/>
    </row>
    <row r="4118" spans="1:1" ht="13.8" x14ac:dyDescent="0.25">
      <c r="A4118" s="8"/>
    </row>
    <row r="4119" spans="1:1" ht="13.8" x14ac:dyDescent="0.25">
      <c r="A4119" s="8"/>
    </row>
    <row r="4120" spans="1:1" ht="13.8" x14ac:dyDescent="0.25">
      <c r="A4120" s="8"/>
    </row>
    <row r="4121" spans="1:1" ht="13.8" x14ac:dyDescent="0.25">
      <c r="A4121" s="8"/>
    </row>
    <row r="4122" spans="1:1" ht="13.8" x14ac:dyDescent="0.25">
      <c r="A4122" s="8"/>
    </row>
    <row r="4123" spans="1:1" ht="13.8" x14ac:dyDescent="0.25">
      <c r="A4123" s="8"/>
    </row>
    <row r="4124" spans="1:1" ht="13.8" x14ac:dyDescent="0.25">
      <c r="A4124" s="8"/>
    </row>
    <row r="4125" spans="1:1" ht="13.8" x14ac:dyDescent="0.25">
      <c r="A4125" s="8"/>
    </row>
    <row r="4126" spans="1:1" ht="13.8" x14ac:dyDescent="0.25">
      <c r="A4126" s="8"/>
    </row>
    <row r="4127" spans="1:1" ht="13.8" x14ac:dyDescent="0.25">
      <c r="A4127" s="8"/>
    </row>
    <row r="4128" spans="1:1" ht="13.8" x14ac:dyDescent="0.25">
      <c r="A4128" s="8"/>
    </row>
    <row r="4129" spans="1:1" ht="13.8" x14ac:dyDescent="0.25">
      <c r="A4129" s="8"/>
    </row>
    <row r="4130" spans="1:1" ht="13.8" x14ac:dyDescent="0.25">
      <c r="A4130" s="8"/>
    </row>
    <row r="4131" spans="1:1" ht="13.8" x14ac:dyDescent="0.25">
      <c r="A4131" s="8"/>
    </row>
    <row r="4132" spans="1:1" ht="13.8" x14ac:dyDescent="0.25">
      <c r="A4132" s="8"/>
    </row>
    <row r="4133" spans="1:1" ht="13.8" x14ac:dyDescent="0.25">
      <c r="A4133" s="8"/>
    </row>
    <row r="4134" spans="1:1" ht="13.8" x14ac:dyDescent="0.25">
      <c r="A4134" s="8"/>
    </row>
    <row r="4135" spans="1:1" ht="13.8" x14ac:dyDescent="0.25">
      <c r="A4135" s="8"/>
    </row>
    <row r="4136" spans="1:1" ht="13.8" x14ac:dyDescent="0.25">
      <c r="A4136" s="8"/>
    </row>
    <row r="4137" spans="1:1" ht="13.8" x14ac:dyDescent="0.25">
      <c r="A4137" s="8"/>
    </row>
    <row r="4138" spans="1:1" ht="13.8" x14ac:dyDescent="0.25">
      <c r="A4138" s="8"/>
    </row>
    <row r="4139" spans="1:1" ht="13.8" x14ac:dyDescent="0.25">
      <c r="A4139" s="8"/>
    </row>
    <row r="4140" spans="1:1" ht="13.8" x14ac:dyDescent="0.25">
      <c r="A4140" s="8"/>
    </row>
    <row r="4141" spans="1:1" ht="13.8" x14ac:dyDescent="0.25">
      <c r="A4141" s="8"/>
    </row>
    <row r="4142" spans="1:1" ht="13.8" x14ac:dyDescent="0.25">
      <c r="A4142" s="8"/>
    </row>
    <row r="4143" spans="1:1" ht="13.8" x14ac:dyDescent="0.25">
      <c r="A4143" s="8"/>
    </row>
    <row r="4144" spans="1:1" ht="13.8" x14ac:dyDescent="0.25">
      <c r="A4144" s="8"/>
    </row>
    <row r="4145" spans="1:1" ht="13.8" x14ac:dyDescent="0.25">
      <c r="A4145" s="8"/>
    </row>
    <row r="4146" spans="1:1" ht="13.8" x14ac:dyDescent="0.25">
      <c r="A4146" s="8"/>
    </row>
    <row r="4147" spans="1:1" ht="13.8" x14ac:dyDescent="0.25">
      <c r="A4147" s="8"/>
    </row>
    <row r="4148" spans="1:1" ht="13.8" x14ac:dyDescent="0.25">
      <c r="A4148" s="8"/>
    </row>
    <row r="4149" spans="1:1" ht="13.8" x14ac:dyDescent="0.25">
      <c r="A4149" s="8"/>
    </row>
    <row r="4150" spans="1:1" ht="13.8" x14ac:dyDescent="0.25">
      <c r="A4150" s="8"/>
    </row>
    <row r="4151" spans="1:1" ht="13.8" x14ac:dyDescent="0.25">
      <c r="A4151" s="8"/>
    </row>
    <row r="4152" spans="1:1" ht="13.8" x14ac:dyDescent="0.25">
      <c r="A4152" s="8"/>
    </row>
    <row r="4153" spans="1:1" ht="13.8" x14ac:dyDescent="0.25">
      <c r="A4153" s="8"/>
    </row>
    <row r="4154" spans="1:1" ht="13.8" x14ac:dyDescent="0.25">
      <c r="A4154" s="8"/>
    </row>
    <row r="4155" spans="1:1" ht="13.8" x14ac:dyDescent="0.25">
      <c r="A4155" s="8"/>
    </row>
    <row r="4156" spans="1:1" ht="13.8" x14ac:dyDescent="0.25">
      <c r="A4156" s="8"/>
    </row>
    <row r="4157" spans="1:1" ht="13.8" x14ac:dyDescent="0.25">
      <c r="A4157" s="8"/>
    </row>
    <row r="4158" spans="1:1" ht="13.8" x14ac:dyDescent="0.25">
      <c r="A4158" s="8"/>
    </row>
    <row r="4159" spans="1:1" ht="13.8" x14ac:dyDescent="0.25">
      <c r="A4159" s="8"/>
    </row>
    <row r="4160" spans="1:1" ht="13.8" x14ac:dyDescent="0.25">
      <c r="A4160" s="8"/>
    </row>
    <row r="4161" spans="1:1" ht="13.8" x14ac:dyDescent="0.25">
      <c r="A4161" s="8"/>
    </row>
    <row r="4162" spans="1:1" ht="13.8" x14ac:dyDescent="0.25">
      <c r="A4162" s="8"/>
    </row>
    <row r="4163" spans="1:1" ht="13.8" x14ac:dyDescent="0.25">
      <c r="A4163" s="8"/>
    </row>
    <row r="4164" spans="1:1" ht="13.8" x14ac:dyDescent="0.25">
      <c r="A4164" s="8"/>
    </row>
    <row r="4165" spans="1:1" ht="13.8" x14ac:dyDescent="0.25">
      <c r="A4165" s="8"/>
    </row>
    <row r="4166" spans="1:1" ht="13.8" x14ac:dyDescent="0.25">
      <c r="A4166" s="8"/>
    </row>
    <row r="4167" spans="1:1" ht="13.8" x14ac:dyDescent="0.25">
      <c r="A4167" s="8"/>
    </row>
    <row r="4168" spans="1:1" ht="13.8" x14ac:dyDescent="0.25">
      <c r="A4168" s="8"/>
    </row>
    <row r="4169" spans="1:1" ht="13.8" x14ac:dyDescent="0.25">
      <c r="A4169" s="8"/>
    </row>
    <row r="4170" spans="1:1" ht="13.8" x14ac:dyDescent="0.25">
      <c r="A4170" s="8"/>
    </row>
    <row r="4171" spans="1:1" ht="13.8" x14ac:dyDescent="0.25">
      <c r="A4171" s="8"/>
    </row>
    <row r="4172" spans="1:1" ht="13.8" x14ac:dyDescent="0.25">
      <c r="A4172" s="8"/>
    </row>
    <row r="4173" spans="1:1" ht="13.8" x14ac:dyDescent="0.25">
      <c r="A4173" s="8"/>
    </row>
    <row r="4174" spans="1:1" ht="13.8" x14ac:dyDescent="0.25">
      <c r="A4174" s="8"/>
    </row>
    <row r="4175" spans="1:1" ht="13.8" x14ac:dyDescent="0.25">
      <c r="A4175" s="8"/>
    </row>
    <row r="4176" spans="1:1" ht="13.8" x14ac:dyDescent="0.25">
      <c r="A4176" s="8"/>
    </row>
    <row r="4177" spans="1:1" ht="13.8" x14ac:dyDescent="0.25">
      <c r="A4177" s="8"/>
    </row>
    <row r="4178" spans="1:1" ht="13.8" x14ac:dyDescent="0.25">
      <c r="A4178" s="8"/>
    </row>
    <row r="4179" spans="1:1" ht="13.8" x14ac:dyDescent="0.25">
      <c r="A4179" s="8"/>
    </row>
    <row r="4180" spans="1:1" ht="13.8" x14ac:dyDescent="0.25">
      <c r="A4180" s="8"/>
    </row>
    <row r="4181" spans="1:1" ht="13.8" x14ac:dyDescent="0.25">
      <c r="A4181" s="8"/>
    </row>
    <row r="4182" spans="1:1" ht="13.8" x14ac:dyDescent="0.25">
      <c r="A4182" s="8"/>
    </row>
    <row r="4183" spans="1:1" ht="13.8" x14ac:dyDescent="0.25">
      <c r="A4183" s="8"/>
    </row>
    <row r="4184" spans="1:1" ht="13.8" x14ac:dyDescent="0.25">
      <c r="A4184" s="8"/>
    </row>
    <row r="4185" spans="1:1" ht="13.8" x14ac:dyDescent="0.25">
      <c r="A4185" s="8"/>
    </row>
    <row r="4186" spans="1:1" ht="13.8" x14ac:dyDescent="0.25">
      <c r="A4186" s="8"/>
    </row>
    <row r="4187" spans="1:1" ht="13.8" x14ac:dyDescent="0.25">
      <c r="A4187" s="8"/>
    </row>
    <row r="4188" spans="1:1" ht="13.8" x14ac:dyDescent="0.25">
      <c r="A4188" s="8"/>
    </row>
    <row r="4189" spans="1:1" ht="13.8" x14ac:dyDescent="0.25">
      <c r="A4189" s="8"/>
    </row>
    <row r="4190" spans="1:1" ht="13.8" x14ac:dyDescent="0.25">
      <c r="A4190" s="8"/>
    </row>
    <row r="4191" spans="1:1" ht="13.8" x14ac:dyDescent="0.25">
      <c r="A4191" s="8"/>
    </row>
    <row r="4192" spans="1:1" ht="13.8" x14ac:dyDescent="0.25">
      <c r="A4192" s="8"/>
    </row>
    <row r="4193" spans="1:1" ht="13.8" x14ac:dyDescent="0.25">
      <c r="A4193" s="8"/>
    </row>
    <row r="4194" spans="1:1" ht="13.8" x14ac:dyDescent="0.25">
      <c r="A4194" s="8"/>
    </row>
    <row r="4195" spans="1:1" ht="13.8" x14ac:dyDescent="0.25">
      <c r="A4195" s="8"/>
    </row>
    <row r="4196" spans="1:1" ht="13.8" x14ac:dyDescent="0.25">
      <c r="A4196" s="8"/>
    </row>
    <row r="4197" spans="1:1" ht="13.8" x14ac:dyDescent="0.25">
      <c r="A4197" s="8"/>
    </row>
    <row r="4198" spans="1:1" ht="13.8" x14ac:dyDescent="0.25">
      <c r="A4198" s="8"/>
    </row>
    <row r="4199" spans="1:1" ht="13.8" x14ac:dyDescent="0.25">
      <c r="A4199" s="8"/>
    </row>
    <row r="4200" spans="1:1" ht="13.8" x14ac:dyDescent="0.25">
      <c r="A4200" s="8"/>
    </row>
    <row r="4201" spans="1:1" ht="13.8" x14ac:dyDescent="0.25">
      <c r="A4201" s="8"/>
    </row>
    <row r="4202" spans="1:1" ht="13.8" x14ac:dyDescent="0.25">
      <c r="A4202" s="8"/>
    </row>
    <row r="4203" spans="1:1" ht="13.8" x14ac:dyDescent="0.25">
      <c r="A4203" s="8"/>
    </row>
    <row r="4204" spans="1:1" ht="13.8" x14ac:dyDescent="0.25">
      <c r="A4204" s="8"/>
    </row>
    <row r="4205" spans="1:1" ht="13.8" x14ac:dyDescent="0.25">
      <c r="A4205" s="8"/>
    </row>
    <row r="4206" spans="1:1" ht="13.8" x14ac:dyDescent="0.25">
      <c r="A4206" s="8"/>
    </row>
    <row r="4207" spans="1:1" ht="13.8" x14ac:dyDescent="0.25">
      <c r="A4207" s="8"/>
    </row>
    <row r="4208" spans="1:1" ht="13.8" x14ac:dyDescent="0.25">
      <c r="A4208" s="8"/>
    </row>
    <row r="4209" spans="1:1" ht="13.8" x14ac:dyDescent="0.25">
      <c r="A4209" s="8"/>
    </row>
    <row r="4210" spans="1:1" ht="13.8" x14ac:dyDescent="0.25">
      <c r="A4210" s="8"/>
    </row>
    <row r="4211" spans="1:1" ht="13.8" x14ac:dyDescent="0.25">
      <c r="A4211" s="8"/>
    </row>
    <row r="4212" spans="1:1" ht="13.8" x14ac:dyDescent="0.25">
      <c r="A4212" s="8"/>
    </row>
    <row r="4213" spans="1:1" ht="13.8" x14ac:dyDescent="0.25">
      <c r="A4213" s="8"/>
    </row>
    <row r="4214" spans="1:1" ht="13.8" x14ac:dyDescent="0.25">
      <c r="A4214" s="8"/>
    </row>
    <row r="4215" spans="1:1" ht="13.8" x14ac:dyDescent="0.25">
      <c r="A4215" s="8"/>
    </row>
    <row r="4216" spans="1:1" ht="13.8" x14ac:dyDescent="0.25">
      <c r="A4216" s="8"/>
    </row>
    <row r="4217" spans="1:1" ht="13.8" x14ac:dyDescent="0.25">
      <c r="A4217" s="8"/>
    </row>
    <row r="4218" spans="1:1" ht="13.8" x14ac:dyDescent="0.25">
      <c r="A4218" s="8"/>
    </row>
    <row r="4219" spans="1:1" ht="13.8" x14ac:dyDescent="0.25">
      <c r="A4219" s="8"/>
    </row>
    <row r="4220" spans="1:1" ht="13.8" x14ac:dyDescent="0.25">
      <c r="A4220" s="8"/>
    </row>
    <row r="4221" spans="1:1" ht="13.8" x14ac:dyDescent="0.25">
      <c r="A4221" s="8"/>
    </row>
    <row r="4222" spans="1:1" ht="13.8" x14ac:dyDescent="0.25">
      <c r="A4222" s="8"/>
    </row>
    <row r="4223" spans="1:1" ht="13.8" x14ac:dyDescent="0.25">
      <c r="A4223" s="8"/>
    </row>
    <row r="4224" spans="1:1" ht="13.8" x14ac:dyDescent="0.25">
      <c r="A4224" s="8"/>
    </row>
    <row r="4225" spans="1:1" ht="13.8" x14ac:dyDescent="0.25">
      <c r="A4225" s="8"/>
    </row>
    <row r="4226" spans="1:1" ht="13.8" x14ac:dyDescent="0.25">
      <c r="A4226" s="8"/>
    </row>
    <row r="4227" spans="1:1" ht="13.8" x14ac:dyDescent="0.25">
      <c r="A4227" s="8"/>
    </row>
    <row r="4228" spans="1:1" ht="13.8" x14ac:dyDescent="0.25">
      <c r="A4228" s="8"/>
    </row>
    <row r="4229" spans="1:1" ht="13.8" x14ac:dyDescent="0.25">
      <c r="A4229" s="8"/>
    </row>
    <row r="4230" spans="1:1" ht="13.8" x14ac:dyDescent="0.25">
      <c r="A4230" s="8"/>
    </row>
    <row r="4231" spans="1:1" ht="13.8" x14ac:dyDescent="0.25">
      <c r="A4231" s="8"/>
    </row>
    <row r="4232" spans="1:1" ht="13.8" x14ac:dyDescent="0.25">
      <c r="A4232" s="8"/>
    </row>
    <row r="4233" spans="1:1" ht="13.8" x14ac:dyDescent="0.25">
      <c r="A4233" s="8"/>
    </row>
    <row r="4234" spans="1:1" ht="13.8" x14ac:dyDescent="0.25">
      <c r="A4234" s="8"/>
    </row>
    <row r="4235" spans="1:1" ht="13.8" x14ac:dyDescent="0.25">
      <c r="A4235" s="8"/>
    </row>
    <row r="4236" spans="1:1" ht="13.8" x14ac:dyDescent="0.25">
      <c r="A4236" s="8"/>
    </row>
    <row r="4237" spans="1:1" ht="13.8" x14ac:dyDescent="0.25">
      <c r="A4237" s="8"/>
    </row>
    <row r="4238" spans="1:1" ht="13.8" x14ac:dyDescent="0.25">
      <c r="A4238" s="8"/>
    </row>
    <row r="4239" spans="1:1" ht="13.8" x14ac:dyDescent="0.25">
      <c r="A4239" s="8"/>
    </row>
    <row r="4240" spans="1:1" ht="13.8" x14ac:dyDescent="0.25">
      <c r="A4240" s="8"/>
    </row>
    <row r="4241" spans="1:1" ht="13.8" x14ac:dyDescent="0.25">
      <c r="A4241" s="8"/>
    </row>
    <row r="4242" spans="1:1" ht="13.8" x14ac:dyDescent="0.25">
      <c r="A4242" s="8"/>
    </row>
    <row r="4243" spans="1:1" ht="13.8" x14ac:dyDescent="0.25">
      <c r="A4243" s="8"/>
    </row>
    <row r="4244" spans="1:1" ht="13.8" x14ac:dyDescent="0.25">
      <c r="A4244" s="8"/>
    </row>
    <row r="4245" spans="1:1" ht="13.8" x14ac:dyDescent="0.25">
      <c r="A4245" s="8"/>
    </row>
    <row r="4246" spans="1:1" ht="13.8" x14ac:dyDescent="0.25">
      <c r="A4246" s="8"/>
    </row>
    <row r="4247" spans="1:1" ht="13.8" x14ac:dyDescent="0.25">
      <c r="A4247" s="8"/>
    </row>
    <row r="4248" spans="1:1" ht="13.8" x14ac:dyDescent="0.25">
      <c r="A4248" s="8"/>
    </row>
    <row r="4249" spans="1:1" ht="13.8" x14ac:dyDescent="0.25">
      <c r="A4249" s="8"/>
    </row>
    <row r="4250" spans="1:1" ht="13.8" x14ac:dyDescent="0.25">
      <c r="A4250" s="8"/>
    </row>
    <row r="4251" spans="1:1" ht="13.8" x14ac:dyDescent="0.25">
      <c r="A4251" s="8"/>
    </row>
    <row r="4252" spans="1:1" ht="13.8" x14ac:dyDescent="0.25">
      <c r="A4252" s="8"/>
    </row>
    <row r="4253" spans="1:1" ht="13.8" x14ac:dyDescent="0.25">
      <c r="A4253" s="8"/>
    </row>
    <row r="4254" spans="1:1" ht="13.8" x14ac:dyDescent="0.25">
      <c r="A4254" s="8"/>
    </row>
    <row r="4255" spans="1:1" ht="13.8" x14ac:dyDescent="0.25">
      <c r="A4255" s="8"/>
    </row>
    <row r="4256" spans="1:1" ht="13.8" x14ac:dyDescent="0.25">
      <c r="A4256" s="8"/>
    </row>
    <row r="4257" spans="1:1" ht="13.8" x14ac:dyDescent="0.25">
      <c r="A4257" s="8"/>
    </row>
    <row r="4258" spans="1:1" ht="13.8" x14ac:dyDescent="0.25">
      <c r="A4258" s="8"/>
    </row>
    <row r="4259" spans="1:1" ht="13.8" x14ac:dyDescent="0.25">
      <c r="A4259" s="8"/>
    </row>
    <row r="4260" spans="1:1" ht="13.8" x14ac:dyDescent="0.25">
      <c r="A4260" s="8"/>
    </row>
    <row r="4261" spans="1:1" ht="13.8" x14ac:dyDescent="0.25">
      <c r="A4261" s="8"/>
    </row>
    <row r="4262" spans="1:1" ht="13.8" x14ac:dyDescent="0.25">
      <c r="A4262" s="8"/>
    </row>
    <row r="4263" spans="1:1" ht="13.8" x14ac:dyDescent="0.25">
      <c r="A4263" s="8"/>
    </row>
    <row r="4264" spans="1:1" ht="13.8" x14ac:dyDescent="0.25">
      <c r="A4264" s="8"/>
    </row>
    <row r="4265" spans="1:1" ht="13.8" x14ac:dyDescent="0.25">
      <c r="A4265" s="8"/>
    </row>
    <row r="4266" spans="1:1" ht="13.8" x14ac:dyDescent="0.25">
      <c r="A4266" s="8"/>
    </row>
    <row r="4267" spans="1:1" ht="13.8" x14ac:dyDescent="0.25">
      <c r="A4267" s="8"/>
    </row>
    <row r="4268" spans="1:1" ht="13.8" x14ac:dyDescent="0.25">
      <c r="A4268" s="8"/>
    </row>
    <row r="4269" spans="1:1" ht="13.8" x14ac:dyDescent="0.25">
      <c r="A4269" s="8"/>
    </row>
    <row r="4270" spans="1:1" ht="13.8" x14ac:dyDescent="0.25">
      <c r="A4270" s="8"/>
    </row>
    <row r="4271" spans="1:1" ht="13.8" x14ac:dyDescent="0.25">
      <c r="A4271" s="8"/>
    </row>
    <row r="4272" spans="1:1" ht="13.8" x14ac:dyDescent="0.25">
      <c r="A4272" s="8"/>
    </row>
    <row r="4273" spans="1:1" ht="13.8" x14ac:dyDescent="0.25">
      <c r="A4273" s="8"/>
    </row>
    <row r="4274" spans="1:1" ht="13.8" x14ac:dyDescent="0.25">
      <c r="A4274" s="8"/>
    </row>
    <row r="4275" spans="1:1" ht="13.8" x14ac:dyDescent="0.25">
      <c r="A4275" s="8"/>
    </row>
    <row r="4276" spans="1:1" ht="13.8" x14ac:dyDescent="0.25">
      <c r="A4276" s="8"/>
    </row>
    <row r="4277" spans="1:1" ht="13.8" x14ac:dyDescent="0.25">
      <c r="A4277" s="8"/>
    </row>
    <row r="4278" spans="1:1" ht="13.8" x14ac:dyDescent="0.25">
      <c r="A4278" s="8"/>
    </row>
    <row r="4279" spans="1:1" ht="13.8" x14ac:dyDescent="0.25">
      <c r="A4279" s="8"/>
    </row>
    <row r="4280" spans="1:1" ht="13.8" x14ac:dyDescent="0.25">
      <c r="A4280" s="8"/>
    </row>
    <row r="4281" spans="1:1" ht="13.8" x14ac:dyDescent="0.25">
      <c r="A4281" s="8"/>
    </row>
    <row r="4282" spans="1:1" ht="13.8" x14ac:dyDescent="0.25">
      <c r="A4282" s="8"/>
    </row>
    <row r="4283" spans="1:1" ht="13.8" x14ac:dyDescent="0.25">
      <c r="A4283" s="8"/>
    </row>
    <row r="4284" spans="1:1" ht="13.8" x14ac:dyDescent="0.25">
      <c r="A4284" s="8"/>
    </row>
    <row r="4285" spans="1:1" ht="13.8" x14ac:dyDescent="0.25">
      <c r="A4285" s="8"/>
    </row>
    <row r="4286" spans="1:1" ht="13.8" x14ac:dyDescent="0.25">
      <c r="A4286" s="8"/>
    </row>
    <row r="4287" spans="1:1" ht="13.8" x14ac:dyDescent="0.25">
      <c r="A4287" s="8"/>
    </row>
    <row r="4288" spans="1:1" ht="13.8" x14ac:dyDescent="0.25">
      <c r="A4288" s="8"/>
    </row>
    <row r="4289" spans="1:1" ht="13.8" x14ac:dyDescent="0.25">
      <c r="A4289" s="8"/>
    </row>
    <row r="4290" spans="1:1" ht="13.8" x14ac:dyDescent="0.25">
      <c r="A4290" s="8"/>
    </row>
    <row r="4291" spans="1:1" ht="13.8" x14ac:dyDescent="0.25">
      <c r="A4291" s="8"/>
    </row>
    <row r="4292" spans="1:1" ht="13.8" x14ac:dyDescent="0.25">
      <c r="A4292" s="8"/>
    </row>
    <row r="4293" spans="1:1" ht="13.8" x14ac:dyDescent="0.25">
      <c r="A4293" s="8"/>
    </row>
    <row r="4294" spans="1:1" ht="13.8" x14ac:dyDescent="0.25">
      <c r="A4294" s="8"/>
    </row>
    <row r="4295" spans="1:1" ht="13.8" x14ac:dyDescent="0.25">
      <c r="A4295" s="8"/>
    </row>
    <row r="4296" spans="1:1" ht="13.8" x14ac:dyDescent="0.25">
      <c r="A4296" s="8"/>
    </row>
    <row r="4297" spans="1:1" ht="13.8" x14ac:dyDescent="0.25">
      <c r="A4297" s="8"/>
    </row>
    <row r="4298" spans="1:1" ht="13.8" x14ac:dyDescent="0.25">
      <c r="A4298" s="8"/>
    </row>
    <row r="4299" spans="1:1" ht="13.8" x14ac:dyDescent="0.25">
      <c r="A4299" s="8"/>
    </row>
    <row r="4300" spans="1:1" ht="13.8" x14ac:dyDescent="0.25">
      <c r="A4300" s="8"/>
    </row>
    <row r="4301" spans="1:1" ht="13.8" x14ac:dyDescent="0.25">
      <c r="A4301" s="8"/>
    </row>
    <row r="4302" spans="1:1" ht="13.8" x14ac:dyDescent="0.25">
      <c r="A4302" s="8"/>
    </row>
    <row r="4303" spans="1:1" ht="13.8" x14ac:dyDescent="0.25">
      <c r="A4303" s="8"/>
    </row>
    <row r="4304" spans="1:1" ht="13.8" x14ac:dyDescent="0.25">
      <c r="A4304" s="8"/>
    </row>
    <row r="4305" spans="1:1" ht="13.8" x14ac:dyDescent="0.25">
      <c r="A4305" s="8"/>
    </row>
    <row r="4306" spans="1:1" ht="13.8" x14ac:dyDescent="0.25">
      <c r="A4306" s="8"/>
    </row>
    <row r="4307" spans="1:1" ht="13.8" x14ac:dyDescent="0.25">
      <c r="A4307" s="8"/>
    </row>
    <row r="4308" spans="1:1" ht="13.8" x14ac:dyDescent="0.25">
      <c r="A4308" s="8"/>
    </row>
    <row r="4309" spans="1:1" ht="13.8" x14ac:dyDescent="0.25">
      <c r="A4309" s="8"/>
    </row>
    <row r="4310" spans="1:1" ht="13.8" x14ac:dyDescent="0.25">
      <c r="A4310" s="8"/>
    </row>
    <row r="4311" spans="1:1" ht="13.8" x14ac:dyDescent="0.25">
      <c r="A4311" s="8"/>
    </row>
    <row r="4312" spans="1:1" ht="13.8" x14ac:dyDescent="0.25">
      <c r="A4312" s="8"/>
    </row>
    <row r="4313" spans="1:1" ht="13.8" x14ac:dyDescent="0.25">
      <c r="A4313" s="8"/>
    </row>
    <row r="4314" spans="1:1" ht="13.8" x14ac:dyDescent="0.25">
      <c r="A4314" s="8"/>
    </row>
    <row r="4315" spans="1:1" ht="13.8" x14ac:dyDescent="0.25">
      <c r="A4315" s="8"/>
    </row>
    <row r="4316" spans="1:1" ht="13.8" x14ac:dyDescent="0.25">
      <c r="A4316" s="8"/>
    </row>
    <row r="4317" spans="1:1" ht="13.8" x14ac:dyDescent="0.25">
      <c r="A4317" s="8"/>
    </row>
    <row r="4318" spans="1:1" ht="13.8" x14ac:dyDescent="0.25">
      <c r="A4318" s="8"/>
    </row>
    <row r="4319" spans="1:1" ht="13.8" x14ac:dyDescent="0.25">
      <c r="A4319" s="8"/>
    </row>
    <row r="4320" spans="1:1" ht="13.8" x14ac:dyDescent="0.25">
      <c r="A4320" s="8"/>
    </row>
    <row r="4321" spans="1:1" ht="13.8" x14ac:dyDescent="0.25">
      <c r="A4321" s="8"/>
    </row>
    <row r="4322" spans="1:1" ht="13.8" x14ac:dyDescent="0.25">
      <c r="A4322" s="8"/>
    </row>
    <row r="4323" spans="1:1" ht="13.8" x14ac:dyDescent="0.25">
      <c r="A4323" s="8"/>
    </row>
    <row r="4324" spans="1:1" ht="13.8" x14ac:dyDescent="0.25">
      <c r="A4324" s="8"/>
    </row>
    <row r="4325" spans="1:1" ht="13.8" x14ac:dyDescent="0.25">
      <c r="A4325" s="8"/>
    </row>
    <row r="4326" spans="1:1" ht="13.8" x14ac:dyDescent="0.25">
      <c r="A4326" s="8"/>
    </row>
    <row r="4327" spans="1:1" ht="13.8" x14ac:dyDescent="0.25">
      <c r="A4327" s="8"/>
    </row>
    <row r="4328" spans="1:1" ht="13.8" x14ac:dyDescent="0.25">
      <c r="A4328" s="8"/>
    </row>
    <row r="4329" spans="1:1" ht="13.8" x14ac:dyDescent="0.25">
      <c r="A4329" s="8"/>
    </row>
    <row r="4330" spans="1:1" ht="13.8" x14ac:dyDescent="0.25">
      <c r="A4330" s="8"/>
    </row>
    <row r="4331" spans="1:1" ht="13.8" x14ac:dyDescent="0.25">
      <c r="A4331" s="8"/>
    </row>
    <row r="4332" spans="1:1" ht="13.8" x14ac:dyDescent="0.25">
      <c r="A4332" s="8"/>
    </row>
    <row r="4333" spans="1:1" ht="13.8" x14ac:dyDescent="0.25">
      <c r="A4333" s="8"/>
    </row>
    <row r="4334" spans="1:1" ht="13.8" x14ac:dyDescent="0.25">
      <c r="A4334" s="8"/>
    </row>
    <row r="4335" spans="1:1" ht="13.8" x14ac:dyDescent="0.25">
      <c r="A4335" s="8"/>
    </row>
    <row r="4336" spans="1:1" ht="13.8" x14ac:dyDescent="0.25">
      <c r="A4336" s="8"/>
    </row>
    <row r="4337" spans="1:1" ht="13.8" x14ac:dyDescent="0.25">
      <c r="A4337" s="8"/>
    </row>
    <row r="4338" spans="1:1" ht="13.8" x14ac:dyDescent="0.25">
      <c r="A4338" s="8"/>
    </row>
    <row r="4339" spans="1:1" ht="13.8" x14ac:dyDescent="0.25">
      <c r="A4339" s="8"/>
    </row>
    <row r="4340" spans="1:1" ht="13.8" x14ac:dyDescent="0.25">
      <c r="A4340" s="8"/>
    </row>
    <row r="4341" spans="1:1" ht="13.8" x14ac:dyDescent="0.25">
      <c r="A4341" s="8"/>
    </row>
    <row r="4342" spans="1:1" ht="13.8" x14ac:dyDescent="0.25">
      <c r="A4342" s="8"/>
    </row>
    <row r="4343" spans="1:1" ht="13.8" x14ac:dyDescent="0.25">
      <c r="A4343" s="8"/>
    </row>
    <row r="4344" spans="1:1" ht="13.8" x14ac:dyDescent="0.25">
      <c r="A4344" s="8"/>
    </row>
    <row r="4345" spans="1:1" ht="13.8" x14ac:dyDescent="0.25">
      <c r="A4345" s="8"/>
    </row>
    <row r="4346" spans="1:1" ht="13.8" x14ac:dyDescent="0.25">
      <c r="A4346" s="8"/>
    </row>
    <row r="4347" spans="1:1" ht="13.8" x14ac:dyDescent="0.25">
      <c r="A4347" s="8"/>
    </row>
    <row r="4348" spans="1:1" ht="13.8" x14ac:dyDescent="0.25">
      <c r="A4348" s="8"/>
    </row>
    <row r="4349" spans="1:1" ht="13.8" x14ac:dyDescent="0.25">
      <c r="A4349" s="8"/>
    </row>
    <row r="4350" spans="1:1" ht="13.8" x14ac:dyDescent="0.25">
      <c r="A4350" s="8"/>
    </row>
    <row r="4351" spans="1:1" ht="13.8" x14ac:dyDescent="0.25">
      <c r="A4351" s="8"/>
    </row>
    <row r="4352" spans="1:1" ht="13.8" x14ac:dyDescent="0.25">
      <c r="A4352" s="8"/>
    </row>
    <row r="4353" spans="1:1" ht="13.8" x14ac:dyDescent="0.25">
      <c r="A4353" s="8"/>
    </row>
    <row r="4354" spans="1:1" ht="13.8" x14ac:dyDescent="0.25">
      <c r="A4354" s="8"/>
    </row>
    <row r="4355" spans="1:1" ht="13.8" x14ac:dyDescent="0.25">
      <c r="A4355" s="8"/>
    </row>
    <row r="4356" spans="1:1" ht="13.8" x14ac:dyDescent="0.25">
      <c r="A4356" s="8"/>
    </row>
    <row r="4357" spans="1:1" ht="13.8" x14ac:dyDescent="0.25">
      <c r="A4357" s="8"/>
    </row>
    <row r="4358" spans="1:1" ht="13.8" x14ac:dyDescent="0.25">
      <c r="A4358" s="8"/>
    </row>
    <row r="4359" spans="1:1" ht="13.8" x14ac:dyDescent="0.25">
      <c r="A4359" s="8"/>
    </row>
    <row r="4360" spans="1:1" ht="13.8" x14ac:dyDescent="0.25">
      <c r="A4360" s="8"/>
    </row>
    <row r="4361" spans="1:1" ht="13.8" x14ac:dyDescent="0.25">
      <c r="A4361" s="8"/>
    </row>
    <row r="4362" spans="1:1" ht="13.8" x14ac:dyDescent="0.25">
      <c r="A4362" s="8"/>
    </row>
    <row r="4363" spans="1:1" ht="13.8" x14ac:dyDescent="0.25">
      <c r="A4363" s="8"/>
    </row>
    <row r="4364" spans="1:1" ht="13.8" x14ac:dyDescent="0.25">
      <c r="A4364" s="8"/>
    </row>
    <row r="4365" spans="1:1" ht="13.8" x14ac:dyDescent="0.25">
      <c r="A4365" s="8"/>
    </row>
    <row r="4366" spans="1:1" ht="13.8" x14ac:dyDescent="0.25">
      <c r="A4366" s="8"/>
    </row>
    <row r="4367" spans="1:1" ht="13.8" x14ac:dyDescent="0.25">
      <c r="A4367" s="8"/>
    </row>
    <row r="4368" spans="1:1" ht="13.8" x14ac:dyDescent="0.25">
      <c r="A4368" s="8"/>
    </row>
    <row r="4369" spans="1:1" ht="13.8" x14ac:dyDescent="0.25">
      <c r="A4369" s="8"/>
    </row>
    <row r="4370" spans="1:1" ht="13.8" x14ac:dyDescent="0.25">
      <c r="A4370" s="8"/>
    </row>
    <row r="4371" spans="1:1" ht="13.8" x14ac:dyDescent="0.25">
      <c r="A4371" s="8"/>
    </row>
    <row r="4372" spans="1:1" ht="13.8" x14ac:dyDescent="0.25">
      <c r="A4372" s="8"/>
    </row>
    <row r="4373" spans="1:1" ht="13.8" x14ac:dyDescent="0.25">
      <c r="A4373" s="8"/>
    </row>
    <row r="4374" spans="1:1" ht="13.8" x14ac:dyDescent="0.25">
      <c r="A4374" s="8"/>
    </row>
    <row r="4375" spans="1:1" ht="13.8" x14ac:dyDescent="0.25">
      <c r="A4375" s="8"/>
    </row>
    <row r="4376" spans="1:1" ht="13.8" x14ac:dyDescent="0.25">
      <c r="A4376" s="8"/>
    </row>
    <row r="4377" spans="1:1" ht="13.8" x14ac:dyDescent="0.25">
      <c r="A4377" s="8"/>
    </row>
    <row r="4378" spans="1:1" ht="13.8" x14ac:dyDescent="0.25">
      <c r="A4378" s="8"/>
    </row>
    <row r="4379" spans="1:1" ht="13.8" x14ac:dyDescent="0.25">
      <c r="A4379" s="8"/>
    </row>
    <row r="4380" spans="1:1" ht="13.8" x14ac:dyDescent="0.25">
      <c r="A4380" s="8"/>
    </row>
    <row r="4381" spans="1:1" ht="13.8" x14ac:dyDescent="0.25">
      <c r="A4381" s="8"/>
    </row>
    <row r="4382" spans="1:1" ht="13.8" x14ac:dyDescent="0.25">
      <c r="A4382" s="8"/>
    </row>
    <row r="4383" spans="1:1" ht="13.8" x14ac:dyDescent="0.25">
      <c r="A4383" s="8"/>
    </row>
    <row r="4384" spans="1:1" ht="13.8" x14ac:dyDescent="0.25">
      <c r="A4384" s="8"/>
    </row>
    <row r="4385" spans="1:1" ht="13.8" x14ac:dyDescent="0.25">
      <c r="A4385" s="8"/>
    </row>
    <row r="4386" spans="1:1" ht="13.8" x14ac:dyDescent="0.25">
      <c r="A4386" s="8"/>
    </row>
    <row r="4387" spans="1:1" ht="13.8" x14ac:dyDescent="0.25">
      <c r="A4387" s="8"/>
    </row>
    <row r="4388" spans="1:1" ht="13.8" x14ac:dyDescent="0.25">
      <c r="A4388" s="8"/>
    </row>
    <row r="4389" spans="1:1" ht="13.8" x14ac:dyDescent="0.25">
      <c r="A4389" s="8"/>
    </row>
    <row r="4390" spans="1:1" ht="13.8" x14ac:dyDescent="0.25">
      <c r="A4390" s="8"/>
    </row>
    <row r="4391" spans="1:1" ht="13.8" x14ac:dyDescent="0.25">
      <c r="A4391" s="8"/>
    </row>
    <row r="4392" spans="1:1" ht="13.8" x14ac:dyDescent="0.25">
      <c r="A4392" s="8"/>
    </row>
    <row r="4393" spans="1:1" ht="13.8" x14ac:dyDescent="0.25">
      <c r="A4393" s="8"/>
    </row>
    <row r="4394" spans="1:1" ht="13.8" x14ac:dyDescent="0.25">
      <c r="A4394" s="8"/>
    </row>
    <row r="4395" spans="1:1" ht="13.8" x14ac:dyDescent="0.25">
      <c r="A4395" s="8"/>
    </row>
    <row r="4396" spans="1:1" ht="13.8" x14ac:dyDescent="0.25">
      <c r="A4396" s="8"/>
    </row>
    <row r="4397" spans="1:1" ht="13.8" x14ac:dyDescent="0.25">
      <c r="A4397" s="8"/>
    </row>
    <row r="4398" spans="1:1" ht="13.8" x14ac:dyDescent="0.25">
      <c r="A4398" s="8"/>
    </row>
    <row r="4399" spans="1:1" ht="13.8" x14ac:dyDescent="0.25">
      <c r="A4399" s="8"/>
    </row>
    <row r="4400" spans="1:1" ht="13.8" x14ac:dyDescent="0.25">
      <c r="A4400" s="8"/>
    </row>
    <row r="4401" spans="1:1" ht="13.8" x14ac:dyDescent="0.25">
      <c r="A4401" s="8"/>
    </row>
    <row r="4402" spans="1:1" ht="13.8" x14ac:dyDescent="0.25">
      <c r="A4402" s="8"/>
    </row>
    <row r="4403" spans="1:1" ht="13.8" x14ac:dyDescent="0.25">
      <c r="A4403" s="8"/>
    </row>
    <row r="4404" spans="1:1" ht="13.8" x14ac:dyDescent="0.25">
      <c r="A4404" s="8"/>
    </row>
    <row r="4405" spans="1:1" ht="13.8" x14ac:dyDescent="0.25">
      <c r="A4405" s="8"/>
    </row>
    <row r="4406" spans="1:1" ht="13.8" x14ac:dyDescent="0.25">
      <c r="A4406" s="8"/>
    </row>
    <row r="4407" spans="1:1" ht="13.8" x14ac:dyDescent="0.25">
      <c r="A4407" s="8"/>
    </row>
    <row r="4408" spans="1:1" ht="13.8" x14ac:dyDescent="0.25">
      <c r="A4408" s="8"/>
    </row>
    <row r="4409" spans="1:1" ht="13.8" x14ac:dyDescent="0.25">
      <c r="A4409" s="8"/>
    </row>
    <row r="4410" spans="1:1" ht="13.8" x14ac:dyDescent="0.25">
      <c r="A4410" s="8"/>
    </row>
    <row r="4411" spans="1:1" ht="13.8" x14ac:dyDescent="0.25">
      <c r="A4411" s="8"/>
    </row>
    <row r="4412" spans="1:1" ht="13.8" x14ac:dyDescent="0.25">
      <c r="A4412" s="8"/>
    </row>
    <row r="4413" spans="1:1" ht="13.8" x14ac:dyDescent="0.25">
      <c r="A4413" s="8"/>
    </row>
    <row r="4414" spans="1:1" ht="13.8" x14ac:dyDescent="0.25">
      <c r="A4414" s="8"/>
    </row>
    <row r="4415" spans="1:1" ht="13.8" x14ac:dyDescent="0.25">
      <c r="A4415" s="8"/>
    </row>
    <row r="4416" spans="1:1" ht="13.8" x14ac:dyDescent="0.25">
      <c r="A4416" s="8"/>
    </row>
    <row r="4417" spans="1:1" ht="13.8" x14ac:dyDescent="0.25">
      <c r="A4417" s="8"/>
    </row>
    <row r="4418" spans="1:1" ht="13.8" x14ac:dyDescent="0.25">
      <c r="A4418" s="8"/>
    </row>
    <row r="4419" spans="1:1" ht="13.8" x14ac:dyDescent="0.25">
      <c r="A4419" s="8"/>
    </row>
    <row r="4420" spans="1:1" ht="13.8" x14ac:dyDescent="0.25">
      <c r="A4420" s="8"/>
    </row>
    <row r="4421" spans="1:1" ht="13.8" x14ac:dyDescent="0.25">
      <c r="A4421" s="8"/>
    </row>
    <row r="4422" spans="1:1" ht="13.8" x14ac:dyDescent="0.25">
      <c r="A4422" s="8"/>
    </row>
    <row r="4423" spans="1:1" ht="13.8" x14ac:dyDescent="0.25">
      <c r="A4423" s="8"/>
    </row>
    <row r="4424" spans="1:1" ht="13.8" x14ac:dyDescent="0.25">
      <c r="A4424" s="8"/>
    </row>
    <row r="4425" spans="1:1" ht="13.8" x14ac:dyDescent="0.25">
      <c r="A4425" s="8"/>
    </row>
    <row r="4426" spans="1:1" ht="13.8" x14ac:dyDescent="0.25">
      <c r="A4426" s="8"/>
    </row>
    <row r="4427" spans="1:1" ht="13.8" x14ac:dyDescent="0.25">
      <c r="A4427" s="8"/>
    </row>
    <row r="4428" spans="1:1" ht="13.8" x14ac:dyDescent="0.25">
      <c r="A4428" s="8"/>
    </row>
    <row r="4429" spans="1:1" ht="13.8" x14ac:dyDescent="0.25">
      <c r="A4429" s="8"/>
    </row>
    <row r="4430" spans="1:1" ht="13.8" x14ac:dyDescent="0.25">
      <c r="A4430" s="8"/>
    </row>
    <row r="4431" spans="1:1" ht="13.8" x14ac:dyDescent="0.25">
      <c r="A4431" s="8"/>
    </row>
    <row r="4432" spans="1:1" ht="13.8" x14ac:dyDescent="0.25">
      <c r="A4432" s="8"/>
    </row>
    <row r="4433" spans="1:1" ht="13.8" x14ac:dyDescent="0.25">
      <c r="A4433" s="8"/>
    </row>
    <row r="4434" spans="1:1" ht="13.8" x14ac:dyDescent="0.25">
      <c r="A4434" s="8"/>
    </row>
    <row r="4435" spans="1:1" ht="13.8" x14ac:dyDescent="0.25">
      <c r="A4435" s="8"/>
    </row>
    <row r="4436" spans="1:1" ht="13.8" x14ac:dyDescent="0.25">
      <c r="A4436" s="8"/>
    </row>
    <row r="4437" spans="1:1" ht="13.8" x14ac:dyDescent="0.25">
      <c r="A4437" s="8"/>
    </row>
    <row r="4438" spans="1:1" ht="13.8" x14ac:dyDescent="0.25">
      <c r="A4438" s="8"/>
    </row>
    <row r="4439" spans="1:1" ht="13.8" x14ac:dyDescent="0.25">
      <c r="A4439" s="8"/>
    </row>
    <row r="4440" spans="1:1" ht="13.8" x14ac:dyDescent="0.25">
      <c r="A4440" s="8"/>
    </row>
    <row r="4441" spans="1:1" ht="13.8" x14ac:dyDescent="0.25">
      <c r="A4441" s="8"/>
    </row>
    <row r="4442" spans="1:1" ht="13.8" x14ac:dyDescent="0.25">
      <c r="A4442" s="8"/>
    </row>
    <row r="4443" spans="1:1" ht="13.8" x14ac:dyDescent="0.25">
      <c r="A4443" s="8"/>
    </row>
    <row r="4444" spans="1:1" ht="13.8" x14ac:dyDescent="0.25">
      <c r="A4444" s="8"/>
    </row>
    <row r="4445" spans="1:1" ht="13.8" x14ac:dyDescent="0.25">
      <c r="A4445" s="8"/>
    </row>
    <row r="4446" spans="1:1" ht="13.8" x14ac:dyDescent="0.25">
      <c r="A4446" s="8"/>
    </row>
    <row r="4447" spans="1:1" ht="13.8" x14ac:dyDescent="0.25">
      <c r="A4447" s="8"/>
    </row>
    <row r="4448" spans="1:1" ht="13.8" x14ac:dyDescent="0.25">
      <c r="A4448" s="8"/>
    </row>
    <row r="4449" spans="1:1" ht="13.8" x14ac:dyDescent="0.25">
      <c r="A4449" s="8"/>
    </row>
    <row r="4450" spans="1:1" ht="13.8" x14ac:dyDescent="0.25">
      <c r="A4450" s="8"/>
    </row>
    <row r="4451" spans="1:1" ht="13.8" x14ac:dyDescent="0.25">
      <c r="A4451" s="8"/>
    </row>
    <row r="4452" spans="1:1" ht="13.8" x14ac:dyDescent="0.25">
      <c r="A4452" s="8"/>
    </row>
    <row r="4453" spans="1:1" ht="13.8" x14ac:dyDescent="0.25">
      <c r="A4453" s="8"/>
    </row>
    <row r="4454" spans="1:1" ht="13.8" x14ac:dyDescent="0.25">
      <c r="A4454" s="8"/>
    </row>
    <row r="4455" spans="1:1" ht="13.8" x14ac:dyDescent="0.25">
      <c r="A4455" s="8"/>
    </row>
    <row r="4456" spans="1:1" ht="13.8" x14ac:dyDescent="0.25">
      <c r="A4456" s="8"/>
    </row>
    <row r="4457" spans="1:1" ht="13.8" x14ac:dyDescent="0.25">
      <c r="A4457" s="8"/>
    </row>
    <row r="4458" spans="1:1" ht="13.8" x14ac:dyDescent="0.25">
      <c r="A4458" s="8"/>
    </row>
    <row r="4459" spans="1:1" ht="13.8" x14ac:dyDescent="0.25">
      <c r="A4459" s="8"/>
    </row>
    <row r="4460" spans="1:1" ht="13.8" x14ac:dyDescent="0.25">
      <c r="A4460" s="8"/>
    </row>
    <row r="4461" spans="1:1" ht="13.8" x14ac:dyDescent="0.25">
      <c r="A4461" s="8"/>
    </row>
    <row r="4462" spans="1:1" ht="13.8" x14ac:dyDescent="0.25">
      <c r="A4462" s="8"/>
    </row>
    <row r="4463" spans="1:1" ht="13.8" x14ac:dyDescent="0.25">
      <c r="A4463" s="8"/>
    </row>
    <row r="4464" spans="1:1" ht="13.8" x14ac:dyDescent="0.25">
      <c r="A4464" s="8"/>
    </row>
    <row r="4465" spans="1:1" ht="13.8" x14ac:dyDescent="0.25">
      <c r="A4465" s="8"/>
    </row>
    <row r="4466" spans="1:1" ht="13.8" x14ac:dyDescent="0.25">
      <c r="A4466" s="8"/>
    </row>
    <row r="4467" spans="1:1" ht="13.8" x14ac:dyDescent="0.25">
      <c r="A4467" s="8"/>
    </row>
    <row r="4468" spans="1:1" ht="13.8" x14ac:dyDescent="0.25">
      <c r="A4468" s="8"/>
    </row>
    <row r="4469" spans="1:1" ht="13.8" x14ac:dyDescent="0.25">
      <c r="A4469" s="8"/>
    </row>
    <row r="4470" spans="1:1" ht="13.8" x14ac:dyDescent="0.25">
      <c r="A4470" s="8"/>
    </row>
    <row r="4471" spans="1:1" ht="13.8" x14ac:dyDescent="0.25">
      <c r="A4471" s="8"/>
    </row>
    <row r="4472" spans="1:1" ht="13.8" x14ac:dyDescent="0.25">
      <c r="A4472" s="8"/>
    </row>
    <row r="4473" spans="1:1" ht="13.8" x14ac:dyDescent="0.25">
      <c r="A4473" s="8"/>
    </row>
    <row r="4474" spans="1:1" ht="13.8" x14ac:dyDescent="0.25">
      <c r="A4474" s="8"/>
    </row>
    <row r="4475" spans="1:1" ht="13.8" x14ac:dyDescent="0.25">
      <c r="A4475" s="8"/>
    </row>
    <row r="4476" spans="1:1" ht="13.8" x14ac:dyDescent="0.25">
      <c r="A4476" s="8"/>
    </row>
    <row r="4477" spans="1:1" ht="13.8" x14ac:dyDescent="0.25">
      <c r="A4477" s="8"/>
    </row>
    <row r="4478" spans="1:1" ht="13.8" x14ac:dyDescent="0.25">
      <c r="A4478" s="8"/>
    </row>
    <row r="4479" spans="1:1" ht="13.8" x14ac:dyDescent="0.25">
      <c r="A4479" s="8"/>
    </row>
    <row r="4480" spans="1:1" ht="13.8" x14ac:dyDescent="0.25">
      <c r="A4480" s="8"/>
    </row>
    <row r="4481" spans="1:1" ht="13.8" x14ac:dyDescent="0.25">
      <c r="A4481" s="8"/>
    </row>
    <row r="4482" spans="1:1" ht="13.8" x14ac:dyDescent="0.25">
      <c r="A4482" s="8"/>
    </row>
    <row r="4483" spans="1:1" ht="13.8" x14ac:dyDescent="0.25">
      <c r="A4483" s="8"/>
    </row>
    <row r="4484" spans="1:1" ht="13.8" x14ac:dyDescent="0.25">
      <c r="A4484" s="8"/>
    </row>
    <row r="4485" spans="1:1" ht="13.8" x14ac:dyDescent="0.25">
      <c r="A4485" s="8"/>
    </row>
    <row r="4486" spans="1:1" ht="13.8" x14ac:dyDescent="0.25">
      <c r="A4486" s="8"/>
    </row>
    <row r="4487" spans="1:1" ht="13.8" x14ac:dyDescent="0.25">
      <c r="A4487" s="8"/>
    </row>
    <row r="4488" spans="1:1" ht="13.8" x14ac:dyDescent="0.25">
      <c r="A4488" s="8"/>
    </row>
    <row r="4489" spans="1:1" ht="13.8" x14ac:dyDescent="0.25">
      <c r="A4489" s="8"/>
    </row>
    <row r="4490" spans="1:1" ht="13.8" x14ac:dyDescent="0.25">
      <c r="A4490" s="8"/>
    </row>
    <row r="4491" spans="1:1" ht="13.8" x14ac:dyDescent="0.25">
      <c r="A4491" s="8"/>
    </row>
    <row r="4492" spans="1:1" ht="13.8" x14ac:dyDescent="0.25">
      <c r="A4492" s="8"/>
    </row>
    <row r="4493" spans="1:1" ht="13.8" x14ac:dyDescent="0.25">
      <c r="A4493" s="8"/>
    </row>
    <row r="4494" spans="1:1" ht="13.8" x14ac:dyDescent="0.25">
      <c r="A4494" s="8"/>
    </row>
    <row r="4495" spans="1:1" ht="13.8" x14ac:dyDescent="0.25">
      <c r="A4495" s="8"/>
    </row>
    <row r="4496" spans="1:1" ht="13.8" x14ac:dyDescent="0.25">
      <c r="A4496" s="8"/>
    </row>
    <row r="4497" spans="1:1" ht="13.8" x14ac:dyDescent="0.25">
      <c r="A4497" s="8"/>
    </row>
    <row r="4498" spans="1:1" ht="13.8" x14ac:dyDescent="0.25">
      <c r="A4498" s="8"/>
    </row>
    <row r="4499" spans="1:1" ht="13.8" x14ac:dyDescent="0.25">
      <c r="A4499" s="8"/>
    </row>
    <row r="4500" spans="1:1" ht="13.8" x14ac:dyDescent="0.25">
      <c r="A4500" s="8"/>
    </row>
    <row r="4501" spans="1:1" ht="13.8" x14ac:dyDescent="0.25">
      <c r="A4501" s="8"/>
    </row>
    <row r="4502" spans="1:1" ht="13.8" x14ac:dyDescent="0.25">
      <c r="A4502" s="8"/>
    </row>
    <row r="4503" spans="1:1" ht="13.8" x14ac:dyDescent="0.25">
      <c r="A4503" s="8"/>
    </row>
    <row r="4504" spans="1:1" ht="13.8" x14ac:dyDescent="0.25">
      <c r="A4504" s="8"/>
    </row>
    <row r="4505" spans="1:1" ht="13.8" x14ac:dyDescent="0.25">
      <c r="A4505" s="8"/>
    </row>
    <row r="4506" spans="1:1" ht="13.8" x14ac:dyDescent="0.25">
      <c r="A4506" s="8"/>
    </row>
    <row r="4507" spans="1:1" ht="13.8" x14ac:dyDescent="0.25">
      <c r="A4507" s="8"/>
    </row>
    <row r="4508" spans="1:1" ht="13.8" x14ac:dyDescent="0.25">
      <c r="A4508" s="8"/>
    </row>
    <row r="4509" spans="1:1" ht="13.8" x14ac:dyDescent="0.25">
      <c r="A4509" s="8"/>
    </row>
    <row r="4510" spans="1:1" ht="13.8" x14ac:dyDescent="0.25">
      <c r="A4510" s="8"/>
    </row>
    <row r="4511" spans="1:1" ht="13.8" x14ac:dyDescent="0.25">
      <c r="A4511" s="8"/>
    </row>
    <row r="4512" spans="1:1" ht="13.8" x14ac:dyDescent="0.25">
      <c r="A4512" s="8"/>
    </row>
    <row r="4513" spans="1:1" ht="13.8" x14ac:dyDescent="0.25">
      <c r="A4513" s="8"/>
    </row>
    <row r="4514" spans="1:1" ht="13.8" x14ac:dyDescent="0.25">
      <c r="A4514" s="8"/>
    </row>
    <row r="4515" spans="1:1" ht="13.8" x14ac:dyDescent="0.25">
      <c r="A4515" s="8"/>
    </row>
    <row r="4516" spans="1:1" ht="13.8" x14ac:dyDescent="0.25">
      <c r="A4516" s="8"/>
    </row>
    <row r="4517" spans="1:1" ht="13.8" x14ac:dyDescent="0.25">
      <c r="A4517" s="8"/>
    </row>
    <row r="4518" spans="1:1" ht="13.8" x14ac:dyDescent="0.25">
      <c r="A4518" s="8"/>
    </row>
    <row r="4519" spans="1:1" ht="13.8" x14ac:dyDescent="0.25">
      <c r="A4519" s="8"/>
    </row>
    <row r="4520" spans="1:1" ht="13.8" x14ac:dyDescent="0.25">
      <c r="A4520" s="8"/>
    </row>
    <row r="4521" spans="1:1" ht="13.8" x14ac:dyDescent="0.25">
      <c r="A4521" s="8"/>
    </row>
    <row r="4522" spans="1:1" ht="13.8" x14ac:dyDescent="0.25">
      <c r="A4522" s="8"/>
    </row>
    <row r="4523" spans="1:1" ht="13.8" x14ac:dyDescent="0.25">
      <c r="A4523" s="8"/>
    </row>
    <row r="4524" spans="1:1" ht="13.8" x14ac:dyDescent="0.25">
      <c r="A4524" s="8"/>
    </row>
    <row r="4525" spans="1:1" ht="13.8" x14ac:dyDescent="0.25">
      <c r="A4525" s="8"/>
    </row>
    <row r="4526" spans="1:1" ht="13.8" x14ac:dyDescent="0.25">
      <c r="A4526" s="8"/>
    </row>
    <row r="4527" spans="1:1" ht="13.8" x14ac:dyDescent="0.25">
      <c r="A4527" s="8"/>
    </row>
    <row r="4528" spans="1:1" ht="13.8" x14ac:dyDescent="0.25">
      <c r="A4528" s="8"/>
    </row>
    <row r="4529" spans="1:1" ht="13.8" x14ac:dyDescent="0.25">
      <c r="A4529" s="8"/>
    </row>
    <row r="4530" spans="1:1" ht="13.8" x14ac:dyDescent="0.25">
      <c r="A4530" s="8"/>
    </row>
    <row r="4531" spans="1:1" ht="13.8" x14ac:dyDescent="0.25">
      <c r="A4531" s="8"/>
    </row>
    <row r="4532" spans="1:1" ht="13.8" x14ac:dyDescent="0.25">
      <c r="A4532" s="8"/>
    </row>
    <row r="4533" spans="1:1" ht="13.8" x14ac:dyDescent="0.25">
      <c r="A4533" s="8"/>
    </row>
    <row r="4534" spans="1:1" ht="13.8" x14ac:dyDescent="0.25">
      <c r="A4534" s="8"/>
    </row>
    <row r="4535" spans="1:1" ht="13.8" x14ac:dyDescent="0.25">
      <c r="A4535" s="8"/>
    </row>
    <row r="4536" spans="1:1" ht="13.8" x14ac:dyDescent="0.25">
      <c r="A4536" s="8"/>
    </row>
    <row r="4537" spans="1:1" ht="13.8" x14ac:dyDescent="0.25">
      <c r="A4537" s="8"/>
    </row>
    <row r="4538" spans="1:1" ht="13.8" x14ac:dyDescent="0.25">
      <c r="A4538" s="8"/>
    </row>
    <row r="4539" spans="1:1" ht="13.8" x14ac:dyDescent="0.25">
      <c r="A4539" s="8"/>
    </row>
    <row r="4540" spans="1:1" ht="13.8" x14ac:dyDescent="0.25">
      <c r="A4540" s="8"/>
    </row>
    <row r="4541" spans="1:1" ht="13.8" x14ac:dyDescent="0.25">
      <c r="A4541" s="8"/>
    </row>
    <row r="4542" spans="1:1" ht="13.8" x14ac:dyDescent="0.25">
      <c r="A4542" s="8"/>
    </row>
    <row r="4543" spans="1:1" ht="13.8" x14ac:dyDescent="0.25">
      <c r="A4543" s="8"/>
    </row>
    <row r="4544" spans="1:1" ht="13.8" x14ac:dyDescent="0.25">
      <c r="A4544" s="8"/>
    </row>
    <row r="4545" spans="1:1" ht="13.8" x14ac:dyDescent="0.25">
      <c r="A4545" s="8"/>
    </row>
    <row r="4546" spans="1:1" ht="13.8" x14ac:dyDescent="0.25">
      <c r="A4546" s="8"/>
    </row>
    <row r="4547" spans="1:1" ht="13.8" x14ac:dyDescent="0.25">
      <c r="A4547" s="8"/>
    </row>
    <row r="4548" spans="1:1" ht="13.8" x14ac:dyDescent="0.25">
      <c r="A4548" s="8"/>
    </row>
    <row r="4549" spans="1:1" ht="13.8" x14ac:dyDescent="0.25">
      <c r="A4549" s="8"/>
    </row>
    <row r="4550" spans="1:1" ht="13.8" x14ac:dyDescent="0.25">
      <c r="A4550" s="8"/>
    </row>
    <row r="4551" spans="1:1" ht="13.8" x14ac:dyDescent="0.25">
      <c r="A4551" s="8"/>
    </row>
    <row r="4552" spans="1:1" ht="13.8" x14ac:dyDescent="0.25">
      <c r="A4552" s="8"/>
    </row>
    <row r="4553" spans="1:1" ht="13.8" x14ac:dyDescent="0.25">
      <c r="A4553" s="8"/>
    </row>
    <row r="4554" spans="1:1" ht="13.8" x14ac:dyDescent="0.25">
      <c r="A4554" s="8"/>
    </row>
    <row r="4555" spans="1:1" ht="13.8" x14ac:dyDescent="0.25">
      <c r="A4555" s="8"/>
    </row>
    <row r="4556" spans="1:1" ht="13.8" x14ac:dyDescent="0.25">
      <c r="A4556" s="8"/>
    </row>
    <row r="4557" spans="1:1" ht="13.8" x14ac:dyDescent="0.25">
      <c r="A4557" s="8"/>
    </row>
    <row r="4558" spans="1:1" ht="13.8" x14ac:dyDescent="0.25">
      <c r="A4558" s="8"/>
    </row>
    <row r="4559" spans="1:1" ht="13.8" x14ac:dyDescent="0.25">
      <c r="A4559" s="8"/>
    </row>
    <row r="4560" spans="1:1" ht="13.8" x14ac:dyDescent="0.25">
      <c r="A4560" s="8"/>
    </row>
    <row r="4561" spans="1:1" ht="13.8" x14ac:dyDescent="0.25">
      <c r="A4561" s="8"/>
    </row>
    <row r="4562" spans="1:1" ht="13.8" x14ac:dyDescent="0.25">
      <c r="A4562" s="8"/>
    </row>
    <row r="4563" spans="1:1" ht="13.8" x14ac:dyDescent="0.25">
      <c r="A4563" s="8"/>
    </row>
    <row r="4564" spans="1:1" ht="13.8" x14ac:dyDescent="0.25">
      <c r="A4564" s="8"/>
    </row>
    <row r="4565" spans="1:1" ht="13.8" x14ac:dyDescent="0.25">
      <c r="A4565" s="8"/>
    </row>
    <row r="4566" spans="1:1" ht="13.8" x14ac:dyDescent="0.25">
      <c r="A4566" s="8"/>
    </row>
    <row r="4567" spans="1:1" ht="13.8" x14ac:dyDescent="0.25">
      <c r="A4567" s="8"/>
    </row>
    <row r="4568" spans="1:1" ht="13.8" x14ac:dyDescent="0.25">
      <c r="A4568" s="8"/>
    </row>
    <row r="4569" spans="1:1" ht="13.8" x14ac:dyDescent="0.25">
      <c r="A4569" s="8"/>
    </row>
    <row r="4570" spans="1:1" ht="13.8" x14ac:dyDescent="0.25">
      <c r="A4570" s="8"/>
    </row>
    <row r="4571" spans="1:1" ht="13.8" x14ac:dyDescent="0.25">
      <c r="A4571" s="8"/>
    </row>
    <row r="4572" spans="1:1" ht="13.8" x14ac:dyDescent="0.25">
      <c r="A4572" s="8"/>
    </row>
    <row r="4573" spans="1:1" ht="13.8" x14ac:dyDescent="0.25">
      <c r="A4573" s="8"/>
    </row>
    <row r="4574" spans="1:1" ht="13.8" x14ac:dyDescent="0.25">
      <c r="A4574" s="8"/>
    </row>
    <row r="4575" spans="1:1" ht="13.8" x14ac:dyDescent="0.25">
      <c r="A4575" s="8"/>
    </row>
    <row r="4576" spans="1:1" ht="13.8" x14ac:dyDescent="0.25">
      <c r="A4576" s="8"/>
    </row>
    <row r="4577" spans="1:1" ht="13.8" x14ac:dyDescent="0.25">
      <c r="A4577" s="8"/>
    </row>
    <row r="4578" spans="1:1" ht="13.8" x14ac:dyDescent="0.25">
      <c r="A4578" s="8"/>
    </row>
    <row r="4579" spans="1:1" ht="13.8" x14ac:dyDescent="0.25">
      <c r="A4579" s="8"/>
    </row>
    <row r="4580" spans="1:1" ht="13.8" x14ac:dyDescent="0.25">
      <c r="A4580" s="8"/>
    </row>
    <row r="4581" spans="1:1" ht="13.8" x14ac:dyDescent="0.25">
      <c r="A4581" s="8"/>
    </row>
    <row r="4582" spans="1:1" ht="13.8" x14ac:dyDescent="0.25">
      <c r="A4582" s="8"/>
    </row>
    <row r="4583" spans="1:1" ht="13.8" x14ac:dyDescent="0.25">
      <c r="A4583" s="8"/>
    </row>
    <row r="4584" spans="1:1" ht="13.8" x14ac:dyDescent="0.25">
      <c r="A4584" s="8"/>
    </row>
    <row r="4585" spans="1:1" ht="13.8" x14ac:dyDescent="0.25">
      <c r="A4585" s="8"/>
    </row>
    <row r="4586" spans="1:1" ht="13.8" x14ac:dyDescent="0.25">
      <c r="A4586" s="8"/>
    </row>
    <row r="4587" spans="1:1" ht="13.8" x14ac:dyDescent="0.25">
      <c r="A4587" s="8"/>
    </row>
    <row r="4588" spans="1:1" ht="13.8" x14ac:dyDescent="0.25">
      <c r="A4588" s="8"/>
    </row>
    <row r="4589" spans="1:1" ht="13.8" x14ac:dyDescent="0.25">
      <c r="A4589" s="8"/>
    </row>
    <row r="4590" spans="1:1" ht="13.8" x14ac:dyDescent="0.25">
      <c r="A4590" s="8"/>
    </row>
    <row r="4591" spans="1:1" ht="13.8" x14ac:dyDescent="0.25">
      <c r="A4591" s="8"/>
    </row>
    <row r="4592" spans="1:1" ht="13.8" x14ac:dyDescent="0.25">
      <c r="A4592" s="8"/>
    </row>
    <row r="4593" spans="1:1" ht="13.8" x14ac:dyDescent="0.25">
      <c r="A4593" s="8"/>
    </row>
    <row r="4594" spans="1:1" ht="13.8" x14ac:dyDescent="0.25">
      <c r="A4594" s="8"/>
    </row>
    <row r="4595" spans="1:1" ht="13.8" x14ac:dyDescent="0.25">
      <c r="A4595" s="8"/>
    </row>
    <row r="4596" spans="1:1" ht="13.8" x14ac:dyDescent="0.25">
      <c r="A4596" s="8"/>
    </row>
    <row r="4597" spans="1:1" ht="13.8" x14ac:dyDescent="0.25">
      <c r="A4597" s="8"/>
    </row>
    <row r="4598" spans="1:1" ht="13.8" x14ac:dyDescent="0.25">
      <c r="A4598" s="8"/>
    </row>
    <row r="4599" spans="1:1" ht="13.8" x14ac:dyDescent="0.25">
      <c r="A4599" s="8"/>
    </row>
    <row r="4600" spans="1:1" ht="13.8" x14ac:dyDescent="0.25">
      <c r="A4600" s="8"/>
    </row>
    <row r="4601" spans="1:1" ht="13.8" x14ac:dyDescent="0.25">
      <c r="A4601" s="8"/>
    </row>
    <row r="4602" spans="1:1" ht="13.8" x14ac:dyDescent="0.25">
      <c r="A4602" s="8"/>
    </row>
    <row r="4603" spans="1:1" ht="13.8" x14ac:dyDescent="0.25">
      <c r="A4603" s="8"/>
    </row>
    <row r="4604" spans="1:1" ht="13.8" x14ac:dyDescent="0.25">
      <c r="A4604" s="8"/>
    </row>
    <row r="4605" spans="1:1" ht="13.8" x14ac:dyDescent="0.25">
      <c r="A4605" s="8"/>
    </row>
    <row r="4606" spans="1:1" ht="13.8" x14ac:dyDescent="0.25">
      <c r="A4606" s="8"/>
    </row>
    <row r="4607" spans="1:1" ht="13.8" x14ac:dyDescent="0.25">
      <c r="A4607" s="8"/>
    </row>
    <row r="4608" spans="1:1" ht="13.8" x14ac:dyDescent="0.25">
      <c r="A4608" s="8"/>
    </row>
    <row r="4609" spans="1:1" ht="13.8" x14ac:dyDescent="0.25">
      <c r="A4609" s="8"/>
    </row>
    <row r="4610" spans="1:1" ht="13.8" x14ac:dyDescent="0.25">
      <c r="A4610" s="8"/>
    </row>
    <row r="4611" spans="1:1" ht="13.8" x14ac:dyDescent="0.25">
      <c r="A4611" s="8"/>
    </row>
    <row r="4612" spans="1:1" ht="13.8" x14ac:dyDescent="0.25">
      <c r="A4612" s="8"/>
    </row>
    <row r="4613" spans="1:1" ht="13.8" x14ac:dyDescent="0.25">
      <c r="A4613" s="8"/>
    </row>
    <row r="4614" spans="1:1" ht="13.8" x14ac:dyDescent="0.25">
      <c r="A4614" s="8"/>
    </row>
    <row r="4615" spans="1:1" ht="13.8" x14ac:dyDescent="0.25">
      <c r="A4615" s="8"/>
    </row>
    <row r="4616" spans="1:1" ht="13.8" x14ac:dyDescent="0.25">
      <c r="A4616" s="8"/>
    </row>
    <row r="4617" spans="1:1" ht="13.8" x14ac:dyDescent="0.25">
      <c r="A4617" s="8"/>
    </row>
    <row r="4618" spans="1:1" ht="13.8" x14ac:dyDescent="0.25">
      <c r="A4618" s="8"/>
    </row>
    <row r="4619" spans="1:1" ht="13.8" x14ac:dyDescent="0.25">
      <c r="A4619" s="8"/>
    </row>
    <row r="4620" spans="1:1" ht="13.8" x14ac:dyDescent="0.25">
      <c r="A4620" s="8"/>
    </row>
    <row r="4621" spans="1:1" ht="13.8" x14ac:dyDescent="0.25">
      <c r="A4621" s="8"/>
    </row>
    <row r="4622" spans="1:1" ht="13.8" x14ac:dyDescent="0.25">
      <c r="A4622" s="8"/>
    </row>
    <row r="4623" spans="1:1" ht="13.8" x14ac:dyDescent="0.25">
      <c r="A4623" s="8"/>
    </row>
    <row r="4624" spans="1:1" ht="13.8" x14ac:dyDescent="0.25">
      <c r="A4624" s="8"/>
    </row>
    <row r="4625" spans="1:1" ht="13.8" x14ac:dyDescent="0.25">
      <c r="A4625" s="8"/>
    </row>
    <row r="4626" spans="1:1" ht="13.8" x14ac:dyDescent="0.25">
      <c r="A4626" s="8"/>
    </row>
    <row r="4627" spans="1:1" ht="13.8" x14ac:dyDescent="0.25">
      <c r="A4627" s="8"/>
    </row>
    <row r="4628" spans="1:1" ht="13.8" x14ac:dyDescent="0.25">
      <c r="A4628" s="8"/>
    </row>
    <row r="4629" spans="1:1" ht="13.8" x14ac:dyDescent="0.25">
      <c r="A4629" s="8"/>
    </row>
    <row r="4630" spans="1:1" ht="13.8" x14ac:dyDescent="0.25">
      <c r="A4630" s="8"/>
    </row>
    <row r="4631" spans="1:1" ht="13.8" x14ac:dyDescent="0.25">
      <c r="A4631" s="8"/>
    </row>
    <row r="4632" spans="1:1" ht="13.8" x14ac:dyDescent="0.25">
      <c r="A4632" s="8"/>
    </row>
    <row r="4633" spans="1:1" ht="13.8" x14ac:dyDescent="0.25">
      <c r="A4633" s="8"/>
    </row>
    <row r="4634" spans="1:1" ht="13.8" x14ac:dyDescent="0.25">
      <c r="A4634" s="8"/>
    </row>
    <row r="4635" spans="1:1" ht="13.8" x14ac:dyDescent="0.25">
      <c r="A4635" s="8"/>
    </row>
    <row r="4636" spans="1:1" ht="13.8" x14ac:dyDescent="0.25">
      <c r="A4636" s="8"/>
    </row>
    <row r="4637" spans="1:1" ht="13.8" x14ac:dyDescent="0.25">
      <c r="A4637" s="8"/>
    </row>
    <row r="4638" spans="1:1" ht="13.8" x14ac:dyDescent="0.25">
      <c r="A4638" s="8"/>
    </row>
    <row r="4639" spans="1:1" ht="13.8" x14ac:dyDescent="0.25">
      <c r="A4639" s="8"/>
    </row>
    <row r="4640" spans="1:1" ht="13.8" x14ac:dyDescent="0.25">
      <c r="A4640" s="8"/>
    </row>
    <row r="4641" spans="1:1" ht="13.8" x14ac:dyDescent="0.25">
      <c r="A4641" s="8"/>
    </row>
    <row r="4642" spans="1:1" ht="13.8" x14ac:dyDescent="0.25">
      <c r="A4642" s="8"/>
    </row>
    <row r="4643" spans="1:1" ht="13.8" x14ac:dyDescent="0.25">
      <c r="A4643" s="8"/>
    </row>
    <row r="4644" spans="1:1" ht="13.8" x14ac:dyDescent="0.25">
      <c r="A4644" s="8"/>
    </row>
    <row r="4645" spans="1:1" ht="13.8" x14ac:dyDescent="0.25">
      <c r="A4645" s="8"/>
    </row>
    <row r="4646" spans="1:1" ht="13.8" x14ac:dyDescent="0.25">
      <c r="A4646" s="8"/>
    </row>
    <row r="4647" spans="1:1" ht="13.8" x14ac:dyDescent="0.25">
      <c r="A4647" s="8"/>
    </row>
    <row r="4648" spans="1:1" ht="13.8" x14ac:dyDescent="0.25">
      <c r="A4648" s="8"/>
    </row>
    <row r="4649" spans="1:1" ht="13.8" x14ac:dyDescent="0.25">
      <c r="A4649" s="8"/>
    </row>
    <row r="4650" spans="1:1" ht="13.8" x14ac:dyDescent="0.25">
      <c r="A4650" s="8"/>
    </row>
    <row r="4651" spans="1:1" ht="13.8" x14ac:dyDescent="0.25">
      <c r="A4651" s="8"/>
    </row>
    <row r="4652" spans="1:1" ht="13.8" x14ac:dyDescent="0.25">
      <c r="A4652" s="8"/>
    </row>
    <row r="4653" spans="1:1" ht="13.8" x14ac:dyDescent="0.25">
      <c r="A4653" s="8"/>
    </row>
    <row r="4654" spans="1:1" ht="13.8" x14ac:dyDescent="0.25">
      <c r="A4654" s="8"/>
    </row>
    <row r="4655" spans="1:1" ht="13.8" x14ac:dyDescent="0.25">
      <c r="A4655" s="8"/>
    </row>
    <row r="4656" spans="1:1" ht="13.8" x14ac:dyDescent="0.25">
      <c r="A4656" s="8"/>
    </row>
    <row r="4657" spans="1:1" ht="13.8" x14ac:dyDescent="0.25">
      <c r="A4657" s="8"/>
    </row>
    <row r="4658" spans="1:1" ht="13.8" x14ac:dyDescent="0.25">
      <c r="A4658" s="8"/>
    </row>
    <row r="4659" spans="1:1" ht="13.8" x14ac:dyDescent="0.25">
      <c r="A4659" s="8"/>
    </row>
    <row r="4660" spans="1:1" ht="13.8" x14ac:dyDescent="0.25">
      <c r="A4660" s="8"/>
    </row>
    <row r="4661" spans="1:1" ht="13.8" x14ac:dyDescent="0.25">
      <c r="A4661" s="8"/>
    </row>
    <row r="4662" spans="1:1" ht="13.8" x14ac:dyDescent="0.25">
      <c r="A4662" s="8"/>
    </row>
    <row r="4663" spans="1:1" ht="13.8" x14ac:dyDescent="0.25">
      <c r="A4663" s="8"/>
    </row>
    <row r="4664" spans="1:1" ht="13.8" x14ac:dyDescent="0.25">
      <c r="A4664" s="8"/>
    </row>
    <row r="4665" spans="1:1" ht="13.8" x14ac:dyDescent="0.25">
      <c r="A4665" s="8"/>
    </row>
    <row r="4666" spans="1:1" ht="13.8" x14ac:dyDescent="0.25">
      <c r="A4666" s="8"/>
    </row>
    <row r="4667" spans="1:1" ht="13.8" x14ac:dyDescent="0.25">
      <c r="A4667" s="8"/>
    </row>
    <row r="4668" spans="1:1" ht="13.8" x14ac:dyDescent="0.25">
      <c r="A4668" s="8"/>
    </row>
    <row r="4669" spans="1:1" ht="13.8" x14ac:dyDescent="0.25">
      <c r="A4669" s="8"/>
    </row>
    <row r="4670" spans="1:1" ht="13.8" x14ac:dyDescent="0.25">
      <c r="A4670" s="8"/>
    </row>
    <row r="4671" spans="1:1" ht="13.8" x14ac:dyDescent="0.25">
      <c r="A4671" s="8"/>
    </row>
    <row r="4672" spans="1:1" ht="13.8" x14ac:dyDescent="0.25">
      <c r="A4672" s="8"/>
    </row>
    <row r="4673" spans="1:1" ht="13.8" x14ac:dyDescent="0.25">
      <c r="A4673" s="8"/>
    </row>
    <row r="4674" spans="1:1" ht="13.8" x14ac:dyDescent="0.25">
      <c r="A4674" s="8"/>
    </row>
    <row r="4675" spans="1:1" ht="13.8" x14ac:dyDescent="0.25">
      <c r="A4675" s="8"/>
    </row>
    <row r="4676" spans="1:1" ht="13.8" x14ac:dyDescent="0.25">
      <c r="A4676" s="8"/>
    </row>
    <row r="4677" spans="1:1" ht="13.8" x14ac:dyDescent="0.25">
      <c r="A4677" s="8"/>
    </row>
    <row r="4678" spans="1:1" ht="13.8" x14ac:dyDescent="0.25">
      <c r="A4678" s="8"/>
    </row>
    <row r="4679" spans="1:1" ht="13.8" x14ac:dyDescent="0.25">
      <c r="A4679" s="8"/>
    </row>
    <row r="4680" spans="1:1" ht="13.8" x14ac:dyDescent="0.25">
      <c r="A4680" s="8"/>
    </row>
    <row r="4681" spans="1:1" ht="13.8" x14ac:dyDescent="0.25">
      <c r="A4681" s="8"/>
    </row>
    <row r="4682" spans="1:1" ht="13.8" x14ac:dyDescent="0.25">
      <c r="A4682" s="8"/>
    </row>
    <row r="4683" spans="1:1" ht="13.8" x14ac:dyDescent="0.25">
      <c r="A4683" s="8"/>
    </row>
    <row r="4684" spans="1:1" ht="13.8" x14ac:dyDescent="0.25">
      <c r="A4684" s="8"/>
    </row>
    <row r="4685" spans="1:1" ht="13.8" x14ac:dyDescent="0.25">
      <c r="A4685" s="8"/>
    </row>
    <row r="4686" spans="1:1" ht="13.8" x14ac:dyDescent="0.25">
      <c r="A4686" s="8"/>
    </row>
    <row r="4687" spans="1:1" ht="13.8" x14ac:dyDescent="0.25">
      <c r="A4687" s="8"/>
    </row>
    <row r="4688" spans="1:1" ht="13.8" x14ac:dyDescent="0.25">
      <c r="A4688" s="8"/>
    </row>
    <row r="4689" spans="1:1" ht="13.8" x14ac:dyDescent="0.25">
      <c r="A4689" s="8"/>
    </row>
    <row r="4690" spans="1:1" ht="13.8" x14ac:dyDescent="0.25">
      <c r="A4690" s="8"/>
    </row>
    <row r="4691" spans="1:1" ht="13.8" x14ac:dyDescent="0.25">
      <c r="A4691" s="8"/>
    </row>
    <row r="4692" spans="1:1" ht="13.8" x14ac:dyDescent="0.25">
      <c r="A4692" s="8"/>
    </row>
    <row r="4693" spans="1:1" ht="13.8" x14ac:dyDescent="0.25">
      <c r="A4693" s="8"/>
    </row>
    <row r="4694" spans="1:1" ht="13.8" x14ac:dyDescent="0.25">
      <c r="A4694" s="8"/>
    </row>
    <row r="4695" spans="1:1" ht="13.8" x14ac:dyDescent="0.25">
      <c r="A4695" s="8"/>
    </row>
    <row r="4696" spans="1:1" ht="13.8" x14ac:dyDescent="0.25">
      <c r="A4696" s="8"/>
    </row>
    <row r="4697" spans="1:1" ht="13.8" x14ac:dyDescent="0.25">
      <c r="A4697" s="8"/>
    </row>
    <row r="4698" spans="1:1" ht="13.8" x14ac:dyDescent="0.25">
      <c r="A4698" s="8"/>
    </row>
    <row r="4699" spans="1:1" ht="13.8" x14ac:dyDescent="0.25">
      <c r="A4699" s="8"/>
    </row>
    <row r="4700" spans="1:1" ht="13.8" x14ac:dyDescent="0.25">
      <c r="A4700" s="8"/>
    </row>
    <row r="4701" spans="1:1" ht="13.8" x14ac:dyDescent="0.25">
      <c r="A4701" s="8"/>
    </row>
    <row r="4702" spans="1:1" ht="13.8" x14ac:dyDescent="0.25">
      <c r="A4702" s="8"/>
    </row>
    <row r="4703" spans="1:1" ht="13.8" x14ac:dyDescent="0.25">
      <c r="A4703" s="8"/>
    </row>
    <row r="4704" spans="1:1" ht="13.8" x14ac:dyDescent="0.25">
      <c r="A4704" s="8"/>
    </row>
    <row r="4705" spans="1:1" ht="13.8" x14ac:dyDescent="0.25">
      <c r="A4705" s="8"/>
    </row>
    <row r="4706" spans="1:1" ht="13.8" x14ac:dyDescent="0.25">
      <c r="A4706" s="8"/>
    </row>
    <row r="4707" spans="1:1" ht="13.8" x14ac:dyDescent="0.25">
      <c r="A4707" s="8"/>
    </row>
    <row r="4708" spans="1:1" ht="13.8" x14ac:dyDescent="0.25">
      <c r="A4708" s="8"/>
    </row>
    <row r="4709" spans="1:1" ht="13.8" x14ac:dyDescent="0.25">
      <c r="A4709" s="8"/>
    </row>
    <row r="4710" spans="1:1" ht="13.8" x14ac:dyDescent="0.25">
      <c r="A4710" s="8"/>
    </row>
    <row r="4711" spans="1:1" ht="13.8" x14ac:dyDescent="0.25">
      <c r="A4711" s="8"/>
    </row>
    <row r="4712" spans="1:1" ht="13.8" x14ac:dyDescent="0.25">
      <c r="A4712" s="8"/>
    </row>
    <row r="4713" spans="1:1" ht="13.8" x14ac:dyDescent="0.25">
      <c r="A4713" s="8"/>
    </row>
    <row r="4714" spans="1:1" ht="13.8" x14ac:dyDescent="0.25">
      <c r="A4714" s="8"/>
    </row>
    <row r="4715" spans="1:1" ht="13.8" x14ac:dyDescent="0.25">
      <c r="A4715" s="8"/>
    </row>
    <row r="4716" spans="1:1" ht="13.8" x14ac:dyDescent="0.25">
      <c r="A4716" s="8"/>
    </row>
    <row r="4717" spans="1:1" ht="13.8" x14ac:dyDescent="0.25">
      <c r="A4717" s="8"/>
    </row>
    <row r="4718" spans="1:1" ht="13.8" x14ac:dyDescent="0.25">
      <c r="A4718" s="8"/>
    </row>
    <row r="4719" spans="1:1" ht="13.8" x14ac:dyDescent="0.25">
      <c r="A4719" s="8"/>
    </row>
    <row r="4720" spans="1:1" ht="13.8" x14ac:dyDescent="0.25">
      <c r="A4720" s="8"/>
    </row>
    <row r="4721" spans="1:1" ht="13.8" x14ac:dyDescent="0.25">
      <c r="A4721" s="8"/>
    </row>
    <row r="4722" spans="1:1" ht="13.8" x14ac:dyDescent="0.25">
      <c r="A4722" s="8"/>
    </row>
    <row r="4723" spans="1:1" ht="13.8" x14ac:dyDescent="0.25">
      <c r="A4723" s="8"/>
    </row>
    <row r="4724" spans="1:1" ht="13.8" x14ac:dyDescent="0.25">
      <c r="A4724" s="8"/>
    </row>
    <row r="4725" spans="1:1" ht="13.8" x14ac:dyDescent="0.25">
      <c r="A4725" s="8"/>
    </row>
    <row r="4726" spans="1:1" ht="13.8" x14ac:dyDescent="0.25">
      <c r="A4726" s="8"/>
    </row>
    <row r="4727" spans="1:1" ht="13.8" x14ac:dyDescent="0.25">
      <c r="A4727" s="8"/>
    </row>
    <row r="4728" spans="1:1" ht="13.8" x14ac:dyDescent="0.25">
      <c r="A4728" s="8"/>
    </row>
    <row r="4729" spans="1:1" ht="13.8" x14ac:dyDescent="0.25">
      <c r="A4729" s="8"/>
    </row>
    <row r="4730" spans="1:1" ht="13.8" x14ac:dyDescent="0.25">
      <c r="A4730" s="8"/>
    </row>
    <row r="4731" spans="1:1" ht="13.8" x14ac:dyDescent="0.25">
      <c r="A4731" s="8"/>
    </row>
    <row r="4732" spans="1:1" ht="13.8" x14ac:dyDescent="0.25">
      <c r="A4732" s="8"/>
    </row>
    <row r="4733" spans="1:1" ht="13.8" x14ac:dyDescent="0.25">
      <c r="A4733" s="8"/>
    </row>
    <row r="4734" spans="1:1" ht="13.8" x14ac:dyDescent="0.25">
      <c r="A4734" s="8"/>
    </row>
    <row r="4735" spans="1:1" ht="13.8" x14ac:dyDescent="0.25">
      <c r="A4735" s="8"/>
    </row>
    <row r="4736" spans="1:1" ht="13.8" x14ac:dyDescent="0.25">
      <c r="A4736" s="8"/>
    </row>
    <row r="4737" spans="1:1" ht="13.8" x14ac:dyDescent="0.25">
      <c r="A4737" s="8"/>
    </row>
    <row r="4738" spans="1:1" ht="13.8" x14ac:dyDescent="0.25">
      <c r="A4738" s="8"/>
    </row>
    <row r="4739" spans="1:1" ht="13.8" x14ac:dyDescent="0.25">
      <c r="A4739" s="8"/>
    </row>
    <row r="4740" spans="1:1" ht="13.8" x14ac:dyDescent="0.25">
      <c r="A4740" s="8"/>
    </row>
    <row r="4741" spans="1:1" ht="13.8" x14ac:dyDescent="0.25">
      <c r="A4741" s="8"/>
    </row>
    <row r="4742" spans="1:1" ht="13.8" x14ac:dyDescent="0.25">
      <c r="A4742" s="8"/>
    </row>
    <row r="4743" spans="1:1" ht="13.8" x14ac:dyDescent="0.25">
      <c r="A4743" s="8"/>
    </row>
    <row r="4744" spans="1:1" ht="13.8" x14ac:dyDescent="0.25">
      <c r="A4744" s="8"/>
    </row>
    <row r="4745" spans="1:1" ht="13.8" x14ac:dyDescent="0.25">
      <c r="A4745" s="8"/>
    </row>
    <row r="4746" spans="1:1" ht="13.8" x14ac:dyDescent="0.25">
      <c r="A4746" s="8"/>
    </row>
    <row r="4747" spans="1:1" ht="13.8" x14ac:dyDescent="0.25">
      <c r="A4747" s="8"/>
    </row>
    <row r="4748" spans="1:1" ht="13.8" x14ac:dyDescent="0.25">
      <c r="A4748" s="8"/>
    </row>
    <row r="4749" spans="1:1" ht="13.8" x14ac:dyDescent="0.25">
      <c r="A4749" s="8"/>
    </row>
    <row r="4750" spans="1:1" ht="13.8" x14ac:dyDescent="0.25">
      <c r="A4750" s="8"/>
    </row>
    <row r="4751" spans="1:1" ht="13.8" x14ac:dyDescent="0.25">
      <c r="A4751" s="8"/>
    </row>
    <row r="4752" spans="1:1" ht="13.8" x14ac:dyDescent="0.25">
      <c r="A4752" s="8"/>
    </row>
    <row r="4753" spans="1:1" ht="13.8" x14ac:dyDescent="0.25">
      <c r="A4753" s="8"/>
    </row>
    <row r="4754" spans="1:1" ht="13.8" x14ac:dyDescent="0.25">
      <c r="A4754" s="8"/>
    </row>
    <row r="4755" spans="1:1" ht="13.8" x14ac:dyDescent="0.25">
      <c r="A4755" s="8"/>
    </row>
    <row r="4756" spans="1:1" ht="13.8" x14ac:dyDescent="0.25">
      <c r="A4756" s="8"/>
    </row>
    <row r="4757" spans="1:1" ht="13.8" x14ac:dyDescent="0.25">
      <c r="A4757" s="8"/>
    </row>
    <row r="4758" spans="1:1" ht="13.8" x14ac:dyDescent="0.25">
      <c r="A4758" s="8"/>
    </row>
    <row r="4759" spans="1:1" ht="13.8" x14ac:dyDescent="0.25">
      <c r="A4759" s="8"/>
    </row>
    <row r="4760" spans="1:1" ht="13.8" x14ac:dyDescent="0.25">
      <c r="A4760" s="8"/>
    </row>
    <row r="4761" spans="1:1" ht="13.8" x14ac:dyDescent="0.25">
      <c r="A4761" s="8"/>
    </row>
    <row r="4762" spans="1:1" ht="13.8" x14ac:dyDescent="0.25">
      <c r="A4762" s="8"/>
    </row>
    <row r="4763" spans="1:1" ht="13.8" x14ac:dyDescent="0.25">
      <c r="A4763" s="8"/>
    </row>
    <row r="4764" spans="1:1" ht="13.8" x14ac:dyDescent="0.25">
      <c r="A4764" s="8"/>
    </row>
    <row r="4765" spans="1:1" ht="13.8" x14ac:dyDescent="0.25">
      <c r="A4765" s="8"/>
    </row>
    <row r="4766" spans="1:1" ht="13.8" x14ac:dyDescent="0.25">
      <c r="A4766" s="8"/>
    </row>
    <row r="4767" spans="1:1" ht="13.8" x14ac:dyDescent="0.25">
      <c r="A4767" s="8"/>
    </row>
    <row r="4768" spans="1:1" ht="13.8" x14ac:dyDescent="0.25">
      <c r="A4768" s="8"/>
    </row>
    <row r="4769" spans="1:1" ht="13.8" x14ac:dyDescent="0.25">
      <c r="A4769" s="8"/>
    </row>
    <row r="4770" spans="1:1" ht="13.8" x14ac:dyDescent="0.25">
      <c r="A4770" s="8"/>
    </row>
    <row r="4771" spans="1:1" ht="13.8" x14ac:dyDescent="0.25">
      <c r="A4771" s="8"/>
    </row>
    <row r="4772" spans="1:1" ht="13.8" x14ac:dyDescent="0.25">
      <c r="A4772" s="8"/>
    </row>
    <row r="4773" spans="1:1" ht="13.8" x14ac:dyDescent="0.25">
      <c r="A4773" s="8"/>
    </row>
    <row r="4774" spans="1:1" ht="13.8" x14ac:dyDescent="0.25">
      <c r="A4774" s="8"/>
    </row>
    <row r="4775" spans="1:1" ht="13.8" x14ac:dyDescent="0.25">
      <c r="A4775" s="8"/>
    </row>
    <row r="4776" spans="1:1" ht="13.8" x14ac:dyDescent="0.25">
      <c r="A4776" s="8"/>
    </row>
    <row r="4777" spans="1:1" ht="13.8" x14ac:dyDescent="0.25">
      <c r="A4777" s="8"/>
    </row>
    <row r="4778" spans="1:1" ht="13.8" x14ac:dyDescent="0.25">
      <c r="A4778" s="8"/>
    </row>
    <row r="4779" spans="1:1" ht="13.8" x14ac:dyDescent="0.25">
      <c r="A4779" s="8"/>
    </row>
    <row r="4780" spans="1:1" ht="13.8" x14ac:dyDescent="0.25">
      <c r="A4780" s="8"/>
    </row>
    <row r="4781" spans="1:1" ht="13.8" x14ac:dyDescent="0.25">
      <c r="A4781" s="8"/>
    </row>
    <row r="4782" spans="1:1" ht="13.8" x14ac:dyDescent="0.25">
      <c r="A4782" s="8"/>
    </row>
    <row r="4783" spans="1:1" ht="13.8" x14ac:dyDescent="0.25">
      <c r="A4783" s="8"/>
    </row>
    <row r="4784" spans="1:1" ht="13.8" x14ac:dyDescent="0.25">
      <c r="A4784" s="8"/>
    </row>
    <row r="4785" spans="1:1" ht="13.8" x14ac:dyDescent="0.25">
      <c r="A4785" s="8"/>
    </row>
    <row r="4786" spans="1:1" ht="13.8" x14ac:dyDescent="0.25">
      <c r="A4786" s="8"/>
    </row>
    <row r="4787" spans="1:1" ht="13.8" x14ac:dyDescent="0.25">
      <c r="A4787" s="8"/>
    </row>
    <row r="4788" spans="1:1" ht="13.8" x14ac:dyDescent="0.25">
      <c r="A4788" s="8"/>
    </row>
    <row r="4789" spans="1:1" ht="13.8" x14ac:dyDescent="0.25">
      <c r="A4789" s="8"/>
    </row>
    <row r="4790" spans="1:1" ht="13.8" x14ac:dyDescent="0.25">
      <c r="A4790" s="8"/>
    </row>
    <row r="4791" spans="1:1" ht="13.8" x14ac:dyDescent="0.25">
      <c r="A4791" s="8"/>
    </row>
    <row r="4792" spans="1:1" ht="13.8" x14ac:dyDescent="0.25">
      <c r="A4792" s="8"/>
    </row>
    <row r="4793" spans="1:1" ht="13.8" x14ac:dyDescent="0.25">
      <c r="A4793" s="8"/>
    </row>
    <row r="4794" spans="1:1" ht="13.8" x14ac:dyDescent="0.25">
      <c r="A4794" s="8"/>
    </row>
    <row r="4795" spans="1:1" ht="13.8" x14ac:dyDescent="0.25">
      <c r="A4795" s="8"/>
    </row>
    <row r="4796" spans="1:1" ht="13.8" x14ac:dyDescent="0.25">
      <c r="A4796" s="8"/>
    </row>
    <row r="4797" spans="1:1" ht="13.8" x14ac:dyDescent="0.25">
      <c r="A4797" s="8"/>
    </row>
    <row r="4798" spans="1:1" ht="13.8" x14ac:dyDescent="0.25">
      <c r="A4798" s="8"/>
    </row>
    <row r="4799" spans="1:1" ht="13.8" x14ac:dyDescent="0.25">
      <c r="A4799" s="8"/>
    </row>
    <row r="4800" spans="1:1" ht="13.8" x14ac:dyDescent="0.25">
      <c r="A4800" s="8"/>
    </row>
    <row r="4801" spans="1:1" ht="13.8" x14ac:dyDescent="0.25">
      <c r="A4801" s="8"/>
    </row>
    <row r="4802" spans="1:1" ht="13.8" x14ac:dyDescent="0.25">
      <c r="A4802" s="8"/>
    </row>
    <row r="4803" spans="1:1" ht="13.8" x14ac:dyDescent="0.25">
      <c r="A4803" s="8"/>
    </row>
    <row r="4804" spans="1:1" ht="13.8" x14ac:dyDescent="0.25">
      <c r="A4804" s="8"/>
    </row>
    <row r="4805" spans="1:1" ht="13.8" x14ac:dyDescent="0.25">
      <c r="A4805" s="8"/>
    </row>
    <row r="4806" spans="1:1" ht="13.8" x14ac:dyDescent="0.25">
      <c r="A4806" s="8"/>
    </row>
    <row r="4807" spans="1:1" ht="13.8" x14ac:dyDescent="0.25">
      <c r="A4807" s="8"/>
    </row>
    <row r="4808" spans="1:1" ht="13.8" x14ac:dyDescent="0.25">
      <c r="A4808" s="8"/>
    </row>
    <row r="4809" spans="1:1" ht="13.8" x14ac:dyDescent="0.25">
      <c r="A4809" s="8"/>
    </row>
    <row r="4810" spans="1:1" ht="13.8" x14ac:dyDescent="0.25">
      <c r="A4810" s="8"/>
    </row>
    <row r="4811" spans="1:1" ht="13.8" x14ac:dyDescent="0.25">
      <c r="A4811" s="8"/>
    </row>
    <row r="4812" spans="1:1" ht="13.8" x14ac:dyDescent="0.25">
      <c r="A4812" s="8"/>
    </row>
    <row r="4813" spans="1:1" ht="13.8" x14ac:dyDescent="0.25">
      <c r="A4813" s="8"/>
    </row>
    <row r="4814" spans="1:1" ht="13.8" x14ac:dyDescent="0.25">
      <c r="A4814" s="8"/>
    </row>
    <row r="4815" spans="1:1" ht="13.8" x14ac:dyDescent="0.25">
      <c r="A4815" s="8"/>
    </row>
    <row r="4816" spans="1:1" ht="13.8" x14ac:dyDescent="0.25">
      <c r="A4816" s="8"/>
    </row>
    <row r="4817" spans="1:1" ht="13.8" x14ac:dyDescent="0.25">
      <c r="A4817" s="8"/>
    </row>
    <row r="4818" spans="1:1" ht="13.8" x14ac:dyDescent="0.25">
      <c r="A4818" s="8"/>
    </row>
    <row r="4819" spans="1:1" ht="13.8" x14ac:dyDescent="0.25">
      <c r="A4819" s="8"/>
    </row>
    <row r="4820" spans="1:1" ht="13.8" x14ac:dyDescent="0.25">
      <c r="A4820" s="8"/>
    </row>
    <row r="4821" spans="1:1" ht="13.8" x14ac:dyDescent="0.25">
      <c r="A4821" s="8"/>
    </row>
    <row r="4822" spans="1:1" ht="13.8" x14ac:dyDescent="0.25">
      <c r="A4822" s="8"/>
    </row>
    <row r="4823" spans="1:1" ht="13.8" x14ac:dyDescent="0.25">
      <c r="A4823" s="8"/>
    </row>
    <row r="4824" spans="1:1" ht="13.8" x14ac:dyDescent="0.25">
      <c r="A4824" s="8"/>
    </row>
    <row r="4825" spans="1:1" ht="13.8" x14ac:dyDescent="0.25">
      <c r="A4825" s="8"/>
    </row>
    <row r="4826" spans="1:1" ht="13.8" x14ac:dyDescent="0.25">
      <c r="A4826" s="8"/>
    </row>
    <row r="4827" spans="1:1" ht="13.8" x14ac:dyDescent="0.25">
      <c r="A4827" s="8"/>
    </row>
    <row r="4828" spans="1:1" ht="13.8" x14ac:dyDescent="0.25">
      <c r="A4828" s="8"/>
    </row>
    <row r="4829" spans="1:1" ht="13.8" x14ac:dyDescent="0.25">
      <c r="A4829" s="8"/>
    </row>
    <row r="4830" spans="1:1" ht="13.8" x14ac:dyDescent="0.25">
      <c r="A4830" s="8"/>
    </row>
    <row r="4831" spans="1:1" ht="13.8" x14ac:dyDescent="0.25">
      <c r="A4831" s="8"/>
    </row>
    <row r="4832" spans="1:1" ht="13.8" x14ac:dyDescent="0.25">
      <c r="A4832" s="8"/>
    </row>
    <row r="4833" spans="1:1" ht="13.8" x14ac:dyDescent="0.25">
      <c r="A4833" s="8"/>
    </row>
    <row r="4834" spans="1:1" ht="13.8" x14ac:dyDescent="0.25">
      <c r="A4834" s="8"/>
    </row>
    <row r="4835" spans="1:1" ht="13.8" x14ac:dyDescent="0.25">
      <c r="A4835" s="8"/>
    </row>
    <row r="4836" spans="1:1" ht="13.8" x14ac:dyDescent="0.25">
      <c r="A4836" s="8"/>
    </row>
    <row r="4837" spans="1:1" ht="13.8" x14ac:dyDescent="0.25">
      <c r="A4837" s="8"/>
    </row>
    <row r="4838" spans="1:1" ht="13.8" x14ac:dyDescent="0.25">
      <c r="A4838" s="8"/>
    </row>
    <row r="4839" spans="1:1" ht="13.8" x14ac:dyDescent="0.25">
      <c r="A4839" s="8"/>
    </row>
    <row r="4840" spans="1:1" ht="13.8" x14ac:dyDescent="0.25">
      <c r="A4840" s="8"/>
    </row>
    <row r="4841" spans="1:1" ht="13.8" x14ac:dyDescent="0.25">
      <c r="A4841" s="8"/>
    </row>
    <row r="4842" spans="1:1" ht="13.8" x14ac:dyDescent="0.25">
      <c r="A4842" s="8"/>
    </row>
    <row r="4843" spans="1:1" ht="13.8" x14ac:dyDescent="0.25">
      <c r="A4843" s="8"/>
    </row>
    <row r="4844" spans="1:1" ht="13.8" x14ac:dyDescent="0.25">
      <c r="A4844" s="8"/>
    </row>
    <row r="4845" spans="1:1" ht="13.8" x14ac:dyDescent="0.25">
      <c r="A4845" s="8"/>
    </row>
    <row r="4846" spans="1:1" ht="13.8" x14ac:dyDescent="0.25">
      <c r="A4846" s="8"/>
    </row>
    <row r="4847" spans="1:1" ht="13.8" x14ac:dyDescent="0.25">
      <c r="A4847" s="8"/>
    </row>
    <row r="4848" spans="1:1" ht="13.8" x14ac:dyDescent="0.25">
      <c r="A4848" s="8"/>
    </row>
    <row r="4849" spans="1:1" ht="13.8" x14ac:dyDescent="0.25">
      <c r="A4849" s="8"/>
    </row>
    <row r="4850" spans="1:1" ht="13.8" x14ac:dyDescent="0.25">
      <c r="A4850" s="8"/>
    </row>
    <row r="4851" spans="1:1" ht="13.8" x14ac:dyDescent="0.25">
      <c r="A4851" s="8"/>
    </row>
    <row r="4852" spans="1:1" ht="13.8" x14ac:dyDescent="0.25">
      <c r="A4852" s="8"/>
    </row>
    <row r="4853" spans="1:1" ht="13.8" x14ac:dyDescent="0.25">
      <c r="A4853" s="8"/>
    </row>
    <row r="4854" spans="1:1" ht="13.8" x14ac:dyDescent="0.25">
      <c r="A4854" s="8"/>
    </row>
    <row r="4855" spans="1:1" ht="13.8" x14ac:dyDescent="0.25">
      <c r="A4855" s="8"/>
    </row>
    <row r="4856" spans="1:1" ht="13.8" x14ac:dyDescent="0.25">
      <c r="A4856" s="8"/>
    </row>
    <row r="4857" spans="1:1" ht="13.8" x14ac:dyDescent="0.25">
      <c r="A4857" s="8"/>
    </row>
    <row r="4858" spans="1:1" ht="13.8" x14ac:dyDescent="0.25">
      <c r="A4858" s="8"/>
    </row>
    <row r="4859" spans="1:1" ht="13.8" x14ac:dyDescent="0.25">
      <c r="A4859" s="8"/>
    </row>
    <row r="4860" spans="1:1" ht="13.8" x14ac:dyDescent="0.25">
      <c r="A4860" s="8"/>
    </row>
    <row r="4861" spans="1:1" ht="13.8" x14ac:dyDescent="0.25">
      <c r="A4861" s="8"/>
    </row>
    <row r="4862" spans="1:1" ht="13.8" x14ac:dyDescent="0.25">
      <c r="A4862" s="8"/>
    </row>
    <row r="4863" spans="1:1" ht="13.8" x14ac:dyDescent="0.25">
      <c r="A4863" s="8"/>
    </row>
    <row r="4864" spans="1:1" ht="13.8" x14ac:dyDescent="0.25">
      <c r="A4864" s="8"/>
    </row>
    <row r="4865" spans="1:1" ht="13.8" x14ac:dyDescent="0.25">
      <c r="A4865" s="8"/>
    </row>
    <row r="4866" spans="1:1" ht="13.8" x14ac:dyDescent="0.25">
      <c r="A4866" s="8"/>
    </row>
    <row r="4867" spans="1:1" ht="13.8" x14ac:dyDescent="0.25">
      <c r="A4867" s="8"/>
    </row>
    <row r="4868" spans="1:1" ht="13.8" x14ac:dyDescent="0.25">
      <c r="A4868" s="8"/>
    </row>
    <row r="4869" spans="1:1" ht="13.8" x14ac:dyDescent="0.25">
      <c r="A4869" s="8"/>
    </row>
    <row r="4870" spans="1:1" ht="13.8" x14ac:dyDescent="0.25">
      <c r="A4870" s="8"/>
    </row>
    <row r="4871" spans="1:1" ht="13.8" x14ac:dyDescent="0.25">
      <c r="A4871" s="8"/>
    </row>
    <row r="4872" spans="1:1" ht="13.8" x14ac:dyDescent="0.25">
      <c r="A4872" s="8"/>
    </row>
    <row r="4873" spans="1:1" ht="13.8" x14ac:dyDescent="0.25">
      <c r="A4873" s="8"/>
    </row>
    <row r="4874" spans="1:1" ht="13.8" x14ac:dyDescent="0.25">
      <c r="A4874" s="8"/>
    </row>
    <row r="4875" spans="1:1" ht="13.8" x14ac:dyDescent="0.25">
      <c r="A4875" s="8"/>
    </row>
    <row r="4876" spans="1:1" ht="13.8" x14ac:dyDescent="0.25">
      <c r="A4876" s="8"/>
    </row>
    <row r="4877" spans="1:1" ht="13.8" x14ac:dyDescent="0.25">
      <c r="A4877" s="8"/>
    </row>
    <row r="4878" spans="1:1" ht="13.8" x14ac:dyDescent="0.25">
      <c r="A4878" s="8"/>
    </row>
    <row r="4879" spans="1:1" ht="13.8" x14ac:dyDescent="0.25">
      <c r="A4879" s="8"/>
    </row>
    <row r="4880" spans="1:1" ht="13.8" x14ac:dyDescent="0.25">
      <c r="A4880" s="8"/>
    </row>
    <row r="4881" spans="1:1" ht="13.8" x14ac:dyDescent="0.25">
      <c r="A4881" s="8"/>
    </row>
    <row r="4882" spans="1:1" ht="13.8" x14ac:dyDescent="0.25">
      <c r="A4882" s="8"/>
    </row>
    <row r="4883" spans="1:1" ht="13.8" x14ac:dyDescent="0.25">
      <c r="A4883" s="8"/>
    </row>
    <row r="4884" spans="1:1" ht="13.8" x14ac:dyDescent="0.25">
      <c r="A4884" s="8"/>
    </row>
    <row r="4885" spans="1:1" ht="13.8" x14ac:dyDescent="0.25">
      <c r="A4885" s="8"/>
    </row>
    <row r="4886" spans="1:1" ht="13.8" x14ac:dyDescent="0.25">
      <c r="A4886" s="8"/>
    </row>
    <row r="4887" spans="1:1" ht="13.8" x14ac:dyDescent="0.25">
      <c r="A4887" s="8"/>
    </row>
    <row r="4888" spans="1:1" ht="13.8" x14ac:dyDescent="0.25">
      <c r="A4888" s="8"/>
    </row>
    <row r="4889" spans="1:1" ht="13.8" x14ac:dyDescent="0.25">
      <c r="A4889" s="8"/>
    </row>
    <row r="4890" spans="1:1" ht="13.8" x14ac:dyDescent="0.25">
      <c r="A4890" s="8"/>
    </row>
    <row r="4891" spans="1:1" ht="13.8" x14ac:dyDescent="0.25">
      <c r="A4891" s="8"/>
    </row>
    <row r="4892" spans="1:1" ht="13.8" x14ac:dyDescent="0.25">
      <c r="A4892" s="8"/>
    </row>
    <row r="4893" spans="1:1" ht="13.8" x14ac:dyDescent="0.25">
      <c r="A4893" s="8"/>
    </row>
    <row r="4894" spans="1:1" ht="13.8" x14ac:dyDescent="0.25">
      <c r="A4894" s="8"/>
    </row>
    <row r="4895" spans="1:1" ht="13.8" x14ac:dyDescent="0.25">
      <c r="A4895" s="8"/>
    </row>
    <row r="4896" spans="1:1" ht="13.8" x14ac:dyDescent="0.25">
      <c r="A4896" s="8"/>
    </row>
    <row r="4897" spans="1:1" ht="13.8" x14ac:dyDescent="0.25">
      <c r="A4897" s="8"/>
    </row>
    <row r="4898" spans="1:1" ht="13.8" x14ac:dyDescent="0.25">
      <c r="A4898" s="8"/>
    </row>
    <row r="4899" spans="1:1" ht="13.8" x14ac:dyDescent="0.25">
      <c r="A4899" s="8"/>
    </row>
    <row r="4900" spans="1:1" ht="13.8" x14ac:dyDescent="0.25">
      <c r="A4900" s="8"/>
    </row>
    <row r="4901" spans="1:1" ht="13.8" x14ac:dyDescent="0.25">
      <c r="A4901" s="8"/>
    </row>
    <row r="4902" spans="1:1" ht="13.8" x14ac:dyDescent="0.25">
      <c r="A4902" s="8"/>
    </row>
    <row r="4903" spans="1:1" ht="13.8" x14ac:dyDescent="0.25">
      <c r="A4903" s="8"/>
    </row>
    <row r="4904" spans="1:1" ht="13.8" x14ac:dyDescent="0.25">
      <c r="A4904" s="8"/>
    </row>
    <row r="4905" spans="1:1" ht="13.8" x14ac:dyDescent="0.25">
      <c r="A4905" s="8"/>
    </row>
    <row r="4906" spans="1:1" ht="13.8" x14ac:dyDescent="0.25">
      <c r="A4906" s="8"/>
    </row>
    <row r="4907" spans="1:1" ht="13.8" x14ac:dyDescent="0.25">
      <c r="A4907" s="8"/>
    </row>
    <row r="4908" spans="1:1" ht="13.8" x14ac:dyDescent="0.25">
      <c r="A4908" s="8"/>
    </row>
    <row r="4909" spans="1:1" ht="13.8" x14ac:dyDescent="0.25">
      <c r="A4909" s="8"/>
    </row>
    <row r="4910" spans="1:1" ht="13.8" x14ac:dyDescent="0.25">
      <c r="A4910" s="8"/>
    </row>
    <row r="4911" spans="1:1" ht="13.8" x14ac:dyDescent="0.25">
      <c r="A4911" s="8"/>
    </row>
    <row r="4912" spans="1:1" ht="13.8" x14ac:dyDescent="0.25">
      <c r="A4912" s="8"/>
    </row>
    <row r="4913" spans="1:1" ht="13.8" x14ac:dyDescent="0.25">
      <c r="A4913" s="8"/>
    </row>
    <row r="4914" spans="1:1" ht="13.8" x14ac:dyDescent="0.25">
      <c r="A4914" s="8"/>
    </row>
    <row r="4915" spans="1:1" ht="13.8" x14ac:dyDescent="0.25">
      <c r="A4915" s="8"/>
    </row>
    <row r="4916" spans="1:1" ht="13.8" x14ac:dyDescent="0.25">
      <c r="A4916" s="8"/>
    </row>
    <row r="4917" spans="1:1" ht="13.8" x14ac:dyDescent="0.25">
      <c r="A4917" s="8"/>
    </row>
    <row r="4918" spans="1:1" ht="13.8" x14ac:dyDescent="0.25">
      <c r="A4918" s="8"/>
    </row>
    <row r="4919" spans="1:1" ht="13.8" x14ac:dyDescent="0.25">
      <c r="A4919" s="8"/>
    </row>
    <row r="4920" spans="1:1" ht="13.8" x14ac:dyDescent="0.25">
      <c r="A4920" s="8"/>
    </row>
    <row r="4921" spans="1:1" ht="13.8" x14ac:dyDescent="0.25">
      <c r="A4921" s="8"/>
    </row>
    <row r="4922" spans="1:1" ht="13.8" x14ac:dyDescent="0.25">
      <c r="A4922" s="8"/>
    </row>
    <row r="4923" spans="1:1" ht="13.8" x14ac:dyDescent="0.25">
      <c r="A4923" s="8"/>
    </row>
    <row r="4924" spans="1:1" ht="13.8" x14ac:dyDescent="0.25">
      <c r="A4924" s="8"/>
    </row>
    <row r="4925" spans="1:1" ht="13.8" x14ac:dyDescent="0.25">
      <c r="A4925" s="8"/>
    </row>
    <row r="4926" spans="1:1" ht="13.8" x14ac:dyDescent="0.25">
      <c r="A4926" s="8"/>
    </row>
    <row r="4927" spans="1:1" ht="13.8" x14ac:dyDescent="0.25">
      <c r="A4927" s="8"/>
    </row>
    <row r="4928" spans="1:1" ht="13.8" x14ac:dyDescent="0.25">
      <c r="A4928" s="8"/>
    </row>
    <row r="4929" spans="1:1" ht="13.8" x14ac:dyDescent="0.25">
      <c r="A4929" s="8"/>
    </row>
    <row r="4930" spans="1:1" ht="13.8" x14ac:dyDescent="0.25">
      <c r="A4930" s="8"/>
    </row>
    <row r="4931" spans="1:1" ht="13.8" x14ac:dyDescent="0.25">
      <c r="A4931" s="8"/>
    </row>
    <row r="4932" spans="1:1" ht="13.8" x14ac:dyDescent="0.25">
      <c r="A4932" s="8"/>
    </row>
    <row r="4933" spans="1:1" ht="13.8" x14ac:dyDescent="0.25">
      <c r="A4933" s="8"/>
    </row>
    <row r="4934" spans="1:1" ht="13.8" x14ac:dyDescent="0.25">
      <c r="A4934" s="8"/>
    </row>
    <row r="4935" spans="1:1" ht="13.8" x14ac:dyDescent="0.25">
      <c r="A4935" s="8"/>
    </row>
    <row r="4936" spans="1:1" ht="13.8" x14ac:dyDescent="0.25">
      <c r="A4936" s="8"/>
    </row>
    <row r="4937" spans="1:1" ht="13.8" x14ac:dyDescent="0.25">
      <c r="A4937" s="8"/>
    </row>
    <row r="4938" spans="1:1" ht="13.8" x14ac:dyDescent="0.25">
      <c r="A4938" s="8"/>
    </row>
    <row r="4939" spans="1:1" ht="13.8" x14ac:dyDescent="0.25">
      <c r="A4939" s="8"/>
    </row>
    <row r="4940" spans="1:1" ht="13.8" x14ac:dyDescent="0.25">
      <c r="A4940" s="8"/>
    </row>
    <row r="4941" spans="1:1" ht="13.8" x14ac:dyDescent="0.25">
      <c r="A4941" s="8"/>
    </row>
    <row r="4942" spans="1:1" ht="13.8" x14ac:dyDescent="0.25">
      <c r="A4942" s="8"/>
    </row>
    <row r="4943" spans="1:1" ht="13.8" x14ac:dyDescent="0.25">
      <c r="A4943" s="8"/>
    </row>
    <row r="4944" spans="1:1" ht="13.8" x14ac:dyDescent="0.25">
      <c r="A4944" s="8"/>
    </row>
    <row r="4945" spans="1:1" ht="13.8" x14ac:dyDescent="0.25">
      <c r="A4945" s="8"/>
    </row>
    <row r="4946" spans="1:1" ht="13.8" x14ac:dyDescent="0.25">
      <c r="A4946" s="8"/>
    </row>
    <row r="4947" spans="1:1" ht="13.8" x14ac:dyDescent="0.25">
      <c r="A4947" s="8"/>
    </row>
    <row r="4948" spans="1:1" ht="13.8" x14ac:dyDescent="0.25">
      <c r="A4948" s="8"/>
    </row>
    <row r="4949" spans="1:1" ht="13.8" x14ac:dyDescent="0.25">
      <c r="A4949" s="8"/>
    </row>
    <row r="4950" spans="1:1" ht="13.8" x14ac:dyDescent="0.25">
      <c r="A4950" s="8"/>
    </row>
    <row r="4951" spans="1:1" ht="13.8" x14ac:dyDescent="0.25">
      <c r="A4951" s="8"/>
    </row>
    <row r="4952" spans="1:1" ht="13.8" x14ac:dyDescent="0.25">
      <c r="A4952" s="8"/>
    </row>
    <row r="4953" spans="1:1" ht="13.8" x14ac:dyDescent="0.25">
      <c r="A4953" s="8"/>
    </row>
    <row r="4954" spans="1:1" ht="13.8" x14ac:dyDescent="0.25">
      <c r="A4954" s="8"/>
    </row>
    <row r="4955" spans="1:1" ht="13.8" x14ac:dyDescent="0.25">
      <c r="A4955" s="8"/>
    </row>
    <row r="4956" spans="1:1" ht="13.8" x14ac:dyDescent="0.25">
      <c r="A4956" s="8"/>
    </row>
    <row r="4957" spans="1:1" ht="13.8" x14ac:dyDescent="0.25">
      <c r="A4957" s="8"/>
    </row>
    <row r="4958" spans="1:1" ht="13.8" x14ac:dyDescent="0.25">
      <c r="A4958" s="8"/>
    </row>
    <row r="4959" spans="1:1" ht="13.8" x14ac:dyDescent="0.25">
      <c r="A4959" s="8"/>
    </row>
    <row r="4960" spans="1:1" ht="13.8" x14ac:dyDescent="0.25">
      <c r="A4960" s="8"/>
    </row>
    <row r="4961" spans="1:1" ht="13.8" x14ac:dyDescent="0.25">
      <c r="A4961" s="8"/>
    </row>
    <row r="4962" spans="1:1" ht="13.8" x14ac:dyDescent="0.25">
      <c r="A4962" s="8"/>
    </row>
    <row r="4963" spans="1:1" ht="13.8" x14ac:dyDescent="0.25">
      <c r="A4963" s="8"/>
    </row>
    <row r="4964" spans="1:1" ht="13.8" x14ac:dyDescent="0.25">
      <c r="A4964" s="8"/>
    </row>
    <row r="4965" spans="1:1" ht="13.8" x14ac:dyDescent="0.25">
      <c r="A4965" s="8"/>
    </row>
    <row r="4966" spans="1:1" ht="13.8" x14ac:dyDescent="0.25">
      <c r="A4966" s="8"/>
    </row>
    <row r="4967" spans="1:1" ht="13.8" x14ac:dyDescent="0.25">
      <c r="A4967" s="8"/>
    </row>
    <row r="4968" spans="1:1" ht="13.8" x14ac:dyDescent="0.25">
      <c r="A4968" s="8"/>
    </row>
    <row r="4969" spans="1:1" ht="13.8" x14ac:dyDescent="0.25">
      <c r="A4969" s="8"/>
    </row>
    <row r="4970" spans="1:1" ht="13.8" x14ac:dyDescent="0.25">
      <c r="A4970" s="8"/>
    </row>
    <row r="4971" spans="1:1" ht="13.8" x14ac:dyDescent="0.25">
      <c r="A4971" s="8"/>
    </row>
    <row r="4972" spans="1:1" ht="13.8" x14ac:dyDescent="0.25">
      <c r="A4972" s="8"/>
    </row>
    <row r="4973" spans="1:1" ht="13.8" x14ac:dyDescent="0.25">
      <c r="A4973" s="8"/>
    </row>
    <row r="4974" spans="1:1" ht="13.8" x14ac:dyDescent="0.25">
      <c r="A4974" s="8"/>
    </row>
    <row r="4975" spans="1:1" ht="13.8" x14ac:dyDescent="0.25">
      <c r="A4975" s="8"/>
    </row>
    <row r="4976" spans="1:1" ht="13.8" x14ac:dyDescent="0.25">
      <c r="A4976" s="8"/>
    </row>
    <row r="4977" spans="1:1" ht="13.8" x14ac:dyDescent="0.25">
      <c r="A4977" s="8"/>
    </row>
    <row r="4978" spans="1:1" ht="13.8" x14ac:dyDescent="0.25">
      <c r="A4978" s="8"/>
    </row>
    <row r="4979" spans="1:1" ht="13.8" x14ac:dyDescent="0.25">
      <c r="A4979" s="8"/>
    </row>
    <row r="4980" spans="1:1" ht="13.8" x14ac:dyDescent="0.25">
      <c r="A4980" s="8"/>
    </row>
    <row r="4981" spans="1:1" ht="13.8" x14ac:dyDescent="0.25">
      <c r="A4981" s="8"/>
    </row>
    <row r="4982" spans="1:1" ht="13.8" x14ac:dyDescent="0.25">
      <c r="A4982" s="8"/>
    </row>
    <row r="4983" spans="1:1" ht="13.8" x14ac:dyDescent="0.25">
      <c r="A4983" s="8"/>
    </row>
    <row r="4984" spans="1:1" ht="13.8" x14ac:dyDescent="0.25">
      <c r="A4984" s="8"/>
    </row>
    <row r="4985" spans="1:1" ht="13.8" x14ac:dyDescent="0.25">
      <c r="A4985" s="8"/>
    </row>
    <row r="4986" spans="1:1" ht="13.8" x14ac:dyDescent="0.25">
      <c r="A4986" s="8"/>
    </row>
    <row r="4987" spans="1:1" ht="13.8" x14ac:dyDescent="0.25">
      <c r="A4987" s="8"/>
    </row>
    <row r="4988" spans="1:1" ht="13.8" x14ac:dyDescent="0.25">
      <c r="A4988" s="8"/>
    </row>
    <row r="4989" spans="1:1" ht="13.8" x14ac:dyDescent="0.25">
      <c r="A4989" s="8"/>
    </row>
    <row r="4990" spans="1:1" ht="13.8" x14ac:dyDescent="0.25">
      <c r="A4990" s="8"/>
    </row>
    <row r="4991" spans="1:1" ht="13.8" x14ac:dyDescent="0.25">
      <c r="A4991" s="8"/>
    </row>
    <row r="4992" spans="1:1" ht="13.8" x14ac:dyDescent="0.25">
      <c r="A4992" s="8"/>
    </row>
    <row r="4993" spans="1:1" ht="13.8" x14ac:dyDescent="0.25">
      <c r="A4993" s="8"/>
    </row>
    <row r="4994" spans="1:1" ht="13.8" x14ac:dyDescent="0.25">
      <c r="A4994" s="8"/>
    </row>
    <row r="4995" spans="1:1" ht="13.8" x14ac:dyDescent="0.25">
      <c r="A4995" s="8"/>
    </row>
    <row r="4996" spans="1:1" ht="13.8" x14ac:dyDescent="0.25">
      <c r="A4996" s="8"/>
    </row>
    <row r="4997" spans="1:1" ht="13.8" x14ac:dyDescent="0.25">
      <c r="A4997" s="8"/>
    </row>
    <row r="4998" spans="1:1" ht="13.8" x14ac:dyDescent="0.25">
      <c r="A4998" s="8"/>
    </row>
    <row r="4999" spans="1:1" ht="13.8" x14ac:dyDescent="0.25">
      <c r="A4999" s="8"/>
    </row>
    <row r="5000" spans="1:1" ht="13.8" x14ac:dyDescent="0.25">
      <c r="A5000" s="8"/>
    </row>
    <row r="5001" spans="1:1" ht="13.8" x14ac:dyDescent="0.25">
      <c r="A5001" s="8"/>
    </row>
    <row r="5002" spans="1:1" ht="13.8" x14ac:dyDescent="0.25">
      <c r="A5002" s="8"/>
    </row>
    <row r="5003" spans="1:1" ht="13.8" x14ac:dyDescent="0.25">
      <c r="A5003" s="8"/>
    </row>
    <row r="5004" spans="1:1" ht="13.8" x14ac:dyDescent="0.25">
      <c r="A5004" s="8"/>
    </row>
    <row r="5005" spans="1:1" ht="13.8" x14ac:dyDescent="0.25">
      <c r="A5005" s="8"/>
    </row>
    <row r="5006" spans="1:1" ht="13.8" x14ac:dyDescent="0.25">
      <c r="A5006" s="8"/>
    </row>
    <row r="5007" spans="1:1" ht="13.8" x14ac:dyDescent="0.25">
      <c r="A5007" s="8"/>
    </row>
    <row r="5008" spans="1:1" ht="13.8" x14ac:dyDescent="0.25">
      <c r="A5008" s="8"/>
    </row>
    <row r="5009" spans="1:1" ht="13.8" x14ac:dyDescent="0.25">
      <c r="A5009" s="8"/>
    </row>
    <row r="5010" spans="1:1" ht="13.8" x14ac:dyDescent="0.25">
      <c r="A5010" s="8"/>
    </row>
    <row r="5011" spans="1:1" ht="13.8" x14ac:dyDescent="0.25">
      <c r="A5011" s="8"/>
    </row>
    <row r="5012" spans="1:1" ht="13.8" x14ac:dyDescent="0.25">
      <c r="A5012" s="8"/>
    </row>
    <row r="5013" spans="1:1" ht="13.8" x14ac:dyDescent="0.25">
      <c r="A5013" s="8"/>
    </row>
    <row r="5014" spans="1:1" ht="13.8" x14ac:dyDescent="0.25">
      <c r="A5014" s="8"/>
    </row>
    <row r="5015" spans="1:1" ht="13.8" x14ac:dyDescent="0.25">
      <c r="A5015" s="8"/>
    </row>
    <row r="5016" spans="1:1" ht="13.8" x14ac:dyDescent="0.25">
      <c r="A5016" s="8"/>
    </row>
    <row r="5017" spans="1:1" ht="13.8" x14ac:dyDescent="0.25">
      <c r="A5017" s="8"/>
    </row>
    <row r="5018" spans="1:1" ht="13.8" x14ac:dyDescent="0.25">
      <c r="A5018" s="8"/>
    </row>
    <row r="5019" spans="1:1" ht="13.8" x14ac:dyDescent="0.25">
      <c r="A5019" s="8"/>
    </row>
    <row r="5020" spans="1:1" ht="13.8" x14ac:dyDescent="0.25">
      <c r="A5020" s="8"/>
    </row>
    <row r="5021" spans="1:1" ht="13.8" x14ac:dyDescent="0.25">
      <c r="A5021" s="8"/>
    </row>
    <row r="5022" spans="1:1" ht="13.8" x14ac:dyDescent="0.25">
      <c r="A5022" s="8"/>
    </row>
    <row r="5023" spans="1:1" ht="13.8" x14ac:dyDescent="0.25">
      <c r="A5023" s="8"/>
    </row>
    <row r="5024" spans="1:1" ht="13.8" x14ac:dyDescent="0.25">
      <c r="A5024" s="8"/>
    </row>
    <row r="5025" spans="1:1" ht="13.8" x14ac:dyDescent="0.25">
      <c r="A5025" s="8"/>
    </row>
    <row r="5026" spans="1:1" ht="13.8" x14ac:dyDescent="0.25">
      <c r="A5026" s="8"/>
    </row>
    <row r="5027" spans="1:1" ht="13.8" x14ac:dyDescent="0.25">
      <c r="A5027" s="8"/>
    </row>
    <row r="5028" spans="1:1" ht="13.8" x14ac:dyDescent="0.25">
      <c r="A5028" s="8"/>
    </row>
    <row r="5029" spans="1:1" ht="13.8" x14ac:dyDescent="0.25">
      <c r="A5029" s="8"/>
    </row>
    <row r="5030" spans="1:1" ht="13.8" x14ac:dyDescent="0.25">
      <c r="A5030" s="8"/>
    </row>
    <row r="5031" spans="1:1" ht="13.8" x14ac:dyDescent="0.25">
      <c r="A5031" s="8"/>
    </row>
    <row r="5032" spans="1:1" ht="13.8" x14ac:dyDescent="0.25">
      <c r="A5032" s="8"/>
    </row>
    <row r="5033" spans="1:1" ht="13.8" x14ac:dyDescent="0.25">
      <c r="A5033" s="8"/>
    </row>
    <row r="5034" spans="1:1" ht="13.8" x14ac:dyDescent="0.25">
      <c r="A5034" s="8"/>
    </row>
    <row r="5035" spans="1:1" ht="13.8" x14ac:dyDescent="0.25">
      <c r="A5035" s="8"/>
    </row>
    <row r="5036" spans="1:1" ht="13.8" x14ac:dyDescent="0.25">
      <c r="A5036" s="8"/>
    </row>
    <row r="5037" spans="1:1" ht="13.8" x14ac:dyDescent="0.25">
      <c r="A5037" s="8"/>
    </row>
    <row r="5038" spans="1:1" ht="13.8" x14ac:dyDescent="0.25">
      <c r="A5038" s="8"/>
    </row>
    <row r="5039" spans="1:1" ht="13.8" x14ac:dyDescent="0.25">
      <c r="A5039" s="8"/>
    </row>
    <row r="5040" spans="1:1" ht="13.8" x14ac:dyDescent="0.25">
      <c r="A5040" s="8"/>
    </row>
    <row r="5041" spans="1:1" ht="13.8" x14ac:dyDescent="0.25">
      <c r="A5041" s="8"/>
    </row>
    <row r="5042" spans="1:1" ht="13.8" x14ac:dyDescent="0.25">
      <c r="A5042" s="8"/>
    </row>
    <row r="5043" spans="1:1" ht="13.8" x14ac:dyDescent="0.25">
      <c r="A5043" s="8"/>
    </row>
    <row r="5044" spans="1:1" ht="13.8" x14ac:dyDescent="0.25">
      <c r="A5044" s="8"/>
    </row>
    <row r="5045" spans="1:1" ht="13.8" x14ac:dyDescent="0.25">
      <c r="A5045" s="8"/>
    </row>
    <row r="5046" spans="1:1" ht="13.8" x14ac:dyDescent="0.25">
      <c r="A5046" s="8"/>
    </row>
    <row r="5047" spans="1:1" ht="13.8" x14ac:dyDescent="0.25">
      <c r="A5047" s="8"/>
    </row>
    <row r="5048" spans="1:1" ht="13.8" x14ac:dyDescent="0.25">
      <c r="A5048" s="8"/>
    </row>
    <row r="5049" spans="1:1" ht="13.8" x14ac:dyDescent="0.25">
      <c r="A5049" s="8"/>
    </row>
    <row r="5050" spans="1:1" ht="13.8" x14ac:dyDescent="0.25">
      <c r="A5050" s="8"/>
    </row>
    <row r="5051" spans="1:1" ht="13.8" x14ac:dyDescent="0.25">
      <c r="A5051" s="8"/>
    </row>
    <row r="5052" spans="1:1" ht="13.8" x14ac:dyDescent="0.25">
      <c r="A5052" s="8"/>
    </row>
    <row r="5053" spans="1:1" ht="13.8" x14ac:dyDescent="0.25">
      <c r="A5053" s="8"/>
    </row>
    <row r="5054" spans="1:1" ht="13.8" x14ac:dyDescent="0.25">
      <c r="A5054" s="8"/>
    </row>
    <row r="5055" spans="1:1" ht="13.8" x14ac:dyDescent="0.25">
      <c r="A5055" s="8"/>
    </row>
    <row r="5056" spans="1:1" ht="13.8" x14ac:dyDescent="0.25">
      <c r="A5056" s="8"/>
    </row>
    <row r="5057" spans="1:1" ht="13.8" x14ac:dyDescent="0.25">
      <c r="A5057" s="8"/>
    </row>
    <row r="5058" spans="1:1" ht="13.8" x14ac:dyDescent="0.25">
      <c r="A5058" s="8"/>
    </row>
    <row r="5059" spans="1:1" ht="13.8" x14ac:dyDescent="0.25">
      <c r="A5059" s="8"/>
    </row>
    <row r="5060" spans="1:1" ht="13.8" x14ac:dyDescent="0.25">
      <c r="A5060" s="8"/>
    </row>
    <row r="5061" spans="1:1" ht="13.8" x14ac:dyDescent="0.25">
      <c r="A5061" s="8"/>
    </row>
    <row r="5062" spans="1:1" ht="13.8" x14ac:dyDescent="0.25">
      <c r="A5062" s="8"/>
    </row>
    <row r="5063" spans="1:1" ht="13.8" x14ac:dyDescent="0.25">
      <c r="A5063" s="8"/>
    </row>
    <row r="5064" spans="1:1" ht="13.8" x14ac:dyDescent="0.25">
      <c r="A5064" s="8"/>
    </row>
    <row r="5065" spans="1:1" ht="13.8" x14ac:dyDescent="0.25">
      <c r="A5065" s="8"/>
    </row>
    <row r="5066" spans="1:1" ht="13.8" x14ac:dyDescent="0.25">
      <c r="A5066" s="8"/>
    </row>
    <row r="5067" spans="1:1" ht="13.8" x14ac:dyDescent="0.25">
      <c r="A5067" s="8"/>
    </row>
    <row r="5068" spans="1:1" ht="13.8" x14ac:dyDescent="0.25">
      <c r="A5068" s="8"/>
    </row>
    <row r="5069" spans="1:1" ht="13.8" x14ac:dyDescent="0.25">
      <c r="A5069" s="8"/>
    </row>
    <row r="5070" spans="1:1" ht="13.8" x14ac:dyDescent="0.25">
      <c r="A5070" s="8"/>
    </row>
    <row r="5071" spans="1:1" ht="13.8" x14ac:dyDescent="0.25">
      <c r="A5071" s="8"/>
    </row>
    <row r="5072" spans="1:1" ht="13.8" x14ac:dyDescent="0.25">
      <c r="A5072" s="8"/>
    </row>
    <row r="5073" spans="1:1" ht="13.8" x14ac:dyDescent="0.25">
      <c r="A5073" s="8"/>
    </row>
    <row r="5074" spans="1:1" ht="13.8" x14ac:dyDescent="0.25">
      <c r="A5074" s="8"/>
    </row>
    <row r="5075" spans="1:1" ht="13.8" x14ac:dyDescent="0.25">
      <c r="A5075" s="8"/>
    </row>
    <row r="5076" spans="1:1" ht="13.8" x14ac:dyDescent="0.25">
      <c r="A5076" s="8"/>
    </row>
    <row r="5077" spans="1:1" ht="13.8" x14ac:dyDescent="0.25">
      <c r="A5077" s="8"/>
    </row>
    <row r="5078" spans="1:1" ht="13.8" x14ac:dyDescent="0.25">
      <c r="A5078" s="8"/>
    </row>
    <row r="5079" spans="1:1" ht="13.8" x14ac:dyDescent="0.25">
      <c r="A5079" s="8"/>
    </row>
    <row r="5080" spans="1:1" ht="13.8" x14ac:dyDescent="0.25">
      <c r="A5080" s="8"/>
    </row>
    <row r="5081" spans="1:1" ht="13.8" x14ac:dyDescent="0.25">
      <c r="A5081" s="8"/>
    </row>
    <row r="5082" spans="1:1" ht="13.8" x14ac:dyDescent="0.25">
      <c r="A5082" s="8"/>
    </row>
    <row r="5083" spans="1:1" ht="13.8" x14ac:dyDescent="0.25">
      <c r="A5083" s="8"/>
    </row>
    <row r="5084" spans="1:1" ht="13.8" x14ac:dyDescent="0.25">
      <c r="A5084" s="8"/>
    </row>
    <row r="5085" spans="1:1" ht="13.8" x14ac:dyDescent="0.25">
      <c r="A5085" s="8"/>
    </row>
    <row r="5086" spans="1:1" ht="13.8" x14ac:dyDescent="0.25">
      <c r="A5086" s="8"/>
    </row>
    <row r="5087" spans="1:1" ht="13.8" x14ac:dyDescent="0.25">
      <c r="A5087" s="8"/>
    </row>
    <row r="5088" spans="1:1" ht="13.8" x14ac:dyDescent="0.25">
      <c r="A5088" s="8"/>
    </row>
    <row r="5089" spans="1:1" ht="13.8" x14ac:dyDescent="0.25">
      <c r="A5089" s="8"/>
    </row>
    <row r="5090" spans="1:1" ht="13.8" x14ac:dyDescent="0.25">
      <c r="A5090" s="8"/>
    </row>
    <row r="5091" spans="1:1" ht="13.8" x14ac:dyDescent="0.25">
      <c r="A5091" s="8"/>
    </row>
    <row r="5092" spans="1:1" ht="13.8" x14ac:dyDescent="0.25">
      <c r="A5092" s="8"/>
    </row>
    <row r="5093" spans="1:1" ht="13.8" x14ac:dyDescent="0.25">
      <c r="A5093" s="8"/>
    </row>
    <row r="5094" spans="1:1" ht="13.8" x14ac:dyDescent="0.25">
      <c r="A5094" s="8"/>
    </row>
    <row r="5095" spans="1:1" ht="13.8" x14ac:dyDescent="0.25">
      <c r="A5095" s="8"/>
    </row>
    <row r="5096" spans="1:1" ht="13.8" x14ac:dyDescent="0.25">
      <c r="A5096" s="8"/>
    </row>
    <row r="5097" spans="1:1" ht="13.8" x14ac:dyDescent="0.25">
      <c r="A5097" s="8"/>
    </row>
    <row r="5098" spans="1:1" ht="13.8" x14ac:dyDescent="0.25">
      <c r="A5098" s="8"/>
    </row>
    <row r="5099" spans="1:1" ht="13.8" x14ac:dyDescent="0.25">
      <c r="A5099" s="8"/>
    </row>
    <row r="5100" spans="1:1" ht="13.8" x14ac:dyDescent="0.25">
      <c r="A5100" s="8"/>
    </row>
    <row r="5101" spans="1:1" ht="13.8" x14ac:dyDescent="0.25">
      <c r="A5101" s="8"/>
    </row>
    <row r="5102" spans="1:1" ht="13.8" x14ac:dyDescent="0.25">
      <c r="A5102" s="8"/>
    </row>
    <row r="5103" spans="1:1" ht="13.8" x14ac:dyDescent="0.25">
      <c r="A5103" s="8"/>
    </row>
    <row r="5104" spans="1:1" ht="13.8" x14ac:dyDescent="0.25">
      <c r="A5104" s="8"/>
    </row>
    <row r="5105" spans="1:1" ht="13.8" x14ac:dyDescent="0.25">
      <c r="A5105" s="8"/>
    </row>
    <row r="5106" spans="1:1" ht="13.8" x14ac:dyDescent="0.25">
      <c r="A5106" s="8"/>
    </row>
    <row r="5107" spans="1:1" ht="13.8" x14ac:dyDescent="0.25">
      <c r="A5107" s="8"/>
    </row>
    <row r="5108" spans="1:1" ht="13.8" x14ac:dyDescent="0.25">
      <c r="A5108" s="8"/>
    </row>
    <row r="5109" spans="1:1" ht="13.8" x14ac:dyDescent="0.25">
      <c r="A5109" s="8"/>
    </row>
    <row r="5110" spans="1:1" ht="13.8" x14ac:dyDescent="0.25">
      <c r="A5110" s="8"/>
    </row>
    <row r="5111" spans="1:1" ht="13.8" x14ac:dyDescent="0.25">
      <c r="A5111" s="8"/>
    </row>
    <row r="5112" spans="1:1" ht="13.8" x14ac:dyDescent="0.25">
      <c r="A5112" s="8"/>
    </row>
    <row r="5113" spans="1:1" ht="13.8" x14ac:dyDescent="0.25">
      <c r="A5113" s="8"/>
    </row>
    <row r="5114" spans="1:1" ht="13.8" x14ac:dyDescent="0.25">
      <c r="A5114" s="8"/>
    </row>
    <row r="5115" spans="1:1" ht="13.8" x14ac:dyDescent="0.25">
      <c r="A5115" s="8"/>
    </row>
    <row r="5116" spans="1:1" ht="13.8" x14ac:dyDescent="0.25">
      <c r="A5116" s="8"/>
    </row>
    <row r="5117" spans="1:1" ht="13.8" x14ac:dyDescent="0.25">
      <c r="A5117" s="8"/>
    </row>
    <row r="5118" spans="1:1" ht="13.8" x14ac:dyDescent="0.25">
      <c r="A5118" s="8"/>
    </row>
    <row r="5119" spans="1:1" ht="13.8" x14ac:dyDescent="0.25">
      <c r="A5119" s="8"/>
    </row>
    <row r="5120" spans="1:1" ht="13.8" x14ac:dyDescent="0.25">
      <c r="A5120" s="8"/>
    </row>
    <row r="5121" spans="1:1" ht="13.8" x14ac:dyDescent="0.25">
      <c r="A5121" s="8"/>
    </row>
    <row r="5122" spans="1:1" ht="13.8" x14ac:dyDescent="0.25">
      <c r="A5122" s="8"/>
    </row>
    <row r="5123" spans="1:1" ht="13.8" x14ac:dyDescent="0.25">
      <c r="A5123" s="8"/>
    </row>
    <row r="5124" spans="1:1" ht="13.8" x14ac:dyDescent="0.25">
      <c r="A5124" s="8"/>
    </row>
    <row r="5125" spans="1:1" ht="13.8" x14ac:dyDescent="0.25">
      <c r="A5125" s="8"/>
    </row>
    <row r="5126" spans="1:1" ht="13.8" x14ac:dyDescent="0.25">
      <c r="A5126" s="8"/>
    </row>
    <row r="5127" spans="1:1" ht="13.8" x14ac:dyDescent="0.25">
      <c r="A5127" s="8"/>
    </row>
    <row r="5128" spans="1:1" ht="13.8" x14ac:dyDescent="0.25">
      <c r="A5128" s="8"/>
    </row>
    <row r="5129" spans="1:1" ht="13.8" x14ac:dyDescent="0.25">
      <c r="A5129" s="8"/>
    </row>
    <row r="5130" spans="1:1" ht="13.8" x14ac:dyDescent="0.25">
      <c r="A5130" s="8"/>
    </row>
    <row r="5131" spans="1:1" ht="13.8" x14ac:dyDescent="0.25">
      <c r="A5131" s="8"/>
    </row>
    <row r="5132" spans="1:1" ht="13.8" x14ac:dyDescent="0.25">
      <c r="A5132" s="8"/>
    </row>
    <row r="5133" spans="1:1" ht="13.8" x14ac:dyDescent="0.25">
      <c r="A5133" s="8"/>
    </row>
    <row r="5134" spans="1:1" ht="13.8" x14ac:dyDescent="0.25">
      <c r="A5134" s="8"/>
    </row>
    <row r="5135" spans="1:1" ht="13.8" x14ac:dyDescent="0.25">
      <c r="A5135" s="8"/>
    </row>
    <row r="5136" spans="1:1" ht="13.8" x14ac:dyDescent="0.25">
      <c r="A5136" s="8"/>
    </row>
    <row r="5137" spans="1:1" ht="13.8" x14ac:dyDescent="0.25">
      <c r="A5137" s="8"/>
    </row>
    <row r="5138" spans="1:1" ht="13.8" x14ac:dyDescent="0.25">
      <c r="A5138" s="8"/>
    </row>
    <row r="5139" spans="1:1" ht="13.8" x14ac:dyDescent="0.25">
      <c r="A5139" s="8"/>
    </row>
    <row r="5140" spans="1:1" ht="13.8" x14ac:dyDescent="0.25">
      <c r="A5140" s="8"/>
    </row>
    <row r="5141" spans="1:1" ht="13.8" x14ac:dyDescent="0.25">
      <c r="A5141" s="8"/>
    </row>
    <row r="5142" spans="1:1" ht="13.8" x14ac:dyDescent="0.25">
      <c r="A5142" s="8"/>
    </row>
    <row r="5143" spans="1:1" ht="13.8" x14ac:dyDescent="0.25">
      <c r="A5143" s="8"/>
    </row>
    <row r="5144" spans="1:1" ht="13.8" x14ac:dyDescent="0.25">
      <c r="A5144" s="8"/>
    </row>
    <row r="5145" spans="1:1" ht="13.8" x14ac:dyDescent="0.25">
      <c r="A5145" s="8"/>
    </row>
    <row r="5146" spans="1:1" ht="13.8" x14ac:dyDescent="0.25">
      <c r="A5146" s="8"/>
    </row>
    <row r="5147" spans="1:1" ht="13.8" x14ac:dyDescent="0.25">
      <c r="A5147" s="8"/>
    </row>
    <row r="5148" spans="1:1" ht="13.8" x14ac:dyDescent="0.25">
      <c r="A5148" s="8"/>
    </row>
    <row r="5149" spans="1:1" ht="13.8" x14ac:dyDescent="0.25">
      <c r="A5149" s="8"/>
    </row>
    <row r="5150" spans="1:1" ht="13.8" x14ac:dyDescent="0.25">
      <c r="A5150" s="8"/>
    </row>
    <row r="5151" spans="1:1" ht="13.8" x14ac:dyDescent="0.25">
      <c r="A5151" s="8"/>
    </row>
    <row r="5152" spans="1:1" ht="13.8" x14ac:dyDescent="0.25">
      <c r="A5152" s="8"/>
    </row>
    <row r="5153" spans="1:1" ht="13.8" x14ac:dyDescent="0.25">
      <c r="A5153" s="8"/>
    </row>
    <row r="5154" spans="1:1" ht="13.8" x14ac:dyDescent="0.25">
      <c r="A5154" s="8"/>
    </row>
    <row r="5155" spans="1:1" ht="13.8" x14ac:dyDescent="0.25">
      <c r="A5155" s="8"/>
    </row>
    <row r="5156" spans="1:1" ht="13.8" x14ac:dyDescent="0.25">
      <c r="A5156" s="8"/>
    </row>
    <row r="5157" spans="1:1" ht="13.8" x14ac:dyDescent="0.25">
      <c r="A5157" s="8"/>
    </row>
    <row r="5158" spans="1:1" ht="13.8" x14ac:dyDescent="0.25">
      <c r="A5158" s="8"/>
    </row>
    <row r="5159" spans="1:1" ht="13.8" x14ac:dyDescent="0.25">
      <c r="A5159" s="8"/>
    </row>
    <row r="5160" spans="1:1" ht="13.8" x14ac:dyDescent="0.25">
      <c r="A5160" s="8"/>
    </row>
    <row r="5161" spans="1:1" ht="13.8" x14ac:dyDescent="0.25">
      <c r="A5161" s="8"/>
    </row>
    <row r="5162" spans="1:1" ht="13.8" x14ac:dyDescent="0.25">
      <c r="A5162" s="8"/>
    </row>
    <row r="5163" spans="1:1" ht="13.8" x14ac:dyDescent="0.25">
      <c r="A5163" s="8"/>
    </row>
    <row r="5164" spans="1:1" ht="13.8" x14ac:dyDescent="0.25">
      <c r="A5164" s="8"/>
    </row>
    <row r="5165" spans="1:1" ht="13.8" x14ac:dyDescent="0.25">
      <c r="A5165" s="8"/>
    </row>
    <row r="5166" spans="1:1" ht="13.8" x14ac:dyDescent="0.25">
      <c r="A5166" s="8"/>
    </row>
    <row r="5167" spans="1:1" ht="13.8" x14ac:dyDescent="0.25">
      <c r="A5167" s="8"/>
    </row>
    <row r="5168" spans="1:1" ht="13.8" x14ac:dyDescent="0.25">
      <c r="A5168" s="8"/>
    </row>
    <row r="5169" spans="1:1" ht="13.8" x14ac:dyDescent="0.25">
      <c r="A5169" s="8"/>
    </row>
    <row r="5170" spans="1:1" ht="13.8" x14ac:dyDescent="0.25">
      <c r="A5170" s="8"/>
    </row>
    <row r="5171" spans="1:1" ht="13.8" x14ac:dyDescent="0.25">
      <c r="A5171" s="8"/>
    </row>
    <row r="5172" spans="1:1" ht="13.8" x14ac:dyDescent="0.25">
      <c r="A5172" s="8"/>
    </row>
    <row r="5173" spans="1:1" ht="13.8" x14ac:dyDescent="0.25">
      <c r="A5173" s="8"/>
    </row>
    <row r="5174" spans="1:1" ht="13.8" x14ac:dyDescent="0.25">
      <c r="A5174" s="8"/>
    </row>
    <row r="5175" spans="1:1" ht="13.8" x14ac:dyDescent="0.25">
      <c r="A5175" s="8"/>
    </row>
    <row r="5176" spans="1:1" ht="13.8" x14ac:dyDescent="0.25">
      <c r="A5176" s="8"/>
    </row>
    <row r="5177" spans="1:1" ht="13.8" x14ac:dyDescent="0.25">
      <c r="A5177" s="8"/>
    </row>
    <row r="5178" spans="1:1" ht="13.8" x14ac:dyDescent="0.25">
      <c r="A5178" s="8"/>
    </row>
    <row r="5179" spans="1:1" ht="13.8" x14ac:dyDescent="0.25">
      <c r="A5179" s="8"/>
    </row>
    <row r="5180" spans="1:1" ht="13.8" x14ac:dyDescent="0.25">
      <c r="A5180" s="8"/>
    </row>
    <row r="5181" spans="1:1" ht="13.8" x14ac:dyDescent="0.25">
      <c r="A5181" s="8"/>
    </row>
    <row r="5182" spans="1:1" ht="13.8" x14ac:dyDescent="0.25">
      <c r="A5182" s="8"/>
    </row>
    <row r="5183" spans="1:1" ht="13.8" x14ac:dyDescent="0.25">
      <c r="A5183" s="8"/>
    </row>
    <row r="5184" spans="1:1" ht="13.8" x14ac:dyDescent="0.25">
      <c r="A5184" s="8"/>
    </row>
    <row r="5185" spans="1:1" ht="13.8" x14ac:dyDescent="0.25">
      <c r="A5185" s="8"/>
    </row>
    <row r="5186" spans="1:1" ht="13.8" x14ac:dyDescent="0.25">
      <c r="A5186" s="8"/>
    </row>
    <row r="5187" spans="1:1" ht="13.8" x14ac:dyDescent="0.25">
      <c r="A5187" s="8"/>
    </row>
    <row r="5188" spans="1:1" ht="13.8" x14ac:dyDescent="0.25">
      <c r="A5188" s="8"/>
    </row>
    <row r="5189" spans="1:1" ht="13.8" x14ac:dyDescent="0.25">
      <c r="A5189" s="8"/>
    </row>
    <row r="5190" spans="1:1" ht="13.8" x14ac:dyDescent="0.25">
      <c r="A5190" s="8"/>
    </row>
    <row r="5191" spans="1:1" ht="13.8" x14ac:dyDescent="0.25">
      <c r="A5191" s="8"/>
    </row>
    <row r="5192" spans="1:1" ht="13.8" x14ac:dyDescent="0.25">
      <c r="A5192" s="8"/>
    </row>
    <row r="5193" spans="1:1" ht="13.8" x14ac:dyDescent="0.25">
      <c r="A5193" s="8"/>
    </row>
    <row r="5194" spans="1:1" ht="13.8" x14ac:dyDescent="0.25">
      <c r="A5194" s="8"/>
    </row>
    <row r="5195" spans="1:1" ht="13.8" x14ac:dyDescent="0.25">
      <c r="A5195" s="8"/>
    </row>
    <row r="5196" spans="1:1" ht="13.8" x14ac:dyDescent="0.25">
      <c r="A5196" s="8"/>
    </row>
    <row r="5197" spans="1:1" ht="13.8" x14ac:dyDescent="0.25">
      <c r="A5197" s="8"/>
    </row>
    <row r="5198" spans="1:1" ht="13.8" x14ac:dyDescent="0.25">
      <c r="A5198" s="8"/>
    </row>
    <row r="5199" spans="1:1" ht="13.8" x14ac:dyDescent="0.25">
      <c r="A5199" s="8"/>
    </row>
    <row r="5200" spans="1:1" ht="13.8" x14ac:dyDescent="0.25">
      <c r="A5200" s="8"/>
    </row>
    <row r="5201" spans="1:1" ht="13.8" x14ac:dyDescent="0.25">
      <c r="A5201" s="8"/>
    </row>
    <row r="5202" spans="1:1" ht="13.8" x14ac:dyDescent="0.25">
      <c r="A5202" s="8"/>
    </row>
    <row r="5203" spans="1:1" ht="13.8" x14ac:dyDescent="0.25">
      <c r="A5203" s="8"/>
    </row>
    <row r="5204" spans="1:1" ht="13.8" x14ac:dyDescent="0.25">
      <c r="A5204" s="8"/>
    </row>
    <row r="5205" spans="1:1" ht="13.8" x14ac:dyDescent="0.25">
      <c r="A5205" s="8"/>
    </row>
    <row r="5206" spans="1:1" ht="13.8" x14ac:dyDescent="0.25">
      <c r="A5206" s="8"/>
    </row>
    <row r="5207" spans="1:1" ht="13.8" x14ac:dyDescent="0.25">
      <c r="A5207" s="8"/>
    </row>
    <row r="5208" spans="1:1" ht="13.8" x14ac:dyDescent="0.25">
      <c r="A5208" s="8"/>
    </row>
    <row r="5209" spans="1:1" ht="13.8" x14ac:dyDescent="0.25">
      <c r="A5209" s="8"/>
    </row>
    <row r="5210" spans="1:1" ht="13.8" x14ac:dyDescent="0.25">
      <c r="A5210" s="8"/>
    </row>
    <row r="5211" spans="1:1" ht="13.8" x14ac:dyDescent="0.25">
      <c r="A5211" s="8"/>
    </row>
    <row r="5212" spans="1:1" ht="13.8" x14ac:dyDescent="0.25">
      <c r="A5212" s="8"/>
    </row>
    <row r="5213" spans="1:1" ht="13.8" x14ac:dyDescent="0.25">
      <c r="A5213" s="8"/>
    </row>
    <row r="5214" spans="1:1" ht="13.8" x14ac:dyDescent="0.25">
      <c r="A5214" s="8"/>
    </row>
    <row r="5215" spans="1:1" ht="13.8" x14ac:dyDescent="0.25">
      <c r="A5215" s="8"/>
    </row>
    <row r="5216" spans="1:1" ht="13.8" x14ac:dyDescent="0.25">
      <c r="A5216" s="8"/>
    </row>
    <row r="5217" spans="1:1" ht="13.8" x14ac:dyDescent="0.25">
      <c r="A5217" s="8"/>
    </row>
    <row r="5218" spans="1:1" ht="13.8" x14ac:dyDescent="0.25">
      <c r="A5218" s="8"/>
    </row>
    <row r="5219" spans="1:1" ht="13.8" x14ac:dyDescent="0.25">
      <c r="A5219" s="8"/>
    </row>
    <row r="5220" spans="1:1" ht="13.8" x14ac:dyDescent="0.25">
      <c r="A5220" s="8"/>
    </row>
    <row r="5221" spans="1:1" ht="13.8" x14ac:dyDescent="0.25">
      <c r="A5221" s="8"/>
    </row>
    <row r="5222" spans="1:1" ht="13.8" x14ac:dyDescent="0.25">
      <c r="A5222" s="8"/>
    </row>
    <row r="5223" spans="1:1" ht="13.8" x14ac:dyDescent="0.25">
      <c r="A5223" s="8"/>
    </row>
    <row r="5224" spans="1:1" ht="13.8" x14ac:dyDescent="0.25">
      <c r="A5224" s="8"/>
    </row>
    <row r="5225" spans="1:1" ht="13.8" x14ac:dyDescent="0.25">
      <c r="A5225" s="8"/>
    </row>
    <row r="5226" spans="1:1" ht="13.8" x14ac:dyDescent="0.25">
      <c r="A5226" s="8"/>
    </row>
    <row r="5227" spans="1:1" ht="13.8" x14ac:dyDescent="0.25">
      <c r="A5227" s="8"/>
    </row>
    <row r="5228" spans="1:1" ht="13.8" x14ac:dyDescent="0.25">
      <c r="A5228" s="8"/>
    </row>
    <row r="5229" spans="1:1" ht="13.8" x14ac:dyDescent="0.25">
      <c r="A5229" s="8"/>
    </row>
    <row r="5230" spans="1:1" ht="13.8" x14ac:dyDescent="0.25">
      <c r="A5230" s="8"/>
    </row>
    <row r="5231" spans="1:1" ht="13.8" x14ac:dyDescent="0.25">
      <c r="A5231" s="8"/>
    </row>
    <row r="5232" spans="1:1" ht="13.8" x14ac:dyDescent="0.25">
      <c r="A5232" s="8"/>
    </row>
    <row r="5233" spans="1:1" ht="13.8" x14ac:dyDescent="0.25">
      <c r="A5233" s="8"/>
    </row>
    <row r="5234" spans="1:1" ht="13.8" x14ac:dyDescent="0.25">
      <c r="A5234" s="8"/>
    </row>
    <row r="5235" spans="1:1" ht="13.8" x14ac:dyDescent="0.25">
      <c r="A5235" s="8"/>
    </row>
    <row r="5236" spans="1:1" ht="13.8" x14ac:dyDescent="0.25">
      <c r="A5236" s="8"/>
    </row>
    <row r="5237" spans="1:1" ht="13.8" x14ac:dyDescent="0.25">
      <c r="A5237" s="8"/>
    </row>
    <row r="5238" spans="1:1" ht="13.8" x14ac:dyDescent="0.25">
      <c r="A5238" s="8"/>
    </row>
    <row r="5239" spans="1:1" ht="13.8" x14ac:dyDescent="0.25">
      <c r="A5239" s="8"/>
    </row>
    <row r="5240" spans="1:1" ht="13.8" x14ac:dyDescent="0.25">
      <c r="A5240" s="8"/>
    </row>
    <row r="5241" spans="1:1" ht="13.8" x14ac:dyDescent="0.25">
      <c r="A5241" s="8"/>
    </row>
    <row r="5242" spans="1:1" ht="13.8" x14ac:dyDescent="0.25">
      <c r="A5242" s="8"/>
    </row>
    <row r="5243" spans="1:1" ht="13.8" x14ac:dyDescent="0.25">
      <c r="A5243" s="8"/>
    </row>
    <row r="5244" spans="1:1" ht="13.8" x14ac:dyDescent="0.25">
      <c r="A5244" s="8"/>
    </row>
    <row r="5245" spans="1:1" ht="13.8" x14ac:dyDescent="0.25">
      <c r="A5245" s="8"/>
    </row>
    <row r="5246" spans="1:1" ht="13.8" x14ac:dyDescent="0.25">
      <c r="A5246" s="8"/>
    </row>
    <row r="5247" spans="1:1" ht="13.8" x14ac:dyDescent="0.25">
      <c r="A5247" s="8"/>
    </row>
    <row r="5248" spans="1:1" ht="13.8" x14ac:dyDescent="0.25">
      <c r="A5248" s="8"/>
    </row>
    <row r="5249" spans="1:1" ht="13.8" x14ac:dyDescent="0.25">
      <c r="A5249" s="8"/>
    </row>
    <row r="5250" spans="1:1" ht="13.8" x14ac:dyDescent="0.25">
      <c r="A5250" s="8"/>
    </row>
    <row r="5251" spans="1:1" ht="13.8" x14ac:dyDescent="0.25">
      <c r="A5251" s="8"/>
    </row>
    <row r="5252" spans="1:1" ht="13.8" x14ac:dyDescent="0.25">
      <c r="A5252" s="8"/>
    </row>
    <row r="5253" spans="1:1" ht="13.8" x14ac:dyDescent="0.25">
      <c r="A5253" s="8"/>
    </row>
    <row r="5254" spans="1:1" ht="13.8" x14ac:dyDescent="0.25">
      <c r="A5254" s="8"/>
    </row>
    <row r="5255" spans="1:1" ht="13.8" x14ac:dyDescent="0.25">
      <c r="A5255" s="8"/>
    </row>
    <row r="5256" spans="1:1" ht="13.8" x14ac:dyDescent="0.25">
      <c r="A5256" s="8"/>
    </row>
    <row r="5257" spans="1:1" ht="13.8" x14ac:dyDescent="0.25">
      <c r="A5257" s="8"/>
    </row>
    <row r="5258" spans="1:1" ht="13.8" x14ac:dyDescent="0.25">
      <c r="A5258" s="8"/>
    </row>
    <row r="5259" spans="1:1" ht="13.8" x14ac:dyDescent="0.25">
      <c r="A5259" s="8"/>
    </row>
    <row r="5260" spans="1:1" ht="13.8" x14ac:dyDescent="0.25">
      <c r="A5260" s="8"/>
    </row>
    <row r="5261" spans="1:1" ht="13.8" x14ac:dyDescent="0.25">
      <c r="A5261" s="8"/>
    </row>
    <row r="5262" spans="1:1" ht="13.8" x14ac:dyDescent="0.25">
      <c r="A5262" s="8"/>
    </row>
    <row r="5263" spans="1:1" ht="13.8" x14ac:dyDescent="0.25">
      <c r="A5263" s="8"/>
    </row>
    <row r="5264" spans="1:1" ht="13.8" x14ac:dyDescent="0.25">
      <c r="A5264" s="8"/>
    </row>
    <row r="5265" spans="1:1" ht="13.8" x14ac:dyDescent="0.25">
      <c r="A5265" s="8"/>
    </row>
    <row r="5266" spans="1:1" ht="13.8" x14ac:dyDescent="0.25">
      <c r="A5266" s="8"/>
    </row>
    <row r="5267" spans="1:1" ht="13.8" x14ac:dyDescent="0.25">
      <c r="A5267" s="8"/>
    </row>
    <row r="5268" spans="1:1" ht="13.8" x14ac:dyDescent="0.25">
      <c r="A5268" s="8"/>
    </row>
    <row r="5269" spans="1:1" ht="13.8" x14ac:dyDescent="0.25">
      <c r="A5269" s="8"/>
    </row>
    <row r="5270" spans="1:1" ht="13.8" x14ac:dyDescent="0.25">
      <c r="A5270" s="8"/>
    </row>
    <row r="5271" spans="1:1" ht="13.8" x14ac:dyDescent="0.25">
      <c r="A5271" s="8"/>
    </row>
    <row r="5272" spans="1:1" ht="13.8" x14ac:dyDescent="0.25">
      <c r="A5272" s="8"/>
    </row>
    <row r="5273" spans="1:1" ht="13.8" x14ac:dyDescent="0.25">
      <c r="A5273" s="8"/>
    </row>
    <row r="5274" spans="1:1" ht="13.8" x14ac:dyDescent="0.25">
      <c r="A5274" s="8"/>
    </row>
    <row r="5275" spans="1:1" ht="13.8" x14ac:dyDescent="0.25">
      <c r="A5275" s="8"/>
    </row>
    <row r="5276" spans="1:1" ht="13.8" x14ac:dyDescent="0.25">
      <c r="A5276" s="8"/>
    </row>
    <row r="5277" spans="1:1" ht="13.8" x14ac:dyDescent="0.25">
      <c r="A5277" s="8"/>
    </row>
    <row r="5278" spans="1:1" ht="13.8" x14ac:dyDescent="0.25">
      <c r="A5278" s="8"/>
    </row>
    <row r="5279" spans="1:1" ht="13.8" x14ac:dyDescent="0.25">
      <c r="A5279" s="8"/>
    </row>
    <row r="5280" spans="1:1" ht="13.8" x14ac:dyDescent="0.25">
      <c r="A5280" s="8"/>
    </row>
    <row r="5281" spans="1:1" ht="13.8" x14ac:dyDescent="0.25">
      <c r="A5281" s="8"/>
    </row>
    <row r="5282" spans="1:1" ht="13.8" x14ac:dyDescent="0.25">
      <c r="A5282" s="8"/>
    </row>
    <row r="5283" spans="1:1" ht="13.8" x14ac:dyDescent="0.25">
      <c r="A5283" s="8"/>
    </row>
    <row r="5284" spans="1:1" ht="13.8" x14ac:dyDescent="0.25">
      <c r="A5284" s="8"/>
    </row>
    <row r="5285" spans="1:1" ht="13.8" x14ac:dyDescent="0.25">
      <c r="A5285" s="8"/>
    </row>
    <row r="5286" spans="1:1" ht="13.8" x14ac:dyDescent="0.25">
      <c r="A5286" s="8"/>
    </row>
    <row r="5287" spans="1:1" ht="13.8" x14ac:dyDescent="0.25">
      <c r="A5287" s="8"/>
    </row>
    <row r="5288" spans="1:1" ht="13.8" x14ac:dyDescent="0.25">
      <c r="A5288" s="8"/>
    </row>
    <row r="5289" spans="1:1" ht="13.8" x14ac:dyDescent="0.25">
      <c r="A5289" s="8"/>
    </row>
    <row r="5290" spans="1:1" ht="13.8" x14ac:dyDescent="0.25">
      <c r="A5290" s="8"/>
    </row>
    <row r="5291" spans="1:1" ht="13.8" x14ac:dyDescent="0.25">
      <c r="A5291" s="8"/>
    </row>
    <row r="5292" spans="1:1" ht="13.8" x14ac:dyDescent="0.25">
      <c r="A5292" s="8"/>
    </row>
    <row r="5293" spans="1:1" ht="13.8" x14ac:dyDescent="0.25">
      <c r="A5293" s="8"/>
    </row>
    <row r="5294" spans="1:1" ht="13.8" x14ac:dyDescent="0.25">
      <c r="A5294" s="8"/>
    </row>
    <row r="5295" spans="1:1" ht="13.8" x14ac:dyDescent="0.25">
      <c r="A5295" s="8"/>
    </row>
    <row r="5296" spans="1:1" ht="13.8" x14ac:dyDescent="0.25">
      <c r="A5296" s="8"/>
    </row>
    <row r="5297" spans="1:1" ht="13.8" x14ac:dyDescent="0.25">
      <c r="A5297" s="8"/>
    </row>
    <row r="5298" spans="1:1" ht="13.8" x14ac:dyDescent="0.25">
      <c r="A5298" s="8"/>
    </row>
    <row r="5299" spans="1:1" ht="13.8" x14ac:dyDescent="0.25">
      <c r="A5299" s="8"/>
    </row>
    <row r="5300" spans="1:1" ht="13.8" x14ac:dyDescent="0.25">
      <c r="A5300" s="8"/>
    </row>
    <row r="5301" spans="1:1" ht="13.8" x14ac:dyDescent="0.25">
      <c r="A5301" s="8"/>
    </row>
    <row r="5302" spans="1:1" ht="13.8" x14ac:dyDescent="0.25">
      <c r="A5302" s="8"/>
    </row>
    <row r="5303" spans="1:1" ht="13.8" x14ac:dyDescent="0.25">
      <c r="A5303" s="8"/>
    </row>
    <row r="5304" spans="1:1" ht="13.8" x14ac:dyDescent="0.25">
      <c r="A5304" s="8"/>
    </row>
    <row r="5305" spans="1:1" ht="13.8" x14ac:dyDescent="0.25">
      <c r="A5305" s="8"/>
    </row>
    <row r="5306" spans="1:1" ht="13.8" x14ac:dyDescent="0.25">
      <c r="A5306" s="8"/>
    </row>
    <row r="5307" spans="1:1" ht="13.8" x14ac:dyDescent="0.25">
      <c r="A5307" s="8"/>
    </row>
    <row r="5308" spans="1:1" ht="13.8" x14ac:dyDescent="0.25">
      <c r="A5308" s="8"/>
    </row>
    <row r="5309" spans="1:1" ht="13.8" x14ac:dyDescent="0.25">
      <c r="A5309" s="8"/>
    </row>
    <row r="5310" spans="1:1" ht="13.8" x14ac:dyDescent="0.25">
      <c r="A5310" s="8"/>
    </row>
    <row r="5311" spans="1:1" ht="13.8" x14ac:dyDescent="0.25">
      <c r="A5311" s="8"/>
    </row>
    <row r="5312" spans="1:1" ht="13.8" x14ac:dyDescent="0.25">
      <c r="A5312" s="8"/>
    </row>
    <row r="5313" spans="1:1" ht="13.8" x14ac:dyDescent="0.25">
      <c r="A5313" s="8"/>
    </row>
    <row r="5314" spans="1:1" ht="13.8" x14ac:dyDescent="0.25">
      <c r="A5314" s="8"/>
    </row>
    <row r="5315" spans="1:1" ht="13.8" x14ac:dyDescent="0.25">
      <c r="A5315" s="8"/>
    </row>
    <row r="5316" spans="1:1" ht="13.8" x14ac:dyDescent="0.25">
      <c r="A5316" s="8"/>
    </row>
    <row r="5317" spans="1:1" ht="13.8" x14ac:dyDescent="0.25">
      <c r="A5317" s="8"/>
    </row>
    <row r="5318" spans="1:1" ht="13.8" x14ac:dyDescent="0.25">
      <c r="A5318" s="8"/>
    </row>
    <row r="5319" spans="1:1" ht="13.8" x14ac:dyDescent="0.25">
      <c r="A5319" s="8"/>
    </row>
    <row r="5320" spans="1:1" ht="13.8" x14ac:dyDescent="0.25">
      <c r="A5320" s="8"/>
    </row>
    <row r="5321" spans="1:1" ht="13.8" x14ac:dyDescent="0.25">
      <c r="A5321" s="8"/>
    </row>
    <row r="5322" spans="1:1" ht="13.8" x14ac:dyDescent="0.25">
      <c r="A5322" s="8"/>
    </row>
    <row r="5323" spans="1:1" ht="13.8" x14ac:dyDescent="0.25">
      <c r="A5323" s="8"/>
    </row>
    <row r="5324" spans="1:1" ht="13.8" x14ac:dyDescent="0.25">
      <c r="A5324" s="8"/>
    </row>
    <row r="5325" spans="1:1" ht="13.8" x14ac:dyDescent="0.25">
      <c r="A5325" s="8"/>
    </row>
    <row r="5326" spans="1:1" ht="13.8" x14ac:dyDescent="0.25">
      <c r="A5326" s="8"/>
    </row>
    <row r="5327" spans="1:1" ht="13.8" x14ac:dyDescent="0.25">
      <c r="A5327" s="8"/>
    </row>
    <row r="5328" spans="1:1" ht="13.8" x14ac:dyDescent="0.25">
      <c r="A5328" s="8"/>
    </row>
    <row r="5329" spans="1:1" ht="13.8" x14ac:dyDescent="0.25">
      <c r="A5329" s="8"/>
    </row>
    <row r="5330" spans="1:1" ht="13.8" x14ac:dyDescent="0.25">
      <c r="A5330" s="8"/>
    </row>
    <row r="5331" spans="1:1" ht="13.8" x14ac:dyDescent="0.25">
      <c r="A5331" s="8"/>
    </row>
    <row r="5332" spans="1:1" ht="13.8" x14ac:dyDescent="0.25">
      <c r="A5332" s="8"/>
    </row>
    <row r="5333" spans="1:1" ht="13.8" x14ac:dyDescent="0.25">
      <c r="A5333" s="8"/>
    </row>
    <row r="5334" spans="1:1" ht="13.8" x14ac:dyDescent="0.25">
      <c r="A5334" s="8"/>
    </row>
    <row r="5335" spans="1:1" ht="13.8" x14ac:dyDescent="0.25">
      <c r="A5335" s="8"/>
    </row>
    <row r="5336" spans="1:1" ht="13.8" x14ac:dyDescent="0.25">
      <c r="A5336" s="8"/>
    </row>
    <row r="5337" spans="1:1" ht="13.8" x14ac:dyDescent="0.25">
      <c r="A5337" s="8"/>
    </row>
    <row r="5338" spans="1:1" ht="13.8" x14ac:dyDescent="0.25">
      <c r="A5338" s="8"/>
    </row>
    <row r="5339" spans="1:1" ht="13.8" x14ac:dyDescent="0.25">
      <c r="A5339" s="8"/>
    </row>
    <row r="5340" spans="1:1" ht="13.8" x14ac:dyDescent="0.25">
      <c r="A5340" s="8"/>
    </row>
    <row r="5341" spans="1:1" ht="13.8" x14ac:dyDescent="0.25">
      <c r="A5341" s="8"/>
    </row>
    <row r="5342" spans="1:1" ht="13.8" x14ac:dyDescent="0.25">
      <c r="A5342" s="8"/>
    </row>
    <row r="5343" spans="1:1" ht="13.8" x14ac:dyDescent="0.25">
      <c r="A5343" s="8"/>
    </row>
    <row r="5344" spans="1:1" ht="13.8" x14ac:dyDescent="0.25">
      <c r="A5344" s="8"/>
    </row>
    <row r="5345" spans="1:1" ht="13.8" x14ac:dyDescent="0.25">
      <c r="A5345" s="8"/>
    </row>
    <row r="5346" spans="1:1" ht="13.8" x14ac:dyDescent="0.25">
      <c r="A5346" s="8"/>
    </row>
    <row r="5347" spans="1:1" ht="13.8" x14ac:dyDescent="0.25">
      <c r="A5347" s="8"/>
    </row>
    <row r="5348" spans="1:1" ht="13.8" x14ac:dyDescent="0.25">
      <c r="A5348" s="8"/>
    </row>
    <row r="5349" spans="1:1" ht="13.8" x14ac:dyDescent="0.25">
      <c r="A5349" s="8"/>
    </row>
    <row r="5350" spans="1:1" ht="13.8" x14ac:dyDescent="0.25">
      <c r="A5350" s="8"/>
    </row>
    <row r="5351" spans="1:1" ht="13.8" x14ac:dyDescent="0.25">
      <c r="A5351" s="8"/>
    </row>
    <row r="5352" spans="1:1" ht="13.8" x14ac:dyDescent="0.25">
      <c r="A5352" s="8"/>
    </row>
    <row r="5353" spans="1:1" ht="13.8" x14ac:dyDescent="0.25">
      <c r="A5353" s="8"/>
    </row>
    <row r="5354" spans="1:1" ht="13.8" x14ac:dyDescent="0.25">
      <c r="A5354" s="8"/>
    </row>
    <row r="5355" spans="1:1" ht="13.8" x14ac:dyDescent="0.25">
      <c r="A5355" s="8"/>
    </row>
    <row r="5356" spans="1:1" ht="13.8" x14ac:dyDescent="0.25">
      <c r="A5356" s="8"/>
    </row>
    <row r="5357" spans="1:1" ht="13.8" x14ac:dyDescent="0.25">
      <c r="A5357" s="8"/>
    </row>
    <row r="5358" spans="1:1" ht="13.8" x14ac:dyDescent="0.25">
      <c r="A5358" s="8"/>
    </row>
    <row r="5359" spans="1:1" ht="13.8" x14ac:dyDescent="0.25">
      <c r="A5359" s="8"/>
    </row>
    <row r="5360" spans="1:1" ht="13.8" x14ac:dyDescent="0.25">
      <c r="A5360" s="8"/>
    </row>
    <row r="5361" spans="1:1" ht="13.8" x14ac:dyDescent="0.25">
      <c r="A5361" s="8"/>
    </row>
    <row r="5362" spans="1:1" ht="13.8" x14ac:dyDescent="0.25">
      <c r="A5362" s="8"/>
    </row>
    <row r="5363" spans="1:1" ht="13.8" x14ac:dyDescent="0.25">
      <c r="A5363" s="8"/>
    </row>
    <row r="5364" spans="1:1" ht="13.8" x14ac:dyDescent="0.25">
      <c r="A5364" s="8"/>
    </row>
    <row r="5365" spans="1:1" ht="13.8" x14ac:dyDescent="0.25">
      <c r="A5365" s="8"/>
    </row>
    <row r="5366" spans="1:1" ht="13.8" x14ac:dyDescent="0.25">
      <c r="A5366" s="8"/>
    </row>
    <row r="5367" spans="1:1" ht="13.8" x14ac:dyDescent="0.25">
      <c r="A5367" s="8"/>
    </row>
    <row r="5368" spans="1:1" ht="13.8" x14ac:dyDescent="0.25">
      <c r="A5368" s="8"/>
    </row>
    <row r="5369" spans="1:1" ht="13.8" x14ac:dyDescent="0.25">
      <c r="A5369" s="8"/>
    </row>
    <row r="5370" spans="1:1" ht="13.8" x14ac:dyDescent="0.25">
      <c r="A5370" s="8"/>
    </row>
    <row r="5371" spans="1:1" ht="13.8" x14ac:dyDescent="0.25">
      <c r="A5371" s="8"/>
    </row>
    <row r="5372" spans="1:1" ht="13.8" x14ac:dyDescent="0.25">
      <c r="A5372" s="8"/>
    </row>
    <row r="5373" spans="1:1" ht="13.8" x14ac:dyDescent="0.25">
      <c r="A5373" s="8"/>
    </row>
    <row r="5374" spans="1:1" ht="13.8" x14ac:dyDescent="0.25">
      <c r="A5374" s="8"/>
    </row>
    <row r="5375" spans="1:1" ht="13.8" x14ac:dyDescent="0.25">
      <c r="A5375" s="8"/>
    </row>
    <row r="5376" spans="1:1" ht="13.8" x14ac:dyDescent="0.25">
      <c r="A5376" s="8"/>
    </row>
    <row r="5377" spans="1:1" ht="13.8" x14ac:dyDescent="0.25">
      <c r="A5377" s="8"/>
    </row>
    <row r="5378" spans="1:1" ht="13.8" x14ac:dyDescent="0.25">
      <c r="A5378" s="8"/>
    </row>
    <row r="5379" spans="1:1" ht="13.8" x14ac:dyDescent="0.25">
      <c r="A5379" s="8"/>
    </row>
    <row r="5380" spans="1:1" ht="13.8" x14ac:dyDescent="0.25">
      <c r="A5380" s="8"/>
    </row>
    <row r="5381" spans="1:1" ht="13.8" x14ac:dyDescent="0.25">
      <c r="A5381" s="8"/>
    </row>
    <row r="5382" spans="1:1" ht="13.8" x14ac:dyDescent="0.25">
      <c r="A5382" s="8"/>
    </row>
    <row r="5383" spans="1:1" ht="13.8" x14ac:dyDescent="0.25">
      <c r="A5383" s="8"/>
    </row>
    <row r="5384" spans="1:1" ht="13.8" x14ac:dyDescent="0.25">
      <c r="A5384" s="8"/>
    </row>
    <row r="5385" spans="1:1" ht="13.8" x14ac:dyDescent="0.25">
      <c r="A5385" s="8"/>
    </row>
    <row r="5386" spans="1:1" ht="13.8" x14ac:dyDescent="0.25">
      <c r="A5386" s="8"/>
    </row>
    <row r="5387" spans="1:1" ht="13.8" x14ac:dyDescent="0.25">
      <c r="A5387" s="8"/>
    </row>
    <row r="5388" spans="1:1" ht="13.8" x14ac:dyDescent="0.25">
      <c r="A5388" s="8"/>
    </row>
    <row r="5389" spans="1:1" ht="13.8" x14ac:dyDescent="0.25">
      <c r="A5389" s="8"/>
    </row>
    <row r="5390" spans="1:1" ht="13.8" x14ac:dyDescent="0.25">
      <c r="A5390" s="8"/>
    </row>
    <row r="5391" spans="1:1" ht="13.8" x14ac:dyDescent="0.25">
      <c r="A5391" s="8"/>
    </row>
    <row r="5392" spans="1:1" ht="13.8" x14ac:dyDescent="0.25">
      <c r="A5392" s="8"/>
    </row>
    <row r="5393" spans="1:1" ht="13.8" x14ac:dyDescent="0.25">
      <c r="A5393" s="8"/>
    </row>
    <row r="5394" spans="1:1" ht="13.8" x14ac:dyDescent="0.25">
      <c r="A5394" s="8"/>
    </row>
    <row r="5395" spans="1:1" ht="13.8" x14ac:dyDescent="0.25">
      <c r="A5395" s="8"/>
    </row>
    <row r="5396" spans="1:1" ht="13.8" x14ac:dyDescent="0.25">
      <c r="A5396" s="8"/>
    </row>
    <row r="5397" spans="1:1" ht="13.8" x14ac:dyDescent="0.25">
      <c r="A5397" s="8"/>
    </row>
    <row r="5398" spans="1:1" ht="13.8" x14ac:dyDescent="0.25">
      <c r="A5398" s="8"/>
    </row>
    <row r="5399" spans="1:1" ht="13.8" x14ac:dyDescent="0.25">
      <c r="A5399" s="8"/>
    </row>
    <row r="5400" spans="1:1" ht="13.8" x14ac:dyDescent="0.25">
      <c r="A5400" s="8"/>
    </row>
    <row r="5401" spans="1:1" ht="13.8" x14ac:dyDescent="0.25">
      <c r="A5401" s="8"/>
    </row>
    <row r="5402" spans="1:1" ht="13.8" x14ac:dyDescent="0.25">
      <c r="A5402" s="8"/>
    </row>
    <row r="5403" spans="1:1" ht="13.8" x14ac:dyDescent="0.25">
      <c r="A5403" s="8"/>
    </row>
    <row r="5404" spans="1:1" ht="13.8" x14ac:dyDescent="0.25">
      <c r="A5404" s="8"/>
    </row>
    <row r="5405" spans="1:1" ht="13.8" x14ac:dyDescent="0.25">
      <c r="A5405" s="8"/>
    </row>
    <row r="5406" spans="1:1" ht="13.8" x14ac:dyDescent="0.25">
      <c r="A5406" s="8"/>
    </row>
    <row r="5407" spans="1:1" ht="13.8" x14ac:dyDescent="0.25">
      <c r="A5407" s="8"/>
    </row>
    <row r="5408" spans="1:1" ht="13.8" x14ac:dyDescent="0.25">
      <c r="A5408" s="8"/>
    </row>
    <row r="5409" spans="1:1" ht="13.8" x14ac:dyDescent="0.25">
      <c r="A5409" s="8"/>
    </row>
    <row r="5410" spans="1:1" ht="13.8" x14ac:dyDescent="0.25">
      <c r="A5410" s="8"/>
    </row>
    <row r="5411" spans="1:1" ht="13.8" x14ac:dyDescent="0.25">
      <c r="A5411" s="8"/>
    </row>
    <row r="5412" spans="1:1" ht="13.8" x14ac:dyDescent="0.25">
      <c r="A5412" s="8"/>
    </row>
    <row r="5413" spans="1:1" ht="13.8" x14ac:dyDescent="0.25">
      <c r="A5413" s="8"/>
    </row>
    <row r="5414" spans="1:1" ht="13.8" x14ac:dyDescent="0.25">
      <c r="A5414" s="8"/>
    </row>
    <row r="5415" spans="1:1" ht="13.8" x14ac:dyDescent="0.25">
      <c r="A5415" s="8"/>
    </row>
    <row r="5416" spans="1:1" ht="13.8" x14ac:dyDescent="0.25">
      <c r="A5416" s="8"/>
    </row>
    <row r="5417" spans="1:1" ht="13.8" x14ac:dyDescent="0.25">
      <c r="A5417" s="8"/>
    </row>
    <row r="5418" spans="1:1" ht="13.8" x14ac:dyDescent="0.25">
      <c r="A5418" s="8"/>
    </row>
    <row r="5419" spans="1:1" ht="13.8" x14ac:dyDescent="0.25">
      <c r="A5419" s="8"/>
    </row>
    <row r="5420" spans="1:1" ht="13.8" x14ac:dyDescent="0.25">
      <c r="A5420" s="8"/>
    </row>
    <row r="5421" spans="1:1" ht="13.8" x14ac:dyDescent="0.25">
      <c r="A5421" s="8"/>
    </row>
    <row r="5422" spans="1:1" ht="13.8" x14ac:dyDescent="0.25">
      <c r="A5422" s="8"/>
    </row>
    <row r="5423" spans="1:1" ht="13.8" x14ac:dyDescent="0.25">
      <c r="A5423" s="8"/>
    </row>
    <row r="5424" spans="1:1" ht="13.8" x14ac:dyDescent="0.25">
      <c r="A5424" s="8"/>
    </row>
    <row r="5425" spans="1:1" ht="13.8" x14ac:dyDescent="0.25">
      <c r="A5425" s="8"/>
    </row>
    <row r="5426" spans="1:1" ht="13.8" x14ac:dyDescent="0.25">
      <c r="A5426" s="8"/>
    </row>
    <row r="5427" spans="1:1" ht="13.8" x14ac:dyDescent="0.25">
      <c r="A5427" s="8"/>
    </row>
    <row r="5428" spans="1:1" ht="13.8" x14ac:dyDescent="0.25">
      <c r="A5428" s="8"/>
    </row>
    <row r="5429" spans="1:1" ht="13.8" x14ac:dyDescent="0.25">
      <c r="A5429" s="8"/>
    </row>
    <row r="5430" spans="1:1" ht="13.8" x14ac:dyDescent="0.25">
      <c r="A5430" s="8"/>
    </row>
    <row r="5431" spans="1:1" ht="13.8" x14ac:dyDescent="0.25">
      <c r="A5431" s="8"/>
    </row>
    <row r="5432" spans="1:1" ht="13.8" x14ac:dyDescent="0.25">
      <c r="A5432" s="8"/>
    </row>
    <row r="5433" spans="1:1" ht="13.8" x14ac:dyDescent="0.25">
      <c r="A5433" s="8"/>
    </row>
    <row r="5434" spans="1:1" ht="13.8" x14ac:dyDescent="0.25">
      <c r="A5434" s="8"/>
    </row>
    <row r="5435" spans="1:1" ht="13.8" x14ac:dyDescent="0.25">
      <c r="A5435" s="8"/>
    </row>
    <row r="5436" spans="1:1" ht="13.8" x14ac:dyDescent="0.25">
      <c r="A5436" s="8"/>
    </row>
    <row r="5437" spans="1:1" ht="13.8" x14ac:dyDescent="0.25">
      <c r="A5437" s="8"/>
    </row>
    <row r="5438" spans="1:1" ht="13.8" x14ac:dyDescent="0.25">
      <c r="A5438" s="8"/>
    </row>
    <row r="5439" spans="1:1" ht="13.8" x14ac:dyDescent="0.25">
      <c r="A5439" s="8"/>
    </row>
    <row r="5440" spans="1:1" ht="13.8" x14ac:dyDescent="0.25">
      <c r="A5440" s="8"/>
    </row>
    <row r="5441" spans="1:1" ht="13.8" x14ac:dyDescent="0.25">
      <c r="A5441" s="8"/>
    </row>
    <row r="5442" spans="1:1" ht="13.8" x14ac:dyDescent="0.25">
      <c r="A5442" s="8"/>
    </row>
    <row r="5443" spans="1:1" ht="13.8" x14ac:dyDescent="0.25">
      <c r="A5443" s="8"/>
    </row>
    <row r="5444" spans="1:1" ht="13.8" x14ac:dyDescent="0.25">
      <c r="A5444" s="8"/>
    </row>
    <row r="5445" spans="1:1" ht="13.8" x14ac:dyDescent="0.25">
      <c r="A5445" s="8"/>
    </row>
    <row r="5446" spans="1:1" ht="13.8" x14ac:dyDescent="0.25">
      <c r="A5446" s="8"/>
    </row>
    <row r="5447" spans="1:1" ht="13.8" x14ac:dyDescent="0.25">
      <c r="A5447" s="8"/>
    </row>
    <row r="5448" spans="1:1" ht="13.8" x14ac:dyDescent="0.25">
      <c r="A5448" s="8"/>
    </row>
    <row r="5449" spans="1:1" ht="13.8" x14ac:dyDescent="0.25">
      <c r="A5449" s="8"/>
    </row>
    <row r="5450" spans="1:1" ht="13.8" x14ac:dyDescent="0.25">
      <c r="A5450" s="8"/>
    </row>
    <row r="5451" spans="1:1" ht="13.8" x14ac:dyDescent="0.25">
      <c r="A5451" s="8"/>
    </row>
    <row r="5452" spans="1:1" ht="13.8" x14ac:dyDescent="0.25">
      <c r="A5452" s="8"/>
    </row>
    <row r="5453" spans="1:1" ht="13.8" x14ac:dyDescent="0.25">
      <c r="A5453" s="8"/>
    </row>
    <row r="5454" spans="1:1" ht="13.8" x14ac:dyDescent="0.25">
      <c r="A5454" s="8"/>
    </row>
    <row r="5455" spans="1:1" ht="13.8" x14ac:dyDescent="0.25">
      <c r="A5455" s="8"/>
    </row>
    <row r="5456" spans="1:1" ht="13.8" x14ac:dyDescent="0.25">
      <c r="A5456" s="8"/>
    </row>
    <row r="5457" spans="1:1" ht="13.8" x14ac:dyDescent="0.25">
      <c r="A5457" s="8"/>
    </row>
    <row r="5458" spans="1:1" ht="13.8" x14ac:dyDescent="0.25">
      <c r="A5458" s="8"/>
    </row>
    <row r="5459" spans="1:1" ht="13.8" x14ac:dyDescent="0.25">
      <c r="A5459" s="8"/>
    </row>
    <row r="5460" spans="1:1" ht="13.8" x14ac:dyDescent="0.25">
      <c r="A5460" s="8"/>
    </row>
    <row r="5461" spans="1:1" ht="13.8" x14ac:dyDescent="0.25">
      <c r="A5461" s="8"/>
    </row>
    <row r="5462" spans="1:1" ht="13.8" x14ac:dyDescent="0.25">
      <c r="A5462" s="8"/>
    </row>
    <row r="5463" spans="1:1" ht="13.8" x14ac:dyDescent="0.25">
      <c r="A5463" s="8"/>
    </row>
    <row r="5464" spans="1:1" ht="13.8" x14ac:dyDescent="0.25">
      <c r="A5464" s="8"/>
    </row>
    <row r="5465" spans="1:1" ht="13.8" x14ac:dyDescent="0.25">
      <c r="A5465" s="8"/>
    </row>
    <row r="5466" spans="1:1" ht="13.8" x14ac:dyDescent="0.25">
      <c r="A5466" s="8"/>
    </row>
    <row r="5467" spans="1:1" ht="13.8" x14ac:dyDescent="0.25">
      <c r="A5467" s="8"/>
    </row>
    <row r="5468" spans="1:1" ht="13.8" x14ac:dyDescent="0.25">
      <c r="A5468" s="8"/>
    </row>
    <row r="5469" spans="1:1" ht="13.8" x14ac:dyDescent="0.25">
      <c r="A5469" s="8"/>
    </row>
    <row r="5470" spans="1:1" ht="13.8" x14ac:dyDescent="0.25">
      <c r="A5470" s="8"/>
    </row>
    <row r="5471" spans="1:1" ht="13.8" x14ac:dyDescent="0.25">
      <c r="A5471" s="8"/>
    </row>
    <row r="5472" spans="1:1" ht="13.8" x14ac:dyDescent="0.25">
      <c r="A5472" s="8"/>
    </row>
    <row r="5473" spans="1:1" ht="13.8" x14ac:dyDescent="0.25">
      <c r="A5473" s="8"/>
    </row>
    <row r="5474" spans="1:1" ht="13.8" x14ac:dyDescent="0.25">
      <c r="A5474" s="8"/>
    </row>
    <row r="5475" spans="1:1" ht="13.8" x14ac:dyDescent="0.25">
      <c r="A5475" s="8"/>
    </row>
    <row r="5476" spans="1:1" ht="13.8" x14ac:dyDescent="0.25">
      <c r="A5476" s="8"/>
    </row>
    <row r="5477" spans="1:1" ht="13.8" x14ac:dyDescent="0.25">
      <c r="A5477" s="8"/>
    </row>
    <row r="5478" spans="1:1" ht="13.8" x14ac:dyDescent="0.25">
      <c r="A5478" s="8"/>
    </row>
    <row r="5479" spans="1:1" ht="13.8" x14ac:dyDescent="0.25">
      <c r="A5479" s="8"/>
    </row>
    <row r="5480" spans="1:1" ht="13.8" x14ac:dyDescent="0.25">
      <c r="A5480" s="8"/>
    </row>
    <row r="5481" spans="1:1" ht="13.8" x14ac:dyDescent="0.25">
      <c r="A5481" s="8"/>
    </row>
    <row r="5482" spans="1:1" ht="13.8" x14ac:dyDescent="0.25">
      <c r="A5482" s="8"/>
    </row>
    <row r="5483" spans="1:1" ht="13.8" x14ac:dyDescent="0.25">
      <c r="A5483" s="8"/>
    </row>
    <row r="5484" spans="1:1" ht="13.8" x14ac:dyDescent="0.25">
      <c r="A5484" s="8"/>
    </row>
    <row r="5485" spans="1:1" ht="13.8" x14ac:dyDescent="0.25">
      <c r="A5485" s="8"/>
    </row>
    <row r="5486" spans="1:1" ht="13.8" x14ac:dyDescent="0.25">
      <c r="A5486" s="8"/>
    </row>
    <row r="5487" spans="1:1" ht="13.8" x14ac:dyDescent="0.25">
      <c r="A5487" s="8"/>
    </row>
    <row r="5488" spans="1:1" ht="13.8" x14ac:dyDescent="0.25">
      <c r="A5488" s="8"/>
    </row>
    <row r="5489" spans="1:1" ht="13.8" x14ac:dyDescent="0.25">
      <c r="A5489" s="8"/>
    </row>
    <row r="5490" spans="1:1" ht="13.8" x14ac:dyDescent="0.25">
      <c r="A5490" s="8"/>
    </row>
    <row r="5491" spans="1:1" ht="13.8" x14ac:dyDescent="0.25">
      <c r="A5491" s="8"/>
    </row>
    <row r="5492" spans="1:1" ht="13.8" x14ac:dyDescent="0.25">
      <c r="A5492" s="8"/>
    </row>
    <row r="5493" spans="1:1" ht="13.8" x14ac:dyDescent="0.25">
      <c r="A5493" s="8"/>
    </row>
    <row r="5494" spans="1:1" ht="13.8" x14ac:dyDescent="0.25">
      <c r="A5494" s="8"/>
    </row>
    <row r="5495" spans="1:1" ht="13.8" x14ac:dyDescent="0.25">
      <c r="A5495" s="8"/>
    </row>
    <row r="5496" spans="1:1" ht="13.8" x14ac:dyDescent="0.25">
      <c r="A5496" s="8"/>
    </row>
    <row r="5497" spans="1:1" ht="13.8" x14ac:dyDescent="0.25">
      <c r="A5497" s="8"/>
    </row>
    <row r="5498" spans="1:1" ht="13.8" x14ac:dyDescent="0.25">
      <c r="A5498" s="8"/>
    </row>
    <row r="5499" spans="1:1" ht="13.8" x14ac:dyDescent="0.25">
      <c r="A5499" s="8"/>
    </row>
    <row r="5500" spans="1:1" ht="13.8" x14ac:dyDescent="0.25">
      <c r="A5500" s="8"/>
    </row>
    <row r="5501" spans="1:1" ht="13.8" x14ac:dyDescent="0.25">
      <c r="A5501" s="8"/>
    </row>
    <row r="5502" spans="1:1" ht="13.8" x14ac:dyDescent="0.25">
      <c r="A5502" s="8"/>
    </row>
    <row r="5503" spans="1:1" ht="13.8" x14ac:dyDescent="0.25">
      <c r="A5503" s="8"/>
    </row>
    <row r="5504" spans="1:1" ht="13.8" x14ac:dyDescent="0.25">
      <c r="A5504" s="8"/>
    </row>
    <row r="5505" spans="1:1" ht="13.8" x14ac:dyDescent="0.25">
      <c r="A5505" s="8"/>
    </row>
    <row r="5506" spans="1:1" ht="13.8" x14ac:dyDescent="0.25">
      <c r="A5506" s="8"/>
    </row>
    <row r="5507" spans="1:1" ht="13.8" x14ac:dyDescent="0.25">
      <c r="A5507" s="8"/>
    </row>
    <row r="5508" spans="1:1" ht="13.8" x14ac:dyDescent="0.25">
      <c r="A5508" s="8"/>
    </row>
    <row r="5509" spans="1:1" ht="13.8" x14ac:dyDescent="0.25">
      <c r="A5509" s="8"/>
    </row>
    <row r="5510" spans="1:1" ht="13.8" x14ac:dyDescent="0.25">
      <c r="A5510" s="8"/>
    </row>
    <row r="5511" spans="1:1" ht="13.8" x14ac:dyDescent="0.25">
      <c r="A5511" s="8"/>
    </row>
    <row r="5512" spans="1:1" ht="13.8" x14ac:dyDescent="0.25">
      <c r="A5512" s="8"/>
    </row>
    <row r="5513" spans="1:1" ht="13.8" x14ac:dyDescent="0.25">
      <c r="A5513" s="8"/>
    </row>
    <row r="5514" spans="1:1" ht="13.8" x14ac:dyDescent="0.25">
      <c r="A5514" s="8"/>
    </row>
    <row r="5515" spans="1:1" ht="13.8" x14ac:dyDescent="0.25">
      <c r="A5515" s="8"/>
    </row>
    <row r="5516" spans="1:1" ht="13.8" x14ac:dyDescent="0.25">
      <c r="A5516" s="8"/>
    </row>
    <row r="5517" spans="1:1" ht="13.8" x14ac:dyDescent="0.25">
      <c r="A5517" s="8"/>
    </row>
    <row r="5518" spans="1:1" ht="13.8" x14ac:dyDescent="0.25">
      <c r="A5518" s="8"/>
    </row>
    <row r="5519" spans="1:1" ht="13.8" x14ac:dyDescent="0.25">
      <c r="A5519" s="8"/>
    </row>
    <row r="5520" spans="1:1" ht="13.8" x14ac:dyDescent="0.25">
      <c r="A5520" s="8"/>
    </row>
    <row r="5521" spans="1:1" ht="13.8" x14ac:dyDescent="0.25">
      <c r="A5521" s="8"/>
    </row>
    <row r="5522" spans="1:1" ht="13.8" x14ac:dyDescent="0.25">
      <c r="A5522" s="8"/>
    </row>
    <row r="5523" spans="1:1" ht="13.8" x14ac:dyDescent="0.25">
      <c r="A5523" s="8"/>
    </row>
    <row r="5524" spans="1:1" ht="13.8" x14ac:dyDescent="0.25">
      <c r="A5524" s="8"/>
    </row>
    <row r="5525" spans="1:1" ht="13.8" x14ac:dyDescent="0.25">
      <c r="A5525" s="8"/>
    </row>
    <row r="5526" spans="1:1" ht="13.8" x14ac:dyDescent="0.25">
      <c r="A5526" s="8"/>
    </row>
    <row r="5527" spans="1:1" ht="13.8" x14ac:dyDescent="0.25">
      <c r="A5527" s="8"/>
    </row>
    <row r="5528" spans="1:1" ht="13.8" x14ac:dyDescent="0.25">
      <c r="A5528" s="8"/>
    </row>
    <row r="5529" spans="1:1" ht="13.8" x14ac:dyDescent="0.25">
      <c r="A5529" s="8"/>
    </row>
    <row r="5530" spans="1:1" ht="13.8" x14ac:dyDescent="0.25">
      <c r="A5530" s="8"/>
    </row>
    <row r="5531" spans="1:1" ht="13.8" x14ac:dyDescent="0.25">
      <c r="A5531" s="8"/>
    </row>
    <row r="5532" spans="1:1" ht="13.8" x14ac:dyDescent="0.25">
      <c r="A5532" s="8"/>
    </row>
    <row r="5533" spans="1:1" ht="13.8" x14ac:dyDescent="0.25">
      <c r="A5533" s="8"/>
    </row>
    <row r="5534" spans="1:1" ht="13.8" x14ac:dyDescent="0.25">
      <c r="A5534" s="8"/>
    </row>
    <row r="5535" spans="1:1" ht="13.8" x14ac:dyDescent="0.25">
      <c r="A5535" s="8"/>
    </row>
    <row r="5536" spans="1:1" ht="13.8" x14ac:dyDescent="0.25">
      <c r="A5536" s="8"/>
    </row>
    <row r="5537" spans="1:1" ht="13.8" x14ac:dyDescent="0.25">
      <c r="A5537" s="8"/>
    </row>
    <row r="5538" spans="1:1" ht="13.8" x14ac:dyDescent="0.25">
      <c r="A5538" s="8"/>
    </row>
    <row r="5539" spans="1:1" ht="13.8" x14ac:dyDescent="0.25">
      <c r="A5539" s="8"/>
    </row>
    <row r="5540" spans="1:1" ht="13.8" x14ac:dyDescent="0.25">
      <c r="A5540" s="8"/>
    </row>
    <row r="5541" spans="1:1" ht="13.8" x14ac:dyDescent="0.25">
      <c r="A5541" s="8"/>
    </row>
    <row r="5542" spans="1:1" ht="13.8" x14ac:dyDescent="0.25">
      <c r="A5542" s="8"/>
    </row>
    <row r="5543" spans="1:1" ht="13.8" x14ac:dyDescent="0.25">
      <c r="A5543" s="8"/>
    </row>
    <row r="5544" spans="1:1" ht="13.8" x14ac:dyDescent="0.25">
      <c r="A5544" s="8"/>
    </row>
    <row r="5545" spans="1:1" ht="13.8" x14ac:dyDescent="0.25">
      <c r="A5545" s="8"/>
    </row>
    <row r="5546" spans="1:1" ht="13.8" x14ac:dyDescent="0.25">
      <c r="A5546" s="8"/>
    </row>
    <row r="5547" spans="1:1" ht="13.8" x14ac:dyDescent="0.25">
      <c r="A5547" s="8"/>
    </row>
    <row r="5548" spans="1:1" ht="13.8" x14ac:dyDescent="0.25">
      <c r="A5548" s="8"/>
    </row>
    <row r="5549" spans="1:1" ht="13.8" x14ac:dyDescent="0.25">
      <c r="A5549" s="8"/>
    </row>
    <row r="5550" spans="1:1" ht="13.8" x14ac:dyDescent="0.25">
      <c r="A5550" s="8"/>
    </row>
    <row r="5551" spans="1:1" ht="13.8" x14ac:dyDescent="0.25">
      <c r="A5551" s="8"/>
    </row>
    <row r="5552" spans="1:1" ht="13.8" x14ac:dyDescent="0.25">
      <c r="A5552" s="8"/>
    </row>
    <row r="5553" spans="1:1" ht="13.8" x14ac:dyDescent="0.25">
      <c r="A5553" s="8"/>
    </row>
    <row r="5554" spans="1:1" ht="13.8" x14ac:dyDescent="0.25">
      <c r="A5554" s="8"/>
    </row>
    <row r="5555" spans="1:1" ht="13.8" x14ac:dyDescent="0.25">
      <c r="A5555" s="8"/>
    </row>
    <row r="5556" spans="1:1" ht="13.8" x14ac:dyDescent="0.25">
      <c r="A5556" s="8"/>
    </row>
    <row r="5557" spans="1:1" ht="13.8" x14ac:dyDescent="0.25">
      <c r="A5557" s="8"/>
    </row>
    <row r="5558" spans="1:1" ht="13.8" x14ac:dyDescent="0.25">
      <c r="A5558" s="8"/>
    </row>
    <row r="5559" spans="1:1" ht="13.8" x14ac:dyDescent="0.25">
      <c r="A5559" s="8"/>
    </row>
    <row r="5560" spans="1:1" ht="13.8" x14ac:dyDescent="0.25">
      <c r="A5560" s="8"/>
    </row>
    <row r="5561" spans="1:1" ht="13.8" x14ac:dyDescent="0.25">
      <c r="A5561" s="8"/>
    </row>
    <row r="5562" spans="1:1" ht="13.8" x14ac:dyDescent="0.25">
      <c r="A5562" s="8"/>
    </row>
    <row r="5563" spans="1:1" ht="13.8" x14ac:dyDescent="0.25">
      <c r="A5563" s="8"/>
    </row>
    <row r="5564" spans="1:1" ht="13.8" x14ac:dyDescent="0.25">
      <c r="A5564" s="8"/>
    </row>
    <row r="5565" spans="1:1" ht="13.8" x14ac:dyDescent="0.25">
      <c r="A5565" s="8"/>
    </row>
    <row r="5566" spans="1:1" ht="13.8" x14ac:dyDescent="0.25">
      <c r="A5566" s="8"/>
    </row>
    <row r="5567" spans="1:1" ht="13.8" x14ac:dyDescent="0.25">
      <c r="A5567" s="8"/>
    </row>
    <row r="5568" spans="1:1" ht="13.8" x14ac:dyDescent="0.25">
      <c r="A5568" s="8"/>
    </row>
    <row r="5569" spans="1:1" ht="13.8" x14ac:dyDescent="0.25">
      <c r="A5569" s="8"/>
    </row>
    <row r="5570" spans="1:1" ht="13.8" x14ac:dyDescent="0.25">
      <c r="A5570" s="8"/>
    </row>
    <row r="5571" spans="1:1" ht="13.8" x14ac:dyDescent="0.25">
      <c r="A5571" s="8"/>
    </row>
    <row r="5572" spans="1:1" ht="13.8" x14ac:dyDescent="0.25">
      <c r="A5572" s="8"/>
    </row>
    <row r="5573" spans="1:1" ht="13.8" x14ac:dyDescent="0.25">
      <c r="A5573" s="8"/>
    </row>
    <row r="5574" spans="1:1" ht="13.8" x14ac:dyDescent="0.25">
      <c r="A5574" s="8"/>
    </row>
    <row r="5575" spans="1:1" ht="13.8" x14ac:dyDescent="0.25">
      <c r="A5575" s="8"/>
    </row>
    <row r="5576" spans="1:1" ht="13.8" x14ac:dyDescent="0.25">
      <c r="A5576" s="8"/>
    </row>
    <row r="5577" spans="1:1" ht="13.8" x14ac:dyDescent="0.25">
      <c r="A5577" s="8"/>
    </row>
    <row r="5578" spans="1:1" ht="13.8" x14ac:dyDescent="0.25">
      <c r="A5578" s="8"/>
    </row>
    <row r="5579" spans="1:1" ht="13.8" x14ac:dyDescent="0.25">
      <c r="A5579" s="8"/>
    </row>
    <row r="5580" spans="1:1" ht="13.8" x14ac:dyDescent="0.25">
      <c r="A5580" s="8"/>
    </row>
    <row r="5581" spans="1:1" ht="13.8" x14ac:dyDescent="0.25">
      <c r="A5581" s="8"/>
    </row>
    <row r="5582" spans="1:1" ht="13.8" x14ac:dyDescent="0.25">
      <c r="A5582" s="8"/>
    </row>
    <row r="5583" spans="1:1" ht="13.8" x14ac:dyDescent="0.25">
      <c r="A5583" s="8"/>
    </row>
    <row r="5584" spans="1:1" ht="13.8" x14ac:dyDescent="0.25">
      <c r="A5584" s="8"/>
    </row>
    <row r="5585" spans="1:1" ht="13.8" x14ac:dyDescent="0.25">
      <c r="A5585" s="8"/>
    </row>
    <row r="5586" spans="1:1" ht="13.8" x14ac:dyDescent="0.25">
      <c r="A5586" s="8"/>
    </row>
    <row r="5587" spans="1:1" ht="13.8" x14ac:dyDescent="0.25">
      <c r="A5587" s="8"/>
    </row>
    <row r="5588" spans="1:1" ht="13.8" x14ac:dyDescent="0.25">
      <c r="A5588" s="8"/>
    </row>
    <row r="5589" spans="1:1" ht="13.8" x14ac:dyDescent="0.25">
      <c r="A5589" s="8"/>
    </row>
    <row r="5590" spans="1:1" ht="13.8" x14ac:dyDescent="0.25">
      <c r="A5590" s="8"/>
    </row>
    <row r="5591" spans="1:1" ht="13.8" x14ac:dyDescent="0.25">
      <c r="A5591" s="8"/>
    </row>
    <row r="5592" spans="1:1" ht="13.8" x14ac:dyDescent="0.25">
      <c r="A5592" s="8"/>
    </row>
    <row r="5593" spans="1:1" ht="13.8" x14ac:dyDescent="0.25">
      <c r="A5593" s="8"/>
    </row>
    <row r="5594" spans="1:1" ht="13.8" x14ac:dyDescent="0.25">
      <c r="A5594" s="8"/>
    </row>
    <row r="5595" spans="1:1" ht="13.8" x14ac:dyDescent="0.25">
      <c r="A5595" s="8"/>
    </row>
    <row r="5596" spans="1:1" ht="13.8" x14ac:dyDescent="0.25">
      <c r="A5596" s="8"/>
    </row>
    <row r="5597" spans="1:1" ht="13.8" x14ac:dyDescent="0.25">
      <c r="A5597" s="8"/>
    </row>
    <row r="5598" spans="1:1" ht="13.8" x14ac:dyDescent="0.25">
      <c r="A5598" s="8"/>
    </row>
    <row r="5599" spans="1:1" ht="13.8" x14ac:dyDescent="0.25">
      <c r="A5599" s="8"/>
    </row>
    <row r="5600" spans="1:1" ht="13.8" x14ac:dyDescent="0.25">
      <c r="A5600" s="8"/>
    </row>
    <row r="5601" spans="1:1" ht="13.8" x14ac:dyDescent="0.25">
      <c r="A5601" s="8"/>
    </row>
    <row r="5602" spans="1:1" ht="13.8" x14ac:dyDescent="0.25">
      <c r="A5602" s="8"/>
    </row>
    <row r="5603" spans="1:1" ht="13.8" x14ac:dyDescent="0.25">
      <c r="A5603" s="8"/>
    </row>
    <row r="5604" spans="1:1" ht="13.8" x14ac:dyDescent="0.25">
      <c r="A5604" s="8"/>
    </row>
    <row r="5605" spans="1:1" ht="13.8" x14ac:dyDescent="0.25">
      <c r="A5605" s="8"/>
    </row>
    <row r="5606" spans="1:1" ht="13.8" x14ac:dyDescent="0.25">
      <c r="A5606" s="8"/>
    </row>
    <row r="5607" spans="1:1" ht="13.8" x14ac:dyDescent="0.25">
      <c r="A5607" s="8"/>
    </row>
    <row r="5608" spans="1:1" ht="13.8" x14ac:dyDescent="0.25">
      <c r="A5608" s="8"/>
    </row>
    <row r="5609" spans="1:1" ht="13.8" x14ac:dyDescent="0.25">
      <c r="A5609" s="8"/>
    </row>
    <row r="5610" spans="1:1" ht="13.8" x14ac:dyDescent="0.25">
      <c r="A5610" s="8"/>
    </row>
    <row r="5611" spans="1:1" ht="13.8" x14ac:dyDescent="0.25">
      <c r="A5611" s="8"/>
    </row>
    <row r="5612" spans="1:1" ht="13.8" x14ac:dyDescent="0.25">
      <c r="A5612" s="8"/>
    </row>
    <row r="5613" spans="1:1" ht="13.8" x14ac:dyDescent="0.25">
      <c r="A5613" s="8"/>
    </row>
    <row r="5614" spans="1:1" ht="13.8" x14ac:dyDescent="0.25">
      <c r="A5614" s="8"/>
    </row>
    <row r="5615" spans="1:1" ht="13.8" x14ac:dyDescent="0.25">
      <c r="A5615" s="8"/>
    </row>
    <row r="5616" spans="1:1" ht="13.8" x14ac:dyDescent="0.25">
      <c r="A5616" s="8"/>
    </row>
    <row r="5617" spans="1:1" ht="13.8" x14ac:dyDescent="0.25">
      <c r="A5617" s="8"/>
    </row>
    <row r="5618" spans="1:1" ht="13.8" x14ac:dyDescent="0.25">
      <c r="A5618" s="8"/>
    </row>
    <row r="5619" spans="1:1" ht="13.8" x14ac:dyDescent="0.25">
      <c r="A5619" s="8"/>
    </row>
    <row r="5620" spans="1:1" ht="13.8" x14ac:dyDescent="0.25">
      <c r="A5620" s="8"/>
    </row>
    <row r="5621" spans="1:1" ht="13.8" x14ac:dyDescent="0.25">
      <c r="A5621" s="8"/>
    </row>
    <row r="5622" spans="1:1" ht="13.8" x14ac:dyDescent="0.25">
      <c r="A5622" s="8"/>
    </row>
    <row r="5623" spans="1:1" ht="13.8" x14ac:dyDescent="0.25">
      <c r="A5623" s="8"/>
    </row>
    <row r="5624" spans="1:1" ht="13.8" x14ac:dyDescent="0.25">
      <c r="A5624" s="8"/>
    </row>
    <row r="5625" spans="1:1" ht="13.8" x14ac:dyDescent="0.25">
      <c r="A5625" s="8"/>
    </row>
    <row r="5626" spans="1:1" ht="13.8" x14ac:dyDescent="0.25">
      <c r="A5626" s="8"/>
    </row>
    <row r="5627" spans="1:1" ht="13.8" x14ac:dyDescent="0.25">
      <c r="A5627" s="8"/>
    </row>
    <row r="5628" spans="1:1" ht="13.8" x14ac:dyDescent="0.25">
      <c r="A5628" s="8"/>
    </row>
    <row r="5629" spans="1:1" ht="13.8" x14ac:dyDescent="0.25">
      <c r="A5629" s="8"/>
    </row>
    <row r="5630" spans="1:1" ht="13.8" x14ac:dyDescent="0.25">
      <c r="A5630" s="8"/>
    </row>
    <row r="5631" spans="1:1" ht="13.8" x14ac:dyDescent="0.25">
      <c r="A5631" s="8"/>
    </row>
    <row r="5632" spans="1:1" ht="13.8" x14ac:dyDescent="0.25">
      <c r="A5632" s="8"/>
    </row>
    <row r="5633" spans="1:1" ht="13.8" x14ac:dyDescent="0.25">
      <c r="A5633" s="8"/>
    </row>
    <row r="5634" spans="1:1" ht="13.8" x14ac:dyDescent="0.25">
      <c r="A5634" s="8"/>
    </row>
    <row r="5635" spans="1:1" ht="13.8" x14ac:dyDescent="0.25">
      <c r="A5635" s="8"/>
    </row>
    <row r="5636" spans="1:1" ht="13.8" x14ac:dyDescent="0.25">
      <c r="A5636" s="8"/>
    </row>
    <row r="5637" spans="1:1" ht="13.8" x14ac:dyDescent="0.25">
      <c r="A5637" s="8"/>
    </row>
    <row r="5638" spans="1:1" ht="13.8" x14ac:dyDescent="0.25">
      <c r="A5638" s="8"/>
    </row>
    <row r="5639" spans="1:1" ht="13.8" x14ac:dyDescent="0.25">
      <c r="A5639" s="8"/>
    </row>
    <row r="5640" spans="1:1" ht="13.8" x14ac:dyDescent="0.25">
      <c r="A5640" s="8"/>
    </row>
    <row r="5641" spans="1:1" ht="13.8" x14ac:dyDescent="0.25">
      <c r="A5641" s="8"/>
    </row>
    <row r="5642" spans="1:1" ht="13.8" x14ac:dyDescent="0.25">
      <c r="A5642" s="8"/>
    </row>
    <row r="5643" spans="1:1" ht="13.8" x14ac:dyDescent="0.25">
      <c r="A5643" s="8"/>
    </row>
    <row r="5644" spans="1:1" ht="13.8" x14ac:dyDescent="0.25">
      <c r="A5644" s="8"/>
    </row>
    <row r="5645" spans="1:1" ht="13.8" x14ac:dyDescent="0.25">
      <c r="A5645" s="8"/>
    </row>
    <row r="5646" spans="1:1" ht="13.8" x14ac:dyDescent="0.25">
      <c r="A5646" s="8"/>
    </row>
    <row r="5647" spans="1:1" ht="13.8" x14ac:dyDescent="0.25">
      <c r="A5647" s="8"/>
    </row>
    <row r="5648" spans="1:1" ht="13.8" x14ac:dyDescent="0.25">
      <c r="A5648" s="8"/>
    </row>
    <row r="5649" spans="1:1" ht="13.8" x14ac:dyDescent="0.25">
      <c r="A5649" s="8"/>
    </row>
    <row r="5650" spans="1:1" ht="13.8" x14ac:dyDescent="0.25">
      <c r="A5650" s="8"/>
    </row>
    <row r="5651" spans="1:1" ht="13.8" x14ac:dyDescent="0.25">
      <c r="A5651" s="8"/>
    </row>
    <row r="5652" spans="1:1" ht="13.8" x14ac:dyDescent="0.25">
      <c r="A5652" s="8"/>
    </row>
    <row r="5653" spans="1:1" ht="13.8" x14ac:dyDescent="0.25">
      <c r="A5653" s="8"/>
    </row>
    <row r="5654" spans="1:1" ht="13.8" x14ac:dyDescent="0.25">
      <c r="A5654" s="8"/>
    </row>
    <row r="5655" spans="1:1" ht="13.8" x14ac:dyDescent="0.25">
      <c r="A5655" s="8"/>
    </row>
    <row r="5656" spans="1:1" ht="13.8" x14ac:dyDescent="0.25">
      <c r="A5656" s="8"/>
    </row>
    <row r="5657" spans="1:1" ht="13.8" x14ac:dyDescent="0.25">
      <c r="A5657" s="8"/>
    </row>
    <row r="5658" spans="1:1" ht="13.8" x14ac:dyDescent="0.25">
      <c r="A5658" s="8"/>
    </row>
    <row r="5659" spans="1:1" ht="13.8" x14ac:dyDescent="0.25">
      <c r="A5659" s="8"/>
    </row>
    <row r="5660" spans="1:1" ht="13.8" x14ac:dyDescent="0.25">
      <c r="A5660" s="8"/>
    </row>
    <row r="5661" spans="1:1" ht="13.8" x14ac:dyDescent="0.25">
      <c r="A5661" s="8"/>
    </row>
    <row r="5662" spans="1:1" ht="13.8" x14ac:dyDescent="0.25">
      <c r="A5662" s="8"/>
    </row>
    <row r="5663" spans="1:1" ht="13.8" x14ac:dyDescent="0.25">
      <c r="A5663" s="8"/>
    </row>
    <row r="5664" spans="1:1" ht="13.8" x14ac:dyDescent="0.25">
      <c r="A5664" s="8"/>
    </row>
    <row r="5665" spans="1:1" ht="13.8" x14ac:dyDescent="0.25">
      <c r="A5665" s="8"/>
    </row>
    <row r="5666" spans="1:1" ht="13.8" x14ac:dyDescent="0.25">
      <c r="A5666" s="8"/>
    </row>
    <row r="5667" spans="1:1" ht="13.8" x14ac:dyDescent="0.25">
      <c r="A5667" s="8"/>
    </row>
    <row r="5668" spans="1:1" ht="13.8" x14ac:dyDescent="0.25">
      <c r="A5668" s="8"/>
    </row>
    <row r="5669" spans="1:1" ht="13.8" x14ac:dyDescent="0.25">
      <c r="A5669" s="8"/>
    </row>
    <row r="5670" spans="1:1" ht="13.8" x14ac:dyDescent="0.25">
      <c r="A5670" s="8"/>
    </row>
    <row r="5671" spans="1:1" ht="13.8" x14ac:dyDescent="0.25">
      <c r="A5671" s="8"/>
    </row>
    <row r="5672" spans="1:1" ht="13.8" x14ac:dyDescent="0.25">
      <c r="A5672" s="8"/>
    </row>
    <row r="5673" spans="1:1" ht="13.8" x14ac:dyDescent="0.25">
      <c r="A5673" s="8"/>
    </row>
    <row r="5674" spans="1:1" ht="13.8" x14ac:dyDescent="0.25">
      <c r="A5674" s="8"/>
    </row>
    <row r="5675" spans="1:1" ht="13.8" x14ac:dyDescent="0.25">
      <c r="A5675" s="8"/>
    </row>
    <row r="5676" spans="1:1" ht="13.8" x14ac:dyDescent="0.25">
      <c r="A5676" s="8"/>
    </row>
    <row r="5677" spans="1:1" ht="13.8" x14ac:dyDescent="0.25">
      <c r="A5677" s="8"/>
    </row>
    <row r="5678" spans="1:1" ht="13.8" x14ac:dyDescent="0.25">
      <c r="A5678" s="8"/>
    </row>
    <row r="5679" spans="1:1" ht="13.8" x14ac:dyDescent="0.25">
      <c r="A5679" s="8"/>
    </row>
    <row r="5680" spans="1:1" ht="13.8" x14ac:dyDescent="0.25">
      <c r="A5680" s="8"/>
    </row>
    <row r="5681" spans="1:1" ht="13.8" x14ac:dyDescent="0.25">
      <c r="A5681" s="8"/>
    </row>
    <row r="5682" spans="1:1" ht="13.8" x14ac:dyDescent="0.25">
      <c r="A5682" s="8"/>
    </row>
    <row r="5683" spans="1:1" ht="13.8" x14ac:dyDescent="0.25">
      <c r="A5683" s="8"/>
    </row>
    <row r="5684" spans="1:1" ht="13.8" x14ac:dyDescent="0.25">
      <c r="A5684" s="8"/>
    </row>
    <row r="5685" spans="1:1" ht="13.8" x14ac:dyDescent="0.25">
      <c r="A5685" s="8"/>
    </row>
    <row r="5686" spans="1:1" ht="13.8" x14ac:dyDescent="0.25">
      <c r="A5686" s="8"/>
    </row>
    <row r="5687" spans="1:1" ht="13.8" x14ac:dyDescent="0.25">
      <c r="A5687" s="8"/>
    </row>
    <row r="5688" spans="1:1" ht="13.8" x14ac:dyDescent="0.25">
      <c r="A5688" s="8"/>
    </row>
    <row r="5689" spans="1:1" ht="13.8" x14ac:dyDescent="0.25">
      <c r="A5689" s="8"/>
    </row>
    <row r="5690" spans="1:1" ht="13.8" x14ac:dyDescent="0.25">
      <c r="A5690" s="8"/>
    </row>
    <row r="5691" spans="1:1" ht="13.8" x14ac:dyDescent="0.25">
      <c r="A5691" s="8"/>
    </row>
    <row r="5692" spans="1:1" ht="13.8" x14ac:dyDescent="0.25">
      <c r="A5692" s="8"/>
    </row>
    <row r="5693" spans="1:1" ht="13.8" x14ac:dyDescent="0.25">
      <c r="A5693" s="8"/>
    </row>
    <row r="5694" spans="1:1" ht="13.8" x14ac:dyDescent="0.25">
      <c r="A5694" s="8"/>
    </row>
    <row r="5695" spans="1:1" ht="13.8" x14ac:dyDescent="0.25">
      <c r="A5695" s="8"/>
    </row>
    <row r="5696" spans="1:1" ht="13.8" x14ac:dyDescent="0.25">
      <c r="A5696" s="8"/>
    </row>
    <row r="5697" spans="1:1" ht="13.8" x14ac:dyDescent="0.25">
      <c r="A5697" s="8"/>
    </row>
    <row r="5698" spans="1:1" ht="13.8" x14ac:dyDescent="0.25">
      <c r="A5698" s="8"/>
    </row>
    <row r="5699" spans="1:1" ht="13.8" x14ac:dyDescent="0.25">
      <c r="A5699" s="8"/>
    </row>
    <row r="5700" spans="1:1" ht="13.8" x14ac:dyDescent="0.25">
      <c r="A5700" s="8"/>
    </row>
    <row r="5701" spans="1:1" ht="13.8" x14ac:dyDescent="0.25">
      <c r="A5701" s="8"/>
    </row>
    <row r="5702" spans="1:1" ht="13.8" x14ac:dyDescent="0.25">
      <c r="A5702" s="8"/>
    </row>
    <row r="5703" spans="1:1" ht="13.8" x14ac:dyDescent="0.25">
      <c r="A5703" s="8"/>
    </row>
    <row r="5704" spans="1:1" ht="13.8" x14ac:dyDescent="0.25">
      <c r="A5704" s="8"/>
    </row>
    <row r="5705" spans="1:1" ht="13.8" x14ac:dyDescent="0.25">
      <c r="A5705" s="8"/>
    </row>
    <row r="5706" spans="1:1" ht="13.8" x14ac:dyDescent="0.25">
      <c r="A5706" s="8"/>
    </row>
    <row r="5707" spans="1:1" ht="13.8" x14ac:dyDescent="0.25">
      <c r="A5707" s="8"/>
    </row>
    <row r="5708" spans="1:1" ht="13.8" x14ac:dyDescent="0.25">
      <c r="A5708" s="8"/>
    </row>
    <row r="5709" spans="1:1" ht="13.8" x14ac:dyDescent="0.25">
      <c r="A5709" s="8"/>
    </row>
    <row r="5710" spans="1:1" ht="13.8" x14ac:dyDescent="0.25">
      <c r="A5710" s="8"/>
    </row>
    <row r="5711" spans="1:1" ht="13.8" x14ac:dyDescent="0.25">
      <c r="A5711" s="8"/>
    </row>
    <row r="5712" spans="1:1" ht="13.8" x14ac:dyDescent="0.25">
      <c r="A5712" s="8"/>
    </row>
    <row r="5713" spans="1:1" ht="13.8" x14ac:dyDescent="0.25">
      <c r="A5713" s="8"/>
    </row>
    <row r="5714" spans="1:1" ht="13.8" x14ac:dyDescent="0.25">
      <c r="A5714" s="8"/>
    </row>
    <row r="5715" spans="1:1" ht="13.8" x14ac:dyDescent="0.25">
      <c r="A5715" s="8"/>
    </row>
    <row r="5716" spans="1:1" ht="13.8" x14ac:dyDescent="0.25">
      <c r="A5716" s="8"/>
    </row>
    <row r="5717" spans="1:1" ht="13.8" x14ac:dyDescent="0.25">
      <c r="A5717" s="8"/>
    </row>
    <row r="5718" spans="1:1" ht="13.8" x14ac:dyDescent="0.25">
      <c r="A5718" s="8"/>
    </row>
    <row r="5719" spans="1:1" ht="13.8" x14ac:dyDescent="0.25">
      <c r="A5719" s="8"/>
    </row>
    <row r="5720" spans="1:1" ht="13.8" x14ac:dyDescent="0.25">
      <c r="A5720" s="8"/>
    </row>
    <row r="5721" spans="1:1" ht="13.8" x14ac:dyDescent="0.25">
      <c r="A5721" s="8"/>
    </row>
    <row r="5722" spans="1:1" ht="13.8" x14ac:dyDescent="0.25">
      <c r="A5722" s="8"/>
    </row>
    <row r="5723" spans="1:1" ht="13.8" x14ac:dyDescent="0.25">
      <c r="A5723" s="8"/>
    </row>
    <row r="5724" spans="1:1" ht="13.8" x14ac:dyDescent="0.25">
      <c r="A5724" s="8"/>
    </row>
    <row r="5725" spans="1:1" ht="13.8" x14ac:dyDescent="0.25">
      <c r="A5725" s="8"/>
    </row>
    <row r="5726" spans="1:1" ht="13.8" x14ac:dyDescent="0.25">
      <c r="A5726" s="8"/>
    </row>
    <row r="5727" spans="1:1" ht="13.8" x14ac:dyDescent="0.25">
      <c r="A5727" s="8"/>
    </row>
    <row r="5728" spans="1:1" ht="13.8" x14ac:dyDescent="0.25">
      <c r="A5728" s="8"/>
    </row>
    <row r="5729" spans="1:1" ht="13.8" x14ac:dyDescent="0.25">
      <c r="A5729" s="8"/>
    </row>
    <row r="5730" spans="1:1" ht="13.8" x14ac:dyDescent="0.25">
      <c r="A5730" s="8"/>
    </row>
    <row r="5731" spans="1:1" ht="13.8" x14ac:dyDescent="0.25">
      <c r="A5731" s="8"/>
    </row>
    <row r="5732" spans="1:1" ht="13.8" x14ac:dyDescent="0.25">
      <c r="A5732" s="8"/>
    </row>
    <row r="5733" spans="1:1" ht="13.8" x14ac:dyDescent="0.25">
      <c r="A5733" s="8"/>
    </row>
    <row r="5734" spans="1:1" ht="13.8" x14ac:dyDescent="0.25">
      <c r="A5734" s="8"/>
    </row>
    <row r="5735" spans="1:1" ht="13.8" x14ac:dyDescent="0.25">
      <c r="A5735" s="8"/>
    </row>
    <row r="5736" spans="1:1" ht="13.8" x14ac:dyDescent="0.25">
      <c r="A5736" s="8"/>
    </row>
    <row r="5737" spans="1:1" ht="13.8" x14ac:dyDescent="0.25">
      <c r="A5737" s="8"/>
    </row>
    <row r="5738" spans="1:1" ht="13.8" x14ac:dyDescent="0.25">
      <c r="A5738" s="8"/>
    </row>
    <row r="5739" spans="1:1" ht="13.8" x14ac:dyDescent="0.25">
      <c r="A5739" s="8"/>
    </row>
    <row r="5740" spans="1:1" ht="13.8" x14ac:dyDescent="0.25">
      <c r="A5740" s="8"/>
    </row>
    <row r="5741" spans="1:1" ht="13.8" x14ac:dyDescent="0.25">
      <c r="A5741" s="8"/>
    </row>
    <row r="5742" spans="1:1" ht="13.8" x14ac:dyDescent="0.25">
      <c r="A5742" s="8"/>
    </row>
    <row r="5743" spans="1:1" ht="13.8" x14ac:dyDescent="0.25">
      <c r="A5743" s="8"/>
    </row>
    <row r="5744" spans="1:1" ht="13.8" x14ac:dyDescent="0.25">
      <c r="A5744" s="8"/>
    </row>
    <row r="5745" spans="1:1" ht="13.8" x14ac:dyDescent="0.25">
      <c r="A5745" s="8"/>
    </row>
    <row r="5746" spans="1:1" ht="13.8" x14ac:dyDescent="0.25">
      <c r="A5746" s="8"/>
    </row>
    <row r="5747" spans="1:1" ht="13.8" x14ac:dyDescent="0.25">
      <c r="A5747" s="8"/>
    </row>
    <row r="5748" spans="1:1" ht="13.8" x14ac:dyDescent="0.25">
      <c r="A5748" s="8"/>
    </row>
    <row r="5749" spans="1:1" ht="13.8" x14ac:dyDescent="0.25">
      <c r="A5749" s="8"/>
    </row>
    <row r="5750" spans="1:1" ht="13.8" x14ac:dyDescent="0.25">
      <c r="A5750" s="8"/>
    </row>
    <row r="5751" spans="1:1" ht="13.8" x14ac:dyDescent="0.25">
      <c r="A5751" s="8"/>
    </row>
    <row r="5752" spans="1:1" ht="13.8" x14ac:dyDescent="0.25">
      <c r="A5752" s="8"/>
    </row>
    <row r="5753" spans="1:1" ht="13.8" x14ac:dyDescent="0.25">
      <c r="A5753" s="8"/>
    </row>
    <row r="5754" spans="1:1" ht="13.8" x14ac:dyDescent="0.25">
      <c r="A5754" s="8"/>
    </row>
    <row r="5755" spans="1:1" ht="13.8" x14ac:dyDescent="0.25">
      <c r="A5755" s="8"/>
    </row>
    <row r="5756" spans="1:1" ht="13.8" x14ac:dyDescent="0.25">
      <c r="A5756" s="8"/>
    </row>
    <row r="5757" spans="1:1" ht="13.8" x14ac:dyDescent="0.25">
      <c r="A5757" s="8"/>
    </row>
    <row r="5758" spans="1:1" ht="13.8" x14ac:dyDescent="0.25">
      <c r="A5758" s="8"/>
    </row>
    <row r="5759" spans="1:1" ht="13.8" x14ac:dyDescent="0.25">
      <c r="A5759" s="8"/>
    </row>
    <row r="5760" spans="1:1" ht="13.8" x14ac:dyDescent="0.25">
      <c r="A5760" s="8"/>
    </row>
    <row r="5761" spans="1:1" ht="13.8" x14ac:dyDescent="0.25">
      <c r="A5761" s="8"/>
    </row>
    <row r="5762" spans="1:1" ht="13.8" x14ac:dyDescent="0.25">
      <c r="A5762" s="8"/>
    </row>
    <row r="5763" spans="1:1" ht="13.8" x14ac:dyDescent="0.25">
      <c r="A5763" s="8"/>
    </row>
    <row r="5764" spans="1:1" ht="13.8" x14ac:dyDescent="0.25">
      <c r="A5764" s="8"/>
    </row>
    <row r="5765" spans="1:1" ht="13.8" x14ac:dyDescent="0.25">
      <c r="A5765" s="8"/>
    </row>
    <row r="5766" spans="1:1" ht="13.8" x14ac:dyDescent="0.25">
      <c r="A5766" s="8"/>
    </row>
    <row r="5767" spans="1:1" ht="13.8" x14ac:dyDescent="0.25">
      <c r="A5767" s="8"/>
    </row>
    <row r="5768" spans="1:1" ht="13.8" x14ac:dyDescent="0.25">
      <c r="A5768" s="8"/>
    </row>
    <row r="5769" spans="1:1" ht="13.8" x14ac:dyDescent="0.25">
      <c r="A5769" s="8"/>
    </row>
    <row r="5770" spans="1:1" ht="13.8" x14ac:dyDescent="0.25">
      <c r="A5770" s="8"/>
    </row>
    <row r="5771" spans="1:1" ht="13.8" x14ac:dyDescent="0.25">
      <c r="A5771" s="8"/>
    </row>
    <row r="5772" spans="1:1" ht="13.8" x14ac:dyDescent="0.25">
      <c r="A5772" s="8"/>
    </row>
    <row r="5773" spans="1:1" ht="13.8" x14ac:dyDescent="0.25">
      <c r="A5773" s="8"/>
    </row>
    <row r="5774" spans="1:1" ht="13.8" x14ac:dyDescent="0.25">
      <c r="A5774" s="8"/>
    </row>
    <row r="5775" spans="1:1" ht="13.8" x14ac:dyDescent="0.25">
      <c r="A5775" s="8"/>
    </row>
    <row r="5776" spans="1:1" ht="13.8" x14ac:dyDescent="0.25">
      <c r="A5776" s="8"/>
    </row>
    <row r="5777" spans="1:1" ht="13.8" x14ac:dyDescent="0.25">
      <c r="A5777" s="8"/>
    </row>
    <row r="5778" spans="1:1" ht="13.8" x14ac:dyDescent="0.25">
      <c r="A5778" s="8"/>
    </row>
    <row r="5779" spans="1:1" ht="13.8" x14ac:dyDescent="0.25">
      <c r="A5779" s="8"/>
    </row>
    <row r="5780" spans="1:1" ht="13.8" x14ac:dyDescent="0.25">
      <c r="A5780" s="8"/>
    </row>
    <row r="5781" spans="1:1" ht="13.8" x14ac:dyDescent="0.25">
      <c r="A5781" s="8"/>
    </row>
    <row r="5782" spans="1:1" ht="13.8" x14ac:dyDescent="0.25">
      <c r="A5782" s="8"/>
    </row>
    <row r="5783" spans="1:1" ht="13.8" x14ac:dyDescent="0.25">
      <c r="A5783" s="8"/>
    </row>
    <row r="5784" spans="1:1" ht="13.8" x14ac:dyDescent="0.25">
      <c r="A5784" s="8"/>
    </row>
    <row r="5785" spans="1:1" ht="13.8" x14ac:dyDescent="0.25">
      <c r="A5785" s="8"/>
    </row>
    <row r="5786" spans="1:1" ht="13.8" x14ac:dyDescent="0.25">
      <c r="A5786" s="8"/>
    </row>
    <row r="5787" spans="1:1" ht="13.8" x14ac:dyDescent="0.25">
      <c r="A5787" s="8"/>
    </row>
    <row r="5788" spans="1:1" ht="13.8" x14ac:dyDescent="0.25">
      <c r="A5788" s="8"/>
    </row>
    <row r="5789" spans="1:1" ht="13.8" x14ac:dyDescent="0.25">
      <c r="A5789" s="8"/>
    </row>
    <row r="5790" spans="1:1" ht="13.8" x14ac:dyDescent="0.25">
      <c r="A5790" s="8"/>
    </row>
    <row r="5791" spans="1:1" ht="13.8" x14ac:dyDescent="0.25">
      <c r="A5791" s="8"/>
    </row>
    <row r="5792" spans="1:1" ht="13.8" x14ac:dyDescent="0.25">
      <c r="A5792" s="8"/>
    </row>
    <row r="5793" spans="1:1" ht="13.8" x14ac:dyDescent="0.25">
      <c r="A5793" s="8"/>
    </row>
    <row r="5794" spans="1:1" ht="13.8" x14ac:dyDescent="0.25">
      <c r="A5794" s="8"/>
    </row>
    <row r="5795" spans="1:1" ht="13.8" x14ac:dyDescent="0.25">
      <c r="A5795" s="8"/>
    </row>
    <row r="5796" spans="1:1" ht="13.8" x14ac:dyDescent="0.25">
      <c r="A5796" s="8"/>
    </row>
    <row r="5797" spans="1:1" ht="13.8" x14ac:dyDescent="0.25">
      <c r="A5797" s="8"/>
    </row>
    <row r="5798" spans="1:1" ht="13.8" x14ac:dyDescent="0.25">
      <c r="A5798" s="8"/>
    </row>
    <row r="5799" spans="1:1" ht="13.8" x14ac:dyDescent="0.25">
      <c r="A5799" s="8"/>
    </row>
    <row r="5800" spans="1:1" ht="13.8" x14ac:dyDescent="0.25">
      <c r="A5800" s="8"/>
    </row>
    <row r="5801" spans="1:1" ht="13.8" x14ac:dyDescent="0.25">
      <c r="A5801" s="8"/>
    </row>
    <row r="5802" spans="1:1" ht="13.8" x14ac:dyDescent="0.25">
      <c r="A5802" s="8"/>
    </row>
    <row r="5803" spans="1:1" ht="13.8" x14ac:dyDescent="0.25">
      <c r="A5803" s="8"/>
    </row>
    <row r="5804" spans="1:1" ht="13.8" x14ac:dyDescent="0.25">
      <c r="A5804" s="8"/>
    </row>
    <row r="5805" spans="1:1" ht="13.8" x14ac:dyDescent="0.25">
      <c r="A5805" s="8"/>
    </row>
    <row r="5806" spans="1:1" ht="13.8" x14ac:dyDescent="0.25">
      <c r="A5806" s="8"/>
    </row>
    <row r="5807" spans="1:1" ht="13.8" x14ac:dyDescent="0.25">
      <c r="A5807" s="8"/>
    </row>
    <row r="5808" spans="1:1" ht="13.8" x14ac:dyDescent="0.25">
      <c r="A5808" s="8"/>
    </row>
    <row r="5809" spans="1:1" ht="13.8" x14ac:dyDescent="0.25">
      <c r="A5809" s="8"/>
    </row>
    <row r="5810" spans="1:1" ht="13.8" x14ac:dyDescent="0.25">
      <c r="A5810" s="8"/>
    </row>
    <row r="5811" spans="1:1" ht="13.8" x14ac:dyDescent="0.25">
      <c r="A5811" s="8"/>
    </row>
    <row r="5812" spans="1:1" ht="13.8" x14ac:dyDescent="0.25">
      <c r="A5812" s="8"/>
    </row>
    <row r="5813" spans="1:1" ht="13.8" x14ac:dyDescent="0.25">
      <c r="A5813" s="8"/>
    </row>
    <row r="5814" spans="1:1" ht="13.8" x14ac:dyDescent="0.25">
      <c r="A5814" s="8"/>
    </row>
    <row r="5815" spans="1:1" ht="13.8" x14ac:dyDescent="0.25">
      <c r="A5815" s="8"/>
    </row>
    <row r="5816" spans="1:1" ht="13.8" x14ac:dyDescent="0.25">
      <c r="A5816" s="8"/>
    </row>
    <row r="5817" spans="1:1" ht="13.8" x14ac:dyDescent="0.25">
      <c r="A5817" s="8"/>
    </row>
    <row r="5818" spans="1:1" ht="13.8" x14ac:dyDescent="0.25">
      <c r="A5818" s="8"/>
    </row>
    <row r="5819" spans="1:1" ht="13.8" x14ac:dyDescent="0.25">
      <c r="A5819" s="8"/>
    </row>
    <row r="5820" spans="1:1" ht="13.8" x14ac:dyDescent="0.25">
      <c r="A5820" s="8"/>
    </row>
    <row r="5821" spans="1:1" ht="13.8" x14ac:dyDescent="0.25">
      <c r="A5821" s="8"/>
    </row>
    <row r="5822" spans="1:1" ht="13.8" x14ac:dyDescent="0.25">
      <c r="A5822" s="8"/>
    </row>
    <row r="5823" spans="1:1" ht="13.8" x14ac:dyDescent="0.25">
      <c r="A5823" s="8"/>
    </row>
    <row r="5824" spans="1:1" ht="13.8" x14ac:dyDescent="0.25">
      <c r="A5824" s="8"/>
    </row>
    <row r="5825" spans="1:1" ht="13.8" x14ac:dyDescent="0.25">
      <c r="A5825" s="8"/>
    </row>
    <row r="5826" spans="1:1" ht="13.8" x14ac:dyDescent="0.25">
      <c r="A5826" s="8"/>
    </row>
    <row r="5827" spans="1:1" ht="13.8" x14ac:dyDescent="0.25">
      <c r="A5827" s="8"/>
    </row>
    <row r="5828" spans="1:1" ht="13.8" x14ac:dyDescent="0.25">
      <c r="A5828" s="8"/>
    </row>
    <row r="5829" spans="1:1" ht="13.8" x14ac:dyDescent="0.25">
      <c r="A5829" s="8"/>
    </row>
    <row r="5830" spans="1:1" ht="13.8" x14ac:dyDescent="0.25">
      <c r="A5830" s="8"/>
    </row>
    <row r="5831" spans="1:1" ht="13.8" x14ac:dyDescent="0.25">
      <c r="A5831" s="8"/>
    </row>
    <row r="5832" spans="1:1" ht="13.8" x14ac:dyDescent="0.25">
      <c r="A5832" s="8"/>
    </row>
    <row r="5833" spans="1:1" ht="13.8" x14ac:dyDescent="0.25">
      <c r="A5833" s="8"/>
    </row>
    <row r="5834" spans="1:1" ht="13.8" x14ac:dyDescent="0.25">
      <c r="A5834" s="8"/>
    </row>
    <row r="5835" spans="1:1" ht="13.8" x14ac:dyDescent="0.25">
      <c r="A5835" s="8"/>
    </row>
    <row r="5836" spans="1:1" ht="13.8" x14ac:dyDescent="0.25">
      <c r="A5836" s="8"/>
    </row>
    <row r="5837" spans="1:1" ht="13.8" x14ac:dyDescent="0.25">
      <c r="A5837" s="8"/>
    </row>
    <row r="5838" spans="1:1" ht="13.8" x14ac:dyDescent="0.25">
      <c r="A5838" s="8"/>
    </row>
    <row r="5839" spans="1:1" ht="13.8" x14ac:dyDescent="0.25">
      <c r="A5839" s="8"/>
    </row>
    <row r="5840" spans="1:1" ht="13.8" x14ac:dyDescent="0.25">
      <c r="A5840" s="8"/>
    </row>
    <row r="5841" spans="1:1" ht="13.8" x14ac:dyDescent="0.25">
      <c r="A5841" s="8"/>
    </row>
    <row r="5842" spans="1:1" ht="13.8" x14ac:dyDescent="0.25">
      <c r="A5842" s="8"/>
    </row>
    <row r="5843" spans="1:1" ht="13.8" x14ac:dyDescent="0.25">
      <c r="A5843" s="8"/>
    </row>
    <row r="5844" spans="1:1" ht="13.8" x14ac:dyDescent="0.25">
      <c r="A5844" s="8"/>
    </row>
    <row r="5845" spans="1:1" ht="13.8" x14ac:dyDescent="0.25">
      <c r="A5845" s="8"/>
    </row>
    <row r="5846" spans="1:1" ht="13.8" x14ac:dyDescent="0.25">
      <c r="A5846" s="8"/>
    </row>
    <row r="5847" spans="1:1" ht="13.8" x14ac:dyDescent="0.25">
      <c r="A5847" s="8"/>
    </row>
    <row r="5848" spans="1:1" ht="13.8" x14ac:dyDescent="0.25">
      <c r="A5848" s="8"/>
    </row>
    <row r="5849" spans="1:1" ht="13.8" x14ac:dyDescent="0.25">
      <c r="A5849" s="8"/>
    </row>
    <row r="5850" spans="1:1" ht="13.8" x14ac:dyDescent="0.25">
      <c r="A5850" s="8"/>
    </row>
    <row r="5851" spans="1:1" ht="13.8" x14ac:dyDescent="0.25">
      <c r="A5851" s="8"/>
    </row>
    <row r="5852" spans="1:1" ht="13.8" x14ac:dyDescent="0.25">
      <c r="A5852" s="8"/>
    </row>
    <row r="5853" spans="1:1" ht="13.8" x14ac:dyDescent="0.25">
      <c r="A5853" s="8"/>
    </row>
    <row r="5854" spans="1:1" ht="13.8" x14ac:dyDescent="0.25">
      <c r="A5854" s="8"/>
    </row>
    <row r="5855" spans="1:1" ht="13.8" x14ac:dyDescent="0.25">
      <c r="A5855" s="8"/>
    </row>
    <row r="5856" spans="1:1" ht="13.8" x14ac:dyDescent="0.25">
      <c r="A5856" s="8"/>
    </row>
    <row r="5857" spans="1:1" ht="13.8" x14ac:dyDescent="0.25">
      <c r="A5857" s="8"/>
    </row>
    <row r="5858" spans="1:1" ht="13.8" x14ac:dyDescent="0.25">
      <c r="A5858" s="8"/>
    </row>
    <row r="5859" spans="1:1" ht="13.8" x14ac:dyDescent="0.25">
      <c r="A5859" s="8"/>
    </row>
    <row r="5860" spans="1:1" ht="13.8" x14ac:dyDescent="0.25">
      <c r="A5860" s="8"/>
    </row>
    <row r="5861" spans="1:1" ht="13.8" x14ac:dyDescent="0.25">
      <c r="A5861" s="8"/>
    </row>
    <row r="5862" spans="1:1" ht="13.8" x14ac:dyDescent="0.25">
      <c r="A5862" s="8"/>
    </row>
    <row r="5863" spans="1:1" ht="13.8" x14ac:dyDescent="0.25">
      <c r="A5863" s="8"/>
    </row>
    <row r="5864" spans="1:1" ht="13.8" x14ac:dyDescent="0.25">
      <c r="A5864" s="8"/>
    </row>
    <row r="5865" spans="1:1" ht="13.8" x14ac:dyDescent="0.25">
      <c r="A5865" s="8"/>
    </row>
    <row r="5866" spans="1:1" ht="13.8" x14ac:dyDescent="0.25">
      <c r="A5866" s="8"/>
    </row>
    <row r="5867" spans="1:1" ht="13.8" x14ac:dyDescent="0.25">
      <c r="A5867" s="8"/>
    </row>
    <row r="5868" spans="1:1" ht="13.8" x14ac:dyDescent="0.25">
      <c r="A5868" s="8"/>
    </row>
    <row r="5869" spans="1:1" ht="13.8" x14ac:dyDescent="0.25">
      <c r="A5869" s="8"/>
    </row>
    <row r="5870" spans="1:1" ht="13.8" x14ac:dyDescent="0.25">
      <c r="A5870" s="8"/>
    </row>
    <row r="5871" spans="1:1" ht="13.8" x14ac:dyDescent="0.25">
      <c r="A5871" s="8"/>
    </row>
    <row r="5872" spans="1:1" ht="13.8" x14ac:dyDescent="0.25">
      <c r="A5872" s="8"/>
    </row>
    <row r="5873" spans="1:1" ht="13.8" x14ac:dyDescent="0.25">
      <c r="A5873" s="8"/>
    </row>
    <row r="5874" spans="1:1" ht="13.8" x14ac:dyDescent="0.25">
      <c r="A5874" s="8"/>
    </row>
    <row r="5875" spans="1:1" ht="13.8" x14ac:dyDescent="0.25">
      <c r="A5875" s="8"/>
    </row>
    <row r="5876" spans="1:1" ht="13.8" x14ac:dyDescent="0.25">
      <c r="A5876" s="8"/>
    </row>
    <row r="5877" spans="1:1" ht="13.8" x14ac:dyDescent="0.25">
      <c r="A5877" s="8"/>
    </row>
    <row r="5878" spans="1:1" ht="13.8" x14ac:dyDescent="0.25">
      <c r="A5878" s="8"/>
    </row>
    <row r="5879" spans="1:1" ht="13.8" x14ac:dyDescent="0.25">
      <c r="A5879" s="8"/>
    </row>
    <row r="5880" spans="1:1" ht="13.8" x14ac:dyDescent="0.25">
      <c r="A5880" s="8"/>
    </row>
    <row r="5881" spans="1:1" ht="13.8" x14ac:dyDescent="0.25">
      <c r="A5881" s="8"/>
    </row>
    <row r="5882" spans="1:1" ht="13.8" x14ac:dyDescent="0.25">
      <c r="A5882" s="8"/>
    </row>
    <row r="5883" spans="1:1" ht="13.8" x14ac:dyDescent="0.25">
      <c r="A5883" s="8"/>
    </row>
    <row r="5884" spans="1:1" ht="13.8" x14ac:dyDescent="0.25">
      <c r="A5884" s="8"/>
    </row>
    <row r="5885" spans="1:1" ht="13.8" x14ac:dyDescent="0.25">
      <c r="A5885" s="8"/>
    </row>
    <row r="5886" spans="1:1" ht="13.8" x14ac:dyDescent="0.25">
      <c r="A5886" s="8"/>
    </row>
    <row r="5887" spans="1:1" ht="13.8" x14ac:dyDescent="0.25">
      <c r="A5887" s="8"/>
    </row>
    <row r="5888" spans="1:1" ht="13.8" x14ac:dyDescent="0.25">
      <c r="A5888" s="8"/>
    </row>
    <row r="5889" spans="1:1" ht="13.8" x14ac:dyDescent="0.25">
      <c r="A5889" s="8"/>
    </row>
    <row r="5890" spans="1:1" ht="13.8" x14ac:dyDescent="0.25">
      <c r="A5890" s="8"/>
    </row>
    <row r="5891" spans="1:1" ht="13.8" x14ac:dyDescent="0.25">
      <c r="A5891" s="8"/>
    </row>
    <row r="5892" spans="1:1" ht="13.8" x14ac:dyDescent="0.25">
      <c r="A5892" s="8"/>
    </row>
    <row r="5893" spans="1:1" ht="13.8" x14ac:dyDescent="0.25">
      <c r="A5893" s="8"/>
    </row>
    <row r="5894" spans="1:1" ht="13.8" x14ac:dyDescent="0.25">
      <c r="A5894" s="8"/>
    </row>
    <row r="5895" spans="1:1" ht="13.8" x14ac:dyDescent="0.25">
      <c r="A5895" s="8"/>
    </row>
    <row r="5896" spans="1:1" ht="13.8" x14ac:dyDescent="0.25">
      <c r="A5896" s="8"/>
    </row>
    <row r="5897" spans="1:1" ht="13.8" x14ac:dyDescent="0.25">
      <c r="A5897" s="8"/>
    </row>
    <row r="5898" spans="1:1" ht="13.8" x14ac:dyDescent="0.25">
      <c r="A5898" s="8"/>
    </row>
    <row r="5899" spans="1:1" ht="13.8" x14ac:dyDescent="0.25">
      <c r="A5899" s="8"/>
    </row>
    <row r="5900" spans="1:1" ht="13.8" x14ac:dyDescent="0.25">
      <c r="A5900" s="8"/>
    </row>
    <row r="5901" spans="1:1" ht="13.8" x14ac:dyDescent="0.25">
      <c r="A5901" s="8"/>
    </row>
    <row r="5902" spans="1:1" ht="13.8" x14ac:dyDescent="0.25">
      <c r="A5902" s="8"/>
    </row>
    <row r="5903" spans="1:1" ht="13.8" x14ac:dyDescent="0.25">
      <c r="A5903" s="8"/>
    </row>
    <row r="5904" spans="1:1" ht="13.8" x14ac:dyDescent="0.25">
      <c r="A5904" s="8"/>
    </row>
    <row r="5905" spans="1:1" ht="13.8" x14ac:dyDescent="0.25">
      <c r="A5905" s="8"/>
    </row>
    <row r="5906" spans="1:1" ht="13.8" x14ac:dyDescent="0.25">
      <c r="A5906" s="8"/>
    </row>
    <row r="5907" spans="1:1" ht="13.8" x14ac:dyDescent="0.25">
      <c r="A5907" s="8"/>
    </row>
    <row r="5908" spans="1:1" ht="13.8" x14ac:dyDescent="0.25">
      <c r="A5908" s="8"/>
    </row>
    <row r="5909" spans="1:1" ht="13.8" x14ac:dyDescent="0.25">
      <c r="A5909" s="8"/>
    </row>
    <row r="5910" spans="1:1" ht="13.8" x14ac:dyDescent="0.25">
      <c r="A5910" s="8"/>
    </row>
    <row r="5911" spans="1:1" ht="13.8" x14ac:dyDescent="0.25">
      <c r="A5911" s="8"/>
    </row>
    <row r="5912" spans="1:1" ht="13.8" x14ac:dyDescent="0.25">
      <c r="A5912" s="8"/>
    </row>
    <row r="5913" spans="1:1" ht="13.8" x14ac:dyDescent="0.25">
      <c r="A5913" s="8"/>
    </row>
    <row r="5914" spans="1:1" ht="13.8" x14ac:dyDescent="0.25">
      <c r="A5914" s="8"/>
    </row>
    <row r="5915" spans="1:1" ht="13.8" x14ac:dyDescent="0.25">
      <c r="A5915" s="8"/>
    </row>
    <row r="5916" spans="1:1" ht="13.8" x14ac:dyDescent="0.25">
      <c r="A5916" s="8"/>
    </row>
    <row r="5917" spans="1:1" ht="13.8" x14ac:dyDescent="0.25">
      <c r="A5917" s="8"/>
    </row>
    <row r="5918" spans="1:1" ht="13.8" x14ac:dyDescent="0.25">
      <c r="A5918" s="8"/>
    </row>
    <row r="5919" spans="1:1" ht="13.8" x14ac:dyDescent="0.25">
      <c r="A5919" s="8"/>
    </row>
    <row r="5920" spans="1:1" ht="13.8" x14ac:dyDescent="0.25">
      <c r="A5920" s="8"/>
    </row>
    <row r="5921" spans="1:1" ht="13.8" x14ac:dyDescent="0.25">
      <c r="A5921" s="8"/>
    </row>
    <row r="5922" spans="1:1" ht="13.8" x14ac:dyDescent="0.25">
      <c r="A5922" s="8"/>
    </row>
    <row r="5923" spans="1:1" ht="13.8" x14ac:dyDescent="0.25">
      <c r="A5923" s="8"/>
    </row>
    <row r="5924" spans="1:1" ht="13.8" x14ac:dyDescent="0.25">
      <c r="A5924" s="8"/>
    </row>
    <row r="5925" spans="1:1" ht="13.8" x14ac:dyDescent="0.25">
      <c r="A5925" s="8"/>
    </row>
    <row r="5926" spans="1:1" ht="13.8" x14ac:dyDescent="0.25">
      <c r="A5926" s="8"/>
    </row>
    <row r="5927" spans="1:1" ht="13.8" x14ac:dyDescent="0.25">
      <c r="A5927" s="8"/>
    </row>
    <row r="5928" spans="1:1" ht="13.8" x14ac:dyDescent="0.25">
      <c r="A5928" s="8"/>
    </row>
    <row r="5929" spans="1:1" ht="13.8" x14ac:dyDescent="0.25">
      <c r="A5929" s="8"/>
    </row>
    <row r="5930" spans="1:1" ht="13.8" x14ac:dyDescent="0.25">
      <c r="A5930" s="8"/>
    </row>
    <row r="5931" spans="1:1" ht="13.8" x14ac:dyDescent="0.25">
      <c r="A5931" s="8"/>
    </row>
    <row r="5932" spans="1:1" ht="13.8" x14ac:dyDescent="0.25">
      <c r="A5932" s="8"/>
    </row>
    <row r="5933" spans="1:1" ht="13.8" x14ac:dyDescent="0.25">
      <c r="A5933" s="8"/>
    </row>
    <row r="5934" spans="1:1" ht="13.8" x14ac:dyDescent="0.25">
      <c r="A5934" s="8"/>
    </row>
    <row r="5935" spans="1:1" ht="13.8" x14ac:dyDescent="0.25">
      <c r="A5935" s="8"/>
    </row>
    <row r="5936" spans="1:1" ht="13.8" x14ac:dyDescent="0.25">
      <c r="A5936" s="8"/>
    </row>
    <row r="5937" spans="1:1" ht="13.8" x14ac:dyDescent="0.25">
      <c r="A5937" s="8"/>
    </row>
    <row r="5938" spans="1:1" ht="13.8" x14ac:dyDescent="0.25">
      <c r="A5938" s="8"/>
    </row>
    <row r="5939" spans="1:1" ht="13.8" x14ac:dyDescent="0.25">
      <c r="A5939" s="8"/>
    </row>
    <row r="5940" spans="1:1" ht="13.8" x14ac:dyDescent="0.25">
      <c r="A5940" s="8"/>
    </row>
    <row r="5941" spans="1:1" ht="13.8" x14ac:dyDescent="0.25">
      <c r="A5941" s="8"/>
    </row>
    <row r="5942" spans="1:1" ht="13.8" x14ac:dyDescent="0.25">
      <c r="A5942" s="8"/>
    </row>
    <row r="5943" spans="1:1" ht="13.8" x14ac:dyDescent="0.25">
      <c r="A5943" s="8"/>
    </row>
    <row r="5944" spans="1:1" ht="13.8" x14ac:dyDescent="0.25">
      <c r="A5944" s="8"/>
    </row>
    <row r="5945" spans="1:1" ht="13.8" x14ac:dyDescent="0.25">
      <c r="A5945" s="8"/>
    </row>
    <row r="5946" spans="1:1" ht="13.8" x14ac:dyDescent="0.25">
      <c r="A5946" s="8"/>
    </row>
    <row r="5947" spans="1:1" ht="13.8" x14ac:dyDescent="0.25">
      <c r="A5947" s="8"/>
    </row>
    <row r="5948" spans="1:1" ht="13.8" x14ac:dyDescent="0.25">
      <c r="A5948" s="8"/>
    </row>
    <row r="5949" spans="1:1" ht="13.8" x14ac:dyDescent="0.25">
      <c r="A5949" s="8"/>
    </row>
    <row r="5950" spans="1:1" ht="13.8" x14ac:dyDescent="0.25">
      <c r="A5950" s="8"/>
    </row>
    <row r="5951" spans="1:1" ht="13.8" x14ac:dyDescent="0.25">
      <c r="A5951" s="8"/>
    </row>
    <row r="5952" spans="1:1" ht="13.8" x14ac:dyDescent="0.25">
      <c r="A5952" s="8"/>
    </row>
    <row r="5953" spans="1:1" ht="13.8" x14ac:dyDescent="0.25">
      <c r="A5953" s="8"/>
    </row>
    <row r="5954" spans="1:1" ht="13.8" x14ac:dyDescent="0.25">
      <c r="A5954" s="8"/>
    </row>
    <row r="5955" spans="1:1" ht="13.8" x14ac:dyDescent="0.25">
      <c r="A5955" s="8"/>
    </row>
    <row r="5956" spans="1:1" ht="13.8" x14ac:dyDescent="0.25">
      <c r="A5956" s="8"/>
    </row>
    <row r="5957" spans="1:1" ht="13.8" x14ac:dyDescent="0.25">
      <c r="A5957" s="8"/>
    </row>
    <row r="5958" spans="1:1" ht="13.8" x14ac:dyDescent="0.25">
      <c r="A5958" s="8"/>
    </row>
    <row r="5959" spans="1:1" ht="13.8" x14ac:dyDescent="0.25">
      <c r="A5959" s="8"/>
    </row>
    <row r="5960" spans="1:1" ht="13.8" x14ac:dyDescent="0.25">
      <c r="A5960" s="8"/>
    </row>
    <row r="5961" spans="1:1" ht="13.8" x14ac:dyDescent="0.25">
      <c r="A5961" s="8"/>
    </row>
    <row r="5962" spans="1:1" ht="13.8" x14ac:dyDescent="0.25">
      <c r="A5962" s="8"/>
    </row>
    <row r="5963" spans="1:1" ht="13.8" x14ac:dyDescent="0.25">
      <c r="A5963" s="8"/>
    </row>
    <row r="5964" spans="1:1" ht="13.8" x14ac:dyDescent="0.25">
      <c r="A5964" s="8"/>
    </row>
    <row r="5965" spans="1:1" ht="13.8" x14ac:dyDescent="0.25">
      <c r="A5965" s="8"/>
    </row>
    <row r="5966" spans="1:1" ht="13.8" x14ac:dyDescent="0.25">
      <c r="A5966" s="8"/>
    </row>
    <row r="5967" spans="1:1" ht="13.8" x14ac:dyDescent="0.25">
      <c r="A5967" s="8"/>
    </row>
    <row r="5968" spans="1:1" ht="13.8" x14ac:dyDescent="0.25">
      <c r="A5968" s="8"/>
    </row>
    <row r="5969" spans="1:1" ht="13.8" x14ac:dyDescent="0.25">
      <c r="A5969" s="8"/>
    </row>
    <row r="5970" spans="1:1" ht="13.8" x14ac:dyDescent="0.25">
      <c r="A5970" s="8"/>
    </row>
    <row r="5971" spans="1:1" ht="13.8" x14ac:dyDescent="0.25">
      <c r="A5971" s="8"/>
    </row>
    <row r="5972" spans="1:1" ht="13.8" x14ac:dyDescent="0.25">
      <c r="A5972" s="8"/>
    </row>
    <row r="5973" spans="1:1" ht="13.8" x14ac:dyDescent="0.25">
      <c r="A5973" s="8"/>
    </row>
    <row r="5974" spans="1:1" ht="13.8" x14ac:dyDescent="0.25">
      <c r="A5974" s="8"/>
    </row>
    <row r="5975" spans="1:1" ht="13.8" x14ac:dyDescent="0.25">
      <c r="A5975" s="8"/>
    </row>
    <row r="5976" spans="1:1" ht="13.8" x14ac:dyDescent="0.25">
      <c r="A5976" s="8"/>
    </row>
    <row r="5977" spans="1:1" ht="13.8" x14ac:dyDescent="0.25">
      <c r="A5977" s="8"/>
    </row>
    <row r="5978" spans="1:1" ht="13.8" x14ac:dyDescent="0.25">
      <c r="A5978" s="8"/>
    </row>
    <row r="5979" spans="1:1" ht="13.8" x14ac:dyDescent="0.25">
      <c r="A5979" s="8"/>
    </row>
    <row r="5980" spans="1:1" ht="13.8" x14ac:dyDescent="0.25">
      <c r="A5980" s="8"/>
    </row>
    <row r="5981" spans="1:1" ht="13.8" x14ac:dyDescent="0.25">
      <c r="A5981" s="8"/>
    </row>
    <row r="5982" spans="1:1" ht="13.8" x14ac:dyDescent="0.25">
      <c r="A5982" s="8"/>
    </row>
    <row r="5983" spans="1:1" ht="13.8" x14ac:dyDescent="0.25">
      <c r="A5983" s="8"/>
    </row>
    <row r="5984" spans="1:1" ht="13.8" x14ac:dyDescent="0.25">
      <c r="A5984" s="8"/>
    </row>
    <row r="5985" spans="1:1" ht="13.8" x14ac:dyDescent="0.25">
      <c r="A5985" s="8"/>
    </row>
    <row r="5986" spans="1:1" ht="13.8" x14ac:dyDescent="0.25">
      <c r="A5986" s="8"/>
    </row>
    <row r="5987" spans="1:1" ht="13.8" x14ac:dyDescent="0.25">
      <c r="A5987" s="8"/>
    </row>
    <row r="5988" spans="1:1" ht="13.8" x14ac:dyDescent="0.25">
      <c r="A5988" s="8"/>
    </row>
    <row r="5989" spans="1:1" ht="13.8" x14ac:dyDescent="0.25">
      <c r="A5989" s="8"/>
    </row>
    <row r="5990" spans="1:1" ht="13.8" x14ac:dyDescent="0.25">
      <c r="A5990" s="8"/>
    </row>
    <row r="5991" spans="1:1" ht="13.8" x14ac:dyDescent="0.25">
      <c r="A5991" s="8"/>
    </row>
    <row r="5992" spans="1:1" ht="13.8" x14ac:dyDescent="0.25">
      <c r="A5992" s="8"/>
    </row>
    <row r="5993" spans="1:1" ht="13.8" x14ac:dyDescent="0.25">
      <c r="A5993" s="8"/>
    </row>
    <row r="5994" spans="1:1" ht="13.8" x14ac:dyDescent="0.25">
      <c r="A5994" s="8"/>
    </row>
    <row r="5995" spans="1:1" ht="13.8" x14ac:dyDescent="0.25">
      <c r="A5995" s="8"/>
    </row>
    <row r="5996" spans="1:1" ht="13.8" x14ac:dyDescent="0.25">
      <c r="A5996" s="8"/>
    </row>
    <row r="5997" spans="1:1" ht="13.8" x14ac:dyDescent="0.25">
      <c r="A5997" s="8"/>
    </row>
    <row r="5998" spans="1:1" ht="13.8" x14ac:dyDescent="0.25">
      <c r="A5998" s="8"/>
    </row>
    <row r="5999" spans="1:1" ht="13.8" x14ac:dyDescent="0.25">
      <c r="A5999" s="8"/>
    </row>
    <row r="6000" spans="1:1" ht="13.8" x14ac:dyDescent="0.25">
      <c r="A6000" s="8"/>
    </row>
  </sheetData>
  <conditionalFormatting sqref="A2:CA6000">
    <cfRule type="expression" dxfId="3" priority="1">
      <formula>$A:$A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CA6000"/>
  <sheetViews>
    <sheetView workbookViewId="0">
      <selection activeCell="F24" sqref="F24"/>
    </sheetView>
  </sheetViews>
  <sheetFormatPr defaultColWidth="12.5546875" defaultRowHeight="15.75" customHeight="1" x14ac:dyDescent="0.25"/>
  <cols>
    <col min="1" max="1" width="6.88671875" customWidth="1"/>
    <col min="2" max="2" width="15.44140625" customWidth="1"/>
    <col min="3" max="3" width="24" customWidth="1"/>
    <col min="4" max="4" width="33.44140625" customWidth="1"/>
  </cols>
  <sheetData>
    <row r="1" spans="1:79" ht="15.75" customHeight="1" x14ac:dyDescent="0.25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  <c r="R1" s="3" t="s">
        <v>18</v>
      </c>
      <c r="S1" s="3" t="s">
        <v>19</v>
      </c>
      <c r="T1" s="3" t="s">
        <v>20</v>
      </c>
      <c r="U1" s="3" t="s">
        <v>21</v>
      </c>
      <c r="V1" s="3" t="s">
        <v>22</v>
      </c>
      <c r="W1" s="3" t="s">
        <v>23</v>
      </c>
      <c r="X1" s="3" t="s">
        <v>24</v>
      </c>
      <c r="Y1" s="3" t="s">
        <v>4</v>
      </c>
      <c r="Z1" s="3" t="s">
        <v>5</v>
      </c>
      <c r="AA1" s="3" t="s">
        <v>6</v>
      </c>
      <c r="AB1" s="3" t="s">
        <v>7</v>
      </c>
      <c r="AC1" s="3" t="s">
        <v>8</v>
      </c>
      <c r="AD1" s="3" t="s">
        <v>9</v>
      </c>
      <c r="AE1" s="3" t="s">
        <v>10</v>
      </c>
      <c r="AF1" s="3" t="s">
        <v>11</v>
      </c>
      <c r="AG1" s="3" t="s">
        <v>12</v>
      </c>
      <c r="AH1" s="3" t="s">
        <v>13</v>
      </c>
      <c r="AI1" s="3" t="s">
        <v>14</v>
      </c>
      <c r="AJ1" s="3" t="s">
        <v>15</v>
      </c>
      <c r="AK1" s="3" t="s">
        <v>16</v>
      </c>
      <c r="AL1" s="3" t="s">
        <v>17</v>
      </c>
      <c r="AM1" s="3" t="s">
        <v>18</v>
      </c>
      <c r="AN1" s="3" t="s">
        <v>19</v>
      </c>
      <c r="AO1" s="3" t="s">
        <v>20</v>
      </c>
      <c r="AP1" s="3" t="s">
        <v>21</v>
      </c>
      <c r="AQ1" s="3" t="s">
        <v>22</v>
      </c>
      <c r="AR1" s="3" t="s">
        <v>23</v>
      </c>
      <c r="AS1" s="3" t="s">
        <v>24</v>
      </c>
      <c r="AT1" s="3"/>
      <c r="AU1" s="3"/>
      <c r="AV1" s="3"/>
      <c r="AW1" s="3"/>
      <c r="AX1" s="3"/>
      <c r="AY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</row>
    <row r="2" spans="1:79" ht="15.75" customHeight="1" x14ac:dyDescent="0.25">
      <c r="A2" s="8" t="s">
        <v>3711</v>
      </c>
      <c r="B2" s="3" t="s">
        <v>496</v>
      </c>
      <c r="C2" s="3" t="s">
        <v>497</v>
      </c>
      <c r="D2" s="3" t="s">
        <v>498</v>
      </c>
      <c r="E2" s="3" t="s">
        <v>499</v>
      </c>
      <c r="F2" s="3" t="s">
        <v>3764</v>
      </c>
      <c r="G2" s="3" t="s">
        <v>74</v>
      </c>
      <c r="H2" s="3" t="s">
        <v>4028</v>
      </c>
      <c r="I2" s="3" t="s">
        <v>4029</v>
      </c>
      <c r="J2" s="3" t="s">
        <v>496</v>
      </c>
      <c r="K2" s="3" t="s">
        <v>30</v>
      </c>
      <c r="L2" s="3" t="s">
        <v>31</v>
      </c>
      <c r="M2" s="3" t="s">
        <v>92</v>
      </c>
      <c r="N2" s="3" t="s">
        <v>240</v>
      </c>
      <c r="O2" s="3" t="s">
        <v>500</v>
      </c>
      <c r="P2" s="3" t="s">
        <v>3852</v>
      </c>
      <c r="Q2" s="3" t="s">
        <v>501</v>
      </c>
      <c r="R2" s="3" t="s">
        <v>502</v>
      </c>
      <c r="S2" s="3" t="s">
        <v>503</v>
      </c>
      <c r="T2" s="3" t="s">
        <v>4030</v>
      </c>
      <c r="U2" s="3" t="s">
        <v>4030</v>
      </c>
      <c r="V2" s="3" t="s">
        <v>4031</v>
      </c>
      <c r="W2" s="3" t="s">
        <v>211</v>
      </c>
      <c r="X2" s="3" t="s">
        <v>4032</v>
      </c>
      <c r="Y2" s="3" t="s">
        <v>3703</v>
      </c>
      <c r="Z2" s="3" t="s">
        <v>3703</v>
      </c>
      <c r="AA2" s="3" t="s">
        <v>3703</v>
      </c>
      <c r="AB2" s="3" t="s">
        <v>3703</v>
      </c>
      <c r="AC2" s="3" t="s">
        <v>3703</v>
      </c>
      <c r="AD2" s="3" t="s">
        <v>3703</v>
      </c>
      <c r="AE2" s="3" t="s">
        <v>3703</v>
      </c>
      <c r="AF2" s="3" t="s">
        <v>3703</v>
      </c>
      <c r="AG2" s="3" t="s">
        <v>3703</v>
      </c>
      <c r="AH2" s="3" t="s">
        <v>3703</v>
      </c>
      <c r="AI2" s="3" t="s">
        <v>3703</v>
      </c>
      <c r="AJ2" s="3" t="s">
        <v>3703</v>
      </c>
      <c r="AK2" s="3" t="s">
        <v>3703</v>
      </c>
      <c r="AL2" s="3" t="s">
        <v>3703</v>
      </c>
      <c r="AM2" s="3" t="s">
        <v>3703</v>
      </c>
      <c r="AN2" s="3" t="s">
        <v>3703</v>
      </c>
      <c r="AO2" s="3" t="s">
        <v>3703</v>
      </c>
      <c r="AP2" s="3" t="s">
        <v>3703</v>
      </c>
      <c r="AQ2" s="3" t="s">
        <v>3703</v>
      </c>
      <c r="AR2" s="3" t="s">
        <v>3703</v>
      </c>
      <c r="AS2" s="3" t="s">
        <v>3703</v>
      </c>
    </row>
    <row r="3" spans="1:79" ht="15.75" customHeight="1" x14ac:dyDescent="0.25">
      <c r="A3" s="8" t="s">
        <v>3711</v>
      </c>
      <c r="B3" s="3" t="s">
        <v>732</v>
      </c>
      <c r="C3" s="3" t="s">
        <v>497</v>
      </c>
      <c r="D3" s="3" t="s">
        <v>733</v>
      </c>
      <c r="E3" s="3" t="s">
        <v>734</v>
      </c>
      <c r="F3" s="3" t="s">
        <v>4033</v>
      </c>
      <c r="G3" s="3" t="s">
        <v>326</v>
      </c>
      <c r="H3" s="3" t="s">
        <v>4034</v>
      </c>
      <c r="I3" s="3" t="s">
        <v>4035</v>
      </c>
      <c r="J3" s="3" t="s">
        <v>735</v>
      </c>
      <c r="K3" s="3" t="s">
        <v>43</v>
      </c>
      <c r="L3" s="3" t="s">
        <v>736</v>
      </c>
      <c r="M3" s="3" t="s">
        <v>285</v>
      </c>
      <c r="N3" s="3" t="s">
        <v>737</v>
      </c>
      <c r="O3" s="3" t="s">
        <v>738</v>
      </c>
      <c r="P3" s="3" t="s">
        <v>4036</v>
      </c>
      <c r="Q3" s="3" t="s">
        <v>739</v>
      </c>
      <c r="R3" s="3" t="s">
        <v>740</v>
      </c>
      <c r="S3" s="3" t="s">
        <v>735</v>
      </c>
      <c r="T3" s="3" t="s">
        <v>4037</v>
      </c>
      <c r="U3" s="3" t="s">
        <v>4038</v>
      </c>
      <c r="V3" s="3" t="s">
        <v>3703</v>
      </c>
      <c r="W3" s="3" t="s">
        <v>741</v>
      </c>
      <c r="X3" s="3" t="s">
        <v>742</v>
      </c>
      <c r="Y3" s="3" t="s">
        <v>3703</v>
      </c>
      <c r="Z3" s="3" t="s">
        <v>3703</v>
      </c>
      <c r="AA3" s="3" t="s">
        <v>3703</v>
      </c>
      <c r="AB3" s="3" t="s">
        <v>3703</v>
      </c>
      <c r="AC3" s="3" t="s">
        <v>3703</v>
      </c>
      <c r="AD3" s="3" t="s">
        <v>3703</v>
      </c>
      <c r="AE3" s="3" t="s">
        <v>3703</v>
      </c>
      <c r="AF3" s="3" t="s">
        <v>3703</v>
      </c>
      <c r="AG3" s="3" t="s">
        <v>3703</v>
      </c>
      <c r="AH3" s="3" t="s">
        <v>3703</v>
      </c>
      <c r="AI3" s="3" t="s">
        <v>3703</v>
      </c>
      <c r="AJ3" s="3" t="s">
        <v>3703</v>
      </c>
      <c r="AK3" s="3" t="s">
        <v>3703</v>
      </c>
      <c r="AL3" s="3" t="s">
        <v>3703</v>
      </c>
      <c r="AM3" s="3" t="s">
        <v>3703</v>
      </c>
      <c r="AN3" s="3" t="s">
        <v>3703</v>
      </c>
      <c r="AO3" s="3" t="s">
        <v>3703</v>
      </c>
      <c r="AP3" s="3" t="s">
        <v>3703</v>
      </c>
      <c r="AQ3" s="3" t="s">
        <v>3703</v>
      </c>
      <c r="AR3" s="3" t="s">
        <v>3703</v>
      </c>
      <c r="AS3" s="3" t="s">
        <v>3703</v>
      </c>
    </row>
    <row r="4" spans="1:79" ht="15.75" customHeight="1" x14ac:dyDescent="0.25">
      <c r="A4" s="8" t="s">
        <v>3711</v>
      </c>
      <c r="B4" s="3" t="s">
        <v>1375</v>
      </c>
      <c r="C4" s="3" t="s">
        <v>497</v>
      </c>
      <c r="D4" s="3" t="s">
        <v>1376</v>
      </c>
      <c r="E4" s="3" t="s">
        <v>325</v>
      </c>
      <c r="F4" s="3" t="s">
        <v>4039</v>
      </c>
      <c r="G4" s="3" t="s">
        <v>326</v>
      </c>
      <c r="H4" s="3" t="s">
        <v>4040</v>
      </c>
      <c r="I4" s="3" t="s">
        <v>4041</v>
      </c>
      <c r="J4" s="3" t="s">
        <v>1375</v>
      </c>
      <c r="K4" s="3" t="s">
        <v>30</v>
      </c>
      <c r="L4" s="3" t="s">
        <v>31</v>
      </c>
      <c r="M4" s="3" t="s">
        <v>285</v>
      </c>
      <c r="N4" s="3" t="s">
        <v>737</v>
      </c>
      <c r="O4" s="3" t="s">
        <v>1377</v>
      </c>
      <c r="P4" s="3" t="s">
        <v>4036</v>
      </c>
      <c r="Q4" s="3" t="s">
        <v>1378</v>
      </c>
      <c r="R4" s="3" t="s">
        <v>325</v>
      </c>
      <c r="S4" s="3" t="s">
        <v>323</v>
      </c>
      <c r="T4" s="3" t="s">
        <v>4042</v>
      </c>
      <c r="U4" s="3" t="s">
        <v>1379</v>
      </c>
      <c r="V4" s="3" t="s">
        <v>1380</v>
      </c>
      <c r="W4" s="3" t="s">
        <v>106</v>
      </c>
      <c r="X4" s="3" t="s">
        <v>1381</v>
      </c>
      <c r="Y4" s="3" t="s">
        <v>3703</v>
      </c>
      <c r="Z4" s="3" t="s">
        <v>3703</v>
      </c>
      <c r="AA4" s="3" t="s">
        <v>3703</v>
      </c>
      <c r="AB4" s="3" t="s">
        <v>3703</v>
      </c>
      <c r="AC4" s="3" t="s">
        <v>3703</v>
      </c>
      <c r="AD4" s="3" t="s">
        <v>3703</v>
      </c>
      <c r="AE4" s="3" t="s">
        <v>3703</v>
      </c>
      <c r="AF4" s="3" t="s">
        <v>3703</v>
      </c>
      <c r="AG4" s="3" t="s">
        <v>3703</v>
      </c>
      <c r="AH4" s="3" t="s">
        <v>3703</v>
      </c>
      <c r="AI4" s="3" t="s">
        <v>3703</v>
      </c>
      <c r="AJ4" s="3" t="s">
        <v>3703</v>
      </c>
      <c r="AK4" s="3" t="s">
        <v>3703</v>
      </c>
      <c r="AL4" s="3" t="s">
        <v>3703</v>
      </c>
      <c r="AM4" s="3" t="s">
        <v>3703</v>
      </c>
      <c r="AN4" s="3" t="s">
        <v>3703</v>
      </c>
      <c r="AO4" s="3" t="s">
        <v>3703</v>
      </c>
      <c r="AP4" s="3" t="s">
        <v>3703</v>
      </c>
      <c r="AQ4" s="3" t="s">
        <v>3703</v>
      </c>
      <c r="AR4" s="3" t="s">
        <v>3703</v>
      </c>
      <c r="AS4" s="3" t="s">
        <v>3703</v>
      </c>
    </row>
    <row r="5" spans="1:79" ht="15.75" customHeight="1" x14ac:dyDescent="0.25">
      <c r="A5" s="8" t="s">
        <v>3711</v>
      </c>
      <c r="B5" s="3" t="s">
        <v>1411</v>
      </c>
      <c r="C5" s="3" t="s">
        <v>497</v>
      </c>
      <c r="D5" s="3" t="s">
        <v>1412</v>
      </c>
      <c r="E5" s="3" t="s">
        <v>1413</v>
      </c>
      <c r="F5" s="3" t="s">
        <v>3802</v>
      </c>
      <c r="G5" s="3" t="s">
        <v>326</v>
      </c>
      <c r="H5" s="3" t="s">
        <v>4043</v>
      </c>
      <c r="I5" s="3" t="s">
        <v>4044</v>
      </c>
      <c r="J5" s="3" t="s">
        <v>1411</v>
      </c>
      <c r="K5" s="3" t="s">
        <v>43</v>
      </c>
      <c r="L5" s="3" t="s">
        <v>31</v>
      </c>
      <c r="M5" s="3" t="s">
        <v>44</v>
      </c>
      <c r="N5" s="3" t="s">
        <v>327</v>
      </c>
      <c r="O5" s="3" t="s">
        <v>1414</v>
      </c>
      <c r="P5" s="3" t="s">
        <v>3863</v>
      </c>
      <c r="Q5" s="3" t="s">
        <v>546</v>
      </c>
      <c r="R5" s="3" t="s">
        <v>1415</v>
      </c>
      <c r="S5" s="3" t="s">
        <v>1411</v>
      </c>
      <c r="T5" s="3" t="s">
        <v>1416</v>
      </c>
      <c r="U5" s="3" t="s">
        <v>1416</v>
      </c>
      <c r="V5" s="3" t="s">
        <v>3703</v>
      </c>
      <c r="W5" s="3" t="s">
        <v>70</v>
      </c>
      <c r="X5" s="3" t="s">
        <v>4045</v>
      </c>
      <c r="Y5" s="3" t="s">
        <v>3703</v>
      </c>
      <c r="Z5" s="3" t="s">
        <v>3703</v>
      </c>
      <c r="AA5" s="3" t="s">
        <v>3703</v>
      </c>
      <c r="AB5" s="3" t="s">
        <v>3703</v>
      </c>
      <c r="AC5" s="3" t="s">
        <v>3703</v>
      </c>
      <c r="AD5" s="3" t="s">
        <v>3703</v>
      </c>
      <c r="AE5" s="3" t="s">
        <v>3703</v>
      </c>
      <c r="AF5" s="3" t="s">
        <v>3703</v>
      </c>
      <c r="AG5" s="3" t="s">
        <v>3703</v>
      </c>
      <c r="AH5" s="3" t="s">
        <v>3703</v>
      </c>
      <c r="AI5" s="3" t="s">
        <v>3703</v>
      </c>
      <c r="AJ5" s="3" t="s">
        <v>3703</v>
      </c>
      <c r="AK5" s="3" t="s">
        <v>3703</v>
      </c>
      <c r="AL5" s="3" t="s">
        <v>3703</v>
      </c>
      <c r="AM5" s="3" t="s">
        <v>3703</v>
      </c>
      <c r="AN5" s="3" t="s">
        <v>3703</v>
      </c>
      <c r="AO5" s="3" t="s">
        <v>3703</v>
      </c>
      <c r="AP5" s="3" t="s">
        <v>3703</v>
      </c>
      <c r="AQ5" s="3" t="s">
        <v>3703</v>
      </c>
      <c r="AR5" s="3" t="s">
        <v>3703</v>
      </c>
      <c r="AS5" s="3" t="s">
        <v>3703</v>
      </c>
    </row>
    <row r="6" spans="1:79" ht="15.75" customHeight="1" x14ac:dyDescent="0.25">
      <c r="A6" s="8" t="s">
        <v>3711</v>
      </c>
      <c r="B6" s="3" t="s">
        <v>1455</v>
      </c>
      <c r="C6" s="3" t="s">
        <v>497</v>
      </c>
      <c r="D6" s="3" t="s">
        <v>1456</v>
      </c>
      <c r="E6" s="3" t="s">
        <v>1457</v>
      </c>
      <c r="F6" s="3" t="s">
        <v>4046</v>
      </c>
      <c r="G6" s="3" t="s">
        <v>326</v>
      </c>
      <c r="H6" s="3" t="s">
        <v>4047</v>
      </c>
      <c r="I6" s="3" t="s">
        <v>4048</v>
      </c>
      <c r="J6" s="3" t="s">
        <v>1455</v>
      </c>
      <c r="K6" s="3" t="s">
        <v>30</v>
      </c>
      <c r="L6" s="3" t="s">
        <v>31</v>
      </c>
      <c r="M6" s="3" t="s">
        <v>384</v>
      </c>
      <c r="N6" s="3" t="s">
        <v>1458</v>
      </c>
      <c r="O6" s="3" t="s">
        <v>1459</v>
      </c>
      <c r="P6" s="3" t="s">
        <v>4036</v>
      </c>
      <c r="Q6" s="3" t="s">
        <v>3703</v>
      </c>
      <c r="R6" s="3" t="s">
        <v>3703</v>
      </c>
      <c r="S6" s="3" t="s">
        <v>3703</v>
      </c>
      <c r="T6" s="3" t="s">
        <v>3703</v>
      </c>
      <c r="U6" s="3" t="s">
        <v>4049</v>
      </c>
      <c r="V6" s="3" t="s">
        <v>3703</v>
      </c>
      <c r="W6" s="3" t="s">
        <v>70</v>
      </c>
      <c r="X6" s="3" t="s">
        <v>1460</v>
      </c>
      <c r="Y6" s="3" t="s">
        <v>3703</v>
      </c>
      <c r="Z6" s="3" t="s">
        <v>3703</v>
      </c>
      <c r="AA6" s="3" t="s">
        <v>3703</v>
      </c>
      <c r="AB6" s="3" t="s">
        <v>3703</v>
      </c>
      <c r="AC6" s="3" t="s">
        <v>3703</v>
      </c>
      <c r="AD6" s="3" t="s">
        <v>3703</v>
      </c>
      <c r="AE6" s="3" t="s">
        <v>3703</v>
      </c>
      <c r="AF6" s="3" t="s">
        <v>3703</v>
      </c>
      <c r="AG6" s="3" t="s">
        <v>3703</v>
      </c>
      <c r="AH6" s="3" t="s">
        <v>3703</v>
      </c>
      <c r="AI6" s="3" t="s">
        <v>3703</v>
      </c>
      <c r="AJ6" s="3" t="s">
        <v>3703</v>
      </c>
      <c r="AK6" s="3" t="s">
        <v>3703</v>
      </c>
      <c r="AL6" s="3" t="s">
        <v>3703</v>
      </c>
      <c r="AM6" s="3" t="s">
        <v>3703</v>
      </c>
      <c r="AN6" s="3" t="s">
        <v>3703</v>
      </c>
      <c r="AO6" s="3" t="s">
        <v>3703</v>
      </c>
      <c r="AP6" s="3" t="s">
        <v>3703</v>
      </c>
      <c r="AQ6" s="3" t="s">
        <v>3703</v>
      </c>
      <c r="AR6" s="3" t="s">
        <v>3703</v>
      </c>
      <c r="AS6" s="3" t="s">
        <v>3703</v>
      </c>
    </row>
    <row r="7" spans="1:79" ht="15.75" customHeight="1" x14ac:dyDescent="0.25">
      <c r="A7" s="8" t="s">
        <v>3711</v>
      </c>
      <c r="B7" s="3" t="s">
        <v>1687</v>
      </c>
      <c r="C7" s="3" t="s">
        <v>497</v>
      </c>
      <c r="D7" s="3" t="s">
        <v>144</v>
      </c>
      <c r="E7" s="3" t="s">
        <v>1688</v>
      </c>
      <c r="F7" s="3" t="s">
        <v>4050</v>
      </c>
      <c r="G7" s="3" t="s">
        <v>452</v>
      </c>
      <c r="H7" s="3" t="s">
        <v>4051</v>
      </c>
      <c r="I7" s="3" t="s">
        <v>4052</v>
      </c>
      <c r="J7" s="3" t="s">
        <v>1687</v>
      </c>
      <c r="K7" s="3" t="s">
        <v>43</v>
      </c>
      <c r="L7" s="3" t="s">
        <v>31</v>
      </c>
      <c r="M7" s="3" t="s">
        <v>44</v>
      </c>
      <c r="N7" s="3" t="s">
        <v>1689</v>
      </c>
      <c r="O7" s="3" t="s">
        <v>1690</v>
      </c>
      <c r="P7" s="3" t="s">
        <v>3868</v>
      </c>
      <c r="Q7" s="3" t="s">
        <v>1691</v>
      </c>
      <c r="R7" s="3" t="s">
        <v>1692</v>
      </c>
      <c r="S7" s="3" t="s">
        <v>1687</v>
      </c>
      <c r="T7" s="3" t="s">
        <v>4053</v>
      </c>
      <c r="U7" s="3" t="s">
        <v>4053</v>
      </c>
      <c r="V7" s="3" t="s">
        <v>4054</v>
      </c>
      <c r="W7" s="3" t="s">
        <v>211</v>
      </c>
      <c r="X7" s="3" t="s">
        <v>4055</v>
      </c>
      <c r="Y7" s="3" t="s">
        <v>3703</v>
      </c>
      <c r="Z7" s="3" t="s">
        <v>3703</v>
      </c>
      <c r="AA7" s="3" t="s">
        <v>3703</v>
      </c>
      <c r="AB7" s="3" t="s">
        <v>3703</v>
      </c>
      <c r="AC7" s="3" t="s">
        <v>3703</v>
      </c>
      <c r="AD7" s="3" t="s">
        <v>3703</v>
      </c>
      <c r="AE7" s="3" t="s">
        <v>3703</v>
      </c>
      <c r="AF7" s="3" t="s">
        <v>3703</v>
      </c>
      <c r="AG7" s="3" t="s">
        <v>3703</v>
      </c>
      <c r="AH7" s="3" t="s">
        <v>3703</v>
      </c>
      <c r="AI7" s="3" t="s">
        <v>3703</v>
      </c>
      <c r="AJ7" s="3" t="s">
        <v>3703</v>
      </c>
      <c r="AK7" s="3" t="s">
        <v>3703</v>
      </c>
      <c r="AL7" s="3" t="s">
        <v>3703</v>
      </c>
      <c r="AM7" s="3" t="s">
        <v>3703</v>
      </c>
      <c r="AN7" s="3" t="s">
        <v>3703</v>
      </c>
      <c r="AO7" s="3" t="s">
        <v>3703</v>
      </c>
      <c r="AP7" s="3" t="s">
        <v>3703</v>
      </c>
      <c r="AQ7" s="3" t="s">
        <v>3703</v>
      </c>
      <c r="AR7" s="3" t="s">
        <v>3703</v>
      </c>
      <c r="AS7" s="3" t="s">
        <v>3703</v>
      </c>
    </row>
    <row r="8" spans="1:79" ht="15.75" customHeight="1" x14ac:dyDescent="0.25">
      <c r="A8" s="8" t="s">
        <v>3711</v>
      </c>
      <c r="B8" s="3" t="s">
        <v>1960</v>
      </c>
      <c r="C8" s="3" t="s">
        <v>497</v>
      </c>
      <c r="D8" s="3" t="s">
        <v>1512</v>
      </c>
      <c r="E8" s="3" t="s">
        <v>756</v>
      </c>
      <c r="F8" s="3" t="s">
        <v>4056</v>
      </c>
      <c r="G8" s="3" t="s">
        <v>470</v>
      </c>
      <c r="H8" s="3" t="s">
        <v>4057</v>
      </c>
      <c r="I8" s="3" t="s">
        <v>4058</v>
      </c>
      <c r="J8" s="3" t="s">
        <v>1960</v>
      </c>
      <c r="K8" s="3" t="s">
        <v>30</v>
      </c>
      <c r="L8" s="3" t="s">
        <v>76</v>
      </c>
      <c r="M8" s="3" t="s">
        <v>285</v>
      </c>
      <c r="N8" s="3" t="s">
        <v>1961</v>
      </c>
      <c r="O8" s="3" t="s">
        <v>1962</v>
      </c>
      <c r="P8" s="3" t="s">
        <v>4059</v>
      </c>
      <c r="Q8" s="3" t="s">
        <v>1963</v>
      </c>
      <c r="R8" s="3" t="s">
        <v>756</v>
      </c>
      <c r="S8" s="3" t="s">
        <v>1964</v>
      </c>
      <c r="T8" s="3" t="s">
        <v>4060</v>
      </c>
      <c r="U8" s="3" t="s">
        <v>4060</v>
      </c>
      <c r="V8" s="3" t="s">
        <v>3703</v>
      </c>
      <c r="W8" s="3" t="s">
        <v>1965</v>
      </c>
      <c r="X8" s="3" t="s">
        <v>1966</v>
      </c>
      <c r="Y8" s="3" t="s">
        <v>3703</v>
      </c>
      <c r="Z8" s="3" t="s">
        <v>3703</v>
      </c>
      <c r="AA8" s="3" t="s">
        <v>3703</v>
      </c>
      <c r="AB8" s="3" t="s">
        <v>3703</v>
      </c>
      <c r="AC8" s="3" t="s">
        <v>3703</v>
      </c>
      <c r="AD8" s="3" t="s">
        <v>3703</v>
      </c>
      <c r="AE8" s="3" t="s">
        <v>3703</v>
      </c>
      <c r="AF8" s="3" t="s">
        <v>3703</v>
      </c>
      <c r="AG8" s="3" t="s">
        <v>3703</v>
      </c>
      <c r="AH8" s="3" t="s">
        <v>3703</v>
      </c>
      <c r="AI8" s="3" t="s">
        <v>3703</v>
      </c>
      <c r="AJ8" s="3" t="s">
        <v>3703</v>
      </c>
      <c r="AK8" s="3" t="s">
        <v>3703</v>
      </c>
      <c r="AL8" s="3" t="s">
        <v>3703</v>
      </c>
      <c r="AM8" s="3" t="s">
        <v>3703</v>
      </c>
      <c r="AN8" s="3" t="s">
        <v>3703</v>
      </c>
      <c r="AO8" s="3" t="s">
        <v>3703</v>
      </c>
      <c r="AP8" s="3" t="s">
        <v>3703</v>
      </c>
      <c r="AQ8" s="3" t="s">
        <v>3703</v>
      </c>
      <c r="AR8" s="3" t="s">
        <v>3703</v>
      </c>
      <c r="AS8" s="3" t="s">
        <v>3703</v>
      </c>
    </row>
    <row r="9" spans="1:79" ht="15.75" customHeight="1" x14ac:dyDescent="0.25">
      <c r="A9" s="8" t="s">
        <v>3711</v>
      </c>
      <c r="B9" s="3" t="s">
        <v>2038</v>
      </c>
      <c r="C9" s="3" t="s">
        <v>497</v>
      </c>
      <c r="D9" s="3" t="s">
        <v>288</v>
      </c>
      <c r="E9" s="3" t="s">
        <v>2039</v>
      </c>
      <c r="F9" s="3" t="s">
        <v>4061</v>
      </c>
      <c r="G9" s="3" t="s">
        <v>470</v>
      </c>
      <c r="H9" s="3" t="s">
        <v>4062</v>
      </c>
      <c r="I9" s="3" t="s">
        <v>3185</v>
      </c>
      <c r="J9" s="3" t="s">
        <v>2038</v>
      </c>
      <c r="K9" s="3" t="s">
        <v>43</v>
      </c>
      <c r="L9" s="3" t="s">
        <v>76</v>
      </c>
      <c r="M9" s="3" t="s">
        <v>128</v>
      </c>
      <c r="N9" s="3" t="s">
        <v>2040</v>
      </c>
      <c r="O9" s="3" t="s">
        <v>2041</v>
      </c>
      <c r="P9" s="3" t="s">
        <v>4059</v>
      </c>
      <c r="Q9" s="3" t="s">
        <v>2042</v>
      </c>
      <c r="R9" s="3" t="s">
        <v>2043</v>
      </c>
      <c r="S9" s="3" t="s">
        <v>2044</v>
      </c>
      <c r="T9" s="3" t="s">
        <v>4060</v>
      </c>
      <c r="U9" s="3" t="s">
        <v>4060</v>
      </c>
      <c r="V9" s="3" t="s">
        <v>4063</v>
      </c>
      <c r="W9" s="3" t="s">
        <v>2045</v>
      </c>
      <c r="X9" s="3" t="s">
        <v>2046</v>
      </c>
      <c r="Y9" s="3" t="s">
        <v>3703</v>
      </c>
      <c r="Z9" s="3" t="s">
        <v>3703</v>
      </c>
      <c r="AA9" s="3" t="s">
        <v>3703</v>
      </c>
      <c r="AB9" s="3" t="s">
        <v>3703</v>
      </c>
      <c r="AC9" s="3" t="s">
        <v>3703</v>
      </c>
      <c r="AD9" s="3" t="s">
        <v>3703</v>
      </c>
      <c r="AE9" s="3" t="s">
        <v>3703</v>
      </c>
      <c r="AF9" s="3" t="s">
        <v>3703</v>
      </c>
      <c r="AG9" s="3" t="s">
        <v>3703</v>
      </c>
      <c r="AH9" s="3" t="s">
        <v>3703</v>
      </c>
      <c r="AI9" s="3" t="s">
        <v>3703</v>
      </c>
      <c r="AJ9" s="3" t="s">
        <v>3703</v>
      </c>
      <c r="AK9" s="3" t="s">
        <v>3703</v>
      </c>
      <c r="AL9" s="3" t="s">
        <v>3703</v>
      </c>
      <c r="AM9" s="3" t="s">
        <v>3703</v>
      </c>
      <c r="AN9" s="3" t="s">
        <v>3703</v>
      </c>
      <c r="AO9" s="3" t="s">
        <v>3703</v>
      </c>
      <c r="AP9" s="3" t="s">
        <v>3703</v>
      </c>
      <c r="AQ9" s="3" t="s">
        <v>3703</v>
      </c>
      <c r="AR9" s="3" t="s">
        <v>3703</v>
      </c>
      <c r="AS9" s="3" t="s">
        <v>3703</v>
      </c>
    </row>
    <row r="10" spans="1:79" ht="15.75" customHeight="1" x14ac:dyDescent="0.25">
      <c r="A10" s="8" t="s">
        <v>3711</v>
      </c>
      <c r="B10" s="3" t="s">
        <v>2060</v>
      </c>
      <c r="C10" s="3" t="s">
        <v>497</v>
      </c>
      <c r="D10" s="3" t="s">
        <v>1813</v>
      </c>
      <c r="E10" s="3" t="s">
        <v>2061</v>
      </c>
      <c r="F10" s="3" t="s">
        <v>4064</v>
      </c>
      <c r="G10" s="3" t="s">
        <v>326</v>
      </c>
      <c r="H10" s="3" t="s">
        <v>4065</v>
      </c>
      <c r="I10" s="3" t="s">
        <v>4066</v>
      </c>
      <c r="J10" s="3" t="s">
        <v>2060</v>
      </c>
      <c r="K10" s="3" t="s">
        <v>43</v>
      </c>
      <c r="L10" s="3" t="s">
        <v>31</v>
      </c>
      <c r="M10" s="3" t="s">
        <v>44</v>
      </c>
      <c r="N10" s="3" t="s">
        <v>327</v>
      </c>
      <c r="O10" s="3" t="s">
        <v>2062</v>
      </c>
      <c r="P10" s="3" t="s">
        <v>4036</v>
      </c>
      <c r="Q10" s="3" t="s">
        <v>1822</v>
      </c>
      <c r="R10" s="3" t="s">
        <v>2063</v>
      </c>
      <c r="S10" s="3" t="s">
        <v>2060</v>
      </c>
      <c r="T10" s="3" t="s">
        <v>4067</v>
      </c>
      <c r="U10" s="3" t="s">
        <v>4068</v>
      </c>
      <c r="V10" s="3" t="s">
        <v>3703</v>
      </c>
      <c r="W10" s="3" t="s">
        <v>2064</v>
      </c>
      <c r="X10" s="3" t="s">
        <v>2065</v>
      </c>
      <c r="Y10" s="3" t="s">
        <v>3703</v>
      </c>
      <c r="Z10" s="3" t="s">
        <v>3703</v>
      </c>
      <c r="AA10" s="3" t="s">
        <v>3703</v>
      </c>
      <c r="AB10" s="3" t="s">
        <v>3703</v>
      </c>
      <c r="AC10" s="3" t="s">
        <v>3703</v>
      </c>
      <c r="AD10" s="3" t="s">
        <v>3703</v>
      </c>
      <c r="AE10" s="3" t="s">
        <v>3703</v>
      </c>
      <c r="AF10" s="3" t="s">
        <v>3703</v>
      </c>
      <c r="AG10" s="3" t="s">
        <v>3703</v>
      </c>
      <c r="AH10" s="3" t="s">
        <v>3703</v>
      </c>
      <c r="AI10" s="3" t="s">
        <v>3703</v>
      </c>
      <c r="AJ10" s="3" t="s">
        <v>3703</v>
      </c>
      <c r="AK10" s="3" t="s">
        <v>3703</v>
      </c>
      <c r="AL10" s="3" t="s">
        <v>3703</v>
      </c>
      <c r="AM10" s="3" t="s">
        <v>3703</v>
      </c>
      <c r="AN10" s="3" t="s">
        <v>3703</v>
      </c>
      <c r="AO10" s="3" t="s">
        <v>3703</v>
      </c>
      <c r="AP10" s="3" t="s">
        <v>3703</v>
      </c>
      <c r="AQ10" s="3" t="s">
        <v>3703</v>
      </c>
      <c r="AR10" s="3" t="s">
        <v>3703</v>
      </c>
      <c r="AS10" s="3" t="s">
        <v>3703</v>
      </c>
    </row>
    <row r="11" spans="1:79" ht="15.75" customHeight="1" x14ac:dyDescent="0.25">
      <c r="A11" s="8" t="s">
        <v>3711</v>
      </c>
      <c r="B11" s="3" t="s">
        <v>2149</v>
      </c>
      <c r="C11" s="3" t="s">
        <v>497</v>
      </c>
      <c r="D11" s="3" t="s">
        <v>2150</v>
      </c>
      <c r="E11" s="3" t="s">
        <v>2151</v>
      </c>
      <c r="F11" s="3" t="s">
        <v>3947</v>
      </c>
      <c r="G11" s="3" t="s">
        <v>470</v>
      </c>
      <c r="H11" s="3" t="s">
        <v>4069</v>
      </c>
      <c r="I11" s="3" t="s">
        <v>3121</v>
      </c>
      <c r="J11" s="3" t="s">
        <v>2149</v>
      </c>
      <c r="K11" s="3" t="s">
        <v>43</v>
      </c>
      <c r="L11" s="3" t="s">
        <v>31</v>
      </c>
      <c r="M11" s="3" t="s">
        <v>92</v>
      </c>
      <c r="N11" s="3" t="s">
        <v>92</v>
      </c>
      <c r="O11" s="3" t="s">
        <v>2152</v>
      </c>
      <c r="P11" s="3" t="s">
        <v>4070</v>
      </c>
      <c r="Q11" s="3" t="s">
        <v>2153</v>
      </c>
      <c r="R11" s="3" t="s">
        <v>2154</v>
      </c>
      <c r="S11" s="3" t="s">
        <v>2149</v>
      </c>
      <c r="T11" s="3" t="s">
        <v>4071</v>
      </c>
      <c r="U11" s="3" t="s">
        <v>4071</v>
      </c>
      <c r="V11" s="3" t="s">
        <v>4072</v>
      </c>
      <c r="W11" s="3" t="s">
        <v>140</v>
      </c>
      <c r="X11" s="3" t="s">
        <v>4073</v>
      </c>
      <c r="Y11" s="3" t="s">
        <v>3703</v>
      </c>
      <c r="Z11" s="3" t="s">
        <v>3703</v>
      </c>
      <c r="AA11" s="3" t="s">
        <v>3703</v>
      </c>
      <c r="AB11" s="3" t="s">
        <v>3703</v>
      </c>
      <c r="AC11" s="3" t="s">
        <v>3703</v>
      </c>
      <c r="AD11" s="3" t="s">
        <v>3703</v>
      </c>
      <c r="AE11" s="3" t="s">
        <v>3703</v>
      </c>
      <c r="AF11" s="3" t="s">
        <v>3703</v>
      </c>
      <c r="AG11" s="3" t="s">
        <v>3703</v>
      </c>
      <c r="AH11" s="3" t="s">
        <v>3703</v>
      </c>
      <c r="AI11" s="3" t="s">
        <v>3703</v>
      </c>
      <c r="AJ11" s="3" t="s">
        <v>3703</v>
      </c>
      <c r="AK11" s="3" t="s">
        <v>3703</v>
      </c>
      <c r="AL11" s="3" t="s">
        <v>3703</v>
      </c>
      <c r="AM11" s="3" t="s">
        <v>3703</v>
      </c>
      <c r="AN11" s="3" t="s">
        <v>3703</v>
      </c>
      <c r="AO11" s="3" t="s">
        <v>3703</v>
      </c>
      <c r="AP11" s="3" t="s">
        <v>3703</v>
      </c>
      <c r="AQ11" s="3" t="s">
        <v>3703</v>
      </c>
      <c r="AR11" s="3" t="s">
        <v>3703</v>
      </c>
      <c r="AS11" s="3" t="s">
        <v>3703</v>
      </c>
    </row>
    <row r="12" spans="1:79" ht="15.75" customHeight="1" x14ac:dyDescent="0.25">
      <c r="A12" s="8" t="s">
        <v>3698</v>
      </c>
      <c r="B12" s="3" t="s">
        <v>2281</v>
      </c>
      <c r="C12" s="3" t="s">
        <v>497</v>
      </c>
      <c r="D12" s="3" t="s">
        <v>2282</v>
      </c>
      <c r="E12" s="3" t="s">
        <v>2283</v>
      </c>
      <c r="F12" s="3" t="s">
        <v>4074</v>
      </c>
      <c r="G12" s="3" t="s">
        <v>74</v>
      </c>
      <c r="H12" s="3" t="s">
        <v>4075</v>
      </c>
      <c r="I12" s="3" t="s">
        <v>4076</v>
      </c>
      <c r="J12" s="3" t="s">
        <v>2281</v>
      </c>
      <c r="K12" s="3" t="s">
        <v>30</v>
      </c>
      <c r="L12" s="3" t="s">
        <v>76</v>
      </c>
      <c r="M12" s="3" t="s">
        <v>285</v>
      </c>
      <c r="N12" s="3" t="s">
        <v>1144</v>
      </c>
      <c r="O12" s="3" t="s">
        <v>2284</v>
      </c>
      <c r="P12" s="3" t="s">
        <v>3868</v>
      </c>
      <c r="Q12" s="3" t="s">
        <v>3703</v>
      </c>
      <c r="R12" s="3" t="s">
        <v>3703</v>
      </c>
      <c r="S12" s="3" t="s">
        <v>3703</v>
      </c>
      <c r="T12" s="3" t="s">
        <v>3703</v>
      </c>
      <c r="U12" s="3" t="s">
        <v>4077</v>
      </c>
      <c r="V12" s="3" t="s">
        <v>3703</v>
      </c>
      <c r="W12" s="3" t="s">
        <v>1674</v>
      </c>
      <c r="X12" s="3" t="s">
        <v>4078</v>
      </c>
      <c r="Y12" s="3" t="s">
        <v>3703</v>
      </c>
      <c r="Z12" s="3" t="s">
        <v>3703</v>
      </c>
      <c r="AA12" s="3" t="s">
        <v>3703</v>
      </c>
      <c r="AB12" s="3" t="s">
        <v>3703</v>
      </c>
      <c r="AC12" s="3" t="s">
        <v>3703</v>
      </c>
      <c r="AD12" s="3" t="s">
        <v>3703</v>
      </c>
      <c r="AE12" s="3" t="s">
        <v>3703</v>
      </c>
      <c r="AF12" s="3" t="s">
        <v>3703</v>
      </c>
      <c r="AG12" s="3" t="s">
        <v>3703</v>
      </c>
      <c r="AH12" s="3" t="s">
        <v>3703</v>
      </c>
      <c r="AI12" s="3" t="s">
        <v>3703</v>
      </c>
      <c r="AJ12" s="3" t="s">
        <v>3703</v>
      </c>
      <c r="AK12" s="3" t="s">
        <v>3703</v>
      </c>
      <c r="AL12" s="3" t="s">
        <v>3703</v>
      </c>
      <c r="AM12" s="3" t="s">
        <v>3703</v>
      </c>
      <c r="AN12" s="3" t="s">
        <v>3703</v>
      </c>
      <c r="AO12" s="3" t="s">
        <v>3703</v>
      </c>
      <c r="AP12" s="3" t="s">
        <v>3703</v>
      </c>
      <c r="AQ12" s="3" t="s">
        <v>3703</v>
      </c>
      <c r="AR12" s="3" t="s">
        <v>3703</v>
      </c>
      <c r="AS12" s="3" t="s">
        <v>3703</v>
      </c>
    </row>
    <row r="13" spans="1:79" ht="15.75" customHeight="1" x14ac:dyDescent="0.25">
      <c r="A13" s="8" t="s">
        <v>3698</v>
      </c>
      <c r="B13" s="3" t="s">
        <v>2408</v>
      </c>
      <c r="C13" s="3" t="s">
        <v>497</v>
      </c>
      <c r="D13" s="3" t="s">
        <v>2409</v>
      </c>
      <c r="E13" s="3" t="s">
        <v>2410</v>
      </c>
      <c r="F13" s="3" t="s">
        <v>2411</v>
      </c>
      <c r="G13" s="3" t="s">
        <v>470</v>
      </c>
      <c r="H13" s="3" t="s">
        <v>4079</v>
      </c>
      <c r="I13" s="3" t="s">
        <v>4080</v>
      </c>
      <c r="J13" s="3" t="s">
        <v>2412</v>
      </c>
      <c r="K13" s="3" t="s">
        <v>30</v>
      </c>
      <c r="L13" s="3" t="s">
        <v>31</v>
      </c>
      <c r="M13" s="3" t="s">
        <v>92</v>
      </c>
      <c r="N13" s="3" t="s">
        <v>92</v>
      </c>
      <c r="O13" s="3" t="s">
        <v>2413</v>
      </c>
      <c r="P13" s="3" t="s">
        <v>3852</v>
      </c>
      <c r="Q13" s="3" t="s">
        <v>1042</v>
      </c>
      <c r="R13" s="3" t="s">
        <v>2414</v>
      </c>
      <c r="S13" s="3" t="s">
        <v>2415</v>
      </c>
      <c r="T13" s="3" t="s">
        <v>2416</v>
      </c>
      <c r="U13" s="3" t="s">
        <v>2417</v>
      </c>
      <c r="V13" s="3" t="s">
        <v>2418</v>
      </c>
      <c r="W13" s="3" t="s">
        <v>2419</v>
      </c>
      <c r="X13" s="3" t="s">
        <v>2420</v>
      </c>
      <c r="Y13" s="3" t="s">
        <v>3703</v>
      </c>
      <c r="Z13" s="3" t="s">
        <v>3703</v>
      </c>
      <c r="AA13" s="3" t="s">
        <v>3703</v>
      </c>
      <c r="AB13" s="3" t="s">
        <v>3703</v>
      </c>
      <c r="AC13" s="3" t="s">
        <v>3703</v>
      </c>
      <c r="AD13" s="3" t="s">
        <v>3703</v>
      </c>
      <c r="AE13" s="3" t="s">
        <v>3703</v>
      </c>
      <c r="AF13" s="3" t="s">
        <v>3703</v>
      </c>
      <c r="AG13" s="3" t="s">
        <v>3703</v>
      </c>
      <c r="AH13" s="3" t="s">
        <v>3703</v>
      </c>
      <c r="AI13" s="3" t="s">
        <v>3703</v>
      </c>
      <c r="AJ13" s="3" t="s">
        <v>3703</v>
      </c>
      <c r="AK13" s="3" t="s">
        <v>3703</v>
      </c>
      <c r="AL13" s="3" t="s">
        <v>3703</v>
      </c>
      <c r="AM13" s="3" t="s">
        <v>3703</v>
      </c>
      <c r="AN13" s="3" t="s">
        <v>3703</v>
      </c>
      <c r="AO13" s="3" t="s">
        <v>3703</v>
      </c>
      <c r="AP13" s="3" t="s">
        <v>3703</v>
      </c>
      <c r="AQ13" s="3" t="s">
        <v>3703</v>
      </c>
      <c r="AR13" s="3" t="s">
        <v>3703</v>
      </c>
      <c r="AS13" s="3" t="s">
        <v>3703</v>
      </c>
    </row>
    <row r="14" spans="1:79" ht="15.75" customHeight="1" x14ac:dyDescent="0.25">
      <c r="A14" s="8" t="s">
        <v>3698</v>
      </c>
      <c r="B14" s="3" t="s">
        <v>2524</v>
      </c>
      <c r="C14" s="3" t="s">
        <v>497</v>
      </c>
      <c r="D14" s="3" t="s">
        <v>2525</v>
      </c>
      <c r="E14" s="3" t="s">
        <v>2526</v>
      </c>
      <c r="F14" s="3" t="s">
        <v>4081</v>
      </c>
      <c r="G14" s="3" t="s">
        <v>74</v>
      </c>
      <c r="H14" s="3" t="s">
        <v>4082</v>
      </c>
      <c r="I14" s="3" t="s">
        <v>4083</v>
      </c>
      <c r="J14" s="3" t="s">
        <v>2524</v>
      </c>
      <c r="K14" s="3" t="s">
        <v>43</v>
      </c>
      <c r="L14" s="3" t="s">
        <v>76</v>
      </c>
      <c r="M14" s="3" t="s">
        <v>92</v>
      </c>
      <c r="N14" s="3" t="s">
        <v>92</v>
      </c>
      <c r="O14" s="3" t="s">
        <v>2527</v>
      </c>
      <c r="P14" s="3" t="s">
        <v>3900</v>
      </c>
      <c r="Q14" s="3" t="s">
        <v>3703</v>
      </c>
      <c r="R14" s="3" t="s">
        <v>3703</v>
      </c>
      <c r="S14" s="3" t="s">
        <v>3703</v>
      </c>
      <c r="T14" s="3" t="s">
        <v>3703</v>
      </c>
      <c r="U14" s="3" t="s">
        <v>4084</v>
      </c>
      <c r="V14" s="3" t="s">
        <v>4085</v>
      </c>
      <c r="W14" s="3" t="s">
        <v>115</v>
      </c>
      <c r="X14" s="3" t="s">
        <v>4086</v>
      </c>
      <c r="Y14" s="3" t="s">
        <v>3703</v>
      </c>
      <c r="Z14" s="3" t="s">
        <v>3703</v>
      </c>
      <c r="AA14" s="3" t="s">
        <v>3703</v>
      </c>
      <c r="AB14" s="3" t="s">
        <v>3703</v>
      </c>
      <c r="AC14" s="3" t="s">
        <v>3703</v>
      </c>
      <c r="AD14" s="3" t="s">
        <v>3703</v>
      </c>
      <c r="AE14" s="3" t="s">
        <v>3703</v>
      </c>
      <c r="AF14" s="3" t="s">
        <v>3703</v>
      </c>
      <c r="AG14" s="3" t="s">
        <v>3703</v>
      </c>
      <c r="AH14" s="3" t="s">
        <v>3703</v>
      </c>
      <c r="AI14" s="3" t="s">
        <v>3703</v>
      </c>
      <c r="AJ14" s="3" t="s">
        <v>3703</v>
      </c>
      <c r="AK14" s="3" t="s">
        <v>3703</v>
      </c>
      <c r="AL14" s="3" t="s">
        <v>3703</v>
      </c>
      <c r="AM14" s="3" t="s">
        <v>3703</v>
      </c>
      <c r="AN14" s="3" t="s">
        <v>3703</v>
      </c>
      <c r="AO14" s="3" t="s">
        <v>3703</v>
      </c>
      <c r="AP14" s="3" t="s">
        <v>3703</v>
      </c>
      <c r="AQ14" s="3" t="s">
        <v>3703</v>
      </c>
      <c r="AR14" s="3" t="s">
        <v>3703</v>
      </c>
      <c r="AS14" s="3" t="s">
        <v>3703</v>
      </c>
    </row>
    <row r="15" spans="1:79" ht="15.75" customHeight="1" x14ac:dyDescent="0.25">
      <c r="A15" s="8" t="s">
        <v>3698</v>
      </c>
      <c r="B15" s="3" t="s">
        <v>2611</v>
      </c>
      <c r="C15" s="3" t="s">
        <v>497</v>
      </c>
      <c r="D15" s="3" t="s">
        <v>88</v>
      </c>
      <c r="E15" s="3" t="s">
        <v>2612</v>
      </c>
      <c r="F15" s="3" t="s">
        <v>2613</v>
      </c>
      <c r="G15" s="3" t="s">
        <v>352</v>
      </c>
      <c r="H15" s="3" t="s">
        <v>4087</v>
      </c>
      <c r="I15" s="3" t="s">
        <v>4088</v>
      </c>
      <c r="J15" s="3" t="s">
        <v>2611</v>
      </c>
      <c r="K15" s="3" t="s">
        <v>43</v>
      </c>
      <c r="L15" s="3" t="s">
        <v>31</v>
      </c>
      <c r="M15" s="3" t="s">
        <v>44</v>
      </c>
      <c r="N15" s="3" t="s">
        <v>102</v>
      </c>
      <c r="O15" s="3" t="s">
        <v>2614</v>
      </c>
      <c r="P15" s="3" t="s">
        <v>3746</v>
      </c>
      <c r="Q15" s="3" t="s">
        <v>2615</v>
      </c>
      <c r="R15" s="3" t="s">
        <v>1110</v>
      </c>
      <c r="S15" s="3" t="s">
        <v>2611</v>
      </c>
      <c r="T15" s="3" t="s">
        <v>4089</v>
      </c>
      <c r="U15" s="3" t="s">
        <v>4089</v>
      </c>
      <c r="V15" s="3" t="s">
        <v>3703</v>
      </c>
      <c r="W15" s="3" t="s">
        <v>211</v>
      </c>
      <c r="X15" s="3" t="s">
        <v>4090</v>
      </c>
      <c r="Y15" s="3" t="s">
        <v>3703</v>
      </c>
      <c r="Z15" s="3" t="s">
        <v>3703</v>
      </c>
      <c r="AA15" s="3" t="s">
        <v>3703</v>
      </c>
      <c r="AB15" s="3" t="s">
        <v>3703</v>
      </c>
      <c r="AC15" s="3" t="s">
        <v>3703</v>
      </c>
      <c r="AD15" s="3" t="s">
        <v>3703</v>
      </c>
      <c r="AE15" s="3" t="s">
        <v>3703</v>
      </c>
      <c r="AF15" s="3" t="s">
        <v>3703</v>
      </c>
      <c r="AG15" s="3" t="s">
        <v>3703</v>
      </c>
      <c r="AH15" s="3" t="s">
        <v>3703</v>
      </c>
      <c r="AI15" s="3" t="s">
        <v>3703</v>
      </c>
      <c r="AJ15" s="3" t="s">
        <v>3703</v>
      </c>
      <c r="AK15" s="3" t="s">
        <v>3703</v>
      </c>
      <c r="AL15" s="3" t="s">
        <v>3703</v>
      </c>
      <c r="AM15" s="3" t="s">
        <v>3703</v>
      </c>
      <c r="AN15" s="3" t="s">
        <v>3703</v>
      </c>
      <c r="AO15" s="3" t="s">
        <v>3703</v>
      </c>
      <c r="AP15" s="3" t="s">
        <v>3703</v>
      </c>
      <c r="AQ15" s="3" t="s">
        <v>3703</v>
      </c>
      <c r="AR15" s="3" t="s">
        <v>3703</v>
      </c>
      <c r="AS15" s="3" t="s">
        <v>3703</v>
      </c>
    </row>
    <row r="16" spans="1:79" ht="15.75" customHeight="1" x14ac:dyDescent="0.25">
      <c r="A16" s="8" t="s">
        <v>3698</v>
      </c>
      <c r="B16" s="3" t="s">
        <v>2684</v>
      </c>
      <c r="C16" s="3" t="s">
        <v>497</v>
      </c>
      <c r="D16" s="3" t="s">
        <v>2138</v>
      </c>
      <c r="E16" s="3" t="s">
        <v>2685</v>
      </c>
      <c r="F16" s="3" t="s">
        <v>4091</v>
      </c>
      <c r="G16" s="3" t="s">
        <v>318</v>
      </c>
      <c r="H16" s="3" t="s">
        <v>4092</v>
      </c>
      <c r="I16" s="3" t="s">
        <v>4093</v>
      </c>
      <c r="J16" s="3" t="s">
        <v>2686</v>
      </c>
      <c r="K16" s="3" t="s">
        <v>30</v>
      </c>
      <c r="L16" s="3" t="s">
        <v>31</v>
      </c>
      <c r="M16" s="3" t="s">
        <v>92</v>
      </c>
      <c r="N16" s="3" t="s">
        <v>2687</v>
      </c>
      <c r="O16" s="3" t="s">
        <v>2688</v>
      </c>
      <c r="P16" s="3" t="s">
        <v>3920</v>
      </c>
      <c r="Q16" s="3" t="s">
        <v>2689</v>
      </c>
      <c r="R16" s="3" t="s">
        <v>2685</v>
      </c>
      <c r="S16" s="3" t="s">
        <v>2684</v>
      </c>
      <c r="T16" s="3" t="s">
        <v>4094</v>
      </c>
      <c r="U16" s="3" t="s">
        <v>2689</v>
      </c>
      <c r="V16" s="3" t="s">
        <v>2690</v>
      </c>
      <c r="W16" s="3" t="s">
        <v>849</v>
      </c>
      <c r="X16" s="3" t="s">
        <v>4095</v>
      </c>
      <c r="Y16" s="3" t="s">
        <v>3703</v>
      </c>
      <c r="Z16" s="3" t="s">
        <v>3703</v>
      </c>
      <c r="AA16" s="3" t="s">
        <v>3703</v>
      </c>
      <c r="AB16" s="3" t="s">
        <v>3703</v>
      </c>
      <c r="AC16" s="3" t="s">
        <v>3703</v>
      </c>
      <c r="AD16" s="3" t="s">
        <v>3703</v>
      </c>
      <c r="AE16" s="3" t="s">
        <v>3703</v>
      </c>
      <c r="AF16" s="3" t="s">
        <v>3703</v>
      </c>
      <c r="AG16" s="3" t="s">
        <v>3703</v>
      </c>
      <c r="AH16" s="3" t="s">
        <v>3703</v>
      </c>
      <c r="AI16" s="3" t="s">
        <v>3703</v>
      </c>
      <c r="AJ16" s="3" t="s">
        <v>3703</v>
      </c>
      <c r="AK16" s="3" t="s">
        <v>3703</v>
      </c>
      <c r="AL16" s="3" t="s">
        <v>3703</v>
      </c>
      <c r="AM16" s="3" t="s">
        <v>3703</v>
      </c>
      <c r="AN16" s="3" t="s">
        <v>3703</v>
      </c>
      <c r="AO16" s="3" t="s">
        <v>3703</v>
      </c>
      <c r="AP16" s="3" t="s">
        <v>3703</v>
      </c>
      <c r="AQ16" s="3" t="s">
        <v>3703</v>
      </c>
      <c r="AR16" s="3" t="s">
        <v>3703</v>
      </c>
      <c r="AS16" s="3" t="s">
        <v>3703</v>
      </c>
    </row>
    <row r="17" spans="1:45" ht="15.75" customHeight="1" x14ac:dyDescent="0.25">
      <c r="A17" s="8" t="s">
        <v>3698</v>
      </c>
      <c r="B17" s="3" t="s">
        <v>2730</v>
      </c>
      <c r="C17" s="3" t="s">
        <v>497</v>
      </c>
      <c r="D17" s="3" t="s">
        <v>288</v>
      </c>
      <c r="E17" s="3" t="s">
        <v>2731</v>
      </c>
      <c r="F17" s="3" t="s">
        <v>4096</v>
      </c>
      <c r="G17" s="3" t="s">
        <v>326</v>
      </c>
      <c r="H17" s="3" t="s">
        <v>4097</v>
      </c>
      <c r="I17" s="3" t="s">
        <v>4098</v>
      </c>
      <c r="J17" s="3" t="s">
        <v>2732</v>
      </c>
      <c r="K17" s="3" t="s">
        <v>43</v>
      </c>
      <c r="L17" s="3" t="s">
        <v>76</v>
      </c>
      <c r="M17" s="3" t="s">
        <v>285</v>
      </c>
      <c r="N17" s="3" t="s">
        <v>327</v>
      </c>
      <c r="O17" s="3" t="s">
        <v>2733</v>
      </c>
      <c r="P17" s="3" t="s">
        <v>4036</v>
      </c>
      <c r="Q17" s="3" t="s">
        <v>2734</v>
      </c>
      <c r="R17" s="3" t="s">
        <v>2735</v>
      </c>
      <c r="S17" s="3" t="s">
        <v>2730</v>
      </c>
      <c r="T17" s="3" t="s">
        <v>4099</v>
      </c>
      <c r="U17" s="3" t="s">
        <v>4099</v>
      </c>
      <c r="V17" s="3" t="s">
        <v>4100</v>
      </c>
      <c r="W17" s="3" t="s">
        <v>306</v>
      </c>
      <c r="X17" s="3" t="s">
        <v>2736</v>
      </c>
      <c r="Y17" s="3" t="s">
        <v>3703</v>
      </c>
      <c r="Z17" s="3" t="s">
        <v>3703</v>
      </c>
      <c r="AA17" s="3" t="s">
        <v>3703</v>
      </c>
      <c r="AB17" s="3" t="s">
        <v>3703</v>
      </c>
      <c r="AC17" s="3" t="s">
        <v>3703</v>
      </c>
      <c r="AD17" s="3" t="s">
        <v>3703</v>
      </c>
      <c r="AE17" s="3" t="s">
        <v>3703</v>
      </c>
      <c r="AF17" s="3" t="s">
        <v>3703</v>
      </c>
      <c r="AG17" s="3" t="s">
        <v>3703</v>
      </c>
      <c r="AH17" s="3" t="s">
        <v>3703</v>
      </c>
      <c r="AI17" s="3" t="s">
        <v>3703</v>
      </c>
      <c r="AJ17" s="3" t="s">
        <v>3703</v>
      </c>
      <c r="AK17" s="3" t="s">
        <v>3703</v>
      </c>
      <c r="AL17" s="3" t="s">
        <v>3703</v>
      </c>
      <c r="AM17" s="3" t="s">
        <v>3703</v>
      </c>
      <c r="AN17" s="3" t="s">
        <v>3703</v>
      </c>
      <c r="AO17" s="3" t="s">
        <v>3703</v>
      </c>
      <c r="AP17" s="3" t="s">
        <v>3703</v>
      </c>
      <c r="AQ17" s="3" t="s">
        <v>3703</v>
      </c>
      <c r="AR17" s="3" t="s">
        <v>3703</v>
      </c>
      <c r="AS17" s="3" t="s">
        <v>3703</v>
      </c>
    </row>
    <row r="18" spans="1:45" ht="15.75" customHeight="1" x14ac:dyDescent="0.25">
      <c r="A18" s="8" t="s">
        <v>3698</v>
      </c>
      <c r="B18" s="3" t="s">
        <v>2895</v>
      </c>
      <c r="C18" s="3" t="s">
        <v>497</v>
      </c>
      <c r="D18" s="3" t="s">
        <v>2896</v>
      </c>
      <c r="E18" s="3" t="s">
        <v>2897</v>
      </c>
      <c r="F18" s="3" t="s">
        <v>4101</v>
      </c>
      <c r="G18" s="3" t="s">
        <v>352</v>
      </c>
      <c r="H18" s="3" t="s">
        <v>4102</v>
      </c>
      <c r="I18" s="3" t="s">
        <v>4103</v>
      </c>
      <c r="J18" s="3" t="s">
        <v>2895</v>
      </c>
      <c r="K18" s="3" t="s">
        <v>30</v>
      </c>
      <c r="L18" s="3" t="s">
        <v>2464</v>
      </c>
      <c r="M18" s="3" t="s">
        <v>384</v>
      </c>
      <c r="N18" s="3" t="s">
        <v>384</v>
      </c>
      <c r="O18" s="3" t="s">
        <v>2898</v>
      </c>
      <c r="P18" s="3" t="s">
        <v>3733</v>
      </c>
      <c r="Q18" s="3" t="s">
        <v>2899</v>
      </c>
      <c r="R18" s="3" t="s">
        <v>2900</v>
      </c>
      <c r="S18" s="3" t="s">
        <v>2901</v>
      </c>
      <c r="T18" s="3" t="s">
        <v>4104</v>
      </c>
      <c r="U18" s="3" t="s">
        <v>4105</v>
      </c>
      <c r="V18" s="3" t="s">
        <v>4104</v>
      </c>
      <c r="W18" s="3" t="s">
        <v>2902</v>
      </c>
      <c r="X18" s="3" t="s">
        <v>4106</v>
      </c>
      <c r="Y18" s="3" t="s">
        <v>3703</v>
      </c>
      <c r="Z18" s="3" t="s">
        <v>3703</v>
      </c>
      <c r="AA18" s="3" t="s">
        <v>3703</v>
      </c>
      <c r="AB18" s="3" t="s">
        <v>3703</v>
      </c>
      <c r="AC18" s="3" t="s">
        <v>3703</v>
      </c>
      <c r="AD18" s="3" t="s">
        <v>3703</v>
      </c>
      <c r="AE18" s="3" t="s">
        <v>3703</v>
      </c>
      <c r="AF18" s="3" t="s">
        <v>3703</v>
      </c>
      <c r="AG18" s="3" t="s">
        <v>3703</v>
      </c>
      <c r="AH18" s="3" t="s">
        <v>3703</v>
      </c>
      <c r="AI18" s="3" t="s">
        <v>3703</v>
      </c>
      <c r="AJ18" s="3" t="s">
        <v>3703</v>
      </c>
      <c r="AK18" s="3" t="s">
        <v>3703</v>
      </c>
      <c r="AL18" s="3" t="s">
        <v>3703</v>
      </c>
      <c r="AM18" s="3" t="s">
        <v>3703</v>
      </c>
      <c r="AN18" s="3" t="s">
        <v>3703</v>
      </c>
      <c r="AO18" s="3" t="s">
        <v>3703</v>
      </c>
      <c r="AP18" s="3" t="s">
        <v>3703</v>
      </c>
      <c r="AQ18" s="3" t="s">
        <v>3703</v>
      </c>
      <c r="AR18" s="3" t="s">
        <v>3703</v>
      </c>
      <c r="AS18" s="3" t="s">
        <v>3703</v>
      </c>
    </row>
    <row r="19" spans="1:45" ht="15.75" customHeight="1" x14ac:dyDescent="0.25">
      <c r="A19" s="8" t="s">
        <v>3698</v>
      </c>
      <c r="B19" s="3" t="s">
        <v>2575</v>
      </c>
      <c r="C19" s="3" t="s">
        <v>497</v>
      </c>
      <c r="D19" s="3" t="s">
        <v>2972</v>
      </c>
      <c r="E19" s="3" t="s">
        <v>2973</v>
      </c>
      <c r="F19" s="3" t="s">
        <v>3769</v>
      </c>
      <c r="G19" s="3" t="s">
        <v>352</v>
      </c>
      <c r="H19" s="3" t="s">
        <v>4107</v>
      </c>
      <c r="I19" s="3" t="s">
        <v>4108</v>
      </c>
      <c r="J19" s="3" t="s">
        <v>2974</v>
      </c>
      <c r="K19" s="3" t="s">
        <v>43</v>
      </c>
      <c r="L19" s="3" t="s">
        <v>76</v>
      </c>
      <c r="M19" s="3" t="s">
        <v>285</v>
      </c>
      <c r="N19" s="3" t="s">
        <v>492</v>
      </c>
      <c r="O19" s="3" t="s">
        <v>2578</v>
      </c>
      <c r="P19" s="3" t="s">
        <v>3746</v>
      </c>
      <c r="Q19" s="3" t="s">
        <v>1054</v>
      </c>
      <c r="R19" s="3" t="s">
        <v>2973</v>
      </c>
      <c r="S19" s="3" t="s">
        <v>2974</v>
      </c>
      <c r="T19" s="3" t="s">
        <v>4109</v>
      </c>
      <c r="U19" s="3" t="s">
        <v>2975</v>
      </c>
      <c r="V19" s="3" t="s">
        <v>3703</v>
      </c>
      <c r="W19" s="3" t="s">
        <v>794</v>
      </c>
      <c r="X19" s="3" t="s">
        <v>4110</v>
      </c>
      <c r="Y19" s="3" t="s">
        <v>3703</v>
      </c>
      <c r="Z19" s="3" t="s">
        <v>3703</v>
      </c>
      <c r="AA19" s="3" t="s">
        <v>3703</v>
      </c>
      <c r="AB19" s="3" t="s">
        <v>3703</v>
      </c>
      <c r="AC19" s="3" t="s">
        <v>3703</v>
      </c>
      <c r="AD19" s="3" t="s">
        <v>3703</v>
      </c>
      <c r="AE19" s="3" t="s">
        <v>3703</v>
      </c>
      <c r="AF19" s="3" t="s">
        <v>3703</v>
      </c>
      <c r="AG19" s="3" t="s">
        <v>3703</v>
      </c>
      <c r="AH19" s="3" t="s">
        <v>3703</v>
      </c>
      <c r="AI19" s="3" t="s">
        <v>3703</v>
      </c>
      <c r="AJ19" s="3" t="s">
        <v>3703</v>
      </c>
      <c r="AK19" s="3" t="s">
        <v>3703</v>
      </c>
      <c r="AL19" s="3" t="s">
        <v>3703</v>
      </c>
      <c r="AM19" s="3" t="s">
        <v>3703</v>
      </c>
      <c r="AN19" s="3" t="s">
        <v>3703</v>
      </c>
      <c r="AO19" s="3" t="s">
        <v>3703</v>
      </c>
      <c r="AP19" s="3" t="s">
        <v>3703</v>
      </c>
      <c r="AQ19" s="3" t="s">
        <v>3703</v>
      </c>
      <c r="AR19" s="3" t="s">
        <v>3703</v>
      </c>
      <c r="AS19" s="3" t="s">
        <v>3703</v>
      </c>
    </row>
    <row r="20" spans="1:45" ht="15.75" customHeight="1" x14ac:dyDescent="0.25">
      <c r="A20" s="8"/>
    </row>
    <row r="21" spans="1:45" ht="15.75" customHeight="1" x14ac:dyDescent="0.25">
      <c r="A21" s="8"/>
    </row>
    <row r="22" spans="1:45" ht="15.75" customHeight="1" x14ac:dyDescent="0.25">
      <c r="A22" s="8"/>
    </row>
    <row r="23" spans="1:45" ht="15.75" customHeight="1" x14ac:dyDescent="0.25">
      <c r="A23" s="8"/>
    </row>
    <row r="24" spans="1:45" ht="15.75" customHeight="1" x14ac:dyDescent="0.25">
      <c r="A24" s="8"/>
    </row>
    <row r="25" spans="1:45" ht="15.75" customHeight="1" x14ac:dyDescent="0.25">
      <c r="A25" s="8"/>
    </row>
    <row r="26" spans="1:45" ht="15.75" customHeight="1" x14ac:dyDescent="0.25">
      <c r="A26" s="8"/>
    </row>
    <row r="27" spans="1:45" ht="13.8" x14ac:dyDescent="0.25">
      <c r="A27" s="8"/>
    </row>
    <row r="28" spans="1:45" ht="13.8" x14ac:dyDescent="0.25">
      <c r="A28" s="8"/>
    </row>
    <row r="29" spans="1:45" ht="13.8" x14ac:dyDescent="0.25">
      <c r="A29" s="8"/>
    </row>
    <row r="30" spans="1:45" ht="13.8" x14ac:dyDescent="0.25">
      <c r="A30" s="8"/>
    </row>
    <row r="31" spans="1:45" ht="13.8" x14ac:dyDescent="0.25">
      <c r="A31" s="8"/>
    </row>
    <row r="32" spans="1:45" ht="13.8" x14ac:dyDescent="0.25">
      <c r="A32" s="8"/>
    </row>
    <row r="33" spans="1:1" ht="13.8" x14ac:dyDescent="0.25">
      <c r="A33" s="8"/>
    </row>
    <row r="34" spans="1:1" ht="13.8" x14ac:dyDescent="0.25">
      <c r="A34" s="8"/>
    </row>
    <row r="35" spans="1:1" ht="13.8" x14ac:dyDescent="0.25">
      <c r="A35" s="8"/>
    </row>
    <row r="36" spans="1:1" ht="13.8" x14ac:dyDescent="0.25">
      <c r="A36" s="8"/>
    </row>
    <row r="37" spans="1:1" ht="13.8" x14ac:dyDescent="0.25">
      <c r="A37" s="8"/>
    </row>
    <row r="38" spans="1:1" ht="13.8" x14ac:dyDescent="0.25">
      <c r="A38" s="8"/>
    </row>
    <row r="39" spans="1:1" ht="13.8" x14ac:dyDescent="0.25">
      <c r="A39" s="8"/>
    </row>
    <row r="40" spans="1:1" ht="13.8" x14ac:dyDescent="0.25">
      <c r="A40" s="8"/>
    </row>
    <row r="41" spans="1:1" ht="13.8" x14ac:dyDescent="0.25">
      <c r="A41" s="8"/>
    </row>
    <row r="42" spans="1:1" ht="13.8" x14ac:dyDescent="0.25">
      <c r="A42" s="8"/>
    </row>
    <row r="43" spans="1:1" ht="13.8" x14ac:dyDescent="0.25">
      <c r="A43" s="8"/>
    </row>
    <row r="44" spans="1:1" ht="13.8" x14ac:dyDescent="0.25">
      <c r="A44" s="8"/>
    </row>
    <row r="45" spans="1:1" ht="13.8" x14ac:dyDescent="0.25">
      <c r="A45" s="8"/>
    </row>
    <row r="46" spans="1:1" ht="13.8" x14ac:dyDescent="0.25">
      <c r="A46" s="8"/>
    </row>
    <row r="47" spans="1:1" ht="13.8" x14ac:dyDescent="0.25">
      <c r="A47" s="8"/>
    </row>
    <row r="48" spans="1:1" ht="13.8" x14ac:dyDescent="0.25">
      <c r="A48" s="8"/>
    </row>
    <row r="49" spans="1:1" ht="13.8" x14ac:dyDescent="0.25">
      <c r="A49" s="8"/>
    </row>
    <row r="50" spans="1:1" ht="13.8" x14ac:dyDescent="0.25">
      <c r="A50" s="8"/>
    </row>
    <row r="51" spans="1:1" ht="13.8" x14ac:dyDescent="0.25">
      <c r="A51" s="8"/>
    </row>
    <row r="52" spans="1:1" ht="13.8" x14ac:dyDescent="0.25">
      <c r="A52" s="8"/>
    </row>
    <row r="53" spans="1:1" ht="13.8" x14ac:dyDescent="0.25">
      <c r="A53" s="8"/>
    </row>
    <row r="54" spans="1:1" ht="13.8" x14ac:dyDescent="0.25">
      <c r="A54" s="8"/>
    </row>
    <row r="55" spans="1:1" ht="13.8" x14ac:dyDescent="0.25">
      <c r="A55" s="8"/>
    </row>
    <row r="56" spans="1:1" ht="13.8" x14ac:dyDescent="0.25">
      <c r="A56" s="8"/>
    </row>
    <row r="57" spans="1:1" ht="13.8" x14ac:dyDescent="0.25">
      <c r="A57" s="8"/>
    </row>
    <row r="58" spans="1:1" ht="13.8" x14ac:dyDescent="0.25">
      <c r="A58" s="8"/>
    </row>
    <row r="59" spans="1:1" ht="13.8" x14ac:dyDescent="0.25">
      <c r="A59" s="8"/>
    </row>
    <row r="60" spans="1:1" ht="13.8" x14ac:dyDescent="0.25">
      <c r="A60" s="8"/>
    </row>
    <row r="61" spans="1:1" ht="13.8" x14ac:dyDescent="0.25">
      <c r="A61" s="8"/>
    </row>
    <row r="62" spans="1:1" ht="13.8" x14ac:dyDescent="0.25">
      <c r="A62" s="8"/>
    </row>
    <row r="63" spans="1:1" ht="13.8" x14ac:dyDescent="0.25">
      <c r="A63" s="8"/>
    </row>
    <row r="64" spans="1:1" ht="13.8" x14ac:dyDescent="0.25">
      <c r="A64" s="8"/>
    </row>
    <row r="65" spans="1:1" ht="13.8" x14ac:dyDescent="0.25">
      <c r="A65" s="8"/>
    </row>
    <row r="66" spans="1:1" ht="13.8" x14ac:dyDescent="0.25">
      <c r="A66" s="8"/>
    </row>
    <row r="67" spans="1:1" ht="13.8" x14ac:dyDescent="0.25">
      <c r="A67" s="8"/>
    </row>
    <row r="68" spans="1:1" ht="13.8" x14ac:dyDescent="0.25">
      <c r="A68" s="8"/>
    </row>
    <row r="69" spans="1:1" ht="13.8" x14ac:dyDescent="0.25">
      <c r="A69" s="8"/>
    </row>
    <row r="70" spans="1:1" ht="13.8" x14ac:dyDescent="0.25">
      <c r="A70" s="8"/>
    </row>
    <row r="71" spans="1:1" ht="13.8" x14ac:dyDescent="0.25">
      <c r="A71" s="8"/>
    </row>
    <row r="72" spans="1:1" ht="13.8" x14ac:dyDescent="0.25">
      <c r="A72" s="8"/>
    </row>
    <row r="73" spans="1:1" ht="13.8" x14ac:dyDescent="0.25">
      <c r="A73" s="8"/>
    </row>
    <row r="74" spans="1:1" ht="13.8" x14ac:dyDescent="0.25">
      <c r="A74" s="8"/>
    </row>
    <row r="75" spans="1:1" ht="13.8" x14ac:dyDescent="0.25">
      <c r="A75" s="8"/>
    </row>
    <row r="76" spans="1:1" ht="13.8" x14ac:dyDescent="0.25">
      <c r="A76" s="8"/>
    </row>
    <row r="77" spans="1:1" ht="13.8" x14ac:dyDescent="0.25">
      <c r="A77" s="8"/>
    </row>
    <row r="78" spans="1:1" ht="13.8" x14ac:dyDescent="0.25">
      <c r="A78" s="8"/>
    </row>
    <row r="79" spans="1:1" ht="13.8" x14ac:dyDescent="0.25">
      <c r="A79" s="8"/>
    </row>
    <row r="80" spans="1:1" ht="13.8" x14ac:dyDescent="0.25">
      <c r="A80" s="8"/>
    </row>
    <row r="81" spans="1:1" ht="13.8" x14ac:dyDescent="0.25">
      <c r="A81" s="8"/>
    </row>
    <row r="82" spans="1:1" ht="13.8" x14ac:dyDescent="0.25">
      <c r="A82" s="8"/>
    </row>
    <row r="83" spans="1:1" ht="13.8" x14ac:dyDescent="0.25">
      <c r="A83" s="8"/>
    </row>
    <row r="84" spans="1:1" ht="13.8" x14ac:dyDescent="0.25">
      <c r="A84" s="8"/>
    </row>
    <row r="85" spans="1:1" ht="13.8" x14ac:dyDescent="0.25">
      <c r="A85" s="8"/>
    </row>
    <row r="86" spans="1:1" ht="13.8" x14ac:dyDescent="0.25">
      <c r="A86" s="8"/>
    </row>
    <row r="87" spans="1:1" ht="13.8" x14ac:dyDescent="0.25">
      <c r="A87" s="8"/>
    </row>
    <row r="88" spans="1:1" ht="13.8" x14ac:dyDescent="0.25">
      <c r="A88" s="8"/>
    </row>
    <row r="89" spans="1:1" ht="13.8" x14ac:dyDescent="0.25">
      <c r="A89" s="8"/>
    </row>
    <row r="90" spans="1:1" ht="13.8" x14ac:dyDescent="0.25">
      <c r="A90" s="8"/>
    </row>
    <row r="91" spans="1:1" ht="13.8" x14ac:dyDescent="0.25">
      <c r="A91" s="8"/>
    </row>
    <row r="92" spans="1:1" ht="13.8" x14ac:dyDescent="0.25">
      <c r="A92" s="8"/>
    </row>
    <row r="93" spans="1:1" ht="13.8" x14ac:dyDescent="0.25">
      <c r="A93" s="8"/>
    </row>
    <row r="94" spans="1:1" ht="13.8" x14ac:dyDescent="0.25">
      <c r="A94" s="8"/>
    </row>
    <row r="95" spans="1:1" ht="13.8" x14ac:dyDescent="0.25">
      <c r="A95" s="8"/>
    </row>
    <row r="96" spans="1:1" ht="13.8" x14ac:dyDescent="0.25">
      <c r="A96" s="8"/>
    </row>
    <row r="97" spans="1:1" ht="13.8" x14ac:dyDescent="0.25">
      <c r="A97" s="8"/>
    </row>
    <row r="98" spans="1:1" ht="13.8" x14ac:dyDescent="0.25">
      <c r="A98" s="8"/>
    </row>
    <row r="99" spans="1:1" ht="13.8" x14ac:dyDescent="0.25">
      <c r="A99" s="8"/>
    </row>
    <row r="100" spans="1:1" ht="13.8" x14ac:dyDescent="0.25">
      <c r="A100" s="8"/>
    </row>
    <row r="101" spans="1:1" ht="13.8" x14ac:dyDescent="0.25">
      <c r="A101" s="8"/>
    </row>
    <row r="102" spans="1:1" ht="13.8" x14ac:dyDescent="0.25">
      <c r="A102" s="8"/>
    </row>
    <row r="103" spans="1:1" ht="13.8" x14ac:dyDescent="0.25">
      <c r="A103" s="8"/>
    </row>
    <row r="104" spans="1:1" ht="13.8" x14ac:dyDescent="0.25">
      <c r="A104" s="8"/>
    </row>
    <row r="105" spans="1:1" ht="13.8" x14ac:dyDescent="0.25">
      <c r="A105" s="8"/>
    </row>
    <row r="106" spans="1:1" ht="13.8" x14ac:dyDescent="0.25">
      <c r="A106" s="8"/>
    </row>
    <row r="107" spans="1:1" ht="13.8" x14ac:dyDescent="0.25">
      <c r="A107" s="8"/>
    </row>
    <row r="108" spans="1:1" ht="13.8" x14ac:dyDescent="0.25">
      <c r="A108" s="8"/>
    </row>
    <row r="109" spans="1:1" ht="13.8" x14ac:dyDescent="0.25">
      <c r="A109" s="8"/>
    </row>
    <row r="110" spans="1:1" ht="13.8" x14ac:dyDescent="0.25">
      <c r="A110" s="8"/>
    </row>
    <row r="111" spans="1:1" ht="13.8" x14ac:dyDescent="0.25">
      <c r="A111" s="8"/>
    </row>
    <row r="112" spans="1:1" ht="13.8" x14ac:dyDescent="0.25">
      <c r="A112" s="8"/>
    </row>
    <row r="113" spans="1:1" ht="13.8" x14ac:dyDescent="0.25">
      <c r="A113" s="8"/>
    </row>
    <row r="114" spans="1:1" ht="13.8" x14ac:dyDescent="0.25">
      <c r="A114" s="8"/>
    </row>
    <row r="115" spans="1:1" ht="13.8" x14ac:dyDescent="0.25">
      <c r="A115" s="8"/>
    </row>
    <row r="116" spans="1:1" ht="13.8" x14ac:dyDescent="0.25">
      <c r="A116" s="8"/>
    </row>
    <row r="117" spans="1:1" ht="13.8" x14ac:dyDescent="0.25">
      <c r="A117" s="8"/>
    </row>
    <row r="118" spans="1:1" ht="13.8" x14ac:dyDescent="0.25">
      <c r="A118" s="8"/>
    </row>
    <row r="119" spans="1:1" ht="13.8" x14ac:dyDescent="0.25">
      <c r="A119" s="8"/>
    </row>
    <row r="120" spans="1:1" ht="13.8" x14ac:dyDescent="0.25">
      <c r="A120" s="8"/>
    </row>
    <row r="121" spans="1:1" ht="13.8" x14ac:dyDescent="0.25">
      <c r="A121" s="8"/>
    </row>
    <row r="122" spans="1:1" ht="13.8" x14ac:dyDescent="0.25">
      <c r="A122" s="8"/>
    </row>
    <row r="123" spans="1:1" ht="13.8" x14ac:dyDescent="0.25">
      <c r="A123" s="8"/>
    </row>
    <row r="124" spans="1:1" ht="13.8" x14ac:dyDescent="0.25">
      <c r="A124" s="8"/>
    </row>
    <row r="125" spans="1:1" ht="13.8" x14ac:dyDescent="0.25">
      <c r="A125" s="8"/>
    </row>
    <row r="126" spans="1:1" ht="13.8" x14ac:dyDescent="0.25">
      <c r="A126" s="8"/>
    </row>
    <row r="127" spans="1:1" ht="13.8" x14ac:dyDescent="0.25">
      <c r="A127" s="8"/>
    </row>
    <row r="128" spans="1:1" ht="13.8" x14ac:dyDescent="0.25">
      <c r="A128" s="8"/>
    </row>
    <row r="129" spans="1:1" ht="13.8" x14ac:dyDescent="0.25">
      <c r="A129" s="8"/>
    </row>
    <row r="130" spans="1:1" ht="13.8" x14ac:dyDescent="0.25">
      <c r="A130" s="8"/>
    </row>
    <row r="131" spans="1:1" ht="13.8" x14ac:dyDescent="0.25">
      <c r="A131" s="8"/>
    </row>
    <row r="132" spans="1:1" ht="13.8" x14ac:dyDescent="0.25">
      <c r="A132" s="8"/>
    </row>
    <row r="133" spans="1:1" ht="13.8" x14ac:dyDescent="0.25">
      <c r="A133" s="8"/>
    </row>
    <row r="134" spans="1:1" ht="13.8" x14ac:dyDescent="0.25">
      <c r="A134" s="8"/>
    </row>
    <row r="135" spans="1:1" ht="13.8" x14ac:dyDescent="0.25">
      <c r="A135" s="8"/>
    </row>
    <row r="136" spans="1:1" ht="13.8" x14ac:dyDescent="0.25">
      <c r="A136" s="8"/>
    </row>
    <row r="137" spans="1:1" ht="13.8" x14ac:dyDescent="0.25">
      <c r="A137" s="8"/>
    </row>
    <row r="138" spans="1:1" ht="13.8" x14ac:dyDescent="0.25">
      <c r="A138" s="8"/>
    </row>
    <row r="139" spans="1:1" ht="13.8" x14ac:dyDescent="0.25">
      <c r="A139" s="8"/>
    </row>
    <row r="140" spans="1:1" ht="13.8" x14ac:dyDescent="0.25">
      <c r="A140" s="8"/>
    </row>
    <row r="141" spans="1:1" ht="13.8" x14ac:dyDescent="0.25">
      <c r="A141" s="8"/>
    </row>
    <row r="142" spans="1:1" ht="13.8" x14ac:dyDescent="0.25">
      <c r="A142" s="8"/>
    </row>
    <row r="143" spans="1:1" ht="13.8" x14ac:dyDescent="0.25">
      <c r="A143" s="8"/>
    </row>
    <row r="144" spans="1:1" ht="13.8" x14ac:dyDescent="0.25">
      <c r="A144" s="8"/>
    </row>
    <row r="145" spans="1:1" ht="13.8" x14ac:dyDescent="0.25">
      <c r="A145" s="8"/>
    </row>
    <row r="146" spans="1:1" ht="13.8" x14ac:dyDescent="0.25">
      <c r="A146" s="8"/>
    </row>
    <row r="147" spans="1:1" ht="13.8" x14ac:dyDescent="0.25">
      <c r="A147" s="8"/>
    </row>
    <row r="148" spans="1:1" ht="13.8" x14ac:dyDescent="0.25">
      <c r="A148" s="8"/>
    </row>
    <row r="149" spans="1:1" ht="13.8" x14ac:dyDescent="0.25">
      <c r="A149" s="8"/>
    </row>
    <row r="150" spans="1:1" ht="13.8" x14ac:dyDescent="0.25">
      <c r="A150" s="8"/>
    </row>
    <row r="151" spans="1:1" ht="13.8" x14ac:dyDescent="0.25">
      <c r="A151" s="8"/>
    </row>
    <row r="152" spans="1:1" ht="13.8" x14ac:dyDescent="0.25">
      <c r="A152" s="8"/>
    </row>
    <row r="153" spans="1:1" ht="13.8" x14ac:dyDescent="0.25">
      <c r="A153" s="8"/>
    </row>
    <row r="154" spans="1:1" ht="13.8" x14ac:dyDescent="0.25">
      <c r="A154" s="8"/>
    </row>
    <row r="155" spans="1:1" ht="13.8" x14ac:dyDescent="0.25">
      <c r="A155" s="8"/>
    </row>
    <row r="156" spans="1:1" ht="13.8" x14ac:dyDescent="0.25">
      <c r="A156" s="8"/>
    </row>
    <row r="157" spans="1:1" ht="13.8" x14ac:dyDescent="0.25">
      <c r="A157" s="8"/>
    </row>
    <row r="158" spans="1:1" ht="13.8" x14ac:dyDescent="0.25">
      <c r="A158" s="8"/>
    </row>
    <row r="159" spans="1:1" ht="13.8" x14ac:dyDescent="0.25">
      <c r="A159" s="8"/>
    </row>
    <row r="160" spans="1:1" ht="13.8" x14ac:dyDescent="0.25">
      <c r="A160" s="8"/>
    </row>
    <row r="161" spans="1:1" ht="13.8" x14ac:dyDescent="0.25">
      <c r="A161" s="8"/>
    </row>
    <row r="162" spans="1:1" ht="13.8" x14ac:dyDescent="0.25">
      <c r="A162" s="8"/>
    </row>
    <row r="163" spans="1:1" ht="13.8" x14ac:dyDescent="0.25">
      <c r="A163" s="8"/>
    </row>
    <row r="164" spans="1:1" ht="13.8" x14ac:dyDescent="0.25">
      <c r="A164" s="8"/>
    </row>
    <row r="165" spans="1:1" ht="13.8" x14ac:dyDescent="0.25">
      <c r="A165" s="8"/>
    </row>
    <row r="166" spans="1:1" ht="13.8" x14ac:dyDescent="0.25">
      <c r="A166" s="8"/>
    </row>
    <row r="167" spans="1:1" ht="13.8" x14ac:dyDescent="0.25">
      <c r="A167" s="8"/>
    </row>
    <row r="168" spans="1:1" ht="13.8" x14ac:dyDescent="0.25">
      <c r="A168" s="8"/>
    </row>
    <row r="169" spans="1:1" ht="13.8" x14ac:dyDescent="0.25">
      <c r="A169" s="8"/>
    </row>
    <row r="170" spans="1:1" ht="13.8" x14ac:dyDescent="0.25">
      <c r="A170" s="8"/>
    </row>
    <row r="171" spans="1:1" ht="13.8" x14ac:dyDescent="0.25">
      <c r="A171" s="8"/>
    </row>
    <row r="172" spans="1:1" ht="13.8" x14ac:dyDescent="0.25">
      <c r="A172" s="8"/>
    </row>
    <row r="173" spans="1:1" ht="13.8" x14ac:dyDescent="0.25">
      <c r="A173" s="8"/>
    </row>
    <row r="174" spans="1:1" ht="13.8" x14ac:dyDescent="0.25">
      <c r="A174" s="8"/>
    </row>
    <row r="175" spans="1:1" ht="13.8" x14ac:dyDescent="0.25">
      <c r="A175" s="8"/>
    </row>
    <row r="176" spans="1:1" ht="13.8" x14ac:dyDescent="0.25">
      <c r="A176" s="8"/>
    </row>
    <row r="177" spans="1:1" ht="13.8" x14ac:dyDescent="0.25">
      <c r="A177" s="8"/>
    </row>
    <row r="178" spans="1:1" ht="13.8" x14ac:dyDescent="0.25">
      <c r="A178" s="8"/>
    </row>
    <row r="179" spans="1:1" ht="13.8" x14ac:dyDescent="0.25">
      <c r="A179" s="8"/>
    </row>
    <row r="180" spans="1:1" ht="13.8" x14ac:dyDescent="0.25">
      <c r="A180" s="8"/>
    </row>
    <row r="181" spans="1:1" ht="13.8" x14ac:dyDescent="0.25">
      <c r="A181" s="8"/>
    </row>
    <row r="182" spans="1:1" ht="13.8" x14ac:dyDescent="0.25">
      <c r="A182" s="8"/>
    </row>
    <row r="183" spans="1:1" ht="13.8" x14ac:dyDescent="0.25">
      <c r="A183" s="8"/>
    </row>
    <row r="184" spans="1:1" ht="13.8" x14ac:dyDescent="0.25">
      <c r="A184" s="8"/>
    </row>
    <row r="185" spans="1:1" ht="13.8" x14ac:dyDescent="0.25">
      <c r="A185" s="8"/>
    </row>
    <row r="186" spans="1:1" ht="13.8" x14ac:dyDescent="0.25">
      <c r="A186" s="8"/>
    </row>
    <row r="187" spans="1:1" ht="13.8" x14ac:dyDescent="0.25">
      <c r="A187" s="8"/>
    </row>
    <row r="188" spans="1:1" ht="13.8" x14ac:dyDescent="0.25">
      <c r="A188" s="8"/>
    </row>
    <row r="189" spans="1:1" ht="13.8" x14ac:dyDescent="0.25">
      <c r="A189" s="8"/>
    </row>
    <row r="190" spans="1:1" ht="13.8" x14ac:dyDescent="0.25">
      <c r="A190" s="8"/>
    </row>
    <row r="191" spans="1:1" ht="13.8" x14ac:dyDescent="0.25">
      <c r="A191" s="8"/>
    </row>
    <row r="192" spans="1:1" ht="13.8" x14ac:dyDescent="0.25">
      <c r="A192" s="8"/>
    </row>
    <row r="193" spans="1:1" ht="13.8" x14ac:dyDescent="0.25">
      <c r="A193" s="8"/>
    </row>
    <row r="194" spans="1:1" ht="13.8" x14ac:dyDescent="0.25">
      <c r="A194" s="8"/>
    </row>
    <row r="195" spans="1:1" ht="13.8" x14ac:dyDescent="0.25">
      <c r="A195" s="8"/>
    </row>
    <row r="196" spans="1:1" ht="13.8" x14ac:dyDescent="0.25">
      <c r="A196" s="8"/>
    </row>
    <row r="197" spans="1:1" ht="13.8" x14ac:dyDescent="0.25">
      <c r="A197" s="8"/>
    </row>
    <row r="198" spans="1:1" ht="13.8" x14ac:dyDescent="0.25">
      <c r="A198" s="8"/>
    </row>
    <row r="199" spans="1:1" ht="13.8" x14ac:dyDescent="0.25">
      <c r="A199" s="8"/>
    </row>
    <row r="200" spans="1:1" ht="13.8" x14ac:dyDescent="0.25">
      <c r="A200" s="8"/>
    </row>
    <row r="201" spans="1:1" ht="13.8" x14ac:dyDescent="0.25">
      <c r="A201" s="8"/>
    </row>
    <row r="202" spans="1:1" ht="13.8" x14ac:dyDescent="0.25">
      <c r="A202" s="8"/>
    </row>
    <row r="203" spans="1:1" ht="13.8" x14ac:dyDescent="0.25">
      <c r="A203" s="8"/>
    </row>
    <row r="204" spans="1:1" ht="13.8" x14ac:dyDescent="0.25">
      <c r="A204" s="8"/>
    </row>
    <row r="205" spans="1:1" ht="13.8" x14ac:dyDescent="0.25">
      <c r="A205" s="8"/>
    </row>
    <row r="206" spans="1:1" ht="13.8" x14ac:dyDescent="0.25">
      <c r="A206" s="8"/>
    </row>
    <row r="207" spans="1:1" ht="13.8" x14ac:dyDescent="0.25">
      <c r="A207" s="8"/>
    </row>
    <row r="208" spans="1:1" ht="13.8" x14ac:dyDescent="0.25">
      <c r="A208" s="8"/>
    </row>
    <row r="209" spans="1:1" ht="13.8" x14ac:dyDescent="0.25">
      <c r="A209" s="8"/>
    </row>
    <row r="210" spans="1:1" ht="13.8" x14ac:dyDescent="0.25">
      <c r="A210" s="8"/>
    </row>
    <row r="211" spans="1:1" ht="13.8" x14ac:dyDescent="0.25">
      <c r="A211" s="8"/>
    </row>
    <row r="212" spans="1:1" ht="13.8" x14ac:dyDescent="0.25">
      <c r="A212" s="8"/>
    </row>
    <row r="213" spans="1:1" ht="13.8" x14ac:dyDescent="0.25">
      <c r="A213" s="8"/>
    </row>
    <row r="214" spans="1:1" ht="13.8" x14ac:dyDescent="0.25">
      <c r="A214" s="8"/>
    </row>
    <row r="215" spans="1:1" ht="13.8" x14ac:dyDescent="0.25">
      <c r="A215" s="8"/>
    </row>
    <row r="216" spans="1:1" ht="13.8" x14ac:dyDescent="0.25">
      <c r="A216" s="8"/>
    </row>
    <row r="217" spans="1:1" ht="13.8" x14ac:dyDescent="0.25">
      <c r="A217" s="8"/>
    </row>
    <row r="218" spans="1:1" ht="13.8" x14ac:dyDescent="0.25">
      <c r="A218" s="8"/>
    </row>
    <row r="219" spans="1:1" ht="13.8" x14ac:dyDescent="0.25">
      <c r="A219" s="8"/>
    </row>
    <row r="220" spans="1:1" ht="13.8" x14ac:dyDescent="0.25">
      <c r="A220" s="8"/>
    </row>
    <row r="221" spans="1:1" ht="13.8" x14ac:dyDescent="0.25">
      <c r="A221" s="8"/>
    </row>
    <row r="222" spans="1:1" ht="13.8" x14ac:dyDescent="0.25">
      <c r="A222" s="8"/>
    </row>
    <row r="223" spans="1:1" ht="13.8" x14ac:dyDescent="0.25">
      <c r="A223" s="8"/>
    </row>
    <row r="224" spans="1:1" ht="13.8" x14ac:dyDescent="0.25">
      <c r="A224" s="8"/>
    </row>
    <row r="225" spans="1:1" ht="13.8" x14ac:dyDescent="0.25">
      <c r="A225" s="8"/>
    </row>
    <row r="226" spans="1:1" ht="13.8" x14ac:dyDescent="0.25">
      <c r="A226" s="8"/>
    </row>
    <row r="227" spans="1:1" ht="13.8" x14ac:dyDescent="0.25">
      <c r="A227" s="8"/>
    </row>
    <row r="228" spans="1:1" ht="13.8" x14ac:dyDescent="0.25">
      <c r="A228" s="8"/>
    </row>
    <row r="229" spans="1:1" ht="13.8" x14ac:dyDescent="0.25">
      <c r="A229" s="8"/>
    </row>
    <row r="230" spans="1:1" ht="13.8" x14ac:dyDescent="0.25">
      <c r="A230" s="8"/>
    </row>
    <row r="231" spans="1:1" ht="13.8" x14ac:dyDescent="0.25">
      <c r="A231" s="8"/>
    </row>
    <row r="232" spans="1:1" ht="13.8" x14ac:dyDescent="0.25">
      <c r="A232" s="8"/>
    </row>
    <row r="233" spans="1:1" ht="13.8" x14ac:dyDescent="0.25">
      <c r="A233" s="8"/>
    </row>
    <row r="234" spans="1:1" ht="13.8" x14ac:dyDescent="0.25">
      <c r="A234" s="8"/>
    </row>
    <row r="235" spans="1:1" ht="13.8" x14ac:dyDescent="0.25">
      <c r="A235" s="8"/>
    </row>
    <row r="236" spans="1:1" ht="13.8" x14ac:dyDescent="0.25">
      <c r="A236" s="8"/>
    </row>
    <row r="237" spans="1:1" ht="13.8" x14ac:dyDescent="0.25">
      <c r="A237" s="8"/>
    </row>
    <row r="238" spans="1:1" ht="13.8" x14ac:dyDescent="0.25">
      <c r="A238" s="8"/>
    </row>
    <row r="239" spans="1:1" ht="13.8" x14ac:dyDescent="0.25">
      <c r="A239" s="8"/>
    </row>
    <row r="240" spans="1:1" ht="13.8" x14ac:dyDescent="0.25">
      <c r="A240" s="8"/>
    </row>
    <row r="241" spans="1:1" ht="13.8" x14ac:dyDescent="0.25">
      <c r="A241" s="8"/>
    </row>
    <row r="242" spans="1:1" ht="13.8" x14ac:dyDescent="0.25">
      <c r="A242" s="8"/>
    </row>
    <row r="243" spans="1:1" ht="13.8" x14ac:dyDescent="0.25">
      <c r="A243" s="8"/>
    </row>
    <row r="244" spans="1:1" ht="13.8" x14ac:dyDescent="0.25">
      <c r="A244" s="8"/>
    </row>
    <row r="245" spans="1:1" ht="13.8" x14ac:dyDescent="0.25">
      <c r="A245" s="8"/>
    </row>
    <row r="246" spans="1:1" ht="13.8" x14ac:dyDescent="0.25">
      <c r="A246" s="8"/>
    </row>
    <row r="247" spans="1:1" ht="13.8" x14ac:dyDescent="0.25">
      <c r="A247" s="8"/>
    </row>
    <row r="248" spans="1:1" ht="13.8" x14ac:dyDescent="0.25">
      <c r="A248" s="8"/>
    </row>
    <row r="249" spans="1:1" ht="13.8" x14ac:dyDescent="0.25">
      <c r="A249" s="8"/>
    </row>
    <row r="250" spans="1:1" ht="13.8" x14ac:dyDescent="0.25">
      <c r="A250" s="8"/>
    </row>
    <row r="251" spans="1:1" ht="13.8" x14ac:dyDescent="0.25">
      <c r="A251" s="8"/>
    </row>
    <row r="252" spans="1:1" ht="13.8" x14ac:dyDescent="0.25">
      <c r="A252" s="8"/>
    </row>
    <row r="253" spans="1:1" ht="13.8" x14ac:dyDescent="0.25">
      <c r="A253" s="8"/>
    </row>
    <row r="254" spans="1:1" ht="13.8" x14ac:dyDescent="0.25">
      <c r="A254" s="8"/>
    </row>
    <row r="255" spans="1:1" ht="13.8" x14ac:dyDescent="0.25">
      <c r="A255" s="8"/>
    </row>
    <row r="256" spans="1:1" ht="13.8" x14ac:dyDescent="0.25">
      <c r="A256" s="8"/>
    </row>
    <row r="257" spans="1:1" ht="13.8" x14ac:dyDescent="0.25">
      <c r="A257" s="8"/>
    </row>
    <row r="258" spans="1:1" ht="13.8" x14ac:dyDescent="0.25">
      <c r="A258" s="8"/>
    </row>
    <row r="259" spans="1:1" ht="13.8" x14ac:dyDescent="0.25">
      <c r="A259" s="8"/>
    </row>
    <row r="260" spans="1:1" ht="13.8" x14ac:dyDescent="0.25">
      <c r="A260" s="8"/>
    </row>
    <row r="261" spans="1:1" ht="13.8" x14ac:dyDescent="0.25">
      <c r="A261" s="8"/>
    </row>
    <row r="262" spans="1:1" ht="13.8" x14ac:dyDescent="0.25">
      <c r="A262" s="8"/>
    </row>
    <row r="263" spans="1:1" ht="13.8" x14ac:dyDescent="0.25">
      <c r="A263" s="8"/>
    </row>
    <row r="264" spans="1:1" ht="13.8" x14ac:dyDescent="0.25">
      <c r="A264" s="8"/>
    </row>
    <row r="265" spans="1:1" ht="13.8" x14ac:dyDescent="0.25">
      <c r="A265" s="8"/>
    </row>
    <row r="266" spans="1:1" ht="13.8" x14ac:dyDescent="0.25">
      <c r="A266" s="8"/>
    </row>
    <row r="267" spans="1:1" ht="13.8" x14ac:dyDescent="0.25">
      <c r="A267" s="8"/>
    </row>
    <row r="268" spans="1:1" ht="13.8" x14ac:dyDescent="0.25">
      <c r="A268" s="8"/>
    </row>
    <row r="269" spans="1:1" ht="13.8" x14ac:dyDescent="0.25">
      <c r="A269" s="8"/>
    </row>
    <row r="270" spans="1:1" ht="13.8" x14ac:dyDescent="0.25">
      <c r="A270" s="8"/>
    </row>
    <row r="271" spans="1:1" ht="13.8" x14ac:dyDescent="0.25">
      <c r="A271" s="8"/>
    </row>
    <row r="272" spans="1:1" ht="13.8" x14ac:dyDescent="0.25">
      <c r="A272" s="8"/>
    </row>
    <row r="273" spans="1:1" ht="13.8" x14ac:dyDescent="0.25">
      <c r="A273" s="8"/>
    </row>
    <row r="274" spans="1:1" ht="13.8" x14ac:dyDescent="0.25">
      <c r="A274" s="8"/>
    </row>
    <row r="275" spans="1:1" ht="13.8" x14ac:dyDescent="0.25">
      <c r="A275" s="8"/>
    </row>
    <row r="276" spans="1:1" ht="13.8" x14ac:dyDescent="0.25">
      <c r="A276" s="8"/>
    </row>
    <row r="277" spans="1:1" ht="13.8" x14ac:dyDescent="0.25">
      <c r="A277" s="8"/>
    </row>
    <row r="278" spans="1:1" ht="13.8" x14ac:dyDescent="0.25">
      <c r="A278" s="8"/>
    </row>
    <row r="279" spans="1:1" ht="13.8" x14ac:dyDescent="0.25">
      <c r="A279" s="8"/>
    </row>
    <row r="280" spans="1:1" ht="13.8" x14ac:dyDescent="0.25">
      <c r="A280" s="8"/>
    </row>
    <row r="281" spans="1:1" ht="13.8" x14ac:dyDescent="0.25">
      <c r="A281" s="8"/>
    </row>
    <row r="282" spans="1:1" ht="13.8" x14ac:dyDescent="0.25">
      <c r="A282" s="8"/>
    </row>
    <row r="283" spans="1:1" ht="13.8" x14ac:dyDescent="0.25">
      <c r="A283" s="8"/>
    </row>
    <row r="284" spans="1:1" ht="13.8" x14ac:dyDescent="0.25">
      <c r="A284" s="8"/>
    </row>
    <row r="285" spans="1:1" ht="13.8" x14ac:dyDescent="0.25">
      <c r="A285" s="8"/>
    </row>
    <row r="286" spans="1:1" ht="13.8" x14ac:dyDescent="0.25">
      <c r="A286" s="8"/>
    </row>
    <row r="287" spans="1:1" ht="13.8" x14ac:dyDescent="0.25">
      <c r="A287" s="8"/>
    </row>
    <row r="288" spans="1:1" ht="13.8" x14ac:dyDescent="0.25">
      <c r="A288" s="8"/>
    </row>
    <row r="289" spans="1:1" ht="13.8" x14ac:dyDescent="0.25">
      <c r="A289" s="8"/>
    </row>
    <row r="290" spans="1:1" ht="13.8" x14ac:dyDescent="0.25">
      <c r="A290" s="8"/>
    </row>
    <row r="291" spans="1:1" ht="13.8" x14ac:dyDescent="0.25">
      <c r="A291" s="8"/>
    </row>
    <row r="292" spans="1:1" ht="13.8" x14ac:dyDescent="0.25">
      <c r="A292" s="8"/>
    </row>
    <row r="293" spans="1:1" ht="13.8" x14ac:dyDescent="0.25">
      <c r="A293" s="8"/>
    </row>
    <row r="294" spans="1:1" ht="13.8" x14ac:dyDescent="0.25">
      <c r="A294" s="8"/>
    </row>
    <row r="295" spans="1:1" ht="13.8" x14ac:dyDescent="0.25">
      <c r="A295" s="8"/>
    </row>
    <row r="296" spans="1:1" ht="13.8" x14ac:dyDescent="0.25">
      <c r="A296" s="8"/>
    </row>
    <row r="297" spans="1:1" ht="13.8" x14ac:dyDescent="0.25">
      <c r="A297" s="8"/>
    </row>
    <row r="298" spans="1:1" ht="13.8" x14ac:dyDescent="0.25">
      <c r="A298" s="8"/>
    </row>
    <row r="299" spans="1:1" ht="13.8" x14ac:dyDescent="0.25">
      <c r="A299" s="8"/>
    </row>
    <row r="300" spans="1:1" ht="13.8" x14ac:dyDescent="0.25">
      <c r="A300" s="8"/>
    </row>
    <row r="301" spans="1:1" ht="13.8" x14ac:dyDescent="0.25">
      <c r="A301" s="8"/>
    </row>
    <row r="302" spans="1:1" ht="13.8" x14ac:dyDescent="0.25">
      <c r="A302" s="8"/>
    </row>
    <row r="303" spans="1:1" ht="13.8" x14ac:dyDescent="0.25">
      <c r="A303" s="8"/>
    </row>
    <row r="304" spans="1:1" ht="13.8" x14ac:dyDescent="0.25">
      <c r="A304" s="8"/>
    </row>
    <row r="305" spans="1:1" ht="13.8" x14ac:dyDescent="0.25">
      <c r="A305" s="8"/>
    </row>
    <row r="306" spans="1:1" ht="13.8" x14ac:dyDescent="0.25">
      <c r="A306" s="8"/>
    </row>
    <row r="307" spans="1:1" ht="13.8" x14ac:dyDescent="0.25">
      <c r="A307" s="8"/>
    </row>
    <row r="308" spans="1:1" ht="13.8" x14ac:dyDescent="0.25">
      <c r="A308" s="8"/>
    </row>
    <row r="309" spans="1:1" ht="13.8" x14ac:dyDescent="0.25">
      <c r="A309" s="8"/>
    </row>
    <row r="310" spans="1:1" ht="13.8" x14ac:dyDescent="0.25">
      <c r="A310" s="8"/>
    </row>
    <row r="311" spans="1:1" ht="13.8" x14ac:dyDescent="0.25">
      <c r="A311" s="8"/>
    </row>
    <row r="312" spans="1:1" ht="13.8" x14ac:dyDescent="0.25">
      <c r="A312" s="8"/>
    </row>
    <row r="313" spans="1:1" ht="13.8" x14ac:dyDescent="0.25">
      <c r="A313" s="8"/>
    </row>
    <row r="314" spans="1:1" ht="13.8" x14ac:dyDescent="0.25">
      <c r="A314" s="8"/>
    </row>
    <row r="315" spans="1:1" ht="13.8" x14ac:dyDescent="0.25">
      <c r="A315" s="8"/>
    </row>
    <row r="316" spans="1:1" ht="13.8" x14ac:dyDescent="0.25">
      <c r="A316" s="8"/>
    </row>
    <row r="317" spans="1:1" ht="13.8" x14ac:dyDescent="0.25">
      <c r="A317" s="8"/>
    </row>
    <row r="318" spans="1:1" ht="13.8" x14ac:dyDescent="0.25">
      <c r="A318" s="8"/>
    </row>
    <row r="319" spans="1:1" ht="13.8" x14ac:dyDescent="0.25">
      <c r="A319" s="8"/>
    </row>
    <row r="320" spans="1:1" ht="13.8" x14ac:dyDescent="0.25">
      <c r="A320" s="8"/>
    </row>
    <row r="321" spans="1:1" ht="13.8" x14ac:dyDescent="0.25">
      <c r="A321" s="8"/>
    </row>
    <row r="322" spans="1:1" ht="13.8" x14ac:dyDescent="0.25">
      <c r="A322" s="8"/>
    </row>
    <row r="323" spans="1:1" ht="13.8" x14ac:dyDescent="0.25">
      <c r="A323" s="8"/>
    </row>
    <row r="324" spans="1:1" ht="13.8" x14ac:dyDescent="0.25">
      <c r="A324" s="8"/>
    </row>
    <row r="325" spans="1:1" ht="13.8" x14ac:dyDescent="0.25">
      <c r="A325" s="8"/>
    </row>
    <row r="326" spans="1:1" ht="13.8" x14ac:dyDescent="0.25">
      <c r="A326" s="8"/>
    </row>
    <row r="327" spans="1:1" ht="13.8" x14ac:dyDescent="0.25">
      <c r="A327" s="8"/>
    </row>
    <row r="328" spans="1:1" ht="13.8" x14ac:dyDescent="0.25">
      <c r="A328" s="8"/>
    </row>
    <row r="329" spans="1:1" ht="13.8" x14ac:dyDescent="0.25">
      <c r="A329" s="8"/>
    </row>
    <row r="330" spans="1:1" ht="13.8" x14ac:dyDescent="0.25">
      <c r="A330" s="8"/>
    </row>
    <row r="331" spans="1:1" ht="13.8" x14ac:dyDescent="0.25">
      <c r="A331" s="8"/>
    </row>
    <row r="332" spans="1:1" ht="13.8" x14ac:dyDescent="0.25">
      <c r="A332" s="8"/>
    </row>
    <row r="333" spans="1:1" ht="13.8" x14ac:dyDescent="0.25">
      <c r="A333" s="8"/>
    </row>
    <row r="334" spans="1:1" ht="13.8" x14ac:dyDescent="0.25">
      <c r="A334" s="8"/>
    </row>
    <row r="335" spans="1:1" ht="13.8" x14ac:dyDescent="0.25">
      <c r="A335" s="8"/>
    </row>
    <row r="336" spans="1:1" ht="13.8" x14ac:dyDescent="0.25">
      <c r="A336" s="8"/>
    </row>
    <row r="337" spans="1:1" ht="13.8" x14ac:dyDescent="0.25">
      <c r="A337" s="8"/>
    </row>
    <row r="338" spans="1:1" ht="13.8" x14ac:dyDescent="0.25">
      <c r="A338" s="8"/>
    </row>
    <row r="339" spans="1:1" ht="13.8" x14ac:dyDescent="0.25">
      <c r="A339" s="8"/>
    </row>
    <row r="340" spans="1:1" ht="13.8" x14ac:dyDescent="0.25">
      <c r="A340" s="8"/>
    </row>
    <row r="341" spans="1:1" ht="13.8" x14ac:dyDescent="0.25">
      <c r="A341" s="8"/>
    </row>
    <row r="342" spans="1:1" ht="13.8" x14ac:dyDescent="0.25">
      <c r="A342" s="8"/>
    </row>
    <row r="343" spans="1:1" ht="13.8" x14ac:dyDescent="0.25">
      <c r="A343" s="8"/>
    </row>
    <row r="344" spans="1:1" ht="13.8" x14ac:dyDescent="0.25">
      <c r="A344" s="8"/>
    </row>
    <row r="345" spans="1:1" ht="13.8" x14ac:dyDescent="0.25">
      <c r="A345" s="8"/>
    </row>
    <row r="346" spans="1:1" ht="13.8" x14ac:dyDescent="0.25">
      <c r="A346" s="8"/>
    </row>
    <row r="347" spans="1:1" ht="13.8" x14ac:dyDescent="0.25">
      <c r="A347" s="8"/>
    </row>
    <row r="348" spans="1:1" ht="13.8" x14ac:dyDescent="0.25">
      <c r="A348" s="8"/>
    </row>
    <row r="349" spans="1:1" ht="13.8" x14ac:dyDescent="0.25">
      <c r="A349" s="8"/>
    </row>
    <row r="350" spans="1:1" ht="13.8" x14ac:dyDescent="0.25">
      <c r="A350" s="8"/>
    </row>
    <row r="351" spans="1:1" ht="13.8" x14ac:dyDescent="0.25">
      <c r="A351" s="8"/>
    </row>
    <row r="352" spans="1:1" ht="13.8" x14ac:dyDescent="0.25">
      <c r="A352" s="8"/>
    </row>
    <row r="353" spans="1:1" ht="13.8" x14ac:dyDescent="0.25">
      <c r="A353" s="8"/>
    </row>
    <row r="354" spans="1:1" ht="13.8" x14ac:dyDescent="0.25">
      <c r="A354" s="8"/>
    </row>
    <row r="355" spans="1:1" ht="13.8" x14ac:dyDescent="0.25">
      <c r="A355" s="8"/>
    </row>
    <row r="356" spans="1:1" ht="13.8" x14ac:dyDescent="0.25">
      <c r="A356" s="8"/>
    </row>
    <row r="357" spans="1:1" ht="13.8" x14ac:dyDescent="0.25">
      <c r="A357" s="8"/>
    </row>
    <row r="358" spans="1:1" ht="13.8" x14ac:dyDescent="0.25">
      <c r="A358" s="8"/>
    </row>
    <row r="359" spans="1:1" ht="13.8" x14ac:dyDescent="0.25">
      <c r="A359" s="8"/>
    </row>
    <row r="360" spans="1:1" ht="13.8" x14ac:dyDescent="0.25">
      <c r="A360" s="8"/>
    </row>
    <row r="361" spans="1:1" ht="13.8" x14ac:dyDescent="0.25">
      <c r="A361" s="8"/>
    </row>
    <row r="362" spans="1:1" ht="13.8" x14ac:dyDescent="0.25">
      <c r="A362" s="8"/>
    </row>
    <row r="363" spans="1:1" ht="13.8" x14ac:dyDescent="0.25">
      <c r="A363" s="8"/>
    </row>
    <row r="364" spans="1:1" ht="13.8" x14ac:dyDescent="0.25">
      <c r="A364" s="8"/>
    </row>
    <row r="365" spans="1:1" ht="13.8" x14ac:dyDescent="0.25">
      <c r="A365" s="8"/>
    </row>
    <row r="366" spans="1:1" ht="13.8" x14ac:dyDescent="0.25">
      <c r="A366" s="8"/>
    </row>
    <row r="367" spans="1:1" ht="13.8" x14ac:dyDescent="0.25">
      <c r="A367" s="8"/>
    </row>
    <row r="368" spans="1:1" ht="13.8" x14ac:dyDescent="0.25">
      <c r="A368" s="8"/>
    </row>
    <row r="369" spans="1:1" ht="13.8" x14ac:dyDescent="0.25">
      <c r="A369" s="8"/>
    </row>
    <row r="370" spans="1:1" ht="13.8" x14ac:dyDescent="0.25">
      <c r="A370" s="8"/>
    </row>
    <row r="371" spans="1:1" ht="13.8" x14ac:dyDescent="0.25">
      <c r="A371" s="8"/>
    </row>
    <row r="372" spans="1:1" ht="13.8" x14ac:dyDescent="0.25">
      <c r="A372" s="8"/>
    </row>
    <row r="373" spans="1:1" ht="13.8" x14ac:dyDescent="0.25">
      <c r="A373" s="8"/>
    </row>
    <row r="374" spans="1:1" ht="13.8" x14ac:dyDescent="0.25">
      <c r="A374" s="8"/>
    </row>
    <row r="375" spans="1:1" ht="13.8" x14ac:dyDescent="0.25">
      <c r="A375" s="8"/>
    </row>
    <row r="376" spans="1:1" ht="13.8" x14ac:dyDescent="0.25">
      <c r="A376" s="8"/>
    </row>
    <row r="377" spans="1:1" ht="13.8" x14ac:dyDescent="0.25">
      <c r="A377" s="8"/>
    </row>
    <row r="378" spans="1:1" ht="13.8" x14ac:dyDescent="0.25">
      <c r="A378" s="8"/>
    </row>
    <row r="379" spans="1:1" ht="13.8" x14ac:dyDescent="0.25">
      <c r="A379" s="8"/>
    </row>
    <row r="380" spans="1:1" ht="13.8" x14ac:dyDescent="0.25">
      <c r="A380" s="8"/>
    </row>
    <row r="381" spans="1:1" ht="13.8" x14ac:dyDescent="0.25">
      <c r="A381" s="8"/>
    </row>
    <row r="382" spans="1:1" ht="13.8" x14ac:dyDescent="0.25">
      <c r="A382" s="8"/>
    </row>
    <row r="383" spans="1:1" ht="13.8" x14ac:dyDescent="0.25">
      <c r="A383" s="8"/>
    </row>
    <row r="384" spans="1:1" ht="13.8" x14ac:dyDescent="0.25">
      <c r="A384" s="8"/>
    </row>
    <row r="385" spans="1:1" ht="13.8" x14ac:dyDescent="0.25">
      <c r="A385" s="8"/>
    </row>
    <row r="386" spans="1:1" ht="13.8" x14ac:dyDescent="0.25">
      <c r="A386" s="8"/>
    </row>
    <row r="387" spans="1:1" ht="13.8" x14ac:dyDescent="0.25">
      <c r="A387" s="8"/>
    </row>
    <row r="388" spans="1:1" ht="13.8" x14ac:dyDescent="0.25">
      <c r="A388" s="8"/>
    </row>
    <row r="389" spans="1:1" ht="13.8" x14ac:dyDescent="0.25">
      <c r="A389" s="8"/>
    </row>
    <row r="390" spans="1:1" ht="13.8" x14ac:dyDescent="0.25">
      <c r="A390" s="8"/>
    </row>
    <row r="391" spans="1:1" ht="13.8" x14ac:dyDescent="0.25">
      <c r="A391" s="8"/>
    </row>
    <row r="392" spans="1:1" ht="13.8" x14ac:dyDescent="0.25">
      <c r="A392" s="8"/>
    </row>
    <row r="393" spans="1:1" ht="13.8" x14ac:dyDescent="0.25">
      <c r="A393" s="8"/>
    </row>
    <row r="394" spans="1:1" ht="13.8" x14ac:dyDescent="0.25">
      <c r="A394" s="8"/>
    </row>
    <row r="395" spans="1:1" ht="13.8" x14ac:dyDescent="0.25">
      <c r="A395" s="8"/>
    </row>
    <row r="396" spans="1:1" ht="13.8" x14ac:dyDescent="0.25">
      <c r="A396" s="8"/>
    </row>
    <row r="397" spans="1:1" ht="13.8" x14ac:dyDescent="0.25">
      <c r="A397" s="8"/>
    </row>
    <row r="398" spans="1:1" ht="13.8" x14ac:dyDescent="0.25">
      <c r="A398" s="8"/>
    </row>
    <row r="399" spans="1:1" ht="13.8" x14ac:dyDescent="0.25">
      <c r="A399" s="8"/>
    </row>
    <row r="400" spans="1:1" ht="13.8" x14ac:dyDescent="0.25">
      <c r="A400" s="8"/>
    </row>
    <row r="401" spans="1:1" ht="13.8" x14ac:dyDescent="0.25">
      <c r="A401" s="8"/>
    </row>
    <row r="402" spans="1:1" ht="13.8" x14ac:dyDescent="0.25">
      <c r="A402" s="8"/>
    </row>
    <row r="403" spans="1:1" ht="13.8" x14ac:dyDescent="0.25">
      <c r="A403" s="8"/>
    </row>
    <row r="404" spans="1:1" ht="13.8" x14ac:dyDescent="0.25">
      <c r="A404" s="8"/>
    </row>
    <row r="405" spans="1:1" ht="13.8" x14ac:dyDescent="0.25">
      <c r="A405" s="8"/>
    </row>
    <row r="406" spans="1:1" ht="13.8" x14ac:dyDescent="0.25">
      <c r="A406" s="8"/>
    </row>
    <row r="407" spans="1:1" ht="13.8" x14ac:dyDescent="0.25">
      <c r="A407" s="8"/>
    </row>
    <row r="408" spans="1:1" ht="13.8" x14ac:dyDescent="0.25">
      <c r="A408" s="8"/>
    </row>
    <row r="409" spans="1:1" ht="13.8" x14ac:dyDescent="0.25">
      <c r="A409" s="8"/>
    </row>
    <row r="410" spans="1:1" ht="13.8" x14ac:dyDescent="0.25">
      <c r="A410" s="8"/>
    </row>
    <row r="411" spans="1:1" ht="13.8" x14ac:dyDescent="0.25">
      <c r="A411" s="8"/>
    </row>
    <row r="412" spans="1:1" ht="13.8" x14ac:dyDescent="0.25">
      <c r="A412" s="8"/>
    </row>
    <row r="413" spans="1:1" ht="13.8" x14ac:dyDescent="0.25">
      <c r="A413" s="8"/>
    </row>
    <row r="414" spans="1:1" ht="13.8" x14ac:dyDescent="0.25">
      <c r="A414" s="8"/>
    </row>
    <row r="415" spans="1:1" ht="13.8" x14ac:dyDescent="0.25">
      <c r="A415" s="8"/>
    </row>
    <row r="416" spans="1:1" ht="13.8" x14ac:dyDescent="0.25">
      <c r="A416" s="8"/>
    </row>
    <row r="417" spans="1:1" ht="13.8" x14ac:dyDescent="0.25">
      <c r="A417" s="8"/>
    </row>
    <row r="418" spans="1:1" ht="13.8" x14ac:dyDescent="0.25">
      <c r="A418" s="8"/>
    </row>
    <row r="419" spans="1:1" ht="13.8" x14ac:dyDescent="0.25">
      <c r="A419" s="8"/>
    </row>
    <row r="420" spans="1:1" ht="13.8" x14ac:dyDescent="0.25">
      <c r="A420" s="8"/>
    </row>
    <row r="421" spans="1:1" ht="13.8" x14ac:dyDescent="0.25">
      <c r="A421" s="8"/>
    </row>
    <row r="422" spans="1:1" ht="13.8" x14ac:dyDescent="0.25">
      <c r="A422" s="8"/>
    </row>
    <row r="423" spans="1:1" ht="13.8" x14ac:dyDescent="0.25">
      <c r="A423" s="8"/>
    </row>
    <row r="424" spans="1:1" ht="13.8" x14ac:dyDescent="0.25">
      <c r="A424" s="8"/>
    </row>
    <row r="425" spans="1:1" ht="13.8" x14ac:dyDescent="0.25">
      <c r="A425" s="8"/>
    </row>
    <row r="426" spans="1:1" ht="13.8" x14ac:dyDescent="0.25">
      <c r="A426" s="8"/>
    </row>
    <row r="427" spans="1:1" ht="13.8" x14ac:dyDescent="0.25">
      <c r="A427" s="8"/>
    </row>
    <row r="428" spans="1:1" ht="13.8" x14ac:dyDescent="0.25">
      <c r="A428" s="8"/>
    </row>
    <row r="429" spans="1:1" ht="13.8" x14ac:dyDescent="0.25">
      <c r="A429" s="8"/>
    </row>
    <row r="430" spans="1:1" ht="13.8" x14ac:dyDescent="0.25">
      <c r="A430" s="8"/>
    </row>
    <row r="431" spans="1:1" ht="13.8" x14ac:dyDescent="0.25">
      <c r="A431" s="8"/>
    </row>
    <row r="432" spans="1:1" ht="13.8" x14ac:dyDescent="0.25">
      <c r="A432" s="8"/>
    </row>
    <row r="433" spans="1:1" ht="13.8" x14ac:dyDescent="0.25">
      <c r="A433" s="8"/>
    </row>
    <row r="434" spans="1:1" ht="13.8" x14ac:dyDescent="0.25">
      <c r="A434" s="8"/>
    </row>
    <row r="435" spans="1:1" ht="13.8" x14ac:dyDescent="0.25">
      <c r="A435" s="8"/>
    </row>
    <row r="436" spans="1:1" ht="13.8" x14ac:dyDescent="0.25">
      <c r="A436" s="8"/>
    </row>
    <row r="437" spans="1:1" ht="13.8" x14ac:dyDescent="0.25">
      <c r="A437" s="8"/>
    </row>
    <row r="438" spans="1:1" ht="13.8" x14ac:dyDescent="0.25">
      <c r="A438" s="8"/>
    </row>
    <row r="439" spans="1:1" ht="13.8" x14ac:dyDescent="0.25">
      <c r="A439" s="8"/>
    </row>
    <row r="440" spans="1:1" ht="13.8" x14ac:dyDescent="0.25">
      <c r="A440" s="8"/>
    </row>
    <row r="441" spans="1:1" ht="13.8" x14ac:dyDescent="0.25">
      <c r="A441" s="8"/>
    </row>
    <row r="442" spans="1:1" ht="13.8" x14ac:dyDescent="0.25">
      <c r="A442" s="8"/>
    </row>
    <row r="443" spans="1:1" ht="13.8" x14ac:dyDescent="0.25">
      <c r="A443" s="8"/>
    </row>
    <row r="444" spans="1:1" ht="13.8" x14ac:dyDescent="0.25">
      <c r="A444" s="8"/>
    </row>
    <row r="445" spans="1:1" ht="13.8" x14ac:dyDescent="0.25">
      <c r="A445" s="8"/>
    </row>
    <row r="446" spans="1:1" ht="13.8" x14ac:dyDescent="0.25">
      <c r="A446" s="8"/>
    </row>
    <row r="447" spans="1:1" ht="13.8" x14ac:dyDescent="0.25">
      <c r="A447" s="8"/>
    </row>
    <row r="448" spans="1:1" ht="13.8" x14ac:dyDescent="0.25">
      <c r="A448" s="8"/>
    </row>
    <row r="449" spans="1:1" ht="13.8" x14ac:dyDescent="0.25">
      <c r="A449" s="8"/>
    </row>
    <row r="450" spans="1:1" ht="13.8" x14ac:dyDescent="0.25">
      <c r="A450" s="8"/>
    </row>
    <row r="451" spans="1:1" ht="13.8" x14ac:dyDescent="0.25">
      <c r="A451" s="8"/>
    </row>
    <row r="452" spans="1:1" ht="13.8" x14ac:dyDescent="0.25">
      <c r="A452" s="8"/>
    </row>
    <row r="453" spans="1:1" ht="13.8" x14ac:dyDescent="0.25">
      <c r="A453" s="8"/>
    </row>
    <row r="454" spans="1:1" ht="13.8" x14ac:dyDescent="0.25">
      <c r="A454" s="8"/>
    </row>
    <row r="455" spans="1:1" ht="13.8" x14ac:dyDescent="0.25">
      <c r="A455" s="8"/>
    </row>
    <row r="456" spans="1:1" ht="13.8" x14ac:dyDescent="0.25">
      <c r="A456" s="8"/>
    </row>
    <row r="457" spans="1:1" ht="13.8" x14ac:dyDescent="0.25">
      <c r="A457" s="8"/>
    </row>
    <row r="458" spans="1:1" ht="13.8" x14ac:dyDescent="0.25">
      <c r="A458" s="8"/>
    </row>
    <row r="459" spans="1:1" ht="13.8" x14ac:dyDescent="0.25">
      <c r="A459" s="8"/>
    </row>
    <row r="460" spans="1:1" ht="13.8" x14ac:dyDescent="0.25">
      <c r="A460" s="8"/>
    </row>
    <row r="461" spans="1:1" ht="13.8" x14ac:dyDescent="0.25">
      <c r="A461" s="8"/>
    </row>
    <row r="462" spans="1:1" ht="13.8" x14ac:dyDescent="0.25">
      <c r="A462" s="8"/>
    </row>
    <row r="463" spans="1:1" ht="13.8" x14ac:dyDescent="0.25">
      <c r="A463" s="8"/>
    </row>
    <row r="464" spans="1:1" ht="13.8" x14ac:dyDescent="0.25">
      <c r="A464" s="8"/>
    </row>
    <row r="465" spans="1:1" ht="13.8" x14ac:dyDescent="0.25">
      <c r="A465" s="8"/>
    </row>
    <row r="466" spans="1:1" ht="13.8" x14ac:dyDescent="0.25">
      <c r="A466" s="8"/>
    </row>
    <row r="467" spans="1:1" ht="13.8" x14ac:dyDescent="0.25">
      <c r="A467" s="8"/>
    </row>
    <row r="468" spans="1:1" ht="13.8" x14ac:dyDescent="0.25">
      <c r="A468" s="8"/>
    </row>
    <row r="469" spans="1:1" ht="13.8" x14ac:dyDescent="0.25">
      <c r="A469" s="8"/>
    </row>
    <row r="470" spans="1:1" ht="13.8" x14ac:dyDescent="0.25">
      <c r="A470" s="8"/>
    </row>
    <row r="471" spans="1:1" ht="13.8" x14ac:dyDescent="0.25">
      <c r="A471" s="8"/>
    </row>
    <row r="472" spans="1:1" ht="13.8" x14ac:dyDescent="0.25">
      <c r="A472" s="8"/>
    </row>
    <row r="473" spans="1:1" ht="13.8" x14ac:dyDescent="0.25">
      <c r="A473" s="8"/>
    </row>
    <row r="474" spans="1:1" ht="13.8" x14ac:dyDescent="0.25">
      <c r="A474" s="8"/>
    </row>
    <row r="475" spans="1:1" ht="13.8" x14ac:dyDescent="0.25">
      <c r="A475" s="8"/>
    </row>
    <row r="476" spans="1:1" ht="13.8" x14ac:dyDescent="0.25">
      <c r="A476" s="8"/>
    </row>
    <row r="477" spans="1:1" ht="13.8" x14ac:dyDescent="0.25">
      <c r="A477" s="8"/>
    </row>
    <row r="478" spans="1:1" ht="13.8" x14ac:dyDescent="0.25">
      <c r="A478" s="8"/>
    </row>
    <row r="479" spans="1:1" ht="13.8" x14ac:dyDescent="0.25">
      <c r="A479" s="8"/>
    </row>
    <row r="480" spans="1:1" ht="13.8" x14ac:dyDescent="0.25">
      <c r="A480" s="8"/>
    </row>
    <row r="481" spans="1:1" ht="13.8" x14ac:dyDescent="0.25">
      <c r="A481" s="8"/>
    </row>
    <row r="482" spans="1:1" ht="13.8" x14ac:dyDescent="0.25">
      <c r="A482" s="8"/>
    </row>
    <row r="483" spans="1:1" ht="13.8" x14ac:dyDescent="0.25">
      <c r="A483" s="8"/>
    </row>
    <row r="484" spans="1:1" ht="13.8" x14ac:dyDescent="0.25">
      <c r="A484" s="8"/>
    </row>
    <row r="485" spans="1:1" ht="13.8" x14ac:dyDescent="0.25">
      <c r="A485" s="8"/>
    </row>
    <row r="486" spans="1:1" ht="13.8" x14ac:dyDescent="0.25">
      <c r="A486" s="8"/>
    </row>
    <row r="487" spans="1:1" ht="13.8" x14ac:dyDescent="0.25">
      <c r="A487" s="8"/>
    </row>
    <row r="488" spans="1:1" ht="13.8" x14ac:dyDescent="0.25">
      <c r="A488" s="8"/>
    </row>
    <row r="489" spans="1:1" ht="13.8" x14ac:dyDescent="0.25">
      <c r="A489" s="8"/>
    </row>
    <row r="490" spans="1:1" ht="13.8" x14ac:dyDescent="0.25">
      <c r="A490" s="8"/>
    </row>
    <row r="491" spans="1:1" ht="13.8" x14ac:dyDescent="0.25">
      <c r="A491" s="8"/>
    </row>
    <row r="492" spans="1:1" ht="13.8" x14ac:dyDescent="0.25">
      <c r="A492" s="8"/>
    </row>
    <row r="493" spans="1:1" ht="13.8" x14ac:dyDescent="0.25">
      <c r="A493" s="8"/>
    </row>
    <row r="494" spans="1:1" ht="13.8" x14ac:dyDescent="0.25">
      <c r="A494" s="8"/>
    </row>
    <row r="495" spans="1:1" ht="13.8" x14ac:dyDescent="0.25">
      <c r="A495" s="8"/>
    </row>
    <row r="496" spans="1:1" ht="13.8" x14ac:dyDescent="0.25">
      <c r="A496" s="8"/>
    </row>
    <row r="497" spans="1:1" ht="13.8" x14ac:dyDescent="0.25">
      <c r="A497" s="8"/>
    </row>
    <row r="498" spans="1:1" ht="13.8" x14ac:dyDescent="0.25">
      <c r="A498" s="8"/>
    </row>
    <row r="499" spans="1:1" ht="13.8" x14ac:dyDescent="0.25">
      <c r="A499" s="8"/>
    </row>
    <row r="500" spans="1:1" ht="13.8" x14ac:dyDescent="0.25">
      <c r="A500" s="8"/>
    </row>
    <row r="501" spans="1:1" ht="13.8" x14ac:dyDescent="0.25">
      <c r="A501" s="8"/>
    </row>
    <row r="502" spans="1:1" ht="13.8" x14ac:dyDescent="0.25">
      <c r="A502" s="8"/>
    </row>
    <row r="503" spans="1:1" ht="13.8" x14ac:dyDescent="0.25">
      <c r="A503" s="8"/>
    </row>
    <row r="504" spans="1:1" ht="13.8" x14ac:dyDescent="0.25">
      <c r="A504" s="8"/>
    </row>
    <row r="505" spans="1:1" ht="13.8" x14ac:dyDescent="0.25">
      <c r="A505" s="8"/>
    </row>
    <row r="506" spans="1:1" ht="13.8" x14ac:dyDescent="0.25">
      <c r="A506" s="8"/>
    </row>
    <row r="507" spans="1:1" ht="13.8" x14ac:dyDescent="0.25">
      <c r="A507" s="8"/>
    </row>
    <row r="508" spans="1:1" ht="13.8" x14ac:dyDescent="0.25">
      <c r="A508" s="8"/>
    </row>
    <row r="509" spans="1:1" ht="13.8" x14ac:dyDescent="0.25">
      <c r="A509" s="8"/>
    </row>
    <row r="510" spans="1:1" ht="13.8" x14ac:dyDescent="0.25">
      <c r="A510" s="8"/>
    </row>
    <row r="511" spans="1:1" ht="13.8" x14ac:dyDescent="0.25">
      <c r="A511" s="8"/>
    </row>
    <row r="512" spans="1:1" ht="13.8" x14ac:dyDescent="0.25">
      <c r="A512" s="8"/>
    </row>
    <row r="513" spans="1:1" ht="13.8" x14ac:dyDescent="0.25">
      <c r="A513" s="8"/>
    </row>
    <row r="514" spans="1:1" ht="13.8" x14ac:dyDescent="0.25">
      <c r="A514" s="8"/>
    </row>
    <row r="515" spans="1:1" ht="13.8" x14ac:dyDescent="0.25">
      <c r="A515" s="8"/>
    </row>
    <row r="516" spans="1:1" ht="13.8" x14ac:dyDescent="0.25">
      <c r="A516" s="8"/>
    </row>
    <row r="517" spans="1:1" ht="13.8" x14ac:dyDescent="0.25">
      <c r="A517" s="8"/>
    </row>
    <row r="518" spans="1:1" ht="13.8" x14ac:dyDescent="0.25">
      <c r="A518" s="8"/>
    </row>
    <row r="519" spans="1:1" ht="13.8" x14ac:dyDescent="0.25">
      <c r="A519" s="8"/>
    </row>
    <row r="520" spans="1:1" ht="13.8" x14ac:dyDescent="0.25">
      <c r="A520" s="8"/>
    </row>
    <row r="521" spans="1:1" ht="13.8" x14ac:dyDescent="0.25">
      <c r="A521" s="8"/>
    </row>
    <row r="522" spans="1:1" ht="13.8" x14ac:dyDescent="0.25">
      <c r="A522" s="8"/>
    </row>
    <row r="523" spans="1:1" ht="13.8" x14ac:dyDescent="0.25">
      <c r="A523" s="8"/>
    </row>
    <row r="524" spans="1:1" ht="13.8" x14ac:dyDescent="0.25">
      <c r="A524" s="8"/>
    </row>
    <row r="525" spans="1:1" ht="13.8" x14ac:dyDescent="0.25">
      <c r="A525" s="8"/>
    </row>
    <row r="526" spans="1:1" ht="13.8" x14ac:dyDescent="0.25">
      <c r="A526" s="8"/>
    </row>
    <row r="527" spans="1:1" ht="13.8" x14ac:dyDescent="0.25">
      <c r="A527" s="8"/>
    </row>
    <row r="528" spans="1:1" ht="13.8" x14ac:dyDescent="0.25">
      <c r="A528" s="8"/>
    </row>
    <row r="529" spans="1:1" ht="13.8" x14ac:dyDescent="0.25">
      <c r="A529" s="8"/>
    </row>
    <row r="530" spans="1:1" ht="13.8" x14ac:dyDescent="0.25">
      <c r="A530" s="8"/>
    </row>
    <row r="531" spans="1:1" ht="13.8" x14ac:dyDescent="0.25">
      <c r="A531" s="8"/>
    </row>
    <row r="532" spans="1:1" ht="13.8" x14ac:dyDescent="0.25">
      <c r="A532" s="8"/>
    </row>
    <row r="533" spans="1:1" ht="13.8" x14ac:dyDescent="0.25">
      <c r="A533" s="8"/>
    </row>
    <row r="534" spans="1:1" ht="13.8" x14ac:dyDescent="0.25">
      <c r="A534" s="8"/>
    </row>
    <row r="535" spans="1:1" ht="13.8" x14ac:dyDescent="0.25">
      <c r="A535" s="8"/>
    </row>
    <row r="536" spans="1:1" ht="13.8" x14ac:dyDescent="0.25">
      <c r="A536" s="8"/>
    </row>
    <row r="537" spans="1:1" ht="13.8" x14ac:dyDescent="0.25">
      <c r="A537" s="8"/>
    </row>
    <row r="538" spans="1:1" ht="13.8" x14ac:dyDescent="0.25">
      <c r="A538" s="8"/>
    </row>
    <row r="539" spans="1:1" ht="13.8" x14ac:dyDescent="0.25">
      <c r="A539" s="8"/>
    </row>
    <row r="540" spans="1:1" ht="13.8" x14ac:dyDescent="0.25">
      <c r="A540" s="8"/>
    </row>
    <row r="541" spans="1:1" ht="13.8" x14ac:dyDescent="0.25">
      <c r="A541" s="8"/>
    </row>
    <row r="542" spans="1:1" ht="13.8" x14ac:dyDescent="0.25">
      <c r="A542" s="8"/>
    </row>
    <row r="543" spans="1:1" ht="13.8" x14ac:dyDescent="0.25">
      <c r="A543" s="8"/>
    </row>
    <row r="544" spans="1:1" ht="13.8" x14ac:dyDescent="0.25">
      <c r="A544" s="8"/>
    </row>
    <row r="545" spans="1:1" ht="13.8" x14ac:dyDescent="0.25">
      <c r="A545" s="8"/>
    </row>
    <row r="546" spans="1:1" ht="13.8" x14ac:dyDescent="0.25">
      <c r="A546" s="8"/>
    </row>
    <row r="547" spans="1:1" ht="13.8" x14ac:dyDescent="0.25">
      <c r="A547" s="8"/>
    </row>
    <row r="548" spans="1:1" ht="13.8" x14ac:dyDescent="0.25">
      <c r="A548" s="8"/>
    </row>
    <row r="549" spans="1:1" ht="13.8" x14ac:dyDescent="0.25">
      <c r="A549" s="8"/>
    </row>
    <row r="550" spans="1:1" ht="13.8" x14ac:dyDescent="0.25">
      <c r="A550" s="8"/>
    </row>
    <row r="551" spans="1:1" ht="13.8" x14ac:dyDescent="0.25">
      <c r="A551" s="8"/>
    </row>
    <row r="552" spans="1:1" ht="13.8" x14ac:dyDescent="0.25">
      <c r="A552" s="8"/>
    </row>
    <row r="553" spans="1:1" ht="13.8" x14ac:dyDescent="0.25">
      <c r="A553" s="8"/>
    </row>
    <row r="554" spans="1:1" ht="13.8" x14ac:dyDescent="0.25">
      <c r="A554" s="8"/>
    </row>
    <row r="555" spans="1:1" ht="13.8" x14ac:dyDescent="0.25">
      <c r="A555" s="8"/>
    </row>
    <row r="556" spans="1:1" ht="13.8" x14ac:dyDescent="0.25">
      <c r="A556" s="8"/>
    </row>
    <row r="557" spans="1:1" ht="13.8" x14ac:dyDescent="0.25">
      <c r="A557" s="8"/>
    </row>
    <row r="558" spans="1:1" ht="13.8" x14ac:dyDescent="0.25">
      <c r="A558" s="8"/>
    </row>
    <row r="559" spans="1:1" ht="13.8" x14ac:dyDescent="0.25">
      <c r="A559" s="8"/>
    </row>
    <row r="560" spans="1:1" ht="13.8" x14ac:dyDescent="0.25">
      <c r="A560" s="8"/>
    </row>
    <row r="561" spans="1:1" ht="13.8" x14ac:dyDescent="0.25">
      <c r="A561" s="8"/>
    </row>
    <row r="562" spans="1:1" ht="13.8" x14ac:dyDescent="0.25">
      <c r="A562" s="8"/>
    </row>
    <row r="563" spans="1:1" ht="13.8" x14ac:dyDescent="0.25">
      <c r="A563" s="8"/>
    </row>
    <row r="564" spans="1:1" ht="13.8" x14ac:dyDescent="0.25">
      <c r="A564" s="8"/>
    </row>
    <row r="565" spans="1:1" ht="13.8" x14ac:dyDescent="0.25">
      <c r="A565" s="8"/>
    </row>
    <row r="566" spans="1:1" ht="13.8" x14ac:dyDescent="0.25">
      <c r="A566" s="8"/>
    </row>
    <row r="567" spans="1:1" ht="13.8" x14ac:dyDescent="0.25">
      <c r="A567" s="8"/>
    </row>
    <row r="568" spans="1:1" ht="13.8" x14ac:dyDescent="0.25">
      <c r="A568" s="8"/>
    </row>
    <row r="569" spans="1:1" ht="13.8" x14ac:dyDescent="0.25">
      <c r="A569" s="8"/>
    </row>
    <row r="570" spans="1:1" ht="13.8" x14ac:dyDescent="0.25">
      <c r="A570" s="8"/>
    </row>
    <row r="571" spans="1:1" ht="13.8" x14ac:dyDescent="0.25">
      <c r="A571" s="8"/>
    </row>
    <row r="572" spans="1:1" ht="13.8" x14ac:dyDescent="0.25">
      <c r="A572" s="8"/>
    </row>
    <row r="573" spans="1:1" ht="13.8" x14ac:dyDescent="0.25">
      <c r="A573" s="8"/>
    </row>
    <row r="574" spans="1:1" ht="13.8" x14ac:dyDescent="0.25">
      <c r="A574" s="8"/>
    </row>
    <row r="575" spans="1:1" ht="13.8" x14ac:dyDescent="0.25">
      <c r="A575" s="8"/>
    </row>
    <row r="576" spans="1:1" ht="13.8" x14ac:dyDescent="0.25">
      <c r="A576" s="8"/>
    </row>
    <row r="577" spans="1:1" ht="13.8" x14ac:dyDescent="0.25">
      <c r="A577" s="8"/>
    </row>
    <row r="578" spans="1:1" ht="13.8" x14ac:dyDescent="0.25">
      <c r="A578" s="8"/>
    </row>
    <row r="579" spans="1:1" ht="13.8" x14ac:dyDescent="0.25">
      <c r="A579" s="8"/>
    </row>
    <row r="580" spans="1:1" ht="13.8" x14ac:dyDescent="0.25">
      <c r="A580" s="8"/>
    </row>
    <row r="581" spans="1:1" ht="13.8" x14ac:dyDescent="0.25">
      <c r="A581" s="8"/>
    </row>
    <row r="582" spans="1:1" ht="13.8" x14ac:dyDescent="0.25">
      <c r="A582" s="8"/>
    </row>
    <row r="583" spans="1:1" ht="13.8" x14ac:dyDescent="0.25">
      <c r="A583" s="8"/>
    </row>
    <row r="584" spans="1:1" ht="13.8" x14ac:dyDescent="0.25">
      <c r="A584" s="8"/>
    </row>
    <row r="585" spans="1:1" ht="13.8" x14ac:dyDescent="0.25">
      <c r="A585" s="8"/>
    </row>
    <row r="586" spans="1:1" ht="13.8" x14ac:dyDescent="0.25">
      <c r="A586" s="8"/>
    </row>
    <row r="587" spans="1:1" ht="13.8" x14ac:dyDescent="0.25">
      <c r="A587" s="8"/>
    </row>
    <row r="588" spans="1:1" ht="13.8" x14ac:dyDescent="0.25">
      <c r="A588" s="8"/>
    </row>
    <row r="589" spans="1:1" ht="13.8" x14ac:dyDescent="0.25">
      <c r="A589" s="8"/>
    </row>
    <row r="590" spans="1:1" ht="13.8" x14ac:dyDescent="0.25">
      <c r="A590" s="8"/>
    </row>
    <row r="591" spans="1:1" ht="13.8" x14ac:dyDescent="0.25">
      <c r="A591" s="8"/>
    </row>
    <row r="592" spans="1:1" ht="13.8" x14ac:dyDescent="0.25">
      <c r="A592" s="8"/>
    </row>
    <row r="593" spans="1:1" ht="13.8" x14ac:dyDescent="0.25">
      <c r="A593" s="8"/>
    </row>
    <row r="594" spans="1:1" ht="13.8" x14ac:dyDescent="0.25">
      <c r="A594" s="8"/>
    </row>
    <row r="595" spans="1:1" ht="13.8" x14ac:dyDescent="0.25">
      <c r="A595" s="8"/>
    </row>
    <row r="596" spans="1:1" ht="13.8" x14ac:dyDescent="0.25">
      <c r="A596" s="8"/>
    </row>
    <row r="597" spans="1:1" ht="13.8" x14ac:dyDescent="0.25">
      <c r="A597" s="8"/>
    </row>
    <row r="598" spans="1:1" ht="13.8" x14ac:dyDescent="0.25">
      <c r="A598" s="8"/>
    </row>
    <row r="599" spans="1:1" ht="13.8" x14ac:dyDescent="0.25">
      <c r="A599" s="8"/>
    </row>
    <row r="600" spans="1:1" ht="13.8" x14ac:dyDescent="0.25">
      <c r="A600" s="8"/>
    </row>
    <row r="601" spans="1:1" ht="13.8" x14ac:dyDescent="0.25">
      <c r="A601" s="8"/>
    </row>
    <row r="602" spans="1:1" ht="13.8" x14ac:dyDescent="0.25">
      <c r="A602" s="8"/>
    </row>
    <row r="603" spans="1:1" ht="13.8" x14ac:dyDescent="0.25">
      <c r="A603" s="8"/>
    </row>
    <row r="604" spans="1:1" ht="13.8" x14ac:dyDescent="0.25">
      <c r="A604" s="8"/>
    </row>
    <row r="605" spans="1:1" ht="13.8" x14ac:dyDescent="0.25">
      <c r="A605" s="8"/>
    </row>
    <row r="606" spans="1:1" ht="13.8" x14ac:dyDescent="0.25">
      <c r="A606" s="8"/>
    </row>
    <row r="607" spans="1:1" ht="13.8" x14ac:dyDescent="0.25">
      <c r="A607" s="8"/>
    </row>
    <row r="608" spans="1:1" ht="13.8" x14ac:dyDescent="0.25">
      <c r="A608" s="8"/>
    </row>
    <row r="609" spans="1:1" ht="13.8" x14ac:dyDescent="0.25">
      <c r="A609" s="8"/>
    </row>
    <row r="610" spans="1:1" ht="13.8" x14ac:dyDescent="0.25">
      <c r="A610" s="8"/>
    </row>
    <row r="611" spans="1:1" ht="13.8" x14ac:dyDescent="0.25">
      <c r="A611" s="8"/>
    </row>
    <row r="612" spans="1:1" ht="13.8" x14ac:dyDescent="0.25">
      <c r="A612" s="8"/>
    </row>
    <row r="613" spans="1:1" ht="13.8" x14ac:dyDescent="0.25">
      <c r="A613" s="8"/>
    </row>
    <row r="614" spans="1:1" ht="13.8" x14ac:dyDescent="0.25">
      <c r="A614" s="8"/>
    </row>
    <row r="615" spans="1:1" ht="13.8" x14ac:dyDescent="0.25">
      <c r="A615" s="8"/>
    </row>
    <row r="616" spans="1:1" ht="13.8" x14ac:dyDescent="0.25">
      <c r="A616" s="8"/>
    </row>
    <row r="617" spans="1:1" ht="13.8" x14ac:dyDescent="0.25">
      <c r="A617" s="8"/>
    </row>
    <row r="618" spans="1:1" ht="13.8" x14ac:dyDescent="0.25">
      <c r="A618" s="8"/>
    </row>
    <row r="619" spans="1:1" ht="13.8" x14ac:dyDescent="0.25">
      <c r="A619" s="8"/>
    </row>
    <row r="620" spans="1:1" ht="13.8" x14ac:dyDescent="0.25">
      <c r="A620" s="8"/>
    </row>
    <row r="621" spans="1:1" ht="13.8" x14ac:dyDescent="0.25">
      <c r="A621" s="8"/>
    </row>
    <row r="622" spans="1:1" ht="13.8" x14ac:dyDescent="0.25">
      <c r="A622" s="8"/>
    </row>
    <row r="623" spans="1:1" ht="13.8" x14ac:dyDescent="0.25">
      <c r="A623" s="8"/>
    </row>
    <row r="624" spans="1:1" ht="13.8" x14ac:dyDescent="0.25">
      <c r="A624" s="8"/>
    </row>
    <row r="625" spans="1:1" ht="13.8" x14ac:dyDescent="0.25">
      <c r="A625" s="8"/>
    </row>
    <row r="626" spans="1:1" ht="13.8" x14ac:dyDescent="0.25">
      <c r="A626" s="8"/>
    </row>
    <row r="627" spans="1:1" ht="13.8" x14ac:dyDescent="0.25">
      <c r="A627" s="8"/>
    </row>
    <row r="628" spans="1:1" ht="13.8" x14ac:dyDescent="0.25">
      <c r="A628" s="8"/>
    </row>
    <row r="629" spans="1:1" ht="13.8" x14ac:dyDescent="0.25">
      <c r="A629" s="8"/>
    </row>
    <row r="630" spans="1:1" ht="13.8" x14ac:dyDescent="0.25">
      <c r="A630" s="8"/>
    </row>
    <row r="631" spans="1:1" ht="13.8" x14ac:dyDescent="0.25">
      <c r="A631" s="8"/>
    </row>
    <row r="632" spans="1:1" ht="13.8" x14ac:dyDescent="0.25">
      <c r="A632" s="8"/>
    </row>
    <row r="633" spans="1:1" ht="13.8" x14ac:dyDescent="0.25">
      <c r="A633" s="8"/>
    </row>
    <row r="634" spans="1:1" ht="13.8" x14ac:dyDescent="0.25">
      <c r="A634" s="8"/>
    </row>
    <row r="635" spans="1:1" ht="13.8" x14ac:dyDescent="0.25">
      <c r="A635" s="8"/>
    </row>
    <row r="636" spans="1:1" ht="13.8" x14ac:dyDescent="0.25">
      <c r="A636" s="8"/>
    </row>
    <row r="637" spans="1:1" ht="13.8" x14ac:dyDescent="0.25">
      <c r="A637" s="8"/>
    </row>
    <row r="638" spans="1:1" ht="13.8" x14ac:dyDescent="0.25">
      <c r="A638" s="8"/>
    </row>
    <row r="639" spans="1:1" ht="13.8" x14ac:dyDescent="0.25">
      <c r="A639" s="8"/>
    </row>
    <row r="640" spans="1:1" ht="13.8" x14ac:dyDescent="0.25">
      <c r="A640" s="8"/>
    </row>
    <row r="641" spans="1:1" ht="13.8" x14ac:dyDescent="0.25">
      <c r="A641" s="8"/>
    </row>
    <row r="642" spans="1:1" ht="13.8" x14ac:dyDescent="0.25">
      <c r="A642" s="8"/>
    </row>
    <row r="643" spans="1:1" ht="13.8" x14ac:dyDescent="0.25">
      <c r="A643" s="8"/>
    </row>
    <row r="644" spans="1:1" ht="13.8" x14ac:dyDescent="0.25">
      <c r="A644" s="8"/>
    </row>
    <row r="645" spans="1:1" ht="13.8" x14ac:dyDescent="0.25">
      <c r="A645" s="8"/>
    </row>
    <row r="646" spans="1:1" ht="13.8" x14ac:dyDescent="0.25">
      <c r="A646" s="8"/>
    </row>
    <row r="647" spans="1:1" ht="13.8" x14ac:dyDescent="0.25">
      <c r="A647" s="8"/>
    </row>
    <row r="648" spans="1:1" ht="13.8" x14ac:dyDescent="0.25">
      <c r="A648" s="8"/>
    </row>
    <row r="649" spans="1:1" ht="13.8" x14ac:dyDescent="0.25">
      <c r="A649" s="8"/>
    </row>
    <row r="650" spans="1:1" ht="13.8" x14ac:dyDescent="0.25">
      <c r="A650" s="8"/>
    </row>
    <row r="651" spans="1:1" ht="13.8" x14ac:dyDescent="0.25">
      <c r="A651" s="8"/>
    </row>
    <row r="652" spans="1:1" ht="13.8" x14ac:dyDescent="0.25">
      <c r="A652" s="8"/>
    </row>
    <row r="653" spans="1:1" ht="13.8" x14ac:dyDescent="0.25">
      <c r="A653" s="8"/>
    </row>
    <row r="654" spans="1:1" ht="13.8" x14ac:dyDescent="0.25">
      <c r="A654" s="8"/>
    </row>
    <row r="655" spans="1:1" ht="13.8" x14ac:dyDescent="0.25">
      <c r="A655" s="8"/>
    </row>
    <row r="656" spans="1:1" ht="13.8" x14ac:dyDescent="0.25">
      <c r="A656" s="8"/>
    </row>
    <row r="657" spans="1:1" ht="13.8" x14ac:dyDescent="0.25">
      <c r="A657" s="8"/>
    </row>
    <row r="658" spans="1:1" ht="13.8" x14ac:dyDescent="0.25">
      <c r="A658" s="8"/>
    </row>
    <row r="659" spans="1:1" ht="13.8" x14ac:dyDescent="0.25">
      <c r="A659" s="8"/>
    </row>
    <row r="660" spans="1:1" ht="13.8" x14ac:dyDescent="0.25">
      <c r="A660" s="8"/>
    </row>
    <row r="661" spans="1:1" ht="13.8" x14ac:dyDescent="0.25">
      <c r="A661" s="8"/>
    </row>
    <row r="662" spans="1:1" ht="13.8" x14ac:dyDescent="0.25">
      <c r="A662" s="8"/>
    </row>
    <row r="663" spans="1:1" ht="13.8" x14ac:dyDescent="0.25">
      <c r="A663" s="8"/>
    </row>
    <row r="664" spans="1:1" ht="13.8" x14ac:dyDescent="0.25">
      <c r="A664" s="8"/>
    </row>
    <row r="665" spans="1:1" ht="13.8" x14ac:dyDescent="0.25">
      <c r="A665" s="8"/>
    </row>
    <row r="666" spans="1:1" ht="13.8" x14ac:dyDescent="0.25">
      <c r="A666" s="8"/>
    </row>
    <row r="667" spans="1:1" ht="13.8" x14ac:dyDescent="0.25">
      <c r="A667" s="8"/>
    </row>
    <row r="668" spans="1:1" ht="13.8" x14ac:dyDescent="0.25">
      <c r="A668" s="8"/>
    </row>
    <row r="669" spans="1:1" ht="13.8" x14ac:dyDescent="0.25">
      <c r="A669" s="8"/>
    </row>
    <row r="670" spans="1:1" ht="13.8" x14ac:dyDescent="0.25">
      <c r="A670" s="8"/>
    </row>
    <row r="671" spans="1:1" ht="13.8" x14ac:dyDescent="0.25">
      <c r="A671" s="8"/>
    </row>
    <row r="672" spans="1:1" ht="13.8" x14ac:dyDescent="0.25">
      <c r="A672" s="8"/>
    </row>
    <row r="673" spans="1:1" ht="13.8" x14ac:dyDescent="0.25">
      <c r="A673" s="8"/>
    </row>
    <row r="674" spans="1:1" ht="13.8" x14ac:dyDescent="0.25">
      <c r="A674" s="8"/>
    </row>
    <row r="675" spans="1:1" ht="13.8" x14ac:dyDescent="0.25">
      <c r="A675" s="8"/>
    </row>
    <row r="676" spans="1:1" ht="13.8" x14ac:dyDescent="0.25">
      <c r="A676" s="8"/>
    </row>
    <row r="677" spans="1:1" ht="13.8" x14ac:dyDescent="0.25">
      <c r="A677" s="8"/>
    </row>
    <row r="678" spans="1:1" ht="13.8" x14ac:dyDescent="0.25">
      <c r="A678" s="8"/>
    </row>
    <row r="679" spans="1:1" ht="13.8" x14ac:dyDescent="0.25">
      <c r="A679" s="8"/>
    </row>
    <row r="680" spans="1:1" ht="13.8" x14ac:dyDescent="0.25">
      <c r="A680" s="8"/>
    </row>
    <row r="681" spans="1:1" ht="13.8" x14ac:dyDescent="0.25">
      <c r="A681" s="8"/>
    </row>
    <row r="682" spans="1:1" ht="13.8" x14ac:dyDescent="0.25">
      <c r="A682" s="8"/>
    </row>
    <row r="683" spans="1:1" ht="13.8" x14ac:dyDescent="0.25">
      <c r="A683" s="8"/>
    </row>
    <row r="684" spans="1:1" ht="13.8" x14ac:dyDescent="0.25">
      <c r="A684" s="8"/>
    </row>
    <row r="685" spans="1:1" ht="13.8" x14ac:dyDescent="0.25">
      <c r="A685" s="8"/>
    </row>
    <row r="686" spans="1:1" ht="13.8" x14ac:dyDescent="0.25">
      <c r="A686" s="8"/>
    </row>
    <row r="687" spans="1:1" ht="13.8" x14ac:dyDescent="0.25">
      <c r="A687" s="8"/>
    </row>
    <row r="688" spans="1:1" ht="13.8" x14ac:dyDescent="0.25">
      <c r="A688" s="8"/>
    </row>
    <row r="689" spans="1:1" ht="13.8" x14ac:dyDescent="0.25">
      <c r="A689" s="8"/>
    </row>
    <row r="690" spans="1:1" ht="13.8" x14ac:dyDescent="0.25">
      <c r="A690" s="8"/>
    </row>
    <row r="691" spans="1:1" ht="13.8" x14ac:dyDescent="0.25">
      <c r="A691" s="8"/>
    </row>
    <row r="692" spans="1:1" ht="13.8" x14ac:dyDescent="0.25">
      <c r="A692" s="8"/>
    </row>
    <row r="693" spans="1:1" ht="13.8" x14ac:dyDescent="0.25">
      <c r="A693" s="8"/>
    </row>
    <row r="694" spans="1:1" ht="13.8" x14ac:dyDescent="0.25">
      <c r="A694" s="8"/>
    </row>
    <row r="695" spans="1:1" ht="13.8" x14ac:dyDescent="0.25">
      <c r="A695" s="8"/>
    </row>
    <row r="696" spans="1:1" ht="13.8" x14ac:dyDescent="0.25">
      <c r="A696" s="8"/>
    </row>
    <row r="697" spans="1:1" ht="13.8" x14ac:dyDescent="0.25">
      <c r="A697" s="8"/>
    </row>
    <row r="698" spans="1:1" ht="13.8" x14ac:dyDescent="0.25">
      <c r="A698" s="8"/>
    </row>
    <row r="699" spans="1:1" ht="13.8" x14ac:dyDescent="0.25">
      <c r="A699" s="8"/>
    </row>
    <row r="700" spans="1:1" ht="13.8" x14ac:dyDescent="0.25">
      <c r="A700" s="8"/>
    </row>
    <row r="701" spans="1:1" ht="13.8" x14ac:dyDescent="0.25">
      <c r="A701" s="8"/>
    </row>
    <row r="702" spans="1:1" ht="13.8" x14ac:dyDescent="0.25">
      <c r="A702" s="8"/>
    </row>
    <row r="703" spans="1:1" ht="13.8" x14ac:dyDescent="0.25">
      <c r="A703" s="8"/>
    </row>
    <row r="704" spans="1:1" ht="13.8" x14ac:dyDescent="0.25">
      <c r="A704" s="8"/>
    </row>
    <row r="705" spans="1:1" ht="13.8" x14ac:dyDescent="0.25">
      <c r="A705" s="8"/>
    </row>
    <row r="706" spans="1:1" ht="13.8" x14ac:dyDescent="0.25">
      <c r="A706" s="8"/>
    </row>
    <row r="707" spans="1:1" ht="13.8" x14ac:dyDescent="0.25">
      <c r="A707" s="8"/>
    </row>
    <row r="708" spans="1:1" ht="13.8" x14ac:dyDescent="0.25">
      <c r="A708" s="8"/>
    </row>
    <row r="709" spans="1:1" ht="13.8" x14ac:dyDescent="0.25">
      <c r="A709" s="8"/>
    </row>
    <row r="710" spans="1:1" ht="13.8" x14ac:dyDescent="0.25">
      <c r="A710" s="8"/>
    </row>
    <row r="711" spans="1:1" ht="13.8" x14ac:dyDescent="0.25">
      <c r="A711" s="8"/>
    </row>
    <row r="712" spans="1:1" ht="13.8" x14ac:dyDescent="0.25">
      <c r="A712" s="8"/>
    </row>
    <row r="713" spans="1:1" ht="13.8" x14ac:dyDescent="0.25">
      <c r="A713" s="8"/>
    </row>
    <row r="714" spans="1:1" ht="13.8" x14ac:dyDescent="0.25">
      <c r="A714" s="8"/>
    </row>
    <row r="715" spans="1:1" ht="13.8" x14ac:dyDescent="0.25">
      <c r="A715" s="8"/>
    </row>
    <row r="716" spans="1:1" ht="13.8" x14ac:dyDescent="0.25">
      <c r="A716" s="8"/>
    </row>
    <row r="717" spans="1:1" ht="13.8" x14ac:dyDescent="0.25">
      <c r="A717" s="8"/>
    </row>
    <row r="718" spans="1:1" ht="13.8" x14ac:dyDescent="0.25">
      <c r="A718" s="8"/>
    </row>
    <row r="719" spans="1:1" ht="13.8" x14ac:dyDescent="0.25">
      <c r="A719" s="8"/>
    </row>
    <row r="720" spans="1:1" ht="13.8" x14ac:dyDescent="0.25">
      <c r="A720" s="8"/>
    </row>
    <row r="721" spans="1:1" ht="13.8" x14ac:dyDescent="0.25">
      <c r="A721" s="8"/>
    </row>
    <row r="722" spans="1:1" ht="13.8" x14ac:dyDescent="0.25">
      <c r="A722" s="8"/>
    </row>
    <row r="723" spans="1:1" ht="13.8" x14ac:dyDescent="0.25">
      <c r="A723" s="8"/>
    </row>
    <row r="724" spans="1:1" ht="13.8" x14ac:dyDescent="0.25">
      <c r="A724" s="8"/>
    </row>
    <row r="725" spans="1:1" ht="13.8" x14ac:dyDescent="0.25">
      <c r="A725" s="8"/>
    </row>
    <row r="726" spans="1:1" ht="13.8" x14ac:dyDescent="0.25">
      <c r="A726" s="8"/>
    </row>
    <row r="727" spans="1:1" ht="13.8" x14ac:dyDescent="0.25">
      <c r="A727" s="8"/>
    </row>
    <row r="728" spans="1:1" ht="13.8" x14ac:dyDescent="0.25">
      <c r="A728" s="8"/>
    </row>
    <row r="729" spans="1:1" ht="13.8" x14ac:dyDescent="0.25">
      <c r="A729" s="8"/>
    </row>
    <row r="730" spans="1:1" ht="13.8" x14ac:dyDescent="0.25">
      <c r="A730" s="8"/>
    </row>
    <row r="731" spans="1:1" ht="13.8" x14ac:dyDescent="0.25">
      <c r="A731" s="8"/>
    </row>
    <row r="732" spans="1:1" ht="13.8" x14ac:dyDescent="0.25">
      <c r="A732" s="8"/>
    </row>
    <row r="733" spans="1:1" ht="13.8" x14ac:dyDescent="0.25">
      <c r="A733" s="8"/>
    </row>
    <row r="734" spans="1:1" ht="13.8" x14ac:dyDescent="0.25">
      <c r="A734" s="8"/>
    </row>
    <row r="735" spans="1:1" ht="13.8" x14ac:dyDescent="0.25">
      <c r="A735" s="8"/>
    </row>
    <row r="736" spans="1:1" ht="13.8" x14ac:dyDescent="0.25">
      <c r="A736" s="8"/>
    </row>
    <row r="737" spans="1:1" ht="13.8" x14ac:dyDescent="0.25">
      <c r="A737" s="8"/>
    </row>
    <row r="738" spans="1:1" ht="13.8" x14ac:dyDescent="0.25">
      <c r="A738" s="8"/>
    </row>
    <row r="739" spans="1:1" ht="13.8" x14ac:dyDescent="0.25">
      <c r="A739" s="8"/>
    </row>
    <row r="740" spans="1:1" ht="13.8" x14ac:dyDescent="0.25">
      <c r="A740" s="8"/>
    </row>
    <row r="741" spans="1:1" ht="13.8" x14ac:dyDescent="0.25">
      <c r="A741" s="8"/>
    </row>
    <row r="742" spans="1:1" ht="13.8" x14ac:dyDescent="0.25">
      <c r="A742" s="8"/>
    </row>
    <row r="743" spans="1:1" ht="13.8" x14ac:dyDescent="0.25">
      <c r="A743" s="8"/>
    </row>
    <row r="744" spans="1:1" ht="13.8" x14ac:dyDescent="0.25">
      <c r="A744" s="8"/>
    </row>
    <row r="745" spans="1:1" ht="13.8" x14ac:dyDescent="0.25">
      <c r="A745" s="8"/>
    </row>
    <row r="746" spans="1:1" ht="13.8" x14ac:dyDescent="0.25">
      <c r="A746" s="8"/>
    </row>
    <row r="747" spans="1:1" ht="13.8" x14ac:dyDescent="0.25">
      <c r="A747" s="8"/>
    </row>
    <row r="748" spans="1:1" ht="13.8" x14ac:dyDescent="0.25">
      <c r="A748" s="8"/>
    </row>
    <row r="749" spans="1:1" ht="13.8" x14ac:dyDescent="0.25">
      <c r="A749" s="8"/>
    </row>
    <row r="750" spans="1:1" ht="13.8" x14ac:dyDescent="0.25">
      <c r="A750" s="8"/>
    </row>
    <row r="751" spans="1:1" ht="13.8" x14ac:dyDescent="0.25">
      <c r="A751" s="8"/>
    </row>
    <row r="752" spans="1:1" ht="13.8" x14ac:dyDescent="0.25">
      <c r="A752" s="8"/>
    </row>
    <row r="753" spans="1:1" ht="13.8" x14ac:dyDescent="0.25">
      <c r="A753" s="8"/>
    </row>
    <row r="754" spans="1:1" ht="13.8" x14ac:dyDescent="0.25">
      <c r="A754" s="8"/>
    </row>
    <row r="755" spans="1:1" ht="13.8" x14ac:dyDescent="0.25">
      <c r="A755" s="8"/>
    </row>
    <row r="756" spans="1:1" ht="13.8" x14ac:dyDescent="0.25">
      <c r="A756" s="8"/>
    </row>
    <row r="757" spans="1:1" ht="13.8" x14ac:dyDescent="0.25">
      <c r="A757" s="8"/>
    </row>
    <row r="758" spans="1:1" ht="13.8" x14ac:dyDescent="0.25">
      <c r="A758" s="8"/>
    </row>
    <row r="759" spans="1:1" ht="13.8" x14ac:dyDescent="0.25">
      <c r="A759" s="8"/>
    </row>
    <row r="760" spans="1:1" ht="13.8" x14ac:dyDescent="0.25">
      <c r="A760" s="8"/>
    </row>
    <row r="761" spans="1:1" ht="13.8" x14ac:dyDescent="0.25">
      <c r="A761" s="8"/>
    </row>
    <row r="762" spans="1:1" ht="13.8" x14ac:dyDescent="0.25">
      <c r="A762" s="8"/>
    </row>
    <row r="763" spans="1:1" ht="13.8" x14ac:dyDescent="0.25">
      <c r="A763" s="8"/>
    </row>
    <row r="764" spans="1:1" ht="13.8" x14ac:dyDescent="0.25">
      <c r="A764" s="8"/>
    </row>
    <row r="765" spans="1:1" ht="13.8" x14ac:dyDescent="0.25">
      <c r="A765" s="8"/>
    </row>
    <row r="766" spans="1:1" ht="13.8" x14ac:dyDescent="0.25">
      <c r="A766" s="8"/>
    </row>
    <row r="767" spans="1:1" ht="13.8" x14ac:dyDescent="0.25">
      <c r="A767" s="8"/>
    </row>
    <row r="768" spans="1:1" ht="13.8" x14ac:dyDescent="0.25">
      <c r="A768" s="8"/>
    </row>
    <row r="769" spans="1:1" ht="13.8" x14ac:dyDescent="0.25">
      <c r="A769" s="8"/>
    </row>
    <row r="770" spans="1:1" ht="13.8" x14ac:dyDescent="0.25">
      <c r="A770" s="8"/>
    </row>
    <row r="771" spans="1:1" ht="13.8" x14ac:dyDescent="0.25">
      <c r="A771" s="8"/>
    </row>
    <row r="772" spans="1:1" ht="13.8" x14ac:dyDescent="0.25">
      <c r="A772" s="8"/>
    </row>
    <row r="773" spans="1:1" ht="13.8" x14ac:dyDescent="0.25">
      <c r="A773" s="8"/>
    </row>
    <row r="774" spans="1:1" ht="13.8" x14ac:dyDescent="0.25">
      <c r="A774" s="8"/>
    </row>
    <row r="775" spans="1:1" ht="13.8" x14ac:dyDescent="0.25">
      <c r="A775" s="8"/>
    </row>
    <row r="776" spans="1:1" ht="13.8" x14ac:dyDescent="0.25">
      <c r="A776" s="8"/>
    </row>
    <row r="777" spans="1:1" ht="13.8" x14ac:dyDescent="0.25">
      <c r="A777" s="8"/>
    </row>
    <row r="778" spans="1:1" ht="13.8" x14ac:dyDescent="0.25">
      <c r="A778" s="8"/>
    </row>
    <row r="779" spans="1:1" ht="13.8" x14ac:dyDescent="0.25">
      <c r="A779" s="8"/>
    </row>
    <row r="780" spans="1:1" ht="13.8" x14ac:dyDescent="0.25">
      <c r="A780" s="8"/>
    </row>
    <row r="781" spans="1:1" ht="13.8" x14ac:dyDescent="0.25">
      <c r="A781" s="8"/>
    </row>
    <row r="782" spans="1:1" ht="13.8" x14ac:dyDescent="0.25">
      <c r="A782" s="8"/>
    </row>
    <row r="783" spans="1:1" ht="13.8" x14ac:dyDescent="0.25">
      <c r="A783" s="8"/>
    </row>
    <row r="784" spans="1:1" ht="13.8" x14ac:dyDescent="0.25">
      <c r="A784" s="8"/>
    </row>
    <row r="785" spans="1:1" ht="13.8" x14ac:dyDescent="0.25">
      <c r="A785" s="8"/>
    </row>
    <row r="786" spans="1:1" ht="13.8" x14ac:dyDescent="0.25">
      <c r="A786" s="8"/>
    </row>
    <row r="787" spans="1:1" ht="13.8" x14ac:dyDescent="0.25">
      <c r="A787" s="8"/>
    </row>
    <row r="788" spans="1:1" ht="13.8" x14ac:dyDescent="0.25">
      <c r="A788" s="8"/>
    </row>
    <row r="789" spans="1:1" ht="13.8" x14ac:dyDescent="0.25">
      <c r="A789" s="8"/>
    </row>
    <row r="790" spans="1:1" ht="13.8" x14ac:dyDescent="0.25">
      <c r="A790" s="8"/>
    </row>
    <row r="791" spans="1:1" ht="13.8" x14ac:dyDescent="0.25">
      <c r="A791" s="8"/>
    </row>
    <row r="792" spans="1:1" ht="13.8" x14ac:dyDescent="0.25">
      <c r="A792" s="8"/>
    </row>
    <row r="793" spans="1:1" ht="13.8" x14ac:dyDescent="0.25">
      <c r="A793" s="8"/>
    </row>
    <row r="794" spans="1:1" ht="13.8" x14ac:dyDescent="0.25">
      <c r="A794" s="8"/>
    </row>
    <row r="795" spans="1:1" ht="13.8" x14ac:dyDescent="0.25">
      <c r="A795" s="8"/>
    </row>
    <row r="796" spans="1:1" ht="13.8" x14ac:dyDescent="0.25">
      <c r="A796" s="8"/>
    </row>
    <row r="797" spans="1:1" ht="13.8" x14ac:dyDescent="0.25">
      <c r="A797" s="8"/>
    </row>
    <row r="798" spans="1:1" ht="13.8" x14ac:dyDescent="0.25">
      <c r="A798" s="8"/>
    </row>
    <row r="799" spans="1:1" ht="13.8" x14ac:dyDescent="0.25">
      <c r="A799" s="8"/>
    </row>
    <row r="800" spans="1:1" ht="13.8" x14ac:dyDescent="0.25">
      <c r="A800" s="8"/>
    </row>
    <row r="801" spans="1:1" ht="13.8" x14ac:dyDescent="0.25">
      <c r="A801" s="8"/>
    </row>
    <row r="802" spans="1:1" ht="13.8" x14ac:dyDescent="0.25">
      <c r="A802" s="8"/>
    </row>
    <row r="803" spans="1:1" ht="13.8" x14ac:dyDescent="0.25">
      <c r="A803" s="8"/>
    </row>
    <row r="804" spans="1:1" ht="13.8" x14ac:dyDescent="0.25">
      <c r="A804" s="8"/>
    </row>
    <row r="805" spans="1:1" ht="13.8" x14ac:dyDescent="0.25">
      <c r="A805" s="8"/>
    </row>
    <row r="806" spans="1:1" ht="13.8" x14ac:dyDescent="0.25">
      <c r="A806" s="8"/>
    </row>
    <row r="807" spans="1:1" ht="13.8" x14ac:dyDescent="0.25">
      <c r="A807" s="8"/>
    </row>
    <row r="808" spans="1:1" ht="13.8" x14ac:dyDescent="0.25">
      <c r="A808" s="8"/>
    </row>
    <row r="809" spans="1:1" ht="13.8" x14ac:dyDescent="0.25">
      <c r="A809" s="8"/>
    </row>
    <row r="810" spans="1:1" ht="13.8" x14ac:dyDescent="0.25">
      <c r="A810" s="8"/>
    </row>
    <row r="811" spans="1:1" ht="13.8" x14ac:dyDescent="0.25">
      <c r="A811" s="8"/>
    </row>
    <row r="812" spans="1:1" ht="13.8" x14ac:dyDescent="0.25">
      <c r="A812" s="8"/>
    </row>
    <row r="813" spans="1:1" ht="13.8" x14ac:dyDescent="0.25">
      <c r="A813" s="8"/>
    </row>
    <row r="814" spans="1:1" ht="13.8" x14ac:dyDescent="0.25">
      <c r="A814" s="8"/>
    </row>
    <row r="815" spans="1:1" ht="13.8" x14ac:dyDescent="0.25">
      <c r="A815" s="8"/>
    </row>
    <row r="816" spans="1:1" ht="13.8" x14ac:dyDescent="0.25">
      <c r="A816" s="8"/>
    </row>
    <row r="817" spans="1:1" ht="13.8" x14ac:dyDescent="0.25">
      <c r="A817" s="8"/>
    </row>
    <row r="818" spans="1:1" ht="13.8" x14ac:dyDescent="0.25">
      <c r="A818" s="8"/>
    </row>
    <row r="819" spans="1:1" ht="13.8" x14ac:dyDescent="0.25">
      <c r="A819" s="8"/>
    </row>
    <row r="820" spans="1:1" ht="13.8" x14ac:dyDescent="0.25">
      <c r="A820" s="8"/>
    </row>
    <row r="821" spans="1:1" ht="13.8" x14ac:dyDescent="0.25">
      <c r="A821" s="8"/>
    </row>
    <row r="822" spans="1:1" ht="13.8" x14ac:dyDescent="0.25">
      <c r="A822" s="8"/>
    </row>
    <row r="823" spans="1:1" ht="13.8" x14ac:dyDescent="0.25">
      <c r="A823" s="8"/>
    </row>
    <row r="824" spans="1:1" ht="13.8" x14ac:dyDescent="0.25">
      <c r="A824" s="8"/>
    </row>
    <row r="825" spans="1:1" ht="13.8" x14ac:dyDescent="0.25">
      <c r="A825" s="8"/>
    </row>
    <row r="826" spans="1:1" ht="13.8" x14ac:dyDescent="0.25">
      <c r="A826" s="8"/>
    </row>
    <row r="827" spans="1:1" ht="13.8" x14ac:dyDescent="0.25">
      <c r="A827" s="8"/>
    </row>
    <row r="828" spans="1:1" ht="13.8" x14ac:dyDescent="0.25">
      <c r="A828" s="8"/>
    </row>
    <row r="829" spans="1:1" ht="13.8" x14ac:dyDescent="0.25">
      <c r="A829" s="8"/>
    </row>
    <row r="830" spans="1:1" ht="13.8" x14ac:dyDescent="0.25">
      <c r="A830" s="8"/>
    </row>
    <row r="831" spans="1:1" ht="13.8" x14ac:dyDescent="0.25">
      <c r="A831" s="8"/>
    </row>
    <row r="832" spans="1:1" ht="13.8" x14ac:dyDescent="0.25">
      <c r="A832" s="8"/>
    </row>
    <row r="833" spans="1:1" ht="13.8" x14ac:dyDescent="0.25">
      <c r="A833" s="8"/>
    </row>
    <row r="834" spans="1:1" ht="13.8" x14ac:dyDescent="0.25">
      <c r="A834" s="8"/>
    </row>
    <row r="835" spans="1:1" ht="13.8" x14ac:dyDescent="0.25">
      <c r="A835" s="8"/>
    </row>
    <row r="836" spans="1:1" ht="13.8" x14ac:dyDescent="0.25">
      <c r="A836" s="8"/>
    </row>
    <row r="837" spans="1:1" ht="13.8" x14ac:dyDescent="0.25">
      <c r="A837" s="8"/>
    </row>
    <row r="838" spans="1:1" ht="13.8" x14ac:dyDescent="0.25">
      <c r="A838" s="8"/>
    </row>
    <row r="839" spans="1:1" ht="13.8" x14ac:dyDescent="0.25">
      <c r="A839" s="8"/>
    </row>
    <row r="840" spans="1:1" ht="13.8" x14ac:dyDescent="0.25">
      <c r="A840" s="8"/>
    </row>
    <row r="841" spans="1:1" ht="13.8" x14ac:dyDescent="0.25">
      <c r="A841" s="8"/>
    </row>
    <row r="842" spans="1:1" ht="13.8" x14ac:dyDescent="0.25">
      <c r="A842" s="8"/>
    </row>
    <row r="843" spans="1:1" ht="13.8" x14ac:dyDescent="0.25">
      <c r="A843" s="8"/>
    </row>
    <row r="844" spans="1:1" ht="13.8" x14ac:dyDescent="0.25">
      <c r="A844" s="8"/>
    </row>
    <row r="845" spans="1:1" ht="13.8" x14ac:dyDescent="0.25">
      <c r="A845" s="8"/>
    </row>
    <row r="846" spans="1:1" ht="13.8" x14ac:dyDescent="0.25">
      <c r="A846" s="8"/>
    </row>
    <row r="847" spans="1:1" ht="13.8" x14ac:dyDescent="0.25">
      <c r="A847" s="8"/>
    </row>
    <row r="848" spans="1:1" ht="13.8" x14ac:dyDescent="0.25">
      <c r="A848" s="8"/>
    </row>
    <row r="849" spans="1:1" ht="13.8" x14ac:dyDescent="0.25">
      <c r="A849" s="8"/>
    </row>
    <row r="850" spans="1:1" ht="13.8" x14ac:dyDescent="0.25">
      <c r="A850" s="8"/>
    </row>
    <row r="851" spans="1:1" ht="13.8" x14ac:dyDescent="0.25">
      <c r="A851" s="8"/>
    </row>
    <row r="852" spans="1:1" ht="13.8" x14ac:dyDescent="0.25">
      <c r="A852" s="8"/>
    </row>
    <row r="853" spans="1:1" ht="13.8" x14ac:dyDescent="0.25">
      <c r="A853" s="8"/>
    </row>
    <row r="854" spans="1:1" ht="13.8" x14ac:dyDescent="0.25">
      <c r="A854" s="8"/>
    </row>
    <row r="855" spans="1:1" ht="13.8" x14ac:dyDescent="0.25">
      <c r="A855" s="8"/>
    </row>
    <row r="856" spans="1:1" ht="13.8" x14ac:dyDescent="0.25">
      <c r="A856" s="8"/>
    </row>
    <row r="857" spans="1:1" ht="13.8" x14ac:dyDescent="0.25">
      <c r="A857" s="8"/>
    </row>
    <row r="858" spans="1:1" ht="13.8" x14ac:dyDescent="0.25">
      <c r="A858" s="8"/>
    </row>
    <row r="859" spans="1:1" ht="13.8" x14ac:dyDescent="0.25">
      <c r="A859" s="8"/>
    </row>
    <row r="860" spans="1:1" ht="13.8" x14ac:dyDescent="0.25">
      <c r="A860" s="8"/>
    </row>
    <row r="861" spans="1:1" ht="13.8" x14ac:dyDescent="0.25">
      <c r="A861" s="8"/>
    </row>
    <row r="862" spans="1:1" ht="13.8" x14ac:dyDescent="0.25">
      <c r="A862" s="8"/>
    </row>
    <row r="863" spans="1:1" ht="13.8" x14ac:dyDescent="0.25">
      <c r="A863" s="8"/>
    </row>
    <row r="864" spans="1:1" ht="13.8" x14ac:dyDescent="0.25">
      <c r="A864" s="8"/>
    </row>
    <row r="865" spans="1:1" ht="13.8" x14ac:dyDescent="0.25">
      <c r="A865" s="8"/>
    </row>
    <row r="866" spans="1:1" ht="13.8" x14ac:dyDescent="0.25">
      <c r="A866" s="8"/>
    </row>
    <row r="867" spans="1:1" ht="13.8" x14ac:dyDescent="0.25">
      <c r="A867" s="8"/>
    </row>
    <row r="868" spans="1:1" ht="13.8" x14ac:dyDescent="0.25">
      <c r="A868" s="8"/>
    </row>
    <row r="869" spans="1:1" ht="13.8" x14ac:dyDescent="0.25">
      <c r="A869" s="8"/>
    </row>
    <row r="870" spans="1:1" ht="13.8" x14ac:dyDescent="0.25">
      <c r="A870" s="8"/>
    </row>
    <row r="871" spans="1:1" ht="13.8" x14ac:dyDescent="0.25">
      <c r="A871" s="8"/>
    </row>
    <row r="872" spans="1:1" ht="13.8" x14ac:dyDescent="0.25">
      <c r="A872" s="8"/>
    </row>
    <row r="873" spans="1:1" ht="13.8" x14ac:dyDescent="0.25">
      <c r="A873" s="8"/>
    </row>
    <row r="874" spans="1:1" ht="13.8" x14ac:dyDescent="0.25">
      <c r="A874" s="8"/>
    </row>
    <row r="875" spans="1:1" ht="13.8" x14ac:dyDescent="0.25">
      <c r="A875" s="8"/>
    </row>
    <row r="876" spans="1:1" ht="13.8" x14ac:dyDescent="0.25">
      <c r="A876" s="8"/>
    </row>
    <row r="877" spans="1:1" ht="13.8" x14ac:dyDescent="0.25">
      <c r="A877" s="8"/>
    </row>
    <row r="878" spans="1:1" ht="13.8" x14ac:dyDescent="0.25">
      <c r="A878" s="8"/>
    </row>
    <row r="879" spans="1:1" ht="13.8" x14ac:dyDescent="0.25">
      <c r="A879" s="8"/>
    </row>
    <row r="880" spans="1:1" ht="13.8" x14ac:dyDescent="0.25">
      <c r="A880" s="8"/>
    </row>
    <row r="881" spans="1:1" ht="13.8" x14ac:dyDescent="0.25">
      <c r="A881" s="8"/>
    </row>
    <row r="882" spans="1:1" ht="13.8" x14ac:dyDescent="0.25">
      <c r="A882" s="8"/>
    </row>
    <row r="883" spans="1:1" ht="13.8" x14ac:dyDescent="0.25">
      <c r="A883" s="8"/>
    </row>
    <row r="884" spans="1:1" ht="13.8" x14ac:dyDescent="0.25">
      <c r="A884" s="8"/>
    </row>
    <row r="885" spans="1:1" ht="13.8" x14ac:dyDescent="0.25">
      <c r="A885" s="8"/>
    </row>
    <row r="886" spans="1:1" ht="13.8" x14ac:dyDescent="0.25">
      <c r="A886" s="8"/>
    </row>
    <row r="887" spans="1:1" ht="13.8" x14ac:dyDescent="0.25">
      <c r="A887" s="8"/>
    </row>
    <row r="888" spans="1:1" ht="13.8" x14ac:dyDescent="0.25">
      <c r="A888" s="8"/>
    </row>
    <row r="889" spans="1:1" ht="13.8" x14ac:dyDescent="0.25">
      <c r="A889" s="8"/>
    </row>
    <row r="890" spans="1:1" ht="13.8" x14ac:dyDescent="0.25">
      <c r="A890" s="8"/>
    </row>
    <row r="891" spans="1:1" ht="13.8" x14ac:dyDescent="0.25">
      <c r="A891" s="8"/>
    </row>
    <row r="892" spans="1:1" ht="13.8" x14ac:dyDescent="0.25">
      <c r="A892" s="8"/>
    </row>
    <row r="893" spans="1:1" ht="13.8" x14ac:dyDescent="0.25">
      <c r="A893" s="8"/>
    </row>
    <row r="894" spans="1:1" ht="13.8" x14ac:dyDescent="0.25">
      <c r="A894" s="8"/>
    </row>
    <row r="895" spans="1:1" ht="13.8" x14ac:dyDescent="0.25">
      <c r="A895" s="8"/>
    </row>
    <row r="896" spans="1:1" ht="13.8" x14ac:dyDescent="0.25">
      <c r="A896" s="8"/>
    </row>
    <row r="897" spans="1:1" ht="13.8" x14ac:dyDescent="0.25">
      <c r="A897" s="8"/>
    </row>
    <row r="898" spans="1:1" ht="13.8" x14ac:dyDescent="0.25">
      <c r="A898" s="8"/>
    </row>
    <row r="899" spans="1:1" ht="13.8" x14ac:dyDescent="0.25">
      <c r="A899" s="8"/>
    </row>
    <row r="900" spans="1:1" ht="13.8" x14ac:dyDescent="0.25">
      <c r="A900" s="8"/>
    </row>
    <row r="901" spans="1:1" ht="13.8" x14ac:dyDescent="0.25">
      <c r="A901" s="8"/>
    </row>
    <row r="902" spans="1:1" ht="13.8" x14ac:dyDescent="0.25">
      <c r="A902" s="8"/>
    </row>
    <row r="903" spans="1:1" ht="13.8" x14ac:dyDescent="0.25">
      <c r="A903" s="8"/>
    </row>
    <row r="904" spans="1:1" ht="13.8" x14ac:dyDescent="0.25">
      <c r="A904" s="8"/>
    </row>
    <row r="905" spans="1:1" ht="13.8" x14ac:dyDescent="0.25">
      <c r="A905" s="8"/>
    </row>
    <row r="906" spans="1:1" ht="13.8" x14ac:dyDescent="0.25">
      <c r="A906" s="8"/>
    </row>
    <row r="907" spans="1:1" ht="13.8" x14ac:dyDescent="0.25">
      <c r="A907" s="8"/>
    </row>
    <row r="908" spans="1:1" ht="13.8" x14ac:dyDescent="0.25">
      <c r="A908" s="8"/>
    </row>
    <row r="909" spans="1:1" ht="13.8" x14ac:dyDescent="0.25">
      <c r="A909" s="8"/>
    </row>
    <row r="910" spans="1:1" ht="13.8" x14ac:dyDescent="0.25">
      <c r="A910" s="8"/>
    </row>
    <row r="911" spans="1:1" ht="13.8" x14ac:dyDescent="0.25">
      <c r="A911" s="8"/>
    </row>
    <row r="912" spans="1:1" ht="13.8" x14ac:dyDescent="0.25">
      <c r="A912" s="8"/>
    </row>
    <row r="913" spans="1:1" ht="13.8" x14ac:dyDescent="0.25">
      <c r="A913" s="8"/>
    </row>
    <row r="914" spans="1:1" ht="13.8" x14ac:dyDescent="0.25">
      <c r="A914" s="8"/>
    </row>
    <row r="915" spans="1:1" ht="13.8" x14ac:dyDescent="0.25">
      <c r="A915" s="8"/>
    </row>
    <row r="916" spans="1:1" ht="13.8" x14ac:dyDescent="0.25">
      <c r="A916" s="8"/>
    </row>
    <row r="917" spans="1:1" ht="13.8" x14ac:dyDescent="0.25">
      <c r="A917" s="8"/>
    </row>
    <row r="918" spans="1:1" ht="13.8" x14ac:dyDescent="0.25">
      <c r="A918" s="8"/>
    </row>
    <row r="919" spans="1:1" ht="13.8" x14ac:dyDescent="0.25">
      <c r="A919" s="8"/>
    </row>
    <row r="920" spans="1:1" ht="13.8" x14ac:dyDescent="0.25">
      <c r="A920" s="8"/>
    </row>
    <row r="921" spans="1:1" ht="13.8" x14ac:dyDescent="0.25">
      <c r="A921" s="8"/>
    </row>
    <row r="922" spans="1:1" ht="13.8" x14ac:dyDescent="0.25">
      <c r="A922" s="8"/>
    </row>
    <row r="923" spans="1:1" ht="13.8" x14ac:dyDescent="0.25">
      <c r="A923" s="8"/>
    </row>
    <row r="924" spans="1:1" ht="13.8" x14ac:dyDescent="0.25">
      <c r="A924" s="8"/>
    </row>
    <row r="925" spans="1:1" ht="13.8" x14ac:dyDescent="0.25">
      <c r="A925" s="8"/>
    </row>
    <row r="926" spans="1:1" ht="13.8" x14ac:dyDescent="0.25">
      <c r="A926" s="8"/>
    </row>
    <row r="927" spans="1:1" ht="13.8" x14ac:dyDescent="0.25">
      <c r="A927" s="8"/>
    </row>
    <row r="928" spans="1:1" ht="13.8" x14ac:dyDescent="0.25">
      <c r="A928" s="8"/>
    </row>
    <row r="929" spans="1:1" ht="13.8" x14ac:dyDescent="0.25">
      <c r="A929" s="8"/>
    </row>
    <row r="930" spans="1:1" ht="13.8" x14ac:dyDescent="0.25">
      <c r="A930" s="8"/>
    </row>
    <row r="931" spans="1:1" ht="13.8" x14ac:dyDescent="0.25">
      <c r="A931" s="8"/>
    </row>
    <row r="932" spans="1:1" ht="13.8" x14ac:dyDescent="0.25">
      <c r="A932" s="8"/>
    </row>
    <row r="933" spans="1:1" ht="13.8" x14ac:dyDescent="0.25">
      <c r="A933" s="8"/>
    </row>
    <row r="934" spans="1:1" ht="13.8" x14ac:dyDescent="0.25">
      <c r="A934" s="8"/>
    </row>
    <row r="935" spans="1:1" ht="13.8" x14ac:dyDescent="0.25">
      <c r="A935" s="8"/>
    </row>
    <row r="936" spans="1:1" ht="13.8" x14ac:dyDescent="0.25">
      <c r="A936" s="8"/>
    </row>
    <row r="937" spans="1:1" ht="13.8" x14ac:dyDescent="0.25">
      <c r="A937" s="8"/>
    </row>
    <row r="938" spans="1:1" ht="13.8" x14ac:dyDescent="0.25">
      <c r="A938" s="8"/>
    </row>
    <row r="939" spans="1:1" ht="13.8" x14ac:dyDescent="0.25">
      <c r="A939" s="8"/>
    </row>
    <row r="940" spans="1:1" ht="13.8" x14ac:dyDescent="0.25">
      <c r="A940" s="8"/>
    </row>
    <row r="941" spans="1:1" ht="13.8" x14ac:dyDescent="0.25">
      <c r="A941" s="8"/>
    </row>
    <row r="942" spans="1:1" ht="13.8" x14ac:dyDescent="0.25">
      <c r="A942" s="8"/>
    </row>
    <row r="943" spans="1:1" ht="13.8" x14ac:dyDescent="0.25">
      <c r="A943" s="8"/>
    </row>
    <row r="944" spans="1:1" ht="13.8" x14ac:dyDescent="0.25">
      <c r="A944" s="8"/>
    </row>
    <row r="945" spans="1:1" ht="13.8" x14ac:dyDescent="0.25">
      <c r="A945" s="8"/>
    </row>
    <row r="946" spans="1:1" ht="13.8" x14ac:dyDescent="0.25">
      <c r="A946" s="8"/>
    </row>
    <row r="947" spans="1:1" ht="13.8" x14ac:dyDescent="0.25">
      <c r="A947" s="8"/>
    </row>
    <row r="948" spans="1:1" ht="13.8" x14ac:dyDescent="0.25">
      <c r="A948" s="8"/>
    </row>
    <row r="949" spans="1:1" ht="13.8" x14ac:dyDescent="0.25">
      <c r="A949" s="8"/>
    </row>
    <row r="950" spans="1:1" ht="13.8" x14ac:dyDescent="0.25">
      <c r="A950" s="8"/>
    </row>
    <row r="951" spans="1:1" ht="13.8" x14ac:dyDescent="0.25">
      <c r="A951" s="8"/>
    </row>
    <row r="952" spans="1:1" ht="13.8" x14ac:dyDescent="0.25">
      <c r="A952" s="8"/>
    </row>
    <row r="953" spans="1:1" ht="13.8" x14ac:dyDescent="0.25">
      <c r="A953" s="8"/>
    </row>
    <row r="954" spans="1:1" ht="13.8" x14ac:dyDescent="0.25">
      <c r="A954" s="8"/>
    </row>
    <row r="955" spans="1:1" ht="13.8" x14ac:dyDescent="0.25">
      <c r="A955" s="8"/>
    </row>
    <row r="956" spans="1:1" ht="13.8" x14ac:dyDescent="0.25">
      <c r="A956" s="8"/>
    </row>
    <row r="957" spans="1:1" ht="13.8" x14ac:dyDescent="0.25">
      <c r="A957" s="8"/>
    </row>
    <row r="958" spans="1:1" ht="13.8" x14ac:dyDescent="0.25">
      <c r="A958" s="8"/>
    </row>
    <row r="959" spans="1:1" ht="13.8" x14ac:dyDescent="0.25">
      <c r="A959" s="8"/>
    </row>
    <row r="960" spans="1:1" ht="13.8" x14ac:dyDescent="0.25">
      <c r="A960" s="8"/>
    </row>
    <row r="961" spans="1:1" ht="13.8" x14ac:dyDescent="0.25">
      <c r="A961" s="8"/>
    </row>
    <row r="962" spans="1:1" ht="13.8" x14ac:dyDescent="0.25">
      <c r="A962" s="8"/>
    </row>
    <row r="963" spans="1:1" ht="13.8" x14ac:dyDescent="0.25">
      <c r="A963" s="8"/>
    </row>
    <row r="964" spans="1:1" ht="13.8" x14ac:dyDescent="0.25">
      <c r="A964" s="8"/>
    </row>
    <row r="965" spans="1:1" ht="13.8" x14ac:dyDescent="0.25">
      <c r="A965" s="8"/>
    </row>
    <row r="966" spans="1:1" ht="13.8" x14ac:dyDescent="0.25">
      <c r="A966" s="8"/>
    </row>
    <row r="967" spans="1:1" ht="13.8" x14ac:dyDescent="0.25">
      <c r="A967" s="8"/>
    </row>
    <row r="968" spans="1:1" ht="13.8" x14ac:dyDescent="0.25">
      <c r="A968" s="8"/>
    </row>
    <row r="969" spans="1:1" ht="13.8" x14ac:dyDescent="0.25">
      <c r="A969" s="8"/>
    </row>
    <row r="970" spans="1:1" ht="13.8" x14ac:dyDescent="0.25">
      <c r="A970" s="8"/>
    </row>
    <row r="971" spans="1:1" ht="13.8" x14ac:dyDescent="0.25">
      <c r="A971" s="8"/>
    </row>
    <row r="972" spans="1:1" ht="13.8" x14ac:dyDescent="0.25">
      <c r="A972" s="8"/>
    </row>
    <row r="973" spans="1:1" ht="13.8" x14ac:dyDescent="0.25">
      <c r="A973" s="8"/>
    </row>
    <row r="974" spans="1:1" ht="13.8" x14ac:dyDescent="0.25">
      <c r="A974" s="8"/>
    </row>
    <row r="975" spans="1:1" ht="13.8" x14ac:dyDescent="0.25">
      <c r="A975" s="8"/>
    </row>
    <row r="976" spans="1:1" ht="13.8" x14ac:dyDescent="0.25">
      <c r="A976" s="8"/>
    </row>
    <row r="977" spans="1:1" ht="13.8" x14ac:dyDescent="0.25">
      <c r="A977" s="8"/>
    </row>
    <row r="978" spans="1:1" ht="13.8" x14ac:dyDescent="0.25">
      <c r="A978" s="8"/>
    </row>
    <row r="979" spans="1:1" ht="13.8" x14ac:dyDescent="0.25">
      <c r="A979" s="8"/>
    </row>
    <row r="980" spans="1:1" ht="13.8" x14ac:dyDescent="0.25">
      <c r="A980" s="8"/>
    </row>
    <row r="981" spans="1:1" ht="13.8" x14ac:dyDescent="0.25">
      <c r="A981" s="8"/>
    </row>
    <row r="982" spans="1:1" ht="13.8" x14ac:dyDescent="0.25">
      <c r="A982" s="8"/>
    </row>
    <row r="983" spans="1:1" ht="13.8" x14ac:dyDescent="0.25">
      <c r="A983" s="8"/>
    </row>
    <row r="984" spans="1:1" ht="13.8" x14ac:dyDescent="0.25">
      <c r="A984" s="8"/>
    </row>
    <row r="985" spans="1:1" ht="13.8" x14ac:dyDescent="0.25">
      <c r="A985" s="8"/>
    </row>
    <row r="986" spans="1:1" ht="13.8" x14ac:dyDescent="0.25">
      <c r="A986" s="8"/>
    </row>
    <row r="987" spans="1:1" ht="13.8" x14ac:dyDescent="0.25">
      <c r="A987" s="8"/>
    </row>
    <row r="988" spans="1:1" ht="13.8" x14ac:dyDescent="0.25">
      <c r="A988" s="8"/>
    </row>
    <row r="989" spans="1:1" ht="13.8" x14ac:dyDescent="0.25">
      <c r="A989" s="8"/>
    </row>
    <row r="990" spans="1:1" ht="13.8" x14ac:dyDescent="0.25">
      <c r="A990" s="8"/>
    </row>
    <row r="991" spans="1:1" ht="13.8" x14ac:dyDescent="0.25">
      <c r="A991" s="8"/>
    </row>
    <row r="992" spans="1:1" ht="13.8" x14ac:dyDescent="0.25">
      <c r="A992" s="8"/>
    </row>
    <row r="993" spans="1:1" ht="13.8" x14ac:dyDescent="0.25">
      <c r="A993" s="8"/>
    </row>
    <row r="994" spans="1:1" ht="13.8" x14ac:dyDescent="0.25">
      <c r="A994" s="8"/>
    </row>
    <row r="995" spans="1:1" ht="13.8" x14ac:dyDescent="0.25">
      <c r="A995" s="8"/>
    </row>
    <row r="996" spans="1:1" ht="13.8" x14ac:dyDescent="0.25">
      <c r="A996" s="8"/>
    </row>
    <row r="997" spans="1:1" ht="13.8" x14ac:dyDescent="0.25">
      <c r="A997" s="8"/>
    </row>
    <row r="998" spans="1:1" ht="13.8" x14ac:dyDescent="0.25">
      <c r="A998" s="8"/>
    </row>
    <row r="999" spans="1:1" ht="13.8" x14ac:dyDescent="0.25">
      <c r="A999" s="8"/>
    </row>
    <row r="1000" spans="1:1" ht="13.8" x14ac:dyDescent="0.25">
      <c r="A1000" s="8"/>
    </row>
    <row r="1001" spans="1:1" ht="13.8" x14ac:dyDescent="0.25">
      <c r="A1001" s="8"/>
    </row>
    <row r="1002" spans="1:1" ht="13.8" x14ac:dyDescent="0.25">
      <c r="A1002" s="8"/>
    </row>
    <row r="1003" spans="1:1" ht="13.8" x14ac:dyDescent="0.25">
      <c r="A1003" s="8"/>
    </row>
    <row r="1004" spans="1:1" ht="13.8" x14ac:dyDescent="0.25">
      <c r="A1004" s="8"/>
    </row>
    <row r="1005" spans="1:1" ht="13.8" x14ac:dyDescent="0.25">
      <c r="A1005" s="8"/>
    </row>
    <row r="1006" spans="1:1" ht="13.8" x14ac:dyDescent="0.25">
      <c r="A1006" s="8"/>
    </row>
    <row r="1007" spans="1:1" ht="13.8" x14ac:dyDescent="0.25">
      <c r="A1007" s="8"/>
    </row>
    <row r="1008" spans="1:1" ht="13.8" x14ac:dyDescent="0.25">
      <c r="A1008" s="8"/>
    </row>
    <row r="1009" spans="1:1" ht="13.8" x14ac:dyDescent="0.25">
      <c r="A1009" s="8"/>
    </row>
    <row r="1010" spans="1:1" ht="13.8" x14ac:dyDescent="0.25">
      <c r="A1010" s="8"/>
    </row>
    <row r="1011" spans="1:1" ht="13.8" x14ac:dyDescent="0.25">
      <c r="A1011" s="8"/>
    </row>
    <row r="1012" spans="1:1" ht="13.8" x14ac:dyDescent="0.25">
      <c r="A1012" s="8"/>
    </row>
    <row r="1013" spans="1:1" ht="13.8" x14ac:dyDescent="0.25">
      <c r="A1013" s="8"/>
    </row>
    <row r="1014" spans="1:1" ht="13.8" x14ac:dyDescent="0.25">
      <c r="A1014" s="8"/>
    </row>
    <row r="1015" spans="1:1" ht="13.8" x14ac:dyDescent="0.25">
      <c r="A1015" s="8"/>
    </row>
    <row r="1016" spans="1:1" ht="13.8" x14ac:dyDescent="0.25">
      <c r="A1016" s="8"/>
    </row>
    <row r="1017" spans="1:1" ht="13.8" x14ac:dyDescent="0.25">
      <c r="A1017" s="8"/>
    </row>
    <row r="1018" spans="1:1" ht="13.8" x14ac:dyDescent="0.25">
      <c r="A1018" s="8"/>
    </row>
    <row r="1019" spans="1:1" ht="13.8" x14ac:dyDescent="0.25">
      <c r="A1019" s="8"/>
    </row>
    <row r="1020" spans="1:1" ht="13.8" x14ac:dyDescent="0.25">
      <c r="A1020" s="8"/>
    </row>
    <row r="1021" spans="1:1" ht="13.8" x14ac:dyDescent="0.25">
      <c r="A1021" s="8"/>
    </row>
    <row r="1022" spans="1:1" ht="13.8" x14ac:dyDescent="0.25">
      <c r="A1022" s="8"/>
    </row>
    <row r="1023" spans="1:1" ht="13.8" x14ac:dyDescent="0.25">
      <c r="A1023" s="8"/>
    </row>
    <row r="1024" spans="1:1" ht="13.8" x14ac:dyDescent="0.25">
      <c r="A1024" s="8"/>
    </row>
    <row r="1025" spans="1:1" ht="13.8" x14ac:dyDescent="0.25">
      <c r="A1025" s="8"/>
    </row>
    <row r="1026" spans="1:1" ht="13.8" x14ac:dyDescent="0.25">
      <c r="A1026" s="8"/>
    </row>
    <row r="1027" spans="1:1" ht="13.8" x14ac:dyDescent="0.25">
      <c r="A1027" s="8"/>
    </row>
    <row r="1028" spans="1:1" ht="13.8" x14ac:dyDescent="0.25">
      <c r="A1028" s="8"/>
    </row>
    <row r="1029" spans="1:1" ht="13.8" x14ac:dyDescent="0.25">
      <c r="A1029" s="8"/>
    </row>
    <row r="1030" spans="1:1" ht="13.8" x14ac:dyDescent="0.25">
      <c r="A1030" s="8"/>
    </row>
    <row r="1031" spans="1:1" ht="13.8" x14ac:dyDescent="0.25">
      <c r="A1031" s="8"/>
    </row>
    <row r="1032" spans="1:1" ht="13.8" x14ac:dyDescent="0.25">
      <c r="A1032" s="8"/>
    </row>
    <row r="1033" spans="1:1" ht="13.8" x14ac:dyDescent="0.25">
      <c r="A1033" s="8"/>
    </row>
    <row r="1034" spans="1:1" ht="13.8" x14ac:dyDescent="0.25">
      <c r="A1034" s="8"/>
    </row>
    <row r="1035" spans="1:1" ht="13.8" x14ac:dyDescent="0.25">
      <c r="A1035" s="8"/>
    </row>
    <row r="1036" spans="1:1" ht="13.8" x14ac:dyDescent="0.25">
      <c r="A1036" s="8"/>
    </row>
    <row r="1037" spans="1:1" ht="13.8" x14ac:dyDescent="0.25">
      <c r="A1037" s="8"/>
    </row>
    <row r="1038" spans="1:1" ht="13.8" x14ac:dyDescent="0.25">
      <c r="A1038" s="8"/>
    </row>
    <row r="1039" spans="1:1" ht="13.8" x14ac:dyDescent="0.25">
      <c r="A1039" s="8"/>
    </row>
    <row r="1040" spans="1:1" ht="13.8" x14ac:dyDescent="0.25">
      <c r="A1040" s="8"/>
    </row>
    <row r="1041" spans="1:1" ht="13.8" x14ac:dyDescent="0.25">
      <c r="A1041" s="8"/>
    </row>
    <row r="1042" spans="1:1" ht="13.8" x14ac:dyDescent="0.25">
      <c r="A1042" s="8"/>
    </row>
    <row r="1043" spans="1:1" ht="13.8" x14ac:dyDescent="0.25">
      <c r="A1043" s="8"/>
    </row>
    <row r="1044" spans="1:1" ht="13.8" x14ac:dyDescent="0.25">
      <c r="A1044" s="8"/>
    </row>
    <row r="1045" spans="1:1" ht="13.8" x14ac:dyDescent="0.25">
      <c r="A1045" s="8"/>
    </row>
    <row r="1046" spans="1:1" ht="13.8" x14ac:dyDescent="0.25">
      <c r="A1046" s="8"/>
    </row>
    <row r="1047" spans="1:1" ht="13.8" x14ac:dyDescent="0.25">
      <c r="A1047" s="8"/>
    </row>
    <row r="1048" spans="1:1" ht="13.8" x14ac:dyDescent="0.25">
      <c r="A1048" s="8"/>
    </row>
    <row r="1049" spans="1:1" ht="13.8" x14ac:dyDescent="0.25">
      <c r="A1049" s="8"/>
    </row>
    <row r="1050" spans="1:1" ht="13.8" x14ac:dyDescent="0.25">
      <c r="A1050" s="8"/>
    </row>
    <row r="1051" spans="1:1" ht="13.8" x14ac:dyDescent="0.25">
      <c r="A1051" s="8"/>
    </row>
    <row r="1052" spans="1:1" ht="13.8" x14ac:dyDescent="0.25">
      <c r="A1052" s="8"/>
    </row>
    <row r="1053" spans="1:1" ht="13.8" x14ac:dyDescent="0.25">
      <c r="A1053" s="8"/>
    </row>
    <row r="1054" spans="1:1" ht="13.8" x14ac:dyDescent="0.25">
      <c r="A1054" s="8"/>
    </row>
    <row r="1055" spans="1:1" ht="13.8" x14ac:dyDescent="0.25">
      <c r="A1055" s="8"/>
    </row>
    <row r="1056" spans="1:1" ht="13.8" x14ac:dyDescent="0.25">
      <c r="A1056" s="8"/>
    </row>
    <row r="1057" spans="1:1" ht="13.8" x14ac:dyDescent="0.25">
      <c r="A1057" s="8"/>
    </row>
    <row r="1058" spans="1:1" ht="13.8" x14ac:dyDescent="0.25">
      <c r="A1058" s="8"/>
    </row>
    <row r="1059" spans="1:1" ht="13.8" x14ac:dyDescent="0.25">
      <c r="A1059" s="8"/>
    </row>
    <row r="1060" spans="1:1" ht="13.8" x14ac:dyDescent="0.25">
      <c r="A1060" s="8"/>
    </row>
    <row r="1061" spans="1:1" ht="13.8" x14ac:dyDescent="0.25">
      <c r="A1061" s="8"/>
    </row>
    <row r="1062" spans="1:1" ht="13.8" x14ac:dyDescent="0.25">
      <c r="A1062" s="8"/>
    </row>
    <row r="1063" spans="1:1" ht="13.8" x14ac:dyDescent="0.25">
      <c r="A1063" s="8"/>
    </row>
    <row r="1064" spans="1:1" ht="13.8" x14ac:dyDescent="0.25">
      <c r="A1064" s="8"/>
    </row>
    <row r="1065" spans="1:1" ht="13.8" x14ac:dyDescent="0.25">
      <c r="A1065" s="8"/>
    </row>
    <row r="1066" spans="1:1" ht="13.8" x14ac:dyDescent="0.25">
      <c r="A1066" s="8"/>
    </row>
    <row r="1067" spans="1:1" ht="13.8" x14ac:dyDescent="0.25">
      <c r="A1067" s="8"/>
    </row>
    <row r="1068" spans="1:1" ht="13.8" x14ac:dyDescent="0.25">
      <c r="A1068" s="8"/>
    </row>
    <row r="1069" spans="1:1" ht="13.8" x14ac:dyDescent="0.25">
      <c r="A1069" s="8"/>
    </row>
    <row r="1070" spans="1:1" ht="13.8" x14ac:dyDescent="0.25">
      <c r="A1070" s="8"/>
    </row>
    <row r="1071" spans="1:1" ht="13.8" x14ac:dyDescent="0.25">
      <c r="A1071" s="8"/>
    </row>
    <row r="1072" spans="1:1" ht="13.8" x14ac:dyDescent="0.25">
      <c r="A1072" s="8"/>
    </row>
    <row r="1073" spans="1:1" ht="13.8" x14ac:dyDescent="0.25">
      <c r="A1073" s="8"/>
    </row>
    <row r="1074" spans="1:1" ht="13.8" x14ac:dyDescent="0.25">
      <c r="A1074" s="8"/>
    </row>
    <row r="1075" spans="1:1" ht="13.8" x14ac:dyDescent="0.25">
      <c r="A1075" s="8"/>
    </row>
    <row r="1076" spans="1:1" ht="13.8" x14ac:dyDescent="0.25">
      <c r="A1076" s="8"/>
    </row>
    <row r="1077" spans="1:1" ht="13.8" x14ac:dyDescent="0.25">
      <c r="A1077" s="8"/>
    </row>
    <row r="1078" spans="1:1" ht="13.8" x14ac:dyDescent="0.25">
      <c r="A1078" s="8"/>
    </row>
    <row r="1079" spans="1:1" ht="13.8" x14ac:dyDescent="0.25">
      <c r="A1079" s="8"/>
    </row>
    <row r="1080" spans="1:1" ht="13.8" x14ac:dyDescent="0.25">
      <c r="A1080" s="8"/>
    </row>
    <row r="1081" spans="1:1" ht="13.8" x14ac:dyDescent="0.25">
      <c r="A1081" s="8"/>
    </row>
    <row r="1082" spans="1:1" ht="13.8" x14ac:dyDescent="0.25">
      <c r="A1082" s="8"/>
    </row>
    <row r="1083" spans="1:1" ht="13.8" x14ac:dyDescent="0.25">
      <c r="A1083" s="8"/>
    </row>
    <row r="1084" spans="1:1" ht="13.8" x14ac:dyDescent="0.25">
      <c r="A1084" s="8"/>
    </row>
    <row r="1085" spans="1:1" ht="13.8" x14ac:dyDescent="0.25">
      <c r="A1085" s="8"/>
    </row>
    <row r="1086" spans="1:1" ht="13.8" x14ac:dyDescent="0.25">
      <c r="A1086" s="8"/>
    </row>
    <row r="1087" spans="1:1" ht="13.8" x14ac:dyDescent="0.25">
      <c r="A1087" s="8"/>
    </row>
    <row r="1088" spans="1:1" ht="13.8" x14ac:dyDescent="0.25">
      <c r="A1088" s="8"/>
    </row>
    <row r="1089" spans="1:1" ht="13.8" x14ac:dyDescent="0.25">
      <c r="A1089" s="8"/>
    </row>
    <row r="1090" spans="1:1" ht="13.8" x14ac:dyDescent="0.25">
      <c r="A1090" s="8"/>
    </row>
    <row r="1091" spans="1:1" ht="13.8" x14ac:dyDescent="0.25">
      <c r="A1091" s="8"/>
    </row>
    <row r="1092" spans="1:1" ht="13.8" x14ac:dyDescent="0.25">
      <c r="A1092" s="8"/>
    </row>
    <row r="1093" spans="1:1" ht="13.8" x14ac:dyDescent="0.25">
      <c r="A1093" s="8"/>
    </row>
    <row r="1094" spans="1:1" ht="13.8" x14ac:dyDescent="0.25">
      <c r="A1094" s="8"/>
    </row>
    <row r="1095" spans="1:1" ht="13.8" x14ac:dyDescent="0.25">
      <c r="A1095" s="8"/>
    </row>
    <row r="1096" spans="1:1" ht="13.8" x14ac:dyDescent="0.25">
      <c r="A1096" s="8"/>
    </row>
    <row r="1097" spans="1:1" ht="13.8" x14ac:dyDescent="0.25">
      <c r="A1097" s="8"/>
    </row>
    <row r="1098" spans="1:1" ht="13.8" x14ac:dyDescent="0.25">
      <c r="A1098" s="8"/>
    </row>
    <row r="1099" spans="1:1" ht="13.8" x14ac:dyDescent="0.25">
      <c r="A1099" s="8"/>
    </row>
    <row r="1100" spans="1:1" ht="13.8" x14ac:dyDescent="0.25">
      <c r="A1100" s="8"/>
    </row>
    <row r="1101" spans="1:1" ht="13.8" x14ac:dyDescent="0.25">
      <c r="A1101" s="8"/>
    </row>
    <row r="1102" spans="1:1" ht="13.8" x14ac:dyDescent="0.25">
      <c r="A1102" s="8"/>
    </row>
    <row r="1103" spans="1:1" ht="13.8" x14ac:dyDescent="0.25">
      <c r="A1103" s="8"/>
    </row>
    <row r="1104" spans="1:1" ht="13.8" x14ac:dyDescent="0.25">
      <c r="A1104" s="8"/>
    </row>
    <row r="1105" spans="1:1" ht="13.8" x14ac:dyDescent="0.25">
      <c r="A1105" s="8"/>
    </row>
    <row r="1106" spans="1:1" ht="13.8" x14ac:dyDescent="0.25">
      <c r="A1106" s="8"/>
    </row>
    <row r="1107" spans="1:1" ht="13.8" x14ac:dyDescent="0.25">
      <c r="A1107" s="8"/>
    </row>
    <row r="1108" spans="1:1" ht="13.8" x14ac:dyDescent="0.25">
      <c r="A1108" s="8"/>
    </row>
    <row r="1109" spans="1:1" ht="13.8" x14ac:dyDescent="0.25">
      <c r="A1109" s="8"/>
    </row>
    <row r="1110" spans="1:1" ht="13.8" x14ac:dyDescent="0.25">
      <c r="A1110" s="8"/>
    </row>
    <row r="1111" spans="1:1" ht="13.8" x14ac:dyDescent="0.25">
      <c r="A1111" s="8"/>
    </row>
    <row r="1112" spans="1:1" ht="13.8" x14ac:dyDescent="0.25">
      <c r="A1112" s="8"/>
    </row>
    <row r="1113" spans="1:1" ht="13.8" x14ac:dyDescent="0.25">
      <c r="A1113" s="8"/>
    </row>
    <row r="1114" spans="1:1" ht="13.8" x14ac:dyDescent="0.25">
      <c r="A1114" s="8"/>
    </row>
    <row r="1115" spans="1:1" ht="13.8" x14ac:dyDescent="0.25">
      <c r="A1115" s="8"/>
    </row>
    <row r="1116" spans="1:1" ht="13.8" x14ac:dyDescent="0.25">
      <c r="A1116" s="8"/>
    </row>
    <row r="1117" spans="1:1" ht="13.8" x14ac:dyDescent="0.25">
      <c r="A1117" s="8"/>
    </row>
    <row r="1118" spans="1:1" ht="13.8" x14ac:dyDescent="0.25">
      <c r="A1118" s="8"/>
    </row>
    <row r="1119" spans="1:1" ht="13.8" x14ac:dyDescent="0.25">
      <c r="A1119" s="8"/>
    </row>
    <row r="1120" spans="1:1" ht="13.8" x14ac:dyDescent="0.25">
      <c r="A1120" s="8"/>
    </row>
    <row r="1121" spans="1:1" ht="13.8" x14ac:dyDescent="0.25">
      <c r="A1121" s="8"/>
    </row>
    <row r="1122" spans="1:1" ht="13.8" x14ac:dyDescent="0.25">
      <c r="A1122" s="8"/>
    </row>
    <row r="1123" spans="1:1" ht="13.8" x14ac:dyDescent="0.25">
      <c r="A1123" s="8"/>
    </row>
    <row r="1124" spans="1:1" ht="13.8" x14ac:dyDescent="0.25">
      <c r="A1124" s="8"/>
    </row>
    <row r="1125" spans="1:1" ht="13.8" x14ac:dyDescent="0.25">
      <c r="A1125" s="8"/>
    </row>
    <row r="1126" spans="1:1" ht="13.8" x14ac:dyDescent="0.25">
      <c r="A1126" s="8"/>
    </row>
    <row r="1127" spans="1:1" ht="13.8" x14ac:dyDescent="0.25">
      <c r="A1127" s="8"/>
    </row>
    <row r="1128" spans="1:1" ht="13.8" x14ac:dyDescent="0.25">
      <c r="A1128" s="8"/>
    </row>
    <row r="1129" spans="1:1" ht="13.8" x14ac:dyDescent="0.25">
      <c r="A1129" s="8"/>
    </row>
    <row r="1130" spans="1:1" ht="13.8" x14ac:dyDescent="0.25">
      <c r="A1130" s="8"/>
    </row>
    <row r="1131" spans="1:1" ht="13.8" x14ac:dyDescent="0.25">
      <c r="A1131" s="8"/>
    </row>
    <row r="1132" spans="1:1" ht="13.8" x14ac:dyDescent="0.25">
      <c r="A1132" s="8"/>
    </row>
    <row r="1133" spans="1:1" ht="13.8" x14ac:dyDescent="0.25">
      <c r="A1133" s="8"/>
    </row>
    <row r="1134" spans="1:1" ht="13.8" x14ac:dyDescent="0.25">
      <c r="A1134" s="8"/>
    </row>
    <row r="1135" spans="1:1" ht="13.8" x14ac:dyDescent="0.25">
      <c r="A1135" s="8"/>
    </row>
    <row r="1136" spans="1:1" ht="13.8" x14ac:dyDescent="0.25">
      <c r="A1136" s="8"/>
    </row>
    <row r="1137" spans="1:1" ht="13.8" x14ac:dyDescent="0.25">
      <c r="A1137" s="8"/>
    </row>
    <row r="1138" spans="1:1" ht="13.8" x14ac:dyDescent="0.25">
      <c r="A1138" s="8"/>
    </row>
    <row r="1139" spans="1:1" ht="13.8" x14ac:dyDescent="0.25">
      <c r="A1139" s="8"/>
    </row>
    <row r="1140" spans="1:1" ht="13.8" x14ac:dyDescent="0.25">
      <c r="A1140" s="8"/>
    </row>
    <row r="1141" spans="1:1" ht="13.8" x14ac:dyDescent="0.25">
      <c r="A1141" s="8"/>
    </row>
    <row r="1142" spans="1:1" ht="13.8" x14ac:dyDescent="0.25">
      <c r="A1142" s="8"/>
    </row>
    <row r="1143" spans="1:1" ht="13.8" x14ac:dyDescent="0.25">
      <c r="A1143" s="8"/>
    </row>
    <row r="1144" spans="1:1" ht="13.8" x14ac:dyDescent="0.25">
      <c r="A1144" s="8"/>
    </row>
    <row r="1145" spans="1:1" ht="13.8" x14ac:dyDescent="0.25">
      <c r="A1145" s="8"/>
    </row>
    <row r="1146" spans="1:1" ht="13.8" x14ac:dyDescent="0.25">
      <c r="A1146" s="8"/>
    </row>
    <row r="1147" spans="1:1" ht="13.8" x14ac:dyDescent="0.25">
      <c r="A1147" s="8"/>
    </row>
    <row r="1148" spans="1:1" ht="13.8" x14ac:dyDescent="0.25">
      <c r="A1148" s="8"/>
    </row>
    <row r="1149" spans="1:1" ht="13.8" x14ac:dyDescent="0.25">
      <c r="A1149" s="8"/>
    </row>
    <row r="1150" spans="1:1" ht="13.8" x14ac:dyDescent="0.25">
      <c r="A1150" s="8"/>
    </row>
    <row r="1151" spans="1:1" ht="13.8" x14ac:dyDescent="0.25">
      <c r="A1151" s="8"/>
    </row>
    <row r="1152" spans="1:1" ht="13.8" x14ac:dyDescent="0.25">
      <c r="A1152" s="8"/>
    </row>
    <row r="1153" spans="1:1" ht="13.8" x14ac:dyDescent="0.25">
      <c r="A1153" s="8"/>
    </row>
    <row r="1154" spans="1:1" ht="13.8" x14ac:dyDescent="0.25">
      <c r="A1154" s="8"/>
    </row>
    <row r="1155" spans="1:1" ht="13.8" x14ac:dyDescent="0.25">
      <c r="A1155" s="8"/>
    </row>
    <row r="1156" spans="1:1" ht="13.8" x14ac:dyDescent="0.25">
      <c r="A1156" s="8"/>
    </row>
    <row r="1157" spans="1:1" ht="13.8" x14ac:dyDescent="0.25">
      <c r="A1157" s="8"/>
    </row>
    <row r="1158" spans="1:1" ht="13.8" x14ac:dyDescent="0.25">
      <c r="A1158" s="8"/>
    </row>
    <row r="1159" spans="1:1" ht="13.8" x14ac:dyDescent="0.25">
      <c r="A1159" s="8"/>
    </row>
    <row r="1160" spans="1:1" ht="13.8" x14ac:dyDescent="0.25">
      <c r="A1160" s="8"/>
    </row>
    <row r="1161" spans="1:1" ht="13.8" x14ac:dyDescent="0.25">
      <c r="A1161" s="8"/>
    </row>
    <row r="1162" spans="1:1" ht="13.8" x14ac:dyDescent="0.25">
      <c r="A1162" s="8"/>
    </row>
    <row r="1163" spans="1:1" ht="13.8" x14ac:dyDescent="0.25">
      <c r="A1163" s="8"/>
    </row>
    <row r="1164" spans="1:1" ht="13.8" x14ac:dyDescent="0.25">
      <c r="A1164" s="8"/>
    </row>
    <row r="1165" spans="1:1" ht="13.8" x14ac:dyDescent="0.25">
      <c r="A1165" s="8"/>
    </row>
    <row r="1166" spans="1:1" ht="13.8" x14ac:dyDescent="0.25">
      <c r="A1166" s="8"/>
    </row>
    <row r="1167" spans="1:1" ht="13.8" x14ac:dyDescent="0.25">
      <c r="A1167" s="8"/>
    </row>
    <row r="1168" spans="1:1" ht="13.8" x14ac:dyDescent="0.25">
      <c r="A1168" s="8"/>
    </row>
    <row r="1169" spans="1:1" ht="13.8" x14ac:dyDescent="0.25">
      <c r="A1169" s="8"/>
    </row>
    <row r="1170" spans="1:1" ht="13.8" x14ac:dyDescent="0.25">
      <c r="A1170" s="8"/>
    </row>
    <row r="1171" spans="1:1" ht="13.8" x14ac:dyDescent="0.25">
      <c r="A1171" s="8"/>
    </row>
    <row r="1172" spans="1:1" ht="13.8" x14ac:dyDescent="0.25">
      <c r="A1172" s="8"/>
    </row>
    <row r="1173" spans="1:1" ht="13.8" x14ac:dyDescent="0.25">
      <c r="A1173" s="8"/>
    </row>
    <row r="1174" spans="1:1" ht="13.8" x14ac:dyDescent="0.25">
      <c r="A1174" s="8"/>
    </row>
    <row r="1175" spans="1:1" ht="13.8" x14ac:dyDescent="0.25">
      <c r="A1175" s="8"/>
    </row>
    <row r="1176" spans="1:1" ht="13.8" x14ac:dyDescent="0.25">
      <c r="A1176" s="8"/>
    </row>
    <row r="1177" spans="1:1" ht="13.8" x14ac:dyDescent="0.25">
      <c r="A1177" s="8"/>
    </row>
    <row r="1178" spans="1:1" ht="13.8" x14ac:dyDescent="0.25">
      <c r="A1178" s="8"/>
    </row>
    <row r="1179" spans="1:1" ht="13.8" x14ac:dyDescent="0.25">
      <c r="A1179" s="8"/>
    </row>
    <row r="1180" spans="1:1" ht="13.8" x14ac:dyDescent="0.25">
      <c r="A1180" s="8"/>
    </row>
    <row r="1181" spans="1:1" ht="13.8" x14ac:dyDescent="0.25">
      <c r="A1181" s="8"/>
    </row>
    <row r="1182" spans="1:1" ht="13.8" x14ac:dyDescent="0.25">
      <c r="A1182" s="8"/>
    </row>
    <row r="1183" spans="1:1" ht="13.8" x14ac:dyDescent="0.25">
      <c r="A1183" s="8"/>
    </row>
    <row r="1184" spans="1:1" ht="13.8" x14ac:dyDescent="0.25">
      <c r="A1184" s="8"/>
    </row>
    <row r="1185" spans="1:1" ht="13.8" x14ac:dyDescent="0.25">
      <c r="A1185" s="8"/>
    </row>
    <row r="1186" spans="1:1" ht="13.8" x14ac:dyDescent="0.25">
      <c r="A1186" s="8"/>
    </row>
    <row r="1187" spans="1:1" ht="13.8" x14ac:dyDescent="0.25">
      <c r="A1187" s="8"/>
    </row>
    <row r="1188" spans="1:1" ht="13.8" x14ac:dyDescent="0.25">
      <c r="A1188" s="8"/>
    </row>
    <row r="1189" spans="1:1" ht="13.8" x14ac:dyDescent="0.25">
      <c r="A1189" s="8"/>
    </row>
    <row r="1190" spans="1:1" ht="13.8" x14ac:dyDescent="0.25">
      <c r="A1190" s="8"/>
    </row>
    <row r="1191" spans="1:1" ht="13.8" x14ac:dyDescent="0.25">
      <c r="A1191" s="8"/>
    </row>
    <row r="1192" spans="1:1" ht="13.8" x14ac:dyDescent="0.25">
      <c r="A1192" s="8"/>
    </row>
    <row r="1193" spans="1:1" ht="13.8" x14ac:dyDescent="0.25">
      <c r="A1193" s="8"/>
    </row>
    <row r="1194" spans="1:1" ht="13.8" x14ac:dyDescent="0.25">
      <c r="A1194" s="8"/>
    </row>
    <row r="1195" spans="1:1" ht="13.8" x14ac:dyDescent="0.25">
      <c r="A1195" s="8"/>
    </row>
    <row r="1196" spans="1:1" ht="13.8" x14ac:dyDescent="0.25">
      <c r="A1196" s="8"/>
    </row>
    <row r="1197" spans="1:1" ht="13.8" x14ac:dyDescent="0.25">
      <c r="A1197" s="8"/>
    </row>
    <row r="1198" spans="1:1" ht="13.8" x14ac:dyDescent="0.25">
      <c r="A1198" s="8"/>
    </row>
    <row r="1199" spans="1:1" ht="13.8" x14ac:dyDescent="0.25">
      <c r="A1199" s="8"/>
    </row>
    <row r="1200" spans="1:1" ht="13.8" x14ac:dyDescent="0.25">
      <c r="A1200" s="8"/>
    </row>
    <row r="1201" spans="1:1" ht="13.8" x14ac:dyDescent="0.25">
      <c r="A1201" s="8"/>
    </row>
    <row r="1202" spans="1:1" ht="13.8" x14ac:dyDescent="0.25">
      <c r="A1202" s="8"/>
    </row>
    <row r="1203" spans="1:1" ht="13.8" x14ac:dyDescent="0.25">
      <c r="A1203" s="8"/>
    </row>
    <row r="1204" spans="1:1" ht="13.8" x14ac:dyDescent="0.25">
      <c r="A1204" s="8"/>
    </row>
    <row r="1205" spans="1:1" ht="13.8" x14ac:dyDescent="0.25">
      <c r="A1205" s="8"/>
    </row>
    <row r="1206" spans="1:1" ht="13.8" x14ac:dyDescent="0.25">
      <c r="A1206" s="8"/>
    </row>
    <row r="1207" spans="1:1" ht="13.8" x14ac:dyDescent="0.25">
      <c r="A1207" s="8"/>
    </row>
    <row r="1208" spans="1:1" ht="13.8" x14ac:dyDescent="0.25">
      <c r="A1208" s="8"/>
    </row>
    <row r="1209" spans="1:1" ht="13.8" x14ac:dyDescent="0.25">
      <c r="A1209" s="8"/>
    </row>
    <row r="1210" spans="1:1" ht="13.8" x14ac:dyDescent="0.25">
      <c r="A1210" s="8"/>
    </row>
    <row r="1211" spans="1:1" ht="13.8" x14ac:dyDescent="0.25">
      <c r="A1211" s="8"/>
    </row>
    <row r="1212" spans="1:1" ht="13.8" x14ac:dyDescent="0.25">
      <c r="A1212" s="8"/>
    </row>
    <row r="1213" spans="1:1" ht="13.8" x14ac:dyDescent="0.25">
      <c r="A1213" s="8"/>
    </row>
    <row r="1214" spans="1:1" ht="13.8" x14ac:dyDescent="0.25">
      <c r="A1214" s="8"/>
    </row>
    <row r="1215" spans="1:1" ht="13.8" x14ac:dyDescent="0.25">
      <c r="A1215" s="8"/>
    </row>
    <row r="1216" spans="1:1" ht="13.8" x14ac:dyDescent="0.25">
      <c r="A1216" s="8"/>
    </row>
    <row r="1217" spans="1:1" ht="13.8" x14ac:dyDescent="0.25">
      <c r="A1217" s="8"/>
    </row>
    <row r="1218" spans="1:1" ht="13.8" x14ac:dyDescent="0.25">
      <c r="A1218" s="8"/>
    </row>
    <row r="1219" spans="1:1" ht="13.8" x14ac:dyDescent="0.25">
      <c r="A1219" s="8"/>
    </row>
    <row r="1220" spans="1:1" ht="13.8" x14ac:dyDescent="0.25">
      <c r="A1220" s="8"/>
    </row>
    <row r="1221" spans="1:1" ht="13.8" x14ac:dyDescent="0.25">
      <c r="A1221" s="8"/>
    </row>
    <row r="1222" spans="1:1" ht="13.8" x14ac:dyDescent="0.25">
      <c r="A1222" s="8"/>
    </row>
    <row r="1223" spans="1:1" ht="13.8" x14ac:dyDescent="0.25">
      <c r="A1223" s="8"/>
    </row>
    <row r="1224" spans="1:1" ht="13.8" x14ac:dyDescent="0.25">
      <c r="A1224" s="8"/>
    </row>
    <row r="1225" spans="1:1" ht="13.8" x14ac:dyDescent="0.25">
      <c r="A1225" s="8"/>
    </row>
    <row r="1226" spans="1:1" ht="13.8" x14ac:dyDescent="0.25">
      <c r="A1226" s="8"/>
    </row>
    <row r="1227" spans="1:1" ht="13.8" x14ac:dyDescent="0.25">
      <c r="A1227" s="8"/>
    </row>
    <row r="1228" spans="1:1" ht="13.8" x14ac:dyDescent="0.25">
      <c r="A1228" s="8"/>
    </row>
    <row r="1229" spans="1:1" ht="13.8" x14ac:dyDescent="0.25">
      <c r="A1229" s="8"/>
    </row>
    <row r="1230" spans="1:1" ht="13.8" x14ac:dyDescent="0.25">
      <c r="A1230" s="8"/>
    </row>
    <row r="1231" spans="1:1" ht="13.8" x14ac:dyDescent="0.25">
      <c r="A1231" s="8"/>
    </row>
    <row r="1232" spans="1:1" ht="13.8" x14ac:dyDescent="0.25">
      <c r="A1232" s="8"/>
    </row>
    <row r="1233" spans="1:1" ht="13.8" x14ac:dyDescent="0.25">
      <c r="A1233" s="8"/>
    </row>
    <row r="1234" spans="1:1" ht="13.8" x14ac:dyDescent="0.25">
      <c r="A1234" s="8"/>
    </row>
    <row r="1235" spans="1:1" ht="13.8" x14ac:dyDescent="0.25">
      <c r="A1235" s="8"/>
    </row>
    <row r="1236" spans="1:1" ht="13.8" x14ac:dyDescent="0.25">
      <c r="A1236" s="8"/>
    </row>
    <row r="1237" spans="1:1" ht="13.8" x14ac:dyDescent="0.25">
      <c r="A1237" s="8"/>
    </row>
    <row r="1238" spans="1:1" ht="13.8" x14ac:dyDescent="0.25">
      <c r="A1238" s="8"/>
    </row>
    <row r="1239" spans="1:1" ht="13.8" x14ac:dyDescent="0.25">
      <c r="A1239" s="8"/>
    </row>
    <row r="1240" spans="1:1" ht="13.8" x14ac:dyDescent="0.25">
      <c r="A1240" s="8"/>
    </row>
    <row r="1241" spans="1:1" ht="13.8" x14ac:dyDescent="0.25">
      <c r="A1241" s="8"/>
    </row>
    <row r="1242" spans="1:1" ht="13.8" x14ac:dyDescent="0.25">
      <c r="A1242" s="8"/>
    </row>
    <row r="1243" spans="1:1" ht="13.8" x14ac:dyDescent="0.25">
      <c r="A1243" s="8"/>
    </row>
    <row r="1244" spans="1:1" ht="13.8" x14ac:dyDescent="0.25">
      <c r="A1244" s="8"/>
    </row>
    <row r="1245" spans="1:1" ht="13.8" x14ac:dyDescent="0.25">
      <c r="A1245" s="8"/>
    </row>
    <row r="1246" spans="1:1" ht="13.8" x14ac:dyDescent="0.25">
      <c r="A1246" s="8"/>
    </row>
    <row r="1247" spans="1:1" ht="13.8" x14ac:dyDescent="0.25">
      <c r="A1247" s="8"/>
    </row>
    <row r="1248" spans="1:1" ht="13.8" x14ac:dyDescent="0.25">
      <c r="A1248" s="8"/>
    </row>
    <row r="1249" spans="1:1" ht="13.8" x14ac:dyDescent="0.25">
      <c r="A1249" s="8"/>
    </row>
    <row r="1250" spans="1:1" ht="13.8" x14ac:dyDescent="0.25">
      <c r="A1250" s="8"/>
    </row>
    <row r="1251" spans="1:1" ht="13.8" x14ac:dyDescent="0.25">
      <c r="A1251" s="8"/>
    </row>
    <row r="1252" spans="1:1" ht="13.8" x14ac:dyDescent="0.25">
      <c r="A1252" s="8"/>
    </row>
    <row r="1253" spans="1:1" ht="13.8" x14ac:dyDescent="0.25">
      <c r="A1253" s="8"/>
    </row>
    <row r="1254" spans="1:1" ht="13.8" x14ac:dyDescent="0.25">
      <c r="A1254" s="8"/>
    </row>
    <row r="1255" spans="1:1" ht="13.8" x14ac:dyDescent="0.25">
      <c r="A1255" s="8"/>
    </row>
    <row r="1256" spans="1:1" ht="13.8" x14ac:dyDescent="0.25">
      <c r="A1256" s="8"/>
    </row>
    <row r="1257" spans="1:1" ht="13.8" x14ac:dyDescent="0.25">
      <c r="A1257" s="8"/>
    </row>
    <row r="1258" spans="1:1" ht="13.8" x14ac:dyDescent="0.25">
      <c r="A1258" s="8"/>
    </row>
    <row r="1259" spans="1:1" ht="13.8" x14ac:dyDescent="0.25">
      <c r="A1259" s="8"/>
    </row>
    <row r="1260" spans="1:1" ht="13.8" x14ac:dyDescent="0.25">
      <c r="A1260" s="8"/>
    </row>
    <row r="1261" spans="1:1" ht="13.8" x14ac:dyDescent="0.25">
      <c r="A1261" s="8"/>
    </row>
    <row r="1262" spans="1:1" ht="13.8" x14ac:dyDescent="0.25">
      <c r="A1262" s="8"/>
    </row>
    <row r="1263" spans="1:1" ht="13.8" x14ac:dyDescent="0.25">
      <c r="A1263" s="8"/>
    </row>
    <row r="1264" spans="1:1" ht="13.8" x14ac:dyDescent="0.25">
      <c r="A1264" s="8"/>
    </row>
    <row r="1265" spans="1:1" ht="13.8" x14ac:dyDescent="0.25">
      <c r="A1265" s="8"/>
    </row>
    <row r="1266" spans="1:1" ht="13.8" x14ac:dyDescent="0.25">
      <c r="A1266" s="8"/>
    </row>
    <row r="1267" spans="1:1" ht="13.8" x14ac:dyDescent="0.25">
      <c r="A1267" s="8"/>
    </row>
    <row r="1268" spans="1:1" ht="13.8" x14ac:dyDescent="0.25">
      <c r="A1268" s="8"/>
    </row>
    <row r="1269" spans="1:1" ht="13.8" x14ac:dyDescent="0.25">
      <c r="A1269" s="8"/>
    </row>
    <row r="1270" spans="1:1" ht="13.8" x14ac:dyDescent="0.25">
      <c r="A1270" s="8"/>
    </row>
    <row r="1271" spans="1:1" ht="13.8" x14ac:dyDescent="0.25">
      <c r="A1271" s="8"/>
    </row>
    <row r="1272" spans="1:1" ht="13.8" x14ac:dyDescent="0.25">
      <c r="A1272" s="8"/>
    </row>
    <row r="1273" spans="1:1" ht="13.8" x14ac:dyDescent="0.25">
      <c r="A1273" s="8"/>
    </row>
    <row r="1274" spans="1:1" ht="13.8" x14ac:dyDescent="0.25">
      <c r="A1274" s="8"/>
    </row>
    <row r="1275" spans="1:1" ht="13.8" x14ac:dyDescent="0.25">
      <c r="A1275" s="8"/>
    </row>
    <row r="1276" spans="1:1" ht="13.8" x14ac:dyDescent="0.25">
      <c r="A1276" s="8"/>
    </row>
    <row r="1277" spans="1:1" ht="13.8" x14ac:dyDescent="0.25">
      <c r="A1277" s="8"/>
    </row>
    <row r="1278" spans="1:1" ht="13.8" x14ac:dyDescent="0.25">
      <c r="A1278" s="8"/>
    </row>
    <row r="1279" spans="1:1" ht="13.8" x14ac:dyDescent="0.25">
      <c r="A1279" s="8"/>
    </row>
    <row r="1280" spans="1:1" ht="13.8" x14ac:dyDescent="0.25">
      <c r="A1280" s="8"/>
    </row>
    <row r="1281" spans="1:1" ht="13.8" x14ac:dyDescent="0.25">
      <c r="A1281" s="8"/>
    </row>
    <row r="1282" spans="1:1" ht="13.8" x14ac:dyDescent="0.25">
      <c r="A1282" s="8"/>
    </row>
    <row r="1283" spans="1:1" ht="13.8" x14ac:dyDescent="0.25">
      <c r="A1283" s="8"/>
    </row>
    <row r="1284" spans="1:1" ht="13.8" x14ac:dyDescent="0.25">
      <c r="A1284" s="8"/>
    </row>
    <row r="1285" spans="1:1" ht="13.8" x14ac:dyDescent="0.25">
      <c r="A1285" s="8"/>
    </row>
    <row r="1286" spans="1:1" ht="13.8" x14ac:dyDescent="0.25">
      <c r="A1286" s="8"/>
    </row>
    <row r="1287" spans="1:1" ht="13.8" x14ac:dyDescent="0.25">
      <c r="A1287" s="8"/>
    </row>
    <row r="1288" spans="1:1" ht="13.8" x14ac:dyDescent="0.25">
      <c r="A1288" s="8"/>
    </row>
    <row r="1289" spans="1:1" ht="13.8" x14ac:dyDescent="0.25">
      <c r="A1289" s="8"/>
    </row>
    <row r="1290" spans="1:1" ht="13.8" x14ac:dyDescent="0.25">
      <c r="A1290" s="8"/>
    </row>
    <row r="1291" spans="1:1" ht="13.8" x14ac:dyDescent="0.25">
      <c r="A1291" s="8"/>
    </row>
    <row r="1292" spans="1:1" ht="13.8" x14ac:dyDescent="0.25">
      <c r="A1292" s="8"/>
    </row>
    <row r="1293" spans="1:1" ht="13.8" x14ac:dyDescent="0.25">
      <c r="A1293" s="8"/>
    </row>
    <row r="1294" spans="1:1" ht="13.8" x14ac:dyDescent="0.25">
      <c r="A1294" s="8"/>
    </row>
    <row r="1295" spans="1:1" ht="13.8" x14ac:dyDescent="0.25">
      <c r="A1295" s="8"/>
    </row>
    <row r="1296" spans="1:1" ht="13.8" x14ac:dyDescent="0.25">
      <c r="A1296" s="8"/>
    </row>
    <row r="1297" spans="1:1" ht="13.8" x14ac:dyDescent="0.25">
      <c r="A1297" s="8"/>
    </row>
    <row r="1298" spans="1:1" ht="13.8" x14ac:dyDescent="0.25">
      <c r="A1298" s="8"/>
    </row>
    <row r="1299" spans="1:1" ht="13.8" x14ac:dyDescent="0.25">
      <c r="A1299" s="8"/>
    </row>
    <row r="1300" spans="1:1" ht="13.8" x14ac:dyDescent="0.25">
      <c r="A1300" s="8"/>
    </row>
    <row r="1301" spans="1:1" ht="13.8" x14ac:dyDescent="0.25">
      <c r="A1301" s="8"/>
    </row>
    <row r="1302" spans="1:1" ht="13.8" x14ac:dyDescent="0.25">
      <c r="A1302" s="8"/>
    </row>
    <row r="1303" spans="1:1" ht="13.8" x14ac:dyDescent="0.25">
      <c r="A1303" s="8"/>
    </row>
    <row r="1304" spans="1:1" ht="13.8" x14ac:dyDescent="0.25">
      <c r="A1304" s="8"/>
    </row>
    <row r="1305" spans="1:1" ht="13.8" x14ac:dyDescent="0.25">
      <c r="A1305" s="8"/>
    </row>
    <row r="1306" spans="1:1" ht="13.8" x14ac:dyDescent="0.25">
      <c r="A1306" s="8"/>
    </row>
    <row r="1307" spans="1:1" ht="13.8" x14ac:dyDescent="0.25">
      <c r="A1307" s="8"/>
    </row>
    <row r="1308" spans="1:1" ht="13.8" x14ac:dyDescent="0.25">
      <c r="A1308" s="8"/>
    </row>
    <row r="1309" spans="1:1" ht="13.8" x14ac:dyDescent="0.25">
      <c r="A1309" s="8"/>
    </row>
    <row r="1310" spans="1:1" ht="13.8" x14ac:dyDescent="0.25">
      <c r="A1310" s="8"/>
    </row>
    <row r="1311" spans="1:1" ht="13.8" x14ac:dyDescent="0.25">
      <c r="A1311" s="8"/>
    </row>
    <row r="1312" spans="1:1" ht="13.8" x14ac:dyDescent="0.25">
      <c r="A1312" s="8"/>
    </row>
    <row r="1313" spans="1:1" ht="13.8" x14ac:dyDescent="0.25">
      <c r="A1313" s="8"/>
    </row>
    <row r="1314" spans="1:1" ht="13.8" x14ac:dyDescent="0.25">
      <c r="A1314" s="8"/>
    </row>
    <row r="1315" spans="1:1" ht="13.8" x14ac:dyDescent="0.25">
      <c r="A1315" s="8"/>
    </row>
    <row r="1316" spans="1:1" ht="13.8" x14ac:dyDescent="0.25">
      <c r="A1316" s="8"/>
    </row>
    <row r="1317" spans="1:1" ht="13.8" x14ac:dyDescent="0.25">
      <c r="A1317" s="8"/>
    </row>
    <row r="1318" spans="1:1" ht="13.8" x14ac:dyDescent="0.25">
      <c r="A1318" s="8"/>
    </row>
    <row r="1319" spans="1:1" ht="13.8" x14ac:dyDescent="0.25">
      <c r="A1319" s="8"/>
    </row>
    <row r="1320" spans="1:1" ht="13.8" x14ac:dyDescent="0.25">
      <c r="A1320" s="8"/>
    </row>
    <row r="1321" spans="1:1" ht="13.8" x14ac:dyDescent="0.25">
      <c r="A1321" s="8"/>
    </row>
    <row r="1322" spans="1:1" ht="13.8" x14ac:dyDescent="0.25">
      <c r="A1322" s="8"/>
    </row>
    <row r="1323" spans="1:1" ht="13.8" x14ac:dyDescent="0.25">
      <c r="A1323" s="8"/>
    </row>
    <row r="1324" spans="1:1" ht="13.8" x14ac:dyDescent="0.25">
      <c r="A1324" s="8"/>
    </row>
    <row r="1325" spans="1:1" ht="13.8" x14ac:dyDescent="0.25">
      <c r="A1325" s="8"/>
    </row>
    <row r="1326" spans="1:1" ht="13.8" x14ac:dyDescent="0.25">
      <c r="A1326" s="8"/>
    </row>
    <row r="1327" spans="1:1" ht="13.8" x14ac:dyDescent="0.25">
      <c r="A1327" s="8"/>
    </row>
    <row r="1328" spans="1:1" ht="13.8" x14ac:dyDescent="0.25">
      <c r="A1328" s="8"/>
    </row>
    <row r="1329" spans="1:1" ht="13.8" x14ac:dyDescent="0.25">
      <c r="A1329" s="8"/>
    </row>
    <row r="1330" spans="1:1" ht="13.8" x14ac:dyDescent="0.25">
      <c r="A1330" s="8"/>
    </row>
    <row r="1331" spans="1:1" ht="13.8" x14ac:dyDescent="0.25">
      <c r="A1331" s="8"/>
    </row>
    <row r="1332" spans="1:1" ht="13.8" x14ac:dyDescent="0.25">
      <c r="A1332" s="8"/>
    </row>
    <row r="1333" spans="1:1" ht="13.8" x14ac:dyDescent="0.25">
      <c r="A1333" s="8"/>
    </row>
    <row r="1334" spans="1:1" ht="13.8" x14ac:dyDescent="0.25">
      <c r="A1334" s="8"/>
    </row>
    <row r="1335" spans="1:1" ht="13.8" x14ac:dyDescent="0.25">
      <c r="A1335" s="8"/>
    </row>
    <row r="1336" spans="1:1" ht="13.8" x14ac:dyDescent="0.25">
      <c r="A1336" s="8"/>
    </row>
    <row r="1337" spans="1:1" ht="13.8" x14ac:dyDescent="0.25">
      <c r="A1337" s="8"/>
    </row>
    <row r="1338" spans="1:1" ht="13.8" x14ac:dyDescent="0.25">
      <c r="A1338" s="8"/>
    </row>
    <row r="1339" spans="1:1" ht="13.8" x14ac:dyDescent="0.25">
      <c r="A1339" s="8"/>
    </row>
    <row r="1340" spans="1:1" ht="13.8" x14ac:dyDescent="0.25">
      <c r="A1340" s="8"/>
    </row>
    <row r="1341" spans="1:1" ht="13.8" x14ac:dyDescent="0.25">
      <c r="A1341" s="8"/>
    </row>
    <row r="1342" spans="1:1" ht="13.8" x14ac:dyDescent="0.25">
      <c r="A1342" s="8"/>
    </row>
    <row r="1343" spans="1:1" ht="13.8" x14ac:dyDescent="0.25">
      <c r="A1343" s="8"/>
    </row>
    <row r="1344" spans="1:1" ht="13.8" x14ac:dyDescent="0.25">
      <c r="A1344" s="8"/>
    </row>
    <row r="1345" spans="1:1" ht="13.8" x14ac:dyDescent="0.25">
      <c r="A1345" s="8"/>
    </row>
    <row r="1346" spans="1:1" ht="13.8" x14ac:dyDescent="0.25">
      <c r="A1346" s="8"/>
    </row>
    <row r="1347" spans="1:1" ht="13.8" x14ac:dyDescent="0.25">
      <c r="A1347" s="8"/>
    </row>
    <row r="1348" spans="1:1" ht="13.8" x14ac:dyDescent="0.25">
      <c r="A1348" s="8"/>
    </row>
    <row r="1349" spans="1:1" ht="13.8" x14ac:dyDescent="0.25">
      <c r="A1349" s="8"/>
    </row>
    <row r="1350" spans="1:1" ht="13.8" x14ac:dyDescent="0.25">
      <c r="A1350" s="8"/>
    </row>
    <row r="1351" spans="1:1" ht="13.8" x14ac:dyDescent="0.25">
      <c r="A1351" s="8"/>
    </row>
    <row r="1352" spans="1:1" ht="13.8" x14ac:dyDescent="0.25">
      <c r="A1352" s="8"/>
    </row>
    <row r="1353" spans="1:1" ht="13.8" x14ac:dyDescent="0.25">
      <c r="A1353" s="8"/>
    </row>
    <row r="1354" spans="1:1" ht="13.8" x14ac:dyDescent="0.25">
      <c r="A1354" s="8"/>
    </row>
    <row r="1355" spans="1:1" ht="13.8" x14ac:dyDescent="0.25">
      <c r="A1355" s="8"/>
    </row>
    <row r="1356" spans="1:1" ht="13.8" x14ac:dyDescent="0.25">
      <c r="A1356" s="8"/>
    </row>
    <row r="1357" spans="1:1" ht="13.8" x14ac:dyDescent="0.25">
      <c r="A1357" s="8"/>
    </row>
    <row r="1358" spans="1:1" ht="13.8" x14ac:dyDescent="0.25">
      <c r="A1358" s="8"/>
    </row>
    <row r="1359" spans="1:1" ht="13.8" x14ac:dyDescent="0.25">
      <c r="A1359" s="8"/>
    </row>
    <row r="1360" spans="1:1" ht="13.8" x14ac:dyDescent="0.25">
      <c r="A1360" s="8"/>
    </row>
    <row r="1361" spans="1:1" ht="13.8" x14ac:dyDescent="0.25">
      <c r="A1361" s="8"/>
    </row>
    <row r="1362" spans="1:1" ht="13.8" x14ac:dyDescent="0.25">
      <c r="A1362" s="8"/>
    </row>
    <row r="1363" spans="1:1" ht="13.8" x14ac:dyDescent="0.25">
      <c r="A1363" s="8"/>
    </row>
    <row r="1364" spans="1:1" ht="13.8" x14ac:dyDescent="0.25">
      <c r="A1364" s="8"/>
    </row>
    <row r="1365" spans="1:1" ht="13.8" x14ac:dyDescent="0.25">
      <c r="A1365" s="8"/>
    </row>
    <row r="1366" spans="1:1" ht="13.8" x14ac:dyDescent="0.25">
      <c r="A1366" s="8"/>
    </row>
    <row r="1367" spans="1:1" ht="13.8" x14ac:dyDescent="0.25">
      <c r="A1367" s="8"/>
    </row>
    <row r="1368" spans="1:1" ht="13.8" x14ac:dyDescent="0.25">
      <c r="A1368" s="8"/>
    </row>
    <row r="1369" spans="1:1" ht="13.8" x14ac:dyDescent="0.25">
      <c r="A1369" s="8"/>
    </row>
    <row r="1370" spans="1:1" ht="13.8" x14ac:dyDescent="0.25">
      <c r="A1370" s="8"/>
    </row>
    <row r="1371" spans="1:1" ht="13.8" x14ac:dyDescent="0.25">
      <c r="A1371" s="8"/>
    </row>
    <row r="1372" spans="1:1" ht="13.8" x14ac:dyDescent="0.25">
      <c r="A1372" s="8"/>
    </row>
    <row r="1373" spans="1:1" ht="13.8" x14ac:dyDescent="0.25">
      <c r="A1373" s="8"/>
    </row>
    <row r="1374" spans="1:1" ht="13.8" x14ac:dyDescent="0.25">
      <c r="A1374" s="8"/>
    </row>
    <row r="1375" spans="1:1" ht="13.8" x14ac:dyDescent="0.25">
      <c r="A1375" s="8"/>
    </row>
    <row r="1376" spans="1:1" ht="13.8" x14ac:dyDescent="0.25">
      <c r="A1376" s="8"/>
    </row>
    <row r="1377" spans="1:1" ht="13.8" x14ac:dyDescent="0.25">
      <c r="A1377" s="8"/>
    </row>
    <row r="1378" spans="1:1" ht="13.8" x14ac:dyDescent="0.25">
      <c r="A1378" s="8"/>
    </row>
    <row r="1379" spans="1:1" ht="13.8" x14ac:dyDescent="0.25">
      <c r="A1379" s="8"/>
    </row>
    <row r="1380" spans="1:1" ht="13.8" x14ac:dyDescent="0.25">
      <c r="A1380" s="8"/>
    </row>
    <row r="1381" spans="1:1" ht="13.8" x14ac:dyDescent="0.25">
      <c r="A1381" s="8"/>
    </row>
    <row r="1382" spans="1:1" ht="13.8" x14ac:dyDescent="0.25">
      <c r="A1382" s="8"/>
    </row>
    <row r="1383" spans="1:1" ht="13.8" x14ac:dyDescent="0.25">
      <c r="A1383" s="8"/>
    </row>
    <row r="1384" spans="1:1" ht="13.8" x14ac:dyDescent="0.25">
      <c r="A1384" s="8"/>
    </row>
    <row r="1385" spans="1:1" ht="13.8" x14ac:dyDescent="0.25">
      <c r="A1385" s="8"/>
    </row>
    <row r="1386" spans="1:1" ht="13.8" x14ac:dyDescent="0.25">
      <c r="A1386" s="8"/>
    </row>
    <row r="1387" spans="1:1" ht="13.8" x14ac:dyDescent="0.25">
      <c r="A1387" s="8"/>
    </row>
    <row r="1388" spans="1:1" ht="13.8" x14ac:dyDescent="0.25">
      <c r="A1388" s="8"/>
    </row>
    <row r="1389" spans="1:1" ht="13.8" x14ac:dyDescent="0.25">
      <c r="A1389" s="8"/>
    </row>
    <row r="1390" spans="1:1" ht="13.8" x14ac:dyDescent="0.25">
      <c r="A1390" s="8"/>
    </row>
    <row r="1391" spans="1:1" ht="13.8" x14ac:dyDescent="0.25">
      <c r="A1391" s="8"/>
    </row>
    <row r="1392" spans="1:1" ht="13.8" x14ac:dyDescent="0.25">
      <c r="A1392" s="8"/>
    </row>
    <row r="1393" spans="1:1" ht="13.8" x14ac:dyDescent="0.25">
      <c r="A1393" s="8"/>
    </row>
    <row r="1394" spans="1:1" ht="13.8" x14ac:dyDescent="0.25">
      <c r="A1394" s="8"/>
    </row>
    <row r="1395" spans="1:1" ht="13.8" x14ac:dyDescent="0.25">
      <c r="A1395" s="8"/>
    </row>
    <row r="1396" spans="1:1" ht="13.8" x14ac:dyDescent="0.25">
      <c r="A1396" s="8"/>
    </row>
    <row r="1397" spans="1:1" ht="13.8" x14ac:dyDescent="0.25">
      <c r="A1397" s="8"/>
    </row>
    <row r="1398" spans="1:1" ht="13.8" x14ac:dyDescent="0.25">
      <c r="A1398" s="8"/>
    </row>
    <row r="1399" spans="1:1" ht="13.8" x14ac:dyDescent="0.25">
      <c r="A1399" s="8"/>
    </row>
    <row r="1400" spans="1:1" ht="13.8" x14ac:dyDescent="0.25">
      <c r="A1400" s="8"/>
    </row>
    <row r="1401" spans="1:1" ht="13.8" x14ac:dyDescent="0.25">
      <c r="A1401" s="8"/>
    </row>
    <row r="1402" spans="1:1" ht="13.8" x14ac:dyDescent="0.25">
      <c r="A1402" s="8"/>
    </row>
    <row r="1403" spans="1:1" ht="13.8" x14ac:dyDescent="0.25">
      <c r="A1403" s="8"/>
    </row>
    <row r="1404" spans="1:1" ht="13.8" x14ac:dyDescent="0.25">
      <c r="A1404" s="8"/>
    </row>
    <row r="1405" spans="1:1" ht="13.8" x14ac:dyDescent="0.25">
      <c r="A1405" s="8"/>
    </row>
    <row r="1406" spans="1:1" ht="13.8" x14ac:dyDescent="0.25">
      <c r="A1406" s="8"/>
    </row>
    <row r="1407" spans="1:1" ht="13.8" x14ac:dyDescent="0.25">
      <c r="A1407" s="8"/>
    </row>
    <row r="1408" spans="1:1" ht="13.8" x14ac:dyDescent="0.25">
      <c r="A1408" s="8"/>
    </row>
    <row r="1409" spans="1:1" ht="13.8" x14ac:dyDescent="0.25">
      <c r="A1409" s="8"/>
    </row>
    <row r="1410" spans="1:1" ht="13.8" x14ac:dyDescent="0.25">
      <c r="A1410" s="8"/>
    </row>
    <row r="1411" spans="1:1" ht="13.8" x14ac:dyDescent="0.25">
      <c r="A1411" s="8"/>
    </row>
    <row r="1412" spans="1:1" ht="13.8" x14ac:dyDescent="0.25">
      <c r="A1412" s="8"/>
    </row>
    <row r="1413" spans="1:1" ht="13.8" x14ac:dyDescent="0.25">
      <c r="A1413" s="8"/>
    </row>
    <row r="1414" spans="1:1" ht="13.8" x14ac:dyDescent="0.25">
      <c r="A1414" s="8"/>
    </row>
    <row r="1415" spans="1:1" ht="13.8" x14ac:dyDescent="0.25">
      <c r="A1415" s="8"/>
    </row>
    <row r="1416" spans="1:1" ht="13.8" x14ac:dyDescent="0.25">
      <c r="A1416" s="8"/>
    </row>
    <row r="1417" spans="1:1" ht="13.8" x14ac:dyDescent="0.25">
      <c r="A1417" s="8"/>
    </row>
    <row r="1418" spans="1:1" ht="13.8" x14ac:dyDescent="0.25">
      <c r="A1418" s="8"/>
    </row>
    <row r="1419" spans="1:1" ht="13.8" x14ac:dyDescent="0.25">
      <c r="A1419" s="8"/>
    </row>
    <row r="1420" spans="1:1" ht="13.8" x14ac:dyDescent="0.25">
      <c r="A1420" s="8"/>
    </row>
    <row r="1421" spans="1:1" ht="13.8" x14ac:dyDescent="0.25">
      <c r="A1421" s="8"/>
    </row>
    <row r="1422" spans="1:1" ht="13.8" x14ac:dyDescent="0.25">
      <c r="A1422" s="8"/>
    </row>
    <row r="1423" spans="1:1" ht="13.8" x14ac:dyDescent="0.25">
      <c r="A1423" s="8"/>
    </row>
    <row r="1424" spans="1:1" ht="13.8" x14ac:dyDescent="0.25">
      <c r="A1424" s="8"/>
    </row>
    <row r="1425" spans="1:1" ht="13.8" x14ac:dyDescent="0.25">
      <c r="A1425" s="8"/>
    </row>
    <row r="1426" spans="1:1" ht="13.8" x14ac:dyDescent="0.25">
      <c r="A1426" s="8"/>
    </row>
    <row r="1427" spans="1:1" ht="13.8" x14ac:dyDescent="0.25">
      <c r="A1427" s="8"/>
    </row>
    <row r="1428" spans="1:1" ht="13.8" x14ac:dyDescent="0.25">
      <c r="A1428" s="8"/>
    </row>
    <row r="1429" spans="1:1" ht="13.8" x14ac:dyDescent="0.25">
      <c r="A1429" s="8"/>
    </row>
    <row r="1430" spans="1:1" ht="13.8" x14ac:dyDescent="0.25">
      <c r="A1430" s="8"/>
    </row>
    <row r="1431" spans="1:1" ht="13.8" x14ac:dyDescent="0.25">
      <c r="A1431" s="8"/>
    </row>
    <row r="1432" spans="1:1" ht="13.8" x14ac:dyDescent="0.25">
      <c r="A1432" s="8"/>
    </row>
    <row r="1433" spans="1:1" ht="13.8" x14ac:dyDescent="0.25">
      <c r="A1433" s="8"/>
    </row>
    <row r="1434" spans="1:1" ht="13.8" x14ac:dyDescent="0.25">
      <c r="A1434" s="8"/>
    </row>
    <row r="1435" spans="1:1" ht="13.8" x14ac:dyDescent="0.25">
      <c r="A1435" s="8"/>
    </row>
    <row r="1436" spans="1:1" ht="13.8" x14ac:dyDescent="0.25">
      <c r="A1436" s="8"/>
    </row>
    <row r="1437" spans="1:1" ht="13.8" x14ac:dyDescent="0.25">
      <c r="A1437" s="8"/>
    </row>
    <row r="1438" spans="1:1" ht="13.8" x14ac:dyDescent="0.25">
      <c r="A1438" s="8"/>
    </row>
    <row r="1439" spans="1:1" ht="13.8" x14ac:dyDescent="0.25">
      <c r="A1439" s="8"/>
    </row>
    <row r="1440" spans="1:1" ht="13.8" x14ac:dyDescent="0.25">
      <c r="A1440" s="8"/>
    </row>
    <row r="1441" spans="1:1" ht="13.8" x14ac:dyDescent="0.25">
      <c r="A1441" s="8"/>
    </row>
    <row r="1442" spans="1:1" ht="13.8" x14ac:dyDescent="0.25">
      <c r="A1442" s="8"/>
    </row>
    <row r="1443" spans="1:1" ht="13.8" x14ac:dyDescent="0.25">
      <c r="A1443" s="8"/>
    </row>
    <row r="1444" spans="1:1" ht="13.8" x14ac:dyDescent="0.25">
      <c r="A1444" s="8"/>
    </row>
    <row r="1445" spans="1:1" ht="13.8" x14ac:dyDescent="0.25">
      <c r="A1445" s="8"/>
    </row>
    <row r="1446" spans="1:1" ht="13.8" x14ac:dyDescent="0.25">
      <c r="A1446" s="8"/>
    </row>
    <row r="1447" spans="1:1" ht="13.8" x14ac:dyDescent="0.25">
      <c r="A1447" s="8"/>
    </row>
    <row r="1448" spans="1:1" ht="13.8" x14ac:dyDescent="0.25">
      <c r="A1448" s="8"/>
    </row>
    <row r="1449" spans="1:1" ht="13.8" x14ac:dyDescent="0.25">
      <c r="A1449" s="8"/>
    </row>
    <row r="1450" spans="1:1" ht="13.8" x14ac:dyDescent="0.25">
      <c r="A1450" s="8"/>
    </row>
    <row r="1451" spans="1:1" ht="13.8" x14ac:dyDescent="0.25">
      <c r="A1451" s="8"/>
    </row>
    <row r="1452" spans="1:1" ht="13.8" x14ac:dyDescent="0.25">
      <c r="A1452" s="8"/>
    </row>
    <row r="1453" spans="1:1" ht="13.8" x14ac:dyDescent="0.25">
      <c r="A1453" s="8"/>
    </row>
    <row r="1454" spans="1:1" ht="13.8" x14ac:dyDescent="0.25">
      <c r="A1454" s="8"/>
    </row>
    <row r="1455" spans="1:1" ht="13.8" x14ac:dyDescent="0.25">
      <c r="A1455" s="8"/>
    </row>
    <row r="1456" spans="1:1" ht="13.8" x14ac:dyDescent="0.25">
      <c r="A1456" s="8"/>
    </row>
    <row r="1457" spans="1:1" ht="13.8" x14ac:dyDescent="0.25">
      <c r="A1457" s="8"/>
    </row>
    <row r="1458" spans="1:1" ht="13.8" x14ac:dyDescent="0.25">
      <c r="A1458" s="8"/>
    </row>
    <row r="1459" spans="1:1" ht="13.8" x14ac:dyDescent="0.25">
      <c r="A1459" s="8"/>
    </row>
    <row r="1460" spans="1:1" ht="13.8" x14ac:dyDescent="0.25">
      <c r="A1460" s="8"/>
    </row>
    <row r="1461" spans="1:1" ht="13.8" x14ac:dyDescent="0.25">
      <c r="A1461" s="8"/>
    </row>
    <row r="1462" spans="1:1" ht="13.8" x14ac:dyDescent="0.25">
      <c r="A1462" s="8"/>
    </row>
    <row r="1463" spans="1:1" ht="13.8" x14ac:dyDescent="0.25">
      <c r="A1463" s="8"/>
    </row>
    <row r="1464" spans="1:1" ht="13.8" x14ac:dyDescent="0.25">
      <c r="A1464" s="8"/>
    </row>
    <row r="1465" spans="1:1" ht="13.8" x14ac:dyDescent="0.25">
      <c r="A1465" s="8"/>
    </row>
    <row r="1466" spans="1:1" ht="13.8" x14ac:dyDescent="0.25">
      <c r="A1466" s="8"/>
    </row>
    <row r="1467" spans="1:1" ht="13.8" x14ac:dyDescent="0.25">
      <c r="A1467" s="8"/>
    </row>
    <row r="1468" spans="1:1" ht="13.8" x14ac:dyDescent="0.25">
      <c r="A1468" s="8"/>
    </row>
    <row r="1469" spans="1:1" ht="13.8" x14ac:dyDescent="0.25">
      <c r="A1469" s="8"/>
    </row>
    <row r="1470" spans="1:1" ht="13.8" x14ac:dyDescent="0.25">
      <c r="A1470" s="8"/>
    </row>
    <row r="1471" spans="1:1" ht="13.8" x14ac:dyDescent="0.25">
      <c r="A1471" s="8"/>
    </row>
    <row r="1472" spans="1:1" ht="13.8" x14ac:dyDescent="0.25">
      <c r="A1472" s="8"/>
    </row>
    <row r="1473" spans="1:1" ht="13.8" x14ac:dyDescent="0.25">
      <c r="A1473" s="8"/>
    </row>
    <row r="1474" spans="1:1" ht="13.8" x14ac:dyDescent="0.25">
      <c r="A1474" s="8"/>
    </row>
    <row r="1475" spans="1:1" ht="13.8" x14ac:dyDescent="0.25">
      <c r="A1475" s="8"/>
    </row>
    <row r="1476" spans="1:1" ht="13.8" x14ac:dyDescent="0.25">
      <c r="A1476" s="8"/>
    </row>
    <row r="1477" spans="1:1" ht="13.8" x14ac:dyDescent="0.25">
      <c r="A1477" s="8"/>
    </row>
    <row r="1478" spans="1:1" ht="13.8" x14ac:dyDescent="0.25">
      <c r="A1478" s="8"/>
    </row>
    <row r="1479" spans="1:1" ht="13.8" x14ac:dyDescent="0.25">
      <c r="A1479" s="8"/>
    </row>
    <row r="1480" spans="1:1" ht="13.8" x14ac:dyDescent="0.25">
      <c r="A1480" s="8"/>
    </row>
    <row r="1481" spans="1:1" ht="13.8" x14ac:dyDescent="0.25">
      <c r="A1481" s="8"/>
    </row>
    <row r="1482" spans="1:1" ht="13.8" x14ac:dyDescent="0.25">
      <c r="A1482" s="8"/>
    </row>
    <row r="1483" spans="1:1" ht="13.8" x14ac:dyDescent="0.25">
      <c r="A1483" s="8"/>
    </row>
    <row r="1484" spans="1:1" ht="13.8" x14ac:dyDescent="0.25">
      <c r="A1484" s="8"/>
    </row>
    <row r="1485" spans="1:1" ht="13.8" x14ac:dyDescent="0.25">
      <c r="A1485" s="8"/>
    </row>
    <row r="1486" spans="1:1" ht="13.8" x14ac:dyDescent="0.25">
      <c r="A1486" s="8"/>
    </row>
    <row r="1487" spans="1:1" ht="13.8" x14ac:dyDescent="0.25">
      <c r="A1487" s="8"/>
    </row>
    <row r="1488" spans="1:1" ht="13.8" x14ac:dyDescent="0.25">
      <c r="A1488" s="8"/>
    </row>
    <row r="1489" spans="1:1" ht="13.8" x14ac:dyDescent="0.25">
      <c r="A1489" s="8"/>
    </row>
    <row r="1490" spans="1:1" ht="13.8" x14ac:dyDescent="0.25">
      <c r="A1490" s="8"/>
    </row>
    <row r="1491" spans="1:1" ht="13.8" x14ac:dyDescent="0.25">
      <c r="A1491" s="8"/>
    </row>
    <row r="1492" spans="1:1" ht="13.8" x14ac:dyDescent="0.25">
      <c r="A1492" s="8"/>
    </row>
    <row r="1493" spans="1:1" ht="13.8" x14ac:dyDescent="0.25">
      <c r="A1493" s="8"/>
    </row>
    <row r="1494" spans="1:1" ht="13.8" x14ac:dyDescent="0.25">
      <c r="A1494" s="8"/>
    </row>
    <row r="1495" spans="1:1" ht="13.8" x14ac:dyDescent="0.25">
      <c r="A1495" s="8"/>
    </row>
    <row r="1496" spans="1:1" ht="13.8" x14ac:dyDescent="0.25">
      <c r="A1496" s="8"/>
    </row>
    <row r="1497" spans="1:1" ht="13.8" x14ac:dyDescent="0.25">
      <c r="A1497" s="8"/>
    </row>
    <row r="1498" spans="1:1" ht="13.8" x14ac:dyDescent="0.25">
      <c r="A1498" s="8"/>
    </row>
    <row r="1499" spans="1:1" ht="13.8" x14ac:dyDescent="0.25">
      <c r="A1499" s="8"/>
    </row>
    <row r="1500" spans="1:1" ht="13.8" x14ac:dyDescent="0.25">
      <c r="A1500" s="8"/>
    </row>
    <row r="1501" spans="1:1" ht="13.8" x14ac:dyDescent="0.25">
      <c r="A1501" s="8"/>
    </row>
    <row r="1502" spans="1:1" ht="13.8" x14ac:dyDescent="0.25">
      <c r="A1502" s="8"/>
    </row>
    <row r="1503" spans="1:1" ht="13.8" x14ac:dyDescent="0.25">
      <c r="A1503" s="8"/>
    </row>
    <row r="1504" spans="1:1" ht="13.8" x14ac:dyDescent="0.25">
      <c r="A1504" s="8"/>
    </row>
    <row r="1505" spans="1:1" ht="13.8" x14ac:dyDescent="0.25">
      <c r="A1505" s="8"/>
    </row>
    <row r="1506" spans="1:1" ht="13.8" x14ac:dyDescent="0.25">
      <c r="A1506" s="8"/>
    </row>
    <row r="1507" spans="1:1" ht="13.8" x14ac:dyDescent="0.25">
      <c r="A1507" s="8"/>
    </row>
    <row r="1508" spans="1:1" ht="13.8" x14ac:dyDescent="0.25">
      <c r="A1508" s="8"/>
    </row>
    <row r="1509" spans="1:1" ht="13.8" x14ac:dyDescent="0.25">
      <c r="A1509" s="8"/>
    </row>
    <row r="1510" spans="1:1" ht="13.8" x14ac:dyDescent="0.25">
      <c r="A1510" s="8"/>
    </row>
    <row r="1511" spans="1:1" ht="13.8" x14ac:dyDescent="0.25">
      <c r="A1511" s="8"/>
    </row>
    <row r="1512" spans="1:1" ht="13.8" x14ac:dyDescent="0.25">
      <c r="A1512" s="8"/>
    </row>
    <row r="1513" spans="1:1" ht="13.8" x14ac:dyDescent="0.25">
      <c r="A1513" s="8"/>
    </row>
    <row r="1514" spans="1:1" ht="13.8" x14ac:dyDescent="0.25">
      <c r="A1514" s="8"/>
    </row>
    <row r="1515" spans="1:1" ht="13.8" x14ac:dyDescent="0.25">
      <c r="A1515" s="8"/>
    </row>
    <row r="1516" spans="1:1" ht="13.8" x14ac:dyDescent="0.25">
      <c r="A1516" s="8"/>
    </row>
    <row r="1517" spans="1:1" ht="13.8" x14ac:dyDescent="0.25">
      <c r="A1517" s="8"/>
    </row>
    <row r="1518" spans="1:1" ht="13.8" x14ac:dyDescent="0.25">
      <c r="A1518" s="8"/>
    </row>
    <row r="1519" spans="1:1" ht="13.8" x14ac:dyDescent="0.25">
      <c r="A1519" s="8"/>
    </row>
    <row r="1520" spans="1:1" ht="13.8" x14ac:dyDescent="0.25">
      <c r="A1520" s="8"/>
    </row>
    <row r="1521" spans="1:1" ht="13.8" x14ac:dyDescent="0.25">
      <c r="A1521" s="8"/>
    </row>
    <row r="1522" spans="1:1" ht="13.8" x14ac:dyDescent="0.25">
      <c r="A1522" s="8"/>
    </row>
    <row r="1523" spans="1:1" ht="13.8" x14ac:dyDescent="0.25">
      <c r="A1523" s="8"/>
    </row>
    <row r="1524" spans="1:1" ht="13.8" x14ac:dyDescent="0.25">
      <c r="A1524" s="8"/>
    </row>
    <row r="1525" spans="1:1" ht="13.8" x14ac:dyDescent="0.25">
      <c r="A1525" s="8"/>
    </row>
    <row r="1526" spans="1:1" ht="13.8" x14ac:dyDescent="0.25">
      <c r="A1526" s="8"/>
    </row>
    <row r="1527" spans="1:1" ht="13.8" x14ac:dyDescent="0.25">
      <c r="A1527" s="8"/>
    </row>
    <row r="1528" spans="1:1" ht="13.8" x14ac:dyDescent="0.25">
      <c r="A1528" s="8"/>
    </row>
    <row r="1529" spans="1:1" ht="13.8" x14ac:dyDescent="0.25">
      <c r="A1529" s="8"/>
    </row>
    <row r="1530" spans="1:1" ht="13.8" x14ac:dyDescent="0.25">
      <c r="A1530" s="8"/>
    </row>
    <row r="1531" spans="1:1" ht="13.8" x14ac:dyDescent="0.25">
      <c r="A1531" s="8"/>
    </row>
    <row r="1532" spans="1:1" ht="13.8" x14ac:dyDescent="0.25">
      <c r="A1532" s="8"/>
    </row>
    <row r="1533" spans="1:1" ht="13.8" x14ac:dyDescent="0.25">
      <c r="A1533" s="8"/>
    </row>
    <row r="1534" spans="1:1" ht="13.8" x14ac:dyDescent="0.25">
      <c r="A1534" s="8"/>
    </row>
    <row r="1535" spans="1:1" ht="13.8" x14ac:dyDescent="0.25">
      <c r="A1535" s="8"/>
    </row>
    <row r="1536" spans="1:1" ht="13.8" x14ac:dyDescent="0.25">
      <c r="A1536" s="8"/>
    </row>
    <row r="1537" spans="1:1" ht="13.8" x14ac:dyDescent="0.25">
      <c r="A1537" s="8"/>
    </row>
    <row r="1538" spans="1:1" ht="13.8" x14ac:dyDescent="0.25">
      <c r="A1538" s="8"/>
    </row>
    <row r="1539" spans="1:1" ht="13.8" x14ac:dyDescent="0.25">
      <c r="A1539" s="8"/>
    </row>
    <row r="1540" spans="1:1" ht="13.8" x14ac:dyDescent="0.25">
      <c r="A1540" s="8"/>
    </row>
    <row r="1541" spans="1:1" ht="13.8" x14ac:dyDescent="0.25">
      <c r="A1541" s="8"/>
    </row>
    <row r="1542" spans="1:1" ht="13.8" x14ac:dyDescent="0.25">
      <c r="A1542" s="8"/>
    </row>
    <row r="1543" spans="1:1" ht="13.8" x14ac:dyDescent="0.25">
      <c r="A1543" s="8"/>
    </row>
    <row r="1544" spans="1:1" ht="13.8" x14ac:dyDescent="0.25">
      <c r="A1544" s="8"/>
    </row>
    <row r="1545" spans="1:1" ht="13.8" x14ac:dyDescent="0.25">
      <c r="A1545" s="8"/>
    </row>
    <row r="1546" spans="1:1" ht="13.8" x14ac:dyDescent="0.25">
      <c r="A1546" s="8"/>
    </row>
    <row r="1547" spans="1:1" ht="13.8" x14ac:dyDescent="0.25">
      <c r="A1547" s="8"/>
    </row>
    <row r="1548" spans="1:1" ht="13.8" x14ac:dyDescent="0.25">
      <c r="A1548" s="8"/>
    </row>
    <row r="1549" spans="1:1" ht="13.8" x14ac:dyDescent="0.25">
      <c r="A1549" s="8"/>
    </row>
    <row r="1550" spans="1:1" ht="13.8" x14ac:dyDescent="0.25">
      <c r="A1550" s="8"/>
    </row>
    <row r="1551" spans="1:1" ht="13.8" x14ac:dyDescent="0.25">
      <c r="A1551" s="8"/>
    </row>
    <row r="1552" spans="1:1" ht="13.8" x14ac:dyDescent="0.25">
      <c r="A1552" s="8"/>
    </row>
    <row r="1553" spans="1:1" ht="13.8" x14ac:dyDescent="0.25">
      <c r="A1553" s="8"/>
    </row>
    <row r="1554" spans="1:1" ht="13.8" x14ac:dyDescent="0.25">
      <c r="A1554" s="8"/>
    </row>
    <row r="1555" spans="1:1" ht="13.8" x14ac:dyDescent="0.25">
      <c r="A1555" s="8"/>
    </row>
    <row r="1556" spans="1:1" ht="13.8" x14ac:dyDescent="0.25">
      <c r="A1556" s="8"/>
    </row>
    <row r="1557" spans="1:1" ht="13.8" x14ac:dyDescent="0.25">
      <c r="A1557" s="8"/>
    </row>
    <row r="1558" spans="1:1" ht="13.8" x14ac:dyDescent="0.25">
      <c r="A1558" s="8"/>
    </row>
    <row r="1559" spans="1:1" ht="13.8" x14ac:dyDescent="0.25">
      <c r="A1559" s="8"/>
    </row>
    <row r="1560" spans="1:1" ht="13.8" x14ac:dyDescent="0.25">
      <c r="A1560" s="8"/>
    </row>
    <row r="1561" spans="1:1" ht="13.8" x14ac:dyDescent="0.25">
      <c r="A1561" s="8"/>
    </row>
    <row r="1562" spans="1:1" ht="13.8" x14ac:dyDescent="0.25">
      <c r="A1562" s="8"/>
    </row>
    <row r="1563" spans="1:1" ht="13.8" x14ac:dyDescent="0.25">
      <c r="A1563" s="8"/>
    </row>
    <row r="1564" spans="1:1" ht="13.8" x14ac:dyDescent="0.25">
      <c r="A1564" s="8"/>
    </row>
    <row r="1565" spans="1:1" ht="13.8" x14ac:dyDescent="0.25">
      <c r="A1565" s="8"/>
    </row>
    <row r="1566" spans="1:1" ht="13.8" x14ac:dyDescent="0.25">
      <c r="A1566" s="8"/>
    </row>
    <row r="1567" spans="1:1" ht="13.8" x14ac:dyDescent="0.25">
      <c r="A1567" s="8"/>
    </row>
    <row r="1568" spans="1:1" ht="13.8" x14ac:dyDescent="0.25">
      <c r="A1568" s="8"/>
    </row>
    <row r="1569" spans="1:1" ht="13.8" x14ac:dyDescent="0.25">
      <c r="A1569" s="8"/>
    </row>
    <row r="1570" spans="1:1" ht="13.8" x14ac:dyDescent="0.25">
      <c r="A1570" s="8"/>
    </row>
    <row r="1571" spans="1:1" ht="13.8" x14ac:dyDescent="0.25">
      <c r="A1571" s="8"/>
    </row>
    <row r="1572" spans="1:1" ht="13.8" x14ac:dyDescent="0.25">
      <c r="A1572" s="8"/>
    </row>
    <row r="1573" spans="1:1" ht="13.8" x14ac:dyDescent="0.25">
      <c r="A1573" s="8"/>
    </row>
    <row r="1574" spans="1:1" ht="13.8" x14ac:dyDescent="0.25">
      <c r="A1574" s="8"/>
    </row>
    <row r="1575" spans="1:1" ht="13.8" x14ac:dyDescent="0.25">
      <c r="A1575" s="8"/>
    </row>
    <row r="1576" spans="1:1" ht="13.8" x14ac:dyDescent="0.25">
      <c r="A1576" s="8"/>
    </row>
    <row r="1577" spans="1:1" ht="13.8" x14ac:dyDescent="0.25">
      <c r="A1577" s="8"/>
    </row>
    <row r="1578" spans="1:1" ht="13.8" x14ac:dyDescent="0.25">
      <c r="A1578" s="8"/>
    </row>
    <row r="1579" spans="1:1" ht="13.8" x14ac:dyDescent="0.25">
      <c r="A1579" s="8"/>
    </row>
    <row r="1580" spans="1:1" ht="13.8" x14ac:dyDescent="0.25">
      <c r="A1580" s="8"/>
    </row>
    <row r="1581" spans="1:1" ht="13.8" x14ac:dyDescent="0.25">
      <c r="A1581" s="8"/>
    </row>
    <row r="1582" spans="1:1" ht="13.8" x14ac:dyDescent="0.25">
      <c r="A1582" s="8"/>
    </row>
    <row r="1583" spans="1:1" ht="13.8" x14ac:dyDescent="0.25">
      <c r="A1583" s="8"/>
    </row>
    <row r="1584" spans="1:1" ht="13.8" x14ac:dyDescent="0.25">
      <c r="A1584" s="8"/>
    </row>
    <row r="1585" spans="1:1" ht="13.8" x14ac:dyDescent="0.25">
      <c r="A1585" s="8"/>
    </row>
    <row r="1586" spans="1:1" ht="13.8" x14ac:dyDescent="0.25">
      <c r="A1586" s="8"/>
    </row>
    <row r="1587" spans="1:1" ht="13.8" x14ac:dyDescent="0.25">
      <c r="A1587" s="8"/>
    </row>
    <row r="1588" spans="1:1" ht="13.8" x14ac:dyDescent="0.25">
      <c r="A1588" s="8"/>
    </row>
    <row r="1589" spans="1:1" ht="13.8" x14ac:dyDescent="0.25">
      <c r="A1589" s="8"/>
    </row>
    <row r="1590" spans="1:1" ht="13.8" x14ac:dyDescent="0.25">
      <c r="A1590" s="8"/>
    </row>
    <row r="1591" spans="1:1" ht="13.8" x14ac:dyDescent="0.25">
      <c r="A1591" s="8"/>
    </row>
    <row r="1592" spans="1:1" ht="13.8" x14ac:dyDescent="0.25">
      <c r="A1592" s="8"/>
    </row>
    <row r="1593" spans="1:1" ht="13.8" x14ac:dyDescent="0.25">
      <c r="A1593" s="8"/>
    </row>
    <row r="1594" spans="1:1" ht="13.8" x14ac:dyDescent="0.25">
      <c r="A1594" s="8"/>
    </row>
    <row r="1595" spans="1:1" ht="13.8" x14ac:dyDescent="0.25">
      <c r="A1595" s="8"/>
    </row>
    <row r="1596" spans="1:1" ht="13.8" x14ac:dyDescent="0.25">
      <c r="A1596" s="8"/>
    </row>
    <row r="1597" spans="1:1" ht="13.8" x14ac:dyDescent="0.25">
      <c r="A1597" s="8"/>
    </row>
    <row r="1598" spans="1:1" ht="13.8" x14ac:dyDescent="0.25">
      <c r="A1598" s="8"/>
    </row>
    <row r="1599" spans="1:1" ht="13.8" x14ac:dyDescent="0.25">
      <c r="A1599" s="8"/>
    </row>
    <row r="1600" spans="1:1" ht="13.8" x14ac:dyDescent="0.25">
      <c r="A1600" s="8"/>
    </row>
    <row r="1601" spans="1:1" ht="13.8" x14ac:dyDescent="0.25">
      <c r="A1601" s="8"/>
    </row>
    <row r="1602" spans="1:1" ht="13.8" x14ac:dyDescent="0.25">
      <c r="A1602" s="8"/>
    </row>
    <row r="1603" spans="1:1" ht="13.8" x14ac:dyDescent="0.25">
      <c r="A1603" s="8"/>
    </row>
    <row r="1604" spans="1:1" ht="13.8" x14ac:dyDescent="0.25">
      <c r="A1604" s="8"/>
    </row>
    <row r="1605" spans="1:1" ht="13.8" x14ac:dyDescent="0.25">
      <c r="A1605" s="8"/>
    </row>
    <row r="1606" spans="1:1" ht="13.8" x14ac:dyDescent="0.25">
      <c r="A1606" s="8"/>
    </row>
    <row r="1607" spans="1:1" ht="13.8" x14ac:dyDescent="0.25">
      <c r="A1607" s="8"/>
    </row>
    <row r="1608" spans="1:1" ht="13.8" x14ac:dyDescent="0.25">
      <c r="A1608" s="8"/>
    </row>
    <row r="1609" spans="1:1" ht="13.8" x14ac:dyDescent="0.25">
      <c r="A1609" s="8"/>
    </row>
    <row r="1610" spans="1:1" ht="13.8" x14ac:dyDescent="0.25">
      <c r="A1610" s="8"/>
    </row>
    <row r="1611" spans="1:1" ht="13.8" x14ac:dyDescent="0.25">
      <c r="A1611" s="8"/>
    </row>
    <row r="1612" spans="1:1" ht="13.8" x14ac:dyDescent="0.25">
      <c r="A1612" s="8"/>
    </row>
    <row r="1613" spans="1:1" ht="13.8" x14ac:dyDescent="0.25">
      <c r="A1613" s="8"/>
    </row>
    <row r="1614" spans="1:1" ht="13.8" x14ac:dyDescent="0.25">
      <c r="A1614" s="8"/>
    </row>
    <row r="1615" spans="1:1" ht="13.8" x14ac:dyDescent="0.25">
      <c r="A1615" s="8"/>
    </row>
    <row r="1616" spans="1:1" ht="13.8" x14ac:dyDescent="0.25">
      <c r="A1616" s="8"/>
    </row>
    <row r="1617" spans="1:1" ht="13.8" x14ac:dyDescent="0.25">
      <c r="A1617" s="8"/>
    </row>
    <row r="1618" spans="1:1" ht="13.8" x14ac:dyDescent="0.25">
      <c r="A1618" s="8"/>
    </row>
    <row r="1619" spans="1:1" ht="13.8" x14ac:dyDescent="0.25">
      <c r="A1619" s="8"/>
    </row>
    <row r="1620" spans="1:1" ht="13.8" x14ac:dyDescent="0.25">
      <c r="A1620" s="8"/>
    </row>
    <row r="1621" spans="1:1" ht="13.8" x14ac:dyDescent="0.25">
      <c r="A1621" s="8"/>
    </row>
    <row r="1622" spans="1:1" ht="13.8" x14ac:dyDescent="0.25">
      <c r="A1622" s="8"/>
    </row>
    <row r="1623" spans="1:1" ht="13.8" x14ac:dyDescent="0.25">
      <c r="A1623" s="8"/>
    </row>
    <row r="1624" spans="1:1" ht="13.8" x14ac:dyDescent="0.25">
      <c r="A1624" s="8"/>
    </row>
    <row r="1625" spans="1:1" ht="13.8" x14ac:dyDescent="0.25">
      <c r="A1625" s="8"/>
    </row>
    <row r="1626" spans="1:1" ht="13.8" x14ac:dyDescent="0.25">
      <c r="A1626" s="8"/>
    </row>
    <row r="1627" spans="1:1" ht="13.8" x14ac:dyDescent="0.25">
      <c r="A1627" s="8"/>
    </row>
    <row r="1628" spans="1:1" ht="13.8" x14ac:dyDescent="0.25">
      <c r="A1628" s="8"/>
    </row>
    <row r="1629" spans="1:1" ht="13.8" x14ac:dyDescent="0.25">
      <c r="A1629" s="8"/>
    </row>
    <row r="1630" spans="1:1" ht="13.8" x14ac:dyDescent="0.25">
      <c r="A1630" s="8"/>
    </row>
    <row r="1631" spans="1:1" ht="13.8" x14ac:dyDescent="0.25">
      <c r="A1631" s="8"/>
    </row>
    <row r="1632" spans="1:1" ht="13.8" x14ac:dyDescent="0.25">
      <c r="A1632" s="8"/>
    </row>
    <row r="1633" spans="1:1" ht="13.8" x14ac:dyDescent="0.25">
      <c r="A1633" s="8"/>
    </row>
    <row r="1634" spans="1:1" ht="13.8" x14ac:dyDescent="0.25">
      <c r="A1634" s="8"/>
    </row>
    <row r="1635" spans="1:1" ht="13.8" x14ac:dyDescent="0.25">
      <c r="A1635" s="8"/>
    </row>
    <row r="1636" spans="1:1" ht="13.8" x14ac:dyDescent="0.25">
      <c r="A1636" s="8"/>
    </row>
    <row r="1637" spans="1:1" ht="13.8" x14ac:dyDescent="0.25">
      <c r="A1637" s="8"/>
    </row>
    <row r="1638" spans="1:1" ht="13.8" x14ac:dyDescent="0.25">
      <c r="A1638" s="8"/>
    </row>
    <row r="1639" spans="1:1" ht="13.8" x14ac:dyDescent="0.25">
      <c r="A1639" s="8"/>
    </row>
    <row r="1640" spans="1:1" ht="13.8" x14ac:dyDescent="0.25">
      <c r="A1640" s="8"/>
    </row>
    <row r="1641" spans="1:1" ht="13.8" x14ac:dyDescent="0.25">
      <c r="A1641" s="8"/>
    </row>
    <row r="1642" spans="1:1" ht="13.8" x14ac:dyDescent="0.25">
      <c r="A1642" s="8"/>
    </row>
    <row r="1643" spans="1:1" ht="13.8" x14ac:dyDescent="0.25">
      <c r="A1643" s="8"/>
    </row>
    <row r="1644" spans="1:1" ht="13.8" x14ac:dyDescent="0.25">
      <c r="A1644" s="8"/>
    </row>
    <row r="1645" spans="1:1" ht="13.8" x14ac:dyDescent="0.25">
      <c r="A1645" s="8"/>
    </row>
    <row r="1646" spans="1:1" ht="13.8" x14ac:dyDescent="0.25">
      <c r="A1646" s="8"/>
    </row>
    <row r="1647" spans="1:1" ht="13.8" x14ac:dyDescent="0.25">
      <c r="A1647" s="8"/>
    </row>
    <row r="1648" spans="1:1" ht="13.8" x14ac:dyDescent="0.25">
      <c r="A1648" s="8"/>
    </row>
    <row r="1649" spans="1:1" ht="13.8" x14ac:dyDescent="0.25">
      <c r="A1649" s="8"/>
    </row>
    <row r="1650" spans="1:1" ht="13.8" x14ac:dyDescent="0.25">
      <c r="A1650" s="8"/>
    </row>
    <row r="1651" spans="1:1" ht="13.8" x14ac:dyDescent="0.25">
      <c r="A1651" s="8"/>
    </row>
    <row r="1652" spans="1:1" ht="13.8" x14ac:dyDescent="0.25">
      <c r="A1652" s="8"/>
    </row>
    <row r="1653" spans="1:1" ht="13.8" x14ac:dyDescent="0.25">
      <c r="A1653" s="8"/>
    </row>
    <row r="1654" spans="1:1" ht="13.8" x14ac:dyDescent="0.25">
      <c r="A1654" s="8"/>
    </row>
    <row r="1655" spans="1:1" ht="13.8" x14ac:dyDescent="0.25">
      <c r="A1655" s="8"/>
    </row>
    <row r="1656" spans="1:1" ht="13.8" x14ac:dyDescent="0.25">
      <c r="A1656" s="8"/>
    </row>
    <row r="1657" spans="1:1" ht="13.8" x14ac:dyDescent="0.25">
      <c r="A1657" s="8"/>
    </row>
    <row r="1658" spans="1:1" ht="13.8" x14ac:dyDescent="0.25">
      <c r="A1658" s="8"/>
    </row>
    <row r="1659" spans="1:1" ht="13.8" x14ac:dyDescent="0.25">
      <c r="A1659" s="8"/>
    </row>
    <row r="1660" spans="1:1" ht="13.8" x14ac:dyDescent="0.25">
      <c r="A1660" s="8"/>
    </row>
    <row r="1661" spans="1:1" ht="13.8" x14ac:dyDescent="0.25">
      <c r="A1661" s="8"/>
    </row>
    <row r="1662" spans="1:1" ht="13.8" x14ac:dyDescent="0.25">
      <c r="A1662" s="8"/>
    </row>
    <row r="1663" spans="1:1" ht="13.8" x14ac:dyDescent="0.25">
      <c r="A1663" s="8"/>
    </row>
    <row r="1664" spans="1:1" ht="13.8" x14ac:dyDescent="0.25">
      <c r="A1664" s="8"/>
    </row>
    <row r="1665" spans="1:1" ht="13.8" x14ac:dyDescent="0.25">
      <c r="A1665" s="8"/>
    </row>
    <row r="1666" spans="1:1" ht="13.8" x14ac:dyDescent="0.25">
      <c r="A1666" s="8"/>
    </row>
    <row r="1667" spans="1:1" ht="13.8" x14ac:dyDescent="0.25">
      <c r="A1667" s="8"/>
    </row>
    <row r="1668" spans="1:1" ht="13.8" x14ac:dyDescent="0.25">
      <c r="A1668" s="8"/>
    </row>
    <row r="1669" spans="1:1" ht="13.8" x14ac:dyDescent="0.25">
      <c r="A1669" s="8"/>
    </row>
    <row r="1670" spans="1:1" ht="13.8" x14ac:dyDescent="0.25">
      <c r="A1670" s="8"/>
    </row>
    <row r="1671" spans="1:1" ht="13.8" x14ac:dyDescent="0.25">
      <c r="A1671" s="8"/>
    </row>
    <row r="1672" spans="1:1" ht="13.8" x14ac:dyDescent="0.25">
      <c r="A1672" s="8"/>
    </row>
    <row r="1673" spans="1:1" ht="13.8" x14ac:dyDescent="0.25">
      <c r="A1673" s="8"/>
    </row>
    <row r="1674" spans="1:1" ht="13.8" x14ac:dyDescent="0.25">
      <c r="A1674" s="8"/>
    </row>
    <row r="1675" spans="1:1" ht="13.8" x14ac:dyDescent="0.25">
      <c r="A1675" s="8"/>
    </row>
    <row r="1676" spans="1:1" ht="13.8" x14ac:dyDescent="0.25">
      <c r="A1676" s="8"/>
    </row>
    <row r="1677" spans="1:1" ht="13.8" x14ac:dyDescent="0.25">
      <c r="A1677" s="8"/>
    </row>
    <row r="1678" spans="1:1" ht="13.8" x14ac:dyDescent="0.25">
      <c r="A1678" s="8"/>
    </row>
    <row r="1679" spans="1:1" ht="13.8" x14ac:dyDescent="0.25">
      <c r="A1679" s="8"/>
    </row>
    <row r="1680" spans="1:1" ht="13.8" x14ac:dyDescent="0.25">
      <c r="A1680" s="8"/>
    </row>
    <row r="1681" spans="1:1" ht="13.8" x14ac:dyDescent="0.25">
      <c r="A1681" s="8"/>
    </row>
    <row r="1682" spans="1:1" ht="13.8" x14ac:dyDescent="0.25">
      <c r="A1682" s="8"/>
    </row>
    <row r="1683" spans="1:1" ht="13.8" x14ac:dyDescent="0.25">
      <c r="A1683" s="8"/>
    </row>
    <row r="1684" spans="1:1" ht="13.8" x14ac:dyDescent="0.25">
      <c r="A1684" s="8"/>
    </row>
    <row r="1685" spans="1:1" ht="13.8" x14ac:dyDescent="0.25">
      <c r="A1685" s="8"/>
    </row>
    <row r="1686" spans="1:1" ht="13.8" x14ac:dyDescent="0.25">
      <c r="A1686" s="8"/>
    </row>
    <row r="1687" spans="1:1" ht="13.8" x14ac:dyDescent="0.25">
      <c r="A1687" s="8"/>
    </row>
    <row r="1688" spans="1:1" ht="13.8" x14ac:dyDescent="0.25">
      <c r="A1688" s="8"/>
    </row>
    <row r="1689" spans="1:1" ht="13.8" x14ac:dyDescent="0.25">
      <c r="A1689" s="8"/>
    </row>
    <row r="1690" spans="1:1" ht="13.8" x14ac:dyDescent="0.25">
      <c r="A1690" s="8"/>
    </row>
    <row r="1691" spans="1:1" ht="13.8" x14ac:dyDescent="0.25">
      <c r="A1691" s="8"/>
    </row>
    <row r="1692" spans="1:1" ht="13.8" x14ac:dyDescent="0.25">
      <c r="A1692" s="8"/>
    </row>
    <row r="1693" spans="1:1" ht="13.8" x14ac:dyDescent="0.25">
      <c r="A1693" s="8"/>
    </row>
    <row r="1694" spans="1:1" ht="13.8" x14ac:dyDescent="0.25">
      <c r="A1694" s="8"/>
    </row>
    <row r="1695" spans="1:1" ht="13.8" x14ac:dyDescent="0.25">
      <c r="A1695" s="8"/>
    </row>
    <row r="1696" spans="1:1" ht="13.8" x14ac:dyDescent="0.25">
      <c r="A1696" s="8"/>
    </row>
    <row r="1697" spans="1:1" ht="13.8" x14ac:dyDescent="0.25">
      <c r="A1697" s="8"/>
    </row>
    <row r="1698" spans="1:1" ht="13.8" x14ac:dyDescent="0.25">
      <c r="A1698" s="8"/>
    </row>
    <row r="1699" spans="1:1" ht="13.8" x14ac:dyDescent="0.25">
      <c r="A1699" s="8"/>
    </row>
    <row r="1700" spans="1:1" ht="13.8" x14ac:dyDescent="0.25">
      <c r="A1700" s="8"/>
    </row>
    <row r="1701" spans="1:1" ht="13.8" x14ac:dyDescent="0.25">
      <c r="A1701" s="8"/>
    </row>
    <row r="1702" spans="1:1" ht="13.8" x14ac:dyDescent="0.25">
      <c r="A1702" s="8"/>
    </row>
    <row r="1703" spans="1:1" ht="13.8" x14ac:dyDescent="0.25">
      <c r="A1703" s="8"/>
    </row>
    <row r="1704" spans="1:1" ht="13.8" x14ac:dyDescent="0.25">
      <c r="A1704" s="8"/>
    </row>
    <row r="1705" spans="1:1" ht="13.8" x14ac:dyDescent="0.25">
      <c r="A1705" s="8"/>
    </row>
    <row r="1706" spans="1:1" ht="13.8" x14ac:dyDescent="0.25">
      <c r="A1706" s="8"/>
    </row>
    <row r="1707" spans="1:1" ht="13.8" x14ac:dyDescent="0.25">
      <c r="A1707" s="8"/>
    </row>
    <row r="1708" spans="1:1" ht="13.8" x14ac:dyDescent="0.25">
      <c r="A1708" s="8"/>
    </row>
    <row r="1709" spans="1:1" ht="13.8" x14ac:dyDescent="0.25">
      <c r="A1709" s="8"/>
    </row>
    <row r="1710" spans="1:1" ht="13.8" x14ac:dyDescent="0.25">
      <c r="A1710" s="8"/>
    </row>
    <row r="1711" spans="1:1" ht="13.8" x14ac:dyDescent="0.25">
      <c r="A1711" s="8"/>
    </row>
    <row r="1712" spans="1:1" ht="13.8" x14ac:dyDescent="0.25">
      <c r="A1712" s="8"/>
    </row>
    <row r="1713" spans="1:1" ht="13.8" x14ac:dyDescent="0.25">
      <c r="A1713" s="8"/>
    </row>
    <row r="1714" spans="1:1" ht="13.8" x14ac:dyDescent="0.25">
      <c r="A1714" s="8"/>
    </row>
    <row r="1715" spans="1:1" ht="13.8" x14ac:dyDescent="0.25">
      <c r="A1715" s="8"/>
    </row>
    <row r="1716" spans="1:1" ht="13.8" x14ac:dyDescent="0.25">
      <c r="A1716" s="8"/>
    </row>
    <row r="1717" spans="1:1" ht="13.8" x14ac:dyDescent="0.25">
      <c r="A1717" s="8"/>
    </row>
    <row r="1718" spans="1:1" ht="13.8" x14ac:dyDescent="0.25">
      <c r="A1718" s="8"/>
    </row>
    <row r="1719" spans="1:1" ht="13.8" x14ac:dyDescent="0.25">
      <c r="A1719" s="8"/>
    </row>
    <row r="1720" spans="1:1" ht="13.8" x14ac:dyDescent="0.25">
      <c r="A1720" s="8"/>
    </row>
    <row r="1721" spans="1:1" ht="13.8" x14ac:dyDescent="0.25">
      <c r="A1721" s="8"/>
    </row>
    <row r="1722" spans="1:1" ht="13.8" x14ac:dyDescent="0.25">
      <c r="A1722" s="8"/>
    </row>
    <row r="1723" spans="1:1" ht="13.8" x14ac:dyDescent="0.25">
      <c r="A1723" s="8"/>
    </row>
    <row r="1724" spans="1:1" ht="13.8" x14ac:dyDescent="0.25">
      <c r="A1724" s="8"/>
    </row>
    <row r="1725" spans="1:1" ht="13.8" x14ac:dyDescent="0.25">
      <c r="A1725" s="8"/>
    </row>
    <row r="1726" spans="1:1" ht="13.8" x14ac:dyDescent="0.25">
      <c r="A1726" s="8"/>
    </row>
    <row r="1727" spans="1:1" ht="13.8" x14ac:dyDescent="0.25">
      <c r="A1727" s="8"/>
    </row>
    <row r="1728" spans="1:1" ht="13.8" x14ac:dyDescent="0.25">
      <c r="A1728" s="8"/>
    </row>
    <row r="1729" spans="1:1" ht="13.8" x14ac:dyDescent="0.25">
      <c r="A1729" s="8"/>
    </row>
    <row r="1730" spans="1:1" ht="13.8" x14ac:dyDescent="0.25">
      <c r="A1730" s="8"/>
    </row>
    <row r="1731" spans="1:1" ht="13.8" x14ac:dyDescent="0.25">
      <c r="A1731" s="8"/>
    </row>
    <row r="1732" spans="1:1" ht="13.8" x14ac:dyDescent="0.25">
      <c r="A1732" s="8"/>
    </row>
    <row r="1733" spans="1:1" ht="13.8" x14ac:dyDescent="0.25">
      <c r="A1733" s="8"/>
    </row>
    <row r="1734" spans="1:1" ht="13.8" x14ac:dyDescent="0.25">
      <c r="A1734" s="8"/>
    </row>
    <row r="1735" spans="1:1" ht="13.8" x14ac:dyDescent="0.25">
      <c r="A1735" s="8"/>
    </row>
    <row r="1736" spans="1:1" ht="13.8" x14ac:dyDescent="0.25">
      <c r="A1736" s="8"/>
    </row>
    <row r="1737" spans="1:1" ht="13.8" x14ac:dyDescent="0.25">
      <c r="A1737" s="8"/>
    </row>
    <row r="1738" spans="1:1" ht="13.8" x14ac:dyDescent="0.25">
      <c r="A1738" s="8"/>
    </row>
    <row r="1739" spans="1:1" ht="13.8" x14ac:dyDescent="0.25">
      <c r="A1739" s="8"/>
    </row>
    <row r="1740" spans="1:1" ht="13.8" x14ac:dyDescent="0.25">
      <c r="A1740" s="8"/>
    </row>
    <row r="1741" spans="1:1" ht="13.8" x14ac:dyDescent="0.25">
      <c r="A1741" s="8"/>
    </row>
    <row r="1742" spans="1:1" ht="13.8" x14ac:dyDescent="0.25">
      <c r="A1742" s="8"/>
    </row>
    <row r="1743" spans="1:1" ht="13.8" x14ac:dyDescent="0.25">
      <c r="A1743" s="8"/>
    </row>
    <row r="1744" spans="1:1" ht="13.8" x14ac:dyDescent="0.25">
      <c r="A1744" s="8"/>
    </row>
    <row r="1745" spans="1:1" ht="13.8" x14ac:dyDescent="0.25">
      <c r="A1745" s="8"/>
    </row>
    <row r="1746" spans="1:1" ht="13.8" x14ac:dyDescent="0.25">
      <c r="A1746" s="8"/>
    </row>
    <row r="1747" spans="1:1" ht="13.8" x14ac:dyDescent="0.25">
      <c r="A1747" s="8"/>
    </row>
    <row r="1748" spans="1:1" ht="13.8" x14ac:dyDescent="0.25">
      <c r="A1748" s="8"/>
    </row>
    <row r="1749" spans="1:1" ht="13.8" x14ac:dyDescent="0.25">
      <c r="A1749" s="8"/>
    </row>
    <row r="1750" spans="1:1" ht="13.8" x14ac:dyDescent="0.25">
      <c r="A1750" s="8"/>
    </row>
    <row r="1751" spans="1:1" ht="13.8" x14ac:dyDescent="0.25">
      <c r="A1751" s="8"/>
    </row>
    <row r="1752" spans="1:1" ht="13.8" x14ac:dyDescent="0.25">
      <c r="A1752" s="8"/>
    </row>
    <row r="1753" spans="1:1" ht="13.8" x14ac:dyDescent="0.25">
      <c r="A1753" s="8"/>
    </row>
    <row r="1754" spans="1:1" ht="13.8" x14ac:dyDescent="0.25">
      <c r="A1754" s="8"/>
    </row>
    <row r="1755" spans="1:1" ht="13.8" x14ac:dyDescent="0.25">
      <c r="A1755" s="8"/>
    </row>
    <row r="1756" spans="1:1" ht="13.8" x14ac:dyDescent="0.25">
      <c r="A1756" s="8"/>
    </row>
    <row r="1757" spans="1:1" ht="13.8" x14ac:dyDescent="0.25">
      <c r="A1757" s="8"/>
    </row>
    <row r="1758" spans="1:1" ht="13.8" x14ac:dyDescent="0.25">
      <c r="A1758" s="8"/>
    </row>
    <row r="1759" spans="1:1" ht="13.8" x14ac:dyDescent="0.25">
      <c r="A1759" s="8"/>
    </row>
    <row r="1760" spans="1:1" ht="13.8" x14ac:dyDescent="0.25">
      <c r="A1760" s="8"/>
    </row>
    <row r="1761" spans="1:1" ht="13.8" x14ac:dyDescent="0.25">
      <c r="A1761" s="8"/>
    </row>
    <row r="1762" spans="1:1" ht="13.8" x14ac:dyDescent="0.25">
      <c r="A1762" s="8"/>
    </row>
    <row r="1763" spans="1:1" ht="13.8" x14ac:dyDescent="0.25">
      <c r="A1763" s="8"/>
    </row>
    <row r="1764" spans="1:1" ht="13.8" x14ac:dyDescent="0.25">
      <c r="A1764" s="8"/>
    </row>
    <row r="1765" spans="1:1" ht="13.8" x14ac:dyDescent="0.25">
      <c r="A1765" s="8"/>
    </row>
    <row r="1766" spans="1:1" ht="13.8" x14ac:dyDescent="0.25">
      <c r="A1766" s="8"/>
    </row>
    <row r="1767" spans="1:1" ht="13.8" x14ac:dyDescent="0.25">
      <c r="A1767" s="8"/>
    </row>
    <row r="1768" spans="1:1" ht="13.8" x14ac:dyDescent="0.25">
      <c r="A1768" s="8"/>
    </row>
    <row r="1769" spans="1:1" ht="13.8" x14ac:dyDescent="0.25">
      <c r="A1769" s="8"/>
    </row>
    <row r="1770" spans="1:1" ht="13.8" x14ac:dyDescent="0.25">
      <c r="A1770" s="8"/>
    </row>
    <row r="1771" spans="1:1" ht="13.8" x14ac:dyDescent="0.25">
      <c r="A1771" s="8"/>
    </row>
    <row r="1772" spans="1:1" ht="13.8" x14ac:dyDescent="0.25">
      <c r="A1772" s="8"/>
    </row>
    <row r="1773" spans="1:1" ht="13.8" x14ac:dyDescent="0.25">
      <c r="A1773" s="8"/>
    </row>
    <row r="1774" spans="1:1" ht="13.8" x14ac:dyDescent="0.25">
      <c r="A1774" s="8"/>
    </row>
    <row r="1775" spans="1:1" ht="13.8" x14ac:dyDescent="0.25">
      <c r="A1775" s="8"/>
    </row>
    <row r="1776" spans="1:1" ht="13.8" x14ac:dyDescent="0.25">
      <c r="A1776" s="8"/>
    </row>
    <row r="1777" spans="1:1" ht="13.8" x14ac:dyDescent="0.25">
      <c r="A1777" s="8"/>
    </row>
    <row r="1778" spans="1:1" ht="13.8" x14ac:dyDescent="0.25">
      <c r="A1778" s="8"/>
    </row>
    <row r="1779" spans="1:1" ht="13.8" x14ac:dyDescent="0.25">
      <c r="A1779" s="8"/>
    </row>
    <row r="1780" spans="1:1" ht="13.8" x14ac:dyDescent="0.25">
      <c r="A1780" s="8"/>
    </row>
    <row r="1781" spans="1:1" ht="13.8" x14ac:dyDescent="0.25">
      <c r="A1781" s="8"/>
    </row>
    <row r="1782" spans="1:1" ht="13.8" x14ac:dyDescent="0.25">
      <c r="A1782" s="8"/>
    </row>
    <row r="1783" spans="1:1" ht="13.8" x14ac:dyDescent="0.25">
      <c r="A1783" s="8"/>
    </row>
    <row r="1784" spans="1:1" ht="13.8" x14ac:dyDescent="0.25">
      <c r="A1784" s="8"/>
    </row>
    <row r="1785" spans="1:1" ht="13.8" x14ac:dyDescent="0.25">
      <c r="A1785" s="8"/>
    </row>
    <row r="1786" spans="1:1" ht="13.8" x14ac:dyDescent="0.25">
      <c r="A1786" s="8"/>
    </row>
    <row r="1787" spans="1:1" ht="13.8" x14ac:dyDescent="0.25">
      <c r="A1787" s="8"/>
    </row>
    <row r="1788" spans="1:1" ht="13.8" x14ac:dyDescent="0.25">
      <c r="A1788" s="8"/>
    </row>
    <row r="1789" spans="1:1" ht="13.8" x14ac:dyDescent="0.25">
      <c r="A1789" s="8"/>
    </row>
    <row r="1790" spans="1:1" ht="13.8" x14ac:dyDescent="0.25">
      <c r="A1790" s="8"/>
    </row>
    <row r="1791" spans="1:1" ht="13.8" x14ac:dyDescent="0.25">
      <c r="A1791" s="8"/>
    </row>
    <row r="1792" spans="1:1" ht="13.8" x14ac:dyDescent="0.25">
      <c r="A1792" s="8"/>
    </row>
    <row r="1793" spans="1:1" ht="13.8" x14ac:dyDescent="0.25">
      <c r="A1793" s="8"/>
    </row>
    <row r="1794" spans="1:1" ht="13.8" x14ac:dyDescent="0.25">
      <c r="A1794" s="8"/>
    </row>
    <row r="1795" spans="1:1" ht="13.8" x14ac:dyDescent="0.25">
      <c r="A1795" s="8"/>
    </row>
    <row r="1796" spans="1:1" ht="13.8" x14ac:dyDescent="0.25">
      <c r="A1796" s="8"/>
    </row>
    <row r="1797" spans="1:1" ht="13.8" x14ac:dyDescent="0.25">
      <c r="A1797" s="8"/>
    </row>
    <row r="1798" spans="1:1" ht="13.8" x14ac:dyDescent="0.25">
      <c r="A1798" s="8"/>
    </row>
    <row r="1799" spans="1:1" ht="13.8" x14ac:dyDescent="0.25">
      <c r="A1799" s="8"/>
    </row>
    <row r="1800" spans="1:1" ht="13.8" x14ac:dyDescent="0.25">
      <c r="A1800" s="8"/>
    </row>
    <row r="1801" spans="1:1" ht="13.8" x14ac:dyDescent="0.25">
      <c r="A1801" s="8"/>
    </row>
    <row r="1802" spans="1:1" ht="13.8" x14ac:dyDescent="0.25">
      <c r="A1802" s="8"/>
    </row>
    <row r="1803" spans="1:1" ht="13.8" x14ac:dyDescent="0.25">
      <c r="A1803" s="8"/>
    </row>
    <row r="1804" spans="1:1" ht="13.8" x14ac:dyDescent="0.25">
      <c r="A1804" s="8"/>
    </row>
    <row r="1805" spans="1:1" ht="13.8" x14ac:dyDescent="0.25">
      <c r="A1805" s="8"/>
    </row>
    <row r="1806" spans="1:1" ht="13.8" x14ac:dyDescent="0.25">
      <c r="A1806" s="8"/>
    </row>
    <row r="1807" spans="1:1" ht="13.8" x14ac:dyDescent="0.25">
      <c r="A1807" s="8"/>
    </row>
    <row r="1808" spans="1:1" ht="13.8" x14ac:dyDescent="0.25">
      <c r="A1808" s="8"/>
    </row>
    <row r="1809" spans="1:1" ht="13.8" x14ac:dyDescent="0.25">
      <c r="A1809" s="8"/>
    </row>
    <row r="1810" spans="1:1" ht="13.8" x14ac:dyDescent="0.25">
      <c r="A1810" s="8"/>
    </row>
    <row r="1811" spans="1:1" ht="13.8" x14ac:dyDescent="0.25">
      <c r="A1811" s="8"/>
    </row>
    <row r="1812" spans="1:1" ht="13.8" x14ac:dyDescent="0.25">
      <c r="A1812" s="8"/>
    </row>
    <row r="1813" spans="1:1" ht="13.8" x14ac:dyDescent="0.25">
      <c r="A1813" s="8"/>
    </row>
    <row r="1814" spans="1:1" ht="13.8" x14ac:dyDescent="0.25">
      <c r="A1814" s="8"/>
    </row>
    <row r="1815" spans="1:1" ht="13.8" x14ac:dyDescent="0.25">
      <c r="A1815" s="8"/>
    </row>
    <row r="1816" spans="1:1" ht="13.8" x14ac:dyDescent="0.25">
      <c r="A1816" s="8"/>
    </row>
    <row r="1817" spans="1:1" ht="13.8" x14ac:dyDescent="0.25">
      <c r="A1817" s="8"/>
    </row>
    <row r="1818" spans="1:1" ht="13.8" x14ac:dyDescent="0.25">
      <c r="A1818" s="8"/>
    </row>
    <row r="1819" spans="1:1" ht="13.8" x14ac:dyDescent="0.25">
      <c r="A1819" s="8"/>
    </row>
    <row r="1820" spans="1:1" ht="13.8" x14ac:dyDescent="0.25">
      <c r="A1820" s="8"/>
    </row>
    <row r="1821" spans="1:1" ht="13.8" x14ac:dyDescent="0.25">
      <c r="A1821" s="8"/>
    </row>
    <row r="1822" spans="1:1" ht="13.8" x14ac:dyDescent="0.25">
      <c r="A1822" s="8"/>
    </row>
    <row r="1823" spans="1:1" ht="13.8" x14ac:dyDescent="0.25">
      <c r="A1823" s="8"/>
    </row>
    <row r="1824" spans="1:1" ht="13.8" x14ac:dyDescent="0.25">
      <c r="A1824" s="8"/>
    </row>
    <row r="1825" spans="1:1" ht="13.8" x14ac:dyDescent="0.25">
      <c r="A1825" s="8"/>
    </row>
    <row r="1826" spans="1:1" ht="13.8" x14ac:dyDescent="0.25">
      <c r="A1826" s="8"/>
    </row>
    <row r="1827" spans="1:1" ht="13.8" x14ac:dyDescent="0.25">
      <c r="A1827" s="8"/>
    </row>
    <row r="1828" spans="1:1" ht="13.8" x14ac:dyDescent="0.25">
      <c r="A1828" s="8"/>
    </row>
    <row r="1829" spans="1:1" ht="13.8" x14ac:dyDescent="0.25">
      <c r="A1829" s="8"/>
    </row>
    <row r="1830" spans="1:1" ht="13.8" x14ac:dyDescent="0.25">
      <c r="A1830" s="8"/>
    </row>
    <row r="1831" spans="1:1" ht="13.8" x14ac:dyDescent="0.25">
      <c r="A1831" s="8"/>
    </row>
    <row r="1832" spans="1:1" ht="13.8" x14ac:dyDescent="0.25">
      <c r="A1832" s="8"/>
    </row>
    <row r="1833" spans="1:1" ht="13.8" x14ac:dyDescent="0.25">
      <c r="A1833" s="8"/>
    </row>
    <row r="1834" spans="1:1" ht="13.8" x14ac:dyDescent="0.25">
      <c r="A1834" s="8"/>
    </row>
    <row r="1835" spans="1:1" ht="13.8" x14ac:dyDescent="0.25">
      <c r="A1835" s="8"/>
    </row>
    <row r="1836" spans="1:1" ht="13.8" x14ac:dyDescent="0.25">
      <c r="A1836" s="8"/>
    </row>
    <row r="1837" spans="1:1" ht="13.8" x14ac:dyDescent="0.25">
      <c r="A1837" s="8"/>
    </row>
    <row r="1838" spans="1:1" ht="13.8" x14ac:dyDescent="0.25">
      <c r="A1838" s="8"/>
    </row>
    <row r="1839" spans="1:1" ht="13.8" x14ac:dyDescent="0.25">
      <c r="A1839" s="8"/>
    </row>
    <row r="1840" spans="1:1" ht="13.8" x14ac:dyDescent="0.25">
      <c r="A1840" s="8"/>
    </row>
    <row r="1841" spans="1:1" ht="13.8" x14ac:dyDescent="0.25">
      <c r="A1841" s="8"/>
    </row>
    <row r="1842" spans="1:1" ht="13.8" x14ac:dyDescent="0.25">
      <c r="A1842" s="8"/>
    </row>
    <row r="1843" spans="1:1" ht="13.8" x14ac:dyDescent="0.25">
      <c r="A1843" s="8"/>
    </row>
    <row r="1844" spans="1:1" ht="13.8" x14ac:dyDescent="0.25">
      <c r="A1844" s="8"/>
    </row>
    <row r="1845" spans="1:1" ht="13.8" x14ac:dyDescent="0.25">
      <c r="A1845" s="8"/>
    </row>
    <row r="1846" spans="1:1" ht="13.8" x14ac:dyDescent="0.25">
      <c r="A1846" s="8"/>
    </row>
    <row r="1847" spans="1:1" ht="13.8" x14ac:dyDescent="0.25">
      <c r="A1847" s="8"/>
    </row>
    <row r="1848" spans="1:1" ht="13.8" x14ac:dyDescent="0.25">
      <c r="A1848" s="8"/>
    </row>
    <row r="1849" spans="1:1" ht="13.8" x14ac:dyDescent="0.25">
      <c r="A1849" s="8"/>
    </row>
    <row r="1850" spans="1:1" ht="13.8" x14ac:dyDescent="0.25">
      <c r="A1850" s="8"/>
    </row>
    <row r="1851" spans="1:1" ht="13.8" x14ac:dyDescent="0.25">
      <c r="A1851" s="8"/>
    </row>
    <row r="1852" spans="1:1" ht="13.8" x14ac:dyDescent="0.25">
      <c r="A1852" s="8"/>
    </row>
    <row r="1853" spans="1:1" ht="13.8" x14ac:dyDescent="0.25">
      <c r="A1853" s="8"/>
    </row>
    <row r="1854" spans="1:1" ht="13.8" x14ac:dyDescent="0.25">
      <c r="A1854" s="8"/>
    </row>
    <row r="1855" spans="1:1" ht="13.8" x14ac:dyDescent="0.25">
      <c r="A1855" s="8"/>
    </row>
    <row r="1856" spans="1:1" ht="13.8" x14ac:dyDescent="0.25">
      <c r="A1856" s="8"/>
    </row>
    <row r="1857" spans="1:1" ht="13.8" x14ac:dyDescent="0.25">
      <c r="A1857" s="8"/>
    </row>
    <row r="1858" spans="1:1" ht="13.8" x14ac:dyDescent="0.25">
      <c r="A1858" s="8"/>
    </row>
    <row r="1859" spans="1:1" ht="13.8" x14ac:dyDescent="0.25">
      <c r="A1859" s="8"/>
    </row>
    <row r="1860" spans="1:1" ht="13.8" x14ac:dyDescent="0.25">
      <c r="A1860" s="8"/>
    </row>
    <row r="1861" spans="1:1" ht="13.8" x14ac:dyDescent="0.25">
      <c r="A1861" s="8"/>
    </row>
    <row r="1862" spans="1:1" ht="13.8" x14ac:dyDescent="0.25">
      <c r="A1862" s="8"/>
    </row>
    <row r="1863" spans="1:1" ht="13.8" x14ac:dyDescent="0.25">
      <c r="A1863" s="8"/>
    </row>
    <row r="1864" spans="1:1" ht="13.8" x14ac:dyDescent="0.25">
      <c r="A1864" s="8"/>
    </row>
    <row r="1865" spans="1:1" ht="13.8" x14ac:dyDescent="0.25">
      <c r="A1865" s="8"/>
    </row>
    <row r="1866" spans="1:1" ht="13.8" x14ac:dyDescent="0.25">
      <c r="A1866" s="8"/>
    </row>
    <row r="1867" spans="1:1" ht="13.8" x14ac:dyDescent="0.25">
      <c r="A1867" s="8"/>
    </row>
    <row r="1868" spans="1:1" ht="13.8" x14ac:dyDescent="0.25">
      <c r="A1868" s="8"/>
    </row>
    <row r="1869" spans="1:1" ht="13.8" x14ac:dyDescent="0.25">
      <c r="A1869" s="8"/>
    </row>
    <row r="1870" spans="1:1" ht="13.8" x14ac:dyDescent="0.25">
      <c r="A1870" s="8"/>
    </row>
    <row r="1871" spans="1:1" ht="13.8" x14ac:dyDescent="0.25">
      <c r="A1871" s="8"/>
    </row>
    <row r="1872" spans="1:1" ht="13.8" x14ac:dyDescent="0.25">
      <c r="A1872" s="8"/>
    </row>
    <row r="1873" spans="1:1" ht="13.8" x14ac:dyDescent="0.25">
      <c r="A1873" s="8"/>
    </row>
    <row r="1874" spans="1:1" ht="13.8" x14ac:dyDescent="0.25">
      <c r="A1874" s="8"/>
    </row>
    <row r="1875" spans="1:1" ht="13.8" x14ac:dyDescent="0.25">
      <c r="A1875" s="8"/>
    </row>
    <row r="1876" spans="1:1" ht="13.8" x14ac:dyDescent="0.25">
      <c r="A1876" s="8"/>
    </row>
    <row r="1877" spans="1:1" ht="13.8" x14ac:dyDescent="0.25">
      <c r="A1877" s="8"/>
    </row>
    <row r="1878" spans="1:1" ht="13.8" x14ac:dyDescent="0.25">
      <c r="A1878" s="8"/>
    </row>
    <row r="1879" spans="1:1" ht="13.8" x14ac:dyDescent="0.25">
      <c r="A1879" s="8"/>
    </row>
    <row r="1880" spans="1:1" ht="13.8" x14ac:dyDescent="0.25">
      <c r="A1880" s="8"/>
    </row>
    <row r="1881" spans="1:1" ht="13.8" x14ac:dyDescent="0.25">
      <c r="A1881" s="8"/>
    </row>
    <row r="1882" spans="1:1" ht="13.8" x14ac:dyDescent="0.25">
      <c r="A1882" s="8"/>
    </row>
    <row r="1883" spans="1:1" ht="13.8" x14ac:dyDescent="0.25">
      <c r="A1883" s="8"/>
    </row>
    <row r="1884" spans="1:1" ht="13.8" x14ac:dyDescent="0.25">
      <c r="A1884" s="8"/>
    </row>
    <row r="1885" spans="1:1" ht="13.8" x14ac:dyDescent="0.25">
      <c r="A1885" s="8"/>
    </row>
    <row r="1886" spans="1:1" ht="13.8" x14ac:dyDescent="0.25">
      <c r="A1886" s="8"/>
    </row>
    <row r="1887" spans="1:1" ht="13.8" x14ac:dyDescent="0.25">
      <c r="A1887" s="8"/>
    </row>
    <row r="1888" spans="1:1" ht="13.8" x14ac:dyDescent="0.25">
      <c r="A1888" s="8"/>
    </row>
    <row r="1889" spans="1:1" ht="13.8" x14ac:dyDescent="0.25">
      <c r="A1889" s="8"/>
    </row>
    <row r="1890" spans="1:1" ht="13.8" x14ac:dyDescent="0.25">
      <c r="A1890" s="8"/>
    </row>
    <row r="1891" spans="1:1" ht="13.8" x14ac:dyDescent="0.25">
      <c r="A1891" s="8"/>
    </row>
    <row r="1892" spans="1:1" ht="13.8" x14ac:dyDescent="0.25">
      <c r="A1892" s="8"/>
    </row>
    <row r="1893" spans="1:1" ht="13.8" x14ac:dyDescent="0.25">
      <c r="A1893" s="8"/>
    </row>
    <row r="1894" spans="1:1" ht="13.8" x14ac:dyDescent="0.25">
      <c r="A1894" s="8"/>
    </row>
    <row r="1895" spans="1:1" ht="13.8" x14ac:dyDescent="0.25">
      <c r="A1895" s="8"/>
    </row>
    <row r="1896" spans="1:1" ht="13.8" x14ac:dyDescent="0.25">
      <c r="A1896" s="8"/>
    </row>
    <row r="1897" spans="1:1" ht="13.8" x14ac:dyDescent="0.25">
      <c r="A1897" s="8"/>
    </row>
    <row r="1898" spans="1:1" ht="13.8" x14ac:dyDescent="0.25">
      <c r="A1898" s="8"/>
    </row>
    <row r="1899" spans="1:1" ht="13.8" x14ac:dyDescent="0.25">
      <c r="A1899" s="8"/>
    </row>
    <row r="1900" spans="1:1" ht="13.8" x14ac:dyDescent="0.25">
      <c r="A1900" s="8"/>
    </row>
    <row r="1901" spans="1:1" ht="13.8" x14ac:dyDescent="0.25">
      <c r="A1901" s="8"/>
    </row>
    <row r="1902" spans="1:1" ht="13.8" x14ac:dyDescent="0.25">
      <c r="A1902" s="8"/>
    </row>
    <row r="1903" spans="1:1" ht="13.8" x14ac:dyDescent="0.25">
      <c r="A1903" s="8"/>
    </row>
    <row r="1904" spans="1:1" ht="13.8" x14ac:dyDescent="0.25">
      <c r="A1904" s="8"/>
    </row>
    <row r="1905" spans="1:1" ht="13.8" x14ac:dyDescent="0.25">
      <c r="A1905" s="8"/>
    </row>
    <row r="1906" spans="1:1" ht="13.8" x14ac:dyDescent="0.25">
      <c r="A1906" s="8"/>
    </row>
    <row r="1907" spans="1:1" ht="13.8" x14ac:dyDescent="0.25">
      <c r="A1907" s="8"/>
    </row>
    <row r="1908" spans="1:1" ht="13.8" x14ac:dyDescent="0.25">
      <c r="A1908" s="8"/>
    </row>
    <row r="1909" spans="1:1" ht="13.8" x14ac:dyDescent="0.25">
      <c r="A1909" s="8"/>
    </row>
    <row r="1910" spans="1:1" ht="13.8" x14ac:dyDescent="0.25">
      <c r="A1910" s="8"/>
    </row>
    <row r="1911" spans="1:1" ht="13.8" x14ac:dyDescent="0.25">
      <c r="A1911" s="8"/>
    </row>
    <row r="1912" spans="1:1" ht="13.8" x14ac:dyDescent="0.25">
      <c r="A1912" s="8"/>
    </row>
    <row r="1913" spans="1:1" ht="13.8" x14ac:dyDescent="0.25">
      <c r="A1913" s="8"/>
    </row>
    <row r="1914" spans="1:1" ht="13.8" x14ac:dyDescent="0.25">
      <c r="A1914" s="8"/>
    </row>
    <row r="1915" spans="1:1" ht="13.8" x14ac:dyDescent="0.25">
      <c r="A1915" s="8"/>
    </row>
    <row r="1916" spans="1:1" ht="13.8" x14ac:dyDescent="0.25">
      <c r="A1916" s="8"/>
    </row>
    <row r="1917" spans="1:1" ht="13.8" x14ac:dyDescent="0.25">
      <c r="A1917" s="8"/>
    </row>
    <row r="1918" spans="1:1" ht="13.8" x14ac:dyDescent="0.25">
      <c r="A1918" s="8"/>
    </row>
    <row r="1919" spans="1:1" ht="13.8" x14ac:dyDescent="0.25">
      <c r="A1919" s="8"/>
    </row>
    <row r="1920" spans="1:1" ht="13.8" x14ac:dyDescent="0.25">
      <c r="A1920" s="8"/>
    </row>
    <row r="1921" spans="1:1" ht="13.8" x14ac:dyDescent="0.25">
      <c r="A1921" s="8"/>
    </row>
    <row r="1922" spans="1:1" ht="13.8" x14ac:dyDescent="0.25">
      <c r="A1922" s="8"/>
    </row>
    <row r="1923" spans="1:1" ht="13.8" x14ac:dyDescent="0.25">
      <c r="A1923" s="8"/>
    </row>
    <row r="1924" spans="1:1" ht="13.8" x14ac:dyDescent="0.25">
      <c r="A1924" s="8"/>
    </row>
    <row r="1925" spans="1:1" ht="13.8" x14ac:dyDescent="0.25">
      <c r="A1925" s="8"/>
    </row>
    <row r="1926" spans="1:1" ht="13.8" x14ac:dyDescent="0.25">
      <c r="A1926" s="8"/>
    </row>
    <row r="1927" spans="1:1" ht="13.8" x14ac:dyDescent="0.25">
      <c r="A1927" s="8"/>
    </row>
    <row r="1928" spans="1:1" ht="13.8" x14ac:dyDescent="0.25">
      <c r="A1928" s="8"/>
    </row>
    <row r="1929" spans="1:1" ht="13.8" x14ac:dyDescent="0.25">
      <c r="A1929" s="8"/>
    </row>
    <row r="1930" spans="1:1" ht="13.8" x14ac:dyDescent="0.25">
      <c r="A1930" s="8"/>
    </row>
    <row r="1931" spans="1:1" ht="13.8" x14ac:dyDescent="0.25">
      <c r="A1931" s="8"/>
    </row>
    <row r="1932" spans="1:1" ht="13.8" x14ac:dyDescent="0.25">
      <c r="A1932" s="8"/>
    </row>
    <row r="1933" spans="1:1" ht="13.8" x14ac:dyDescent="0.25">
      <c r="A1933" s="8"/>
    </row>
    <row r="1934" spans="1:1" ht="13.8" x14ac:dyDescent="0.25">
      <c r="A1934" s="8"/>
    </row>
    <row r="1935" spans="1:1" ht="13.8" x14ac:dyDescent="0.25">
      <c r="A1935" s="8"/>
    </row>
    <row r="1936" spans="1:1" ht="13.8" x14ac:dyDescent="0.25">
      <c r="A1936" s="8"/>
    </row>
    <row r="1937" spans="1:1" ht="13.8" x14ac:dyDescent="0.25">
      <c r="A1937" s="8"/>
    </row>
    <row r="1938" spans="1:1" ht="13.8" x14ac:dyDescent="0.25">
      <c r="A1938" s="8"/>
    </row>
    <row r="1939" spans="1:1" ht="13.8" x14ac:dyDescent="0.25">
      <c r="A1939" s="8"/>
    </row>
    <row r="1940" spans="1:1" ht="13.8" x14ac:dyDescent="0.25">
      <c r="A1940" s="8"/>
    </row>
    <row r="1941" spans="1:1" ht="13.8" x14ac:dyDescent="0.25">
      <c r="A1941" s="8"/>
    </row>
    <row r="1942" spans="1:1" ht="13.8" x14ac:dyDescent="0.25">
      <c r="A1942" s="8"/>
    </row>
    <row r="1943" spans="1:1" ht="13.8" x14ac:dyDescent="0.25">
      <c r="A1943" s="8"/>
    </row>
    <row r="1944" spans="1:1" ht="13.8" x14ac:dyDescent="0.25">
      <c r="A1944" s="8"/>
    </row>
    <row r="1945" spans="1:1" ht="13.8" x14ac:dyDescent="0.25">
      <c r="A1945" s="8"/>
    </row>
    <row r="1946" spans="1:1" ht="13.8" x14ac:dyDescent="0.25">
      <c r="A1946" s="8"/>
    </row>
    <row r="1947" spans="1:1" ht="13.8" x14ac:dyDescent="0.25">
      <c r="A1947" s="8"/>
    </row>
    <row r="1948" spans="1:1" ht="13.8" x14ac:dyDescent="0.25">
      <c r="A1948" s="8"/>
    </row>
    <row r="1949" spans="1:1" ht="13.8" x14ac:dyDescent="0.25">
      <c r="A1949" s="8"/>
    </row>
    <row r="1950" spans="1:1" ht="13.8" x14ac:dyDescent="0.25">
      <c r="A1950" s="8"/>
    </row>
    <row r="1951" spans="1:1" ht="13.8" x14ac:dyDescent="0.25">
      <c r="A1951" s="8"/>
    </row>
    <row r="1952" spans="1:1" ht="13.8" x14ac:dyDescent="0.25">
      <c r="A1952" s="8"/>
    </row>
    <row r="1953" spans="1:1" ht="13.8" x14ac:dyDescent="0.25">
      <c r="A1953" s="8"/>
    </row>
    <row r="1954" spans="1:1" ht="13.8" x14ac:dyDescent="0.25">
      <c r="A1954" s="8"/>
    </row>
    <row r="1955" spans="1:1" ht="13.8" x14ac:dyDescent="0.25">
      <c r="A1955" s="8"/>
    </row>
    <row r="1956" spans="1:1" ht="13.8" x14ac:dyDescent="0.25">
      <c r="A1956" s="8"/>
    </row>
    <row r="1957" spans="1:1" ht="13.8" x14ac:dyDescent="0.25">
      <c r="A1957" s="8"/>
    </row>
    <row r="1958" spans="1:1" ht="13.8" x14ac:dyDescent="0.25">
      <c r="A1958" s="8"/>
    </row>
    <row r="1959" spans="1:1" ht="13.8" x14ac:dyDescent="0.25">
      <c r="A1959" s="8"/>
    </row>
    <row r="1960" spans="1:1" ht="13.8" x14ac:dyDescent="0.25">
      <c r="A1960" s="8"/>
    </row>
    <row r="1961" spans="1:1" ht="13.8" x14ac:dyDescent="0.25">
      <c r="A1961" s="8"/>
    </row>
    <row r="1962" spans="1:1" ht="13.8" x14ac:dyDescent="0.25">
      <c r="A1962" s="8"/>
    </row>
    <row r="1963" spans="1:1" ht="13.8" x14ac:dyDescent="0.25">
      <c r="A1963" s="8"/>
    </row>
    <row r="1964" spans="1:1" ht="13.8" x14ac:dyDescent="0.25">
      <c r="A1964" s="8"/>
    </row>
    <row r="1965" spans="1:1" ht="13.8" x14ac:dyDescent="0.25">
      <c r="A1965" s="8"/>
    </row>
    <row r="1966" spans="1:1" ht="13.8" x14ac:dyDescent="0.25">
      <c r="A1966" s="8"/>
    </row>
    <row r="1967" spans="1:1" ht="13.8" x14ac:dyDescent="0.25">
      <c r="A1967" s="8"/>
    </row>
    <row r="1968" spans="1:1" ht="13.8" x14ac:dyDescent="0.25">
      <c r="A1968" s="8"/>
    </row>
    <row r="1969" spans="1:1" ht="13.8" x14ac:dyDescent="0.25">
      <c r="A1969" s="8"/>
    </row>
    <row r="1970" spans="1:1" ht="13.8" x14ac:dyDescent="0.25">
      <c r="A1970" s="8"/>
    </row>
    <row r="1971" spans="1:1" ht="13.8" x14ac:dyDescent="0.25">
      <c r="A1971" s="8"/>
    </row>
    <row r="1972" spans="1:1" ht="13.8" x14ac:dyDescent="0.25">
      <c r="A1972" s="8"/>
    </row>
    <row r="1973" spans="1:1" ht="13.8" x14ac:dyDescent="0.25">
      <c r="A1973" s="8"/>
    </row>
    <row r="1974" spans="1:1" ht="13.8" x14ac:dyDescent="0.25">
      <c r="A1974" s="8"/>
    </row>
    <row r="1975" spans="1:1" ht="13.8" x14ac:dyDescent="0.25">
      <c r="A1975" s="8"/>
    </row>
    <row r="1976" spans="1:1" ht="13.8" x14ac:dyDescent="0.25">
      <c r="A1976" s="8"/>
    </row>
    <row r="1977" spans="1:1" ht="13.8" x14ac:dyDescent="0.25">
      <c r="A1977" s="8"/>
    </row>
    <row r="1978" spans="1:1" ht="13.8" x14ac:dyDescent="0.25">
      <c r="A1978" s="8"/>
    </row>
    <row r="1979" spans="1:1" ht="13.8" x14ac:dyDescent="0.25">
      <c r="A1979" s="8"/>
    </row>
    <row r="1980" spans="1:1" ht="13.8" x14ac:dyDescent="0.25">
      <c r="A1980" s="8"/>
    </row>
    <row r="1981" spans="1:1" ht="13.8" x14ac:dyDescent="0.25">
      <c r="A1981" s="8"/>
    </row>
    <row r="1982" spans="1:1" ht="13.8" x14ac:dyDescent="0.25">
      <c r="A1982" s="8"/>
    </row>
    <row r="1983" spans="1:1" ht="13.8" x14ac:dyDescent="0.25">
      <c r="A1983" s="8"/>
    </row>
    <row r="1984" spans="1:1" ht="13.8" x14ac:dyDescent="0.25">
      <c r="A1984" s="8"/>
    </row>
    <row r="1985" spans="1:1" ht="13.8" x14ac:dyDescent="0.25">
      <c r="A1985" s="8"/>
    </row>
    <row r="1986" spans="1:1" ht="13.8" x14ac:dyDescent="0.25">
      <c r="A1986" s="8"/>
    </row>
    <row r="1987" spans="1:1" ht="13.8" x14ac:dyDescent="0.25">
      <c r="A1987" s="8"/>
    </row>
    <row r="1988" spans="1:1" ht="13.8" x14ac:dyDescent="0.25">
      <c r="A1988" s="8"/>
    </row>
    <row r="1989" spans="1:1" ht="13.8" x14ac:dyDescent="0.25">
      <c r="A1989" s="8"/>
    </row>
    <row r="1990" spans="1:1" ht="13.8" x14ac:dyDescent="0.25">
      <c r="A1990" s="8"/>
    </row>
    <row r="1991" spans="1:1" ht="13.8" x14ac:dyDescent="0.25">
      <c r="A1991" s="8"/>
    </row>
    <row r="1992" spans="1:1" ht="13.8" x14ac:dyDescent="0.25">
      <c r="A1992" s="8"/>
    </row>
    <row r="1993" spans="1:1" ht="13.8" x14ac:dyDescent="0.25">
      <c r="A1993" s="8"/>
    </row>
    <row r="1994" spans="1:1" ht="13.8" x14ac:dyDescent="0.25">
      <c r="A1994" s="8"/>
    </row>
    <row r="1995" spans="1:1" ht="13.8" x14ac:dyDescent="0.25">
      <c r="A1995" s="8"/>
    </row>
    <row r="1996" spans="1:1" ht="13.8" x14ac:dyDescent="0.25">
      <c r="A1996" s="8"/>
    </row>
    <row r="1997" spans="1:1" ht="13.8" x14ac:dyDescent="0.25">
      <c r="A1997" s="8"/>
    </row>
    <row r="1998" spans="1:1" ht="13.8" x14ac:dyDescent="0.25">
      <c r="A1998" s="8"/>
    </row>
    <row r="1999" spans="1:1" ht="13.8" x14ac:dyDescent="0.25">
      <c r="A1999" s="8"/>
    </row>
    <row r="2000" spans="1:1" ht="13.8" x14ac:dyDescent="0.25">
      <c r="A2000" s="8"/>
    </row>
    <row r="2001" spans="1:1" ht="13.8" x14ac:dyDescent="0.25">
      <c r="A2001" s="8"/>
    </row>
    <row r="2002" spans="1:1" ht="13.8" x14ac:dyDescent="0.25">
      <c r="A2002" s="8"/>
    </row>
    <row r="2003" spans="1:1" ht="13.8" x14ac:dyDescent="0.25">
      <c r="A2003" s="8"/>
    </row>
    <row r="2004" spans="1:1" ht="13.8" x14ac:dyDescent="0.25">
      <c r="A2004" s="8"/>
    </row>
    <row r="2005" spans="1:1" ht="13.8" x14ac:dyDescent="0.25">
      <c r="A2005" s="8"/>
    </row>
    <row r="2006" spans="1:1" ht="13.8" x14ac:dyDescent="0.25">
      <c r="A2006" s="8"/>
    </row>
    <row r="2007" spans="1:1" ht="13.8" x14ac:dyDescent="0.25">
      <c r="A2007" s="8"/>
    </row>
    <row r="2008" spans="1:1" ht="13.8" x14ac:dyDescent="0.25">
      <c r="A2008" s="8"/>
    </row>
    <row r="2009" spans="1:1" ht="13.8" x14ac:dyDescent="0.25">
      <c r="A2009" s="8"/>
    </row>
    <row r="2010" spans="1:1" ht="13.8" x14ac:dyDescent="0.25">
      <c r="A2010" s="8"/>
    </row>
    <row r="2011" spans="1:1" ht="13.8" x14ac:dyDescent="0.25">
      <c r="A2011" s="8"/>
    </row>
    <row r="2012" spans="1:1" ht="13.8" x14ac:dyDescent="0.25">
      <c r="A2012" s="8"/>
    </row>
    <row r="2013" spans="1:1" ht="13.8" x14ac:dyDescent="0.25">
      <c r="A2013" s="8"/>
    </row>
    <row r="2014" spans="1:1" ht="13.8" x14ac:dyDescent="0.25">
      <c r="A2014" s="8"/>
    </row>
    <row r="2015" spans="1:1" ht="13.8" x14ac:dyDescent="0.25">
      <c r="A2015" s="8"/>
    </row>
    <row r="2016" spans="1:1" ht="13.8" x14ac:dyDescent="0.25">
      <c r="A2016" s="8"/>
    </row>
    <row r="2017" spans="1:1" ht="13.8" x14ac:dyDescent="0.25">
      <c r="A2017" s="8"/>
    </row>
    <row r="2018" spans="1:1" ht="13.8" x14ac:dyDescent="0.25">
      <c r="A2018" s="8"/>
    </row>
    <row r="2019" spans="1:1" ht="13.8" x14ac:dyDescent="0.25">
      <c r="A2019" s="8"/>
    </row>
    <row r="2020" spans="1:1" ht="13.8" x14ac:dyDescent="0.25">
      <c r="A2020" s="8"/>
    </row>
    <row r="2021" spans="1:1" ht="13.8" x14ac:dyDescent="0.25">
      <c r="A2021" s="8"/>
    </row>
    <row r="2022" spans="1:1" ht="13.8" x14ac:dyDescent="0.25">
      <c r="A2022" s="8"/>
    </row>
    <row r="2023" spans="1:1" ht="13.8" x14ac:dyDescent="0.25">
      <c r="A2023" s="8"/>
    </row>
    <row r="2024" spans="1:1" ht="13.8" x14ac:dyDescent="0.25">
      <c r="A2024" s="8"/>
    </row>
    <row r="2025" spans="1:1" ht="13.8" x14ac:dyDescent="0.25">
      <c r="A2025" s="8"/>
    </row>
    <row r="2026" spans="1:1" ht="13.8" x14ac:dyDescent="0.25">
      <c r="A2026" s="8"/>
    </row>
    <row r="2027" spans="1:1" ht="13.8" x14ac:dyDescent="0.25">
      <c r="A2027" s="8"/>
    </row>
    <row r="2028" spans="1:1" ht="13.8" x14ac:dyDescent="0.25">
      <c r="A2028" s="8"/>
    </row>
    <row r="2029" spans="1:1" ht="13.8" x14ac:dyDescent="0.25">
      <c r="A2029" s="8"/>
    </row>
    <row r="2030" spans="1:1" ht="13.8" x14ac:dyDescent="0.25">
      <c r="A2030" s="8"/>
    </row>
    <row r="2031" spans="1:1" ht="13.8" x14ac:dyDescent="0.25">
      <c r="A2031" s="8"/>
    </row>
    <row r="2032" spans="1:1" ht="13.8" x14ac:dyDescent="0.25">
      <c r="A2032" s="8"/>
    </row>
    <row r="2033" spans="1:1" ht="13.8" x14ac:dyDescent="0.25">
      <c r="A2033" s="8"/>
    </row>
    <row r="2034" spans="1:1" ht="13.8" x14ac:dyDescent="0.25">
      <c r="A2034" s="8"/>
    </row>
    <row r="2035" spans="1:1" ht="13.8" x14ac:dyDescent="0.25">
      <c r="A2035" s="8"/>
    </row>
    <row r="2036" spans="1:1" ht="13.8" x14ac:dyDescent="0.25">
      <c r="A2036" s="8"/>
    </row>
    <row r="2037" spans="1:1" ht="13.8" x14ac:dyDescent="0.25">
      <c r="A2037" s="8"/>
    </row>
    <row r="2038" spans="1:1" ht="13.8" x14ac:dyDescent="0.25">
      <c r="A2038" s="8"/>
    </row>
    <row r="2039" spans="1:1" ht="13.8" x14ac:dyDescent="0.25">
      <c r="A2039" s="8"/>
    </row>
    <row r="2040" spans="1:1" ht="13.8" x14ac:dyDescent="0.25">
      <c r="A2040" s="8"/>
    </row>
    <row r="2041" spans="1:1" ht="13.8" x14ac:dyDescent="0.25">
      <c r="A2041" s="8"/>
    </row>
    <row r="2042" spans="1:1" ht="13.8" x14ac:dyDescent="0.25">
      <c r="A2042" s="8"/>
    </row>
    <row r="2043" spans="1:1" ht="13.8" x14ac:dyDescent="0.25">
      <c r="A2043" s="8"/>
    </row>
    <row r="2044" spans="1:1" ht="13.8" x14ac:dyDescent="0.25">
      <c r="A2044" s="8"/>
    </row>
    <row r="2045" spans="1:1" ht="13.8" x14ac:dyDescent="0.25">
      <c r="A2045" s="8"/>
    </row>
    <row r="2046" spans="1:1" ht="13.8" x14ac:dyDescent="0.25">
      <c r="A2046" s="8"/>
    </row>
    <row r="2047" spans="1:1" ht="13.8" x14ac:dyDescent="0.25">
      <c r="A2047" s="8"/>
    </row>
    <row r="2048" spans="1:1" ht="13.8" x14ac:dyDescent="0.25">
      <c r="A2048" s="8"/>
    </row>
    <row r="2049" spans="1:1" ht="13.8" x14ac:dyDescent="0.25">
      <c r="A2049" s="8"/>
    </row>
    <row r="2050" spans="1:1" ht="13.8" x14ac:dyDescent="0.25">
      <c r="A2050" s="8"/>
    </row>
    <row r="2051" spans="1:1" ht="13.8" x14ac:dyDescent="0.25">
      <c r="A2051" s="8"/>
    </row>
    <row r="2052" spans="1:1" ht="13.8" x14ac:dyDescent="0.25">
      <c r="A2052" s="8"/>
    </row>
    <row r="2053" spans="1:1" ht="13.8" x14ac:dyDescent="0.25">
      <c r="A2053" s="8"/>
    </row>
    <row r="2054" spans="1:1" ht="13.8" x14ac:dyDescent="0.25">
      <c r="A2054" s="8"/>
    </row>
    <row r="2055" spans="1:1" ht="13.8" x14ac:dyDescent="0.25">
      <c r="A2055" s="8"/>
    </row>
    <row r="2056" spans="1:1" ht="13.8" x14ac:dyDescent="0.25">
      <c r="A2056" s="8"/>
    </row>
    <row r="2057" spans="1:1" ht="13.8" x14ac:dyDescent="0.25">
      <c r="A2057" s="8"/>
    </row>
    <row r="2058" spans="1:1" ht="13.8" x14ac:dyDescent="0.25">
      <c r="A2058" s="8"/>
    </row>
    <row r="2059" spans="1:1" ht="13.8" x14ac:dyDescent="0.25">
      <c r="A2059" s="8"/>
    </row>
    <row r="2060" spans="1:1" ht="13.8" x14ac:dyDescent="0.25">
      <c r="A2060" s="8"/>
    </row>
    <row r="2061" spans="1:1" ht="13.8" x14ac:dyDescent="0.25">
      <c r="A2061" s="8"/>
    </row>
    <row r="2062" spans="1:1" ht="13.8" x14ac:dyDescent="0.25">
      <c r="A2062" s="8"/>
    </row>
    <row r="2063" spans="1:1" ht="13.8" x14ac:dyDescent="0.25">
      <c r="A2063" s="8"/>
    </row>
    <row r="2064" spans="1:1" ht="13.8" x14ac:dyDescent="0.25">
      <c r="A2064" s="8"/>
    </row>
    <row r="2065" spans="1:1" ht="13.8" x14ac:dyDescent="0.25">
      <c r="A2065" s="8"/>
    </row>
    <row r="2066" spans="1:1" ht="13.8" x14ac:dyDescent="0.25">
      <c r="A2066" s="8"/>
    </row>
    <row r="2067" spans="1:1" ht="13.8" x14ac:dyDescent="0.25">
      <c r="A2067" s="8"/>
    </row>
    <row r="2068" spans="1:1" ht="13.8" x14ac:dyDescent="0.25">
      <c r="A2068" s="8"/>
    </row>
    <row r="2069" spans="1:1" ht="13.8" x14ac:dyDescent="0.25">
      <c r="A2069" s="8"/>
    </row>
    <row r="2070" spans="1:1" ht="13.8" x14ac:dyDescent="0.25">
      <c r="A2070" s="8"/>
    </row>
    <row r="2071" spans="1:1" ht="13.8" x14ac:dyDescent="0.25">
      <c r="A2071" s="8"/>
    </row>
    <row r="2072" spans="1:1" ht="13.8" x14ac:dyDescent="0.25">
      <c r="A2072" s="8"/>
    </row>
    <row r="2073" spans="1:1" ht="13.8" x14ac:dyDescent="0.25">
      <c r="A2073" s="8"/>
    </row>
    <row r="2074" spans="1:1" ht="13.8" x14ac:dyDescent="0.25">
      <c r="A2074" s="8"/>
    </row>
    <row r="2075" spans="1:1" ht="13.8" x14ac:dyDescent="0.25">
      <c r="A2075" s="8"/>
    </row>
    <row r="2076" spans="1:1" ht="13.8" x14ac:dyDescent="0.25">
      <c r="A2076" s="8"/>
    </row>
    <row r="2077" spans="1:1" ht="13.8" x14ac:dyDescent="0.25">
      <c r="A2077" s="8"/>
    </row>
    <row r="2078" spans="1:1" ht="13.8" x14ac:dyDescent="0.25">
      <c r="A2078" s="8"/>
    </row>
    <row r="2079" spans="1:1" ht="13.8" x14ac:dyDescent="0.25">
      <c r="A2079" s="8"/>
    </row>
    <row r="2080" spans="1:1" ht="13.8" x14ac:dyDescent="0.25">
      <c r="A2080" s="8"/>
    </row>
    <row r="2081" spans="1:1" ht="13.8" x14ac:dyDescent="0.25">
      <c r="A2081" s="8"/>
    </row>
    <row r="2082" spans="1:1" ht="13.8" x14ac:dyDescent="0.25">
      <c r="A2082" s="8"/>
    </row>
    <row r="2083" spans="1:1" ht="13.8" x14ac:dyDescent="0.25">
      <c r="A2083" s="8"/>
    </row>
    <row r="2084" spans="1:1" ht="13.8" x14ac:dyDescent="0.25">
      <c r="A2084" s="8"/>
    </row>
    <row r="2085" spans="1:1" ht="13.8" x14ac:dyDescent="0.25">
      <c r="A2085" s="8"/>
    </row>
    <row r="2086" spans="1:1" ht="13.8" x14ac:dyDescent="0.25">
      <c r="A2086" s="8"/>
    </row>
    <row r="2087" spans="1:1" ht="13.8" x14ac:dyDescent="0.25">
      <c r="A2087" s="8"/>
    </row>
    <row r="2088" spans="1:1" ht="13.8" x14ac:dyDescent="0.25">
      <c r="A2088" s="8"/>
    </row>
    <row r="2089" spans="1:1" ht="13.8" x14ac:dyDescent="0.25">
      <c r="A2089" s="8"/>
    </row>
    <row r="2090" spans="1:1" ht="13.8" x14ac:dyDescent="0.25">
      <c r="A2090" s="8"/>
    </row>
    <row r="2091" spans="1:1" ht="13.8" x14ac:dyDescent="0.25">
      <c r="A2091" s="8"/>
    </row>
    <row r="2092" spans="1:1" ht="13.8" x14ac:dyDescent="0.25">
      <c r="A2092" s="8"/>
    </row>
    <row r="2093" spans="1:1" ht="13.8" x14ac:dyDescent="0.25">
      <c r="A2093" s="8"/>
    </row>
    <row r="2094" spans="1:1" ht="13.8" x14ac:dyDescent="0.25">
      <c r="A2094" s="8"/>
    </row>
    <row r="2095" spans="1:1" ht="13.8" x14ac:dyDescent="0.25">
      <c r="A2095" s="8"/>
    </row>
    <row r="2096" spans="1:1" ht="13.8" x14ac:dyDescent="0.25">
      <c r="A2096" s="8"/>
    </row>
    <row r="2097" spans="1:1" ht="13.8" x14ac:dyDescent="0.25">
      <c r="A2097" s="8"/>
    </row>
    <row r="2098" spans="1:1" ht="13.8" x14ac:dyDescent="0.25">
      <c r="A2098" s="8"/>
    </row>
    <row r="2099" spans="1:1" ht="13.8" x14ac:dyDescent="0.25">
      <c r="A2099" s="8"/>
    </row>
    <row r="2100" spans="1:1" ht="13.8" x14ac:dyDescent="0.25">
      <c r="A2100" s="8"/>
    </row>
    <row r="2101" spans="1:1" ht="13.8" x14ac:dyDescent="0.25">
      <c r="A2101" s="8"/>
    </row>
    <row r="2102" spans="1:1" ht="13.8" x14ac:dyDescent="0.25">
      <c r="A2102" s="8"/>
    </row>
    <row r="2103" spans="1:1" ht="13.8" x14ac:dyDescent="0.25">
      <c r="A2103" s="8"/>
    </row>
    <row r="2104" spans="1:1" ht="13.8" x14ac:dyDescent="0.25">
      <c r="A2104" s="8"/>
    </row>
    <row r="2105" spans="1:1" ht="13.8" x14ac:dyDescent="0.25">
      <c r="A2105" s="8"/>
    </row>
    <row r="2106" spans="1:1" ht="13.8" x14ac:dyDescent="0.25">
      <c r="A2106" s="8"/>
    </row>
    <row r="2107" spans="1:1" ht="13.8" x14ac:dyDescent="0.25">
      <c r="A2107" s="8"/>
    </row>
    <row r="2108" spans="1:1" ht="13.8" x14ac:dyDescent="0.25">
      <c r="A2108" s="8"/>
    </row>
    <row r="2109" spans="1:1" ht="13.8" x14ac:dyDescent="0.25">
      <c r="A2109" s="8"/>
    </row>
    <row r="2110" spans="1:1" ht="13.8" x14ac:dyDescent="0.25">
      <c r="A2110" s="8"/>
    </row>
    <row r="2111" spans="1:1" ht="13.8" x14ac:dyDescent="0.25">
      <c r="A2111" s="8"/>
    </row>
    <row r="2112" spans="1:1" ht="13.8" x14ac:dyDescent="0.25">
      <c r="A2112" s="8"/>
    </row>
    <row r="2113" spans="1:1" ht="13.8" x14ac:dyDescent="0.25">
      <c r="A2113" s="8"/>
    </row>
    <row r="2114" spans="1:1" ht="13.8" x14ac:dyDescent="0.25">
      <c r="A2114" s="8"/>
    </row>
    <row r="2115" spans="1:1" ht="13.8" x14ac:dyDescent="0.25">
      <c r="A2115" s="8"/>
    </row>
    <row r="2116" spans="1:1" ht="13.8" x14ac:dyDescent="0.25">
      <c r="A2116" s="8"/>
    </row>
    <row r="2117" spans="1:1" ht="13.8" x14ac:dyDescent="0.25">
      <c r="A2117" s="8"/>
    </row>
    <row r="2118" spans="1:1" ht="13.8" x14ac:dyDescent="0.25">
      <c r="A2118" s="8"/>
    </row>
    <row r="2119" spans="1:1" ht="13.8" x14ac:dyDescent="0.25">
      <c r="A2119" s="8"/>
    </row>
    <row r="2120" spans="1:1" ht="13.8" x14ac:dyDescent="0.25">
      <c r="A2120" s="8"/>
    </row>
    <row r="2121" spans="1:1" ht="13.8" x14ac:dyDescent="0.25">
      <c r="A2121" s="8"/>
    </row>
    <row r="2122" spans="1:1" ht="13.8" x14ac:dyDescent="0.25">
      <c r="A2122" s="8"/>
    </row>
    <row r="2123" spans="1:1" ht="13.8" x14ac:dyDescent="0.25">
      <c r="A2123" s="8"/>
    </row>
    <row r="2124" spans="1:1" ht="13.8" x14ac:dyDescent="0.25">
      <c r="A2124" s="8"/>
    </row>
    <row r="2125" spans="1:1" ht="13.8" x14ac:dyDescent="0.25">
      <c r="A2125" s="8"/>
    </row>
    <row r="2126" spans="1:1" ht="13.8" x14ac:dyDescent="0.25">
      <c r="A2126" s="8"/>
    </row>
    <row r="2127" spans="1:1" ht="13.8" x14ac:dyDescent="0.25">
      <c r="A2127" s="8"/>
    </row>
    <row r="2128" spans="1:1" ht="13.8" x14ac:dyDescent="0.25">
      <c r="A2128" s="8"/>
    </row>
    <row r="2129" spans="1:1" ht="13.8" x14ac:dyDescent="0.25">
      <c r="A2129" s="8"/>
    </row>
    <row r="2130" spans="1:1" ht="13.8" x14ac:dyDescent="0.25">
      <c r="A2130" s="8"/>
    </row>
    <row r="2131" spans="1:1" ht="13.8" x14ac:dyDescent="0.25">
      <c r="A2131" s="8"/>
    </row>
    <row r="2132" spans="1:1" ht="13.8" x14ac:dyDescent="0.25">
      <c r="A2132" s="8"/>
    </row>
    <row r="2133" spans="1:1" ht="13.8" x14ac:dyDescent="0.25">
      <c r="A2133" s="8"/>
    </row>
    <row r="2134" spans="1:1" ht="13.8" x14ac:dyDescent="0.25">
      <c r="A2134" s="8"/>
    </row>
    <row r="2135" spans="1:1" ht="13.8" x14ac:dyDescent="0.25">
      <c r="A2135" s="8"/>
    </row>
    <row r="2136" spans="1:1" ht="13.8" x14ac:dyDescent="0.25">
      <c r="A2136" s="8"/>
    </row>
    <row r="2137" spans="1:1" ht="13.8" x14ac:dyDescent="0.25">
      <c r="A2137" s="8"/>
    </row>
    <row r="2138" spans="1:1" ht="13.8" x14ac:dyDescent="0.25">
      <c r="A2138" s="8"/>
    </row>
    <row r="2139" spans="1:1" ht="13.8" x14ac:dyDescent="0.25">
      <c r="A2139" s="8"/>
    </row>
    <row r="2140" spans="1:1" ht="13.8" x14ac:dyDescent="0.25">
      <c r="A2140" s="8"/>
    </row>
    <row r="2141" spans="1:1" ht="13.8" x14ac:dyDescent="0.25">
      <c r="A2141" s="8"/>
    </row>
    <row r="2142" spans="1:1" ht="13.8" x14ac:dyDescent="0.25">
      <c r="A2142" s="8"/>
    </row>
    <row r="2143" spans="1:1" ht="13.8" x14ac:dyDescent="0.25">
      <c r="A2143" s="8"/>
    </row>
    <row r="2144" spans="1:1" ht="13.8" x14ac:dyDescent="0.25">
      <c r="A2144" s="8"/>
    </row>
    <row r="2145" spans="1:1" ht="13.8" x14ac:dyDescent="0.25">
      <c r="A2145" s="8"/>
    </row>
    <row r="2146" spans="1:1" ht="13.8" x14ac:dyDescent="0.25">
      <c r="A2146" s="8"/>
    </row>
    <row r="2147" spans="1:1" ht="13.8" x14ac:dyDescent="0.25">
      <c r="A2147" s="8"/>
    </row>
    <row r="2148" spans="1:1" ht="13.8" x14ac:dyDescent="0.25">
      <c r="A2148" s="8"/>
    </row>
    <row r="2149" spans="1:1" ht="13.8" x14ac:dyDescent="0.25">
      <c r="A2149" s="8"/>
    </row>
    <row r="2150" spans="1:1" ht="13.8" x14ac:dyDescent="0.25">
      <c r="A2150" s="8"/>
    </row>
    <row r="2151" spans="1:1" ht="13.8" x14ac:dyDescent="0.25">
      <c r="A2151" s="8"/>
    </row>
    <row r="2152" spans="1:1" ht="13.8" x14ac:dyDescent="0.25">
      <c r="A2152" s="8"/>
    </row>
    <row r="2153" spans="1:1" ht="13.8" x14ac:dyDescent="0.25">
      <c r="A2153" s="8"/>
    </row>
    <row r="2154" spans="1:1" ht="13.8" x14ac:dyDescent="0.25">
      <c r="A2154" s="8"/>
    </row>
    <row r="2155" spans="1:1" ht="13.8" x14ac:dyDescent="0.25">
      <c r="A2155" s="8"/>
    </row>
    <row r="2156" spans="1:1" ht="13.8" x14ac:dyDescent="0.25">
      <c r="A2156" s="8"/>
    </row>
    <row r="2157" spans="1:1" ht="13.8" x14ac:dyDescent="0.25">
      <c r="A2157" s="8"/>
    </row>
    <row r="2158" spans="1:1" ht="13.8" x14ac:dyDescent="0.25">
      <c r="A2158" s="8"/>
    </row>
    <row r="2159" spans="1:1" ht="13.8" x14ac:dyDescent="0.25">
      <c r="A2159" s="8"/>
    </row>
    <row r="2160" spans="1:1" ht="13.8" x14ac:dyDescent="0.25">
      <c r="A2160" s="8"/>
    </row>
    <row r="2161" spans="1:1" ht="13.8" x14ac:dyDescent="0.25">
      <c r="A2161" s="8"/>
    </row>
    <row r="2162" spans="1:1" ht="13.8" x14ac:dyDescent="0.25">
      <c r="A2162" s="8"/>
    </row>
    <row r="2163" spans="1:1" ht="13.8" x14ac:dyDescent="0.25">
      <c r="A2163" s="8"/>
    </row>
    <row r="2164" spans="1:1" ht="13.8" x14ac:dyDescent="0.25">
      <c r="A2164" s="8"/>
    </row>
    <row r="2165" spans="1:1" ht="13.8" x14ac:dyDescent="0.25">
      <c r="A2165" s="8"/>
    </row>
    <row r="2166" spans="1:1" ht="13.8" x14ac:dyDescent="0.25">
      <c r="A2166" s="8"/>
    </row>
    <row r="2167" spans="1:1" ht="13.8" x14ac:dyDescent="0.25">
      <c r="A2167" s="8"/>
    </row>
    <row r="2168" spans="1:1" ht="13.8" x14ac:dyDescent="0.25">
      <c r="A2168" s="8"/>
    </row>
    <row r="2169" spans="1:1" ht="13.8" x14ac:dyDescent="0.25">
      <c r="A2169" s="8"/>
    </row>
    <row r="2170" spans="1:1" ht="13.8" x14ac:dyDescent="0.25">
      <c r="A2170" s="8"/>
    </row>
    <row r="2171" spans="1:1" ht="13.8" x14ac:dyDescent="0.25">
      <c r="A2171" s="8"/>
    </row>
    <row r="2172" spans="1:1" ht="13.8" x14ac:dyDescent="0.25">
      <c r="A2172" s="8"/>
    </row>
    <row r="2173" spans="1:1" ht="13.8" x14ac:dyDescent="0.25">
      <c r="A2173" s="8"/>
    </row>
    <row r="2174" spans="1:1" ht="13.8" x14ac:dyDescent="0.25">
      <c r="A2174" s="8"/>
    </row>
    <row r="2175" spans="1:1" ht="13.8" x14ac:dyDescent="0.25">
      <c r="A2175" s="8"/>
    </row>
    <row r="2176" spans="1:1" ht="13.8" x14ac:dyDescent="0.25">
      <c r="A2176" s="8"/>
    </row>
    <row r="2177" spans="1:1" ht="13.8" x14ac:dyDescent="0.25">
      <c r="A2177" s="8"/>
    </row>
    <row r="2178" spans="1:1" ht="13.8" x14ac:dyDescent="0.25">
      <c r="A2178" s="8"/>
    </row>
    <row r="2179" spans="1:1" ht="13.8" x14ac:dyDescent="0.25">
      <c r="A2179" s="8"/>
    </row>
    <row r="2180" spans="1:1" ht="13.8" x14ac:dyDescent="0.25">
      <c r="A2180" s="8"/>
    </row>
    <row r="2181" spans="1:1" ht="13.8" x14ac:dyDescent="0.25">
      <c r="A2181" s="8"/>
    </row>
    <row r="2182" spans="1:1" ht="13.8" x14ac:dyDescent="0.25">
      <c r="A2182" s="8"/>
    </row>
    <row r="2183" spans="1:1" ht="13.8" x14ac:dyDescent="0.25">
      <c r="A2183" s="8"/>
    </row>
    <row r="2184" spans="1:1" ht="13.8" x14ac:dyDescent="0.25">
      <c r="A2184" s="8"/>
    </row>
    <row r="2185" spans="1:1" ht="13.8" x14ac:dyDescent="0.25">
      <c r="A2185" s="8"/>
    </row>
    <row r="2186" spans="1:1" ht="13.8" x14ac:dyDescent="0.25">
      <c r="A2186" s="8"/>
    </row>
    <row r="2187" spans="1:1" ht="13.8" x14ac:dyDescent="0.25">
      <c r="A2187" s="8"/>
    </row>
    <row r="2188" spans="1:1" ht="13.8" x14ac:dyDescent="0.25">
      <c r="A2188" s="8"/>
    </row>
    <row r="2189" spans="1:1" ht="13.8" x14ac:dyDescent="0.25">
      <c r="A2189" s="8"/>
    </row>
    <row r="2190" spans="1:1" ht="13.8" x14ac:dyDescent="0.25">
      <c r="A2190" s="8"/>
    </row>
    <row r="2191" spans="1:1" ht="13.8" x14ac:dyDescent="0.25">
      <c r="A2191" s="8"/>
    </row>
    <row r="2192" spans="1:1" ht="13.8" x14ac:dyDescent="0.25">
      <c r="A2192" s="8"/>
    </row>
    <row r="2193" spans="1:1" ht="13.8" x14ac:dyDescent="0.25">
      <c r="A2193" s="8"/>
    </row>
    <row r="2194" spans="1:1" ht="13.8" x14ac:dyDescent="0.25">
      <c r="A2194" s="8"/>
    </row>
    <row r="2195" spans="1:1" ht="13.8" x14ac:dyDescent="0.25">
      <c r="A2195" s="8"/>
    </row>
    <row r="2196" spans="1:1" ht="13.8" x14ac:dyDescent="0.25">
      <c r="A2196" s="8"/>
    </row>
    <row r="2197" spans="1:1" ht="13.8" x14ac:dyDescent="0.25">
      <c r="A2197" s="8"/>
    </row>
    <row r="2198" spans="1:1" ht="13.8" x14ac:dyDescent="0.25">
      <c r="A2198" s="8"/>
    </row>
    <row r="2199" spans="1:1" ht="13.8" x14ac:dyDescent="0.25">
      <c r="A2199" s="8"/>
    </row>
    <row r="2200" spans="1:1" ht="13.8" x14ac:dyDescent="0.25">
      <c r="A2200" s="8"/>
    </row>
    <row r="2201" spans="1:1" ht="13.8" x14ac:dyDescent="0.25">
      <c r="A2201" s="8"/>
    </row>
    <row r="2202" spans="1:1" ht="13.8" x14ac:dyDescent="0.25">
      <c r="A2202" s="8"/>
    </row>
    <row r="2203" spans="1:1" ht="13.8" x14ac:dyDescent="0.25">
      <c r="A2203" s="8"/>
    </row>
    <row r="2204" spans="1:1" ht="13.8" x14ac:dyDescent="0.25">
      <c r="A2204" s="8"/>
    </row>
    <row r="2205" spans="1:1" ht="13.8" x14ac:dyDescent="0.25">
      <c r="A2205" s="8"/>
    </row>
    <row r="2206" spans="1:1" ht="13.8" x14ac:dyDescent="0.25">
      <c r="A2206" s="8"/>
    </row>
    <row r="2207" spans="1:1" ht="13.8" x14ac:dyDescent="0.25">
      <c r="A2207" s="8"/>
    </row>
    <row r="2208" spans="1:1" ht="13.8" x14ac:dyDescent="0.25">
      <c r="A2208" s="8"/>
    </row>
    <row r="2209" spans="1:1" ht="13.8" x14ac:dyDescent="0.25">
      <c r="A2209" s="8"/>
    </row>
    <row r="2210" spans="1:1" ht="13.8" x14ac:dyDescent="0.25">
      <c r="A2210" s="8"/>
    </row>
    <row r="2211" spans="1:1" ht="13.8" x14ac:dyDescent="0.25">
      <c r="A2211" s="8"/>
    </row>
    <row r="2212" spans="1:1" ht="13.8" x14ac:dyDescent="0.25">
      <c r="A2212" s="8"/>
    </row>
    <row r="2213" spans="1:1" ht="13.8" x14ac:dyDescent="0.25">
      <c r="A2213" s="8"/>
    </row>
    <row r="2214" spans="1:1" ht="13.8" x14ac:dyDescent="0.25">
      <c r="A2214" s="8"/>
    </row>
    <row r="2215" spans="1:1" ht="13.8" x14ac:dyDescent="0.25">
      <c r="A2215" s="8"/>
    </row>
    <row r="2216" spans="1:1" ht="13.8" x14ac:dyDescent="0.25">
      <c r="A2216" s="8"/>
    </row>
    <row r="2217" spans="1:1" ht="13.8" x14ac:dyDescent="0.25">
      <c r="A2217" s="8"/>
    </row>
    <row r="2218" spans="1:1" ht="13.8" x14ac:dyDescent="0.25">
      <c r="A2218" s="8"/>
    </row>
    <row r="2219" spans="1:1" ht="13.8" x14ac:dyDescent="0.25">
      <c r="A2219" s="8"/>
    </row>
    <row r="2220" spans="1:1" ht="13.8" x14ac:dyDescent="0.25">
      <c r="A2220" s="8"/>
    </row>
    <row r="2221" spans="1:1" ht="13.8" x14ac:dyDescent="0.25">
      <c r="A2221" s="8"/>
    </row>
    <row r="2222" spans="1:1" ht="13.8" x14ac:dyDescent="0.25">
      <c r="A2222" s="8"/>
    </row>
    <row r="2223" spans="1:1" ht="13.8" x14ac:dyDescent="0.25">
      <c r="A2223" s="8"/>
    </row>
    <row r="2224" spans="1:1" ht="13.8" x14ac:dyDescent="0.25">
      <c r="A2224" s="8"/>
    </row>
    <row r="2225" spans="1:1" ht="13.8" x14ac:dyDescent="0.25">
      <c r="A2225" s="8"/>
    </row>
    <row r="2226" spans="1:1" ht="13.8" x14ac:dyDescent="0.25">
      <c r="A2226" s="8"/>
    </row>
    <row r="2227" spans="1:1" ht="13.8" x14ac:dyDescent="0.25">
      <c r="A2227" s="8"/>
    </row>
    <row r="2228" spans="1:1" ht="13.8" x14ac:dyDescent="0.25">
      <c r="A2228" s="8"/>
    </row>
    <row r="2229" spans="1:1" ht="13.8" x14ac:dyDescent="0.25">
      <c r="A2229" s="8"/>
    </row>
    <row r="2230" spans="1:1" ht="13.8" x14ac:dyDescent="0.25">
      <c r="A2230" s="8"/>
    </row>
    <row r="2231" spans="1:1" ht="13.8" x14ac:dyDescent="0.25">
      <c r="A2231" s="8"/>
    </row>
    <row r="2232" spans="1:1" ht="13.8" x14ac:dyDescent="0.25">
      <c r="A2232" s="8"/>
    </row>
    <row r="2233" spans="1:1" ht="13.8" x14ac:dyDescent="0.25">
      <c r="A2233" s="8"/>
    </row>
    <row r="2234" spans="1:1" ht="13.8" x14ac:dyDescent="0.25">
      <c r="A2234" s="8"/>
    </row>
    <row r="2235" spans="1:1" ht="13.8" x14ac:dyDescent="0.25">
      <c r="A2235" s="8"/>
    </row>
    <row r="2236" spans="1:1" ht="13.8" x14ac:dyDescent="0.25">
      <c r="A2236" s="8"/>
    </row>
    <row r="2237" spans="1:1" ht="13.8" x14ac:dyDescent="0.25">
      <c r="A2237" s="8"/>
    </row>
    <row r="2238" spans="1:1" ht="13.8" x14ac:dyDescent="0.25">
      <c r="A2238" s="8"/>
    </row>
    <row r="2239" spans="1:1" ht="13.8" x14ac:dyDescent="0.25">
      <c r="A2239" s="8"/>
    </row>
    <row r="2240" spans="1:1" ht="13.8" x14ac:dyDescent="0.25">
      <c r="A2240" s="8"/>
    </row>
    <row r="2241" spans="1:1" ht="13.8" x14ac:dyDescent="0.25">
      <c r="A2241" s="8"/>
    </row>
    <row r="2242" spans="1:1" ht="13.8" x14ac:dyDescent="0.25">
      <c r="A2242" s="8"/>
    </row>
    <row r="2243" spans="1:1" ht="13.8" x14ac:dyDescent="0.25">
      <c r="A2243" s="8"/>
    </row>
    <row r="2244" spans="1:1" ht="13.8" x14ac:dyDescent="0.25">
      <c r="A2244" s="8"/>
    </row>
    <row r="2245" spans="1:1" ht="13.8" x14ac:dyDescent="0.25">
      <c r="A2245" s="8"/>
    </row>
    <row r="2246" spans="1:1" ht="13.8" x14ac:dyDescent="0.25">
      <c r="A2246" s="8"/>
    </row>
    <row r="2247" spans="1:1" ht="13.8" x14ac:dyDescent="0.25">
      <c r="A2247" s="8"/>
    </row>
    <row r="2248" spans="1:1" ht="13.8" x14ac:dyDescent="0.25">
      <c r="A2248" s="8"/>
    </row>
    <row r="2249" spans="1:1" ht="13.8" x14ac:dyDescent="0.25">
      <c r="A2249" s="8"/>
    </row>
    <row r="2250" spans="1:1" ht="13.8" x14ac:dyDescent="0.25">
      <c r="A2250" s="8"/>
    </row>
    <row r="2251" spans="1:1" ht="13.8" x14ac:dyDescent="0.25">
      <c r="A2251" s="8"/>
    </row>
    <row r="2252" spans="1:1" ht="13.8" x14ac:dyDescent="0.25">
      <c r="A2252" s="8"/>
    </row>
    <row r="2253" spans="1:1" ht="13.8" x14ac:dyDescent="0.25">
      <c r="A2253" s="8"/>
    </row>
    <row r="2254" spans="1:1" ht="13.8" x14ac:dyDescent="0.25">
      <c r="A2254" s="8"/>
    </row>
    <row r="2255" spans="1:1" ht="13.8" x14ac:dyDescent="0.25">
      <c r="A2255" s="8"/>
    </row>
    <row r="2256" spans="1:1" ht="13.8" x14ac:dyDescent="0.25">
      <c r="A2256" s="8"/>
    </row>
    <row r="2257" spans="1:1" ht="13.8" x14ac:dyDescent="0.25">
      <c r="A2257" s="8"/>
    </row>
    <row r="2258" spans="1:1" ht="13.8" x14ac:dyDescent="0.25">
      <c r="A2258" s="8"/>
    </row>
    <row r="2259" spans="1:1" ht="13.8" x14ac:dyDescent="0.25">
      <c r="A2259" s="8"/>
    </row>
    <row r="2260" spans="1:1" ht="13.8" x14ac:dyDescent="0.25">
      <c r="A2260" s="8"/>
    </row>
    <row r="2261" spans="1:1" ht="13.8" x14ac:dyDescent="0.25">
      <c r="A2261" s="8"/>
    </row>
    <row r="2262" spans="1:1" ht="13.8" x14ac:dyDescent="0.25">
      <c r="A2262" s="8"/>
    </row>
    <row r="2263" spans="1:1" ht="13.8" x14ac:dyDescent="0.25">
      <c r="A2263" s="8"/>
    </row>
    <row r="2264" spans="1:1" ht="13.8" x14ac:dyDescent="0.25">
      <c r="A2264" s="8"/>
    </row>
    <row r="2265" spans="1:1" ht="13.8" x14ac:dyDescent="0.25">
      <c r="A2265" s="8"/>
    </row>
    <row r="2266" spans="1:1" ht="13.8" x14ac:dyDescent="0.25">
      <c r="A2266" s="8"/>
    </row>
    <row r="2267" spans="1:1" ht="13.8" x14ac:dyDescent="0.25">
      <c r="A2267" s="8"/>
    </row>
    <row r="2268" spans="1:1" ht="13.8" x14ac:dyDescent="0.25">
      <c r="A2268" s="8"/>
    </row>
    <row r="2269" spans="1:1" ht="13.8" x14ac:dyDescent="0.25">
      <c r="A2269" s="8"/>
    </row>
    <row r="2270" spans="1:1" ht="13.8" x14ac:dyDescent="0.25">
      <c r="A2270" s="8"/>
    </row>
    <row r="2271" spans="1:1" ht="13.8" x14ac:dyDescent="0.25">
      <c r="A2271" s="8"/>
    </row>
    <row r="2272" spans="1:1" ht="13.8" x14ac:dyDescent="0.25">
      <c r="A2272" s="8"/>
    </row>
    <row r="2273" spans="1:1" ht="13.8" x14ac:dyDescent="0.25">
      <c r="A2273" s="8"/>
    </row>
    <row r="2274" spans="1:1" ht="13.8" x14ac:dyDescent="0.25">
      <c r="A2274" s="8"/>
    </row>
    <row r="2275" spans="1:1" ht="13.8" x14ac:dyDescent="0.25">
      <c r="A2275" s="8"/>
    </row>
    <row r="2276" spans="1:1" ht="13.8" x14ac:dyDescent="0.25">
      <c r="A2276" s="8"/>
    </row>
    <row r="2277" spans="1:1" ht="13.8" x14ac:dyDescent="0.25">
      <c r="A2277" s="8"/>
    </row>
    <row r="2278" spans="1:1" ht="13.8" x14ac:dyDescent="0.25">
      <c r="A2278" s="8"/>
    </row>
    <row r="2279" spans="1:1" ht="13.8" x14ac:dyDescent="0.25">
      <c r="A2279" s="8"/>
    </row>
    <row r="2280" spans="1:1" ht="13.8" x14ac:dyDescent="0.25">
      <c r="A2280" s="8"/>
    </row>
    <row r="2281" spans="1:1" ht="13.8" x14ac:dyDescent="0.25">
      <c r="A2281" s="8"/>
    </row>
    <row r="2282" spans="1:1" ht="13.8" x14ac:dyDescent="0.25">
      <c r="A2282" s="8"/>
    </row>
    <row r="2283" spans="1:1" ht="13.8" x14ac:dyDescent="0.25">
      <c r="A2283" s="8"/>
    </row>
    <row r="2284" spans="1:1" ht="13.8" x14ac:dyDescent="0.25">
      <c r="A2284" s="8"/>
    </row>
    <row r="2285" spans="1:1" ht="13.8" x14ac:dyDescent="0.25">
      <c r="A2285" s="8"/>
    </row>
    <row r="2286" spans="1:1" ht="13.8" x14ac:dyDescent="0.25">
      <c r="A2286" s="8"/>
    </row>
    <row r="2287" spans="1:1" ht="13.8" x14ac:dyDescent="0.25">
      <c r="A2287" s="8"/>
    </row>
    <row r="2288" spans="1:1" ht="13.8" x14ac:dyDescent="0.25">
      <c r="A2288" s="8"/>
    </row>
    <row r="2289" spans="1:1" ht="13.8" x14ac:dyDescent="0.25">
      <c r="A2289" s="8"/>
    </row>
    <row r="2290" spans="1:1" ht="13.8" x14ac:dyDescent="0.25">
      <c r="A2290" s="8"/>
    </row>
    <row r="2291" spans="1:1" ht="13.8" x14ac:dyDescent="0.25">
      <c r="A2291" s="8"/>
    </row>
    <row r="2292" spans="1:1" ht="13.8" x14ac:dyDescent="0.25">
      <c r="A2292" s="8"/>
    </row>
    <row r="2293" spans="1:1" ht="13.8" x14ac:dyDescent="0.25">
      <c r="A2293" s="8"/>
    </row>
    <row r="2294" spans="1:1" ht="13.8" x14ac:dyDescent="0.25">
      <c r="A2294" s="8"/>
    </row>
    <row r="2295" spans="1:1" ht="13.8" x14ac:dyDescent="0.25">
      <c r="A2295" s="8"/>
    </row>
    <row r="2296" spans="1:1" ht="13.8" x14ac:dyDescent="0.25">
      <c r="A2296" s="8"/>
    </row>
    <row r="2297" spans="1:1" ht="13.8" x14ac:dyDescent="0.25">
      <c r="A2297" s="8"/>
    </row>
    <row r="2298" spans="1:1" ht="13.8" x14ac:dyDescent="0.25">
      <c r="A2298" s="8"/>
    </row>
    <row r="2299" spans="1:1" ht="13.8" x14ac:dyDescent="0.25">
      <c r="A2299" s="8"/>
    </row>
    <row r="2300" spans="1:1" ht="13.8" x14ac:dyDescent="0.25">
      <c r="A2300" s="8"/>
    </row>
    <row r="2301" spans="1:1" ht="13.8" x14ac:dyDescent="0.25">
      <c r="A2301" s="8"/>
    </row>
    <row r="2302" spans="1:1" ht="13.8" x14ac:dyDescent="0.25">
      <c r="A2302" s="8"/>
    </row>
    <row r="2303" spans="1:1" ht="13.8" x14ac:dyDescent="0.25">
      <c r="A2303" s="8"/>
    </row>
    <row r="2304" spans="1:1" ht="13.8" x14ac:dyDescent="0.25">
      <c r="A2304" s="8"/>
    </row>
    <row r="2305" spans="1:1" ht="13.8" x14ac:dyDescent="0.25">
      <c r="A2305" s="8"/>
    </row>
    <row r="2306" spans="1:1" ht="13.8" x14ac:dyDescent="0.25">
      <c r="A2306" s="8"/>
    </row>
    <row r="2307" spans="1:1" ht="13.8" x14ac:dyDescent="0.25">
      <c r="A2307" s="8"/>
    </row>
    <row r="2308" spans="1:1" ht="13.8" x14ac:dyDescent="0.25">
      <c r="A2308" s="8"/>
    </row>
    <row r="2309" spans="1:1" ht="13.8" x14ac:dyDescent="0.25">
      <c r="A2309" s="8"/>
    </row>
    <row r="2310" spans="1:1" ht="13.8" x14ac:dyDescent="0.25">
      <c r="A2310" s="8"/>
    </row>
    <row r="2311" spans="1:1" ht="13.8" x14ac:dyDescent="0.25">
      <c r="A2311" s="8"/>
    </row>
    <row r="2312" spans="1:1" ht="13.8" x14ac:dyDescent="0.25">
      <c r="A2312" s="8"/>
    </row>
    <row r="2313" spans="1:1" ht="13.8" x14ac:dyDescent="0.25">
      <c r="A2313" s="8"/>
    </row>
    <row r="2314" spans="1:1" ht="13.8" x14ac:dyDescent="0.25">
      <c r="A2314" s="8"/>
    </row>
    <row r="2315" spans="1:1" ht="13.8" x14ac:dyDescent="0.25">
      <c r="A2315" s="8"/>
    </row>
    <row r="2316" spans="1:1" ht="13.8" x14ac:dyDescent="0.25">
      <c r="A2316" s="8"/>
    </row>
    <row r="2317" spans="1:1" ht="13.8" x14ac:dyDescent="0.25">
      <c r="A2317" s="8"/>
    </row>
    <row r="2318" spans="1:1" ht="13.8" x14ac:dyDescent="0.25">
      <c r="A2318" s="8"/>
    </row>
    <row r="2319" spans="1:1" ht="13.8" x14ac:dyDescent="0.25">
      <c r="A2319" s="8"/>
    </row>
    <row r="2320" spans="1:1" ht="13.8" x14ac:dyDescent="0.25">
      <c r="A2320" s="8"/>
    </row>
    <row r="2321" spans="1:1" ht="13.8" x14ac:dyDescent="0.25">
      <c r="A2321" s="8"/>
    </row>
    <row r="2322" spans="1:1" ht="13.8" x14ac:dyDescent="0.25">
      <c r="A2322" s="8"/>
    </row>
    <row r="2323" spans="1:1" ht="13.8" x14ac:dyDescent="0.25">
      <c r="A2323" s="8"/>
    </row>
    <row r="2324" spans="1:1" ht="13.8" x14ac:dyDescent="0.25">
      <c r="A2324" s="8"/>
    </row>
    <row r="2325" spans="1:1" ht="13.8" x14ac:dyDescent="0.25">
      <c r="A2325" s="8"/>
    </row>
    <row r="2326" spans="1:1" ht="13.8" x14ac:dyDescent="0.25">
      <c r="A2326" s="8"/>
    </row>
    <row r="2327" spans="1:1" ht="13.8" x14ac:dyDescent="0.25">
      <c r="A2327" s="8"/>
    </row>
    <row r="2328" spans="1:1" ht="13.8" x14ac:dyDescent="0.25">
      <c r="A2328" s="8"/>
    </row>
    <row r="2329" spans="1:1" ht="13.8" x14ac:dyDescent="0.25">
      <c r="A2329" s="8"/>
    </row>
    <row r="2330" spans="1:1" ht="13.8" x14ac:dyDescent="0.25">
      <c r="A2330" s="8"/>
    </row>
    <row r="2331" spans="1:1" ht="13.8" x14ac:dyDescent="0.25">
      <c r="A2331" s="8"/>
    </row>
    <row r="2332" spans="1:1" ht="13.8" x14ac:dyDescent="0.25">
      <c r="A2332" s="8"/>
    </row>
    <row r="2333" spans="1:1" ht="13.8" x14ac:dyDescent="0.25">
      <c r="A2333" s="8"/>
    </row>
    <row r="2334" spans="1:1" ht="13.8" x14ac:dyDescent="0.25">
      <c r="A2334" s="8"/>
    </row>
    <row r="2335" spans="1:1" ht="13.8" x14ac:dyDescent="0.25">
      <c r="A2335" s="8"/>
    </row>
    <row r="2336" spans="1:1" ht="13.8" x14ac:dyDescent="0.25">
      <c r="A2336" s="8"/>
    </row>
    <row r="2337" spans="1:1" ht="13.8" x14ac:dyDescent="0.25">
      <c r="A2337" s="8"/>
    </row>
    <row r="2338" spans="1:1" ht="13.8" x14ac:dyDescent="0.25">
      <c r="A2338" s="8"/>
    </row>
    <row r="2339" spans="1:1" ht="13.8" x14ac:dyDescent="0.25">
      <c r="A2339" s="8"/>
    </row>
    <row r="2340" spans="1:1" ht="13.8" x14ac:dyDescent="0.25">
      <c r="A2340" s="8"/>
    </row>
    <row r="2341" spans="1:1" ht="13.8" x14ac:dyDescent="0.25">
      <c r="A2341" s="8"/>
    </row>
    <row r="2342" spans="1:1" ht="13.8" x14ac:dyDescent="0.25">
      <c r="A2342" s="8"/>
    </row>
    <row r="2343" spans="1:1" ht="13.8" x14ac:dyDescent="0.25">
      <c r="A2343" s="8"/>
    </row>
    <row r="2344" spans="1:1" ht="13.8" x14ac:dyDescent="0.25">
      <c r="A2344" s="8"/>
    </row>
    <row r="2345" spans="1:1" ht="13.8" x14ac:dyDescent="0.25">
      <c r="A2345" s="8"/>
    </row>
    <row r="2346" spans="1:1" ht="13.8" x14ac:dyDescent="0.25">
      <c r="A2346" s="8"/>
    </row>
    <row r="2347" spans="1:1" ht="13.8" x14ac:dyDescent="0.25">
      <c r="A2347" s="8"/>
    </row>
    <row r="2348" spans="1:1" ht="13.8" x14ac:dyDescent="0.25">
      <c r="A2348" s="8"/>
    </row>
    <row r="2349" spans="1:1" ht="13.8" x14ac:dyDescent="0.25">
      <c r="A2349" s="8"/>
    </row>
    <row r="2350" spans="1:1" ht="13.8" x14ac:dyDescent="0.25">
      <c r="A2350" s="8"/>
    </row>
    <row r="2351" spans="1:1" ht="13.8" x14ac:dyDescent="0.25">
      <c r="A2351" s="8"/>
    </row>
    <row r="2352" spans="1:1" ht="13.8" x14ac:dyDescent="0.25">
      <c r="A2352" s="8"/>
    </row>
    <row r="2353" spans="1:1" ht="13.8" x14ac:dyDescent="0.25">
      <c r="A2353" s="8"/>
    </row>
    <row r="2354" spans="1:1" ht="13.8" x14ac:dyDescent="0.25">
      <c r="A2354" s="8"/>
    </row>
    <row r="2355" spans="1:1" ht="13.8" x14ac:dyDescent="0.25">
      <c r="A2355" s="8"/>
    </row>
    <row r="2356" spans="1:1" ht="13.8" x14ac:dyDescent="0.25">
      <c r="A2356" s="8"/>
    </row>
    <row r="2357" spans="1:1" ht="13.8" x14ac:dyDescent="0.25">
      <c r="A2357" s="8"/>
    </row>
    <row r="2358" spans="1:1" ht="13.8" x14ac:dyDescent="0.25">
      <c r="A2358" s="8"/>
    </row>
    <row r="2359" spans="1:1" ht="13.8" x14ac:dyDescent="0.25">
      <c r="A2359" s="8"/>
    </row>
    <row r="2360" spans="1:1" ht="13.8" x14ac:dyDescent="0.25">
      <c r="A2360" s="8"/>
    </row>
    <row r="2361" spans="1:1" ht="13.8" x14ac:dyDescent="0.25">
      <c r="A2361" s="8"/>
    </row>
    <row r="2362" spans="1:1" ht="13.8" x14ac:dyDescent="0.25">
      <c r="A2362" s="8"/>
    </row>
    <row r="2363" spans="1:1" ht="13.8" x14ac:dyDescent="0.25">
      <c r="A2363" s="8"/>
    </row>
    <row r="2364" spans="1:1" ht="13.8" x14ac:dyDescent="0.25">
      <c r="A2364" s="8"/>
    </row>
    <row r="2365" spans="1:1" ht="13.8" x14ac:dyDescent="0.25">
      <c r="A2365" s="8"/>
    </row>
    <row r="2366" spans="1:1" ht="13.8" x14ac:dyDescent="0.25">
      <c r="A2366" s="8"/>
    </row>
    <row r="2367" spans="1:1" ht="13.8" x14ac:dyDescent="0.25">
      <c r="A2367" s="8"/>
    </row>
    <row r="2368" spans="1:1" ht="13.8" x14ac:dyDescent="0.25">
      <c r="A2368" s="8"/>
    </row>
    <row r="2369" spans="1:1" ht="13.8" x14ac:dyDescent="0.25">
      <c r="A2369" s="8"/>
    </row>
    <row r="2370" spans="1:1" ht="13.8" x14ac:dyDescent="0.25">
      <c r="A2370" s="8"/>
    </row>
    <row r="2371" spans="1:1" ht="13.8" x14ac:dyDescent="0.25">
      <c r="A2371" s="8"/>
    </row>
    <row r="2372" spans="1:1" ht="13.8" x14ac:dyDescent="0.25">
      <c r="A2372" s="8"/>
    </row>
    <row r="2373" spans="1:1" ht="13.8" x14ac:dyDescent="0.25">
      <c r="A2373" s="8"/>
    </row>
    <row r="2374" spans="1:1" ht="13.8" x14ac:dyDescent="0.25">
      <c r="A2374" s="8"/>
    </row>
    <row r="2375" spans="1:1" ht="13.8" x14ac:dyDescent="0.25">
      <c r="A2375" s="8"/>
    </row>
    <row r="2376" spans="1:1" ht="13.8" x14ac:dyDescent="0.25">
      <c r="A2376" s="8"/>
    </row>
    <row r="2377" spans="1:1" ht="13.8" x14ac:dyDescent="0.25">
      <c r="A2377" s="8"/>
    </row>
    <row r="2378" spans="1:1" ht="13.8" x14ac:dyDescent="0.25">
      <c r="A2378" s="8"/>
    </row>
    <row r="2379" spans="1:1" ht="13.8" x14ac:dyDescent="0.25">
      <c r="A2379" s="8"/>
    </row>
    <row r="2380" spans="1:1" ht="13.8" x14ac:dyDescent="0.25">
      <c r="A2380" s="8"/>
    </row>
    <row r="2381" spans="1:1" ht="13.8" x14ac:dyDescent="0.25">
      <c r="A2381" s="8"/>
    </row>
    <row r="2382" spans="1:1" ht="13.8" x14ac:dyDescent="0.25">
      <c r="A2382" s="8"/>
    </row>
    <row r="2383" spans="1:1" ht="13.8" x14ac:dyDescent="0.25">
      <c r="A2383" s="8"/>
    </row>
    <row r="2384" spans="1:1" ht="13.8" x14ac:dyDescent="0.25">
      <c r="A2384" s="8"/>
    </row>
    <row r="2385" spans="1:1" ht="13.8" x14ac:dyDescent="0.25">
      <c r="A2385" s="8"/>
    </row>
    <row r="2386" spans="1:1" ht="13.8" x14ac:dyDescent="0.25">
      <c r="A2386" s="8"/>
    </row>
    <row r="2387" spans="1:1" ht="13.8" x14ac:dyDescent="0.25">
      <c r="A2387" s="8"/>
    </row>
    <row r="2388" spans="1:1" ht="13.8" x14ac:dyDescent="0.25">
      <c r="A2388" s="8"/>
    </row>
    <row r="2389" spans="1:1" ht="13.8" x14ac:dyDescent="0.25">
      <c r="A2389" s="8"/>
    </row>
    <row r="2390" spans="1:1" ht="13.8" x14ac:dyDescent="0.25">
      <c r="A2390" s="8"/>
    </row>
    <row r="2391" spans="1:1" ht="13.8" x14ac:dyDescent="0.25">
      <c r="A2391" s="8"/>
    </row>
    <row r="2392" spans="1:1" ht="13.8" x14ac:dyDescent="0.25">
      <c r="A2392" s="8"/>
    </row>
    <row r="2393" spans="1:1" ht="13.8" x14ac:dyDescent="0.25">
      <c r="A2393" s="8"/>
    </row>
    <row r="2394" spans="1:1" ht="13.8" x14ac:dyDescent="0.25">
      <c r="A2394" s="8"/>
    </row>
    <row r="2395" spans="1:1" ht="13.8" x14ac:dyDescent="0.25">
      <c r="A2395" s="8"/>
    </row>
    <row r="2396" spans="1:1" ht="13.8" x14ac:dyDescent="0.25">
      <c r="A2396" s="8"/>
    </row>
    <row r="2397" spans="1:1" ht="13.8" x14ac:dyDescent="0.25">
      <c r="A2397" s="8"/>
    </row>
    <row r="2398" spans="1:1" ht="13.8" x14ac:dyDescent="0.25">
      <c r="A2398" s="8"/>
    </row>
    <row r="2399" spans="1:1" ht="13.8" x14ac:dyDescent="0.25">
      <c r="A2399" s="8"/>
    </row>
    <row r="2400" spans="1:1" ht="13.8" x14ac:dyDescent="0.25">
      <c r="A2400" s="8"/>
    </row>
    <row r="2401" spans="1:1" ht="13.8" x14ac:dyDescent="0.25">
      <c r="A2401" s="8"/>
    </row>
    <row r="2402" spans="1:1" ht="13.8" x14ac:dyDescent="0.25">
      <c r="A2402" s="8"/>
    </row>
    <row r="2403" spans="1:1" ht="13.8" x14ac:dyDescent="0.25">
      <c r="A2403" s="8"/>
    </row>
    <row r="2404" spans="1:1" ht="13.8" x14ac:dyDescent="0.25">
      <c r="A2404" s="8"/>
    </row>
    <row r="2405" spans="1:1" ht="13.8" x14ac:dyDescent="0.25">
      <c r="A2405" s="8"/>
    </row>
    <row r="2406" spans="1:1" ht="13.8" x14ac:dyDescent="0.25">
      <c r="A2406" s="8"/>
    </row>
    <row r="2407" spans="1:1" ht="13.8" x14ac:dyDescent="0.25">
      <c r="A2407" s="8"/>
    </row>
    <row r="2408" spans="1:1" ht="13.8" x14ac:dyDescent="0.25">
      <c r="A2408" s="8"/>
    </row>
    <row r="2409" spans="1:1" ht="13.8" x14ac:dyDescent="0.25">
      <c r="A2409" s="8"/>
    </row>
    <row r="2410" spans="1:1" ht="13.8" x14ac:dyDescent="0.25">
      <c r="A2410" s="8"/>
    </row>
    <row r="2411" spans="1:1" ht="13.8" x14ac:dyDescent="0.25">
      <c r="A2411" s="8"/>
    </row>
    <row r="2412" spans="1:1" ht="13.8" x14ac:dyDescent="0.25">
      <c r="A2412" s="8"/>
    </row>
    <row r="2413" spans="1:1" ht="13.8" x14ac:dyDescent="0.25">
      <c r="A2413" s="8"/>
    </row>
    <row r="2414" spans="1:1" ht="13.8" x14ac:dyDescent="0.25">
      <c r="A2414" s="8"/>
    </row>
    <row r="2415" spans="1:1" ht="13.8" x14ac:dyDescent="0.25">
      <c r="A2415" s="8"/>
    </row>
    <row r="2416" spans="1:1" ht="13.8" x14ac:dyDescent="0.25">
      <c r="A2416" s="8"/>
    </row>
    <row r="2417" spans="1:1" ht="13.8" x14ac:dyDescent="0.25">
      <c r="A2417" s="8"/>
    </row>
    <row r="2418" spans="1:1" ht="13.8" x14ac:dyDescent="0.25">
      <c r="A2418" s="8"/>
    </row>
    <row r="2419" spans="1:1" ht="13.8" x14ac:dyDescent="0.25">
      <c r="A2419" s="8"/>
    </row>
    <row r="2420" spans="1:1" ht="13.8" x14ac:dyDescent="0.25">
      <c r="A2420" s="8"/>
    </row>
    <row r="2421" spans="1:1" ht="13.8" x14ac:dyDescent="0.25">
      <c r="A2421" s="8"/>
    </row>
    <row r="2422" spans="1:1" ht="13.8" x14ac:dyDescent="0.25">
      <c r="A2422" s="8"/>
    </row>
    <row r="2423" spans="1:1" ht="13.8" x14ac:dyDescent="0.25">
      <c r="A2423" s="8"/>
    </row>
    <row r="2424" spans="1:1" ht="13.8" x14ac:dyDescent="0.25">
      <c r="A2424" s="8"/>
    </row>
    <row r="2425" spans="1:1" ht="13.8" x14ac:dyDescent="0.25">
      <c r="A2425" s="8"/>
    </row>
    <row r="2426" spans="1:1" ht="13.8" x14ac:dyDescent="0.25">
      <c r="A2426" s="8"/>
    </row>
    <row r="2427" spans="1:1" ht="13.8" x14ac:dyDescent="0.25">
      <c r="A2427" s="8"/>
    </row>
    <row r="2428" spans="1:1" ht="13.8" x14ac:dyDescent="0.25">
      <c r="A2428" s="8"/>
    </row>
    <row r="2429" spans="1:1" ht="13.8" x14ac:dyDescent="0.25">
      <c r="A2429" s="8"/>
    </row>
    <row r="2430" spans="1:1" ht="13.8" x14ac:dyDescent="0.25">
      <c r="A2430" s="8"/>
    </row>
    <row r="2431" spans="1:1" ht="13.8" x14ac:dyDescent="0.25">
      <c r="A2431" s="8"/>
    </row>
    <row r="2432" spans="1:1" ht="13.8" x14ac:dyDescent="0.25">
      <c r="A2432" s="8"/>
    </row>
    <row r="2433" spans="1:1" ht="13.8" x14ac:dyDescent="0.25">
      <c r="A2433" s="8"/>
    </row>
    <row r="2434" spans="1:1" ht="13.8" x14ac:dyDescent="0.25">
      <c r="A2434" s="8"/>
    </row>
    <row r="2435" spans="1:1" ht="13.8" x14ac:dyDescent="0.25">
      <c r="A2435" s="8"/>
    </row>
    <row r="2436" spans="1:1" ht="13.8" x14ac:dyDescent="0.25">
      <c r="A2436" s="8"/>
    </row>
    <row r="2437" spans="1:1" ht="13.8" x14ac:dyDescent="0.25">
      <c r="A2437" s="8"/>
    </row>
    <row r="2438" spans="1:1" ht="13.8" x14ac:dyDescent="0.25">
      <c r="A2438" s="8"/>
    </row>
    <row r="2439" spans="1:1" ht="13.8" x14ac:dyDescent="0.25">
      <c r="A2439" s="8"/>
    </row>
    <row r="2440" spans="1:1" ht="13.8" x14ac:dyDescent="0.25">
      <c r="A2440" s="8"/>
    </row>
    <row r="2441" spans="1:1" ht="13.8" x14ac:dyDescent="0.25">
      <c r="A2441" s="8"/>
    </row>
    <row r="2442" spans="1:1" ht="13.8" x14ac:dyDescent="0.25">
      <c r="A2442" s="8"/>
    </row>
    <row r="2443" spans="1:1" ht="13.8" x14ac:dyDescent="0.25">
      <c r="A2443" s="8"/>
    </row>
    <row r="2444" spans="1:1" ht="13.8" x14ac:dyDescent="0.25">
      <c r="A2444" s="8"/>
    </row>
    <row r="2445" spans="1:1" ht="13.8" x14ac:dyDescent="0.25">
      <c r="A2445" s="8"/>
    </row>
    <row r="2446" spans="1:1" ht="13.8" x14ac:dyDescent="0.25">
      <c r="A2446" s="8"/>
    </row>
    <row r="2447" spans="1:1" ht="13.8" x14ac:dyDescent="0.25">
      <c r="A2447" s="8"/>
    </row>
    <row r="2448" spans="1:1" ht="13.8" x14ac:dyDescent="0.25">
      <c r="A2448" s="8"/>
    </row>
    <row r="2449" spans="1:1" ht="13.8" x14ac:dyDescent="0.25">
      <c r="A2449" s="8"/>
    </row>
    <row r="2450" spans="1:1" ht="13.8" x14ac:dyDescent="0.25">
      <c r="A2450" s="8"/>
    </row>
    <row r="2451" spans="1:1" ht="13.8" x14ac:dyDescent="0.25">
      <c r="A2451" s="8"/>
    </row>
    <row r="2452" spans="1:1" ht="13.8" x14ac:dyDescent="0.25">
      <c r="A2452" s="8"/>
    </row>
    <row r="2453" spans="1:1" ht="13.8" x14ac:dyDescent="0.25">
      <c r="A2453" s="8"/>
    </row>
    <row r="2454" spans="1:1" ht="13.8" x14ac:dyDescent="0.25">
      <c r="A2454" s="8"/>
    </row>
    <row r="2455" spans="1:1" ht="13.8" x14ac:dyDescent="0.25">
      <c r="A2455" s="8"/>
    </row>
    <row r="2456" spans="1:1" ht="13.8" x14ac:dyDescent="0.25">
      <c r="A2456" s="8"/>
    </row>
    <row r="2457" spans="1:1" ht="13.8" x14ac:dyDescent="0.25">
      <c r="A2457" s="8"/>
    </row>
    <row r="2458" spans="1:1" ht="13.8" x14ac:dyDescent="0.25">
      <c r="A2458" s="8"/>
    </row>
    <row r="2459" spans="1:1" ht="13.8" x14ac:dyDescent="0.25">
      <c r="A2459" s="8"/>
    </row>
    <row r="2460" spans="1:1" ht="13.8" x14ac:dyDescent="0.25">
      <c r="A2460" s="8"/>
    </row>
    <row r="2461" spans="1:1" ht="13.8" x14ac:dyDescent="0.25">
      <c r="A2461" s="8"/>
    </row>
    <row r="2462" spans="1:1" ht="13.8" x14ac:dyDescent="0.25">
      <c r="A2462" s="8"/>
    </row>
    <row r="2463" spans="1:1" ht="13.8" x14ac:dyDescent="0.25">
      <c r="A2463" s="8"/>
    </row>
    <row r="2464" spans="1:1" ht="13.8" x14ac:dyDescent="0.25">
      <c r="A2464" s="8"/>
    </row>
    <row r="2465" spans="1:1" ht="13.8" x14ac:dyDescent="0.25">
      <c r="A2465" s="8"/>
    </row>
    <row r="2466" spans="1:1" ht="13.8" x14ac:dyDescent="0.25">
      <c r="A2466" s="8"/>
    </row>
    <row r="2467" spans="1:1" ht="13.8" x14ac:dyDescent="0.25">
      <c r="A2467" s="8"/>
    </row>
    <row r="2468" spans="1:1" ht="13.8" x14ac:dyDescent="0.25">
      <c r="A2468" s="8"/>
    </row>
    <row r="2469" spans="1:1" ht="13.8" x14ac:dyDescent="0.25">
      <c r="A2469" s="8"/>
    </row>
    <row r="2470" spans="1:1" ht="13.8" x14ac:dyDescent="0.25">
      <c r="A2470" s="8"/>
    </row>
    <row r="2471" spans="1:1" ht="13.8" x14ac:dyDescent="0.25">
      <c r="A2471" s="8"/>
    </row>
    <row r="2472" spans="1:1" ht="13.8" x14ac:dyDescent="0.25">
      <c r="A2472" s="8"/>
    </row>
    <row r="2473" spans="1:1" ht="13.8" x14ac:dyDescent="0.25">
      <c r="A2473" s="8"/>
    </row>
    <row r="2474" spans="1:1" ht="13.8" x14ac:dyDescent="0.25">
      <c r="A2474" s="8"/>
    </row>
    <row r="2475" spans="1:1" ht="13.8" x14ac:dyDescent="0.25">
      <c r="A2475" s="8"/>
    </row>
    <row r="2476" spans="1:1" ht="13.8" x14ac:dyDescent="0.25">
      <c r="A2476" s="8"/>
    </row>
    <row r="2477" spans="1:1" ht="13.8" x14ac:dyDescent="0.25">
      <c r="A2477" s="8"/>
    </row>
    <row r="2478" spans="1:1" ht="13.8" x14ac:dyDescent="0.25">
      <c r="A2478" s="8"/>
    </row>
    <row r="2479" spans="1:1" ht="13.8" x14ac:dyDescent="0.25">
      <c r="A2479" s="8"/>
    </row>
    <row r="2480" spans="1:1" ht="13.8" x14ac:dyDescent="0.25">
      <c r="A2480" s="8"/>
    </row>
    <row r="2481" spans="1:1" ht="13.8" x14ac:dyDescent="0.25">
      <c r="A2481" s="8"/>
    </row>
    <row r="2482" spans="1:1" ht="13.8" x14ac:dyDescent="0.25">
      <c r="A2482" s="8"/>
    </row>
    <row r="2483" spans="1:1" ht="13.8" x14ac:dyDescent="0.25">
      <c r="A2483" s="8"/>
    </row>
    <row r="2484" spans="1:1" ht="13.8" x14ac:dyDescent="0.25">
      <c r="A2484" s="8"/>
    </row>
    <row r="2485" spans="1:1" ht="13.8" x14ac:dyDescent="0.25">
      <c r="A2485" s="8"/>
    </row>
    <row r="2486" spans="1:1" ht="13.8" x14ac:dyDescent="0.25">
      <c r="A2486" s="8"/>
    </row>
    <row r="2487" spans="1:1" ht="13.8" x14ac:dyDescent="0.25">
      <c r="A2487" s="8"/>
    </row>
    <row r="2488" spans="1:1" ht="13.8" x14ac:dyDescent="0.25">
      <c r="A2488" s="8"/>
    </row>
    <row r="2489" spans="1:1" ht="13.8" x14ac:dyDescent="0.25">
      <c r="A2489" s="8"/>
    </row>
    <row r="2490" spans="1:1" ht="13.8" x14ac:dyDescent="0.25">
      <c r="A2490" s="8"/>
    </row>
    <row r="2491" spans="1:1" ht="13.8" x14ac:dyDescent="0.25">
      <c r="A2491" s="8"/>
    </row>
    <row r="2492" spans="1:1" ht="13.8" x14ac:dyDescent="0.25">
      <c r="A2492" s="8"/>
    </row>
    <row r="2493" spans="1:1" ht="13.8" x14ac:dyDescent="0.25">
      <c r="A2493" s="8"/>
    </row>
    <row r="2494" spans="1:1" ht="13.8" x14ac:dyDescent="0.25">
      <c r="A2494" s="8"/>
    </row>
    <row r="2495" spans="1:1" ht="13.8" x14ac:dyDescent="0.25">
      <c r="A2495" s="8"/>
    </row>
    <row r="2496" spans="1:1" ht="13.8" x14ac:dyDescent="0.25">
      <c r="A2496" s="8"/>
    </row>
    <row r="2497" spans="1:1" ht="13.8" x14ac:dyDescent="0.25">
      <c r="A2497" s="8"/>
    </row>
    <row r="2498" spans="1:1" ht="13.8" x14ac:dyDescent="0.25">
      <c r="A2498" s="8"/>
    </row>
    <row r="2499" spans="1:1" ht="13.8" x14ac:dyDescent="0.25">
      <c r="A2499" s="8"/>
    </row>
    <row r="2500" spans="1:1" ht="13.8" x14ac:dyDescent="0.25">
      <c r="A2500" s="8"/>
    </row>
    <row r="2501" spans="1:1" ht="13.8" x14ac:dyDescent="0.25">
      <c r="A2501" s="8"/>
    </row>
    <row r="2502" spans="1:1" ht="13.8" x14ac:dyDescent="0.25">
      <c r="A2502" s="8"/>
    </row>
    <row r="2503" spans="1:1" ht="13.8" x14ac:dyDescent="0.25">
      <c r="A2503" s="8"/>
    </row>
    <row r="2504" spans="1:1" ht="13.8" x14ac:dyDescent="0.25">
      <c r="A2504" s="8"/>
    </row>
    <row r="2505" spans="1:1" ht="13.8" x14ac:dyDescent="0.25">
      <c r="A2505" s="8"/>
    </row>
    <row r="2506" spans="1:1" ht="13.8" x14ac:dyDescent="0.25">
      <c r="A2506" s="8"/>
    </row>
    <row r="2507" spans="1:1" ht="13.8" x14ac:dyDescent="0.25">
      <c r="A2507" s="8"/>
    </row>
    <row r="2508" spans="1:1" ht="13.8" x14ac:dyDescent="0.25">
      <c r="A2508" s="8"/>
    </row>
    <row r="2509" spans="1:1" ht="13.8" x14ac:dyDescent="0.25">
      <c r="A2509" s="8"/>
    </row>
    <row r="2510" spans="1:1" ht="13.8" x14ac:dyDescent="0.25">
      <c r="A2510" s="8"/>
    </row>
    <row r="2511" spans="1:1" ht="13.8" x14ac:dyDescent="0.25">
      <c r="A2511" s="8"/>
    </row>
    <row r="2512" spans="1:1" ht="13.8" x14ac:dyDescent="0.25">
      <c r="A2512" s="8"/>
    </row>
    <row r="2513" spans="1:1" ht="13.8" x14ac:dyDescent="0.25">
      <c r="A2513" s="8"/>
    </row>
    <row r="2514" spans="1:1" ht="13.8" x14ac:dyDescent="0.25">
      <c r="A2514" s="8"/>
    </row>
    <row r="2515" spans="1:1" ht="13.8" x14ac:dyDescent="0.25">
      <c r="A2515" s="8"/>
    </row>
    <row r="2516" spans="1:1" ht="13.8" x14ac:dyDescent="0.25">
      <c r="A2516" s="8"/>
    </row>
    <row r="2517" spans="1:1" ht="13.8" x14ac:dyDescent="0.25">
      <c r="A2517" s="8"/>
    </row>
    <row r="2518" spans="1:1" ht="13.8" x14ac:dyDescent="0.25">
      <c r="A2518" s="8"/>
    </row>
    <row r="2519" spans="1:1" ht="13.8" x14ac:dyDescent="0.25">
      <c r="A2519" s="8"/>
    </row>
    <row r="2520" spans="1:1" ht="13.8" x14ac:dyDescent="0.25">
      <c r="A2520" s="8"/>
    </row>
    <row r="2521" spans="1:1" ht="13.8" x14ac:dyDescent="0.25">
      <c r="A2521" s="8"/>
    </row>
    <row r="2522" spans="1:1" ht="13.8" x14ac:dyDescent="0.25">
      <c r="A2522" s="8"/>
    </row>
    <row r="2523" spans="1:1" ht="13.8" x14ac:dyDescent="0.25">
      <c r="A2523" s="8"/>
    </row>
    <row r="2524" spans="1:1" ht="13.8" x14ac:dyDescent="0.25">
      <c r="A2524" s="8"/>
    </row>
    <row r="2525" spans="1:1" ht="13.8" x14ac:dyDescent="0.25">
      <c r="A2525" s="8"/>
    </row>
    <row r="2526" spans="1:1" ht="13.8" x14ac:dyDescent="0.25">
      <c r="A2526" s="8"/>
    </row>
    <row r="2527" spans="1:1" ht="13.8" x14ac:dyDescent="0.25">
      <c r="A2527" s="8"/>
    </row>
    <row r="2528" spans="1:1" ht="13.8" x14ac:dyDescent="0.25">
      <c r="A2528" s="8"/>
    </row>
    <row r="2529" spans="1:1" ht="13.8" x14ac:dyDescent="0.25">
      <c r="A2529" s="8"/>
    </row>
    <row r="2530" spans="1:1" ht="13.8" x14ac:dyDescent="0.25">
      <c r="A2530" s="8"/>
    </row>
    <row r="2531" spans="1:1" ht="13.8" x14ac:dyDescent="0.25">
      <c r="A2531" s="8"/>
    </row>
    <row r="2532" spans="1:1" ht="13.8" x14ac:dyDescent="0.25">
      <c r="A2532" s="8"/>
    </row>
    <row r="2533" spans="1:1" ht="13.8" x14ac:dyDescent="0.25">
      <c r="A2533" s="8"/>
    </row>
    <row r="2534" spans="1:1" ht="13.8" x14ac:dyDescent="0.25">
      <c r="A2534" s="8"/>
    </row>
    <row r="2535" spans="1:1" ht="13.8" x14ac:dyDescent="0.25">
      <c r="A2535" s="8"/>
    </row>
    <row r="2536" spans="1:1" ht="13.8" x14ac:dyDescent="0.25">
      <c r="A2536" s="8"/>
    </row>
    <row r="2537" spans="1:1" ht="13.8" x14ac:dyDescent="0.25">
      <c r="A2537" s="8"/>
    </row>
    <row r="2538" spans="1:1" ht="13.8" x14ac:dyDescent="0.25">
      <c r="A2538" s="8"/>
    </row>
    <row r="2539" spans="1:1" ht="13.8" x14ac:dyDescent="0.25">
      <c r="A2539" s="8"/>
    </row>
    <row r="2540" spans="1:1" ht="13.8" x14ac:dyDescent="0.25">
      <c r="A2540" s="8"/>
    </row>
    <row r="2541" spans="1:1" ht="13.8" x14ac:dyDescent="0.25">
      <c r="A2541" s="8"/>
    </row>
    <row r="2542" spans="1:1" ht="13.8" x14ac:dyDescent="0.25">
      <c r="A2542" s="8"/>
    </row>
    <row r="2543" spans="1:1" ht="13.8" x14ac:dyDescent="0.25">
      <c r="A2543" s="8"/>
    </row>
    <row r="2544" spans="1:1" ht="13.8" x14ac:dyDescent="0.25">
      <c r="A2544" s="8"/>
    </row>
    <row r="2545" spans="1:1" ht="13.8" x14ac:dyDescent="0.25">
      <c r="A2545" s="8"/>
    </row>
    <row r="2546" spans="1:1" ht="13.8" x14ac:dyDescent="0.25">
      <c r="A2546" s="8"/>
    </row>
    <row r="2547" spans="1:1" ht="13.8" x14ac:dyDescent="0.25">
      <c r="A2547" s="8"/>
    </row>
    <row r="2548" spans="1:1" ht="13.8" x14ac:dyDescent="0.25">
      <c r="A2548" s="8"/>
    </row>
    <row r="2549" spans="1:1" ht="13.8" x14ac:dyDescent="0.25">
      <c r="A2549" s="8"/>
    </row>
    <row r="2550" spans="1:1" ht="13.8" x14ac:dyDescent="0.25">
      <c r="A2550" s="8"/>
    </row>
    <row r="2551" spans="1:1" ht="13.8" x14ac:dyDescent="0.25">
      <c r="A2551" s="8"/>
    </row>
    <row r="2552" spans="1:1" ht="13.8" x14ac:dyDescent="0.25">
      <c r="A2552" s="8"/>
    </row>
    <row r="2553" spans="1:1" ht="13.8" x14ac:dyDescent="0.25">
      <c r="A2553" s="8"/>
    </row>
    <row r="2554" spans="1:1" ht="13.8" x14ac:dyDescent="0.25">
      <c r="A2554" s="8"/>
    </row>
    <row r="2555" spans="1:1" ht="13.8" x14ac:dyDescent="0.25">
      <c r="A2555" s="8"/>
    </row>
    <row r="2556" spans="1:1" ht="13.8" x14ac:dyDescent="0.25">
      <c r="A2556" s="8"/>
    </row>
    <row r="2557" spans="1:1" ht="13.8" x14ac:dyDescent="0.25">
      <c r="A2557" s="8"/>
    </row>
    <row r="2558" spans="1:1" ht="13.8" x14ac:dyDescent="0.25">
      <c r="A2558" s="8"/>
    </row>
    <row r="2559" spans="1:1" ht="13.8" x14ac:dyDescent="0.25">
      <c r="A2559" s="8"/>
    </row>
    <row r="2560" spans="1:1" ht="13.8" x14ac:dyDescent="0.25">
      <c r="A2560" s="8"/>
    </row>
    <row r="2561" spans="1:1" ht="13.8" x14ac:dyDescent="0.25">
      <c r="A2561" s="8"/>
    </row>
    <row r="2562" spans="1:1" ht="13.8" x14ac:dyDescent="0.25">
      <c r="A2562" s="8"/>
    </row>
    <row r="2563" spans="1:1" ht="13.8" x14ac:dyDescent="0.25">
      <c r="A2563" s="8"/>
    </row>
    <row r="2564" spans="1:1" ht="13.8" x14ac:dyDescent="0.25">
      <c r="A2564" s="8"/>
    </row>
    <row r="2565" spans="1:1" ht="13.8" x14ac:dyDescent="0.25">
      <c r="A2565" s="8"/>
    </row>
    <row r="2566" spans="1:1" ht="13.8" x14ac:dyDescent="0.25">
      <c r="A2566" s="8"/>
    </row>
    <row r="2567" spans="1:1" ht="13.8" x14ac:dyDescent="0.25">
      <c r="A2567" s="8"/>
    </row>
    <row r="2568" spans="1:1" ht="13.8" x14ac:dyDescent="0.25">
      <c r="A2568" s="8"/>
    </row>
    <row r="2569" spans="1:1" ht="13.8" x14ac:dyDescent="0.25">
      <c r="A2569" s="8"/>
    </row>
    <row r="2570" spans="1:1" ht="13.8" x14ac:dyDescent="0.25">
      <c r="A2570" s="8"/>
    </row>
    <row r="2571" spans="1:1" ht="13.8" x14ac:dyDescent="0.25">
      <c r="A2571" s="8"/>
    </row>
    <row r="2572" spans="1:1" ht="13.8" x14ac:dyDescent="0.25">
      <c r="A2572" s="8"/>
    </row>
    <row r="2573" spans="1:1" ht="13.8" x14ac:dyDescent="0.25">
      <c r="A2573" s="8"/>
    </row>
    <row r="2574" spans="1:1" ht="13.8" x14ac:dyDescent="0.25">
      <c r="A2574" s="8"/>
    </row>
    <row r="2575" spans="1:1" ht="13.8" x14ac:dyDescent="0.25">
      <c r="A2575" s="8"/>
    </row>
    <row r="2576" spans="1:1" ht="13.8" x14ac:dyDescent="0.25">
      <c r="A2576" s="8"/>
    </row>
    <row r="2577" spans="1:1" ht="13.8" x14ac:dyDescent="0.25">
      <c r="A2577" s="8"/>
    </row>
    <row r="2578" spans="1:1" ht="13.8" x14ac:dyDescent="0.25">
      <c r="A2578" s="8"/>
    </row>
    <row r="2579" spans="1:1" ht="13.8" x14ac:dyDescent="0.25">
      <c r="A2579" s="8"/>
    </row>
    <row r="2580" spans="1:1" ht="13.8" x14ac:dyDescent="0.25">
      <c r="A2580" s="8"/>
    </row>
    <row r="2581" spans="1:1" ht="13.8" x14ac:dyDescent="0.25">
      <c r="A2581" s="8"/>
    </row>
    <row r="2582" spans="1:1" ht="13.8" x14ac:dyDescent="0.25">
      <c r="A2582" s="8"/>
    </row>
    <row r="2583" spans="1:1" ht="13.8" x14ac:dyDescent="0.25">
      <c r="A2583" s="8"/>
    </row>
    <row r="2584" spans="1:1" ht="13.8" x14ac:dyDescent="0.25">
      <c r="A2584" s="8"/>
    </row>
    <row r="2585" spans="1:1" ht="13.8" x14ac:dyDescent="0.25">
      <c r="A2585" s="8"/>
    </row>
    <row r="2586" spans="1:1" ht="13.8" x14ac:dyDescent="0.25">
      <c r="A2586" s="8"/>
    </row>
    <row r="2587" spans="1:1" ht="13.8" x14ac:dyDescent="0.25">
      <c r="A2587" s="8"/>
    </row>
    <row r="2588" spans="1:1" ht="13.8" x14ac:dyDescent="0.25">
      <c r="A2588" s="8"/>
    </row>
    <row r="2589" spans="1:1" ht="13.8" x14ac:dyDescent="0.25">
      <c r="A2589" s="8"/>
    </row>
    <row r="2590" spans="1:1" ht="13.8" x14ac:dyDescent="0.25">
      <c r="A2590" s="8"/>
    </row>
    <row r="2591" spans="1:1" ht="13.8" x14ac:dyDescent="0.25">
      <c r="A2591" s="8"/>
    </row>
    <row r="2592" spans="1:1" ht="13.8" x14ac:dyDescent="0.25">
      <c r="A2592" s="8"/>
    </row>
    <row r="2593" spans="1:1" ht="13.8" x14ac:dyDescent="0.25">
      <c r="A2593" s="8"/>
    </row>
    <row r="2594" spans="1:1" ht="13.8" x14ac:dyDescent="0.25">
      <c r="A2594" s="8"/>
    </row>
    <row r="2595" spans="1:1" ht="13.8" x14ac:dyDescent="0.25">
      <c r="A2595" s="8"/>
    </row>
    <row r="2596" spans="1:1" ht="13.8" x14ac:dyDescent="0.25">
      <c r="A2596" s="8"/>
    </row>
    <row r="2597" spans="1:1" ht="13.8" x14ac:dyDescent="0.25">
      <c r="A2597" s="8"/>
    </row>
    <row r="2598" spans="1:1" ht="13.8" x14ac:dyDescent="0.25">
      <c r="A2598" s="8"/>
    </row>
    <row r="2599" spans="1:1" ht="13.8" x14ac:dyDescent="0.25">
      <c r="A2599" s="8"/>
    </row>
    <row r="2600" spans="1:1" ht="13.8" x14ac:dyDescent="0.25">
      <c r="A2600" s="8"/>
    </row>
    <row r="2601" spans="1:1" ht="13.8" x14ac:dyDescent="0.25">
      <c r="A2601" s="8"/>
    </row>
    <row r="2602" spans="1:1" ht="13.8" x14ac:dyDescent="0.25">
      <c r="A2602" s="8"/>
    </row>
    <row r="2603" spans="1:1" ht="13.8" x14ac:dyDescent="0.25">
      <c r="A2603" s="8"/>
    </row>
    <row r="2604" spans="1:1" ht="13.8" x14ac:dyDescent="0.25">
      <c r="A2604" s="8"/>
    </row>
    <row r="2605" spans="1:1" ht="13.8" x14ac:dyDescent="0.25">
      <c r="A2605" s="8"/>
    </row>
    <row r="2606" spans="1:1" ht="13.8" x14ac:dyDescent="0.25">
      <c r="A2606" s="8"/>
    </row>
    <row r="2607" spans="1:1" ht="13.8" x14ac:dyDescent="0.25">
      <c r="A2607" s="8"/>
    </row>
    <row r="2608" spans="1:1" ht="13.8" x14ac:dyDescent="0.25">
      <c r="A2608" s="8"/>
    </row>
    <row r="2609" spans="1:1" ht="13.8" x14ac:dyDescent="0.25">
      <c r="A2609" s="8"/>
    </row>
    <row r="2610" spans="1:1" ht="13.8" x14ac:dyDescent="0.25">
      <c r="A2610" s="8"/>
    </row>
    <row r="2611" spans="1:1" ht="13.8" x14ac:dyDescent="0.25">
      <c r="A2611" s="8"/>
    </row>
    <row r="2612" spans="1:1" ht="13.8" x14ac:dyDescent="0.25">
      <c r="A2612" s="8"/>
    </row>
    <row r="2613" spans="1:1" ht="13.8" x14ac:dyDescent="0.25">
      <c r="A2613" s="8"/>
    </row>
    <row r="2614" spans="1:1" ht="13.8" x14ac:dyDescent="0.25">
      <c r="A2614" s="8"/>
    </row>
    <row r="2615" spans="1:1" ht="13.8" x14ac:dyDescent="0.25">
      <c r="A2615" s="8"/>
    </row>
    <row r="2616" spans="1:1" ht="13.8" x14ac:dyDescent="0.25">
      <c r="A2616" s="8"/>
    </row>
    <row r="2617" spans="1:1" ht="13.8" x14ac:dyDescent="0.25">
      <c r="A2617" s="8"/>
    </row>
    <row r="2618" spans="1:1" ht="13.8" x14ac:dyDescent="0.25">
      <c r="A2618" s="8"/>
    </row>
    <row r="2619" spans="1:1" ht="13.8" x14ac:dyDescent="0.25">
      <c r="A2619" s="8"/>
    </row>
    <row r="2620" spans="1:1" ht="13.8" x14ac:dyDescent="0.25">
      <c r="A2620" s="8"/>
    </row>
    <row r="2621" spans="1:1" ht="13.8" x14ac:dyDescent="0.25">
      <c r="A2621" s="8"/>
    </row>
    <row r="2622" spans="1:1" ht="13.8" x14ac:dyDescent="0.25">
      <c r="A2622" s="8"/>
    </row>
    <row r="2623" spans="1:1" ht="13.8" x14ac:dyDescent="0.25">
      <c r="A2623" s="8"/>
    </row>
    <row r="2624" spans="1:1" ht="13.8" x14ac:dyDescent="0.25">
      <c r="A2624" s="8"/>
    </row>
    <row r="2625" spans="1:1" ht="13.8" x14ac:dyDescent="0.25">
      <c r="A2625" s="8"/>
    </row>
    <row r="2626" spans="1:1" ht="13.8" x14ac:dyDescent="0.25">
      <c r="A2626" s="8"/>
    </row>
    <row r="2627" spans="1:1" ht="13.8" x14ac:dyDescent="0.25">
      <c r="A2627" s="8"/>
    </row>
    <row r="2628" spans="1:1" ht="13.8" x14ac:dyDescent="0.25">
      <c r="A2628" s="8"/>
    </row>
    <row r="2629" spans="1:1" ht="13.8" x14ac:dyDescent="0.25">
      <c r="A2629" s="8"/>
    </row>
    <row r="2630" spans="1:1" ht="13.8" x14ac:dyDescent="0.25">
      <c r="A2630" s="8"/>
    </row>
    <row r="2631" spans="1:1" ht="13.8" x14ac:dyDescent="0.25">
      <c r="A2631" s="8"/>
    </row>
    <row r="2632" spans="1:1" ht="13.8" x14ac:dyDescent="0.25">
      <c r="A2632" s="8"/>
    </row>
    <row r="2633" spans="1:1" ht="13.8" x14ac:dyDescent="0.25">
      <c r="A2633" s="8"/>
    </row>
    <row r="2634" spans="1:1" ht="13.8" x14ac:dyDescent="0.25">
      <c r="A2634" s="8"/>
    </row>
    <row r="2635" spans="1:1" ht="13.8" x14ac:dyDescent="0.25">
      <c r="A2635" s="8"/>
    </row>
    <row r="2636" spans="1:1" ht="13.8" x14ac:dyDescent="0.25">
      <c r="A2636" s="8"/>
    </row>
    <row r="2637" spans="1:1" ht="13.8" x14ac:dyDescent="0.25">
      <c r="A2637" s="8"/>
    </row>
    <row r="2638" spans="1:1" ht="13.8" x14ac:dyDescent="0.25">
      <c r="A2638" s="8"/>
    </row>
    <row r="2639" spans="1:1" ht="13.8" x14ac:dyDescent="0.25">
      <c r="A2639" s="8"/>
    </row>
    <row r="2640" spans="1:1" ht="13.8" x14ac:dyDescent="0.25">
      <c r="A2640" s="8"/>
    </row>
    <row r="2641" spans="1:1" ht="13.8" x14ac:dyDescent="0.25">
      <c r="A2641" s="8"/>
    </row>
    <row r="2642" spans="1:1" ht="13.8" x14ac:dyDescent="0.25">
      <c r="A2642" s="8"/>
    </row>
    <row r="2643" spans="1:1" ht="13.8" x14ac:dyDescent="0.25">
      <c r="A2643" s="8"/>
    </row>
    <row r="2644" spans="1:1" ht="13.8" x14ac:dyDescent="0.25">
      <c r="A2644" s="8"/>
    </row>
    <row r="2645" spans="1:1" ht="13.8" x14ac:dyDescent="0.25">
      <c r="A2645" s="8"/>
    </row>
    <row r="2646" spans="1:1" ht="13.8" x14ac:dyDescent="0.25">
      <c r="A2646" s="8"/>
    </row>
    <row r="2647" spans="1:1" ht="13.8" x14ac:dyDescent="0.25">
      <c r="A2647" s="8"/>
    </row>
    <row r="2648" spans="1:1" ht="13.8" x14ac:dyDescent="0.25">
      <c r="A2648" s="8"/>
    </row>
    <row r="2649" spans="1:1" ht="13.8" x14ac:dyDescent="0.25">
      <c r="A2649" s="8"/>
    </row>
    <row r="2650" spans="1:1" ht="13.8" x14ac:dyDescent="0.25">
      <c r="A2650" s="8"/>
    </row>
    <row r="2651" spans="1:1" ht="13.8" x14ac:dyDescent="0.25">
      <c r="A2651" s="8"/>
    </row>
    <row r="2652" spans="1:1" ht="13.8" x14ac:dyDescent="0.25">
      <c r="A2652" s="8"/>
    </row>
    <row r="2653" spans="1:1" ht="13.8" x14ac:dyDescent="0.25">
      <c r="A2653" s="8"/>
    </row>
    <row r="2654" spans="1:1" ht="13.8" x14ac:dyDescent="0.25">
      <c r="A2654" s="8"/>
    </row>
    <row r="2655" spans="1:1" ht="13.8" x14ac:dyDescent="0.25">
      <c r="A2655" s="8"/>
    </row>
    <row r="2656" spans="1:1" ht="13.8" x14ac:dyDescent="0.25">
      <c r="A2656" s="8"/>
    </row>
    <row r="2657" spans="1:1" ht="13.8" x14ac:dyDescent="0.25">
      <c r="A2657" s="8"/>
    </row>
    <row r="2658" spans="1:1" ht="13.8" x14ac:dyDescent="0.25">
      <c r="A2658" s="8"/>
    </row>
    <row r="2659" spans="1:1" ht="13.8" x14ac:dyDescent="0.25">
      <c r="A2659" s="8"/>
    </row>
    <row r="2660" spans="1:1" ht="13.8" x14ac:dyDescent="0.25">
      <c r="A2660" s="8"/>
    </row>
    <row r="2661" spans="1:1" ht="13.8" x14ac:dyDescent="0.25">
      <c r="A2661" s="8"/>
    </row>
    <row r="2662" spans="1:1" ht="13.8" x14ac:dyDescent="0.25">
      <c r="A2662" s="8"/>
    </row>
    <row r="2663" spans="1:1" ht="13.8" x14ac:dyDescent="0.25">
      <c r="A2663" s="8"/>
    </row>
    <row r="2664" spans="1:1" ht="13.8" x14ac:dyDescent="0.25">
      <c r="A2664" s="8"/>
    </row>
    <row r="2665" spans="1:1" ht="13.8" x14ac:dyDescent="0.25">
      <c r="A2665" s="8"/>
    </row>
    <row r="2666" spans="1:1" ht="13.8" x14ac:dyDescent="0.25">
      <c r="A2666" s="8"/>
    </row>
    <row r="2667" spans="1:1" ht="13.8" x14ac:dyDescent="0.25">
      <c r="A2667" s="8"/>
    </row>
    <row r="2668" spans="1:1" ht="13.8" x14ac:dyDescent="0.25">
      <c r="A2668" s="8"/>
    </row>
    <row r="2669" spans="1:1" ht="13.8" x14ac:dyDescent="0.25">
      <c r="A2669" s="8"/>
    </row>
    <row r="2670" spans="1:1" ht="13.8" x14ac:dyDescent="0.25">
      <c r="A2670" s="8"/>
    </row>
    <row r="2671" spans="1:1" ht="13.8" x14ac:dyDescent="0.25">
      <c r="A2671" s="8"/>
    </row>
    <row r="2672" spans="1:1" ht="13.8" x14ac:dyDescent="0.25">
      <c r="A2672" s="8"/>
    </row>
    <row r="2673" spans="1:1" ht="13.8" x14ac:dyDescent="0.25">
      <c r="A2673" s="8"/>
    </row>
    <row r="2674" spans="1:1" ht="13.8" x14ac:dyDescent="0.25">
      <c r="A2674" s="8"/>
    </row>
    <row r="2675" spans="1:1" ht="13.8" x14ac:dyDescent="0.25">
      <c r="A2675" s="8"/>
    </row>
    <row r="2676" spans="1:1" ht="13.8" x14ac:dyDescent="0.25">
      <c r="A2676" s="8"/>
    </row>
    <row r="2677" spans="1:1" ht="13.8" x14ac:dyDescent="0.25">
      <c r="A2677" s="8"/>
    </row>
    <row r="2678" spans="1:1" ht="13.8" x14ac:dyDescent="0.25">
      <c r="A2678" s="8"/>
    </row>
    <row r="2679" spans="1:1" ht="13.8" x14ac:dyDescent="0.25">
      <c r="A2679" s="8"/>
    </row>
    <row r="2680" spans="1:1" ht="13.8" x14ac:dyDescent="0.25">
      <c r="A2680" s="8"/>
    </row>
    <row r="2681" spans="1:1" ht="13.8" x14ac:dyDescent="0.25">
      <c r="A2681" s="8"/>
    </row>
    <row r="2682" spans="1:1" ht="13.8" x14ac:dyDescent="0.25">
      <c r="A2682" s="8"/>
    </row>
    <row r="2683" spans="1:1" ht="13.8" x14ac:dyDescent="0.25">
      <c r="A2683" s="8"/>
    </row>
    <row r="2684" spans="1:1" ht="13.8" x14ac:dyDescent="0.25">
      <c r="A2684" s="8"/>
    </row>
    <row r="2685" spans="1:1" ht="13.8" x14ac:dyDescent="0.25">
      <c r="A2685" s="8"/>
    </row>
    <row r="2686" spans="1:1" ht="13.8" x14ac:dyDescent="0.25">
      <c r="A2686" s="8"/>
    </row>
    <row r="2687" spans="1:1" ht="13.8" x14ac:dyDescent="0.25">
      <c r="A2687" s="8"/>
    </row>
    <row r="2688" spans="1:1" ht="13.8" x14ac:dyDescent="0.25">
      <c r="A2688" s="8"/>
    </row>
    <row r="2689" spans="1:1" ht="13.8" x14ac:dyDescent="0.25">
      <c r="A2689" s="8"/>
    </row>
    <row r="2690" spans="1:1" ht="13.8" x14ac:dyDescent="0.25">
      <c r="A2690" s="8"/>
    </row>
    <row r="2691" spans="1:1" ht="13.8" x14ac:dyDescent="0.25">
      <c r="A2691" s="8"/>
    </row>
    <row r="2692" spans="1:1" ht="13.8" x14ac:dyDescent="0.25">
      <c r="A2692" s="8"/>
    </row>
    <row r="2693" spans="1:1" ht="13.8" x14ac:dyDescent="0.25">
      <c r="A2693" s="8"/>
    </row>
    <row r="2694" spans="1:1" ht="13.8" x14ac:dyDescent="0.25">
      <c r="A2694" s="8"/>
    </row>
    <row r="2695" spans="1:1" ht="13.8" x14ac:dyDescent="0.25">
      <c r="A2695" s="8"/>
    </row>
    <row r="2696" spans="1:1" ht="13.8" x14ac:dyDescent="0.25">
      <c r="A2696" s="8"/>
    </row>
    <row r="2697" spans="1:1" ht="13.8" x14ac:dyDescent="0.25">
      <c r="A2697" s="8"/>
    </row>
    <row r="2698" spans="1:1" ht="13.8" x14ac:dyDescent="0.25">
      <c r="A2698" s="8"/>
    </row>
    <row r="2699" spans="1:1" ht="13.8" x14ac:dyDescent="0.25">
      <c r="A2699" s="8"/>
    </row>
    <row r="2700" spans="1:1" ht="13.8" x14ac:dyDescent="0.25">
      <c r="A2700" s="8"/>
    </row>
    <row r="2701" spans="1:1" ht="13.8" x14ac:dyDescent="0.25">
      <c r="A2701" s="8"/>
    </row>
    <row r="2702" spans="1:1" ht="13.8" x14ac:dyDescent="0.25">
      <c r="A2702" s="8"/>
    </row>
    <row r="2703" spans="1:1" ht="13.8" x14ac:dyDescent="0.25">
      <c r="A2703" s="8"/>
    </row>
    <row r="2704" spans="1:1" ht="13.8" x14ac:dyDescent="0.25">
      <c r="A2704" s="8"/>
    </row>
    <row r="2705" spans="1:1" ht="13.8" x14ac:dyDescent="0.25">
      <c r="A2705" s="8"/>
    </row>
    <row r="2706" spans="1:1" ht="13.8" x14ac:dyDescent="0.25">
      <c r="A2706" s="8"/>
    </row>
    <row r="2707" spans="1:1" ht="13.8" x14ac:dyDescent="0.25">
      <c r="A2707" s="8"/>
    </row>
    <row r="2708" spans="1:1" ht="13.8" x14ac:dyDescent="0.25">
      <c r="A2708" s="8"/>
    </row>
    <row r="2709" spans="1:1" ht="13.8" x14ac:dyDescent="0.25">
      <c r="A2709" s="8"/>
    </row>
    <row r="2710" spans="1:1" ht="13.8" x14ac:dyDescent="0.25">
      <c r="A2710" s="8"/>
    </row>
    <row r="2711" spans="1:1" ht="13.8" x14ac:dyDescent="0.25">
      <c r="A2711" s="8"/>
    </row>
    <row r="2712" spans="1:1" ht="13.8" x14ac:dyDescent="0.25">
      <c r="A2712" s="8"/>
    </row>
    <row r="2713" spans="1:1" ht="13.8" x14ac:dyDescent="0.25">
      <c r="A2713" s="8"/>
    </row>
    <row r="2714" spans="1:1" ht="13.8" x14ac:dyDescent="0.25">
      <c r="A2714" s="8"/>
    </row>
    <row r="2715" spans="1:1" ht="13.8" x14ac:dyDescent="0.25">
      <c r="A2715" s="8"/>
    </row>
    <row r="2716" spans="1:1" ht="13.8" x14ac:dyDescent="0.25">
      <c r="A2716" s="8"/>
    </row>
    <row r="2717" spans="1:1" ht="13.8" x14ac:dyDescent="0.25">
      <c r="A2717" s="8"/>
    </row>
    <row r="2718" spans="1:1" ht="13.8" x14ac:dyDescent="0.25">
      <c r="A2718" s="8"/>
    </row>
    <row r="2719" spans="1:1" ht="13.8" x14ac:dyDescent="0.25">
      <c r="A2719" s="8"/>
    </row>
    <row r="2720" spans="1:1" ht="13.8" x14ac:dyDescent="0.25">
      <c r="A2720" s="8"/>
    </row>
    <row r="2721" spans="1:1" ht="13.8" x14ac:dyDescent="0.25">
      <c r="A2721" s="8"/>
    </row>
    <row r="2722" spans="1:1" ht="13.8" x14ac:dyDescent="0.25">
      <c r="A2722" s="8"/>
    </row>
    <row r="2723" spans="1:1" ht="13.8" x14ac:dyDescent="0.25">
      <c r="A2723" s="8"/>
    </row>
    <row r="2724" spans="1:1" ht="13.8" x14ac:dyDescent="0.25">
      <c r="A2724" s="8"/>
    </row>
    <row r="2725" spans="1:1" ht="13.8" x14ac:dyDescent="0.25">
      <c r="A2725" s="8"/>
    </row>
    <row r="2726" spans="1:1" ht="13.8" x14ac:dyDescent="0.25">
      <c r="A2726" s="8"/>
    </row>
    <row r="2727" spans="1:1" ht="13.8" x14ac:dyDescent="0.25">
      <c r="A2727" s="8"/>
    </row>
    <row r="2728" spans="1:1" ht="13.8" x14ac:dyDescent="0.25">
      <c r="A2728" s="8"/>
    </row>
    <row r="2729" spans="1:1" ht="13.8" x14ac:dyDescent="0.25">
      <c r="A2729" s="8"/>
    </row>
    <row r="2730" spans="1:1" ht="13.8" x14ac:dyDescent="0.25">
      <c r="A2730" s="8"/>
    </row>
    <row r="2731" spans="1:1" ht="13.8" x14ac:dyDescent="0.25">
      <c r="A2731" s="8"/>
    </row>
    <row r="2732" spans="1:1" ht="13.8" x14ac:dyDescent="0.25">
      <c r="A2732" s="8"/>
    </row>
    <row r="2733" spans="1:1" ht="13.8" x14ac:dyDescent="0.25">
      <c r="A2733" s="8"/>
    </row>
    <row r="2734" spans="1:1" ht="13.8" x14ac:dyDescent="0.25">
      <c r="A2734" s="8"/>
    </row>
    <row r="2735" spans="1:1" ht="13.8" x14ac:dyDescent="0.25">
      <c r="A2735" s="8"/>
    </row>
    <row r="2736" spans="1:1" ht="13.8" x14ac:dyDescent="0.25">
      <c r="A2736" s="8"/>
    </row>
    <row r="2737" spans="1:1" ht="13.8" x14ac:dyDescent="0.25">
      <c r="A2737" s="8"/>
    </row>
    <row r="2738" spans="1:1" ht="13.8" x14ac:dyDescent="0.25">
      <c r="A2738" s="8"/>
    </row>
    <row r="2739" spans="1:1" ht="13.8" x14ac:dyDescent="0.25">
      <c r="A2739" s="8"/>
    </row>
    <row r="2740" spans="1:1" ht="13.8" x14ac:dyDescent="0.25">
      <c r="A2740" s="8"/>
    </row>
    <row r="2741" spans="1:1" ht="13.8" x14ac:dyDescent="0.25">
      <c r="A2741" s="8"/>
    </row>
    <row r="2742" spans="1:1" ht="13.8" x14ac:dyDescent="0.25">
      <c r="A2742" s="8"/>
    </row>
    <row r="2743" spans="1:1" ht="13.8" x14ac:dyDescent="0.25">
      <c r="A2743" s="8"/>
    </row>
    <row r="2744" spans="1:1" ht="13.8" x14ac:dyDescent="0.25">
      <c r="A2744" s="8"/>
    </row>
    <row r="2745" spans="1:1" ht="13.8" x14ac:dyDescent="0.25">
      <c r="A2745" s="8"/>
    </row>
    <row r="2746" spans="1:1" ht="13.8" x14ac:dyDescent="0.25">
      <c r="A2746" s="8"/>
    </row>
    <row r="2747" spans="1:1" ht="13.8" x14ac:dyDescent="0.25">
      <c r="A2747" s="8"/>
    </row>
    <row r="2748" spans="1:1" ht="13.8" x14ac:dyDescent="0.25">
      <c r="A2748" s="8"/>
    </row>
    <row r="2749" spans="1:1" ht="13.8" x14ac:dyDescent="0.25">
      <c r="A2749" s="8"/>
    </row>
    <row r="2750" spans="1:1" ht="13.8" x14ac:dyDescent="0.25">
      <c r="A2750" s="8"/>
    </row>
    <row r="2751" spans="1:1" ht="13.8" x14ac:dyDescent="0.25">
      <c r="A2751" s="8"/>
    </row>
    <row r="2752" spans="1:1" ht="13.8" x14ac:dyDescent="0.25">
      <c r="A2752" s="8"/>
    </row>
    <row r="2753" spans="1:1" ht="13.8" x14ac:dyDescent="0.25">
      <c r="A2753" s="8"/>
    </row>
    <row r="2754" spans="1:1" ht="13.8" x14ac:dyDescent="0.25">
      <c r="A2754" s="8"/>
    </row>
    <row r="2755" spans="1:1" ht="13.8" x14ac:dyDescent="0.25">
      <c r="A2755" s="8"/>
    </row>
    <row r="2756" spans="1:1" ht="13.8" x14ac:dyDescent="0.25">
      <c r="A2756" s="8"/>
    </row>
    <row r="2757" spans="1:1" ht="13.8" x14ac:dyDescent="0.25">
      <c r="A2757" s="8"/>
    </row>
    <row r="2758" spans="1:1" ht="13.8" x14ac:dyDescent="0.25">
      <c r="A2758" s="8"/>
    </row>
    <row r="2759" spans="1:1" ht="13.8" x14ac:dyDescent="0.25">
      <c r="A2759" s="8"/>
    </row>
    <row r="2760" spans="1:1" ht="13.8" x14ac:dyDescent="0.25">
      <c r="A2760" s="8"/>
    </row>
    <row r="2761" spans="1:1" ht="13.8" x14ac:dyDescent="0.25">
      <c r="A2761" s="8"/>
    </row>
    <row r="2762" spans="1:1" ht="13.8" x14ac:dyDescent="0.25">
      <c r="A2762" s="8"/>
    </row>
    <row r="2763" spans="1:1" ht="13.8" x14ac:dyDescent="0.25">
      <c r="A2763" s="8"/>
    </row>
    <row r="2764" spans="1:1" ht="13.8" x14ac:dyDescent="0.25">
      <c r="A2764" s="8"/>
    </row>
    <row r="2765" spans="1:1" ht="13.8" x14ac:dyDescent="0.25">
      <c r="A2765" s="8"/>
    </row>
    <row r="2766" spans="1:1" ht="13.8" x14ac:dyDescent="0.25">
      <c r="A2766" s="8"/>
    </row>
    <row r="2767" spans="1:1" ht="13.8" x14ac:dyDescent="0.25">
      <c r="A2767" s="8"/>
    </row>
    <row r="2768" spans="1:1" ht="13.8" x14ac:dyDescent="0.25">
      <c r="A2768" s="8"/>
    </row>
    <row r="2769" spans="1:1" ht="13.8" x14ac:dyDescent="0.25">
      <c r="A2769" s="8"/>
    </row>
    <row r="2770" spans="1:1" ht="13.8" x14ac:dyDescent="0.25">
      <c r="A2770" s="8"/>
    </row>
    <row r="2771" spans="1:1" ht="13.8" x14ac:dyDescent="0.25">
      <c r="A2771" s="8"/>
    </row>
    <row r="2772" spans="1:1" ht="13.8" x14ac:dyDescent="0.25">
      <c r="A2772" s="8"/>
    </row>
    <row r="2773" spans="1:1" ht="13.8" x14ac:dyDescent="0.25">
      <c r="A2773" s="8"/>
    </row>
    <row r="2774" spans="1:1" ht="13.8" x14ac:dyDescent="0.25">
      <c r="A2774" s="8"/>
    </row>
    <row r="2775" spans="1:1" ht="13.8" x14ac:dyDescent="0.25">
      <c r="A2775" s="8"/>
    </row>
    <row r="2776" spans="1:1" ht="13.8" x14ac:dyDescent="0.25">
      <c r="A2776" s="8"/>
    </row>
    <row r="2777" spans="1:1" ht="13.8" x14ac:dyDescent="0.25">
      <c r="A2777" s="8"/>
    </row>
    <row r="2778" spans="1:1" ht="13.8" x14ac:dyDescent="0.25">
      <c r="A2778" s="8"/>
    </row>
    <row r="2779" spans="1:1" ht="13.8" x14ac:dyDescent="0.25">
      <c r="A2779" s="8"/>
    </row>
    <row r="2780" spans="1:1" ht="13.8" x14ac:dyDescent="0.25">
      <c r="A2780" s="8"/>
    </row>
    <row r="2781" spans="1:1" ht="13.8" x14ac:dyDescent="0.25">
      <c r="A2781" s="8"/>
    </row>
    <row r="2782" spans="1:1" ht="13.8" x14ac:dyDescent="0.25">
      <c r="A2782" s="8"/>
    </row>
    <row r="2783" spans="1:1" ht="13.8" x14ac:dyDescent="0.25">
      <c r="A2783" s="8"/>
    </row>
    <row r="2784" spans="1:1" ht="13.8" x14ac:dyDescent="0.25">
      <c r="A2784" s="8"/>
    </row>
    <row r="2785" spans="1:1" ht="13.8" x14ac:dyDescent="0.25">
      <c r="A2785" s="8"/>
    </row>
    <row r="2786" spans="1:1" ht="13.8" x14ac:dyDescent="0.25">
      <c r="A2786" s="8"/>
    </row>
    <row r="2787" spans="1:1" ht="13.8" x14ac:dyDescent="0.25">
      <c r="A2787" s="8"/>
    </row>
    <row r="2788" spans="1:1" ht="13.8" x14ac:dyDescent="0.25">
      <c r="A2788" s="8"/>
    </row>
    <row r="2789" spans="1:1" ht="13.8" x14ac:dyDescent="0.25">
      <c r="A2789" s="8"/>
    </row>
    <row r="2790" spans="1:1" ht="13.8" x14ac:dyDescent="0.25">
      <c r="A2790" s="8"/>
    </row>
    <row r="2791" spans="1:1" ht="13.8" x14ac:dyDescent="0.25">
      <c r="A2791" s="8"/>
    </row>
    <row r="2792" spans="1:1" ht="13.8" x14ac:dyDescent="0.25">
      <c r="A2792" s="8"/>
    </row>
    <row r="2793" spans="1:1" ht="13.8" x14ac:dyDescent="0.25">
      <c r="A2793" s="8"/>
    </row>
    <row r="2794" spans="1:1" ht="13.8" x14ac:dyDescent="0.25">
      <c r="A2794" s="8"/>
    </row>
    <row r="2795" spans="1:1" ht="13.8" x14ac:dyDescent="0.25">
      <c r="A2795" s="8"/>
    </row>
    <row r="2796" spans="1:1" ht="13.8" x14ac:dyDescent="0.25">
      <c r="A2796" s="8"/>
    </row>
    <row r="2797" spans="1:1" ht="13.8" x14ac:dyDescent="0.25">
      <c r="A2797" s="8"/>
    </row>
    <row r="2798" spans="1:1" ht="13.8" x14ac:dyDescent="0.25">
      <c r="A2798" s="8"/>
    </row>
    <row r="2799" spans="1:1" ht="13.8" x14ac:dyDescent="0.25">
      <c r="A2799" s="8"/>
    </row>
    <row r="2800" spans="1:1" ht="13.8" x14ac:dyDescent="0.25">
      <c r="A2800" s="8"/>
    </row>
    <row r="2801" spans="1:1" ht="13.8" x14ac:dyDescent="0.25">
      <c r="A2801" s="8"/>
    </row>
    <row r="2802" spans="1:1" ht="13.8" x14ac:dyDescent="0.25">
      <c r="A2802" s="8"/>
    </row>
    <row r="2803" spans="1:1" ht="13.8" x14ac:dyDescent="0.25">
      <c r="A2803" s="8"/>
    </row>
    <row r="2804" spans="1:1" ht="13.8" x14ac:dyDescent="0.25">
      <c r="A2804" s="8"/>
    </row>
    <row r="2805" spans="1:1" ht="13.8" x14ac:dyDescent="0.25">
      <c r="A2805" s="8"/>
    </row>
    <row r="2806" spans="1:1" ht="13.8" x14ac:dyDescent="0.25">
      <c r="A2806" s="8"/>
    </row>
    <row r="2807" spans="1:1" ht="13.8" x14ac:dyDescent="0.25">
      <c r="A2807" s="8"/>
    </row>
    <row r="2808" spans="1:1" ht="13.8" x14ac:dyDescent="0.25">
      <c r="A2808" s="8"/>
    </row>
    <row r="2809" spans="1:1" ht="13.8" x14ac:dyDescent="0.25">
      <c r="A2809" s="8"/>
    </row>
    <row r="2810" spans="1:1" ht="13.8" x14ac:dyDescent="0.25">
      <c r="A2810" s="8"/>
    </row>
    <row r="2811" spans="1:1" ht="13.8" x14ac:dyDescent="0.25">
      <c r="A2811" s="8"/>
    </row>
    <row r="2812" spans="1:1" ht="13.8" x14ac:dyDescent="0.25">
      <c r="A2812" s="8"/>
    </row>
    <row r="2813" spans="1:1" ht="13.8" x14ac:dyDescent="0.25">
      <c r="A2813" s="8"/>
    </row>
    <row r="2814" spans="1:1" ht="13.8" x14ac:dyDescent="0.25">
      <c r="A2814" s="8"/>
    </row>
    <row r="2815" spans="1:1" ht="13.8" x14ac:dyDescent="0.25">
      <c r="A2815" s="8"/>
    </row>
    <row r="2816" spans="1:1" ht="13.8" x14ac:dyDescent="0.25">
      <c r="A2816" s="8"/>
    </row>
    <row r="2817" spans="1:1" ht="13.8" x14ac:dyDescent="0.25">
      <c r="A2817" s="8"/>
    </row>
    <row r="2818" spans="1:1" ht="13.8" x14ac:dyDescent="0.25">
      <c r="A2818" s="8"/>
    </row>
    <row r="2819" spans="1:1" ht="13.8" x14ac:dyDescent="0.25">
      <c r="A2819" s="8"/>
    </row>
    <row r="2820" spans="1:1" ht="13.8" x14ac:dyDescent="0.25">
      <c r="A2820" s="8"/>
    </row>
    <row r="2821" spans="1:1" ht="13.8" x14ac:dyDescent="0.25">
      <c r="A2821" s="8"/>
    </row>
    <row r="2822" spans="1:1" ht="13.8" x14ac:dyDescent="0.25">
      <c r="A2822" s="8"/>
    </row>
    <row r="2823" spans="1:1" ht="13.8" x14ac:dyDescent="0.25">
      <c r="A2823" s="8"/>
    </row>
    <row r="2824" spans="1:1" ht="13.8" x14ac:dyDescent="0.25">
      <c r="A2824" s="8"/>
    </row>
    <row r="2825" spans="1:1" ht="13.8" x14ac:dyDescent="0.25">
      <c r="A2825" s="8"/>
    </row>
    <row r="2826" spans="1:1" ht="13.8" x14ac:dyDescent="0.25">
      <c r="A2826" s="8"/>
    </row>
    <row r="2827" spans="1:1" ht="13.8" x14ac:dyDescent="0.25">
      <c r="A2827" s="8"/>
    </row>
    <row r="2828" spans="1:1" ht="13.8" x14ac:dyDescent="0.25">
      <c r="A2828" s="8"/>
    </row>
    <row r="2829" spans="1:1" ht="13.8" x14ac:dyDescent="0.25">
      <c r="A2829" s="8"/>
    </row>
    <row r="2830" spans="1:1" ht="13.8" x14ac:dyDescent="0.25">
      <c r="A2830" s="8"/>
    </row>
    <row r="2831" spans="1:1" ht="13.8" x14ac:dyDescent="0.25">
      <c r="A2831" s="8"/>
    </row>
    <row r="2832" spans="1:1" ht="13.8" x14ac:dyDescent="0.25">
      <c r="A2832" s="8"/>
    </row>
    <row r="2833" spans="1:1" ht="13.8" x14ac:dyDescent="0.25">
      <c r="A2833" s="8"/>
    </row>
    <row r="2834" spans="1:1" ht="13.8" x14ac:dyDescent="0.25">
      <c r="A2834" s="8"/>
    </row>
    <row r="2835" spans="1:1" ht="13.8" x14ac:dyDescent="0.25">
      <c r="A2835" s="8"/>
    </row>
    <row r="2836" spans="1:1" ht="13.8" x14ac:dyDescent="0.25">
      <c r="A2836" s="8"/>
    </row>
    <row r="2837" spans="1:1" ht="13.8" x14ac:dyDescent="0.25">
      <c r="A2837" s="8"/>
    </row>
    <row r="2838" spans="1:1" ht="13.8" x14ac:dyDescent="0.25">
      <c r="A2838" s="8"/>
    </row>
    <row r="2839" spans="1:1" ht="13.8" x14ac:dyDescent="0.25">
      <c r="A2839" s="8"/>
    </row>
    <row r="2840" spans="1:1" ht="13.8" x14ac:dyDescent="0.25">
      <c r="A2840" s="8"/>
    </row>
    <row r="2841" spans="1:1" ht="13.8" x14ac:dyDescent="0.25">
      <c r="A2841" s="8"/>
    </row>
    <row r="2842" spans="1:1" ht="13.8" x14ac:dyDescent="0.25">
      <c r="A2842" s="8"/>
    </row>
    <row r="2843" spans="1:1" ht="13.8" x14ac:dyDescent="0.25">
      <c r="A2843" s="8"/>
    </row>
    <row r="2844" spans="1:1" ht="13.8" x14ac:dyDescent="0.25">
      <c r="A2844" s="8"/>
    </row>
    <row r="2845" spans="1:1" ht="13.8" x14ac:dyDescent="0.25">
      <c r="A2845" s="8"/>
    </row>
    <row r="2846" spans="1:1" ht="13.8" x14ac:dyDescent="0.25">
      <c r="A2846" s="8"/>
    </row>
    <row r="2847" spans="1:1" ht="13.8" x14ac:dyDescent="0.25">
      <c r="A2847" s="8"/>
    </row>
    <row r="2848" spans="1:1" ht="13.8" x14ac:dyDescent="0.25">
      <c r="A2848" s="8"/>
    </row>
    <row r="2849" spans="1:1" ht="13.8" x14ac:dyDescent="0.25">
      <c r="A2849" s="8"/>
    </row>
    <row r="2850" spans="1:1" ht="13.8" x14ac:dyDescent="0.25">
      <c r="A2850" s="8"/>
    </row>
    <row r="2851" spans="1:1" ht="13.8" x14ac:dyDescent="0.25">
      <c r="A2851" s="8"/>
    </row>
    <row r="2852" spans="1:1" ht="13.8" x14ac:dyDescent="0.25">
      <c r="A2852" s="8"/>
    </row>
    <row r="2853" spans="1:1" ht="13.8" x14ac:dyDescent="0.25">
      <c r="A2853" s="8"/>
    </row>
    <row r="2854" spans="1:1" ht="13.8" x14ac:dyDescent="0.25">
      <c r="A2854" s="8"/>
    </row>
    <row r="2855" spans="1:1" ht="13.8" x14ac:dyDescent="0.25">
      <c r="A2855" s="8"/>
    </row>
    <row r="2856" spans="1:1" ht="13.8" x14ac:dyDescent="0.25">
      <c r="A2856" s="8"/>
    </row>
    <row r="2857" spans="1:1" ht="13.8" x14ac:dyDescent="0.25">
      <c r="A2857" s="8"/>
    </row>
    <row r="2858" spans="1:1" ht="13.8" x14ac:dyDescent="0.25">
      <c r="A2858" s="8"/>
    </row>
    <row r="2859" spans="1:1" ht="13.8" x14ac:dyDescent="0.25">
      <c r="A2859" s="8"/>
    </row>
    <row r="2860" spans="1:1" ht="13.8" x14ac:dyDescent="0.25">
      <c r="A2860" s="8"/>
    </row>
    <row r="2861" spans="1:1" ht="13.8" x14ac:dyDescent="0.25">
      <c r="A2861" s="8"/>
    </row>
    <row r="2862" spans="1:1" ht="13.8" x14ac:dyDescent="0.25">
      <c r="A2862" s="8"/>
    </row>
    <row r="2863" spans="1:1" ht="13.8" x14ac:dyDescent="0.25">
      <c r="A2863" s="8"/>
    </row>
    <row r="2864" spans="1:1" ht="13.8" x14ac:dyDescent="0.25">
      <c r="A2864" s="8"/>
    </row>
    <row r="2865" spans="1:1" ht="13.8" x14ac:dyDescent="0.25">
      <c r="A2865" s="8"/>
    </row>
    <row r="2866" spans="1:1" ht="13.8" x14ac:dyDescent="0.25">
      <c r="A2866" s="8"/>
    </row>
    <row r="2867" spans="1:1" ht="13.8" x14ac:dyDescent="0.25">
      <c r="A2867" s="8"/>
    </row>
    <row r="2868" spans="1:1" ht="13.8" x14ac:dyDescent="0.25">
      <c r="A2868" s="8"/>
    </row>
    <row r="2869" spans="1:1" ht="13.8" x14ac:dyDescent="0.25">
      <c r="A2869" s="8"/>
    </row>
    <row r="2870" spans="1:1" ht="13.8" x14ac:dyDescent="0.25">
      <c r="A2870" s="8"/>
    </row>
    <row r="2871" spans="1:1" ht="13.8" x14ac:dyDescent="0.25">
      <c r="A2871" s="8"/>
    </row>
    <row r="2872" spans="1:1" ht="13.8" x14ac:dyDescent="0.25">
      <c r="A2872" s="8"/>
    </row>
    <row r="2873" spans="1:1" ht="13.8" x14ac:dyDescent="0.25">
      <c r="A2873" s="8"/>
    </row>
    <row r="2874" spans="1:1" ht="13.8" x14ac:dyDescent="0.25">
      <c r="A2874" s="8"/>
    </row>
    <row r="2875" spans="1:1" ht="13.8" x14ac:dyDescent="0.25">
      <c r="A2875" s="8"/>
    </row>
    <row r="2876" spans="1:1" ht="13.8" x14ac:dyDescent="0.25">
      <c r="A2876" s="8"/>
    </row>
    <row r="2877" spans="1:1" ht="13.8" x14ac:dyDescent="0.25">
      <c r="A2877" s="8"/>
    </row>
    <row r="2878" spans="1:1" ht="13.8" x14ac:dyDescent="0.25">
      <c r="A2878" s="8"/>
    </row>
    <row r="2879" spans="1:1" ht="13.8" x14ac:dyDescent="0.25">
      <c r="A2879" s="8"/>
    </row>
    <row r="2880" spans="1:1" ht="13.8" x14ac:dyDescent="0.25">
      <c r="A2880" s="8"/>
    </row>
    <row r="2881" spans="1:1" ht="13.8" x14ac:dyDescent="0.25">
      <c r="A2881" s="8"/>
    </row>
    <row r="2882" spans="1:1" ht="13.8" x14ac:dyDescent="0.25">
      <c r="A2882" s="8"/>
    </row>
    <row r="2883" spans="1:1" ht="13.8" x14ac:dyDescent="0.25">
      <c r="A2883" s="8"/>
    </row>
    <row r="2884" spans="1:1" ht="13.8" x14ac:dyDescent="0.25">
      <c r="A2884" s="8"/>
    </row>
    <row r="2885" spans="1:1" ht="13.8" x14ac:dyDescent="0.25">
      <c r="A2885" s="8"/>
    </row>
    <row r="2886" spans="1:1" ht="13.8" x14ac:dyDescent="0.25">
      <c r="A2886" s="8"/>
    </row>
    <row r="2887" spans="1:1" ht="13.8" x14ac:dyDescent="0.25">
      <c r="A2887" s="8"/>
    </row>
    <row r="2888" spans="1:1" ht="13.8" x14ac:dyDescent="0.25">
      <c r="A2888" s="8"/>
    </row>
    <row r="2889" spans="1:1" ht="13.8" x14ac:dyDescent="0.25">
      <c r="A2889" s="8"/>
    </row>
    <row r="2890" spans="1:1" ht="13.8" x14ac:dyDescent="0.25">
      <c r="A2890" s="8"/>
    </row>
    <row r="2891" spans="1:1" ht="13.8" x14ac:dyDescent="0.25">
      <c r="A2891" s="8"/>
    </row>
    <row r="2892" spans="1:1" ht="13.8" x14ac:dyDescent="0.25">
      <c r="A2892" s="8"/>
    </row>
    <row r="2893" spans="1:1" ht="13.8" x14ac:dyDescent="0.25">
      <c r="A2893" s="8"/>
    </row>
    <row r="2894" spans="1:1" ht="13.8" x14ac:dyDescent="0.25">
      <c r="A2894" s="8"/>
    </row>
    <row r="2895" spans="1:1" ht="13.8" x14ac:dyDescent="0.25">
      <c r="A2895" s="8"/>
    </row>
    <row r="2896" spans="1:1" ht="13.8" x14ac:dyDescent="0.25">
      <c r="A2896" s="8"/>
    </row>
    <row r="2897" spans="1:1" ht="13.8" x14ac:dyDescent="0.25">
      <c r="A2897" s="8"/>
    </row>
    <row r="2898" spans="1:1" ht="13.8" x14ac:dyDescent="0.25">
      <c r="A2898" s="8"/>
    </row>
    <row r="2899" spans="1:1" ht="13.8" x14ac:dyDescent="0.25">
      <c r="A2899" s="8"/>
    </row>
    <row r="2900" spans="1:1" ht="13.8" x14ac:dyDescent="0.25">
      <c r="A2900" s="8"/>
    </row>
    <row r="2901" spans="1:1" ht="13.8" x14ac:dyDescent="0.25">
      <c r="A2901" s="8"/>
    </row>
    <row r="2902" spans="1:1" ht="13.8" x14ac:dyDescent="0.25">
      <c r="A2902" s="8"/>
    </row>
    <row r="2903" spans="1:1" ht="13.8" x14ac:dyDescent="0.25">
      <c r="A2903" s="8"/>
    </row>
    <row r="2904" spans="1:1" ht="13.8" x14ac:dyDescent="0.25">
      <c r="A2904" s="8"/>
    </row>
    <row r="2905" spans="1:1" ht="13.8" x14ac:dyDescent="0.25">
      <c r="A2905" s="8"/>
    </row>
    <row r="2906" spans="1:1" ht="13.8" x14ac:dyDescent="0.25">
      <c r="A2906" s="8"/>
    </row>
    <row r="2907" spans="1:1" ht="13.8" x14ac:dyDescent="0.25">
      <c r="A2907" s="8"/>
    </row>
    <row r="2908" spans="1:1" ht="13.8" x14ac:dyDescent="0.25">
      <c r="A2908" s="8"/>
    </row>
    <row r="2909" spans="1:1" ht="13.8" x14ac:dyDescent="0.25">
      <c r="A2909" s="8"/>
    </row>
    <row r="2910" spans="1:1" ht="13.8" x14ac:dyDescent="0.25">
      <c r="A2910" s="8"/>
    </row>
    <row r="2911" spans="1:1" ht="13.8" x14ac:dyDescent="0.25">
      <c r="A2911" s="8"/>
    </row>
    <row r="2912" spans="1:1" ht="13.8" x14ac:dyDescent="0.25">
      <c r="A2912" s="8"/>
    </row>
    <row r="2913" spans="1:1" ht="13.8" x14ac:dyDescent="0.25">
      <c r="A2913" s="8"/>
    </row>
    <row r="2914" spans="1:1" ht="13.8" x14ac:dyDescent="0.25">
      <c r="A2914" s="8"/>
    </row>
    <row r="2915" spans="1:1" ht="13.8" x14ac:dyDescent="0.25">
      <c r="A2915" s="8"/>
    </row>
    <row r="2916" spans="1:1" ht="13.8" x14ac:dyDescent="0.25">
      <c r="A2916" s="8"/>
    </row>
    <row r="2917" spans="1:1" ht="13.8" x14ac:dyDescent="0.25">
      <c r="A2917" s="8"/>
    </row>
    <row r="2918" spans="1:1" ht="13.8" x14ac:dyDescent="0.25">
      <c r="A2918" s="8"/>
    </row>
    <row r="2919" spans="1:1" ht="13.8" x14ac:dyDescent="0.25">
      <c r="A2919" s="8"/>
    </row>
    <row r="2920" spans="1:1" ht="13.8" x14ac:dyDescent="0.25">
      <c r="A2920" s="8"/>
    </row>
    <row r="2921" spans="1:1" ht="13.8" x14ac:dyDescent="0.25">
      <c r="A2921" s="8"/>
    </row>
    <row r="2922" spans="1:1" ht="13.8" x14ac:dyDescent="0.25">
      <c r="A2922" s="8"/>
    </row>
    <row r="2923" spans="1:1" ht="13.8" x14ac:dyDescent="0.25">
      <c r="A2923" s="8"/>
    </row>
    <row r="2924" spans="1:1" ht="13.8" x14ac:dyDescent="0.25">
      <c r="A2924" s="8"/>
    </row>
    <row r="2925" spans="1:1" ht="13.8" x14ac:dyDescent="0.25">
      <c r="A2925" s="8"/>
    </row>
    <row r="2926" spans="1:1" ht="13.8" x14ac:dyDescent="0.25">
      <c r="A2926" s="8"/>
    </row>
    <row r="2927" spans="1:1" ht="13.8" x14ac:dyDescent="0.25">
      <c r="A2927" s="8"/>
    </row>
    <row r="2928" spans="1:1" ht="13.8" x14ac:dyDescent="0.25">
      <c r="A2928" s="8"/>
    </row>
    <row r="2929" spans="1:1" ht="13.8" x14ac:dyDescent="0.25">
      <c r="A2929" s="8"/>
    </row>
    <row r="2930" spans="1:1" ht="13.8" x14ac:dyDescent="0.25">
      <c r="A2930" s="8"/>
    </row>
    <row r="2931" spans="1:1" ht="13.8" x14ac:dyDescent="0.25">
      <c r="A2931" s="8"/>
    </row>
    <row r="2932" spans="1:1" ht="13.8" x14ac:dyDescent="0.25">
      <c r="A2932" s="8"/>
    </row>
    <row r="2933" spans="1:1" ht="13.8" x14ac:dyDescent="0.25">
      <c r="A2933" s="8"/>
    </row>
    <row r="2934" spans="1:1" ht="13.8" x14ac:dyDescent="0.25">
      <c r="A2934" s="8"/>
    </row>
    <row r="2935" spans="1:1" ht="13.8" x14ac:dyDescent="0.25">
      <c r="A2935" s="8"/>
    </row>
    <row r="2936" spans="1:1" ht="13.8" x14ac:dyDescent="0.25">
      <c r="A2936" s="8"/>
    </row>
    <row r="2937" spans="1:1" ht="13.8" x14ac:dyDescent="0.25">
      <c r="A2937" s="8"/>
    </row>
    <row r="2938" spans="1:1" ht="13.8" x14ac:dyDescent="0.25">
      <c r="A2938" s="8"/>
    </row>
    <row r="2939" spans="1:1" ht="13.8" x14ac:dyDescent="0.25">
      <c r="A2939" s="8"/>
    </row>
    <row r="2940" spans="1:1" ht="13.8" x14ac:dyDescent="0.25">
      <c r="A2940" s="8"/>
    </row>
    <row r="2941" spans="1:1" ht="13.8" x14ac:dyDescent="0.25">
      <c r="A2941" s="8"/>
    </row>
    <row r="2942" spans="1:1" ht="13.8" x14ac:dyDescent="0.25">
      <c r="A2942" s="8"/>
    </row>
    <row r="2943" spans="1:1" ht="13.8" x14ac:dyDescent="0.25">
      <c r="A2943" s="8"/>
    </row>
    <row r="2944" spans="1:1" ht="13.8" x14ac:dyDescent="0.25">
      <c r="A2944" s="8"/>
    </row>
    <row r="2945" spans="1:1" ht="13.8" x14ac:dyDescent="0.25">
      <c r="A2945" s="8"/>
    </row>
    <row r="2946" spans="1:1" ht="13.8" x14ac:dyDescent="0.25">
      <c r="A2946" s="8"/>
    </row>
    <row r="2947" spans="1:1" ht="13.8" x14ac:dyDescent="0.25">
      <c r="A2947" s="8"/>
    </row>
    <row r="2948" spans="1:1" ht="13.8" x14ac:dyDescent="0.25">
      <c r="A2948" s="8"/>
    </row>
    <row r="2949" spans="1:1" ht="13.8" x14ac:dyDescent="0.25">
      <c r="A2949" s="8"/>
    </row>
    <row r="2950" spans="1:1" ht="13.8" x14ac:dyDescent="0.25">
      <c r="A2950" s="8"/>
    </row>
    <row r="2951" spans="1:1" ht="13.8" x14ac:dyDescent="0.25">
      <c r="A2951" s="8"/>
    </row>
    <row r="2952" spans="1:1" ht="13.8" x14ac:dyDescent="0.25">
      <c r="A2952" s="8"/>
    </row>
    <row r="2953" spans="1:1" ht="13.8" x14ac:dyDescent="0.25">
      <c r="A2953" s="8"/>
    </row>
    <row r="2954" spans="1:1" ht="13.8" x14ac:dyDescent="0.25">
      <c r="A2954" s="8"/>
    </row>
    <row r="2955" spans="1:1" ht="13.8" x14ac:dyDescent="0.25">
      <c r="A2955" s="8"/>
    </row>
    <row r="2956" spans="1:1" ht="13.8" x14ac:dyDescent="0.25">
      <c r="A2956" s="8"/>
    </row>
    <row r="2957" spans="1:1" ht="13.8" x14ac:dyDescent="0.25">
      <c r="A2957" s="8"/>
    </row>
    <row r="2958" spans="1:1" ht="13.8" x14ac:dyDescent="0.25">
      <c r="A2958" s="8"/>
    </row>
    <row r="2959" spans="1:1" ht="13.8" x14ac:dyDescent="0.25">
      <c r="A2959" s="8"/>
    </row>
    <row r="2960" spans="1:1" ht="13.8" x14ac:dyDescent="0.25">
      <c r="A2960" s="8"/>
    </row>
    <row r="2961" spans="1:1" ht="13.8" x14ac:dyDescent="0.25">
      <c r="A2961" s="8"/>
    </row>
    <row r="2962" spans="1:1" ht="13.8" x14ac:dyDescent="0.25">
      <c r="A2962" s="8"/>
    </row>
    <row r="2963" spans="1:1" ht="13.8" x14ac:dyDescent="0.25">
      <c r="A2963" s="8"/>
    </row>
    <row r="2964" spans="1:1" ht="13.8" x14ac:dyDescent="0.25">
      <c r="A2964" s="8"/>
    </row>
    <row r="2965" spans="1:1" ht="13.8" x14ac:dyDescent="0.25">
      <c r="A2965" s="8"/>
    </row>
    <row r="2966" spans="1:1" ht="13.8" x14ac:dyDescent="0.25">
      <c r="A2966" s="8"/>
    </row>
    <row r="2967" spans="1:1" ht="13.8" x14ac:dyDescent="0.25">
      <c r="A2967" s="8"/>
    </row>
    <row r="2968" spans="1:1" ht="13.8" x14ac:dyDescent="0.25">
      <c r="A2968" s="8"/>
    </row>
    <row r="2969" spans="1:1" ht="13.8" x14ac:dyDescent="0.25">
      <c r="A2969" s="8"/>
    </row>
    <row r="2970" spans="1:1" ht="13.8" x14ac:dyDescent="0.25">
      <c r="A2970" s="8"/>
    </row>
    <row r="2971" spans="1:1" ht="13.8" x14ac:dyDescent="0.25">
      <c r="A2971" s="8"/>
    </row>
    <row r="2972" spans="1:1" ht="13.8" x14ac:dyDescent="0.25">
      <c r="A2972" s="8"/>
    </row>
    <row r="2973" spans="1:1" ht="13.8" x14ac:dyDescent="0.25">
      <c r="A2973" s="8"/>
    </row>
    <row r="2974" spans="1:1" ht="13.8" x14ac:dyDescent="0.25">
      <c r="A2974" s="8"/>
    </row>
    <row r="2975" spans="1:1" ht="13.8" x14ac:dyDescent="0.25">
      <c r="A2975" s="8"/>
    </row>
    <row r="2976" spans="1:1" ht="13.8" x14ac:dyDescent="0.25">
      <c r="A2976" s="8"/>
    </row>
    <row r="2977" spans="1:1" ht="13.8" x14ac:dyDescent="0.25">
      <c r="A2977" s="8"/>
    </row>
    <row r="2978" spans="1:1" ht="13.8" x14ac:dyDescent="0.25">
      <c r="A2978" s="8"/>
    </row>
    <row r="2979" spans="1:1" ht="13.8" x14ac:dyDescent="0.25">
      <c r="A2979" s="8"/>
    </row>
    <row r="2980" spans="1:1" ht="13.8" x14ac:dyDescent="0.25">
      <c r="A2980" s="8"/>
    </row>
    <row r="2981" spans="1:1" ht="13.8" x14ac:dyDescent="0.25">
      <c r="A2981" s="8"/>
    </row>
    <row r="2982" spans="1:1" ht="13.8" x14ac:dyDescent="0.25">
      <c r="A2982" s="8"/>
    </row>
    <row r="2983" spans="1:1" ht="13.8" x14ac:dyDescent="0.25">
      <c r="A2983" s="8"/>
    </row>
    <row r="2984" spans="1:1" ht="13.8" x14ac:dyDescent="0.25">
      <c r="A2984" s="8"/>
    </row>
    <row r="2985" spans="1:1" ht="13.8" x14ac:dyDescent="0.25">
      <c r="A2985" s="8"/>
    </row>
    <row r="2986" spans="1:1" ht="13.8" x14ac:dyDescent="0.25">
      <c r="A2986" s="8"/>
    </row>
    <row r="2987" spans="1:1" ht="13.8" x14ac:dyDescent="0.25">
      <c r="A2987" s="8"/>
    </row>
    <row r="2988" spans="1:1" ht="13.8" x14ac:dyDescent="0.25">
      <c r="A2988" s="8"/>
    </row>
    <row r="2989" spans="1:1" ht="13.8" x14ac:dyDescent="0.25">
      <c r="A2989" s="8"/>
    </row>
    <row r="2990" spans="1:1" ht="13.8" x14ac:dyDescent="0.25">
      <c r="A2990" s="8"/>
    </row>
    <row r="2991" spans="1:1" ht="13.8" x14ac:dyDescent="0.25">
      <c r="A2991" s="8"/>
    </row>
    <row r="2992" spans="1:1" ht="13.8" x14ac:dyDescent="0.25">
      <c r="A2992" s="8"/>
    </row>
    <row r="2993" spans="1:1" ht="13.8" x14ac:dyDescent="0.25">
      <c r="A2993" s="8"/>
    </row>
    <row r="2994" spans="1:1" ht="13.8" x14ac:dyDescent="0.25">
      <c r="A2994" s="8"/>
    </row>
    <row r="2995" spans="1:1" ht="13.8" x14ac:dyDescent="0.25">
      <c r="A2995" s="8"/>
    </row>
    <row r="2996" spans="1:1" ht="13.8" x14ac:dyDescent="0.25">
      <c r="A2996" s="8"/>
    </row>
    <row r="2997" spans="1:1" ht="13.8" x14ac:dyDescent="0.25">
      <c r="A2997" s="8"/>
    </row>
    <row r="2998" spans="1:1" ht="13.8" x14ac:dyDescent="0.25">
      <c r="A2998" s="8"/>
    </row>
    <row r="2999" spans="1:1" ht="13.8" x14ac:dyDescent="0.25">
      <c r="A2999" s="8"/>
    </row>
    <row r="3000" spans="1:1" ht="13.8" x14ac:dyDescent="0.25">
      <c r="A3000" s="8"/>
    </row>
    <row r="3001" spans="1:1" ht="13.8" x14ac:dyDescent="0.25">
      <c r="A3001" s="8"/>
    </row>
    <row r="3002" spans="1:1" ht="13.8" x14ac:dyDescent="0.25">
      <c r="A3002" s="8"/>
    </row>
    <row r="3003" spans="1:1" ht="13.8" x14ac:dyDescent="0.25">
      <c r="A3003" s="8"/>
    </row>
    <row r="3004" spans="1:1" ht="13.8" x14ac:dyDescent="0.25">
      <c r="A3004" s="8"/>
    </row>
    <row r="3005" spans="1:1" ht="13.8" x14ac:dyDescent="0.25">
      <c r="A3005" s="8"/>
    </row>
    <row r="3006" spans="1:1" ht="13.8" x14ac:dyDescent="0.25">
      <c r="A3006" s="8"/>
    </row>
    <row r="3007" spans="1:1" ht="13.8" x14ac:dyDescent="0.25">
      <c r="A3007" s="8"/>
    </row>
    <row r="3008" spans="1:1" ht="13.8" x14ac:dyDescent="0.25">
      <c r="A3008" s="8"/>
    </row>
    <row r="3009" spans="1:1" ht="13.8" x14ac:dyDescent="0.25">
      <c r="A3009" s="8"/>
    </row>
    <row r="3010" spans="1:1" ht="13.8" x14ac:dyDescent="0.25">
      <c r="A3010" s="8"/>
    </row>
    <row r="3011" spans="1:1" ht="13.8" x14ac:dyDescent="0.25">
      <c r="A3011" s="8"/>
    </row>
    <row r="3012" spans="1:1" ht="13.8" x14ac:dyDescent="0.25">
      <c r="A3012" s="8"/>
    </row>
    <row r="3013" spans="1:1" ht="13.8" x14ac:dyDescent="0.25">
      <c r="A3013" s="8"/>
    </row>
    <row r="3014" spans="1:1" ht="13.8" x14ac:dyDescent="0.25">
      <c r="A3014" s="8"/>
    </row>
    <row r="3015" spans="1:1" ht="13.8" x14ac:dyDescent="0.25">
      <c r="A3015" s="8"/>
    </row>
    <row r="3016" spans="1:1" ht="13.8" x14ac:dyDescent="0.25">
      <c r="A3016" s="8"/>
    </row>
    <row r="3017" spans="1:1" ht="13.8" x14ac:dyDescent="0.25">
      <c r="A3017" s="8"/>
    </row>
    <row r="3018" spans="1:1" ht="13.8" x14ac:dyDescent="0.25">
      <c r="A3018" s="8"/>
    </row>
    <row r="3019" spans="1:1" ht="13.8" x14ac:dyDescent="0.25">
      <c r="A3019" s="8"/>
    </row>
    <row r="3020" spans="1:1" ht="13.8" x14ac:dyDescent="0.25">
      <c r="A3020" s="8"/>
    </row>
    <row r="3021" spans="1:1" ht="13.8" x14ac:dyDescent="0.25">
      <c r="A3021" s="8"/>
    </row>
    <row r="3022" spans="1:1" ht="13.8" x14ac:dyDescent="0.25">
      <c r="A3022" s="8"/>
    </row>
    <row r="3023" spans="1:1" ht="13.8" x14ac:dyDescent="0.25">
      <c r="A3023" s="8"/>
    </row>
    <row r="3024" spans="1:1" ht="13.8" x14ac:dyDescent="0.25">
      <c r="A3024" s="8"/>
    </row>
    <row r="3025" spans="1:1" ht="13.8" x14ac:dyDescent="0.25">
      <c r="A3025" s="8"/>
    </row>
    <row r="3026" spans="1:1" ht="13.8" x14ac:dyDescent="0.25">
      <c r="A3026" s="8"/>
    </row>
    <row r="3027" spans="1:1" ht="13.8" x14ac:dyDescent="0.25">
      <c r="A3027" s="8"/>
    </row>
    <row r="3028" spans="1:1" ht="13.8" x14ac:dyDescent="0.25">
      <c r="A3028" s="8"/>
    </row>
    <row r="3029" spans="1:1" ht="13.8" x14ac:dyDescent="0.25">
      <c r="A3029" s="8"/>
    </row>
    <row r="3030" spans="1:1" ht="13.8" x14ac:dyDescent="0.25">
      <c r="A3030" s="8"/>
    </row>
    <row r="3031" spans="1:1" ht="13.8" x14ac:dyDescent="0.25">
      <c r="A3031" s="8"/>
    </row>
    <row r="3032" spans="1:1" ht="13.8" x14ac:dyDescent="0.25">
      <c r="A3032" s="8"/>
    </row>
    <row r="3033" spans="1:1" ht="13.8" x14ac:dyDescent="0.25">
      <c r="A3033" s="8"/>
    </row>
    <row r="3034" spans="1:1" ht="13.8" x14ac:dyDescent="0.25">
      <c r="A3034" s="8"/>
    </row>
    <row r="3035" spans="1:1" ht="13.8" x14ac:dyDescent="0.25">
      <c r="A3035" s="8"/>
    </row>
    <row r="3036" spans="1:1" ht="13.8" x14ac:dyDescent="0.25">
      <c r="A3036" s="8"/>
    </row>
    <row r="3037" spans="1:1" ht="13.8" x14ac:dyDescent="0.25">
      <c r="A3037" s="8"/>
    </row>
    <row r="3038" spans="1:1" ht="13.8" x14ac:dyDescent="0.25">
      <c r="A3038" s="8"/>
    </row>
    <row r="3039" spans="1:1" ht="13.8" x14ac:dyDescent="0.25">
      <c r="A3039" s="8"/>
    </row>
    <row r="3040" spans="1:1" ht="13.8" x14ac:dyDescent="0.25">
      <c r="A3040" s="8"/>
    </row>
    <row r="3041" spans="1:1" ht="13.8" x14ac:dyDescent="0.25">
      <c r="A3041" s="8"/>
    </row>
    <row r="3042" spans="1:1" ht="13.8" x14ac:dyDescent="0.25">
      <c r="A3042" s="8"/>
    </row>
    <row r="3043" spans="1:1" ht="13.8" x14ac:dyDescent="0.25">
      <c r="A3043" s="8"/>
    </row>
    <row r="3044" spans="1:1" ht="13.8" x14ac:dyDescent="0.25">
      <c r="A3044" s="8"/>
    </row>
    <row r="3045" spans="1:1" ht="13.8" x14ac:dyDescent="0.25">
      <c r="A3045" s="8"/>
    </row>
    <row r="3046" spans="1:1" ht="13.8" x14ac:dyDescent="0.25">
      <c r="A3046" s="8"/>
    </row>
    <row r="3047" spans="1:1" ht="13.8" x14ac:dyDescent="0.25">
      <c r="A3047" s="8"/>
    </row>
    <row r="3048" spans="1:1" ht="13.8" x14ac:dyDescent="0.25">
      <c r="A3048" s="8"/>
    </row>
    <row r="3049" spans="1:1" ht="13.8" x14ac:dyDescent="0.25">
      <c r="A3049" s="8"/>
    </row>
    <row r="3050" spans="1:1" ht="13.8" x14ac:dyDescent="0.25">
      <c r="A3050" s="8"/>
    </row>
    <row r="3051" spans="1:1" ht="13.8" x14ac:dyDescent="0.25">
      <c r="A3051" s="8"/>
    </row>
    <row r="3052" spans="1:1" ht="13.8" x14ac:dyDescent="0.25">
      <c r="A3052" s="8"/>
    </row>
    <row r="3053" spans="1:1" ht="13.8" x14ac:dyDescent="0.25">
      <c r="A3053" s="8"/>
    </row>
    <row r="3054" spans="1:1" ht="13.8" x14ac:dyDescent="0.25">
      <c r="A3054" s="8"/>
    </row>
    <row r="3055" spans="1:1" ht="13.8" x14ac:dyDescent="0.25">
      <c r="A3055" s="8"/>
    </row>
    <row r="3056" spans="1:1" ht="13.8" x14ac:dyDescent="0.25">
      <c r="A3056" s="8"/>
    </row>
    <row r="3057" spans="1:1" ht="13.8" x14ac:dyDescent="0.25">
      <c r="A3057" s="8"/>
    </row>
    <row r="3058" spans="1:1" ht="13.8" x14ac:dyDescent="0.25">
      <c r="A3058" s="8"/>
    </row>
    <row r="3059" spans="1:1" ht="13.8" x14ac:dyDescent="0.25">
      <c r="A3059" s="8"/>
    </row>
    <row r="3060" spans="1:1" ht="13.8" x14ac:dyDescent="0.25">
      <c r="A3060" s="8"/>
    </row>
    <row r="3061" spans="1:1" ht="13.8" x14ac:dyDescent="0.25">
      <c r="A3061" s="8"/>
    </row>
    <row r="3062" spans="1:1" ht="13.8" x14ac:dyDescent="0.25">
      <c r="A3062" s="8"/>
    </row>
    <row r="3063" spans="1:1" ht="13.8" x14ac:dyDescent="0.25">
      <c r="A3063" s="8"/>
    </row>
    <row r="3064" spans="1:1" ht="13.8" x14ac:dyDescent="0.25">
      <c r="A3064" s="8"/>
    </row>
    <row r="3065" spans="1:1" ht="13.8" x14ac:dyDescent="0.25">
      <c r="A3065" s="8"/>
    </row>
    <row r="3066" spans="1:1" ht="13.8" x14ac:dyDescent="0.25">
      <c r="A3066" s="8"/>
    </row>
    <row r="3067" spans="1:1" ht="13.8" x14ac:dyDescent="0.25">
      <c r="A3067" s="8"/>
    </row>
    <row r="3068" spans="1:1" ht="13.8" x14ac:dyDescent="0.25">
      <c r="A3068" s="8"/>
    </row>
    <row r="3069" spans="1:1" ht="13.8" x14ac:dyDescent="0.25">
      <c r="A3069" s="8"/>
    </row>
    <row r="3070" spans="1:1" ht="13.8" x14ac:dyDescent="0.25">
      <c r="A3070" s="8"/>
    </row>
    <row r="3071" spans="1:1" ht="13.8" x14ac:dyDescent="0.25">
      <c r="A3071" s="8"/>
    </row>
    <row r="3072" spans="1:1" ht="13.8" x14ac:dyDescent="0.25">
      <c r="A3072" s="8"/>
    </row>
    <row r="3073" spans="1:1" ht="13.8" x14ac:dyDescent="0.25">
      <c r="A3073" s="8"/>
    </row>
    <row r="3074" spans="1:1" ht="13.8" x14ac:dyDescent="0.25">
      <c r="A3074" s="8"/>
    </row>
    <row r="3075" spans="1:1" ht="13.8" x14ac:dyDescent="0.25">
      <c r="A3075" s="8"/>
    </row>
    <row r="3076" spans="1:1" ht="13.8" x14ac:dyDescent="0.25">
      <c r="A3076" s="8"/>
    </row>
    <row r="3077" spans="1:1" ht="13.8" x14ac:dyDescent="0.25">
      <c r="A3077" s="8"/>
    </row>
    <row r="3078" spans="1:1" ht="13.8" x14ac:dyDescent="0.25">
      <c r="A3078" s="8"/>
    </row>
    <row r="3079" spans="1:1" ht="13.8" x14ac:dyDescent="0.25">
      <c r="A3079" s="8"/>
    </row>
    <row r="3080" spans="1:1" ht="13.8" x14ac:dyDescent="0.25">
      <c r="A3080" s="8"/>
    </row>
    <row r="3081" spans="1:1" ht="13.8" x14ac:dyDescent="0.25">
      <c r="A3081" s="8"/>
    </row>
    <row r="3082" spans="1:1" ht="13.8" x14ac:dyDescent="0.25">
      <c r="A3082" s="8"/>
    </row>
    <row r="3083" spans="1:1" ht="13.8" x14ac:dyDescent="0.25">
      <c r="A3083" s="8"/>
    </row>
    <row r="3084" spans="1:1" ht="13.8" x14ac:dyDescent="0.25">
      <c r="A3084" s="8"/>
    </row>
    <row r="3085" spans="1:1" ht="13.8" x14ac:dyDescent="0.25">
      <c r="A3085" s="8"/>
    </row>
    <row r="3086" spans="1:1" ht="13.8" x14ac:dyDescent="0.25">
      <c r="A3086" s="8"/>
    </row>
    <row r="3087" spans="1:1" ht="13.8" x14ac:dyDescent="0.25">
      <c r="A3087" s="8"/>
    </row>
    <row r="3088" spans="1:1" ht="13.8" x14ac:dyDescent="0.25">
      <c r="A3088" s="8"/>
    </row>
    <row r="3089" spans="1:1" ht="13.8" x14ac:dyDescent="0.25">
      <c r="A3089" s="8"/>
    </row>
    <row r="3090" spans="1:1" ht="13.8" x14ac:dyDescent="0.25">
      <c r="A3090" s="8"/>
    </row>
    <row r="3091" spans="1:1" ht="13.8" x14ac:dyDescent="0.25">
      <c r="A3091" s="8"/>
    </row>
    <row r="3092" spans="1:1" ht="13.8" x14ac:dyDescent="0.25">
      <c r="A3092" s="8"/>
    </row>
    <row r="3093" spans="1:1" ht="13.8" x14ac:dyDescent="0.25">
      <c r="A3093" s="8"/>
    </row>
    <row r="3094" spans="1:1" ht="13.8" x14ac:dyDescent="0.25">
      <c r="A3094" s="8"/>
    </row>
    <row r="3095" spans="1:1" ht="13.8" x14ac:dyDescent="0.25">
      <c r="A3095" s="8"/>
    </row>
    <row r="3096" spans="1:1" ht="13.8" x14ac:dyDescent="0.25">
      <c r="A3096" s="8"/>
    </row>
    <row r="3097" spans="1:1" ht="13.8" x14ac:dyDescent="0.25">
      <c r="A3097" s="8"/>
    </row>
    <row r="3098" spans="1:1" ht="13.8" x14ac:dyDescent="0.25">
      <c r="A3098" s="8"/>
    </row>
    <row r="3099" spans="1:1" ht="13.8" x14ac:dyDescent="0.25">
      <c r="A3099" s="8"/>
    </row>
    <row r="3100" spans="1:1" ht="13.8" x14ac:dyDescent="0.25">
      <c r="A3100" s="8"/>
    </row>
    <row r="3101" spans="1:1" ht="13.8" x14ac:dyDescent="0.25">
      <c r="A3101" s="8"/>
    </row>
    <row r="3102" spans="1:1" ht="13.8" x14ac:dyDescent="0.25">
      <c r="A3102" s="8"/>
    </row>
    <row r="3103" spans="1:1" ht="13.8" x14ac:dyDescent="0.25">
      <c r="A3103" s="8"/>
    </row>
    <row r="3104" spans="1:1" ht="13.8" x14ac:dyDescent="0.25">
      <c r="A3104" s="8"/>
    </row>
    <row r="3105" spans="1:1" ht="13.8" x14ac:dyDescent="0.25">
      <c r="A3105" s="8"/>
    </row>
    <row r="3106" spans="1:1" ht="13.8" x14ac:dyDescent="0.25">
      <c r="A3106" s="8"/>
    </row>
    <row r="3107" spans="1:1" ht="13.8" x14ac:dyDescent="0.25">
      <c r="A3107" s="8"/>
    </row>
    <row r="3108" spans="1:1" ht="13.8" x14ac:dyDescent="0.25">
      <c r="A3108" s="8"/>
    </row>
    <row r="3109" spans="1:1" ht="13.8" x14ac:dyDescent="0.25">
      <c r="A3109" s="8"/>
    </row>
    <row r="3110" spans="1:1" ht="13.8" x14ac:dyDescent="0.25">
      <c r="A3110" s="8"/>
    </row>
    <row r="3111" spans="1:1" ht="13.8" x14ac:dyDescent="0.25">
      <c r="A3111" s="8"/>
    </row>
    <row r="3112" spans="1:1" ht="13.8" x14ac:dyDescent="0.25">
      <c r="A3112" s="8"/>
    </row>
    <row r="3113" spans="1:1" ht="13.8" x14ac:dyDescent="0.25">
      <c r="A3113" s="8"/>
    </row>
    <row r="3114" spans="1:1" ht="13.8" x14ac:dyDescent="0.25">
      <c r="A3114" s="8"/>
    </row>
    <row r="3115" spans="1:1" ht="13.8" x14ac:dyDescent="0.25">
      <c r="A3115" s="8"/>
    </row>
    <row r="3116" spans="1:1" ht="13.8" x14ac:dyDescent="0.25">
      <c r="A3116" s="8"/>
    </row>
    <row r="3117" spans="1:1" ht="13.8" x14ac:dyDescent="0.25">
      <c r="A3117" s="8"/>
    </row>
    <row r="3118" spans="1:1" ht="13.8" x14ac:dyDescent="0.25">
      <c r="A3118" s="8"/>
    </row>
    <row r="3119" spans="1:1" ht="13.8" x14ac:dyDescent="0.25">
      <c r="A3119" s="8"/>
    </row>
    <row r="3120" spans="1:1" ht="13.8" x14ac:dyDescent="0.25">
      <c r="A3120" s="8"/>
    </row>
    <row r="3121" spans="1:1" ht="13.8" x14ac:dyDescent="0.25">
      <c r="A3121" s="8"/>
    </row>
    <row r="3122" spans="1:1" ht="13.8" x14ac:dyDescent="0.25">
      <c r="A3122" s="8"/>
    </row>
    <row r="3123" spans="1:1" ht="13.8" x14ac:dyDescent="0.25">
      <c r="A3123" s="8"/>
    </row>
    <row r="3124" spans="1:1" ht="13.8" x14ac:dyDescent="0.25">
      <c r="A3124" s="8"/>
    </row>
    <row r="3125" spans="1:1" ht="13.8" x14ac:dyDescent="0.25">
      <c r="A3125" s="8"/>
    </row>
    <row r="3126" spans="1:1" ht="13.8" x14ac:dyDescent="0.25">
      <c r="A3126" s="8"/>
    </row>
    <row r="3127" spans="1:1" ht="13.8" x14ac:dyDescent="0.25">
      <c r="A3127" s="8"/>
    </row>
    <row r="3128" spans="1:1" ht="13.8" x14ac:dyDescent="0.25">
      <c r="A3128" s="8"/>
    </row>
    <row r="3129" spans="1:1" ht="13.8" x14ac:dyDescent="0.25">
      <c r="A3129" s="8"/>
    </row>
    <row r="3130" spans="1:1" ht="13.8" x14ac:dyDescent="0.25">
      <c r="A3130" s="8"/>
    </row>
    <row r="3131" spans="1:1" ht="13.8" x14ac:dyDescent="0.25">
      <c r="A3131" s="8"/>
    </row>
    <row r="3132" spans="1:1" ht="13.8" x14ac:dyDescent="0.25">
      <c r="A3132" s="8"/>
    </row>
    <row r="3133" spans="1:1" ht="13.8" x14ac:dyDescent="0.25">
      <c r="A3133" s="8"/>
    </row>
    <row r="3134" spans="1:1" ht="13.8" x14ac:dyDescent="0.25">
      <c r="A3134" s="8"/>
    </row>
    <row r="3135" spans="1:1" ht="13.8" x14ac:dyDescent="0.25">
      <c r="A3135" s="8"/>
    </row>
    <row r="3136" spans="1:1" ht="13.8" x14ac:dyDescent="0.25">
      <c r="A3136" s="8"/>
    </row>
    <row r="3137" spans="1:1" ht="13.8" x14ac:dyDescent="0.25">
      <c r="A3137" s="8"/>
    </row>
    <row r="3138" spans="1:1" ht="13.8" x14ac:dyDescent="0.25">
      <c r="A3138" s="8"/>
    </row>
    <row r="3139" spans="1:1" ht="13.8" x14ac:dyDescent="0.25">
      <c r="A3139" s="8"/>
    </row>
    <row r="3140" spans="1:1" ht="13.8" x14ac:dyDescent="0.25">
      <c r="A3140" s="8"/>
    </row>
    <row r="3141" spans="1:1" ht="13.8" x14ac:dyDescent="0.25">
      <c r="A3141" s="8"/>
    </row>
    <row r="3142" spans="1:1" ht="13.8" x14ac:dyDescent="0.25">
      <c r="A3142" s="8"/>
    </row>
    <row r="3143" spans="1:1" ht="13.8" x14ac:dyDescent="0.25">
      <c r="A3143" s="8"/>
    </row>
    <row r="3144" spans="1:1" ht="13.8" x14ac:dyDescent="0.25">
      <c r="A3144" s="8"/>
    </row>
    <row r="3145" spans="1:1" ht="13.8" x14ac:dyDescent="0.25">
      <c r="A3145" s="8"/>
    </row>
    <row r="3146" spans="1:1" ht="13.8" x14ac:dyDescent="0.25">
      <c r="A3146" s="8"/>
    </row>
    <row r="3147" spans="1:1" ht="13.8" x14ac:dyDescent="0.25">
      <c r="A3147" s="8"/>
    </row>
    <row r="3148" spans="1:1" ht="13.8" x14ac:dyDescent="0.25">
      <c r="A3148" s="8"/>
    </row>
    <row r="3149" spans="1:1" ht="13.8" x14ac:dyDescent="0.25">
      <c r="A3149" s="8"/>
    </row>
    <row r="3150" spans="1:1" ht="13.8" x14ac:dyDescent="0.25">
      <c r="A3150" s="8"/>
    </row>
    <row r="3151" spans="1:1" ht="13.8" x14ac:dyDescent="0.25">
      <c r="A3151" s="8"/>
    </row>
    <row r="3152" spans="1:1" ht="13.8" x14ac:dyDescent="0.25">
      <c r="A3152" s="8"/>
    </row>
    <row r="3153" spans="1:1" ht="13.8" x14ac:dyDescent="0.25">
      <c r="A3153" s="8"/>
    </row>
    <row r="3154" spans="1:1" ht="13.8" x14ac:dyDescent="0.25">
      <c r="A3154" s="8"/>
    </row>
    <row r="3155" spans="1:1" ht="13.8" x14ac:dyDescent="0.25">
      <c r="A3155" s="8"/>
    </row>
    <row r="3156" spans="1:1" ht="13.8" x14ac:dyDescent="0.25">
      <c r="A3156" s="8"/>
    </row>
    <row r="3157" spans="1:1" ht="13.8" x14ac:dyDescent="0.25">
      <c r="A3157" s="8"/>
    </row>
    <row r="3158" spans="1:1" ht="13.8" x14ac:dyDescent="0.25">
      <c r="A3158" s="8"/>
    </row>
    <row r="3159" spans="1:1" ht="13.8" x14ac:dyDescent="0.25">
      <c r="A3159" s="8"/>
    </row>
    <row r="3160" spans="1:1" ht="13.8" x14ac:dyDescent="0.25">
      <c r="A3160" s="8"/>
    </row>
    <row r="3161" spans="1:1" ht="13.8" x14ac:dyDescent="0.25">
      <c r="A3161" s="8"/>
    </row>
    <row r="3162" spans="1:1" ht="13.8" x14ac:dyDescent="0.25">
      <c r="A3162" s="8"/>
    </row>
    <row r="3163" spans="1:1" ht="13.8" x14ac:dyDescent="0.25">
      <c r="A3163" s="8"/>
    </row>
    <row r="3164" spans="1:1" ht="13.8" x14ac:dyDescent="0.25">
      <c r="A3164" s="8"/>
    </row>
    <row r="3165" spans="1:1" ht="13.8" x14ac:dyDescent="0.25">
      <c r="A3165" s="8"/>
    </row>
    <row r="3166" spans="1:1" ht="13.8" x14ac:dyDescent="0.25">
      <c r="A3166" s="8"/>
    </row>
    <row r="3167" spans="1:1" ht="13.8" x14ac:dyDescent="0.25">
      <c r="A3167" s="8"/>
    </row>
    <row r="3168" spans="1:1" ht="13.8" x14ac:dyDescent="0.25">
      <c r="A3168" s="8"/>
    </row>
    <row r="3169" spans="1:1" ht="13.8" x14ac:dyDescent="0.25">
      <c r="A3169" s="8"/>
    </row>
    <row r="3170" spans="1:1" ht="13.8" x14ac:dyDescent="0.25">
      <c r="A3170" s="8"/>
    </row>
    <row r="3171" spans="1:1" ht="13.8" x14ac:dyDescent="0.25">
      <c r="A3171" s="8"/>
    </row>
    <row r="3172" spans="1:1" ht="13.8" x14ac:dyDescent="0.25">
      <c r="A3172" s="8"/>
    </row>
    <row r="3173" spans="1:1" ht="13.8" x14ac:dyDescent="0.25">
      <c r="A3173" s="8"/>
    </row>
    <row r="3174" spans="1:1" ht="13.8" x14ac:dyDescent="0.25">
      <c r="A3174" s="8"/>
    </row>
    <row r="3175" spans="1:1" ht="13.8" x14ac:dyDescent="0.25">
      <c r="A3175" s="8"/>
    </row>
    <row r="3176" spans="1:1" ht="13.8" x14ac:dyDescent="0.25">
      <c r="A3176" s="8"/>
    </row>
    <row r="3177" spans="1:1" ht="13.8" x14ac:dyDescent="0.25">
      <c r="A3177" s="8"/>
    </row>
    <row r="3178" spans="1:1" ht="13.8" x14ac:dyDescent="0.25">
      <c r="A3178" s="8"/>
    </row>
    <row r="3179" spans="1:1" ht="13.8" x14ac:dyDescent="0.25">
      <c r="A3179" s="8"/>
    </row>
    <row r="3180" spans="1:1" ht="13.8" x14ac:dyDescent="0.25">
      <c r="A3180" s="8"/>
    </row>
    <row r="3181" spans="1:1" ht="13.8" x14ac:dyDescent="0.25">
      <c r="A3181" s="8"/>
    </row>
    <row r="3182" spans="1:1" ht="13.8" x14ac:dyDescent="0.25">
      <c r="A3182" s="8"/>
    </row>
    <row r="3183" spans="1:1" ht="13.8" x14ac:dyDescent="0.25">
      <c r="A3183" s="8"/>
    </row>
    <row r="3184" spans="1:1" ht="13.8" x14ac:dyDescent="0.25">
      <c r="A3184" s="8"/>
    </row>
    <row r="3185" spans="1:1" ht="13.8" x14ac:dyDescent="0.25">
      <c r="A3185" s="8"/>
    </row>
    <row r="3186" spans="1:1" ht="13.8" x14ac:dyDescent="0.25">
      <c r="A3186" s="8"/>
    </row>
    <row r="3187" spans="1:1" ht="13.8" x14ac:dyDescent="0.25">
      <c r="A3187" s="8"/>
    </row>
    <row r="3188" spans="1:1" ht="13.8" x14ac:dyDescent="0.25">
      <c r="A3188" s="8"/>
    </row>
    <row r="3189" spans="1:1" ht="13.8" x14ac:dyDescent="0.25">
      <c r="A3189" s="8"/>
    </row>
    <row r="3190" spans="1:1" ht="13.8" x14ac:dyDescent="0.25">
      <c r="A3190" s="8"/>
    </row>
    <row r="3191" spans="1:1" ht="13.8" x14ac:dyDescent="0.25">
      <c r="A3191" s="8"/>
    </row>
    <row r="3192" spans="1:1" ht="13.8" x14ac:dyDescent="0.25">
      <c r="A3192" s="8"/>
    </row>
    <row r="3193" spans="1:1" ht="13.8" x14ac:dyDescent="0.25">
      <c r="A3193" s="8"/>
    </row>
    <row r="3194" spans="1:1" ht="13.8" x14ac:dyDescent="0.25">
      <c r="A3194" s="8"/>
    </row>
    <row r="3195" spans="1:1" ht="13.8" x14ac:dyDescent="0.25">
      <c r="A3195" s="8"/>
    </row>
    <row r="3196" spans="1:1" ht="13.8" x14ac:dyDescent="0.25">
      <c r="A3196" s="8"/>
    </row>
    <row r="3197" spans="1:1" ht="13.8" x14ac:dyDescent="0.25">
      <c r="A3197" s="8"/>
    </row>
    <row r="3198" spans="1:1" ht="13.8" x14ac:dyDescent="0.25">
      <c r="A3198" s="8"/>
    </row>
    <row r="3199" spans="1:1" ht="13.8" x14ac:dyDescent="0.25">
      <c r="A3199" s="8"/>
    </row>
    <row r="3200" spans="1:1" ht="13.8" x14ac:dyDescent="0.25">
      <c r="A3200" s="8"/>
    </row>
    <row r="3201" spans="1:1" ht="13.8" x14ac:dyDescent="0.25">
      <c r="A3201" s="8"/>
    </row>
    <row r="3202" spans="1:1" ht="13.8" x14ac:dyDescent="0.25">
      <c r="A3202" s="8"/>
    </row>
    <row r="3203" spans="1:1" ht="13.8" x14ac:dyDescent="0.25">
      <c r="A3203" s="8"/>
    </row>
    <row r="3204" spans="1:1" ht="13.8" x14ac:dyDescent="0.25">
      <c r="A3204" s="8"/>
    </row>
    <row r="3205" spans="1:1" ht="13.8" x14ac:dyDescent="0.25">
      <c r="A3205" s="8"/>
    </row>
    <row r="3206" spans="1:1" ht="13.8" x14ac:dyDescent="0.25">
      <c r="A3206" s="8"/>
    </row>
    <row r="3207" spans="1:1" ht="13.8" x14ac:dyDescent="0.25">
      <c r="A3207" s="8"/>
    </row>
    <row r="3208" spans="1:1" ht="13.8" x14ac:dyDescent="0.25">
      <c r="A3208" s="8"/>
    </row>
    <row r="3209" spans="1:1" ht="13.8" x14ac:dyDescent="0.25">
      <c r="A3209" s="8"/>
    </row>
    <row r="3210" spans="1:1" ht="13.8" x14ac:dyDescent="0.25">
      <c r="A3210" s="8"/>
    </row>
    <row r="3211" spans="1:1" ht="13.8" x14ac:dyDescent="0.25">
      <c r="A3211" s="8"/>
    </row>
    <row r="3212" spans="1:1" ht="13.8" x14ac:dyDescent="0.25">
      <c r="A3212" s="8"/>
    </row>
    <row r="3213" spans="1:1" ht="13.8" x14ac:dyDescent="0.25">
      <c r="A3213" s="8"/>
    </row>
    <row r="3214" spans="1:1" ht="13.8" x14ac:dyDescent="0.25">
      <c r="A3214" s="8"/>
    </row>
    <row r="3215" spans="1:1" ht="13.8" x14ac:dyDescent="0.25">
      <c r="A3215" s="8"/>
    </row>
    <row r="3216" spans="1:1" ht="13.8" x14ac:dyDescent="0.25">
      <c r="A3216" s="8"/>
    </row>
    <row r="3217" spans="1:1" ht="13.8" x14ac:dyDescent="0.25">
      <c r="A3217" s="8"/>
    </row>
    <row r="3218" spans="1:1" ht="13.8" x14ac:dyDescent="0.25">
      <c r="A3218" s="8"/>
    </row>
    <row r="3219" spans="1:1" ht="13.8" x14ac:dyDescent="0.25">
      <c r="A3219" s="8"/>
    </row>
    <row r="3220" spans="1:1" ht="13.8" x14ac:dyDescent="0.25">
      <c r="A3220" s="8"/>
    </row>
    <row r="3221" spans="1:1" ht="13.8" x14ac:dyDescent="0.25">
      <c r="A3221" s="8"/>
    </row>
    <row r="3222" spans="1:1" ht="13.8" x14ac:dyDescent="0.25">
      <c r="A3222" s="8"/>
    </row>
    <row r="3223" spans="1:1" ht="13.8" x14ac:dyDescent="0.25">
      <c r="A3223" s="8"/>
    </row>
    <row r="3224" spans="1:1" ht="13.8" x14ac:dyDescent="0.25">
      <c r="A3224" s="8"/>
    </row>
    <row r="3225" spans="1:1" ht="13.8" x14ac:dyDescent="0.25">
      <c r="A3225" s="8"/>
    </row>
    <row r="3226" spans="1:1" ht="13.8" x14ac:dyDescent="0.25">
      <c r="A3226" s="8"/>
    </row>
    <row r="3227" spans="1:1" ht="13.8" x14ac:dyDescent="0.25">
      <c r="A3227" s="8"/>
    </row>
    <row r="3228" spans="1:1" ht="13.8" x14ac:dyDescent="0.25">
      <c r="A3228" s="8"/>
    </row>
    <row r="3229" spans="1:1" ht="13.8" x14ac:dyDescent="0.25">
      <c r="A3229" s="8"/>
    </row>
    <row r="3230" spans="1:1" ht="13.8" x14ac:dyDescent="0.25">
      <c r="A3230" s="8"/>
    </row>
    <row r="3231" spans="1:1" ht="13.8" x14ac:dyDescent="0.25">
      <c r="A3231" s="8"/>
    </row>
    <row r="3232" spans="1:1" ht="13.8" x14ac:dyDescent="0.25">
      <c r="A3232" s="8"/>
    </row>
    <row r="3233" spans="1:1" ht="13.8" x14ac:dyDescent="0.25">
      <c r="A3233" s="8"/>
    </row>
    <row r="3234" spans="1:1" ht="13.8" x14ac:dyDescent="0.25">
      <c r="A3234" s="8"/>
    </row>
    <row r="3235" spans="1:1" ht="13.8" x14ac:dyDescent="0.25">
      <c r="A3235" s="8"/>
    </row>
    <row r="3236" spans="1:1" ht="13.8" x14ac:dyDescent="0.25">
      <c r="A3236" s="8"/>
    </row>
    <row r="3237" spans="1:1" ht="13.8" x14ac:dyDescent="0.25">
      <c r="A3237" s="8"/>
    </row>
    <row r="3238" spans="1:1" ht="13.8" x14ac:dyDescent="0.25">
      <c r="A3238" s="8"/>
    </row>
    <row r="3239" spans="1:1" ht="13.8" x14ac:dyDescent="0.25">
      <c r="A3239" s="8"/>
    </row>
    <row r="3240" spans="1:1" ht="13.8" x14ac:dyDescent="0.25">
      <c r="A3240" s="8"/>
    </row>
    <row r="3241" spans="1:1" ht="13.8" x14ac:dyDescent="0.25">
      <c r="A3241" s="8"/>
    </row>
    <row r="3242" spans="1:1" ht="13.8" x14ac:dyDescent="0.25">
      <c r="A3242" s="8"/>
    </row>
    <row r="3243" spans="1:1" ht="13.8" x14ac:dyDescent="0.25">
      <c r="A3243" s="8"/>
    </row>
    <row r="3244" spans="1:1" ht="13.8" x14ac:dyDescent="0.25">
      <c r="A3244" s="8"/>
    </row>
    <row r="3245" spans="1:1" ht="13.8" x14ac:dyDescent="0.25">
      <c r="A3245" s="8"/>
    </row>
    <row r="3246" spans="1:1" ht="13.8" x14ac:dyDescent="0.25">
      <c r="A3246" s="8"/>
    </row>
    <row r="3247" spans="1:1" ht="13.8" x14ac:dyDescent="0.25">
      <c r="A3247" s="8"/>
    </row>
    <row r="3248" spans="1:1" ht="13.8" x14ac:dyDescent="0.25">
      <c r="A3248" s="8"/>
    </row>
    <row r="3249" spans="1:1" ht="13.8" x14ac:dyDescent="0.25">
      <c r="A3249" s="8"/>
    </row>
    <row r="3250" spans="1:1" ht="13.8" x14ac:dyDescent="0.25">
      <c r="A3250" s="8"/>
    </row>
    <row r="3251" spans="1:1" ht="13.8" x14ac:dyDescent="0.25">
      <c r="A3251" s="8"/>
    </row>
    <row r="3252" spans="1:1" ht="13.8" x14ac:dyDescent="0.25">
      <c r="A3252" s="8"/>
    </row>
    <row r="3253" spans="1:1" ht="13.8" x14ac:dyDescent="0.25">
      <c r="A3253" s="8"/>
    </row>
    <row r="3254" spans="1:1" ht="13.8" x14ac:dyDescent="0.25">
      <c r="A3254" s="8"/>
    </row>
    <row r="3255" spans="1:1" ht="13.8" x14ac:dyDescent="0.25">
      <c r="A3255" s="8"/>
    </row>
    <row r="3256" spans="1:1" ht="13.8" x14ac:dyDescent="0.25">
      <c r="A3256" s="8"/>
    </row>
    <row r="3257" spans="1:1" ht="13.8" x14ac:dyDescent="0.25">
      <c r="A3257" s="8"/>
    </row>
    <row r="3258" spans="1:1" ht="13.8" x14ac:dyDescent="0.25">
      <c r="A3258" s="8"/>
    </row>
    <row r="3259" spans="1:1" ht="13.8" x14ac:dyDescent="0.25">
      <c r="A3259" s="8"/>
    </row>
    <row r="3260" spans="1:1" ht="13.8" x14ac:dyDescent="0.25">
      <c r="A3260" s="8"/>
    </row>
    <row r="3261" spans="1:1" ht="13.8" x14ac:dyDescent="0.25">
      <c r="A3261" s="8"/>
    </row>
    <row r="3262" spans="1:1" ht="13.8" x14ac:dyDescent="0.25">
      <c r="A3262" s="8"/>
    </row>
    <row r="3263" spans="1:1" ht="13.8" x14ac:dyDescent="0.25">
      <c r="A3263" s="8"/>
    </row>
    <row r="3264" spans="1:1" ht="13.8" x14ac:dyDescent="0.25">
      <c r="A3264" s="8"/>
    </row>
    <row r="3265" spans="1:1" ht="13.8" x14ac:dyDescent="0.25">
      <c r="A3265" s="8"/>
    </row>
    <row r="3266" spans="1:1" ht="13.8" x14ac:dyDescent="0.25">
      <c r="A3266" s="8"/>
    </row>
    <row r="3267" spans="1:1" ht="13.8" x14ac:dyDescent="0.25">
      <c r="A3267" s="8"/>
    </row>
    <row r="3268" spans="1:1" ht="13.8" x14ac:dyDescent="0.25">
      <c r="A3268" s="8"/>
    </row>
    <row r="3269" spans="1:1" ht="13.8" x14ac:dyDescent="0.25">
      <c r="A3269" s="8"/>
    </row>
    <row r="3270" spans="1:1" ht="13.8" x14ac:dyDescent="0.25">
      <c r="A3270" s="8"/>
    </row>
    <row r="3271" spans="1:1" ht="13.8" x14ac:dyDescent="0.25">
      <c r="A3271" s="8"/>
    </row>
    <row r="3272" spans="1:1" ht="13.8" x14ac:dyDescent="0.25">
      <c r="A3272" s="8"/>
    </row>
    <row r="3273" spans="1:1" ht="13.8" x14ac:dyDescent="0.25">
      <c r="A3273" s="8"/>
    </row>
    <row r="3274" spans="1:1" ht="13.8" x14ac:dyDescent="0.25">
      <c r="A3274" s="8"/>
    </row>
    <row r="3275" spans="1:1" ht="13.8" x14ac:dyDescent="0.25">
      <c r="A3275" s="8"/>
    </row>
    <row r="3276" spans="1:1" ht="13.8" x14ac:dyDescent="0.25">
      <c r="A3276" s="8"/>
    </row>
    <row r="3277" spans="1:1" ht="13.8" x14ac:dyDescent="0.25">
      <c r="A3277" s="8"/>
    </row>
    <row r="3278" spans="1:1" ht="13.8" x14ac:dyDescent="0.25">
      <c r="A3278" s="8"/>
    </row>
    <row r="3279" spans="1:1" ht="13.8" x14ac:dyDescent="0.25">
      <c r="A3279" s="8"/>
    </row>
    <row r="3280" spans="1:1" ht="13.8" x14ac:dyDescent="0.25">
      <c r="A3280" s="8"/>
    </row>
    <row r="3281" spans="1:1" ht="13.8" x14ac:dyDescent="0.25">
      <c r="A3281" s="8"/>
    </row>
    <row r="3282" spans="1:1" ht="13.8" x14ac:dyDescent="0.25">
      <c r="A3282" s="8"/>
    </row>
    <row r="3283" spans="1:1" ht="13.8" x14ac:dyDescent="0.25">
      <c r="A3283" s="8"/>
    </row>
    <row r="3284" spans="1:1" ht="13.8" x14ac:dyDescent="0.25">
      <c r="A3284" s="8"/>
    </row>
    <row r="3285" spans="1:1" ht="13.8" x14ac:dyDescent="0.25">
      <c r="A3285" s="8"/>
    </row>
    <row r="3286" spans="1:1" ht="13.8" x14ac:dyDescent="0.25">
      <c r="A3286" s="8"/>
    </row>
    <row r="3287" spans="1:1" ht="13.8" x14ac:dyDescent="0.25">
      <c r="A3287" s="8"/>
    </row>
    <row r="3288" spans="1:1" ht="13.8" x14ac:dyDescent="0.25">
      <c r="A3288" s="8"/>
    </row>
    <row r="3289" spans="1:1" ht="13.8" x14ac:dyDescent="0.25">
      <c r="A3289" s="8"/>
    </row>
    <row r="3290" spans="1:1" ht="13.8" x14ac:dyDescent="0.25">
      <c r="A3290" s="8"/>
    </row>
    <row r="3291" spans="1:1" ht="13.8" x14ac:dyDescent="0.25">
      <c r="A3291" s="8"/>
    </row>
    <row r="3292" spans="1:1" ht="13.8" x14ac:dyDescent="0.25">
      <c r="A3292" s="8"/>
    </row>
    <row r="3293" spans="1:1" ht="13.8" x14ac:dyDescent="0.25">
      <c r="A3293" s="8"/>
    </row>
    <row r="3294" spans="1:1" ht="13.8" x14ac:dyDescent="0.25">
      <c r="A3294" s="8"/>
    </row>
    <row r="3295" spans="1:1" ht="13.8" x14ac:dyDescent="0.25">
      <c r="A3295" s="8"/>
    </row>
    <row r="3296" spans="1:1" ht="13.8" x14ac:dyDescent="0.25">
      <c r="A3296" s="8"/>
    </row>
    <row r="3297" spans="1:1" ht="13.8" x14ac:dyDescent="0.25">
      <c r="A3297" s="8"/>
    </row>
    <row r="3298" spans="1:1" ht="13.8" x14ac:dyDescent="0.25">
      <c r="A3298" s="8"/>
    </row>
    <row r="3299" spans="1:1" ht="13.8" x14ac:dyDescent="0.25">
      <c r="A3299" s="8"/>
    </row>
    <row r="3300" spans="1:1" ht="13.8" x14ac:dyDescent="0.25">
      <c r="A3300" s="8"/>
    </row>
    <row r="3301" spans="1:1" ht="13.8" x14ac:dyDescent="0.25">
      <c r="A3301" s="8"/>
    </row>
    <row r="3302" spans="1:1" ht="13.8" x14ac:dyDescent="0.25">
      <c r="A3302" s="8"/>
    </row>
    <row r="3303" spans="1:1" ht="13.8" x14ac:dyDescent="0.25">
      <c r="A3303" s="8"/>
    </row>
    <row r="3304" spans="1:1" ht="13.8" x14ac:dyDescent="0.25">
      <c r="A3304" s="8"/>
    </row>
    <row r="3305" spans="1:1" ht="13.8" x14ac:dyDescent="0.25">
      <c r="A3305" s="8"/>
    </row>
    <row r="3306" spans="1:1" ht="13.8" x14ac:dyDescent="0.25">
      <c r="A3306" s="8"/>
    </row>
    <row r="3307" spans="1:1" ht="13.8" x14ac:dyDescent="0.25">
      <c r="A3307" s="8"/>
    </row>
    <row r="3308" spans="1:1" ht="13.8" x14ac:dyDescent="0.25">
      <c r="A3308" s="8"/>
    </row>
    <row r="3309" spans="1:1" ht="13.8" x14ac:dyDescent="0.25">
      <c r="A3309" s="8"/>
    </row>
    <row r="3310" spans="1:1" ht="13.8" x14ac:dyDescent="0.25">
      <c r="A3310" s="8"/>
    </row>
    <row r="3311" spans="1:1" ht="13.8" x14ac:dyDescent="0.25">
      <c r="A3311" s="8"/>
    </row>
    <row r="3312" spans="1:1" ht="13.8" x14ac:dyDescent="0.25">
      <c r="A3312" s="8"/>
    </row>
    <row r="3313" spans="1:1" ht="13.8" x14ac:dyDescent="0.25">
      <c r="A3313" s="8"/>
    </row>
    <row r="3314" spans="1:1" ht="13.8" x14ac:dyDescent="0.25">
      <c r="A3314" s="8"/>
    </row>
    <row r="3315" spans="1:1" ht="13.8" x14ac:dyDescent="0.25">
      <c r="A3315" s="8"/>
    </row>
    <row r="3316" spans="1:1" ht="13.8" x14ac:dyDescent="0.25">
      <c r="A3316" s="8"/>
    </row>
    <row r="3317" spans="1:1" ht="13.8" x14ac:dyDescent="0.25">
      <c r="A3317" s="8"/>
    </row>
    <row r="3318" spans="1:1" ht="13.8" x14ac:dyDescent="0.25">
      <c r="A3318" s="8"/>
    </row>
    <row r="3319" spans="1:1" ht="13.8" x14ac:dyDescent="0.25">
      <c r="A3319" s="8"/>
    </row>
    <row r="3320" spans="1:1" ht="13.8" x14ac:dyDescent="0.25">
      <c r="A3320" s="8"/>
    </row>
    <row r="3321" spans="1:1" ht="13.8" x14ac:dyDescent="0.25">
      <c r="A3321" s="8"/>
    </row>
    <row r="3322" spans="1:1" ht="13.8" x14ac:dyDescent="0.25">
      <c r="A3322" s="8"/>
    </row>
    <row r="3323" spans="1:1" ht="13.8" x14ac:dyDescent="0.25">
      <c r="A3323" s="8"/>
    </row>
    <row r="3324" spans="1:1" ht="13.8" x14ac:dyDescent="0.25">
      <c r="A3324" s="8"/>
    </row>
    <row r="3325" spans="1:1" ht="13.8" x14ac:dyDescent="0.25">
      <c r="A3325" s="8"/>
    </row>
    <row r="3326" spans="1:1" ht="13.8" x14ac:dyDescent="0.25">
      <c r="A3326" s="8"/>
    </row>
    <row r="3327" spans="1:1" ht="13.8" x14ac:dyDescent="0.25">
      <c r="A3327" s="8"/>
    </row>
    <row r="3328" spans="1:1" ht="13.8" x14ac:dyDescent="0.25">
      <c r="A3328" s="8"/>
    </row>
    <row r="3329" spans="1:1" ht="13.8" x14ac:dyDescent="0.25">
      <c r="A3329" s="8"/>
    </row>
    <row r="3330" spans="1:1" ht="13.8" x14ac:dyDescent="0.25">
      <c r="A3330" s="8"/>
    </row>
    <row r="3331" spans="1:1" ht="13.8" x14ac:dyDescent="0.25">
      <c r="A3331" s="8"/>
    </row>
    <row r="3332" spans="1:1" ht="13.8" x14ac:dyDescent="0.25">
      <c r="A3332" s="8"/>
    </row>
    <row r="3333" spans="1:1" ht="13.8" x14ac:dyDescent="0.25">
      <c r="A3333" s="8"/>
    </row>
    <row r="3334" spans="1:1" ht="13.8" x14ac:dyDescent="0.25">
      <c r="A3334" s="8"/>
    </row>
    <row r="3335" spans="1:1" ht="13.8" x14ac:dyDescent="0.25">
      <c r="A3335" s="8"/>
    </row>
    <row r="3336" spans="1:1" ht="13.8" x14ac:dyDescent="0.25">
      <c r="A3336" s="8"/>
    </row>
    <row r="3337" spans="1:1" ht="13.8" x14ac:dyDescent="0.25">
      <c r="A3337" s="8"/>
    </row>
    <row r="3338" spans="1:1" ht="13.8" x14ac:dyDescent="0.25">
      <c r="A3338" s="8"/>
    </row>
    <row r="3339" spans="1:1" ht="13.8" x14ac:dyDescent="0.25">
      <c r="A3339" s="8"/>
    </row>
    <row r="3340" spans="1:1" ht="13.8" x14ac:dyDescent="0.25">
      <c r="A3340" s="8"/>
    </row>
    <row r="3341" spans="1:1" ht="13.8" x14ac:dyDescent="0.25">
      <c r="A3341" s="8"/>
    </row>
    <row r="3342" spans="1:1" ht="13.8" x14ac:dyDescent="0.25">
      <c r="A3342" s="8"/>
    </row>
    <row r="3343" spans="1:1" ht="13.8" x14ac:dyDescent="0.25">
      <c r="A3343" s="8"/>
    </row>
    <row r="3344" spans="1:1" ht="13.8" x14ac:dyDescent="0.25">
      <c r="A3344" s="8"/>
    </row>
    <row r="3345" spans="1:1" ht="13.8" x14ac:dyDescent="0.25">
      <c r="A3345" s="8"/>
    </row>
    <row r="3346" spans="1:1" ht="13.8" x14ac:dyDescent="0.25">
      <c r="A3346" s="8"/>
    </row>
    <row r="3347" spans="1:1" ht="13.8" x14ac:dyDescent="0.25">
      <c r="A3347" s="8"/>
    </row>
    <row r="3348" spans="1:1" ht="13.8" x14ac:dyDescent="0.25">
      <c r="A3348" s="8"/>
    </row>
    <row r="3349" spans="1:1" ht="13.8" x14ac:dyDescent="0.25">
      <c r="A3349" s="8"/>
    </row>
    <row r="3350" spans="1:1" ht="13.8" x14ac:dyDescent="0.25">
      <c r="A3350" s="8"/>
    </row>
    <row r="3351" spans="1:1" ht="13.8" x14ac:dyDescent="0.25">
      <c r="A3351" s="8"/>
    </row>
    <row r="3352" spans="1:1" ht="13.8" x14ac:dyDescent="0.25">
      <c r="A3352" s="8"/>
    </row>
    <row r="3353" spans="1:1" ht="13.8" x14ac:dyDescent="0.25">
      <c r="A3353" s="8"/>
    </row>
    <row r="3354" spans="1:1" ht="13.8" x14ac:dyDescent="0.25">
      <c r="A3354" s="8"/>
    </row>
    <row r="3355" spans="1:1" ht="13.8" x14ac:dyDescent="0.25">
      <c r="A3355" s="8"/>
    </row>
    <row r="3356" spans="1:1" ht="13.8" x14ac:dyDescent="0.25">
      <c r="A3356" s="8"/>
    </row>
    <row r="3357" spans="1:1" ht="13.8" x14ac:dyDescent="0.25">
      <c r="A3357" s="8"/>
    </row>
    <row r="3358" spans="1:1" ht="13.8" x14ac:dyDescent="0.25">
      <c r="A3358" s="8"/>
    </row>
    <row r="3359" spans="1:1" ht="13.8" x14ac:dyDescent="0.25">
      <c r="A3359" s="8"/>
    </row>
    <row r="3360" spans="1:1" ht="13.8" x14ac:dyDescent="0.25">
      <c r="A3360" s="8"/>
    </row>
    <row r="3361" spans="1:1" ht="13.8" x14ac:dyDescent="0.25">
      <c r="A3361" s="8"/>
    </row>
    <row r="3362" spans="1:1" ht="13.8" x14ac:dyDescent="0.25">
      <c r="A3362" s="8"/>
    </row>
    <row r="3363" spans="1:1" ht="13.8" x14ac:dyDescent="0.25">
      <c r="A3363" s="8"/>
    </row>
    <row r="3364" spans="1:1" ht="13.8" x14ac:dyDescent="0.25">
      <c r="A3364" s="8"/>
    </row>
    <row r="3365" spans="1:1" ht="13.8" x14ac:dyDescent="0.25">
      <c r="A3365" s="8"/>
    </row>
    <row r="3366" spans="1:1" ht="13.8" x14ac:dyDescent="0.25">
      <c r="A3366" s="8"/>
    </row>
    <row r="3367" spans="1:1" ht="13.8" x14ac:dyDescent="0.25">
      <c r="A3367" s="8"/>
    </row>
    <row r="3368" spans="1:1" ht="13.8" x14ac:dyDescent="0.25">
      <c r="A3368" s="8"/>
    </row>
    <row r="3369" spans="1:1" ht="13.8" x14ac:dyDescent="0.25">
      <c r="A3369" s="8"/>
    </row>
    <row r="3370" spans="1:1" ht="13.8" x14ac:dyDescent="0.25">
      <c r="A3370" s="8"/>
    </row>
    <row r="3371" spans="1:1" ht="13.8" x14ac:dyDescent="0.25">
      <c r="A3371" s="8"/>
    </row>
    <row r="3372" spans="1:1" ht="13.8" x14ac:dyDescent="0.25">
      <c r="A3372" s="8"/>
    </row>
    <row r="3373" spans="1:1" ht="13.8" x14ac:dyDescent="0.25">
      <c r="A3373" s="8"/>
    </row>
    <row r="3374" spans="1:1" ht="13.8" x14ac:dyDescent="0.25">
      <c r="A3374" s="8"/>
    </row>
    <row r="3375" spans="1:1" ht="13.8" x14ac:dyDescent="0.25">
      <c r="A3375" s="8"/>
    </row>
    <row r="3376" spans="1:1" ht="13.8" x14ac:dyDescent="0.25">
      <c r="A3376" s="8"/>
    </row>
    <row r="3377" spans="1:1" ht="13.8" x14ac:dyDescent="0.25">
      <c r="A3377" s="8"/>
    </row>
    <row r="3378" spans="1:1" ht="13.8" x14ac:dyDescent="0.25">
      <c r="A3378" s="8"/>
    </row>
    <row r="3379" spans="1:1" ht="13.8" x14ac:dyDescent="0.25">
      <c r="A3379" s="8"/>
    </row>
    <row r="3380" spans="1:1" ht="13.8" x14ac:dyDescent="0.25">
      <c r="A3380" s="8"/>
    </row>
    <row r="3381" spans="1:1" ht="13.8" x14ac:dyDescent="0.25">
      <c r="A3381" s="8"/>
    </row>
    <row r="3382" spans="1:1" ht="13.8" x14ac:dyDescent="0.25">
      <c r="A3382" s="8"/>
    </row>
    <row r="3383" spans="1:1" ht="13.8" x14ac:dyDescent="0.25">
      <c r="A3383" s="8"/>
    </row>
    <row r="3384" spans="1:1" ht="13.8" x14ac:dyDescent="0.25">
      <c r="A3384" s="8"/>
    </row>
    <row r="3385" spans="1:1" ht="13.8" x14ac:dyDescent="0.25">
      <c r="A3385" s="8"/>
    </row>
    <row r="3386" spans="1:1" ht="13.8" x14ac:dyDescent="0.25">
      <c r="A3386" s="8"/>
    </row>
    <row r="3387" spans="1:1" ht="13.8" x14ac:dyDescent="0.25">
      <c r="A3387" s="8"/>
    </row>
    <row r="3388" spans="1:1" ht="13.8" x14ac:dyDescent="0.25">
      <c r="A3388" s="8"/>
    </row>
    <row r="3389" spans="1:1" ht="13.8" x14ac:dyDescent="0.25">
      <c r="A3389" s="8"/>
    </row>
    <row r="3390" spans="1:1" ht="13.8" x14ac:dyDescent="0.25">
      <c r="A3390" s="8"/>
    </row>
    <row r="3391" spans="1:1" ht="13.8" x14ac:dyDescent="0.25">
      <c r="A3391" s="8"/>
    </row>
    <row r="3392" spans="1:1" ht="13.8" x14ac:dyDescent="0.25">
      <c r="A3392" s="8"/>
    </row>
    <row r="3393" spans="1:1" ht="13.8" x14ac:dyDescent="0.25">
      <c r="A3393" s="8"/>
    </row>
    <row r="3394" spans="1:1" ht="13.8" x14ac:dyDescent="0.25">
      <c r="A3394" s="8"/>
    </row>
    <row r="3395" spans="1:1" ht="13.8" x14ac:dyDescent="0.25">
      <c r="A3395" s="8"/>
    </row>
    <row r="3396" spans="1:1" ht="13.8" x14ac:dyDescent="0.25">
      <c r="A3396" s="8"/>
    </row>
    <row r="3397" spans="1:1" ht="13.8" x14ac:dyDescent="0.25">
      <c r="A3397" s="8"/>
    </row>
    <row r="3398" spans="1:1" ht="13.8" x14ac:dyDescent="0.25">
      <c r="A3398" s="8"/>
    </row>
    <row r="3399" spans="1:1" ht="13.8" x14ac:dyDescent="0.25">
      <c r="A3399" s="8"/>
    </row>
    <row r="3400" spans="1:1" ht="13.8" x14ac:dyDescent="0.25">
      <c r="A3400" s="8"/>
    </row>
    <row r="3401" spans="1:1" ht="13.8" x14ac:dyDescent="0.25">
      <c r="A3401" s="8"/>
    </row>
    <row r="3402" spans="1:1" ht="13.8" x14ac:dyDescent="0.25">
      <c r="A3402" s="8"/>
    </row>
    <row r="3403" spans="1:1" ht="13.8" x14ac:dyDescent="0.25">
      <c r="A3403" s="8"/>
    </row>
    <row r="3404" spans="1:1" ht="13.8" x14ac:dyDescent="0.25">
      <c r="A3404" s="8"/>
    </row>
    <row r="3405" spans="1:1" ht="13.8" x14ac:dyDescent="0.25">
      <c r="A3405" s="8"/>
    </row>
    <row r="3406" spans="1:1" ht="13.8" x14ac:dyDescent="0.25">
      <c r="A3406" s="8"/>
    </row>
    <row r="3407" spans="1:1" ht="13.8" x14ac:dyDescent="0.25">
      <c r="A3407" s="8"/>
    </row>
    <row r="3408" spans="1:1" ht="13.8" x14ac:dyDescent="0.25">
      <c r="A3408" s="8"/>
    </row>
    <row r="3409" spans="1:1" ht="13.8" x14ac:dyDescent="0.25">
      <c r="A3409" s="8"/>
    </row>
    <row r="3410" spans="1:1" ht="13.8" x14ac:dyDescent="0.25">
      <c r="A3410" s="8"/>
    </row>
    <row r="3411" spans="1:1" ht="13.8" x14ac:dyDescent="0.25">
      <c r="A3411" s="8"/>
    </row>
    <row r="3412" spans="1:1" ht="13.8" x14ac:dyDescent="0.25">
      <c r="A3412" s="8"/>
    </row>
    <row r="3413" spans="1:1" ht="13.8" x14ac:dyDescent="0.25">
      <c r="A3413" s="8"/>
    </row>
    <row r="3414" spans="1:1" ht="13.8" x14ac:dyDescent="0.25">
      <c r="A3414" s="8"/>
    </row>
    <row r="3415" spans="1:1" ht="13.8" x14ac:dyDescent="0.25">
      <c r="A3415" s="8"/>
    </row>
    <row r="3416" spans="1:1" ht="13.8" x14ac:dyDescent="0.25">
      <c r="A3416" s="8"/>
    </row>
    <row r="3417" spans="1:1" ht="13.8" x14ac:dyDescent="0.25">
      <c r="A3417" s="8"/>
    </row>
    <row r="3418" spans="1:1" ht="13.8" x14ac:dyDescent="0.25">
      <c r="A3418" s="8"/>
    </row>
    <row r="3419" spans="1:1" ht="13.8" x14ac:dyDescent="0.25">
      <c r="A3419" s="8"/>
    </row>
    <row r="3420" spans="1:1" ht="13.8" x14ac:dyDescent="0.25">
      <c r="A3420" s="8"/>
    </row>
    <row r="3421" spans="1:1" ht="13.8" x14ac:dyDescent="0.25">
      <c r="A3421" s="8"/>
    </row>
    <row r="3422" spans="1:1" ht="13.8" x14ac:dyDescent="0.25">
      <c r="A3422" s="8"/>
    </row>
    <row r="3423" spans="1:1" ht="13.8" x14ac:dyDescent="0.25">
      <c r="A3423" s="8"/>
    </row>
    <row r="3424" spans="1:1" ht="13.8" x14ac:dyDescent="0.25">
      <c r="A3424" s="8"/>
    </row>
    <row r="3425" spans="1:1" ht="13.8" x14ac:dyDescent="0.25">
      <c r="A3425" s="8"/>
    </row>
    <row r="3426" spans="1:1" ht="13.8" x14ac:dyDescent="0.25">
      <c r="A3426" s="8"/>
    </row>
    <row r="3427" spans="1:1" ht="13.8" x14ac:dyDescent="0.25">
      <c r="A3427" s="8"/>
    </row>
    <row r="3428" spans="1:1" ht="13.8" x14ac:dyDescent="0.25">
      <c r="A3428" s="8"/>
    </row>
    <row r="3429" spans="1:1" ht="13.8" x14ac:dyDescent="0.25">
      <c r="A3429" s="8"/>
    </row>
    <row r="3430" spans="1:1" ht="13.8" x14ac:dyDescent="0.25">
      <c r="A3430" s="8"/>
    </row>
    <row r="3431" spans="1:1" ht="13.8" x14ac:dyDescent="0.25">
      <c r="A3431" s="8"/>
    </row>
    <row r="3432" spans="1:1" ht="13.8" x14ac:dyDescent="0.25">
      <c r="A3432" s="8"/>
    </row>
    <row r="3433" spans="1:1" ht="13.8" x14ac:dyDescent="0.25">
      <c r="A3433" s="8"/>
    </row>
    <row r="3434" spans="1:1" ht="13.8" x14ac:dyDescent="0.25">
      <c r="A3434" s="8"/>
    </row>
    <row r="3435" spans="1:1" ht="13.8" x14ac:dyDescent="0.25">
      <c r="A3435" s="8"/>
    </row>
    <row r="3436" spans="1:1" ht="13.8" x14ac:dyDescent="0.25">
      <c r="A3436" s="8"/>
    </row>
    <row r="3437" spans="1:1" ht="13.8" x14ac:dyDescent="0.25">
      <c r="A3437" s="8"/>
    </row>
    <row r="3438" spans="1:1" ht="13.8" x14ac:dyDescent="0.25">
      <c r="A3438" s="8"/>
    </row>
    <row r="3439" spans="1:1" ht="13.8" x14ac:dyDescent="0.25">
      <c r="A3439" s="8"/>
    </row>
    <row r="3440" spans="1:1" ht="13.8" x14ac:dyDescent="0.25">
      <c r="A3440" s="8"/>
    </row>
    <row r="3441" spans="1:1" ht="13.8" x14ac:dyDescent="0.25">
      <c r="A3441" s="8"/>
    </row>
    <row r="3442" spans="1:1" ht="13.8" x14ac:dyDescent="0.25">
      <c r="A3442" s="8"/>
    </row>
    <row r="3443" spans="1:1" ht="13.8" x14ac:dyDescent="0.25">
      <c r="A3443" s="8"/>
    </row>
    <row r="3444" spans="1:1" ht="13.8" x14ac:dyDescent="0.25">
      <c r="A3444" s="8"/>
    </row>
    <row r="3445" spans="1:1" ht="13.8" x14ac:dyDescent="0.25">
      <c r="A3445" s="8"/>
    </row>
    <row r="3446" spans="1:1" ht="13.8" x14ac:dyDescent="0.25">
      <c r="A3446" s="8"/>
    </row>
    <row r="3447" spans="1:1" ht="13.8" x14ac:dyDescent="0.25">
      <c r="A3447" s="8"/>
    </row>
    <row r="3448" spans="1:1" ht="13.8" x14ac:dyDescent="0.25">
      <c r="A3448" s="8"/>
    </row>
    <row r="3449" spans="1:1" ht="13.8" x14ac:dyDescent="0.25">
      <c r="A3449" s="8"/>
    </row>
    <row r="3450" spans="1:1" ht="13.8" x14ac:dyDescent="0.25">
      <c r="A3450" s="8"/>
    </row>
    <row r="3451" spans="1:1" ht="13.8" x14ac:dyDescent="0.25">
      <c r="A3451" s="8"/>
    </row>
    <row r="3452" spans="1:1" ht="13.8" x14ac:dyDescent="0.25">
      <c r="A3452" s="8"/>
    </row>
    <row r="3453" spans="1:1" ht="13.8" x14ac:dyDescent="0.25">
      <c r="A3453" s="8"/>
    </row>
    <row r="3454" spans="1:1" ht="13.8" x14ac:dyDescent="0.25">
      <c r="A3454" s="8"/>
    </row>
    <row r="3455" spans="1:1" ht="13.8" x14ac:dyDescent="0.25">
      <c r="A3455" s="8"/>
    </row>
    <row r="3456" spans="1:1" ht="13.8" x14ac:dyDescent="0.25">
      <c r="A3456" s="8"/>
    </row>
    <row r="3457" spans="1:1" ht="13.8" x14ac:dyDescent="0.25">
      <c r="A3457" s="8"/>
    </row>
    <row r="3458" spans="1:1" ht="13.8" x14ac:dyDescent="0.25">
      <c r="A3458" s="8"/>
    </row>
    <row r="3459" spans="1:1" ht="13.8" x14ac:dyDescent="0.25">
      <c r="A3459" s="8"/>
    </row>
    <row r="3460" spans="1:1" ht="13.8" x14ac:dyDescent="0.25">
      <c r="A3460" s="8"/>
    </row>
    <row r="3461" spans="1:1" ht="13.8" x14ac:dyDescent="0.25">
      <c r="A3461" s="8"/>
    </row>
    <row r="3462" spans="1:1" ht="13.8" x14ac:dyDescent="0.25">
      <c r="A3462" s="8"/>
    </row>
    <row r="3463" spans="1:1" ht="13.8" x14ac:dyDescent="0.25">
      <c r="A3463" s="8"/>
    </row>
    <row r="3464" spans="1:1" ht="13.8" x14ac:dyDescent="0.25">
      <c r="A3464" s="8"/>
    </row>
    <row r="3465" spans="1:1" ht="13.8" x14ac:dyDescent="0.25">
      <c r="A3465" s="8"/>
    </row>
    <row r="3466" spans="1:1" ht="13.8" x14ac:dyDescent="0.25">
      <c r="A3466" s="8"/>
    </row>
    <row r="3467" spans="1:1" ht="13.8" x14ac:dyDescent="0.25">
      <c r="A3467" s="8"/>
    </row>
    <row r="3468" spans="1:1" ht="13.8" x14ac:dyDescent="0.25">
      <c r="A3468" s="8"/>
    </row>
    <row r="3469" spans="1:1" ht="13.8" x14ac:dyDescent="0.25">
      <c r="A3469" s="8"/>
    </row>
    <row r="3470" spans="1:1" ht="13.8" x14ac:dyDescent="0.25">
      <c r="A3470" s="8"/>
    </row>
    <row r="3471" spans="1:1" ht="13.8" x14ac:dyDescent="0.25">
      <c r="A3471" s="8"/>
    </row>
    <row r="3472" spans="1:1" ht="13.8" x14ac:dyDescent="0.25">
      <c r="A3472" s="8"/>
    </row>
    <row r="3473" spans="1:1" ht="13.8" x14ac:dyDescent="0.25">
      <c r="A3473" s="8"/>
    </row>
    <row r="3474" spans="1:1" ht="13.8" x14ac:dyDescent="0.25">
      <c r="A3474" s="8"/>
    </row>
    <row r="3475" spans="1:1" ht="13.8" x14ac:dyDescent="0.25">
      <c r="A3475" s="8"/>
    </row>
    <row r="3476" spans="1:1" ht="13.8" x14ac:dyDescent="0.25">
      <c r="A3476" s="8"/>
    </row>
    <row r="3477" spans="1:1" ht="13.8" x14ac:dyDescent="0.25">
      <c r="A3477" s="8"/>
    </row>
    <row r="3478" spans="1:1" ht="13.8" x14ac:dyDescent="0.25">
      <c r="A3478" s="8"/>
    </row>
    <row r="3479" spans="1:1" ht="13.8" x14ac:dyDescent="0.25">
      <c r="A3479" s="8"/>
    </row>
    <row r="3480" spans="1:1" ht="13.8" x14ac:dyDescent="0.25">
      <c r="A3480" s="8"/>
    </row>
    <row r="3481" spans="1:1" ht="13.8" x14ac:dyDescent="0.25">
      <c r="A3481" s="8"/>
    </row>
    <row r="3482" spans="1:1" ht="13.8" x14ac:dyDescent="0.25">
      <c r="A3482" s="8"/>
    </row>
    <row r="3483" spans="1:1" ht="13.8" x14ac:dyDescent="0.25">
      <c r="A3483" s="8"/>
    </row>
    <row r="3484" spans="1:1" ht="13.8" x14ac:dyDescent="0.25">
      <c r="A3484" s="8"/>
    </row>
    <row r="3485" spans="1:1" ht="13.8" x14ac:dyDescent="0.25">
      <c r="A3485" s="8"/>
    </row>
    <row r="3486" spans="1:1" ht="13.8" x14ac:dyDescent="0.25">
      <c r="A3486" s="8"/>
    </row>
    <row r="3487" spans="1:1" ht="13.8" x14ac:dyDescent="0.25">
      <c r="A3487" s="8"/>
    </row>
    <row r="3488" spans="1:1" ht="13.8" x14ac:dyDescent="0.25">
      <c r="A3488" s="8"/>
    </row>
    <row r="3489" spans="1:1" ht="13.8" x14ac:dyDescent="0.25">
      <c r="A3489" s="8"/>
    </row>
    <row r="3490" spans="1:1" ht="13.8" x14ac:dyDescent="0.25">
      <c r="A3490" s="8"/>
    </row>
    <row r="3491" spans="1:1" ht="13.8" x14ac:dyDescent="0.25">
      <c r="A3491" s="8"/>
    </row>
    <row r="3492" spans="1:1" ht="13.8" x14ac:dyDescent="0.25">
      <c r="A3492" s="8"/>
    </row>
    <row r="3493" spans="1:1" ht="13.8" x14ac:dyDescent="0.25">
      <c r="A3493" s="8"/>
    </row>
    <row r="3494" spans="1:1" ht="13.8" x14ac:dyDescent="0.25">
      <c r="A3494" s="8"/>
    </row>
    <row r="3495" spans="1:1" ht="13.8" x14ac:dyDescent="0.25">
      <c r="A3495" s="8"/>
    </row>
    <row r="3496" spans="1:1" ht="13.8" x14ac:dyDescent="0.25">
      <c r="A3496" s="8"/>
    </row>
    <row r="3497" spans="1:1" ht="13.8" x14ac:dyDescent="0.25">
      <c r="A3497" s="8"/>
    </row>
    <row r="3498" spans="1:1" ht="13.8" x14ac:dyDescent="0.25">
      <c r="A3498" s="8"/>
    </row>
    <row r="3499" spans="1:1" ht="13.8" x14ac:dyDescent="0.25">
      <c r="A3499" s="8"/>
    </row>
    <row r="3500" spans="1:1" ht="13.8" x14ac:dyDescent="0.25">
      <c r="A3500" s="8"/>
    </row>
    <row r="3501" spans="1:1" ht="13.8" x14ac:dyDescent="0.25">
      <c r="A3501" s="8"/>
    </row>
    <row r="3502" spans="1:1" ht="13.8" x14ac:dyDescent="0.25">
      <c r="A3502" s="8"/>
    </row>
    <row r="3503" spans="1:1" ht="13.8" x14ac:dyDescent="0.25">
      <c r="A3503" s="8"/>
    </row>
    <row r="3504" spans="1:1" ht="13.8" x14ac:dyDescent="0.25">
      <c r="A3504" s="8"/>
    </row>
    <row r="3505" spans="1:1" ht="13.8" x14ac:dyDescent="0.25">
      <c r="A3505" s="8"/>
    </row>
    <row r="3506" spans="1:1" ht="13.8" x14ac:dyDescent="0.25">
      <c r="A3506" s="8"/>
    </row>
    <row r="3507" spans="1:1" ht="13.8" x14ac:dyDescent="0.25">
      <c r="A3507" s="8"/>
    </row>
    <row r="3508" spans="1:1" ht="13.8" x14ac:dyDescent="0.25">
      <c r="A3508" s="8"/>
    </row>
    <row r="3509" spans="1:1" ht="13.8" x14ac:dyDescent="0.25">
      <c r="A3509" s="8"/>
    </row>
    <row r="3510" spans="1:1" ht="13.8" x14ac:dyDescent="0.25">
      <c r="A3510" s="8"/>
    </row>
    <row r="3511" spans="1:1" ht="13.8" x14ac:dyDescent="0.25">
      <c r="A3511" s="8"/>
    </row>
    <row r="3512" spans="1:1" ht="13.8" x14ac:dyDescent="0.25">
      <c r="A3512" s="8"/>
    </row>
    <row r="3513" spans="1:1" ht="13.8" x14ac:dyDescent="0.25">
      <c r="A3513" s="8"/>
    </row>
    <row r="3514" spans="1:1" ht="13.8" x14ac:dyDescent="0.25">
      <c r="A3514" s="8"/>
    </row>
    <row r="3515" spans="1:1" ht="13.8" x14ac:dyDescent="0.25">
      <c r="A3515" s="8"/>
    </row>
    <row r="3516" spans="1:1" ht="13.8" x14ac:dyDescent="0.25">
      <c r="A3516" s="8"/>
    </row>
    <row r="3517" spans="1:1" ht="13.8" x14ac:dyDescent="0.25">
      <c r="A3517" s="8"/>
    </row>
    <row r="3518" spans="1:1" ht="13.8" x14ac:dyDescent="0.25">
      <c r="A3518" s="8"/>
    </row>
    <row r="3519" spans="1:1" ht="13.8" x14ac:dyDescent="0.25">
      <c r="A3519" s="8"/>
    </row>
    <row r="3520" spans="1:1" ht="13.8" x14ac:dyDescent="0.25">
      <c r="A3520" s="8"/>
    </row>
    <row r="3521" spans="1:1" ht="13.8" x14ac:dyDescent="0.25">
      <c r="A3521" s="8"/>
    </row>
    <row r="3522" spans="1:1" ht="13.8" x14ac:dyDescent="0.25">
      <c r="A3522" s="8"/>
    </row>
    <row r="3523" spans="1:1" ht="13.8" x14ac:dyDescent="0.25">
      <c r="A3523" s="8"/>
    </row>
    <row r="3524" spans="1:1" ht="13.8" x14ac:dyDescent="0.25">
      <c r="A3524" s="8"/>
    </row>
    <row r="3525" spans="1:1" ht="13.8" x14ac:dyDescent="0.25">
      <c r="A3525" s="8"/>
    </row>
    <row r="3526" spans="1:1" ht="13.8" x14ac:dyDescent="0.25">
      <c r="A3526" s="8"/>
    </row>
    <row r="3527" spans="1:1" ht="13.8" x14ac:dyDescent="0.25">
      <c r="A3527" s="8"/>
    </row>
    <row r="3528" spans="1:1" ht="13.8" x14ac:dyDescent="0.25">
      <c r="A3528" s="8"/>
    </row>
    <row r="3529" spans="1:1" ht="13.8" x14ac:dyDescent="0.25">
      <c r="A3529" s="8"/>
    </row>
    <row r="3530" spans="1:1" ht="13.8" x14ac:dyDescent="0.25">
      <c r="A3530" s="8"/>
    </row>
    <row r="3531" spans="1:1" ht="13.8" x14ac:dyDescent="0.25">
      <c r="A3531" s="8"/>
    </row>
    <row r="3532" spans="1:1" ht="13.8" x14ac:dyDescent="0.25">
      <c r="A3532" s="8"/>
    </row>
    <row r="3533" spans="1:1" ht="13.8" x14ac:dyDescent="0.25">
      <c r="A3533" s="8"/>
    </row>
    <row r="3534" spans="1:1" ht="13.8" x14ac:dyDescent="0.25">
      <c r="A3534" s="8"/>
    </row>
    <row r="3535" spans="1:1" ht="13.8" x14ac:dyDescent="0.25">
      <c r="A3535" s="8"/>
    </row>
    <row r="3536" spans="1:1" ht="13.8" x14ac:dyDescent="0.25">
      <c r="A3536" s="8"/>
    </row>
    <row r="3537" spans="1:1" ht="13.8" x14ac:dyDescent="0.25">
      <c r="A3537" s="8"/>
    </row>
    <row r="3538" spans="1:1" ht="13.8" x14ac:dyDescent="0.25">
      <c r="A3538" s="8"/>
    </row>
    <row r="3539" spans="1:1" ht="13.8" x14ac:dyDescent="0.25">
      <c r="A3539" s="8"/>
    </row>
    <row r="3540" spans="1:1" ht="13.8" x14ac:dyDescent="0.25">
      <c r="A3540" s="8"/>
    </row>
    <row r="3541" spans="1:1" ht="13.8" x14ac:dyDescent="0.25">
      <c r="A3541" s="8"/>
    </row>
    <row r="3542" spans="1:1" ht="13.8" x14ac:dyDescent="0.25">
      <c r="A3542" s="8"/>
    </row>
    <row r="3543" spans="1:1" ht="13.8" x14ac:dyDescent="0.25">
      <c r="A3543" s="8"/>
    </row>
    <row r="3544" spans="1:1" ht="13.8" x14ac:dyDescent="0.25">
      <c r="A3544" s="8"/>
    </row>
    <row r="3545" spans="1:1" ht="13.8" x14ac:dyDescent="0.25">
      <c r="A3545" s="8"/>
    </row>
    <row r="3546" spans="1:1" ht="13.8" x14ac:dyDescent="0.25">
      <c r="A3546" s="8"/>
    </row>
    <row r="3547" spans="1:1" ht="13.8" x14ac:dyDescent="0.25">
      <c r="A3547" s="8"/>
    </row>
    <row r="3548" spans="1:1" ht="13.8" x14ac:dyDescent="0.25">
      <c r="A3548" s="8"/>
    </row>
    <row r="3549" spans="1:1" ht="13.8" x14ac:dyDescent="0.25">
      <c r="A3549" s="8"/>
    </row>
    <row r="3550" spans="1:1" ht="13.8" x14ac:dyDescent="0.25">
      <c r="A3550" s="8"/>
    </row>
    <row r="3551" spans="1:1" ht="13.8" x14ac:dyDescent="0.25">
      <c r="A3551" s="8"/>
    </row>
    <row r="3552" spans="1:1" ht="13.8" x14ac:dyDescent="0.25">
      <c r="A3552" s="8"/>
    </row>
    <row r="3553" spans="1:1" ht="13.8" x14ac:dyDescent="0.25">
      <c r="A3553" s="8"/>
    </row>
    <row r="3554" spans="1:1" ht="13.8" x14ac:dyDescent="0.25">
      <c r="A3554" s="8"/>
    </row>
    <row r="3555" spans="1:1" ht="13.8" x14ac:dyDescent="0.25">
      <c r="A3555" s="8"/>
    </row>
    <row r="3556" spans="1:1" ht="13.8" x14ac:dyDescent="0.25">
      <c r="A3556" s="8"/>
    </row>
    <row r="3557" spans="1:1" ht="13.8" x14ac:dyDescent="0.25">
      <c r="A3557" s="8"/>
    </row>
    <row r="3558" spans="1:1" ht="13.8" x14ac:dyDescent="0.25">
      <c r="A3558" s="8"/>
    </row>
    <row r="3559" spans="1:1" ht="13.8" x14ac:dyDescent="0.25">
      <c r="A3559" s="8"/>
    </row>
    <row r="3560" spans="1:1" ht="13.8" x14ac:dyDescent="0.25">
      <c r="A3560" s="8"/>
    </row>
    <row r="3561" spans="1:1" ht="13.8" x14ac:dyDescent="0.25">
      <c r="A3561" s="8"/>
    </row>
    <row r="3562" spans="1:1" ht="13.8" x14ac:dyDescent="0.25">
      <c r="A3562" s="8"/>
    </row>
    <row r="3563" spans="1:1" ht="13.8" x14ac:dyDescent="0.25">
      <c r="A3563" s="8"/>
    </row>
    <row r="3564" spans="1:1" ht="13.8" x14ac:dyDescent="0.25">
      <c r="A3564" s="8"/>
    </row>
    <row r="3565" spans="1:1" ht="13.8" x14ac:dyDescent="0.25">
      <c r="A3565" s="8"/>
    </row>
    <row r="3566" spans="1:1" ht="13.8" x14ac:dyDescent="0.25">
      <c r="A3566" s="8"/>
    </row>
    <row r="3567" spans="1:1" ht="13.8" x14ac:dyDescent="0.25">
      <c r="A3567" s="8"/>
    </row>
    <row r="3568" spans="1:1" ht="13.8" x14ac:dyDescent="0.25">
      <c r="A3568" s="8"/>
    </row>
    <row r="3569" spans="1:1" ht="13.8" x14ac:dyDescent="0.25">
      <c r="A3569" s="8"/>
    </row>
    <row r="3570" spans="1:1" ht="13.8" x14ac:dyDescent="0.25">
      <c r="A3570" s="8"/>
    </row>
    <row r="3571" spans="1:1" ht="13.8" x14ac:dyDescent="0.25">
      <c r="A3571" s="8"/>
    </row>
    <row r="3572" spans="1:1" ht="13.8" x14ac:dyDescent="0.25">
      <c r="A3572" s="8"/>
    </row>
    <row r="3573" spans="1:1" ht="13.8" x14ac:dyDescent="0.25">
      <c r="A3573" s="8"/>
    </row>
    <row r="3574" spans="1:1" ht="13.8" x14ac:dyDescent="0.25">
      <c r="A3574" s="8"/>
    </row>
    <row r="3575" spans="1:1" ht="13.8" x14ac:dyDescent="0.25">
      <c r="A3575" s="8"/>
    </row>
    <row r="3576" spans="1:1" ht="13.8" x14ac:dyDescent="0.25">
      <c r="A3576" s="8"/>
    </row>
    <row r="3577" spans="1:1" ht="13.8" x14ac:dyDescent="0.25">
      <c r="A3577" s="8"/>
    </row>
    <row r="3578" spans="1:1" ht="13.8" x14ac:dyDescent="0.25">
      <c r="A3578" s="8"/>
    </row>
    <row r="3579" spans="1:1" ht="13.8" x14ac:dyDescent="0.25">
      <c r="A3579" s="8"/>
    </row>
    <row r="3580" spans="1:1" ht="13.8" x14ac:dyDescent="0.25">
      <c r="A3580" s="8"/>
    </row>
    <row r="3581" spans="1:1" ht="13.8" x14ac:dyDescent="0.25">
      <c r="A3581" s="8"/>
    </row>
    <row r="3582" spans="1:1" ht="13.8" x14ac:dyDescent="0.25">
      <c r="A3582" s="8"/>
    </row>
    <row r="3583" spans="1:1" ht="13.8" x14ac:dyDescent="0.25">
      <c r="A3583" s="8"/>
    </row>
    <row r="3584" spans="1:1" ht="13.8" x14ac:dyDescent="0.25">
      <c r="A3584" s="8"/>
    </row>
    <row r="3585" spans="1:1" ht="13.8" x14ac:dyDescent="0.25">
      <c r="A3585" s="8"/>
    </row>
    <row r="3586" spans="1:1" ht="13.8" x14ac:dyDescent="0.25">
      <c r="A3586" s="8"/>
    </row>
    <row r="3587" spans="1:1" ht="13.8" x14ac:dyDescent="0.25">
      <c r="A3587" s="8"/>
    </row>
    <row r="3588" spans="1:1" ht="13.8" x14ac:dyDescent="0.25">
      <c r="A3588" s="8"/>
    </row>
    <row r="3589" spans="1:1" ht="13.8" x14ac:dyDescent="0.25">
      <c r="A3589" s="8"/>
    </row>
    <row r="3590" spans="1:1" ht="13.8" x14ac:dyDescent="0.25">
      <c r="A3590" s="8"/>
    </row>
    <row r="3591" spans="1:1" ht="13.8" x14ac:dyDescent="0.25">
      <c r="A3591" s="8"/>
    </row>
    <row r="3592" spans="1:1" ht="13.8" x14ac:dyDescent="0.25">
      <c r="A3592" s="8"/>
    </row>
    <row r="3593" spans="1:1" ht="13.8" x14ac:dyDescent="0.25">
      <c r="A3593" s="8"/>
    </row>
    <row r="3594" spans="1:1" ht="13.8" x14ac:dyDescent="0.25">
      <c r="A3594" s="8"/>
    </row>
    <row r="3595" spans="1:1" ht="13.8" x14ac:dyDescent="0.25">
      <c r="A3595" s="8"/>
    </row>
    <row r="3596" spans="1:1" ht="13.8" x14ac:dyDescent="0.25">
      <c r="A3596" s="8"/>
    </row>
    <row r="3597" spans="1:1" ht="13.8" x14ac:dyDescent="0.25">
      <c r="A3597" s="8"/>
    </row>
    <row r="3598" spans="1:1" ht="13.8" x14ac:dyDescent="0.25">
      <c r="A3598" s="8"/>
    </row>
    <row r="3599" spans="1:1" ht="13.8" x14ac:dyDescent="0.25">
      <c r="A3599" s="8"/>
    </row>
    <row r="3600" spans="1:1" ht="13.8" x14ac:dyDescent="0.25">
      <c r="A3600" s="8"/>
    </row>
    <row r="3601" spans="1:1" ht="13.8" x14ac:dyDescent="0.25">
      <c r="A3601" s="8"/>
    </row>
    <row r="3602" spans="1:1" ht="13.8" x14ac:dyDescent="0.25">
      <c r="A3602" s="8"/>
    </row>
    <row r="3603" spans="1:1" ht="13.8" x14ac:dyDescent="0.25">
      <c r="A3603" s="8"/>
    </row>
    <row r="3604" spans="1:1" ht="13.8" x14ac:dyDescent="0.25">
      <c r="A3604" s="8"/>
    </row>
    <row r="3605" spans="1:1" ht="13.8" x14ac:dyDescent="0.25">
      <c r="A3605" s="8"/>
    </row>
    <row r="3606" spans="1:1" ht="13.8" x14ac:dyDescent="0.25">
      <c r="A3606" s="8"/>
    </row>
    <row r="3607" spans="1:1" ht="13.8" x14ac:dyDescent="0.25">
      <c r="A3607" s="8"/>
    </row>
    <row r="3608" spans="1:1" ht="13.8" x14ac:dyDescent="0.25">
      <c r="A3608" s="8"/>
    </row>
    <row r="3609" spans="1:1" ht="13.8" x14ac:dyDescent="0.25">
      <c r="A3609" s="8"/>
    </row>
    <row r="3610" spans="1:1" ht="13.8" x14ac:dyDescent="0.25">
      <c r="A3610" s="8"/>
    </row>
    <row r="3611" spans="1:1" ht="13.8" x14ac:dyDescent="0.25">
      <c r="A3611" s="8"/>
    </row>
    <row r="3612" spans="1:1" ht="13.8" x14ac:dyDescent="0.25">
      <c r="A3612" s="8"/>
    </row>
    <row r="3613" spans="1:1" ht="13.8" x14ac:dyDescent="0.25">
      <c r="A3613" s="8"/>
    </row>
    <row r="3614" spans="1:1" ht="13.8" x14ac:dyDescent="0.25">
      <c r="A3614" s="8"/>
    </row>
    <row r="3615" spans="1:1" ht="13.8" x14ac:dyDescent="0.25">
      <c r="A3615" s="8"/>
    </row>
    <row r="3616" spans="1:1" ht="13.8" x14ac:dyDescent="0.25">
      <c r="A3616" s="8"/>
    </row>
    <row r="3617" spans="1:1" ht="13.8" x14ac:dyDescent="0.25">
      <c r="A3617" s="8"/>
    </row>
    <row r="3618" spans="1:1" ht="13.8" x14ac:dyDescent="0.25">
      <c r="A3618" s="8"/>
    </row>
    <row r="3619" spans="1:1" ht="13.8" x14ac:dyDescent="0.25">
      <c r="A3619" s="8"/>
    </row>
    <row r="3620" spans="1:1" ht="13.8" x14ac:dyDescent="0.25">
      <c r="A3620" s="8"/>
    </row>
    <row r="3621" spans="1:1" ht="13.8" x14ac:dyDescent="0.25">
      <c r="A3621" s="8"/>
    </row>
    <row r="3622" spans="1:1" ht="13.8" x14ac:dyDescent="0.25">
      <c r="A3622" s="8"/>
    </row>
    <row r="3623" spans="1:1" ht="13.8" x14ac:dyDescent="0.25">
      <c r="A3623" s="8"/>
    </row>
    <row r="3624" spans="1:1" ht="13.8" x14ac:dyDescent="0.25">
      <c r="A3624" s="8"/>
    </row>
    <row r="3625" spans="1:1" ht="13.8" x14ac:dyDescent="0.25">
      <c r="A3625" s="8"/>
    </row>
    <row r="3626" spans="1:1" ht="13.8" x14ac:dyDescent="0.25">
      <c r="A3626" s="8"/>
    </row>
    <row r="3627" spans="1:1" ht="13.8" x14ac:dyDescent="0.25">
      <c r="A3627" s="8"/>
    </row>
    <row r="3628" spans="1:1" ht="13.8" x14ac:dyDescent="0.25">
      <c r="A3628" s="8"/>
    </row>
    <row r="3629" spans="1:1" ht="13.8" x14ac:dyDescent="0.25">
      <c r="A3629" s="8"/>
    </row>
    <row r="3630" spans="1:1" ht="13.8" x14ac:dyDescent="0.25">
      <c r="A3630" s="8"/>
    </row>
    <row r="3631" spans="1:1" ht="13.8" x14ac:dyDescent="0.25">
      <c r="A3631" s="8"/>
    </row>
    <row r="3632" spans="1:1" ht="13.8" x14ac:dyDescent="0.25">
      <c r="A3632" s="8"/>
    </row>
    <row r="3633" spans="1:1" ht="13.8" x14ac:dyDescent="0.25">
      <c r="A3633" s="8"/>
    </row>
    <row r="3634" spans="1:1" ht="13.8" x14ac:dyDescent="0.25">
      <c r="A3634" s="8"/>
    </row>
    <row r="3635" spans="1:1" ht="13.8" x14ac:dyDescent="0.25">
      <c r="A3635" s="8"/>
    </row>
    <row r="3636" spans="1:1" ht="13.8" x14ac:dyDescent="0.25">
      <c r="A3636" s="8"/>
    </row>
    <row r="3637" spans="1:1" ht="13.8" x14ac:dyDescent="0.25">
      <c r="A3637" s="8"/>
    </row>
    <row r="3638" spans="1:1" ht="13.8" x14ac:dyDescent="0.25">
      <c r="A3638" s="8"/>
    </row>
    <row r="3639" spans="1:1" ht="13.8" x14ac:dyDescent="0.25">
      <c r="A3639" s="8"/>
    </row>
    <row r="3640" spans="1:1" ht="13.8" x14ac:dyDescent="0.25">
      <c r="A3640" s="8"/>
    </row>
    <row r="3641" spans="1:1" ht="13.8" x14ac:dyDescent="0.25">
      <c r="A3641" s="8"/>
    </row>
    <row r="3642" spans="1:1" ht="13.8" x14ac:dyDescent="0.25">
      <c r="A3642" s="8"/>
    </row>
    <row r="3643" spans="1:1" ht="13.8" x14ac:dyDescent="0.25">
      <c r="A3643" s="8"/>
    </row>
    <row r="3644" spans="1:1" ht="13.8" x14ac:dyDescent="0.25">
      <c r="A3644" s="8"/>
    </row>
    <row r="3645" spans="1:1" ht="13.8" x14ac:dyDescent="0.25">
      <c r="A3645" s="8"/>
    </row>
    <row r="3646" spans="1:1" ht="13.8" x14ac:dyDescent="0.25">
      <c r="A3646" s="8"/>
    </row>
    <row r="3647" spans="1:1" ht="13.8" x14ac:dyDescent="0.25">
      <c r="A3647" s="8"/>
    </row>
    <row r="3648" spans="1:1" ht="13.8" x14ac:dyDescent="0.25">
      <c r="A3648" s="8"/>
    </row>
    <row r="3649" spans="1:1" ht="13.8" x14ac:dyDescent="0.25">
      <c r="A3649" s="8"/>
    </row>
    <row r="3650" spans="1:1" ht="13.8" x14ac:dyDescent="0.25">
      <c r="A3650" s="8"/>
    </row>
    <row r="3651" spans="1:1" ht="13.8" x14ac:dyDescent="0.25">
      <c r="A3651" s="8"/>
    </row>
    <row r="3652" spans="1:1" ht="13.8" x14ac:dyDescent="0.25">
      <c r="A3652" s="8"/>
    </row>
    <row r="3653" spans="1:1" ht="13.8" x14ac:dyDescent="0.25">
      <c r="A3653" s="8"/>
    </row>
    <row r="3654" spans="1:1" ht="13.8" x14ac:dyDescent="0.25">
      <c r="A3654" s="8"/>
    </row>
    <row r="3655" spans="1:1" ht="13.8" x14ac:dyDescent="0.25">
      <c r="A3655" s="8"/>
    </row>
    <row r="3656" spans="1:1" ht="13.8" x14ac:dyDescent="0.25">
      <c r="A3656" s="8"/>
    </row>
    <row r="3657" spans="1:1" ht="13.8" x14ac:dyDescent="0.25">
      <c r="A3657" s="8"/>
    </row>
    <row r="3658" spans="1:1" ht="13.8" x14ac:dyDescent="0.25">
      <c r="A3658" s="8"/>
    </row>
    <row r="3659" spans="1:1" ht="13.8" x14ac:dyDescent="0.25">
      <c r="A3659" s="8"/>
    </row>
    <row r="3660" spans="1:1" ht="13.8" x14ac:dyDescent="0.25">
      <c r="A3660" s="8"/>
    </row>
    <row r="3661" spans="1:1" ht="13.8" x14ac:dyDescent="0.25">
      <c r="A3661" s="8"/>
    </row>
    <row r="3662" spans="1:1" ht="13.8" x14ac:dyDescent="0.25">
      <c r="A3662" s="8"/>
    </row>
    <row r="3663" spans="1:1" ht="13.8" x14ac:dyDescent="0.25">
      <c r="A3663" s="8"/>
    </row>
    <row r="3664" spans="1:1" ht="13.8" x14ac:dyDescent="0.25">
      <c r="A3664" s="8"/>
    </row>
    <row r="3665" spans="1:1" ht="13.8" x14ac:dyDescent="0.25">
      <c r="A3665" s="8"/>
    </row>
    <row r="3666" spans="1:1" ht="13.8" x14ac:dyDescent="0.25">
      <c r="A3666" s="8"/>
    </row>
    <row r="3667" spans="1:1" ht="13.8" x14ac:dyDescent="0.25">
      <c r="A3667" s="8"/>
    </row>
    <row r="3668" spans="1:1" ht="13.8" x14ac:dyDescent="0.25">
      <c r="A3668" s="8"/>
    </row>
    <row r="3669" spans="1:1" ht="13.8" x14ac:dyDescent="0.25">
      <c r="A3669" s="8"/>
    </row>
    <row r="3670" spans="1:1" ht="13.8" x14ac:dyDescent="0.25">
      <c r="A3670" s="8"/>
    </row>
    <row r="3671" spans="1:1" ht="13.8" x14ac:dyDescent="0.25">
      <c r="A3671" s="8"/>
    </row>
    <row r="3672" spans="1:1" ht="13.8" x14ac:dyDescent="0.25">
      <c r="A3672" s="8"/>
    </row>
    <row r="3673" spans="1:1" ht="13.8" x14ac:dyDescent="0.25">
      <c r="A3673" s="8"/>
    </row>
    <row r="3674" spans="1:1" ht="13.8" x14ac:dyDescent="0.25">
      <c r="A3674" s="8"/>
    </row>
    <row r="3675" spans="1:1" ht="13.8" x14ac:dyDescent="0.25">
      <c r="A3675" s="8"/>
    </row>
    <row r="3676" spans="1:1" ht="13.8" x14ac:dyDescent="0.25">
      <c r="A3676" s="8"/>
    </row>
    <row r="3677" spans="1:1" ht="13.8" x14ac:dyDescent="0.25">
      <c r="A3677" s="8"/>
    </row>
    <row r="3678" spans="1:1" ht="13.8" x14ac:dyDescent="0.25">
      <c r="A3678" s="8"/>
    </row>
    <row r="3679" spans="1:1" ht="13.8" x14ac:dyDescent="0.25">
      <c r="A3679" s="8"/>
    </row>
    <row r="3680" spans="1:1" ht="13.8" x14ac:dyDescent="0.25">
      <c r="A3680" s="8"/>
    </row>
    <row r="3681" spans="1:1" ht="13.8" x14ac:dyDescent="0.25">
      <c r="A3681" s="8"/>
    </row>
    <row r="3682" spans="1:1" ht="13.8" x14ac:dyDescent="0.25">
      <c r="A3682" s="8"/>
    </row>
    <row r="3683" spans="1:1" ht="13.8" x14ac:dyDescent="0.25">
      <c r="A3683" s="8"/>
    </row>
    <row r="3684" spans="1:1" ht="13.8" x14ac:dyDescent="0.25">
      <c r="A3684" s="8"/>
    </row>
    <row r="3685" spans="1:1" ht="13.8" x14ac:dyDescent="0.25">
      <c r="A3685" s="8"/>
    </row>
    <row r="3686" spans="1:1" ht="13.8" x14ac:dyDescent="0.25">
      <c r="A3686" s="8"/>
    </row>
    <row r="3687" spans="1:1" ht="13.8" x14ac:dyDescent="0.25">
      <c r="A3687" s="8"/>
    </row>
    <row r="3688" spans="1:1" ht="13.8" x14ac:dyDescent="0.25">
      <c r="A3688" s="8"/>
    </row>
    <row r="3689" spans="1:1" ht="13.8" x14ac:dyDescent="0.25">
      <c r="A3689" s="8"/>
    </row>
    <row r="3690" spans="1:1" ht="13.8" x14ac:dyDescent="0.25">
      <c r="A3690" s="8"/>
    </row>
    <row r="3691" spans="1:1" ht="13.8" x14ac:dyDescent="0.25">
      <c r="A3691" s="8"/>
    </row>
    <row r="3692" spans="1:1" ht="13.8" x14ac:dyDescent="0.25">
      <c r="A3692" s="8"/>
    </row>
    <row r="3693" spans="1:1" ht="13.8" x14ac:dyDescent="0.25">
      <c r="A3693" s="8"/>
    </row>
    <row r="3694" spans="1:1" ht="13.8" x14ac:dyDescent="0.25">
      <c r="A3694" s="8"/>
    </row>
    <row r="3695" spans="1:1" ht="13.8" x14ac:dyDescent="0.25">
      <c r="A3695" s="8"/>
    </row>
    <row r="3696" spans="1:1" ht="13.8" x14ac:dyDescent="0.25">
      <c r="A3696" s="8"/>
    </row>
    <row r="3697" spans="1:1" ht="13.8" x14ac:dyDescent="0.25">
      <c r="A3697" s="8"/>
    </row>
    <row r="3698" spans="1:1" ht="13.8" x14ac:dyDescent="0.25">
      <c r="A3698" s="8"/>
    </row>
    <row r="3699" spans="1:1" ht="13.8" x14ac:dyDescent="0.25">
      <c r="A3699" s="8"/>
    </row>
    <row r="3700" spans="1:1" ht="13.8" x14ac:dyDescent="0.25">
      <c r="A3700" s="8"/>
    </row>
    <row r="3701" spans="1:1" ht="13.8" x14ac:dyDescent="0.25">
      <c r="A3701" s="8"/>
    </row>
    <row r="3702" spans="1:1" ht="13.8" x14ac:dyDescent="0.25">
      <c r="A3702" s="8"/>
    </row>
    <row r="3703" spans="1:1" ht="13.8" x14ac:dyDescent="0.25">
      <c r="A3703" s="8"/>
    </row>
    <row r="3704" spans="1:1" ht="13.8" x14ac:dyDescent="0.25">
      <c r="A3704" s="8"/>
    </row>
    <row r="3705" spans="1:1" ht="13.8" x14ac:dyDescent="0.25">
      <c r="A3705" s="8"/>
    </row>
    <row r="3706" spans="1:1" ht="13.8" x14ac:dyDescent="0.25">
      <c r="A3706" s="8"/>
    </row>
    <row r="3707" spans="1:1" ht="13.8" x14ac:dyDescent="0.25">
      <c r="A3707" s="8"/>
    </row>
    <row r="3708" spans="1:1" ht="13.8" x14ac:dyDescent="0.25">
      <c r="A3708" s="8"/>
    </row>
    <row r="3709" spans="1:1" ht="13.8" x14ac:dyDescent="0.25">
      <c r="A3709" s="8"/>
    </row>
    <row r="3710" spans="1:1" ht="13.8" x14ac:dyDescent="0.25">
      <c r="A3710" s="8"/>
    </row>
    <row r="3711" spans="1:1" ht="13.8" x14ac:dyDescent="0.25">
      <c r="A3711" s="8"/>
    </row>
    <row r="3712" spans="1:1" ht="13.8" x14ac:dyDescent="0.25">
      <c r="A3712" s="8"/>
    </row>
    <row r="3713" spans="1:1" ht="13.8" x14ac:dyDescent="0.25">
      <c r="A3713" s="8"/>
    </row>
    <row r="3714" spans="1:1" ht="13.8" x14ac:dyDescent="0.25">
      <c r="A3714" s="8"/>
    </row>
    <row r="3715" spans="1:1" ht="13.8" x14ac:dyDescent="0.25">
      <c r="A3715" s="8"/>
    </row>
    <row r="3716" spans="1:1" ht="13.8" x14ac:dyDescent="0.25">
      <c r="A3716" s="8"/>
    </row>
    <row r="3717" spans="1:1" ht="13.8" x14ac:dyDescent="0.25">
      <c r="A3717" s="8"/>
    </row>
    <row r="3718" spans="1:1" ht="13.8" x14ac:dyDescent="0.25">
      <c r="A3718" s="8"/>
    </row>
    <row r="3719" spans="1:1" ht="13.8" x14ac:dyDescent="0.25">
      <c r="A3719" s="8"/>
    </row>
    <row r="3720" spans="1:1" ht="13.8" x14ac:dyDescent="0.25">
      <c r="A3720" s="8"/>
    </row>
    <row r="3721" spans="1:1" ht="13.8" x14ac:dyDescent="0.25">
      <c r="A3721" s="8"/>
    </row>
    <row r="3722" spans="1:1" ht="13.8" x14ac:dyDescent="0.25">
      <c r="A3722" s="8"/>
    </row>
    <row r="3723" spans="1:1" ht="13.8" x14ac:dyDescent="0.25">
      <c r="A3723" s="8"/>
    </row>
    <row r="3724" spans="1:1" ht="13.8" x14ac:dyDescent="0.25">
      <c r="A3724" s="8"/>
    </row>
    <row r="3725" spans="1:1" ht="13.8" x14ac:dyDescent="0.25">
      <c r="A3725" s="8"/>
    </row>
    <row r="3726" spans="1:1" ht="13.8" x14ac:dyDescent="0.25">
      <c r="A3726" s="8"/>
    </row>
    <row r="3727" spans="1:1" ht="13.8" x14ac:dyDescent="0.25">
      <c r="A3727" s="8"/>
    </row>
    <row r="3728" spans="1:1" ht="13.8" x14ac:dyDescent="0.25">
      <c r="A3728" s="8"/>
    </row>
    <row r="3729" spans="1:1" ht="13.8" x14ac:dyDescent="0.25">
      <c r="A3729" s="8"/>
    </row>
    <row r="3730" spans="1:1" ht="13.8" x14ac:dyDescent="0.25">
      <c r="A3730" s="8"/>
    </row>
    <row r="3731" spans="1:1" ht="13.8" x14ac:dyDescent="0.25">
      <c r="A3731" s="8"/>
    </row>
    <row r="3732" spans="1:1" ht="13.8" x14ac:dyDescent="0.25">
      <c r="A3732" s="8"/>
    </row>
    <row r="3733" spans="1:1" ht="13.8" x14ac:dyDescent="0.25">
      <c r="A3733" s="8"/>
    </row>
    <row r="3734" spans="1:1" ht="13.8" x14ac:dyDescent="0.25">
      <c r="A3734" s="8"/>
    </row>
    <row r="3735" spans="1:1" ht="13.8" x14ac:dyDescent="0.25">
      <c r="A3735" s="8"/>
    </row>
    <row r="3736" spans="1:1" ht="13.8" x14ac:dyDescent="0.25">
      <c r="A3736" s="8"/>
    </row>
    <row r="3737" spans="1:1" ht="13.8" x14ac:dyDescent="0.25">
      <c r="A3737" s="8"/>
    </row>
    <row r="3738" spans="1:1" ht="13.8" x14ac:dyDescent="0.25">
      <c r="A3738" s="8"/>
    </row>
    <row r="3739" spans="1:1" ht="13.8" x14ac:dyDescent="0.25">
      <c r="A3739" s="8"/>
    </row>
    <row r="3740" spans="1:1" ht="13.8" x14ac:dyDescent="0.25">
      <c r="A3740" s="8"/>
    </row>
    <row r="3741" spans="1:1" ht="13.8" x14ac:dyDescent="0.25">
      <c r="A3741" s="8"/>
    </row>
    <row r="3742" spans="1:1" ht="13.8" x14ac:dyDescent="0.25">
      <c r="A3742" s="8"/>
    </row>
    <row r="3743" spans="1:1" ht="13.8" x14ac:dyDescent="0.25">
      <c r="A3743" s="8"/>
    </row>
    <row r="3744" spans="1:1" ht="13.8" x14ac:dyDescent="0.25">
      <c r="A3744" s="8"/>
    </row>
    <row r="3745" spans="1:1" ht="13.8" x14ac:dyDescent="0.25">
      <c r="A3745" s="8"/>
    </row>
    <row r="3746" spans="1:1" ht="13.8" x14ac:dyDescent="0.25">
      <c r="A3746" s="8"/>
    </row>
    <row r="3747" spans="1:1" ht="13.8" x14ac:dyDescent="0.25">
      <c r="A3747" s="8"/>
    </row>
    <row r="3748" spans="1:1" ht="13.8" x14ac:dyDescent="0.25">
      <c r="A3748" s="8"/>
    </row>
    <row r="3749" spans="1:1" ht="13.8" x14ac:dyDescent="0.25">
      <c r="A3749" s="8"/>
    </row>
    <row r="3750" spans="1:1" ht="13.8" x14ac:dyDescent="0.25">
      <c r="A3750" s="8"/>
    </row>
    <row r="3751" spans="1:1" ht="13.8" x14ac:dyDescent="0.25">
      <c r="A3751" s="8"/>
    </row>
    <row r="3752" spans="1:1" ht="13.8" x14ac:dyDescent="0.25">
      <c r="A3752" s="8"/>
    </row>
    <row r="3753" spans="1:1" ht="13.8" x14ac:dyDescent="0.25">
      <c r="A3753" s="8"/>
    </row>
    <row r="3754" spans="1:1" ht="13.8" x14ac:dyDescent="0.25">
      <c r="A3754" s="8"/>
    </row>
    <row r="3755" spans="1:1" ht="13.8" x14ac:dyDescent="0.25">
      <c r="A3755" s="8"/>
    </row>
    <row r="3756" spans="1:1" ht="13.8" x14ac:dyDescent="0.25">
      <c r="A3756" s="8"/>
    </row>
    <row r="3757" spans="1:1" ht="13.8" x14ac:dyDescent="0.25">
      <c r="A3757" s="8"/>
    </row>
    <row r="3758" spans="1:1" ht="13.8" x14ac:dyDescent="0.25">
      <c r="A3758" s="8"/>
    </row>
    <row r="3759" spans="1:1" ht="13.8" x14ac:dyDescent="0.25">
      <c r="A3759" s="8"/>
    </row>
    <row r="3760" spans="1:1" ht="13.8" x14ac:dyDescent="0.25">
      <c r="A3760" s="8"/>
    </row>
    <row r="3761" spans="1:1" ht="13.8" x14ac:dyDescent="0.25">
      <c r="A3761" s="8"/>
    </row>
    <row r="3762" spans="1:1" ht="13.8" x14ac:dyDescent="0.25">
      <c r="A3762" s="8"/>
    </row>
    <row r="3763" spans="1:1" ht="13.8" x14ac:dyDescent="0.25">
      <c r="A3763" s="8"/>
    </row>
    <row r="3764" spans="1:1" ht="13.8" x14ac:dyDescent="0.25">
      <c r="A3764" s="8"/>
    </row>
    <row r="3765" spans="1:1" ht="13.8" x14ac:dyDescent="0.25">
      <c r="A3765" s="8"/>
    </row>
    <row r="3766" spans="1:1" ht="13.8" x14ac:dyDescent="0.25">
      <c r="A3766" s="8"/>
    </row>
    <row r="3767" spans="1:1" ht="13.8" x14ac:dyDescent="0.25">
      <c r="A3767" s="8"/>
    </row>
    <row r="3768" spans="1:1" ht="13.8" x14ac:dyDescent="0.25">
      <c r="A3768" s="8"/>
    </row>
    <row r="3769" spans="1:1" ht="13.8" x14ac:dyDescent="0.25">
      <c r="A3769" s="8"/>
    </row>
    <row r="3770" spans="1:1" ht="13.8" x14ac:dyDescent="0.25">
      <c r="A3770" s="8"/>
    </row>
    <row r="3771" spans="1:1" ht="13.8" x14ac:dyDescent="0.25">
      <c r="A3771" s="8"/>
    </row>
    <row r="3772" spans="1:1" ht="13.8" x14ac:dyDescent="0.25">
      <c r="A3772" s="8"/>
    </row>
    <row r="3773" spans="1:1" ht="13.8" x14ac:dyDescent="0.25">
      <c r="A3773" s="8"/>
    </row>
    <row r="3774" spans="1:1" ht="13.8" x14ac:dyDescent="0.25">
      <c r="A3774" s="8"/>
    </row>
    <row r="3775" spans="1:1" ht="13.8" x14ac:dyDescent="0.25">
      <c r="A3775" s="8"/>
    </row>
    <row r="3776" spans="1:1" ht="13.8" x14ac:dyDescent="0.25">
      <c r="A3776" s="8"/>
    </row>
    <row r="3777" spans="1:1" ht="13.8" x14ac:dyDescent="0.25">
      <c r="A3777" s="8"/>
    </row>
    <row r="3778" spans="1:1" ht="13.8" x14ac:dyDescent="0.25">
      <c r="A3778" s="8"/>
    </row>
    <row r="3779" spans="1:1" ht="13.8" x14ac:dyDescent="0.25">
      <c r="A3779" s="8"/>
    </row>
    <row r="3780" spans="1:1" ht="13.8" x14ac:dyDescent="0.25">
      <c r="A3780" s="8"/>
    </row>
    <row r="3781" spans="1:1" ht="13.8" x14ac:dyDescent="0.25">
      <c r="A3781" s="8"/>
    </row>
    <row r="3782" spans="1:1" ht="13.8" x14ac:dyDescent="0.25">
      <c r="A3782" s="8"/>
    </row>
    <row r="3783" spans="1:1" ht="13.8" x14ac:dyDescent="0.25">
      <c r="A3783" s="8"/>
    </row>
    <row r="3784" spans="1:1" ht="13.8" x14ac:dyDescent="0.25">
      <c r="A3784" s="8"/>
    </row>
    <row r="3785" spans="1:1" ht="13.8" x14ac:dyDescent="0.25">
      <c r="A3785" s="8"/>
    </row>
    <row r="3786" spans="1:1" ht="13.8" x14ac:dyDescent="0.25">
      <c r="A3786" s="8"/>
    </row>
    <row r="3787" spans="1:1" ht="13.8" x14ac:dyDescent="0.25">
      <c r="A3787" s="8"/>
    </row>
    <row r="3788" spans="1:1" ht="13.8" x14ac:dyDescent="0.25">
      <c r="A3788" s="8"/>
    </row>
    <row r="3789" spans="1:1" ht="13.8" x14ac:dyDescent="0.25">
      <c r="A3789" s="8"/>
    </row>
    <row r="3790" spans="1:1" ht="13.8" x14ac:dyDescent="0.25">
      <c r="A3790" s="8"/>
    </row>
    <row r="3791" spans="1:1" ht="13.8" x14ac:dyDescent="0.25">
      <c r="A3791" s="8"/>
    </row>
    <row r="3792" spans="1:1" ht="13.8" x14ac:dyDescent="0.25">
      <c r="A3792" s="8"/>
    </row>
    <row r="3793" spans="1:1" ht="13.8" x14ac:dyDescent="0.25">
      <c r="A3793" s="8"/>
    </row>
    <row r="3794" spans="1:1" ht="13.8" x14ac:dyDescent="0.25">
      <c r="A3794" s="8"/>
    </row>
    <row r="3795" spans="1:1" ht="13.8" x14ac:dyDescent="0.25">
      <c r="A3795" s="8"/>
    </row>
    <row r="3796" spans="1:1" ht="13.8" x14ac:dyDescent="0.25">
      <c r="A3796" s="8"/>
    </row>
    <row r="3797" spans="1:1" ht="13.8" x14ac:dyDescent="0.25">
      <c r="A3797" s="8"/>
    </row>
    <row r="3798" spans="1:1" ht="13.8" x14ac:dyDescent="0.25">
      <c r="A3798" s="8"/>
    </row>
    <row r="3799" spans="1:1" ht="13.8" x14ac:dyDescent="0.25">
      <c r="A3799" s="8"/>
    </row>
    <row r="3800" spans="1:1" ht="13.8" x14ac:dyDescent="0.25">
      <c r="A3800" s="8"/>
    </row>
    <row r="3801" spans="1:1" ht="13.8" x14ac:dyDescent="0.25">
      <c r="A3801" s="8"/>
    </row>
    <row r="3802" spans="1:1" ht="13.8" x14ac:dyDescent="0.25">
      <c r="A3802" s="8"/>
    </row>
    <row r="3803" spans="1:1" ht="13.8" x14ac:dyDescent="0.25">
      <c r="A3803" s="8"/>
    </row>
    <row r="3804" spans="1:1" ht="13.8" x14ac:dyDescent="0.25">
      <c r="A3804" s="8"/>
    </row>
    <row r="3805" spans="1:1" ht="13.8" x14ac:dyDescent="0.25">
      <c r="A3805" s="8"/>
    </row>
    <row r="3806" spans="1:1" ht="13.8" x14ac:dyDescent="0.25">
      <c r="A3806" s="8"/>
    </row>
    <row r="3807" spans="1:1" ht="13.8" x14ac:dyDescent="0.25">
      <c r="A3807" s="8"/>
    </row>
    <row r="3808" spans="1:1" ht="13.8" x14ac:dyDescent="0.25">
      <c r="A3808" s="8"/>
    </row>
    <row r="3809" spans="1:1" ht="13.8" x14ac:dyDescent="0.25">
      <c r="A3809" s="8"/>
    </row>
    <row r="3810" spans="1:1" ht="13.8" x14ac:dyDescent="0.25">
      <c r="A3810" s="8"/>
    </row>
    <row r="3811" spans="1:1" ht="13.8" x14ac:dyDescent="0.25">
      <c r="A3811" s="8"/>
    </row>
    <row r="3812" spans="1:1" ht="13.8" x14ac:dyDescent="0.25">
      <c r="A3812" s="8"/>
    </row>
    <row r="3813" spans="1:1" ht="13.8" x14ac:dyDescent="0.25">
      <c r="A3813" s="8"/>
    </row>
    <row r="3814" spans="1:1" ht="13.8" x14ac:dyDescent="0.25">
      <c r="A3814" s="8"/>
    </row>
    <row r="3815" spans="1:1" ht="13.8" x14ac:dyDescent="0.25">
      <c r="A3815" s="8"/>
    </row>
    <row r="3816" spans="1:1" ht="13.8" x14ac:dyDescent="0.25">
      <c r="A3816" s="8"/>
    </row>
    <row r="3817" spans="1:1" ht="13.8" x14ac:dyDescent="0.25">
      <c r="A3817" s="8"/>
    </row>
    <row r="3818" spans="1:1" ht="13.8" x14ac:dyDescent="0.25">
      <c r="A3818" s="8"/>
    </row>
    <row r="3819" spans="1:1" ht="13.8" x14ac:dyDescent="0.25">
      <c r="A3819" s="8"/>
    </row>
    <row r="3820" spans="1:1" ht="13.8" x14ac:dyDescent="0.25">
      <c r="A3820" s="8"/>
    </row>
    <row r="3821" spans="1:1" ht="13.8" x14ac:dyDescent="0.25">
      <c r="A3821" s="8"/>
    </row>
    <row r="3822" spans="1:1" ht="13.8" x14ac:dyDescent="0.25">
      <c r="A3822" s="8"/>
    </row>
    <row r="3823" spans="1:1" ht="13.8" x14ac:dyDescent="0.25">
      <c r="A3823" s="8"/>
    </row>
    <row r="3824" spans="1:1" ht="13.8" x14ac:dyDescent="0.25">
      <c r="A3824" s="8"/>
    </row>
    <row r="3825" spans="1:1" ht="13.8" x14ac:dyDescent="0.25">
      <c r="A3825" s="8"/>
    </row>
    <row r="3826" spans="1:1" ht="13.8" x14ac:dyDescent="0.25">
      <c r="A3826" s="8"/>
    </row>
    <row r="3827" spans="1:1" ht="13.8" x14ac:dyDescent="0.25">
      <c r="A3827" s="8"/>
    </row>
    <row r="3828" spans="1:1" ht="13.8" x14ac:dyDescent="0.25">
      <c r="A3828" s="8"/>
    </row>
    <row r="3829" spans="1:1" ht="13.8" x14ac:dyDescent="0.25">
      <c r="A3829" s="8"/>
    </row>
    <row r="3830" spans="1:1" ht="13.8" x14ac:dyDescent="0.25">
      <c r="A3830" s="8"/>
    </row>
    <row r="3831" spans="1:1" ht="13.8" x14ac:dyDescent="0.25">
      <c r="A3831" s="8"/>
    </row>
    <row r="3832" spans="1:1" ht="13.8" x14ac:dyDescent="0.25">
      <c r="A3832" s="8"/>
    </row>
    <row r="3833" spans="1:1" ht="13.8" x14ac:dyDescent="0.25">
      <c r="A3833" s="8"/>
    </row>
    <row r="3834" spans="1:1" ht="13.8" x14ac:dyDescent="0.25">
      <c r="A3834" s="8"/>
    </row>
    <row r="3835" spans="1:1" ht="13.8" x14ac:dyDescent="0.25">
      <c r="A3835" s="8"/>
    </row>
    <row r="3836" spans="1:1" ht="13.8" x14ac:dyDescent="0.25">
      <c r="A3836" s="8"/>
    </row>
    <row r="3837" spans="1:1" ht="13.8" x14ac:dyDescent="0.25">
      <c r="A3837" s="8"/>
    </row>
    <row r="3838" spans="1:1" ht="13.8" x14ac:dyDescent="0.25">
      <c r="A3838" s="8"/>
    </row>
    <row r="3839" spans="1:1" ht="13.8" x14ac:dyDescent="0.25">
      <c r="A3839" s="8"/>
    </row>
    <row r="3840" spans="1:1" ht="13.8" x14ac:dyDescent="0.25">
      <c r="A3840" s="8"/>
    </row>
    <row r="3841" spans="1:1" ht="13.8" x14ac:dyDescent="0.25">
      <c r="A3841" s="8"/>
    </row>
    <row r="3842" spans="1:1" ht="13.8" x14ac:dyDescent="0.25">
      <c r="A3842" s="8"/>
    </row>
    <row r="3843" spans="1:1" ht="13.8" x14ac:dyDescent="0.25">
      <c r="A3843" s="8"/>
    </row>
    <row r="3844" spans="1:1" ht="13.8" x14ac:dyDescent="0.25">
      <c r="A3844" s="8"/>
    </row>
    <row r="3845" spans="1:1" ht="13.8" x14ac:dyDescent="0.25">
      <c r="A3845" s="8"/>
    </row>
    <row r="3846" spans="1:1" ht="13.8" x14ac:dyDescent="0.25">
      <c r="A3846" s="8"/>
    </row>
    <row r="3847" spans="1:1" ht="13.8" x14ac:dyDescent="0.25">
      <c r="A3847" s="8"/>
    </row>
    <row r="3848" spans="1:1" ht="13.8" x14ac:dyDescent="0.25">
      <c r="A3848" s="8"/>
    </row>
    <row r="3849" spans="1:1" ht="13.8" x14ac:dyDescent="0.25">
      <c r="A3849" s="8"/>
    </row>
    <row r="3850" spans="1:1" ht="13.8" x14ac:dyDescent="0.25">
      <c r="A3850" s="8"/>
    </row>
    <row r="3851" spans="1:1" ht="13.8" x14ac:dyDescent="0.25">
      <c r="A3851" s="8"/>
    </row>
    <row r="3852" spans="1:1" ht="13.8" x14ac:dyDescent="0.25">
      <c r="A3852" s="8"/>
    </row>
    <row r="3853" spans="1:1" ht="13.8" x14ac:dyDescent="0.25">
      <c r="A3853" s="8"/>
    </row>
    <row r="3854" spans="1:1" ht="13.8" x14ac:dyDescent="0.25">
      <c r="A3854" s="8"/>
    </row>
    <row r="3855" spans="1:1" ht="13.8" x14ac:dyDescent="0.25">
      <c r="A3855" s="8"/>
    </row>
    <row r="3856" spans="1:1" ht="13.8" x14ac:dyDescent="0.25">
      <c r="A3856" s="8"/>
    </row>
    <row r="3857" spans="1:1" ht="13.8" x14ac:dyDescent="0.25">
      <c r="A3857" s="8"/>
    </row>
    <row r="3858" spans="1:1" ht="13.8" x14ac:dyDescent="0.25">
      <c r="A3858" s="8"/>
    </row>
    <row r="3859" spans="1:1" ht="13.8" x14ac:dyDescent="0.25">
      <c r="A3859" s="8"/>
    </row>
    <row r="3860" spans="1:1" ht="13.8" x14ac:dyDescent="0.25">
      <c r="A3860" s="8"/>
    </row>
    <row r="3861" spans="1:1" ht="13.8" x14ac:dyDescent="0.25">
      <c r="A3861" s="8"/>
    </row>
    <row r="3862" spans="1:1" ht="13.8" x14ac:dyDescent="0.25">
      <c r="A3862" s="8"/>
    </row>
    <row r="3863" spans="1:1" ht="13.8" x14ac:dyDescent="0.25">
      <c r="A3863" s="8"/>
    </row>
    <row r="3864" spans="1:1" ht="13.8" x14ac:dyDescent="0.25">
      <c r="A3864" s="8"/>
    </row>
    <row r="3865" spans="1:1" ht="13.8" x14ac:dyDescent="0.25">
      <c r="A3865" s="8"/>
    </row>
    <row r="3866" spans="1:1" ht="13.8" x14ac:dyDescent="0.25">
      <c r="A3866" s="8"/>
    </row>
    <row r="3867" spans="1:1" ht="13.8" x14ac:dyDescent="0.25">
      <c r="A3867" s="8"/>
    </row>
    <row r="3868" spans="1:1" ht="13.8" x14ac:dyDescent="0.25">
      <c r="A3868" s="8"/>
    </row>
    <row r="3869" spans="1:1" ht="13.8" x14ac:dyDescent="0.25">
      <c r="A3869" s="8"/>
    </row>
    <row r="3870" spans="1:1" ht="13.8" x14ac:dyDescent="0.25">
      <c r="A3870" s="8"/>
    </row>
    <row r="3871" spans="1:1" ht="13.8" x14ac:dyDescent="0.25">
      <c r="A3871" s="8"/>
    </row>
    <row r="3872" spans="1:1" ht="13.8" x14ac:dyDescent="0.25">
      <c r="A3872" s="8"/>
    </row>
    <row r="3873" spans="1:1" ht="13.8" x14ac:dyDescent="0.25">
      <c r="A3873" s="8"/>
    </row>
    <row r="3874" spans="1:1" ht="13.8" x14ac:dyDescent="0.25">
      <c r="A3874" s="8"/>
    </row>
    <row r="3875" spans="1:1" ht="13.8" x14ac:dyDescent="0.25">
      <c r="A3875" s="8"/>
    </row>
    <row r="3876" spans="1:1" ht="13.8" x14ac:dyDescent="0.25">
      <c r="A3876" s="8"/>
    </row>
    <row r="3877" spans="1:1" ht="13.8" x14ac:dyDescent="0.25">
      <c r="A3877" s="8"/>
    </row>
    <row r="3878" spans="1:1" ht="13.8" x14ac:dyDescent="0.25">
      <c r="A3878" s="8"/>
    </row>
    <row r="3879" spans="1:1" ht="13.8" x14ac:dyDescent="0.25">
      <c r="A3879" s="8"/>
    </row>
    <row r="3880" spans="1:1" ht="13.8" x14ac:dyDescent="0.25">
      <c r="A3880" s="8"/>
    </row>
    <row r="3881" spans="1:1" ht="13.8" x14ac:dyDescent="0.25">
      <c r="A3881" s="8"/>
    </row>
    <row r="3882" spans="1:1" ht="13.8" x14ac:dyDescent="0.25">
      <c r="A3882" s="8"/>
    </row>
    <row r="3883" spans="1:1" ht="13.8" x14ac:dyDescent="0.25">
      <c r="A3883" s="8"/>
    </row>
    <row r="3884" spans="1:1" ht="13.8" x14ac:dyDescent="0.25">
      <c r="A3884" s="8"/>
    </row>
    <row r="3885" spans="1:1" ht="13.8" x14ac:dyDescent="0.25">
      <c r="A3885" s="8"/>
    </row>
    <row r="3886" spans="1:1" ht="13.8" x14ac:dyDescent="0.25">
      <c r="A3886" s="8"/>
    </row>
    <row r="3887" spans="1:1" ht="13.8" x14ac:dyDescent="0.25">
      <c r="A3887" s="8"/>
    </row>
    <row r="3888" spans="1:1" ht="13.8" x14ac:dyDescent="0.25">
      <c r="A3888" s="8"/>
    </row>
    <row r="3889" spans="1:1" ht="13.8" x14ac:dyDescent="0.25">
      <c r="A3889" s="8"/>
    </row>
    <row r="3890" spans="1:1" ht="13.8" x14ac:dyDescent="0.25">
      <c r="A3890" s="8"/>
    </row>
    <row r="3891" spans="1:1" ht="13.8" x14ac:dyDescent="0.25">
      <c r="A3891" s="8"/>
    </row>
    <row r="3892" spans="1:1" ht="13.8" x14ac:dyDescent="0.25">
      <c r="A3892" s="8"/>
    </row>
    <row r="3893" spans="1:1" ht="13.8" x14ac:dyDescent="0.25">
      <c r="A3893" s="8"/>
    </row>
    <row r="3894" spans="1:1" ht="13.8" x14ac:dyDescent="0.25">
      <c r="A3894" s="8"/>
    </row>
    <row r="3895" spans="1:1" ht="13.8" x14ac:dyDescent="0.25">
      <c r="A3895" s="8"/>
    </row>
    <row r="3896" spans="1:1" ht="13.8" x14ac:dyDescent="0.25">
      <c r="A3896" s="8"/>
    </row>
    <row r="3897" spans="1:1" ht="13.8" x14ac:dyDescent="0.25">
      <c r="A3897" s="8"/>
    </row>
    <row r="3898" spans="1:1" ht="13.8" x14ac:dyDescent="0.25">
      <c r="A3898" s="8"/>
    </row>
    <row r="3899" spans="1:1" ht="13.8" x14ac:dyDescent="0.25">
      <c r="A3899" s="8"/>
    </row>
    <row r="3900" spans="1:1" ht="13.8" x14ac:dyDescent="0.25">
      <c r="A3900" s="8"/>
    </row>
    <row r="3901" spans="1:1" ht="13.8" x14ac:dyDescent="0.25">
      <c r="A3901" s="8"/>
    </row>
    <row r="3902" spans="1:1" ht="13.8" x14ac:dyDescent="0.25">
      <c r="A3902" s="8"/>
    </row>
    <row r="3903" spans="1:1" ht="13.8" x14ac:dyDescent="0.25">
      <c r="A3903" s="8"/>
    </row>
    <row r="3904" spans="1:1" ht="13.8" x14ac:dyDescent="0.25">
      <c r="A3904" s="8"/>
    </row>
    <row r="3905" spans="1:1" ht="13.8" x14ac:dyDescent="0.25">
      <c r="A3905" s="8"/>
    </row>
    <row r="3906" spans="1:1" ht="13.8" x14ac:dyDescent="0.25">
      <c r="A3906" s="8"/>
    </row>
    <row r="3907" spans="1:1" ht="13.8" x14ac:dyDescent="0.25">
      <c r="A3907" s="8"/>
    </row>
    <row r="3908" spans="1:1" ht="13.8" x14ac:dyDescent="0.25">
      <c r="A3908" s="8"/>
    </row>
    <row r="3909" spans="1:1" ht="13.8" x14ac:dyDescent="0.25">
      <c r="A3909" s="8"/>
    </row>
    <row r="3910" spans="1:1" ht="13.8" x14ac:dyDescent="0.25">
      <c r="A3910" s="8"/>
    </row>
    <row r="3911" spans="1:1" ht="13.8" x14ac:dyDescent="0.25">
      <c r="A3911" s="8"/>
    </row>
    <row r="3912" spans="1:1" ht="13.8" x14ac:dyDescent="0.25">
      <c r="A3912" s="8"/>
    </row>
    <row r="3913" spans="1:1" ht="13.8" x14ac:dyDescent="0.25">
      <c r="A3913" s="8"/>
    </row>
    <row r="3914" spans="1:1" ht="13.8" x14ac:dyDescent="0.25">
      <c r="A3914" s="8"/>
    </row>
    <row r="3915" spans="1:1" ht="13.8" x14ac:dyDescent="0.25">
      <c r="A3915" s="8"/>
    </row>
    <row r="3916" spans="1:1" ht="13.8" x14ac:dyDescent="0.25">
      <c r="A3916" s="8"/>
    </row>
    <row r="3917" spans="1:1" ht="13.8" x14ac:dyDescent="0.25">
      <c r="A3917" s="8"/>
    </row>
    <row r="3918" spans="1:1" ht="13.8" x14ac:dyDescent="0.25">
      <c r="A3918" s="8"/>
    </row>
    <row r="3919" spans="1:1" ht="13.8" x14ac:dyDescent="0.25">
      <c r="A3919" s="8"/>
    </row>
    <row r="3920" spans="1:1" ht="13.8" x14ac:dyDescent="0.25">
      <c r="A3920" s="8"/>
    </row>
    <row r="3921" spans="1:1" ht="13.8" x14ac:dyDescent="0.25">
      <c r="A3921" s="8"/>
    </row>
    <row r="3922" spans="1:1" ht="13.8" x14ac:dyDescent="0.25">
      <c r="A3922" s="8"/>
    </row>
    <row r="3923" spans="1:1" ht="13.8" x14ac:dyDescent="0.25">
      <c r="A3923" s="8"/>
    </row>
    <row r="3924" spans="1:1" ht="13.8" x14ac:dyDescent="0.25">
      <c r="A3924" s="8"/>
    </row>
    <row r="3925" spans="1:1" ht="13.8" x14ac:dyDescent="0.25">
      <c r="A3925" s="8"/>
    </row>
    <row r="3926" spans="1:1" ht="13.8" x14ac:dyDescent="0.25">
      <c r="A3926" s="8"/>
    </row>
    <row r="3927" spans="1:1" ht="13.8" x14ac:dyDescent="0.25">
      <c r="A3927" s="8"/>
    </row>
    <row r="3928" spans="1:1" ht="13.8" x14ac:dyDescent="0.25">
      <c r="A3928" s="8"/>
    </row>
    <row r="3929" spans="1:1" ht="13.8" x14ac:dyDescent="0.25">
      <c r="A3929" s="8"/>
    </row>
    <row r="3930" spans="1:1" ht="13.8" x14ac:dyDescent="0.25">
      <c r="A3930" s="8"/>
    </row>
    <row r="3931" spans="1:1" ht="13.8" x14ac:dyDescent="0.25">
      <c r="A3931" s="8"/>
    </row>
    <row r="3932" spans="1:1" ht="13.8" x14ac:dyDescent="0.25">
      <c r="A3932" s="8"/>
    </row>
    <row r="3933" spans="1:1" ht="13.8" x14ac:dyDescent="0.25">
      <c r="A3933" s="8"/>
    </row>
    <row r="3934" spans="1:1" ht="13.8" x14ac:dyDescent="0.25">
      <c r="A3934" s="8"/>
    </row>
    <row r="3935" spans="1:1" ht="13.8" x14ac:dyDescent="0.25">
      <c r="A3935" s="8"/>
    </row>
    <row r="3936" spans="1:1" ht="13.8" x14ac:dyDescent="0.25">
      <c r="A3936" s="8"/>
    </row>
    <row r="3937" spans="1:1" ht="13.8" x14ac:dyDescent="0.25">
      <c r="A3937" s="8"/>
    </row>
    <row r="3938" spans="1:1" ht="13.8" x14ac:dyDescent="0.25">
      <c r="A3938" s="8"/>
    </row>
    <row r="3939" spans="1:1" ht="13.8" x14ac:dyDescent="0.25">
      <c r="A3939" s="8"/>
    </row>
    <row r="3940" spans="1:1" ht="13.8" x14ac:dyDescent="0.25">
      <c r="A3940" s="8"/>
    </row>
    <row r="3941" spans="1:1" ht="13.8" x14ac:dyDescent="0.25">
      <c r="A3941" s="8"/>
    </row>
    <row r="3942" spans="1:1" ht="13.8" x14ac:dyDescent="0.25">
      <c r="A3942" s="8"/>
    </row>
    <row r="3943" spans="1:1" ht="13.8" x14ac:dyDescent="0.25">
      <c r="A3943" s="8"/>
    </row>
    <row r="3944" spans="1:1" ht="13.8" x14ac:dyDescent="0.25">
      <c r="A3944" s="8"/>
    </row>
    <row r="3945" spans="1:1" ht="13.8" x14ac:dyDescent="0.25">
      <c r="A3945" s="8"/>
    </row>
    <row r="3946" spans="1:1" ht="13.8" x14ac:dyDescent="0.25">
      <c r="A3946" s="8"/>
    </row>
    <row r="3947" spans="1:1" ht="13.8" x14ac:dyDescent="0.25">
      <c r="A3947" s="8"/>
    </row>
    <row r="3948" spans="1:1" ht="13.8" x14ac:dyDescent="0.25">
      <c r="A3948" s="8"/>
    </row>
    <row r="3949" spans="1:1" ht="13.8" x14ac:dyDescent="0.25">
      <c r="A3949" s="8"/>
    </row>
    <row r="3950" spans="1:1" ht="13.8" x14ac:dyDescent="0.25">
      <c r="A3950" s="8"/>
    </row>
    <row r="3951" spans="1:1" ht="13.8" x14ac:dyDescent="0.25">
      <c r="A3951" s="8"/>
    </row>
    <row r="3952" spans="1:1" ht="13.8" x14ac:dyDescent="0.25">
      <c r="A3952" s="8"/>
    </row>
    <row r="3953" spans="1:1" ht="13.8" x14ac:dyDescent="0.25">
      <c r="A3953" s="8"/>
    </row>
    <row r="3954" spans="1:1" ht="13.8" x14ac:dyDescent="0.25">
      <c r="A3954" s="8"/>
    </row>
    <row r="3955" spans="1:1" ht="13.8" x14ac:dyDescent="0.25">
      <c r="A3955" s="8"/>
    </row>
    <row r="3956" spans="1:1" ht="13.8" x14ac:dyDescent="0.25">
      <c r="A3956" s="8"/>
    </row>
    <row r="3957" spans="1:1" ht="13.8" x14ac:dyDescent="0.25">
      <c r="A3957" s="8"/>
    </row>
    <row r="3958" spans="1:1" ht="13.8" x14ac:dyDescent="0.25">
      <c r="A3958" s="8"/>
    </row>
    <row r="3959" spans="1:1" ht="13.8" x14ac:dyDescent="0.25">
      <c r="A3959" s="8"/>
    </row>
    <row r="3960" spans="1:1" ht="13.8" x14ac:dyDescent="0.25">
      <c r="A3960" s="8"/>
    </row>
    <row r="3961" spans="1:1" ht="13.8" x14ac:dyDescent="0.25">
      <c r="A3961" s="8"/>
    </row>
    <row r="3962" spans="1:1" ht="13.8" x14ac:dyDescent="0.25">
      <c r="A3962" s="8"/>
    </row>
    <row r="3963" spans="1:1" ht="13.8" x14ac:dyDescent="0.25">
      <c r="A3963" s="8"/>
    </row>
    <row r="3964" spans="1:1" ht="13.8" x14ac:dyDescent="0.25">
      <c r="A3964" s="8"/>
    </row>
    <row r="3965" spans="1:1" ht="13.8" x14ac:dyDescent="0.25">
      <c r="A3965" s="8"/>
    </row>
    <row r="3966" spans="1:1" ht="13.8" x14ac:dyDescent="0.25">
      <c r="A3966" s="8"/>
    </row>
    <row r="3967" spans="1:1" ht="13.8" x14ac:dyDescent="0.25">
      <c r="A3967" s="8"/>
    </row>
    <row r="3968" spans="1:1" ht="13.8" x14ac:dyDescent="0.25">
      <c r="A3968" s="8"/>
    </row>
    <row r="3969" spans="1:1" ht="13.8" x14ac:dyDescent="0.25">
      <c r="A3969" s="8"/>
    </row>
    <row r="3970" spans="1:1" ht="13.8" x14ac:dyDescent="0.25">
      <c r="A3970" s="8"/>
    </row>
    <row r="3971" spans="1:1" ht="13.8" x14ac:dyDescent="0.25">
      <c r="A3971" s="8"/>
    </row>
    <row r="3972" spans="1:1" ht="13.8" x14ac:dyDescent="0.25">
      <c r="A3972" s="8"/>
    </row>
    <row r="3973" spans="1:1" ht="13.8" x14ac:dyDescent="0.25">
      <c r="A3973" s="8"/>
    </row>
    <row r="3974" spans="1:1" ht="13.8" x14ac:dyDescent="0.25">
      <c r="A3974" s="8"/>
    </row>
    <row r="3975" spans="1:1" ht="13.8" x14ac:dyDescent="0.25">
      <c r="A3975" s="8"/>
    </row>
    <row r="3976" spans="1:1" ht="13.8" x14ac:dyDescent="0.25">
      <c r="A3976" s="8"/>
    </row>
    <row r="3977" spans="1:1" ht="13.8" x14ac:dyDescent="0.25">
      <c r="A3977" s="8"/>
    </row>
    <row r="3978" spans="1:1" ht="13.8" x14ac:dyDescent="0.25">
      <c r="A3978" s="8"/>
    </row>
    <row r="3979" spans="1:1" ht="13.8" x14ac:dyDescent="0.25">
      <c r="A3979" s="8"/>
    </row>
    <row r="3980" spans="1:1" ht="13.8" x14ac:dyDescent="0.25">
      <c r="A3980" s="8"/>
    </row>
    <row r="3981" spans="1:1" ht="13.8" x14ac:dyDescent="0.25">
      <c r="A3981" s="8"/>
    </row>
    <row r="3982" spans="1:1" ht="13.8" x14ac:dyDescent="0.25">
      <c r="A3982" s="8"/>
    </row>
    <row r="3983" spans="1:1" ht="13.8" x14ac:dyDescent="0.25">
      <c r="A3983" s="8"/>
    </row>
    <row r="3984" spans="1:1" ht="13.8" x14ac:dyDescent="0.25">
      <c r="A3984" s="8"/>
    </row>
    <row r="3985" spans="1:1" ht="13.8" x14ac:dyDescent="0.25">
      <c r="A3985" s="8"/>
    </row>
    <row r="3986" spans="1:1" ht="13.8" x14ac:dyDescent="0.25">
      <c r="A3986" s="8"/>
    </row>
    <row r="3987" spans="1:1" ht="13.8" x14ac:dyDescent="0.25">
      <c r="A3987" s="8"/>
    </row>
    <row r="3988" spans="1:1" ht="13.8" x14ac:dyDescent="0.25">
      <c r="A3988" s="8"/>
    </row>
    <row r="3989" spans="1:1" ht="13.8" x14ac:dyDescent="0.25">
      <c r="A3989" s="8"/>
    </row>
    <row r="3990" spans="1:1" ht="13.8" x14ac:dyDescent="0.25">
      <c r="A3990" s="8"/>
    </row>
    <row r="3991" spans="1:1" ht="13.8" x14ac:dyDescent="0.25">
      <c r="A3991" s="8"/>
    </row>
    <row r="3992" spans="1:1" ht="13.8" x14ac:dyDescent="0.25">
      <c r="A3992" s="8"/>
    </row>
    <row r="3993" spans="1:1" ht="13.8" x14ac:dyDescent="0.25">
      <c r="A3993" s="8"/>
    </row>
    <row r="3994" spans="1:1" ht="13.8" x14ac:dyDescent="0.25">
      <c r="A3994" s="8"/>
    </row>
    <row r="3995" spans="1:1" ht="13.8" x14ac:dyDescent="0.25">
      <c r="A3995" s="8"/>
    </row>
    <row r="3996" spans="1:1" ht="13.8" x14ac:dyDescent="0.25">
      <c r="A3996" s="8"/>
    </row>
    <row r="3997" spans="1:1" ht="13.8" x14ac:dyDescent="0.25">
      <c r="A3997" s="8"/>
    </row>
    <row r="3998" spans="1:1" ht="13.8" x14ac:dyDescent="0.25">
      <c r="A3998" s="8"/>
    </row>
    <row r="3999" spans="1:1" ht="13.8" x14ac:dyDescent="0.25">
      <c r="A3999" s="8"/>
    </row>
    <row r="4000" spans="1:1" ht="13.8" x14ac:dyDescent="0.25">
      <c r="A4000" s="8"/>
    </row>
    <row r="4001" spans="1:1" ht="13.8" x14ac:dyDescent="0.25">
      <c r="A4001" s="8"/>
    </row>
    <row r="4002" spans="1:1" ht="13.8" x14ac:dyDescent="0.25">
      <c r="A4002" s="8"/>
    </row>
    <row r="4003" spans="1:1" ht="13.8" x14ac:dyDescent="0.25">
      <c r="A4003" s="8"/>
    </row>
    <row r="4004" spans="1:1" ht="13.8" x14ac:dyDescent="0.25">
      <c r="A4004" s="8"/>
    </row>
    <row r="4005" spans="1:1" ht="13.8" x14ac:dyDescent="0.25">
      <c r="A4005" s="8"/>
    </row>
    <row r="4006" spans="1:1" ht="13.8" x14ac:dyDescent="0.25">
      <c r="A4006" s="8"/>
    </row>
    <row r="4007" spans="1:1" ht="13.8" x14ac:dyDescent="0.25">
      <c r="A4007" s="8"/>
    </row>
    <row r="4008" spans="1:1" ht="13.8" x14ac:dyDescent="0.25">
      <c r="A4008" s="8"/>
    </row>
    <row r="4009" spans="1:1" ht="13.8" x14ac:dyDescent="0.25">
      <c r="A4009" s="8"/>
    </row>
    <row r="4010" spans="1:1" ht="13.8" x14ac:dyDescent="0.25">
      <c r="A4010" s="8"/>
    </row>
    <row r="4011" spans="1:1" ht="13.8" x14ac:dyDescent="0.25">
      <c r="A4011" s="8"/>
    </row>
    <row r="4012" spans="1:1" ht="13.8" x14ac:dyDescent="0.25">
      <c r="A4012" s="8"/>
    </row>
    <row r="4013" spans="1:1" ht="13.8" x14ac:dyDescent="0.25">
      <c r="A4013" s="8"/>
    </row>
    <row r="4014" spans="1:1" ht="13.8" x14ac:dyDescent="0.25">
      <c r="A4014" s="8"/>
    </row>
    <row r="4015" spans="1:1" ht="13.8" x14ac:dyDescent="0.25">
      <c r="A4015" s="8"/>
    </row>
    <row r="4016" spans="1:1" ht="13.8" x14ac:dyDescent="0.25">
      <c r="A4016" s="8"/>
    </row>
    <row r="4017" spans="1:1" ht="13.8" x14ac:dyDescent="0.25">
      <c r="A4017" s="8"/>
    </row>
    <row r="4018" spans="1:1" ht="13.8" x14ac:dyDescent="0.25">
      <c r="A4018" s="8"/>
    </row>
    <row r="4019" spans="1:1" ht="13.8" x14ac:dyDescent="0.25">
      <c r="A4019" s="8"/>
    </row>
    <row r="4020" spans="1:1" ht="13.8" x14ac:dyDescent="0.25">
      <c r="A4020" s="8"/>
    </row>
    <row r="4021" spans="1:1" ht="13.8" x14ac:dyDescent="0.25">
      <c r="A4021" s="8"/>
    </row>
    <row r="4022" spans="1:1" ht="13.8" x14ac:dyDescent="0.25">
      <c r="A4022" s="8"/>
    </row>
    <row r="4023" spans="1:1" ht="13.8" x14ac:dyDescent="0.25">
      <c r="A4023" s="8"/>
    </row>
    <row r="4024" spans="1:1" ht="13.8" x14ac:dyDescent="0.25">
      <c r="A4024" s="8"/>
    </row>
    <row r="4025" spans="1:1" ht="13.8" x14ac:dyDescent="0.25">
      <c r="A4025" s="8"/>
    </row>
    <row r="4026" spans="1:1" ht="13.8" x14ac:dyDescent="0.25">
      <c r="A4026" s="8"/>
    </row>
    <row r="4027" spans="1:1" ht="13.8" x14ac:dyDescent="0.25">
      <c r="A4027" s="8"/>
    </row>
    <row r="4028" spans="1:1" ht="13.8" x14ac:dyDescent="0.25">
      <c r="A4028" s="8"/>
    </row>
    <row r="4029" spans="1:1" ht="13.8" x14ac:dyDescent="0.25">
      <c r="A4029" s="8"/>
    </row>
    <row r="4030" spans="1:1" ht="13.8" x14ac:dyDescent="0.25">
      <c r="A4030" s="8"/>
    </row>
    <row r="4031" spans="1:1" ht="13.8" x14ac:dyDescent="0.25">
      <c r="A4031" s="8"/>
    </row>
    <row r="4032" spans="1:1" ht="13.8" x14ac:dyDescent="0.25">
      <c r="A4032" s="8"/>
    </row>
    <row r="4033" spans="1:1" ht="13.8" x14ac:dyDescent="0.25">
      <c r="A4033" s="8"/>
    </row>
    <row r="4034" spans="1:1" ht="13.8" x14ac:dyDescent="0.25">
      <c r="A4034" s="8"/>
    </row>
    <row r="4035" spans="1:1" ht="13.8" x14ac:dyDescent="0.25">
      <c r="A4035" s="8"/>
    </row>
    <row r="4036" spans="1:1" ht="13.8" x14ac:dyDescent="0.25">
      <c r="A4036" s="8"/>
    </row>
    <row r="4037" spans="1:1" ht="13.8" x14ac:dyDescent="0.25">
      <c r="A4037" s="8"/>
    </row>
    <row r="4038" spans="1:1" ht="13.8" x14ac:dyDescent="0.25">
      <c r="A4038" s="8"/>
    </row>
    <row r="4039" spans="1:1" ht="13.8" x14ac:dyDescent="0.25">
      <c r="A4039" s="8"/>
    </row>
    <row r="4040" spans="1:1" ht="13.8" x14ac:dyDescent="0.25">
      <c r="A4040" s="8"/>
    </row>
    <row r="4041" spans="1:1" ht="13.8" x14ac:dyDescent="0.25">
      <c r="A4041" s="8"/>
    </row>
    <row r="4042" spans="1:1" ht="13.8" x14ac:dyDescent="0.25">
      <c r="A4042" s="8"/>
    </row>
    <row r="4043" spans="1:1" ht="13.8" x14ac:dyDescent="0.25">
      <c r="A4043" s="8"/>
    </row>
    <row r="4044" spans="1:1" ht="13.8" x14ac:dyDescent="0.25">
      <c r="A4044" s="8"/>
    </row>
    <row r="4045" spans="1:1" ht="13.8" x14ac:dyDescent="0.25">
      <c r="A4045" s="8"/>
    </row>
    <row r="4046" spans="1:1" ht="13.8" x14ac:dyDescent="0.25">
      <c r="A4046" s="8"/>
    </row>
    <row r="4047" spans="1:1" ht="13.8" x14ac:dyDescent="0.25">
      <c r="A4047" s="8"/>
    </row>
    <row r="4048" spans="1:1" ht="13.8" x14ac:dyDescent="0.25">
      <c r="A4048" s="8"/>
    </row>
    <row r="4049" spans="1:1" ht="13.8" x14ac:dyDescent="0.25">
      <c r="A4049" s="8"/>
    </row>
    <row r="4050" spans="1:1" ht="13.8" x14ac:dyDescent="0.25">
      <c r="A4050" s="8"/>
    </row>
    <row r="4051" spans="1:1" ht="13.8" x14ac:dyDescent="0.25">
      <c r="A4051" s="8"/>
    </row>
    <row r="4052" spans="1:1" ht="13.8" x14ac:dyDescent="0.25">
      <c r="A4052" s="8"/>
    </row>
    <row r="4053" spans="1:1" ht="13.8" x14ac:dyDescent="0.25">
      <c r="A4053" s="8"/>
    </row>
    <row r="4054" spans="1:1" ht="13.8" x14ac:dyDescent="0.25">
      <c r="A4054" s="8"/>
    </row>
    <row r="4055" spans="1:1" ht="13.8" x14ac:dyDescent="0.25">
      <c r="A4055" s="8"/>
    </row>
    <row r="4056" spans="1:1" ht="13.8" x14ac:dyDescent="0.25">
      <c r="A4056" s="8"/>
    </row>
    <row r="4057" spans="1:1" ht="13.8" x14ac:dyDescent="0.25">
      <c r="A4057" s="8"/>
    </row>
    <row r="4058" spans="1:1" ht="13.8" x14ac:dyDescent="0.25">
      <c r="A4058" s="8"/>
    </row>
    <row r="4059" spans="1:1" ht="13.8" x14ac:dyDescent="0.25">
      <c r="A4059" s="8"/>
    </row>
    <row r="4060" spans="1:1" ht="13.8" x14ac:dyDescent="0.25">
      <c r="A4060" s="8"/>
    </row>
    <row r="4061" spans="1:1" ht="13.8" x14ac:dyDescent="0.25">
      <c r="A4061" s="8"/>
    </row>
    <row r="4062" spans="1:1" ht="13.8" x14ac:dyDescent="0.25">
      <c r="A4062" s="8"/>
    </row>
    <row r="4063" spans="1:1" ht="13.8" x14ac:dyDescent="0.25">
      <c r="A4063" s="8"/>
    </row>
    <row r="4064" spans="1:1" ht="13.8" x14ac:dyDescent="0.25">
      <c r="A4064" s="8"/>
    </row>
    <row r="4065" spans="1:1" ht="13.8" x14ac:dyDescent="0.25">
      <c r="A4065" s="8"/>
    </row>
    <row r="4066" spans="1:1" ht="13.8" x14ac:dyDescent="0.25">
      <c r="A4066" s="8"/>
    </row>
    <row r="4067" spans="1:1" ht="13.8" x14ac:dyDescent="0.25">
      <c r="A4067" s="8"/>
    </row>
    <row r="4068" spans="1:1" ht="13.8" x14ac:dyDescent="0.25">
      <c r="A4068" s="8"/>
    </row>
    <row r="4069" spans="1:1" ht="13.8" x14ac:dyDescent="0.25">
      <c r="A4069" s="8"/>
    </row>
    <row r="4070" spans="1:1" ht="13.8" x14ac:dyDescent="0.25">
      <c r="A4070" s="8"/>
    </row>
    <row r="4071" spans="1:1" ht="13.8" x14ac:dyDescent="0.25">
      <c r="A4071" s="8"/>
    </row>
    <row r="4072" spans="1:1" ht="13.8" x14ac:dyDescent="0.25">
      <c r="A4072" s="8"/>
    </row>
    <row r="4073" spans="1:1" ht="13.8" x14ac:dyDescent="0.25">
      <c r="A4073" s="8"/>
    </row>
    <row r="4074" spans="1:1" ht="13.8" x14ac:dyDescent="0.25">
      <c r="A4074" s="8"/>
    </row>
    <row r="4075" spans="1:1" ht="13.8" x14ac:dyDescent="0.25">
      <c r="A4075" s="8"/>
    </row>
    <row r="4076" spans="1:1" ht="13.8" x14ac:dyDescent="0.25">
      <c r="A4076" s="8"/>
    </row>
    <row r="4077" spans="1:1" ht="13.8" x14ac:dyDescent="0.25">
      <c r="A4077" s="8"/>
    </row>
    <row r="4078" spans="1:1" ht="13.8" x14ac:dyDescent="0.25">
      <c r="A4078" s="8"/>
    </row>
    <row r="4079" spans="1:1" ht="13.8" x14ac:dyDescent="0.25">
      <c r="A4079" s="8"/>
    </row>
    <row r="4080" spans="1:1" ht="13.8" x14ac:dyDescent="0.25">
      <c r="A4080" s="8"/>
    </row>
    <row r="4081" spans="1:1" ht="13.8" x14ac:dyDescent="0.25">
      <c r="A4081" s="8"/>
    </row>
    <row r="4082" spans="1:1" ht="13.8" x14ac:dyDescent="0.25">
      <c r="A4082" s="8"/>
    </row>
    <row r="4083" spans="1:1" ht="13.8" x14ac:dyDescent="0.25">
      <c r="A4083" s="8"/>
    </row>
    <row r="4084" spans="1:1" ht="13.8" x14ac:dyDescent="0.25">
      <c r="A4084" s="8"/>
    </row>
    <row r="4085" spans="1:1" ht="13.8" x14ac:dyDescent="0.25">
      <c r="A4085" s="8"/>
    </row>
    <row r="4086" spans="1:1" ht="13.8" x14ac:dyDescent="0.25">
      <c r="A4086" s="8"/>
    </row>
    <row r="4087" spans="1:1" ht="13.8" x14ac:dyDescent="0.25">
      <c r="A4087" s="8"/>
    </row>
    <row r="4088" spans="1:1" ht="13.8" x14ac:dyDescent="0.25">
      <c r="A4088" s="8"/>
    </row>
    <row r="4089" spans="1:1" ht="13.8" x14ac:dyDescent="0.25">
      <c r="A4089" s="8"/>
    </row>
    <row r="4090" spans="1:1" ht="13.8" x14ac:dyDescent="0.25">
      <c r="A4090" s="8"/>
    </row>
    <row r="4091" spans="1:1" ht="13.8" x14ac:dyDescent="0.25">
      <c r="A4091" s="8"/>
    </row>
    <row r="4092" spans="1:1" ht="13.8" x14ac:dyDescent="0.25">
      <c r="A4092" s="8"/>
    </row>
    <row r="4093" spans="1:1" ht="13.8" x14ac:dyDescent="0.25">
      <c r="A4093" s="8"/>
    </row>
    <row r="4094" spans="1:1" ht="13.8" x14ac:dyDescent="0.25">
      <c r="A4094" s="8"/>
    </row>
    <row r="4095" spans="1:1" ht="13.8" x14ac:dyDescent="0.25">
      <c r="A4095" s="8"/>
    </row>
    <row r="4096" spans="1:1" ht="13.8" x14ac:dyDescent="0.25">
      <c r="A4096" s="8"/>
    </row>
    <row r="4097" spans="1:1" ht="13.8" x14ac:dyDescent="0.25">
      <c r="A4097" s="8"/>
    </row>
    <row r="4098" spans="1:1" ht="13.8" x14ac:dyDescent="0.25">
      <c r="A4098" s="8"/>
    </row>
    <row r="4099" spans="1:1" ht="13.8" x14ac:dyDescent="0.25">
      <c r="A4099" s="8"/>
    </row>
    <row r="4100" spans="1:1" ht="13.8" x14ac:dyDescent="0.25">
      <c r="A4100" s="8"/>
    </row>
    <row r="4101" spans="1:1" ht="13.8" x14ac:dyDescent="0.25">
      <c r="A4101" s="8"/>
    </row>
    <row r="4102" spans="1:1" ht="13.8" x14ac:dyDescent="0.25">
      <c r="A4102" s="8"/>
    </row>
    <row r="4103" spans="1:1" ht="13.8" x14ac:dyDescent="0.25">
      <c r="A4103" s="8"/>
    </row>
    <row r="4104" spans="1:1" ht="13.8" x14ac:dyDescent="0.25">
      <c r="A4104" s="8"/>
    </row>
    <row r="4105" spans="1:1" ht="13.8" x14ac:dyDescent="0.25">
      <c r="A4105" s="8"/>
    </row>
    <row r="4106" spans="1:1" ht="13.8" x14ac:dyDescent="0.25">
      <c r="A4106" s="8"/>
    </row>
    <row r="4107" spans="1:1" ht="13.8" x14ac:dyDescent="0.25">
      <c r="A4107" s="8"/>
    </row>
    <row r="4108" spans="1:1" ht="13.8" x14ac:dyDescent="0.25">
      <c r="A4108" s="8"/>
    </row>
    <row r="4109" spans="1:1" ht="13.8" x14ac:dyDescent="0.25">
      <c r="A4109" s="8"/>
    </row>
    <row r="4110" spans="1:1" ht="13.8" x14ac:dyDescent="0.25">
      <c r="A4110" s="8"/>
    </row>
    <row r="4111" spans="1:1" ht="13.8" x14ac:dyDescent="0.25">
      <c r="A4111" s="8"/>
    </row>
    <row r="4112" spans="1:1" ht="13.8" x14ac:dyDescent="0.25">
      <c r="A4112" s="8"/>
    </row>
    <row r="4113" spans="1:1" ht="13.8" x14ac:dyDescent="0.25">
      <c r="A4113" s="8"/>
    </row>
    <row r="4114" spans="1:1" ht="13.8" x14ac:dyDescent="0.25">
      <c r="A4114" s="8"/>
    </row>
    <row r="4115" spans="1:1" ht="13.8" x14ac:dyDescent="0.25">
      <c r="A4115" s="8"/>
    </row>
    <row r="4116" spans="1:1" ht="13.8" x14ac:dyDescent="0.25">
      <c r="A4116" s="8"/>
    </row>
    <row r="4117" spans="1:1" ht="13.8" x14ac:dyDescent="0.25">
      <c r="A4117" s="8"/>
    </row>
    <row r="4118" spans="1:1" ht="13.8" x14ac:dyDescent="0.25">
      <c r="A4118" s="8"/>
    </row>
    <row r="4119" spans="1:1" ht="13.8" x14ac:dyDescent="0.25">
      <c r="A4119" s="8"/>
    </row>
    <row r="4120" spans="1:1" ht="13.8" x14ac:dyDescent="0.25">
      <c r="A4120" s="8"/>
    </row>
    <row r="4121" spans="1:1" ht="13.8" x14ac:dyDescent="0.25">
      <c r="A4121" s="8"/>
    </row>
    <row r="4122" spans="1:1" ht="13.8" x14ac:dyDescent="0.25">
      <c r="A4122" s="8"/>
    </row>
    <row r="4123" spans="1:1" ht="13.8" x14ac:dyDescent="0.25">
      <c r="A4123" s="8"/>
    </row>
    <row r="4124" spans="1:1" ht="13.8" x14ac:dyDescent="0.25">
      <c r="A4124" s="8"/>
    </row>
    <row r="4125" spans="1:1" ht="13.8" x14ac:dyDescent="0.25">
      <c r="A4125" s="8"/>
    </row>
    <row r="4126" spans="1:1" ht="13.8" x14ac:dyDescent="0.25">
      <c r="A4126" s="8"/>
    </row>
    <row r="4127" spans="1:1" ht="13.8" x14ac:dyDescent="0.25">
      <c r="A4127" s="8"/>
    </row>
    <row r="4128" spans="1:1" ht="13.8" x14ac:dyDescent="0.25">
      <c r="A4128" s="8"/>
    </row>
    <row r="4129" spans="1:1" ht="13.8" x14ac:dyDescent="0.25">
      <c r="A4129" s="8"/>
    </row>
    <row r="4130" spans="1:1" ht="13.8" x14ac:dyDescent="0.25">
      <c r="A4130" s="8"/>
    </row>
    <row r="4131" spans="1:1" ht="13.8" x14ac:dyDescent="0.25">
      <c r="A4131" s="8"/>
    </row>
    <row r="4132" spans="1:1" ht="13.8" x14ac:dyDescent="0.25">
      <c r="A4132" s="8"/>
    </row>
    <row r="4133" spans="1:1" ht="13.8" x14ac:dyDescent="0.25">
      <c r="A4133" s="8"/>
    </row>
    <row r="4134" spans="1:1" ht="13.8" x14ac:dyDescent="0.25">
      <c r="A4134" s="8"/>
    </row>
    <row r="4135" spans="1:1" ht="13.8" x14ac:dyDescent="0.25">
      <c r="A4135" s="8"/>
    </row>
    <row r="4136" spans="1:1" ht="13.8" x14ac:dyDescent="0.25">
      <c r="A4136" s="8"/>
    </row>
    <row r="4137" spans="1:1" ht="13.8" x14ac:dyDescent="0.25">
      <c r="A4137" s="8"/>
    </row>
    <row r="4138" spans="1:1" ht="13.8" x14ac:dyDescent="0.25">
      <c r="A4138" s="8"/>
    </row>
    <row r="4139" spans="1:1" ht="13.8" x14ac:dyDescent="0.25">
      <c r="A4139" s="8"/>
    </row>
    <row r="4140" spans="1:1" ht="13.8" x14ac:dyDescent="0.25">
      <c r="A4140" s="8"/>
    </row>
    <row r="4141" spans="1:1" ht="13.8" x14ac:dyDescent="0.25">
      <c r="A4141" s="8"/>
    </row>
    <row r="4142" spans="1:1" ht="13.8" x14ac:dyDescent="0.25">
      <c r="A4142" s="8"/>
    </row>
    <row r="4143" spans="1:1" ht="13.8" x14ac:dyDescent="0.25">
      <c r="A4143" s="8"/>
    </row>
    <row r="4144" spans="1:1" ht="13.8" x14ac:dyDescent="0.25">
      <c r="A4144" s="8"/>
    </row>
    <row r="4145" spans="1:1" ht="13.8" x14ac:dyDescent="0.25">
      <c r="A4145" s="8"/>
    </row>
    <row r="4146" spans="1:1" ht="13.8" x14ac:dyDescent="0.25">
      <c r="A4146" s="8"/>
    </row>
    <row r="4147" spans="1:1" ht="13.8" x14ac:dyDescent="0.25">
      <c r="A4147" s="8"/>
    </row>
    <row r="4148" spans="1:1" ht="13.8" x14ac:dyDescent="0.25">
      <c r="A4148" s="8"/>
    </row>
    <row r="4149" spans="1:1" ht="13.8" x14ac:dyDescent="0.25">
      <c r="A4149" s="8"/>
    </row>
    <row r="4150" spans="1:1" ht="13.8" x14ac:dyDescent="0.25">
      <c r="A4150" s="8"/>
    </row>
    <row r="4151" spans="1:1" ht="13.8" x14ac:dyDescent="0.25">
      <c r="A4151" s="8"/>
    </row>
    <row r="4152" spans="1:1" ht="13.8" x14ac:dyDescent="0.25">
      <c r="A4152" s="8"/>
    </row>
    <row r="4153" spans="1:1" ht="13.8" x14ac:dyDescent="0.25">
      <c r="A4153" s="8"/>
    </row>
    <row r="4154" spans="1:1" ht="13.8" x14ac:dyDescent="0.25">
      <c r="A4154" s="8"/>
    </row>
    <row r="4155" spans="1:1" ht="13.8" x14ac:dyDescent="0.25">
      <c r="A4155" s="8"/>
    </row>
    <row r="4156" spans="1:1" ht="13.8" x14ac:dyDescent="0.25">
      <c r="A4156" s="8"/>
    </row>
    <row r="4157" spans="1:1" ht="13.8" x14ac:dyDescent="0.25">
      <c r="A4157" s="8"/>
    </row>
    <row r="4158" spans="1:1" ht="13.8" x14ac:dyDescent="0.25">
      <c r="A4158" s="8"/>
    </row>
    <row r="4159" spans="1:1" ht="13.8" x14ac:dyDescent="0.25">
      <c r="A4159" s="8"/>
    </row>
    <row r="4160" spans="1:1" ht="13.8" x14ac:dyDescent="0.25">
      <c r="A4160" s="8"/>
    </row>
    <row r="4161" spans="1:1" ht="13.8" x14ac:dyDescent="0.25">
      <c r="A4161" s="8"/>
    </row>
    <row r="4162" spans="1:1" ht="13.8" x14ac:dyDescent="0.25">
      <c r="A4162" s="8"/>
    </row>
    <row r="4163" spans="1:1" ht="13.8" x14ac:dyDescent="0.25">
      <c r="A4163" s="8"/>
    </row>
    <row r="4164" spans="1:1" ht="13.8" x14ac:dyDescent="0.25">
      <c r="A4164" s="8"/>
    </row>
    <row r="4165" spans="1:1" ht="13.8" x14ac:dyDescent="0.25">
      <c r="A4165" s="8"/>
    </row>
    <row r="4166" spans="1:1" ht="13.8" x14ac:dyDescent="0.25">
      <c r="A4166" s="8"/>
    </row>
    <row r="4167" spans="1:1" ht="13.8" x14ac:dyDescent="0.25">
      <c r="A4167" s="8"/>
    </row>
    <row r="4168" spans="1:1" ht="13.8" x14ac:dyDescent="0.25">
      <c r="A4168" s="8"/>
    </row>
    <row r="4169" spans="1:1" ht="13.8" x14ac:dyDescent="0.25">
      <c r="A4169" s="8"/>
    </row>
    <row r="4170" spans="1:1" ht="13.8" x14ac:dyDescent="0.25">
      <c r="A4170" s="8"/>
    </row>
    <row r="4171" spans="1:1" ht="13.8" x14ac:dyDescent="0.25">
      <c r="A4171" s="8"/>
    </row>
    <row r="4172" spans="1:1" ht="13.8" x14ac:dyDescent="0.25">
      <c r="A4172" s="8"/>
    </row>
    <row r="4173" spans="1:1" ht="13.8" x14ac:dyDescent="0.25">
      <c r="A4173" s="8"/>
    </row>
    <row r="4174" spans="1:1" ht="13.8" x14ac:dyDescent="0.25">
      <c r="A4174" s="8"/>
    </row>
    <row r="4175" spans="1:1" ht="13.8" x14ac:dyDescent="0.25">
      <c r="A4175" s="8"/>
    </row>
    <row r="4176" spans="1:1" ht="13.8" x14ac:dyDescent="0.25">
      <c r="A4176" s="8"/>
    </row>
    <row r="4177" spans="1:1" ht="13.8" x14ac:dyDescent="0.25">
      <c r="A4177" s="8"/>
    </row>
    <row r="4178" spans="1:1" ht="13.8" x14ac:dyDescent="0.25">
      <c r="A4178" s="8"/>
    </row>
    <row r="4179" spans="1:1" ht="13.8" x14ac:dyDescent="0.25">
      <c r="A4179" s="8"/>
    </row>
    <row r="4180" spans="1:1" ht="13.8" x14ac:dyDescent="0.25">
      <c r="A4180" s="8"/>
    </row>
    <row r="4181" spans="1:1" ht="13.8" x14ac:dyDescent="0.25">
      <c r="A4181" s="8"/>
    </row>
    <row r="4182" spans="1:1" ht="13.8" x14ac:dyDescent="0.25">
      <c r="A4182" s="8"/>
    </row>
    <row r="4183" spans="1:1" ht="13.8" x14ac:dyDescent="0.25">
      <c r="A4183" s="8"/>
    </row>
    <row r="4184" spans="1:1" ht="13.8" x14ac:dyDescent="0.25">
      <c r="A4184" s="8"/>
    </row>
    <row r="4185" spans="1:1" ht="13.8" x14ac:dyDescent="0.25">
      <c r="A4185" s="8"/>
    </row>
    <row r="4186" spans="1:1" ht="13.8" x14ac:dyDescent="0.25">
      <c r="A4186" s="8"/>
    </row>
    <row r="4187" spans="1:1" ht="13.8" x14ac:dyDescent="0.25">
      <c r="A4187" s="8"/>
    </row>
    <row r="4188" spans="1:1" ht="13.8" x14ac:dyDescent="0.25">
      <c r="A4188" s="8"/>
    </row>
    <row r="4189" spans="1:1" ht="13.8" x14ac:dyDescent="0.25">
      <c r="A4189" s="8"/>
    </row>
    <row r="4190" spans="1:1" ht="13.8" x14ac:dyDescent="0.25">
      <c r="A4190" s="8"/>
    </row>
    <row r="4191" spans="1:1" ht="13.8" x14ac:dyDescent="0.25">
      <c r="A4191" s="8"/>
    </row>
    <row r="4192" spans="1:1" ht="13.8" x14ac:dyDescent="0.25">
      <c r="A4192" s="8"/>
    </row>
    <row r="4193" spans="1:1" ht="13.8" x14ac:dyDescent="0.25">
      <c r="A4193" s="8"/>
    </row>
    <row r="4194" spans="1:1" ht="13.8" x14ac:dyDescent="0.25">
      <c r="A4194" s="8"/>
    </row>
    <row r="4195" spans="1:1" ht="13.8" x14ac:dyDescent="0.25">
      <c r="A4195" s="8"/>
    </row>
    <row r="4196" spans="1:1" ht="13.8" x14ac:dyDescent="0.25">
      <c r="A4196" s="8"/>
    </row>
    <row r="4197" spans="1:1" ht="13.8" x14ac:dyDescent="0.25">
      <c r="A4197" s="8"/>
    </row>
    <row r="4198" spans="1:1" ht="13.8" x14ac:dyDescent="0.25">
      <c r="A4198" s="8"/>
    </row>
    <row r="4199" spans="1:1" ht="13.8" x14ac:dyDescent="0.25">
      <c r="A4199" s="8"/>
    </row>
    <row r="4200" spans="1:1" ht="13.8" x14ac:dyDescent="0.25">
      <c r="A4200" s="8"/>
    </row>
    <row r="4201" spans="1:1" ht="13.8" x14ac:dyDescent="0.25">
      <c r="A4201" s="8"/>
    </row>
    <row r="4202" spans="1:1" ht="13.8" x14ac:dyDescent="0.25">
      <c r="A4202" s="8"/>
    </row>
    <row r="4203" spans="1:1" ht="13.8" x14ac:dyDescent="0.25">
      <c r="A4203" s="8"/>
    </row>
    <row r="4204" spans="1:1" ht="13.8" x14ac:dyDescent="0.25">
      <c r="A4204" s="8"/>
    </row>
    <row r="4205" spans="1:1" ht="13.8" x14ac:dyDescent="0.25">
      <c r="A4205" s="8"/>
    </row>
    <row r="4206" spans="1:1" ht="13.8" x14ac:dyDescent="0.25">
      <c r="A4206" s="8"/>
    </row>
    <row r="4207" spans="1:1" ht="13.8" x14ac:dyDescent="0.25">
      <c r="A4207" s="8"/>
    </row>
    <row r="4208" spans="1:1" ht="13.8" x14ac:dyDescent="0.25">
      <c r="A4208" s="8"/>
    </row>
    <row r="4209" spans="1:1" ht="13.8" x14ac:dyDescent="0.25">
      <c r="A4209" s="8"/>
    </row>
    <row r="4210" spans="1:1" ht="13.8" x14ac:dyDescent="0.25">
      <c r="A4210" s="8"/>
    </row>
    <row r="4211" spans="1:1" ht="13.8" x14ac:dyDescent="0.25">
      <c r="A4211" s="8"/>
    </row>
    <row r="4212" spans="1:1" ht="13.8" x14ac:dyDescent="0.25">
      <c r="A4212" s="8"/>
    </row>
    <row r="4213" spans="1:1" ht="13.8" x14ac:dyDescent="0.25">
      <c r="A4213" s="8"/>
    </row>
    <row r="4214" spans="1:1" ht="13.8" x14ac:dyDescent="0.25">
      <c r="A4214" s="8"/>
    </row>
    <row r="4215" spans="1:1" ht="13.8" x14ac:dyDescent="0.25">
      <c r="A4215" s="8"/>
    </row>
    <row r="4216" spans="1:1" ht="13.8" x14ac:dyDescent="0.25">
      <c r="A4216" s="8"/>
    </row>
    <row r="4217" spans="1:1" ht="13.8" x14ac:dyDescent="0.25">
      <c r="A4217" s="8"/>
    </row>
    <row r="4218" spans="1:1" ht="13.8" x14ac:dyDescent="0.25">
      <c r="A4218" s="8"/>
    </row>
    <row r="4219" spans="1:1" ht="13.8" x14ac:dyDescent="0.25">
      <c r="A4219" s="8"/>
    </row>
    <row r="4220" spans="1:1" ht="13.8" x14ac:dyDescent="0.25">
      <c r="A4220" s="8"/>
    </row>
    <row r="4221" spans="1:1" ht="13.8" x14ac:dyDescent="0.25">
      <c r="A4221" s="8"/>
    </row>
    <row r="4222" spans="1:1" ht="13.8" x14ac:dyDescent="0.25">
      <c r="A4222" s="8"/>
    </row>
    <row r="4223" spans="1:1" ht="13.8" x14ac:dyDescent="0.25">
      <c r="A4223" s="8"/>
    </row>
    <row r="4224" spans="1:1" ht="13.8" x14ac:dyDescent="0.25">
      <c r="A4224" s="8"/>
    </row>
    <row r="4225" spans="1:1" ht="13.8" x14ac:dyDescent="0.25">
      <c r="A4225" s="8"/>
    </row>
    <row r="4226" spans="1:1" ht="13.8" x14ac:dyDescent="0.25">
      <c r="A4226" s="8"/>
    </row>
    <row r="4227" spans="1:1" ht="13.8" x14ac:dyDescent="0.25">
      <c r="A4227" s="8"/>
    </row>
    <row r="4228" spans="1:1" ht="13.8" x14ac:dyDescent="0.25">
      <c r="A4228" s="8"/>
    </row>
    <row r="4229" spans="1:1" ht="13.8" x14ac:dyDescent="0.25">
      <c r="A4229" s="8"/>
    </row>
    <row r="4230" spans="1:1" ht="13.8" x14ac:dyDescent="0.25">
      <c r="A4230" s="8"/>
    </row>
    <row r="4231" spans="1:1" ht="13.8" x14ac:dyDescent="0.25">
      <c r="A4231" s="8"/>
    </row>
    <row r="4232" spans="1:1" ht="13.8" x14ac:dyDescent="0.25">
      <c r="A4232" s="8"/>
    </row>
    <row r="4233" spans="1:1" ht="13.8" x14ac:dyDescent="0.25">
      <c r="A4233" s="8"/>
    </row>
    <row r="4234" spans="1:1" ht="13.8" x14ac:dyDescent="0.25">
      <c r="A4234" s="8"/>
    </row>
    <row r="4235" spans="1:1" ht="13.8" x14ac:dyDescent="0.25">
      <c r="A4235" s="8"/>
    </row>
    <row r="4236" spans="1:1" ht="13.8" x14ac:dyDescent="0.25">
      <c r="A4236" s="8"/>
    </row>
    <row r="4237" spans="1:1" ht="13.8" x14ac:dyDescent="0.25">
      <c r="A4237" s="8"/>
    </row>
    <row r="4238" spans="1:1" ht="13.8" x14ac:dyDescent="0.25">
      <c r="A4238" s="8"/>
    </row>
    <row r="4239" spans="1:1" ht="13.8" x14ac:dyDescent="0.25">
      <c r="A4239" s="8"/>
    </row>
    <row r="4240" spans="1:1" ht="13.8" x14ac:dyDescent="0.25">
      <c r="A4240" s="8"/>
    </row>
    <row r="4241" spans="1:1" ht="13.8" x14ac:dyDescent="0.25">
      <c r="A4241" s="8"/>
    </row>
    <row r="4242" spans="1:1" ht="13.8" x14ac:dyDescent="0.25">
      <c r="A4242" s="8"/>
    </row>
    <row r="4243" spans="1:1" ht="13.8" x14ac:dyDescent="0.25">
      <c r="A4243" s="8"/>
    </row>
    <row r="4244" spans="1:1" ht="13.8" x14ac:dyDescent="0.25">
      <c r="A4244" s="8"/>
    </row>
    <row r="4245" spans="1:1" ht="13.8" x14ac:dyDescent="0.25">
      <c r="A4245" s="8"/>
    </row>
    <row r="4246" spans="1:1" ht="13.8" x14ac:dyDescent="0.25">
      <c r="A4246" s="8"/>
    </row>
    <row r="4247" spans="1:1" ht="13.8" x14ac:dyDescent="0.25">
      <c r="A4247" s="8"/>
    </row>
    <row r="4248" spans="1:1" ht="13.8" x14ac:dyDescent="0.25">
      <c r="A4248" s="8"/>
    </row>
    <row r="4249" spans="1:1" ht="13.8" x14ac:dyDescent="0.25">
      <c r="A4249" s="8"/>
    </row>
    <row r="4250" spans="1:1" ht="13.8" x14ac:dyDescent="0.25">
      <c r="A4250" s="8"/>
    </row>
    <row r="4251" spans="1:1" ht="13.8" x14ac:dyDescent="0.25">
      <c r="A4251" s="8"/>
    </row>
    <row r="4252" spans="1:1" ht="13.8" x14ac:dyDescent="0.25">
      <c r="A4252" s="8"/>
    </row>
    <row r="4253" spans="1:1" ht="13.8" x14ac:dyDescent="0.25">
      <c r="A4253" s="8"/>
    </row>
    <row r="4254" spans="1:1" ht="13.8" x14ac:dyDescent="0.25">
      <c r="A4254" s="8"/>
    </row>
    <row r="4255" spans="1:1" ht="13.8" x14ac:dyDescent="0.25">
      <c r="A4255" s="8"/>
    </row>
    <row r="4256" spans="1:1" ht="13.8" x14ac:dyDescent="0.25">
      <c r="A4256" s="8"/>
    </row>
    <row r="4257" spans="1:1" ht="13.8" x14ac:dyDescent="0.25">
      <c r="A4257" s="8"/>
    </row>
    <row r="4258" spans="1:1" ht="13.8" x14ac:dyDescent="0.25">
      <c r="A4258" s="8"/>
    </row>
    <row r="4259" spans="1:1" ht="13.8" x14ac:dyDescent="0.25">
      <c r="A4259" s="8"/>
    </row>
    <row r="4260" spans="1:1" ht="13.8" x14ac:dyDescent="0.25">
      <c r="A4260" s="8"/>
    </row>
    <row r="4261" spans="1:1" ht="13.8" x14ac:dyDescent="0.25">
      <c r="A4261" s="8"/>
    </row>
    <row r="4262" spans="1:1" ht="13.8" x14ac:dyDescent="0.25">
      <c r="A4262" s="8"/>
    </row>
    <row r="4263" spans="1:1" ht="13.8" x14ac:dyDescent="0.25">
      <c r="A4263" s="8"/>
    </row>
    <row r="4264" spans="1:1" ht="13.8" x14ac:dyDescent="0.25">
      <c r="A4264" s="8"/>
    </row>
    <row r="4265" spans="1:1" ht="13.8" x14ac:dyDescent="0.25">
      <c r="A4265" s="8"/>
    </row>
    <row r="4266" spans="1:1" ht="13.8" x14ac:dyDescent="0.25">
      <c r="A4266" s="8"/>
    </row>
    <row r="4267" spans="1:1" ht="13.8" x14ac:dyDescent="0.25">
      <c r="A4267" s="8"/>
    </row>
    <row r="4268" spans="1:1" ht="13.8" x14ac:dyDescent="0.25">
      <c r="A4268" s="8"/>
    </row>
    <row r="4269" spans="1:1" ht="13.8" x14ac:dyDescent="0.25">
      <c r="A4269" s="8"/>
    </row>
    <row r="4270" spans="1:1" ht="13.8" x14ac:dyDescent="0.25">
      <c r="A4270" s="8"/>
    </row>
    <row r="4271" spans="1:1" ht="13.8" x14ac:dyDescent="0.25">
      <c r="A4271" s="8"/>
    </row>
    <row r="4272" spans="1:1" ht="13.8" x14ac:dyDescent="0.25">
      <c r="A4272" s="8"/>
    </row>
    <row r="4273" spans="1:1" ht="13.8" x14ac:dyDescent="0.25">
      <c r="A4273" s="8"/>
    </row>
    <row r="4274" spans="1:1" ht="13.8" x14ac:dyDescent="0.25">
      <c r="A4274" s="8"/>
    </row>
    <row r="4275" spans="1:1" ht="13.8" x14ac:dyDescent="0.25">
      <c r="A4275" s="8"/>
    </row>
    <row r="4276" spans="1:1" ht="13.8" x14ac:dyDescent="0.25">
      <c r="A4276" s="8"/>
    </row>
    <row r="4277" spans="1:1" ht="13.8" x14ac:dyDescent="0.25">
      <c r="A4277" s="8"/>
    </row>
    <row r="4278" spans="1:1" ht="13.8" x14ac:dyDescent="0.25">
      <c r="A4278" s="8"/>
    </row>
    <row r="4279" spans="1:1" ht="13.8" x14ac:dyDescent="0.25">
      <c r="A4279" s="8"/>
    </row>
    <row r="4280" spans="1:1" ht="13.8" x14ac:dyDescent="0.25">
      <c r="A4280" s="8"/>
    </row>
    <row r="4281" spans="1:1" ht="13.8" x14ac:dyDescent="0.25">
      <c r="A4281" s="8"/>
    </row>
    <row r="4282" spans="1:1" ht="13.8" x14ac:dyDescent="0.25">
      <c r="A4282" s="8"/>
    </row>
    <row r="4283" spans="1:1" ht="13.8" x14ac:dyDescent="0.25">
      <c r="A4283" s="8"/>
    </row>
    <row r="4284" spans="1:1" ht="13.8" x14ac:dyDescent="0.25">
      <c r="A4284" s="8"/>
    </row>
    <row r="4285" spans="1:1" ht="13.8" x14ac:dyDescent="0.25">
      <c r="A4285" s="8"/>
    </row>
    <row r="4286" spans="1:1" ht="13.8" x14ac:dyDescent="0.25">
      <c r="A4286" s="8"/>
    </row>
    <row r="4287" spans="1:1" ht="13.8" x14ac:dyDescent="0.25">
      <c r="A4287" s="8"/>
    </row>
    <row r="4288" spans="1:1" ht="13.8" x14ac:dyDescent="0.25">
      <c r="A4288" s="8"/>
    </row>
    <row r="4289" spans="1:1" ht="13.8" x14ac:dyDescent="0.25">
      <c r="A4289" s="8"/>
    </row>
    <row r="4290" spans="1:1" ht="13.8" x14ac:dyDescent="0.25">
      <c r="A4290" s="8"/>
    </row>
    <row r="4291" spans="1:1" ht="13.8" x14ac:dyDescent="0.25">
      <c r="A4291" s="8"/>
    </row>
    <row r="4292" spans="1:1" ht="13.8" x14ac:dyDescent="0.25">
      <c r="A4292" s="8"/>
    </row>
    <row r="4293" spans="1:1" ht="13.8" x14ac:dyDescent="0.25">
      <c r="A4293" s="8"/>
    </row>
    <row r="4294" spans="1:1" ht="13.8" x14ac:dyDescent="0.25">
      <c r="A4294" s="8"/>
    </row>
    <row r="4295" spans="1:1" ht="13.8" x14ac:dyDescent="0.25">
      <c r="A4295" s="8"/>
    </row>
    <row r="4296" spans="1:1" ht="13.8" x14ac:dyDescent="0.25">
      <c r="A4296" s="8"/>
    </row>
    <row r="4297" spans="1:1" ht="13.8" x14ac:dyDescent="0.25">
      <c r="A4297" s="8"/>
    </row>
    <row r="4298" spans="1:1" ht="13.8" x14ac:dyDescent="0.25">
      <c r="A4298" s="8"/>
    </row>
    <row r="4299" spans="1:1" ht="13.8" x14ac:dyDescent="0.25">
      <c r="A4299" s="8"/>
    </row>
    <row r="4300" spans="1:1" ht="13.8" x14ac:dyDescent="0.25">
      <c r="A4300" s="8"/>
    </row>
    <row r="4301" spans="1:1" ht="13.8" x14ac:dyDescent="0.25">
      <c r="A4301" s="8"/>
    </row>
    <row r="4302" spans="1:1" ht="13.8" x14ac:dyDescent="0.25">
      <c r="A4302" s="8"/>
    </row>
    <row r="4303" spans="1:1" ht="13.8" x14ac:dyDescent="0.25">
      <c r="A4303" s="8"/>
    </row>
    <row r="4304" spans="1:1" ht="13.8" x14ac:dyDescent="0.25">
      <c r="A4304" s="8"/>
    </row>
    <row r="4305" spans="1:1" ht="13.8" x14ac:dyDescent="0.25">
      <c r="A4305" s="8"/>
    </row>
    <row r="4306" spans="1:1" ht="13.8" x14ac:dyDescent="0.25">
      <c r="A4306" s="8"/>
    </row>
    <row r="4307" spans="1:1" ht="13.8" x14ac:dyDescent="0.25">
      <c r="A4307" s="8"/>
    </row>
    <row r="4308" spans="1:1" ht="13.8" x14ac:dyDescent="0.25">
      <c r="A4308" s="8"/>
    </row>
    <row r="4309" spans="1:1" ht="13.8" x14ac:dyDescent="0.25">
      <c r="A4309" s="8"/>
    </row>
    <row r="4310" spans="1:1" ht="13.8" x14ac:dyDescent="0.25">
      <c r="A4310" s="8"/>
    </row>
    <row r="4311" spans="1:1" ht="13.8" x14ac:dyDescent="0.25">
      <c r="A4311" s="8"/>
    </row>
    <row r="4312" spans="1:1" ht="13.8" x14ac:dyDescent="0.25">
      <c r="A4312" s="8"/>
    </row>
    <row r="4313" spans="1:1" ht="13.8" x14ac:dyDescent="0.25">
      <c r="A4313" s="8"/>
    </row>
    <row r="4314" spans="1:1" ht="13.8" x14ac:dyDescent="0.25">
      <c r="A4314" s="8"/>
    </row>
    <row r="4315" spans="1:1" ht="13.8" x14ac:dyDescent="0.25">
      <c r="A4315" s="8"/>
    </row>
    <row r="4316" spans="1:1" ht="13.8" x14ac:dyDescent="0.25">
      <c r="A4316" s="8"/>
    </row>
    <row r="4317" spans="1:1" ht="13.8" x14ac:dyDescent="0.25">
      <c r="A4317" s="8"/>
    </row>
    <row r="4318" spans="1:1" ht="13.8" x14ac:dyDescent="0.25">
      <c r="A4318" s="8"/>
    </row>
    <row r="4319" spans="1:1" ht="13.8" x14ac:dyDescent="0.25">
      <c r="A4319" s="8"/>
    </row>
    <row r="4320" spans="1:1" ht="13.8" x14ac:dyDescent="0.25">
      <c r="A4320" s="8"/>
    </row>
    <row r="4321" spans="1:1" ht="13.8" x14ac:dyDescent="0.25">
      <c r="A4321" s="8"/>
    </row>
    <row r="4322" spans="1:1" ht="13.8" x14ac:dyDescent="0.25">
      <c r="A4322" s="8"/>
    </row>
    <row r="4323" spans="1:1" ht="13.8" x14ac:dyDescent="0.25">
      <c r="A4323" s="8"/>
    </row>
    <row r="4324" spans="1:1" ht="13.8" x14ac:dyDescent="0.25">
      <c r="A4324" s="8"/>
    </row>
    <row r="4325" spans="1:1" ht="13.8" x14ac:dyDescent="0.25">
      <c r="A4325" s="8"/>
    </row>
    <row r="4326" spans="1:1" ht="13.8" x14ac:dyDescent="0.25">
      <c r="A4326" s="8"/>
    </row>
    <row r="4327" spans="1:1" ht="13.8" x14ac:dyDescent="0.25">
      <c r="A4327" s="8"/>
    </row>
    <row r="4328" spans="1:1" ht="13.8" x14ac:dyDescent="0.25">
      <c r="A4328" s="8"/>
    </row>
    <row r="4329" spans="1:1" ht="13.8" x14ac:dyDescent="0.25">
      <c r="A4329" s="8"/>
    </row>
    <row r="4330" spans="1:1" ht="13.8" x14ac:dyDescent="0.25">
      <c r="A4330" s="8"/>
    </row>
    <row r="4331" spans="1:1" ht="13.8" x14ac:dyDescent="0.25">
      <c r="A4331" s="8"/>
    </row>
    <row r="4332" spans="1:1" ht="13.8" x14ac:dyDescent="0.25">
      <c r="A4332" s="8"/>
    </row>
    <row r="4333" spans="1:1" ht="13.8" x14ac:dyDescent="0.25">
      <c r="A4333" s="8"/>
    </row>
    <row r="4334" spans="1:1" ht="13.8" x14ac:dyDescent="0.25">
      <c r="A4334" s="8"/>
    </row>
    <row r="4335" spans="1:1" ht="13.8" x14ac:dyDescent="0.25">
      <c r="A4335" s="8"/>
    </row>
    <row r="4336" spans="1:1" ht="13.8" x14ac:dyDescent="0.25">
      <c r="A4336" s="8"/>
    </row>
    <row r="4337" spans="1:1" ht="13.8" x14ac:dyDescent="0.25">
      <c r="A4337" s="8"/>
    </row>
    <row r="4338" spans="1:1" ht="13.8" x14ac:dyDescent="0.25">
      <c r="A4338" s="8"/>
    </row>
    <row r="4339" spans="1:1" ht="13.8" x14ac:dyDescent="0.25">
      <c r="A4339" s="8"/>
    </row>
    <row r="4340" spans="1:1" ht="13.8" x14ac:dyDescent="0.25">
      <c r="A4340" s="8"/>
    </row>
    <row r="4341" spans="1:1" ht="13.8" x14ac:dyDescent="0.25">
      <c r="A4341" s="8"/>
    </row>
    <row r="4342" spans="1:1" ht="13.8" x14ac:dyDescent="0.25">
      <c r="A4342" s="8"/>
    </row>
    <row r="4343" spans="1:1" ht="13.8" x14ac:dyDescent="0.25">
      <c r="A4343" s="8"/>
    </row>
    <row r="4344" spans="1:1" ht="13.8" x14ac:dyDescent="0.25">
      <c r="A4344" s="8"/>
    </row>
    <row r="4345" spans="1:1" ht="13.8" x14ac:dyDescent="0.25">
      <c r="A4345" s="8"/>
    </row>
    <row r="4346" spans="1:1" ht="13.8" x14ac:dyDescent="0.25">
      <c r="A4346" s="8"/>
    </row>
    <row r="4347" spans="1:1" ht="13.8" x14ac:dyDescent="0.25">
      <c r="A4347" s="8"/>
    </row>
    <row r="4348" spans="1:1" ht="13.8" x14ac:dyDescent="0.25">
      <c r="A4348" s="8"/>
    </row>
    <row r="4349" spans="1:1" ht="13.8" x14ac:dyDescent="0.25">
      <c r="A4349" s="8"/>
    </row>
    <row r="4350" spans="1:1" ht="13.8" x14ac:dyDescent="0.25">
      <c r="A4350" s="8"/>
    </row>
    <row r="4351" spans="1:1" ht="13.8" x14ac:dyDescent="0.25">
      <c r="A4351" s="8"/>
    </row>
    <row r="4352" spans="1:1" ht="13.8" x14ac:dyDescent="0.25">
      <c r="A4352" s="8"/>
    </row>
    <row r="4353" spans="1:1" ht="13.8" x14ac:dyDescent="0.25">
      <c r="A4353" s="8"/>
    </row>
    <row r="4354" spans="1:1" ht="13.8" x14ac:dyDescent="0.25">
      <c r="A4354" s="8"/>
    </row>
    <row r="4355" spans="1:1" ht="13.8" x14ac:dyDescent="0.25">
      <c r="A4355" s="8"/>
    </row>
    <row r="4356" spans="1:1" ht="13.8" x14ac:dyDescent="0.25">
      <c r="A4356" s="8"/>
    </row>
    <row r="4357" spans="1:1" ht="13.8" x14ac:dyDescent="0.25">
      <c r="A4357" s="8"/>
    </row>
    <row r="4358" spans="1:1" ht="13.8" x14ac:dyDescent="0.25">
      <c r="A4358" s="8"/>
    </row>
    <row r="4359" spans="1:1" ht="13.8" x14ac:dyDescent="0.25">
      <c r="A4359" s="8"/>
    </row>
    <row r="4360" spans="1:1" ht="13.8" x14ac:dyDescent="0.25">
      <c r="A4360" s="8"/>
    </row>
    <row r="4361" spans="1:1" ht="13.8" x14ac:dyDescent="0.25">
      <c r="A4361" s="8"/>
    </row>
    <row r="4362" spans="1:1" ht="13.8" x14ac:dyDescent="0.25">
      <c r="A4362" s="8"/>
    </row>
    <row r="4363" spans="1:1" ht="13.8" x14ac:dyDescent="0.25">
      <c r="A4363" s="8"/>
    </row>
    <row r="4364" spans="1:1" ht="13.8" x14ac:dyDescent="0.25">
      <c r="A4364" s="8"/>
    </row>
    <row r="4365" spans="1:1" ht="13.8" x14ac:dyDescent="0.25">
      <c r="A4365" s="8"/>
    </row>
    <row r="4366" spans="1:1" ht="13.8" x14ac:dyDescent="0.25">
      <c r="A4366" s="8"/>
    </row>
    <row r="4367" spans="1:1" ht="13.8" x14ac:dyDescent="0.25">
      <c r="A4367" s="8"/>
    </row>
    <row r="4368" spans="1:1" ht="13.8" x14ac:dyDescent="0.25">
      <c r="A4368" s="8"/>
    </row>
    <row r="4369" spans="1:1" ht="13.8" x14ac:dyDescent="0.25">
      <c r="A4369" s="8"/>
    </row>
    <row r="4370" spans="1:1" ht="13.8" x14ac:dyDescent="0.25">
      <c r="A4370" s="8"/>
    </row>
    <row r="4371" spans="1:1" ht="13.8" x14ac:dyDescent="0.25">
      <c r="A4371" s="8"/>
    </row>
    <row r="4372" spans="1:1" ht="13.8" x14ac:dyDescent="0.25">
      <c r="A4372" s="8"/>
    </row>
    <row r="4373" spans="1:1" ht="13.8" x14ac:dyDescent="0.25">
      <c r="A4373" s="8"/>
    </row>
    <row r="4374" spans="1:1" ht="13.8" x14ac:dyDescent="0.25">
      <c r="A4374" s="8"/>
    </row>
    <row r="4375" spans="1:1" ht="13.8" x14ac:dyDescent="0.25">
      <c r="A4375" s="8"/>
    </row>
    <row r="4376" spans="1:1" ht="13.8" x14ac:dyDescent="0.25">
      <c r="A4376" s="8"/>
    </row>
    <row r="4377" spans="1:1" ht="13.8" x14ac:dyDescent="0.25">
      <c r="A4377" s="8"/>
    </row>
    <row r="4378" spans="1:1" ht="13.8" x14ac:dyDescent="0.25">
      <c r="A4378" s="8"/>
    </row>
    <row r="4379" spans="1:1" ht="13.8" x14ac:dyDescent="0.25">
      <c r="A4379" s="8"/>
    </row>
    <row r="4380" spans="1:1" ht="13.8" x14ac:dyDescent="0.25">
      <c r="A4380" s="8"/>
    </row>
    <row r="4381" spans="1:1" ht="13.8" x14ac:dyDescent="0.25">
      <c r="A4381" s="8"/>
    </row>
    <row r="4382" spans="1:1" ht="13.8" x14ac:dyDescent="0.25">
      <c r="A4382" s="8"/>
    </row>
    <row r="4383" spans="1:1" ht="13.8" x14ac:dyDescent="0.25">
      <c r="A4383" s="8"/>
    </row>
    <row r="4384" spans="1:1" ht="13.8" x14ac:dyDescent="0.25">
      <c r="A4384" s="8"/>
    </row>
    <row r="4385" spans="1:1" ht="13.8" x14ac:dyDescent="0.25">
      <c r="A4385" s="8"/>
    </row>
    <row r="4386" spans="1:1" ht="13.8" x14ac:dyDescent="0.25">
      <c r="A4386" s="8"/>
    </row>
    <row r="4387" spans="1:1" ht="13.8" x14ac:dyDescent="0.25">
      <c r="A4387" s="8"/>
    </row>
    <row r="4388" spans="1:1" ht="13.8" x14ac:dyDescent="0.25">
      <c r="A4388" s="8"/>
    </row>
    <row r="4389" spans="1:1" ht="13.8" x14ac:dyDescent="0.25">
      <c r="A4389" s="8"/>
    </row>
    <row r="4390" spans="1:1" ht="13.8" x14ac:dyDescent="0.25">
      <c r="A4390" s="8"/>
    </row>
    <row r="4391" spans="1:1" ht="13.8" x14ac:dyDescent="0.25">
      <c r="A4391" s="8"/>
    </row>
    <row r="4392" spans="1:1" ht="13.8" x14ac:dyDescent="0.25">
      <c r="A4392" s="8"/>
    </row>
    <row r="4393" spans="1:1" ht="13.8" x14ac:dyDescent="0.25">
      <c r="A4393" s="8"/>
    </row>
    <row r="4394" spans="1:1" ht="13.8" x14ac:dyDescent="0.25">
      <c r="A4394" s="8"/>
    </row>
    <row r="4395" spans="1:1" ht="13.8" x14ac:dyDescent="0.25">
      <c r="A4395" s="8"/>
    </row>
    <row r="4396" spans="1:1" ht="13.8" x14ac:dyDescent="0.25">
      <c r="A4396" s="8"/>
    </row>
    <row r="4397" spans="1:1" ht="13.8" x14ac:dyDescent="0.25">
      <c r="A4397" s="8"/>
    </row>
    <row r="4398" spans="1:1" ht="13.8" x14ac:dyDescent="0.25">
      <c r="A4398" s="8"/>
    </row>
    <row r="4399" spans="1:1" ht="13.8" x14ac:dyDescent="0.25">
      <c r="A4399" s="8"/>
    </row>
    <row r="4400" spans="1:1" ht="13.8" x14ac:dyDescent="0.25">
      <c r="A4400" s="8"/>
    </row>
    <row r="4401" spans="1:1" ht="13.8" x14ac:dyDescent="0.25">
      <c r="A4401" s="8"/>
    </row>
    <row r="4402" spans="1:1" ht="13.8" x14ac:dyDescent="0.25">
      <c r="A4402" s="8"/>
    </row>
    <row r="4403" spans="1:1" ht="13.8" x14ac:dyDescent="0.25">
      <c r="A4403" s="8"/>
    </row>
    <row r="4404" spans="1:1" ht="13.8" x14ac:dyDescent="0.25">
      <c r="A4404" s="8"/>
    </row>
    <row r="4405" spans="1:1" ht="13.8" x14ac:dyDescent="0.25">
      <c r="A4405" s="8"/>
    </row>
    <row r="4406" spans="1:1" ht="13.8" x14ac:dyDescent="0.25">
      <c r="A4406" s="8"/>
    </row>
    <row r="4407" spans="1:1" ht="13.8" x14ac:dyDescent="0.25">
      <c r="A4407" s="8"/>
    </row>
    <row r="4408" spans="1:1" ht="13.8" x14ac:dyDescent="0.25">
      <c r="A4408" s="8"/>
    </row>
    <row r="4409" spans="1:1" ht="13.8" x14ac:dyDescent="0.25">
      <c r="A4409" s="8"/>
    </row>
    <row r="4410" spans="1:1" ht="13.8" x14ac:dyDescent="0.25">
      <c r="A4410" s="8"/>
    </row>
    <row r="4411" spans="1:1" ht="13.8" x14ac:dyDescent="0.25">
      <c r="A4411" s="8"/>
    </row>
    <row r="4412" spans="1:1" ht="13.8" x14ac:dyDescent="0.25">
      <c r="A4412" s="8"/>
    </row>
    <row r="4413" spans="1:1" ht="13.8" x14ac:dyDescent="0.25">
      <c r="A4413" s="8"/>
    </row>
    <row r="4414" spans="1:1" ht="13.8" x14ac:dyDescent="0.25">
      <c r="A4414" s="8"/>
    </row>
    <row r="4415" spans="1:1" ht="13.8" x14ac:dyDescent="0.25">
      <c r="A4415" s="8"/>
    </row>
    <row r="4416" spans="1:1" ht="13.8" x14ac:dyDescent="0.25">
      <c r="A4416" s="8"/>
    </row>
    <row r="4417" spans="1:1" ht="13.8" x14ac:dyDescent="0.25">
      <c r="A4417" s="8"/>
    </row>
    <row r="4418" spans="1:1" ht="13.8" x14ac:dyDescent="0.25">
      <c r="A4418" s="8"/>
    </row>
    <row r="4419" spans="1:1" ht="13.8" x14ac:dyDescent="0.25">
      <c r="A4419" s="8"/>
    </row>
    <row r="4420" spans="1:1" ht="13.8" x14ac:dyDescent="0.25">
      <c r="A4420" s="8"/>
    </row>
    <row r="4421" spans="1:1" ht="13.8" x14ac:dyDescent="0.25">
      <c r="A4421" s="8"/>
    </row>
    <row r="4422" spans="1:1" ht="13.8" x14ac:dyDescent="0.25">
      <c r="A4422" s="8"/>
    </row>
    <row r="4423" spans="1:1" ht="13.8" x14ac:dyDescent="0.25">
      <c r="A4423" s="8"/>
    </row>
    <row r="4424" spans="1:1" ht="13.8" x14ac:dyDescent="0.25">
      <c r="A4424" s="8"/>
    </row>
    <row r="4425" spans="1:1" ht="13.8" x14ac:dyDescent="0.25">
      <c r="A4425" s="8"/>
    </row>
    <row r="4426" spans="1:1" ht="13.8" x14ac:dyDescent="0.25">
      <c r="A4426" s="8"/>
    </row>
    <row r="4427" spans="1:1" ht="13.8" x14ac:dyDescent="0.25">
      <c r="A4427" s="8"/>
    </row>
    <row r="4428" spans="1:1" ht="13.8" x14ac:dyDescent="0.25">
      <c r="A4428" s="8"/>
    </row>
    <row r="4429" spans="1:1" ht="13.8" x14ac:dyDescent="0.25">
      <c r="A4429" s="8"/>
    </row>
    <row r="4430" spans="1:1" ht="13.8" x14ac:dyDescent="0.25">
      <c r="A4430" s="8"/>
    </row>
    <row r="4431" spans="1:1" ht="13.8" x14ac:dyDescent="0.25">
      <c r="A4431" s="8"/>
    </row>
    <row r="4432" spans="1:1" ht="13.8" x14ac:dyDescent="0.25">
      <c r="A4432" s="8"/>
    </row>
    <row r="4433" spans="1:1" ht="13.8" x14ac:dyDescent="0.25">
      <c r="A4433" s="8"/>
    </row>
    <row r="4434" spans="1:1" ht="13.8" x14ac:dyDescent="0.25">
      <c r="A4434" s="8"/>
    </row>
    <row r="4435" spans="1:1" ht="13.8" x14ac:dyDescent="0.25">
      <c r="A4435" s="8"/>
    </row>
    <row r="4436" spans="1:1" ht="13.8" x14ac:dyDescent="0.25">
      <c r="A4436" s="8"/>
    </row>
    <row r="4437" spans="1:1" ht="13.8" x14ac:dyDescent="0.25">
      <c r="A4437" s="8"/>
    </row>
    <row r="4438" spans="1:1" ht="13.8" x14ac:dyDescent="0.25">
      <c r="A4438" s="8"/>
    </row>
    <row r="4439" spans="1:1" ht="13.8" x14ac:dyDescent="0.25">
      <c r="A4439" s="8"/>
    </row>
    <row r="4440" spans="1:1" ht="13.8" x14ac:dyDescent="0.25">
      <c r="A4440" s="8"/>
    </row>
    <row r="4441" spans="1:1" ht="13.8" x14ac:dyDescent="0.25">
      <c r="A4441" s="8"/>
    </row>
    <row r="4442" spans="1:1" ht="13.8" x14ac:dyDescent="0.25">
      <c r="A4442" s="8"/>
    </row>
    <row r="4443" spans="1:1" ht="13.8" x14ac:dyDescent="0.25">
      <c r="A4443" s="8"/>
    </row>
    <row r="4444" spans="1:1" ht="13.8" x14ac:dyDescent="0.25">
      <c r="A4444" s="8"/>
    </row>
    <row r="4445" spans="1:1" ht="13.8" x14ac:dyDescent="0.25">
      <c r="A4445" s="8"/>
    </row>
    <row r="4446" spans="1:1" ht="13.8" x14ac:dyDescent="0.25">
      <c r="A4446" s="8"/>
    </row>
    <row r="4447" spans="1:1" ht="13.8" x14ac:dyDescent="0.25">
      <c r="A4447" s="8"/>
    </row>
    <row r="4448" spans="1:1" ht="13.8" x14ac:dyDescent="0.25">
      <c r="A4448" s="8"/>
    </row>
    <row r="4449" spans="1:1" ht="13.8" x14ac:dyDescent="0.25">
      <c r="A4449" s="8"/>
    </row>
    <row r="4450" spans="1:1" ht="13.8" x14ac:dyDescent="0.25">
      <c r="A4450" s="8"/>
    </row>
    <row r="4451" spans="1:1" ht="13.8" x14ac:dyDescent="0.25">
      <c r="A4451" s="8"/>
    </row>
    <row r="4452" spans="1:1" ht="13.8" x14ac:dyDescent="0.25">
      <c r="A4452" s="8"/>
    </row>
    <row r="4453" spans="1:1" ht="13.8" x14ac:dyDescent="0.25">
      <c r="A4453" s="8"/>
    </row>
    <row r="4454" spans="1:1" ht="13.8" x14ac:dyDescent="0.25">
      <c r="A4454" s="8"/>
    </row>
    <row r="4455" spans="1:1" ht="13.8" x14ac:dyDescent="0.25">
      <c r="A4455" s="8"/>
    </row>
    <row r="4456" spans="1:1" ht="13.8" x14ac:dyDescent="0.25">
      <c r="A4456" s="8"/>
    </row>
    <row r="4457" spans="1:1" ht="13.8" x14ac:dyDescent="0.25">
      <c r="A4457" s="8"/>
    </row>
    <row r="4458" spans="1:1" ht="13.8" x14ac:dyDescent="0.25">
      <c r="A4458" s="8"/>
    </row>
    <row r="4459" spans="1:1" ht="13.8" x14ac:dyDescent="0.25">
      <c r="A4459" s="8"/>
    </row>
    <row r="4460" spans="1:1" ht="13.8" x14ac:dyDescent="0.25">
      <c r="A4460" s="8"/>
    </row>
    <row r="4461" spans="1:1" ht="13.8" x14ac:dyDescent="0.25">
      <c r="A4461" s="8"/>
    </row>
    <row r="4462" spans="1:1" ht="13.8" x14ac:dyDescent="0.25">
      <c r="A4462" s="8"/>
    </row>
    <row r="4463" spans="1:1" ht="13.8" x14ac:dyDescent="0.25">
      <c r="A4463" s="8"/>
    </row>
    <row r="4464" spans="1:1" ht="13.8" x14ac:dyDescent="0.25">
      <c r="A4464" s="8"/>
    </row>
    <row r="4465" spans="1:1" ht="13.8" x14ac:dyDescent="0.25">
      <c r="A4465" s="8"/>
    </row>
    <row r="4466" spans="1:1" ht="13.8" x14ac:dyDescent="0.25">
      <c r="A4466" s="8"/>
    </row>
    <row r="4467" spans="1:1" ht="13.8" x14ac:dyDescent="0.25">
      <c r="A4467" s="8"/>
    </row>
    <row r="4468" spans="1:1" ht="13.8" x14ac:dyDescent="0.25">
      <c r="A4468" s="8"/>
    </row>
    <row r="4469" spans="1:1" ht="13.8" x14ac:dyDescent="0.25">
      <c r="A4469" s="8"/>
    </row>
    <row r="4470" spans="1:1" ht="13.8" x14ac:dyDescent="0.25">
      <c r="A4470" s="8"/>
    </row>
    <row r="4471" spans="1:1" ht="13.8" x14ac:dyDescent="0.25">
      <c r="A4471" s="8"/>
    </row>
    <row r="4472" spans="1:1" ht="13.8" x14ac:dyDescent="0.25">
      <c r="A4472" s="8"/>
    </row>
    <row r="4473" spans="1:1" ht="13.8" x14ac:dyDescent="0.25">
      <c r="A4473" s="8"/>
    </row>
    <row r="4474" spans="1:1" ht="13.8" x14ac:dyDescent="0.25">
      <c r="A4474" s="8"/>
    </row>
    <row r="4475" spans="1:1" ht="13.8" x14ac:dyDescent="0.25">
      <c r="A4475" s="8"/>
    </row>
    <row r="4476" spans="1:1" ht="13.8" x14ac:dyDescent="0.25">
      <c r="A4476" s="8"/>
    </row>
    <row r="4477" spans="1:1" ht="13.8" x14ac:dyDescent="0.25">
      <c r="A4477" s="8"/>
    </row>
    <row r="4478" spans="1:1" ht="13.8" x14ac:dyDescent="0.25">
      <c r="A4478" s="8"/>
    </row>
    <row r="4479" spans="1:1" ht="13.8" x14ac:dyDescent="0.25">
      <c r="A4479" s="8"/>
    </row>
    <row r="4480" spans="1:1" ht="13.8" x14ac:dyDescent="0.25">
      <c r="A4480" s="8"/>
    </row>
    <row r="4481" spans="1:1" ht="13.8" x14ac:dyDescent="0.25">
      <c r="A4481" s="8"/>
    </row>
    <row r="4482" spans="1:1" ht="13.8" x14ac:dyDescent="0.25">
      <c r="A4482" s="8"/>
    </row>
    <row r="4483" spans="1:1" ht="13.8" x14ac:dyDescent="0.25">
      <c r="A4483" s="8"/>
    </row>
    <row r="4484" spans="1:1" ht="13.8" x14ac:dyDescent="0.25">
      <c r="A4484" s="8"/>
    </row>
    <row r="4485" spans="1:1" ht="13.8" x14ac:dyDescent="0.25">
      <c r="A4485" s="8"/>
    </row>
    <row r="4486" spans="1:1" ht="13.8" x14ac:dyDescent="0.25">
      <c r="A4486" s="8"/>
    </row>
    <row r="4487" spans="1:1" ht="13.8" x14ac:dyDescent="0.25">
      <c r="A4487" s="8"/>
    </row>
    <row r="4488" spans="1:1" ht="13.8" x14ac:dyDescent="0.25">
      <c r="A4488" s="8"/>
    </row>
    <row r="4489" spans="1:1" ht="13.8" x14ac:dyDescent="0.25">
      <c r="A4489" s="8"/>
    </row>
    <row r="4490" spans="1:1" ht="13.8" x14ac:dyDescent="0.25">
      <c r="A4490" s="8"/>
    </row>
    <row r="4491" spans="1:1" ht="13.8" x14ac:dyDescent="0.25">
      <c r="A4491" s="8"/>
    </row>
    <row r="4492" spans="1:1" ht="13.8" x14ac:dyDescent="0.25">
      <c r="A4492" s="8"/>
    </row>
    <row r="4493" spans="1:1" ht="13.8" x14ac:dyDescent="0.25">
      <c r="A4493" s="8"/>
    </row>
    <row r="4494" spans="1:1" ht="13.8" x14ac:dyDescent="0.25">
      <c r="A4494" s="8"/>
    </row>
    <row r="4495" spans="1:1" ht="13.8" x14ac:dyDescent="0.25">
      <c r="A4495" s="8"/>
    </row>
    <row r="4496" spans="1:1" ht="13.8" x14ac:dyDescent="0.25">
      <c r="A4496" s="8"/>
    </row>
    <row r="4497" spans="1:1" ht="13.8" x14ac:dyDescent="0.25">
      <c r="A4497" s="8"/>
    </row>
    <row r="4498" spans="1:1" ht="13.8" x14ac:dyDescent="0.25">
      <c r="A4498" s="8"/>
    </row>
    <row r="4499" spans="1:1" ht="13.8" x14ac:dyDescent="0.25">
      <c r="A4499" s="8"/>
    </row>
    <row r="4500" spans="1:1" ht="13.8" x14ac:dyDescent="0.25">
      <c r="A4500" s="8"/>
    </row>
    <row r="4501" spans="1:1" ht="13.8" x14ac:dyDescent="0.25">
      <c r="A4501" s="8"/>
    </row>
    <row r="4502" spans="1:1" ht="13.8" x14ac:dyDescent="0.25">
      <c r="A4502" s="8"/>
    </row>
    <row r="4503" spans="1:1" ht="13.8" x14ac:dyDescent="0.25">
      <c r="A4503" s="8"/>
    </row>
    <row r="4504" spans="1:1" ht="13.8" x14ac:dyDescent="0.25">
      <c r="A4504" s="8"/>
    </row>
    <row r="4505" spans="1:1" ht="13.8" x14ac:dyDescent="0.25">
      <c r="A4505" s="8"/>
    </row>
    <row r="4506" spans="1:1" ht="13.8" x14ac:dyDescent="0.25">
      <c r="A4506" s="8"/>
    </row>
    <row r="4507" spans="1:1" ht="13.8" x14ac:dyDescent="0.25">
      <c r="A4507" s="8"/>
    </row>
    <row r="4508" spans="1:1" ht="13.8" x14ac:dyDescent="0.25">
      <c r="A4508" s="8"/>
    </row>
    <row r="4509" spans="1:1" ht="13.8" x14ac:dyDescent="0.25">
      <c r="A4509" s="8"/>
    </row>
    <row r="4510" spans="1:1" ht="13.8" x14ac:dyDescent="0.25">
      <c r="A4510" s="8"/>
    </row>
    <row r="4511" spans="1:1" ht="13.8" x14ac:dyDescent="0.25">
      <c r="A4511" s="8"/>
    </row>
    <row r="4512" spans="1:1" ht="13.8" x14ac:dyDescent="0.25">
      <c r="A4512" s="8"/>
    </row>
    <row r="4513" spans="1:1" ht="13.8" x14ac:dyDescent="0.25">
      <c r="A4513" s="8"/>
    </row>
    <row r="4514" spans="1:1" ht="13.8" x14ac:dyDescent="0.25">
      <c r="A4514" s="8"/>
    </row>
    <row r="4515" spans="1:1" ht="13.8" x14ac:dyDescent="0.25">
      <c r="A4515" s="8"/>
    </row>
    <row r="4516" spans="1:1" ht="13.8" x14ac:dyDescent="0.25">
      <c r="A4516" s="8"/>
    </row>
    <row r="4517" spans="1:1" ht="13.8" x14ac:dyDescent="0.25">
      <c r="A4517" s="8"/>
    </row>
    <row r="4518" spans="1:1" ht="13.8" x14ac:dyDescent="0.25">
      <c r="A4518" s="8"/>
    </row>
    <row r="4519" spans="1:1" ht="13.8" x14ac:dyDescent="0.25">
      <c r="A4519" s="8"/>
    </row>
    <row r="4520" spans="1:1" ht="13.8" x14ac:dyDescent="0.25">
      <c r="A4520" s="8"/>
    </row>
    <row r="4521" spans="1:1" ht="13.8" x14ac:dyDescent="0.25">
      <c r="A4521" s="8"/>
    </row>
    <row r="4522" spans="1:1" ht="13.8" x14ac:dyDescent="0.25">
      <c r="A4522" s="8"/>
    </row>
    <row r="4523" spans="1:1" ht="13.8" x14ac:dyDescent="0.25">
      <c r="A4523" s="8"/>
    </row>
    <row r="4524" spans="1:1" ht="13.8" x14ac:dyDescent="0.25">
      <c r="A4524" s="8"/>
    </row>
    <row r="4525" spans="1:1" ht="13.8" x14ac:dyDescent="0.25">
      <c r="A4525" s="8"/>
    </row>
    <row r="4526" spans="1:1" ht="13.8" x14ac:dyDescent="0.25">
      <c r="A4526" s="8"/>
    </row>
    <row r="4527" spans="1:1" ht="13.8" x14ac:dyDescent="0.25">
      <c r="A4527" s="8"/>
    </row>
    <row r="4528" spans="1:1" ht="13.8" x14ac:dyDescent="0.25">
      <c r="A4528" s="8"/>
    </row>
    <row r="4529" spans="1:1" ht="13.8" x14ac:dyDescent="0.25">
      <c r="A4529" s="8"/>
    </row>
    <row r="4530" spans="1:1" ht="13.8" x14ac:dyDescent="0.25">
      <c r="A4530" s="8"/>
    </row>
    <row r="4531" spans="1:1" ht="13.8" x14ac:dyDescent="0.25">
      <c r="A4531" s="8"/>
    </row>
    <row r="4532" spans="1:1" ht="13.8" x14ac:dyDescent="0.25">
      <c r="A4532" s="8"/>
    </row>
    <row r="4533" spans="1:1" ht="13.8" x14ac:dyDescent="0.25">
      <c r="A4533" s="8"/>
    </row>
    <row r="4534" spans="1:1" ht="13.8" x14ac:dyDescent="0.25">
      <c r="A4534" s="8"/>
    </row>
    <row r="4535" spans="1:1" ht="13.8" x14ac:dyDescent="0.25">
      <c r="A4535" s="8"/>
    </row>
    <row r="4536" spans="1:1" ht="13.8" x14ac:dyDescent="0.25">
      <c r="A4536" s="8"/>
    </row>
    <row r="4537" spans="1:1" ht="13.8" x14ac:dyDescent="0.25">
      <c r="A4537" s="8"/>
    </row>
    <row r="4538" spans="1:1" ht="13.8" x14ac:dyDescent="0.25">
      <c r="A4538" s="8"/>
    </row>
    <row r="4539" spans="1:1" ht="13.8" x14ac:dyDescent="0.25">
      <c r="A4539" s="8"/>
    </row>
    <row r="4540" spans="1:1" ht="13.8" x14ac:dyDescent="0.25">
      <c r="A4540" s="8"/>
    </row>
    <row r="4541" spans="1:1" ht="13.8" x14ac:dyDescent="0.25">
      <c r="A4541" s="8"/>
    </row>
    <row r="4542" spans="1:1" ht="13.8" x14ac:dyDescent="0.25">
      <c r="A4542" s="8"/>
    </row>
    <row r="4543" spans="1:1" ht="13.8" x14ac:dyDescent="0.25">
      <c r="A4543" s="8"/>
    </row>
    <row r="4544" spans="1:1" ht="13.8" x14ac:dyDescent="0.25">
      <c r="A4544" s="8"/>
    </row>
    <row r="4545" spans="1:1" ht="13.8" x14ac:dyDescent="0.25">
      <c r="A4545" s="8"/>
    </row>
    <row r="4546" spans="1:1" ht="13.8" x14ac:dyDescent="0.25">
      <c r="A4546" s="8"/>
    </row>
    <row r="4547" spans="1:1" ht="13.8" x14ac:dyDescent="0.25">
      <c r="A4547" s="8"/>
    </row>
    <row r="4548" spans="1:1" ht="13.8" x14ac:dyDescent="0.25">
      <c r="A4548" s="8"/>
    </row>
    <row r="4549" spans="1:1" ht="13.8" x14ac:dyDescent="0.25">
      <c r="A4549" s="8"/>
    </row>
    <row r="4550" spans="1:1" ht="13.8" x14ac:dyDescent="0.25">
      <c r="A4550" s="8"/>
    </row>
    <row r="4551" spans="1:1" ht="13.8" x14ac:dyDescent="0.25">
      <c r="A4551" s="8"/>
    </row>
    <row r="4552" spans="1:1" ht="13.8" x14ac:dyDescent="0.25">
      <c r="A4552" s="8"/>
    </row>
    <row r="4553" spans="1:1" ht="13.8" x14ac:dyDescent="0.25">
      <c r="A4553" s="8"/>
    </row>
    <row r="4554" spans="1:1" ht="13.8" x14ac:dyDescent="0.25">
      <c r="A4554" s="8"/>
    </row>
    <row r="4555" spans="1:1" ht="13.8" x14ac:dyDescent="0.25">
      <c r="A4555" s="8"/>
    </row>
    <row r="4556" spans="1:1" ht="13.8" x14ac:dyDescent="0.25">
      <c r="A4556" s="8"/>
    </row>
    <row r="4557" spans="1:1" ht="13.8" x14ac:dyDescent="0.25">
      <c r="A4557" s="8"/>
    </row>
    <row r="4558" spans="1:1" ht="13.8" x14ac:dyDescent="0.25">
      <c r="A4558" s="8"/>
    </row>
    <row r="4559" spans="1:1" ht="13.8" x14ac:dyDescent="0.25">
      <c r="A4559" s="8"/>
    </row>
    <row r="4560" spans="1:1" ht="13.8" x14ac:dyDescent="0.25">
      <c r="A4560" s="8"/>
    </row>
    <row r="4561" spans="1:1" ht="13.8" x14ac:dyDescent="0.25">
      <c r="A4561" s="8"/>
    </row>
    <row r="4562" spans="1:1" ht="13.8" x14ac:dyDescent="0.25">
      <c r="A4562" s="8"/>
    </row>
    <row r="4563" spans="1:1" ht="13.8" x14ac:dyDescent="0.25">
      <c r="A4563" s="8"/>
    </row>
    <row r="4564" spans="1:1" ht="13.8" x14ac:dyDescent="0.25">
      <c r="A4564" s="8"/>
    </row>
    <row r="4565" spans="1:1" ht="13.8" x14ac:dyDescent="0.25">
      <c r="A4565" s="8"/>
    </row>
    <row r="4566" spans="1:1" ht="13.8" x14ac:dyDescent="0.25">
      <c r="A4566" s="8"/>
    </row>
    <row r="4567" spans="1:1" ht="13.8" x14ac:dyDescent="0.25">
      <c r="A4567" s="8"/>
    </row>
    <row r="4568" spans="1:1" ht="13.8" x14ac:dyDescent="0.25">
      <c r="A4568" s="8"/>
    </row>
    <row r="4569" spans="1:1" ht="13.8" x14ac:dyDescent="0.25">
      <c r="A4569" s="8"/>
    </row>
    <row r="4570" spans="1:1" ht="13.8" x14ac:dyDescent="0.25">
      <c r="A4570" s="8"/>
    </row>
    <row r="4571" spans="1:1" ht="13.8" x14ac:dyDescent="0.25">
      <c r="A4571" s="8"/>
    </row>
    <row r="4572" spans="1:1" ht="13.8" x14ac:dyDescent="0.25">
      <c r="A4572" s="8"/>
    </row>
    <row r="4573" spans="1:1" ht="13.8" x14ac:dyDescent="0.25">
      <c r="A4573" s="8"/>
    </row>
    <row r="4574" spans="1:1" ht="13.8" x14ac:dyDescent="0.25">
      <c r="A4574" s="8"/>
    </row>
    <row r="4575" spans="1:1" ht="13.8" x14ac:dyDescent="0.25">
      <c r="A4575" s="8"/>
    </row>
    <row r="4576" spans="1:1" ht="13.8" x14ac:dyDescent="0.25">
      <c r="A4576" s="8"/>
    </row>
    <row r="4577" spans="1:1" ht="13.8" x14ac:dyDescent="0.25">
      <c r="A4577" s="8"/>
    </row>
    <row r="4578" spans="1:1" ht="13.8" x14ac:dyDescent="0.25">
      <c r="A4578" s="8"/>
    </row>
    <row r="4579" spans="1:1" ht="13.8" x14ac:dyDescent="0.25">
      <c r="A4579" s="8"/>
    </row>
    <row r="4580" spans="1:1" ht="13.8" x14ac:dyDescent="0.25">
      <c r="A4580" s="8"/>
    </row>
    <row r="4581" spans="1:1" ht="13.8" x14ac:dyDescent="0.25">
      <c r="A4581" s="8"/>
    </row>
    <row r="4582" spans="1:1" ht="13.8" x14ac:dyDescent="0.25">
      <c r="A4582" s="8"/>
    </row>
    <row r="4583" spans="1:1" ht="13.8" x14ac:dyDescent="0.25">
      <c r="A4583" s="8"/>
    </row>
    <row r="4584" spans="1:1" ht="13.8" x14ac:dyDescent="0.25">
      <c r="A4584" s="8"/>
    </row>
    <row r="4585" spans="1:1" ht="13.8" x14ac:dyDescent="0.25">
      <c r="A4585" s="8"/>
    </row>
    <row r="4586" spans="1:1" ht="13.8" x14ac:dyDescent="0.25">
      <c r="A4586" s="8"/>
    </row>
    <row r="4587" spans="1:1" ht="13.8" x14ac:dyDescent="0.25">
      <c r="A4587" s="8"/>
    </row>
    <row r="4588" spans="1:1" ht="13.8" x14ac:dyDescent="0.25">
      <c r="A4588" s="8"/>
    </row>
    <row r="4589" spans="1:1" ht="13.8" x14ac:dyDescent="0.25">
      <c r="A4589" s="8"/>
    </row>
    <row r="4590" spans="1:1" ht="13.8" x14ac:dyDescent="0.25">
      <c r="A4590" s="8"/>
    </row>
    <row r="4591" spans="1:1" ht="13.8" x14ac:dyDescent="0.25">
      <c r="A4591" s="8"/>
    </row>
    <row r="4592" spans="1:1" ht="13.8" x14ac:dyDescent="0.25">
      <c r="A4592" s="8"/>
    </row>
    <row r="4593" spans="1:1" ht="13.8" x14ac:dyDescent="0.25">
      <c r="A4593" s="8"/>
    </row>
    <row r="4594" spans="1:1" ht="13.8" x14ac:dyDescent="0.25">
      <c r="A4594" s="8"/>
    </row>
    <row r="4595" spans="1:1" ht="13.8" x14ac:dyDescent="0.25">
      <c r="A4595" s="8"/>
    </row>
    <row r="4596" spans="1:1" ht="13.8" x14ac:dyDescent="0.25">
      <c r="A4596" s="8"/>
    </row>
    <row r="4597" spans="1:1" ht="13.8" x14ac:dyDescent="0.25">
      <c r="A4597" s="8"/>
    </row>
    <row r="4598" spans="1:1" ht="13.8" x14ac:dyDescent="0.25">
      <c r="A4598" s="8"/>
    </row>
    <row r="4599" spans="1:1" ht="13.8" x14ac:dyDescent="0.25">
      <c r="A4599" s="8"/>
    </row>
    <row r="4600" spans="1:1" ht="13.8" x14ac:dyDescent="0.25">
      <c r="A4600" s="8"/>
    </row>
    <row r="4601" spans="1:1" ht="13.8" x14ac:dyDescent="0.25">
      <c r="A4601" s="8"/>
    </row>
    <row r="4602" spans="1:1" ht="13.8" x14ac:dyDescent="0.25">
      <c r="A4602" s="8"/>
    </row>
    <row r="4603" spans="1:1" ht="13.8" x14ac:dyDescent="0.25">
      <c r="A4603" s="8"/>
    </row>
    <row r="4604" spans="1:1" ht="13.8" x14ac:dyDescent="0.25">
      <c r="A4604" s="8"/>
    </row>
    <row r="4605" spans="1:1" ht="13.8" x14ac:dyDescent="0.25">
      <c r="A4605" s="8"/>
    </row>
    <row r="4606" spans="1:1" ht="13.8" x14ac:dyDescent="0.25">
      <c r="A4606" s="8"/>
    </row>
    <row r="4607" spans="1:1" ht="13.8" x14ac:dyDescent="0.25">
      <c r="A4607" s="8"/>
    </row>
    <row r="4608" spans="1:1" ht="13.8" x14ac:dyDescent="0.25">
      <c r="A4608" s="8"/>
    </row>
    <row r="4609" spans="1:1" ht="13.8" x14ac:dyDescent="0.25">
      <c r="A4609" s="8"/>
    </row>
    <row r="4610" spans="1:1" ht="13.8" x14ac:dyDescent="0.25">
      <c r="A4610" s="8"/>
    </row>
    <row r="4611" spans="1:1" ht="13.8" x14ac:dyDescent="0.25">
      <c r="A4611" s="8"/>
    </row>
    <row r="4612" spans="1:1" ht="13.8" x14ac:dyDescent="0.25">
      <c r="A4612" s="8"/>
    </row>
    <row r="4613" spans="1:1" ht="13.8" x14ac:dyDescent="0.25">
      <c r="A4613" s="8"/>
    </row>
    <row r="4614" spans="1:1" ht="13.8" x14ac:dyDescent="0.25">
      <c r="A4614" s="8"/>
    </row>
    <row r="4615" spans="1:1" ht="13.8" x14ac:dyDescent="0.25">
      <c r="A4615" s="8"/>
    </row>
    <row r="4616" spans="1:1" ht="13.8" x14ac:dyDescent="0.25">
      <c r="A4616" s="8"/>
    </row>
    <row r="4617" spans="1:1" ht="13.8" x14ac:dyDescent="0.25">
      <c r="A4617" s="8"/>
    </row>
    <row r="4618" spans="1:1" ht="13.8" x14ac:dyDescent="0.25">
      <c r="A4618" s="8"/>
    </row>
    <row r="4619" spans="1:1" ht="13.8" x14ac:dyDescent="0.25">
      <c r="A4619" s="8"/>
    </row>
    <row r="4620" spans="1:1" ht="13.8" x14ac:dyDescent="0.25">
      <c r="A4620" s="8"/>
    </row>
    <row r="4621" spans="1:1" ht="13.8" x14ac:dyDescent="0.25">
      <c r="A4621" s="8"/>
    </row>
    <row r="4622" spans="1:1" ht="13.8" x14ac:dyDescent="0.25">
      <c r="A4622" s="8"/>
    </row>
    <row r="4623" spans="1:1" ht="13.8" x14ac:dyDescent="0.25">
      <c r="A4623" s="8"/>
    </row>
    <row r="4624" spans="1:1" ht="13.8" x14ac:dyDescent="0.25">
      <c r="A4624" s="8"/>
    </row>
    <row r="4625" spans="1:1" ht="13.8" x14ac:dyDescent="0.25">
      <c r="A4625" s="8"/>
    </row>
    <row r="4626" spans="1:1" ht="13.8" x14ac:dyDescent="0.25">
      <c r="A4626" s="8"/>
    </row>
    <row r="4627" spans="1:1" ht="13.8" x14ac:dyDescent="0.25">
      <c r="A4627" s="8"/>
    </row>
    <row r="4628" spans="1:1" ht="13.8" x14ac:dyDescent="0.25">
      <c r="A4628" s="8"/>
    </row>
    <row r="4629" spans="1:1" ht="13.8" x14ac:dyDescent="0.25">
      <c r="A4629" s="8"/>
    </row>
    <row r="4630" spans="1:1" ht="13.8" x14ac:dyDescent="0.25">
      <c r="A4630" s="8"/>
    </row>
    <row r="4631" spans="1:1" ht="13.8" x14ac:dyDescent="0.25">
      <c r="A4631" s="8"/>
    </row>
    <row r="4632" spans="1:1" ht="13.8" x14ac:dyDescent="0.25">
      <c r="A4632" s="8"/>
    </row>
    <row r="4633" spans="1:1" ht="13.8" x14ac:dyDescent="0.25">
      <c r="A4633" s="8"/>
    </row>
    <row r="4634" spans="1:1" ht="13.8" x14ac:dyDescent="0.25">
      <c r="A4634" s="8"/>
    </row>
    <row r="4635" spans="1:1" ht="13.8" x14ac:dyDescent="0.25">
      <c r="A4635" s="8"/>
    </row>
    <row r="4636" spans="1:1" ht="13.8" x14ac:dyDescent="0.25">
      <c r="A4636" s="8"/>
    </row>
    <row r="4637" spans="1:1" ht="13.8" x14ac:dyDescent="0.25">
      <c r="A4637" s="8"/>
    </row>
    <row r="4638" spans="1:1" ht="13.8" x14ac:dyDescent="0.25">
      <c r="A4638" s="8"/>
    </row>
    <row r="4639" spans="1:1" ht="13.8" x14ac:dyDescent="0.25">
      <c r="A4639" s="8"/>
    </row>
    <row r="4640" spans="1:1" ht="13.8" x14ac:dyDescent="0.25">
      <c r="A4640" s="8"/>
    </row>
    <row r="4641" spans="1:1" ht="13.8" x14ac:dyDescent="0.25">
      <c r="A4641" s="8"/>
    </row>
    <row r="4642" spans="1:1" ht="13.8" x14ac:dyDescent="0.25">
      <c r="A4642" s="8"/>
    </row>
    <row r="4643" spans="1:1" ht="13.8" x14ac:dyDescent="0.25">
      <c r="A4643" s="8"/>
    </row>
    <row r="4644" spans="1:1" ht="13.8" x14ac:dyDescent="0.25">
      <c r="A4644" s="8"/>
    </row>
    <row r="4645" spans="1:1" ht="13.8" x14ac:dyDescent="0.25">
      <c r="A4645" s="8"/>
    </row>
    <row r="4646" spans="1:1" ht="13.8" x14ac:dyDescent="0.25">
      <c r="A4646" s="8"/>
    </row>
    <row r="4647" spans="1:1" ht="13.8" x14ac:dyDescent="0.25">
      <c r="A4647" s="8"/>
    </row>
    <row r="4648" spans="1:1" ht="13.8" x14ac:dyDescent="0.25">
      <c r="A4648" s="8"/>
    </row>
    <row r="4649" spans="1:1" ht="13.8" x14ac:dyDescent="0.25">
      <c r="A4649" s="8"/>
    </row>
    <row r="4650" spans="1:1" ht="13.8" x14ac:dyDescent="0.25">
      <c r="A4650" s="8"/>
    </row>
    <row r="4651" spans="1:1" ht="13.8" x14ac:dyDescent="0.25">
      <c r="A4651" s="8"/>
    </row>
    <row r="4652" spans="1:1" ht="13.8" x14ac:dyDescent="0.25">
      <c r="A4652" s="8"/>
    </row>
    <row r="4653" spans="1:1" ht="13.8" x14ac:dyDescent="0.25">
      <c r="A4653" s="8"/>
    </row>
    <row r="4654" spans="1:1" ht="13.8" x14ac:dyDescent="0.25">
      <c r="A4654" s="8"/>
    </row>
    <row r="4655" spans="1:1" ht="13.8" x14ac:dyDescent="0.25">
      <c r="A4655" s="8"/>
    </row>
    <row r="4656" spans="1:1" ht="13.8" x14ac:dyDescent="0.25">
      <c r="A4656" s="8"/>
    </row>
    <row r="4657" spans="1:1" ht="13.8" x14ac:dyDescent="0.25">
      <c r="A4657" s="8"/>
    </row>
    <row r="4658" spans="1:1" ht="13.8" x14ac:dyDescent="0.25">
      <c r="A4658" s="8"/>
    </row>
    <row r="4659" spans="1:1" ht="13.8" x14ac:dyDescent="0.25">
      <c r="A4659" s="8"/>
    </row>
    <row r="4660" spans="1:1" ht="13.8" x14ac:dyDescent="0.25">
      <c r="A4660" s="8"/>
    </row>
    <row r="4661" spans="1:1" ht="13.8" x14ac:dyDescent="0.25">
      <c r="A4661" s="8"/>
    </row>
    <row r="4662" spans="1:1" ht="13.8" x14ac:dyDescent="0.25">
      <c r="A4662" s="8"/>
    </row>
    <row r="4663" spans="1:1" ht="13.8" x14ac:dyDescent="0.25">
      <c r="A4663" s="8"/>
    </row>
    <row r="4664" spans="1:1" ht="13.8" x14ac:dyDescent="0.25">
      <c r="A4664" s="8"/>
    </row>
    <row r="4665" spans="1:1" ht="13.8" x14ac:dyDescent="0.25">
      <c r="A4665" s="8"/>
    </row>
    <row r="4666" spans="1:1" ht="13.8" x14ac:dyDescent="0.25">
      <c r="A4666" s="8"/>
    </row>
    <row r="4667" spans="1:1" ht="13.8" x14ac:dyDescent="0.25">
      <c r="A4667" s="8"/>
    </row>
    <row r="4668" spans="1:1" ht="13.8" x14ac:dyDescent="0.25">
      <c r="A4668" s="8"/>
    </row>
    <row r="4669" spans="1:1" ht="13.8" x14ac:dyDescent="0.25">
      <c r="A4669" s="8"/>
    </row>
    <row r="4670" spans="1:1" ht="13.8" x14ac:dyDescent="0.25">
      <c r="A4670" s="8"/>
    </row>
    <row r="4671" spans="1:1" ht="13.8" x14ac:dyDescent="0.25">
      <c r="A4671" s="8"/>
    </row>
    <row r="4672" spans="1:1" ht="13.8" x14ac:dyDescent="0.25">
      <c r="A4672" s="8"/>
    </row>
    <row r="4673" spans="1:1" ht="13.8" x14ac:dyDescent="0.25">
      <c r="A4673" s="8"/>
    </row>
    <row r="4674" spans="1:1" ht="13.8" x14ac:dyDescent="0.25">
      <c r="A4674" s="8"/>
    </row>
    <row r="4675" spans="1:1" ht="13.8" x14ac:dyDescent="0.25">
      <c r="A4675" s="8"/>
    </row>
    <row r="4676" spans="1:1" ht="13.8" x14ac:dyDescent="0.25">
      <c r="A4676" s="8"/>
    </row>
    <row r="4677" spans="1:1" ht="13.8" x14ac:dyDescent="0.25">
      <c r="A4677" s="8"/>
    </row>
    <row r="4678" spans="1:1" ht="13.8" x14ac:dyDescent="0.25">
      <c r="A4678" s="8"/>
    </row>
    <row r="4679" spans="1:1" ht="13.8" x14ac:dyDescent="0.25">
      <c r="A4679" s="8"/>
    </row>
    <row r="4680" spans="1:1" ht="13.8" x14ac:dyDescent="0.25">
      <c r="A4680" s="8"/>
    </row>
    <row r="4681" spans="1:1" ht="13.8" x14ac:dyDescent="0.25">
      <c r="A4681" s="8"/>
    </row>
    <row r="4682" spans="1:1" ht="13.8" x14ac:dyDescent="0.25">
      <c r="A4682" s="8"/>
    </row>
    <row r="4683" spans="1:1" ht="13.8" x14ac:dyDescent="0.25">
      <c r="A4683" s="8"/>
    </row>
    <row r="4684" spans="1:1" ht="13.8" x14ac:dyDescent="0.25">
      <c r="A4684" s="8"/>
    </row>
    <row r="4685" spans="1:1" ht="13.8" x14ac:dyDescent="0.25">
      <c r="A4685" s="8"/>
    </row>
    <row r="4686" spans="1:1" ht="13.8" x14ac:dyDescent="0.25">
      <c r="A4686" s="8"/>
    </row>
    <row r="4687" spans="1:1" ht="13.8" x14ac:dyDescent="0.25">
      <c r="A4687" s="8"/>
    </row>
    <row r="4688" spans="1:1" ht="13.8" x14ac:dyDescent="0.25">
      <c r="A4688" s="8"/>
    </row>
    <row r="4689" spans="1:1" ht="13.8" x14ac:dyDescent="0.25">
      <c r="A4689" s="8"/>
    </row>
    <row r="4690" spans="1:1" ht="13.8" x14ac:dyDescent="0.25">
      <c r="A4690" s="8"/>
    </row>
    <row r="4691" spans="1:1" ht="13.8" x14ac:dyDescent="0.25">
      <c r="A4691" s="8"/>
    </row>
    <row r="4692" spans="1:1" ht="13.8" x14ac:dyDescent="0.25">
      <c r="A4692" s="8"/>
    </row>
    <row r="4693" spans="1:1" ht="13.8" x14ac:dyDescent="0.25">
      <c r="A4693" s="8"/>
    </row>
    <row r="4694" spans="1:1" ht="13.8" x14ac:dyDescent="0.25">
      <c r="A4694" s="8"/>
    </row>
    <row r="4695" spans="1:1" ht="13.8" x14ac:dyDescent="0.25">
      <c r="A4695" s="8"/>
    </row>
    <row r="4696" spans="1:1" ht="13.8" x14ac:dyDescent="0.25">
      <c r="A4696" s="8"/>
    </row>
    <row r="4697" spans="1:1" ht="13.8" x14ac:dyDescent="0.25">
      <c r="A4697" s="8"/>
    </row>
    <row r="4698" spans="1:1" ht="13.8" x14ac:dyDescent="0.25">
      <c r="A4698" s="8"/>
    </row>
    <row r="4699" spans="1:1" ht="13.8" x14ac:dyDescent="0.25">
      <c r="A4699" s="8"/>
    </row>
    <row r="4700" spans="1:1" ht="13.8" x14ac:dyDescent="0.25">
      <c r="A4700" s="8"/>
    </row>
    <row r="4701" spans="1:1" ht="13.8" x14ac:dyDescent="0.25">
      <c r="A4701" s="8"/>
    </row>
    <row r="4702" spans="1:1" ht="13.8" x14ac:dyDescent="0.25">
      <c r="A4702" s="8"/>
    </row>
    <row r="4703" spans="1:1" ht="13.8" x14ac:dyDescent="0.25">
      <c r="A4703" s="8"/>
    </row>
    <row r="4704" spans="1:1" ht="13.8" x14ac:dyDescent="0.25">
      <c r="A4704" s="8"/>
    </row>
    <row r="4705" spans="1:1" ht="13.8" x14ac:dyDescent="0.25">
      <c r="A4705" s="8"/>
    </row>
    <row r="4706" spans="1:1" ht="13.8" x14ac:dyDescent="0.25">
      <c r="A4706" s="8"/>
    </row>
    <row r="4707" spans="1:1" ht="13.8" x14ac:dyDescent="0.25">
      <c r="A4707" s="8"/>
    </row>
    <row r="4708" spans="1:1" ht="13.8" x14ac:dyDescent="0.25">
      <c r="A4708" s="8"/>
    </row>
    <row r="4709" spans="1:1" ht="13.8" x14ac:dyDescent="0.25">
      <c r="A4709" s="8"/>
    </row>
    <row r="4710" spans="1:1" ht="13.8" x14ac:dyDescent="0.25">
      <c r="A4710" s="8"/>
    </row>
    <row r="4711" spans="1:1" ht="13.8" x14ac:dyDescent="0.25">
      <c r="A4711" s="8"/>
    </row>
    <row r="4712" spans="1:1" ht="13.8" x14ac:dyDescent="0.25">
      <c r="A4712" s="8"/>
    </row>
    <row r="4713" spans="1:1" ht="13.8" x14ac:dyDescent="0.25">
      <c r="A4713" s="8"/>
    </row>
    <row r="4714" spans="1:1" ht="13.8" x14ac:dyDescent="0.25">
      <c r="A4714" s="8"/>
    </row>
    <row r="4715" spans="1:1" ht="13.8" x14ac:dyDescent="0.25">
      <c r="A4715" s="8"/>
    </row>
    <row r="4716" spans="1:1" ht="13.8" x14ac:dyDescent="0.25">
      <c r="A4716" s="8"/>
    </row>
    <row r="4717" spans="1:1" ht="13.8" x14ac:dyDescent="0.25">
      <c r="A4717" s="8"/>
    </row>
    <row r="4718" spans="1:1" ht="13.8" x14ac:dyDescent="0.25">
      <c r="A4718" s="8"/>
    </row>
    <row r="4719" spans="1:1" ht="13.8" x14ac:dyDescent="0.25">
      <c r="A4719" s="8"/>
    </row>
    <row r="4720" spans="1:1" ht="13.8" x14ac:dyDescent="0.25">
      <c r="A4720" s="8"/>
    </row>
    <row r="4721" spans="1:1" ht="13.8" x14ac:dyDescent="0.25">
      <c r="A4721" s="8"/>
    </row>
    <row r="4722" spans="1:1" ht="13.8" x14ac:dyDescent="0.25">
      <c r="A4722" s="8"/>
    </row>
    <row r="4723" spans="1:1" ht="13.8" x14ac:dyDescent="0.25">
      <c r="A4723" s="8"/>
    </row>
    <row r="4724" spans="1:1" ht="13.8" x14ac:dyDescent="0.25">
      <c r="A4724" s="8"/>
    </row>
    <row r="4725" spans="1:1" ht="13.8" x14ac:dyDescent="0.25">
      <c r="A4725" s="8"/>
    </row>
    <row r="4726" spans="1:1" ht="13.8" x14ac:dyDescent="0.25">
      <c r="A4726" s="8"/>
    </row>
    <row r="4727" spans="1:1" ht="13.8" x14ac:dyDescent="0.25">
      <c r="A4727" s="8"/>
    </row>
    <row r="4728" spans="1:1" ht="13.8" x14ac:dyDescent="0.25">
      <c r="A4728" s="8"/>
    </row>
    <row r="4729" spans="1:1" ht="13.8" x14ac:dyDescent="0.25">
      <c r="A4729" s="8"/>
    </row>
    <row r="4730" spans="1:1" ht="13.8" x14ac:dyDescent="0.25">
      <c r="A4730" s="8"/>
    </row>
    <row r="4731" spans="1:1" ht="13.8" x14ac:dyDescent="0.25">
      <c r="A4731" s="8"/>
    </row>
    <row r="4732" spans="1:1" ht="13.8" x14ac:dyDescent="0.25">
      <c r="A4732" s="8"/>
    </row>
    <row r="4733" spans="1:1" ht="13.8" x14ac:dyDescent="0.25">
      <c r="A4733" s="8"/>
    </row>
    <row r="4734" spans="1:1" ht="13.8" x14ac:dyDescent="0.25">
      <c r="A4734" s="8"/>
    </row>
    <row r="4735" spans="1:1" ht="13.8" x14ac:dyDescent="0.25">
      <c r="A4735" s="8"/>
    </row>
    <row r="4736" spans="1:1" ht="13.8" x14ac:dyDescent="0.25">
      <c r="A4736" s="8"/>
    </row>
    <row r="4737" spans="1:1" ht="13.8" x14ac:dyDescent="0.25">
      <c r="A4737" s="8"/>
    </row>
    <row r="4738" spans="1:1" ht="13.8" x14ac:dyDescent="0.25">
      <c r="A4738" s="8"/>
    </row>
    <row r="4739" spans="1:1" ht="13.8" x14ac:dyDescent="0.25">
      <c r="A4739" s="8"/>
    </row>
    <row r="4740" spans="1:1" ht="13.8" x14ac:dyDescent="0.25">
      <c r="A4740" s="8"/>
    </row>
    <row r="4741" spans="1:1" ht="13.8" x14ac:dyDescent="0.25">
      <c r="A4741" s="8"/>
    </row>
    <row r="4742" spans="1:1" ht="13.8" x14ac:dyDescent="0.25">
      <c r="A4742" s="8"/>
    </row>
    <row r="4743" spans="1:1" ht="13.8" x14ac:dyDescent="0.25">
      <c r="A4743" s="8"/>
    </row>
    <row r="4744" spans="1:1" ht="13.8" x14ac:dyDescent="0.25">
      <c r="A4744" s="8"/>
    </row>
    <row r="4745" spans="1:1" ht="13.8" x14ac:dyDescent="0.25">
      <c r="A4745" s="8"/>
    </row>
    <row r="4746" spans="1:1" ht="13.8" x14ac:dyDescent="0.25">
      <c r="A4746" s="8"/>
    </row>
    <row r="4747" spans="1:1" ht="13.8" x14ac:dyDescent="0.25">
      <c r="A4747" s="8"/>
    </row>
    <row r="4748" spans="1:1" ht="13.8" x14ac:dyDescent="0.25">
      <c r="A4748" s="8"/>
    </row>
    <row r="4749" spans="1:1" ht="13.8" x14ac:dyDescent="0.25">
      <c r="A4749" s="8"/>
    </row>
    <row r="4750" spans="1:1" ht="13.8" x14ac:dyDescent="0.25">
      <c r="A4750" s="8"/>
    </row>
    <row r="4751" spans="1:1" ht="13.8" x14ac:dyDescent="0.25">
      <c r="A4751" s="8"/>
    </row>
    <row r="4752" spans="1:1" ht="13.8" x14ac:dyDescent="0.25">
      <c r="A4752" s="8"/>
    </row>
    <row r="4753" spans="1:1" ht="13.8" x14ac:dyDescent="0.25">
      <c r="A4753" s="8"/>
    </row>
    <row r="4754" spans="1:1" ht="13.8" x14ac:dyDescent="0.25">
      <c r="A4754" s="8"/>
    </row>
    <row r="4755" spans="1:1" ht="13.8" x14ac:dyDescent="0.25">
      <c r="A4755" s="8"/>
    </row>
    <row r="4756" spans="1:1" ht="13.8" x14ac:dyDescent="0.25">
      <c r="A4756" s="8"/>
    </row>
    <row r="4757" spans="1:1" ht="13.8" x14ac:dyDescent="0.25">
      <c r="A4757" s="8"/>
    </row>
    <row r="4758" spans="1:1" ht="13.8" x14ac:dyDescent="0.25">
      <c r="A4758" s="8"/>
    </row>
    <row r="4759" spans="1:1" ht="13.8" x14ac:dyDescent="0.25">
      <c r="A4759" s="8"/>
    </row>
    <row r="4760" spans="1:1" ht="13.8" x14ac:dyDescent="0.25">
      <c r="A4760" s="8"/>
    </row>
    <row r="4761" spans="1:1" ht="13.8" x14ac:dyDescent="0.25">
      <c r="A4761" s="8"/>
    </row>
    <row r="4762" spans="1:1" ht="13.8" x14ac:dyDescent="0.25">
      <c r="A4762" s="8"/>
    </row>
    <row r="4763" spans="1:1" ht="13.8" x14ac:dyDescent="0.25">
      <c r="A4763" s="8"/>
    </row>
    <row r="4764" spans="1:1" ht="13.8" x14ac:dyDescent="0.25">
      <c r="A4764" s="8"/>
    </row>
    <row r="4765" spans="1:1" ht="13.8" x14ac:dyDescent="0.25">
      <c r="A4765" s="8"/>
    </row>
    <row r="4766" spans="1:1" ht="13.8" x14ac:dyDescent="0.25">
      <c r="A4766" s="8"/>
    </row>
    <row r="4767" spans="1:1" ht="13.8" x14ac:dyDescent="0.25">
      <c r="A4767" s="8"/>
    </row>
    <row r="4768" spans="1:1" ht="13.8" x14ac:dyDescent="0.25">
      <c r="A4768" s="8"/>
    </row>
    <row r="4769" spans="1:1" ht="13.8" x14ac:dyDescent="0.25">
      <c r="A4769" s="8"/>
    </row>
    <row r="4770" spans="1:1" ht="13.8" x14ac:dyDescent="0.25">
      <c r="A4770" s="8"/>
    </row>
    <row r="4771" spans="1:1" ht="13.8" x14ac:dyDescent="0.25">
      <c r="A4771" s="8"/>
    </row>
    <row r="4772" spans="1:1" ht="13.8" x14ac:dyDescent="0.25">
      <c r="A4772" s="8"/>
    </row>
    <row r="4773" spans="1:1" ht="13.8" x14ac:dyDescent="0.25">
      <c r="A4773" s="8"/>
    </row>
    <row r="4774" spans="1:1" ht="13.8" x14ac:dyDescent="0.25">
      <c r="A4774" s="8"/>
    </row>
    <row r="4775" spans="1:1" ht="13.8" x14ac:dyDescent="0.25">
      <c r="A4775" s="8"/>
    </row>
    <row r="4776" spans="1:1" ht="13.8" x14ac:dyDescent="0.25">
      <c r="A4776" s="8"/>
    </row>
    <row r="4777" spans="1:1" ht="13.8" x14ac:dyDescent="0.25">
      <c r="A4777" s="8"/>
    </row>
    <row r="4778" spans="1:1" ht="13.8" x14ac:dyDescent="0.25">
      <c r="A4778" s="8"/>
    </row>
    <row r="4779" spans="1:1" ht="13.8" x14ac:dyDescent="0.25">
      <c r="A4779" s="8"/>
    </row>
    <row r="4780" spans="1:1" ht="13.8" x14ac:dyDescent="0.25">
      <c r="A4780" s="8"/>
    </row>
    <row r="4781" spans="1:1" ht="13.8" x14ac:dyDescent="0.25">
      <c r="A4781" s="8"/>
    </row>
    <row r="4782" spans="1:1" ht="13.8" x14ac:dyDescent="0.25">
      <c r="A4782" s="8"/>
    </row>
    <row r="4783" spans="1:1" ht="13.8" x14ac:dyDescent="0.25">
      <c r="A4783" s="8"/>
    </row>
    <row r="4784" spans="1:1" ht="13.8" x14ac:dyDescent="0.25">
      <c r="A4784" s="8"/>
    </row>
    <row r="4785" spans="1:1" ht="13.8" x14ac:dyDescent="0.25">
      <c r="A4785" s="8"/>
    </row>
    <row r="4786" spans="1:1" ht="13.8" x14ac:dyDescent="0.25">
      <c r="A4786" s="8"/>
    </row>
    <row r="4787" spans="1:1" ht="13.8" x14ac:dyDescent="0.25">
      <c r="A4787" s="8"/>
    </row>
    <row r="4788" spans="1:1" ht="13.8" x14ac:dyDescent="0.25">
      <c r="A4788" s="8"/>
    </row>
    <row r="4789" spans="1:1" ht="13.8" x14ac:dyDescent="0.25">
      <c r="A4789" s="8"/>
    </row>
    <row r="4790" spans="1:1" ht="13.8" x14ac:dyDescent="0.25">
      <c r="A4790" s="8"/>
    </row>
    <row r="4791" spans="1:1" ht="13.8" x14ac:dyDescent="0.25">
      <c r="A4791" s="8"/>
    </row>
    <row r="4792" spans="1:1" ht="13.8" x14ac:dyDescent="0.25">
      <c r="A4792" s="8"/>
    </row>
    <row r="4793" spans="1:1" ht="13.8" x14ac:dyDescent="0.25">
      <c r="A4793" s="8"/>
    </row>
    <row r="4794" spans="1:1" ht="13.8" x14ac:dyDescent="0.25">
      <c r="A4794" s="8"/>
    </row>
    <row r="4795" spans="1:1" ht="13.8" x14ac:dyDescent="0.25">
      <c r="A4795" s="8"/>
    </row>
    <row r="4796" spans="1:1" ht="13.8" x14ac:dyDescent="0.25">
      <c r="A4796" s="8"/>
    </row>
    <row r="4797" spans="1:1" ht="13.8" x14ac:dyDescent="0.25">
      <c r="A4797" s="8"/>
    </row>
    <row r="4798" spans="1:1" ht="13.8" x14ac:dyDescent="0.25">
      <c r="A4798" s="8"/>
    </row>
    <row r="4799" spans="1:1" ht="13.8" x14ac:dyDescent="0.25">
      <c r="A4799" s="8"/>
    </row>
    <row r="4800" spans="1:1" ht="13.8" x14ac:dyDescent="0.25">
      <c r="A4800" s="8"/>
    </row>
    <row r="4801" spans="1:1" ht="13.8" x14ac:dyDescent="0.25">
      <c r="A4801" s="8"/>
    </row>
    <row r="4802" spans="1:1" ht="13.8" x14ac:dyDescent="0.25">
      <c r="A4802" s="8"/>
    </row>
    <row r="4803" spans="1:1" ht="13.8" x14ac:dyDescent="0.25">
      <c r="A4803" s="8"/>
    </row>
    <row r="4804" spans="1:1" ht="13.8" x14ac:dyDescent="0.25">
      <c r="A4804" s="8"/>
    </row>
    <row r="4805" spans="1:1" ht="13.8" x14ac:dyDescent="0.25">
      <c r="A4805" s="8"/>
    </row>
    <row r="4806" spans="1:1" ht="13.8" x14ac:dyDescent="0.25">
      <c r="A4806" s="8"/>
    </row>
    <row r="4807" spans="1:1" ht="13.8" x14ac:dyDescent="0.25">
      <c r="A4807" s="8"/>
    </row>
    <row r="4808" spans="1:1" ht="13.8" x14ac:dyDescent="0.25">
      <c r="A4808" s="8"/>
    </row>
    <row r="4809" spans="1:1" ht="13.8" x14ac:dyDescent="0.25">
      <c r="A4809" s="8"/>
    </row>
    <row r="4810" spans="1:1" ht="13.8" x14ac:dyDescent="0.25">
      <c r="A4810" s="8"/>
    </row>
    <row r="4811" spans="1:1" ht="13.8" x14ac:dyDescent="0.25">
      <c r="A4811" s="8"/>
    </row>
    <row r="4812" spans="1:1" ht="13.8" x14ac:dyDescent="0.25">
      <c r="A4812" s="8"/>
    </row>
    <row r="4813" spans="1:1" ht="13.8" x14ac:dyDescent="0.25">
      <c r="A4813" s="8"/>
    </row>
    <row r="4814" spans="1:1" ht="13.8" x14ac:dyDescent="0.25">
      <c r="A4814" s="8"/>
    </row>
    <row r="4815" spans="1:1" ht="13.8" x14ac:dyDescent="0.25">
      <c r="A4815" s="8"/>
    </row>
    <row r="4816" spans="1:1" ht="13.8" x14ac:dyDescent="0.25">
      <c r="A4816" s="8"/>
    </row>
    <row r="4817" spans="1:1" ht="13.8" x14ac:dyDescent="0.25">
      <c r="A4817" s="8"/>
    </row>
    <row r="4818" spans="1:1" ht="13.8" x14ac:dyDescent="0.25">
      <c r="A4818" s="8"/>
    </row>
    <row r="4819" spans="1:1" ht="13.8" x14ac:dyDescent="0.25">
      <c r="A4819" s="8"/>
    </row>
    <row r="4820" spans="1:1" ht="13.8" x14ac:dyDescent="0.25">
      <c r="A4820" s="8"/>
    </row>
    <row r="4821" spans="1:1" ht="13.8" x14ac:dyDescent="0.25">
      <c r="A4821" s="8"/>
    </row>
    <row r="4822" spans="1:1" ht="13.8" x14ac:dyDescent="0.25">
      <c r="A4822" s="8"/>
    </row>
    <row r="4823" spans="1:1" ht="13.8" x14ac:dyDescent="0.25">
      <c r="A4823" s="8"/>
    </row>
    <row r="4824" spans="1:1" ht="13.8" x14ac:dyDescent="0.25">
      <c r="A4824" s="8"/>
    </row>
    <row r="4825" spans="1:1" ht="13.8" x14ac:dyDescent="0.25">
      <c r="A4825" s="8"/>
    </row>
    <row r="4826" spans="1:1" ht="13.8" x14ac:dyDescent="0.25">
      <c r="A4826" s="8"/>
    </row>
    <row r="4827" spans="1:1" ht="13.8" x14ac:dyDescent="0.25">
      <c r="A4827" s="8"/>
    </row>
    <row r="4828" spans="1:1" ht="13.8" x14ac:dyDescent="0.25">
      <c r="A4828" s="8"/>
    </row>
    <row r="4829" spans="1:1" ht="13.8" x14ac:dyDescent="0.25">
      <c r="A4829" s="8"/>
    </row>
    <row r="4830" spans="1:1" ht="13.8" x14ac:dyDescent="0.25">
      <c r="A4830" s="8"/>
    </row>
    <row r="4831" spans="1:1" ht="13.8" x14ac:dyDescent="0.25">
      <c r="A4831" s="8"/>
    </row>
    <row r="4832" spans="1:1" ht="13.8" x14ac:dyDescent="0.25">
      <c r="A4832" s="8"/>
    </row>
    <row r="4833" spans="1:1" ht="13.8" x14ac:dyDescent="0.25">
      <c r="A4833" s="8"/>
    </row>
    <row r="4834" spans="1:1" ht="13.8" x14ac:dyDescent="0.25">
      <c r="A4834" s="8"/>
    </row>
    <row r="4835" spans="1:1" ht="13.8" x14ac:dyDescent="0.25">
      <c r="A4835" s="8"/>
    </row>
    <row r="4836" spans="1:1" ht="13.8" x14ac:dyDescent="0.25">
      <c r="A4836" s="8"/>
    </row>
    <row r="4837" spans="1:1" ht="13.8" x14ac:dyDescent="0.25">
      <c r="A4837" s="8"/>
    </row>
    <row r="4838" spans="1:1" ht="13.8" x14ac:dyDescent="0.25">
      <c r="A4838" s="8"/>
    </row>
    <row r="4839" spans="1:1" ht="13.8" x14ac:dyDescent="0.25">
      <c r="A4839" s="8"/>
    </row>
    <row r="4840" spans="1:1" ht="13.8" x14ac:dyDescent="0.25">
      <c r="A4840" s="8"/>
    </row>
    <row r="4841" spans="1:1" ht="13.8" x14ac:dyDescent="0.25">
      <c r="A4841" s="8"/>
    </row>
    <row r="4842" spans="1:1" ht="13.8" x14ac:dyDescent="0.25">
      <c r="A4842" s="8"/>
    </row>
    <row r="4843" spans="1:1" ht="13.8" x14ac:dyDescent="0.25">
      <c r="A4843" s="8"/>
    </row>
    <row r="4844" spans="1:1" ht="13.8" x14ac:dyDescent="0.25">
      <c r="A4844" s="8"/>
    </row>
    <row r="4845" spans="1:1" ht="13.8" x14ac:dyDescent="0.25">
      <c r="A4845" s="8"/>
    </row>
    <row r="4846" spans="1:1" ht="13.8" x14ac:dyDescent="0.25">
      <c r="A4846" s="8"/>
    </row>
    <row r="4847" spans="1:1" ht="13.8" x14ac:dyDescent="0.25">
      <c r="A4847" s="8"/>
    </row>
    <row r="4848" spans="1:1" ht="13.8" x14ac:dyDescent="0.25">
      <c r="A4848" s="8"/>
    </row>
    <row r="4849" spans="1:1" ht="13.8" x14ac:dyDescent="0.25">
      <c r="A4849" s="8"/>
    </row>
    <row r="4850" spans="1:1" ht="13.8" x14ac:dyDescent="0.25">
      <c r="A4850" s="8"/>
    </row>
    <row r="4851" spans="1:1" ht="13.8" x14ac:dyDescent="0.25">
      <c r="A4851" s="8"/>
    </row>
    <row r="4852" spans="1:1" ht="13.8" x14ac:dyDescent="0.25">
      <c r="A4852" s="8"/>
    </row>
    <row r="4853" spans="1:1" ht="13.8" x14ac:dyDescent="0.25">
      <c r="A4853" s="8"/>
    </row>
    <row r="4854" spans="1:1" ht="13.8" x14ac:dyDescent="0.25">
      <c r="A4854" s="8"/>
    </row>
    <row r="4855" spans="1:1" ht="13.8" x14ac:dyDescent="0.25">
      <c r="A4855" s="8"/>
    </row>
    <row r="4856" spans="1:1" ht="13.8" x14ac:dyDescent="0.25">
      <c r="A4856" s="8"/>
    </row>
    <row r="4857" spans="1:1" ht="13.8" x14ac:dyDescent="0.25">
      <c r="A4857" s="8"/>
    </row>
    <row r="4858" spans="1:1" ht="13.8" x14ac:dyDescent="0.25">
      <c r="A4858" s="8"/>
    </row>
    <row r="4859" spans="1:1" ht="13.8" x14ac:dyDescent="0.25">
      <c r="A4859" s="8"/>
    </row>
    <row r="4860" spans="1:1" ht="13.8" x14ac:dyDescent="0.25">
      <c r="A4860" s="8"/>
    </row>
    <row r="4861" spans="1:1" ht="13.8" x14ac:dyDescent="0.25">
      <c r="A4861" s="8"/>
    </row>
    <row r="4862" spans="1:1" ht="13.8" x14ac:dyDescent="0.25">
      <c r="A4862" s="8"/>
    </row>
    <row r="4863" spans="1:1" ht="13.8" x14ac:dyDescent="0.25">
      <c r="A4863" s="8"/>
    </row>
    <row r="4864" spans="1:1" ht="13.8" x14ac:dyDescent="0.25">
      <c r="A4864" s="8"/>
    </row>
    <row r="4865" spans="1:1" ht="13.8" x14ac:dyDescent="0.25">
      <c r="A4865" s="8"/>
    </row>
    <row r="4866" spans="1:1" ht="13.8" x14ac:dyDescent="0.25">
      <c r="A4866" s="8"/>
    </row>
    <row r="4867" spans="1:1" ht="13.8" x14ac:dyDescent="0.25">
      <c r="A4867" s="8"/>
    </row>
    <row r="4868" spans="1:1" ht="13.8" x14ac:dyDescent="0.25">
      <c r="A4868" s="8"/>
    </row>
    <row r="4869" spans="1:1" ht="13.8" x14ac:dyDescent="0.25">
      <c r="A4869" s="8"/>
    </row>
    <row r="4870" spans="1:1" ht="13.8" x14ac:dyDescent="0.25">
      <c r="A4870" s="8"/>
    </row>
    <row r="4871" spans="1:1" ht="13.8" x14ac:dyDescent="0.25">
      <c r="A4871" s="8"/>
    </row>
    <row r="4872" spans="1:1" ht="13.8" x14ac:dyDescent="0.25">
      <c r="A4872" s="8"/>
    </row>
    <row r="4873" spans="1:1" ht="13.8" x14ac:dyDescent="0.25">
      <c r="A4873" s="8"/>
    </row>
    <row r="4874" spans="1:1" ht="13.8" x14ac:dyDescent="0.25">
      <c r="A4874" s="8"/>
    </row>
    <row r="4875" spans="1:1" ht="13.8" x14ac:dyDescent="0.25">
      <c r="A4875" s="8"/>
    </row>
    <row r="4876" spans="1:1" ht="13.8" x14ac:dyDescent="0.25">
      <c r="A4876" s="8"/>
    </row>
    <row r="4877" spans="1:1" ht="13.8" x14ac:dyDescent="0.25">
      <c r="A4877" s="8"/>
    </row>
    <row r="4878" spans="1:1" ht="13.8" x14ac:dyDescent="0.25">
      <c r="A4878" s="8"/>
    </row>
    <row r="4879" spans="1:1" ht="13.8" x14ac:dyDescent="0.25">
      <c r="A4879" s="8"/>
    </row>
    <row r="4880" spans="1:1" ht="13.8" x14ac:dyDescent="0.25">
      <c r="A4880" s="8"/>
    </row>
    <row r="4881" spans="1:1" ht="13.8" x14ac:dyDescent="0.25">
      <c r="A4881" s="8"/>
    </row>
    <row r="4882" spans="1:1" ht="13.8" x14ac:dyDescent="0.25">
      <c r="A4882" s="8"/>
    </row>
    <row r="4883" spans="1:1" ht="13.8" x14ac:dyDescent="0.25">
      <c r="A4883" s="8"/>
    </row>
    <row r="4884" spans="1:1" ht="13.8" x14ac:dyDescent="0.25">
      <c r="A4884" s="8"/>
    </row>
    <row r="4885" spans="1:1" ht="13.8" x14ac:dyDescent="0.25">
      <c r="A4885" s="8"/>
    </row>
    <row r="4886" spans="1:1" ht="13.8" x14ac:dyDescent="0.25">
      <c r="A4886" s="8"/>
    </row>
    <row r="4887" spans="1:1" ht="13.8" x14ac:dyDescent="0.25">
      <c r="A4887" s="8"/>
    </row>
    <row r="4888" spans="1:1" ht="13.8" x14ac:dyDescent="0.25">
      <c r="A4888" s="8"/>
    </row>
    <row r="4889" spans="1:1" ht="13.8" x14ac:dyDescent="0.25">
      <c r="A4889" s="8"/>
    </row>
    <row r="4890" spans="1:1" ht="13.8" x14ac:dyDescent="0.25">
      <c r="A4890" s="8"/>
    </row>
    <row r="4891" spans="1:1" ht="13.8" x14ac:dyDescent="0.25">
      <c r="A4891" s="8"/>
    </row>
    <row r="4892" spans="1:1" ht="13.8" x14ac:dyDescent="0.25">
      <c r="A4892" s="8"/>
    </row>
    <row r="4893" spans="1:1" ht="13.8" x14ac:dyDescent="0.25">
      <c r="A4893" s="8"/>
    </row>
    <row r="4894" spans="1:1" ht="13.8" x14ac:dyDescent="0.25">
      <c r="A4894" s="8"/>
    </row>
    <row r="4895" spans="1:1" ht="13.8" x14ac:dyDescent="0.25">
      <c r="A4895" s="8"/>
    </row>
    <row r="4896" spans="1:1" ht="13.8" x14ac:dyDescent="0.25">
      <c r="A4896" s="8"/>
    </row>
    <row r="4897" spans="1:1" ht="13.8" x14ac:dyDescent="0.25">
      <c r="A4897" s="8"/>
    </row>
    <row r="4898" spans="1:1" ht="13.8" x14ac:dyDescent="0.25">
      <c r="A4898" s="8"/>
    </row>
    <row r="4899" spans="1:1" ht="13.8" x14ac:dyDescent="0.25">
      <c r="A4899" s="8"/>
    </row>
    <row r="4900" spans="1:1" ht="13.8" x14ac:dyDescent="0.25">
      <c r="A4900" s="8"/>
    </row>
    <row r="4901" spans="1:1" ht="13.8" x14ac:dyDescent="0.25">
      <c r="A4901" s="8"/>
    </row>
    <row r="4902" spans="1:1" ht="13.8" x14ac:dyDescent="0.25">
      <c r="A4902" s="8"/>
    </row>
    <row r="4903" spans="1:1" ht="13.8" x14ac:dyDescent="0.25">
      <c r="A4903" s="8"/>
    </row>
    <row r="4904" spans="1:1" ht="13.8" x14ac:dyDescent="0.25">
      <c r="A4904" s="8"/>
    </row>
    <row r="4905" spans="1:1" ht="13.8" x14ac:dyDescent="0.25">
      <c r="A4905" s="8"/>
    </row>
    <row r="4906" spans="1:1" ht="13.8" x14ac:dyDescent="0.25">
      <c r="A4906" s="8"/>
    </row>
    <row r="4907" spans="1:1" ht="13.8" x14ac:dyDescent="0.25">
      <c r="A4907" s="8"/>
    </row>
    <row r="4908" spans="1:1" ht="13.8" x14ac:dyDescent="0.25">
      <c r="A4908" s="8"/>
    </row>
    <row r="4909" spans="1:1" ht="13.8" x14ac:dyDescent="0.25">
      <c r="A4909" s="8"/>
    </row>
    <row r="4910" spans="1:1" ht="13.8" x14ac:dyDescent="0.25">
      <c r="A4910" s="8"/>
    </row>
    <row r="4911" spans="1:1" ht="13.8" x14ac:dyDescent="0.25">
      <c r="A4911" s="8"/>
    </row>
    <row r="4912" spans="1:1" ht="13.8" x14ac:dyDescent="0.25">
      <c r="A4912" s="8"/>
    </row>
    <row r="4913" spans="1:1" ht="13.8" x14ac:dyDescent="0.25">
      <c r="A4913" s="8"/>
    </row>
    <row r="4914" spans="1:1" ht="13.8" x14ac:dyDescent="0.25">
      <c r="A4914" s="8"/>
    </row>
    <row r="4915" spans="1:1" ht="13.8" x14ac:dyDescent="0.25">
      <c r="A4915" s="8"/>
    </row>
    <row r="4916" spans="1:1" ht="13.8" x14ac:dyDescent="0.25">
      <c r="A4916" s="8"/>
    </row>
    <row r="4917" spans="1:1" ht="13.8" x14ac:dyDescent="0.25">
      <c r="A4917" s="8"/>
    </row>
    <row r="4918" spans="1:1" ht="13.8" x14ac:dyDescent="0.25">
      <c r="A4918" s="8"/>
    </row>
    <row r="4919" spans="1:1" ht="13.8" x14ac:dyDescent="0.25">
      <c r="A4919" s="8"/>
    </row>
    <row r="4920" spans="1:1" ht="13.8" x14ac:dyDescent="0.25">
      <c r="A4920" s="8"/>
    </row>
    <row r="4921" spans="1:1" ht="13.8" x14ac:dyDescent="0.25">
      <c r="A4921" s="8"/>
    </row>
    <row r="4922" spans="1:1" ht="13.8" x14ac:dyDescent="0.25">
      <c r="A4922" s="8"/>
    </row>
    <row r="4923" spans="1:1" ht="13.8" x14ac:dyDescent="0.25">
      <c r="A4923" s="8"/>
    </row>
    <row r="4924" spans="1:1" ht="13.8" x14ac:dyDescent="0.25">
      <c r="A4924" s="8"/>
    </row>
    <row r="4925" spans="1:1" ht="13.8" x14ac:dyDescent="0.25">
      <c r="A4925" s="8"/>
    </row>
    <row r="4926" spans="1:1" ht="13.8" x14ac:dyDescent="0.25">
      <c r="A4926" s="8"/>
    </row>
    <row r="4927" spans="1:1" ht="13.8" x14ac:dyDescent="0.25">
      <c r="A4927" s="8"/>
    </row>
    <row r="4928" spans="1:1" ht="13.8" x14ac:dyDescent="0.25">
      <c r="A4928" s="8"/>
    </row>
    <row r="4929" spans="1:1" ht="13.8" x14ac:dyDescent="0.25">
      <c r="A4929" s="8"/>
    </row>
    <row r="4930" spans="1:1" ht="13.8" x14ac:dyDescent="0.25">
      <c r="A4930" s="8"/>
    </row>
    <row r="4931" spans="1:1" ht="13.8" x14ac:dyDescent="0.25">
      <c r="A4931" s="8"/>
    </row>
    <row r="4932" spans="1:1" ht="13.8" x14ac:dyDescent="0.25">
      <c r="A4932" s="8"/>
    </row>
    <row r="4933" spans="1:1" ht="13.8" x14ac:dyDescent="0.25">
      <c r="A4933" s="8"/>
    </row>
    <row r="4934" spans="1:1" ht="13.8" x14ac:dyDescent="0.25">
      <c r="A4934" s="8"/>
    </row>
    <row r="4935" spans="1:1" ht="13.8" x14ac:dyDescent="0.25">
      <c r="A4935" s="8"/>
    </row>
    <row r="4936" spans="1:1" ht="13.8" x14ac:dyDescent="0.25">
      <c r="A4936" s="8"/>
    </row>
    <row r="4937" spans="1:1" ht="13.8" x14ac:dyDescent="0.25">
      <c r="A4937" s="8"/>
    </row>
    <row r="4938" spans="1:1" ht="13.8" x14ac:dyDescent="0.25">
      <c r="A4938" s="8"/>
    </row>
    <row r="4939" spans="1:1" ht="13.8" x14ac:dyDescent="0.25">
      <c r="A4939" s="8"/>
    </row>
    <row r="4940" spans="1:1" ht="13.8" x14ac:dyDescent="0.25">
      <c r="A4940" s="8"/>
    </row>
    <row r="4941" spans="1:1" ht="13.8" x14ac:dyDescent="0.25">
      <c r="A4941" s="8"/>
    </row>
    <row r="4942" spans="1:1" ht="13.8" x14ac:dyDescent="0.25">
      <c r="A4942" s="8"/>
    </row>
    <row r="4943" spans="1:1" ht="13.8" x14ac:dyDescent="0.25">
      <c r="A4943" s="8"/>
    </row>
    <row r="4944" spans="1:1" ht="13.8" x14ac:dyDescent="0.25">
      <c r="A4944" s="8"/>
    </row>
    <row r="4945" spans="1:1" ht="13.8" x14ac:dyDescent="0.25">
      <c r="A4945" s="8"/>
    </row>
    <row r="4946" spans="1:1" ht="13.8" x14ac:dyDescent="0.25">
      <c r="A4946" s="8"/>
    </row>
    <row r="4947" spans="1:1" ht="13.8" x14ac:dyDescent="0.25">
      <c r="A4947" s="8"/>
    </row>
    <row r="4948" spans="1:1" ht="13.8" x14ac:dyDescent="0.25">
      <c r="A4948" s="8"/>
    </row>
    <row r="4949" spans="1:1" ht="13.8" x14ac:dyDescent="0.25">
      <c r="A4949" s="8"/>
    </row>
    <row r="4950" spans="1:1" ht="13.8" x14ac:dyDescent="0.25">
      <c r="A4950" s="8"/>
    </row>
    <row r="4951" spans="1:1" ht="13.8" x14ac:dyDescent="0.25">
      <c r="A4951" s="8"/>
    </row>
    <row r="4952" spans="1:1" ht="13.8" x14ac:dyDescent="0.25">
      <c r="A4952" s="8"/>
    </row>
    <row r="4953" spans="1:1" ht="13.8" x14ac:dyDescent="0.25">
      <c r="A4953" s="8"/>
    </row>
    <row r="4954" spans="1:1" ht="13.8" x14ac:dyDescent="0.25">
      <c r="A4954" s="8"/>
    </row>
    <row r="4955" spans="1:1" ht="13.8" x14ac:dyDescent="0.25">
      <c r="A4955" s="8"/>
    </row>
    <row r="4956" spans="1:1" ht="13.8" x14ac:dyDescent="0.25">
      <c r="A4956" s="8"/>
    </row>
    <row r="4957" spans="1:1" ht="13.8" x14ac:dyDescent="0.25">
      <c r="A4957" s="8"/>
    </row>
    <row r="4958" spans="1:1" ht="13.8" x14ac:dyDescent="0.25">
      <c r="A4958" s="8"/>
    </row>
    <row r="4959" spans="1:1" ht="13.8" x14ac:dyDescent="0.25">
      <c r="A4959" s="8"/>
    </row>
    <row r="4960" spans="1:1" ht="13.8" x14ac:dyDescent="0.25">
      <c r="A4960" s="8"/>
    </row>
    <row r="4961" spans="1:1" ht="13.8" x14ac:dyDescent="0.25">
      <c r="A4961" s="8"/>
    </row>
    <row r="4962" spans="1:1" ht="13.8" x14ac:dyDescent="0.25">
      <c r="A4962" s="8"/>
    </row>
    <row r="4963" spans="1:1" ht="13.8" x14ac:dyDescent="0.25">
      <c r="A4963" s="8"/>
    </row>
    <row r="4964" spans="1:1" ht="13.8" x14ac:dyDescent="0.25">
      <c r="A4964" s="8"/>
    </row>
    <row r="4965" spans="1:1" ht="13.8" x14ac:dyDescent="0.25">
      <c r="A4965" s="8"/>
    </row>
    <row r="4966" spans="1:1" ht="13.8" x14ac:dyDescent="0.25">
      <c r="A4966" s="8"/>
    </row>
    <row r="4967" spans="1:1" ht="13.8" x14ac:dyDescent="0.25">
      <c r="A4967" s="8"/>
    </row>
    <row r="4968" spans="1:1" ht="13.8" x14ac:dyDescent="0.25">
      <c r="A4968" s="8"/>
    </row>
    <row r="4969" spans="1:1" ht="13.8" x14ac:dyDescent="0.25">
      <c r="A4969" s="8"/>
    </row>
    <row r="4970" spans="1:1" ht="13.8" x14ac:dyDescent="0.25">
      <c r="A4970" s="8"/>
    </row>
    <row r="4971" spans="1:1" ht="13.8" x14ac:dyDescent="0.25">
      <c r="A4971" s="8"/>
    </row>
    <row r="4972" spans="1:1" ht="13.8" x14ac:dyDescent="0.25">
      <c r="A4972" s="8"/>
    </row>
    <row r="4973" spans="1:1" ht="13.8" x14ac:dyDescent="0.25">
      <c r="A4973" s="8"/>
    </row>
    <row r="4974" spans="1:1" ht="13.8" x14ac:dyDescent="0.25">
      <c r="A4974" s="8"/>
    </row>
    <row r="4975" spans="1:1" ht="13.8" x14ac:dyDescent="0.25">
      <c r="A4975" s="8"/>
    </row>
    <row r="4976" spans="1:1" ht="13.8" x14ac:dyDescent="0.25">
      <c r="A4976" s="8"/>
    </row>
    <row r="4977" spans="1:1" ht="13.8" x14ac:dyDescent="0.25">
      <c r="A4977" s="8"/>
    </row>
    <row r="4978" spans="1:1" ht="13.8" x14ac:dyDescent="0.25">
      <c r="A4978" s="8"/>
    </row>
    <row r="4979" spans="1:1" ht="13.8" x14ac:dyDescent="0.25">
      <c r="A4979" s="8"/>
    </row>
    <row r="4980" spans="1:1" ht="13.8" x14ac:dyDescent="0.25">
      <c r="A4980" s="8"/>
    </row>
    <row r="4981" spans="1:1" ht="13.8" x14ac:dyDescent="0.25">
      <c r="A4981" s="8"/>
    </row>
    <row r="4982" spans="1:1" ht="13.8" x14ac:dyDescent="0.25">
      <c r="A4982" s="8"/>
    </row>
    <row r="4983" spans="1:1" ht="13.8" x14ac:dyDescent="0.25">
      <c r="A4983" s="8"/>
    </row>
    <row r="4984" spans="1:1" ht="13.8" x14ac:dyDescent="0.25">
      <c r="A4984" s="8"/>
    </row>
    <row r="4985" spans="1:1" ht="13.8" x14ac:dyDescent="0.25">
      <c r="A4985" s="8"/>
    </row>
    <row r="4986" spans="1:1" ht="13.8" x14ac:dyDescent="0.25">
      <c r="A4986" s="8"/>
    </row>
    <row r="4987" spans="1:1" ht="13.8" x14ac:dyDescent="0.25">
      <c r="A4987" s="8"/>
    </row>
    <row r="4988" spans="1:1" ht="13.8" x14ac:dyDescent="0.25">
      <c r="A4988" s="8"/>
    </row>
    <row r="4989" spans="1:1" ht="13.8" x14ac:dyDescent="0.25">
      <c r="A4989" s="8"/>
    </row>
    <row r="4990" spans="1:1" ht="13.8" x14ac:dyDescent="0.25">
      <c r="A4990" s="8"/>
    </row>
    <row r="4991" spans="1:1" ht="13.8" x14ac:dyDescent="0.25">
      <c r="A4991" s="8"/>
    </row>
    <row r="4992" spans="1:1" ht="13.8" x14ac:dyDescent="0.25">
      <c r="A4992" s="8"/>
    </row>
    <row r="4993" spans="1:1" ht="13.8" x14ac:dyDescent="0.25">
      <c r="A4993" s="8"/>
    </row>
    <row r="4994" spans="1:1" ht="13.8" x14ac:dyDescent="0.25">
      <c r="A4994" s="8"/>
    </row>
    <row r="4995" spans="1:1" ht="13.8" x14ac:dyDescent="0.25">
      <c r="A4995" s="8"/>
    </row>
    <row r="4996" spans="1:1" ht="13.8" x14ac:dyDescent="0.25">
      <c r="A4996" s="8"/>
    </row>
    <row r="4997" spans="1:1" ht="13.8" x14ac:dyDescent="0.25">
      <c r="A4997" s="8"/>
    </row>
    <row r="4998" spans="1:1" ht="13.8" x14ac:dyDescent="0.25">
      <c r="A4998" s="8"/>
    </row>
    <row r="4999" spans="1:1" ht="13.8" x14ac:dyDescent="0.25">
      <c r="A4999" s="8"/>
    </row>
    <row r="5000" spans="1:1" ht="13.8" x14ac:dyDescent="0.25">
      <c r="A5000" s="8"/>
    </row>
    <row r="5001" spans="1:1" ht="13.8" x14ac:dyDescent="0.25">
      <c r="A5001" s="8"/>
    </row>
    <row r="5002" spans="1:1" ht="13.8" x14ac:dyDescent="0.25">
      <c r="A5002" s="8"/>
    </row>
    <row r="5003" spans="1:1" ht="13.8" x14ac:dyDescent="0.25">
      <c r="A5003" s="8"/>
    </row>
    <row r="5004" spans="1:1" ht="13.8" x14ac:dyDescent="0.25">
      <c r="A5004" s="8"/>
    </row>
    <row r="5005" spans="1:1" ht="13.8" x14ac:dyDescent="0.25">
      <c r="A5005" s="8"/>
    </row>
    <row r="5006" spans="1:1" ht="13.8" x14ac:dyDescent="0.25">
      <c r="A5006" s="8"/>
    </row>
    <row r="5007" spans="1:1" ht="13.8" x14ac:dyDescent="0.25">
      <c r="A5007" s="8"/>
    </row>
    <row r="5008" spans="1:1" ht="13.8" x14ac:dyDescent="0.25">
      <c r="A5008" s="8"/>
    </row>
    <row r="5009" spans="1:1" ht="13.8" x14ac:dyDescent="0.25">
      <c r="A5009" s="8"/>
    </row>
    <row r="5010" spans="1:1" ht="13.8" x14ac:dyDescent="0.25">
      <c r="A5010" s="8"/>
    </row>
    <row r="5011" spans="1:1" ht="13.8" x14ac:dyDescent="0.25">
      <c r="A5011" s="8"/>
    </row>
    <row r="5012" spans="1:1" ht="13.8" x14ac:dyDescent="0.25">
      <c r="A5012" s="8"/>
    </row>
    <row r="5013" spans="1:1" ht="13.8" x14ac:dyDescent="0.25">
      <c r="A5013" s="8"/>
    </row>
    <row r="5014" spans="1:1" ht="13.8" x14ac:dyDescent="0.25">
      <c r="A5014" s="8"/>
    </row>
    <row r="5015" spans="1:1" ht="13.8" x14ac:dyDescent="0.25">
      <c r="A5015" s="8"/>
    </row>
    <row r="5016" spans="1:1" ht="13.8" x14ac:dyDescent="0.25">
      <c r="A5016" s="8"/>
    </row>
    <row r="5017" spans="1:1" ht="13.8" x14ac:dyDescent="0.25">
      <c r="A5017" s="8"/>
    </row>
    <row r="5018" spans="1:1" ht="13.8" x14ac:dyDescent="0.25">
      <c r="A5018" s="8"/>
    </row>
    <row r="5019" spans="1:1" ht="13.8" x14ac:dyDescent="0.25">
      <c r="A5019" s="8"/>
    </row>
    <row r="5020" spans="1:1" ht="13.8" x14ac:dyDescent="0.25">
      <c r="A5020" s="8"/>
    </row>
    <row r="5021" spans="1:1" ht="13.8" x14ac:dyDescent="0.25">
      <c r="A5021" s="8"/>
    </row>
    <row r="5022" spans="1:1" ht="13.8" x14ac:dyDescent="0.25">
      <c r="A5022" s="8"/>
    </row>
    <row r="5023" spans="1:1" ht="13.8" x14ac:dyDescent="0.25">
      <c r="A5023" s="8"/>
    </row>
    <row r="5024" spans="1:1" ht="13.8" x14ac:dyDescent="0.25">
      <c r="A5024" s="8"/>
    </row>
    <row r="5025" spans="1:1" ht="13.8" x14ac:dyDescent="0.25">
      <c r="A5025" s="8"/>
    </row>
    <row r="5026" spans="1:1" ht="13.8" x14ac:dyDescent="0.25">
      <c r="A5026" s="8"/>
    </row>
    <row r="5027" spans="1:1" ht="13.8" x14ac:dyDescent="0.25">
      <c r="A5027" s="8"/>
    </row>
    <row r="5028" spans="1:1" ht="13.8" x14ac:dyDescent="0.25">
      <c r="A5028" s="8"/>
    </row>
    <row r="5029" spans="1:1" ht="13.8" x14ac:dyDescent="0.25">
      <c r="A5029" s="8"/>
    </row>
    <row r="5030" spans="1:1" ht="13.8" x14ac:dyDescent="0.25">
      <c r="A5030" s="8"/>
    </row>
    <row r="5031" spans="1:1" ht="13.8" x14ac:dyDescent="0.25">
      <c r="A5031" s="8"/>
    </row>
    <row r="5032" spans="1:1" ht="13.8" x14ac:dyDescent="0.25">
      <c r="A5032" s="8"/>
    </row>
    <row r="5033" spans="1:1" ht="13.8" x14ac:dyDescent="0.25">
      <c r="A5033" s="8"/>
    </row>
    <row r="5034" spans="1:1" ht="13.8" x14ac:dyDescent="0.25">
      <c r="A5034" s="8"/>
    </row>
    <row r="5035" spans="1:1" ht="13.8" x14ac:dyDescent="0.25">
      <c r="A5035" s="8"/>
    </row>
    <row r="5036" spans="1:1" ht="13.8" x14ac:dyDescent="0.25">
      <c r="A5036" s="8"/>
    </row>
    <row r="5037" spans="1:1" ht="13.8" x14ac:dyDescent="0.25">
      <c r="A5037" s="8"/>
    </row>
    <row r="5038" spans="1:1" ht="13.8" x14ac:dyDescent="0.25">
      <c r="A5038" s="8"/>
    </row>
    <row r="5039" spans="1:1" ht="13.8" x14ac:dyDescent="0.25">
      <c r="A5039" s="8"/>
    </row>
    <row r="5040" spans="1:1" ht="13.8" x14ac:dyDescent="0.25">
      <c r="A5040" s="8"/>
    </row>
    <row r="5041" spans="1:1" ht="13.8" x14ac:dyDescent="0.25">
      <c r="A5041" s="8"/>
    </row>
    <row r="5042" spans="1:1" ht="13.8" x14ac:dyDescent="0.25">
      <c r="A5042" s="8"/>
    </row>
    <row r="5043" spans="1:1" ht="13.8" x14ac:dyDescent="0.25">
      <c r="A5043" s="8"/>
    </row>
    <row r="5044" spans="1:1" ht="13.8" x14ac:dyDescent="0.25">
      <c r="A5044" s="8"/>
    </row>
    <row r="5045" spans="1:1" ht="13.8" x14ac:dyDescent="0.25">
      <c r="A5045" s="8"/>
    </row>
    <row r="5046" spans="1:1" ht="13.8" x14ac:dyDescent="0.25">
      <c r="A5046" s="8"/>
    </row>
    <row r="5047" spans="1:1" ht="13.8" x14ac:dyDescent="0.25">
      <c r="A5047" s="8"/>
    </row>
    <row r="5048" spans="1:1" ht="13.8" x14ac:dyDescent="0.25">
      <c r="A5048" s="8"/>
    </row>
    <row r="5049" spans="1:1" ht="13.8" x14ac:dyDescent="0.25">
      <c r="A5049" s="8"/>
    </row>
    <row r="5050" spans="1:1" ht="13.8" x14ac:dyDescent="0.25">
      <c r="A5050" s="8"/>
    </row>
    <row r="5051" spans="1:1" ht="13.8" x14ac:dyDescent="0.25">
      <c r="A5051" s="8"/>
    </row>
    <row r="5052" spans="1:1" ht="13.8" x14ac:dyDescent="0.25">
      <c r="A5052" s="8"/>
    </row>
    <row r="5053" spans="1:1" ht="13.8" x14ac:dyDescent="0.25">
      <c r="A5053" s="8"/>
    </row>
    <row r="5054" spans="1:1" ht="13.8" x14ac:dyDescent="0.25">
      <c r="A5054" s="8"/>
    </row>
    <row r="5055" spans="1:1" ht="13.8" x14ac:dyDescent="0.25">
      <c r="A5055" s="8"/>
    </row>
    <row r="5056" spans="1:1" ht="13.8" x14ac:dyDescent="0.25">
      <c r="A5056" s="8"/>
    </row>
    <row r="5057" spans="1:1" ht="13.8" x14ac:dyDescent="0.25">
      <c r="A5057" s="8"/>
    </row>
    <row r="5058" spans="1:1" ht="13.8" x14ac:dyDescent="0.25">
      <c r="A5058" s="8"/>
    </row>
    <row r="5059" spans="1:1" ht="13.8" x14ac:dyDescent="0.25">
      <c r="A5059" s="8"/>
    </row>
    <row r="5060" spans="1:1" ht="13.8" x14ac:dyDescent="0.25">
      <c r="A5060" s="8"/>
    </row>
    <row r="5061" spans="1:1" ht="13.8" x14ac:dyDescent="0.25">
      <c r="A5061" s="8"/>
    </row>
    <row r="5062" spans="1:1" ht="13.8" x14ac:dyDescent="0.25">
      <c r="A5062" s="8"/>
    </row>
    <row r="5063" spans="1:1" ht="13.8" x14ac:dyDescent="0.25">
      <c r="A5063" s="8"/>
    </row>
    <row r="5064" spans="1:1" ht="13.8" x14ac:dyDescent="0.25">
      <c r="A5064" s="8"/>
    </row>
    <row r="5065" spans="1:1" ht="13.8" x14ac:dyDescent="0.25">
      <c r="A5065" s="8"/>
    </row>
    <row r="5066" spans="1:1" ht="13.8" x14ac:dyDescent="0.25">
      <c r="A5066" s="8"/>
    </row>
    <row r="5067" spans="1:1" ht="13.8" x14ac:dyDescent="0.25">
      <c r="A5067" s="8"/>
    </row>
    <row r="5068" spans="1:1" ht="13.8" x14ac:dyDescent="0.25">
      <c r="A5068" s="8"/>
    </row>
    <row r="5069" spans="1:1" ht="13.8" x14ac:dyDescent="0.25">
      <c r="A5069" s="8"/>
    </row>
    <row r="5070" spans="1:1" ht="13.8" x14ac:dyDescent="0.25">
      <c r="A5070" s="8"/>
    </row>
    <row r="5071" spans="1:1" ht="13.8" x14ac:dyDescent="0.25">
      <c r="A5071" s="8"/>
    </row>
    <row r="5072" spans="1:1" ht="13.8" x14ac:dyDescent="0.25">
      <c r="A5072" s="8"/>
    </row>
    <row r="5073" spans="1:1" ht="13.8" x14ac:dyDescent="0.25">
      <c r="A5073" s="8"/>
    </row>
    <row r="5074" spans="1:1" ht="13.8" x14ac:dyDescent="0.25">
      <c r="A5074" s="8"/>
    </row>
    <row r="5075" spans="1:1" ht="13.8" x14ac:dyDescent="0.25">
      <c r="A5075" s="8"/>
    </row>
    <row r="5076" spans="1:1" ht="13.8" x14ac:dyDescent="0.25">
      <c r="A5076" s="8"/>
    </row>
    <row r="5077" spans="1:1" ht="13.8" x14ac:dyDescent="0.25">
      <c r="A5077" s="8"/>
    </row>
    <row r="5078" spans="1:1" ht="13.8" x14ac:dyDescent="0.25">
      <c r="A5078" s="8"/>
    </row>
    <row r="5079" spans="1:1" ht="13.8" x14ac:dyDescent="0.25">
      <c r="A5079" s="8"/>
    </row>
    <row r="5080" spans="1:1" ht="13.8" x14ac:dyDescent="0.25">
      <c r="A5080" s="8"/>
    </row>
    <row r="5081" spans="1:1" ht="13.8" x14ac:dyDescent="0.25">
      <c r="A5081" s="8"/>
    </row>
    <row r="5082" spans="1:1" ht="13.8" x14ac:dyDescent="0.25">
      <c r="A5082" s="8"/>
    </row>
    <row r="5083" spans="1:1" ht="13.8" x14ac:dyDescent="0.25">
      <c r="A5083" s="8"/>
    </row>
    <row r="5084" spans="1:1" ht="13.8" x14ac:dyDescent="0.25">
      <c r="A5084" s="8"/>
    </row>
    <row r="5085" spans="1:1" ht="13.8" x14ac:dyDescent="0.25">
      <c r="A5085" s="8"/>
    </row>
    <row r="5086" spans="1:1" ht="13.8" x14ac:dyDescent="0.25">
      <c r="A5086" s="8"/>
    </row>
    <row r="5087" spans="1:1" ht="13.8" x14ac:dyDescent="0.25">
      <c r="A5087" s="8"/>
    </row>
    <row r="5088" spans="1:1" ht="13.8" x14ac:dyDescent="0.25">
      <c r="A5088" s="8"/>
    </row>
    <row r="5089" spans="1:1" ht="13.8" x14ac:dyDescent="0.25">
      <c r="A5089" s="8"/>
    </row>
    <row r="5090" spans="1:1" ht="13.8" x14ac:dyDescent="0.25">
      <c r="A5090" s="8"/>
    </row>
    <row r="5091" spans="1:1" ht="13.8" x14ac:dyDescent="0.25">
      <c r="A5091" s="8"/>
    </row>
    <row r="5092" spans="1:1" ht="13.8" x14ac:dyDescent="0.25">
      <c r="A5092" s="8"/>
    </row>
    <row r="5093" spans="1:1" ht="13.8" x14ac:dyDescent="0.25">
      <c r="A5093" s="8"/>
    </row>
    <row r="5094" spans="1:1" ht="13.8" x14ac:dyDescent="0.25">
      <c r="A5094" s="8"/>
    </row>
    <row r="5095" spans="1:1" ht="13.8" x14ac:dyDescent="0.25">
      <c r="A5095" s="8"/>
    </row>
    <row r="5096" spans="1:1" ht="13.8" x14ac:dyDescent="0.25">
      <c r="A5096" s="8"/>
    </row>
    <row r="5097" spans="1:1" ht="13.8" x14ac:dyDescent="0.25">
      <c r="A5097" s="8"/>
    </row>
    <row r="5098" spans="1:1" ht="13.8" x14ac:dyDescent="0.25">
      <c r="A5098" s="8"/>
    </row>
    <row r="5099" spans="1:1" ht="13.8" x14ac:dyDescent="0.25">
      <c r="A5099" s="8"/>
    </row>
    <row r="5100" spans="1:1" ht="13.8" x14ac:dyDescent="0.25">
      <c r="A5100" s="8"/>
    </row>
    <row r="5101" spans="1:1" ht="13.8" x14ac:dyDescent="0.25">
      <c r="A5101" s="8"/>
    </row>
    <row r="5102" spans="1:1" ht="13.8" x14ac:dyDescent="0.25">
      <c r="A5102" s="8"/>
    </row>
    <row r="5103" spans="1:1" ht="13.8" x14ac:dyDescent="0.25">
      <c r="A5103" s="8"/>
    </row>
    <row r="5104" spans="1:1" ht="13.8" x14ac:dyDescent="0.25">
      <c r="A5104" s="8"/>
    </row>
    <row r="5105" spans="1:1" ht="13.8" x14ac:dyDescent="0.25">
      <c r="A5105" s="8"/>
    </row>
    <row r="5106" spans="1:1" ht="13.8" x14ac:dyDescent="0.25">
      <c r="A5106" s="8"/>
    </row>
    <row r="5107" spans="1:1" ht="13.8" x14ac:dyDescent="0.25">
      <c r="A5107" s="8"/>
    </row>
    <row r="5108" spans="1:1" ht="13.8" x14ac:dyDescent="0.25">
      <c r="A5108" s="8"/>
    </row>
    <row r="5109" spans="1:1" ht="13.8" x14ac:dyDescent="0.25">
      <c r="A5109" s="8"/>
    </row>
    <row r="5110" spans="1:1" ht="13.8" x14ac:dyDescent="0.25">
      <c r="A5110" s="8"/>
    </row>
    <row r="5111" spans="1:1" ht="13.8" x14ac:dyDescent="0.25">
      <c r="A5111" s="8"/>
    </row>
    <row r="5112" spans="1:1" ht="13.8" x14ac:dyDescent="0.25">
      <c r="A5112" s="8"/>
    </row>
    <row r="5113" spans="1:1" ht="13.8" x14ac:dyDescent="0.25">
      <c r="A5113" s="8"/>
    </row>
    <row r="5114" spans="1:1" ht="13.8" x14ac:dyDescent="0.25">
      <c r="A5114" s="8"/>
    </row>
    <row r="5115" spans="1:1" ht="13.8" x14ac:dyDescent="0.25">
      <c r="A5115" s="8"/>
    </row>
    <row r="5116" spans="1:1" ht="13.8" x14ac:dyDescent="0.25">
      <c r="A5116" s="8"/>
    </row>
    <row r="5117" spans="1:1" ht="13.8" x14ac:dyDescent="0.25">
      <c r="A5117" s="8"/>
    </row>
    <row r="5118" spans="1:1" ht="13.8" x14ac:dyDescent="0.25">
      <c r="A5118" s="8"/>
    </row>
    <row r="5119" spans="1:1" ht="13.8" x14ac:dyDescent="0.25">
      <c r="A5119" s="8"/>
    </row>
    <row r="5120" spans="1:1" ht="13.8" x14ac:dyDescent="0.25">
      <c r="A5120" s="8"/>
    </row>
    <row r="5121" spans="1:1" ht="13.8" x14ac:dyDescent="0.25">
      <c r="A5121" s="8"/>
    </row>
    <row r="5122" spans="1:1" ht="13.8" x14ac:dyDescent="0.25">
      <c r="A5122" s="8"/>
    </row>
    <row r="5123" spans="1:1" ht="13.8" x14ac:dyDescent="0.25">
      <c r="A5123" s="8"/>
    </row>
    <row r="5124" spans="1:1" ht="13.8" x14ac:dyDescent="0.25">
      <c r="A5124" s="8"/>
    </row>
    <row r="5125" spans="1:1" ht="13.8" x14ac:dyDescent="0.25">
      <c r="A5125" s="8"/>
    </row>
    <row r="5126" spans="1:1" ht="13.8" x14ac:dyDescent="0.25">
      <c r="A5126" s="8"/>
    </row>
    <row r="5127" spans="1:1" ht="13.8" x14ac:dyDescent="0.25">
      <c r="A5127" s="8"/>
    </row>
    <row r="5128" spans="1:1" ht="13.8" x14ac:dyDescent="0.25">
      <c r="A5128" s="8"/>
    </row>
    <row r="5129" spans="1:1" ht="13.8" x14ac:dyDescent="0.25">
      <c r="A5129" s="8"/>
    </row>
    <row r="5130" spans="1:1" ht="13.8" x14ac:dyDescent="0.25">
      <c r="A5130" s="8"/>
    </row>
    <row r="5131" spans="1:1" ht="13.8" x14ac:dyDescent="0.25">
      <c r="A5131" s="8"/>
    </row>
    <row r="5132" spans="1:1" ht="13.8" x14ac:dyDescent="0.25">
      <c r="A5132" s="8"/>
    </row>
    <row r="5133" spans="1:1" ht="13.8" x14ac:dyDescent="0.25">
      <c r="A5133" s="8"/>
    </row>
    <row r="5134" spans="1:1" ht="13.8" x14ac:dyDescent="0.25">
      <c r="A5134" s="8"/>
    </row>
    <row r="5135" spans="1:1" ht="13.8" x14ac:dyDescent="0.25">
      <c r="A5135" s="8"/>
    </row>
    <row r="5136" spans="1:1" ht="13.8" x14ac:dyDescent="0.25">
      <c r="A5136" s="8"/>
    </row>
    <row r="5137" spans="1:1" ht="13.8" x14ac:dyDescent="0.25">
      <c r="A5137" s="8"/>
    </row>
    <row r="5138" spans="1:1" ht="13.8" x14ac:dyDescent="0.25">
      <c r="A5138" s="8"/>
    </row>
    <row r="5139" spans="1:1" ht="13.8" x14ac:dyDescent="0.25">
      <c r="A5139" s="8"/>
    </row>
    <row r="5140" spans="1:1" ht="13.8" x14ac:dyDescent="0.25">
      <c r="A5140" s="8"/>
    </row>
    <row r="5141" spans="1:1" ht="13.8" x14ac:dyDescent="0.25">
      <c r="A5141" s="8"/>
    </row>
    <row r="5142" spans="1:1" ht="13.8" x14ac:dyDescent="0.25">
      <c r="A5142" s="8"/>
    </row>
    <row r="5143" spans="1:1" ht="13.8" x14ac:dyDescent="0.25">
      <c r="A5143" s="8"/>
    </row>
    <row r="5144" spans="1:1" ht="13.8" x14ac:dyDescent="0.25">
      <c r="A5144" s="8"/>
    </row>
    <row r="5145" spans="1:1" ht="13.8" x14ac:dyDescent="0.25">
      <c r="A5145" s="8"/>
    </row>
    <row r="5146" spans="1:1" ht="13.8" x14ac:dyDescent="0.25">
      <c r="A5146" s="8"/>
    </row>
    <row r="5147" spans="1:1" ht="13.8" x14ac:dyDescent="0.25">
      <c r="A5147" s="8"/>
    </row>
    <row r="5148" spans="1:1" ht="13.8" x14ac:dyDescent="0.25">
      <c r="A5148" s="8"/>
    </row>
    <row r="5149" spans="1:1" ht="13.8" x14ac:dyDescent="0.25">
      <c r="A5149" s="8"/>
    </row>
    <row r="5150" spans="1:1" ht="13.8" x14ac:dyDescent="0.25">
      <c r="A5150" s="8"/>
    </row>
    <row r="5151" spans="1:1" ht="13.8" x14ac:dyDescent="0.25">
      <c r="A5151" s="8"/>
    </row>
    <row r="5152" spans="1:1" ht="13.8" x14ac:dyDescent="0.25">
      <c r="A5152" s="8"/>
    </row>
    <row r="5153" spans="1:1" ht="13.8" x14ac:dyDescent="0.25">
      <c r="A5153" s="8"/>
    </row>
    <row r="5154" spans="1:1" ht="13.8" x14ac:dyDescent="0.25">
      <c r="A5154" s="8"/>
    </row>
    <row r="5155" spans="1:1" ht="13.8" x14ac:dyDescent="0.25">
      <c r="A5155" s="8"/>
    </row>
    <row r="5156" spans="1:1" ht="13.8" x14ac:dyDescent="0.25">
      <c r="A5156" s="8"/>
    </row>
    <row r="5157" spans="1:1" ht="13.8" x14ac:dyDescent="0.25">
      <c r="A5157" s="8"/>
    </row>
    <row r="5158" spans="1:1" ht="13.8" x14ac:dyDescent="0.25">
      <c r="A5158" s="8"/>
    </row>
    <row r="5159" spans="1:1" ht="13.8" x14ac:dyDescent="0.25">
      <c r="A5159" s="8"/>
    </row>
    <row r="5160" spans="1:1" ht="13.8" x14ac:dyDescent="0.25">
      <c r="A5160" s="8"/>
    </row>
    <row r="5161" spans="1:1" ht="13.8" x14ac:dyDescent="0.25">
      <c r="A5161" s="8"/>
    </row>
    <row r="5162" spans="1:1" ht="13.8" x14ac:dyDescent="0.25">
      <c r="A5162" s="8"/>
    </row>
    <row r="5163" spans="1:1" ht="13.8" x14ac:dyDescent="0.25">
      <c r="A5163" s="8"/>
    </row>
    <row r="5164" spans="1:1" ht="13.8" x14ac:dyDescent="0.25">
      <c r="A5164" s="8"/>
    </row>
    <row r="5165" spans="1:1" ht="13.8" x14ac:dyDescent="0.25">
      <c r="A5165" s="8"/>
    </row>
    <row r="5166" spans="1:1" ht="13.8" x14ac:dyDescent="0.25">
      <c r="A5166" s="8"/>
    </row>
    <row r="5167" spans="1:1" ht="13.8" x14ac:dyDescent="0.25">
      <c r="A5167" s="8"/>
    </row>
    <row r="5168" spans="1:1" ht="13.8" x14ac:dyDescent="0.25">
      <c r="A5168" s="8"/>
    </row>
    <row r="5169" spans="1:1" ht="13.8" x14ac:dyDescent="0.25">
      <c r="A5169" s="8"/>
    </row>
    <row r="5170" spans="1:1" ht="13.8" x14ac:dyDescent="0.25">
      <c r="A5170" s="8"/>
    </row>
    <row r="5171" spans="1:1" ht="13.8" x14ac:dyDescent="0.25">
      <c r="A5171" s="8"/>
    </row>
    <row r="5172" spans="1:1" ht="13.8" x14ac:dyDescent="0.25">
      <c r="A5172" s="8"/>
    </row>
    <row r="5173" spans="1:1" ht="13.8" x14ac:dyDescent="0.25">
      <c r="A5173" s="8"/>
    </row>
    <row r="5174" spans="1:1" ht="13.8" x14ac:dyDescent="0.25">
      <c r="A5174" s="8"/>
    </row>
    <row r="5175" spans="1:1" ht="13.8" x14ac:dyDescent="0.25">
      <c r="A5175" s="8"/>
    </row>
    <row r="5176" spans="1:1" ht="13.8" x14ac:dyDescent="0.25">
      <c r="A5176" s="8"/>
    </row>
    <row r="5177" spans="1:1" ht="13.8" x14ac:dyDescent="0.25">
      <c r="A5177" s="8"/>
    </row>
    <row r="5178" spans="1:1" ht="13.8" x14ac:dyDescent="0.25">
      <c r="A5178" s="8"/>
    </row>
    <row r="5179" spans="1:1" ht="13.8" x14ac:dyDescent="0.25">
      <c r="A5179" s="8"/>
    </row>
    <row r="5180" spans="1:1" ht="13.8" x14ac:dyDescent="0.25">
      <c r="A5180" s="8"/>
    </row>
    <row r="5181" spans="1:1" ht="13.8" x14ac:dyDescent="0.25">
      <c r="A5181" s="8"/>
    </row>
    <row r="5182" spans="1:1" ht="13.8" x14ac:dyDescent="0.25">
      <c r="A5182" s="8"/>
    </row>
    <row r="5183" spans="1:1" ht="13.8" x14ac:dyDescent="0.25">
      <c r="A5183" s="8"/>
    </row>
    <row r="5184" spans="1:1" ht="13.8" x14ac:dyDescent="0.25">
      <c r="A5184" s="8"/>
    </row>
    <row r="5185" spans="1:1" ht="13.8" x14ac:dyDescent="0.25">
      <c r="A5185" s="8"/>
    </row>
    <row r="5186" spans="1:1" ht="13.8" x14ac:dyDescent="0.25">
      <c r="A5186" s="8"/>
    </row>
    <row r="5187" spans="1:1" ht="13.8" x14ac:dyDescent="0.25">
      <c r="A5187" s="8"/>
    </row>
    <row r="5188" spans="1:1" ht="13.8" x14ac:dyDescent="0.25">
      <c r="A5188" s="8"/>
    </row>
    <row r="5189" spans="1:1" ht="13.8" x14ac:dyDescent="0.25">
      <c r="A5189" s="8"/>
    </row>
    <row r="5190" spans="1:1" ht="13.8" x14ac:dyDescent="0.25">
      <c r="A5190" s="8"/>
    </row>
    <row r="5191" spans="1:1" ht="13.8" x14ac:dyDescent="0.25">
      <c r="A5191" s="8"/>
    </row>
    <row r="5192" spans="1:1" ht="13.8" x14ac:dyDescent="0.25">
      <c r="A5192" s="8"/>
    </row>
    <row r="5193" spans="1:1" ht="13.8" x14ac:dyDescent="0.25">
      <c r="A5193" s="8"/>
    </row>
    <row r="5194" spans="1:1" ht="13.8" x14ac:dyDescent="0.25">
      <c r="A5194" s="8"/>
    </row>
    <row r="5195" spans="1:1" ht="13.8" x14ac:dyDescent="0.25">
      <c r="A5195" s="8"/>
    </row>
    <row r="5196" spans="1:1" ht="13.8" x14ac:dyDescent="0.25">
      <c r="A5196" s="8"/>
    </row>
    <row r="5197" spans="1:1" ht="13.8" x14ac:dyDescent="0.25">
      <c r="A5197" s="8"/>
    </row>
    <row r="5198" spans="1:1" ht="13.8" x14ac:dyDescent="0.25">
      <c r="A5198" s="8"/>
    </row>
    <row r="5199" spans="1:1" ht="13.8" x14ac:dyDescent="0.25">
      <c r="A5199" s="8"/>
    </row>
    <row r="5200" spans="1:1" ht="13.8" x14ac:dyDescent="0.25">
      <c r="A5200" s="8"/>
    </row>
    <row r="5201" spans="1:1" ht="13.8" x14ac:dyDescent="0.25">
      <c r="A5201" s="8"/>
    </row>
    <row r="5202" spans="1:1" ht="13.8" x14ac:dyDescent="0.25">
      <c r="A5202" s="8"/>
    </row>
    <row r="5203" spans="1:1" ht="13.8" x14ac:dyDescent="0.25">
      <c r="A5203" s="8"/>
    </row>
    <row r="5204" spans="1:1" ht="13.8" x14ac:dyDescent="0.25">
      <c r="A5204" s="8"/>
    </row>
    <row r="5205" spans="1:1" ht="13.8" x14ac:dyDescent="0.25">
      <c r="A5205" s="8"/>
    </row>
    <row r="5206" spans="1:1" ht="13.8" x14ac:dyDescent="0.25">
      <c r="A5206" s="8"/>
    </row>
    <row r="5207" spans="1:1" ht="13.8" x14ac:dyDescent="0.25">
      <c r="A5207" s="8"/>
    </row>
    <row r="5208" spans="1:1" ht="13.8" x14ac:dyDescent="0.25">
      <c r="A5208" s="8"/>
    </row>
    <row r="5209" spans="1:1" ht="13.8" x14ac:dyDescent="0.25">
      <c r="A5209" s="8"/>
    </row>
    <row r="5210" spans="1:1" ht="13.8" x14ac:dyDescent="0.25">
      <c r="A5210" s="8"/>
    </row>
    <row r="5211" spans="1:1" ht="13.8" x14ac:dyDescent="0.25">
      <c r="A5211" s="8"/>
    </row>
    <row r="5212" spans="1:1" ht="13.8" x14ac:dyDescent="0.25">
      <c r="A5212" s="8"/>
    </row>
    <row r="5213" spans="1:1" ht="13.8" x14ac:dyDescent="0.25">
      <c r="A5213" s="8"/>
    </row>
    <row r="5214" spans="1:1" ht="13.8" x14ac:dyDescent="0.25">
      <c r="A5214" s="8"/>
    </row>
    <row r="5215" spans="1:1" ht="13.8" x14ac:dyDescent="0.25">
      <c r="A5215" s="8"/>
    </row>
    <row r="5216" spans="1:1" ht="13.8" x14ac:dyDescent="0.25">
      <c r="A5216" s="8"/>
    </row>
    <row r="5217" spans="1:1" ht="13.8" x14ac:dyDescent="0.25">
      <c r="A5217" s="8"/>
    </row>
    <row r="5218" spans="1:1" ht="13.8" x14ac:dyDescent="0.25">
      <c r="A5218" s="8"/>
    </row>
    <row r="5219" spans="1:1" ht="13.8" x14ac:dyDescent="0.25">
      <c r="A5219" s="8"/>
    </row>
    <row r="5220" spans="1:1" ht="13.8" x14ac:dyDescent="0.25">
      <c r="A5220" s="8"/>
    </row>
    <row r="5221" spans="1:1" ht="13.8" x14ac:dyDescent="0.25">
      <c r="A5221" s="8"/>
    </row>
    <row r="5222" spans="1:1" ht="13.8" x14ac:dyDescent="0.25">
      <c r="A5222" s="8"/>
    </row>
    <row r="5223" spans="1:1" ht="13.8" x14ac:dyDescent="0.25">
      <c r="A5223" s="8"/>
    </row>
    <row r="5224" spans="1:1" ht="13.8" x14ac:dyDescent="0.25">
      <c r="A5224" s="8"/>
    </row>
    <row r="5225" spans="1:1" ht="13.8" x14ac:dyDescent="0.25">
      <c r="A5225" s="8"/>
    </row>
    <row r="5226" spans="1:1" ht="13.8" x14ac:dyDescent="0.25">
      <c r="A5226" s="8"/>
    </row>
    <row r="5227" spans="1:1" ht="13.8" x14ac:dyDescent="0.25">
      <c r="A5227" s="8"/>
    </row>
    <row r="5228" spans="1:1" ht="13.8" x14ac:dyDescent="0.25">
      <c r="A5228" s="8"/>
    </row>
    <row r="5229" spans="1:1" ht="13.8" x14ac:dyDescent="0.25">
      <c r="A5229" s="8"/>
    </row>
    <row r="5230" spans="1:1" ht="13.8" x14ac:dyDescent="0.25">
      <c r="A5230" s="8"/>
    </row>
    <row r="5231" spans="1:1" ht="13.8" x14ac:dyDescent="0.25">
      <c r="A5231" s="8"/>
    </row>
    <row r="5232" spans="1:1" ht="13.8" x14ac:dyDescent="0.25">
      <c r="A5232" s="8"/>
    </row>
    <row r="5233" spans="1:1" ht="13.8" x14ac:dyDescent="0.25">
      <c r="A5233" s="8"/>
    </row>
    <row r="5234" spans="1:1" ht="13.8" x14ac:dyDescent="0.25">
      <c r="A5234" s="8"/>
    </row>
    <row r="5235" spans="1:1" ht="13.8" x14ac:dyDescent="0.25">
      <c r="A5235" s="8"/>
    </row>
    <row r="5236" spans="1:1" ht="13.8" x14ac:dyDescent="0.25">
      <c r="A5236" s="8"/>
    </row>
    <row r="5237" spans="1:1" ht="13.8" x14ac:dyDescent="0.25">
      <c r="A5237" s="8"/>
    </row>
    <row r="5238" spans="1:1" ht="13.8" x14ac:dyDescent="0.25">
      <c r="A5238" s="8"/>
    </row>
    <row r="5239" spans="1:1" ht="13.8" x14ac:dyDescent="0.25">
      <c r="A5239" s="8"/>
    </row>
    <row r="5240" spans="1:1" ht="13.8" x14ac:dyDescent="0.25">
      <c r="A5240" s="8"/>
    </row>
    <row r="5241" spans="1:1" ht="13.8" x14ac:dyDescent="0.25">
      <c r="A5241" s="8"/>
    </row>
    <row r="5242" spans="1:1" ht="13.8" x14ac:dyDescent="0.25">
      <c r="A5242" s="8"/>
    </row>
    <row r="5243" spans="1:1" ht="13.8" x14ac:dyDescent="0.25">
      <c r="A5243" s="8"/>
    </row>
    <row r="5244" spans="1:1" ht="13.8" x14ac:dyDescent="0.25">
      <c r="A5244" s="8"/>
    </row>
    <row r="5245" spans="1:1" ht="13.8" x14ac:dyDescent="0.25">
      <c r="A5245" s="8"/>
    </row>
    <row r="5246" spans="1:1" ht="13.8" x14ac:dyDescent="0.25">
      <c r="A5246" s="8"/>
    </row>
    <row r="5247" spans="1:1" ht="13.8" x14ac:dyDescent="0.25">
      <c r="A5247" s="8"/>
    </row>
    <row r="5248" spans="1:1" ht="13.8" x14ac:dyDescent="0.25">
      <c r="A5248" s="8"/>
    </row>
    <row r="5249" spans="1:1" ht="13.8" x14ac:dyDescent="0.25">
      <c r="A5249" s="8"/>
    </row>
    <row r="5250" spans="1:1" ht="13.8" x14ac:dyDescent="0.25">
      <c r="A5250" s="8"/>
    </row>
    <row r="5251" spans="1:1" ht="13.8" x14ac:dyDescent="0.25">
      <c r="A5251" s="8"/>
    </row>
    <row r="5252" spans="1:1" ht="13.8" x14ac:dyDescent="0.25">
      <c r="A5252" s="8"/>
    </row>
    <row r="5253" spans="1:1" ht="13.8" x14ac:dyDescent="0.25">
      <c r="A5253" s="8"/>
    </row>
    <row r="5254" spans="1:1" ht="13.8" x14ac:dyDescent="0.25">
      <c r="A5254" s="8"/>
    </row>
    <row r="5255" spans="1:1" ht="13.8" x14ac:dyDescent="0.25">
      <c r="A5255" s="8"/>
    </row>
    <row r="5256" spans="1:1" ht="13.8" x14ac:dyDescent="0.25">
      <c r="A5256" s="8"/>
    </row>
    <row r="5257" spans="1:1" ht="13.8" x14ac:dyDescent="0.25">
      <c r="A5257" s="8"/>
    </row>
    <row r="5258" spans="1:1" ht="13.8" x14ac:dyDescent="0.25">
      <c r="A5258" s="8"/>
    </row>
    <row r="5259" spans="1:1" ht="13.8" x14ac:dyDescent="0.25">
      <c r="A5259" s="8"/>
    </row>
    <row r="5260" spans="1:1" ht="13.8" x14ac:dyDescent="0.25">
      <c r="A5260" s="8"/>
    </row>
    <row r="5261" spans="1:1" ht="13.8" x14ac:dyDescent="0.25">
      <c r="A5261" s="8"/>
    </row>
    <row r="5262" spans="1:1" ht="13.8" x14ac:dyDescent="0.25">
      <c r="A5262" s="8"/>
    </row>
    <row r="5263" spans="1:1" ht="13.8" x14ac:dyDescent="0.25">
      <c r="A5263" s="8"/>
    </row>
    <row r="5264" spans="1:1" ht="13.8" x14ac:dyDescent="0.25">
      <c r="A5264" s="8"/>
    </row>
    <row r="5265" spans="1:1" ht="13.8" x14ac:dyDescent="0.25">
      <c r="A5265" s="8"/>
    </row>
    <row r="5266" spans="1:1" ht="13.8" x14ac:dyDescent="0.25">
      <c r="A5266" s="8"/>
    </row>
    <row r="5267" spans="1:1" ht="13.8" x14ac:dyDescent="0.25">
      <c r="A5267" s="8"/>
    </row>
    <row r="5268" spans="1:1" ht="13.8" x14ac:dyDescent="0.25">
      <c r="A5268" s="8"/>
    </row>
    <row r="5269" spans="1:1" ht="13.8" x14ac:dyDescent="0.25">
      <c r="A5269" s="8"/>
    </row>
    <row r="5270" spans="1:1" ht="13.8" x14ac:dyDescent="0.25">
      <c r="A5270" s="8"/>
    </row>
    <row r="5271" spans="1:1" ht="13.8" x14ac:dyDescent="0.25">
      <c r="A5271" s="8"/>
    </row>
    <row r="5272" spans="1:1" ht="13.8" x14ac:dyDescent="0.25">
      <c r="A5272" s="8"/>
    </row>
    <row r="5273" spans="1:1" ht="13.8" x14ac:dyDescent="0.25">
      <c r="A5273" s="8"/>
    </row>
    <row r="5274" spans="1:1" ht="13.8" x14ac:dyDescent="0.25">
      <c r="A5274" s="8"/>
    </row>
    <row r="5275" spans="1:1" ht="13.8" x14ac:dyDescent="0.25">
      <c r="A5275" s="8"/>
    </row>
    <row r="5276" spans="1:1" ht="13.8" x14ac:dyDescent="0.25">
      <c r="A5276" s="8"/>
    </row>
    <row r="5277" spans="1:1" ht="13.8" x14ac:dyDescent="0.25">
      <c r="A5277" s="8"/>
    </row>
    <row r="5278" spans="1:1" ht="13.8" x14ac:dyDescent="0.25">
      <c r="A5278" s="8"/>
    </row>
    <row r="5279" spans="1:1" ht="13.8" x14ac:dyDescent="0.25">
      <c r="A5279" s="8"/>
    </row>
    <row r="5280" spans="1:1" ht="13.8" x14ac:dyDescent="0.25">
      <c r="A5280" s="8"/>
    </row>
    <row r="5281" spans="1:1" ht="13.8" x14ac:dyDescent="0.25">
      <c r="A5281" s="8"/>
    </row>
    <row r="5282" spans="1:1" ht="13.8" x14ac:dyDescent="0.25">
      <c r="A5282" s="8"/>
    </row>
    <row r="5283" spans="1:1" ht="13.8" x14ac:dyDescent="0.25">
      <c r="A5283" s="8"/>
    </row>
    <row r="5284" spans="1:1" ht="13.8" x14ac:dyDescent="0.25">
      <c r="A5284" s="8"/>
    </row>
    <row r="5285" spans="1:1" ht="13.8" x14ac:dyDescent="0.25">
      <c r="A5285" s="8"/>
    </row>
    <row r="5286" spans="1:1" ht="13.8" x14ac:dyDescent="0.25">
      <c r="A5286" s="8"/>
    </row>
    <row r="5287" spans="1:1" ht="13.8" x14ac:dyDescent="0.25">
      <c r="A5287" s="8"/>
    </row>
    <row r="5288" spans="1:1" ht="13.8" x14ac:dyDescent="0.25">
      <c r="A5288" s="8"/>
    </row>
    <row r="5289" spans="1:1" ht="13.8" x14ac:dyDescent="0.25">
      <c r="A5289" s="8"/>
    </row>
    <row r="5290" spans="1:1" ht="13.8" x14ac:dyDescent="0.25">
      <c r="A5290" s="8"/>
    </row>
    <row r="5291" spans="1:1" ht="13.8" x14ac:dyDescent="0.25">
      <c r="A5291" s="8"/>
    </row>
    <row r="5292" spans="1:1" ht="13.8" x14ac:dyDescent="0.25">
      <c r="A5292" s="8"/>
    </row>
    <row r="5293" spans="1:1" ht="13.8" x14ac:dyDescent="0.25">
      <c r="A5293" s="8"/>
    </row>
    <row r="5294" spans="1:1" ht="13.8" x14ac:dyDescent="0.25">
      <c r="A5294" s="8"/>
    </row>
    <row r="5295" spans="1:1" ht="13.8" x14ac:dyDescent="0.25">
      <c r="A5295" s="8"/>
    </row>
    <row r="5296" spans="1:1" ht="13.8" x14ac:dyDescent="0.25">
      <c r="A5296" s="8"/>
    </row>
    <row r="5297" spans="1:1" ht="13.8" x14ac:dyDescent="0.25">
      <c r="A5297" s="8"/>
    </row>
    <row r="5298" spans="1:1" ht="13.8" x14ac:dyDescent="0.25">
      <c r="A5298" s="8"/>
    </row>
    <row r="5299" spans="1:1" ht="13.8" x14ac:dyDescent="0.25">
      <c r="A5299" s="8"/>
    </row>
    <row r="5300" spans="1:1" ht="13.8" x14ac:dyDescent="0.25">
      <c r="A5300" s="8"/>
    </row>
    <row r="5301" spans="1:1" ht="13.8" x14ac:dyDescent="0.25">
      <c r="A5301" s="8"/>
    </row>
    <row r="5302" spans="1:1" ht="13.8" x14ac:dyDescent="0.25">
      <c r="A5302" s="8"/>
    </row>
    <row r="5303" spans="1:1" ht="13.8" x14ac:dyDescent="0.25">
      <c r="A5303" s="8"/>
    </row>
    <row r="5304" spans="1:1" ht="13.8" x14ac:dyDescent="0.25">
      <c r="A5304" s="8"/>
    </row>
    <row r="5305" spans="1:1" ht="13.8" x14ac:dyDescent="0.25">
      <c r="A5305" s="8"/>
    </row>
    <row r="5306" spans="1:1" ht="13.8" x14ac:dyDescent="0.25">
      <c r="A5306" s="8"/>
    </row>
    <row r="5307" spans="1:1" ht="13.8" x14ac:dyDescent="0.25">
      <c r="A5307" s="8"/>
    </row>
    <row r="5308" spans="1:1" ht="13.8" x14ac:dyDescent="0.25">
      <c r="A5308" s="8"/>
    </row>
    <row r="5309" spans="1:1" ht="13.8" x14ac:dyDescent="0.25">
      <c r="A5309" s="8"/>
    </row>
    <row r="5310" spans="1:1" ht="13.8" x14ac:dyDescent="0.25">
      <c r="A5310" s="8"/>
    </row>
    <row r="5311" spans="1:1" ht="13.8" x14ac:dyDescent="0.25">
      <c r="A5311" s="8"/>
    </row>
    <row r="5312" spans="1:1" ht="13.8" x14ac:dyDescent="0.25">
      <c r="A5312" s="8"/>
    </row>
    <row r="5313" spans="1:1" ht="13.8" x14ac:dyDescent="0.25">
      <c r="A5313" s="8"/>
    </row>
    <row r="5314" spans="1:1" ht="13.8" x14ac:dyDescent="0.25">
      <c r="A5314" s="8"/>
    </row>
    <row r="5315" spans="1:1" ht="13.8" x14ac:dyDescent="0.25">
      <c r="A5315" s="8"/>
    </row>
    <row r="5316" spans="1:1" ht="13.8" x14ac:dyDescent="0.25">
      <c r="A5316" s="8"/>
    </row>
    <row r="5317" spans="1:1" ht="13.8" x14ac:dyDescent="0.25">
      <c r="A5317" s="8"/>
    </row>
    <row r="5318" spans="1:1" ht="13.8" x14ac:dyDescent="0.25">
      <c r="A5318" s="8"/>
    </row>
    <row r="5319" spans="1:1" ht="13.8" x14ac:dyDescent="0.25">
      <c r="A5319" s="8"/>
    </row>
    <row r="5320" spans="1:1" ht="13.8" x14ac:dyDescent="0.25">
      <c r="A5320" s="8"/>
    </row>
    <row r="5321" spans="1:1" ht="13.8" x14ac:dyDescent="0.25">
      <c r="A5321" s="8"/>
    </row>
    <row r="5322" spans="1:1" ht="13.8" x14ac:dyDescent="0.25">
      <c r="A5322" s="8"/>
    </row>
    <row r="5323" spans="1:1" ht="13.8" x14ac:dyDescent="0.25">
      <c r="A5323" s="8"/>
    </row>
    <row r="5324" spans="1:1" ht="13.8" x14ac:dyDescent="0.25">
      <c r="A5324" s="8"/>
    </row>
    <row r="5325" spans="1:1" ht="13.8" x14ac:dyDescent="0.25">
      <c r="A5325" s="8"/>
    </row>
    <row r="5326" spans="1:1" ht="13.8" x14ac:dyDescent="0.25">
      <c r="A5326" s="8"/>
    </row>
    <row r="5327" spans="1:1" ht="13.8" x14ac:dyDescent="0.25">
      <c r="A5327" s="8"/>
    </row>
    <row r="5328" spans="1:1" ht="13.8" x14ac:dyDescent="0.25">
      <c r="A5328" s="8"/>
    </row>
    <row r="5329" spans="1:1" ht="13.8" x14ac:dyDescent="0.25">
      <c r="A5329" s="8"/>
    </row>
    <row r="5330" spans="1:1" ht="13.8" x14ac:dyDescent="0.25">
      <c r="A5330" s="8"/>
    </row>
    <row r="5331" spans="1:1" ht="13.8" x14ac:dyDescent="0.25">
      <c r="A5331" s="8"/>
    </row>
    <row r="5332" spans="1:1" ht="13.8" x14ac:dyDescent="0.25">
      <c r="A5332" s="8"/>
    </row>
    <row r="5333" spans="1:1" ht="13.8" x14ac:dyDescent="0.25">
      <c r="A5333" s="8"/>
    </row>
    <row r="5334" spans="1:1" ht="13.8" x14ac:dyDescent="0.25">
      <c r="A5334" s="8"/>
    </row>
    <row r="5335" spans="1:1" ht="13.8" x14ac:dyDescent="0.25">
      <c r="A5335" s="8"/>
    </row>
    <row r="5336" spans="1:1" ht="13.8" x14ac:dyDescent="0.25">
      <c r="A5336" s="8"/>
    </row>
    <row r="5337" spans="1:1" ht="13.8" x14ac:dyDescent="0.25">
      <c r="A5337" s="8"/>
    </row>
    <row r="5338" spans="1:1" ht="13.8" x14ac:dyDescent="0.25">
      <c r="A5338" s="8"/>
    </row>
    <row r="5339" spans="1:1" ht="13.8" x14ac:dyDescent="0.25">
      <c r="A5339" s="8"/>
    </row>
    <row r="5340" spans="1:1" ht="13.8" x14ac:dyDescent="0.25">
      <c r="A5340" s="8"/>
    </row>
    <row r="5341" spans="1:1" ht="13.8" x14ac:dyDescent="0.25">
      <c r="A5341" s="8"/>
    </row>
    <row r="5342" spans="1:1" ht="13.8" x14ac:dyDescent="0.25">
      <c r="A5342" s="8"/>
    </row>
    <row r="5343" spans="1:1" ht="13.8" x14ac:dyDescent="0.25">
      <c r="A5343" s="8"/>
    </row>
    <row r="5344" spans="1:1" ht="13.8" x14ac:dyDescent="0.25">
      <c r="A5344" s="8"/>
    </row>
    <row r="5345" spans="1:1" ht="13.8" x14ac:dyDescent="0.25">
      <c r="A5345" s="8"/>
    </row>
    <row r="5346" spans="1:1" ht="13.8" x14ac:dyDescent="0.25">
      <c r="A5346" s="8"/>
    </row>
    <row r="5347" spans="1:1" ht="13.8" x14ac:dyDescent="0.25">
      <c r="A5347" s="8"/>
    </row>
    <row r="5348" spans="1:1" ht="13.8" x14ac:dyDescent="0.25">
      <c r="A5348" s="8"/>
    </row>
    <row r="5349" spans="1:1" ht="13.8" x14ac:dyDescent="0.25">
      <c r="A5349" s="8"/>
    </row>
    <row r="5350" spans="1:1" ht="13.8" x14ac:dyDescent="0.25">
      <c r="A5350" s="8"/>
    </row>
    <row r="5351" spans="1:1" ht="13.8" x14ac:dyDescent="0.25">
      <c r="A5351" s="8"/>
    </row>
    <row r="5352" spans="1:1" ht="13.8" x14ac:dyDescent="0.25">
      <c r="A5352" s="8"/>
    </row>
    <row r="5353" spans="1:1" ht="13.8" x14ac:dyDescent="0.25">
      <c r="A5353" s="8"/>
    </row>
    <row r="5354" spans="1:1" ht="13.8" x14ac:dyDescent="0.25">
      <c r="A5354" s="8"/>
    </row>
    <row r="5355" spans="1:1" ht="13.8" x14ac:dyDescent="0.25">
      <c r="A5355" s="8"/>
    </row>
    <row r="5356" spans="1:1" ht="13.8" x14ac:dyDescent="0.25">
      <c r="A5356" s="8"/>
    </row>
    <row r="5357" spans="1:1" ht="13.8" x14ac:dyDescent="0.25">
      <c r="A5357" s="8"/>
    </row>
    <row r="5358" spans="1:1" ht="13.8" x14ac:dyDescent="0.25">
      <c r="A5358" s="8"/>
    </row>
    <row r="5359" spans="1:1" ht="13.8" x14ac:dyDescent="0.25">
      <c r="A5359" s="8"/>
    </row>
    <row r="5360" spans="1:1" ht="13.8" x14ac:dyDescent="0.25">
      <c r="A5360" s="8"/>
    </row>
    <row r="5361" spans="1:1" ht="13.8" x14ac:dyDescent="0.25">
      <c r="A5361" s="8"/>
    </row>
    <row r="5362" spans="1:1" ht="13.8" x14ac:dyDescent="0.25">
      <c r="A5362" s="8"/>
    </row>
    <row r="5363" spans="1:1" ht="13.8" x14ac:dyDescent="0.25">
      <c r="A5363" s="8"/>
    </row>
    <row r="5364" spans="1:1" ht="13.8" x14ac:dyDescent="0.25">
      <c r="A5364" s="8"/>
    </row>
    <row r="5365" spans="1:1" ht="13.8" x14ac:dyDescent="0.25">
      <c r="A5365" s="8"/>
    </row>
    <row r="5366" spans="1:1" ht="13.8" x14ac:dyDescent="0.25">
      <c r="A5366" s="8"/>
    </row>
    <row r="5367" spans="1:1" ht="13.8" x14ac:dyDescent="0.25">
      <c r="A5367" s="8"/>
    </row>
    <row r="5368" spans="1:1" ht="13.8" x14ac:dyDescent="0.25">
      <c r="A5368" s="8"/>
    </row>
    <row r="5369" spans="1:1" ht="13.8" x14ac:dyDescent="0.25">
      <c r="A5369" s="8"/>
    </row>
    <row r="5370" spans="1:1" ht="13.8" x14ac:dyDescent="0.25">
      <c r="A5370" s="8"/>
    </row>
    <row r="5371" spans="1:1" ht="13.8" x14ac:dyDescent="0.25">
      <c r="A5371" s="8"/>
    </row>
    <row r="5372" spans="1:1" ht="13.8" x14ac:dyDescent="0.25">
      <c r="A5372" s="8"/>
    </row>
    <row r="5373" spans="1:1" ht="13.8" x14ac:dyDescent="0.25">
      <c r="A5373" s="8"/>
    </row>
    <row r="5374" spans="1:1" ht="13.8" x14ac:dyDescent="0.25">
      <c r="A5374" s="8"/>
    </row>
    <row r="5375" spans="1:1" ht="13.8" x14ac:dyDescent="0.25">
      <c r="A5375" s="8"/>
    </row>
    <row r="5376" spans="1:1" ht="13.8" x14ac:dyDescent="0.25">
      <c r="A5376" s="8"/>
    </row>
    <row r="5377" spans="1:1" ht="13.8" x14ac:dyDescent="0.25">
      <c r="A5377" s="8"/>
    </row>
    <row r="5378" spans="1:1" ht="13.8" x14ac:dyDescent="0.25">
      <c r="A5378" s="8"/>
    </row>
    <row r="5379" spans="1:1" ht="13.8" x14ac:dyDescent="0.25">
      <c r="A5379" s="8"/>
    </row>
    <row r="5380" spans="1:1" ht="13.8" x14ac:dyDescent="0.25">
      <c r="A5380" s="8"/>
    </row>
    <row r="5381" spans="1:1" ht="13.8" x14ac:dyDescent="0.25">
      <c r="A5381" s="8"/>
    </row>
    <row r="5382" spans="1:1" ht="13.8" x14ac:dyDescent="0.25">
      <c r="A5382" s="8"/>
    </row>
    <row r="5383" spans="1:1" ht="13.8" x14ac:dyDescent="0.25">
      <c r="A5383" s="8"/>
    </row>
    <row r="5384" spans="1:1" ht="13.8" x14ac:dyDescent="0.25">
      <c r="A5384" s="8"/>
    </row>
    <row r="5385" spans="1:1" ht="13.8" x14ac:dyDescent="0.25">
      <c r="A5385" s="8"/>
    </row>
    <row r="5386" spans="1:1" ht="13.8" x14ac:dyDescent="0.25">
      <c r="A5386" s="8"/>
    </row>
    <row r="5387" spans="1:1" ht="13.8" x14ac:dyDescent="0.25">
      <c r="A5387" s="8"/>
    </row>
    <row r="5388" spans="1:1" ht="13.8" x14ac:dyDescent="0.25">
      <c r="A5388" s="8"/>
    </row>
    <row r="5389" spans="1:1" ht="13.8" x14ac:dyDescent="0.25">
      <c r="A5389" s="8"/>
    </row>
    <row r="5390" spans="1:1" ht="13.8" x14ac:dyDescent="0.25">
      <c r="A5390" s="8"/>
    </row>
    <row r="5391" spans="1:1" ht="13.8" x14ac:dyDescent="0.25">
      <c r="A5391" s="8"/>
    </row>
    <row r="5392" spans="1:1" ht="13.8" x14ac:dyDescent="0.25">
      <c r="A5392" s="8"/>
    </row>
    <row r="5393" spans="1:1" ht="13.8" x14ac:dyDescent="0.25">
      <c r="A5393" s="8"/>
    </row>
    <row r="5394" spans="1:1" ht="13.8" x14ac:dyDescent="0.25">
      <c r="A5394" s="8"/>
    </row>
    <row r="5395" spans="1:1" ht="13.8" x14ac:dyDescent="0.25">
      <c r="A5395" s="8"/>
    </row>
    <row r="5396" spans="1:1" ht="13.8" x14ac:dyDescent="0.25">
      <c r="A5396" s="8"/>
    </row>
    <row r="5397" spans="1:1" ht="13.8" x14ac:dyDescent="0.25">
      <c r="A5397" s="8"/>
    </row>
    <row r="5398" spans="1:1" ht="13.8" x14ac:dyDescent="0.25">
      <c r="A5398" s="8"/>
    </row>
    <row r="5399" spans="1:1" ht="13.8" x14ac:dyDescent="0.25">
      <c r="A5399" s="8"/>
    </row>
    <row r="5400" spans="1:1" ht="13.8" x14ac:dyDescent="0.25">
      <c r="A5400" s="8"/>
    </row>
    <row r="5401" spans="1:1" ht="13.8" x14ac:dyDescent="0.25">
      <c r="A5401" s="8"/>
    </row>
    <row r="5402" spans="1:1" ht="13.8" x14ac:dyDescent="0.25">
      <c r="A5402" s="8"/>
    </row>
    <row r="5403" spans="1:1" ht="13.8" x14ac:dyDescent="0.25">
      <c r="A5403" s="8"/>
    </row>
    <row r="5404" spans="1:1" ht="13.8" x14ac:dyDescent="0.25">
      <c r="A5404" s="8"/>
    </row>
    <row r="5405" spans="1:1" ht="13.8" x14ac:dyDescent="0.25">
      <c r="A5405" s="8"/>
    </row>
    <row r="5406" spans="1:1" ht="13.8" x14ac:dyDescent="0.25">
      <c r="A5406" s="8"/>
    </row>
    <row r="5407" spans="1:1" ht="13.8" x14ac:dyDescent="0.25">
      <c r="A5407" s="8"/>
    </row>
    <row r="5408" spans="1:1" ht="13.8" x14ac:dyDescent="0.25">
      <c r="A5408" s="8"/>
    </row>
    <row r="5409" spans="1:1" ht="13.8" x14ac:dyDescent="0.25">
      <c r="A5409" s="8"/>
    </row>
    <row r="5410" spans="1:1" ht="13.8" x14ac:dyDescent="0.25">
      <c r="A5410" s="8"/>
    </row>
    <row r="5411" spans="1:1" ht="13.8" x14ac:dyDescent="0.25">
      <c r="A5411" s="8"/>
    </row>
    <row r="5412" spans="1:1" ht="13.8" x14ac:dyDescent="0.25">
      <c r="A5412" s="8"/>
    </row>
    <row r="5413" spans="1:1" ht="13.8" x14ac:dyDescent="0.25">
      <c r="A5413" s="8"/>
    </row>
    <row r="5414" spans="1:1" ht="13.8" x14ac:dyDescent="0.25">
      <c r="A5414" s="8"/>
    </row>
    <row r="5415" spans="1:1" ht="13.8" x14ac:dyDescent="0.25">
      <c r="A5415" s="8"/>
    </row>
    <row r="5416" spans="1:1" ht="13.8" x14ac:dyDescent="0.25">
      <c r="A5416" s="8"/>
    </row>
    <row r="5417" spans="1:1" ht="13.8" x14ac:dyDescent="0.25">
      <c r="A5417" s="8"/>
    </row>
    <row r="5418" spans="1:1" ht="13.8" x14ac:dyDescent="0.25">
      <c r="A5418" s="8"/>
    </row>
    <row r="5419" spans="1:1" ht="13.8" x14ac:dyDescent="0.25">
      <c r="A5419" s="8"/>
    </row>
    <row r="5420" spans="1:1" ht="13.8" x14ac:dyDescent="0.25">
      <c r="A5420" s="8"/>
    </row>
    <row r="5421" spans="1:1" ht="13.8" x14ac:dyDescent="0.25">
      <c r="A5421" s="8"/>
    </row>
    <row r="5422" spans="1:1" ht="13.8" x14ac:dyDescent="0.25">
      <c r="A5422" s="8"/>
    </row>
    <row r="5423" spans="1:1" ht="13.8" x14ac:dyDescent="0.25">
      <c r="A5423" s="8"/>
    </row>
    <row r="5424" spans="1:1" ht="13.8" x14ac:dyDescent="0.25">
      <c r="A5424" s="8"/>
    </row>
    <row r="5425" spans="1:1" ht="13.8" x14ac:dyDescent="0.25">
      <c r="A5425" s="8"/>
    </row>
    <row r="5426" spans="1:1" ht="13.8" x14ac:dyDescent="0.25">
      <c r="A5426" s="8"/>
    </row>
    <row r="5427" spans="1:1" ht="13.8" x14ac:dyDescent="0.25">
      <c r="A5427" s="8"/>
    </row>
    <row r="5428" spans="1:1" ht="13.8" x14ac:dyDescent="0.25">
      <c r="A5428" s="8"/>
    </row>
    <row r="5429" spans="1:1" ht="13.8" x14ac:dyDescent="0.25">
      <c r="A5429" s="8"/>
    </row>
    <row r="5430" spans="1:1" ht="13.8" x14ac:dyDescent="0.25">
      <c r="A5430" s="8"/>
    </row>
    <row r="5431" spans="1:1" ht="13.8" x14ac:dyDescent="0.25">
      <c r="A5431" s="8"/>
    </row>
    <row r="5432" spans="1:1" ht="13.8" x14ac:dyDescent="0.25">
      <c r="A5432" s="8"/>
    </row>
    <row r="5433" spans="1:1" ht="13.8" x14ac:dyDescent="0.25">
      <c r="A5433" s="8"/>
    </row>
    <row r="5434" spans="1:1" ht="13.8" x14ac:dyDescent="0.25">
      <c r="A5434" s="8"/>
    </row>
    <row r="5435" spans="1:1" ht="13.8" x14ac:dyDescent="0.25">
      <c r="A5435" s="8"/>
    </row>
    <row r="5436" spans="1:1" ht="13.8" x14ac:dyDescent="0.25">
      <c r="A5436" s="8"/>
    </row>
    <row r="5437" spans="1:1" ht="13.8" x14ac:dyDescent="0.25">
      <c r="A5437" s="8"/>
    </row>
    <row r="5438" spans="1:1" ht="13.8" x14ac:dyDescent="0.25">
      <c r="A5438" s="8"/>
    </row>
    <row r="5439" spans="1:1" ht="13.8" x14ac:dyDescent="0.25">
      <c r="A5439" s="8"/>
    </row>
    <row r="5440" spans="1:1" ht="13.8" x14ac:dyDescent="0.25">
      <c r="A5440" s="8"/>
    </row>
    <row r="5441" spans="1:1" ht="13.8" x14ac:dyDescent="0.25">
      <c r="A5441" s="8"/>
    </row>
    <row r="5442" spans="1:1" ht="13.8" x14ac:dyDescent="0.25">
      <c r="A5442" s="8"/>
    </row>
    <row r="5443" spans="1:1" ht="13.8" x14ac:dyDescent="0.25">
      <c r="A5443" s="8"/>
    </row>
    <row r="5444" spans="1:1" ht="13.8" x14ac:dyDescent="0.25">
      <c r="A5444" s="8"/>
    </row>
    <row r="5445" spans="1:1" ht="13.8" x14ac:dyDescent="0.25">
      <c r="A5445" s="8"/>
    </row>
    <row r="5446" spans="1:1" ht="13.8" x14ac:dyDescent="0.25">
      <c r="A5446" s="8"/>
    </row>
    <row r="5447" spans="1:1" ht="13.8" x14ac:dyDescent="0.25">
      <c r="A5447" s="8"/>
    </row>
    <row r="5448" spans="1:1" ht="13.8" x14ac:dyDescent="0.25">
      <c r="A5448" s="8"/>
    </row>
    <row r="5449" spans="1:1" ht="13.8" x14ac:dyDescent="0.25">
      <c r="A5449" s="8"/>
    </row>
    <row r="5450" spans="1:1" ht="13.8" x14ac:dyDescent="0.25">
      <c r="A5450" s="8"/>
    </row>
    <row r="5451" spans="1:1" ht="13.8" x14ac:dyDescent="0.25">
      <c r="A5451" s="8"/>
    </row>
    <row r="5452" spans="1:1" ht="13.8" x14ac:dyDescent="0.25">
      <c r="A5452" s="8"/>
    </row>
    <row r="5453" spans="1:1" ht="13.8" x14ac:dyDescent="0.25">
      <c r="A5453" s="8"/>
    </row>
    <row r="5454" spans="1:1" ht="13.8" x14ac:dyDescent="0.25">
      <c r="A5454" s="8"/>
    </row>
    <row r="5455" spans="1:1" ht="13.8" x14ac:dyDescent="0.25">
      <c r="A5455" s="8"/>
    </row>
    <row r="5456" spans="1:1" ht="13.8" x14ac:dyDescent="0.25">
      <c r="A5456" s="8"/>
    </row>
    <row r="5457" spans="1:1" ht="13.8" x14ac:dyDescent="0.25">
      <c r="A5457" s="8"/>
    </row>
    <row r="5458" spans="1:1" ht="13.8" x14ac:dyDescent="0.25">
      <c r="A5458" s="8"/>
    </row>
    <row r="5459" spans="1:1" ht="13.8" x14ac:dyDescent="0.25">
      <c r="A5459" s="8"/>
    </row>
    <row r="5460" spans="1:1" ht="13.8" x14ac:dyDescent="0.25">
      <c r="A5460" s="8"/>
    </row>
    <row r="5461" spans="1:1" ht="13.8" x14ac:dyDescent="0.25">
      <c r="A5461" s="8"/>
    </row>
    <row r="5462" spans="1:1" ht="13.8" x14ac:dyDescent="0.25">
      <c r="A5462" s="8"/>
    </row>
    <row r="5463" spans="1:1" ht="13.8" x14ac:dyDescent="0.25">
      <c r="A5463" s="8"/>
    </row>
    <row r="5464" spans="1:1" ht="13.8" x14ac:dyDescent="0.25">
      <c r="A5464" s="8"/>
    </row>
    <row r="5465" spans="1:1" ht="13.8" x14ac:dyDescent="0.25">
      <c r="A5465" s="8"/>
    </row>
    <row r="5466" spans="1:1" ht="13.8" x14ac:dyDescent="0.25">
      <c r="A5466" s="8"/>
    </row>
    <row r="5467" spans="1:1" ht="13.8" x14ac:dyDescent="0.25">
      <c r="A5467" s="8"/>
    </row>
    <row r="5468" spans="1:1" ht="13.8" x14ac:dyDescent="0.25">
      <c r="A5468" s="8"/>
    </row>
    <row r="5469" spans="1:1" ht="13.8" x14ac:dyDescent="0.25">
      <c r="A5469" s="8"/>
    </row>
    <row r="5470" spans="1:1" ht="13.8" x14ac:dyDescent="0.25">
      <c r="A5470" s="8"/>
    </row>
    <row r="5471" spans="1:1" ht="13.8" x14ac:dyDescent="0.25">
      <c r="A5471" s="8"/>
    </row>
    <row r="5472" spans="1:1" ht="13.8" x14ac:dyDescent="0.25">
      <c r="A5472" s="8"/>
    </row>
    <row r="5473" spans="1:1" ht="13.8" x14ac:dyDescent="0.25">
      <c r="A5473" s="8"/>
    </row>
    <row r="5474" spans="1:1" ht="13.8" x14ac:dyDescent="0.25">
      <c r="A5474" s="8"/>
    </row>
    <row r="5475" spans="1:1" ht="13.8" x14ac:dyDescent="0.25">
      <c r="A5475" s="8"/>
    </row>
    <row r="5476" spans="1:1" ht="13.8" x14ac:dyDescent="0.25">
      <c r="A5476" s="8"/>
    </row>
    <row r="5477" spans="1:1" ht="13.8" x14ac:dyDescent="0.25">
      <c r="A5477" s="8"/>
    </row>
    <row r="5478" spans="1:1" ht="13.8" x14ac:dyDescent="0.25">
      <c r="A5478" s="8"/>
    </row>
    <row r="5479" spans="1:1" ht="13.8" x14ac:dyDescent="0.25">
      <c r="A5479" s="8"/>
    </row>
    <row r="5480" spans="1:1" ht="13.8" x14ac:dyDescent="0.25">
      <c r="A5480" s="8"/>
    </row>
    <row r="5481" spans="1:1" ht="13.8" x14ac:dyDescent="0.25">
      <c r="A5481" s="8"/>
    </row>
    <row r="5482" spans="1:1" ht="13.8" x14ac:dyDescent="0.25">
      <c r="A5482" s="8"/>
    </row>
    <row r="5483" spans="1:1" ht="13.8" x14ac:dyDescent="0.25">
      <c r="A5483" s="8"/>
    </row>
    <row r="5484" spans="1:1" ht="13.8" x14ac:dyDescent="0.25">
      <c r="A5484" s="8"/>
    </row>
    <row r="5485" spans="1:1" ht="13.8" x14ac:dyDescent="0.25">
      <c r="A5485" s="8"/>
    </row>
    <row r="5486" spans="1:1" ht="13.8" x14ac:dyDescent="0.25">
      <c r="A5486" s="8"/>
    </row>
    <row r="5487" spans="1:1" ht="13.8" x14ac:dyDescent="0.25">
      <c r="A5487" s="8"/>
    </row>
    <row r="5488" spans="1:1" ht="13.8" x14ac:dyDescent="0.25">
      <c r="A5488" s="8"/>
    </row>
    <row r="5489" spans="1:1" ht="13.8" x14ac:dyDescent="0.25">
      <c r="A5489" s="8"/>
    </row>
    <row r="5490" spans="1:1" ht="13.8" x14ac:dyDescent="0.25">
      <c r="A5490" s="8"/>
    </row>
    <row r="5491" spans="1:1" ht="13.8" x14ac:dyDescent="0.25">
      <c r="A5491" s="8"/>
    </row>
    <row r="5492" spans="1:1" ht="13.8" x14ac:dyDescent="0.25">
      <c r="A5492" s="8"/>
    </row>
    <row r="5493" spans="1:1" ht="13.8" x14ac:dyDescent="0.25">
      <c r="A5493" s="8"/>
    </row>
    <row r="5494" spans="1:1" ht="13.8" x14ac:dyDescent="0.25">
      <c r="A5494" s="8"/>
    </row>
    <row r="5495" spans="1:1" ht="13.8" x14ac:dyDescent="0.25">
      <c r="A5495" s="8"/>
    </row>
    <row r="5496" spans="1:1" ht="13.8" x14ac:dyDescent="0.25">
      <c r="A5496" s="8"/>
    </row>
    <row r="5497" spans="1:1" ht="13.8" x14ac:dyDescent="0.25">
      <c r="A5497" s="8"/>
    </row>
    <row r="5498" spans="1:1" ht="13.8" x14ac:dyDescent="0.25">
      <c r="A5498" s="8"/>
    </row>
    <row r="5499" spans="1:1" ht="13.8" x14ac:dyDescent="0.25">
      <c r="A5499" s="8"/>
    </row>
    <row r="5500" spans="1:1" ht="13.8" x14ac:dyDescent="0.25">
      <c r="A5500" s="8"/>
    </row>
    <row r="5501" spans="1:1" ht="13.8" x14ac:dyDescent="0.25">
      <c r="A5501" s="8"/>
    </row>
    <row r="5502" spans="1:1" ht="13.8" x14ac:dyDescent="0.25">
      <c r="A5502" s="8"/>
    </row>
    <row r="5503" spans="1:1" ht="13.8" x14ac:dyDescent="0.25">
      <c r="A5503" s="8"/>
    </row>
    <row r="5504" spans="1:1" ht="13.8" x14ac:dyDescent="0.25">
      <c r="A5504" s="8"/>
    </row>
    <row r="5505" spans="1:1" ht="13.8" x14ac:dyDescent="0.25">
      <c r="A5505" s="8"/>
    </row>
    <row r="5506" spans="1:1" ht="13.8" x14ac:dyDescent="0.25">
      <c r="A5506" s="8"/>
    </row>
    <row r="5507" spans="1:1" ht="13.8" x14ac:dyDescent="0.25">
      <c r="A5507" s="8"/>
    </row>
    <row r="5508" spans="1:1" ht="13.8" x14ac:dyDescent="0.25">
      <c r="A5508" s="8"/>
    </row>
    <row r="5509" spans="1:1" ht="13.8" x14ac:dyDescent="0.25">
      <c r="A5509" s="8"/>
    </row>
    <row r="5510" spans="1:1" ht="13.8" x14ac:dyDescent="0.25">
      <c r="A5510" s="8"/>
    </row>
    <row r="5511" spans="1:1" ht="13.8" x14ac:dyDescent="0.25">
      <c r="A5511" s="8"/>
    </row>
    <row r="5512" spans="1:1" ht="13.8" x14ac:dyDescent="0.25">
      <c r="A5512" s="8"/>
    </row>
    <row r="5513" spans="1:1" ht="13.8" x14ac:dyDescent="0.25">
      <c r="A5513" s="8"/>
    </row>
    <row r="5514" spans="1:1" ht="13.8" x14ac:dyDescent="0.25">
      <c r="A5514" s="8"/>
    </row>
    <row r="5515" spans="1:1" ht="13.8" x14ac:dyDescent="0.25">
      <c r="A5515" s="8"/>
    </row>
    <row r="5516" spans="1:1" ht="13.8" x14ac:dyDescent="0.25">
      <c r="A5516" s="8"/>
    </row>
    <row r="5517" spans="1:1" ht="13.8" x14ac:dyDescent="0.25">
      <c r="A5517" s="8"/>
    </row>
    <row r="5518" spans="1:1" ht="13.8" x14ac:dyDescent="0.25">
      <c r="A5518" s="8"/>
    </row>
    <row r="5519" spans="1:1" ht="13.8" x14ac:dyDescent="0.25">
      <c r="A5519" s="8"/>
    </row>
    <row r="5520" spans="1:1" ht="13.8" x14ac:dyDescent="0.25">
      <c r="A5520" s="8"/>
    </row>
    <row r="5521" spans="1:1" ht="13.8" x14ac:dyDescent="0.25">
      <c r="A5521" s="8"/>
    </row>
    <row r="5522" spans="1:1" ht="13.8" x14ac:dyDescent="0.25">
      <c r="A5522" s="8"/>
    </row>
    <row r="5523" spans="1:1" ht="13.8" x14ac:dyDescent="0.25">
      <c r="A5523" s="8"/>
    </row>
    <row r="5524" spans="1:1" ht="13.8" x14ac:dyDescent="0.25">
      <c r="A5524" s="8"/>
    </row>
    <row r="5525" spans="1:1" ht="13.8" x14ac:dyDescent="0.25">
      <c r="A5525" s="8"/>
    </row>
    <row r="5526" spans="1:1" ht="13.8" x14ac:dyDescent="0.25">
      <c r="A5526" s="8"/>
    </row>
    <row r="5527" spans="1:1" ht="13.8" x14ac:dyDescent="0.25">
      <c r="A5527" s="8"/>
    </row>
    <row r="5528" spans="1:1" ht="13.8" x14ac:dyDescent="0.25">
      <c r="A5528" s="8"/>
    </row>
    <row r="5529" spans="1:1" ht="13.8" x14ac:dyDescent="0.25">
      <c r="A5529" s="8"/>
    </row>
    <row r="5530" spans="1:1" ht="13.8" x14ac:dyDescent="0.25">
      <c r="A5530" s="8"/>
    </row>
    <row r="5531" spans="1:1" ht="13.8" x14ac:dyDescent="0.25">
      <c r="A5531" s="8"/>
    </row>
    <row r="5532" spans="1:1" ht="13.8" x14ac:dyDescent="0.25">
      <c r="A5532" s="8"/>
    </row>
    <row r="5533" spans="1:1" ht="13.8" x14ac:dyDescent="0.25">
      <c r="A5533" s="8"/>
    </row>
    <row r="5534" spans="1:1" ht="13.8" x14ac:dyDescent="0.25">
      <c r="A5534" s="8"/>
    </row>
    <row r="5535" spans="1:1" ht="13.8" x14ac:dyDescent="0.25">
      <c r="A5535" s="8"/>
    </row>
    <row r="5536" spans="1:1" ht="13.8" x14ac:dyDescent="0.25">
      <c r="A5536" s="8"/>
    </row>
    <row r="5537" spans="1:1" ht="13.8" x14ac:dyDescent="0.25">
      <c r="A5537" s="8"/>
    </row>
    <row r="5538" spans="1:1" ht="13.8" x14ac:dyDescent="0.25">
      <c r="A5538" s="8"/>
    </row>
    <row r="5539" spans="1:1" ht="13.8" x14ac:dyDescent="0.25">
      <c r="A5539" s="8"/>
    </row>
    <row r="5540" spans="1:1" ht="13.8" x14ac:dyDescent="0.25">
      <c r="A5540" s="8"/>
    </row>
    <row r="5541" spans="1:1" ht="13.8" x14ac:dyDescent="0.25">
      <c r="A5541" s="8"/>
    </row>
    <row r="5542" spans="1:1" ht="13.8" x14ac:dyDescent="0.25">
      <c r="A5542" s="8"/>
    </row>
    <row r="5543" spans="1:1" ht="13.8" x14ac:dyDescent="0.25">
      <c r="A5543" s="8"/>
    </row>
    <row r="5544" spans="1:1" ht="13.8" x14ac:dyDescent="0.25">
      <c r="A5544" s="8"/>
    </row>
    <row r="5545" spans="1:1" ht="13.8" x14ac:dyDescent="0.25">
      <c r="A5545" s="8"/>
    </row>
    <row r="5546" spans="1:1" ht="13.8" x14ac:dyDescent="0.25">
      <c r="A5546" s="8"/>
    </row>
    <row r="5547" spans="1:1" ht="13.8" x14ac:dyDescent="0.25">
      <c r="A5547" s="8"/>
    </row>
    <row r="5548" spans="1:1" ht="13.8" x14ac:dyDescent="0.25">
      <c r="A5548" s="8"/>
    </row>
    <row r="5549" spans="1:1" ht="13.8" x14ac:dyDescent="0.25">
      <c r="A5549" s="8"/>
    </row>
    <row r="5550" spans="1:1" ht="13.8" x14ac:dyDescent="0.25">
      <c r="A5550" s="8"/>
    </row>
    <row r="5551" spans="1:1" ht="13.8" x14ac:dyDescent="0.25">
      <c r="A5551" s="8"/>
    </row>
    <row r="5552" spans="1:1" ht="13.8" x14ac:dyDescent="0.25">
      <c r="A5552" s="8"/>
    </row>
    <row r="5553" spans="1:1" ht="13.8" x14ac:dyDescent="0.25">
      <c r="A5553" s="8"/>
    </row>
    <row r="5554" spans="1:1" ht="13.8" x14ac:dyDescent="0.25">
      <c r="A5554" s="8"/>
    </row>
    <row r="5555" spans="1:1" ht="13.8" x14ac:dyDescent="0.25">
      <c r="A5555" s="8"/>
    </row>
    <row r="5556" spans="1:1" ht="13.8" x14ac:dyDescent="0.25">
      <c r="A5556" s="8"/>
    </row>
    <row r="5557" spans="1:1" ht="13.8" x14ac:dyDescent="0.25">
      <c r="A5557" s="8"/>
    </row>
    <row r="5558" spans="1:1" ht="13.8" x14ac:dyDescent="0.25">
      <c r="A5558" s="8"/>
    </row>
    <row r="5559" spans="1:1" ht="13.8" x14ac:dyDescent="0.25">
      <c r="A5559" s="8"/>
    </row>
    <row r="5560" spans="1:1" ht="13.8" x14ac:dyDescent="0.25">
      <c r="A5560" s="8"/>
    </row>
    <row r="5561" spans="1:1" ht="13.8" x14ac:dyDescent="0.25">
      <c r="A5561" s="8"/>
    </row>
    <row r="5562" spans="1:1" ht="13.8" x14ac:dyDescent="0.25">
      <c r="A5562" s="8"/>
    </row>
    <row r="5563" spans="1:1" ht="13.8" x14ac:dyDescent="0.25">
      <c r="A5563" s="8"/>
    </row>
    <row r="5564" spans="1:1" ht="13.8" x14ac:dyDescent="0.25">
      <c r="A5564" s="8"/>
    </row>
    <row r="5565" spans="1:1" ht="13.8" x14ac:dyDescent="0.25">
      <c r="A5565" s="8"/>
    </row>
    <row r="5566" spans="1:1" ht="13.8" x14ac:dyDescent="0.25">
      <c r="A5566" s="8"/>
    </row>
    <row r="5567" spans="1:1" ht="13.8" x14ac:dyDescent="0.25">
      <c r="A5567" s="8"/>
    </row>
    <row r="5568" spans="1:1" ht="13.8" x14ac:dyDescent="0.25">
      <c r="A5568" s="8"/>
    </row>
    <row r="5569" spans="1:1" ht="13.8" x14ac:dyDescent="0.25">
      <c r="A5569" s="8"/>
    </row>
    <row r="5570" spans="1:1" ht="13.8" x14ac:dyDescent="0.25">
      <c r="A5570" s="8"/>
    </row>
    <row r="5571" spans="1:1" ht="13.8" x14ac:dyDescent="0.25">
      <c r="A5571" s="8"/>
    </row>
    <row r="5572" spans="1:1" ht="13.8" x14ac:dyDescent="0.25">
      <c r="A5572" s="8"/>
    </row>
    <row r="5573" spans="1:1" ht="13.8" x14ac:dyDescent="0.25">
      <c r="A5573" s="8"/>
    </row>
    <row r="5574" spans="1:1" ht="13.8" x14ac:dyDescent="0.25">
      <c r="A5574" s="8"/>
    </row>
    <row r="5575" spans="1:1" ht="13.8" x14ac:dyDescent="0.25">
      <c r="A5575" s="8"/>
    </row>
    <row r="5576" spans="1:1" ht="13.8" x14ac:dyDescent="0.25">
      <c r="A5576" s="8"/>
    </row>
    <row r="5577" spans="1:1" ht="13.8" x14ac:dyDescent="0.25">
      <c r="A5577" s="8"/>
    </row>
    <row r="5578" spans="1:1" ht="13.8" x14ac:dyDescent="0.25">
      <c r="A5578" s="8"/>
    </row>
    <row r="5579" spans="1:1" ht="13.8" x14ac:dyDescent="0.25">
      <c r="A5579" s="8"/>
    </row>
    <row r="5580" spans="1:1" ht="13.8" x14ac:dyDescent="0.25">
      <c r="A5580" s="8"/>
    </row>
    <row r="5581" spans="1:1" ht="13.8" x14ac:dyDescent="0.25">
      <c r="A5581" s="8"/>
    </row>
    <row r="5582" spans="1:1" ht="13.8" x14ac:dyDescent="0.25">
      <c r="A5582" s="8"/>
    </row>
    <row r="5583" spans="1:1" ht="13.8" x14ac:dyDescent="0.25">
      <c r="A5583" s="8"/>
    </row>
    <row r="5584" spans="1:1" ht="13.8" x14ac:dyDescent="0.25">
      <c r="A5584" s="8"/>
    </row>
    <row r="5585" spans="1:1" ht="13.8" x14ac:dyDescent="0.25">
      <c r="A5585" s="8"/>
    </row>
    <row r="5586" spans="1:1" ht="13.8" x14ac:dyDescent="0.25">
      <c r="A5586" s="8"/>
    </row>
    <row r="5587" spans="1:1" ht="13.8" x14ac:dyDescent="0.25">
      <c r="A5587" s="8"/>
    </row>
    <row r="5588" spans="1:1" ht="13.8" x14ac:dyDescent="0.25">
      <c r="A5588" s="8"/>
    </row>
    <row r="5589" spans="1:1" ht="13.8" x14ac:dyDescent="0.25">
      <c r="A5589" s="8"/>
    </row>
    <row r="5590" spans="1:1" ht="13.8" x14ac:dyDescent="0.25">
      <c r="A5590" s="8"/>
    </row>
    <row r="5591" spans="1:1" ht="13.8" x14ac:dyDescent="0.25">
      <c r="A5591" s="8"/>
    </row>
    <row r="5592" spans="1:1" ht="13.8" x14ac:dyDescent="0.25">
      <c r="A5592" s="8"/>
    </row>
    <row r="5593" spans="1:1" ht="13.8" x14ac:dyDescent="0.25">
      <c r="A5593" s="8"/>
    </row>
    <row r="5594" spans="1:1" ht="13.8" x14ac:dyDescent="0.25">
      <c r="A5594" s="8"/>
    </row>
    <row r="5595" spans="1:1" ht="13.8" x14ac:dyDescent="0.25">
      <c r="A5595" s="8"/>
    </row>
    <row r="5596" spans="1:1" ht="13.8" x14ac:dyDescent="0.25">
      <c r="A5596" s="8"/>
    </row>
    <row r="5597" spans="1:1" ht="13.8" x14ac:dyDescent="0.25">
      <c r="A5597" s="8"/>
    </row>
    <row r="5598" spans="1:1" ht="13.8" x14ac:dyDescent="0.25">
      <c r="A5598" s="8"/>
    </row>
    <row r="5599" spans="1:1" ht="13.8" x14ac:dyDescent="0.25">
      <c r="A5599" s="8"/>
    </row>
    <row r="5600" spans="1:1" ht="13.8" x14ac:dyDescent="0.25">
      <c r="A5600" s="8"/>
    </row>
    <row r="5601" spans="1:1" ht="13.8" x14ac:dyDescent="0.25">
      <c r="A5601" s="8"/>
    </row>
    <row r="5602" spans="1:1" ht="13.8" x14ac:dyDescent="0.25">
      <c r="A5602" s="8"/>
    </row>
    <row r="5603" spans="1:1" ht="13.8" x14ac:dyDescent="0.25">
      <c r="A5603" s="8"/>
    </row>
    <row r="5604" spans="1:1" ht="13.8" x14ac:dyDescent="0.25">
      <c r="A5604" s="8"/>
    </row>
    <row r="5605" spans="1:1" ht="13.8" x14ac:dyDescent="0.25">
      <c r="A5605" s="8"/>
    </row>
    <row r="5606" spans="1:1" ht="13.8" x14ac:dyDescent="0.25">
      <c r="A5606" s="8"/>
    </row>
    <row r="5607" spans="1:1" ht="13.8" x14ac:dyDescent="0.25">
      <c r="A5607" s="8"/>
    </row>
    <row r="5608" spans="1:1" ht="13.8" x14ac:dyDescent="0.25">
      <c r="A5608" s="8"/>
    </row>
    <row r="5609" spans="1:1" ht="13.8" x14ac:dyDescent="0.25">
      <c r="A5609" s="8"/>
    </row>
    <row r="5610" spans="1:1" ht="13.8" x14ac:dyDescent="0.25">
      <c r="A5610" s="8"/>
    </row>
    <row r="5611" spans="1:1" ht="13.8" x14ac:dyDescent="0.25">
      <c r="A5611" s="8"/>
    </row>
    <row r="5612" spans="1:1" ht="13.8" x14ac:dyDescent="0.25">
      <c r="A5612" s="8"/>
    </row>
    <row r="5613" spans="1:1" ht="13.8" x14ac:dyDescent="0.25">
      <c r="A5613" s="8"/>
    </row>
    <row r="5614" spans="1:1" ht="13.8" x14ac:dyDescent="0.25">
      <c r="A5614" s="8"/>
    </row>
    <row r="5615" spans="1:1" ht="13.8" x14ac:dyDescent="0.25">
      <c r="A5615" s="8"/>
    </row>
    <row r="5616" spans="1:1" ht="13.8" x14ac:dyDescent="0.25">
      <c r="A5616" s="8"/>
    </row>
    <row r="5617" spans="1:1" ht="13.8" x14ac:dyDescent="0.25">
      <c r="A5617" s="8"/>
    </row>
    <row r="5618" spans="1:1" ht="13.8" x14ac:dyDescent="0.25">
      <c r="A5618" s="8"/>
    </row>
    <row r="5619" spans="1:1" ht="13.8" x14ac:dyDescent="0.25">
      <c r="A5619" s="8"/>
    </row>
    <row r="5620" spans="1:1" ht="13.8" x14ac:dyDescent="0.25">
      <c r="A5620" s="8"/>
    </row>
    <row r="5621" spans="1:1" ht="13.8" x14ac:dyDescent="0.25">
      <c r="A5621" s="8"/>
    </row>
    <row r="5622" spans="1:1" ht="13.8" x14ac:dyDescent="0.25">
      <c r="A5622" s="8"/>
    </row>
    <row r="5623" spans="1:1" ht="13.8" x14ac:dyDescent="0.25">
      <c r="A5623" s="8"/>
    </row>
    <row r="5624" spans="1:1" ht="13.8" x14ac:dyDescent="0.25">
      <c r="A5624" s="8"/>
    </row>
    <row r="5625" spans="1:1" ht="13.8" x14ac:dyDescent="0.25">
      <c r="A5625" s="8"/>
    </row>
    <row r="5626" spans="1:1" ht="13.8" x14ac:dyDescent="0.25">
      <c r="A5626" s="8"/>
    </row>
    <row r="5627" spans="1:1" ht="13.8" x14ac:dyDescent="0.25">
      <c r="A5627" s="8"/>
    </row>
    <row r="5628" spans="1:1" ht="13.8" x14ac:dyDescent="0.25">
      <c r="A5628" s="8"/>
    </row>
    <row r="5629" spans="1:1" ht="13.8" x14ac:dyDescent="0.25">
      <c r="A5629" s="8"/>
    </row>
    <row r="5630" spans="1:1" ht="13.8" x14ac:dyDescent="0.25">
      <c r="A5630" s="8"/>
    </row>
    <row r="5631" spans="1:1" ht="13.8" x14ac:dyDescent="0.25">
      <c r="A5631" s="8"/>
    </row>
    <row r="5632" spans="1:1" ht="13.8" x14ac:dyDescent="0.25">
      <c r="A5632" s="8"/>
    </row>
    <row r="5633" spans="1:1" ht="13.8" x14ac:dyDescent="0.25">
      <c r="A5633" s="8"/>
    </row>
    <row r="5634" spans="1:1" ht="13.8" x14ac:dyDescent="0.25">
      <c r="A5634" s="8"/>
    </row>
    <row r="5635" spans="1:1" ht="13.8" x14ac:dyDescent="0.25">
      <c r="A5635" s="8"/>
    </row>
    <row r="5636" spans="1:1" ht="13.8" x14ac:dyDescent="0.25">
      <c r="A5636" s="8"/>
    </row>
    <row r="5637" spans="1:1" ht="13.8" x14ac:dyDescent="0.25">
      <c r="A5637" s="8"/>
    </row>
    <row r="5638" spans="1:1" ht="13.8" x14ac:dyDescent="0.25">
      <c r="A5638" s="8"/>
    </row>
    <row r="5639" spans="1:1" ht="13.8" x14ac:dyDescent="0.25">
      <c r="A5639" s="8"/>
    </row>
    <row r="5640" spans="1:1" ht="13.8" x14ac:dyDescent="0.25">
      <c r="A5640" s="8"/>
    </row>
    <row r="5641" spans="1:1" ht="13.8" x14ac:dyDescent="0.25">
      <c r="A5641" s="8"/>
    </row>
    <row r="5642" spans="1:1" ht="13.8" x14ac:dyDescent="0.25">
      <c r="A5642" s="8"/>
    </row>
    <row r="5643" spans="1:1" ht="13.8" x14ac:dyDescent="0.25">
      <c r="A5643" s="8"/>
    </row>
    <row r="5644" spans="1:1" ht="13.8" x14ac:dyDescent="0.25">
      <c r="A5644" s="8"/>
    </row>
    <row r="5645" spans="1:1" ht="13.8" x14ac:dyDescent="0.25">
      <c r="A5645" s="8"/>
    </row>
    <row r="5646" spans="1:1" ht="13.8" x14ac:dyDescent="0.25">
      <c r="A5646" s="8"/>
    </row>
    <row r="5647" spans="1:1" ht="13.8" x14ac:dyDescent="0.25">
      <c r="A5647" s="8"/>
    </row>
    <row r="5648" spans="1:1" ht="13.8" x14ac:dyDescent="0.25">
      <c r="A5648" s="8"/>
    </row>
    <row r="5649" spans="1:1" ht="13.8" x14ac:dyDescent="0.25">
      <c r="A5649" s="8"/>
    </row>
    <row r="5650" spans="1:1" ht="13.8" x14ac:dyDescent="0.25">
      <c r="A5650" s="8"/>
    </row>
    <row r="5651" spans="1:1" ht="13.8" x14ac:dyDescent="0.25">
      <c r="A5651" s="8"/>
    </row>
    <row r="5652" spans="1:1" ht="13.8" x14ac:dyDescent="0.25">
      <c r="A5652" s="8"/>
    </row>
    <row r="5653" spans="1:1" ht="13.8" x14ac:dyDescent="0.25">
      <c r="A5653" s="8"/>
    </row>
    <row r="5654" spans="1:1" ht="13.8" x14ac:dyDescent="0.25">
      <c r="A5654" s="8"/>
    </row>
    <row r="5655" spans="1:1" ht="13.8" x14ac:dyDescent="0.25">
      <c r="A5655" s="8"/>
    </row>
    <row r="5656" spans="1:1" ht="13.8" x14ac:dyDescent="0.25">
      <c r="A5656" s="8"/>
    </row>
    <row r="5657" spans="1:1" ht="13.8" x14ac:dyDescent="0.25">
      <c r="A5657" s="8"/>
    </row>
    <row r="5658" spans="1:1" ht="13.8" x14ac:dyDescent="0.25">
      <c r="A5658" s="8"/>
    </row>
    <row r="5659" spans="1:1" ht="13.8" x14ac:dyDescent="0.25">
      <c r="A5659" s="8"/>
    </row>
    <row r="5660" spans="1:1" ht="13.8" x14ac:dyDescent="0.25">
      <c r="A5660" s="8"/>
    </row>
    <row r="5661" spans="1:1" ht="13.8" x14ac:dyDescent="0.25">
      <c r="A5661" s="8"/>
    </row>
    <row r="5662" spans="1:1" ht="13.8" x14ac:dyDescent="0.25">
      <c r="A5662" s="8"/>
    </row>
    <row r="5663" spans="1:1" ht="13.8" x14ac:dyDescent="0.25">
      <c r="A5663" s="8"/>
    </row>
    <row r="5664" spans="1:1" ht="13.8" x14ac:dyDescent="0.25">
      <c r="A5664" s="8"/>
    </row>
    <row r="5665" spans="1:1" ht="13.8" x14ac:dyDescent="0.25">
      <c r="A5665" s="8"/>
    </row>
    <row r="5666" spans="1:1" ht="13.8" x14ac:dyDescent="0.25">
      <c r="A5666" s="8"/>
    </row>
    <row r="5667" spans="1:1" ht="13.8" x14ac:dyDescent="0.25">
      <c r="A5667" s="8"/>
    </row>
    <row r="5668" spans="1:1" ht="13.8" x14ac:dyDescent="0.25">
      <c r="A5668" s="8"/>
    </row>
    <row r="5669" spans="1:1" ht="13.8" x14ac:dyDescent="0.25">
      <c r="A5669" s="8"/>
    </row>
    <row r="5670" spans="1:1" ht="13.8" x14ac:dyDescent="0.25">
      <c r="A5670" s="8"/>
    </row>
    <row r="5671" spans="1:1" ht="13.8" x14ac:dyDescent="0.25">
      <c r="A5671" s="8"/>
    </row>
    <row r="5672" spans="1:1" ht="13.8" x14ac:dyDescent="0.25">
      <c r="A5672" s="8"/>
    </row>
    <row r="5673" spans="1:1" ht="13.8" x14ac:dyDescent="0.25">
      <c r="A5673" s="8"/>
    </row>
    <row r="5674" spans="1:1" ht="13.8" x14ac:dyDescent="0.25">
      <c r="A5674" s="8"/>
    </row>
    <row r="5675" spans="1:1" ht="13.8" x14ac:dyDescent="0.25">
      <c r="A5675" s="8"/>
    </row>
    <row r="5676" spans="1:1" ht="13.8" x14ac:dyDescent="0.25">
      <c r="A5676" s="8"/>
    </row>
    <row r="5677" spans="1:1" ht="13.8" x14ac:dyDescent="0.25">
      <c r="A5677" s="8"/>
    </row>
    <row r="5678" spans="1:1" ht="13.8" x14ac:dyDescent="0.25">
      <c r="A5678" s="8"/>
    </row>
    <row r="5679" spans="1:1" ht="13.8" x14ac:dyDescent="0.25">
      <c r="A5679" s="8"/>
    </row>
    <row r="5680" spans="1:1" ht="13.8" x14ac:dyDescent="0.25">
      <c r="A5680" s="8"/>
    </row>
    <row r="5681" spans="1:1" ht="13.8" x14ac:dyDescent="0.25">
      <c r="A5681" s="8"/>
    </row>
    <row r="5682" spans="1:1" ht="13.8" x14ac:dyDescent="0.25">
      <c r="A5682" s="8"/>
    </row>
    <row r="5683" spans="1:1" ht="13.8" x14ac:dyDescent="0.25">
      <c r="A5683" s="8"/>
    </row>
    <row r="5684" spans="1:1" ht="13.8" x14ac:dyDescent="0.25">
      <c r="A5684" s="8"/>
    </row>
    <row r="5685" spans="1:1" ht="13.8" x14ac:dyDescent="0.25">
      <c r="A5685" s="8"/>
    </row>
    <row r="5686" spans="1:1" ht="13.8" x14ac:dyDescent="0.25">
      <c r="A5686" s="8"/>
    </row>
    <row r="5687" spans="1:1" ht="13.8" x14ac:dyDescent="0.25">
      <c r="A5687" s="8"/>
    </row>
    <row r="5688" spans="1:1" ht="13.8" x14ac:dyDescent="0.25">
      <c r="A5688" s="8"/>
    </row>
    <row r="5689" spans="1:1" ht="13.8" x14ac:dyDescent="0.25">
      <c r="A5689" s="8"/>
    </row>
    <row r="5690" spans="1:1" ht="13.8" x14ac:dyDescent="0.25">
      <c r="A5690" s="8"/>
    </row>
    <row r="5691" spans="1:1" ht="13.8" x14ac:dyDescent="0.25">
      <c r="A5691" s="8"/>
    </row>
    <row r="5692" spans="1:1" ht="13.8" x14ac:dyDescent="0.25">
      <c r="A5692" s="8"/>
    </row>
    <row r="5693" spans="1:1" ht="13.8" x14ac:dyDescent="0.25">
      <c r="A5693" s="8"/>
    </row>
    <row r="5694" spans="1:1" ht="13.8" x14ac:dyDescent="0.25">
      <c r="A5694" s="8"/>
    </row>
    <row r="5695" spans="1:1" ht="13.8" x14ac:dyDescent="0.25">
      <c r="A5695" s="8"/>
    </row>
    <row r="5696" spans="1:1" ht="13.8" x14ac:dyDescent="0.25">
      <c r="A5696" s="8"/>
    </row>
    <row r="5697" spans="1:1" ht="13.8" x14ac:dyDescent="0.25">
      <c r="A5697" s="8"/>
    </row>
    <row r="5698" spans="1:1" ht="13.8" x14ac:dyDescent="0.25">
      <c r="A5698" s="8"/>
    </row>
    <row r="5699" spans="1:1" ht="13.8" x14ac:dyDescent="0.25">
      <c r="A5699" s="8"/>
    </row>
    <row r="5700" spans="1:1" ht="13.8" x14ac:dyDescent="0.25">
      <c r="A5700" s="8"/>
    </row>
    <row r="5701" spans="1:1" ht="13.8" x14ac:dyDescent="0.25">
      <c r="A5701" s="8"/>
    </row>
    <row r="5702" spans="1:1" ht="13.8" x14ac:dyDescent="0.25">
      <c r="A5702" s="8"/>
    </row>
    <row r="5703" spans="1:1" ht="13.8" x14ac:dyDescent="0.25">
      <c r="A5703" s="8"/>
    </row>
    <row r="5704" spans="1:1" ht="13.8" x14ac:dyDescent="0.25">
      <c r="A5704" s="8"/>
    </row>
    <row r="5705" spans="1:1" ht="13.8" x14ac:dyDescent="0.25">
      <c r="A5705" s="8"/>
    </row>
    <row r="5706" spans="1:1" ht="13.8" x14ac:dyDescent="0.25">
      <c r="A5706" s="8"/>
    </row>
    <row r="5707" spans="1:1" ht="13.8" x14ac:dyDescent="0.25">
      <c r="A5707" s="8"/>
    </row>
    <row r="5708" spans="1:1" ht="13.8" x14ac:dyDescent="0.25">
      <c r="A5708" s="8"/>
    </row>
    <row r="5709" spans="1:1" ht="13.8" x14ac:dyDescent="0.25">
      <c r="A5709" s="8"/>
    </row>
    <row r="5710" spans="1:1" ht="13.8" x14ac:dyDescent="0.25">
      <c r="A5710" s="8"/>
    </row>
    <row r="5711" spans="1:1" ht="13.8" x14ac:dyDescent="0.25">
      <c r="A5711" s="8"/>
    </row>
    <row r="5712" spans="1:1" ht="13.8" x14ac:dyDescent="0.25">
      <c r="A5712" s="8"/>
    </row>
    <row r="5713" spans="1:1" ht="13.8" x14ac:dyDescent="0.25">
      <c r="A5713" s="8"/>
    </row>
    <row r="5714" spans="1:1" ht="13.8" x14ac:dyDescent="0.25">
      <c r="A5714" s="8"/>
    </row>
    <row r="5715" spans="1:1" ht="13.8" x14ac:dyDescent="0.25">
      <c r="A5715" s="8"/>
    </row>
    <row r="5716" spans="1:1" ht="13.8" x14ac:dyDescent="0.25">
      <c r="A5716" s="8"/>
    </row>
    <row r="5717" spans="1:1" ht="13.8" x14ac:dyDescent="0.25">
      <c r="A5717" s="8"/>
    </row>
    <row r="5718" spans="1:1" ht="13.8" x14ac:dyDescent="0.25">
      <c r="A5718" s="8"/>
    </row>
    <row r="5719" spans="1:1" ht="13.8" x14ac:dyDescent="0.25">
      <c r="A5719" s="8"/>
    </row>
    <row r="5720" spans="1:1" ht="13.8" x14ac:dyDescent="0.25">
      <c r="A5720" s="8"/>
    </row>
    <row r="5721" spans="1:1" ht="13.8" x14ac:dyDescent="0.25">
      <c r="A5721" s="8"/>
    </row>
    <row r="5722" spans="1:1" ht="13.8" x14ac:dyDescent="0.25">
      <c r="A5722" s="8"/>
    </row>
    <row r="5723" spans="1:1" ht="13.8" x14ac:dyDescent="0.25">
      <c r="A5723" s="8"/>
    </row>
    <row r="5724" spans="1:1" ht="13.8" x14ac:dyDescent="0.25">
      <c r="A5724" s="8"/>
    </row>
    <row r="5725" spans="1:1" ht="13.8" x14ac:dyDescent="0.25">
      <c r="A5725" s="8"/>
    </row>
    <row r="5726" spans="1:1" ht="13.8" x14ac:dyDescent="0.25">
      <c r="A5726" s="8"/>
    </row>
    <row r="5727" spans="1:1" ht="13.8" x14ac:dyDescent="0.25">
      <c r="A5727" s="8"/>
    </row>
    <row r="5728" spans="1:1" ht="13.8" x14ac:dyDescent="0.25">
      <c r="A5728" s="8"/>
    </row>
    <row r="5729" spans="1:1" ht="13.8" x14ac:dyDescent="0.25">
      <c r="A5729" s="8"/>
    </row>
    <row r="5730" spans="1:1" ht="13.8" x14ac:dyDescent="0.25">
      <c r="A5730" s="8"/>
    </row>
    <row r="5731" spans="1:1" ht="13.8" x14ac:dyDescent="0.25">
      <c r="A5731" s="8"/>
    </row>
    <row r="5732" spans="1:1" ht="13.8" x14ac:dyDescent="0.25">
      <c r="A5732" s="8"/>
    </row>
    <row r="5733" spans="1:1" ht="13.8" x14ac:dyDescent="0.25">
      <c r="A5733" s="8"/>
    </row>
    <row r="5734" spans="1:1" ht="13.8" x14ac:dyDescent="0.25">
      <c r="A5734" s="8"/>
    </row>
    <row r="5735" spans="1:1" ht="13.8" x14ac:dyDescent="0.25">
      <c r="A5735" s="8"/>
    </row>
    <row r="5736" spans="1:1" ht="13.8" x14ac:dyDescent="0.25">
      <c r="A5736" s="8"/>
    </row>
    <row r="5737" spans="1:1" ht="13.8" x14ac:dyDescent="0.25">
      <c r="A5737" s="8"/>
    </row>
    <row r="5738" spans="1:1" ht="13.8" x14ac:dyDescent="0.25">
      <c r="A5738" s="8"/>
    </row>
    <row r="5739" spans="1:1" ht="13.8" x14ac:dyDescent="0.25">
      <c r="A5739" s="8"/>
    </row>
    <row r="5740" spans="1:1" ht="13.8" x14ac:dyDescent="0.25">
      <c r="A5740" s="8"/>
    </row>
    <row r="5741" spans="1:1" ht="13.8" x14ac:dyDescent="0.25">
      <c r="A5741" s="8"/>
    </row>
    <row r="5742" spans="1:1" ht="13.8" x14ac:dyDescent="0.25">
      <c r="A5742" s="8"/>
    </row>
    <row r="5743" spans="1:1" ht="13.8" x14ac:dyDescent="0.25">
      <c r="A5743" s="8"/>
    </row>
    <row r="5744" spans="1:1" ht="13.8" x14ac:dyDescent="0.25">
      <c r="A5744" s="8"/>
    </row>
    <row r="5745" spans="1:1" ht="13.8" x14ac:dyDescent="0.25">
      <c r="A5745" s="8"/>
    </row>
    <row r="5746" spans="1:1" ht="13.8" x14ac:dyDescent="0.25">
      <c r="A5746" s="8"/>
    </row>
    <row r="5747" spans="1:1" ht="13.8" x14ac:dyDescent="0.25">
      <c r="A5747" s="8"/>
    </row>
    <row r="5748" spans="1:1" ht="13.8" x14ac:dyDescent="0.25">
      <c r="A5748" s="8"/>
    </row>
    <row r="5749" spans="1:1" ht="13.8" x14ac:dyDescent="0.25">
      <c r="A5749" s="8"/>
    </row>
    <row r="5750" spans="1:1" ht="13.8" x14ac:dyDescent="0.25">
      <c r="A5750" s="8"/>
    </row>
    <row r="5751" spans="1:1" ht="13.8" x14ac:dyDescent="0.25">
      <c r="A5751" s="8"/>
    </row>
    <row r="5752" spans="1:1" ht="13.8" x14ac:dyDescent="0.25">
      <c r="A5752" s="8"/>
    </row>
    <row r="5753" spans="1:1" ht="13.8" x14ac:dyDescent="0.25">
      <c r="A5753" s="8"/>
    </row>
    <row r="5754" spans="1:1" ht="13.8" x14ac:dyDescent="0.25">
      <c r="A5754" s="8"/>
    </row>
    <row r="5755" spans="1:1" ht="13.8" x14ac:dyDescent="0.25">
      <c r="A5755" s="8"/>
    </row>
    <row r="5756" spans="1:1" ht="13.8" x14ac:dyDescent="0.25">
      <c r="A5756" s="8"/>
    </row>
    <row r="5757" spans="1:1" ht="13.8" x14ac:dyDescent="0.25">
      <c r="A5757" s="8"/>
    </row>
    <row r="5758" spans="1:1" ht="13.8" x14ac:dyDescent="0.25">
      <c r="A5758" s="8"/>
    </row>
    <row r="5759" spans="1:1" ht="13.8" x14ac:dyDescent="0.25">
      <c r="A5759" s="8"/>
    </row>
    <row r="5760" spans="1:1" ht="13.8" x14ac:dyDescent="0.25">
      <c r="A5760" s="8"/>
    </row>
    <row r="5761" spans="1:1" ht="13.8" x14ac:dyDescent="0.25">
      <c r="A5761" s="8"/>
    </row>
    <row r="5762" spans="1:1" ht="13.8" x14ac:dyDescent="0.25">
      <c r="A5762" s="8"/>
    </row>
    <row r="5763" spans="1:1" ht="13.8" x14ac:dyDescent="0.25">
      <c r="A5763" s="8"/>
    </row>
    <row r="5764" spans="1:1" ht="13.8" x14ac:dyDescent="0.25">
      <c r="A5764" s="8"/>
    </row>
    <row r="5765" spans="1:1" ht="13.8" x14ac:dyDescent="0.25">
      <c r="A5765" s="8"/>
    </row>
    <row r="5766" spans="1:1" ht="13.8" x14ac:dyDescent="0.25">
      <c r="A5766" s="8"/>
    </row>
    <row r="5767" spans="1:1" ht="13.8" x14ac:dyDescent="0.25">
      <c r="A5767" s="8"/>
    </row>
    <row r="5768" spans="1:1" ht="13.8" x14ac:dyDescent="0.25">
      <c r="A5768" s="8"/>
    </row>
    <row r="5769" spans="1:1" ht="13.8" x14ac:dyDescent="0.25">
      <c r="A5769" s="8"/>
    </row>
    <row r="5770" spans="1:1" ht="13.8" x14ac:dyDescent="0.25">
      <c r="A5770" s="8"/>
    </row>
    <row r="5771" spans="1:1" ht="13.8" x14ac:dyDescent="0.25">
      <c r="A5771" s="8"/>
    </row>
    <row r="5772" spans="1:1" ht="13.8" x14ac:dyDescent="0.25">
      <c r="A5772" s="8"/>
    </row>
    <row r="5773" spans="1:1" ht="13.8" x14ac:dyDescent="0.25">
      <c r="A5773" s="8"/>
    </row>
    <row r="5774" spans="1:1" ht="13.8" x14ac:dyDescent="0.25">
      <c r="A5774" s="8"/>
    </row>
    <row r="5775" spans="1:1" ht="13.8" x14ac:dyDescent="0.25">
      <c r="A5775" s="8"/>
    </row>
    <row r="5776" spans="1:1" ht="13.8" x14ac:dyDescent="0.25">
      <c r="A5776" s="8"/>
    </row>
    <row r="5777" spans="1:1" ht="13.8" x14ac:dyDescent="0.25">
      <c r="A5777" s="8"/>
    </row>
    <row r="5778" spans="1:1" ht="13.8" x14ac:dyDescent="0.25">
      <c r="A5778" s="8"/>
    </row>
    <row r="5779" spans="1:1" ht="13.8" x14ac:dyDescent="0.25">
      <c r="A5779" s="8"/>
    </row>
    <row r="5780" spans="1:1" ht="13.8" x14ac:dyDescent="0.25">
      <c r="A5780" s="8"/>
    </row>
    <row r="5781" spans="1:1" ht="13.8" x14ac:dyDescent="0.25">
      <c r="A5781" s="8"/>
    </row>
    <row r="5782" spans="1:1" ht="13.8" x14ac:dyDescent="0.25">
      <c r="A5782" s="8"/>
    </row>
    <row r="5783" spans="1:1" ht="13.8" x14ac:dyDescent="0.25">
      <c r="A5783" s="8"/>
    </row>
    <row r="5784" spans="1:1" ht="13.8" x14ac:dyDescent="0.25">
      <c r="A5784" s="8"/>
    </row>
    <row r="5785" spans="1:1" ht="13.8" x14ac:dyDescent="0.25">
      <c r="A5785" s="8"/>
    </row>
    <row r="5786" spans="1:1" ht="13.8" x14ac:dyDescent="0.25">
      <c r="A5786" s="8"/>
    </row>
    <row r="5787" spans="1:1" ht="13.8" x14ac:dyDescent="0.25">
      <c r="A5787" s="8"/>
    </row>
    <row r="5788" spans="1:1" ht="13.8" x14ac:dyDescent="0.25">
      <c r="A5788" s="8"/>
    </row>
    <row r="5789" spans="1:1" ht="13.8" x14ac:dyDescent="0.25">
      <c r="A5789" s="8"/>
    </row>
    <row r="5790" spans="1:1" ht="13.8" x14ac:dyDescent="0.25">
      <c r="A5790" s="8"/>
    </row>
    <row r="5791" spans="1:1" ht="13.8" x14ac:dyDescent="0.25">
      <c r="A5791" s="8"/>
    </row>
    <row r="5792" spans="1:1" ht="13.8" x14ac:dyDescent="0.25">
      <c r="A5792" s="8"/>
    </row>
    <row r="5793" spans="1:1" ht="13.8" x14ac:dyDescent="0.25">
      <c r="A5793" s="8"/>
    </row>
    <row r="5794" spans="1:1" ht="13.8" x14ac:dyDescent="0.25">
      <c r="A5794" s="8"/>
    </row>
    <row r="5795" spans="1:1" ht="13.8" x14ac:dyDescent="0.25">
      <c r="A5795" s="8"/>
    </row>
    <row r="5796" spans="1:1" ht="13.8" x14ac:dyDescent="0.25">
      <c r="A5796" s="8"/>
    </row>
    <row r="5797" spans="1:1" ht="13.8" x14ac:dyDescent="0.25">
      <c r="A5797" s="8"/>
    </row>
    <row r="5798" spans="1:1" ht="13.8" x14ac:dyDescent="0.25">
      <c r="A5798" s="8"/>
    </row>
    <row r="5799" spans="1:1" ht="13.8" x14ac:dyDescent="0.25">
      <c r="A5799" s="8"/>
    </row>
    <row r="5800" spans="1:1" ht="13.8" x14ac:dyDescent="0.25">
      <c r="A5800" s="8"/>
    </row>
    <row r="5801" spans="1:1" ht="13.8" x14ac:dyDescent="0.25">
      <c r="A5801" s="8"/>
    </row>
    <row r="5802" spans="1:1" ht="13.8" x14ac:dyDescent="0.25">
      <c r="A5802" s="8"/>
    </row>
    <row r="5803" spans="1:1" ht="13.8" x14ac:dyDescent="0.25">
      <c r="A5803" s="8"/>
    </row>
    <row r="5804" spans="1:1" ht="13.8" x14ac:dyDescent="0.25">
      <c r="A5804" s="8"/>
    </row>
    <row r="5805" spans="1:1" ht="13.8" x14ac:dyDescent="0.25">
      <c r="A5805" s="8"/>
    </row>
    <row r="5806" spans="1:1" ht="13.8" x14ac:dyDescent="0.25">
      <c r="A5806" s="8"/>
    </row>
    <row r="5807" spans="1:1" ht="13.8" x14ac:dyDescent="0.25">
      <c r="A5807" s="8"/>
    </row>
    <row r="5808" spans="1:1" ht="13.8" x14ac:dyDescent="0.25">
      <c r="A5808" s="8"/>
    </row>
    <row r="5809" spans="1:1" ht="13.8" x14ac:dyDescent="0.25">
      <c r="A5809" s="8"/>
    </row>
    <row r="5810" spans="1:1" ht="13.8" x14ac:dyDescent="0.25">
      <c r="A5810" s="8"/>
    </row>
    <row r="5811" spans="1:1" ht="13.8" x14ac:dyDescent="0.25">
      <c r="A5811" s="8"/>
    </row>
    <row r="5812" spans="1:1" ht="13.8" x14ac:dyDescent="0.25">
      <c r="A5812" s="8"/>
    </row>
    <row r="5813" spans="1:1" ht="13.8" x14ac:dyDescent="0.25">
      <c r="A5813" s="8"/>
    </row>
    <row r="5814" spans="1:1" ht="13.8" x14ac:dyDescent="0.25">
      <c r="A5814" s="8"/>
    </row>
    <row r="5815" spans="1:1" ht="13.8" x14ac:dyDescent="0.25">
      <c r="A5815" s="8"/>
    </row>
    <row r="5816" spans="1:1" ht="13.8" x14ac:dyDescent="0.25">
      <c r="A5816" s="8"/>
    </row>
    <row r="5817" spans="1:1" ht="13.8" x14ac:dyDescent="0.25">
      <c r="A5817" s="8"/>
    </row>
    <row r="5818" spans="1:1" ht="13.8" x14ac:dyDescent="0.25">
      <c r="A5818" s="8"/>
    </row>
    <row r="5819" spans="1:1" ht="13.8" x14ac:dyDescent="0.25">
      <c r="A5819" s="8"/>
    </row>
    <row r="5820" spans="1:1" ht="13.8" x14ac:dyDescent="0.25">
      <c r="A5820" s="8"/>
    </row>
    <row r="5821" spans="1:1" ht="13.8" x14ac:dyDescent="0.25">
      <c r="A5821" s="8"/>
    </row>
    <row r="5822" spans="1:1" ht="13.8" x14ac:dyDescent="0.25">
      <c r="A5822" s="8"/>
    </row>
    <row r="5823" spans="1:1" ht="13.8" x14ac:dyDescent="0.25">
      <c r="A5823" s="8"/>
    </row>
    <row r="5824" spans="1:1" ht="13.8" x14ac:dyDescent="0.25">
      <c r="A5824" s="8"/>
    </row>
    <row r="5825" spans="1:1" ht="13.8" x14ac:dyDescent="0.25">
      <c r="A5825" s="8"/>
    </row>
    <row r="5826" spans="1:1" ht="13.8" x14ac:dyDescent="0.25">
      <c r="A5826" s="8"/>
    </row>
    <row r="5827" spans="1:1" ht="13.8" x14ac:dyDescent="0.25">
      <c r="A5827" s="8"/>
    </row>
    <row r="5828" spans="1:1" ht="13.8" x14ac:dyDescent="0.25">
      <c r="A5828" s="8"/>
    </row>
    <row r="5829" spans="1:1" ht="13.8" x14ac:dyDescent="0.25">
      <c r="A5829" s="8"/>
    </row>
    <row r="5830" spans="1:1" ht="13.8" x14ac:dyDescent="0.25">
      <c r="A5830" s="8"/>
    </row>
    <row r="5831" spans="1:1" ht="13.8" x14ac:dyDescent="0.25">
      <c r="A5831" s="8"/>
    </row>
    <row r="5832" spans="1:1" ht="13.8" x14ac:dyDescent="0.25">
      <c r="A5832" s="8"/>
    </row>
    <row r="5833" spans="1:1" ht="13.8" x14ac:dyDescent="0.25">
      <c r="A5833" s="8"/>
    </row>
    <row r="5834" spans="1:1" ht="13.8" x14ac:dyDescent="0.25">
      <c r="A5834" s="8"/>
    </row>
    <row r="5835" spans="1:1" ht="13.8" x14ac:dyDescent="0.25">
      <c r="A5835" s="8"/>
    </row>
    <row r="5836" spans="1:1" ht="13.8" x14ac:dyDescent="0.25">
      <c r="A5836" s="8"/>
    </row>
    <row r="5837" spans="1:1" ht="13.8" x14ac:dyDescent="0.25">
      <c r="A5837" s="8"/>
    </row>
    <row r="5838" spans="1:1" ht="13.8" x14ac:dyDescent="0.25">
      <c r="A5838" s="8"/>
    </row>
    <row r="5839" spans="1:1" ht="13.8" x14ac:dyDescent="0.25">
      <c r="A5839" s="8"/>
    </row>
    <row r="5840" spans="1:1" ht="13.8" x14ac:dyDescent="0.25">
      <c r="A5840" s="8"/>
    </row>
    <row r="5841" spans="1:1" ht="13.8" x14ac:dyDescent="0.25">
      <c r="A5841" s="8"/>
    </row>
    <row r="5842" spans="1:1" ht="13.8" x14ac:dyDescent="0.25">
      <c r="A5842" s="8"/>
    </row>
    <row r="5843" spans="1:1" ht="13.8" x14ac:dyDescent="0.25">
      <c r="A5843" s="8"/>
    </row>
    <row r="5844" spans="1:1" ht="13.8" x14ac:dyDescent="0.25">
      <c r="A5844" s="8"/>
    </row>
    <row r="5845" spans="1:1" ht="13.8" x14ac:dyDescent="0.25">
      <c r="A5845" s="8"/>
    </row>
    <row r="5846" spans="1:1" ht="13.8" x14ac:dyDescent="0.25">
      <c r="A5846" s="8"/>
    </row>
    <row r="5847" spans="1:1" ht="13.8" x14ac:dyDescent="0.25">
      <c r="A5847" s="8"/>
    </row>
    <row r="5848" spans="1:1" ht="13.8" x14ac:dyDescent="0.25">
      <c r="A5848" s="8"/>
    </row>
    <row r="5849" spans="1:1" ht="13.8" x14ac:dyDescent="0.25">
      <c r="A5849" s="8"/>
    </row>
    <row r="5850" spans="1:1" ht="13.8" x14ac:dyDescent="0.25">
      <c r="A5850" s="8"/>
    </row>
    <row r="5851" spans="1:1" ht="13.8" x14ac:dyDescent="0.25">
      <c r="A5851" s="8"/>
    </row>
    <row r="5852" spans="1:1" ht="13.8" x14ac:dyDescent="0.25">
      <c r="A5852" s="8"/>
    </row>
    <row r="5853" spans="1:1" ht="13.8" x14ac:dyDescent="0.25">
      <c r="A5853" s="8"/>
    </row>
    <row r="5854" spans="1:1" ht="13.8" x14ac:dyDescent="0.25">
      <c r="A5854" s="8"/>
    </row>
    <row r="5855" spans="1:1" ht="13.8" x14ac:dyDescent="0.25">
      <c r="A5855" s="8"/>
    </row>
    <row r="5856" spans="1:1" ht="13.8" x14ac:dyDescent="0.25">
      <c r="A5856" s="8"/>
    </row>
    <row r="5857" spans="1:1" ht="13.8" x14ac:dyDescent="0.25">
      <c r="A5857" s="8"/>
    </row>
    <row r="5858" spans="1:1" ht="13.8" x14ac:dyDescent="0.25">
      <c r="A5858" s="8"/>
    </row>
    <row r="5859" spans="1:1" ht="13.8" x14ac:dyDescent="0.25">
      <c r="A5859" s="8"/>
    </row>
    <row r="5860" spans="1:1" ht="13.8" x14ac:dyDescent="0.25">
      <c r="A5860" s="8"/>
    </row>
    <row r="5861" spans="1:1" ht="13.8" x14ac:dyDescent="0.25">
      <c r="A5861" s="8"/>
    </row>
    <row r="5862" spans="1:1" ht="13.8" x14ac:dyDescent="0.25">
      <c r="A5862" s="8"/>
    </row>
    <row r="5863" spans="1:1" ht="13.8" x14ac:dyDescent="0.25">
      <c r="A5863" s="8"/>
    </row>
    <row r="5864" spans="1:1" ht="13.8" x14ac:dyDescent="0.25">
      <c r="A5864" s="8"/>
    </row>
    <row r="5865" spans="1:1" ht="13.8" x14ac:dyDescent="0.25">
      <c r="A5865" s="8"/>
    </row>
    <row r="5866" spans="1:1" ht="13.8" x14ac:dyDescent="0.25">
      <c r="A5866" s="8"/>
    </row>
    <row r="5867" spans="1:1" ht="13.8" x14ac:dyDescent="0.25">
      <c r="A5867" s="8"/>
    </row>
    <row r="5868" spans="1:1" ht="13.8" x14ac:dyDescent="0.25">
      <c r="A5868" s="8"/>
    </row>
    <row r="5869" spans="1:1" ht="13.8" x14ac:dyDescent="0.25">
      <c r="A5869" s="8"/>
    </row>
    <row r="5870" spans="1:1" ht="13.8" x14ac:dyDescent="0.25">
      <c r="A5870" s="8"/>
    </row>
    <row r="5871" spans="1:1" ht="13.8" x14ac:dyDescent="0.25">
      <c r="A5871" s="8"/>
    </row>
    <row r="5872" spans="1:1" ht="13.8" x14ac:dyDescent="0.25">
      <c r="A5872" s="8"/>
    </row>
    <row r="5873" spans="1:1" ht="13.8" x14ac:dyDescent="0.25">
      <c r="A5873" s="8"/>
    </row>
    <row r="5874" spans="1:1" ht="13.8" x14ac:dyDescent="0.25">
      <c r="A5874" s="8"/>
    </row>
    <row r="5875" spans="1:1" ht="13.8" x14ac:dyDescent="0.25">
      <c r="A5875" s="8"/>
    </row>
    <row r="5876" spans="1:1" ht="13.8" x14ac:dyDescent="0.25">
      <c r="A5876" s="8"/>
    </row>
    <row r="5877" spans="1:1" ht="13.8" x14ac:dyDescent="0.25">
      <c r="A5877" s="8"/>
    </row>
    <row r="5878" spans="1:1" ht="13.8" x14ac:dyDescent="0.25">
      <c r="A5878" s="8"/>
    </row>
    <row r="5879" spans="1:1" ht="13.8" x14ac:dyDescent="0.25">
      <c r="A5879" s="8"/>
    </row>
    <row r="5880" spans="1:1" ht="13.8" x14ac:dyDescent="0.25">
      <c r="A5880" s="8"/>
    </row>
    <row r="5881" spans="1:1" ht="13.8" x14ac:dyDescent="0.25">
      <c r="A5881" s="8"/>
    </row>
    <row r="5882" spans="1:1" ht="13.8" x14ac:dyDescent="0.25">
      <c r="A5882" s="8"/>
    </row>
    <row r="5883" spans="1:1" ht="13.8" x14ac:dyDescent="0.25">
      <c r="A5883" s="8"/>
    </row>
    <row r="5884" spans="1:1" ht="13.8" x14ac:dyDescent="0.25">
      <c r="A5884" s="8"/>
    </row>
    <row r="5885" spans="1:1" ht="13.8" x14ac:dyDescent="0.25">
      <c r="A5885" s="8"/>
    </row>
    <row r="5886" spans="1:1" ht="13.8" x14ac:dyDescent="0.25">
      <c r="A5886" s="8"/>
    </row>
    <row r="5887" spans="1:1" ht="13.8" x14ac:dyDescent="0.25">
      <c r="A5887" s="8"/>
    </row>
    <row r="5888" spans="1:1" ht="13.8" x14ac:dyDescent="0.25">
      <c r="A5888" s="8"/>
    </row>
    <row r="5889" spans="1:1" ht="13.8" x14ac:dyDescent="0.25">
      <c r="A5889" s="8"/>
    </row>
    <row r="5890" spans="1:1" ht="13.8" x14ac:dyDescent="0.25">
      <c r="A5890" s="8"/>
    </row>
    <row r="5891" spans="1:1" ht="13.8" x14ac:dyDescent="0.25">
      <c r="A5891" s="8"/>
    </row>
    <row r="5892" spans="1:1" ht="13.8" x14ac:dyDescent="0.25">
      <c r="A5892" s="8"/>
    </row>
    <row r="5893" spans="1:1" ht="13.8" x14ac:dyDescent="0.25">
      <c r="A5893" s="8"/>
    </row>
    <row r="5894" spans="1:1" ht="13.8" x14ac:dyDescent="0.25">
      <c r="A5894" s="8"/>
    </row>
    <row r="5895" spans="1:1" ht="13.8" x14ac:dyDescent="0.25">
      <c r="A5895" s="8"/>
    </row>
    <row r="5896" spans="1:1" ht="13.8" x14ac:dyDescent="0.25">
      <c r="A5896" s="8"/>
    </row>
    <row r="5897" spans="1:1" ht="13.8" x14ac:dyDescent="0.25">
      <c r="A5897" s="8"/>
    </row>
    <row r="5898" spans="1:1" ht="13.8" x14ac:dyDescent="0.25">
      <c r="A5898" s="8"/>
    </row>
    <row r="5899" spans="1:1" ht="13.8" x14ac:dyDescent="0.25">
      <c r="A5899" s="8"/>
    </row>
    <row r="5900" spans="1:1" ht="13.8" x14ac:dyDescent="0.25">
      <c r="A5900" s="8"/>
    </row>
    <row r="5901" spans="1:1" ht="13.8" x14ac:dyDescent="0.25">
      <c r="A5901" s="8"/>
    </row>
    <row r="5902" spans="1:1" ht="13.8" x14ac:dyDescent="0.25">
      <c r="A5902" s="8"/>
    </row>
    <row r="5903" spans="1:1" ht="13.8" x14ac:dyDescent="0.25">
      <c r="A5903" s="8"/>
    </row>
    <row r="5904" spans="1:1" ht="13.8" x14ac:dyDescent="0.25">
      <c r="A5904" s="8"/>
    </row>
    <row r="5905" spans="1:1" ht="13.8" x14ac:dyDescent="0.25">
      <c r="A5905" s="8"/>
    </row>
    <row r="5906" spans="1:1" ht="13.8" x14ac:dyDescent="0.25">
      <c r="A5906" s="8"/>
    </row>
    <row r="5907" spans="1:1" ht="13.8" x14ac:dyDescent="0.25">
      <c r="A5907" s="8"/>
    </row>
    <row r="5908" spans="1:1" ht="13.8" x14ac:dyDescent="0.25">
      <c r="A5908" s="8"/>
    </row>
    <row r="5909" spans="1:1" ht="13.8" x14ac:dyDescent="0.25">
      <c r="A5909" s="8"/>
    </row>
    <row r="5910" spans="1:1" ht="13.8" x14ac:dyDescent="0.25">
      <c r="A5910" s="8"/>
    </row>
    <row r="5911" spans="1:1" ht="13.8" x14ac:dyDescent="0.25">
      <c r="A5911" s="8"/>
    </row>
    <row r="5912" spans="1:1" ht="13.8" x14ac:dyDescent="0.25">
      <c r="A5912" s="8"/>
    </row>
    <row r="5913" spans="1:1" ht="13.8" x14ac:dyDescent="0.25">
      <c r="A5913" s="8"/>
    </row>
    <row r="5914" spans="1:1" ht="13.8" x14ac:dyDescent="0.25">
      <c r="A5914" s="8"/>
    </row>
    <row r="5915" spans="1:1" ht="13.8" x14ac:dyDescent="0.25">
      <c r="A5915" s="8"/>
    </row>
    <row r="5916" spans="1:1" ht="13.8" x14ac:dyDescent="0.25">
      <c r="A5916" s="8"/>
    </row>
    <row r="5917" spans="1:1" ht="13.8" x14ac:dyDescent="0.25">
      <c r="A5917" s="8"/>
    </row>
    <row r="5918" spans="1:1" ht="13.8" x14ac:dyDescent="0.25">
      <c r="A5918" s="8"/>
    </row>
    <row r="5919" spans="1:1" ht="13.8" x14ac:dyDescent="0.25">
      <c r="A5919" s="8"/>
    </row>
    <row r="5920" spans="1:1" ht="13.8" x14ac:dyDescent="0.25">
      <c r="A5920" s="8"/>
    </row>
    <row r="5921" spans="1:1" ht="13.8" x14ac:dyDescent="0.25">
      <c r="A5921" s="8"/>
    </row>
    <row r="5922" spans="1:1" ht="13.8" x14ac:dyDescent="0.25">
      <c r="A5922" s="8"/>
    </row>
    <row r="5923" spans="1:1" ht="13.8" x14ac:dyDescent="0.25">
      <c r="A5923" s="8"/>
    </row>
    <row r="5924" spans="1:1" ht="13.8" x14ac:dyDescent="0.25">
      <c r="A5924" s="8"/>
    </row>
    <row r="5925" spans="1:1" ht="13.8" x14ac:dyDescent="0.25">
      <c r="A5925" s="8"/>
    </row>
    <row r="5926" spans="1:1" ht="13.8" x14ac:dyDescent="0.25">
      <c r="A5926" s="8"/>
    </row>
    <row r="5927" spans="1:1" ht="13.8" x14ac:dyDescent="0.25">
      <c r="A5927" s="8"/>
    </row>
    <row r="5928" spans="1:1" ht="13.8" x14ac:dyDescent="0.25">
      <c r="A5928" s="8"/>
    </row>
    <row r="5929" spans="1:1" ht="13.8" x14ac:dyDescent="0.25">
      <c r="A5929" s="8"/>
    </row>
    <row r="5930" spans="1:1" ht="13.8" x14ac:dyDescent="0.25">
      <c r="A5930" s="8"/>
    </row>
    <row r="5931" spans="1:1" ht="13.8" x14ac:dyDescent="0.25">
      <c r="A5931" s="8"/>
    </row>
    <row r="5932" spans="1:1" ht="13.8" x14ac:dyDescent="0.25">
      <c r="A5932" s="8"/>
    </row>
    <row r="5933" spans="1:1" ht="13.8" x14ac:dyDescent="0.25">
      <c r="A5933" s="8"/>
    </row>
    <row r="5934" spans="1:1" ht="13.8" x14ac:dyDescent="0.25">
      <c r="A5934" s="8"/>
    </row>
    <row r="5935" spans="1:1" ht="13.8" x14ac:dyDescent="0.25">
      <c r="A5935" s="8"/>
    </row>
    <row r="5936" spans="1:1" ht="13.8" x14ac:dyDescent="0.25">
      <c r="A5936" s="8"/>
    </row>
    <row r="5937" spans="1:1" ht="13.8" x14ac:dyDescent="0.25">
      <c r="A5937" s="8"/>
    </row>
    <row r="5938" spans="1:1" ht="13.8" x14ac:dyDescent="0.25">
      <c r="A5938" s="8"/>
    </row>
    <row r="5939" spans="1:1" ht="13.8" x14ac:dyDescent="0.25">
      <c r="A5939" s="8"/>
    </row>
    <row r="5940" spans="1:1" ht="13.8" x14ac:dyDescent="0.25">
      <c r="A5940" s="8"/>
    </row>
    <row r="5941" spans="1:1" ht="13.8" x14ac:dyDescent="0.25">
      <c r="A5941" s="8"/>
    </row>
    <row r="5942" spans="1:1" ht="13.8" x14ac:dyDescent="0.25">
      <c r="A5942" s="8"/>
    </row>
    <row r="5943" spans="1:1" ht="13.8" x14ac:dyDescent="0.25">
      <c r="A5943" s="8"/>
    </row>
    <row r="5944" spans="1:1" ht="13.8" x14ac:dyDescent="0.25">
      <c r="A5944" s="8"/>
    </row>
    <row r="5945" spans="1:1" ht="13.8" x14ac:dyDescent="0.25">
      <c r="A5945" s="8"/>
    </row>
    <row r="5946" spans="1:1" ht="13.8" x14ac:dyDescent="0.25">
      <c r="A5946" s="8"/>
    </row>
    <row r="5947" spans="1:1" ht="13.8" x14ac:dyDescent="0.25">
      <c r="A5947" s="8"/>
    </row>
    <row r="5948" spans="1:1" ht="13.8" x14ac:dyDescent="0.25">
      <c r="A5948" s="8"/>
    </row>
    <row r="5949" spans="1:1" ht="13.8" x14ac:dyDescent="0.25">
      <c r="A5949" s="8"/>
    </row>
    <row r="5950" spans="1:1" ht="13.8" x14ac:dyDescent="0.25">
      <c r="A5950" s="8"/>
    </row>
    <row r="5951" spans="1:1" ht="13.8" x14ac:dyDescent="0.25">
      <c r="A5951" s="8"/>
    </row>
    <row r="5952" spans="1:1" ht="13.8" x14ac:dyDescent="0.25">
      <c r="A5952" s="8"/>
    </row>
    <row r="5953" spans="1:1" ht="13.8" x14ac:dyDescent="0.25">
      <c r="A5953" s="8"/>
    </row>
    <row r="5954" spans="1:1" ht="13.8" x14ac:dyDescent="0.25">
      <c r="A5954" s="8"/>
    </row>
    <row r="5955" spans="1:1" ht="13.8" x14ac:dyDescent="0.25">
      <c r="A5955" s="8"/>
    </row>
    <row r="5956" spans="1:1" ht="13.8" x14ac:dyDescent="0.25">
      <c r="A5956" s="8"/>
    </row>
    <row r="5957" spans="1:1" ht="13.8" x14ac:dyDescent="0.25">
      <c r="A5957" s="8"/>
    </row>
    <row r="5958" spans="1:1" ht="13.8" x14ac:dyDescent="0.25">
      <c r="A5958" s="8"/>
    </row>
    <row r="5959" spans="1:1" ht="13.8" x14ac:dyDescent="0.25">
      <c r="A5959" s="8"/>
    </row>
    <row r="5960" spans="1:1" ht="13.8" x14ac:dyDescent="0.25">
      <c r="A5960" s="8"/>
    </row>
    <row r="5961" spans="1:1" ht="13.8" x14ac:dyDescent="0.25">
      <c r="A5961" s="8"/>
    </row>
    <row r="5962" spans="1:1" ht="13.8" x14ac:dyDescent="0.25">
      <c r="A5962" s="8"/>
    </row>
    <row r="5963" spans="1:1" ht="13.8" x14ac:dyDescent="0.25">
      <c r="A5963" s="8"/>
    </row>
    <row r="5964" spans="1:1" ht="13.8" x14ac:dyDescent="0.25">
      <c r="A5964" s="8"/>
    </row>
    <row r="5965" spans="1:1" ht="13.8" x14ac:dyDescent="0.25">
      <c r="A5965" s="8"/>
    </row>
    <row r="5966" spans="1:1" ht="13.8" x14ac:dyDescent="0.25">
      <c r="A5966" s="8"/>
    </row>
    <row r="5967" spans="1:1" ht="13.8" x14ac:dyDescent="0.25">
      <c r="A5967" s="8"/>
    </row>
    <row r="5968" spans="1:1" ht="13.8" x14ac:dyDescent="0.25">
      <c r="A5968" s="8"/>
    </row>
    <row r="5969" spans="1:1" ht="13.8" x14ac:dyDescent="0.25">
      <c r="A5969" s="8"/>
    </row>
    <row r="5970" spans="1:1" ht="13.8" x14ac:dyDescent="0.25">
      <c r="A5970" s="8"/>
    </row>
    <row r="5971" spans="1:1" ht="13.8" x14ac:dyDescent="0.25">
      <c r="A5971" s="8"/>
    </row>
    <row r="5972" spans="1:1" ht="13.8" x14ac:dyDescent="0.25">
      <c r="A5972" s="8"/>
    </row>
    <row r="5973" spans="1:1" ht="13.8" x14ac:dyDescent="0.25">
      <c r="A5973" s="8"/>
    </row>
    <row r="5974" spans="1:1" ht="13.8" x14ac:dyDescent="0.25">
      <c r="A5974" s="8"/>
    </row>
    <row r="5975" spans="1:1" ht="13.8" x14ac:dyDescent="0.25">
      <c r="A5975" s="8"/>
    </row>
    <row r="5976" spans="1:1" ht="13.8" x14ac:dyDescent="0.25">
      <c r="A5976" s="8"/>
    </row>
    <row r="5977" spans="1:1" ht="13.8" x14ac:dyDescent="0.25">
      <c r="A5977" s="8"/>
    </row>
    <row r="5978" spans="1:1" ht="13.8" x14ac:dyDescent="0.25">
      <c r="A5978" s="8"/>
    </row>
    <row r="5979" spans="1:1" ht="13.8" x14ac:dyDescent="0.25">
      <c r="A5979" s="8"/>
    </row>
    <row r="5980" spans="1:1" ht="13.8" x14ac:dyDescent="0.25">
      <c r="A5980" s="8"/>
    </row>
    <row r="5981" spans="1:1" ht="13.8" x14ac:dyDescent="0.25">
      <c r="A5981" s="8"/>
    </row>
    <row r="5982" spans="1:1" ht="13.8" x14ac:dyDescent="0.25">
      <c r="A5982" s="8"/>
    </row>
    <row r="5983" spans="1:1" ht="13.8" x14ac:dyDescent="0.25">
      <c r="A5983" s="8"/>
    </row>
    <row r="5984" spans="1:1" ht="13.8" x14ac:dyDescent="0.25">
      <c r="A5984" s="8"/>
    </row>
    <row r="5985" spans="1:1" ht="13.8" x14ac:dyDescent="0.25">
      <c r="A5985" s="8"/>
    </row>
    <row r="5986" spans="1:1" ht="13.8" x14ac:dyDescent="0.25">
      <c r="A5986" s="8"/>
    </row>
    <row r="5987" spans="1:1" ht="13.8" x14ac:dyDescent="0.25">
      <c r="A5987" s="8"/>
    </row>
    <row r="5988" spans="1:1" ht="13.8" x14ac:dyDescent="0.25">
      <c r="A5988" s="8"/>
    </row>
    <row r="5989" spans="1:1" ht="13.8" x14ac:dyDescent="0.25">
      <c r="A5989" s="8"/>
    </row>
    <row r="5990" spans="1:1" ht="13.8" x14ac:dyDescent="0.25">
      <c r="A5990" s="8"/>
    </row>
    <row r="5991" spans="1:1" ht="13.8" x14ac:dyDescent="0.25">
      <c r="A5991" s="8"/>
    </row>
    <row r="5992" spans="1:1" ht="13.8" x14ac:dyDescent="0.25">
      <c r="A5992" s="8"/>
    </row>
    <row r="5993" spans="1:1" ht="13.8" x14ac:dyDescent="0.25">
      <c r="A5993" s="8"/>
    </row>
    <row r="5994" spans="1:1" ht="13.8" x14ac:dyDescent="0.25">
      <c r="A5994" s="8"/>
    </row>
    <row r="5995" spans="1:1" ht="13.8" x14ac:dyDescent="0.25">
      <c r="A5995" s="8"/>
    </row>
    <row r="5996" spans="1:1" ht="13.8" x14ac:dyDescent="0.25">
      <c r="A5996" s="8"/>
    </row>
    <row r="5997" spans="1:1" ht="13.8" x14ac:dyDescent="0.25">
      <c r="A5997" s="8"/>
    </row>
    <row r="5998" spans="1:1" ht="13.8" x14ac:dyDescent="0.25">
      <c r="A5998" s="8"/>
    </row>
    <row r="5999" spans="1:1" ht="13.8" x14ac:dyDescent="0.25">
      <c r="A5999" s="8"/>
    </row>
    <row r="6000" spans="1:1" ht="13.8" x14ac:dyDescent="0.25">
      <c r="A6000" s="8"/>
    </row>
  </sheetData>
  <conditionalFormatting sqref="A2:CA6000">
    <cfRule type="expression" dxfId="2" priority="1">
      <formula>$A:$A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CA6000"/>
  <sheetViews>
    <sheetView workbookViewId="0"/>
  </sheetViews>
  <sheetFormatPr defaultColWidth="12.5546875" defaultRowHeight="15.75" customHeight="1" x14ac:dyDescent="0.25"/>
  <cols>
    <col min="1" max="1" width="6.88671875" customWidth="1"/>
    <col min="2" max="2" width="15.44140625" customWidth="1"/>
    <col min="3" max="3" width="24" customWidth="1"/>
    <col min="4" max="4" width="33.44140625" customWidth="1"/>
  </cols>
  <sheetData>
    <row r="1" spans="1:79" ht="15.75" customHeight="1" x14ac:dyDescent="0.25">
      <c r="A1" s="3" t="str">
        <f ca="1">IFERROR(__xludf.DUMMYFUNCTION("QUERY(HeadersCompetitors)"),"Pago?")</f>
        <v>Pago?</v>
      </c>
      <c r="B1" s="3" t="str">
        <f ca="1">IFERROR(__xludf.DUMMYFUNCTION("""COMPUTED_VALUE"""),"Dirección de correo electrónico")</f>
        <v>Dirección de correo electrónico</v>
      </c>
      <c r="C1" s="3" t="str">
        <f ca="1">IFERROR(__xludf.DUMMYFUNCTION("""COMPUTED_VALUE"""),"Seleccione la categoria en la que inscribirse")</f>
        <v>Seleccione la categoria en la que inscribirse</v>
      </c>
      <c r="D1" s="3" t="str">
        <f ca="1">IFERROR(__xludf.DUMMYFUNCTION("""COMPUTED_VALUE"""),"Nombre")</f>
        <v>Nombre</v>
      </c>
      <c r="E1" s="3" t="str">
        <f ca="1">IFERROR(__xludf.DUMMYFUNCTION("""COMPUTED_VALUE"""),"Apellido")</f>
        <v>Apellido</v>
      </c>
      <c r="F1" s="3" t="str">
        <f ca="1">IFERROR(__xludf.DUMMYFUNCTION("""COMPUTED_VALUE"""),"Numero de Vela")</f>
        <v>Numero de Vela</v>
      </c>
      <c r="G1" s="3" t="str">
        <f ca="1">IFERROR(__xludf.DUMMYFUNCTION("""COMPUTED_VALUE"""),"Club")</f>
        <v>Club</v>
      </c>
      <c r="H1" s="3" t="str">
        <f ca="1">IFERROR(__xludf.DUMMYFUNCTION("""COMPUTED_VALUE"""),"DNI")</f>
        <v>DNI</v>
      </c>
      <c r="I1" s="3" t="str">
        <f ca="1">IFERROR(__xludf.DUMMYFUNCTION("""COMPUTED_VALUE"""),"Feha nacimiento")</f>
        <v>Feha nacimiento</v>
      </c>
      <c r="J1" s="3" t="str">
        <f ca="1">IFERROR(__xludf.DUMMYFUNCTION("""COMPUTED_VALUE"""),"Correo electronico")</f>
        <v>Correo electronico</v>
      </c>
      <c r="K1" s="3" t="str">
        <f ca="1">IFERROR(__xludf.DUMMYFUNCTION("""COMPUTED_VALUE"""),"Sexo")</f>
        <v>Sexo</v>
      </c>
      <c r="L1" s="3" t="str">
        <f ca="1">IFERROR(__xludf.DUMMYFUNCTION("""COMPUTED_VALUE"""),"Pais")</f>
        <v>Pais</v>
      </c>
      <c r="M1" s="3" t="str">
        <f ca="1">IFERROR(__xludf.DUMMYFUNCTION("""COMPUTED_VALUE"""),"Region / Provincia")</f>
        <v>Region / Provincia</v>
      </c>
      <c r="N1" s="3" t="str">
        <f ca="1">IFERROR(__xludf.DUMMYFUNCTION("""COMPUTED_VALUE"""),"Localidad / Ciudad")</f>
        <v>Localidad / Ciudad</v>
      </c>
      <c r="O1" s="3" t="str">
        <f ca="1">IFERROR(__xludf.DUMMYFUNCTION("""COMPUTED_VALUE"""),"Direccion")</f>
        <v>Direccion</v>
      </c>
      <c r="P1" s="3" t="str">
        <f ca="1">IFERROR(__xludf.DUMMYFUNCTION("""COMPUTED_VALUE"""),"Codigo postal")</f>
        <v>Codigo postal</v>
      </c>
      <c r="Q1" s="3" t="str">
        <f ca="1">IFERROR(__xludf.DUMMYFUNCTION("""COMPUTED_VALUE"""),"Nombre del Padre o Madre (Solo para competidores menores)")</f>
        <v>Nombre del Padre o Madre (Solo para competidores menores)</v>
      </c>
      <c r="R1" s="3" t="str">
        <f ca="1">IFERROR(__xludf.DUMMYFUNCTION("""COMPUTED_VALUE"""),"Apellido del Padre o Madre (Solo para competidores menores)")</f>
        <v>Apellido del Padre o Madre (Solo para competidores menores)</v>
      </c>
      <c r="S1" s="3" t="str">
        <f ca="1">IFERROR(__xludf.DUMMYFUNCTION("""COMPUTED_VALUE"""),"Email del Padre o Madre (Solo para competidores menores)")</f>
        <v>Email del Padre o Madre (Solo para competidores menores)</v>
      </c>
      <c r="T1" s="3" t="str">
        <f ca="1">IFERROR(__xludf.DUMMYFUNCTION("""COMPUTED_VALUE"""),"Numero de contacto del Padre o Madre (Solo para competidores menores)")</f>
        <v>Numero de contacto del Padre o Madre (Solo para competidores menores)</v>
      </c>
      <c r="U1" s="3" t="str">
        <f ca="1">IFERROR(__xludf.DUMMYFUNCTION("""COMPUTED_VALUE"""),"Contacto de emergencia 1")</f>
        <v>Contacto de emergencia 1</v>
      </c>
      <c r="V1" s="3" t="str">
        <f ca="1">IFERROR(__xludf.DUMMYFUNCTION("""COMPUTED_VALUE"""),"Contacto de emergencia 2")</f>
        <v>Contacto de emergencia 2</v>
      </c>
      <c r="W1" s="3" t="str">
        <f ca="1">IFERROR(__xludf.DUMMYFUNCTION("""COMPUTED_VALUE"""),"Obra social")</f>
        <v>Obra social</v>
      </c>
      <c r="X1" s="3" t="str">
        <f ca="1">IFERROR(__xludf.DUMMYFUNCTION("""COMPUTED_VALUE"""),"Numero de afiliado")</f>
        <v>Numero de afiliado</v>
      </c>
      <c r="Y1" s="3" t="str">
        <f ca="1">IFERROR(__xludf.DUMMYFUNCTION("""COMPUTED_VALUE"""),"Nombre")</f>
        <v>Nombre</v>
      </c>
      <c r="Z1" s="3" t="str">
        <f ca="1">IFERROR(__xludf.DUMMYFUNCTION("""COMPUTED_VALUE"""),"Apellido")</f>
        <v>Apellido</v>
      </c>
      <c r="AA1" s="3" t="str">
        <f ca="1">IFERROR(__xludf.DUMMYFUNCTION("""COMPUTED_VALUE"""),"Numero de Vela")</f>
        <v>Numero de Vela</v>
      </c>
      <c r="AB1" s="3" t="str">
        <f ca="1">IFERROR(__xludf.DUMMYFUNCTION("""COMPUTED_VALUE"""),"Club")</f>
        <v>Club</v>
      </c>
      <c r="AC1" s="3" t="str">
        <f ca="1">IFERROR(__xludf.DUMMYFUNCTION("""COMPUTED_VALUE"""),"DNI")</f>
        <v>DNI</v>
      </c>
      <c r="AD1" s="3" t="str">
        <f ca="1">IFERROR(__xludf.DUMMYFUNCTION("""COMPUTED_VALUE"""),"Feha nacimiento")</f>
        <v>Feha nacimiento</v>
      </c>
      <c r="AE1" s="3" t="str">
        <f ca="1">IFERROR(__xludf.DUMMYFUNCTION("""COMPUTED_VALUE"""),"Correo electronico")</f>
        <v>Correo electronico</v>
      </c>
      <c r="AF1" s="3" t="str">
        <f ca="1">IFERROR(__xludf.DUMMYFUNCTION("""COMPUTED_VALUE"""),"Sexo")</f>
        <v>Sexo</v>
      </c>
      <c r="AG1" s="3" t="str">
        <f ca="1">IFERROR(__xludf.DUMMYFUNCTION("""COMPUTED_VALUE"""),"Pais")</f>
        <v>Pais</v>
      </c>
      <c r="AH1" s="3" t="str">
        <f ca="1">IFERROR(__xludf.DUMMYFUNCTION("""COMPUTED_VALUE"""),"Region / Provincia")</f>
        <v>Region / Provincia</v>
      </c>
      <c r="AI1" s="3" t="str">
        <f ca="1">IFERROR(__xludf.DUMMYFUNCTION("""COMPUTED_VALUE"""),"Localidad / Ciudad")</f>
        <v>Localidad / Ciudad</v>
      </c>
      <c r="AJ1" s="3" t="str">
        <f ca="1">IFERROR(__xludf.DUMMYFUNCTION("""COMPUTED_VALUE"""),"Direccion")</f>
        <v>Direccion</v>
      </c>
      <c r="AK1" s="3" t="str">
        <f ca="1">IFERROR(__xludf.DUMMYFUNCTION("""COMPUTED_VALUE"""),"Codigo postal")</f>
        <v>Codigo postal</v>
      </c>
      <c r="AL1" s="3" t="str">
        <f ca="1">IFERROR(__xludf.DUMMYFUNCTION("""COMPUTED_VALUE"""),"Nombre del Padre o Madre (Solo para competidores menores)")</f>
        <v>Nombre del Padre o Madre (Solo para competidores menores)</v>
      </c>
      <c r="AM1" s="3" t="str">
        <f ca="1">IFERROR(__xludf.DUMMYFUNCTION("""COMPUTED_VALUE"""),"Apellido del Padre o Madre (Solo para competidores menores)")</f>
        <v>Apellido del Padre o Madre (Solo para competidores menores)</v>
      </c>
      <c r="AN1" s="3" t="str">
        <f ca="1">IFERROR(__xludf.DUMMYFUNCTION("""COMPUTED_VALUE"""),"Email del Padre o Madre (Solo para competidores menores)")</f>
        <v>Email del Padre o Madre (Solo para competidores menores)</v>
      </c>
      <c r="AO1" s="3" t="str">
        <f ca="1">IFERROR(__xludf.DUMMYFUNCTION("""COMPUTED_VALUE"""),"Numero de contacto del Padre o Madre (Solo para competidores menores)")</f>
        <v>Numero de contacto del Padre o Madre (Solo para competidores menores)</v>
      </c>
      <c r="AP1" s="3" t="str">
        <f ca="1">IFERROR(__xludf.DUMMYFUNCTION("""COMPUTED_VALUE"""),"Contacto de emergencia 1")</f>
        <v>Contacto de emergencia 1</v>
      </c>
      <c r="AQ1" s="3" t="str">
        <f ca="1">IFERROR(__xludf.DUMMYFUNCTION("""COMPUTED_VALUE"""),"Contacto de emergencia 2")</f>
        <v>Contacto de emergencia 2</v>
      </c>
      <c r="AR1" s="3" t="str">
        <f ca="1">IFERROR(__xludf.DUMMYFUNCTION("""COMPUTED_VALUE"""),"Obra social")</f>
        <v>Obra social</v>
      </c>
      <c r="AS1" s="3" t="str">
        <f ca="1">IFERROR(__xludf.DUMMYFUNCTION("""COMPUTED_VALUE"""),"Numero de afiliado")</f>
        <v>Numero de afiliado</v>
      </c>
      <c r="AT1" s="3"/>
      <c r="AU1" s="3"/>
      <c r="AV1" s="3"/>
      <c r="AW1" s="3"/>
      <c r="AX1" s="3"/>
      <c r="AY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</row>
    <row r="2" spans="1:79" ht="15.75" customHeight="1" x14ac:dyDescent="0.25">
      <c r="A2" s="8" t="str">
        <f ca="1">IFERROR(__xludf.DUMMYFUNCTION("IFERROR(ARRAYFORMULA(SUBSTITUTE(SUBSTITUTE(FILTER(ResponsesCompetitors,CategoryCompetitors=""49er""),TRUE,""✅""),FALSE,""❌"")),"""")"),"")</f>
        <v/>
      </c>
    </row>
    <row r="3" spans="1:79" ht="15.75" customHeight="1" x14ac:dyDescent="0.25">
      <c r="A3" s="8"/>
    </row>
    <row r="4" spans="1:79" ht="15.75" customHeight="1" x14ac:dyDescent="0.25">
      <c r="A4" s="8"/>
    </row>
    <row r="5" spans="1:79" ht="15.75" customHeight="1" x14ac:dyDescent="0.25">
      <c r="A5" s="8"/>
    </row>
    <row r="6" spans="1:79" ht="15.75" customHeight="1" x14ac:dyDescent="0.25">
      <c r="A6" s="8"/>
    </row>
    <row r="7" spans="1:79" ht="15.75" customHeight="1" x14ac:dyDescent="0.25">
      <c r="A7" s="8"/>
    </row>
    <row r="8" spans="1:79" ht="15.75" customHeight="1" x14ac:dyDescent="0.25">
      <c r="A8" s="8"/>
    </row>
    <row r="9" spans="1:79" ht="15.75" customHeight="1" x14ac:dyDescent="0.25">
      <c r="A9" s="8"/>
    </row>
    <row r="10" spans="1:79" ht="15.75" customHeight="1" x14ac:dyDescent="0.25">
      <c r="A10" s="8"/>
    </row>
    <row r="11" spans="1:79" ht="15.75" customHeight="1" x14ac:dyDescent="0.25">
      <c r="A11" s="8"/>
    </row>
    <row r="12" spans="1:79" ht="15.75" customHeight="1" x14ac:dyDescent="0.25">
      <c r="A12" s="8"/>
    </row>
    <row r="13" spans="1:79" ht="15.75" customHeight="1" x14ac:dyDescent="0.25">
      <c r="A13" s="8"/>
    </row>
    <row r="14" spans="1:79" ht="15.75" customHeight="1" x14ac:dyDescent="0.25">
      <c r="A14" s="8"/>
    </row>
    <row r="15" spans="1:79" ht="15.75" customHeight="1" x14ac:dyDescent="0.25">
      <c r="A15" s="8"/>
    </row>
    <row r="16" spans="1:79" ht="15.75" customHeight="1" x14ac:dyDescent="0.25">
      <c r="A16" s="8"/>
    </row>
    <row r="17" spans="1:4" ht="15.75" customHeight="1" x14ac:dyDescent="0.25">
      <c r="A17" s="8"/>
    </row>
    <row r="18" spans="1:4" ht="15.75" customHeight="1" x14ac:dyDescent="0.25">
      <c r="A18" s="8"/>
      <c r="D18" s="3"/>
    </row>
    <row r="19" spans="1:4" ht="15.75" customHeight="1" x14ac:dyDescent="0.25">
      <c r="A19" s="8"/>
    </row>
    <row r="20" spans="1:4" ht="15.75" customHeight="1" x14ac:dyDescent="0.25">
      <c r="A20" s="8"/>
    </row>
    <row r="21" spans="1:4" ht="15.75" customHeight="1" x14ac:dyDescent="0.25">
      <c r="A21" s="8"/>
    </row>
    <row r="22" spans="1:4" ht="15.75" customHeight="1" x14ac:dyDescent="0.25">
      <c r="A22" s="8"/>
    </row>
    <row r="23" spans="1:4" ht="15.75" customHeight="1" x14ac:dyDescent="0.25">
      <c r="A23" s="8"/>
    </row>
    <row r="24" spans="1:4" ht="15.75" customHeight="1" x14ac:dyDescent="0.25">
      <c r="A24" s="8"/>
    </row>
    <row r="25" spans="1:4" ht="15.75" customHeight="1" x14ac:dyDescent="0.25">
      <c r="A25" s="8"/>
    </row>
    <row r="26" spans="1:4" ht="15.75" customHeight="1" x14ac:dyDescent="0.25">
      <c r="A26" s="8"/>
    </row>
    <row r="27" spans="1:4" ht="13.8" x14ac:dyDescent="0.25">
      <c r="A27" s="8"/>
    </row>
    <row r="28" spans="1:4" ht="13.8" x14ac:dyDescent="0.25">
      <c r="A28" s="8"/>
    </row>
    <row r="29" spans="1:4" ht="13.8" x14ac:dyDescent="0.25">
      <c r="A29" s="8"/>
    </row>
    <row r="30" spans="1:4" ht="13.8" x14ac:dyDescent="0.25">
      <c r="A30" s="8"/>
    </row>
    <row r="31" spans="1:4" ht="13.8" x14ac:dyDescent="0.25">
      <c r="A31" s="8"/>
    </row>
    <row r="32" spans="1:4" ht="13.8" x14ac:dyDescent="0.25">
      <c r="A32" s="8"/>
    </row>
    <row r="33" spans="1:1" ht="13.8" x14ac:dyDescent="0.25">
      <c r="A33" s="8"/>
    </row>
    <row r="34" spans="1:1" ht="13.8" x14ac:dyDescent="0.25">
      <c r="A34" s="8"/>
    </row>
    <row r="35" spans="1:1" ht="13.8" x14ac:dyDescent="0.25">
      <c r="A35" s="8"/>
    </row>
    <row r="36" spans="1:1" ht="13.8" x14ac:dyDescent="0.25">
      <c r="A36" s="8"/>
    </row>
    <row r="37" spans="1:1" ht="13.8" x14ac:dyDescent="0.25">
      <c r="A37" s="8"/>
    </row>
    <row r="38" spans="1:1" ht="13.8" x14ac:dyDescent="0.25">
      <c r="A38" s="8"/>
    </row>
    <row r="39" spans="1:1" ht="13.8" x14ac:dyDescent="0.25">
      <c r="A39" s="8"/>
    </row>
    <row r="40" spans="1:1" ht="13.8" x14ac:dyDescent="0.25">
      <c r="A40" s="8"/>
    </row>
    <row r="41" spans="1:1" ht="13.8" x14ac:dyDescent="0.25">
      <c r="A41" s="8"/>
    </row>
    <row r="42" spans="1:1" ht="13.8" x14ac:dyDescent="0.25">
      <c r="A42" s="8"/>
    </row>
    <row r="43" spans="1:1" ht="13.8" x14ac:dyDescent="0.25">
      <c r="A43" s="8"/>
    </row>
    <row r="44" spans="1:1" ht="13.8" x14ac:dyDescent="0.25">
      <c r="A44" s="8"/>
    </row>
    <row r="45" spans="1:1" ht="13.8" x14ac:dyDescent="0.25">
      <c r="A45" s="8"/>
    </row>
    <row r="46" spans="1:1" ht="13.8" x14ac:dyDescent="0.25">
      <c r="A46" s="8"/>
    </row>
    <row r="47" spans="1:1" ht="13.8" x14ac:dyDescent="0.25">
      <c r="A47" s="8"/>
    </row>
    <row r="48" spans="1:1" ht="13.8" x14ac:dyDescent="0.25">
      <c r="A48" s="8"/>
    </row>
    <row r="49" spans="1:1" ht="13.8" x14ac:dyDescent="0.25">
      <c r="A49" s="8"/>
    </row>
    <row r="50" spans="1:1" ht="13.8" x14ac:dyDescent="0.25">
      <c r="A50" s="8"/>
    </row>
    <row r="51" spans="1:1" ht="13.8" x14ac:dyDescent="0.25">
      <c r="A51" s="8"/>
    </row>
    <row r="52" spans="1:1" ht="13.8" x14ac:dyDescent="0.25">
      <c r="A52" s="8"/>
    </row>
    <row r="53" spans="1:1" ht="13.8" x14ac:dyDescent="0.25">
      <c r="A53" s="8"/>
    </row>
    <row r="54" spans="1:1" ht="13.8" x14ac:dyDescent="0.25">
      <c r="A54" s="8"/>
    </row>
    <row r="55" spans="1:1" ht="13.8" x14ac:dyDescent="0.25">
      <c r="A55" s="8"/>
    </row>
    <row r="56" spans="1:1" ht="13.8" x14ac:dyDescent="0.25">
      <c r="A56" s="8"/>
    </row>
    <row r="57" spans="1:1" ht="13.8" x14ac:dyDescent="0.25">
      <c r="A57" s="8"/>
    </row>
    <row r="58" spans="1:1" ht="13.8" x14ac:dyDescent="0.25">
      <c r="A58" s="8"/>
    </row>
    <row r="59" spans="1:1" ht="13.8" x14ac:dyDescent="0.25">
      <c r="A59" s="8"/>
    </row>
    <row r="60" spans="1:1" ht="13.8" x14ac:dyDescent="0.25">
      <c r="A60" s="8"/>
    </row>
    <row r="61" spans="1:1" ht="13.8" x14ac:dyDescent="0.25">
      <c r="A61" s="8"/>
    </row>
    <row r="62" spans="1:1" ht="13.8" x14ac:dyDescent="0.25">
      <c r="A62" s="8"/>
    </row>
    <row r="63" spans="1:1" ht="13.8" x14ac:dyDescent="0.25">
      <c r="A63" s="8"/>
    </row>
    <row r="64" spans="1:1" ht="13.8" x14ac:dyDescent="0.25">
      <c r="A64" s="8"/>
    </row>
    <row r="65" spans="1:1" ht="13.8" x14ac:dyDescent="0.25">
      <c r="A65" s="8"/>
    </row>
    <row r="66" spans="1:1" ht="13.8" x14ac:dyDescent="0.25">
      <c r="A66" s="8"/>
    </row>
    <row r="67" spans="1:1" ht="13.8" x14ac:dyDescent="0.25">
      <c r="A67" s="8"/>
    </row>
    <row r="68" spans="1:1" ht="13.8" x14ac:dyDescent="0.25">
      <c r="A68" s="8"/>
    </row>
    <row r="69" spans="1:1" ht="13.8" x14ac:dyDescent="0.25">
      <c r="A69" s="8"/>
    </row>
    <row r="70" spans="1:1" ht="13.8" x14ac:dyDescent="0.25">
      <c r="A70" s="8"/>
    </row>
    <row r="71" spans="1:1" ht="13.8" x14ac:dyDescent="0.25">
      <c r="A71" s="8"/>
    </row>
    <row r="72" spans="1:1" ht="13.8" x14ac:dyDescent="0.25">
      <c r="A72" s="8"/>
    </row>
    <row r="73" spans="1:1" ht="13.8" x14ac:dyDescent="0.25">
      <c r="A73" s="8"/>
    </row>
    <row r="74" spans="1:1" ht="13.8" x14ac:dyDescent="0.25">
      <c r="A74" s="8"/>
    </row>
    <row r="75" spans="1:1" ht="13.8" x14ac:dyDescent="0.25">
      <c r="A75" s="8"/>
    </row>
    <row r="76" spans="1:1" ht="13.8" x14ac:dyDescent="0.25">
      <c r="A76" s="8"/>
    </row>
    <row r="77" spans="1:1" ht="13.8" x14ac:dyDescent="0.25">
      <c r="A77" s="8"/>
    </row>
    <row r="78" spans="1:1" ht="13.8" x14ac:dyDescent="0.25">
      <c r="A78" s="8"/>
    </row>
    <row r="79" spans="1:1" ht="13.8" x14ac:dyDescent="0.25">
      <c r="A79" s="8"/>
    </row>
    <row r="80" spans="1:1" ht="13.8" x14ac:dyDescent="0.25">
      <c r="A80" s="8"/>
    </row>
    <row r="81" spans="1:1" ht="13.8" x14ac:dyDescent="0.25">
      <c r="A81" s="8"/>
    </row>
    <row r="82" spans="1:1" ht="13.8" x14ac:dyDescent="0.25">
      <c r="A82" s="8"/>
    </row>
    <row r="83" spans="1:1" ht="13.8" x14ac:dyDescent="0.25">
      <c r="A83" s="8"/>
    </row>
    <row r="84" spans="1:1" ht="13.8" x14ac:dyDescent="0.25">
      <c r="A84" s="8"/>
    </row>
    <row r="85" spans="1:1" ht="13.8" x14ac:dyDescent="0.25">
      <c r="A85" s="8"/>
    </row>
    <row r="86" spans="1:1" ht="13.8" x14ac:dyDescent="0.25">
      <c r="A86" s="8"/>
    </row>
    <row r="87" spans="1:1" ht="13.8" x14ac:dyDescent="0.25">
      <c r="A87" s="8"/>
    </row>
    <row r="88" spans="1:1" ht="13.8" x14ac:dyDescent="0.25">
      <c r="A88" s="8"/>
    </row>
    <row r="89" spans="1:1" ht="13.8" x14ac:dyDescent="0.25">
      <c r="A89" s="8"/>
    </row>
    <row r="90" spans="1:1" ht="13.8" x14ac:dyDescent="0.25">
      <c r="A90" s="8"/>
    </row>
    <row r="91" spans="1:1" ht="13.8" x14ac:dyDescent="0.25">
      <c r="A91" s="8"/>
    </row>
    <row r="92" spans="1:1" ht="13.8" x14ac:dyDescent="0.25">
      <c r="A92" s="8"/>
    </row>
    <row r="93" spans="1:1" ht="13.8" x14ac:dyDescent="0.25">
      <c r="A93" s="8"/>
    </row>
    <row r="94" spans="1:1" ht="13.8" x14ac:dyDescent="0.25">
      <c r="A94" s="8"/>
    </row>
    <row r="95" spans="1:1" ht="13.8" x14ac:dyDescent="0.25">
      <c r="A95" s="8"/>
    </row>
    <row r="96" spans="1:1" ht="13.8" x14ac:dyDescent="0.25">
      <c r="A96" s="8"/>
    </row>
    <row r="97" spans="1:1" ht="13.8" x14ac:dyDescent="0.25">
      <c r="A97" s="8"/>
    </row>
    <row r="98" spans="1:1" ht="13.8" x14ac:dyDescent="0.25">
      <c r="A98" s="8"/>
    </row>
    <row r="99" spans="1:1" ht="13.8" x14ac:dyDescent="0.25">
      <c r="A99" s="8"/>
    </row>
    <row r="100" spans="1:1" ht="13.8" x14ac:dyDescent="0.25">
      <c r="A100" s="8"/>
    </row>
    <row r="101" spans="1:1" ht="13.8" x14ac:dyDescent="0.25">
      <c r="A101" s="8"/>
    </row>
    <row r="102" spans="1:1" ht="13.8" x14ac:dyDescent="0.25">
      <c r="A102" s="8"/>
    </row>
    <row r="103" spans="1:1" ht="13.8" x14ac:dyDescent="0.25">
      <c r="A103" s="8"/>
    </row>
    <row r="104" spans="1:1" ht="13.8" x14ac:dyDescent="0.25">
      <c r="A104" s="8"/>
    </row>
    <row r="105" spans="1:1" ht="13.8" x14ac:dyDescent="0.25">
      <c r="A105" s="8"/>
    </row>
    <row r="106" spans="1:1" ht="13.8" x14ac:dyDescent="0.25">
      <c r="A106" s="8"/>
    </row>
    <row r="107" spans="1:1" ht="13.8" x14ac:dyDescent="0.25">
      <c r="A107" s="8"/>
    </row>
    <row r="108" spans="1:1" ht="13.8" x14ac:dyDescent="0.25">
      <c r="A108" s="8"/>
    </row>
    <row r="109" spans="1:1" ht="13.8" x14ac:dyDescent="0.25">
      <c r="A109" s="8"/>
    </row>
    <row r="110" spans="1:1" ht="13.8" x14ac:dyDescent="0.25">
      <c r="A110" s="8"/>
    </row>
    <row r="111" spans="1:1" ht="13.8" x14ac:dyDescent="0.25">
      <c r="A111" s="8"/>
    </row>
    <row r="112" spans="1:1" ht="13.8" x14ac:dyDescent="0.25">
      <c r="A112" s="8"/>
    </row>
    <row r="113" spans="1:1" ht="13.8" x14ac:dyDescent="0.25">
      <c r="A113" s="8"/>
    </row>
    <row r="114" spans="1:1" ht="13.8" x14ac:dyDescent="0.25">
      <c r="A114" s="8"/>
    </row>
    <row r="115" spans="1:1" ht="13.8" x14ac:dyDescent="0.25">
      <c r="A115" s="8"/>
    </row>
    <row r="116" spans="1:1" ht="13.8" x14ac:dyDescent="0.25">
      <c r="A116" s="8"/>
    </row>
    <row r="117" spans="1:1" ht="13.8" x14ac:dyDescent="0.25">
      <c r="A117" s="8"/>
    </row>
    <row r="118" spans="1:1" ht="13.8" x14ac:dyDescent="0.25">
      <c r="A118" s="8"/>
    </row>
    <row r="119" spans="1:1" ht="13.8" x14ac:dyDescent="0.25">
      <c r="A119" s="8"/>
    </row>
    <row r="120" spans="1:1" ht="13.8" x14ac:dyDescent="0.25">
      <c r="A120" s="8"/>
    </row>
    <row r="121" spans="1:1" ht="13.8" x14ac:dyDescent="0.25">
      <c r="A121" s="8"/>
    </row>
    <row r="122" spans="1:1" ht="13.8" x14ac:dyDescent="0.25">
      <c r="A122" s="8"/>
    </row>
    <row r="123" spans="1:1" ht="13.8" x14ac:dyDescent="0.25">
      <c r="A123" s="8"/>
    </row>
    <row r="124" spans="1:1" ht="13.8" x14ac:dyDescent="0.25">
      <c r="A124" s="8"/>
    </row>
    <row r="125" spans="1:1" ht="13.8" x14ac:dyDescent="0.25">
      <c r="A125" s="8"/>
    </row>
    <row r="126" spans="1:1" ht="13.8" x14ac:dyDescent="0.25">
      <c r="A126" s="8"/>
    </row>
    <row r="127" spans="1:1" ht="13.8" x14ac:dyDescent="0.25">
      <c r="A127" s="8"/>
    </row>
    <row r="128" spans="1:1" ht="13.8" x14ac:dyDescent="0.25">
      <c r="A128" s="8"/>
    </row>
    <row r="129" spans="1:1" ht="13.8" x14ac:dyDescent="0.25">
      <c r="A129" s="8"/>
    </row>
    <row r="130" spans="1:1" ht="13.8" x14ac:dyDescent="0.25">
      <c r="A130" s="8"/>
    </row>
    <row r="131" spans="1:1" ht="13.8" x14ac:dyDescent="0.25">
      <c r="A131" s="8"/>
    </row>
    <row r="132" spans="1:1" ht="13.8" x14ac:dyDescent="0.25">
      <c r="A132" s="8"/>
    </row>
    <row r="133" spans="1:1" ht="13.8" x14ac:dyDescent="0.25">
      <c r="A133" s="8"/>
    </row>
    <row r="134" spans="1:1" ht="13.8" x14ac:dyDescent="0.25">
      <c r="A134" s="8"/>
    </row>
    <row r="135" spans="1:1" ht="13.8" x14ac:dyDescent="0.25">
      <c r="A135" s="8"/>
    </row>
    <row r="136" spans="1:1" ht="13.8" x14ac:dyDescent="0.25">
      <c r="A136" s="8"/>
    </row>
    <row r="137" spans="1:1" ht="13.8" x14ac:dyDescent="0.25">
      <c r="A137" s="8"/>
    </row>
    <row r="138" spans="1:1" ht="13.8" x14ac:dyDescent="0.25">
      <c r="A138" s="8"/>
    </row>
    <row r="139" spans="1:1" ht="13.8" x14ac:dyDescent="0.25">
      <c r="A139" s="8"/>
    </row>
    <row r="140" spans="1:1" ht="13.8" x14ac:dyDescent="0.25">
      <c r="A140" s="8"/>
    </row>
    <row r="141" spans="1:1" ht="13.8" x14ac:dyDescent="0.25">
      <c r="A141" s="8"/>
    </row>
    <row r="142" spans="1:1" ht="13.8" x14ac:dyDescent="0.25">
      <c r="A142" s="8"/>
    </row>
    <row r="143" spans="1:1" ht="13.8" x14ac:dyDescent="0.25">
      <c r="A143" s="8"/>
    </row>
    <row r="144" spans="1:1" ht="13.8" x14ac:dyDescent="0.25">
      <c r="A144" s="8"/>
    </row>
    <row r="145" spans="1:1" ht="13.8" x14ac:dyDescent="0.25">
      <c r="A145" s="8"/>
    </row>
    <row r="146" spans="1:1" ht="13.8" x14ac:dyDescent="0.25">
      <c r="A146" s="8"/>
    </row>
    <row r="147" spans="1:1" ht="13.8" x14ac:dyDescent="0.25">
      <c r="A147" s="8"/>
    </row>
    <row r="148" spans="1:1" ht="13.8" x14ac:dyDescent="0.25">
      <c r="A148" s="8"/>
    </row>
    <row r="149" spans="1:1" ht="13.8" x14ac:dyDescent="0.25">
      <c r="A149" s="8"/>
    </row>
    <row r="150" spans="1:1" ht="13.8" x14ac:dyDescent="0.25">
      <c r="A150" s="8"/>
    </row>
    <row r="151" spans="1:1" ht="13.8" x14ac:dyDescent="0.25">
      <c r="A151" s="8"/>
    </row>
    <row r="152" spans="1:1" ht="13.8" x14ac:dyDescent="0.25">
      <c r="A152" s="8"/>
    </row>
    <row r="153" spans="1:1" ht="13.8" x14ac:dyDescent="0.25">
      <c r="A153" s="8"/>
    </row>
    <row r="154" spans="1:1" ht="13.8" x14ac:dyDescent="0.25">
      <c r="A154" s="8"/>
    </row>
    <row r="155" spans="1:1" ht="13.8" x14ac:dyDescent="0.25">
      <c r="A155" s="8"/>
    </row>
    <row r="156" spans="1:1" ht="13.8" x14ac:dyDescent="0.25">
      <c r="A156" s="8"/>
    </row>
    <row r="157" spans="1:1" ht="13.8" x14ac:dyDescent="0.25">
      <c r="A157" s="8"/>
    </row>
    <row r="158" spans="1:1" ht="13.8" x14ac:dyDescent="0.25">
      <c r="A158" s="8"/>
    </row>
    <row r="159" spans="1:1" ht="13.8" x14ac:dyDescent="0.25">
      <c r="A159" s="8"/>
    </row>
    <row r="160" spans="1:1" ht="13.8" x14ac:dyDescent="0.25">
      <c r="A160" s="8"/>
    </row>
    <row r="161" spans="1:1" ht="13.8" x14ac:dyDescent="0.25">
      <c r="A161" s="8"/>
    </row>
    <row r="162" spans="1:1" ht="13.8" x14ac:dyDescent="0.25">
      <c r="A162" s="8"/>
    </row>
    <row r="163" spans="1:1" ht="13.8" x14ac:dyDescent="0.25">
      <c r="A163" s="8"/>
    </row>
    <row r="164" spans="1:1" ht="13.8" x14ac:dyDescent="0.25">
      <c r="A164" s="8"/>
    </row>
    <row r="165" spans="1:1" ht="13.8" x14ac:dyDescent="0.25">
      <c r="A165" s="8"/>
    </row>
    <row r="166" spans="1:1" ht="13.8" x14ac:dyDescent="0.25">
      <c r="A166" s="8"/>
    </row>
    <row r="167" spans="1:1" ht="13.8" x14ac:dyDescent="0.25">
      <c r="A167" s="8"/>
    </row>
    <row r="168" spans="1:1" ht="13.8" x14ac:dyDescent="0.25">
      <c r="A168" s="8"/>
    </row>
    <row r="169" spans="1:1" ht="13.8" x14ac:dyDescent="0.25">
      <c r="A169" s="8"/>
    </row>
    <row r="170" spans="1:1" ht="13.8" x14ac:dyDescent="0.25">
      <c r="A170" s="8"/>
    </row>
    <row r="171" spans="1:1" ht="13.8" x14ac:dyDescent="0.25">
      <c r="A171" s="8"/>
    </row>
    <row r="172" spans="1:1" ht="13.8" x14ac:dyDescent="0.25">
      <c r="A172" s="8"/>
    </row>
    <row r="173" spans="1:1" ht="13.8" x14ac:dyDescent="0.25">
      <c r="A173" s="8"/>
    </row>
    <row r="174" spans="1:1" ht="13.8" x14ac:dyDescent="0.25">
      <c r="A174" s="8"/>
    </row>
    <row r="175" spans="1:1" ht="13.8" x14ac:dyDescent="0.25">
      <c r="A175" s="8"/>
    </row>
    <row r="176" spans="1:1" ht="13.8" x14ac:dyDescent="0.25">
      <c r="A176" s="8"/>
    </row>
    <row r="177" spans="1:1" ht="13.8" x14ac:dyDescent="0.25">
      <c r="A177" s="8"/>
    </row>
    <row r="178" spans="1:1" ht="13.8" x14ac:dyDescent="0.25">
      <c r="A178" s="8"/>
    </row>
    <row r="179" spans="1:1" ht="13.8" x14ac:dyDescent="0.25">
      <c r="A179" s="8"/>
    </row>
    <row r="180" spans="1:1" ht="13.8" x14ac:dyDescent="0.25">
      <c r="A180" s="8"/>
    </row>
    <row r="181" spans="1:1" ht="13.8" x14ac:dyDescent="0.25">
      <c r="A181" s="8"/>
    </row>
    <row r="182" spans="1:1" ht="13.8" x14ac:dyDescent="0.25">
      <c r="A182" s="8"/>
    </row>
    <row r="183" spans="1:1" ht="13.8" x14ac:dyDescent="0.25">
      <c r="A183" s="8"/>
    </row>
    <row r="184" spans="1:1" ht="13.8" x14ac:dyDescent="0.25">
      <c r="A184" s="8"/>
    </row>
    <row r="185" spans="1:1" ht="13.8" x14ac:dyDescent="0.25">
      <c r="A185" s="8"/>
    </row>
    <row r="186" spans="1:1" ht="13.8" x14ac:dyDescent="0.25">
      <c r="A186" s="8"/>
    </row>
    <row r="187" spans="1:1" ht="13.8" x14ac:dyDescent="0.25">
      <c r="A187" s="8"/>
    </row>
    <row r="188" spans="1:1" ht="13.8" x14ac:dyDescent="0.25">
      <c r="A188" s="8"/>
    </row>
    <row r="189" spans="1:1" ht="13.8" x14ac:dyDescent="0.25">
      <c r="A189" s="8"/>
    </row>
    <row r="190" spans="1:1" ht="13.8" x14ac:dyDescent="0.25">
      <c r="A190" s="8"/>
    </row>
    <row r="191" spans="1:1" ht="13.8" x14ac:dyDescent="0.25">
      <c r="A191" s="8"/>
    </row>
    <row r="192" spans="1:1" ht="13.8" x14ac:dyDescent="0.25">
      <c r="A192" s="8"/>
    </row>
    <row r="193" spans="1:1" ht="13.8" x14ac:dyDescent="0.25">
      <c r="A193" s="8"/>
    </row>
    <row r="194" spans="1:1" ht="13.8" x14ac:dyDescent="0.25">
      <c r="A194" s="8"/>
    </row>
    <row r="195" spans="1:1" ht="13.8" x14ac:dyDescent="0.25">
      <c r="A195" s="8"/>
    </row>
    <row r="196" spans="1:1" ht="13.8" x14ac:dyDescent="0.25">
      <c r="A196" s="8"/>
    </row>
    <row r="197" spans="1:1" ht="13.8" x14ac:dyDescent="0.25">
      <c r="A197" s="8"/>
    </row>
    <row r="198" spans="1:1" ht="13.8" x14ac:dyDescent="0.25">
      <c r="A198" s="8"/>
    </row>
    <row r="199" spans="1:1" ht="13.8" x14ac:dyDescent="0.25">
      <c r="A199" s="8"/>
    </row>
    <row r="200" spans="1:1" ht="13.8" x14ac:dyDescent="0.25">
      <c r="A200" s="8"/>
    </row>
    <row r="201" spans="1:1" ht="13.8" x14ac:dyDescent="0.25">
      <c r="A201" s="8"/>
    </row>
    <row r="202" spans="1:1" ht="13.8" x14ac:dyDescent="0.25">
      <c r="A202" s="8"/>
    </row>
    <row r="203" spans="1:1" ht="13.8" x14ac:dyDescent="0.25">
      <c r="A203" s="8"/>
    </row>
    <row r="204" spans="1:1" ht="13.8" x14ac:dyDescent="0.25">
      <c r="A204" s="8"/>
    </row>
    <row r="205" spans="1:1" ht="13.8" x14ac:dyDescent="0.25">
      <c r="A205" s="8"/>
    </row>
    <row r="206" spans="1:1" ht="13.8" x14ac:dyDescent="0.25">
      <c r="A206" s="8"/>
    </row>
    <row r="207" spans="1:1" ht="13.8" x14ac:dyDescent="0.25">
      <c r="A207" s="8"/>
    </row>
    <row r="208" spans="1:1" ht="13.8" x14ac:dyDescent="0.25">
      <c r="A208" s="8"/>
    </row>
    <row r="209" spans="1:1" ht="13.8" x14ac:dyDescent="0.25">
      <c r="A209" s="8"/>
    </row>
    <row r="210" spans="1:1" ht="13.8" x14ac:dyDescent="0.25">
      <c r="A210" s="8"/>
    </row>
    <row r="211" spans="1:1" ht="13.8" x14ac:dyDescent="0.25">
      <c r="A211" s="8"/>
    </row>
    <row r="212" spans="1:1" ht="13.8" x14ac:dyDescent="0.25">
      <c r="A212" s="8"/>
    </row>
    <row r="213" spans="1:1" ht="13.8" x14ac:dyDescent="0.25">
      <c r="A213" s="8"/>
    </row>
    <row r="214" spans="1:1" ht="13.8" x14ac:dyDescent="0.25">
      <c r="A214" s="8"/>
    </row>
    <row r="215" spans="1:1" ht="13.8" x14ac:dyDescent="0.25">
      <c r="A215" s="8"/>
    </row>
    <row r="216" spans="1:1" ht="13.8" x14ac:dyDescent="0.25">
      <c r="A216" s="8"/>
    </row>
    <row r="217" spans="1:1" ht="13.8" x14ac:dyDescent="0.25">
      <c r="A217" s="8"/>
    </row>
    <row r="218" spans="1:1" ht="13.8" x14ac:dyDescent="0.25">
      <c r="A218" s="8"/>
    </row>
    <row r="219" spans="1:1" ht="13.8" x14ac:dyDescent="0.25">
      <c r="A219" s="8"/>
    </row>
    <row r="220" spans="1:1" ht="13.8" x14ac:dyDescent="0.25">
      <c r="A220" s="8"/>
    </row>
    <row r="221" spans="1:1" ht="13.8" x14ac:dyDescent="0.25">
      <c r="A221" s="8"/>
    </row>
    <row r="222" spans="1:1" ht="13.8" x14ac:dyDescent="0.25">
      <c r="A222" s="8"/>
    </row>
    <row r="223" spans="1:1" ht="13.8" x14ac:dyDescent="0.25">
      <c r="A223" s="8"/>
    </row>
    <row r="224" spans="1:1" ht="13.8" x14ac:dyDescent="0.25">
      <c r="A224" s="8"/>
    </row>
    <row r="225" spans="1:1" ht="13.8" x14ac:dyDescent="0.25">
      <c r="A225" s="8"/>
    </row>
    <row r="226" spans="1:1" ht="13.8" x14ac:dyDescent="0.25">
      <c r="A226" s="8"/>
    </row>
    <row r="227" spans="1:1" ht="13.8" x14ac:dyDescent="0.25">
      <c r="A227" s="8"/>
    </row>
    <row r="228" spans="1:1" ht="13.8" x14ac:dyDescent="0.25">
      <c r="A228" s="8"/>
    </row>
    <row r="229" spans="1:1" ht="13.8" x14ac:dyDescent="0.25">
      <c r="A229" s="8"/>
    </row>
    <row r="230" spans="1:1" ht="13.8" x14ac:dyDescent="0.25">
      <c r="A230" s="8"/>
    </row>
    <row r="231" spans="1:1" ht="13.8" x14ac:dyDescent="0.25">
      <c r="A231" s="8"/>
    </row>
    <row r="232" spans="1:1" ht="13.8" x14ac:dyDescent="0.25">
      <c r="A232" s="8"/>
    </row>
    <row r="233" spans="1:1" ht="13.8" x14ac:dyDescent="0.25">
      <c r="A233" s="8"/>
    </row>
    <row r="234" spans="1:1" ht="13.8" x14ac:dyDescent="0.25">
      <c r="A234" s="8"/>
    </row>
    <row r="235" spans="1:1" ht="13.8" x14ac:dyDescent="0.25">
      <c r="A235" s="8"/>
    </row>
    <row r="236" spans="1:1" ht="13.8" x14ac:dyDescent="0.25">
      <c r="A236" s="8"/>
    </row>
    <row r="237" spans="1:1" ht="13.8" x14ac:dyDescent="0.25">
      <c r="A237" s="8"/>
    </row>
    <row r="238" spans="1:1" ht="13.8" x14ac:dyDescent="0.25">
      <c r="A238" s="8"/>
    </row>
    <row r="239" spans="1:1" ht="13.8" x14ac:dyDescent="0.25">
      <c r="A239" s="8"/>
    </row>
    <row r="240" spans="1:1" ht="13.8" x14ac:dyDescent="0.25">
      <c r="A240" s="8"/>
    </row>
    <row r="241" spans="1:1" ht="13.8" x14ac:dyDescent="0.25">
      <c r="A241" s="8"/>
    </row>
    <row r="242" spans="1:1" ht="13.8" x14ac:dyDescent="0.25">
      <c r="A242" s="8"/>
    </row>
    <row r="243" spans="1:1" ht="13.8" x14ac:dyDescent="0.25">
      <c r="A243" s="8"/>
    </row>
    <row r="244" spans="1:1" ht="13.8" x14ac:dyDescent="0.25">
      <c r="A244" s="8"/>
    </row>
    <row r="245" spans="1:1" ht="13.8" x14ac:dyDescent="0.25">
      <c r="A245" s="8"/>
    </row>
    <row r="246" spans="1:1" ht="13.8" x14ac:dyDescent="0.25">
      <c r="A246" s="8"/>
    </row>
    <row r="247" spans="1:1" ht="13.8" x14ac:dyDescent="0.25">
      <c r="A247" s="8"/>
    </row>
    <row r="248" spans="1:1" ht="13.8" x14ac:dyDescent="0.25">
      <c r="A248" s="8"/>
    </row>
    <row r="249" spans="1:1" ht="13.8" x14ac:dyDescent="0.25">
      <c r="A249" s="8"/>
    </row>
    <row r="250" spans="1:1" ht="13.8" x14ac:dyDescent="0.25">
      <c r="A250" s="8"/>
    </row>
    <row r="251" spans="1:1" ht="13.8" x14ac:dyDescent="0.25">
      <c r="A251" s="8"/>
    </row>
    <row r="252" spans="1:1" ht="13.8" x14ac:dyDescent="0.25">
      <c r="A252" s="8"/>
    </row>
    <row r="253" spans="1:1" ht="13.8" x14ac:dyDescent="0.25">
      <c r="A253" s="8"/>
    </row>
    <row r="254" spans="1:1" ht="13.8" x14ac:dyDescent="0.25">
      <c r="A254" s="8"/>
    </row>
    <row r="255" spans="1:1" ht="13.8" x14ac:dyDescent="0.25">
      <c r="A255" s="8"/>
    </row>
    <row r="256" spans="1:1" ht="13.8" x14ac:dyDescent="0.25">
      <c r="A256" s="8"/>
    </row>
    <row r="257" spans="1:1" ht="13.8" x14ac:dyDescent="0.25">
      <c r="A257" s="8"/>
    </row>
    <row r="258" spans="1:1" ht="13.8" x14ac:dyDescent="0.25">
      <c r="A258" s="8"/>
    </row>
    <row r="259" spans="1:1" ht="13.8" x14ac:dyDescent="0.25">
      <c r="A259" s="8"/>
    </row>
    <row r="260" spans="1:1" ht="13.8" x14ac:dyDescent="0.25">
      <c r="A260" s="8"/>
    </row>
    <row r="261" spans="1:1" ht="13.8" x14ac:dyDescent="0.25">
      <c r="A261" s="8"/>
    </row>
    <row r="262" spans="1:1" ht="13.8" x14ac:dyDescent="0.25">
      <c r="A262" s="8"/>
    </row>
    <row r="263" spans="1:1" ht="13.8" x14ac:dyDescent="0.25">
      <c r="A263" s="8"/>
    </row>
    <row r="264" spans="1:1" ht="13.8" x14ac:dyDescent="0.25">
      <c r="A264" s="8"/>
    </row>
    <row r="265" spans="1:1" ht="13.8" x14ac:dyDescent="0.25">
      <c r="A265" s="8"/>
    </row>
    <row r="266" spans="1:1" ht="13.8" x14ac:dyDescent="0.25">
      <c r="A266" s="8"/>
    </row>
    <row r="267" spans="1:1" ht="13.8" x14ac:dyDescent="0.25">
      <c r="A267" s="8"/>
    </row>
    <row r="268" spans="1:1" ht="13.8" x14ac:dyDescent="0.25">
      <c r="A268" s="8"/>
    </row>
    <row r="269" spans="1:1" ht="13.8" x14ac:dyDescent="0.25">
      <c r="A269" s="8"/>
    </row>
    <row r="270" spans="1:1" ht="13.8" x14ac:dyDescent="0.25">
      <c r="A270" s="8"/>
    </row>
    <row r="271" spans="1:1" ht="13.8" x14ac:dyDescent="0.25">
      <c r="A271" s="8"/>
    </row>
    <row r="272" spans="1:1" ht="13.8" x14ac:dyDescent="0.25">
      <c r="A272" s="8"/>
    </row>
    <row r="273" spans="1:1" ht="13.8" x14ac:dyDescent="0.25">
      <c r="A273" s="8"/>
    </row>
    <row r="274" spans="1:1" ht="13.8" x14ac:dyDescent="0.25">
      <c r="A274" s="8"/>
    </row>
    <row r="275" spans="1:1" ht="13.8" x14ac:dyDescent="0.25">
      <c r="A275" s="8"/>
    </row>
    <row r="276" spans="1:1" ht="13.8" x14ac:dyDescent="0.25">
      <c r="A276" s="8"/>
    </row>
    <row r="277" spans="1:1" ht="13.8" x14ac:dyDescent="0.25">
      <c r="A277" s="8"/>
    </row>
    <row r="278" spans="1:1" ht="13.8" x14ac:dyDescent="0.25">
      <c r="A278" s="8"/>
    </row>
    <row r="279" spans="1:1" ht="13.8" x14ac:dyDescent="0.25">
      <c r="A279" s="8"/>
    </row>
    <row r="280" spans="1:1" ht="13.8" x14ac:dyDescent="0.25">
      <c r="A280" s="8"/>
    </row>
    <row r="281" spans="1:1" ht="13.8" x14ac:dyDescent="0.25">
      <c r="A281" s="8"/>
    </row>
    <row r="282" spans="1:1" ht="13.8" x14ac:dyDescent="0.25">
      <c r="A282" s="8"/>
    </row>
    <row r="283" spans="1:1" ht="13.8" x14ac:dyDescent="0.25">
      <c r="A283" s="8"/>
    </row>
    <row r="284" spans="1:1" ht="13.8" x14ac:dyDescent="0.25">
      <c r="A284" s="8"/>
    </row>
    <row r="285" spans="1:1" ht="13.8" x14ac:dyDescent="0.25">
      <c r="A285" s="8"/>
    </row>
    <row r="286" spans="1:1" ht="13.8" x14ac:dyDescent="0.25">
      <c r="A286" s="8"/>
    </row>
    <row r="287" spans="1:1" ht="13.8" x14ac:dyDescent="0.25">
      <c r="A287" s="8"/>
    </row>
    <row r="288" spans="1:1" ht="13.8" x14ac:dyDescent="0.25">
      <c r="A288" s="8"/>
    </row>
    <row r="289" spans="1:1" ht="13.8" x14ac:dyDescent="0.25">
      <c r="A289" s="8"/>
    </row>
    <row r="290" spans="1:1" ht="13.8" x14ac:dyDescent="0.25">
      <c r="A290" s="8"/>
    </row>
    <row r="291" spans="1:1" ht="13.8" x14ac:dyDescent="0.25">
      <c r="A291" s="8"/>
    </row>
    <row r="292" spans="1:1" ht="13.8" x14ac:dyDescent="0.25">
      <c r="A292" s="8"/>
    </row>
    <row r="293" spans="1:1" ht="13.8" x14ac:dyDescent="0.25">
      <c r="A293" s="8"/>
    </row>
    <row r="294" spans="1:1" ht="13.8" x14ac:dyDescent="0.25">
      <c r="A294" s="8"/>
    </row>
    <row r="295" spans="1:1" ht="13.8" x14ac:dyDescent="0.25">
      <c r="A295" s="8"/>
    </row>
    <row r="296" spans="1:1" ht="13.8" x14ac:dyDescent="0.25">
      <c r="A296" s="8"/>
    </row>
    <row r="297" spans="1:1" ht="13.8" x14ac:dyDescent="0.25">
      <c r="A297" s="8"/>
    </row>
    <row r="298" spans="1:1" ht="13.8" x14ac:dyDescent="0.25">
      <c r="A298" s="8"/>
    </row>
    <row r="299" spans="1:1" ht="13.8" x14ac:dyDescent="0.25">
      <c r="A299" s="8"/>
    </row>
    <row r="300" spans="1:1" ht="13.8" x14ac:dyDescent="0.25">
      <c r="A300" s="8"/>
    </row>
    <row r="301" spans="1:1" ht="13.8" x14ac:dyDescent="0.25">
      <c r="A301" s="8"/>
    </row>
    <row r="302" spans="1:1" ht="13.8" x14ac:dyDescent="0.25">
      <c r="A302" s="8"/>
    </row>
    <row r="303" spans="1:1" ht="13.8" x14ac:dyDescent="0.25">
      <c r="A303" s="8"/>
    </row>
    <row r="304" spans="1:1" ht="13.8" x14ac:dyDescent="0.25">
      <c r="A304" s="8"/>
    </row>
    <row r="305" spans="1:1" ht="13.8" x14ac:dyDescent="0.25">
      <c r="A305" s="8"/>
    </row>
    <row r="306" spans="1:1" ht="13.8" x14ac:dyDescent="0.25">
      <c r="A306" s="8"/>
    </row>
    <row r="307" spans="1:1" ht="13.8" x14ac:dyDescent="0.25">
      <c r="A307" s="8"/>
    </row>
    <row r="308" spans="1:1" ht="13.8" x14ac:dyDescent="0.25">
      <c r="A308" s="8"/>
    </row>
    <row r="309" spans="1:1" ht="13.8" x14ac:dyDescent="0.25">
      <c r="A309" s="8"/>
    </row>
    <row r="310" spans="1:1" ht="13.8" x14ac:dyDescent="0.25">
      <c r="A310" s="8"/>
    </row>
    <row r="311" spans="1:1" ht="13.8" x14ac:dyDescent="0.25">
      <c r="A311" s="8"/>
    </row>
    <row r="312" spans="1:1" ht="13.8" x14ac:dyDescent="0.25">
      <c r="A312" s="8"/>
    </row>
    <row r="313" spans="1:1" ht="13.8" x14ac:dyDescent="0.25">
      <c r="A313" s="8"/>
    </row>
    <row r="314" spans="1:1" ht="13.8" x14ac:dyDescent="0.25">
      <c r="A314" s="8"/>
    </row>
    <row r="315" spans="1:1" ht="13.8" x14ac:dyDescent="0.25">
      <c r="A315" s="8"/>
    </row>
    <row r="316" spans="1:1" ht="13.8" x14ac:dyDescent="0.25">
      <c r="A316" s="8"/>
    </row>
    <row r="317" spans="1:1" ht="13.8" x14ac:dyDescent="0.25">
      <c r="A317" s="8"/>
    </row>
    <row r="318" spans="1:1" ht="13.8" x14ac:dyDescent="0.25">
      <c r="A318" s="8"/>
    </row>
    <row r="319" spans="1:1" ht="13.8" x14ac:dyDescent="0.25">
      <c r="A319" s="8"/>
    </row>
    <row r="320" spans="1:1" ht="13.8" x14ac:dyDescent="0.25">
      <c r="A320" s="8"/>
    </row>
    <row r="321" spans="1:1" ht="13.8" x14ac:dyDescent="0.25">
      <c r="A321" s="8"/>
    </row>
    <row r="322" spans="1:1" ht="13.8" x14ac:dyDescent="0.25">
      <c r="A322" s="8"/>
    </row>
    <row r="323" spans="1:1" ht="13.8" x14ac:dyDescent="0.25">
      <c r="A323" s="8"/>
    </row>
    <row r="324" spans="1:1" ht="13.8" x14ac:dyDescent="0.25">
      <c r="A324" s="8"/>
    </row>
    <row r="325" spans="1:1" ht="13.8" x14ac:dyDescent="0.25">
      <c r="A325" s="8"/>
    </row>
    <row r="326" spans="1:1" ht="13.8" x14ac:dyDescent="0.25">
      <c r="A326" s="8"/>
    </row>
    <row r="327" spans="1:1" ht="13.8" x14ac:dyDescent="0.25">
      <c r="A327" s="8"/>
    </row>
    <row r="328" spans="1:1" ht="13.8" x14ac:dyDescent="0.25">
      <c r="A328" s="8"/>
    </row>
    <row r="329" spans="1:1" ht="13.8" x14ac:dyDescent="0.25">
      <c r="A329" s="8"/>
    </row>
    <row r="330" spans="1:1" ht="13.8" x14ac:dyDescent="0.25">
      <c r="A330" s="8"/>
    </row>
    <row r="331" spans="1:1" ht="13.8" x14ac:dyDescent="0.25">
      <c r="A331" s="8"/>
    </row>
    <row r="332" spans="1:1" ht="13.8" x14ac:dyDescent="0.25">
      <c r="A332" s="8"/>
    </row>
    <row r="333" spans="1:1" ht="13.8" x14ac:dyDescent="0.25">
      <c r="A333" s="8"/>
    </row>
    <row r="334" spans="1:1" ht="13.8" x14ac:dyDescent="0.25">
      <c r="A334" s="8"/>
    </row>
    <row r="335" spans="1:1" ht="13.8" x14ac:dyDescent="0.25">
      <c r="A335" s="8"/>
    </row>
    <row r="336" spans="1:1" ht="13.8" x14ac:dyDescent="0.25">
      <c r="A336" s="8"/>
    </row>
    <row r="337" spans="1:1" ht="13.8" x14ac:dyDescent="0.25">
      <c r="A337" s="8"/>
    </row>
    <row r="338" spans="1:1" ht="13.8" x14ac:dyDescent="0.25">
      <c r="A338" s="8"/>
    </row>
    <row r="339" spans="1:1" ht="13.8" x14ac:dyDescent="0.25">
      <c r="A339" s="8"/>
    </row>
    <row r="340" spans="1:1" ht="13.8" x14ac:dyDescent="0.25">
      <c r="A340" s="8"/>
    </row>
    <row r="341" spans="1:1" ht="13.8" x14ac:dyDescent="0.25">
      <c r="A341" s="8"/>
    </row>
    <row r="342" spans="1:1" ht="13.8" x14ac:dyDescent="0.25">
      <c r="A342" s="8"/>
    </row>
    <row r="343" spans="1:1" ht="13.8" x14ac:dyDescent="0.25">
      <c r="A343" s="8"/>
    </row>
    <row r="344" spans="1:1" ht="13.8" x14ac:dyDescent="0.25">
      <c r="A344" s="8"/>
    </row>
    <row r="345" spans="1:1" ht="13.8" x14ac:dyDescent="0.25">
      <c r="A345" s="8"/>
    </row>
    <row r="346" spans="1:1" ht="13.8" x14ac:dyDescent="0.25">
      <c r="A346" s="8"/>
    </row>
    <row r="347" spans="1:1" ht="13.8" x14ac:dyDescent="0.25">
      <c r="A347" s="8"/>
    </row>
    <row r="348" spans="1:1" ht="13.8" x14ac:dyDescent="0.25">
      <c r="A348" s="8"/>
    </row>
    <row r="349" spans="1:1" ht="13.8" x14ac:dyDescent="0.25">
      <c r="A349" s="8"/>
    </row>
    <row r="350" spans="1:1" ht="13.8" x14ac:dyDescent="0.25">
      <c r="A350" s="8"/>
    </row>
    <row r="351" spans="1:1" ht="13.8" x14ac:dyDescent="0.25">
      <c r="A351" s="8"/>
    </row>
    <row r="352" spans="1:1" ht="13.8" x14ac:dyDescent="0.25">
      <c r="A352" s="8"/>
    </row>
    <row r="353" spans="1:1" ht="13.8" x14ac:dyDescent="0.25">
      <c r="A353" s="8"/>
    </row>
    <row r="354" spans="1:1" ht="13.8" x14ac:dyDescent="0.25">
      <c r="A354" s="8"/>
    </row>
    <row r="355" spans="1:1" ht="13.8" x14ac:dyDescent="0.25">
      <c r="A355" s="8"/>
    </row>
    <row r="356" spans="1:1" ht="13.8" x14ac:dyDescent="0.25">
      <c r="A356" s="8"/>
    </row>
    <row r="357" spans="1:1" ht="13.8" x14ac:dyDescent="0.25">
      <c r="A357" s="8"/>
    </row>
    <row r="358" spans="1:1" ht="13.8" x14ac:dyDescent="0.25">
      <c r="A358" s="8"/>
    </row>
    <row r="359" spans="1:1" ht="13.8" x14ac:dyDescent="0.25">
      <c r="A359" s="8"/>
    </row>
    <row r="360" spans="1:1" ht="13.8" x14ac:dyDescent="0.25">
      <c r="A360" s="8"/>
    </row>
    <row r="361" spans="1:1" ht="13.8" x14ac:dyDescent="0.25">
      <c r="A361" s="8"/>
    </row>
    <row r="362" spans="1:1" ht="13.8" x14ac:dyDescent="0.25">
      <c r="A362" s="8"/>
    </row>
    <row r="363" spans="1:1" ht="13.8" x14ac:dyDescent="0.25">
      <c r="A363" s="8"/>
    </row>
    <row r="364" spans="1:1" ht="13.8" x14ac:dyDescent="0.25">
      <c r="A364" s="8"/>
    </row>
    <row r="365" spans="1:1" ht="13.8" x14ac:dyDescent="0.25">
      <c r="A365" s="8"/>
    </row>
    <row r="366" spans="1:1" ht="13.8" x14ac:dyDescent="0.25">
      <c r="A366" s="8"/>
    </row>
    <row r="367" spans="1:1" ht="13.8" x14ac:dyDescent="0.25">
      <c r="A367" s="8"/>
    </row>
    <row r="368" spans="1:1" ht="13.8" x14ac:dyDescent="0.25">
      <c r="A368" s="8"/>
    </row>
    <row r="369" spans="1:1" ht="13.8" x14ac:dyDescent="0.25">
      <c r="A369" s="8"/>
    </row>
    <row r="370" spans="1:1" ht="13.8" x14ac:dyDescent="0.25">
      <c r="A370" s="8"/>
    </row>
    <row r="371" spans="1:1" ht="13.8" x14ac:dyDescent="0.25">
      <c r="A371" s="8"/>
    </row>
    <row r="372" spans="1:1" ht="13.8" x14ac:dyDescent="0.25">
      <c r="A372" s="8"/>
    </row>
    <row r="373" spans="1:1" ht="13.8" x14ac:dyDescent="0.25">
      <c r="A373" s="8"/>
    </row>
    <row r="374" spans="1:1" ht="13.8" x14ac:dyDescent="0.25">
      <c r="A374" s="8"/>
    </row>
    <row r="375" spans="1:1" ht="13.8" x14ac:dyDescent="0.25">
      <c r="A375" s="8"/>
    </row>
    <row r="376" spans="1:1" ht="13.8" x14ac:dyDescent="0.25">
      <c r="A376" s="8"/>
    </row>
    <row r="377" spans="1:1" ht="13.8" x14ac:dyDescent="0.25">
      <c r="A377" s="8"/>
    </row>
    <row r="378" spans="1:1" ht="13.8" x14ac:dyDescent="0.25">
      <c r="A378" s="8"/>
    </row>
    <row r="379" spans="1:1" ht="13.8" x14ac:dyDescent="0.25">
      <c r="A379" s="8"/>
    </row>
    <row r="380" spans="1:1" ht="13.8" x14ac:dyDescent="0.25">
      <c r="A380" s="8"/>
    </row>
    <row r="381" spans="1:1" ht="13.8" x14ac:dyDescent="0.25">
      <c r="A381" s="8"/>
    </row>
    <row r="382" spans="1:1" ht="13.8" x14ac:dyDescent="0.25">
      <c r="A382" s="8"/>
    </row>
    <row r="383" spans="1:1" ht="13.8" x14ac:dyDescent="0.25">
      <c r="A383" s="8"/>
    </row>
    <row r="384" spans="1:1" ht="13.8" x14ac:dyDescent="0.25">
      <c r="A384" s="8"/>
    </row>
    <row r="385" spans="1:1" ht="13.8" x14ac:dyDescent="0.25">
      <c r="A385" s="8"/>
    </row>
    <row r="386" spans="1:1" ht="13.8" x14ac:dyDescent="0.25">
      <c r="A386" s="8"/>
    </row>
    <row r="387" spans="1:1" ht="13.8" x14ac:dyDescent="0.25">
      <c r="A387" s="8"/>
    </row>
    <row r="388" spans="1:1" ht="13.8" x14ac:dyDescent="0.25">
      <c r="A388" s="8"/>
    </row>
    <row r="389" spans="1:1" ht="13.8" x14ac:dyDescent="0.25">
      <c r="A389" s="8"/>
    </row>
    <row r="390" spans="1:1" ht="13.8" x14ac:dyDescent="0.25">
      <c r="A390" s="8"/>
    </row>
    <row r="391" spans="1:1" ht="13.8" x14ac:dyDescent="0.25">
      <c r="A391" s="8"/>
    </row>
    <row r="392" spans="1:1" ht="13.8" x14ac:dyDescent="0.25">
      <c r="A392" s="8"/>
    </row>
    <row r="393" spans="1:1" ht="13.8" x14ac:dyDescent="0.25">
      <c r="A393" s="8"/>
    </row>
    <row r="394" spans="1:1" ht="13.8" x14ac:dyDescent="0.25">
      <c r="A394" s="8"/>
    </row>
    <row r="395" spans="1:1" ht="13.8" x14ac:dyDescent="0.25">
      <c r="A395" s="8"/>
    </row>
    <row r="396" spans="1:1" ht="13.8" x14ac:dyDescent="0.25">
      <c r="A396" s="8"/>
    </row>
    <row r="397" spans="1:1" ht="13.8" x14ac:dyDescent="0.25">
      <c r="A397" s="8"/>
    </row>
    <row r="398" spans="1:1" ht="13.8" x14ac:dyDescent="0.25">
      <c r="A398" s="8"/>
    </row>
    <row r="399" spans="1:1" ht="13.8" x14ac:dyDescent="0.25">
      <c r="A399" s="8"/>
    </row>
    <row r="400" spans="1:1" ht="13.8" x14ac:dyDescent="0.25">
      <c r="A400" s="8"/>
    </row>
    <row r="401" spans="1:1" ht="13.8" x14ac:dyDescent="0.25">
      <c r="A401" s="8"/>
    </row>
    <row r="402" spans="1:1" ht="13.8" x14ac:dyDescent="0.25">
      <c r="A402" s="8"/>
    </row>
    <row r="403" spans="1:1" ht="13.8" x14ac:dyDescent="0.25">
      <c r="A403" s="8"/>
    </row>
    <row r="404" spans="1:1" ht="13.8" x14ac:dyDescent="0.25">
      <c r="A404" s="8"/>
    </row>
    <row r="405" spans="1:1" ht="13.8" x14ac:dyDescent="0.25">
      <c r="A405" s="8"/>
    </row>
    <row r="406" spans="1:1" ht="13.8" x14ac:dyDescent="0.25">
      <c r="A406" s="8"/>
    </row>
    <row r="407" spans="1:1" ht="13.8" x14ac:dyDescent="0.25">
      <c r="A407" s="8"/>
    </row>
    <row r="408" spans="1:1" ht="13.8" x14ac:dyDescent="0.25">
      <c r="A408" s="8"/>
    </row>
    <row r="409" spans="1:1" ht="13.8" x14ac:dyDescent="0.25">
      <c r="A409" s="8"/>
    </row>
    <row r="410" spans="1:1" ht="13.8" x14ac:dyDescent="0.25">
      <c r="A410" s="8"/>
    </row>
    <row r="411" spans="1:1" ht="13.8" x14ac:dyDescent="0.25">
      <c r="A411" s="8"/>
    </row>
    <row r="412" spans="1:1" ht="13.8" x14ac:dyDescent="0.25">
      <c r="A412" s="8"/>
    </row>
    <row r="413" spans="1:1" ht="13.8" x14ac:dyDescent="0.25">
      <c r="A413" s="8"/>
    </row>
    <row r="414" spans="1:1" ht="13.8" x14ac:dyDescent="0.25">
      <c r="A414" s="8"/>
    </row>
    <row r="415" spans="1:1" ht="13.8" x14ac:dyDescent="0.25">
      <c r="A415" s="8"/>
    </row>
    <row r="416" spans="1:1" ht="13.8" x14ac:dyDescent="0.25">
      <c r="A416" s="8"/>
    </row>
    <row r="417" spans="1:1" ht="13.8" x14ac:dyDescent="0.25">
      <c r="A417" s="8"/>
    </row>
    <row r="418" spans="1:1" ht="13.8" x14ac:dyDescent="0.25">
      <c r="A418" s="8"/>
    </row>
    <row r="419" spans="1:1" ht="13.8" x14ac:dyDescent="0.25">
      <c r="A419" s="8"/>
    </row>
    <row r="420" spans="1:1" ht="13.8" x14ac:dyDescent="0.25">
      <c r="A420" s="8"/>
    </row>
    <row r="421" spans="1:1" ht="13.8" x14ac:dyDescent="0.25">
      <c r="A421" s="8"/>
    </row>
    <row r="422" spans="1:1" ht="13.8" x14ac:dyDescent="0.25">
      <c r="A422" s="8"/>
    </row>
    <row r="423" spans="1:1" ht="13.8" x14ac:dyDescent="0.25">
      <c r="A423" s="8"/>
    </row>
    <row r="424" spans="1:1" ht="13.8" x14ac:dyDescent="0.25">
      <c r="A424" s="8"/>
    </row>
    <row r="425" spans="1:1" ht="13.8" x14ac:dyDescent="0.25">
      <c r="A425" s="8"/>
    </row>
    <row r="426" spans="1:1" ht="13.8" x14ac:dyDescent="0.25">
      <c r="A426" s="8"/>
    </row>
    <row r="427" spans="1:1" ht="13.8" x14ac:dyDescent="0.25">
      <c r="A427" s="8"/>
    </row>
    <row r="428" spans="1:1" ht="13.8" x14ac:dyDescent="0.25">
      <c r="A428" s="8"/>
    </row>
    <row r="429" spans="1:1" ht="13.8" x14ac:dyDescent="0.25">
      <c r="A429" s="8"/>
    </row>
    <row r="430" spans="1:1" ht="13.8" x14ac:dyDescent="0.25">
      <c r="A430" s="8"/>
    </row>
    <row r="431" spans="1:1" ht="13.8" x14ac:dyDescent="0.25">
      <c r="A431" s="8"/>
    </row>
    <row r="432" spans="1:1" ht="13.8" x14ac:dyDescent="0.25">
      <c r="A432" s="8"/>
    </row>
    <row r="433" spans="1:1" ht="13.8" x14ac:dyDescent="0.25">
      <c r="A433" s="8"/>
    </row>
    <row r="434" spans="1:1" ht="13.8" x14ac:dyDescent="0.25">
      <c r="A434" s="8"/>
    </row>
    <row r="435" spans="1:1" ht="13.8" x14ac:dyDescent="0.25">
      <c r="A435" s="8"/>
    </row>
    <row r="436" spans="1:1" ht="13.8" x14ac:dyDescent="0.25">
      <c r="A436" s="8"/>
    </row>
    <row r="437" spans="1:1" ht="13.8" x14ac:dyDescent="0.25">
      <c r="A437" s="8"/>
    </row>
    <row r="438" spans="1:1" ht="13.8" x14ac:dyDescent="0.25">
      <c r="A438" s="8"/>
    </row>
    <row r="439" spans="1:1" ht="13.8" x14ac:dyDescent="0.25">
      <c r="A439" s="8"/>
    </row>
    <row r="440" spans="1:1" ht="13.8" x14ac:dyDescent="0.25">
      <c r="A440" s="8"/>
    </row>
    <row r="441" spans="1:1" ht="13.8" x14ac:dyDescent="0.25">
      <c r="A441" s="8"/>
    </row>
    <row r="442" spans="1:1" ht="13.8" x14ac:dyDescent="0.25">
      <c r="A442" s="8"/>
    </row>
    <row r="443" spans="1:1" ht="13.8" x14ac:dyDescent="0.25">
      <c r="A443" s="8"/>
    </row>
    <row r="444" spans="1:1" ht="13.8" x14ac:dyDescent="0.25">
      <c r="A444" s="8"/>
    </row>
    <row r="445" spans="1:1" ht="13.8" x14ac:dyDescent="0.25">
      <c r="A445" s="8"/>
    </row>
    <row r="446" spans="1:1" ht="13.8" x14ac:dyDescent="0.25">
      <c r="A446" s="8"/>
    </row>
    <row r="447" spans="1:1" ht="13.8" x14ac:dyDescent="0.25">
      <c r="A447" s="8"/>
    </row>
    <row r="448" spans="1:1" ht="13.8" x14ac:dyDescent="0.25">
      <c r="A448" s="8"/>
    </row>
    <row r="449" spans="1:1" ht="13.8" x14ac:dyDescent="0.25">
      <c r="A449" s="8"/>
    </row>
    <row r="450" spans="1:1" ht="13.8" x14ac:dyDescent="0.25">
      <c r="A450" s="8"/>
    </row>
    <row r="451" spans="1:1" ht="13.8" x14ac:dyDescent="0.25">
      <c r="A451" s="8"/>
    </row>
    <row r="452" spans="1:1" ht="13.8" x14ac:dyDescent="0.25">
      <c r="A452" s="8"/>
    </row>
    <row r="453" spans="1:1" ht="13.8" x14ac:dyDescent="0.25">
      <c r="A453" s="8"/>
    </row>
    <row r="454" spans="1:1" ht="13.8" x14ac:dyDescent="0.25">
      <c r="A454" s="8"/>
    </row>
    <row r="455" spans="1:1" ht="13.8" x14ac:dyDescent="0.25">
      <c r="A455" s="8"/>
    </row>
    <row r="456" spans="1:1" ht="13.8" x14ac:dyDescent="0.25">
      <c r="A456" s="8"/>
    </row>
    <row r="457" spans="1:1" ht="13.8" x14ac:dyDescent="0.25">
      <c r="A457" s="8"/>
    </row>
    <row r="458" spans="1:1" ht="13.8" x14ac:dyDescent="0.25">
      <c r="A458" s="8"/>
    </row>
    <row r="459" spans="1:1" ht="13.8" x14ac:dyDescent="0.25">
      <c r="A459" s="8"/>
    </row>
    <row r="460" spans="1:1" ht="13.8" x14ac:dyDescent="0.25">
      <c r="A460" s="8"/>
    </row>
    <row r="461" spans="1:1" ht="13.8" x14ac:dyDescent="0.25">
      <c r="A461" s="8"/>
    </row>
    <row r="462" spans="1:1" ht="13.8" x14ac:dyDescent="0.25">
      <c r="A462" s="8"/>
    </row>
    <row r="463" spans="1:1" ht="13.8" x14ac:dyDescent="0.25">
      <c r="A463" s="8"/>
    </row>
    <row r="464" spans="1:1" ht="13.8" x14ac:dyDescent="0.25">
      <c r="A464" s="8"/>
    </row>
    <row r="465" spans="1:1" ht="13.8" x14ac:dyDescent="0.25">
      <c r="A465" s="8"/>
    </row>
    <row r="466" spans="1:1" ht="13.8" x14ac:dyDescent="0.25">
      <c r="A466" s="8"/>
    </row>
    <row r="467" spans="1:1" ht="13.8" x14ac:dyDescent="0.25">
      <c r="A467" s="8"/>
    </row>
    <row r="468" spans="1:1" ht="13.8" x14ac:dyDescent="0.25">
      <c r="A468" s="8"/>
    </row>
    <row r="469" spans="1:1" ht="13.8" x14ac:dyDescent="0.25">
      <c r="A469" s="8"/>
    </row>
    <row r="470" spans="1:1" ht="13.8" x14ac:dyDescent="0.25">
      <c r="A470" s="8"/>
    </row>
    <row r="471" spans="1:1" ht="13.8" x14ac:dyDescent="0.25">
      <c r="A471" s="8"/>
    </row>
    <row r="472" spans="1:1" ht="13.8" x14ac:dyDescent="0.25">
      <c r="A472" s="8"/>
    </row>
    <row r="473" spans="1:1" ht="13.8" x14ac:dyDescent="0.25">
      <c r="A473" s="8"/>
    </row>
    <row r="474" spans="1:1" ht="13.8" x14ac:dyDescent="0.25">
      <c r="A474" s="8"/>
    </row>
    <row r="475" spans="1:1" ht="13.8" x14ac:dyDescent="0.25">
      <c r="A475" s="8"/>
    </row>
    <row r="476" spans="1:1" ht="13.8" x14ac:dyDescent="0.25">
      <c r="A476" s="8"/>
    </row>
    <row r="477" spans="1:1" ht="13.8" x14ac:dyDescent="0.25">
      <c r="A477" s="8"/>
    </row>
    <row r="478" spans="1:1" ht="13.8" x14ac:dyDescent="0.25">
      <c r="A478" s="8"/>
    </row>
    <row r="479" spans="1:1" ht="13.8" x14ac:dyDescent="0.25">
      <c r="A479" s="8"/>
    </row>
    <row r="480" spans="1:1" ht="13.8" x14ac:dyDescent="0.25">
      <c r="A480" s="8"/>
    </row>
    <row r="481" spans="1:1" ht="13.8" x14ac:dyDescent="0.25">
      <c r="A481" s="8"/>
    </row>
    <row r="482" spans="1:1" ht="13.8" x14ac:dyDescent="0.25">
      <c r="A482" s="8"/>
    </row>
    <row r="483" spans="1:1" ht="13.8" x14ac:dyDescent="0.25">
      <c r="A483" s="8"/>
    </row>
    <row r="484" spans="1:1" ht="13.8" x14ac:dyDescent="0.25">
      <c r="A484" s="8"/>
    </row>
    <row r="485" spans="1:1" ht="13.8" x14ac:dyDescent="0.25">
      <c r="A485" s="8"/>
    </row>
    <row r="486" spans="1:1" ht="13.8" x14ac:dyDescent="0.25">
      <c r="A486" s="8"/>
    </row>
    <row r="487" spans="1:1" ht="13.8" x14ac:dyDescent="0.25">
      <c r="A487" s="8"/>
    </row>
    <row r="488" spans="1:1" ht="13.8" x14ac:dyDescent="0.25">
      <c r="A488" s="8"/>
    </row>
    <row r="489" spans="1:1" ht="13.8" x14ac:dyDescent="0.25">
      <c r="A489" s="8"/>
    </row>
    <row r="490" spans="1:1" ht="13.8" x14ac:dyDescent="0.25">
      <c r="A490" s="8"/>
    </row>
    <row r="491" spans="1:1" ht="13.8" x14ac:dyDescent="0.25">
      <c r="A491" s="8"/>
    </row>
    <row r="492" spans="1:1" ht="13.8" x14ac:dyDescent="0.25">
      <c r="A492" s="8"/>
    </row>
    <row r="493" spans="1:1" ht="13.8" x14ac:dyDescent="0.25">
      <c r="A493" s="8"/>
    </row>
    <row r="494" spans="1:1" ht="13.8" x14ac:dyDescent="0.25">
      <c r="A494" s="8"/>
    </row>
    <row r="495" spans="1:1" ht="13.8" x14ac:dyDescent="0.25">
      <c r="A495" s="8"/>
    </row>
    <row r="496" spans="1:1" ht="13.8" x14ac:dyDescent="0.25">
      <c r="A496" s="8"/>
    </row>
    <row r="497" spans="1:1" ht="13.8" x14ac:dyDescent="0.25">
      <c r="A497" s="8"/>
    </row>
    <row r="498" spans="1:1" ht="13.8" x14ac:dyDescent="0.25">
      <c r="A498" s="8"/>
    </row>
    <row r="499" spans="1:1" ht="13.8" x14ac:dyDescent="0.25">
      <c r="A499" s="8"/>
    </row>
    <row r="500" spans="1:1" ht="13.8" x14ac:dyDescent="0.25">
      <c r="A500" s="8"/>
    </row>
    <row r="501" spans="1:1" ht="13.8" x14ac:dyDescent="0.25">
      <c r="A501" s="8"/>
    </row>
    <row r="502" spans="1:1" ht="13.8" x14ac:dyDescent="0.25">
      <c r="A502" s="8"/>
    </row>
    <row r="503" spans="1:1" ht="13.8" x14ac:dyDescent="0.25">
      <c r="A503" s="8"/>
    </row>
    <row r="504" spans="1:1" ht="13.8" x14ac:dyDescent="0.25">
      <c r="A504" s="8"/>
    </row>
    <row r="505" spans="1:1" ht="13.8" x14ac:dyDescent="0.25">
      <c r="A505" s="8"/>
    </row>
    <row r="506" spans="1:1" ht="13.8" x14ac:dyDescent="0.25">
      <c r="A506" s="8"/>
    </row>
    <row r="507" spans="1:1" ht="13.8" x14ac:dyDescent="0.25">
      <c r="A507" s="8"/>
    </row>
    <row r="508" spans="1:1" ht="13.8" x14ac:dyDescent="0.25">
      <c r="A508" s="8"/>
    </row>
    <row r="509" spans="1:1" ht="13.8" x14ac:dyDescent="0.25">
      <c r="A509" s="8"/>
    </row>
    <row r="510" spans="1:1" ht="13.8" x14ac:dyDescent="0.25">
      <c r="A510" s="8"/>
    </row>
    <row r="511" spans="1:1" ht="13.8" x14ac:dyDescent="0.25">
      <c r="A511" s="8"/>
    </row>
    <row r="512" spans="1:1" ht="13.8" x14ac:dyDescent="0.25">
      <c r="A512" s="8"/>
    </row>
    <row r="513" spans="1:1" ht="13.8" x14ac:dyDescent="0.25">
      <c r="A513" s="8"/>
    </row>
    <row r="514" spans="1:1" ht="13.8" x14ac:dyDescent="0.25">
      <c r="A514" s="8"/>
    </row>
    <row r="515" spans="1:1" ht="13.8" x14ac:dyDescent="0.25">
      <c r="A515" s="8"/>
    </row>
    <row r="516" spans="1:1" ht="13.8" x14ac:dyDescent="0.25">
      <c r="A516" s="8"/>
    </row>
    <row r="517" spans="1:1" ht="13.8" x14ac:dyDescent="0.25">
      <c r="A517" s="8"/>
    </row>
    <row r="518" spans="1:1" ht="13.8" x14ac:dyDescent="0.25">
      <c r="A518" s="8"/>
    </row>
    <row r="519" spans="1:1" ht="13.8" x14ac:dyDescent="0.25">
      <c r="A519" s="8"/>
    </row>
    <row r="520" spans="1:1" ht="13.8" x14ac:dyDescent="0.25">
      <c r="A520" s="8"/>
    </row>
    <row r="521" spans="1:1" ht="13.8" x14ac:dyDescent="0.25">
      <c r="A521" s="8"/>
    </row>
    <row r="522" spans="1:1" ht="13.8" x14ac:dyDescent="0.25">
      <c r="A522" s="8"/>
    </row>
    <row r="523" spans="1:1" ht="13.8" x14ac:dyDescent="0.25">
      <c r="A523" s="8"/>
    </row>
    <row r="524" spans="1:1" ht="13.8" x14ac:dyDescent="0.25">
      <c r="A524" s="8"/>
    </row>
    <row r="525" spans="1:1" ht="13.8" x14ac:dyDescent="0.25">
      <c r="A525" s="8"/>
    </row>
    <row r="526" spans="1:1" ht="13.8" x14ac:dyDescent="0.25">
      <c r="A526" s="8"/>
    </row>
    <row r="527" spans="1:1" ht="13.8" x14ac:dyDescent="0.25">
      <c r="A527" s="8"/>
    </row>
    <row r="528" spans="1:1" ht="13.8" x14ac:dyDescent="0.25">
      <c r="A528" s="8"/>
    </row>
    <row r="529" spans="1:1" ht="13.8" x14ac:dyDescent="0.25">
      <c r="A529" s="8"/>
    </row>
    <row r="530" spans="1:1" ht="13.8" x14ac:dyDescent="0.25">
      <c r="A530" s="8"/>
    </row>
    <row r="531" spans="1:1" ht="13.8" x14ac:dyDescent="0.25">
      <c r="A531" s="8"/>
    </row>
    <row r="532" spans="1:1" ht="13.8" x14ac:dyDescent="0.25">
      <c r="A532" s="8"/>
    </row>
    <row r="533" spans="1:1" ht="13.8" x14ac:dyDescent="0.25">
      <c r="A533" s="8"/>
    </row>
    <row r="534" spans="1:1" ht="13.8" x14ac:dyDescent="0.25">
      <c r="A534" s="8"/>
    </row>
    <row r="535" spans="1:1" ht="13.8" x14ac:dyDescent="0.25">
      <c r="A535" s="8"/>
    </row>
    <row r="536" spans="1:1" ht="13.8" x14ac:dyDescent="0.25">
      <c r="A536" s="8"/>
    </row>
    <row r="537" spans="1:1" ht="13.8" x14ac:dyDescent="0.25">
      <c r="A537" s="8"/>
    </row>
    <row r="538" spans="1:1" ht="13.8" x14ac:dyDescent="0.25">
      <c r="A538" s="8"/>
    </row>
    <row r="539" spans="1:1" ht="13.8" x14ac:dyDescent="0.25">
      <c r="A539" s="8"/>
    </row>
    <row r="540" spans="1:1" ht="13.8" x14ac:dyDescent="0.25">
      <c r="A540" s="8"/>
    </row>
    <row r="541" spans="1:1" ht="13.8" x14ac:dyDescent="0.25">
      <c r="A541" s="8"/>
    </row>
    <row r="542" spans="1:1" ht="13.8" x14ac:dyDescent="0.25">
      <c r="A542" s="8"/>
    </row>
    <row r="543" spans="1:1" ht="13.8" x14ac:dyDescent="0.25">
      <c r="A543" s="8"/>
    </row>
    <row r="544" spans="1:1" ht="13.8" x14ac:dyDescent="0.25">
      <c r="A544" s="8"/>
    </row>
    <row r="545" spans="1:1" ht="13.8" x14ac:dyDescent="0.25">
      <c r="A545" s="8"/>
    </row>
    <row r="546" spans="1:1" ht="13.8" x14ac:dyDescent="0.25">
      <c r="A546" s="8"/>
    </row>
    <row r="547" spans="1:1" ht="13.8" x14ac:dyDescent="0.25">
      <c r="A547" s="8"/>
    </row>
    <row r="548" spans="1:1" ht="13.8" x14ac:dyDescent="0.25">
      <c r="A548" s="8"/>
    </row>
    <row r="549" spans="1:1" ht="13.8" x14ac:dyDescent="0.25">
      <c r="A549" s="8"/>
    </row>
    <row r="550" spans="1:1" ht="13.8" x14ac:dyDescent="0.25">
      <c r="A550" s="8"/>
    </row>
    <row r="551" spans="1:1" ht="13.8" x14ac:dyDescent="0.25">
      <c r="A551" s="8"/>
    </row>
    <row r="552" spans="1:1" ht="13.8" x14ac:dyDescent="0.25">
      <c r="A552" s="8"/>
    </row>
    <row r="553" spans="1:1" ht="13.8" x14ac:dyDescent="0.25">
      <c r="A553" s="8"/>
    </row>
    <row r="554" spans="1:1" ht="13.8" x14ac:dyDescent="0.25">
      <c r="A554" s="8"/>
    </row>
    <row r="555" spans="1:1" ht="13.8" x14ac:dyDescent="0.25">
      <c r="A555" s="8"/>
    </row>
    <row r="556" spans="1:1" ht="13.8" x14ac:dyDescent="0.25">
      <c r="A556" s="8"/>
    </row>
    <row r="557" spans="1:1" ht="13.8" x14ac:dyDescent="0.25">
      <c r="A557" s="8"/>
    </row>
    <row r="558" spans="1:1" ht="13.8" x14ac:dyDescent="0.25">
      <c r="A558" s="8"/>
    </row>
    <row r="559" spans="1:1" ht="13.8" x14ac:dyDescent="0.25">
      <c r="A559" s="8"/>
    </row>
    <row r="560" spans="1:1" ht="13.8" x14ac:dyDescent="0.25">
      <c r="A560" s="8"/>
    </row>
    <row r="561" spans="1:1" ht="13.8" x14ac:dyDescent="0.25">
      <c r="A561" s="8"/>
    </row>
    <row r="562" spans="1:1" ht="13.8" x14ac:dyDescent="0.25">
      <c r="A562" s="8"/>
    </row>
    <row r="563" spans="1:1" ht="13.8" x14ac:dyDescent="0.25">
      <c r="A563" s="8"/>
    </row>
    <row r="564" spans="1:1" ht="13.8" x14ac:dyDescent="0.25">
      <c r="A564" s="8"/>
    </row>
    <row r="565" spans="1:1" ht="13.8" x14ac:dyDescent="0.25">
      <c r="A565" s="8"/>
    </row>
    <row r="566" spans="1:1" ht="13.8" x14ac:dyDescent="0.25">
      <c r="A566" s="8"/>
    </row>
    <row r="567" spans="1:1" ht="13.8" x14ac:dyDescent="0.25">
      <c r="A567" s="8"/>
    </row>
    <row r="568" spans="1:1" ht="13.8" x14ac:dyDescent="0.25">
      <c r="A568" s="8"/>
    </row>
    <row r="569" spans="1:1" ht="13.8" x14ac:dyDescent="0.25">
      <c r="A569" s="8"/>
    </row>
    <row r="570" spans="1:1" ht="13.8" x14ac:dyDescent="0.25">
      <c r="A570" s="8"/>
    </row>
    <row r="571" spans="1:1" ht="13.8" x14ac:dyDescent="0.25">
      <c r="A571" s="8"/>
    </row>
    <row r="572" spans="1:1" ht="13.8" x14ac:dyDescent="0.25">
      <c r="A572" s="8"/>
    </row>
    <row r="573" spans="1:1" ht="13.8" x14ac:dyDescent="0.25">
      <c r="A573" s="8"/>
    </row>
    <row r="574" spans="1:1" ht="13.8" x14ac:dyDescent="0.25">
      <c r="A574" s="8"/>
    </row>
    <row r="575" spans="1:1" ht="13.8" x14ac:dyDescent="0.25">
      <c r="A575" s="8"/>
    </row>
    <row r="576" spans="1:1" ht="13.8" x14ac:dyDescent="0.25">
      <c r="A576" s="8"/>
    </row>
    <row r="577" spans="1:1" ht="13.8" x14ac:dyDescent="0.25">
      <c r="A577" s="8"/>
    </row>
    <row r="578" spans="1:1" ht="13.8" x14ac:dyDescent="0.25">
      <c r="A578" s="8"/>
    </row>
    <row r="579" spans="1:1" ht="13.8" x14ac:dyDescent="0.25">
      <c r="A579" s="8"/>
    </row>
    <row r="580" spans="1:1" ht="13.8" x14ac:dyDescent="0.25">
      <c r="A580" s="8"/>
    </row>
    <row r="581" spans="1:1" ht="13.8" x14ac:dyDescent="0.25">
      <c r="A581" s="8"/>
    </row>
    <row r="582" spans="1:1" ht="13.8" x14ac:dyDescent="0.25">
      <c r="A582" s="8"/>
    </row>
    <row r="583" spans="1:1" ht="13.8" x14ac:dyDescent="0.25">
      <c r="A583" s="8"/>
    </row>
    <row r="584" spans="1:1" ht="13.8" x14ac:dyDescent="0.25">
      <c r="A584" s="8"/>
    </row>
    <row r="585" spans="1:1" ht="13.8" x14ac:dyDescent="0.25">
      <c r="A585" s="8"/>
    </row>
    <row r="586" spans="1:1" ht="13.8" x14ac:dyDescent="0.25">
      <c r="A586" s="8"/>
    </row>
    <row r="587" spans="1:1" ht="13.8" x14ac:dyDescent="0.25">
      <c r="A587" s="8"/>
    </row>
    <row r="588" spans="1:1" ht="13.8" x14ac:dyDescent="0.25">
      <c r="A588" s="8"/>
    </row>
    <row r="589" spans="1:1" ht="13.8" x14ac:dyDescent="0.25">
      <c r="A589" s="8"/>
    </row>
    <row r="590" spans="1:1" ht="13.8" x14ac:dyDescent="0.25">
      <c r="A590" s="8"/>
    </row>
    <row r="591" spans="1:1" ht="13.8" x14ac:dyDescent="0.25">
      <c r="A591" s="8"/>
    </row>
    <row r="592" spans="1:1" ht="13.8" x14ac:dyDescent="0.25">
      <c r="A592" s="8"/>
    </row>
    <row r="593" spans="1:1" ht="13.8" x14ac:dyDescent="0.25">
      <c r="A593" s="8"/>
    </row>
    <row r="594" spans="1:1" ht="13.8" x14ac:dyDescent="0.25">
      <c r="A594" s="8"/>
    </row>
    <row r="595" spans="1:1" ht="13.8" x14ac:dyDescent="0.25">
      <c r="A595" s="8"/>
    </row>
    <row r="596" spans="1:1" ht="13.8" x14ac:dyDescent="0.25">
      <c r="A596" s="8"/>
    </row>
    <row r="597" spans="1:1" ht="13.8" x14ac:dyDescent="0.25">
      <c r="A597" s="8"/>
    </row>
    <row r="598" spans="1:1" ht="13.8" x14ac:dyDescent="0.25">
      <c r="A598" s="8"/>
    </row>
    <row r="599" spans="1:1" ht="13.8" x14ac:dyDescent="0.25">
      <c r="A599" s="8"/>
    </row>
    <row r="600" spans="1:1" ht="13.8" x14ac:dyDescent="0.25">
      <c r="A600" s="8"/>
    </row>
    <row r="601" spans="1:1" ht="13.8" x14ac:dyDescent="0.25">
      <c r="A601" s="8"/>
    </row>
    <row r="602" spans="1:1" ht="13.8" x14ac:dyDescent="0.25">
      <c r="A602" s="8"/>
    </row>
    <row r="603" spans="1:1" ht="13.8" x14ac:dyDescent="0.25">
      <c r="A603" s="8"/>
    </row>
    <row r="604" spans="1:1" ht="13.8" x14ac:dyDescent="0.25">
      <c r="A604" s="8"/>
    </row>
    <row r="605" spans="1:1" ht="13.8" x14ac:dyDescent="0.25">
      <c r="A605" s="8"/>
    </row>
    <row r="606" spans="1:1" ht="13.8" x14ac:dyDescent="0.25">
      <c r="A606" s="8"/>
    </row>
    <row r="607" spans="1:1" ht="13.8" x14ac:dyDescent="0.25">
      <c r="A607" s="8"/>
    </row>
    <row r="608" spans="1:1" ht="13.8" x14ac:dyDescent="0.25">
      <c r="A608" s="8"/>
    </row>
    <row r="609" spans="1:1" ht="13.8" x14ac:dyDescent="0.25">
      <c r="A609" s="8"/>
    </row>
    <row r="610" spans="1:1" ht="13.8" x14ac:dyDescent="0.25">
      <c r="A610" s="8"/>
    </row>
    <row r="611" spans="1:1" ht="13.8" x14ac:dyDescent="0.25">
      <c r="A611" s="8"/>
    </row>
    <row r="612" spans="1:1" ht="13.8" x14ac:dyDescent="0.25">
      <c r="A612" s="8"/>
    </row>
    <row r="613" spans="1:1" ht="13.8" x14ac:dyDescent="0.25">
      <c r="A613" s="8"/>
    </row>
    <row r="614" spans="1:1" ht="13.8" x14ac:dyDescent="0.25">
      <c r="A614" s="8"/>
    </row>
    <row r="615" spans="1:1" ht="13.8" x14ac:dyDescent="0.25">
      <c r="A615" s="8"/>
    </row>
    <row r="616" spans="1:1" ht="13.8" x14ac:dyDescent="0.25">
      <c r="A616" s="8"/>
    </row>
    <row r="617" spans="1:1" ht="13.8" x14ac:dyDescent="0.25">
      <c r="A617" s="8"/>
    </row>
    <row r="618" spans="1:1" ht="13.8" x14ac:dyDescent="0.25">
      <c r="A618" s="8"/>
    </row>
    <row r="619" spans="1:1" ht="13.8" x14ac:dyDescent="0.25">
      <c r="A619" s="8"/>
    </row>
    <row r="620" spans="1:1" ht="13.8" x14ac:dyDescent="0.25">
      <c r="A620" s="8"/>
    </row>
    <row r="621" spans="1:1" ht="13.8" x14ac:dyDescent="0.25">
      <c r="A621" s="8"/>
    </row>
    <row r="622" spans="1:1" ht="13.8" x14ac:dyDescent="0.25">
      <c r="A622" s="8"/>
    </row>
    <row r="623" spans="1:1" ht="13.8" x14ac:dyDescent="0.25">
      <c r="A623" s="8"/>
    </row>
    <row r="624" spans="1:1" ht="13.8" x14ac:dyDescent="0.25">
      <c r="A624" s="8"/>
    </row>
    <row r="625" spans="1:1" ht="13.8" x14ac:dyDescent="0.25">
      <c r="A625" s="8"/>
    </row>
    <row r="626" spans="1:1" ht="13.8" x14ac:dyDescent="0.25">
      <c r="A626" s="8"/>
    </row>
    <row r="627" spans="1:1" ht="13.8" x14ac:dyDescent="0.25">
      <c r="A627" s="8"/>
    </row>
    <row r="628" spans="1:1" ht="13.8" x14ac:dyDescent="0.25">
      <c r="A628" s="8"/>
    </row>
    <row r="629" spans="1:1" ht="13.8" x14ac:dyDescent="0.25">
      <c r="A629" s="8"/>
    </row>
    <row r="630" spans="1:1" ht="13.8" x14ac:dyDescent="0.25">
      <c r="A630" s="8"/>
    </row>
    <row r="631" spans="1:1" ht="13.8" x14ac:dyDescent="0.25">
      <c r="A631" s="8"/>
    </row>
    <row r="632" spans="1:1" ht="13.8" x14ac:dyDescent="0.25">
      <c r="A632" s="8"/>
    </row>
    <row r="633" spans="1:1" ht="13.8" x14ac:dyDescent="0.25">
      <c r="A633" s="8"/>
    </row>
    <row r="634" spans="1:1" ht="13.8" x14ac:dyDescent="0.25">
      <c r="A634" s="8"/>
    </row>
    <row r="635" spans="1:1" ht="13.8" x14ac:dyDescent="0.25">
      <c r="A635" s="8"/>
    </row>
    <row r="636" spans="1:1" ht="13.8" x14ac:dyDescent="0.25">
      <c r="A636" s="8"/>
    </row>
    <row r="637" spans="1:1" ht="13.8" x14ac:dyDescent="0.25">
      <c r="A637" s="8"/>
    </row>
    <row r="638" spans="1:1" ht="13.8" x14ac:dyDescent="0.25">
      <c r="A638" s="8"/>
    </row>
    <row r="639" spans="1:1" ht="13.8" x14ac:dyDescent="0.25">
      <c r="A639" s="8"/>
    </row>
    <row r="640" spans="1:1" ht="13.8" x14ac:dyDescent="0.25">
      <c r="A640" s="8"/>
    </row>
    <row r="641" spans="1:1" ht="13.8" x14ac:dyDescent="0.25">
      <c r="A641" s="8"/>
    </row>
    <row r="642" spans="1:1" ht="13.8" x14ac:dyDescent="0.25">
      <c r="A642" s="8"/>
    </row>
    <row r="643" spans="1:1" ht="13.8" x14ac:dyDescent="0.25">
      <c r="A643" s="8"/>
    </row>
    <row r="644" spans="1:1" ht="13.8" x14ac:dyDescent="0.25">
      <c r="A644" s="8"/>
    </row>
    <row r="645" spans="1:1" ht="13.8" x14ac:dyDescent="0.25">
      <c r="A645" s="8"/>
    </row>
    <row r="646" spans="1:1" ht="13.8" x14ac:dyDescent="0.25">
      <c r="A646" s="8"/>
    </row>
    <row r="647" spans="1:1" ht="13.8" x14ac:dyDescent="0.25">
      <c r="A647" s="8"/>
    </row>
    <row r="648" spans="1:1" ht="13.8" x14ac:dyDescent="0.25">
      <c r="A648" s="8"/>
    </row>
    <row r="649" spans="1:1" ht="13.8" x14ac:dyDescent="0.25">
      <c r="A649" s="8"/>
    </row>
    <row r="650" spans="1:1" ht="13.8" x14ac:dyDescent="0.25">
      <c r="A650" s="8"/>
    </row>
    <row r="651" spans="1:1" ht="13.8" x14ac:dyDescent="0.25">
      <c r="A651" s="8"/>
    </row>
    <row r="652" spans="1:1" ht="13.8" x14ac:dyDescent="0.25">
      <c r="A652" s="8"/>
    </row>
    <row r="653" spans="1:1" ht="13.8" x14ac:dyDescent="0.25">
      <c r="A653" s="8"/>
    </row>
    <row r="654" spans="1:1" ht="13.8" x14ac:dyDescent="0.25">
      <c r="A654" s="8"/>
    </row>
    <row r="655" spans="1:1" ht="13.8" x14ac:dyDescent="0.25">
      <c r="A655" s="8"/>
    </row>
    <row r="656" spans="1:1" ht="13.8" x14ac:dyDescent="0.25">
      <c r="A656" s="8"/>
    </row>
    <row r="657" spans="1:1" ht="13.8" x14ac:dyDescent="0.25">
      <c r="A657" s="8"/>
    </row>
    <row r="658" spans="1:1" ht="13.8" x14ac:dyDescent="0.25">
      <c r="A658" s="8"/>
    </row>
    <row r="659" spans="1:1" ht="13.8" x14ac:dyDescent="0.25">
      <c r="A659" s="8"/>
    </row>
    <row r="660" spans="1:1" ht="13.8" x14ac:dyDescent="0.25">
      <c r="A660" s="8"/>
    </row>
    <row r="661" spans="1:1" ht="13.8" x14ac:dyDescent="0.25">
      <c r="A661" s="8"/>
    </row>
    <row r="662" spans="1:1" ht="13.8" x14ac:dyDescent="0.25">
      <c r="A662" s="8"/>
    </row>
    <row r="663" spans="1:1" ht="13.8" x14ac:dyDescent="0.25">
      <c r="A663" s="8"/>
    </row>
    <row r="664" spans="1:1" ht="13.8" x14ac:dyDescent="0.25">
      <c r="A664" s="8"/>
    </row>
    <row r="665" spans="1:1" ht="13.8" x14ac:dyDescent="0.25">
      <c r="A665" s="8"/>
    </row>
    <row r="666" spans="1:1" ht="13.8" x14ac:dyDescent="0.25">
      <c r="A666" s="8"/>
    </row>
    <row r="667" spans="1:1" ht="13.8" x14ac:dyDescent="0.25">
      <c r="A667" s="8"/>
    </row>
    <row r="668" spans="1:1" ht="13.8" x14ac:dyDescent="0.25">
      <c r="A668" s="8"/>
    </row>
    <row r="669" spans="1:1" ht="13.8" x14ac:dyDescent="0.25">
      <c r="A669" s="8"/>
    </row>
    <row r="670" spans="1:1" ht="13.8" x14ac:dyDescent="0.25">
      <c r="A670" s="8"/>
    </row>
    <row r="671" spans="1:1" ht="13.8" x14ac:dyDescent="0.25">
      <c r="A671" s="8"/>
    </row>
    <row r="672" spans="1:1" ht="13.8" x14ac:dyDescent="0.25">
      <c r="A672" s="8"/>
    </row>
    <row r="673" spans="1:1" ht="13.8" x14ac:dyDescent="0.25">
      <c r="A673" s="8"/>
    </row>
    <row r="674" spans="1:1" ht="13.8" x14ac:dyDescent="0.25">
      <c r="A674" s="8"/>
    </row>
    <row r="675" spans="1:1" ht="13.8" x14ac:dyDescent="0.25">
      <c r="A675" s="8"/>
    </row>
    <row r="676" spans="1:1" ht="13.8" x14ac:dyDescent="0.25">
      <c r="A676" s="8"/>
    </row>
    <row r="677" spans="1:1" ht="13.8" x14ac:dyDescent="0.25">
      <c r="A677" s="8"/>
    </row>
    <row r="678" spans="1:1" ht="13.8" x14ac:dyDescent="0.25">
      <c r="A678" s="8"/>
    </row>
    <row r="679" spans="1:1" ht="13.8" x14ac:dyDescent="0.25">
      <c r="A679" s="8"/>
    </row>
    <row r="680" spans="1:1" ht="13.8" x14ac:dyDescent="0.25">
      <c r="A680" s="8"/>
    </row>
    <row r="681" spans="1:1" ht="13.8" x14ac:dyDescent="0.25">
      <c r="A681" s="8"/>
    </row>
    <row r="682" spans="1:1" ht="13.8" x14ac:dyDescent="0.25">
      <c r="A682" s="8"/>
    </row>
    <row r="683" spans="1:1" ht="13.8" x14ac:dyDescent="0.25">
      <c r="A683" s="8"/>
    </row>
    <row r="684" spans="1:1" ht="13.8" x14ac:dyDescent="0.25">
      <c r="A684" s="8"/>
    </row>
    <row r="685" spans="1:1" ht="13.8" x14ac:dyDescent="0.25">
      <c r="A685" s="8"/>
    </row>
    <row r="686" spans="1:1" ht="13.8" x14ac:dyDescent="0.25">
      <c r="A686" s="8"/>
    </row>
    <row r="687" spans="1:1" ht="13.8" x14ac:dyDescent="0.25">
      <c r="A687" s="8"/>
    </row>
    <row r="688" spans="1:1" ht="13.8" x14ac:dyDescent="0.25">
      <c r="A688" s="8"/>
    </row>
    <row r="689" spans="1:1" ht="13.8" x14ac:dyDescent="0.25">
      <c r="A689" s="8"/>
    </row>
    <row r="690" spans="1:1" ht="13.8" x14ac:dyDescent="0.25">
      <c r="A690" s="8"/>
    </row>
    <row r="691" spans="1:1" ht="13.8" x14ac:dyDescent="0.25">
      <c r="A691" s="8"/>
    </row>
    <row r="692" spans="1:1" ht="13.8" x14ac:dyDescent="0.25">
      <c r="A692" s="8"/>
    </row>
    <row r="693" spans="1:1" ht="13.8" x14ac:dyDescent="0.25">
      <c r="A693" s="8"/>
    </row>
    <row r="694" spans="1:1" ht="13.8" x14ac:dyDescent="0.25">
      <c r="A694" s="8"/>
    </row>
    <row r="695" spans="1:1" ht="13.8" x14ac:dyDescent="0.25">
      <c r="A695" s="8"/>
    </row>
    <row r="696" spans="1:1" ht="13.8" x14ac:dyDescent="0.25">
      <c r="A696" s="8"/>
    </row>
    <row r="697" spans="1:1" ht="13.8" x14ac:dyDescent="0.25">
      <c r="A697" s="8"/>
    </row>
    <row r="698" spans="1:1" ht="13.8" x14ac:dyDescent="0.25">
      <c r="A698" s="8"/>
    </row>
    <row r="699" spans="1:1" ht="13.8" x14ac:dyDescent="0.25">
      <c r="A699" s="8"/>
    </row>
    <row r="700" spans="1:1" ht="13.8" x14ac:dyDescent="0.25">
      <c r="A700" s="8"/>
    </row>
    <row r="701" spans="1:1" ht="13.8" x14ac:dyDescent="0.25">
      <c r="A701" s="8"/>
    </row>
    <row r="702" spans="1:1" ht="13.8" x14ac:dyDescent="0.25">
      <c r="A702" s="8"/>
    </row>
    <row r="703" spans="1:1" ht="13.8" x14ac:dyDescent="0.25">
      <c r="A703" s="8"/>
    </row>
    <row r="704" spans="1:1" ht="13.8" x14ac:dyDescent="0.25">
      <c r="A704" s="8"/>
    </row>
    <row r="705" spans="1:1" ht="13.8" x14ac:dyDescent="0.25">
      <c r="A705" s="8"/>
    </row>
    <row r="706" spans="1:1" ht="13.8" x14ac:dyDescent="0.25">
      <c r="A706" s="8"/>
    </row>
    <row r="707" spans="1:1" ht="13.8" x14ac:dyDescent="0.25">
      <c r="A707" s="8"/>
    </row>
    <row r="708" spans="1:1" ht="13.8" x14ac:dyDescent="0.25">
      <c r="A708" s="8"/>
    </row>
    <row r="709" spans="1:1" ht="13.8" x14ac:dyDescent="0.25">
      <c r="A709" s="8"/>
    </row>
    <row r="710" spans="1:1" ht="13.8" x14ac:dyDescent="0.25">
      <c r="A710" s="8"/>
    </row>
    <row r="711" spans="1:1" ht="13.8" x14ac:dyDescent="0.25">
      <c r="A711" s="8"/>
    </row>
    <row r="712" spans="1:1" ht="13.8" x14ac:dyDescent="0.25">
      <c r="A712" s="8"/>
    </row>
    <row r="713" spans="1:1" ht="13.8" x14ac:dyDescent="0.25">
      <c r="A713" s="8"/>
    </row>
    <row r="714" spans="1:1" ht="13.8" x14ac:dyDescent="0.25">
      <c r="A714" s="8"/>
    </row>
    <row r="715" spans="1:1" ht="13.8" x14ac:dyDescent="0.25">
      <c r="A715" s="8"/>
    </row>
    <row r="716" spans="1:1" ht="13.8" x14ac:dyDescent="0.25">
      <c r="A716" s="8"/>
    </row>
    <row r="717" spans="1:1" ht="13.8" x14ac:dyDescent="0.25">
      <c r="A717" s="8"/>
    </row>
    <row r="718" spans="1:1" ht="13.8" x14ac:dyDescent="0.25">
      <c r="A718" s="8"/>
    </row>
    <row r="719" spans="1:1" ht="13.8" x14ac:dyDescent="0.25">
      <c r="A719" s="8"/>
    </row>
    <row r="720" spans="1:1" ht="13.8" x14ac:dyDescent="0.25">
      <c r="A720" s="8"/>
    </row>
    <row r="721" spans="1:1" ht="13.8" x14ac:dyDescent="0.25">
      <c r="A721" s="8"/>
    </row>
    <row r="722" spans="1:1" ht="13.8" x14ac:dyDescent="0.25">
      <c r="A722" s="8"/>
    </row>
    <row r="723" spans="1:1" ht="13.8" x14ac:dyDescent="0.25">
      <c r="A723" s="8"/>
    </row>
    <row r="724" spans="1:1" ht="13.8" x14ac:dyDescent="0.25">
      <c r="A724" s="8"/>
    </row>
    <row r="725" spans="1:1" ht="13.8" x14ac:dyDescent="0.25">
      <c r="A725" s="8"/>
    </row>
    <row r="726" spans="1:1" ht="13.8" x14ac:dyDescent="0.25">
      <c r="A726" s="8"/>
    </row>
    <row r="727" spans="1:1" ht="13.8" x14ac:dyDescent="0.25">
      <c r="A727" s="8"/>
    </row>
    <row r="728" spans="1:1" ht="13.8" x14ac:dyDescent="0.25">
      <c r="A728" s="8"/>
    </row>
    <row r="729" spans="1:1" ht="13.8" x14ac:dyDescent="0.25">
      <c r="A729" s="8"/>
    </row>
    <row r="730" spans="1:1" ht="13.8" x14ac:dyDescent="0.25">
      <c r="A730" s="8"/>
    </row>
    <row r="731" spans="1:1" ht="13.8" x14ac:dyDescent="0.25">
      <c r="A731" s="8"/>
    </row>
    <row r="732" spans="1:1" ht="13.8" x14ac:dyDescent="0.25">
      <c r="A732" s="8"/>
    </row>
    <row r="733" spans="1:1" ht="13.8" x14ac:dyDescent="0.25">
      <c r="A733" s="8"/>
    </row>
    <row r="734" spans="1:1" ht="13.8" x14ac:dyDescent="0.25">
      <c r="A734" s="8"/>
    </row>
    <row r="735" spans="1:1" ht="13.8" x14ac:dyDescent="0.25">
      <c r="A735" s="8"/>
    </row>
    <row r="736" spans="1:1" ht="13.8" x14ac:dyDescent="0.25">
      <c r="A736" s="8"/>
    </row>
    <row r="737" spans="1:1" ht="13.8" x14ac:dyDescent="0.25">
      <c r="A737" s="8"/>
    </row>
    <row r="738" spans="1:1" ht="13.8" x14ac:dyDescent="0.25">
      <c r="A738" s="8"/>
    </row>
    <row r="739" spans="1:1" ht="13.8" x14ac:dyDescent="0.25">
      <c r="A739" s="8"/>
    </row>
    <row r="740" spans="1:1" ht="13.8" x14ac:dyDescent="0.25">
      <c r="A740" s="8"/>
    </row>
    <row r="741" spans="1:1" ht="13.8" x14ac:dyDescent="0.25">
      <c r="A741" s="8"/>
    </row>
    <row r="742" spans="1:1" ht="13.8" x14ac:dyDescent="0.25">
      <c r="A742" s="8"/>
    </row>
    <row r="743" spans="1:1" ht="13.8" x14ac:dyDescent="0.25">
      <c r="A743" s="8"/>
    </row>
    <row r="744" spans="1:1" ht="13.8" x14ac:dyDescent="0.25">
      <c r="A744" s="8"/>
    </row>
    <row r="745" spans="1:1" ht="13.8" x14ac:dyDescent="0.25">
      <c r="A745" s="8"/>
    </row>
    <row r="746" spans="1:1" ht="13.8" x14ac:dyDescent="0.25">
      <c r="A746" s="8"/>
    </row>
    <row r="747" spans="1:1" ht="13.8" x14ac:dyDescent="0.25">
      <c r="A747" s="8"/>
    </row>
    <row r="748" spans="1:1" ht="13.8" x14ac:dyDescent="0.25">
      <c r="A748" s="8"/>
    </row>
    <row r="749" spans="1:1" ht="13.8" x14ac:dyDescent="0.25">
      <c r="A749" s="8"/>
    </row>
    <row r="750" spans="1:1" ht="13.8" x14ac:dyDescent="0.25">
      <c r="A750" s="8"/>
    </row>
    <row r="751" spans="1:1" ht="13.8" x14ac:dyDescent="0.25">
      <c r="A751" s="8"/>
    </row>
    <row r="752" spans="1:1" ht="13.8" x14ac:dyDescent="0.25">
      <c r="A752" s="8"/>
    </row>
    <row r="753" spans="1:1" ht="13.8" x14ac:dyDescent="0.25">
      <c r="A753" s="8"/>
    </row>
    <row r="754" spans="1:1" ht="13.8" x14ac:dyDescent="0.25">
      <c r="A754" s="8"/>
    </row>
    <row r="755" spans="1:1" ht="13.8" x14ac:dyDescent="0.25">
      <c r="A755" s="8"/>
    </row>
    <row r="756" spans="1:1" ht="13.8" x14ac:dyDescent="0.25">
      <c r="A756" s="8"/>
    </row>
    <row r="757" spans="1:1" ht="13.8" x14ac:dyDescent="0.25">
      <c r="A757" s="8"/>
    </row>
    <row r="758" spans="1:1" ht="13.8" x14ac:dyDescent="0.25">
      <c r="A758" s="8"/>
    </row>
    <row r="759" spans="1:1" ht="13.8" x14ac:dyDescent="0.25">
      <c r="A759" s="8"/>
    </row>
    <row r="760" spans="1:1" ht="13.8" x14ac:dyDescent="0.25">
      <c r="A760" s="8"/>
    </row>
    <row r="761" spans="1:1" ht="13.8" x14ac:dyDescent="0.25">
      <c r="A761" s="8"/>
    </row>
    <row r="762" spans="1:1" ht="13.8" x14ac:dyDescent="0.25">
      <c r="A762" s="8"/>
    </row>
    <row r="763" spans="1:1" ht="13.8" x14ac:dyDescent="0.25">
      <c r="A763" s="8"/>
    </row>
    <row r="764" spans="1:1" ht="13.8" x14ac:dyDescent="0.25">
      <c r="A764" s="8"/>
    </row>
    <row r="765" spans="1:1" ht="13.8" x14ac:dyDescent="0.25">
      <c r="A765" s="8"/>
    </row>
    <row r="766" spans="1:1" ht="13.8" x14ac:dyDescent="0.25">
      <c r="A766" s="8"/>
    </row>
    <row r="767" spans="1:1" ht="13.8" x14ac:dyDescent="0.25">
      <c r="A767" s="8"/>
    </row>
    <row r="768" spans="1:1" ht="13.8" x14ac:dyDescent="0.25">
      <c r="A768" s="8"/>
    </row>
    <row r="769" spans="1:1" ht="13.8" x14ac:dyDescent="0.25">
      <c r="A769" s="8"/>
    </row>
    <row r="770" spans="1:1" ht="13.8" x14ac:dyDescent="0.25">
      <c r="A770" s="8"/>
    </row>
    <row r="771" spans="1:1" ht="13.8" x14ac:dyDescent="0.25">
      <c r="A771" s="8"/>
    </row>
    <row r="772" spans="1:1" ht="13.8" x14ac:dyDescent="0.25">
      <c r="A772" s="8"/>
    </row>
    <row r="773" spans="1:1" ht="13.8" x14ac:dyDescent="0.25">
      <c r="A773" s="8"/>
    </row>
    <row r="774" spans="1:1" ht="13.8" x14ac:dyDescent="0.25">
      <c r="A774" s="8"/>
    </row>
    <row r="775" spans="1:1" ht="13.8" x14ac:dyDescent="0.25">
      <c r="A775" s="8"/>
    </row>
    <row r="776" spans="1:1" ht="13.8" x14ac:dyDescent="0.25">
      <c r="A776" s="8"/>
    </row>
    <row r="777" spans="1:1" ht="13.8" x14ac:dyDescent="0.25">
      <c r="A777" s="8"/>
    </row>
    <row r="778" spans="1:1" ht="13.8" x14ac:dyDescent="0.25">
      <c r="A778" s="8"/>
    </row>
    <row r="779" spans="1:1" ht="13.8" x14ac:dyDescent="0.25">
      <c r="A779" s="8"/>
    </row>
    <row r="780" spans="1:1" ht="13.8" x14ac:dyDescent="0.25">
      <c r="A780" s="8"/>
    </row>
    <row r="781" spans="1:1" ht="13.8" x14ac:dyDescent="0.25">
      <c r="A781" s="8"/>
    </row>
    <row r="782" spans="1:1" ht="13.8" x14ac:dyDescent="0.25">
      <c r="A782" s="8"/>
    </row>
    <row r="783" spans="1:1" ht="13.8" x14ac:dyDescent="0.25">
      <c r="A783" s="8"/>
    </row>
    <row r="784" spans="1:1" ht="13.8" x14ac:dyDescent="0.25">
      <c r="A784" s="8"/>
    </row>
    <row r="785" spans="1:1" ht="13.8" x14ac:dyDescent="0.25">
      <c r="A785" s="8"/>
    </row>
    <row r="786" spans="1:1" ht="13.8" x14ac:dyDescent="0.25">
      <c r="A786" s="8"/>
    </row>
    <row r="787" spans="1:1" ht="13.8" x14ac:dyDescent="0.25">
      <c r="A787" s="8"/>
    </row>
    <row r="788" spans="1:1" ht="13.8" x14ac:dyDescent="0.25">
      <c r="A788" s="8"/>
    </row>
    <row r="789" spans="1:1" ht="13.8" x14ac:dyDescent="0.25">
      <c r="A789" s="8"/>
    </row>
    <row r="790" spans="1:1" ht="13.8" x14ac:dyDescent="0.25">
      <c r="A790" s="8"/>
    </row>
    <row r="791" spans="1:1" ht="13.8" x14ac:dyDescent="0.25">
      <c r="A791" s="8"/>
    </row>
    <row r="792" spans="1:1" ht="13.8" x14ac:dyDescent="0.25">
      <c r="A792" s="8"/>
    </row>
    <row r="793" spans="1:1" ht="13.8" x14ac:dyDescent="0.25">
      <c r="A793" s="8"/>
    </row>
    <row r="794" spans="1:1" ht="13.8" x14ac:dyDescent="0.25">
      <c r="A794" s="8"/>
    </row>
    <row r="795" spans="1:1" ht="13.8" x14ac:dyDescent="0.25">
      <c r="A795" s="8"/>
    </row>
    <row r="796" spans="1:1" ht="13.8" x14ac:dyDescent="0.25">
      <c r="A796" s="8"/>
    </row>
    <row r="797" spans="1:1" ht="13.8" x14ac:dyDescent="0.25">
      <c r="A797" s="8"/>
    </row>
    <row r="798" spans="1:1" ht="13.8" x14ac:dyDescent="0.25">
      <c r="A798" s="8"/>
    </row>
    <row r="799" spans="1:1" ht="13.8" x14ac:dyDescent="0.25">
      <c r="A799" s="8"/>
    </row>
    <row r="800" spans="1:1" ht="13.8" x14ac:dyDescent="0.25">
      <c r="A800" s="8"/>
    </row>
    <row r="801" spans="1:1" ht="13.8" x14ac:dyDescent="0.25">
      <c r="A801" s="8"/>
    </row>
    <row r="802" spans="1:1" ht="13.8" x14ac:dyDescent="0.25">
      <c r="A802" s="8"/>
    </row>
    <row r="803" spans="1:1" ht="13.8" x14ac:dyDescent="0.25">
      <c r="A803" s="8"/>
    </row>
    <row r="804" spans="1:1" ht="13.8" x14ac:dyDescent="0.25">
      <c r="A804" s="8"/>
    </row>
    <row r="805" spans="1:1" ht="13.8" x14ac:dyDescent="0.25">
      <c r="A805" s="8"/>
    </row>
    <row r="806" spans="1:1" ht="13.8" x14ac:dyDescent="0.25">
      <c r="A806" s="8"/>
    </row>
    <row r="807" spans="1:1" ht="13.8" x14ac:dyDescent="0.25">
      <c r="A807" s="8"/>
    </row>
    <row r="808" spans="1:1" ht="13.8" x14ac:dyDescent="0.25">
      <c r="A808" s="8"/>
    </row>
    <row r="809" spans="1:1" ht="13.8" x14ac:dyDescent="0.25">
      <c r="A809" s="8"/>
    </row>
    <row r="810" spans="1:1" ht="13.8" x14ac:dyDescent="0.25">
      <c r="A810" s="8"/>
    </row>
    <row r="811" spans="1:1" ht="13.8" x14ac:dyDescent="0.25">
      <c r="A811" s="8"/>
    </row>
    <row r="812" spans="1:1" ht="13.8" x14ac:dyDescent="0.25">
      <c r="A812" s="8"/>
    </row>
    <row r="813" spans="1:1" ht="13.8" x14ac:dyDescent="0.25">
      <c r="A813" s="8"/>
    </row>
    <row r="814" spans="1:1" ht="13.8" x14ac:dyDescent="0.25">
      <c r="A814" s="8"/>
    </row>
    <row r="815" spans="1:1" ht="13.8" x14ac:dyDescent="0.25">
      <c r="A815" s="8"/>
    </row>
    <row r="816" spans="1:1" ht="13.8" x14ac:dyDescent="0.25">
      <c r="A816" s="8"/>
    </row>
    <row r="817" spans="1:1" ht="13.8" x14ac:dyDescent="0.25">
      <c r="A817" s="8"/>
    </row>
    <row r="818" spans="1:1" ht="13.8" x14ac:dyDescent="0.25">
      <c r="A818" s="8"/>
    </row>
    <row r="819" spans="1:1" ht="13.8" x14ac:dyDescent="0.25">
      <c r="A819" s="8"/>
    </row>
    <row r="820" spans="1:1" ht="13.8" x14ac:dyDescent="0.25">
      <c r="A820" s="8"/>
    </row>
    <row r="821" spans="1:1" ht="13.8" x14ac:dyDescent="0.25">
      <c r="A821" s="8"/>
    </row>
    <row r="822" spans="1:1" ht="13.8" x14ac:dyDescent="0.25">
      <c r="A822" s="8"/>
    </row>
    <row r="823" spans="1:1" ht="13.8" x14ac:dyDescent="0.25">
      <c r="A823" s="8"/>
    </row>
    <row r="824" spans="1:1" ht="13.8" x14ac:dyDescent="0.25">
      <c r="A824" s="8"/>
    </row>
    <row r="825" spans="1:1" ht="13.8" x14ac:dyDescent="0.25">
      <c r="A825" s="8"/>
    </row>
    <row r="826" spans="1:1" ht="13.8" x14ac:dyDescent="0.25">
      <c r="A826" s="8"/>
    </row>
    <row r="827" spans="1:1" ht="13.8" x14ac:dyDescent="0.25">
      <c r="A827" s="8"/>
    </row>
    <row r="828" spans="1:1" ht="13.8" x14ac:dyDescent="0.25">
      <c r="A828" s="8"/>
    </row>
    <row r="829" spans="1:1" ht="13.8" x14ac:dyDescent="0.25">
      <c r="A829" s="8"/>
    </row>
    <row r="830" spans="1:1" ht="13.8" x14ac:dyDescent="0.25">
      <c r="A830" s="8"/>
    </row>
    <row r="831" spans="1:1" ht="13.8" x14ac:dyDescent="0.25">
      <c r="A831" s="8"/>
    </row>
    <row r="832" spans="1:1" ht="13.8" x14ac:dyDescent="0.25">
      <c r="A832" s="8"/>
    </row>
    <row r="833" spans="1:1" ht="13.8" x14ac:dyDescent="0.25">
      <c r="A833" s="8"/>
    </row>
    <row r="834" spans="1:1" ht="13.8" x14ac:dyDescent="0.25">
      <c r="A834" s="8"/>
    </row>
    <row r="835" spans="1:1" ht="13.8" x14ac:dyDescent="0.25">
      <c r="A835" s="8"/>
    </row>
    <row r="836" spans="1:1" ht="13.8" x14ac:dyDescent="0.25">
      <c r="A836" s="8"/>
    </row>
    <row r="837" spans="1:1" ht="13.8" x14ac:dyDescent="0.25">
      <c r="A837" s="8"/>
    </row>
    <row r="838" spans="1:1" ht="13.8" x14ac:dyDescent="0.25">
      <c r="A838" s="8"/>
    </row>
    <row r="839" spans="1:1" ht="13.8" x14ac:dyDescent="0.25">
      <c r="A839" s="8"/>
    </row>
    <row r="840" spans="1:1" ht="13.8" x14ac:dyDescent="0.25">
      <c r="A840" s="8"/>
    </row>
    <row r="841" spans="1:1" ht="13.8" x14ac:dyDescent="0.25">
      <c r="A841" s="8"/>
    </row>
    <row r="842" spans="1:1" ht="13.8" x14ac:dyDescent="0.25">
      <c r="A842" s="8"/>
    </row>
    <row r="843" spans="1:1" ht="13.8" x14ac:dyDescent="0.25">
      <c r="A843" s="8"/>
    </row>
    <row r="844" spans="1:1" ht="13.8" x14ac:dyDescent="0.25">
      <c r="A844" s="8"/>
    </row>
    <row r="845" spans="1:1" ht="13.8" x14ac:dyDescent="0.25">
      <c r="A845" s="8"/>
    </row>
    <row r="846" spans="1:1" ht="13.8" x14ac:dyDescent="0.25">
      <c r="A846" s="8"/>
    </row>
    <row r="847" spans="1:1" ht="13.8" x14ac:dyDescent="0.25">
      <c r="A847" s="8"/>
    </row>
    <row r="848" spans="1:1" ht="13.8" x14ac:dyDescent="0.25">
      <c r="A848" s="8"/>
    </row>
    <row r="849" spans="1:1" ht="13.8" x14ac:dyDescent="0.25">
      <c r="A849" s="8"/>
    </row>
    <row r="850" spans="1:1" ht="13.8" x14ac:dyDescent="0.25">
      <c r="A850" s="8"/>
    </row>
    <row r="851" spans="1:1" ht="13.8" x14ac:dyDescent="0.25">
      <c r="A851" s="8"/>
    </row>
    <row r="852" spans="1:1" ht="13.8" x14ac:dyDescent="0.25">
      <c r="A852" s="8"/>
    </row>
    <row r="853" spans="1:1" ht="13.8" x14ac:dyDescent="0.25">
      <c r="A853" s="8"/>
    </row>
    <row r="854" spans="1:1" ht="13.8" x14ac:dyDescent="0.25">
      <c r="A854" s="8"/>
    </row>
    <row r="855" spans="1:1" ht="13.8" x14ac:dyDescent="0.25">
      <c r="A855" s="8"/>
    </row>
    <row r="856" spans="1:1" ht="13.8" x14ac:dyDescent="0.25">
      <c r="A856" s="8"/>
    </row>
    <row r="857" spans="1:1" ht="13.8" x14ac:dyDescent="0.25">
      <c r="A857" s="8"/>
    </row>
    <row r="858" spans="1:1" ht="13.8" x14ac:dyDescent="0.25">
      <c r="A858" s="8"/>
    </row>
    <row r="859" spans="1:1" ht="13.8" x14ac:dyDescent="0.25">
      <c r="A859" s="8"/>
    </row>
    <row r="860" spans="1:1" ht="13.8" x14ac:dyDescent="0.25">
      <c r="A860" s="8"/>
    </row>
    <row r="861" spans="1:1" ht="13.8" x14ac:dyDescent="0.25">
      <c r="A861" s="8"/>
    </row>
    <row r="862" spans="1:1" ht="13.8" x14ac:dyDescent="0.25">
      <c r="A862" s="8"/>
    </row>
    <row r="863" spans="1:1" ht="13.8" x14ac:dyDescent="0.25">
      <c r="A863" s="8"/>
    </row>
    <row r="864" spans="1:1" ht="13.8" x14ac:dyDescent="0.25">
      <c r="A864" s="8"/>
    </row>
    <row r="865" spans="1:1" ht="13.8" x14ac:dyDescent="0.25">
      <c r="A865" s="8"/>
    </row>
    <row r="866" spans="1:1" ht="13.8" x14ac:dyDescent="0.25">
      <c r="A866" s="8"/>
    </row>
    <row r="867" spans="1:1" ht="13.8" x14ac:dyDescent="0.25">
      <c r="A867" s="8"/>
    </row>
    <row r="868" spans="1:1" ht="13.8" x14ac:dyDescent="0.25">
      <c r="A868" s="8"/>
    </row>
    <row r="869" spans="1:1" ht="13.8" x14ac:dyDescent="0.25">
      <c r="A869" s="8"/>
    </row>
    <row r="870" spans="1:1" ht="13.8" x14ac:dyDescent="0.25">
      <c r="A870" s="8"/>
    </row>
    <row r="871" spans="1:1" ht="13.8" x14ac:dyDescent="0.25">
      <c r="A871" s="8"/>
    </row>
    <row r="872" spans="1:1" ht="13.8" x14ac:dyDescent="0.25">
      <c r="A872" s="8"/>
    </row>
    <row r="873" spans="1:1" ht="13.8" x14ac:dyDescent="0.25">
      <c r="A873" s="8"/>
    </row>
    <row r="874" spans="1:1" ht="13.8" x14ac:dyDescent="0.25">
      <c r="A874" s="8"/>
    </row>
    <row r="875" spans="1:1" ht="13.8" x14ac:dyDescent="0.25">
      <c r="A875" s="8"/>
    </row>
    <row r="876" spans="1:1" ht="13.8" x14ac:dyDescent="0.25">
      <c r="A876" s="8"/>
    </row>
    <row r="877" spans="1:1" ht="13.8" x14ac:dyDescent="0.25">
      <c r="A877" s="8"/>
    </row>
    <row r="878" spans="1:1" ht="13.8" x14ac:dyDescent="0.25">
      <c r="A878" s="8"/>
    </row>
    <row r="879" spans="1:1" ht="13.8" x14ac:dyDescent="0.25">
      <c r="A879" s="8"/>
    </row>
    <row r="880" spans="1:1" ht="13.8" x14ac:dyDescent="0.25">
      <c r="A880" s="8"/>
    </row>
    <row r="881" spans="1:1" ht="13.8" x14ac:dyDescent="0.25">
      <c r="A881" s="8"/>
    </row>
    <row r="882" spans="1:1" ht="13.8" x14ac:dyDescent="0.25">
      <c r="A882" s="8"/>
    </row>
    <row r="883" spans="1:1" ht="13.8" x14ac:dyDescent="0.25">
      <c r="A883" s="8"/>
    </row>
    <row r="884" spans="1:1" ht="13.8" x14ac:dyDescent="0.25">
      <c r="A884" s="8"/>
    </row>
    <row r="885" spans="1:1" ht="13.8" x14ac:dyDescent="0.25">
      <c r="A885" s="8"/>
    </row>
    <row r="886" spans="1:1" ht="13.8" x14ac:dyDescent="0.25">
      <c r="A886" s="8"/>
    </row>
    <row r="887" spans="1:1" ht="13.8" x14ac:dyDescent="0.25">
      <c r="A887" s="8"/>
    </row>
    <row r="888" spans="1:1" ht="13.8" x14ac:dyDescent="0.25">
      <c r="A888" s="8"/>
    </row>
    <row r="889" spans="1:1" ht="13.8" x14ac:dyDescent="0.25">
      <c r="A889" s="8"/>
    </row>
    <row r="890" spans="1:1" ht="13.8" x14ac:dyDescent="0.25">
      <c r="A890" s="8"/>
    </row>
    <row r="891" spans="1:1" ht="13.8" x14ac:dyDescent="0.25">
      <c r="A891" s="8"/>
    </row>
    <row r="892" spans="1:1" ht="13.8" x14ac:dyDescent="0.25">
      <c r="A892" s="8"/>
    </row>
    <row r="893" spans="1:1" ht="13.8" x14ac:dyDescent="0.25">
      <c r="A893" s="8"/>
    </row>
    <row r="894" spans="1:1" ht="13.8" x14ac:dyDescent="0.25">
      <c r="A894" s="8"/>
    </row>
    <row r="895" spans="1:1" ht="13.8" x14ac:dyDescent="0.25">
      <c r="A895" s="8"/>
    </row>
    <row r="896" spans="1:1" ht="13.8" x14ac:dyDescent="0.25">
      <c r="A896" s="8"/>
    </row>
    <row r="897" spans="1:1" ht="13.8" x14ac:dyDescent="0.25">
      <c r="A897" s="8"/>
    </row>
    <row r="898" spans="1:1" ht="13.8" x14ac:dyDescent="0.25">
      <c r="A898" s="8"/>
    </row>
    <row r="899" spans="1:1" ht="13.8" x14ac:dyDescent="0.25">
      <c r="A899" s="8"/>
    </row>
    <row r="900" spans="1:1" ht="13.8" x14ac:dyDescent="0.25">
      <c r="A900" s="8"/>
    </row>
    <row r="901" spans="1:1" ht="13.8" x14ac:dyDescent="0.25">
      <c r="A901" s="8"/>
    </row>
    <row r="902" spans="1:1" ht="13.8" x14ac:dyDescent="0.25">
      <c r="A902" s="8"/>
    </row>
    <row r="903" spans="1:1" ht="13.8" x14ac:dyDescent="0.25">
      <c r="A903" s="8"/>
    </row>
    <row r="904" spans="1:1" ht="13.8" x14ac:dyDescent="0.25">
      <c r="A904" s="8"/>
    </row>
    <row r="905" spans="1:1" ht="13.8" x14ac:dyDescent="0.25">
      <c r="A905" s="8"/>
    </row>
    <row r="906" spans="1:1" ht="13.8" x14ac:dyDescent="0.25">
      <c r="A906" s="8"/>
    </row>
    <row r="907" spans="1:1" ht="13.8" x14ac:dyDescent="0.25">
      <c r="A907" s="8"/>
    </row>
    <row r="908" spans="1:1" ht="13.8" x14ac:dyDescent="0.25">
      <c r="A908" s="8"/>
    </row>
    <row r="909" spans="1:1" ht="13.8" x14ac:dyDescent="0.25">
      <c r="A909" s="8"/>
    </row>
    <row r="910" spans="1:1" ht="13.8" x14ac:dyDescent="0.25">
      <c r="A910" s="8"/>
    </row>
    <row r="911" spans="1:1" ht="13.8" x14ac:dyDescent="0.25">
      <c r="A911" s="8"/>
    </row>
    <row r="912" spans="1:1" ht="13.8" x14ac:dyDescent="0.25">
      <c r="A912" s="8"/>
    </row>
    <row r="913" spans="1:1" ht="13.8" x14ac:dyDescent="0.25">
      <c r="A913" s="8"/>
    </row>
    <row r="914" spans="1:1" ht="13.8" x14ac:dyDescent="0.25">
      <c r="A914" s="8"/>
    </row>
    <row r="915" spans="1:1" ht="13.8" x14ac:dyDescent="0.25">
      <c r="A915" s="8"/>
    </row>
    <row r="916" spans="1:1" ht="13.8" x14ac:dyDescent="0.25">
      <c r="A916" s="8"/>
    </row>
    <row r="917" spans="1:1" ht="13.8" x14ac:dyDescent="0.25">
      <c r="A917" s="8"/>
    </row>
    <row r="918" spans="1:1" ht="13.8" x14ac:dyDescent="0.25">
      <c r="A918" s="8"/>
    </row>
    <row r="919" spans="1:1" ht="13.8" x14ac:dyDescent="0.25">
      <c r="A919" s="8"/>
    </row>
    <row r="920" spans="1:1" ht="13.8" x14ac:dyDescent="0.25">
      <c r="A920" s="8"/>
    </row>
    <row r="921" spans="1:1" ht="13.8" x14ac:dyDescent="0.25">
      <c r="A921" s="8"/>
    </row>
    <row r="922" spans="1:1" ht="13.8" x14ac:dyDescent="0.25">
      <c r="A922" s="8"/>
    </row>
    <row r="923" spans="1:1" ht="13.8" x14ac:dyDescent="0.25">
      <c r="A923" s="8"/>
    </row>
    <row r="924" spans="1:1" ht="13.8" x14ac:dyDescent="0.25">
      <c r="A924" s="8"/>
    </row>
    <row r="925" spans="1:1" ht="13.8" x14ac:dyDescent="0.25">
      <c r="A925" s="8"/>
    </row>
    <row r="926" spans="1:1" ht="13.8" x14ac:dyDescent="0.25">
      <c r="A926" s="8"/>
    </row>
    <row r="927" spans="1:1" ht="13.8" x14ac:dyDescent="0.25">
      <c r="A927" s="8"/>
    </row>
    <row r="928" spans="1:1" ht="13.8" x14ac:dyDescent="0.25">
      <c r="A928" s="8"/>
    </row>
    <row r="929" spans="1:1" ht="13.8" x14ac:dyDescent="0.25">
      <c r="A929" s="8"/>
    </row>
    <row r="930" spans="1:1" ht="13.8" x14ac:dyDescent="0.25">
      <c r="A930" s="8"/>
    </row>
    <row r="931" spans="1:1" ht="13.8" x14ac:dyDescent="0.25">
      <c r="A931" s="8"/>
    </row>
    <row r="932" spans="1:1" ht="13.8" x14ac:dyDescent="0.25">
      <c r="A932" s="8"/>
    </row>
    <row r="933" spans="1:1" ht="13.8" x14ac:dyDescent="0.25">
      <c r="A933" s="8"/>
    </row>
    <row r="934" spans="1:1" ht="13.8" x14ac:dyDescent="0.25">
      <c r="A934" s="8"/>
    </row>
    <row r="935" spans="1:1" ht="13.8" x14ac:dyDescent="0.25">
      <c r="A935" s="8"/>
    </row>
    <row r="936" spans="1:1" ht="13.8" x14ac:dyDescent="0.25">
      <c r="A936" s="8"/>
    </row>
    <row r="937" spans="1:1" ht="13.8" x14ac:dyDescent="0.25">
      <c r="A937" s="8"/>
    </row>
    <row r="938" spans="1:1" ht="13.8" x14ac:dyDescent="0.25">
      <c r="A938" s="8"/>
    </row>
    <row r="939" spans="1:1" ht="13.8" x14ac:dyDescent="0.25">
      <c r="A939" s="8"/>
    </row>
    <row r="940" spans="1:1" ht="13.8" x14ac:dyDescent="0.25">
      <c r="A940" s="8"/>
    </row>
    <row r="941" spans="1:1" ht="13.8" x14ac:dyDescent="0.25">
      <c r="A941" s="8"/>
    </row>
    <row r="942" spans="1:1" ht="13.8" x14ac:dyDescent="0.25">
      <c r="A942" s="8"/>
    </row>
    <row r="943" spans="1:1" ht="13.8" x14ac:dyDescent="0.25">
      <c r="A943" s="8"/>
    </row>
    <row r="944" spans="1:1" ht="13.8" x14ac:dyDescent="0.25">
      <c r="A944" s="8"/>
    </row>
    <row r="945" spans="1:1" ht="13.8" x14ac:dyDescent="0.25">
      <c r="A945" s="8"/>
    </row>
    <row r="946" spans="1:1" ht="13.8" x14ac:dyDescent="0.25">
      <c r="A946" s="8"/>
    </row>
    <row r="947" spans="1:1" ht="13.8" x14ac:dyDescent="0.25">
      <c r="A947" s="8"/>
    </row>
    <row r="948" spans="1:1" ht="13.8" x14ac:dyDescent="0.25">
      <c r="A948" s="8"/>
    </row>
    <row r="949" spans="1:1" ht="13.8" x14ac:dyDescent="0.25">
      <c r="A949" s="8"/>
    </row>
    <row r="950" spans="1:1" ht="13.8" x14ac:dyDescent="0.25">
      <c r="A950" s="8"/>
    </row>
    <row r="951" spans="1:1" ht="13.8" x14ac:dyDescent="0.25">
      <c r="A951" s="8"/>
    </row>
    <row r="952" spans="1:1" ht="13.8" x14ac:dyDescent="0.25">
      <c r="A952" s="8"/>
    </row>
    <row r="953" spans="1:1" ht="13.8" x14ac:dyDescent="0.25">
      <c r="A953" s="8"/>
    </row>
    <row r="954" spans="1:1" ht="13.8" x14ac:dyDescent="0.25">
      <c r="A954" s="8"/>
    </row>
    <row r="955" spans="1:1" ht="13.8" x14ac:dyDescent="0.25">
      <c r="A955" s="8"/>
    </row>
    <row r="956" spans="1:1" ht="13.8" x14ac:dyDescent="0.25">
      <c r="A956" s="8"/>
    </row>
    <row r="957" spans="1:1" ht="13.8" x14ac:dyDescent="0.25">
      <c r="A957" s="8"/>
    </row>
    <row r="958" spans="1:1" ht="13.8" x14ac:dyDescent="0.25">
      <c r="A958" s="8"/>
    </row>
    <row r="959" spans="1:1" ht="13.8" x14ac:dyDescent="0.25">
      <c r="A959" s="8"/>
    </row>
    <row r="960" spans="1:1" ht="13.8" x14ac:dyDescent="0.25">
      <c r="A960" s="8"/>
    </row>
    <row r="961" spans="1:1" ht="13.8" x14ac:dyDescent="0.25">
      <c r="A961" s="8"/>
    </row>
    <row r="962" spans="1:1" ht="13.8" x14ac:dyDescent="0.25">
      <c r="A962" s="8"/>
    </row>
    <row r="963" spans="1:1" ht="13.8" x14ac:dyDescent="0.25">
      <c r="A963" s="8"/>
    </row>
    <row r="964" spans="1:1" ht="13.8" x14ac:dyDescent="0.25">
      <c r="A964" s="8"/>
    </row>
    <row r="965" spans="1:1" ht="13.8" x14ac:dyDescent="0.25">
      <c r="A965" s="8"/>
    </row>
    <row r="966" spans="1:1" ht="13.8" x14ac:dyDescent="0.25">
      <c r="A966" s="8"/>
    </row>
    <row r="967" spans="1:1" ht="13.8" x14ac:dyDescent="0.25">
      <c r="A967" s="8"/>
    </row>
    <row r="968" spans="1:1" ht="13.8" x14ac:dyDescent="0.25">
      <c r="A968" s="8"/>
    </row>
    <row r="969" spans="1:1" ht="13.8" x14ac:dyDescent="0.25">
      <c r="A969" s="8"/>
    </row>
    <row r="970" spans="1:1" ht="13.8" x14ac:dyDescent="0.25">
      <c r="A970" s="8"/>
    </row>
    <row r="971" spans="1:1" ht="13.8" x14ac:dyDescent="0.25">
      <c r="A971" s="8"/>
    </row>
    <row r="972" spans="1:1" ht="13.8" x14ac:dyDescent="0.25">
      <c r="A972" s="8"/>
    </row>
    <row r="973" spans="1:1" ht="13.8" x14ac:dyDescent="0.25">
      <c r="A973" s="8"/>
    </row>
    <row r="974" spans="1:1" ht="13.8" x14ac:dyDescent="0.25">
      <c r="A974" s="8"/>
    </row>
    <row r="975" spans="1:1" ht="13.8" x14ac:dyDescent="0.25">
      <c r="A975" s="8"/>
    </row>
    <row r="976" spans="1:1" ht="13.8" x14ac:dyDescent="0.25">
      <c r="A976" s="8"/>
    </row>
    <row r="977" spans="1:1" ht="13.8" x14ac:dyDescent="0.25">
      <c r="A977" s="8"/>
    </row>
    <row r="978" spans="1:1" ht="13.8" x14ac:dyDescent="0.25">
      <c r="A978" s="8"/>
    </row>
    <row r="979" spans="1:1" ht="13.8" x14ac:dyDescent="0.25">
      <c r="A979" s="8"/>
    </row>
    <row r="980" spans="1:1" ht="13.8" x14ac:dyDescent="0.25">
      <c r="A980" s="8"/>
    </row>
    <row r="981" spans="1:1" ht="13.8" x14ac:dyDescent="0.25">
      <c r="A981" s="8"/>
    </row>
    <row r="982" spans="1:1" ht="13.8" x14ac:dyDescent="0.25">
      <c r="A982" s="8"/>
    </row>
    <row r="983" spans="1:1" ht="13.8" x14ac:dyDescent="0.25">
      <c r="A983" s="8"/>
    </row>
    <row r="984" spans="1:1" ht="13.8" x14ac:dyDescent="0.25">
      <c r="A984" s="8"/>
    </row>
    <row r="985" spans="1:1" ht="13.8" x14ac:dyDescent="0.25">
      <c r="A985" s="8"/>
    </row>
    <row r="986" spans="1:1" ht="13.8" x14ac:dyDescent="0.25">
      <c r="A986" s="8"/>
    </row>
    <row r="987" spans="1:1" ht="13.8" x14ac:dyDescent="0.25">
      <c r="A987" s="8"/>
    </row>
    <row r="988" spans="1:1" ht="13.8" x14ac:dyDescent="0.25">
      <c r="A988" s="8"/>
    </row>
    <row r="989" spans="1:1" ht="13.8" x14ac:dyDescent="0.25">
      <c r="A989" s="8"/>
    </row>
    <row r="990" spans="1:1" ht="13.8" x14ac:dyDescent="0.25">
      <c r="A990" s="8"/>
    </row>
    <row r="991" spans="1:1" ht="13.8" x14ac:dyDescent="0.25">
      <c r="A991" s="8"/>
    </row>
    <row r="992" spans="1:1" ht="13.8" x14ac:dyDescent="0.25">
      <c r="A992" s="8"/>
    </row>
    <row r="993" spans="1:1" ht="13.8" x14ac:dyDescent="0.25">
      <c r="A993" s="8"/>
    </row>
    <row r="994" spans="1:1" ht="13.8" x14ac:dyDescent="0.25">
      <c r="A994" s="8"/>
    </row>
    <row r="995" spans="1:1" ht="13.8" x14ac:dyDescent="0.25">
      <c r="A995" s="8"/>
    </row>
    <row r="996" spans="1:1" ht="13.8" x14ac:dyDescent="0.25">
      <c r="A996" s="8"/>
    </row>
    <row r="997" spans="1:1" ht="13.8" x14ac:dyDescent="0.25">
      <c r="A997" s="8"/>
    </row>
    <row r="998" spans="1:1" ht="13.8" x14ac:dyDescent="0.25">
      <c r="A998" s="8"/>
    </row>
    <row r="999" spans="1:1" ht="13.8" x14ac:dyDescent="0.25">
      <c r="A999" s="8"/>
    </row>
    <row r="1000" spans="1:1" ht="13.8" x14ac:dyDescent="0.25">
      <c r="A1000" s="8"/>
    </row>
    <row r="1001" spans="1:1" ht="13.8" x14ac:dyDescent="0.25">
      <c r="A1001" s="8"/>
    </row>
    <row r="1002" spans="1:1" ht="13.8" x14ac:dyDescent="0.25">
      <c r="A1002" s="8"/>
    </row>
    <row r="1003" spans="1:1" ht="13.8" x14ac:dyDescent="0.25">
      <c r="A1003" s="8"/>
    </row>
    <row r="1004" spans="1:1" ht="13.8" x14ac:dyDescent="0.25">
      <c r="A1004" s="8"/>
    </row>
    <row r="1005" spans="1:1" ht="13.8" x14ac:dyDescent="0.25">
      <c r="A1005" s="8"/>
    </row>
    <row r="1006" spans="1:1" ht="13.8" x14ac:dyDescent="0.25">
      <c r="A1006" s="8"/>
    </row>
    <row r="1007" spans="1:1" ht="13.8" x14ac:dyDescent="0.25">
      <c r="A1007" s="8"/>
    </row>
    <row r="1008" spans="1:1" ht="13.8" x14ac:dyDescent="0.25">
      <c r="A1008" s="8"/>
    </row>
    <row r="1009" spans="1:1" ht="13.8" x14ac:dyDescent="0.25">
      <c r="A1009" s="8"/>
    </row>
    <row r="1010" spans="1:1" ht="13.8" x14ac:dyDescent="0.25">
      <c r="A1010" s="8"/>
    </row>
    <row r="1011" spans="1:1" ht="13.8" x14ac:dyDescent="0.25">
      <c r="A1011" s="8"/>
    </row>
    <row r="1012" spans="1:1" ht="13.8" x14ac:dyDescent="0.25">
      <c r="A1012" s="8"/>
    </row>
    <row r="1013" spans="1:1" ht="13.8" x14ac:dyDescent="0.25">
      <c r="A1013" s="8"/>
    </row>
    <row r="1014" spans="1:1" ht="13.8" x14ac:dyDescent="0.25">
      <c r="A1014" s="8"/>
    </row>
    <row r="1015" spans="1:1" ht="13.8" x14ac:dyDescent="0.25">
      <c r="A1015" s="8"/>
    </row>
    <row r="1016" spans="1:1" ht="13.8" x14ac:dyDescent="0.25">
      <c r="A1016" s="8"/>
    </row>
    <row r="1017" spans="1:1" ht="13.8" x14ac:dyDescent="0.25">
      <c r="A1017" s="8"/>
    </row>
    <row r="1018" spans="1:1" ht="13.8" x14ac:dyDescent="0.25">
      <c r="A1018" s="8"/>
    </row>
    <row r="1019" spans="1:1" ht="13.8" x14ac:dyDescent="0.25">
      <c r="A1019" s="8"/>
    </row>
    <row r="1020" spans="1:1" ht="13.8" x14ac:dyDescent="0.25">
      <c r="A1020" s="8"/>
    </row>
    <row r="1021" spans="1:1" ht="13.8" x14ac:dyDescent="0.25">
      <c r="A1021" s="8"/>
    </row>
    <row r="1022" spans="1:1" ht="13.8" x14ac:dyDescent="0.25">
      <c r="A1022" s="8"/>
    </row>
    <row r="1023" spans="1:1" ht="13.8" x14ac:dyDescent="0.25">
      <c r="A1023" s="8"/>
    </row>
    <row r="1024" spans="1:1" ht="13.8" x14ac:dyDescent="0.25">
      <c r="A1024" s="8"/>
    </row>
    <row r="1025" spans="1:1" ht="13.8" x14ac:dyDescent="0.25">
      <c r="A1025" s="8"/>
    </row>
    <row r="1026" spans="1:1" ht="13.8" x14ac:dyDescent="0.25">
      <c r="A1026" s="8"/>
    </row>
    <row r="1027" spans="1:1" ht="13.8" x14ac:dyDescent="0.25">
      <c r="A1027" s="8"/>
    </row>
    <row r="1028" spans="1:1" ht="13.8" x14ac:dyDescent="0.25">
      <c r="A1028" s="8"/>
    </row>
    <row r="1029" spans="1:1" ht="13.8" x14ac:dyDescent="0.25">
      <c r="A1029" s="8"/>
    </row>
    <row r="1030" spans="1:1" ht="13.8" x14ac:dyDescent="0.25">
      <c r="A1030" s="8"/>
    </row>
    <row r="1031" spans="1:1" ht="13.8" x14ac:dyDescent="0.25">
      <c r="A1031" s="8"/>
    </row>
    <row r="1032" spans="1:1" ht="13.8" x14ac:dyDescent="0.25">
      <c r="A1032" s="8"/>
    </row>
    <row r="1033" spans="1:1" ht="13.8" x14ac:dyDescent="0.25">
      <c r="A1033" s="8"/>
    </row>
    <row r="1034" spans="1:1" ht="13.8" x14ac:dyDescent="0.25">
      <c r="A1034" s="8"/>
    </row>
    <row r="1035" spans="1:1" ht="13.8" x14ac:dyDescent="0.25">
      <c r="A1035" s="8"/>
    </row>
    <row r="1036" spans="1:1" ht="13.8" x14ac:dyDescent="0.25">
      <c r="A1036" s="8"/>
    </row>
    <row r="1037" spans="1:1" ht="13.8" x14ac:dyDescent="0.25">
      <c r="A1037" s="8"/>
    </row>
    <row r="1038" spans="1:1" ht="13.8" x14ac:dyDescent="0.25">
      <c r="A1038" s="8"/>
    </row>
    <row r="1039" spans="1:1" ht="13.8" x14ac:dyDescent="0.25">
      <c r="A1039" s="8"/>
    </row>
    <row r="1040" spans="1:1" ht="13.8" x14ac:dyDescent="0.25">
      <c r="A1040" s="8"/>
    </row>
    <row r="1041" spans="1:1" ht="13.8" x14ac:dyDescent="0.25">
      <c r="A1041" s="8"/>
    </row>
    <row r="1042" spans="1:1" ht="13.8" x14ac:dyDescent="0.25">
      <c r="A1042" s="8"/>
    </row>
    <row r="1043" spans="1:1" ht="13.8" x14ac:dyDescent="0.25">
      <c r="A1043" s="8"/>
    </row>
    <row r="1044" spans="1:1" ht="13.8" x14ac:dyDescent="0.25">
      <c r="A1044" s="8"/>
    </row>
    <row r="1045" spans="1:1" ht="13.8" x14ac:dyDescent="0.25">
      <c r="A1045" s="8"/>
    </row>
    <row r="1046" spans="1:1" ht="13.8" x14ac:dyDescent="0.25">
      <c r="A1046" s="8"/>
    </row>
    <row r="1047" spans="1:1" ht="13.8" x14ac:dyDescent="0.25">
      <c r="A1047" s="8"/>
    </row>
    <row r="1048" spans="1:1" ht="13.8" x14ac:dyDescent="0.25">
      <c r="A1048" s="8"/>
    </row>
    <row r="1049" spans="1:1" ht="13.8" x14ac:dyDescent="0.25">
      <c r="A1049" s="8"/>
    </row>
    <row r="1050" spans="1:1" ht="13.8" x14ac:dyDescent="0.25">
      <c r="A1050" s="8"/>
    </row>
    <row r="1051" spans="1:1" ht="13.8" x14ac:dyDescent="0.25">
      <c r="A1051" s="8"/>
    </row>
    <row r="1052" spans="1:1" ht="13.8" x14ac:dyDescent="0.25">
      <c r="A1052" s="8"/>
    </row>
    <row r="1053" spans="1:1" ht="13.8" x14ac:dyDescent="0.25">
      <c r="A1053" s="8"/>
    </row>
    <row r="1054" spans="1:1" ht="13.8" x14ac:dyDescent="0.25">
      <c r="A1054" s="8"/>
    </row>
    <row r="1055" spans="1:1" ht="13.8" x14ac:dyDescent="0.25">
      <c r="A1055" s="8"/>
    </row>
    <row r="1056" spans="1:1" ht="13.8" x14ac:dyDescent="0.25">
      <c r="A1056" s="8"/>
    </row>
    <row r="1057" spans="1:1" ht="13.8" x14ac:dyDescent="0.25">
      <c r="A1057" s="8"/>
    </row>
    <row r="1058" spans="1:1" ht="13.8" x14ac:dyDescent="0.25">
      <c r="A1058" s="8"/>
    </row>
    <row r="1059" spans="1:1" ht="13.8" x14ac:dyDescent="0.25">
      <c r="A1059" s="8"/>
    </row>
    <row r="1060" spans="1:1" ht="13.8" x14ac:dyDescent="0.25">
      <c r="A1060" s="8"/>
    </row>
    <row r="1061" spans="1:1" ht="13.8" x14ac:dyDescent="0.25">
      <c r="A1061" s="8"/>
    </row>
    <row r="1062" spans="1:1" ht="13.8" x14ac:dyDescent="0.25">
      <c r="A1062" s="8"/>
    </row>
    <row r="1063" spans="1:1" ht="13.8" x14ac:dyDescent="0.25">
      <c r="A1063" s="8"/>
    </row>
    <row r="1064" spans="1:1" ht="13.8" x14ac:dyDescent="0.25">
      <c r="A1064" s="8"/>
    </row>
    <row r="1065" spans="1:1" ht="13.8" x14ac:dyDescent="0.25">
      <c r="A1065" s="8"/>
    </row>
    <row r="1066" spans="1:1" ht="13.8" x14ac:dyDescent="0.25">
      <c r="A1066" s="8"/>
    </row>
    <row r="1067" spans="1:1" ht="13.8" x14ac:dyDescent="0.25">
      <c r="A1067" s="8"/>
    </row>
    <row r="1068" spans="1:1" ht="13.8" x14ac:dyDescent="0.25">
      <c r="A1068" s="8"/>
    </row>
    <row r="1069" spans="1:1" ht="13.8" x14ac:dyDescent="0.25">
      <c r="A1069" s="8"/>
    </row>
    <row r="1070" spans="1:1" ht="13.8" x14ac:dyDescent="0.25">
      <c r="A1070" s="8"/>
    </row>
    <row r="1071" spans="1:1" ht="13.8" x14ac:dyDescent="0.25">
      <c r="A1071" s="8"/>
    </row>
    <row r="1072" spans="1:1" ht="13.8" x14ac:dyDescent="0.25">
      <c r="A1072" s="8"/>
    </row>
    <row r="1073" spans="1:1" ht="13.8" x14ac:dyDescent="0.25">
      <c r="A1073" s="8"/>
    </row>
    <row r="1074" spans="1:1" ht="13.8" x14ac:dyDescent="0.25">
      <c r="A1074" s="8"/>
    </row>
    <row r="1075" spans="1:1" ht="13.8" x14ac:dyDescent="0.25">
      <c r="A1075" s="8"/>
    </row>
    <row r="1076" spans="1:1" ht="13.8" x14ac:dyDescent="0.25">
      <c r="A1076" s="8"/>
    </row>
    <row r="1077" spans="1:1" ht="13.8" x14ac:dyDescent="0.25">
      <c r="A1077" s="8"/>
    </row>
    <row r="1078" spans="1:1" ht="13.8" x14ac:dyDescent="0.25">
      <c r="A1078" s="8"/>
    </row>
    <row r="1079" spans="1:1" ht="13.8" x14ac:dyDescent="0.25">
      <c r="A1079" s="8"/>
    </row>
    <row r="1080" spans="1:1" ht="13.8" x14ac:dyDescent="0.25">
      <c r="A1080" s="8"/>
    </row>
    <row r="1081" spans="1:1" ht="13.8" x14ac:dyDescent="0.25">
      <c r="A1081" s="8"/>
    </row>
    <row r="1082" spans="1:1" ht="13.8" x14ac:dyDescent="0.25">
      <c r="A1082" s="8"/>
    </row>
    <row r="1083" spans="1:1" ht="13.8" x14ac:dyDescent="0.25">
      <c r="A1083" s="8"/>
    </row>
    <row r="1084" spans="1:1" ht="13.8" x14ac:dyDescent="0.25">
      <c r="A1084" s="8"/>
    </row>
    <row r="1085" spans="1:1" ht="13.8" x14ac:dyDescent="0.25">
      <c r="A1085" s="8"/>
    </row>
    <row r="1086" spans="1:1" ht="13.8" x14ac:dyDescent="0.25">
      <c r="A1086" s="8"/>
    </row>
    <row r="1087" spans="1:1" ht="13.8" x14ac:dyDescent="0.25">
      <c r="A1087" s="8"/>
    </row>
    <row r="1088" spans="1:1" ht="13.8" x14ac:dyDescent="0.25">
      <c r="A1088" s="8"/>
    </row>
    <row r="1089" spans="1:1" ht="13.8" x14ac:dyDescent="0.25">
      <c r="A1089" s="8"/>
    </row>
    <row r="1090" spans="1:1" ht="13.8" x14ac:dyDescent="0.25">
      <c r="A1090" s="8"/>
    </row>
    <row r="1091" spans="1:1" ht="13.8" x14ac:dyDescent="0.25">
      <c r="A1091" s="8"/>
    </row>
    <row r="1092" spans="1:1" ht="13.8" x14ac:dyDescent="0.25">
      <c r="A1092" s="8"/>
    </row>
    <row r="1093" spans="1:1" ht="13.8" x14ac:dyDescent="0.25">
      <c r="A1093" s="8"/>
    </row>
    <row r="1094" spans="1:1" ht="13.8" x14ac:dyDescent="0.25">
      <c r="A1094" s="8"/>
    </row>
    <row r="1095" spans="1:1" ht="13.8" x14ac:dyDescent="0.25">
      <c r="A1095" s="8"/>
    </row>
    <row r="1096" spans="1:1" ht="13.8" x14ac:dyDescent="0.25">
      <c r="A1096" s="8"/>
    </row>
    <row r="1097" spans="1:1" ht="13.8" x14ac:dyDescent="0.25">
      <c r="A1097" s="8"/>
    </row>
    <row r="1098" spans="1:1" ht="13.8" x14ac:dyDescent="0.25">
      <c r="A1098" s="8"/>
    </row>
    <row r="1099" spans="1:1" ht="13.8" x14ac:dyDescent="0.25">
      <c r="A1099" s="8"/>
    </row>
    <row r="1100" spans="1:1" ht="13.8" x14ac:dyDescent="0.25">
      <c r="A1100" s="8"/>
    </row>
    <row r="1101" spans="1:1" ht="13.8" x14ac:dyDescent="0.25">
      <c r="A1101" s="8"/>
    </row>
    <row r="1102" spans="1:1" ht="13.8" x14ac:dyDescent="0.25">
      <c r="A1102" s="8"/>
    </row>
    <row r="1103" spans="1:1" ht="13.8" x14ac:dyDescent="0.25">
      <c r="A1103" s="8"/>
    </row>
    <row r="1104" spans="1:1" ht="13.8" x14ac:dyDescent="0.25">
      <c r="A1104" s="8"/>
    </row>
    <row r="1105" spans="1:1" ht="13.8" x14ac:dyDescent="0.25">
      <c r="A1105" s="8"/>
    </row>
    <row r="1106" spans="1:1" ht="13.8" x14ac:dyDescent="0.25">
      <c r="A1106" s="8"/>
    </row>
    <row r="1107" spans="1:1" ht="13.8" x14ac:dyDescent="0.25">
      <c r="A1107" s="8"/>
    </row>
    <row r="1108" spans="1:1" ht="13.8" x14ac:dyDescent="0.25">
      <c r="A1108" s="8"/>
    </row>
    <row r="1109" spans="1:1" ht="13.8" x14ac:dyDescent="0.25">
      <c r="A1109" s="8"/>
    </row>
    <row r="1110" spans="1:1" ht="13.8" x14ac:dyDescent="0.25">
      <c r="A1110" s="8"/>
    </row>
    <row r="1111" spans="1:1" ht="13.8" x14ac:dyDescent="0.25">
      <c r="A1111" s="8"/>
    </row>
    <row r="1112" spans="1:1" ht="13.8" x14ac:dyDescent="0.25">
      <c r="A1112" s="8"/>
    </row>
    <row r="1113" spans="1:1" ht="13.8" x14ac:dyDescent="0.25">
      <c r="A1113" s="8"/>
    </row>
    <row r="1114" spans="1:1" ht="13.8" x14ac:dyDescent="0.25">
      <c r="A1114" s="8"/>
    </row>
    <row r="1115" spans="1:1" ht="13.8" x14ac:dyDescent="0.25">
      <c r="A1115" s="8"/>
    </row>
    <row r="1116" spans="1:1" ht="13.8" x14ac:dyDescent="0.25">
      <c r="A1116" s="8"/>
    </row>
    <row r="1117" spans="1:1" ht="13.8" x14ac:dyDescent="0.25">
      <c r="A1117" s="8"/>
    </row>
    <row r="1118" spans="1:1" ht="13.8" x14ac:dyDescent="0.25">
      <c r="A1118" s="8"/>
    </row>
    <row r="1119" spans="1:1" ht="13.8" x14ac:dyDescent="0.25">
      <c r="A1119" s="8"/>
    </row>
    <row r="1120" spans="1:1" ht="13.8" x14ac:dyDescent="0.25">
      <c r="A1120" s="8"/>
    </row>
    <row r="1121" spans="1:1" ht="13.8" x14ac:dyDescent="0.25">
      <c r="A1121" s="8"/>
    </row>
    <row r="1122" spans="1:1" ht="13.8" x14ac:dyDescent="0.25">
      <c r="A1122" s="8"/>
    </row>
    <row r="1123" spans="1:1" ht="13.8" x14ac:dyDescent="0.25">
      <c r="A1123" s="8"/>
    </row>
    <row r="1124" spans="1:1" ht="13.8" x14ac:dyDescent="0.25">
      <c r="A1124" s="8"/>
    </row>
    <row r="1125" spans="1:1" ht="13.8" x14ac:dyDescent="0.25">
      <c r="A1125" s="8"/>
    </row>
    <row r="1126" spans="1:1" ht="13.8" x14ac:dyDescent="0.25">
      <c r="A1126" s="8"/>
    </row>
    <row r="1127" spans="1:1" ht="13.8" x14ac:dyDescent="0.25">
      <c r="A1127" s="8"/>
    </row>
    <row r="1128" spans="1:1" ht="13.8" x14ac:dyDescent="0.25">
      <c r="A1128" s="8"/>
    </row>
    <row r="1129" spans="1:1" ht="13.8" x14ac:dyDescent="0.25">
      <c r="A1129" s="8"/>
    </row>
    <row r="1130" spans="1:1" ht="13.8" x14ac:dyDescent="0.25">
      <c r="A1130" s="8"/>
    </row>
    <row r="1131" spans="1:1" ht="13.8" x14ac:dyDescent="0.25">
      <c r="A1131" s="8"/>
    </row>
    <row r="1132" spans="1:1" ht="13.8" x14ac:dyDescent="0.25">
      <c r="A1132" s="8"/>
    </row>
    <row r="1133" spans="1:1" ht="13.8" x14ac:dyDescent="0.25">
      <c r="A1133" s="8"/>
    </row>
    <row r="1134" spans="1:1" ht="13.8" x14ac:dyDescent="0.25">
      <c r="A1134" s="8"/>
    </row>
    <row r="1135" spans="1:1" ht="13.8" x14ac:dyDescent="0.25">
      <c r="A1135" s="8"/>
    </row>
    <row r="1136" spans="1:1" ht="13.8" x14ac:dyDescent="0.25">
      <c r="A1136" s="8"/>
    </row>
    <row r="1137" spans="1:1" ht="13.8" x14ac:dyDescent="0.25">
      <c r="A1137" s="8"/>
    </row>
    <row r="1138" spans="1:1" ht="13.8" x14ac:dyDescent="0.25">
      <c r="A1138" s="8"/>
    </row>
    <row r="1139" spans="1:1" ht="13.8" x14ac:dyDescent="0.25">
      <c r="A1139" s="8"/>
    </row>
    <row r="1140" spans="1:1" ht="13.8" x14ac:dyDescent="0.25">
      <c r="A1140" s="8"/>
    </row>
    <row r="1141" spans="1:1" ht="13.8" x14ac:dyDescent="0.25">
      <c r="A1141" s="8"/>
    </row>
    <row r="1142" spans="1:1" ht="13.8" x14ac:dyDescent="0.25">
      <c r="A1142" s="8"/>
    </row>
    <row r="1143" spans="1:1" ht="13.8" x14ac:dyDescent="0.25">
      <c r="A1143" s="8"/>
    </row>
    <row r="1144" spans="1:1" ht="13.8" x14ac:dyDescent="0.25">
      <c r="A1144" s="8"/>
    </row>
    <row r="1145" spans="1:1" ht="13.8" x14ac:dyDescent="0.25">
      <c r="A1145" s="8"/>
    </row>
    <row r="1146" spans="1:1" ht="13.8" x14ac:dyDescent="0.25">
      <c r="A1146" s="8"/>
    </row>
    <row r="1147" spans="1:1" ht="13.8" x14ac:dyDescent="0.25">
      <c r="A1147" s="8"/>
    </row>
    <row r="1148" spans="1:1" ht="13.8" x14ac:dyDescent="0.25">
      <c r="A1148" s="8"/>
    </row>
    <row r="1149" spans="1:1" ht="13.8" x14ac:dyDescent="0.25">
      <c r="A1149" s="8"/>
    </row>
    <row r="1150" spans="1:1" ht="13.8" x14ac:dyDescent="0.25">
      <c r="A1150" s="8"/>
    </row>
    <row r="1151" spans="1:1" ht="13.8" x14ac:dyDescent="0.25">
      <c r="A1151" s="8"/>
    </row>
    <row r="1152" spans="1:1" ht="13.8" x14ac:dyDescent="0.25">
      <c r="A1152" s="8"/>
    </row>
    <row r="1153" spans="1:1" ht="13.8" x14ac:dyDescent="0.25">
      <c r="A1153" s="8"/>
    </row>
    <row r="1154" spans="1:1" ht="13.8" x14ac:dyDescent="0.25">
      <c r="A1154" s="8"/>
    </row>
    <row r="1155" spans="1:1" ht="13.8" x14ac:dyDescent="0.25">
      <c r="A1155" s="8"/>
    </row>
    <row r="1156" spans="1:1" ht="13.8" x14ac:dyDescent="0.25">
      <c r="A1156" s="8"/>
    </row>
    <row r="1157" spans="1:1" ht="13.8" x14ac:dyDescent="0.25">
      <c r="A1157" s="8"/>
    </row>
    <row r="1158" spans="1:1" ht="13.8" x14ac:dyDescent="0.25">
      <c r="A1158" s="8"/>
    </row>
    <row r="1159" spans="1:1" ht="13.8" x14ac:dyDescent="0.25">
      <c r="A1159" s="8"/>
    </row>
    <row r="1160" spans="1:1" ht="13.8" x14ac:dyDescent="0.25">
      <c r="A1160" s="8"/>
    </row>
    <row r="1161" spans="1:1" ht="13.8" x14ac:dyDescent="0.25">
      <c r="A1161" s="8"/>
    </row>
    <row r="1162" spans="1:1" ht="13.8" x14ac:dyDescent="0.25">
      <c r="A1162" s="8"/>
    </row>
    <row r="1163" spans="1:1" ht="13.8" x14ac:dyDescent="0.25">
      <c r="A1163" s="8"/>
    </row>
    <row r="1164" spans="1:1" ht="13.8" x14ac:dyDescent="0.25">
      <c r="A1164" s="8"/>
    </row>
    <row r="1165" spans="1:1" ht="13.8" x14ac:dyDescent="0.25">
      <c r="A1165" s="8"/>
    </row>
    <row r="1166" spans="1:1" ht="13.8" x14ac:dyDescent="0.25">
      <c r="A1166" s="8"/>
    </row>
    <row r="1167" spans="1:1" ht="13.8" x14ac:dyDescent="0.25">
      <c r="A1167" s="8"/>
    </row>
    <row r="1168" spans="1:1" ht="13.8" x14ac:dyDescent="0.25">
      <c r="A1168" s="8"/>
    </row>
    <row r="1169" spans="1:1" ht="13.8" x14ac:dyDescent="0.25">
      <c r="A1169" s="8"/>
    </row>
    <row r="1170" spans="1:1" ht="13.8" x14ac:dyDescent="0.25">
      <c r="A1170" s="8"/>
    </row>
    <row r="1171" spans="1:1" ht="13.8" x14ac:dyDescent="0.25">
      <c r="A1171" s="8"/>
    </row>
    <row r="1172" spans="1:1" ht="13.8" x14ac:dyDescent="0.25">
      <c r="A1172" s="8"/>
    </row>
    <row r="1173" spans="1:1" ht="13.8" x14ac:dyDescent="0.25">
      <c r="A1173" s="8"/>
    </row>
    <row r="1174" spans="1:1" ht="13.8" x14ac:dyDescent="0.25">
      <c r="A1174" s="8"/>
    </row>
    <row r="1175" spans="1:1" ht="13.8" x14ac:dyDescent="0.25">
      <c r="A1175" s="8"/>
    </row>
    <row r="1176" spans="1:1" ht="13.8" x14ac:dyDescent="0.25">
      <c r="A1176" s="8"/>
    </row>
    <row r="1177" spans="1:1" ht="13.8" x14ac:dyDescent="0.25">
      <c r="A1177" s="8"/>
    </row>
    <row r="1178" spans="1:1" ht="13.8" x14ac:dyDescent="0.25">
      <c r="A1178" s="8"/>
    </row>
    <row r="1179" spans="1:1" ht="13.8" x14ac:dyDescent="0.25">
      <c r="A1179" s="8"/>
    </row>
    <row r="1180" spans="1:1" ht="13.8" x14ac:dyDescent="0.25">
      <c r="A1180" s="8"/>
    </row>
    <row r="1181" spans="1:1" ht="13.8" x14ac:dyDescent="0.25">
      <c r="A1181" s="8"/>
    </row>
    <row r="1182" spans="1:1" ht="13.8" x14ac:dyDescent="0.25">
      <c r="A1182" s="8"/>
    </row>
    <row r="1183" spans="1:1" ht="13.8" x14ac:dyDescent="0.25">
      <c r="A1183" s="8"/>
    </row>
    <row r="1184" spans="1:1" ht="13.8" x14ac:dyDescent="0.25">
      <c r="A1184" s="8"/>
    </row>
    <row r="1185" spans="1:1" ht="13.8" x14ac:dyDescent="0.25">
      <c r="A1185" s="8"/>
    </row>
    <row r="1186" spans="1:1" ht="13.8" x14ac:dyDescent="0.25">
      <c r="A1186" s="8"/>
    </row>
    <row r="1187" spans="1:1" ht="13.8" x14ac:dyDescent="0.25">
      <c r="A1187" s="8"/>
    </row>
    <row r="1188" spans="1:1" ht="13.8" x14ac:dyDescent="0.25">
      <c r="A1188" s="8"/>
    </row>
    <row r="1189" spans="1:1" ht="13.8" x14ac:dyDescent="0.25">
      <c r="A1189" s="8"/>
    </row>
    <row r="1190" spans="1:1" ht="13.8" x14ac:dyDescent="0.25">
      <c r="A1190" s="8"/>
    </row>
    <row r="1191" spans="1:1" ht="13.8" x14ac:dyDescent="0.25">
      <c r="A1191" s="8"/>
    </row>
    <row r="1192" spans="1:1" ht="13.8" x14ac:dyDescent="0.25">
      <c r="A1192" s="8"/>
    </row>
    <row r="1193" spans="1:1" ht="13.8" x14ac:dyDescent="0.25">
      <c r="A1193" s="8"/>
    </row>
    <row r="1194" spans="1:1" ht="13.8" x14ac:dyDescent="0.25">
      <c r="A1194" s="8"/>
    </row>
    <row r="1195" spans="1:1" ht="13.8" x14ac:dyDescent="0.25">
      <c r="A1195" s="8"/>
    </row>
    <row r="1196" spans="1:1" ht="13.8" x14ac:dyDescent="0.25">
      <c r="A1196" s="8"/>
    </row>
    <row r="1197" spans="1:1" ht="13.8" x14ac:dyDescent="0.25">
      <c r="A1197" s="8"/>
    </row>
    <row r="1198" spans="1:1" ht="13.8" x14ac:dyDescent="0.25">
      <c r="A1198" s="8"/>
    </row>
    <row r="1199" spans="1:1" ht="13.8" x14ac:dyDescent="0.25">
      <c r="A1199" s="8"/>
    </row>
    <row r="1200" spans="1:1" ht="13.8" x14ac:dyDescent="0.25">
      <c r="A1200" s="8"/>
    </row>
    <row r="1201" spans="1:1" ht="13.8" x14ac:dyDescent="0.25">
      <c r="A1201" s="8"/>
    </row>
    <row r="1202" spans="1:1" ht="13.8" x14ac:dyDescent="0.25">
      <c r="A1202" s="8"/>
    </row>
    <row r="1203" spans="1:1" ht="13.8" x14ac:dyDescent="0.25">
      <c r="A1203" s="8"/>
    </row>
    <row r="1204" spans="1:1" ht="13.8" x14ac:dyDescent="0.25">
      <c r="A1204" s="8"/>
    </row>
    <row r="1205" spans="1:1" ht="13.8" x14ac:dyDescent="0.25">
      <c r="A1205" s="8"/>
    </row>
    <row r="1206" spans="1:1" ht="13.8" x14ac:dyDescent="0.25">
      <c r="A1206" s="8"/>
    </row>
    <row r="1207" spans="1:1" ht="13.8" x14ac:dyDescent="0.25">
      <c r="A1207" s="8"/>
    </row>
    <row r="1208" spans="1:1" ht="13.8" x14ac:dyDescent="0.25">
      <c r="A1208" s="8"/>
    </row>
    <row r="1209" spans="1:1" ht="13.8" x14ac:dyDescent="0.25">
      <c r="A1209" s="8"/>
    </row>
    <row r="1210" spans="1:1" ht="13.8" x14ac:dyDescent="0.25">
      <c r="A1210" s="8"/>
    </row>
    <row r="1211" spans="1:1" ht="13.8" x14ac:dyDescent="0.25">
      <c r="A1211" s="8"/>
    </row>
    <row r="1212" spans="1:1" ht="13.8" x14ac:dyDescent="0.25">
      <c r="A1212" s="8"/>
    </row>
    <row r="1213" spans="1:1" ht="13.8" x14ac:dyDescent="0.25">
      <c r="A1213" s="8"/>
    </row>
    <row r="1214" spans="1:1" ht="13.8" x14ac:dyDescent="0.25">
      <c r="A1214" s="8"/>
    </row>
    <row r="1215" spans="1:1" ht="13.8" x14ac:dyDescent="0.25">
      <c r="A1215" s="8"/>
    </row>
    <row r="1216" spans="1:1" ht="13.8" x14ac:dyDescent="0.25">
      <c r="A1216" s="8"/>
    </row>
    <row r="1217" spans="1:1" ht="13.8" x14ac:dyDescent="0.25">
      <c r="A1217" s="8"/>
    </row>
    <row r="1218" spans="1:1" ht="13.8" x14ac:dyDescent="0.25">
      <c r="A1218" s="8"/>
    </row>
    <row r="1219" spans="1:1" ht="13.8" x14ac:dyDescent="0.25">
      <c r="A1219" s="8"/>
    </row>
    <row r="1220" spans="1:1" ht="13.8" x14ac:dyDescent="0.25">
      <c r="A1220" s="8"/>
    </row>
    <row r="1221" spans="1:1" ht="13.8" x14ac:dyDescent="0.25">
      <c r="A1221" s="8"/>
    </row>
    <row r="1222" spans="1:1" ht="13.8" x14ac:dyDescent="0.25">
      <c r="A1222" s="8"/>
    </row>
    <row r="1223" spans="1:1" ht="13.8" x14ac:dyDescent="0.25">
      <c r="A1223" s="8"/>
    </row>
    <row r="1224" spans="1:1" ht="13.8" x14ac:dyDescent="0.25">
      <c r="A1224" s="8"/>
    </row>
    <row r="1225" spans="1:1" ht="13.8" x14ac:dyDescent="0.25">
      <c r="A1225" s="8"/>
    </row>
    <row r="1226" spans="1:1" ht="13.8" x14ac:dyDescent="0.25">
      <c r="A1226" s="8"/>
    </row>
    <row r="1227" spans="1:1" ht="13.8" x14ac:dyDescent="0.25">
      <c r="A1227" s="8"/>
    </row>
    <row r="1228" spans="1:1" ht="13.8" x14ac:dyDescent="0.25">
      <c r="A1228" s="8"/>
    </row>
    <row r="1229" spans="1:1" ht="13.8" x14ac:dyDescent="0.25">
      <c r="A1229" s="8"/>
    </row>
    <row r="1230" spans="1:1" ht="13.8" x14ac:dyDescent="0.25">
      <c r="A1230" s="8"/>
    </row>
    <row r="1231" spans="1:1" ht="13.8" x14ac:dyDescent="0.25">
      <c r="A1231" s="8"/>
    </row>
    <row r="1232" spans="1:1" ht="13.8" x14ac:dyDescent="0.25">
      <c r="A1232" s="8"/>
    </row>
    <row r="1233" spans="1:1" ht="13.8" x14ac:dyDescent="0.25">
      <c r="A1233" s="8"/>
    </row>
    <row r="1234" spans="1:1" ht="13.8" x14ac:dyDescent="0.25">
      <c r="A1234" s="8"/>
    </row>
    <row r="1235" spans="1:1" ht="13.8" x14ac:dyDescent="0.25">
      <c r="A1235" s="8"/>
    </row>
    <row r="1236" spans="1:1" ht="13.8" x14ac:dyDescent="0.25">
      <c r="A1236" s="8"/>
    </row>
    <row r="1237" spans="1:1" ht="13.8" x14ac:dyDescent="0.25">
      <c r="A1237" s="8"/>
    </row>
    <row r="1238" spans="1:1" ht="13.8" x14ac:dyDescent="0.25">
      <c r="A1238" s="8"/>
    </row>
    <row r="1239" spans="1:1" ht="13.8" x14ac:dyDescent="0.25">
      <c r="A1239" s="8"/>
    </row>
    <row r="1240" spans="1:1" ht="13.8" x14ac:dyDescent="0.25">
      <c r="A1240" s="8"/>
    </row>
    <row r="1241" spans="1:1" ht="13.8" x14ac:dyDescent="0.25">
      <c r="A1241" s="8"/>
    </row>
    <row r="1242" spans="1:1" ht="13.8" x14ac:dyDescent="0.25">
      <c r="A1242" s="8"/>
    </row>
    <row r="1243" spans="1:1" ht="13.8" x14ac:dyDescent="0.25">
      <c r="A1243" s="8"/>
    </row>
    <row r="1244" spans="1:1" ht="13.8" x14ac:dyDescent="0.25">
      <c r="A1244" s="8"/>
    </row>
    <row r="1245" spans="1:1" ht="13.8" x14ac:dyDescent="0.25">
      <c r="A1245" s="8"/>
    </row>
    <row r="1246" spans="1:1" ht="13.8" x14ac:dyDescent="0.25">
      <c r="A1246" s="8"/>
    </row>
    <row r="1247" spans="1:1" ht="13.8" x14ac:dyDescent="0.25">
      <c r="A1247" s="8"/>
    </row>
    <row r="1248" spans="1:1" ht="13.8" x14ac:dyDescent="0.25">
      <c r="A1248" s="8"/>
    </row>
    <row r="1249" spans="1:1" ht="13.8" x14ac:dyDescent="0.25">
      <c r="A1249" s="8"/>
    </row>
    <row r="1250" spans="1:1" ht="13.8" x14ac:dyDescent="0.25">
      <c r="A1250" s="8"/>
    </row>
    <row r="1251" spans="1:1" ht="13.8" x14ac:dyDescent="0.25">
      <c r="A1251" s="8"/>
    </row>
    <row r="1252" spans="1:1" ht="13.8" x14ac:dyDescent="0.25">
      <c r="A1252" s="8"/>
    </row>
    <row r="1253" spans="1:1" ht="13.8" x14ac:dyDescent="0.25">
      <c r="A1253" s="8"/>
    </row>
    <row r="1254" spans="1:1" ht="13.8" x14ac:dyDescent="0.25">
      <c r="A1254" s="8"/>
    </row>
    <row r="1255" spans="1:1" ht="13.8" x14ac:dyDescent="0.25">
      <c r="A1255" s="8"/>
    </row>
    <row r="1256" spans="1:1" ht="13.8" x14ac:dyDescent="0.25">
      <c r="A1256" s="8"/>
    </row>
    <row r="1257" spans="1:1" ht="13.8" x14ac:dyDescent="0.25">
      <c r="A1257" s="8"/>
    </row>
    <row r="1258" spans="1:1" ht="13.8" x14ac:dyDescent="0.25">
      <c r="A1258" s="8"/>
    </row>
    <row r="1259" spans="1:1" ht="13.8" x14ac:dyDescent="0.25">
      <c r="A1259" s="8"/>
    </row>
    <row r="1260" spans="1:1" ht="13.8" x14ac:dyDescent="0.25">
      <c r="A1260" s="8"/>
    </row>
    <row r="1261" spans="1:1" ht="13.8" x14ac:dyDescent="0.25">
      <c r="A1261" s="8"/>
    </row>
    <row r="1262" spans="1:1" ht="13.8" x14ac:dyDescent="0.25">
      <c r="A1262" s="8"/>
    </row>
    <row r="1263" spans="1:1" ht="13.8" x14ac:dyDescent="0.25">
      <c r="A1263" s="8"/>
    </row>
    <row r="1264" spans="1:1" ht="13.8" x14ac:dyDescent="0.25">
      <c r="A1264" s="8"/>
    </row>
    <row r="1265" spans="1:1" ht="13.8" x14ac:dyDescent="0.25">
      <c r="A1265" s="8"/>
    </row>
    <row r="1266" spans="1:1" ht="13.8" x14ac:dyDescent="0.25">
      <c r="A1266" s="8"/>
    </row>
    <row r="1267" spans="1:1" ht="13.8" x14ac:dyDescent="0.25">
      <c r="A1267" s="8"/>
    </row>
    <row r="1268" spans="1:1" ht="13.8" x14ac:dyDescent="0.25">
      <c r="A1268" s="8"/>
    </row>
    <row r="1269" spans="1:1" ht="13.8" x14ac:dyDescent="0.25">
      <c r="A1269" s="8"/>
    </row>
    <row r="1270" spans="1:1" ht="13.8" x14ac:dyDescent="0.25">
      <c r="A1270" s="8"/>
    </row>
    <row r="1271" spans="1:1" ht="13.8" x14ac:dyDescent="0.25">
      <c r="A1271" s="8"/>
    </row>
    <row r="1272" spans="1:1" ht="13.8" x14ac:dyDescent="0.25">
      <c r="A1272" s="8"/>
    </row>
    <row r="1273" spans="1:1" ht="13.8" x14ac:dyDescent="0.25">
      <c r="A1273" s="8"/>
    </row>
    <row r="1274" spans="1:1" ht="13.8" x14ac:dyDescent="0.25">
      <c r="A1274" s="8"/>
    </row>
    <row r="1275" spans="1:1" ht="13.8" x14ac:dyDescent="0.25">
      <c r="A1275" s="8"/>
    </row>
    <row r="1276" spans="1:1" ht="13.8" x14ac:dyDescent="0.25">
      <c r="A1276" s="8"/>
    </row>
    <row r="1277" spans="1:1" ht="13.8" x14ac:dyDescent="0.25">
      <c r="A1277" s="8"/>
    </row>
    <row r="1278" spans="1:1" ht="13.8" x14ac:dyDescent="0.25">
      <c r="A1278" s="8"/>
    </row>
    <row r="1279" spans="1:1" ht="13.8" x14ac:dyDescent="0.25">
      <c r="A1279" s="8"/>
    </row>
    <row r="1280" spans="1:1" ht="13.8" x14ac:dyDescent="0.25">
      <c r="A1280" s="8"/>
    </row>
    <row r="1281" spans="1:1" ht="13.8" x14ac:dyDescent="0.25">
      <c r="A1281" s="8"/>
    </row>
    <row r="1282" spans="1:1" ht="13.8" x14ac:dyDescent="0.25">
      <c r="A1282" s="8"/>
    </row>
    <row r="1283" spans="1:1" ht="13.8" x14ac:dyDescent="0.25">
      <c r="A1283" s="8"/>
    </row>
    <row r="1284" spans="1:1" ht="13.8" x14ac:dyDescent="0.25">
      <c r="A1284" s="8"/>
    </row>
    <row r="1285" spans="1:1" ht="13.8" x14ac:dyDescent="0.25">
      <c r="A1285" s="8"/>
    </row>
    <row r="1286" spans="1:1" ht="13.8" x14ac:dyDescent="0.25">
      <c r="A1286" s="8"/>
    </row>
    <row r="1287" spans="1:1" ht="13.8" x14ac:dyDescent="0.25">
      <c r="A1287" s="8"/>
    </row>
    <row r="1288" spans="1:1" ht="13.8" x14ac:dyDescent="0.25">
      <c r="A1288" s="8"/>
    </row>
    <row r="1289" spans="1:1" ht="13.8" x14ac:dyDescent="0.25">
      <c r="A1289" s="8"/>
    </row>
    <row r="1290" spans="1:1" ht="13.8" x14ac:dyDescent="0.25">
      <c r="A1290" s="8"/>
    </row>
    <row r="1291" spans="1:1" ht="13.8" x14ac:dyDescent="0.25">
      <c r="A1291" s="8"/>
    </row>
    <row r="1292" spans="1:1" ht="13.8" x14ac:dyDescent="0.25">
      <c r="A1292" s="8"/>
    </row>
    <row r="1293" spans="1:1" ht="13.8" x14ac:dyDescent="0.25">
      <c r="A1293" s="8"/>
    </row>
    <row r="1294" spans="1:1" ht="13.8" x14ac:dyDescent="0.25">
      <c r="A1294" s="8"/>
    </row>
    <row r="1295" spans="1:1" ht="13.8" x14ac:dyDescent="0.25">
      <c r="A1295" s="8"/>
    </row>
    <row r="1296" spans="1:1" ht="13.8" x14ac:dyDescent="0.25">
      <c r="A1296" s="8"/>
    </row>
    <row r="1297" spans="1:1" ht="13.8" x14ac:dyDescent="0.25">
      <c r="A1297" s="8"/>
    </row>
    <row r="1298" spans="1:1" ht="13.8" x14ac:dyDescent="0.25">
      <c r="A1298" s="8"/>
    </row>
    <row r="1299" spans="1:1" ht="13.8" x14ac:dyDescent="0.25">
      <c r="A1299" s="8"/>
    </row>
    <row r="1300" spans="1:1" ht="13.8" x14ac:dyDescent="0.25">
      <c r="A1300" s="8"/>
    </row>
    <row r="1301" spans="1:1" ht="13.8" x14ac:dyDescent="0.25">
      <c r="A1301" s="8"/>
    </row>
    <row r="1302" spans="1:1" ht="13.8" x14ac:dyDescent="0.25">
      <c r="A1302" s="8"/>
    </row>
    <row r="1303" spans="1:1" ht="13.8" x14ac:dyDescent="0.25">
      <c r="A1303" s="8"/>
    </row>
    <row r="1304" spans="1:1" ht="13.8" x14ac:dyDescent="0.25">
      <c r="A1304" s="8"/>
    </row>
    <row r="1305" spans="1:1" ht="13.8" x14ac:dyDescent="0.25">
      <c r="A1305" s="8"/>
    </row>
    <row r="1306" spans="1:1" ht="13.8" x14ac:dyDescent="0.25">
      <c r="A1306" s="8"/>
    </row>
    <row r="1307" spans="1:1" ht="13.8" x14ac:dyDescent="0.25">
      <c r="A1307" s="8"/>
    </row>
    <row r="1308" spans="1:1" ht="13.8" x14ac:dyDescent="0.25">
      <c r="A1308" s="8"/>
    </row>
    <row r="1309" spans="1:1" ht="13.8" x14ac:dyDescent="0.25">
      <c r="A1309" s="8"/>
    </row>
    <row r="1310" spans="1:1" ht="13.8" x14ac:dyDescent="0.25">
      <c r="A1310" s="8"/>
    </row>
    <row r="1311" spans="1:1" ht="13.8" x14ac:dyDescent="0.25">
      <c r="A1311" s="8"/>
    </row>
    <row r="1312" spans="1:1" ht="13.8" x14ac:dyDescent="0.25">
      <c r="A1312" s="8"/>
    </row>
    <row r="1313" spans="1:1" ht="13.8" x14ac:dyDescent="0.25">
      <c r="A1313" s="8"/>
    </row>
    <row r="1314" spans="1:1" ht="13.8" x14ac:dyDescent="0.25">
      <c r="A1314" s="8"/>
    </row>
    <row r="1315" spans="1:1" ht="13.8" x14ac:dyDescent="0.25">
      <c r="A1315" s="8"/>
    </row>
    <row r="1316" spans="1:1" ht="13.8" x14ac:dyDescent="0.25">
      <c r="A1316" s="8"/>
    </row>
    <row r="1317" spans="1:1" ht="13.8" x14ac:dyDescent="0.25">
      <c r="A1317" s="8"/>
    </row>
    <row r="1318" spans="1:1" ht="13.8" x14ac:dyDescent="0.25">
      <c r="A1318" s="8"/>
    </row>
    <row r="1319" spans="1:1" ht="13.8" x14ac:dyDescent="0.25">
      <c r="A1319" s="8"/>
    </row>
    <row r="1320" spans="1:1" ht="13.8" x14ac:dyDescent="0.25">
      <c r="A1320" s="8"/>
    </row>
    <row r="1321" spans="1:1" ht="13.8" x14ac:dyDescent="0.25">
      <c r="A1321" s="8"/>
    </row>
    <row r="1322" spans="1:1" ht="13.8" x14ac:dyDescent="0.25">
      <c r="A1322" s="8"/>
    </row>
    <row r="1323" spans="1:1" ht="13.8" x14ac:dyDescent="0.25">
      <c r="A1323" s="8"/>
    </row>
    <row r="1324" spans="1:1" ht="13.8" x14ac:dyDescent="0.25">
      <c r="A1324" s="8"/>
    </row>
    <row r="1325" spans="1:1" ht="13.8" x14ac:dyDescent="0.25">
      <c r="A1325" s="8"/>
    </row>
    <row r="1326" spans="1:1" ht="13.8" x14ac:dyDescent="0.25">
      <c r="A1326" s="8"/>
    </row>
    <row r="1327" spans="1:1" ht="13.8" x14ac:dyDescent="0.25">
      <c r="A1327" s="8"/>
    </row>
    <row r="1328" spans="1:1" ht="13.8" x14ac:dyDescent="0.25">
      <c r="A1328" s="8"/>
    </row>
    <row r="1329" spans="1:1" ht="13.8" x14ac:dyDescent="0.25">
      <c r="A1329" s="8"/>
    </row>
    <row r="1330" spans="1:1" ht="13.8" x14ac:dyDescent="0.25">
      <c r="A1330" s="8"/>
    </row>
    <row r="1331" spans="1:1" ht="13.8" x14ac:dyDescent="0.25">
      <c r="A1331" s="8"/>
    </row>
    <row r="1332" spans="1:1" ht="13.8" x14ac:dyDescent="0.25">
      <c r="A1332" s="8"/>
    </row>
    <row r="1333" spans="1:1" ht="13.8" x14ac:dyDescent="0.25">
      <c r="A1333" s="8"/>
    </row>
    <row r="1334" spans="1:1" ht="13.8" x14ac:dyDescent="0.25">
      <c r="A1334" s="8"/>
    </row>
    <row r="1335" spans="1:1" ht="13.8" x14ac:dyDescent="0.25">
      <c r="A1335" s="8"/>
    </row>
    <row r="1336" spans="1:1" ht="13.8" x14ac:dyDescent="0.25">
      <c r="A1336" s="8"/>
    </row>
    <row r="1337" spans="1:1" ht="13.8" x14ac:dyDescent="0.25">
      <c r="A1337" s="8"/>
    </row>
    <row r="1338" spans="1:1" ht="13.8" x14ac:dyDescent="0.25">
      <c r="A1338" s="8"/>
    </row>
    <row r="1339" spans="1:1" ht="13.8" x14ac:dyDescent="0.25">
      <c r="A1339" s="8"/>
    </row>
    <row r="1340" spans="1:1" ht="13.8" x14ac:dyDescent="0.25">
      <c r="A1340" s="8"/>
    </row>
    <row r="1341" spans="1:1" ht="13.8" x14ac:dyDescent="0.25">
      <c r="A1341" s="8"/>
    </row>
    <row r="1342" spans="1:1" ht="13.8" x14ac:dyDescent="0.25">
      <c r="A1342" s="8"/>
    </row>
    <row r="1343" spans="1:1" ht="13.8" x14ac:dyDescent="0.25">
      <c r="A1343" s="8"/>
    </row>
    <row r="1344" spans="1:1" ht="13.8" x14ac:dyDescent="0.25">
      <c r="A1344" s="8"/>
    </row>
    <row r="1345" spans="1:1" ht="13.8" x14ac:dyDescent="0.25">
      <c r="A1345" s="8"/>
    </row>
    <row r="1346" spans="1:1" ht="13.8" x14ac:dyDescent="0.25">
      <c r="A1346" s="8"/>
    </row>
    <row r="1347" spans="1:1" ht="13.8" x14ac:dyDescent="0.25">
      <c r="A1347" s="8"/>
    </row>
    <row r="1348" spans="1:1" ht="13.8" x14ac:dyDescent="0.25">
      <c r="A1348" s="8"/>
    </row>
    <row r="1349" spans="1:1" ht="13.8" x14ac:dyDescent="0.25">
      <c r="A1349" s="8"/>
    </row>
    <row r="1350" spans="1:1" ht="13.8" x14ac:dyDescent="0.25">
      <c r="A1350" s="8"/>
    </row>
    <row r="1351" spans="1:1" ht="13.8" x14ac:dyDescent="0.25">
      <c r="A1351" s="8"/>
    </row>
    <row r="1352" spans="1:1" ht="13.8" x14ac:dyDescent="0.25">
      <c r="A1352" s="8"/>
    </row>
    <row r="1353" spans="1:1" ht="13.8" x14ac:dyDescent="0.25">
      <c r="A1353" s="8"/>
    </row>
    <row r="1354" spans="1:1" ht="13.8" x14ac:dyDescent="0.25">
      <c r="A1354" s="8"/>
    </row>
    <row r="1355" spans="1:1" ht="13.8" x14ac:dyDescent="0.25">
      <c r="A1355" s="8"/>
    </row>
    <row r="1356" spans="1:1" ht="13.8" x14ac:dyDescent="0.25">
      <c r="A1356" s="8"/>
    </row>
    <row r="1357" spans="1:1" ht="13.8" x14ac:dyDescent="0.25">
      <c r="A1357" s="8"/>
    </row>
    <row r="1358" spans="1:1" ht="13.8" x14ac:dyDescent="0.25">
      <c r="A1358" s="8"/>
    </row>
    <row r="1359" spans="1:1" ht="13.8" x14ac:dyDescent="0.25">
      <c r="A1359" s="8"/>
    </row>
    <row r="1360" spans="1:1" ht="13.8" x14ac:dyDescent="0.25">
      <c r="A1360" s="8"/>
    </row>
    <row r="1361" spans="1:1" ht="13.8" x14ac:dyDescent="0.25">
      <c r="A1361" s="8"/>
    </row>
    <row r="1362" spans="1:1" ht="13.8" x14ac:dyDescent="0.25">
      <c r="A1362" s="8"/>
    </row>
    <row r="1363" spans="1:1" ht="13.8" x14ac:dyDescent="0.25">
      <c r="A1363" s="8"/>
    </row>
    <row r="1364" spans="1:1" ht="13.8" x14ac:dyDescent="0.25">
      <c r="A1364" s="8"/>
    </row>
    <row r="1365" spans="1:1" ht="13.8" x14ac:dyDescent="0.25">
      <c r="A1365" s="8"/>
    </row>
    <row r="1366" spans="1:1" ht="13.8" x14ac:dyDescent="0.25">
      <c r="A1366" s="8"/>
    </row>
    <row r="1367" spans="1:1" ht="13.8" x14ac:dyDescent="0.25">
      <c r="A1367" s="8"/>
    </row>
    <row r="1368" spans="1:1" ht="13.8" x14ac:dyDescent="0.25">
      <c r="A1368" s="8"/>
    </row>
    <row r="1369" spans="1:1" ht="13.8" x14ac:dyDescent="0.25">
      <c r="A1369" s="8"/>
    </row>
    <row r="1370" spans="1:1" ht="13.8" x14ac:dyDescent="0.25">
      <c r="A1370" s="8"/>
    </row>
    <row r="1371" spans="1:1" ht="13.8" x14ac:dyDescent="0.25">
      <c r="A1371" s="8"/>
    </row>
    <row r="1372" spans="1:1" ht="13.8" x14ac:dyDescent="0.25">
      <c r="A1372" s="8"/>
    </row>
    <row r="1373" spans="1:1" ht="13.8" x14ac:dyDescent="0.25">
      <c r="A1373" s="8"/>
    </row>
    <row r="1374" spans="1:1" ht="13.8" x14ac:dyDescent="0.25">
      <c r="A1374" s="8"/>
    </row>
    <row r="1375" spans="1:1" ht="13.8" x14ac:dyDescent="0.25">
      <c r="A1375" s="8"/>
    </row>
    <row r="1376" spans="1:1" ht="13.8" x14ac:dyDescent="0.25">
      <c r="A1376" s="8"/>
    </row>
    <row r="1377" spans="1:1" ht="13.8" x14ac:dyDescent="0.25">
      <c r="A1377" s="8"/>
    </row>
    <row r="1378" spans="1:1" ht="13.8" x14ac:dyDescent="0.25">
      <c r="A1378" s="8"/>
    </row>
    <row r="1379" spans="1:1" ht="13.8" x14ac:dyDescent="0.25">
      <c r="A1379" s="8"/>
    </row>
    <row r="1380" spans="1:1" ht="13.8" x14ac:dyDescent="0.25">
      <c r="A1380" s="8"/>
    </row>
    <row r="1381" spans="1:1" ht="13.8" x14ac:dyDescent="0.25">
      <c r="A1381" s="8"/>
    </row>
    <row r="1382" spans="1:1" ht="13.8" x14ac:dyDescent="0.25">
      <c r="A1382" s="8"/>
    </row>
    <row r="1383" spans="1:1" ht="13.8" x14ac:dyDescent="0.25">
      <c r="A1383" s="8"/>
    </row>
    <row r="1384" spans="1:1" ht="13.8" x14ac:dyDescent="0.25">
      <c r="A1384" s="8"/>
    </row>
    <row r="1385" spans="1:1" ht="13.8" x14ac:dyDescent="0.25">
      <c r="A1385" s="8"/>
    </row>
    <row r="1386" spans="1:1" ht="13.8" x14ac:dyDescent="0.25">
      <c r="A1386" s="8"/>
    </row>
    <row r="1387" spans="1:1" ht="13.8" x14ac:dyDescent="0.25">
      <c r="A1387" s="8"/>
    </row>
    <row r="1388" spans="1:1" ht="13.8" x14ac:dyDescent="0.25">
      <c r="A1388" s="8"/>
    </row>
    <row r="1389" spans="1:1" ht="13.8" x14ac:dyDescent="0.25">
      <c r="A1389" s="8"/>
    </row>
    <row r="1390" spans="1:1" ht="13.8" x14ac:dyDescent="0.25">
      <c r="A1390" s="8"/>
    </row>
    <row r="1391" spans="1:1" ht="13.8" x14ac:dyDescent="0.25">
      <c r="A1391" s="8"/>
    </row>
    <row r="1392" spans="1:1" ht="13.8" x14ac:dyDescent="0.25">
      <c r="A1392" s="8"/>
    </row>
    <row r="1393" spans="1:1" ht="13.8" x14ac:dyDescent="0.25">
      <c r="A1393" s="8"/>
    </row>
    <row r="1394" spans="1:1" ht="13.8" x14ac:dyDescent="0.25">
      <c r="A1394" s="8"/>
    </row>
    <row r="1395" spans="1:1" ht="13.8" x14ac:dyDescent="0.25">
      <c r="A1395" s="8"/>
    </row>
    <row r="1396" spans="1:1" ht="13.8" x14ac:dyDescent="0.25">
      <c r="A1396" s="8"/>
    </row>
    <row r="1397" spans="1:1" ht="13.8" x14ac:dyDescent="0.25">
      <c r="A1397" s="8"/>
    </row>
    <row r="1398" spans="1:1" ht="13.8" x14ac:dyDescent="0.25">
      <c r="A1398" s="8"/>
    </row>
    <row r="1399" spans="1:1" ht="13.8" x14ac:dyDescent="0.25">
      <c r="A1399" s="8"/>
    </row>
    <row r="1400" spans="1:1" ht="13.8" x14ac:dyDescent="0.25">
      <c r="A1400" s="8"/>
    </row>
    <row r="1401" spans="1:1" ht="13.8" x14ac:dyDescent="0.25">
      <c r="A1401" s="8"/>
    </row>
    <row r="1402" spans="1:1" ht="13.8" x14ac:dyDescent="0.25">
      <c r="A1402" s="8"/>
    </row>
    <row r="1403" spans="1:1" ht="13.8" x14ac:dyDescent="0.25">
      <c r="A1403" s="8"/>
    </row>
    <row r="1404" spans="1:1" ht="13.8" x14ac:dyDescent="0.25">
      <c r="A1404" s="8"/>
    </row>
    <row r="1405" spans="1:1" ht="13.8" x14ac:dyDescent="0.25">
      <c r="A1405" s="8"/>
    </row>
    <row r="1406" spans="1:1" ht="13.8" x14ac:dyDescent="0.25">
      <c r="A1406" s="8"/>
    </row>
    <row r="1407" spans="1:1" ht="13.8" x14ac:dyDescent="0.25">
      <c r="A1407" s="8"/>
    </row>
    <row r="1408" spans="1:1" ht="13.8" x14ac:dyDescent="0.25">
      <c r="A1408" s="8"/>
    </row>
    <row r="1409" spans="1:1" ht="13.8" x14ac:dyDescent="0.25">
      <c r="A1409" s="8"/>
    </row>
    <row r="1410" spans="1:1" ht="13.8" x14ac:dyDescent="0.25">
      <c r="A1410" s="8"/>
    </row>
    <row r="1411" spans="1:1" ht="13.8" x14ac:dyDescent="0.25">
      <c r="A1411" s="8"/>
    </row>
    <row r="1412" spans="1:1" ht="13.8" x14ac:dyDescent="0.25">
      <c r="A1412" s="8"/>
    </row>
    <row r="1413" spans="1:1" ht="13.8" x14ac:dyDescent="0.25">
      <c r="A1413" s="8"/>
    </row>
    <row r="1414" spans="1:1" ht="13.8" x14ac:dyDescent="0.25">
      <c r="A1414" s="8"/>
    </row>
    <row r="1415" spans="1:1" ht="13.8" x14ac:dyDescent="0.25">
      <c r="A1415" s="8"/>
    </row>
    <row r="1416" spans="1:1" ht="13.8" x14ac:dyDescent="0.25">
      <c r="A1416" s="8"/>
    </row>
    <row r="1417" spans="1:1" ht="13.8" x14ac:dyDescent="0.25">
      <c r="A1417" s="8"/>
    </row>
    <row r="1418" spans="1:1" ht="13.8" x14ac:dyDescent="0.25">
      <c r="A1418" s="8"/>
    </row>
    <row r="1419" spans="1:1" ht="13.8" x14ac:dyDescent="0.25">
      <c r="A1419" s="8"/>
    </row>
    <row r="1420" spans="1:1" ht="13.8" x14ac:dyDescent="0.25">
      <c r="A1420" s="8"/>
    </row>
    <row r="1421" spans="1:1" ht="13.8" x14ac:dyDescent="0.25">
      <c r="A1421" s="8"/>
    </row>
    <row r="1422" spans="1:1" ht="13.8" x14ac:dyDescent="0.25">
      <c r="A1422" s="8"/>
    </row>
    <row r="1423" spans="1:1" ht="13.8" x14ac:dyDescent="0.25">
      <c r="A1423" s="8"/>
    </row>
    <row r="1424" spans="1:1" ht="13.8" x14ac:dyDescent="0.25">
      <c r="A1424" s="8"/>
    </row>
    <row r="1425" spans="1:1" ht="13.8" x14ac:dyDescent="0.25">
      <c r="A1425" s="8"/>
    </row>
    <row r="1426" spans="1:1" ht="13.8" x14ac:dyDescent="0.25">
      <c r="A1426" s="8"/>
    </row>
    <row r="1427" spans="1:1" ht="13.8" x14ac:dyDescent="0.25">
      <c r="A1427" s="8"/>
    </row>
    <row r="1428" spans="1:1" ht="13.8" x14ac:dyDescent="0.25">
      <c r="A1428" s="8"/>
    </row>
    <row r="1429" spans="1:1" ht="13.8" x14ac:dyDescent="0.25">
      <c r="A1429" s="8"/>
    </row>
    <row r="1430" spans="1:1" ht="13.8" x14ac:dyDescent="0.25">
      <c r="A1430" s="8"/>
    </row>
    <row r="1431" spans="1:1" ht="13.8" x14ac:dyDescent="0.25">
      <c r="A1431" s="8"/>
    </row>
    <row r="1432" spans="1:1" ht="13.8" x14ac:dyDescent="0.25">
      <c r="A1432" s="8"/>
    </row>
    <row r="1433" spans="1:1" ht="13.8" x14ac:dyDescent="0.25">
      <c r="A1433" s="8"/>
    </row>
    <row r="1434" spans="1:1" ht="13.8" x14ac:dyDescent="0.25">
      <c r="A1434" s="8"/>
    </row>
    <row r="1435" spans="1:1" ht="13.8" x14ac:dyDescent="0.25">
      <c r="A1435" s="8"/>
    </row>
    <row r="1436" spans="1:1" ht="13.8" x14ac:dyDescent="0.25">
      <c r="A1436" s="8"/>
    </row>
    <row r="1437" spans="1:1" ht="13.8" x14ac:dyDescent="0.25">
      <c r="A1437" s="8"/>
    </row>
    <row r="1438" spans="1:1" ht="13.8" x14ac:dyDescent="0.25">
      <c r="A1438" s="8"/>
    </row>
    <row r="1439" spans="1:1" ht="13.8" x14ac:dyDescent="0.25">
      <c r="A1439" s="8"/>
    </row>
    <row r="1440" spans="1:1" ht="13.8" x14ac:dyDescent="0.25">
      <c r="A1440" s="8"/>
    </row>
    <row r="1441" spans="1:1" ht="13.8" x14ac:dyDescent="0.25">
      <c r="A1441" s="8"/>
    </row>
    <row r="1442" spans="1:1" ht="13.8" x14ac:dyDescent="0.25">
      <c r="A1442" s="8"/>
    </row>
    <row r="1443" spans="1:1" ht="13.8" x14ac:dyDescent="0.25">
      <c r="A1443" s="8"/>
    </row>
    <row r="1444" spans="1:1" ht="13.8" x14ac:dyDescent="0.25">
      <c r="A1444" s="8"/>
    </row>
    <row r="1445" spans="1:1" ht="13.8" x14ac:dyDescent="0.25">
      <c r="A1445" s="8"/>
    </row>
    <row r="1446" spans="1:1" ht="13.8" x14ac:dyDescent="0.25">
      <c r="A1446" s="8"/>
    </row>
    <row r="1447" spans="1:1" ht="13.8" x14ac:dyDescent="0.25">
      <c r="A1447" s="8"/>
    </row>
    <row r="1448" spans="1:1" ht="13.8" x14ac:dyDescent="0.25">
      <c r="A1448" s="8"/>
    </row>
    <row r="1449" spans="1:1" ht="13.8" x14ac:dyDescent="0.25">
      <c r="A1449" s="8"/>
    </row>
    <row r="1450" spans="1:1" ht="13.8" x14ac:dyDescent="0.25">
      <c r="A1450" s="8"/>
    </row>
    <row r="1451" spans="1:1" ht="13.8" x14ac:dyDescent="0.25">
      <c r="A1451" s="8"/>
    </row>
    <row r="1452" spans="1:1" ht="13.8" x14ac:dyDescent="0.25">
      <c r="A1452" s="8"/>
    </row>
    <row r="1453" spans="1:1" ht="13.8" x14ac:dyDescent="0.25">
      <c r="A1453" s="8"/>
    </row>
    <row r="1454" spans="1:1" ht="13.8" x14ac:dyDescent="0.25">
      <c r="A1454" s="8"/>
    </row>
    <row r="1455" spans="1:1" ht="13.8" x14ac:dyDescent="0.25">
      <c r="A1455" s="8"/>
    </row>
    <row r="1456" spans="1:1" ht="13.8" x14ac:dyDescent="0.25">
      <c r="A1456" s="8"/>
    </row>
    <row r="1457" spans="1:1" ht="13.8" x14ac:dyDescent="0.25">
      <c r="A1457" s="8"/>
    </row>
    <row r="1458" spans="1:1" ht="13.8" x14ac:dyDescent="0.25">
      <c r="A1458" s="8"/>
    </row>
    <row r="1459" spans="1:1" ht="13.8" x14ac:dyDescent="0.25">
      <c r="A1459" s="8"/>
    </row>
    <row r="1460" spans="1:1" ht="13.8" x14ac:dyDescent="0.25">
      <c r="A1460" s="8"/>
    </row>
    <row r="1461" spans="1:1" ht="13.8" x14ac:dyDescent="0.25">
      <c r="A1461" s="8"/>
    </row>
    <row r="1462" spans="1:1" ht="13.8" x14ac:dyDescent="0.25">
      <c r="A1462" s="8"/>
    </row>
    <row r="1463" spans="1:1" ht="13.8" x14ac:dyDescent="0.25">
      <c r="A1463" s="8"/>
    </row>
    <row r="1464" spans="1:1" ht="13.8" x14ac:dyDescent="0.25">
      <c r="A1464" s="8"/>
    </row>
    <row r="1465" spans="1:1" ht="13.8" x14ac:dyDescent="0.25">
      <c r="A1465" s="8"/>
    </row>
    <row r="1466" spans="1:1" ht="13.8" x14ac:dyDescent="0.25">
      <c r="A1466" s="8"/>
    </row>
    <row r="1467" spans="1:1" ht="13.8" x14ac:dyDescent="0.25">
      <c r="A1467" s="8"/>
    </row>
    <row r="1468" spans="1:1" ht="13.8" x14ac:dyDescent="0.25">
      <c r="A1468" s="8"/>
    </row>
    <row r="1469" spans="1:1" ht="13.8" x14ac:dyDescent="0.25">
      <c r="A1469" s="8"/>
    </row>
    <row r="1470" spans="1:1" ht="13.8" x14ac:dyDescent="0.25">
      <c r="A1470" s="8"/>
    </row>
    <row r="1471" spans="1:1" ht="13.8" x14ac:dyDescent="0.25">
      <c r="A1471" s="8"/>
    </row>
    <row r="1472" spans="1:1" ht="13.8" x14ac:dyDescent="0.25">
      <c r="A1472" s="8"/>
    </row>
    <row r="1473" spans="1:1" ht="13.8" x14ac:dyDescent="0.25">
      <c r="A1473" s="8"/>
    </row>
    <row r="1474" spans="1:1" ht="13.8" x14ac:dyDescent="0.25">
      <c r="A1474" s="8"/>
    </row>
    <row r="1475" spans="1:1" ht="13.8" x14ac:dyDescent="0.25">
      <c r="A1475" s="8"/>
    </row>
    <row r="1476" spans="1:1" ht="13.8" x14ac:dyDescent="0.25">
      <c r="A1476" s="8"/>
    </row>
    <row r="1477" spans="1:1" ht="13.8" x14ac:dyDescent="0.25">
      <c r="A1477" s="8"/>
    </row>
    <row r="1478" spans="1:1" ht="13.8" x14ac:dyDescent="0.25">
      <c r="A1478" s="8"/>
    </row>
    <row r="1479" spans="1:1" ht="13.8" x14ac:dyDescent="0.25">
      <c r="A1479" s="8"/>
    </row>
    <row r="1480" spans="1:1" ht="13.8" x14ac:dyDescent="0.25">
      <c r="A1480" s="8"/>
    </row>
    <row r="1481" spans="1:1" ht="13.8" x14ac:dyDescent="0.25">
      <c r="A1481" s="8"/>
    </row>
    <row r="1482" spans="1:1" ht="13.8" x14ac:dyDescent="0.25">
      <c r="A1482" s="8"/>
    </row>
    <row r="1483" spans="1:1" ht="13.8" x14ac:dyDescent="0.25">
      <c r="A1483" s="8"/>
    </row>
    <row r="1484" spans="1:1" ht="13.8" x14ac:dyDescent="0.25">
      <c r="A1484" s="8"/>
    </row>
    <row r="1485" spans="1:1" ht="13.8" x14ac:dyDescent="0.25">
      <c r="A1485" s="8"/>
    </row>
    <row r="1486" spans="1:1" ht="13.8" x14ac:dyDescent="0.25">
      <c r="A1486" s="8"/>
    </row>
    <row r="1487" spans="1:1" ht="13.8" x14ac:dyDescent="0.25">
      <c r="A1487" s="8"/>
    </row>
    <row r="1488" spans="1:1" ht="13.8" x14ac:dyDescent="0.25">
      <c r="A1488" s="8"/>
    </row>
    <row r="1489" spans="1:1" ht="13.8" x14ac:dyDescent="0.25">
      <c r="A1489" s="8"/>
    </row>
    <row r="1490" spans="1:1" ht="13.8" x14ac:dyDescent="0.25">
      <c r="A1490" s="8"/>
    </row>
    <row r="1491" spans="1:1" ht="13.8" x14ac:dyDescent="0.25">
      <c r="A1491" s="8"/>
    </row>
    <row r="1492" spans="1:1" ht="13.8" x14ac:dyDescent="0.25">
      <c r="A1492" s="8"/>
    </row>
    <row r="1493" spans="1:1" ht="13.8" x14ac:dyDescent="0.25">
      <c r="A1493" s="8"/>
    </row>
    <row r="1494" spans="1:1" ht="13.8" x14ac:dyDescent="0.25">
      <c r="A1494" s="8"/>
    </row>
    <row r="1495" spans="1:1" ht="13.8" x14ac:dyDescent="0.25">
      <c r="A1495" s="8"/>
    </row>
    <row r="1496" spans="1:1" ht="13.8" x14ac:dyDescent="0.25">
      <c r="A1496" s="8"/>
    </row>
    <row r="1497" spans="1:1" ht="13.8" x14ac:dyDescent="0.25">
      <c r="A1497" s="8"/>
    </row>
    <row r="1498" spans="1:1" ht="13.8" x14ac:dyDescent="0.25">
      <c r="A1498" s="8"/>
    </row>
    <row r="1499" spans="1:1" ht="13.8" x14ac:dyDescent="0.25">
      <c r="A1499" s="8"/>
    </row>
    <row r="1500" spans="1:1" ht="13.8" x14ac:dyDescent="0.25">
      <c r="A1500" s="8"/>
    </row>
    <row r="1501" spans="1:1" ht="13.8" x14ac:dyDescent="0.25">
      <c r="A1501" s="8"/>
    </row>
    <row r="1502" spans="1:1" ht="13.8" x14ac:dyDescent="0.25">
      <c r="A1502" s="8"/>
    </row>
    <row r="1503" spans="1:1" ht="13.8" x14ac:dyDescent="0.25">
      <c r="A1503" s="8"/>
    </row>
    <row r="1504" spans="1:1" ht="13.8" x14ac:dyDescent="0.25">
      <c r="A1504" s="8"/>
    </row>
    <row r="1505" spans="1:1" ht="13.8" x14ac:dyDescent="0.25">
      <c r="A1505" s="8"/>
    </row>
    <row r="1506" spans="1:1" ht="13.8" x14ac:dyDescent="0.25">
      <c r="A1506" s="8"/>
    </row>
    <row r="1507" spans="1:1" ht="13.8" x14ac:dyDescent="0.25">
      <c r="A1507" s="8"/>
    </row>
    <row r="1508" spans="1:1" ht="13.8" x14ac:dyDescent="0.25">
      <c r="A1508" s="8"/>
    </row>
    <row r="1509" spans="1:1" ht="13.8" x14ac:dyDescent="0.25">
      <c r="A1509" s="8"/>
    </row>
    <row r="1510" spans="1:1" ht="13.8" x14ac:dyDescent="0.25">
      <c r="A1510" s="8"/>
    </row>
    <row r="1511" spans="1:1" ht="13.8" x14ac:dyDescent="0.25">
      <c r="A1511" s="8"/>
    </row>
    <row r="1512" spans="1:1" ht="13.8" x14ac:dyDescent="0.25">
      <c r="A1512" s="8"/>
    </row>
    <row r="1513" spans="1:1" ht="13.8" x14ac:dyDescent="0.25">
      <c r="A1513" s="8"/>
    </row>
    <row r="1514" spans="1:1" ht="13.8" x14ac:dyDescent="0.25">
      <c r="A1514" s="8"/>
    </row>
    <row r="1515" spans="1:1" ht="13.8" x14ac:dyDescent="0.25">
      <c r="A1515" s="8"/>
    </row>
    <row r="1516" spans="1:1" ht="13.8" x14ac:dyDescent="0.25">
      <c r="A1516" s="8"/>
    </row>
    <row r="1517" spans="1:1" ht="13.8" x14ac:dyDescent="0.25">
      <c r="A1517" s="8"/>
    </row>
    <row r="1518" spans="1:1" ht="13.8" x14ac:dyDescent="0.25">
      <c r="A1518" s="8"/>
    </row>
    <row r="1519" spans="1:1" ht="13.8" x14ac:dyDescent="0.25">
      <c r="A1519" s="8"/>
    </row>
    <row r="1520" spans="1:1" ht="13.8" x14ac:dyDescent="0.25">
      <c r="A1520" s="8"/>
    </row>
    <row r="1521" spans="1:1" ht="13.8" x14ac:dyDescent="0.25">
      <c r="A1521" s="8"/>
    </row>
    <row r="1522" spans="1:1" ht="13.8" x14ac:dyDescent="0.25">
      <c r="A1522" s="8"/>
    </row>
    <row r="1523" spans="1:1" ht="13.8" x14ac:dyDescent="0.25">
      <c r="A1523" s="8"/>
    </row>
    <row r="1524" spans="1:1" ht="13.8" x14ac:dyDescent="0.25">
      <c r="A1524" s="8"/>
    </row>
    <row r="1525" spans="1:1" ht="13.8" x14ac:dyDescent="0.25">
      <c r="A1525" s="8"/>
    </row>
    <row r="1526" spans="1:1" ht="13.8" x14ac:dyDescent="0.25">
      <c r="A1526" s="8"/>
    </row>
    <row r="1527" spans="1:1" ht="13.8" x14ac:dyDescent="0.25">
      <c r="A1527" s="8"/>
    </row>
    <row r="1528" spans="1:1" ht="13.8" x14ac:dyDescent="0.25">
      <c r="A1528" s="8"/>
    </row>
    <row r="1529" spans="1:1" ht="13.8" x14ac:dyDescent="0.25">
      <c r="A1529" s="8"/>
    </row>
    <row r="1530" spans="1:1" ht="13.8" x14ac:dyDescent="0.25">
      <c r="A1530" s="8"/>
    </row>
    <row r="1531" spans="1:1" ht="13.8" x14ac:dyDescent="0.25">
      <c r="A1531" s="8"/>
    </row>
    <row r="1532" spans="1:1" ht="13.8" x14ac:dyDescent="0.25">
      <c r="A1532" s="8"/>
    </row>
    <row r="1533" spans="1:1" ht="13.8" x14ac:dyDescent="0.25">
      <c r="A1533" s="8"/>
    </row>
    <row r="1534" spans="1:1" ht="13.8" x14ac:dyDescent="0.25">
      <c r="A1534" s="8"/>
    </row>
    <row r="1535" spans="1:1" ht="13.8" x14ac:dyDescent="0.25">
      <c r="A1535" s="8"/>
    </row>
    <row r="1536" spans="1:1" ht="13.8" x14ac:dyDescent="0.25">
      <c r="A1536" s="8"/>
    </row>
    <row r="1537" spans="1:1" ht="13.8" x14ac:dyDescent="0.25">
      <c r="A1537" s="8"/>
    </row>
    <row r="1538" spans="1:1" ht="13.8" x14ac:dyDescent="0.25">
      <c r="A1538" s="8"/>
    </row>
    <row r="1539" spans="1:1" ht="13.8" x14ac:dyDescent="0.25">
      <c r="A1539" s="8"/>
    </row>
    <row r="1540" spans="1:1" ht="13.8" x14ac:dyDescent="0.25">
      <c r="A1540" s="8"/>
    </row>
    <row r="1541" spans="1:1" ht="13.8" x14ac:dyDescent="0.25">
      <c r="A1541" s="8"/>
    </row>
    <row r="1542" spans="1:1" ht="13.8" x14ac:dyDescent="0.25">
      <c r="A1542" s="8"/>
    </row>
    <row r="1543" spans="1:1" ht="13.8" x14ac:dyDescent="0.25">
      <c r="A1543" s="8"/>
    </row>
    <row r="1544" spans="1:1" ht="13.8" x14ac:dyDescent="0.25">
      <c r="A1544" s="8"/>
    </row>
    <row r="1545" spans="1:1" ht="13.8" x14ac:dyDescent="0.25">
      <c r="A1545" s="8"/>
    </row>
    <row r="1546" spans="1:1" ht="13.8" x14ac:dyDescent="0.25">
      <c r="A1546" s="8"/>
    </row>
    <row r="1547" spans="1:1" ht="13.8" x14ac:dyDescent="0.25">
      <c r="A1547" s="8"/>
    </row>
    <row r="1548" spans="1:1" ht="13.8" x14ac:dyDescent="0.25">
      <c r="A1548" s="8"/>
    </row>
    <row r="1549" spans="1:1" ht="13.8" x14ac:dyDescent="0.25">
      <c r="A1549" s="8"/>
    </row>
    <row r="1550" spans="1:1" ht="13.8" x14ac:dyDescent="0.25">
      <c r="A1550" s="8"/>
    </row>
    <row r="1551" spans="1:1" ht="13.8" x14ac:dyDescent="0.25">
      <c r="A1551" s="8"/>
    </row>
    <row r="1552" spans="1:1" ht="13.8" x14ac:dyDescent="0.25">
      <c r="A1552" s="8"/>
    </row>
    <row r="1553" spans="1:1" ht="13.8" x14ac:dyDescent="0.25">
      <c r="A1553" s="8"/>
    </row>
    <row r="1554" spans="1:1" ht="13.8" x14ac:dyDescent="0.25">
      <c r="A1554" s="8"/>
    </row>
    <row r="1555" spans="1:1" ht="13.8" x14ac:dyDescent="0.25">
      <c r="A1555" s="8"/>
    </row>
    <row r="1556" spans="1:1" ht="13.8" x14ac:dyDescent="0.25">
      <c r="A1556" s="8"/>
    </row>
    <row r="1557" spans="1:1" ht="13.8" x14ac:dyDescent="0.25">
      <c r="A1557" s="8"/>
    </row>
    <row r="1558" spans="1:1" ht="13.8" x14ac:dyDescent="0.25">
      <c r="A1558" s="8"/>
    </row>
    <row r="1559" spans="1:1" ht="13.8" x14ac:dyDescent="0.25">
      <c r="A1559" s="8"/>
    </row>
    <row r="1560" spans="1:1" ht="13.8" x14ac:dyDescent="0.25">
      <c r="A1560" s="8"/>
    </row>
    <row r="1561" spans="1:1" ht="13.8" x14ac:dyDescent="0.25">
      <c r="A1561" s="8"/>
    </row>
    <row r="1562" spans="1:1" ht="13.8" x14ac:dyDescent="0.25">
      <c r="A1562" s="8"/>
    </row>
    <row r="1563" spans="1:1" ht="13.8" x14ac:dyDescent="0.25">
      <c r="A1563" s="8"/>
    </row>
    <row r="1564" spans="1:1" ht="13.8" x14ac:dyDescent="0.25">
      <c r="A1564" s="8"/>
    </row>
    <row r="1565" spans="1:1" ht="13.8" x14ac:dyDescent="0.25">
      <c r="A1565" s="8"/>
    </row>
    <row r="1566" spans="1:1" ht="13.8" x14ac:dyDescent="0.25">
      <c r="A1566" s="8"/>
    </row>
    <row r="1567" spans="1:1" ht="13.8" x14ac:dyDescent="0.25">
      <c r="A1567" s="8"/>
    </row>
    <row r="1568" spans="1:1" ht="13.8" x14ac:dyDescent="0.25">
      <c r="A1568" s="8"/>
    </row>
    <row r="1569" spans="1:1" ht="13.8" x14ac:dyDescent="0.25">
      <c r="A1569" s="8"/>
    </row>
    <row r="1570" spans="1:1" ht="13.8" x14ac:dyDescent="0.25">
      <c r="A1570" s="8"/>
    </row>
    <row r="1571" spans="1:1" ht="13.8" x14ac:dyDescent="0.25">
      <c r="A1571" s="8"/>
    </row>
    <row r="1572" spans="1:1" ht="13.8" x14ac:dyDescent="0.25">
      <c r="A1572" s="8"/>
    </row>
    <row r="1573" spans="1:1" ht="13.8" x14ac:dyDescent="0.25">
      <c r="A1573" s="8"/>
    </row>
    <row r="1574" spans="1:1" ht="13.8" x14ac:dyDescent="0.25">
      <c r="A1574" s="8"/>
    </row>
    <row r="1575" spans="1:1" ht="13.8" x14ac:dyDescent="0.25">
      <c r="A1575" s="8"/>
    </row>
    <row r="1576" spans="1:1" ht="13.8" x14ac:dyDescent="0.25">
      <c r="A1576" s="8"/>
    </row>
    <row r="1577" spans="1:1" ht="13.8" x14ac:dyDescent="0.25">
      <c r="A1577" s="8"/>
    </row>
    <row r="1578" spans="1:1" ht="13.8" x14ac:dyDescent="0.25">
      <c r="A1578" s="8"/>
    </row>
    <row r="1579" spans="1:1" ht="13.8" x14ac:dyDescent="0.25">
      <c r="A1579" s="8"/>
    </row>
    <row r="1580" spans="1:1" ht="13.8" x14ac:dyDescent="0.25">
      <c r="A1580" s="8"/>
    </row>
    <row r="1581" spans="1:1" ht="13.8" x14ac:dyDescent="0.25">
      <c r="A1581" s="8"/>
    </row>
    <row r="1582" spans="1:1" ht="13.8" x14ac:dyDescent="0.25">
      <c r="A1582" s="8"/>
    </row>
    <row r="1583" spans="1:1" ht="13.8" x14ac:dyDescent="0.25">
      <c r="A1583" s="8"/>
    </row>
    <row r="1584" spans="1:1" ht="13.8" x14ac:dyDescent="0.25">
      <c r="A1584" s="8"/>
    </row>
    <row r="1585" spans="1:1" ht="13.8" x14ac:dyDescent="0.25">
      <c r="A1585" s="8"/>
    </row>
    <row r="1586" spans="1:1" ht="13.8" x14ac:dyDescent="0.25">
      <c r="A1586" s="8"/>
    </row>
    <row r="1587" spans="1:1" ht="13.8" x14ac:dyDescent="0.25">
      <c r="A1587" s="8"/>
    </row>
    <row r="1588" spans="1:1" ht="13.8" x14ac:dyDescent="0.25">
      <c r="A1588" s="8"/>
    </row>
    <row r="1589" spans="1:1" ht="13.8" x14ac:dyDescent="0.25">
      <c r="A1589" s="8"/>
    </row>
    <row r="1590" spans="1:1" ht="13.8" x14ac:dyDescent="0.25">
      <c r="A1590" s="8"/>
    </row>
    <row r="1591" spans="1:1" ht="13.8" x14ac:dyDescent="0.25">
      <c r="A1591" s="8"/>
    </row>
    <row r="1592" spans="1:1" ht="13.8" x14ac:dyDescent="0.25">
      <c r="A1592" s="8"/>
    </row>
    <row r="1593" spans="1:1" ht="13.8" x14ac:dyDescent="0.25">
      <c r="A1593" s="8"/>
    </row>
    <row r="1594" spans="1:1" ht="13.8" x14ac:dyDescent="0.25">
      <c r="A1594" s="8"/>
    </row>
    <row r="1595" spans="1:1" ht="13.8" x14ac:dyDescent="0.25">
      <c r="A1595" s="8"/>
    </row>
    <row r="1596" spans="1:1" ht="13.8" x14ac:dyDescent="0.25">
      <c r="A1596" s="8"/>
    </row>
    <row r="1597" spans="1:1" ht="13.8" x14ac:dyDescent="0.25">
      <c r="A1597" s="8"/>
    </row>
    <row r="1598" spans="1:1" ht="13.8" x14ac:dyDescent="0.25">
      <c r="A1598" s="8"/>
    </row>
    <row r="1599" spans="1:1" ht="13.8" x14ac:dyDescent="0.25">
      <c r="A1599" s="8"/>
    </row>
    <row r="1600" spans="1:1" ht="13.8" x14ac:dyDescent="0.25">
      <c r="A1600" s="8"/>
    </row>
    <row r="1601" spans="1:1" ht="13.8" x14ac:dyDescent="0.25">
      <c r="A1601" s="8"/>
    </row>
    <row r="1602" spans="1:1" ht="13.8" x14ac:dyDescent="0.25">
      <c r="A1602" s="8"/>
    </row>
    <row r="1603" spans="1:1" ht="13.8" x14ac:dyDescent="0.25">
      <c r="A1603" s="8"/>
    </row>
    <row r="1604" spans="1:1" ht="13.8" x14ac:dyDescent="0.25">
      <c r="A1604" s="8"/>
    </row>
    <row r="1605" spans="1:1" ht="13.8" x14ac:dyDescent="0.25">
      <c r="A1605" s="8"/>
    </row>
    <row r="1606" spans="1:1" ht="13.8" x14ac:dyDescent="0.25">
      <c r="A1606" s="8"/>
    </row>
    <row r="1607" spans="1:1" ht="13.8" x14ac:dyDescent="0.25">
      <c r="A1607" s="8"/>
    </row>
    <row r="1608" spans="1:1" ht="13.8" x14ac:dyDescent="0.25">
      <c r="A1608" s="8"/>
    </row>
    <row r="1609" spans="1:1" ht="13.8" x14ac:dyDescent="0.25">
      <c r="A1609" s="8"/>
    </row>
    <row r="1610" spans="1:1" ht="13.8" x14ac:dyDescent="0.25">
      <c r="A1610" s="8"/>
    </row>
    <row r="1611" spans="1:1" ht="13.8" x14ac:dyDescent="0.25">
      <c r="A1611" s="8"/>
    </row>
    <row r="1612" spans="1:1" ht="13.8" x14ac:dyDescent="0.25">
      <c r="A1612" s="8"/>
    </row>
    <row r="1613" spans="1:1" ht="13.8" x14ac:dyDescent="0.25">
      <c r="A1613" s="8"/>
    </row>
    <row r="1614" spans="1:1" ht="13.8" x14ac:dyDescent="0.25">
      <c r="A1614" s="8"/>
    </row>
    <row r="1615" spans="1:1" ht="13.8" x14ac:dyDescent="0.25">
      <c r="A1615" s="8"/>
    </row>
    <row r="1616" spans="1:1" ht="13.8" x14ac:dyDescent="0.25">
      <c r="A1616" s="8"/>
    </row>
    <row r="1617" spans="1:1" ht="13.8" x14ac:dyDescent="0.25">
      <c r="A1617" s="8"/>
    </row>
    <row r="1618" spans="1:1" ht="13.8" x14ac:dyDescent="0.25">
      <c r="A1618" s="8"/>
    </row>
    <row r="1619" spans="1:1" ht="13.8" x14ac:dyDescent="0.25">
      <c r="A1619" s="8"/>
    </row>
    <row r="1620" spans="1:1" ht="13.8" x14ac:dyDescent="0.25">
      <c r="A1620" s="8"/>
    </row>
    <row r="1621" spans="1:1" ht="13.8" x14ac:dyDescent="0.25">
      <c r="A1621" s="8"/>
    </row>
    <row r="1622" spans="1:1" ht="13.8" x14ac:dyDescent="0.25">
      <c r="A1622" s="8"/>
    </row>
    <row r="1623" spans="1:1" ht="13.8" x14ac:dyDescent="0.25">
      <c r="A1623" s="8"/>
    </row>
    <row r="1624" spans="1:1" ht="13.8" x14ac:dyDescent="0.25">
      <c r="A1624" s="8"/>
    </row>
    <row r="1625" spans="1:1" ht="13.8" x14ac:dyDescent="0.25">
      <c r="A1625" s="8"/>
    </row>
    <row r="1626" spans="1:1" ht="13.8" x14ac:dyDescent="0.25">
      <c r="A1626" s="8"/>
    </row>
    <row r="1627" spans="1:1" ht="13.8" x14ac:dyDescent="0.25">
      <c r="A1627" s="8"/>
    </row>
    <row r="1628" spans="1:1" ht="13.8" x14ac:dyDescent="0.25">
      <c r="A1628" s="8"/>
    </row>
    <row r="1629" spans="1:1" ht="13.8" x14ac:dyDescent="0.25">
      <c r="A1629" s="8"/>
    </row>
    <row r="1630" spans="1:1" ht="13.8" x14ac:dyDescent="0.25">
      <c r="A1630" s="8"/>
    </row>
    <row r="1631" spans="1:1" ht="13.8" x14ac:dyDescent="0.25">
      <c r="A1631" s="8"/>
    </row>
    <row r="1632" spans="1:1" ht="13.8" x14ac:dyDescent="0.25">
      <c r="A1632" s="8"/>
    </row>
    <row r="1633" spans="1:1" ht="13.8" x14ac:dyDescent="0.25">
      <c r="A1633" s="8"/>
    </row>
    <row r="1634" spans="1:1" ht="13.8" x14ac:dyDescent="0.25">
      <c r="A1634" s="8"/>
    </row>
    <row r="1635" spans="1:1" ht="13.8" x14ac:dyDescent="0.25">
      <c r="A1635" s="8"/>
    </row>
    <row r="1636" spans="1:1" ht="13.8" x14ac:dyDescent="0.25">
      <c r="A1636" s="8"/>
    </row>
    <row r="1637" spans="1:1" ht="13.8" x14ac:dyDescent="0.25">
      <c r="A1637" s="8"/>
    </row>
    <row r="1638" spans="1:1" ht="13.8" x14ac:dyDescent="0.25">
      <c r="A1638" s="8"/>
    </row>
    <row r="1639" spans="1:1" ht="13.8" x14ac:dyDescent="0.25">
      <c r="A1639" s="8"/>
    </row>
    <row r="1640" spans="1:1" ht="13.8" x14ac:dyDescent="0.25">
      <c r="A1640" s="8"/>
    </row>
    <row r="1641" spans="1:1" ht="13.8" x14ac:dyDescent="0.25">
      <c r="A1641" s="8"/>
    </row>
    <row r="1642" spans="1:1" ht="13.8" x14ac:dyDescent="0.25">
      <c r="A1642" s="8"/>
    </row>
    <row r="1643" spans="1:1" ht="13.8" x14ac:dyDescent="0.25">
      <c r="A1643" s="8"/>
    </row>
    <row r="1644" spans="1:1" ht="13.8" x14ac:dyDescent="0.25">
      <c r="A1644" s="8"/>
    </row>
    <row r="1645" spans="1:1" ht="13.8" x14ac:dyDescent="0.25">
      <c r="A1645" s="8"/>
    </row>
    <row r="1646" spans="1:1" ht="13.8" x14ac:dyDescent="0.25">
      <c r="A1646" s="8"/>
    </row>
    <row r="1647" spans="1:1" ht="13.8" x14ac:dyDescent="0.25">
      <c r="A1647" s="8"/>
    </row>
    <row r="1648" spans="1:1" ht="13.8" x14ac:dyDescent="0.25">
      <c r="A1648" s="8"/>
    </row>
    <row r="1649" spans="1:1" ht="13.8" x14ac:dyDescent="0.25">
      <c r="A1649" s="8"/>
    </row>
    <row r="1650" spans="1:1" ht="13.8" x14ac:dyDescent="0.25">
      <c r="A1650" s="8"/>
    </row>
    <row r="1651" spans="1:1" ht="13.8" x14ac:dyDescent="0.25">
      <c r="A1651" s="8"/>
    </row>
    <row r="1652" spans="1:1" ht="13.8" x14ac:dyDescent="0.25">
      <c r="A1652" s="8"/>
    </row>
    <row r="1653" spans="1:1" ht="13.8" x14ac:dyDescent="0.25">
      <c r="A1653" s="8"/>
    </row>
    <row r="1654" spans="1:1" ht="13.8" x14ac:dyDescent="0.25">
      <c r="A1654" s="8"/>
    </row>
    <row r="1655" spans="1:1" ht="13.8" x14ac:dyDescent="0.25">
      <c r="A1655" s="8"/>
    </row>
    <row r="1656" spans="1:1" ht="13.8" x14ac:dyDescent="0.25">
      <c r="A1656" s="8"/>
    </row>
    <row r="1657" spans="1:1" ht="13.8" x14ac:dyDescent="0.25">
      <c r="A1657" s="8"/>
    </row>
    <row r="1658" spans="1:1" ht="13.8" x14ac:dyDescent="0.25">
      <c r="A1658" s="8"/>
    </row>
    <row r="1659" spans="1:1" ht="13.8" x14ac:dyDescent="0.25">
      <c r="A1659" s="8"/>
    </row>
    <row r="1660" spans="1:1" ht="13.8" x14ac:dyDescent="0.25">
      <c r="A1660" s="8"/>
    </row>
    <row r="1661" spans="1:1" ht="13.8" x14ac:dyDescent="0.25">
      <c r="A1661" s="8"/>
    </row>
    <row r="1662" spans="1:1" ht="13.8" x14ac:dyDescent="0.25">
      <c r="A1662" s="8"/>
    </row>
    <row r="1663" spans="1:1" ht="13.8" x14ac:dyDescent="0.25">
      <c r="A1663" s="8"/>
    </row>
    <row r="1664" spans="1:1" ht="13.8" x14ac:dyDescent="0.25">
      <c r="A1664" s="8"/>
    </row>
    <row r="1665" spans="1:1" ht="13.8" x14ac:dyDescent="0.25">
      <c r="A1665" s="8"/>
    </row>
    <row r="1666" spans="1:1" ht="13.8" x14ac:dyDescent="0.25">
      <c r="A1666" s="8"/>
    </row>
    <row r="1667" spans="1:1" ht="13.8" x14ac:dyDescent="0.25">
      <c r="A1667" s="8"/>
    </row>
    <row r="1668" spans="1:1" ht="13.8" x14ac:dyDescent="0.25">
      <c r="A1668" s="8"/>
    </row>
    <row r="1669" spans="1:1" ht="13.8" x14ac:dyDescent="0.25">
      <c r="A1669" s="8"/>
    </row>
    <row r="1670" spans="1:1" ht="13.8" x14ac:dyDescent="0.25">
      <c r="A1670" s="8"/>
    </row>
    <row r="1671" spans="1:1" ht="13.8" x14ac:dyDescent="0.25">
      <c r="A1671" s="8"/>
    </row>
    <row r="1672" spans="1:1" ht="13.8" x14ac:dyDescent="0.25">
      <c r="A1672" s="8"/>
    </row>
    <row r="1673" spans="1:1" ht="13.8" x14ac:dyDescent="0.25">
      <c r="A1673" s="8"/>
    </row>
    <row r="1674" spans="1:1" ht="13.8" x14ac:dyDescent="0.25">
      <c r="A1674" s="8"/>
    </row>
    <row r="1675" spans="1:1" ht="13.8" x14ac:dyDescent="0.25">
      <c r="A1675" s="8"/>
    </row>
    <row r="1676" spans="1:1" ht="13.8" x14ac:dyDescent="0.25">
      <c r="A1676" s="8"/>
    </row>
    <row r="1677" spans="1:1" ht="13.8" x14ac:dyDescent="0.25">
      <c r="A1677" s="8"/>
    </row>
    <row r="1678" spans="1:1" ht="13.8" x14ac:dyDescent="0.25">
      <c r="A1678" s="8"/>
    </row>
    <row r="1679" spans="1:1" ht="13.8" x14ac:dyDescent="0.25">
      <c r="A1679" s="8"/>
    </row>
    <row r="1680" spans="1:1" ht="13.8" x14ac:dyDescent="0.25">
      <c r="A1680" s="8"/>
    </row>
    <row r="1681" spans="1:1" ht="13.8" x14ac:dyDescent="0.25">
      <c r="A1681" s="8"/>
    </row>
    <row r="1682" spans="1:1" ht="13.8" x14ac:dyDescent="0.25">
      <c r="A1682" s="8"/>
    </row>
    <row r="1683" spans="1:1" ht="13.8" x14ac:dyDescent="0.25">
      <c r="A1683" s="8"/>
    </row>
    <row r="1684" spans="1:1" ht="13.8" x14ac:dyDescent="0.25">
      <c r="A1684" s="8"/>
    </row>
    <row r="1685" spans="1:1" ht="13.8" x14ac:dyDescent="0.25">
      <c r="A1685" s="8"/>
    </row>
    <row r="1686" spans="1:1" ht="13.8" x14ac:dyDescent="0.25">
      <c r="A1686" s="8"/>
    </row>
    <row r="1687" spans="1:1" ht="13.8" x14ac:dyDescent="0.25">
      <c r="A1687" s="8"/>
    </row>
    <row r="1688" spans="1:1" ht="13.8" x14ac:dyDescent="0.25">
      <c r="A1688" s="8"/>
    </row>
    <row r="1689" spans="1:1" ht="13.8" x14ac:dyDescent="0.25">
      <c r="A1689" s="8"/>
    </row>
    <row r="1690" spans="1:1" ht="13.8" x14ac:dyDescent="0.25">
      <c r="A1690" s="8"/>
    </row>
    <row r="1691" spans="1:1" ht="13.8" x14ac:dyDescent="0.25">
      <c r="A1691" s="8"/>
    </row>
    <row r="1692" spans="1:1" ht="13.8" x14ac:dyDescent="0.25">
      <c r="A1692" s="8"/>
    </row>
    <row r="1693" spans="1:1" ht="13.8" x14ac:dyDescent="0.25">
      <c r="A1693" s="8"/>
    </row>
    <row r="1694" spans="1:1" ht="13.8" x14ac:dyDescent="0.25">
      <c r="A1694" s="8"/>
    </row>
    <row r="1695" spans="1:1" ht="13.8" x14ac:dyDescent="0.25">
      <c r="A1695" s="8"/>
    </row>
    <row r="1696" spans="1:1" ht="13.8" x14ac:dyDescent="0.25">
      <c r="A1696" s="8"/>
    </row>
    <row r="1697" spans="1:1" ht="13.8" x14ac:dyDescent="0.25">
      <c r="A1697" s="8"/>
    </row>
    <row r="1698" spans="1:1" ht="13.8" x14ac:dyDescent="0.25">
      <c r="A1698" s="8"/>
    </row>
    <row r="1699" spans="1:1" ht="13.8" x14ac:dyDescent="0.25">
      <c r="A1699" s="8"/>
    </row>
    <row r="1700" spans="1:1" ht="13.8" x14ac:dyDescent="0.25">
      <c r="A1700" s="8"/>
    </row>
    <row r="1701" spans="1:1" ht="13.8" x14ac:dyDescent="0.25">
      <c r="A1701" s="8"/>
    </row>
    <row r="1702" spans="1:1" ht="13.8" x14ac:dyDescent="0.25">
      <c r="A1702" s="8"/>
    </row>
    <row r="1703" spans="1:1" ht="13.8" x14ac:dyDescent="0.25">
      <c r="A1703" s="8"/>
    </row>
    <row r="1704" spans="1:1" ht="13.8" x14ac:dyDescent="0.25">
      <c r="A1704" s="8"/>
    </row>
    <row r="1705" spans="1:1" ht="13.8" x14ac:dyDescent="0.25">
      <c r="A1705" s="8"/>
    </row>
    <row r="1706" spans="1:1" ht="13.8" x14ac:dyDescent="0.25">
      <c r="A1706" s="8"/>
    </row>
    <row r="1707" spans="1:1" ht="13.8" x14ac:dyDescent="0.25">
      <c r="A1707" s="8"/>
    </row>
    <row r="1708" spans="1:1" ht="13.8" x14ac:dyDescent="0.25">
      <c r="A1708" s="8"/>
    </row>
    <row r="1709" spans="1:1" ht="13.8" x14ac:dyDescent="0.25">
      <c r="A1709" s="8"/>
    </row>
    <row r="1710" spans="1:1" ht="13.8" x14ac:dyDescent="0.25">
      <c r="A1710" s="8"/>
    </row>
    <row r="1711" spans="1:1" ht="13.8" x14ac:dyDescent="0.25">
      <c r="A1711" s="8"/>
    </row>
    <row r="1712" spans="1:1" ht="13.8" x14ac:dyDescent="0.25">
      <c r="A1712" s="8"/>
    </row>
    <row r="1713" spans="1:1" ht="13.8" x14ac:dyDescent="0.25">
      <c r="A1713" s="8"/>
    </row>
    <row r="1714" spans="1:1" ht="13.8" x14ac:dyDescent="0.25">
      <c r="A1714" s="8"/>
    </row>
    <row r="1715" spans="1:1" ht="13.8" x14ac:dyDescent="0.25">
      <c r="A1715" s="8"/>
    </row>
    <row r="1716" spans="1:1" ht="13.8" x14ac:dyDescent="0.25">
      <c r="A1716" s="8"/>
    </row>
    <row r="1717" spans="1:1" ht="13.8" x14ac:dyDescent="0.25">
      <c r="A1717" s="8"/>
    </row>
    <row r="1718" spans="1:1" ht="13.8" x14ac:dyDescent="0.25">
      <c r="A1718" s="8"/>
    </row>
    <row r="1719" spans="1:1" ht="13.8" x14ac:dyDescent="0.25">
      <c r="A1719" s="8"/>
    </row>
    <row r="1720" spans="1:1" ht="13.8" x14ac:dyDescent="0.25">
      <c r="A1720" s="8"/>
    </row>
    <row r="1721" spans="1:1" ht="13.8" x14ac:dyDescent="0.25">
      <c r="A1721" s="8"/>
    </row>
    <row r="1722" spans="1:1" ht="13.8" x14ac:dyDescent="0.25">
      <c r="A1722" s="8"/>
    </row>
    <row r="1723" spans="1:1" ht="13.8" x14ac:dyDescent="0.25">
      <c r="A1723" s="8"/>
    </row>
    <row r="1724" spans="1:1" ht="13.8" x14ac:dyDescent="0.25">
      <c r="A1724" s="8"/>
    </row>
    <row r="1725" spans="1:1" ht="13.8" x14ac:dyDescent="0.25">
      <c r="A1725" s="8"/>
    </row>
    <row r="1726" spans="1:1" ht="13.8" x14ac:dyDescent="0.25">
      <c r="A1726" s="8"/>
    </row>
    <row r="1727" spans="1:1" ht="13.8" x14ac:dyDescent="0.25">
      <c r="A1727" s="8"/>
    </row>
    <row r="1728" spans="1:1" ht="13.8" x14ac:dyDescent="0.25">
      <c r="A1728" s="8"/>
    </row>
    <row r="1729" spans="1:1" ht="13.8" x14ac:dyDescent="0.25">
      <c r="A1729" s="8"/>
    </row>
    <row r="1730" spans="1:1" ht="13.8" x14ac:dyDescent="0.25">
      <c r="A1730" s="8"/>
    </row>
    <row r="1731" spans="1:1" ht="13.8" x14ac:dyDescent="0.25">
      <c r="A1731" s="8"/>
    </row>
    <row r="1732" spans="1:1" ht="13.8" x14ac:dyDescent="0.25">
      <c r="A1732" s="8"/>
    </row>
    <row r="1733" spans="1:1" ht="13.8" x14ac:dyDescent="0.25">
      <c r="A1733" s="8"/>
    </row>
    <row r="1734" spans="1:1" ht="13.8" x14ac:dyDescent="0.25">
      <c r="A1734" s="8"/>
    </row>
    <row r="1735" spans="1:1" ht="13.8" x14ac:dyDescent="0.25">
      <c r="A1735" s="8"/>
    </row>
    <row r="1736" spans="1:1" ht="13.8" x14ac:dyDescent="0.25">
      <c r="A1736" s="8"/>
    </row>
    <row r="1737" spans="1:1" ht="13.8" x14ac:dyDescent="0.25">
      <c r="A1737" s="8"/>
    </row>
    <row r="1738" spans="1:1" ht="13.8" x14ac:dyDescent="0.25">
      <c r="A1738" s="8"/>
    </row>
    <row r="1739" spans="1:1" ht="13.8" x14ac:dyDescent="0.25">
      <c r="A1739" s="8"/>
    </row>
    <row r="1740" spans="1:1" ht="13.8" x14ac:dyDescent="0.25">
      <c r="A1740" s="8"/>
    </row>
    <row r="1741" spans="1:1" ht="13.8" x14ac:dyDescent="0.25">
      <c r="A1741" s="8"/>
    </row>
    <row r="1742" spans="1:1" ht="13.8" x14ac:dyDescent="0.25">
      <c r="A1742" s="8"/>
    </row>
    <row r="1743" spans="1:1" ht="13.8" x14ac:dyDescent="0.25">
      <c r="A1743" s="8"/>
    </row>
    <row r="1744" spans="1:1" ht="13.8" x14ac:dyDescent="0.25">
      <c r="A1744" s="8"/>
    </row>
    <row r="1745" spans="1:1" ht="13.8" x14ac:dyDescent="0.25">
      <c r="A1745" s="8"/>
    </row>
    <row r="1746" spans="1:1" ht="13.8" x14ac:dyDescent="0.25">
      <c r="A1746" s="8"/>
    </row>
    <row r="1747" spans="1:1" ht="13.8" x14ac:dyDescent="0.25">
      <c r="A1747" s="8"/>
    </row>
    <row r="1748" spans="1:1" ht="13.8" x14ac:dyDescent="0.25">
      <c r="A1748" s="8"/>
    </row>
    <row r="1749" spans="1:1" ht="13.8" x14ac:dyDescent="0.25">
      <c r="A1749" s="8"/>
    </row>
    <row r="1750" spans="1:1" ht="13.8" x14ac:dyDescent="0.25">
      <c r="A1750" s="8"/>
    </row>
    <row r="1751" spans="1:1" ht="13.8" x14ac:dyDescent="0.25">
      <c r="A1751" s="8"/>
    </row>
    <row r="1752" spans="1:1" ht="13.8" x14ac:dyDescent="0.25">
      <c r="A1752" s="8"/>
    </row>
    <row r="1753" spans="1:1" ht="13.8" x14ac:dyDescent="0.25">
      <c r="A1753" s="8"/>
    </row>
    <row r="1754" spans="1:1" ht="13.8" x14ac:dyDescent="0.25">
      <c r="A1754" s="8"/>
    </row>
    <row r="1755" spans="1:1" ht="13.8" x14ac:dyDescent="0.25">
      <c r="A1755" s="8"/>
    </row>
    <row r="1756" spans="1:1" ht="13.8" x14ac:dyDescent="0.25">
      <c r="A1756" s="8"/>
    </row>
    <row r="1757" spans="1:1" ht="13.8" x14ac:dyDescent="0.25">
      <c r="A1757" s="8"/>
    </row>
    <row r="1758" spans="1:1" ht="13.8" x14ac:dyDescent="0.25">
      <c r="A1758" s="8"/>
    </row>
    <row r="1759" spans="1:1" ht="13.8" x14ac:dyDescent="0.25">
      <c r="A1759" s="8"/>
    </row>
    <row r="1760" spans="1:1" ht="13.8" x14ac:dyDescent="0.25">
      <c r="A1760" s="8"/>
    </row>
    <row r="1761" spans="1:1" ht="13.8" x14ac:dyDescent="0.25">
      <c r="A1761" s="8"/>
    </row>
    <row r="1762" spans="1:1" ht="13.8" x14ac:dyDescent="0.25">
      <c r="A1762" s="8"/>
    </row>
    <row r="1763" spans="1:1" ht="13.8" x14ac:dyDescent="0.25">
      <c r="A1763" s="8"/>
    </row>
    <row r="1764" spans="1:1" ht="13.8" x14ac:dyDescent="0.25">
      <c r="A1764" s="8"/>
    </row>
    <row r="1765" spans="1:1" ht="13.8" x14ac:dyDescent="0.25">
      <c r="A1765" s="8"/>
    </row>
    <row r="1766" spans="1:1" ht="13.8" x14ac:dyDescent="0.25">
      <c r="A1766" s="8"/>
    </row>
    <row r="1767" spans="1:1" ht="13.8" x14ac:dyDescent="0.25">
      <c r="A1767" s="8"/>
    </row>
    <row r="1768" spans="1:1" ht="13.8" x14ac:dyDescent="0.25">
      <c r="A1768" s="8"/>
    </row>
    <row r="1769" spans="1:1" ht="13.8" x14ac:dyDescent="0.25">
      <c r="A1769" s="8"/>
    </row>
    <row r="1770" spans="1:1" ht="13.8" x14ac:dyDescent="0.25">
      <c r="A1770" s="8"/>
    </row>
    <row r="1771" spans="1:1" ht="13.8" x14ac:dyDescent="0.25">
      <c r="A1771" s="8"/>
    </row>
    <row r="1772" spans="1:1" ht="13.8" x14ac:dyDescent="0.25">
      <c r="A1772" s="8"/>
    </row>
    <row r="1773" spans="1:1" ht="13.8" x14ac:dyDescent="0.25">
      <c r="A1773" s="8"/>
    </row>
    <row r="1774" spans="1:1" ht="13.8" x14ac:dyDescent="0.25">
      <c r="A1774" s="8"/>
    </row>
    <row r="1775" spans="1:1" ht="13.8" x14ac:dyDescent="0.25">
      <c r="A1775" s="8"/>
    </row>
    <row r="1776" spans="1:1" ht="13.8" x14ac:dyDescent="0.25">
      <c r="A1776" s="8"/>
    </row>
    <row r="1777" spans="1:1" ht="13.8" x14ac:dyDescent="0.25">
      <c r="A1777" s="8"/>
    </row>
    <row r="1778" spans="1:1" ht="13.8" x14ac:dyDescent="0.25">
      <c r="A1778" s="8"/>
    </row>
    <row r="1779" spans="1:1" ht="13.8" x14ac:dyDescent="0.25">
      <c r="A1779" s="8"/>
    </row>
    <row r="1780" spans="1:1" ht="13.8" x14ac:dyDescent="0.25">
      <c r="A1780" s="8"/>
    </row>
    <row r="1781" spans="1:1" ht="13.8" x14ac:dyDescent="0.25">
      <c r="A1781" s="8"/>
    </row>
    <row r="1782" spans="1:1" ht="13.8" x14ac:dyDescent="0.25">
      <c r="A1782" s="8"/>
    </row>
    <row r="1783" spans="1:1" ht="13.8" x14ac:dyDescent="0.25">
      <c r="A1783" s="8"/>
    </row>
    <row r="1784" spans="1:1" ht="13.8" x14ac:dyDescent="0.25">
      <c r="A1784" s="8"/>
    </row>
    <row r="1785" spans="1:1" ht="13.8" x14ac:dyDescent="0.25">
      <c r="A1785" s="8"/>
    </row>
    <row r="1786" spans="1:1" ht="13.8" x14ac:dyDescent="0.25">
      <c r="A1786" s="8"/>
    </row>
    <row r="1787" spans="1:1" ht="13.8" x14ac:dyDescent="0.25">
      <c r="A1787" s="8"/>
    </row>
    <row r="1788" spans="1:1" ht="13.8" x14ac:dyDescent="0.25">
      <c r="A1788" s="8"/>
    </row>
    <row r="1789" spans="1:1" ht="13.8" x14ac:dyDescent="0.25">
      <c r="A1789" s="8"/>
    </row>
    <row r="1790" spans="1:1" ht="13.8" x14ac:dyDescent="0.25">
      <c r="A1790" s="8"/>
    </row>
    <row r="1791" spans="1:1" ht="13.8" x14ac:dyDescent="0.25">
      <c r="A1791" s="8"/>
    </row>
    <row r="1792" spans="1:1" ht="13.8" x14ac:dyDescent="0.25">
      <c r="A1792" s="8"/>
    </row>
    <row r="1793" spans="1:1" ht="13.8" x14ac:dyDescent="0.25">
      <c r="A1793" s="8"/>
    </row>
    <row r="1794" spans="1:1" ht="13.8" x14ac:dyDescent="0.25">
      <c r="A1794" s="8"/>
    </row>
    <row r="1795" spans="1:1" ht="13.8" x14ac:dyDescent="0.25">
      <c r="A1795" s="8"/>
    </row>
    <row r="1796" spans="1:1" ht="13.8" x14ac:dyDescent="0.25">
      <c r="A1796" s="8"/>
    </row>
    <row r="1797" spans="1:1" ht="13.8" x14ac:dyDescent="0.25">
      <c r="A1797" s="8"/>
    </row>
    <row r="1798" spans="1:1" ht="13.8" x14ac:dyDescent="0.25">
      <c r="A1798" s="8"/>
    </row>
    <row r="1799" spans="1:1" ht="13.8" x14ac:dyDescent="0.25">
      <c r="A1799" s="8"/>
    </row>
    <row r="1800" spans="1:1" ht="13.8" x14ac:dyDescent="0.25">
      <c r="A1800" s="8"/>
    </row>
    <row r="1801" spans="1:1" ht="13.8" x14ac:dyDescent="0.25">
      <c r="A1801" s="8"/>
    </row>
    <row r="1802" spans="1:1" ht="13.8" x14ac:dyDescent="0.25">
      <c r="A1802" s="8"/>
    </row>
    <row r="1803" spans="1:1" ht="13.8" x14ac:dyDescent="0.25">
      <c r="A1803" s="8"/>
    </row>
    <row r="1804" spans="1:1" ht="13.8" x14ac:dyDescent="0.25">
      <c r="A1804" s="8"/>
    </row>
    <row r="1805" spans="1:1" ht="13.8" x14ac:dyDescent="0.25">
      <c r="A1805" s="8"/>
    </row>
    <row r="1806" spans="1:1" ht="13.8" x14ac:dyDescent="0.25">
      <c r="A1806" s="8"/>
    </row>
    <row r="1807" spans="1:1" ht="13.8" x14ac:dyDescent="0.25">
      <c r="A1807" s="8"/>
    </row>
    <row r="1808" spans="1:1" ht="13.8" x14ac:dyDescent="0.25">
      <c r="A1808" s="8"/>
    </row>
    <row r="1809" spans="1:1" ht="13.8" x14ac:dyDescent="0.25">
      <c r="A1809" s="8"/>
    </row>
    <row r="1810" spans="1:1" ht="13.8" x14ac:dyDescent="0.25">
      <c r="A1810" s="8"/>
    </row>
    <row r="1811" spans="1:1" ht="13.8" x14ac:dyDescent="0.25">
      <c r="A1811" s="8"/>
    </row>
    <row r="1812" spans="1:1" ht="13.8" x14ac:dyDescent="0.25">
      <c r="A1812" s="8"/>
    </row>
    <row r="1813" spans="1:1" ht="13.8" x14ac:dyDescent="0.25">
      <c r="A1813" s="8"/>
    </row>
    <row r="1814" spans="1:1" ht="13.8" x14ac:dyDescent="0.25">
      <c r="A1814" s="8"/>
    </row>
    <row r="1815" spans="1:1" ht="13.8" x14ac:dyDescent="0.25">
      <c r="A1815" s="8"/>
    </row>
    <row r="1816" spans="1:1" ht="13.8" x14ac:dyDescent="0.25">
      <c r="A1816" s="8"/>
    </row>
    <row r="1817" spans="1:1" ht="13.8" x14ac:dyDescent="0.25">
      <c r="A1817" s="8"/>
    </row>
    <row r="1818" spans="1:1" ht="13.8" x14ac:dyDescent="0.25">
      <c r="A1818" s="8"/>
    </row>
    <row r="1819" spans="1:1" ht="13.8" x14ac:dyDescent="0.25">
      <c r="A1819" s="8"/>
    </row>
    <row r="1820" spans="1:1" ht="13.8" x14ac:dyDescent="0.25">
      <c r="A1820" s="8"/>
    </row>
    <row r="1821" spans="1:1" ht="13.8" x14ac:dyDescent="0.25">
      <c r="A1821" s="8"/>
    </row>
    <row r="1822" spans="1:1" ht="13.8" x14ac:dyDescent="0.25">
      <c r="A1822" s="8"/>
    </row>
    <row r="1823" spans="1:1" ht="13.8" x14ac:dyDescent="0.25">
      <c r="A1823" s="8"/>
    </row>
    <row r="1824" spans="1:1" ht="13.8" x14ac:dyDescent="0.25">
      <c r="A1824" s="8"/>
    </row>
    <row r="1825" spans="1:1" ht="13.8" x14ac:dyDescent="0.25">
      <c r="A1825" s="8"/>
    </row>
    <row r="1826" spans="1:1" ht="13.8" x14ac:dyDescent="0.25">
      <c r="A1826" s="8"/>
    </row>
    <row r="1827" spans="1:1" ht="13.8" x14ac:dyDescent="0.25">
      <c r="A1827" s="8"/>
    </row>
    <row r="1828" spans="1:1" ht="13.8" x14ac:dyDescent="0.25">
      <c r="A1828" s="8"/>
    </row>
    <row r="1829" spans="1:1" ht="13.8" x14ac:dyDescent="0.25">
      <c r="A1829" s="8"/>
    </row>
    <row r="1830" spans="1:1" ht="13.8" x14ac:dyDescent="0.25">
      <c r="A1830" s="8"/>
    </row>
    <row r="1831" spans="1:1" ht="13.8" x14ac:dyDescent="0.25">
      <c r="A1831" s="8"/>
    </row>
    <row r="1832" spans="1:1" ht="13.8" x14ac:dyDescent="0.25">
      <c r="A1832" s="8"/>
    </row>
    <row r="1833" spans="1:1" ht="13.8" x14ac:dyDescent="0.25">
      <c r="A1833" s="8"/>
    </row>
    <row r="1834" spans="1:1" ht="13.8" x14ac:dyDescent="0.25">
      <c r="A1834" s="8"/>
    </row>
    <row r="1835" spans="1:1" ht="13.8" x14ac:dyDescent="0.25">
      <c r="A1835" s="8"/>
    </row>
    <row r="1836" spans="1:1" ht="13.8" x14ac:dyDescent="0.25">
      <c r="A1836" s="8"/>
    </row>
    <row r="1837" spans="1:1" ht="13.8" x14ac:dyDescent="0.25">
      <c r="A1837" s="8"/>
    </row>
    <row r="1838" spans="1:1" ht="13.8" x14ac:dyDescent="0.25">
      <c r="A1838" s="8"/>
    </row>
    <row r="1839" spans="1:1" ht="13.8" x14ac:dyDescent="0.25">
      <c r="A1839" s="8"/>
    </row>
    <row r="1840" spans="1:1" ht="13.8" x14ac:dyDescent="0.25">
      <c r="A1840" s="8"/>
    </row>
    <row r="1841" spans="1:1" ht="13.8" x14ac:dyDescent="0.25">
      <c r="A1841" s="8"/>
    </row>
    <row r="1842" spans="1:1" ht="13.8" x14ac:dyDescent="0.25">
      <c r="A1842" s="8"/>
    </row>
    <row r="1843" spans="1:1" ht="13.8" x14ac:dyDescent="0.25">
      <c r="A1843" s="8"/>
    </row>
    <row r="1844" spans="1:1" ht="13.8" x14ac:dyDescent="0.25">
      <c r="A1844" s="8"/>
    </row>
    <row r="1845" spans="1:1" ht="13.8" x14ac:dyDescent="0.25">
      <c r="A1845" s="8"/>
    </row>
    <row r="1846" spans="1:1" ht="13.8" x14ac:dyDescent="0.25">
      <c r="A1846" s="8"/>
    </row>
    <row r="1847" spans="1:1" ht="13.8" x14ac:dyDescent="0.25">
      <c r="A1847" s="8"/>
    </row>
    <row r="1848" spans="1:1" ht="13.8" x14ac:dyDescent="0.25">
      <c r="A1848" s="8"/>
    </row>
    <row r="1849" spans="1:1" ht="13.8" x14ac:dyDescent="0.25">
      <c r="A1849" s="8"/>
    </row>
    <row r="1850" spans="1:1" ht="13.8" x14ac:dyDescent="0.25">
      <c r="A1850" s="8"/>
    </row>
    <row r="1851" spans="1:1" ht="13.8" x14ac:dyDescent="0.25">
      <c r="A1851" s="8"/>
    </row>
    <row r="1852" spans="1:1" ht="13.8" x14ac:dyDescent="0.25">
      <c r="A1852" s="8"/>
    </row>
    <row r="1853" spans="1:1" ht="13.8" x14ac:dyDescent="0.25">
      <c r="A1853" s="8"/>
    </row>
    <row r="1854" spans="1:1" ht="13.8" x14ac:dyDescent="0.25">
      <c r="A1854" s="8"/>
    </row>
    <row r="1855" spans="1:1" ht="13.8" x14ac:dyDescent="0.25">
      <c r="A1855" s="8"/>
    </row>
    <row r="1856" spans="1:1" ht="13.8" x14ac:dyDescent="0.25">
      <c r="A1856" s="8"/>
    </row>
    <row r="1857" spans="1:1" ht="13.8" x14ac:dyDescent="0.25">
      <c r="A1857" s="8"/>
    </row>
    <row r="1858" spans="1:1" ht="13.8" x14ac:dyDescent="0.25">
      <c r="A1858" s="8"/>
    </row>
    <row r="1859" spans="1:1" ht="13.8" x14ac:dyDescent="0.25">
      <c r="A1859" s="8"/>
    </row>
    <row r="1860" spans="1:1" ht="13.8" x14ac:dyDescent="0.25">
      <c r="A1860" s="8"/>
    </row>
    <row r="1861" spans="1:1" ht="13.8" x14ac:dyDescent="0.25">
      <c r="A1861" s="8"/>
    </row>
    <row r="1862" spans="1:1" ht="13.8" x14ac:dyDescent="0.25">
      <c r="A1862" s="8"/>
    </row>
    <row r="1863" spans="1:1" ht="13.8" x14ac:dyDescent="0.25">
      <c r="A1863" s="8"/>
    </row>
    <row r="1864" spans="1:1" ht="13.8" x14ac:dyDescent="0.25">
      <c r="A1864" s="8"/>
    </row>
    <row r="1865" spans="1:1" ht="13.8" x14ac:dyDescent="0.25">
      <c r="A1865" s="8"/>
    </row>
    <row r="1866" spans="1:1" ht="13.8" x14ac:dyDescent="0.25">
      <c r="A1866" s="8"/>
    </row>
    <row r="1867" spans="1:1" ht="13.8" x14ac:dyDescent="0.25">
      <c r="A1867" s="8"/>
    </row>
    <row r="1868" spans="1:1" ht="13.8" x14ac:dyDescent="0.25">
      <c r="A1868" s="8"/>
    </row>
    <row r="1869" spans="1:1" ht="13.8" x14ac:dyDescent="0.25">
      <c r="A1869" s="8"/>
    </row>
    <row r="1870" spans="1:1" ht="13.8" x14ac:dyDescent="0.25">
      <c r="A1870" s="8"/>
    </row>
    <row r="1871" spans="1:1" ht="13.8" x14ac:dyDescent="0.25">
      <c r="A1871" s="8"/>
    </row>
    <row r="1872" spans="1:1" ht="13.8" x14ac:dyDescent="0.25">
      <c r="A1872" s="8"/>
    </row>
    <row r="1873" spans="1:1" ht="13.8" x14ac:dyDescent="0.25">
      <c r="A1873" s="8"/>
    </row>
    <row r="1874" spans="1:1" ht="13.8" x14ac:dyDescent="0.25">
      <c r="A1874" s="8"/>
    </row>
    <row r="1875" spans="1:1" ht="13.8" x14ac:dyDescent="0.25">
      <c r="A1875" s="8"/>
    </row>
    <row r="1876" spans="1:1" ht="13.8" x14ac:dyDescent="0.25">
      <c r="A1876" s="8"/>
    </row>
    <row r="1877" spans="1:1" ht="13.8" x14ac:dyDescent="0.25">
      <c r="A1877" s="8"/>
    </row>
    <row r="1878" spans="1:1" ht="13.8" x14ac:dyDescent="0.25">
      <c r="A1878" s="8"/>
    </row>
    <row r="1879" spans="1:1" ht="13.8" x14ac:dyDescent="0.25">
      <c r="A1879" s="8"/>
    </row>
    <row r="1880" spans="1:1" ht="13.8" x14ac:dyDescent="0.25">
      <c r="A1880" s="8"/>
    </row>
    <row r="1881" spans="1:1" ht="13.8" x14ac:dyDescent="0.25">
      <c r="A1881" s="8"/>
    </row>
    <row r="1882" spans="1:1" ht="13.8" x14ac:dyDescent="0.25">
      <c r="A1882" s="8"/>
    </row>
    <row r="1883" spans="1:1" ht="13.8" x14ac:dyDescent="0.25">
      <c r="A1883" s="8"/>
    </row>
    <row r="1884" spans="1:1" ht="13.8" x14ac:dyDescent="0.25">
      <c r="A1884" s="8"/>
    </row>
    <row r="1885" spans="1:1" ht="13.8" x14ac:dyDescent="0.25">
      <c r="A1885" s="8"/>
    </row>
    <row r="1886" spans="1:1" ht="13.8" x14ac:dyDescent="0.25">
      <c r="A1886" s="8"/>
    </row>
    <row r="1887" spans="1:1" ht="13.8" x14ac:dyDescent="0.25">
      <c r="A1887" s="8"/>
    </row>
    <row r="1888" spans="1:1" ht="13.8" x14ac:dyDescent="0.25">
      <c r="A1888" s="8"/>
    </row>
    <row r="1889" spans="1:1" ht="13.8" x14ac:dyDescent="0.25">
      <c r="A1889" s="8"/>
    </row>
    <row r="1890" spans="1:1" ht="13.8" x14ac:dyDescent="0.25">
      <c r="A1890" s="8"/>
    </row>
    <row r="1891" spans="1:1" ht="13.8" x14ac:dyDescent="0.25">
      <c r="A1891" s="8"/>
    </row>
    <row r="1892" spans="1:1" ht="13.8" x14ac:dyDescent="0.25">
      <c r="A1892" s="8"/>
    </row>
    <row r="1893" spans="1:1" ht="13.8" x14ac:dyDescent="0.25">
      <c r="A1893" s="8"/>
    </row>
    <row r="1894" spans="1:1" ht="13.8" x14ac:dyDescent="0.25">
      <c r="A1894" s="8"/>
    </row>
    <row r="1895" spans="1:1" ht="13.8" x14ac:dyDescent="0.25">
      <c r="A1895" s="8"/>
    </row>
    <row r="1896" spans="1:1" ht="13.8" x14ac:dyDescent="0.25">
      <c r="A1896" s="8"/>
    </row>
    <row r="1897" spans="1:1" ht="13.8" x14ac:dyDescent="0.25">
      <c r="A1897" s="8"/>
    </row>
    <row r="1898" spans="1:1" ht="13.8" x14ac:dyDescent="0.25">
      <c r="A1898" s="8"/>
    </row>
    <row r="1899" spans="1:1" ht="13.8" x14ac:dyDescent="0.25">
      <c r="A1899" s="8"/>
    </row>
    <row r="1900" spans="1:1" ht="13.8" x14ac:dyDescent="0.25">
      <c r="A1900" s="8"/>
    </row>
    <row r="1901" spans="1:1" ht="13.8" x14ac:dyDescent="0.25">
      <c r="A1901" s="8"/>
    </row>
    <row r="1902" spans="1:1" ht="13.8" x14ac:dyDescent="0.25">
      <c r="A1902" s="8"/>
    </row>
    <row r="1903" spans="1:1" ht="13.8" x14ac:dyDescent="0.25">
      <c r="A1903" s="8"/>
    </row>
    <row r="1904" spans="1:1" ht="13.8" x14ac:dyDescent="0.25">
      <c r="A1904" s="8"/>
    </row>
    <row r="1905" spans="1:1" ht="13.8" x14ac:dyDescent="0.25">
      <c r="A1905" s="8"/>
    </row>
    <row r="1906" spans="1:1" ht="13.8" x14ac:dyDescent="0.25">
      <c r="A1906" s="8"/>
    </row>
    <row r="1907" spans="1:1" ht="13.8" x14ac:dyDescent="0.25">
      <c r="A1907" s="8"/>
    </row>
    <row r="1908" spans="1:1" ht="13.8" x14ac:dyDescent="0.25">
      <c r="A1908" s="8"/>
    </row>
    <row r="1909" spans="1:1" ht="13.8" x14ac:dyDescent="0.25">
      <c r="A1909" s="8"/>
    </row>
    <row r="1910" spans="1:1" ht="13.8" x14ac:dyDescent="0.25">
      <c r="A1910" s="8"/>
    </row>
    <row r="1911" spans="1:1" ht="13.8" x14ac:dyDescent="0.25">
      <c r="A1911" s="8"/>
    </row>
    <row r="1912" spans="1:1" ht="13.8" x14ac:dyDescent="0.25">
      <c r="A1912" s="8"/>
    </row>
    <row r="1913" spans="1:1" ht="13.8" x14ac:dyDescent="0.25">
      <c r="A1913" s="8"/>
    </row>
    <row r="1914" spans="1:1" ht="13.8" x14ac:dyDescent="0.25">
      <c r="A1914" s="8"/>
    </row>
    <row r="1915" spans="1:1" ht="13.8" x14ac:dyDescent="0.25">
      <c r="A1915" s="8"/>
    </row>
    <row r="1916" spans="1:1" ht="13.8" x14ac:dyDescent="0.25">
      <c r="A1916" s="8"/>
    </row>
    <row r="1917" spans="1:1" ht="13.8" x14ac:dyDescent="0.25">
      <c r="A1917" s="8"/>
    </row>
    <row r="1918" spans="1:1" ht="13.8" x14ac:dyDescent="0.25">
      <c r="A1918" s="8"/>
    </row>
    <row r="1919" spans="1:1" ht="13.8" x14ac:dyDescent="0.25">
      <c r="A1919" s="8"/>
    </row>
    <row r="1920" spans="1:1" ht="13.8" x14ac:dyDescent="0.25">
      <c r="A1920" s="8"/>
    </row>
    <row r="1921" spans="1:1" ht="13.8" x14ac:dyDescent="0.25">
      <c r="A1921" s="8"/>
    </row>
    <row r="1922" spans="1:1" ht="13.8" x14ac:dyDescent="0.25">
      <c r="A1922" s="8"/>
    </row>
    <row r="1923" spans="1:1" ht="13.8" x14ac:dyDescent="0.25">
      <c r="A1923" s="8"/>
    </row>
    <row r="1924" spans="1:1" ht="13.8" x14ac:dyDescent="0.25">
      <c r="A1924" s="8"/>
    </row>
    <row r="1925" spans="1:1" ht="13.8" x14ac:dyDescent="0.25">
      <c r="A1925" s="8"/>
    </row>
    <row r="1926" spans="1:1" ht="13.8" x14ac:dyDescent="0.25">
      <c r="A1926" s="8"/>
    </row>
    <row r="1927" spans="1:1" ht="13.8" x14ac:dyDescent="0.25">
      <c r="A1927" s="8"/>
    </row>
    <row r="1928" spans="1:1" ht="13.8" x14ac:dyDescent="0.25">
      <c r="A1928" s="8"/>
    </row>
    <row r="1929" spans="1:1" ht="13.8" x14ac:dyDescent="0.25">
      <c r="A1929" s="8"/>
    </row>
    <row r="1930" spans="1:1" ht="13.8" x14ac:dyDescent="0.25">
      <c r="A1930" s="8"/>
    </row>
    <row r="1931" spans="1:1" ht="13.8" x14ac:dyDescent="0.25">
      <c r="A1931" s="8"/>
    </row>
    <row r="1932" spans="1:1" ht="13.8" x14ac:dyDescent="0.25">
      <c r="A1932" s="8"/>
    </row>
    <row r="1933" spans="1:1" ht="13.8" x14ac:dyDescent="0.25">
      <c r="A1933" s="8"/>
    </row>
    <row r="1934" spans="1:1" ht="13.8" x14ac:dyDescent="0.25">
      <c r="A1934" s="8"/>
    </row>
    <row r="1935" spans="1:1" ht="13.8" x14ac:dyDescent="0.25">
      <c r="A1935" s="8"/>
    </row>
    <row r="1936" spans="1:1" ht="13.8" x14ac:dyDescent="0.25">
      <c r="A1936" s="8"/>
    </row>
    <row r="1937" spans="1:1" ht="13.8" x14ac:dyDescent="0.25">
      <c r="A1937" s="8"/>
    </row>
    <row r="1938" spans="1:1" ht="13.8" x14ac:dyDescent="0.25">
      <c r="A1938" s="8"/>
    </row>
    <row r="1939" spans="1:1" ht="13.8" x14ac:dyDescent="0.25">
      <c r="A1939" s="8"/>
    </row>
    <row r="1940" spans="1:1" ht="13.8" x14ac:dyDescent="0.25">
      <c r="A1940" s="8"/>
    </row>
    <row r="1941" spans="1:1" ht="13.8" x14ac:dyDescent="0.25">
      <c r="A1941" s="8"/>
    </row>
    <row r="1942" spans="1:1" ht="13.8" x14ac:dyDescent="0.25">
      <c r="A1942" s="8"/>
    </row>
    <row r="1943" spans="1:1" ht="13.8" x14ac:dyDescent="0.25">
      <c r="A1943" s="8"/>
    </row>
    <row r="1944" spans="1:1" ht="13.8" x14ac:dyDescent="0.25">
      <c r="A1944" s="8"/>
    </row>
    <row r="1945" spans="1:1" ht="13.8" x14ac:dyDescent="0.25">
      <c r="A1945" s="8"/>
    </row>
    <row r="1946" spans="1:1" ht="13.8" x14ac:dyDescent="0.25">
      <c r="A1946" s="8"/>
    </row>
    <row r="1947" spans="1:1" ht="13.8" x14ac:dyDescent="0.25">
      <c r="A1947" s="8"/>
    </row>
    <row r="1948" spans="1:1" ht="13.8" x14ac:dyDescent="0.25">
      <c r="A1948" s="8"/>
    </row>
    <row r="1949" spans="1:1" ht="13.8" x14ac:dyDescent="0.25">
      <c r="A1949" s="8"/>
    </row>
    <row r="1950" spans="1:1" ht="13.8" x14ac:dyDescent="0.25">
      <c r="A1950" s="8"/>
    </row>
    <row r="1951" spans="1:1" ht="13.8" x14ac:dyDescent="0.25">
      <c r="A1951" s="8"/>
    </row>
    <row r="1952" spans="1:1" ht="13.8" x14ac:dyDescent="0.25">
      <c r="A1952" s="8"/>
    </row>
    <row r="1953" spans="1:1" ht="13.8" x14ac:dyDescent="0.25">
      <c r="A1953" s="8"/>
    </row>
    <row r="1954" spans="1:1" ht="13.8" x14ac:dyDescent="0.25">
      <c r="A1954" s="8"/>
    </row>
    <row r="1955" spans="1:1" ht="13.8" x14ac:dyDescent="0.25">
      <c r="A1955" s="8"/>
    </row>
    <row r="1956" spans="1:1" ht="13.8" x14ac:dyDescent="0.25">
      <c r="A1956" s="8"/>
    </row>
    <row r="1957" spans="1:1" ht="13.8" x14ac:dyDescent="0.25">
      <c r="A1957" s="8"/>
    </row>
    <row r="1958" spans="1:1" ht="13.8" x14ac:dyDescent="0.25">
      <c r="A1958" s="8"/>
    </row>
    <row r="1959" spans="1:1" ht="13.8" x14ac:dyDescent="0.25">
      <c r="A1959" s="8"/>
    </row>
    <row r="1960" spans="1:1" ht="13.8" x14ac:dyDescent="0.25">
      <c r="A1960" s="8"/>
    </row>
    <row r="1961" spans="1:1" ht="13.8" x14ac:dyDescent="0.25">
      <c r="A1961" s="8"/>
    </row>
    <row r="1962" spans="1:1" ht="13.8" x14ac:dyDescent="0.25">
      <c r="A1962" s="8"/>
    </row>
    <row r="1963" spans="1:1" ht="13.8" x14ac:dyDescent="0.25">
      <c r="A1963" s="8"/>
    </row>
    <row r="1964" spans="1:1" ht="13.8" x14ac:dyDescent="0.25">
      <c r="A1964" s="8"/>
    </row>
    <row r="1965" spans="1:1" ht="13.8" x14ac:dyDescent="0.25">
      <c r="A1965" s="8"/>
    </row>
    <row r="1966" spans="1:1" ht="13.8" x14ac:dyDescent="0.25">
      <c r="A1966" s="8"/>
    </row>
    <row r="1967" spans="1:1" ht="13.8" x14ac:dyDescent="0.25">
      <c r="A1967" s="8"/>
    </row>
    <row r="1968" spans="1:1" ht="13.8" x14ac:dyDescent="0.25">
      <c r="A1968" s="8"/>
    </row>
    <row r="1969" spans="1:1" ht="13.8" x14ac:dyDescent="0.25">
      <c r="A1969" s="8"/>
    </row>
    <row r="1970" spans="1:1" ht="13.8" x14ac:dyDescent="0.25">
      <c r="A1970" s="8"/>
    </row>
    <row r="1971" spans="1:1" ht="13.8" x14ac:dyDescent="0.25">
      <c r="A1971" s="8"/>
    </row>
    <row r="1972" spans="1:1" ht="13.8" x14ac:dyDescent="0.25">
      <c r="A1972" s="8"/>
    </row>
    <row r="1973" spans="1:1" ht="13.8" x14ac:dyDescent="0.25">
      <c r="A1973" s="8"/>
    </row>
    <row r="1974" spans="1:1" ht="13.8" x14ac:dyDescent="0.25">
      <c r="A1974" s="8"/>
    </row>
    <row r="1975" spans="1:1" ht="13.8" x14ac:dyDescent="0.25">
      <c r="A1975" s="8"/>
    </row>
    <row r="1976" spans="1:1" ht="13.8" x14ac:dyDescent="0.25">
      <c r="A1976" s="8"/>
    </row>
    <row r="1977" spans="1:1" ht="13.8" x14ac:dyDescent="0.25">
      <c r="A1977" s="8"/>
    </row>
    <row r="1978" spans="1:1" ht="13.8" x14ac:dyDescent="0.25">
      <c r="A1978" s="8"/>
    </row>
    <row r="1979" spans="1:1" ht="13.8" x14ac:dyDescent="0.25">
      <c r="A1979" s="8"/>
    </row>
    <row r="1980" spans="1:1" ht="13.8" x14ac:dyDescent="0.25">
      <c r="A1980" s="8"/>
    </row>
    <row r="1981" spans="1:1" ht="13.8" x14ac:dyDescent="0.25">
      <c r="A1981" s="8"/>
    </row>
    <row r="1982" spans="1:1" ht="13.8" x14ac:dyDescent="0.25">
      <c r="A1982" s="8"/>
    </row>
    <row r="1983" spans="1:1" ht="13.8" x14ac:dyDescent="0.25">
      <c r="A1983" s="8"/>
    </row>
    <row r="1984" spans="1:1" ht="13.8" x14ac:dyDescent="0.25">
      <c r="A1984" s="8"/>
    </row>
    <row r="1985" spans="1:1" ht="13.8" x14ac:dyDescent="0.25">
      <c r="A1985" s="8"/>
    </row>
    <row r="1986" spans="1:1" ht="13.8" x14ac:dyDescent="0.25">
      <c r="A1986" s="8"/>
    </row>
    <row r="1987" spans="1:1" ht="13.8" x14ac:dyDescent="0.25">
      <c r="A1987" s="8"/>
    </row>
    <row r="1988" spans="1:1" ht="13.8" x14ac:dyDescent="0.25">
      <c r="A1988" s="8"/>
    </row>
    <row r="1989" spans="1:1" ht="13.8" x14ac:dyDescent="0.25">
      <c r="A1989" s="8"/>
    </row>
    <row r="1990" spans="1:1" ht="13.8" x14ac:dyDescent="0.25">
      <c r="A1990" s="8"/>
    </row>
    <row r="1991" spans="1:1" ht="13.8" x14ac:dyDescent="0.25">
      <c r="A1991" s="8"/>
    </row>
    <row r="1992" spans="1:1" ht="13.8" x14ac:dyDescent="0.25">
      <c r="A1992" s="8"/>
    </row>
    <row r="1993" spans="1:1" ht="13.8" x14ac:dyDescent="0.25">
      <c r="A1993" s="8"/>
    </row>
    <row r="1994" spans="1:1" ht="13.8" x14ac:dyDescent="0.25">
      <c r="A1994" s="8"/>
    </row>
    <row r="1995" spans="1:1" ht="13.8" x14ac:dyDescent="0.25">
      <c r="A1995" s="8"/>
    </row>
    <row r="1996" spans="1:1" ht="13.8" x14ac:dyDescent="0.25">
      <c r="A1996" s="8"/>
    </row>
    <row r="1997" spans="1:1" ht="13.8" x14ac:dyDescent="0.25">
      <c r="A1997" s="8"/>
    </row>
    <row r="1998" spans="1:1" ht="13.8" x14ac:dyDescent="0.25">
      <c r="A1998" s="8"/>
    </row>
    <row r="1999" spans="1:1" ht="13.8" x14ac:dyDescent="0.25">
      <c r="A1999" s="8"/>
    </row>
    <row r="2000" spans="1:1" ht="13.8" x14ac:dyDescent="0.25">
      <c r="A2000" s="8"/>
    </row>
    <row r="2001" spans="1:1" ht="13.8" x14ac:dyDescent="0.25">
      <c r="A2001" s="8"/>
    </row>
    <row r="2002" spans="1:1" ht="13.8" x14ac:dyDescent="0.25">
      <c r="A2002" s="8"/>
    </row>
    <row r="2003" spans="1:1" ht="13.8" x14ac:dyDescent="0.25">
      <c r="A2003" s="8"/>
    </row>
    <row r="2004" spans="1:1" ht="13.8" x14ac:dyDescent="0.25">
      <c r="A2004" s="8"/>
    </row>
    <row r="2005" spans="1:1" ht="13.8" x14ac:dyDescent="0.25">
      <c r="A2005" s="8"/>
    </row>
    <row r="2006" spans="1:1" ht="13.8" x14ac:dyDescent="0.25">
      <c r="A2006" s="8"/>
    </row>
    <row r="2007" spans="1:1" ht="13.8" x14ac:dyDescent="0.25">
      <c r="A2007" s="8"/>
    </row>
    <row r="2008" spans="1:1" ht="13.8" x14ac:dyDescent="0.25">
      <c r="A2008" s="8"/>
    </row>
    <row r="2009" spans="1:1" ht="13.8" x14ac:dyDescent="0.25">
      <c r="A2009" s="8"/>
    </row>
    <row r="2010" spans="1:1" ht="13.8" x14ac:dyDescent="0.25">
      <c r="A2010" s="8"/>
    </row>
    <row r="2011" spans="1:1" ht="13.8" x14ac:dyDescent="0.25">
      <c r="A2011" s="8"/>
    </row>
    <row r="2012" spans="1:1" ht="13.8" x14ac:dyDescent="0.25">
      <c r="A2012" s="8"/>
    </row>
    <row r="2013" spans="1:1" ht="13.8" x14ac:dyDescent="0.25">
      <c r="A2013" s="8"/>
    </row>
    <row r="2014" spans="1:1" ht="13.8" x14ac:dyDescent="0.25">
      <c r="A2014" s="8"/>
    </row>
    <row r="2015" spans="1:1" ht="13.8" x14ac:dyDescent="0.25">
      <c r="A2015" s="8"/>
    </row>
    <row r="2016" spans="1:1" ht="13.8" x14ac:dyDescent="0.25">
      <c r="A2016" s="8"/>
    </row>
    <row r="2017" spans="1:1" ht="13.8" x14ac:dyDescent="0.25">
      <c r="A2017" s="8"/>
    </row>
    <row r="2018" spans="1:1" ht="13.8" x14ac:dyDescent="0.25">
      <c r="A2018" s="8"/>
    </row>
    <row r="2019" spans="1:1" ht="13.8" x14ac:dyDescent="0.25">
      <c r="A2019" s="8"/>
    </row>
    <row r="2020" spans="1:1" ht="13.8" x14ac:dyDescent="0.25">
      <c r="A2020" s="8"/>
    </row>
    <row r="2021" spans="1:1" ht="13.8" x14ac:dyDescent="0.25">
      <c r="A2021" s="8"/>
    </row>
    <row r="2022" spans="1:1" ht="13.8" x14ac:dyDescent="0.25">
      <c r="A2022" s="8"/>
    </row>
    <row r="2023" spans="1:1" ht="13.8" x14ac:dyDescent="0.25">
      <c r="A2023" s="8"/>
    </row>
    <row r="2024" spans="1:1" ht="13.8" x14ac:dyDescent="0.25">
      <c r="A2024" s="8"/>
    </row>
    <row r="2025" spans="1:1" ht="13.8" x14ac:dyDescent="0.25">
      <c r="A2025" s="8"/>
    </row>
    <row r="2026" spans="1:1" ht="13.8" x14ac:dyDescent="0.25">
      <c r="A2026" s="8"/>
    </row>
    <row r="2027" spans="1:1" ht="13.8" x14ac:dyDescent="0.25">
      <c r="A2027" s="8"/>
    </row>
    <row r="2028" spans="1:1" ht="13.8" x14ac:dyDescent="0.25">
      <c r="A2028" s="8"/>
    </row>
    <row r="2029" spans="1:1" ht="13.8" x14ac:dyDescent="0.25">
      <c r="A2029" s="8"/>
    </row>
    <row r="2030" spans="1:1" ht="13.8" x14ac:dyDescent="0.25">
      <c r="A2030" s="8"/>
    </row>
    <row r="2031" spans="1:1" ht="13.8" x14ac:dyDescent="0.25">
      <c r="A2031" s="8"/>
    </row>
    <row r="2032" spans="1:1" ht="13.8" x14ac:dyDescent="0.25">
      <c r="A2032" s="8"/>
    </row>
    <row r="2033" spans="1:1" ht="13.8" x14ac:dyDescent="0.25">
      <c r="A2033" s="8"/>
    </row>
    <row r="2034" spans="1:1" ht="13.8" x14ac:dyDescent="0.25">
      <c r="A2034" s="8"/>
    </row>
    <row r="2035" spans="1:1" ht="13.8" x14ac:dyDescent="0.25">
      <c r="A2035" s="8"/>
    </row>
    <row r="2036" spans="1:1" ht="13.8" x14ac:dyDescent="0.25">
      <c r="A2036" s="8"/>
    </row>
    <row r="2037" spans="1:1" ht="13.8" x14ac:dyDescent="0.25">
      <c r="A2037" s="8"/>
    </row>
    <row r="2038" spans="1:1" ht="13.8" x14ac:dyDescent="0.25">
      <c r="A2038" s="8"/>
    </row>
    <row r="2039" spans="1:1" ht="13.8" x14ac:dyDescent="0.25">
      <c r="A2039" s="8"/>
    </row>
    <row r="2040" spans="1:1" ht="13.8" x14ac:dyDescent="0.25">
      <c r="A2040" s="8"/>
    </row>
    <row r="2041" spans="1:1" ht="13.8" x14ac:dyDescent="0.25">
      <c r="A2041" s="8"/>
    </row>
    <row r="2042" spans="1:1" ht="13.8" x14ac:dyDescent="0.25">
      <c r="A2042" s="8"/>
    </row>
    <row r="2043" spans="1:1" ht="13.8" x14ac:dyDescent="0.25">
      <c r="A2043" s="8"/>
    </row>
    <row r="2044" spans="1:1" ht="13.8" x14ac:dyDescent="0.25">
      <c r="A2044" s="8"/>
    </row>
    <row r="2045" spans="1:1" ht="13.8" x14ac:dyDescent="0.25">
      <c r="A2045" s="8"/>
    </row>
    <row r="2046" spans="1:1" ht="13.8" x14ac:dyDescent="0.25">
      <c r="A2046" s="8"/>
    </row>
    <row r="2047" spans="1:1" ht="13.8" x14ac:dyDescent="0.25">
      <c r="A2047" s="8"/>
    </row>
    <row r="2048" spans="1:1" ht="13.8" x14ac:dyDescent="0.25">
      <c r="A2048" s="8"/>
    </row>
    <row r="2049" spans="1:1" ht="13.8" x14ac:dyDescent="0.25">
      <c r="A2049" s="8"/>
    </row>
    <row r="2050" spans="1:1" ht="13.8" x14ac:dyDescent="0.25">
      <c r="A2050" s="8"/>
    </row>
    <row r="2051" spans="1:1" ht="13.8" x14ac:dyDescent="0.25">
      <c r="A2051" s="8"/>
    </row>
    <row r="2052" spans="1:1" ht="13.8" x14ac:dyDescent="0.25">
      <c r="A2052" s="8"/>
    </row>
    <row r="2053" spans="1:1" ht="13.8" x14ac:dyDescent="0.25">
      <c r="A2053" s="8"/>
    </row>
    <row r="2054" spans="1:1" ht="13.8" x14ac:dyDescent="0.25">
      <c r="A2054" s="8"/>
    </row>
    <row r="2055" spans="1:1" ht="13.8" x14ac:dyDescent="0.25">
      <c r="A2055" s="8"/>
    </row>
    <row r="2056" spans="1:1" ht="13.8" x14ac:dyDescent="0.25">
      <c r="A2056" s="8"/>
    </row>
    <row r="2057" spans="1:1" ht="13.8" x14ac:dyDescent="0.25">
      <c r="A2057" s="8"/>
    </row>
    <row r="2058" spans="1:1" ht="13.8" x14ac:dyDescent="0.25">
      <c r="A2058" s="8"/>
    </row>
    <row r="2059" spans="1:1" ht="13.8" x14ac:dyDescent="0.25">
      <c r="A2059" s="8"/>
    </row>
    <row r="2060" spans="1:1" ht="13.8" x14ac:dyDescent="0.25">
      <c r="A2060" s="8"/>
    </row>
    <row r="2061" spans="1:1" ht="13.8" x14ac:dyDescent="0.25">
      <c r="A2061" s="8"/>
    </row>
    <row r="2062" spans="1:1" ht="13.8" x14ac:dyDescent="0.25">
      <c r="A2062" s="8"/>
    </row>
    <row r="2063" spans="1:1" ht="13.8" x14ac:dyDescent="0.25">
      <c r="A2063" s="8"/>
    </row>
    <row r="2064" spans="1:1" ht="13.8" x14ac:dyDescent="0.25">
      <c r="A2064" s="8"/>
    </row>
    <row r="2065" spans="1:1" ht="13.8" x14ac:dyDescent="0.25">
      <c r="A2065" s="8"/>
    </row>
    <row r="2066" spans="1:1" ht="13.8" x14ac:dyDescent="0.25">
      <c r="A2066" s="8"/>
    </row>
    <row r="2067" spans="1:1" ht="13.8" x14ac:dyDescent="0.25">
      <c r="A2067" s="8"/>
    </row>
    <row r="2068" spans="1:1" ht="13.8" x14ac:dyDescent="0.25">
      <c r="A2068" s="8"/>
    </row>
    <row r="2069" spans="1:1" ht="13.8" x14ac:dyDescent="0.25">
      <c r="A2069" s="8"/>
    </row>
    <row r="2070" spans="1:1" ht="13.8" x14ac:dyDescent="0.25">
      <c r="A2070" s="8"/>
    </row>
    <row r="2071" spans="1:1" ht="13.8" x14ac:dyDescent="0.25">
      <c r="A2071" s="8"/>
    </row>
    <row r="2072" spans="1:1" ht="13.8" x14ac:dyDescent="0.25">
      <c r="A2072" s="8"/>
    </row>
    <row r="2073" spans="1:1" ht="13.8" x14ac:dyDescent="0.25">
      <c r="A2073" s="8"/>
    </row>
    <row r="2074" spans="1:1" ht="13.8" x14ac:dyDescent="0.25">
      <c r="A2074" s="8"/>
    </row>
    <row r="2075" spans="1:1" ht="13.8" x14ac:dyDescent="0.25">
      <c r="A2075" s="8"/>
    </row>
    <row r="2076" spans="1:1" ht="13.8" x14ac:dyDescent="0.25">
      <c r="A2076" s="8"/>
    </row>
    <row r="2077" spans="1:1" ht="13.8" x14ac:dyDescent="0.25">
      <c r="A2077" s="8"/>
    </row>
    <row r="2078" spans="1:1" ht="13.8" x14ac:dyDescent="0.25">
      <c r="A2078" s="8"/>
    </row>
    <row r="2079" spans="1:1" ht="13.8" x14ac:dyDescent="0.25">
      <c r="A2079" s="8"/>
    </row>
    <row r="2080" spans="1:1" ht="13.8" x14ac:dyDescent="0.25">
      <c r="A2080" s="8"/>
    </row>
    <row r="2081" spans="1:1" ht="13.8" x14ac:dyDescent="0.25">
      <c r="A2081" s="8"/>
    </row>
    <row r="2082" spans="1:1" ht="13.8" x14ac:dyDescent="0.25">
      <c r="A2082" s="8"/>
    </row>
    <row r="2083" spans="1:1" ht="13.8" x14ac:dyDescent="0.25">
      <c r="A2083" s="8"/>
    </row>
    <row r="2084" spans="1:1" ht="13.8" x14ac:dyDescent="0.25">
      <c r="A2084" s="8"/>
    </row>
    <row r="2085" spans="1:1" ht="13.8" x14ac:dyDescent="0.25">
      <c r="A2085" s="8"/>
    </row>
    <row r="2086" spans="1:1" ht="13.8" x14ac:dyDescent="0.25">
      <c r="A2086" s="8"/>
    </row>
    <row r="2087" spans="1:1" ht="13.8" x14ac:dyDescent="0.25">
      <c r="A2087" s="8"/>
    </row>
    <row r="2088" spans="1:1" ht="13.8" x14ac:dyDescent="0.25">
      <c r="A2088" s="8"/>
    </row>
    <row r="2089" spans="1:1" ht="13.8" x14ac:dyDescent="0.25">
      <c r="A2089" s="8"/>
    </row>
    <row r="2090" spans="1:1" ht="13.8" x14ac:dyDescent="0.25">
      <c r="A2090" s="8"/>
    </row>
    <row r="2091" spans="1:1" ht="13.8" x14ac:dyDescent="0.25">
      <c r="A2091" s="8"/>
    </row>
    <row r="2092" spans="1:1" ht="13.8" x14ac:dyDescent="0.25">
      <c r="A2092" s="8"/>
    </row>
    <row r="2093" spans="1:1" ht="13.8" x14ac:dyDescent="0.25">
      <c r="A2093" s="8"/>
    </row>
    <row r="2094" spans="1:1" ht="13.8" x14ac:dyDescent="0.25">
      <c r="A2094" s="8"/>
    </row>
    <row r="2095" spans="1:1" ht="13.8" x14ac:dyDescent="0.25">
      <c r="A2095" s="8"/>
    </row>
    <row r="2096" spans="1:1" ht="13.8" x14ac:dyDescent="0.25">
      <c r="A2096" s="8"/>
    </row>
    <row r="2097" spans="1:1" ht="13.8" x14ac:dyDescent="0.25">
      <c r="A2097" s="8"/>
    </row>
    <row r="2098" spans="1:1" ht="13.8" x14ac:dyDescent="0.25">
      <c r="A2098" s="8"/>
    </row>
    <row r="2099" spans="1:1" ht="13.8" x14ac:dyDescent="0.25">
      <c r="A2099" s="8"/>
    </row>
    <row r="2100" spans="1:1" ht="13.8" x14ac:dyDescent="0.25">
      <c r="A2100" s="8"/>
    </row>
    <row r="2101" spans="1:1" ht="13.8" x14ac:dyDescent="0.25">
      <c r="A2101" s="8"/>
    </row>
    <row r="2102" spans="1:1" ht="13.8" x14ac:dyDescent="0.25">
      <c r="A2102" s="8"/>
    </row>
    <row r="2103" spans="1:1" ht="13.8" x14ac:dyDescent="0.25">
      <c r="A2103" s="8"/>
    </row>
    <row r="2104" spans="1:1" ht="13.8" x14ac:dyDescent="0.25">
      <c r="A2104" s="8"/>
    </row>
    <row r="2105" spans="1:1" ht="13.8" x14ac:dyDescent="0.25">
      <c r="A2105" s="8"/>
    </row>
    <row r="2106" spans="1:1" ht="13.8" x14ac:dyDescent="0.25">
      <c r="A2106" s="8"/>
    </row>
    <row r="2107" spans="1:1" ht="13.8" x14ac:dyDescent="0.25">
      <c r="A2107" s="8"/>
    </row>
    <row r="2108" spans="1:1" ht="13.8" x14ac:dyDescent="0.25">
      <c r="A2108" s="8"/>
    </row>
    <row r="2109" spans="1:1" ht="13.8" x14ac:dyDescent="0.25">
      <c r="A2109" s="8"/>
    </row>
    <row r="2110" spans="1:1" ht="13.8" x14ac:dyDescent="0.25">
      <c r="A2110" s="8"/>
    </row>
    <row r="2111" spans="1:1" ht="13.8" x14ac:dyDescent="0.25">
      <c r="A2111" s="8"/>
    </row>
    <row r="2112" spans="1:1" ht="13.8" x14ac:dyDescent="0.25">
      <c r="A2112" s="8"/>
    </row>
    <row r="2113" spans="1:1" ht="13.8" x14ac:dyDescent="0.25">
      <c r="A2113" s="8"/>
    </row>
    <row r="2114" spans="1:1" ht="13.8" x14ac:dyDescent="0.25">
      <c r="A2114" s="8"/>
    </row>
    <row r="2115" spans="1:1" ht="13.8" x14ac:dyDescent="0.25">
      <c r="A2115" s="8"/>
    </row>
    <row r="2116" spans="1:1" ht="13.8" x14ac:dyDescent="0.25">
      <c r="A2116" s="8"/>
    </row>
    <row r="2117" spans="1:1" ht="13.8" x14ac:dyDescent="0.25">
      <c r="A2117" s="8"/>
    </row>
    <row r="2118" spans="1:1" ht="13.8" x14ac:dyDescent="0.25">
      <c r="A2118" s="8"/>
    </row>
    <row r="2119" spans="1:1" ht="13.8" x14ac:dyDescent="0.25">
      <c r="A2119" s="8"/>
    </row>
    <row r="2120" spans="1:1" ht="13.8" x14ac:dyDescent="0.25">
      <c r="A2120" s="8"/>
    </row>
    <row r="2121" spans="1:1" ht="13.8" x14ac:dyDescent="0.25">
      <c r="A2121" s="8"/>
    </row>
    <row r="2122" spans="1:1" ht="13.8" x14ac:dyDescent="0.25">
      <c r="A2122" s="8"/>
    </row>
    <row r="2123" spans="1:1" ht="13.8" x14ac:dyDescent="0.25">
      <c r="A2123" s="8"/>
    </row>
    <row r="2124" spans="1:1" ht="13.8" x14ac:dyDescent="0.25">
      <c r="A2124" s="8"/>
    </row>
    <row r="2125" spans="1:1" ht="13.8" x14ac:dyDescent="0.25">
      <c r="A2125" s="8"/>
    </row>
    <row r="2126" spans="1:1" ht="13.8" x14ac:dyDescent="0.25">
      <c r="A2126" s="8"/>
    </row>
    <row r="2127" spans="1:1" ht="13.8" x14ac:dyDescent="0.25">
      <c r="A2127" s="8"/>
    </row>
    <row r="2128" spans="1:1" ht="13.8" x14ac:dyDescent="0.25">
      <c r="A2128" s="8"/>
    </row>
    <row r="2129" spans="1:1" ht="13.8" x14ac:dyDescent="0.25">
      <c r="A2129" s="8"/>
    </row>
    <row r="2130" spans="1:1" ht="13.8" x14ac:dyDescent="0.25">
      <c r="A2130" s="8"/>
    </row>
    <row r="2131" spans="1:1" ht="13.8" x14ac:dyDescent="0.25">
      <c r="A2131" s="8"/>
    </row>
    <row r="2132" spans="1:1" ht="13.8" x14ac:dyDescent="0.25">
      <c r="A2132" s="8"/>
    </row>
    <row r="2133" spans="1:1" ht="13.8" x14ac:dyDescent="0.25">
      <c r="A2133" s="8"/>
    </row>
    <row r="2134" spans="1:1" ht="13.8" x14ac:dyDescent="0.25">
      <c r="A2134" s="8"/>
    </row>
    <row r="2135" spans="1:1" ht="13.8" x14ac:dyDescent="0.25">
      <c r="A2135" s="8"/>
    </row>
    <row r="2136" spans="1:1" ht="13.8" x14ac:dyDescent="0.25">
      <c r="A2136" s="8"/>
    </row>
    <row r="2137" spans="1:1" ht="13.8" x14ac:dyDescent="0.25">
      <c r="A2137" s="8"/>
    </row>
    <row r="2138" spans="1:1" ht="13.8" x14ac:dyDescent="0.25">
      <c r="A2138" s="8"/>
    </row>
    <row r="2139" spans="1:1" ht="13.8" x14ac:dyDescent="0.25">
      <c r="A2139" s="8"/>
    </row>
    <row r="2140" spans="1:1" ht="13.8" x14ac:dyDescent="0.25">
      <c r="A2140" s="8"/>
    </row>
    <row r="2141" spans="1:1" ht="13.8" x14ac:dyDescent="0.25">
      <c r="A2141" s="8"/>
    </row>
    <row r="2142" spans="1:1" ht="13.8" x14ac:dyDescent="0.25">
      <c r="A2142" s="8"/>
    </row>
    <row r="2143" spans="1:1" ht="13.8" x14ac:dyDescent="0.25">
      <c r="A2143" s="8"/>
    </row>
    <row r="2144" spans="1:1" ht="13.8" x14ac:dyDescent="0.25">
      <c r="A2144" s="8"/>
    </row>
    <row r="2145" spans="1:1" ht="13.8" x14ac:dyDescent="0.25">
      <c r="A2145" s="8"/>
    </row>
    <row r="2146" spans="1:1" ht="13.8" x14ac:dyDescent="0.25">
      <c r="A2146" s="8"/>
    </row>
    <row r="2147" spans="1:1" ht="13.8" x14ac:dyDescent="0.25">
      <c r="A2147" s="8"/>
    </row>
    <row r="2148" spans="1:1" ht="13.8" x14ac:dyDescent="0.25">
      <c r="A2148" s="8"/>
    </row>
    <row r="2149" spans="1:1" ht="13.8" x14ac:dyDescent="0.25">
      <c r="A2149" s="8"/>
    </row>
    <row r="2150" spans="1:1" ht="13.8" x14ac:dyDescent="0.25">
      <c r="A2150" s="8"/>
    </row>
    <row r="2151" spans="1:1" ht="13.8" x14ac:dyDescent="0.25">
      <c r="A2151" s="8"/>
    </row>
    <row r="2152" spans="1:1" ht="13.8" x14ac:dyDescent="0.25">
      <c r="A2152" s="8"/>
    </row>
    <row r="2153" spans="1:1" ht="13.8" x14ac:dyDescent="0.25">
      <c r="A2153" s="8"/>
    </row>
    <row r="2154" spans="1:1" ht="13.8" x14ac:dyDescent="0.25">
      <c r="A2154" s="8"/>
    </row>
    <row r="2155" spans="1:1" ht="13.8" x14ac:dyDescent="0.25">
      <c r="A2155" s="8"/>
    </row>
    <row r="2156" spans="1:1" ht="13.8" x14ac:dyDescent="0.25">
      <c r="A2156" s="8"/>
    </row>
    <row r="2157" spans="1:1" ht="13.8" x14ac:dyDescent="0.25">
      <c r="A2157" s="8"/>
    </row>
    <row r="2158" spans="1:1" ht="13.8" x14ac:dyDescent="0.25">
      <c r="A2158" s="8"/>
    </row>
    <row r="2159" spans="1:1" ht="13.8" x14ac:dyDescent="0.25">
      <c r="A2159" s="8"/>
    </row>
    <row r="2160" spans="1:1" ht="13.8" x14ac:dyDescent="0.25">
      <c r="A2160" s="8"/>
    </row>
    <row r="2161" spans="1:1" ht="13.8" x14ac:dyDescent="0.25">
      <c r="A2161" s="8"/>
    </row>
    <row r="2162" spans="1:1" ht="13.8" x14ac:dyDescent="0.25">
      <c r="A2162" s="8"/>
    </row>
    <row r="2163" spans="1:1" ht="13.8" x14ac:dyDescent="0.25">
      <c r="A2163" s="8"/>
    </row>
    <row r="2164" spans="1:1" ht="13.8" x14ac:dyDescent="0.25">
      <c r="A2164" s="8"/>
    </row>
    <row r="2165" spans="1:1" ht="13.8" x14ac:dyDescent="0.25">
      <c r="A2165" s="8"/>
    </row>
    <row r="2166" spans="1:1" ht="13.8" x14ac:dyDescent="0.25">
      <c r="A2166" s="8"/>
    </row>
    <row r="2167" spans="1:1" ht="13.8" x14ac:dyDescent="0.25">
      <c r="A2167" s="8"/>
    </row>
    <row r="2168" spans="1:1" ht="13.8" x14ac:dyDescent="0.25">
      <c r="A2168" s="8"/>
    </row>
    <row r="2169" spans="1:1" ht="13.8" x14ac:dyDescent="0.25">
      <c r="A2169" s="8"/>
    </row>
    <row r="2170" spans="1:1" ht="13.8" x14ac:dyDescent="0.25">
      <c r="A2170" s="8"/>
    </row>
    <row r="2171" spans="1:1" ht="13.8" x14ac:dyDescent="0.25">
      <c r="A2171" s="8"/>
    </row>
    <row r="2172" spans="1:1" ht="13.8" x14ac:dyDescent="0.25">
      <c r="A2172" s="8"/>
    </row>
    <row r="2173" spans="1:1" ht="13.8" x14ac:dyDescent="0.25">
      <c r="A2173" s="8"/>
    </row>
    <row r="2174" spans="1:1" ht="13.8" x14ac:dyDescent="0.25">
      <c r="A2174" s="8"/>
    </row>
    <row r="2175" spans="1:1" ht="13.8" x14ac:dyDescent="0.25">
      <c r="A2175" s="8"/>
    </row>
    <row r="2176" spans="1:1" ht="13.8" x14ac:dyDescent="0.25">
      <c r="A2176" s="8"/>
    </row>
    <row r="2177" spans="1:1" ht="13.8" x14ac:dyDescent="0.25">
      <c r="A2177" s="8"/>
    </row>
    <row r="2178" spans="1:1" ht="13.8" x14ac:dyDescent="0.25">
      <c r="A2178" s="8"/>
    </row>
    <row r="2179" spans="1:1" ht="13.8" x14ac:dyDescent="0.25">
      <c r="A2179" s="8"/>
    </row>
    <row r="2180" spans="1:1" ht="13.8" x14ac:dyDescent="0.25">
      <c r="A2180" s="8"/>
    </row>
    <row r="2181" spans="1:1" ht="13.8" x14ac:dyDescent="0.25">
      <c r="A2181" s="8"/>
    </row>
    <row r="2182" spans="1:1" ht="13.8" x14ac:dyDescent="0.25">
      <c r="A2182" s="8"/>
    </row>
    <row r="2183" spans="1:1" ht="13.8" x14ac:dyDescent="0.25">
      <c r="A2183" s="8"/>
    </row>
    <row r="2184" spans="1:1" ht="13.8" x14ac:dyDescent="0.25">
      <c r="A2184" s="8"/>
    </row>
    <row r="2185" spans="1:1" ht="13.8" x14ac:dyDescent="0.25">
      <c r="A2185" s="8"/>
    </row>
    <row r="2186" spans="1:1" ht="13.8" x14ac:dyDescent="0.25">
      <c r="A2186" s="8"/>
    </row>
    <row r="2187" spans="1:1" ht="13.8" x14ac:dyDescent="0.25">
      <c r="A2187" s="8"/>
    </row>
    <row r="2188" spans="1:1" ht="13.8" x14ac:dyDescent="0.25">
      <c r="A2188" s="8"/>
    </row>
    <row r="2189" spans="1:1" ht="13.8" x14ac:dyDescent="0.25">
      <c r="A2189" s="8"/>
    </row>
    <row r="2190" spans="1:1" ht="13.8" x14ac:dyDescent="0.25">
      <c r="A2190" s="8"/>
    </row>
    <row r="2191" spans="1:1" ht="13.8" x14ac:dyDescent="0.25">
      <c r="A2191" s="8"/>
    </row>
    <row r="2192" spans="1:1" ht="13.8" x14ac:dyDescent="0.25">
      <c r="A2192" s="8"/>
    </row>
    <row r="2193" spans="1:1" ht="13.8" x14ac:dyDescent="0.25">
      <c r="A2193" s="8"/>
    </row>
    <row r="2194" spans="1:1" ht="13.8" x14ac:dyDescent="0.25">
      <c r="A2194" s="8"/>
    </row>
    <row r="2195" spans="1:1" ht="13.8" x14ac:dyDescent="0.25">
      <c r="A2195" s="8"/>
    </row>
    <row r="2196" spans="1:1" ht="13.8" x14ac:dyDescent="0.25">
      <c r="A2196" s="8"/>
    </row>
    <row r="2197" spans="1:1" ht="13.8" x14ac:dyDescent="0.25">
      <c r="A2197" s="8"/>
    </row>
    <row r="2198" spans="1:1" ht="13.8" x14ac:dyDescent="0.25">
      <c r="A2198" s="8"/>
    </row>
    <row r="2199" spans="1:1" ht="13.8" x14ac:dyDescent="0.25">
      <c r="A2199" s="8"/>
    </row>
    <row r="2200" spans="1:1" ht="13.8" x14ac:dyDescent="0.25">
      <c r="A2200" s="8"/>
    </row>
    <row r="2201" spans="1:1" ht="13.8" x14ac:dyDescent="0.25">
      <c r="A2201" s="8"/>
    </row>
    <row r="2202" spans="1:1" ht="13.8" x14ac:dyDescent="0.25">
      <c r="A2202" s="8"/>
    </row>
    <row r="2203" spans="1:1" ht="13.8" x14ac:dyDescent="0.25">
      <c r="A2203" s="8"/>
    </row>
    <row r="2204" spans="1:1" ht="13.8" x14ac:dyDescent="0.25">
      <c r="A2204" s="8"/>
    </row>
    <row r="2205" spans="1:1" ht="13.8" x14ac:dyDescent="0.25">
      <c r="A2205" s="8"/>
    </row>
    <row r="2206" spans="1:1" ht="13.8" x14ac:dyDescent="0.25">
      <c r="A2206" s="8"/>
    </row>
    <row r="2207" spans="1:1" ht="13.8" x14ac:dyDescent="0.25">
      <c r="A2207" s="8"/>
    </row>
    <row r="2208" spans="1:1" ht="13.8" x14ac:dyDescent="0.25">
      <c r="A2208" s="8"/>
    </row>
    <row r="2209" spans="1:1" ht="13.8" x14ac:dyDescent="0.25">
      <c r="A2209" s="8"/>
    </row>
    <row r="2210" spans="1:1" ht="13.8" x14ac:dyDescent="0.25">
      <c r="A2210" s="8"/>
    </row>
    <row r="2211" spans="1:1" ht="13.8" x14ac:dyDescent="0.25">
      <c r="A2211" s="8"/>
    </row>
    <row r="2212" spans="1:1" ht="13.8" x14ac:dyDescent="0.25">
      <c r="A2212" s="8"/>
    </row>
    <row r="2213" spans="1:1" ht="13.8" x14ac:dyDescent="0.25">
      <c r="A2213" s="8"/>
    </row>
    <row r="2214" spans="1:1" ht="13.8" x14ac:dyDescent="0.25">
      <c r="A2214" s="8"/>
    </row>
    <row r="2215" spans="1:1" ht="13.8" x14ac:dyDescent="0.25">
      <c r="A2215" s="8"/>
    </row>
    <row r="2216" spans="1:1" ht="13.8" x14ac:dyDescent="0.25">
      <c r="A2216" s="8"/>
    </row>
    <row r="2217" spans="1:1" ht="13.8" x14ac:dyDescent="0.25">
      <c r="A2217" s="8"/>
    </row>
    <row r="2218" spans="1:1" ht="13.8" x14ac:dyDescent="0.25">
      <c r="A2218" s="8"/>
    </row>
    <row r="2219" spans="1:1" ht="13.8" x14ac:dyDescent="0.25">
      <c r="A2219" s="8"/>
    </row>
    <row r="2220" spans="1:1" ht="13.8" x14ac:dyDescent="0.25">
      <c r="A2220" s="8"/>
    </row>
    <row r="2221" spans="1:1" ht="13.8" x14ac:dyDescent="0.25">
      <c r="A2221" s="8"/>
    </row>
    <row r="2222" spans="1:1" ht="13.8" x14ac:dyDescent="0.25">
      <c r="A2222" s="8"/>
    </row>
    <row r="2223" spans="1:1" ht="13.8" x14ac:dyDescent="0.25">
      <c r="A2223" s="8"/>
    </row>
    <row r="2224" spans="1:1" ht="13.8" x14ac:dyDescent="0.25">
      <c r="A2224" s="8"/>
    </row>
    <row r="2225" spans="1:1" ht="13.8" x14ac:dyDescent="0.25">
      <c r="A2225" s="8"/>
    </row>
    <row r="2226" spans="1:1" ht="13.8" x14ac:dyDescent="0.25">
      <c r="A2226" s="8"/>
    </row>
    <row r="2227" spans="1:1" ht="13.8" x14ac:dyDescent="0.25">
      <c r="A2227" s="8"/>
    </row>
    <row r="2228" spans="1:1" ht="13.8" x14ac:dyDescent="0.25">
      <c r="A2228" s="8"/>
    </row>
    <row r="2229" spans="1:1" ht="13.8" x14ac:dyDescent="0.25">
      <c r="A2229" s="8"/>
    </row>
    <row r="2230" spans="1:1" ht="13.8" x14ac:dyDescent="0.25">
      <c r="A2230" s="8"/>
    </row>
    <row r="2231" spans="1:1" ht="13.8" x14ac:dyDescent="0.25">
      <c r="A2231" s="8"/>
    </row>
    <row r="2232" spans="1:1" ht="13.8" x14ac:dyDescent="0.25">
      <c r="A2232" s="8"/>
    </row>
    <row r="2233" spans="1:1" ht="13.8" x14ac:dyDescent="0.25">
      <c r="A2233" s="8"/>
    </row>
    <row r="2234" spans="1:1" ht="13.8" x14ac:dyDescent="0.25">
      <c r="A2234" s="8"/>
    </row>
    <row r="2235" spans="1:1" ht="13.8" x14ac:dyDescent="0.25">
      <c r="A2235" s="8"/>
    </row>
    <row r="2236" spans="1:1" ht="13.8" x14ac:dyDescent="0.25">
      <c r="A2236" s="8"/>
    </row>
    <row r="2237" spans="1:1" ht="13.8" x14ac:dyDescent="0.25">
      <c r="A2237" s="8"/>
    </row>
    <row r="2238" spans="1:1" ht="13.8" x14ac:dyDescent="0.25">
      <c r="A2238" s="8"/>
    </row>
    <row r="2239" spans="1:1" ht="13.8" x14ac:dyDescent="0.25">
      <c r="A2239" s="8"/>
    </row>
    <row r="2240" spans="1:1" ht="13.8" x14ac:dyDescent="0.25">
      <c r="A2240" s="8"/>
    </row>
    <row r="2241" spans="1:1" ht="13.8" x14ac:dyDescent="0.25">
      <c r="A2241" s="8"/>
    </row>
    <row r="2242" spans="1:1" ht="13.8" x14ac:dyDescent="0.25">
      <c r="A2242" s="8"/>
    </row>
    <row r="2243" spans="1:1" ht="13.8" x14ac:dyDescent="0.25">
      <c r="A2243" s="8"/>
    </row>
    <row r="2244" spans="1:1" ht="13.8" x14ac:dyDescent="0.25">
      <c r="A2244" s="8"/>
    </row>
    <row r="2245" spans="1:1" ht="13.8" x14ac:dyDescent="0.25">
      <c r="A2245" s="8"/>
    </row>
    <row r="2246" spans="1:1" ht="13.8" x14ac:dyDescent="0.25">
      <c r="A2246" s="8"/>
    </row>
    <row r="2247" spans="1:1" ht="13.8" x14ac:dyDescent="0.25">
      <c r="A2247" s="8"/>
    </row>
    <row r="2248" spans="1:1" ht="13.8" x14ac:dyDescent="0.25">
      <c r="A2248" s="8"/>
    </row>
    <row r="2249" spans="1:1" ht="13.8" x14ac:dyDescent="0.25">
      <c r="A2249" s="8"/>
    </row>
    <row r="2250" spans="1:1" ht="13.8" x14ac:dyDescent="0.25">
      <c r="A2250" s="8"/>
    </row>
    <row r="2251" spans="1:1" ht="13.8" x14ac:dyDescent="0.25">
      <c r="A2251" s="8"/>
    </row>
    <row r="2252" spans="1:1" ht="13.8" x14ac:dyDescent="0.25">
      <c r="A2252" s="8"/>
    </row>
    <row r="2253" spans="1:1" ht="13.8" x14ac:dyDescent="0.25">
      <c r="A2253" s="8"/>
    </row>
    <row r="2254" spans="1:1" ht="13.8" x14ac:dyDescent="0.25">
      <c r="A2254" s="8"/>
    </row>
    <row r="2255" spans="1:1" ht="13.8" x14ac:dyDescent="0.25">
      <c r="A2255" s="8"/>
    </row>
    <row r="2256" spans="1:1" ht="13.8" x14ac:dyDescent="0.25">
      <c r="A2256" s="8"/>
    </row>
    <row r="2257" spans="1:1" ht="13.8" x14ac:dyDescent="0.25">
      <c r="A2257" s="8"/>
    </row>
    <row r="2258" spans="1:1" ht="13.8" x14ac:dyDescent="0.25">
      <c r="A2258" s="8"/>
    </row>
    <row r="2259" spans="1:1" ht="13.8" x14ac:dyDescent="0.25">
      <c r="A2259" s="8"/>
    </row>
    <row r="2260" spans="1:1" ht="13.8" x14ac:dyDescent="0.25">
      <c r="A2260" s="8"/>
    </row>
    <row r="2261" spans="1:1" ht="13.8" x14ac:dyDescent="0.25">
      <c r="A2261" s="8"/>
    </row>
    <row r="2262" spans="1:1" ht="13.8" x14ac:dyDescent="0.25">
      <c r="A2262" s="8"/>
    </row>
    <row r="2263" spans="1:1" ht="13.8" x14ac:dyDescent="0.25">
      <c r="A2263" s="8"/>
    </row>
    <row r="2264" spans="1:1" ht="13.8" x14ac:dyDescent="0.25">
      <c r="A2264" s="8"/>
    </row>
    <row r="2265" spans="1:1" ht="13.8" x14ac:dyDescent="0.25">
      <c r="A2265" s="8"/>
    </row>
    <row r="2266" spans="1:1" ht="13.8" x14ac:dyDescent="0.25">
      <c r="A2266" s="8"/>
    </row>
    <row r="2267" spans="1:1" ht="13.8" x14ac:dyDescent="0.25">
      <c r="A2267" s="8"/>
    </row>
    <row r="2268" spans="1:1" ht="13.8" x14ac:dyDescent="0.25">
      <c r="A2268" s="8"/>
    </row>
    <row r="2269" spans="1:1" ht="13.8" x14ac:dyDescent="0.25">
      <c r="A2269" s="8"/>
    </row>
    <row r="2270" spans="1:1" ht="13.8" x14ac:dyDescent="0.25">
      <c r="A2270" s="8"/>
    </row>
    <row r="2271" spans="1:1" ht="13.8" x14ac:dyDescent="0.25">
      <c r="A2271" s="8"/>
    </row>
    <row r="2272" spans="1:1" ht="13.8" x14ac:dyDescent="0.25">
      <c r="A2272" s="8"/>
    </row>
    <row r="2273" spans="1:1" ht="13.8" x14ac:dyDescent="0.25">
      <c r="A2273" s="8"/>
    </row>
    <row r="2274" spans="1:1" ht="13.8" x14ac:dyDescent="0.25">
      <c r="A2274" s="8"/>
    </row>
    <row r="2275" spans="1:1" ht="13.8" x14ac:dyDescent="0.25">
      <c r="A2275" s="8"/>
    </row>
    <row r="2276" spans="1:1" ht="13.8" x14ac:dyDescent="0.25">
      <c r="A2276" s="8"/>
    </row>
    <row r="2277" spans="1:1" ht="13.8" x14ac:dyDescent="0.25">
      <c r="A2277" s="8"/>
    </row>
    <row r="2278" spans="1:1" ht="13.8" x14ac:dyDescent="0.25">
      <c r="A2278" s="8"/>
    </row>
    <row r="2279" spans="1:1" ht="13.8" x14ac:dyDescent="0.25">
      <c r="A2279" s="8"/>
    </row>
    <row r="2280" spans="1:1" ht="13.8" x14ac:dyDescent="0.25">
      <c r="A2280" s="8"/>
    </row>
    <row r="2281" spans="1:1" ht="13.8" x14ac:dyDescent="0.25">
      <c r="A2281" s="8"/>
    </row>
    <row r="2282" spans="1:1" ht="13.8" x14ac:dyDescent="0.25">
      <c r="A2282" s="8"/>
    </row>
    <row r="2283" spans="1:1" ht="13.8" x14ac:dyDescent="0.25">
      <c r="A2283" s="8"/>
    </row>
    <row r="2284" spans="1:1" ht="13.8" x14ac:dyDescent="0.25">
      <c r="A2284" s="8"/>
    </row>
    <row r="2285" spans="1:1" ht="13.8" x14ac:dyDescent="0.25">
      <c r="A2285" s="8"/>
    </row>
    <row r="2286" spans="1:1" ht="13.8" x14ac:dyDescent="0.25">
      <c r="A2286" s="8"/>
    </row>
    <row r="2287" spans="1:1" ht="13.8" x14ac:dyDescent="0.25">
      <c r="A2287" s="8"/>
    </row>
    <row r="2288" spans="1:1" ht="13.8" x14ac:dyDescent="0.25">
      <c r="A2288" s="8"/>
    </row>
    <row r="2289" spans="1:1" ht="13.8" x14ac:dyDescent="0.25">
      <c r="A2289" s="8"/>
    </row>
    <row r="2290" spans="1:1" ht="13.8" x14ac:dyDescent="0.25">
      <c r="A2290" s="8"/>
    </row>
    <row r="2291" spans="1:1" ht="13.8" x14ac:dyDescent="0.25">
      <c r="A2291" s="8"/>
    </row>
    <row r="2292" spans="1:1" ht="13.8" x14ac:dyDescent="0.25">
      <c r="A2292" s="8"/>
    </row>
    <row r="2293" spans="1:1" ht="13.8" x14ac:dyDescent="0.25">
      <c r="A2293" s="8"/>
    </row>
    <row r="2294" spans="1:1" ht="13.8" x14ac:dyDescent="0.25">
      <c r="A2294" s="8"/>
    </row>
    <row r="2295" spans="1:1" ht="13.8" x14ac:dyDescent="0.25">
      <c r="A2295" s="8"/>
    </row>
    <row r="2296" spans="1:1" ht="13.8" x14ac:dyDescent="0.25">
      <c r="A2296" s="8"/>
    </row>
    <row r="2297" spans="1:1" ht="13.8" x14ac:dyDescent="0.25">
      <c r="A2297" s="8"/>
    </row>
    <row r="2298" spans="1:1" ht="13.8" x14ac:dyDescent="0.25">
      <c r="A2298" s="8"/>
    </row>
    <row r="2299" spans="1:1" ht="13.8" x14ac:dyDescent="0.25">
      <c r="A2299" s="8"/>
    </row>
    <row r="2300" spans="1:1" ht="13.8" x14ac:dyDescent="0.25">
      <c r="A2300" s="8"/>
    </row>
    <row r="2301" spans="1:1" ht="13.8" x14ac:dyDescent="0.25">
      <c r="A2301" s="8"/>
    </row>
    <row r="2302" spans="1:1" ht="13.8" x14ac:dyDescent="0.25">
      <c r="A2302" s="8"/>
    </row>
    <row r="2303" spans="1:1" ht="13.8" x14ac:dyDescent="0.25">
      <c r="A2303" s="8"/>
    </row>
    <row r="2304" spans="1:1" ht="13.8" x14ac:dyDescent="0.25">
      <c r="A2304" s="8"/>
    </row>
    <row r="2305" spans="1:1" ht="13.8" x14ac:dyDescent="0.25">
      <c r="A2305" s="8"/>
    </row>
    <row r="2306" spans="1:1" ht="13.8" x14ac:dyDescent="0.25">
      <c r="A2306" s="8"/>
    </row>
    <row r="2307" spans="1:1" ht="13.8" x14ac:dyDescent="0.25">
      <c r="A2307" s="8"/>
    </row>
    <row r="2308" spans="1:1" ht="13.8" x14ac:dyDescent="0.25">
      <c r="A2308" s="8"/>
    </row>
    <row r="2309" spans="1:1" ht="13.8" x14ac:dyDescent="0.25">
      <c r="A2309" s="8"/>
    </row>
    <row r="2310" spans="1:1" ht="13.8" x14ac:dyDescent="0.25">
      <c r="A2310" s="8"/>
    </row>
    <row r="2311" spans="1:1" ht="13.8" x14ac:dyDescent="0.25">
      <c r="A2311" s="8"/>
    </row>
    <row r="2312" spans="1:1" ht="13.8" x14ac:dyDescent="0.25">
      <c r="A2312" s="8"/>
    </row>
    <row r="2313" spans="1:1" ht="13.8" x14ac:dyDescent="0.25">
      <c r="A2313" s="8"/>
    </row>
    <row r="2314" spans="1:1" ht="13.8" x14ac:dyDescent="0.25">
      <c r="A2314" s="8"/>
    </row>
    <row r="2315" spans="1:1" ht="13.8" x14ac:dyDescent="0.25">
      <c r="A2315" s="8"/>
    </row>
    <row r="2316" spans="1:1" ht="13.8" x14ac:dyDescent="0.25">
      <c r="A2316" s="8"/>
    </row>
    <row r="2317" spans="1:1" ht="13.8" x14ac:dyDescent="0.25">
      <c r="A2317" s="8"/>
    </row>
    <row r="2318" spans="1:1" ht="13.8" x14ac:dyDescent="0.25">
      <c r="A2318" s="8"/>
    </row>
    <row r="2319" spans="1:1" ht="13.8" x14ac:dyDescent="0.25">
      <c r="A2319" s="8"/>
    </row>
    <row r="2320" spans="1:1" ht="13.8" x14ac:dyDescent="0.25">
      <c r="A2320" s="8"/>
    </row>
    <row r="2321" spans="1:1" ht="13.8" x14ac:dyDescent="0.25">
      <c r="A2321" s="8"/>
    </row>
    <row r="2322" spans="1:1" ht="13.8" x14ac:dyDescent="0.25">
      <c r="A2322" s="8"/>
    </row>
    <row r="2323" spans="1:1" ht="13.8" x14ac:dyDescent="0.25">
      <c r="A2323" s="8"/>
    </row>
    <row r="2324" spans="1:1" ht="13.8" x14ac:dyDescent="0.25">
      <c r="A2324" s="8"/>
    </row>
    <row r="2325" spans="1:1" ht="13.8" x14ac:dyDescent="0.25">
      <c r="A2325" s="8"/>
    </row>
    <row r="2326" spans="1:1" ht="13.8" x14ac:dyDescent="0.25">
      <c r="A2326" s="8"/>
    </row>
    <row r="2327" spans="1:1" ht="13.8" x14ac:dyDescent="0.25">
      <c r="A2327" s="8"/>
    </row>
    <row r="2328" spans="1:1" ht="13.8" x14ac:dyDescent="0.25">
      <c r="A2328" s="8"/>
    </row>
    <row r="2329" spans="1:1" ht="13.8" x14ac:dyDescent="0.25">
      <c r="A2329" s="8"/>
    </row>
    <row r="2330" spans="1:1" ht="13.8" x14ac:dyDescent="0.25">
      <c r="A2330" s="8"/>
    </row>
    <row r="2331" spans="1:1" ht="13.8" x14ac:dyDescent="0.25">
      <c r="A2331" s="8"/>
    </row>
    <row r="2332" spans="1:1" ht="13.8" x14ac:dyDescent="0.25">
      <c r="A2332" s="8"/>
    </row>
    <row r="2333" spans="1:1" ht="13.8" x14ac:dyDescent="0.25">
      <c r="A2333" s="8"/>
    </row>
    <row r="2334" spans="1:1" ht="13.8" x14ac:dyDescent="0.25">
      <c r="A2334" s="8"/>
    </row>
    <row r="2335" spans="1:1" ht="13.8" x14ac:dyDescent="0.25">
      <c r="A2335" s="8"/>
    </row>
    <row r="2336" spans="1:1" ht="13.8" x14ac:dyDescent="0.25">
      <c r="A2336" s="8"/>
    </row>
    <row r="2337" spans="1:1" ht="13.8" x14ac:dyDescent="0.25">
      <c r="A2337" s="8"/>
    </row>
    <row r="2338" spans="1:1" ht="13.8" x14ac:dyDescent="0.25">
      <c r="A2338" s="8"/>
    </row>
    <row r="2339" spans="1:1" ht="13.8" x14ac:dyDescent="0.25">
      <c r="A2339" s="8"/>
    </row>
    <row r="2340" spans="1:1" ht="13.8" x14ac:dyDescent="0.25">
      <c r="A2340" s="8"/>
    </row>
    <row r="2341" spans="1:1" ht="13.8" x14ac:dyDescent="0.25">
      <c r="A2341" s="8"/>
    </row>
    <row r="2342" spans="1:1" ht="13.8" x14ac:dyDescent="0.25">
      <c r="A2342" s="8"/>
    </row>
    <row r="2343" spans="1:1" ht="13.8" x14ac:dyDescent="0.25">
      <c r="A2343" s="8"/>
    </row>
    <row r="2344" spans="1:1" ht="13.8" x14ac:dyDescent="0.25">
      <c r="A2344" s="8"/>
    </row>
    <row r="2345" spans="1:1" ht="13.8" x14ac:dyDescent="0.25">
      <c r="A2345" s="8"/>
    </row>
    <row r="2346" spans="1:1" ht="13.8" x14ac:dyDescent="0.25">
      <c r="A2346" s="8"/>
    </row>
    <row r="2347" spans="1:1" ht="13.8" x14ac:dyDescent="0.25">
      <c r="A2347" s="8"/>
    </row>
    <row r="2348" spans="1:1" ht="13.8" x14ac:dyDescent="0.25">
      <c r="A2348" s="8"/>
    </row>
    <row r="2349" spans="1:1" ht="13.8" x14ac:dyDescent="0.25">
      <c r="A2349" s="8"/>
    </row>
    <row r="2350" spans="1:1" ht="13.8" x14ac:dyDescent="0.25">
      <c r="A2350" s="8"/>
    </row>
    <row r="2351" spans="1:1" ht="13.8" x14ac:dyDescent="0.25">
      <c r="A2351" s="8"/>
    </row>
    <row r="2352" spans="1:1" ht="13.8" x14ac:dyDescent="0.25">
      <c r="A2352" s="8"/>
    </row>
    <row r="2353" spans="1:1" ht="13.8" x14ac:dyDescent="0.25">
      <c r="A2353" s="8"/>
    </row>
    <row r="2354" spans="1:1" ht="13.8" x14ac:dyDescent="0.25">
      <c r="A2354" s="8"/>
    </row>
    <row r="2355" spans="1:1" ht="13.8" x14ac:dyDescent="0.25">
      <c r="A2355" s="8"/>
    </row>
    <row r="2356" spans="1:1" ht="13.8" x14ac:dyDescent="0.25">
      <c r="A2356" s="8"/>
    </row>
    <row r="2357" spans="1:1" ht="13.8" x14ac:dyDescent="0.25">
      <c r="A2357" s="8"/>
    </row>
    <row r="2358" spans="1:1" ht="13.8" x14ac:dyDescent="0.25">
      <c r="A2358" s="8"/>
    </row>
    <row r="2359" spans="1:1" ht="13.8" x14ac:dyDescent="0.25">
      <c r="A2359" s="8"/>
    </row>
    <row r="2360" spans="1:1" ht="13.8" x14ac:dyDescent="0.25">
      <c r="A2360" s="8"/>
    </row>
    <row r="2361" spans="1:1" ht="13.8" x14ac:dyDescent="0.25">
      <c r="A2361" s="8"/>
    </row>
    <row r="2362" spans="1:1" ht="13.8" x14ac:dyDescent="0.25">
      <c r="A2362" s="8"/>
    </row>
    <row r="2363" spans="1:1" ht="13.8" x14ac:dyDescent="0.25">
      <c r="A2363" s="8"/>
    </row>
    <row r="2364" spans="1:1" ht="13.8" x14ac:dyDescent="0.25">
      <c r="A2364" s="8"/>
    </row>
    <row r="2365" spans="1:1" ht="13.8" x14ac:dyDescent="0.25">
      <c r="A2365" s="8"/>
    </row>
    <row r="2366" spans="1:1" ht="13.8" x14ac:dyDescent="0.25">
      <c r="A2366" s="8"/>
    </row>
    <row r="2367" spans="1:1" ht="13.8" x14ac:dyDescent="0.25">
      <c r="A2367" s="8"/>
    </row>
    <row r="2368" spans="1:1" ht="13.8" x14ac:dyDescent="0.25">
      <c r="A2368" s="8"/>
    </row>
    <row r="2369" spans="1:1" ht="13.8" x14ac:dyDescent="0.25">
      <c r="A2369" s="8"/>
    </row>
    <row r="2370" spans="1:1" ht="13.8" x14ac:dyDescent="0.25">
      <c r="A2370" s="8"/>
    </row>
    <row r="2371" spans="1:1" ht="13.8" x14ac:dyDescent="0.25">
      <c r="A2371" s="8"/>
    </row>
    <row r="2372" spans="1:1" ht="13.8" x14ac:dyDescent="0.25">
      <c r="A2372" s="8"/>
    </row>
    <row r="2373" spans="1:1" ht="13.8" x14ac:dyDescent="0.25">
      <c r="A2373" s="8"/>
    </row>
    <row r="2374" spans="1:1" ht="13.8" x14ac:dyDescent="0.25">
      <c r="A2374" s="8"/>
    </row>
    <row r="2375" spans="1:1" ht="13.8" x14ac:dyDescent="0.25">
      <c r="A2375" s="8"/>
    </row>
    <row r="2376" spans="1:1" ht="13.8" x14ac:dyDescent="0.25">
      <c r="A2376" s="8"/>
    </row>
    <row r="2377" spans="1:1" ht="13.8" x14ac:dyDescent="0.25">
      <c r="A2377" s="8"/>
    </row>
    <row r="2378" spans="1:1" ht="13.8" x14ac:dyDescent="0.25">
      <c r="A2378" s="8"/>
    </row>
    <row r="2379" spans="1:1" ht="13.8" x14ac:dyDescent="0.25">
      <c r="A2379" s="8"/>
    </row>
    <row r="2380" spans="1:1" ht="13.8" x14ac:dyDescent="0.25">
      <c r="A2380" s="8"/>
    </row>
    <row r="2381" spans="1:1" ht="13.8" x14ac:dyDescent="0.25">
      <c r="A2381" s="8"/>
    </row>
    <row r="2382" spans="1:1" ht="13.8" x14ac:dyDescent="0.25">
      <c r="A2382" s="8"/>
    </row>
    <row r="2383" spans="1:1" ht="13.8" x14ac:dyDescent="0.25">
      <c r="A2383" s="8"/>
    </row>
    <row r="2384" spans="1:1" ht="13.8" x14ac:dyDescent="0.25">
      <c r="A2384" s="8"/>
    </row>
    <row r="2385" spans="1:1" ht="13.8" x14ac:dyDescent="0.25">
      <c r="A2385" s="8"/>
    </row>
    <row r="2386" spans="1:1" ht="13.8" x14ac:dyDescent="0.25">
      <c r="A2386" s="8"/>
    </row>
    <row r="2387" spans="1:1" ht="13.8" x14ac:dyDescent="0.25">
      <c r="A2387" s="8"/>
    </row>
    <row r="2388" spans="1:1" ht="13.8" x14ac:dyDescent="0.25">
      <c r="A2388" s="8"/>
    </row>
    <row r="2389" spans="1:1" ht="13.8" x14ac:dyDescent="0.25">
      <c r="A2389" s="8"/>
    </row>
    <row r="2390" spans="1:1" ht="13.8" x14ac:dyDescent="0.25">
      <c r="A2390" s="8"/>
    </row>
    <row r="2391" spans="1:1" ht="13.8" x14ac:dyDescent="0.25">
      <c r="A2391" s="8"/>
    </row>
    <row r="2392" spans="1:1" ht="13.8" x14ac:dyDescent="0.25">
      <c r="A2392" s="8"/>
    </row>
    <row r="2393" spans="1:1" ht="13.8" x14ac:dyDescent="0.25">
      <c r="A2393" s="8"/>
    </row>
    <row r="2394" spans="1:1" ht="13.8" x14ac:dyDescent="0.25">
      <c r="A2394" s="8"/>
    </row>
    <row r="2395" spans="1:1" ht="13.8" x14ac:dyDescent="0.25">
      <c r="A2395" s="8"/>
    </row>
    <row r="2396" spans="1:1" ht="13.8" x14ac:dyDescent="0.25">
      <c r="A2396" s="8"/>
    </row>
    <row r="2397" spans="1:1" ht="13.8" x14ac:dyDescent="0.25">
      <c r="A2397" s="8"/>
    </row>
    <row r="2398" spans="1:1" ht="13.8" x14ac:dyDescent="0.25">
      <c r="A2398" s="8"/>
    </row>
    <row r="2399" spans="1:1" ht="13.8" x14ac:dyDescent="0.25">
      <c r="A2399" s="8"/>
    </row>
    <row r="2400" spans="1:1" ht="13.8" x14ac:dyDescent="0.25">
      <c r="A2400" s="8"/>
    </row>
    <row r="2401" spans="1:1" ht="13.8" x14ac:dyDescent="0.25">
      <c r="A2401" s="8"/>
    </row>
    <row r="2402" spans="1:1" ht="13.8" x14ac:dyDescent="0.25">
      <c r="A2402" s="8"/>
    </row>
    <row r="2403" spans="1:1" ht="13.8" x14ac:dyDescent="0.25">
      <c r="A2403" s="8"/>
    </row>
    <row r="2404" spans="1:1" ht="13.8" x14ac:dyDescent="0.25">
      <c r="A2404" s="8"/>
    </row>
    <row r="2405" spans="1:1" ht="13.8" x14ac:dyDescent="0.25">
      <c r="A2405" s="8"/>
    </row>
    <row r="2406" spans="1:1" ht="13.8" x14ac:dyDescent="0.25">
      <c r="A2406" s="8"/>
    </row>
    <row r="2407" spans="1:1" ht="13.8" x14ac:dyDescent="0.25">
      <c r="A2407" s="8"/>
    </row>
    <row r="2408" spans="1:1" ht="13.8" x14ac:dyDescent="0.25">
      <c r="A2408" s="8"/>
    </row>
    <row r="2409" spans="1:1" ht="13.8" x14ac:dyDescent="0.25">
      <c r="A2409" s="8"/>
    </row>
    <row r="2410" spans="1:1" ht="13.8" x14ac:dyDescent="0.25">
      <c r="A2410" s="8"/>
    </row>
    <row r="2411" spans="1:1" ht="13.8" x14ac:dyDescent="0.25">
      <c r="A2411" s="8"/>
    </row>
    <row r="2412" spans="1:1" ht="13.8" x14ac:dyDescent="0.25">
      <c r="A2412" s="8"/>
    </row>
    <row r="2413" spans="1:1" ht="13.8" x14ac:dyDescent="0.25">
      <c r="A2413" s="8"/>
    </row>
    <row r="2414" spans="1:1" ht="13.8" x14ac:dyDescent="0.25">
      <c r="A2414" s="8"/>
    </row>
    <row r="2415" spans="1:1" ht="13.8" x14ac:dyDescent="0.25">
      <c r="A2415" s="8"/>
    </row>
    <row r="2416" spans="1:1" ht="13.8" x14ac:dyDescent="0.25">
      <c r="A2416" s="8"/>
    </row>
    <row r="2417" spans="1:1" ht="13.8" x14ac:dyDescent="0.25">
      <c r="A2417" s="8"/>
    </row>
    <row r="2418" spans="1:1" ht="13.8" x14ac:dyDescent="0.25">
      <c r="A2418" s="8"/>
    </row>
    <row r="2419" spans="1:1" ht="13.8" x14ac:dyDescent="0.25">
      <c r="A2419" s="8"/>
    </row>
    <row r="2420" spans="1:1" ht="13.8" x14ac:dyDescent="0.25">
      <c r="A2420" s="8"/>
    </row>
    <row r="2421" spans="1:1" ht="13.8" x14ac:dyDescent="0.25">
      <c r="A2421" s="8"/>
    </row>
    <row r="2422" spans="1:1" ht="13.8" x14ac:dyDescent="0.25">
      <c r="A2422" s="8"/>
    </row>
    <row r="2423" spans="1:1" ht="13.8" x14ac:dyDescent="0.25">
      <c r="A2423" s="8"/>
    </row>
    <row r="2424" spans="1:1" ht="13.8" x14ac:dyDescent="0.25">
      <c r="A2424" s="8"/>
    </row>
    <row r="2425" spans="1:1" ht="13.8" x14ac:dyDescent="0.25">
      <c r="A2425" s="8"/>
    </row>
    <row r="2426" spans="1:1" ht="13.8" x14ac:dyDescent="0.25">
      <c r="A2426" s="8"/>
    </row>
    <row r="2427" spans="1:1" ht="13.8" x14ac:dyDescent="0.25">
      <c r="A2427" s="8"/>
    </row>
    <row r="2428" spans="1:1" ht="13.8" x14ac:dyDescent="0.25">
      <c r="A2428" s="8"/>
    </row>
    <row r="2429" spans="1:1" ht="13.8" x14ac:dyDescent="0.25">
      <c r="A2429" s="8"/>
    </row>
    <row r="2430" spans="1:1" ht="13.8" x14ac:dyDescent="0.25">
      <c r="A2430" s="8"/>
    </row>
    <row r="2431" spans="1:1" ht="13.8" x14ac:dyDescent="0.25">
      <c r="A2431" s="8"/>
    </row>
    <row r="2432" spans="1:1" ht="13.8" x14ac:dyDescent="0.25">
      <c r="A2432" s="8"/>
    </row>
    <row r="2433" spans="1:1" ht="13.8" x14ac:dyDescent="0.25">
      <c r="A2433" s="8"/>
    </row>
    <row r="2434" spans="1:1" ht="13.8" x14ac:dyDescent="0.25">
      <c r="A2434" s="8"/>
    </row>
    <row r="2435" spans="1:1" ht="13.8" x14ac:dyDescent="0.25">
      <c r="A2435" s="8"/>
    </row>
    <row r="2436" spans="1:1" ht="13.8" x14ac:dyDescent="0.25">
      <c r="A2436" s="8"/>
    </row>
    <row r="2437" spans="1:1" ht="13.8" x14ac:dyDescent="0.25">
      <c r="A2437" s="8"/>
    </row>
    <row r="2438" spans="1:1" ht="13.8" x14ac:dyDescent="0.25">
      <c r="A2438" s="8"/>
    </row>
    <row r="2439" spans="1:1" ht="13.8" x14ac:dyDescent="0.25">
      <c r="A2439" s="8"/>
    </row>
    <row r="2440" spans="1:1" ht="13.8" x14ac:dyDescent="0.25">
      <c r="A2440" s="8"/>
    </row>
    <row r="2441" spans="1:1" ht="13.8" x14ac:dyDescent="0.25">
      <c r="A2441" s="8"/>
    </row>
    <row r="2442" spans="1:1" ht="13.8" x14ac:dyDescent="0.25">
      <c r="A2442" s="8"/>
    </row>
    <row r="2443" spans="1:1" ht="13.8" x14ac:dyDescent="0.25">
      <c r="A2443" s="8"/>
    </row>
    <row r="2444" spans="1:1" ht="13.8" x14ac:dyDescent="0.25">
      <c r="A2444" s="8"/>
    </row>
    <row r="2445" spans="1:1" ht="13.8" x14ac:dyDescent="0.25">
      <c r="A2445" s="8"/>
    </row>
    <row r="2446" spans="1:1" ht="13.8" x14ac:dyDescent="0.25">
      <c r="A2446" s="8"/>
    </row>
    <row r="2447" spans="1:1" ht="13.8" x14ac:dyDescent="0.25">
      <c r="A2447" s="8"/>
    </row>
    <row r="2448" spans="1:1" ht="13.8" x14ac:dyDescent="0.25">
      <c r="A2448" s="8"/>
    </row>
    <row r="2449" spans="1:1" ht="13.8" x14ac:dyDescent="0.25">
      <c r="A2449" s="8"/>
    </row>
    <row r="2450" spans="1:1" ht="13.8" x14ac:dyDescent="0.25">
      <c r="A2450" s="8"/>
    </row>
    <row r="2451" spans="1:1" ht="13.8" x14ac:dyDescent="0.25">
      <c r="A2451" s="8"/>
    </row>
    <row r="2452" spans="1:1" ht="13.8" x14ac:dyDescent="0.25">
      <c r="A2452" s="8"/>
    </row>
    <row r="2453" spans="1:1" ht="13.8" x14ac:dyDescent="0.25">
      <c r="A2453" s="8"/>
    </row>
    <row r="2454" spans="1:1" ht="13.8" x14ac:dyDescent="0.25">
      <c r="A2454" s="8"/>
    </row>
    <row r="2455" spans="1:1" ht="13.8" x14ac:dyDescent="0.25">
      <c r="A2455" s="8"/>
    </row>
    <row r="2456" spans="1:1" ht="13.8" x14ac:dyDescent="0.25">
      <c r="A2456" s="8"/>
    </row>
    <row r="2457" spans="1:1" ht="13.8" x14ac:dyDescent="0.25">
      <c r="A2457" s="8"/>
    </row>
    <row r="2458" spans="1:1" ht="13.8" x14ac:dyDescent="0.25">
      <c r="A2458" s="8"/>
    </row>
    <row r="2459" spans="1:1" ht="13.8" x14ac:dyDescent="0.25">
      <c r="A2459" s="8"/>
    </row>
    <row r="2460" spans="1:1" ht="13.8" x14ac:dyDescent="0.25">
      <c r="A2460" s="8"/>
    </row>
    <row r="2461" spans="1:1" ht="13.8" x14ac:dyDescent="0.25">
      <c r="A2461" s="8"/>
    </row>
    <row r="2462" spans="1:1" ht="13.8" x14ac:dyDescent="0.25">
      <c r="A2462" s="8"/>
    </row>
    <row r="2463" spans="1:1" ht="13.8" x14ac:dyDescent="0.25">
      <c r="A2463" s="8"/>
    </row>
    <row r="2464" spans="1:1" ht="13.8" x14ac:dyDescent="0.25">
      <c r="A2464" s="8"/>
    </row>
    <row r="2465" spans="1:1" ht="13.8" x14ac:dyDescent="0.25">
      <c r="A2465" s="8"/>
    </row>
    <row r="2466" spans="1:1" ht="13.8" x14ac:dyDescent="0.25">
      <c r="A2466" s="8"/>
    </row>
    <row r="2467" spans="1:1" ht="13.8" x14ac:dyDescent="0.25">
      <c r="A2467" s="8"/>
    </row>
    <row r="2468" spans="1:1" ht="13.8" x14ac:dyDescent="0.25">
      <c r="A2468" s="8"/>
    </row>
    <row r="2469" spans="1:1" ht="13.8" x14ac:dyDescent="0.25">
      <c r="A2469" s="8"/>
    </row>
    <row r="2470" spans="1:1" ht="13.8" x14ac:dyDescent="0.25">
      <c r="A2470" s="8"/>
    </row>
    <row r="2471" spans="1:1" ht="13.8" x14ac:dyDescent="0.25">
      <c r="A2471" s="8"/>
    </row>
    <row r="2472" spans="1:1" ht="13.8" x14ac:dyDescent="0.25">
      <c r="A2472" s="8"/>
    </row>
    <row r="2473" spans="1:1" ht="13.8" x14ac:dyDescent="0.25">
      <c r="A2473" s="8"/>
    </row>
    <row r="2474" spans="1:1" ht="13.8" x14ac:dyDescent="0.25">
      <c r="A2474" s="8"/>
    </row>
    <row r="2475" spans="1:1" ht="13.8" x14ac:dyDescent="0.25">
      <c r="A2475" s="8"/>
    </row>
    <row r="2476" spans="1:1" ht="13.8" x14ac:dyDescent="0.25">
      <c r="A2476" s="8"/>
    </row>
    <row r="2477" spans="1:1" ht="13.8" x14ac:dyDescent="0.25">
      <c r="A2477" s="8"/>
    </row>
    <row r="2478" spans="1:1" ht="13.8" x14ac:dyDescent="0.25">
      <c r="A2478" s="8"/>
    </row>
    <row r="2479" spans="1:1" ht="13.8" x14ac:dyDescent="0.25">
      <c r="A2479" s="8"/>
    </row>
    <row r="2480" spans="1:1" ht="13.8" x14ac:dyDescent="0.25">
      <c r="A2480" s="8"/>
    </row>
    <row r="2481" spans="1:1" ht="13.8" x14ac:dyDescent="0.25">
      <c r="A2481" s="8"/>
    </row>
    <row r="2482" spans="1:1" ht="13.8" x14ac:dyDescent="0.25">
      <c r="A2482" s="8"/>
    </row>
    <row r="2483" spans="1:1" ht="13.8" x14ac:dyDescent="0.25">
      <c r="A2483" s="8"/>
    </row>
    <row r="2484" spans="1:1" ht="13.8" x14ac:dyDescent="0.25">
      <c r="A2484" s="8"/>
    </row>
    <row r="2485" spans="1:1" ht="13.8" x14ac:dyDescent="0.25">
      <c r="A2485" s="8"/>
    </row>
    <row r="2486" spans="1:1" ht="13.8" x14ac:dyDescent="0.25">
      <c r="A2486" s="8"/>
    </row>
    <row r="2487" spans="1:1" ht="13.8" x14ac:dyDescent="0.25">
      <c r="A2487" s="8"/>
    </row>
    <row r="2488" spans="1:1" ht="13.8" x14ac:dyDescent="0.25">
      <c r="A2488" s="8"/>
    </row>
    <row r="2489" spans="1:1" ht="13.8" x14ac:dyDescent="0.25">
      <c r="A2489" s="8"/>
    </row>
    <row r="2490" spans="1:1" ht="13.8" x14ac:dyDescent="0.25">
      <c r="A2490" s="8"/>
    </row>
    <row r="2491" spans="1:1" ht="13.8" x14ac:dyDescent="0.25">
      <c r="A2491" s="8"/>
    </row>
    <row r="2492" spans="1:1" ht="13.8" x14ac:dyDescent="0.25">
      <c r="A2492" s="8"/>
    </row>
    <row r="2493" spans="1:1" ht="13.8" x14ac:dyDescent="0.25">
      <c r="A2493" s="8"/>
    </row>
    <row r="2494" spans="1:1" ht="13.8" x14ac:dyDescent="0.25">
      <c r="A2494" s="8"/>
    </row>
    <row r="2495" spans="1:1" ht="13.8" x14ac:dyDescent="0.25">
      <c r="A2495" s="8"/>
    </row>
    <row r="2496" spans="1:1" ht="13.8" x14ac:dyDescent="0.25">
      <c r="A2496" s="8"/>
    </row>
    <row r="2497" spans="1:1" ht="13.8" x14ac:dyDescent="0.25">
      <c r="A2497" s="8"/>
    </row>
    <row r="2498" spans="1:1" ht="13.8" x14ac:dyDescent="0.25">
      <c r="A2498" s="8"/>
    </row>
    <row r="2499" spans="1:1" ht="13.8" x14ac:dyDescent="0.25">
      <c r="A2499" s="8"/>
    </row>
    <row r="2500" spans="1:1" ht="13.8" x14ac:dyDescent="0.25">
      <c r="A2500" s="8"/>
    </row>
    <row r="2501" spans="1:1" ht="13.8" x14ac:dyDescent="0.25">
      <c r="A2501" s="8"/>
    </row>
    <row r="2502" spans="1:1" ht="13.8" x14ac:dyDescent="0.25">
      <c r="A2502" s="8"/>
    </row>
    <row r="2503" spans="1:1" ht="13.8" x14ac:dyDescent="0.25">
      <c r="A2503" s="8"/>
    </row>
    <row r="2504" spans="1:1" ht="13.8" x14ac:dyDescent="0.25">
      <c r="A2504" s="8"/>
    </row>
    <row r="2505" spans="1:1" ht="13.8" x14ac:dyDescent="0.25">
      <c r="A2505" s="8"/>
    </row>
    <row r="2506" spans="1:1" ht="13.8" x14ac:dyDescent="0.25">
      <c r="A2506" s="8"/>
    </row>
    <row r="2507" spans="1:1" ht="13.8" x14ac:dyDescent="0.25">
      <c r="A2507" s="8"/>
    </row>
    <row r="2508" spans="1:1" ht="13.8" x14ac:dyDescent="0.25">
      <c r="A2508" s="8"/>
    </row>
    <row r="2509" spans="1:1" ht="13.8" x14ac:dyDescent="0.25">
      <c r="A2509" s="8"/>
    </row>
    <row r="2510" spans="1:1" ht="13.8" x14ac:dyDescent="0.25">
      <c r="A2510" s="8"/>
    </row>
    <row r="2511" spans="1:1" ht="13.8" x14ac:dyDescent="0.25">
      <c r="A2511" s="8"/>
    </row>
    <row r="2512" spans="1:1" ht="13.8" x14ac:dyDescent="0.25">
      <c r="A2512" s="8"/>
    </row>
    <row r="2513" spans="1:1" ht="13.8" x14ac:dyDescent="0.25">
      <c r="A2513" s="8"/>
    </row>
    <row r="2514" spans="1:1" ht="13.8" x14ac:dyDescent="0.25">
      <c r="A2514" s="8"/>
    </row>
    <row r="2515" spans="1:1" ht="13.8" x14ac:dyDescent="0.25">
      <c r="A2515" s="8"/>
    </row>
    <row r="2516" spans="1:1" ht="13.8" x14ac:dyDescent="0.25">
      <c r="A2516" s="8"/>
    </row>
    <row r="2517" spans="1:1" ht="13.8" x14ac:dyDescent="0.25">
      <c r="A2517" s="8"/>
    </row>
    <row r="2518" spans="1:1" ht="13.8" x14ac:dyDescent="0.25">
      <c r="A2518" s="8"/>
    </row>
    <row r="2519" spans="1:1" ht="13.8" x14ac:dyDescent="0.25">
      <c r="A2519" s="8"/>
    </row>
    <row r="2520" spans="1:1" ht="13.8" x14ac:dyDescent="0.25">
      <c r="A2520" s="8"/>
    </row>
    <row r="2521" spans="1:1" ht="13.8" x14ac:dyDescent="0.25">
      <c r="A2521" s="8"/>
    </row>
    <row r="2522" spans="1:1" ht="13.8" x14ac:dyDescent="0.25">
      <c r="A2522" s="8"/>
    </row>
    <row r="2523" spans="1:1" ht="13.8" x14ac:dyDescent="0.25">
      <c r="A2523" s="8"/>
    </row>
    <row r="2524" spans="1:1" ht="13.8" x14ac:dyDescent="0.25">
      <c r="A2524" s="8"/>
    </row>
    <row r="2525" spans="1:1" ht="13.8" x14ac:dyDescent="0.25">
      <c r="A2525" s="8"/>
    </row>
    <row r="2526" spans="1:1" ht="13.8" x14ac:dyDescent="0.25">
      <c r="A2526" s="8"/>
    </row>
    <row r="2527" spans="1:1" ht="13.8" x14ac:dyDescent="0.25">
      <c r="A2527" s="8"/>
    </row>
    <row r="2528" spans="1:1" ht="13.8" x14ac:dyDescent="0.25">
      <c r="A2528" s="8"/>
    </row>
    <row r="2529" spans="1:1" ht="13.8" x14ac:dyDescent="0.25">
      <c r="A2529" s="8"/>
    </row>
    <row r="2530" spans="1:1" ht="13.8" x14ac:dyDescent="0.25">
      <c r="A2530" s="8"/>
    </row>
    <row r="2531" spans="1:1" ht="13.8" x14ac:dyDescent="0.25">
      <c r="A2531" s="8"/>
    </row>
    <row r="2532" spans="1:1" ht="13.8" x14ac:dyDescent="0.25">
      <c r="A2532" s="8"/>
    </row>
    <row r="2533" spans="1:1" ht="13.8" x14ac:dyDescent="0.25">
      <c r="A2533" s="8"/>
    </row>
    <row r="2534" spans="1:1" ht="13.8" x14ac:dyDescent="0.25">
      <c r="A2534" s="8"/>
    </row>
    <row r="2535" spans="1:1" ht="13.8" x14ac:dyDescent="0.25">
      <c r="A2535" s="8"/>
    </row>
    <row r="2536" spans="1:1" ht="13.8" x14ac:dyDescent="0.25">
      <c r="A2536" s="8"/>
    </row>
    <row r="2537" spans="1:1" ht="13.8" x14ac:dyDescent="0.25">
      <c r="A2537" s="8"/>
    </row>
    <row r="2538" spans="1:1" ht="13.8" x14ac:dyDescent="0.25">
      <c r="A2538" s="8"/>
    </row>
    <row r="2539" spans="1:1" ht="13.8" x14ac:dyDescent="0.25">
      <c r="A2539" s="8"/>
    </row>
    <row r="2540" spans="1:1" ht="13.8" x14ac:dyDescent="0.25">
      <c r="A2540" s="8"/>
    </row>
    <row r="2541" spans="1:1" ht="13.8" x14ac:dyDescent="0.25">
      <c r="A2541" s="8"/>
    </row>
    <row r="2542" spans="1:1" ht="13.8" x14ac:dyDescent="0.25">
      <c r="A2542" s="8"/>
    </row>
    <row r="2543" spans="1:1" ht="13.8" x14ac:dyDescent="0.25">
      <c r="A2543" s="8"/>
    </row>
    <row r="2544" spans="1:1" ht="13.8" x14ac:dyDescent="0.25">
      <c r="A2544" s="8"/>
    </row>
    <row r="2545" spans="1:1" ht="13.8" x14ac:dyDescent="0.25">
      <c r="A2545" s="8"/>
    </row>
    <row r="2546" spans="1:1" ht="13.8" x14ac:dyDescent="0.25">
      <c r="A2546" s="8"/>
    </row>
    <row r="2547" spans="1:1" ht="13.8" x14ac:dyDescent="0.25">
      <c r="A2547" s="8"/>
    </row>
    <row r="2548" spans="1:1" ht="13.8" x14ac:dyDescent="0.25">
      <c r="A2548" s="8"/>
    </row>
    <row r="2549" spans="1:1" ht="13.8" x14ac:dyDescent="0.25">
      <c r="A2549" s="8"/>
    </row>
    <row r="2550" spans="1:1" ht="13.8" x14ac:dyDescent="0.25">
      <c r="A2550" s="8"/>
    </row>
    <row r="2551" spans="1:1" ht="13.8" x14ac:dyDescent="0.25">
      <c r="A2551" s="8"/>
    </row>
    <row r="2552" spans="1:1" ht="13.8" x14ac:dyDescent="0.25">
      <c r="A2552" s="8"/>
    </row>
    <row r="2553" spans="1:1" ht="13.8" x14ac:dyDescent="0.25">
      <c r="A2553" s="8"/>
    </row>
    <row r="2554" spans="1:1" ht="13.8" x14ac:dyDescent="0.25">
      <c r="A2554" s="8"/>
    </row>
    <row r="2555" spans="1:1" ht="13.8" x14ac:dyDescent="0.25">
      <c r="A2555" s="8"/>
    </row>
    <row r="2556" spans="1:1" ht="13.8" x14ac:dyDescent="0.25">
      <c r="A2556" s="8"/>
    </row>
    <row r="2557" spans="1:1" ht="13.8" x14ac:dyDescent="0.25">
      <c r="A2557" s="8"/>
    </row>
    <row r="2558" spans="1:1" ht="13.8" x14ac:dyDescent="0.25">
      <c r="A2558" s="8"/>
    </row>
    <row r="2559" spans="1:1" ht="13.8" x14ac:dyDescent="0.25">
      <c r="A2559" s="8"/>
    </row>
    <row r="2560" spans="1:1" ht="13.8" x14ac:dyDescent="0.25">
      <c r="A2560" s="8"/>
    </row>
    <row r="2561" spans="1:1" ht="13.8" x14ac:dyDescent="0.25">
      <c r="A2561" s="8"/>
    </row>
    <row r="2562" spans="1:1" ht="13.8" x14ac:dyDescent="0.25">
      <c r="A2562" s="8"/>
    </row>
    <row r="2563" spans="1:1" ht="13.8" x14ac:dyDescent="0.25">
      <c r="A2563" s="8"/>
    </row>
    <row r="2564" spans="1:1" ht="13.8" x14ac:dyDescent="0.25">
      <c r="A2564" s="8"/>
    </row>
    <row r="2565" spans="1:1" ht="13.8" x14ac:dyDescent="0.25">
      <c r="A2565" s="8"/>
    </row>
    <row r="2566" spans="1:1" ht="13.8" x14ac:dyDescent="0.25">
      <c r="A2566" s="8"/>
    </row>
    <row r="2567" spans="1:1" ht="13.8" x14ac:dyDescent="0.25">
      <c r="A2567" s="8"/>
    </row>
    <row r="2568" spans="1:1" ht="13.8" x14ac:dyDescent="0.25">
      <c r="A2568" s="8"/>
    </row>
    <row r="2569" spans="1:1" ht="13.8" x14ac:dyDescent="0.25">
      <c r="A2569" s="8"/>
    </row>
    <row r="2570" spans="1:1" ht="13.8" x14ac:dyDescent="0.25">
      <c r="A2570" s="8"/>
    </row>
    <row r="2571" spans="1:1" ht="13.8" x14ac:dyDescent="0.25">
      <c r="A2571" s="8"/>
    </row>
    <row r="2572" spans="1:1" ht="13.8" x14ac:dyDescent="0.25">
      <c r="A2572" s="8"/>
    </row>
    <row r="2573" spans="1:1" ht="13.8" x14ac:dyDescent="0.25">
      <c r="A2573" s="8"/>
    </row>
    <row r="2574" spans="1:1" ht="13.8" x14ac:dyDescent="0.25">
      <c r="A2574" s="8"/>
    </row>
    <row r="2575" spans="1:1" ht="13.8" x14ac:dyDescent="0.25">
      <c r="A2575" s="8"/>
    </row>
    <row r="2576" spans="1:1" ht="13.8" x14ac:dyDescent="0.25">
      <c r="A2576" s="8"/>
    </row>
    <row r="2577" spans="1:1" ht="13.8" x14ac:dyDescent="0.25">
      <c r="A2577" s="8"/>
    </row>
    <row r="2578" spans="1:1" ht="13.8" x14ac:dyDescent="0.25">
      <c r="A2578" s="8"/>
    </row>
    <row r="2579" spans="1:1" ht="13.8" x14ac:dyDescent="0.25">
      <c r="A2579" s="8"/>
    </row>
    <row r="2580" spans="1:1" ht="13.8" x14ac:dyDescent="0.25">
      <c r="A2580" s="8"/>
    </row>
    <row r="2581" spans="1:1" ht="13.8" x14ac:dyDescent="0.25">
      <c r="A2581" s="8"/>
    </row>
    <row r="2582" spans="1:1" ht="13.8" x14ac:dyDescent="0.25">
      <c r="A2582" s="8"/>
    </row>
    <row r="2583" spans="1:1" ht="13.8" x14ac:dyDescent="0.25">
      <c r="A2583" s="8"/>
    </row>
    <row r="2584" spans="1:1" ht="13.8" x14ac:dyDescent="0.25">
      <c r="A2584" s="8"/>
    </row>
    <row r="2585" spans="1:1" ht="13.8" x14ac:dyDescent="0.25">
      <c r="A2585" s="8"/>
    </row>
    <row r="2586" spans="1:1" ht="13.8" x14ac:dyDescent="0.25">
      <c r="A2586" s="8"/>
    </row>
    <row r="2587" spans="1:1" ht="13.8" x14ac:dyDescent="0.25">
      <c r="A2587" s="8"/>
    </row>
    <row r="2588" spans="1:1" ht="13.8" x14ac:dyDescent="0.25">
      <c r="A2588" s="8"/>
    </row>
    <row r="2589" spans="1:1" ht="13.8" x14ac:dyDescent="0.25">
      <c r="A2589" s="8"/>
    </row>
    <row r="2590" spans="1:1" ht="13.8" x14ac:dyDescent="0.25">
      <c r="A2590" s="8"/>
    </row>
    <row r="2591" spans="1:1" ht="13.8" x14ac:dyDescent="0.25">
      <c r="A2591" s="8"/>
    </row>
    <row r="2592" spans="1:1" ht="13.8" x14ac:dyDescent="0.25">
      <c r="A2592" s="8"/>
    </row>
    <row r="2593" spans="1:1" ht="13.8" x14ac:dyDescent="0.25">
      <c r="A2593" s="8"/>
    </row>
    <row r="2594" spans="1:1" ht="13.8" x14ac:dyDescent="0.25">
      <c r="A2594" s="8"/>
    </row>
    <row r="2595" spans="1:1" ht="13.8" x14ac:dyDescent="0.25">
      <c r="A2595" s="8"/>
    </row>
    <row r="2596" spans="1:1" ht="13.8" x14ac:dyDescent="0.25">
      <c r="A2596" s="8"/>
    </row>
    <row r="2597" spans="1:1" ht="13.8" x14ac:dyDescent="0.25">
      <c r="A2597" s="8"/>
    </row>
    <row r="2598" spans="1:1" ht="13.8" x14ac:dyDescent="0.25">
      <c r="A2598" s="8"/>
    </row>
    <row r="2599" spans="1:1" ht="13.8" x14ac:dyDescent="0.25">
      <c r="A2599" s="8"/>
    </row>
    <row r="2600" spans="1:1" ht="13.8" x14ac:dyDescent="0.25">
      <c r="A2600" s="8"/>
    </row>
    <row r="2601" spans="1:1" ht="13.8" x14ac:dyDescent="0.25">
      <c r="A2601" s="8"/>
    </row>
    <row r="2602" spans="1:1" ht="13.8" x14ac:dyDescent="0.25">
      <c r="A2602" s="8"/>
    </row>
    <row r="2603" spans="1:1" ht="13.8" x14ac:dyDescent="0.25">
      <c r="A2603" s="8"/>
    </row>
    <row r="2604" spans="1:1" ht="13.8" x14ac:dyDescent="0.25">
      <c r="A2604" s="8"/>
    </row>
    <row r="2605" spans="1:1" ht="13.8" x14ac:dyDescent="0.25">
      <c r="A2605" s="8"/>
    </row>
    <row r="2606" spans="1:1" ht="13.8" x14ac:dyDescent="0.25">
      <c r="A2606" s="8"/>
    </row>
    <row r="2607" spans="1:1" ht="13.8" x14ac:dyDescent="0.25">
      <c r="A2607" s="8"/>
    </row>
    <row r="2608" spans="1:1" ht="13.8" x14ac:dyDescent="0.25">
      <c r="A2608" s="8"/>
    </row>
    <row r="2609" spans="1:1" ht="13.8" x14ac:dyDescent="0.25">
      <c r="A2609" s="8"/>
    </row>
    <row r="2610" spans="1:1" ht="13.8" x14ac:dyDescent="0.25">
      <c r="A2610" s="8"/>
    </row>
    <row r="2611" spans="1:1" ht="13.8" x14ac:dyDescent="0.25">
      <c r="A2611" s="8"/>
    </row>
    <row r="2612" spans="1:1" ht="13.8" x14ac:dyDescent="0.25">
      <c r="A2612" s="8"/>
    </row>
    <row r="2613" spans="1:1" ht="13.8" x14ac:dyDescent="0.25">
      <c r="A2613" s="8"/>
    </row>
    <row r="2614" spans="1:1" ht="13.8" x14ac:dyDescent="0.25">
      <c r="A2614" s="8"/>
    </row>
    <row r="2615" spans="1:1" ht="13.8" x14ac:dyDescent="0.25">
      <c r="A2615" s="8"/>
    </row>
    <row r="2616" spans="1:1" ht="13.8" x14ac:dyDescent="0.25">
      <c r="A2616" s="8"/>
    </row>
    <row r="2617" spans="1:1" ht="13.8" x14ac:dyDescent="0.25">
      <c r="A2617" s="8"/>
    </row>
    <row r="2618" spans="1:1" ht="13.8" x14ac:dyDescent="0.25">
      <c r="A2618" s="8"/>
    </row>
    <row r="2619" spans="1:1" ht="13.8" x14ac:dyDescent="0.25">
      <c r="A2619" s="8"/>
    </row>
    <row r="2620" spans="1:1" ht="13.8" x14ac:dyDescent="0.25">
      <c r="A2620" s="8"/>
    </row>
    <row r="2621" spans="1:1" ht="13.8" x14ac:dyDescent="0.25">
      <c r="A2621" s="8"/>
    </row>
    <row r="2622" spans="1:1" ht="13.8" x14ac:dyDescent="0.25">
      <c r="A2622" s="8"/>
    </row>
    <row r="2623" spans="1:1" ht="13.8" x14ac:dyDescent="0.25">
      <c r="A2623" s="8"/>
    </row>
    <row r="2624" spans="1:1" ht="13.8" x14ac:dyDescent="0.25">
      <c r="A2624" s="8"/>
    </row>
    <row r="2625" spans="1:1" ht="13.8" x14ac:dyDescent="0.25">
      <c r="A2625" s="8"/>
    </row>
    <row r="2626" spans="1:1" ht="13.8" x14ac:dyDescent="0.25">
      <c r="A2626" s="8"/>
    </row>
    <row r="2627" spans="1:1" ht="13.8" x14ac:dyDescent="0.25">
      <c r="A2627" s="8"/>
    </row>
    <row r="2628" spans="1:1" ht="13.8" x14ac:dyDescent="0.25">
      <c r="A2628" s="8"/>
    </row>
    <row r="2629" spans="1:1" ht="13.8" x14ac:dyDescent="0.25">
      <c r="A2629" s="8"/>
    </row>
    <row r="2630" spans="1:1" ht="13.8" x14ac:dyDescent="0.25">
      <c r="A2630" s="8"/>
    </row>
    <row r="2631" spans="1:1" ht="13.8" x14ac:dyDescent="0.25">
      <c r="A2631" s="8"/>
    </row>
    <row r="2632" spans="1:1" ht="13.8" x14ac:dyDescent="0.25">
      <c r="A2632" s="8"/>
    </row>
    <row r="2633" spans="1:1" ht="13.8" x14ac:dyDescent="0.25">
      <c r="A2633" s="8"/>
    </row>
    <row r="2634" spans="1:1" ht="13.8" x14ac:dyDescent="0.25">
      <c r="A2634" s="8"/>
    </row>
    <row r="2635" spans="1:1" ht="13.8" x14ac:dyDescent="0.25">
      <c r="A2635" s="8"/>
    </row>
    <row r="2636" spans="1:1" ht="13.8" x14ac:dyDescent="0.25">
      <c r="A2636" s="8"/>
    </row>
    <row r="2637" spans="1:1" ht="13.8" x14ac:dyDescent="0.25">
      <c r="A2637" s="8"/>
    </row>
    <row r="2638" spans="1:1" ht="13.8" x14ac:dyDescent="0.25">
      <c r="A2638" s="8"/>
    </row>
    <row r="2639" spans="1:1" ht="13.8" x14ac:dyDescent="0.25">
      <c r="A2639" s="8"/>
    </row>
    <row r="2640" spans="1:1" ht="13.8" x14ac:dyDescent="0.25">
      <c r="A2640" s="8"/>
    </row>
    <row r="2641" spans="1:1" ht="13.8" x14ac:dyDescent="0.25">
      <c r="A2641" s="8"/>
    </row>
    <row r="2642" spans="1:1" ht="13.8" x14ac:dyDescent="0.25">
      <c r="A2642" s="8"/>
    </row>
    <row r="2643" spans="1:1" ht="13.8" x14ac:dyDescent="0.25">
      <c r="A2643" s="8"/>
    </row>
    <row r="2644" spans="1:1" ht="13.8" x14ac:dyDescent="0.25">
      <c r="A2644" s="8"/>
    </row>
    <row r="2645" spans="1:1" ht="13.8" x14ac:dyDescent="0.25">
      <c r="A2645" s="8"/>
    </row>
    <row r="2646" spans="1:1" ht="13.8" x14ac:dyDescent="0.25">
      <c r="A2646" s="8"/>
    </row>
    <row r="2647" spans="1:1" ht="13.8" x14ac:dyDescent="0.25">
      <c r="A2647" s="8"/>
    </row>
    <row r="2648" spans="1:1" ht="13.8" x14ac:dyDescent="0.25">
      <c r="A2648" s="8"/>
    </row>
    <row r="2649" spans="1:1" ht="13.8" x14ac:dyDescent="0.25">
      <c r="A2649" s="8"/>
    </row>
    <row r="2650" spans="1:1" ht="13.8" x14ac:dyDescent="0.25">
      <c r="A2650" s="8"/>
    </row>
    <row r="2651" spans="1:1" ht="13.8" x14ac:dyDescent="0.25">
      <c r="A2651" s="8"/>
    </row>
    <row r="2652" spans="1:1" ht="13.8" x14ac:dyDescent="0.25">
      <c r="A2652" s="8"/>
    </row>
    <row r="2653" spans="1:1" ht="13.8" x14ac:dyDescent="0.25">
      <c r="A2653" s="8"/>
    </row>
    <row r="2654" spans="1:1" ht="13.8" x14ac:dyDescent="0.25">
      <c r="A2654" s="8"/>
    </row>
    <row r="2655" spans="1:1" ht="13.8" x14ac:dyDescent="0.25">
      <c r="A2655" s="8"/>
    </row>
    <row r="2656" spans="1:1" ht="13.8" x14ac:dyDescent="0.25">
      <c r="A2656" s="8"/>
    </row>
    <row r="2657" spans="1:1" ht="13.8" x14ac:dyDescent="0.25">
      <c r="A2657" s="8"/>
    </row>
    <row r="2658" spans="1:1" ht="13.8" x14ac:dyDescent="0.25">
      <c r="A2658" s="8"/>
    </row>
    <row r="2659" spans="1:1" ht="13.8" x14ac:dyDescent="0.25">
      <c r="A2659" s="8"/>
    </row>
    <row r="2660" spans="1:1" ht="13.8" x14ac:dyDescent="0.25">
      <c r="A2660" s="8"/>
    </row>
    <row r="2661" spans="1:1" ht="13.8" x14ac:dyDescent="0.25">
      <c r="A2661" s="8"/>
    </row>
    <row r="2662" spans="1:1" ht="13.8" x14ac:dyDescent="0.25">
      <c r="A2662" s="8"/>
    </row>
    <row r="2663" spans="1:1" ht="13.8" x14ac:dyDescent="0.25">
      <c r="A2663" s="8"/>
    </row>
    <row r="2664" spans="1:1" ht="13.8" x14ac:dyDescent="0.25">
      <c r="A2664" s="8"/>
    </row>
    <row r="2665" spans="1:1" ht="13.8" x14ac:dyDescent="0.25">
      <c r="A2665" s="8"/>
    </row>
    <row r="2666" spans="1:1" ht="13.8" x14ac:dyDescent="0.25">
      <c r="A2666" s="8"/>
    </row>
    <row r="2667" spans="1:1" ht="13.8" x14ac:dyDescent="0.25">
      <c r="A2667" s="8"/>
    </row>
    <row r="2668" spans="1:1" ht="13.8" x14ac:dyDescent="0.25">
      <c r="A2668" s="8"/>
    </row>
    <row r="2669" spans="1:1" ht="13.8" x14ac:dyDescent="0.25">
      <c r="A2669" s="8"/>
    </row>
    <row r="2670" spans="1:1" ht="13.8" x14ac:dyDescent="0.25">
      <c r="A2670" s="8"/>
    </row>
    <row r="2671" spans="1:1" ht="13.8" x14ac:dyDescent="0.25">
      <c r="A2671" s="8"/>
    </row>
    <row r="2672" spans="1:1" ht="13.8" x14ac:dyDescent="0.25">
      <c r="A2672" s="8"/>
    </row>
    <row r="2673" spans="1:1" ht="13.8" x14ac:dyDescent="0.25">
      <c r="A2673" s="8"/>
    </row>
    <row r="2674" spans="1:1" ht="13.8" x14ac:dyDescent="0.25">
      <c r="A2674" s="8"/>
    </row>
    <row r="2675" spans="1:1" ht="13.8" x14ac:dyDescent="0.25">
      <c r="A2675" s="8"/>
    </row>
    <row r="2676" spans="1:1" ht="13.8" x14ac:dyDescent="0.25">
      <c r="A2676" s="8"/>
    </row>
    <row r="2677" spans="1:1" ht="13.8" x14ac:dyDescent="0.25">
      <c r="A2677" s="8"/>
    </row>
    <row r="2678" spans="1:1" ht="13.8" x14ac:dyDescent="0.25">
      <c r="A2678" s="8"/>
    </row>
    <row r="2679" spans="1:1" ht="13.8" x14ac:dyDescent="0.25">
      <c r="A2679" s="8"/>
    </row>
    <row r="2680" spans="1:1" ht="13.8" x14ac:dyDescent="0.25">
      <c r="A2680" s="8"/>
    </row>
    <row r="2681" spans="1:1" ht="13.8" x14ac:dyDescent="0.25">
      <c r="A2681" s="8"/>
    </row>
    <row r="2682" spans="1:1" ht="13.8" x14ac:dyDescent="0.25">
      <c r="A2682" s="8"/>
    </row>
    <row r="2683" spans="1:1" ht="13.8" x14ac:dyDescent="0.25">
      <c r="A2683" s="8"/>
    </row>
    <row r="2684" spans="1:1" ht="13.8" x14ac:dyDescent="0.25">
      <c r="A2684" s="8"/>
    </row>
    <row r="2685" spans="1:1" ht="13.8" x14ac:dyDescent="0.25">
      <c r="A2685" s="8"/>
    </row>
    <row r="2686" spans="1:1" ht="13.8" x14ac:dyDescent="0.25">
      <c r="A2686" s="8"/>
    </row>
    <row r="2687" spans="1:1" ht="13.8" x14ac:dyDescent="0.25">
      <c r="A2687" s="8"/>
    </row>
    <row r="2688" spans="1:1" ht="13.8" x14ac:dyDescent="0.25">
      <c r="A2688" s="8"/>
    </row>
    <row r="2689" spans="1:1" ht="13.8" x14ac:dyDescent="0.25">
      <c r="A2689" s="8"/>
    </row>
    <row r="2690" spans="1:1" ht="13.8" x14ac:dyDescent="0.25">
      <c r="A2690" s="8"/>
    </row>
    <row r="2691" spans="1:1" ht="13.8" x14ac:dyDescent="0.25">
      <c r="A2691" s="8"/>
    </row>
    <row r="2692" spans="1:1" ht="13.8" x14ac:dyDescent="0.25">
      <c r="A2692" s="8"/>
    </row>
    <row r="2693" spans="1:1" ht="13.8" x14ac:dyDescent="0.25">
      <c r="A2693" s="8"/>
    </row>
    <row r="2694" spans="1:1" ht="13.8" x14ac:dyDescent="0.25">
      <c r="A2694" s="8"/>
    </row>
    <row r="2695" spans="1:1" ht="13.8" x14ac:dyDescent="0.25">
      <c r="A2695" s="8"/>
    </row>
    <row r="2696" spans="1:1" ht="13.8" x14ac:dyDescent="0.25">
      <c r="A2696" s="8"/>
    </row>
    <row r="2697" spans="1:1" ht="13.8" x14ac:dyDescent="0.25">
      <c r="A2697" s="8"/>
    </row>
    <row r="2698" spans="1:1" ht="13.8" x14ac:dyDescent="0.25">
      <c r="A2698" s="8"/>
    </row>
    <row r="2699" spans="1:1" ht="13.8" x14ac:dyDescent="0.25">
      <c r="A2699" s="8"/>
    </row>
    <row r="2700" spans="1:1" ht="13.8" x14ac:dyDescent="0.25">
      <c r="A2700" s="8"/>
    </row>
    <row r="2701" spans="1:1" ht="13.8" x14ac:dyDescent="0.25">
      <c r="A2701" s="8"/>
    </row>
    <row r="2702" spans="1:1" ht="13.8" x14ac:dyDescent="0.25">
      <c r="A2702" s="8"/>
    </row>
    <row r="2703" spans="1:1" ht="13.8" x14ac:dyDescent="0.25">
      <c r="A2703" s="8"/>
    </row>
    <row r="2704" spans="1:1" ht="13.8" x14ac:dyDescent="0.25">
      <c r="A2704" s="8"/>
    </row>
    <row r="2705" spans="1:1" ht="13.8" x14ac:dyDescent="0.25">
      <c r="A2705" s="8"/>
    </row>
    <row r="2706" spans="1:1" ht="13.8" x14ac:dyDescent="0.25">
      <c r="A2706" s="8"/>
    </row>
    <row r="2707" spans="1:1" ht="13.8" x14ac:dyDescent="0.25">
      <c r="A2707" s="8"/>
    </row>
    <row r="2708" spans="1:1" ht="13.8" x14ac:dyDescent="0.25">
      <c r="A2708" s="8"/>
    </row>
    <row r="2709" spans="1:1" ht="13.8" x14ac:dyDescent="0.25">
      <c r="A2709" s="8"/>
    </row>
    <row r="2710" spans="1:1" ht="13.8" x14ac:dyDescent="0.25">
      <c r="A2710" s="8"/>
    </row>
    <row r="2711" spans="1:1" ht="13.8" x14ac:dyDescent="0.25">
      <c r="A2711" s="8"/>
    </row>
    <row r="2712" spans="1:1" ht="13.8" x14ac:dyDescent="0.25">
      <c r="A2712" s="8"/>
    </row>
    <row r="2713" spans="1:1" ht="13.8" x14ac:dyDescent="0.25">
      <c r="A2713" s="8"/>
    </row>
    <row r="2714" spans="1:1" ht="13.8" x14ac:dyDescent="0.25">
      <c r="A2714" s="8"/>
    </row>
    <row r="2715" spans="1:1" ht="13.8" x14ac:dyDescent="0.25">
      <c r="A2715" s="8"/>
    </row>
    <row r="2716" spans="1:1" ht="13.8" x14ac:dyDescent="0.25">
      <c r="A2716" s="8"/>
    </row>
    <row r="2717" spans="1:1" ht="13.8" x14ac:dyDescent="0.25">
      <c r="A2717" s="8"/>
    </row>
    <row r="2718" spans="1:1" ht="13.8" x14ac:dyDescent="0.25">
      <c r="A2718" s="8"/>
    </row>
    <row r="2719" spans="1:1" ht="13.8" x14ac:dyDescent="0.25">
      <c r="A2719" s="8"/>
    </row>
    <row r="2720" spans="1:1" ht="13.8" x14ac:dyDescent="0.25">
      <c r="A2720" s="8"/>
    </row>
    <row r="2721" spans="1:1" ht="13.8" x14ac:dyDescent="0.25">
      <c r="A2721" s="8"/>
    </row>
    <row r="2722" spans="1:1" ht="13.8" x14ac:dyDescent="0.25">
      <c r="A2722" s="8"/>
    </row>
    <row r="2723" spans="1:1" ht="13.8" x14ac:dyDescent="0.25">
      <c r="A2723" s="8"/>
    </row>
    <row r="2724" spans="1:1" ht="13.8" x14ac:dyDescent="0.25">
      <c r="A2724" s="8"/>
    </row>
    <row r="2725" spans="1:1" ht="13.8" x14ac:dyDescent="0.25">
      <c r="A2725" s="8"/>
    </row>
    <row r="2726" spans="1:1" ht="13.8" x14ac:dyDescent="0.25">
      <c r="A2726" s="8"/>
    </row>
    <row r="2727" spans="1:1" ht="13.8" x14ac:dyDescent="0.25">
      <c r="A2727" s="8"/>
    </row>
    <row r="2728" spans="1:1" ht="13.8" x14ac:dyDescent="0.25">
      <c r="A2728" s="8"/>
    </row>
    <row r="2729" spans="1:1" ht="13.8" x14ac:dyDescent="0.25">
      <c r="A2729" s="8"/>
    </row>
    <row r="2730" spans="1:1" ht="13.8" x14ac:dyDescent="0.25">
      <c r="A2730" s="8"/>
    </row>
    <row r="2731" spans="1:1" ht="13.8" x14ac:dyDescent="0.25">
      <c r="A2731" s="8"/>
    </row>
    <row r="2732" spans="1:1" ht="13.8" x14ac:dyDescent="0.25">
      <c r="A2732" s="8"/>
    </row>
    <row r="2733" spans="1:1" ht="13.8" x14ac:dyDescent="0.25">
      <c r="A2733" s="8"/>
    </row>
    <row r="2734" spans="1:1" ht="13.8" x14ac:dyDescent="0.25">
      <c r="A2734" s="8"/>
    </row>
    <row r="2735" spans="1:1" ht="13.8" x14ac:dyDescent="0.25">
      <c r="A2735" s="8"/>
    </row>
    <row r="2736" spans="1:1" ht="13.8" x14ac:dyDescent="0.25">
      <c r="A2736" s="8"/>
    </row>
    <row r="2737" spans="1:1" ht="13.8" x14ac:dyDescent="0.25">
      <c r="A2737" s="8"/>
    </row>
    <row r="2738" spans="1:1" ht="13.8" x14ac:dyDescent="0.25">
      <c r="A2738" s="8"/>
    </row>
    <row r="2739" spans="1:1" ht="13.8" x14ac:dyDescent="0.25">
      <c r="A2739" s="8"/>
    </row>
    <row r="2740" spans="1:1" ht="13.8" x14ac:dyDescent="0.25">
      <c r="A2740" s="8"/>
    </row>
    <row r="2741" spans="1:1" ht="13.8" x14ac:dyDescent="0.25">
      <c r="A2741" s="8"/>
    </row>
    <row r="2742" spans="1:1" ht="13.8" x14ac:dyDescent="0.25">
      <c r="A2742" s="8"/>
    </row>
    <row r="2743" spans="1:1" ht="13.8" x14ac:dyDescent="0.25">
      <c r="A2743" s="8"/>
    </row>
    <row r="2744" spans="1:1" ht="13.8" x14ac:dyDescent="0.25">
      <c r="A2744" s="8"/>
    </row>
    <row r="2745" spans="1:1" ht="13.8" x14ac:dyDescent="0.25">
      <c r="A2745" s="8"/>
    </row>
    <row r="2746" spans="1:1" ht="13.8" x14ac:dyDescent="0.25">
      <c r="A2746" s="8"/>
    </row>
    <row r="2747" spans="1:1" ht="13.8" x14ac:dyDescent="0.25">
      <c r="A2747" s="8"/>
    </row>
    <row r="2748" spans="1:1" ht="13.8" x14ac:dyDescent="0.25">
      <c r="A2748" s="8"/>
    </row>
    <row r="2749" spans="1:1" ht="13.8" x14ac:dyDescent="0.25">
      <c r="A2749" s="8"/>
    </row>
    <row r="2750" spans="1:1" ht="13.8" x14ac:dyDescent="0.25">
      <c r="A2750" s="8"/>
    </row>
    <row r="2751" spans="1:1" ht="13.8" x14ac:dyDescent="0.25">
      <c r="A2751" s="8"/>
    </row>
    <row r="2752" spans="1:1" ht="13.8" x14ac:dyDescent="0.25">
      <c r="A2752" s="8"/>
    </row>
    <row r="2753" spans="1:1" ht="13.8" x14ac:dyDescent="0.25">
      <c r="A2753" s="8"/>
    </row>
    <row r="2754" spans="1:1" ht="13.8" x14ac:dyDescent="0.25">
      <c r="A2754" s="8"/>
    </row>
    <row r="2755" spans="1:1" ht="13.8" x14ac:dyDescent="0.25">
      <c r="A2755" s="8"/>
    </row>
    <row r="2756" spans="1:1" ht="13.8" x14ac:dyDescent="0.25">
      <c r="A2756" s="8"/>
    </row>
    <row r="2757" spans="1:1" ht="13.8" x14ac:dyDescent="0.25">
      <c r="A2757" s="8"/>
    </row>
    <row r="2758" spans="1:1" ht="13.8" x14ac:dyDescent="0.25">
      <c r="A2758" s="8"/>
    </row>
    <row r="2759" spans="1:1" ht="13.8" x14ac:dyDescent="0.25">
      <c r="A2759" s="8"/>
    </row>
    <row r="2760" spans="1:1" ht="13.8" x14ac:dyDescent="0.25">
      <c r="A2760" s="8"/>
    </row>
    <row r="2761" spans="1:1" ht="13.8" x14ac:dyDescent="0.25">
      <c r="A2761" s="8"/>
    </row>
    <row r="2762" spans="1:1" ht="13.8" x14ac:dyDescent="0.25">
      <c r="A2762" s="8"/>
    </row>
    <row r="2763" spans="1:1" ht="13.8" x14ac:dyDescent="0.25">
      <c r="A2763" s="8"/>
    </row>
    <row r="2764" spans="1:1" ht="13.8" x14ac:dyDescent="0.25">
      <c r="A2764" s="8"/>
    </row>
    <row r="2765" spans="1:1" ht="13.8" x14ac:dyDescent="0.25">
      <c r="A2765" s="8"/>
    </row>
    <row r="2766" spans="1:1" ht="13.8" x14ac:dyDescent="0.25">
      <c r="A2766" s="8"/>
    </row>
    <row r="2767" spans="1:1" ht="13.8" x14ac:dyDescent="0.25">
      <c r="A2767" s="8"/>
    </row>
    <row r="2768" spans="1:1" ht="13.8" x14ac:dyDescent="0.25">
      <c r="A2768" s="8"/>
    </row>
    <row r="2769" spans="1:1" ht="13.8" x14ac:dyDescent="0.25">
      <c r="A2769" s="8"/>
    </row>
    <row r="2770" spans="1:1" ht="13.8" x14ac:dyDescent="0.25">
      <c r="A2770" s="8"/>
    </row>
    <row r="2771" spans="1:1" ht="13.8" x14ac:dyDescent="0.25">
      <c r="A2771" s="8"/>
    </row>
    <row r="2772" spans="1:1" ht="13.8" x14ac:dyDescent="0.25">
      <c r="A2772" s="8"/>
    </row>
    <row r="2773" spans="1:1" ht="13.8" x14ac:dyDescent="0.25">
      <c r="A2773" s="8"/>
    </row>
    <row r="2774" spans="1:1" ht="13.8" x14ac:dyDescent="0.25">
      <c r="A2774" s="8"/>
    </row>
    <row r="2775" spans="1:1" ht="13.8" x14ac:dyDescent="0.25">
      <c r="A2775" s="8"/>
    </row>
    <row r="2776" spans="1:1" ht="13.8" x14ac:dyDescent="0.25">
      <c r="A2776" s="8"/>
    </row>
    <row r="2777" spans="1:1" ht="13.8" x14ac:dyDescent="0.25">
      <c r="A2777" s="8"/>
    </row>
    <row r="2778" spans="1:1" ht="13.8" x14ac:dyDescent="0.25">
      <c r="A2778" s="8"/>
    </row>
    <row r="2779" spans="1:1" ht="13.8" x14ac:dyDescent="0.25">
      <c r="A2779" s="8"/>
    </row>
    <row r="2780" spans="1:1" ht="13.8" x14ac:dyDescent="0.25">
      <c r="A2780" s="8"/>
    </row>
    <row r="2781" spans="1:1" ht="13.8" x14ac:dyDescent="0.25">
      <c r="A2781" s="8"/>
    </row>
    <row r="2782" spans="1:1" ht="13.8" x14ac:dyDescent="0.25">
      <c r="A2782" s="8"/>
    </row>
    <row r="2783" spans="1:1" ht="13.8" x14ac:dyDescent="0.25">
      <c r="A2783" s="8"/>
    </row>
    <row r="2784" spans="1:1" ht="13.8" x14ac:dyDescent="0.25">
      <c r="A2784" s="8"/>
    </row>
    <row r="2785" spans="1:1" ht="13.8" x14ac:dyDescent="0.25">
      <c r="A2785" s="8"/>
    </row>
    <row r="2786" spans="1:1" ht="13.8" x14ac:dyDescent="0.25">
      <c r="A2786" s="8"/>
    </row>
    <row r="2787" spans="1:1" ht="13.8" x14ac:dyDescent="0.25">
      <c r="A2787" s="8"/>
    </row>
    <row r="2788" spans="1:1" ht="13.8" x14ac:dyDescent="0.25">
      <c r="A2788" s="8"/>
    </row>
    <row r="2789" spans="1:1" ht="13.8" x14ac:dyDescent="0.25">
      <c r="A2789" s="8"/>
    </row>
    <row r="2790" spans="1:1" ht="13.8" x14ac:dyDescent="0.25">
      <c r="A2790" s="8"/>
    </row>
    <row r="2791" spans="1:1" ht="13.8" x14ac:dyDescent="0.25">
      <c r="A2791" s="8"/>
    </row>
    <row r="2792" spans="1:1" ht="13.8" x14ac:dyDescent="0.25">
      <c r="A2792" s="8"/>
    </row>
    <row r="2793" spans="1:1" ht="13.8" x14ac:dyDescent="0.25">
      <c r="A2793" s="8"/>
    </row>
    <row r="2794" spans="1:1" ht="13.8" x14ac:dyDescent="0.25">
      <c r="A2794" s="8"/>
    </row>
    <row r="2795" spans="1:1" ht="13.8" x14ac:dyDescent="0.25">
      <c r="A2795" s="8"/>
    </row>
    <row r="2796" spans="1:1" ht="13.8" x14ac:dyDescent="0.25">
      <c r="A2796" s="8"/>
    </row>
    <row r="2797" spans="1:1" ht="13.8" x14ac:dyDescent="0.25">
      <c r="A2797" s="8"/>
    </row>
    <row r="2798" spans="1:1" ht="13.8" x14ac:dyDescent="0.25">
      <c r="A2798" s="8"/>
    </row>
    <row r="2799" spans="1:1" ht="13.8" x14ac:dyDescent="0.25">
      <c r="A2799" s="8"/>
    </row>
    <row r="2800" spans="1:1" ht="13.8" x14ac:dyDescent="0.25">
      <c r="A2800" s="8"/>
    </row>
    <row r="2801" spans="1:1" ht="13.8" x14ac:dyDescent="0.25">
      <c r="A2801" s="8"/>
    </row>
    <row r="2802" spans="1:1" ht="13.8" x14ac:dyDescent="0.25">
      <c r="A2802" s="8"/>
    </row>
    <row r="2803" spans="1:1" ht="13.8" x14ac:dyDescent="0.25">
      <c r="A2803" s="8"/>
    </row>
    <row r="2804" spans="1:1" ht="13.8" x14ac:dyDescent="0.25">
      <c r="A2804" s="8"/>
    </row>
    <row r="2805" spans="1:1" ht="13.8" x14ac:dyDescent="0.25">
      <c r="A2805" s="8"/>
    </row>
    <row r="2806" spans="1:1" ht="13.8" x14ac:dyDescent="0.25">
      <c r="A2806" s="8"/>
    </row>
    <row r="2807" spans="1:1" ht="13.8" x14ac:dyDescent="0.25">
      <c r="A2807" s="8"/>
    </row>
    <row r="2808" spans="1:1" ht="13.8" x14ac:dyDescent="0.25">
      <c r="A2808" s="8"/>
    </row>
    <row r="2809" spans="1:1" ht="13.8" x14ac:dyDescent="0.25">
      <c r="A2809" s="8"/>
    </row>
    <row r="2810" spans="1:1" ht="13.8" x14ac:dyDescent="0.25">
      <c r="A2810" s="8"/>
    </row>
    <row r="2811" spans="1:1" ht="13.8" x14ac:dyDescent="0.25">
      <c r="A2811" s="8"/>
    </row>
    <row r="2812" spans="1:1" ht="13.8" x14ac:dyDescent="0.25">
      <c r="A2812" s="8"/>
    </row>
    <row r="2813" spans="1:1" ht="13.8" x14ac:dyDescent="0.25">
      <c r="A2813" s="8"/>
    </row>
    <row r="2814" spans="1:1" ht="13.8" x14ac:dyDescent="0.25">
      <c r="A2814" s="8"/>
    </row>
    <row r="2815" spans="1:1" ht="13.8" x14ac:dyDescent="0.25">
      <c r="A2815" s="8"/>
    </row>
    <row r="2816" spans="1:1" ht="13.8" x14ac:dyDescent="0.25">
      <c r="A2816" s="8"/>
    </row>
    <row r="2817" spans="1:1" ht="13.8" x14ac:dyDescent="0.25">
      <c r="A2817" s="8"/>
    </row>
    <row r="2818" spans="1:1" ht="13.8" x14ac:dyDescent="0.25">
      <c r="A2818" s="8"/>
    </row>
    <row r="2819" spans="1:1" ht="13.8" x14ac:dyDescent="0.25">
      <c r="A2819" s="8"/>
    </row>
    <row r="2820" spans="1:1" ht="13.8" x14ac:dyDescent="0.25">
      <c r="A2820" s="8"/>
    </row>
    <row r="2821" spans="1:1" ht="13.8" x14ac:dyDescent="0.25">
      <c r="A2821" s="8"/>
    </row>
    <row r="2822" spans="1:1" ht="13.8" x14ac:dyDescent="0.25">
      <c r="A2822" s="8"/>
    </row>
    <row r="2823" spans="1:1" ht="13.8" x14ac:dyDescent="0.25">
      <c r="A2823" s="8"/>
    </row>
    <row r="2824" spans="1:1" ht="13.8" x14ac:dyDescent="0.25">
      <c r="A2824" s="8"/>
    </row>
    <row r="2825" spans="1:1" ht="13.8" x14ac:dyDescent="0.25">
      <c r="A2825" s="8"/>
    </row>
    <row r="2826" spans="1:1" ht="13.8" x14ac:dyDescent="0.25">
      <c r="A2826" s="8"/>
    </row>
    <row r="2827" spans="1:1" ht="13.8" x14ac:dyDescent="0.25">
      <c r="A2827" s="8"/>
    </row>
    <row r="2828" spans="1:1" ht="13.8" x14ac:dyDescent="0.25">
      <c r="A2828" s="8"/>
    </row>
    <row r="2829" spans="1:1" ht="13.8" x14ac:dyDescent="0.25">
      <c r="A2829" s="8"/>
    </row>
    <row r="2830" spans="1:1" ht="13.8" x14ac:dyDescent="0.25">
      <c r="A2830" s="8"/>
    </row>
    <row r="2831" spans="1:1" ht="13.8" x14ac:dyDescent="0.25">
      <c r="A2831" s="8"/>
    </row>
    <row r="2832" spans="1:1" ht="13.8" x14ac:dyDescent="0.25">
      <c r="A2832" s="8"/>
    </row>
    <row r="2833" spans="1:1" ht="13.8" x14ac:dyDescent="0.25">
      <c r="A2833" s="8"/>
    </row>
    <row r="2834" spans="1:1" ht="13.8" x14ac:dyDescent="0.25">
      <c r="A2834" s="8"/>
    </row>
    <row r="2835" spans="1:1" ht="13.8" x14ac:dyDescent="0.25">
      <c r="A2835" s="8"/>
    </row>
    <row r="2836" spans="1:1" ht="13.8" x14ac:dyDescent="0.25">
      <c r="A2836" s="8"/>
    </row>
    <row r="2837" spans="1:1" ht="13.8" x14ac:dyDescent="0.25">
      <c r="A2837" s="8"/>
    </row>
    <row r="2838" spans="1:1" ht="13.8" x14ac:dyDescent="0.25">
      <c r="A2838" s="8"/>
    </row>
    <row r="2839" spans="1:1" ht="13.8" x14ac:dyDescent="0.25">
      <c r="A2839" s="8"/>
    </row>
    <row r="2840" spans="1:1" ht="13.8" x14ac:dyDescent="0.25">
      <c r="A2840" s="8"/>
    </row>
    <row r="2841" spans="1:1" ht="13.8" x14ac:dyDescent="0.25">
      <c r="A2841" s="8"/>
    </row>
    <row r="2842" spans="1:1" ht="13.8" x14ac:dyDescent="0.25">
      <c r="A2842" s="8"/>
    </row>
    <row r="2843" spans="1:1" ht="13.8" x14ac:dyDescent="0.25">
      <c r="A2843" s="8"/>
    </row>
    <row r="2844" spans="1:1" ht="13.8" x14ac:dyDescent="0.25">
      <c r="A2844" s="8"/>
    </row>
    <row r="2845" spans="1:1" ht="13.8" x14ac:dyDescent="0.25">
      <c r="A2845" s="8"/>
    </row>
    <row r="2846" spans="1:1" ht="13.8" x14ac:dyDescent="0.25">
      <c r="A2846" s="8"/>
    </row>
    <row r="2847" spans="1:1" ht="13.8" x14ac:dyDescent="0.25">
      <c r="A2847" s="8"/>
    </row>
    <row r="2848" spans="1:1" ht="13.8" x14ac:dyDescent="0.25">
      <c r="A2848" s="8"/>
    </row>
    <row r="2849" spans="1:1" ht="13.8" x14ac:dyDescent="0.25">
      <c r="A2849" s="8"/>
    </row>
    <row r="2850" spans="1:1" ht="13.8" x14ac:dyDescent="0.25">
      <c r="A2850" s="8"/>
    </row>
    <row r="2851" spans="1:1" ht="13.8" x14ac:dyDescent="0.25">
      <c r="A2851" s="8"/>
    </row>
    <row r="2852" spans="1:1" ht="13.8" x14ac:dyDescent="0.25">
      <c r="A2852" s="8"/>
    </row>
    <row r="2853" spans="1:1" ht="13.8" x14ac:dyDescent="0.25">
      <c r="A2853" s="8"/>
    </row>
    <row r="2854" spans="1:1" ht="13.8" x14ac:dyDescent="0.25">
      <c r="A2854" s="8"/>
    </row>
    <row r="2855" spans="1:1" ht="13.8" x14ac:dyDescent="0.25">
      <c r="A2855" s="8"/>
    </row>
    <row r="2856" spans="1:1" ht="13.8" x14ac:dyDescent="0.25">
      <c r="A2856" s="8"/>
    </row>
    <row r="2857" spans="1:1" ht="13.8" x14ac:dyDescent="0.25">
      <c r="A2857" s="8"/>
    </row>
    <row r="2858" spans="1:1" ht="13.8" x14ac:dyDescent="0.25">
      <c r="A2858" s="8"/>
    </row>
    <row r="2859" spans="1:1" ht="13.8" x14ac:dyDescent="0.25">
      <c r="A2859" s="8"/>
    </row>
    <row r="2860" spans="1:1" ht="13.8" x14ac:dyDescent="0.25">
      <c r="A2860" s="8"/>
    </row>
    <row r="2861" spans="1:1" ht="13.8" x14ac:dyDescent="0.25">
      <c r="A2861" s="8"/>
    </row>
    <row r="2862" spans="1:1" ht="13.8" x14ac:dyDescent="0.25">
      <c r="A2862" s="8"/>
    </row>
    <row r="2863" spans="1:1" ht="13.8" x14ac:dyDescent="0.25">
      <c r="A2863" s="8"/>
    </row>
    <row r="2864" spans="1:1" ht="13.8" x14ac:dyDescent="0.25">
      <c r="A2864" s="8"/>
    </row>
    <row r="2865" spans="1:1" ht="13.8" x14ac:dyDescent="0.25">
      <c r="A2865" s="8"/>
    </row>
    <row r="2866" spans="1:1" ht="13.8" x14ac:dyDescent="0.25">
      <c r="A2866" s="8"/>
    </row>
    <row r="2867" spans="1:1" ht="13.8" x14ac:dyDescent="0.25">
      <c r="A2867" s="8"/>
    </row>
    <row r="2868" spans="1:1" ht="13.8" x14ac:dyDescent="0.25">
      <c r="A2868" s="8"/>
    </row>
    <row r="2869" spans="1:1" ht="13.8" x14ac:dyDescent="0.25">
      <c r="A2869" s="8"/>
    </row>
    <row r="2870" spans="1:1" ht="13.8" x14ac:dyDescent="0.25">
      <c r="A2870" s="8"/>
    </row>
    <row r="2871" spans="1:1" ht="13.8" x14ac:dyDescent="0.25">
      <c r="A2871" s="8"/>
    </row>
    <row r="2872" spans="1:1" ht="13.8" x14ac:dyDescent="0.25">
      <c r="A2872" s="8"/>
    </row>
    <row r="2873" spans="1:1" ht="13.8" x14ac:dyDescent="0.25">
      <c r="A2873" s="8"/>
    </row>
    <row r="2874" spans="1:1" ht="13.8" x14ac:dyDescent="0.25">
      <c r="A2874" s="8"/>
    </row>
    <row r="2875" spans="1:1" ht="13.8" x14ac:dyDescent="0.25">
      <c r="A2875" s="8"/>
    </row>
    <row r="2876" spans="1:1" ht="13.8" x14ac:dyDescent="0.25">
      <c r="A2876" s="8"/>
    </row>
    <row r="2877" spans="1:1" ht="13.8" x14ac:dyDescent="0.25">
      <c r="A2877" s="8"/>
    </row>
    <row r="2878" spans="1:1" ht="13.8" x14ac:dyDescent="0.25">
      <c r="A2878" s="8"/>
    </row>
    <row r="2879" spans="1:1" ht="13.8" x14ac:dyDescent="0.25">
      <c r="A2879" s="8"/>
    </row>
    <row r="2880" spans="1:1" ht="13.8" x14ac:dyDescent="0.25">
      <c r="A2880" s="8"/>
    </row>
    <row r="2881" spans="1:1" ht="13.8" x14ac:dyDescent="0.25">
      <c r="A2881" s="8"/>
    </row>
    <row r="2882" spans="1:1" ht="13.8" x14ac:dyDescent="0.25">
      <c r="A2882" s="8"/>
    </row>
    <row r="2883" spans="1:1" ht="13.8" x14ac:dyDescent="0.25">
      <c r="A2883" s="8"/>
    </row>
    <row r="2884" spans="1:1" ht="13.8" x14ac:dyDescent="0.25">
      <c r="A2884" s="8"/>
    </row>
    <row r="2885" spans="1:1" ht="13.8" x14ac:dyDescent="0.25">
      <c r="A2885" s="8"/>
    </row>
    <row r="2886" spans="1:1" ht="13.8" x14ac:dyDescent="0.25">
      <c r="A2886" s="8"/>
    </row>
    <row r="2887" spans="1:1" ht="13.8" x14ac:dyDescent="0.25">
      <c r="A2887" s="8"/>
    </row>
    <row r="2888" spans="1:1" ht="13.8" x14ac:dyDescent="0.25">
      <c r="A2888" s="8"/>
    </row>
    <row r="2889" spans="1:1" ht="13.8" x14ac:dyDescent="0.25">
      <c r="A2889" s="8"/>
    </row>
    <row r="2890" spans="1:1" ht="13.8" x14ac:dyDescent="0.25">
      <c r="A2890" s="8"/>
    </row>
    <row r="2891" spans="1:1" ht="13.8" x14ac:dyDescent="0.25">
      <c r="A2891" s="8"/>
    </row>
    <row r="2892" spans="1:1" ht="13.8" x14ac:dyDescent="0.25">
      <c r="A2892" s="8"/>
    </row>
    <row r="2893" spans="1:1" ht="13.8" x14ac:dyDescent="0.25">
      <c r="A2893" s="8"/>
    </row>
    <row r="2894" spans="1:1" ht="13.8" x14ac:dyDescent="0.25">
      <c r="A2894" s="8"/>
    </row>
    <row r="2895" spans="1:1" ht="13.8" x14ac:dyDescent="0.25">
      <c r="A2895" s="8"/>
    </row>
    <row r="2896" spans="1:1" ht="13.8" x14ac:dyDescent="0.25">
      <c r="A2896" s="8"/>
    </row>
    <row r="2897" spans="1:1" ht="13.8" x14ac:dyDescent="0.25">
      <c r="A2897" s="8"/>
    </row>
    <row r="2898" spans="1:1" ht="13.8" x14ac:dyDescent="0.25">
      <c r="A2898" s="8"/>
    </row>
    <row r="2899" spans="1:1" ht="13.8" x14ac:dyDescent="0.25">
      <c r="A2899" s="8"/>
    </row>
    <row r="2900" spans="1:1" ht="13.8" x14ac:dyDescent="0.25">
      <c r="A2900" s="8"/>
    </row>
    <row r="2901" spans="1:1" ht="13.8" x14ac:dyDescent="0.25">
      <c r="A2901" s="8"/>
    </row>
    <row r="2902" spans="1:1" ht="13.8" x14ac:dyDescent="0.25">
      <c r="A2902" s="8"/>
    </row>
    <row r="2903" spans="1:1" ht="13.8" x14ac:dyDescent="0.25">
      <c r="A2903" s="8"/>
    </row>
    <row r="2904" spans="1:1" ht="13.8" x14ac:dyDescent="0.25">
      <c r="A2904" s="8"/>
    </row>
    <row r="2905" spans="1:1" ht="13.8" x14ac:dyDescent="0.25">
      <c r="A2905" s="8"/>
    </row>
    <row r="2906" spans="1:1" ht="13.8" x14ac:dyDescent="0.25">
      <c r="A2906" s="8"/>
    </row>
    <row r="2907" spans="1:1" ht="13.8" x14ac:dyDescent="0.25">
      <c r="A2907" s="8"/>
    </row>
    <row r="2908" spans="1:1" ht="13.8" x14ac:dyDescent="0.25">
      <c r="A2908" s="8"/>
    </row>
    <row r="2909" spans="1:1" ht="13.8" x14ac:dyDescent="0.25">
      <c r="A2909" s="8"/>
    </row>
    <row r="2910" spans="1:1" ht="13.8" x14ac:dyDescent="0.25">
      <c r="A2910" s="8"/>
    </row>
    <row r="2911" spans="1:1" ht="13.8" x14ac:dyDescent="0.25">
      <c r="A2911" s="8"/>
    </row>
    <row r="2912" spans="1:1" ht="13.8" x14ac:dyDescent="0.25">
      <c r="A2912" s="8"/>
    </row>
    <row r="2913" spans="1:1" ht="13.8" x14ac:dyDescent="0.25">
      <c r="A2913" s="8"/>
    </row>
    <row r="2914" spans="1:1" ht="13.8" x14ac:dyDescent="0.25">
      <c r="A2914" s="8"/>
    </row>
    <row r="2915" spans="1:1" ht="13.8" x14ac:dyDescent="0.25">
      <c r="A2915" s="8"/>
    </row>
    <row r="2916" spans="1:1" ht="13.8" x14ac:dyDescent="0.25">
      <c r="A2916" s="8"/>
    </row>
    <row r="2917" spans="1:1" ht="13.8" x14ac:dyDescent="0.25">
      <c r="A2917" s="8"/>
    </row>
    <row r="2918" spans="1:1" ht="13.8" x14ac:dyDescent="0.25">
      <c r="A2918" s="8"/>
    </row>
    <row r="2919" spans="1:1" ht="13.8" x14ac:dyDescent="0.25">
      <c r="A2919" s="8"/>
    </row>
    <row r="2920" spans="1:1" ht="13.8" x14ac:dyDescent="0.25">
      <c r="A2920" s="8"/>
    </row>
    <row r="2921" spans="1:1" ht="13.8" x14ac:dyDescent="0.25">
      <c r="A2921" s="8"/>
    </row>
    <row r="2922" spans="1:1" ht="13.8" x14ac:dyDescent="0.25">
      <c r="A2922" s="8"/>
    </row>
    <row r="2923" spans="1:1" ht="13.8" x14ac:dyDescent="0.25">
      <c r="A2923" s="8"/>
    </row>
    <row r="2924" spans="1:1" ht="13.8" x14ac:dyDescent="0.25">
      <c r="A2924" s="8"/>
    </row>
    <row r="2925" spans="1:1" ht="13.8" x14ac:dyDescent="0.25">
      <c r="A2925" s="8"/>
    </row>
    <row r="2926" spans="1:1" ht="13.8" x14ac:dyDescent="0.25">
      <c r="A2926" s="8"/>
    </row>
    <row r="2927" spans="1:1" ht="13.8" x14ac:dyDescent="0.25">
      <c r="A2927" s="8"/>
    </row>
    <row r="2928" spans="1:1" ht="13.8" x14ac:dyDescent="0.25">
      <c r="A2928" s="8"/>
    </row>
    <row r="2929" spans="1:1" ht="13.8" x14ac:dyDescent="0.25">
      <c r="A2929" s="8"/>
    </row>
    <row r="2930" spans="1:1" ht="13.8" x14ac:dyDescent="0.25">
      <c r="A2930" s="8"/>
    </row>
    <row r="2931" spans="1:1" ht="13.8" x14ac:dyDescent="0.25">
      <c r="A2931" s="8"/>
    </row>
    <row r="2932" spans="1:1" ht="13.8" x14ac:dyDescent="0.25">
      <c r="A2932" s="8"/>
    </row>
    <row r="2933" spans="1:1" ht="13.8" x14ac:dyDescent="0.25">
      <c r="A2933" s="8"/>
    </row>
    <row r="2934" spans="1:1" ht="13.8" x14ac:dyDescent="0.25">
      <c r="A2934" s="8"/>
    </row>
    <row r="2935" spans="1:1" ht="13.8" x14ac:dyDescent="0.25">
      <c r="A2935" s="8"/>
    </row>
    <row r="2936" spans="1:1" ht="13.8" x14ac:dyDescent="0.25">
      <c r="A2936" s="8"/>
    </row>
    <row r="2937" spans="1:1" ht="13.8" x14ac:dyDescent="0.25">
      <c r="A2937" s="8"/>
    </row>
    <row r="2938" spans="1:1" ht="13.8" x14ac:dyDescent="0.25">
      <c r="A2938" s="8"/>
    </row>
    <row r="2939" spans="1:1" ht="13.8" x14ac:dyDescent="0.25">
      <c r="A2939" s="8"/>
    </row>
    <row r="2940" spans="1:1" ht="13.8" x14ac:dyDescent="0.25">
      <c r="A2940" s="8"/>
    </row>
    <row r="2941" spans="1:1" ht="13.8" x14ac:dyDescent="0.25">
      <c r="A2941" s="8"/>
    </row>
    <row r="2942" spans="1:1" ht="13.8" x14ac:dyDescent="0.25">
      <c r="A2942" s="8"/>
    </row>
    <row r="2943" spans="1:1" ht="13.8" x14ac:dyDescent="0.25">
      <c r="A2943" s="8"/>
    </row>
    <row r="2944" spans="1:1" ht="13.8" x14ac:dyDescent="0.25">
      <c r="A2944" s="8"/>
    </row>
    <row r="2945" spans="1:1" ht="13.8" x14ac:dyDescent="0.25">
      <c r="A2945" s="8"/>
    </row>
    <row r="2946" spans="1:1" ht="13.8" x14ac:dyDescent="0.25">
      <c r="A2946" s="8"/>
    </row>
    <row r="2947" spans="1:1" ht="13.8" x14ac:dyDescent="0.25">
      <c r="A2947" s="8"/>
    </row>
    <row r="2948" spans="1:1" ht="13.8" x14ac:dyDescent="0.25">
      <c r="A2948" s="8"/>
    </row>
    <row r="2949" spans="1:1" ht="13.8" x14ac:dyDescent="0.25">
      <c r="A2949" s="8"/>
    </row>
    <row r="2950" spans="1:1" ht="13.8" x14ac:dyDescent="0.25">
      <c r="A2950" s="8"/>
    </row>
    <row r="2951" spans="1:1" ht="13.8" x14ac:dyDescent="0.25">
      <c r="A2951" s="8"/>
    </row>
    <row r="2952" spans="1:1" ht="13.8" x14ac:dyDescent="0.25">
      <c r="A2952" s="8"/>
    </row>
    <row r="2953" spans="1:1" ht="13.8" x14ac:dyDescent="0.25">
      <c r="A2953" s="8"/>
    </row>
    <row r="2954" spans="1:1" ht="13.8" x14ac:dyDescent="0.25">
      <c r="A2954" s="8"/>
    </row>
    <row r="2955" spans="1:1" ht="13.8" x14ac:dyDescent="0.25">
      <c r="A2955" s="8"/>
    </row>
    <row r="2956" spans="1:1" ht="13.8" x14ac:dyDescent="0.25">
      <c r="A2956" s="8"/>
    </row>
    <row r="2957" spans="1:1" ht="13.8" x14ac:dyDescent="0.25">
      <c r="A2957" s="8"/>
    </row>
    <row r="2958" spans="1:1" ht="13.8" x14ac:dyDescent="0.25">
      <c r="A2958" s="8"/>
    </row>
    <row r="2959" spans="1:1" ht="13.8" x14ac:dyDescent="0.25">
      <c r="A2959" s="8"/>
    </row>
    <row r="2960" spans="1:1" ht="13.8" x14ac:dyDescent="0.25">
      <c r="A2960" s="8"/>
    </row>
    <row r="2961" spans="1:1" ht="13.8" x14ac:dyDescent="0.25">
      <c r="A2961" s="8"/>
    </row>
    <row r="2962" spans="1:1" ht="13.8" x14ac:dyDescent="0.25">
      <c r="A2962" s="8"/>
    </row>
    <row r="2963" spans="1:1" ht="13.8" x14ac:dyDescent="0.25">
      <c r="A2963" s="8"/>
    </row>
    <row r="2964" spans="1:1" ht="13.8" x14ac:dyDescent="0.25">
      <c r="A2964" s="8"/>
    </row>
    <row r="2965" spans="1:1" ht="13.8" x14ac:dyDescent="0.25">
      <c r="A2965" s="8"/>
    </row>
    <row r="2966" spans="1:1" ht="13.8" x14ac:dyDescent="0.25">
      <c r="A2966" s="8"/>
    </row>
    <row r="2967" spans="1:1" ht="13.8" x14ac:dyDescent="0.25">
      <c r="A2967" s="8"/>
    </row>
    <row r="2968" spans="1:1" ht="13.8" x14ac:dyDescent="0.25">
      <c r="A2968" s="8"/>
    </row>
    <row r="2969" spans="1:1" ht="13.8" x14ac:dyDescent="0.25">
      <c r="A2969" s="8"/>
    </row>
    <row r="2970" spans="1:1" ht="13.8" x14ac:dyDescent="0.25">
      <c r="A2970" s="8"/>
    </row>
    <row r="2971" spans="1:1" ht="13.8" x14ac:dyDescent="0.25">
      <c r="A2971" s="8"/>
    </row>
    <row r="2972" spans="1:1" ht="13.8" x14ac:dyDescent="0.25">
      <c r="A2972" s="8"/>
    </row>
    <row r="2973" spans="1:1" ht="13.8" x14ac:dyDescent="0.25">
      <c r="A2973" s="8"/>
    </row>
    <row r="2974" spans="1:1" ht="13.8" x14ac:dyDescent="0.25">
      <c r="A2974" s="8"/>
    </row>
    <row r="2975" spans="1:1" ht="13.8" x14ac:dyDescent="0.25">
      <c r="A2975" s="8"/>
    </row>
    <row r="2976" spans="1:1" ht="13.8" x14ac:dyDescent="0.25">
      <c r="A2976" s="8"/>
    </row>
    <row r="2977" spans="1:1" ht="13.8" x14ac:dyDescent="0.25">
      <c r="A2977" s="8"/>
    </row>
    <row r="2978" spans="1:1" ht="13.8" x14ac:dyDescent="0.25">
      <c r="A2978" s="8"/>
    </row>
    <row r="2979" spans="1:1" ht="13.8" x14ac:dyDescent="0.25">
      <c r="A2979" s="8"/>
    </row>
    <row r="2980" spans="1:1" ht="13.8" x14ac:dyDescent="0.25">
      <c r="A2980" s="8"/>
    </row>
    <row r="2981" spans="1:1" ht="13.8" x14ac:dyDescent="0.25">
      <c r="A2981" s="8"/>
    </row>
    <row r="2982" spans="1:1" ht="13.8" x14ac:dyDescent="0.25">
      <c r="A2982" s="8"/>
    </row>
    <row r="2983" spans="1:1" ht="13.8" x14ac:dyDescent="0.25">
      <c r="A2983" s="8"/>
    </row>
    <row r="2984" spans="1:1" ht="13.8" x14ac:dyDescent="0.25">
      <c r="A2984" s="8"/>
    </row>
    <row r="2985" spans="1:1" ht="13.8" x14ac:dyDescent="0.25">
      <c r="A2985" s="8"/>
    </row>
    <row r="2986" spans="1:1" ht="13.8" x14ac:dyDescent="0.25">
      <c r="A2986" s="8"/>
    </row>
    <row r="2987" spans="1:1" ht="13.8" x14ac:dyDescent="0.25">
      <c r="A2987" s="8"/>
    </row>
    <row r="2988" spans="1:1" ht="13.8" x14ac:dyDescent="0.25">
      <c r="A2988" s="8"/>
    </row>
    <row r="2989" spans="1:1" ht="13.8" x14ac:dyDescent="0.25">
      <c r="A2989" s="8"/>
    </row>
    <row r="2990" spans="1:1" ht="13.8" x14ac:dyDescent="0.25">
      <c r="A2990" s="8"/>
    </row>
    <row r="2991" spans="1:1" ht="13.8" x14ac:dyDescent="0.25">
      <c r="A2991" s="8"/>
    </row>
    <row r="2992" spans="1:1" ht="13.8" x14ac:dyDescent="0.25">
      <c r="A2992" s="8"/>
    </row>
    <row r="2993" spans="1:1" ht="13.8" x14ac:dyDescent="0.25">
      <c r="A2993" s="8"/>
    </row>
    <row r="2994" spans="1:1" ht="13.8" x14ac:dyDescent="0.25">
      <c r="A2994" s="8"/>
    </row>
    <row r="2995" spans="1:1" ht="13.8" x14ac:dyDescent="0.25">
      <c r="A2995" s="8"/>
    </row>
    <row r="2996" spans="1:1" ht="13.8" x14ac:dyDescent="0.25">
      <c r="A2996" s="8"/>
    </row>
    <row r="2997" spans="1:1" ht="13.8" x14ac:dyDescent="0.25">
      <c r="A2997" s="8"/>
    </row>
    <row r="2998" spans="1:1" ht="13.8" x14ac:dyDescent="0.25">
      <c r="A2998" s="8"/>
    </row>
    <row r="2999" spans="1:1" ht="13.8" x14ac:dyDescent="0.25">
      <c r="A2999" s="8"/>
    </row>
    <row r="3000" spans="1:1" ht="13.8" x14ac:dyDescent="0.25">
      <c r="A3000" s="8"/>
    </row>
    <row r="3001" spans="1:1" ht="13.8" x14ac:dyDescent="0.25">
      <c r="A3001" s="8"/>
    </row>
    <row r="3002" spans="1:1" ht="13.8" x14ac:dyDescent="0.25">
      <c r="A3002" s="8"/>
    </row>
    <row r="3003" spans="1:1" ht="13.8" x14ac:dyDescent="0.25">
      <c r="A3003" s="8"/>
    </row>
    <row r="3004" spans="1:1" ht="13.8" x14ac:dyDescent="0.25">
      <c r="A3004" s="8"/>
    </row>
    <row r="3005" spans="1:1" ht="13.8" x14ac:dyDescent="0.25">
      <c r="A3005" s="8"/>
    </row>
    <row r="3006" spans="1:1" ht="13.8" x14ac:dyDescent="0.25">
      <c r="A3006" s="8"/>
    </row>
    <row r="3007" spans="1:1" ht="13.8" x14ac:dyDescent="0.25">
      <c r="A3007" s="8"/>
    </row>
    <row r="3008" spans="1:1" ht="13.8" x14ac:dyDescent="0.25">
      <c r="A3008" s="8"/>
    </row>
    <row r="3009" spans="1:1" ht="13.8" x14ac:dyDescent="0.25">
      <c r="A3009" s="8"/>
    </row>
    <row r="3010" spans="1:1" ht="13.8" x14ac:dyDescent="0.25">
      <c r="A3010" s="8"/>
    </row>
    <row r="3011" spans="1:1" ht="13.8" x14ac:dyDescent="0.25">
      <c r="A3011" s="8"/>
    </row>
    <row r="3012" spans="1:1" ht="13.8" x14ac:dyDescent="0.25">
      <c r="A3012" s="8"/>
    </row>
    <row r="3013" spans="1:1" ht="13.8" x14ac:dyDescent="0.25">
      <c r="A3013" s="8"/>
    </row>
    <row r="3014" spans="1:1" ht="13.8" x14ac:dyDescent="0.25">
      <c r="A3014" s="8"/>
    </row>
    <row r="3015" spans="1:1" ht="13.8" x14ac:dyDescent="0.25">
      <c r="A3015" s="8"/>
    </row>
    <row r="3016" spans="1:1" ht="13.8" x14ac:dyDescent="0.25">
      <c r="A3016" s="8"/>
    </row>
    <row r="3017" spans="1:1" ht="13.8" x14ac:dyDescent="0.25">
      <c r="A3017" s="8"/>
    </row>
    <row r="3018" spans="1:1" ht="13.8" x14ac:dyDescent="0.25">
      <c r="A3018" s="8"/>
    </row>
    <row r="3019" spans="1:1" ht="13.8" x14ac:dyDescent="0.25">
      <c r="A3019" s="8"/>
    </row>
    <row r="3020" spans="1:1" ht="13.8" x14ac:dyDescent="0.25">
      <c r="A3020" s="8"/>
    </row>
    <row r="3021" spans="1:1" ht="13.8" x14ac:dyDescent="0.25">
      <c r="A3021" s="8"/>
    </row>
    <row r="3022" spans="1:1" ht="13.8" x14ac:dyDescent="0.25">
      <c r="A3022" s="8"/>
    </row>
    <row r="3023" spans="1:1" ht="13.8" x14ac:dyDescent="0.25">
      <c r="A3023" s="8"/>
    </row>
    <row r="3024" spans="1:1" ht="13.8" x14ac:dyDescent="0.25">
      <c r="A3024" s="8"/>
    </row>
    <row r="3025" spans="1:1" ht="13.8" x14ac:dyDescent="0.25">
      <c r="A3025" s="8"/>
    </row>
    <row r="3026" spans="1:1" ht="13.8" x14ac:dyDescent="0.25">
      <c r="A3026" s="8"/>
    </row>
    <row r="3027" spans="1:1" ht="13.8" x14ac:dyDescent="0.25">
      <c r="A3027" s="8"/>
    </row>
    <row r="3028" spans="1:1" ht="13.8" x14ac:dyDescent="0.25">
      <c r="A3028" s="8"/>
    </row>
    <row r="3029" spans="1:1" ht="13.8" x14ac:dyDescent="0.25">
      <c r="A3029" s="8"/>
    </row>
    <row r="3030" spans="1:1" ht="13.8" x14ac:dyDescent="0.25">
      <c r="A3030" s="8"/>
    </row>
    <row r="3031" spans="1:1" ht="13.8" x14ac:dyDescent="0.25">
      <c r="A3031" s="8"/>
    </row>
    <row r="3032" spans="1:1" ht="13.8" x14ac:dyDescent="0.25">
      <c r="A3032" s="8"/>
    </row>
    <row r="3033" spans="1:1" ht="13.8" x14ac:dyDescent="0.25">
      <c r="A3033" s="8"/>
    </row>
    <row r="3034" spans="1:1" ht="13.8" x14ac:dyDescent="0.25">
      <c r="A3034" s="8"/>
    </row>
    <row r="3035" spans="1:1" ht="13.8" x14ac:dyDescent="0.25">
      <c r="A3035" s="8"/>
    </row>
    <row r="3036" spans="1:1" ht="13.8" x14ac:dyDescent="0.25">
      <c r="A3036" s="8"/>
    </row>
    <row r="3037" spans="1:1" ht="13.8" x14ac:dyDescent="0.25">
      <c r="A3037" s="8"/>
    </row>
    <row r="3038" spans="1:1" ht="13.8" x14ac:dyDescent="0.25">
      <c r="A3038" s="8"/>
    </row>
    <row r="3039" spans="1:1" ht="13.8" x14ac:dyDescent="0.25">
      <c r="A3039" s="8"/>
    </row>
    <row r="3040" spans="1:1" ht="13.8" x14ac:dyDescent="0.25">
      <c r="A3040" s="8"/>
    </row>
    <row r="3041" spans="1:1" ht="13.8" x14ac:dyDescent="0.25">
      <c r="A3041" s="8"/>
    </row>
    <row r="3042" spans="1:1" ht="13.8" x14ac:dyDescent="0.25">
      <c r="A3042" s="8"/>
    </row>
    <row r="3043" spans="1:1" ht="13.8" x14ac:dyDescent="0.25">
      <c r="A3043" s="8"/>
    </row>
    <row r="3044" spans="1:1" ht="13.8" x14ac:dyDescent="0.25">
      <c r="A3044" s="8"/>
    </row>
    <row r="3045" spans="1:1" ht="13.8" x14ac:dyDescent="0.25">
      <c r="A3045" s="8"/>
    </row>
    <row r="3046" spans="1:1" ht="13.8" x14ac:dyDescent="0.25">
      <c r="A3046" s="8"/>
    </row>
    <row r="3047" spans="1:1" ht="13.8" x14ac:dyDescent="0.25">
      <c r="A3047" s="8"/>
    </row>
    <row r="3048" spans="1:1" ht="13.8" x14ac:dyDescent="0.25">
      <c r="A3048" s="8"/>
    </row>
    <row r="3049" spans="1:1" ht="13.8" x14ac:dyDescent="0.25">
      <c r="A3049" s="8"/>
    </row>
    <row r="3050" spans="1:1" ht="13.8" x14ac:dyDescent="0.25">
      <c r="A3050" s="8"/>
    </row>
    <row r="3051" spans="1:1" ht="13.8" x14ac:dyDescent="0.25">
      <c r="A3051" s="8"/>
    </row>
    <row r="3052" spans="1:1" ht="13.8" x14ac:dyDescent="0.25">
      <c r="A3052" s="8"/>
    </row>
    <row r="3053" spans="1:1" ht="13.8" x14ac:dyDescent="0.25">
      <c r="A3053" s="8"/>
    </row>
    <row r="3054" spans="1:1" ht="13.8" x14ac:dyDescent="0.25">
      <c r="A3054" s="8"/>
    </row>
    <row r="3055" spans="1:1" ht="13.8" x14ac:dyDescent="0.25">
      <c r="A3055" s="8"/>
    </row>
    <row r="3056" spans="1:1" ht="13.8" x14ac:dyDescent="0.25">
      <c r="A3056" s="8"/>
    </row>
    <row r="3057" spans="1:1" ht="13.8" x14ac:dyDescent="0.25">
      <c r="A3057" s="8"/>
    </row>
    <row r="3058" spans="1:1" ht="13.8" x14ac:dyDescent="0.25">
      <c r="A3058" s="8"/>
    </row>
    <row r="3059" spans="1:1" ht="13.8" x14ac:dyDescent="0.25">
      <c r="A3059" s="8"/>
    </row>
    <row r="3060" spans="1:1" ht="13.8" x14ac:dyDescent="0.25">
      <c r="A3060" s="8"/>
    </row>
    <row r="3061" spans="1:1" ht="13.8" x14ac:dyDescent="0.25">
      <c r="A3061" s="8"/>
    </row>
    <row r="3062" spans="1:1" ht="13.8" x14ac:dyDescent="0.25">
      <c r="A3062" s="8"/>
    </row>
    <row r="3063" spans="1:1" ht="13.8" x14ac:dyDescent="0.25">
      <c r="A3063" s="8"/>
    </row>
    <row r="3064" spans="1:1" ht="13.8" x14ac:dyDescent="0.25">
      <c r="A3064" s="8"/>
    </row>
    <row r="3065" spans="1:1" ht="13.8" x14ac:dyDescent="0.25">
      <c r="A3065" s="8"/>
    </row>
    <row r="3066" spans="1:1" ht="13.8" x14ac:dyDescent="0.25">
      <c r="A3066" s="8"/>
    </row>
    <row r="3067" spans="1:1" ht="13.8" x14ac:dyDescent="0.25">
      <c r="A3067" s="8"/>
    </row>
    <row r="3068" spans="1:1" ht="13.8" x14ac:dyDescent="0.25">
      <c r="A3068" s="8"/>
    </row>
    <row r="3069" spans="1:1" ht="13.8" x14ac:dyDescent="0.25">
      <c r="A3069" s="8"/>
    </row>
    <row r="3070" spans="1:1" ht="13.8" x14ac:dyDescent="0.25">
      <c r="A3070" s="8"/>
    </row>
    <row r="3071" spans="1:1" ht="13.8" x14ac:dyDescent="0.25">
      <c r="A3071" s="8"/>
    </row>
    <row r="3072" spans="1:1" ht="13.8" x14ac:dyDescent="0.25">
      <c r="A3072" s="8"/>
    </row>
    <row r="3073" spans="1:1" ht="13.8" x14ac:dyDescent="0.25">
      <c r="A3073" s="8"/>
    </row>
    <row r="3074" spans="1:1" ht="13.8" x14ac:dyDescent="0.25">
      <c r="A3074" s="8"/>
    </row>
    <row r="3075" spans="1:1" ht="13.8" x14ac:dyDescent="0.25">
      <c r="A3075" s="8"/>
    </row>
    <row r="3076" spans="1:1" ht="13.8" x14ac:dyDescent="0.25">
      <c r="A3076" s="8"/>
    </row>
    <row r="3077" spans="1:1" ht="13.8" x14ac:dyDescent="0.25">
      <c r="A3077" s="8"/>
    </row>
    <row r="3078" spans="1:1" ht="13.8" x14ac:dyDescent="0.25">
      <c r="A3078" s="8"/>
    </row>
    <row r="3079" spans="1:1" ht="13.8" x14ac:dyDescent="0.25">
      <c r="A3079" s="8"/>
    </row>
    <row r="3080" spans="1:1" ht="13.8" x14ac:dyDescent="0.25">
      <c r="A3080" s="8"/>
    </row>
    <row r="3081" spans="1:1" ht="13.8" x14ac:dyDescent="0.25">
      <c r="A3081" s="8"/>
    </row>
    <row r="3082" spans="1:1" ht="13.8" x14ac:dyDescent="0.25">
      <c r="A3082" s="8"/>
    </row>
    <row r="3083" spans="1:1" ht="13.8" x14ac:dyDescent="0.25">
      <c r="A3083" s="8"/>
    </row>
    <row r="3084" spans="1:1" ht="13.8" x14ac:dyDescent="0.25">
      <c r="A3084" s="8"/>
    </row>
    <row r="3085" spans="1:1" ht="13.8" x14ac:dyDescent="0.25">
      <c r="A3085" s="8"/>
    </row>
    <row r="3086" spans="1:1" ht="13.8" x14ac:dyDescent="0.25">
      <c r="A3086" s="8"/>
    </row>
    <row r="3087" spans="1:1" ht="13.8" x14ac:dyDescent="0.25">
      <c r="A3087" s="8"/>
    </row>
    <row r="3088" spans="1:1" ht="13.8" x14ac:dyDescent="0.25">
      <c r="A3088" s="8"/>
    </row>
    <row r="3089" spans="1:1" ht="13.8" x14ac:dyDescent="0.25">
      <c r="A3089" s="8"/>
    </row>
    <row r="3090" spans="1:1" ht="13.8" x14ac:dyDescent="0.25">
      <c r="A3090" s="8"/>
    </row>
    <row r="3091" spans="1:1" ht="13.8" x14ac:dyDescent="0.25">
      <c r="A3091" s="8"/>
    </row>
    <row r="3092" spans="1:1" ht="13.8" x14ac:dyDescent="0.25">
      <c r="A3092" s="8"/>
    </row>
    <row r="3093" spans="1:1" ht="13.8" x14ac:dyDescent="0.25">
      <c r="A3093" s="8"/>
    </row>
    <row r="3094" spans="1:1" ht="13.8" x14ac:dyDescent="0.25">
      <c r="A3094" s="8"/>
    </row>
    <row r="3095" spans="1:1" ht="13.8" x14ac:dyDescent="0.25">
      <c r="A3095" s="8"/>
    </row>
    <row r="3096" spans="1:1" ht="13.8" x14ac:dyDescent="0.25">
      <c r="A3096" s="8"/>
    </row>
    <row r="3097" spans="1:1" ht="13.8" x14ac:dyDescent="0.25">
      <c r="A3097" s="8"/>
    </row>
    <row r="3098" spans="1:1" ht="13.8" x14ac:dyDescent="0.25">
      <c r="A3098" s="8"/>
    </row>
    <row r="3099" spans="1:1" ht="13.8" x14ac:dyDescent="0.25">
      <c r="A3099" s="8"/>
    </row>
    <row r="3100" spans="1:1" ht="13.8" x14ac:dyDescent="0.25">
      <c r="A3100" s="8"/>
    </row>
    <row r="3101" spans="1:1" ht="13.8" x14ac:dyDescent="0.25">
      <c r="A3101" s="8"/>
    </row>
    <row r="3102" spans="1:1" ht="13.8" x14ac:dyDescent="0.25">
      <c r="A3102" s="8"/>
    </row>
    <row r="3103" spans="1:1" ht="13.8" x14ac:dyDescent="0.25">
      <c r="A3103" s="8"/>
    </row>
    <row r="3104" spans="1:1" ht="13.8" x14ac:dyDescent="0.25">
      <c r="A3104" s="8"/>
    </row>
    <row r="3105" spans="1:1" ht="13.8" x14ac:dyDescent="0.25">
      <c r="A3105" s="8"/>
    </row>
    <row r="3106" spans="1:1" ht="13.8" x14ac:dyDescent="0.25">
      <c r="A3106" s="8"/>
    </row>
    <row r="3107" spans="1:1" ht="13.8" x14ac:dyDescent="0.25">
      <c r="A3107" s="8"/>
    </row>
    <row r="3108" spans="1:1" ht="13.8" x14ac:dyDescent="0.25">
      <c r="A3108" s="8"/>
    </row>
    <row r="3109" spans="1:1" ht="13.8" x14ac:dyDescent="0.25">
      <c r="A3109" s="8"/>
    </row>
    <row r="3110" spans="1:1" ht="13.8" x14ac:dyDescent="0.25">
      <c r="A3110" s="8"/>
    </row>
    <row r="3111" spans="1:1" ht="13.8" x14ac:dyDescent="0.25">
      <c r="A3111" s="8"/>
    </row>
    <row r="3112" spans="1:1" ht="13.8" x14ac:dyDescent="0.25">
      <c r="A3112" s="8"/>
    </row>
    <row r="3113" spans="1:1" ht="13.8" x14ac:dyDescent="0.25">
      <c r="A3113" s="8"/>
    </row>
    <row r="3114" spans="1:1" ht="13.8" x14ac:dyDescent="0.25">
      <c r="A3114" s="8"/>
    </row>
    <row r="3115" spans="1:1" ht="13.8" x14ac:dyDescent="0.25">
      <c r="A3115" s="8"/>
    </row>
    <row r="3116" spans="1:1" ht="13.8" x14ac:dyDescent="0.25">
      <c r="A3116" s="8"/>
    </row>
    <row r="3117" spans="1:1" ht="13.8" x14ac:dyDescent="0.25">
      <c r="A3117" s="8"/>
    </row>
    <row r="3118" spans="1:1" ht="13.8" x14ac:dyDescent="0.25">
      <c r="A3118" s="8"/>
    </row>
    <row r="3119" spans="1:1" ht="13.8" x14ac:dyDescent="0.25">
      <c r="A3119" s="8"/>
    </row>
    <row r="3120" spans="1:1" ht="13.8" x14ac:dyDescent="0.25">
      <c r="A3120" s="8"/>
    </row>
    <row r="3121" spans="1:1" ht="13.8" x14ac:dyDescent="0.25">
      <c r="A3121" s="8"/>
    </row>
    <row r="3122" spans="1:1" ht="13.8" x14ac:dyDescent="0.25">
      <c r="A3122" s="8"/>
    </row>
    <row r="3123" spans="1:1" ht="13.8" x14ac:dyDescent="0.25">
      <c r="A3123" s="8"/>
    </row>
    <row r="3124" spans="1:1" ht="13.8" x14ac:dyDescent="0.25">
      <c r="A3124" s="8"/>
    </row>
    <row r="3125" spans="1:1" ht="13.8" x14ac:dyDescent="0.25">
      <c r="A3125" s="8"/>
    </row>
    <row r="3126" spans="1:1" ht="13.8" x14ac:dyDescent="0.25">
      <c r="A3126" s="8"/>
    </row>
    <row r="3127" spans="1:1" ht="13.8" x14ac:dyDescent="0.25">
      <c r="A3127" s="8"/>
    </row>
    <row r="3128" spans="1:1" ht="13.8" x14ac:dyDescent="0.25">
      <c r="A3128" s="8"/>
    </row>
    <row r="3129" spans="1:1" ht="13.8" x14ac:dyDescent="0.25">
      <c r="A3129" s="8"/>
    </row>
    <row r="3130" spans="1:1" ht="13.8" x14ac:dyDescent="0.25">
      <c r="A3130" s="8"/>
    </row>
    <row r="3131" spans="1:1" ht="13.8" x14ac:dyDescent="0.25">
      <c r="A3131" s="8"/>
    </row>
    <row r="3132" spans="1:1" ht="13.8" x14ac:dyDescent="0.25">
      <c r="A3132" s="8"/>
    </row>
    <row r="3133" spans="1:1" ht="13.8" x14ac:dyDescent="0.25">
      <c r="A3133" s="8"/>
    </row>
    <row r="3134" spans="1:1" ht="13.8" x14ac:dyDescent="0.25">
      <c r="A3134" s="8"/>
    </row>
    <row r="3135" spans="1:1" ht="13.8" x14ac:dyDescent="0.25">
      <c r="A3135" s="8"/>
    </row>
    <row r="3136" spans="1:1" ht="13.8" x14ac:dyDescent="0.25">
      <c r="A3136" s="8"/>
    </row>
    <row r="3137" spans="1:1" ht="13.8" x14ac:dyDescent="0.25">
      <c r="A3137" s="8"/>
    </row>
    <row r="3138" spans="1:1" ht="13.8" x14ac:dyDescent="0.25">
      <c r="A3138" s="8"/>
    </row>
    <row r="3139" spans="1:1" ht="13.8" x14ac:dyDescent="0.25">
      <c r="A3139" s="8"/>
    </row>
    <row r="3140" spans="1:1" ht="13.8" x14ac:dyDescent="0.25">
      <c r="A3140" s="8"/>
    </row>
    <row r="3141" spans="1:1" ht="13.8" x14ac:dyDescent="0.25">
      <c r="A3141" s="8"/>
    </row>
    <row r="3142" spans="1:1" ht="13.8" x14ac:dyDescent="0.25">
      <c r="A3142" s="8"/>
    </row>
    <row r="3143" spans="1:1" ht="13.8" x14ac:dyDescent="0.25">
      <c r="A3143" s="8"/>
    </row>
    <row r="3144" spans="1:1" ht="13.8" x14ac:dyDescent="0.25">
      <c r="A3144" s="8"/>
    </row>
    <row r="3145" spans="1:1" ht="13.8" x14ac:dyDescent="0.25">
      <c r="A3145" s="8"/>
    </row>
    <row r="3146" spans="1:1" ht="13.8" x14ac:dyDescent="0.25">
      <c r="A3146" s="8"/>
    </row>
    <row r="3147" spans="1:1" ht="13.8" x14ac:dyDescent="0.25">
      <c r="A3147" s="8"/>
    </row>
    <row r="3148" spans="1:1" ht="13.8" x14ac:dyDescent="0.25">
      <c r="A3148" s="8"/>
    </row>
    <row r="3149" spans="1:1" ht="13.8" x14ac:dyDescent="0.25">
      <c r="A3149" s="8"/>
    </row>
    <row r="3150" spans="1:1" ht="13.8" x14ac:dyDescent="0.25">
      <c r="A3150" s="8"/>
    </row>
    <row r="3151" spans="1:1" ht="13.8" x14ac:dyDescent="0.25">
      <c r="A3151" s="8"/>
    </row>
    <row r="3152" spans="1:1" ht="13.8" x14ac:dyDescent="0.25">
      <c r="A3152" s="8"/>
    </row>
    <row r="3153" spans="1:1" ht="13.8" x14ac:dyDescent="0.25">
      <c r="A3153" s="8"/>
    </row>
    <row r="3154" spans="1:1" ht="13.8" x14ac:dyDescent="0.25">
      <c r="A3154" s="8"/>
    </row>
    <row r="3155" spans="1:1" ht="13.8" x14ac:dyDescent="0.25">
      <c r="A3155" s="8"/>
    </row>
    <row r="3156" spans="1:1" ht="13.8" x14ac:dyDescent="0.25">
      <c r="A3156" s="8"/>
    </row>
    <row r="3157" spans="1:1" ht="13.8" x14ac:dyDescent="0.25">
      <c r="A3157" s="8"/>
    </row>
    <row r="3158" spans="1:1" ht="13.8" x14ac:dyDescent="0.25">
      <c r="A3158" s="8"/>
    </row>
    <row r="3159" spans="1:1" ht="13.8" x14ac:dyDescent="0.25">
      <c r="A3159" s="8"/>
    </row>
    <row r="3160" spans="1:1" ht="13.8" x14ac:dyDescent="0.25">
      <c r="A3160" s="8"/>
    </row>
    <row r="3161" spans="1:1" ht="13.8" x14ac:dyDescent="0.25">
      <c r="A3161" s="8"/>
    </row>
    <row r="3162" spans="1:1" ht="13.8" x14ac:dyDescent="0.25">
      <c r="A3162" s="8"/>
    </row>
    <row r="3163" spans="1:1" ht="13.8" x14ac:dyDescent="0.25">
      <c r="A3163" s="8"/>
    </row>
    <row r="3164" spans="1:1" ht="13.8" x14ac:dyDescent="0.25">
      <c r="A3164" s="8"/>
    </row>
    <row r="3165" spans="1:1" ht="13.8" x14ac:dyDescent="0.25">
      <c r="A3165" s="8"/>
    </row>
    <row r="3166" spans="1:1" ht="13.8" x14ac:dyDescent="0.25">
      <c r="A3166" s="8"/>
    </row>
    <row r="3167" spans="1:1" ht="13.8" x14ac:dyDescent="0.25">
      <c r="A3167" s="8"/>
    </row>
    <row r="3168" spans="1:1" ht="13.8" x14ac:dyDescent="0.25">
      <c r="A3168" s="8"/>
    </row>
    <row r="3169" spans="1:1" ht="13.8" x14ac:dyDescent="0.25">
      <c r="A3169" s="8"/>
    </row>
    <row r="3170" spans="1:1" ht="13.8" x14ac:dyDescent="0.25">
      <c r="A3170" s="8"/>
    </row>
    <row r="3171" spans="1:1" ht="13.8" x14ac:dyDescent="0.25">
      <c r="A3171" s="8"/>
    </row>
    <row r="3172" spans="1:1" ht="13.8" x14ac:dyDescent="0.25">
      <c r="A3172" s="8"/>
    </row>
    <row r="3173" spans="1:1" ht="13.8" x14ac:dyDescent="0.25">
      <c r="A3173" s="8"/>
    </row>
    <row r="3174" spans="1:1" ht="13.8" x14ac:dyDescent="0.25">
      <c r="A3174" s="8"/>
    </row>
    <row r="3175" spans="1:1" ht="13.8" x14ac:dyDescent="0.25">
      <c r="A3175" s="8"/>
    </row>
    <row r="3176" spans="1:1" ht="13.8" x14ac:dyDescent="0.25">
      <c r="A3176" s="8"/>
    </row>
    <row r="3177" spans="1:1" ht="13.8" x14ac:dyDescent="0.25">
      <c r="A3177" s="8"/>
    </row>
    <row r="3178" spans="1:1" ht="13.8" x14ac:dyDescent="0.25">
      <c r="A3178" s="8"/>
    </row>
    <row r="3179" spans="1:1" ht="13.8" x14ac:dyDescent="0.25">
      <c r="A3179" s="8"/>
    </row>
    <row r="3180" spans="1:1" ht="13.8" x14ac:dyDescent="0.25">
      <c r="A3180" s="8"/>
    </row>
    <row r="3181" spans="1:1" ht="13.8" x14ac:dyDescent="0.25">
      <c r="A3181" s="8"/>
    </row>
    <row r="3182" spans="1:1" ht="13.8" x14ac:dyDescent="0.25">
      <c r="A3182" s="8"/>
    </row>
    <row r="3183" spans="1:1" ht="13.8" x14ac:dyDescent="0.25">
      <c r="A3183" s="8"/>
    </row>
    <row r="3184" spans="1:1" ht="13.8" x14ac:dyDescent="0.25">
      <c r="A3184" s="8"/>
    </row>
    <row r="3185" spans="1:1" ht="13.8" x14ac:dyDescent="0.25">
      <c r="A3185" s="8"/>
    </row>
    <row r="3186" spans="1:1" ht="13.8" x14ac:dyDescent="0.25">
      <c r="A3186" s="8"/>
    </row>
    <row r="3187" spans="1:1" ht="13.8" x14ac:dyDescent="0.25">
      <c r="A3187" s="8"/>
    </row>
    <row r="3188" spans="1:1" ht="13.8" x14ac:dyDescent="0.25">
      <c r="A3188" s="8"/>
    </row>
    <row r="3189" spans="1:1" ht="13.8" x14ac:dyDescent="0.25">
      <c r="A3189" s="8"/>
    </row>
    <row r="3190" spans="1:1" ht="13.8" x14ac:dyDescent="0.25">
      <c r="A3190" s="8"/>
    </row>
    <row r="3191" spans="1:1" ht="13.8" x14ac:dyDescent="0.25">
      <c r="A3191" s="8"/>
    </row>
    <row r="3192" spans="1:1" ht="13.8" x14ac:dyDescent="0.25">
      <c r="A3192" s="8"/>
    </row>
    <row r="3193" spans="1:1" ht="13.8" x14ac:dyDescent="0.25">
      <c r="A3193" s="8"/>
    </row>
    <row r="3194" spans="1:1" ht="13.8" x14ac:dyDescent="0.25">
      <c r="A3194" s="8"/>
    </row>
    <row r="3195" spans="1:1" ht="13.8" x14ac:dyDescent="0.25">
      <c r="A3195" s="8"/>
    </row>
    <row r="3196" spans="1:1" ht="13.8" x14ac:dyDescent="0.25">
      <c r="A3196" s="8"/>
    </row>
    <row r="3197" spans="1:1" ht="13.8" x14ac:dyDescent="0.25">
      <c r="A3197" s="8"/>
    </row>
    <row r="3198" spans="1:1" ht="13.8" x14ac:dyDescent="0.25">
      <c r="A3198" s="8"/>
    </row>
    <row r="3199" spans="1:1" ht="13.8" x14ac:dyDescent="0.25">
      <c r="A3199" s="8"/>
    </row>
    <row r="3200" spans="1:1" ht="13.8" x14ac:dyDescent="0.25">
      <c r="A3200" s="8"/>
    </row>
    <row r="3201" spans="1:1" ht="13.8" x14ac:dyDescent="0.25">
      <c r="A3201" s="8"/>
    </row>
    <row r="3202" spans="1:1" ht="13.8" x14ac:dyDescent="0.25">
      <c r="A3202" s="8"/>
    </row>
    <row r="3203" spans="1:1" ht="13.8" x14ac:dyDescent="0.25">
      <c r="A3203" s="8"/>
    </row>
    <row r="3204" spans="1:1" ht="13.8" x14ac:dyDescent="0.25">
      <c r="A3204" s="8"/>
    </row>
    <row r="3205" spans="1:1" ht="13.8" x14ac:dyDescent="0.25">
      <c r="A3205" s="8"/>
    </row>
    <row r="3206" spans="1:1" ht="13.8" x14ac:dyDescent="0.25">
      <c r="A3206" s="8"/>
    </row>
    <row r="3207" spans="1:1" ht="13.8" x14ac:dyDescent="0.25">
      <c r="A3207" s="8"/>
    </row>
    <row r="3208" spans="1:1" ht="13.8" x14ac:dyDescent="0.25">
      <c r="A3208" s="8"/>
    </row>
    <row r="3209" spans="1:1" ht="13.8" x14ac:dyDescent="0.25">
      <c r="A3209" s="8"/>
    </row>
    <row r="3210" spans="1:1" ht="13.8" x14ac:dyDescent="0.25">
      <c r="A3210" s="8"/>
    </row>
    <row r="3211" spans="1:1" ht="13.8" x14ac:dyDescent="0.25">
      <c r="A3211" s="8"/>
    </row>
    <row r="3212" spans="1:1" ht="13.8" x14ac:dyDescent="0.25">
      <c r="A3212" s="8"/>
    </row>
    <row r="3213" spans="1:1" ht="13.8" x14ac:dyDescent="0.25">
      <c r="A3213" s="8"/>
    </row>
    <row r="3214" spans="1:1" ht="13.8" x14ac:dyDescent="0.25">
      <c r="A3214" s="8"/>
    </row>
    <row r="3215" spans="1:1" ht="13.8" x14ac:dyDescent="0.25">
      <c r="A3215" s="8"/>
    </row>
    <row r="3216" spans="1:1" ht="13.8" x14ac:dyDescent="0.25">
      <c r="A3216" s="8"/>
    </row>
    <row r="3217" spans="1:1" ht="13.8" x14ac:dyDescent="0.25">
      <c r="A3217" s="8"/>
    </row>
    <row r="3218" spans="1:1" ht="13.8" x14ac:dyDescent="0.25">
      <c r="A3218" s="8"/>
    </row>
    <row r="3219" spans="1:1" ht="13.8" x14ac:dyDescent="0.25">
      <c r="A3219" s="8"/>
    </row>
    <row r="3220" spans="1:1" ht="13.8" x14ac:dyDescent="0.25">
      <c r="A3220" s="8"/>
    </row>
    <row r="3221" spans="1:1" ht="13.8" x14ac:dyDescent="0.25">
      <c r="A3221" s="8"/>
    </row>
    <row r="3222" spans="1:1" ht="13.8" x14ac:dyDescent="0.25">
      <c r="A3222" s="8"/>
    </row>
    <row r="3223" spans="1:1" ht="13.8" x14ac:dyDescent="0.25">
      <c r="A3223" s="8"/>
    </row>
    <row r="3224" spans="1:1" ht="13.8" x14ac:dyDescent="0.25">
      <c r="A3224" s="8"/>
    </row>
    <row r="3225" spans="1:1" ht="13.8" x14ac:dyDescent="0.25">
      <c r="A3225" s="8"/>
    </row>
    <row r="3226" spans="1:1" ht="13.8" x14ac:dyDescent="0.25">
      <c r="A3226" s="8"/>
    </row>
    <row r="3227" spans="1:1" ht="13.8" x14ac:dyDescent="0.25">
      <c r="A3227" s="8"/>
    </row>
    <row r="3228" spans="1:1" ht="13.8" x14ac:dyDescent="0.25">
      <c r="A3228" s="8"/>
    </row>
    <row r="3229" spans="1:1" ht="13.8" x14ac:dyDescent="0.25">
      <c r="A3229" s="8"/>
    </row>
    <row r="3230" spans="1:1" ht="13.8" x14ac:dyDescent="0.25">
      <c r="A3230" s="8"/>
    </row>
    <row r="3231" spans="1:1" ht="13.8" x14ac:dyDescent="0.25">
      <c r="A3231" s="8"/>
    </row>
    <row r="3232" spans="1:1" ht="13.8" x14ac:dyDescent="0.25">
      <c r="A3232" s="8"/>
    </row>
    <row r="3233" spans="1:1" ht="13.8" x14ac:dyDescent="0.25">
      <c r="A3233" s="8"/>
    </row>
    <row r="3234" spans="1:1" ht="13.8" x14ac:dyDescent="0.25">
      <c r="A3234" s="8"/>
    </row>
    <row r="3235" spans="1:1" ht="13.8" x14ac:dyDescent="0.25">
      <c r="A3235" s="8"/>
    </row>
    <row r="3236" spans="1:1" ht="13.8" x14ac:dyDescent="0.25">
      <c r="A3236" s="8"/>
    </row>
    <row r="3237" spans="1:1" ht="13.8" x14ac:dyDescent="0.25">
      <c r="A3237" s="8"/>
    </row>
    <row r="3238" spans="1:1" ht="13.8" x14ac:dyDescent="0.25">
      <c r="A3238" s="8"/>
    </row>
    <row r="3239" spans="1:1" ht="13.8" x14ac:dyDescent="0.25">
      <c r="A3239" s="8"/>
    </row>
    <row r="3240" spans="1:1" ht="13.8" x14ac:dyDescent="0.25">
      <c r="A3240" s="8"/>
    </row>
    <row r="3241" spans="1:1" ht="13.8" x14ac:dyDescent="0.25">
      <c r="A3241" s="8"/>
    </row>
    <row r="3242" spans="1:1" ht="13.8" x14ac:dyDescent="0.25">
      <c r="A3242" s="8"/>
    </row>
    <row r="3243" spans="1:1" ht="13.8" x14ac:dyDescent="0.25">
      <c r="A3243" s="8"/>
    </row>
    <row r="3244" spans="1:1" ht="13.8" x14ac:dyDescent="0.25">
      <c r="A3244" s="8"/>
    </row>
    <row r="3245" spans="1:1" ht="13.8" x14ac:dyDescent="0.25">
      <c r="A3245" s="8"/>
    </row>
    <row r="3246" spans="1:1" ht="13.8" x14ac:dyDescent="0.25">
      <c r="A3246" s="8"/>
    </row>
    <row r="3247" spans="1:1" ht="13.8" x14ac:dyDescent="0.25">
      <c r="A3247" s="8"/>
    </row>
    <row r="3248" spans="1:1" ht="13.8" x14ac:dyDescent="0.25">
      <c r="A3248" s="8"/>
    </row>
    <row r="3249" spans="1:1" ht="13.8" x14ac:dyDescent="0.25">
      <c r="A3249" s="8"/>
    </row>
    <row r="3250" spans="1:1" ht="13.8" x14ac:dyDescent="0.25">
      <c r="A3250" s="8"/>
    </row>
    <row r="3251" spans="1:1" ht="13.8" x14ac:dyDescent="0.25">
      <c r="A3251" s="8"/>
    </row>
    <row r="3252" spans="1:1" ht="13.8" x14ac:dyDescent="0.25">
      <c r="A3252" s="8"/>
    </row>
    <row r="3253" spans="1:1" ht="13.8" x14ac:dyDescent="0.25">
      <c r="A3253" s="8"/>
    </row>
    <row r="3254" spans="1:1" ht="13.8" x14ac:dyDescent="0.25">
      <c r="A3254" s="8"/>
    </row>
    <row r="3255" spans="1:1" ht="13.8" x14ac:dyDescent="0.25">
      <c r="A3255" s="8"/>
    </row>
    <row r="3256" spans="1:1" ht="13.8" x14ac:dyDescent="0.25">
      <c r="A3256" s="8"/>
    </row>
    <row r="3257" spans="1:1" ht="13.8" x14ac:dyDescent="0.25">
      <c r="A3257" s="8"/>
    </row>
    <row r="3258" spans="1:1" ht="13.8" x14ac:dyDescent="0.25">
      <c r="A3258" s="8"/>
    </row>
    <row r="3259" spans="1:1" ht="13.8" x14ac:dyDescent="0.25">
      <c r="A3259" s="8"/>
    </row>
    <row r="3260" spans="1:1" ht="13.8" x14ac:dyDescent="0.25">
      <c r="A3260" s="8"/>
    </row>
    <row r="3261" spans="1:1" ht="13.8" x14ac:dyDescent="0.25">
      <c r="A3261" s="8"/>
    </row>
    <row r="3262" spans="1:1" ht="13.8" x14ac:dyDescent="0.25">
      <c r="A3262" s="8"/>
    </row>
    <row r="3263" spans="1:1" ht="13.8" x14ac:dyDescent="0.25">
      <c r="A3263" s="8"/>
    </row>
    <row r="3264" spans="1:1" ht="13.8" x14ac:dyDescent="0.25">
      <c r="A3264" s="8"/>
    </row>
    <row r="3265" spans="1:1" ht="13.8" x14ac:dyDescent="0.25">
      <c r="A3265" s="8"/>
    </row>
    <row r="3266" spans="1:1" ht="13.8" x14ac:dyDescent="0.25">
      <c r="A3266" s="8"/>
    </row>
    <row r="3267" spans="1:1" ht="13.8" x14ac:dyDescent="0.25">
      <c r="A3267" s="8"/>
    </row>
    <row r="3268" spans="1:1" ht="13.8" x14ac:dyDescent="0.25">
      <c r="A3268" s="8"/>
    </row>
    <row r="3269" spans="1:1" ht="13.8" x14ac:dyDescent="0.25">
      <c r="A3269" s="8"/>
    </row>
    <row r="3270" spans="1:1" ht="13.8" x14ac:dyDescent="0.25">
      <c r="A3270" s="8"/>
    </row>
    <row r="3271" spans="1:1" ht="13.8" x14ac:dyDescent="0.25">
      <c r="A3271" s="8"/>
    </row>
    <row r="3272" spans="1:1" ht="13.8" x14ac:dyDescent="0.25">
      <c r="A3272" s="8"/>
    </row>
    <row r="3273" spans="1:1" ht="13.8" x14ac:dyDescent="0.25">
      <c r="A3273" s="8"/>
    </row>
    <row r="3274" spans="1:1" ht="13.8" x14ac:dyDescent="0.25">
      <c r="A3274" s="8"/>
    </row>
    <row r="3275" spans="1:1" ht="13.8" x14ac:dyDescent="0.25">
      <c r="A3275" s="8"/>
    </row>
    <row r="3276" spans="1:1" ht="13.8" x14ac:dyDescent="0.25">
      <c r="A3276" s="8"/>
    </row>
    <row r="3277" spans="1:1" ht="13.8" x14ac:dyDescent="0.25">
      <c r="A3277" s="8"/>
    </row>
    <row r="3278" spans="1:1" ht="13.8" x14ac:dyDescent="0.25">
      <c r="A3278" s="8"/>
    </row>
    <row r="3279" spans="1:1" ht="13.8" x14ac:dyDescent="0.25">
      <c r="A3279" s="8"/>
    </row>
    <row r="3280" spans="1:1" ht="13.8" x14ac:dyDescent="0.25">
      <c r="A3280" s="8"/>
    </row>
    <row r="3281" spans="1:1" ht="13.8" x14ac:dyDescent="0.25">
      <c r="A3281" s="8"/>
    </row>
    <row r="3282" spans="1:1" ht="13.8" x14ac:dyDescent="0.25">
      <c r="A3282" s="8"/>
    </row>
    <row r="3283" spans="1:1" ht="13.8" x14ac:dyDescent="0.25">
      <c r="A3283" s="8"/>
    </row>
    <row r="3284" spans="1:1" ht="13.8" x14ac:dyDescent="0.25">
      <c r="A3284" s="8"/>
    </row>
    <row r="3285" spans="1:1" ht="13.8" x14ac:dyDescent="0.25">
      <c r="A3285" s="8"/>
    </row>
    <row r="3286" spans="1:1" ht="13.8" x14ac:dyDescent="0.25">
      <c r="A3286" s="8"/>
    </row>
    <row r="3287" spans="1:1" ht="13.8" x14ac:dyDescent="0.25">
      <c r="A3287" s="8"/>
    </row>
    <row r="3288" spans="1:1" ht="13.8" x14ac:dyDescent="0.25">
      <c r="A3288" s="8"/>
    </row>
    <row r="3289" spans="1:1" ht="13.8" x14ac:dyDescent="0.25">
      <c r="A3289" s="8"/>
    </row>
    <row r="3290" spans="1:1" ht="13.8" x14ac:dyDescent="0.25">
      <c r="A3290" s="8"/>
    </row>
    <row r="3291" spans="1:1" ht="13.8" x14ac:dyDescent="0.25">
      <c r="A3291" s="8"/>
    </row>
    <row r="3292" spans="1:1" ht="13.8" x14ac:dyDescent="0.25">
      <c r="A3292" s="8"/>
    </row>
    <row r="3293" spans="1:1" ht="13.8" x14ac:dyDescent="0.25">
      <c r="A3293" s="8"/>
    </row>
    <row r="3294" spans="1:1" ht="13.8" x14ac:dyDescent="0.25">
      <c r="A3294" s="8"/>
    </row>
    <row r="3295" spans="1:1" ht="13.8" x14ac:dyDescent="0.25">
      <c r="A3295" s="8"/>
    </row>
    <row r="3296" spans="1:1" ht="13.8" x14ac:dyDescent="0.25">
      <c r="A3296" s="8"/>
    </row>
    <row r="3297" spans="1:1" ht="13.8" x14ac:dyDescent="0.25">
      <c r="A3297" s="8"/>
    </row>
    <row r="3298" spans="1:1" ht="13.8" x14ac:dyDescent="0.25">
      <c r="A3298" s="8"/>
    </row>
    <row r="3299" spans="1:1" ht="13.8" x14ac:dyDescent="0.25">
      <c r="A3299" s="8"/>
    </row>
    <row r="3300" spans="1:1" ht="13.8" x14ac:dyDescent="0.25">
      <c r="A3300" s="8"/>
    </row>
    <row r="3301" spans="1:1" ht="13.8" x14ac:dyDescent="0.25">
      <c r="A3301" s="8"/>
    </row>
    <row r="3302" spans="1:1" ht="13.8" x14ac:dyDescent="0.25">
      <c r="A3302" s="8"/>
    </row>
    <row r="3303" spans="1:1" ht="13.8" x14ac:dyDescent="0.25">
      <c r="A3303" s="8"/>
    </row>
    <row r="3304" spans="1:1" ht="13.8" x14ac:dyDescent="0.25">
      <c r="A3304" s="8"/>
    </row>
    <row r="3305" spans="1:1" ht="13.8" x14ac:dyDescent="0.25">
      <c r="A3305" s="8"/>
    </row>
    <row r="3306" spans="1:1" ht="13.8" x14ac:dyDescent="0.25">
      <c r="A3306" s="8"/>
    </row>
    <row r="3307" spans="1:1" ht="13.8" x14ac:dyDescent="0.25">
      <c r="A3307" s="8"/>
    </row>
    <row r="3308" spans="1:1" ht="13.8" x14ac:dyDescent="0.25">
      <c r="A3308" s="8"/>
    </row>
    <row r="3309" spans="1:1" ht="13.8" x14ac:dyDescent="0.25">
      <c r="A3309" s="8"/>
    </row>
    <row r="3310" spans="1:1" ht="13.8" x14ac:dyDescent="0.25">
      <c r="A3310" s="8"/>
    </row>
    <row r="3311" spans="1:1" ht="13.8" x14ac:dyDescent="0.25">
      <c r="A3311" s="8"/>
    </row>
    <row r="3312" spans="1:1" ht="13.8" x14ac:dyDescent="0.25">
      <c r="A3312" s="8"/>
    </row>
    <row r="3313" spans="1:1" ht="13.8" x14ac:dyDescent="0.25">
      <c r="A3313" s="8"/>
    </row>
    <row r="3314" spans="1:1" ht="13.8" x14ac:dyDescent="0.25">
      <c r="A3314" s="8"/>
    </row>
    <row r="3315" spans="1:1" ht="13.8" x14ac:dyDescent="0.25">
      <c r="A3315" s="8"/>
    </row>
    <row r="3316" spans="1:1" ht="13.8" x14ac:dyDescent="0.25">
      <c r="A3316" s="8"/>
    </row>
    <row r="3317" spans="1:1" ht="13.8" x14ac:dyDescent="0.25">
      <c r="A3317" s="8"/>
    </row>
    <row r="3318" spans="1:1" ht="13.8" x14ac:dyDescent="0.25">
      <c r="A3318" s="8"/>
    </row>
    <row r="3319" spans="1:1" ht="13.8" x14ac:dyDescent="0.25">
      <c r="A3319" s="8"/>
    </row>
    <row r="3320" spans="1:1" ht="13.8" x14ac:dyDescent="0.25">
      <c r="A3320" s="8"/>
    </row>
    <row r="3321" spans="1:1" ht="13.8" x14ac:dyDescent="0.25">
      <c r="A3321" s="8"/>
    </row>
    <row r="3322" spans="1:1" ht="13.8" x14ac:dyDescent="0.25">
      <c r="A3322" s="8"/>
    </row>
    <row r="3323" spans="1:1" ht="13.8" x14ac:dyDescent="0.25">
      <c r="A3323" s="8"/>
    </row>
    <row r="3324" spans="1:1" ht="13.8" x14ac:dyDescent="0.25">
      <c r="A3324" s="8"/>
    </row>
    <row r="3325" spans="1:1" ht="13.8" x14ac:dyDescent="0.25">
      <c r="A3325" s="8"/>
    </row>
    <row r="3326" spans="1:1" ht="13.8" x14ac:dyDescent="0.25">
      <c r="A3326" s="8"/>
    </row>
    <row r="3327" spans="1:1" ht="13.8" x14ac:dyDescent="0.25">
      <c r="A3327" s="8"/>
    </row>
    <row r="3328" spans="1:1" ht="13.8" x14ac:dyDescent="0.25">
      <c r="A3328" s="8"/>
    </row>
    <row r="3329" spans="1:1" ht="13.8" x14ac:dyDescent="0.25">
      <c r="A3329" s="8"/>
    </row>
    <row r="3330" spans="1:1" ht="13.8" x14ac:dyDescent="0.25">
      <c r="A3330" s="8"/>
    </row>
    <row r="3331" spans="1:1" ht="13.8" x14ac:dyDescent="0.25">
      <c r="A3331" s="8"/>
    </row>
    <row r="3332" spans="1:1" ht="13.8" x14ac:dyDescent="0.25">
      <c r="A3332" s="8"/>
    </row>
    <row r="3333" spans="1:1" ht="13.8" x14ac:dyDescent="0.25">
      <c r="A3333" s="8"/>
    </row>
    <row r="3334" spans="1:1" ht="13.8" x14ac:dyDescent="0.25">
      <c r="A3334" s="8"/>
    </row>
    <row r="3335" spans="1:1" ht="13.8" x14ac:dyDescent="0.25">
      <c r="A3335" s="8"/>
    </row>
    <row r="3336" spans="1:1" ht="13.8" x14ac:dyDescent="0.25">
      <c r="A3336" s="8"/>
    </row>
    <row r="3337" spans="1:1" ht="13.8" x14ac:dyDescent="0.25">
      <c r="A3337" s="8"/>
    </row>
    <row r="3338" spans="1:1" ht="13.8" x14ac:dyDescent="0.25">
      <c r="A3338" s="8"/>
    </row>
    <row r="3339" spans="1:1" ht="13.8" x14ac:dyDescent="0.25">
      <c r="A3339" s="8"/>
    </row>
    <row r="3340" spans="1:1" ht="13.8" x14ac:dyDescent="0.25">
      <c r="A3340" s="8"/>
    </row>
    <row r="3341" spans="1:1" ht="13.8" x14ac:dyDescent="0.25">
      <c r="A3341" s="8"/>
    </row>
    <row r="3342" spans="1:1" ht="13.8" x14ac:dyDescent="0.25">
      <c r="A3342" s="8"/>
    </row>
    <row r="3343" spans="1:1" ht="13.8" x14ac:dyDescent="0.25">
      <c r="A3343" s="8"/>
    </row>
    <row r="3344" spans="1:1" ht="13.8" x14ac:dyDescent="0.25">
      <c r="A3344" s="8"/>
    </row>
    <row r="3345" spans="1:1" ht="13.8" x14ac:dyDescent="0.25">
      <c r="A3345" s="8"/>
    </row>
    <row r="3346" spans="1:1" ht="13.8" x14ac:dyDescent="0.25">
      <c r="A3346" s="8"/>
    </row>
    <row r="3347" spans="1:1" ht="13.8" x14ac:dyDescent="0.25">
      <c r="A3347" s="8"/>
    </row>
    <row r="3348" spans="1:1" ht="13.8" x14ac:dyDescent="0.25">
      <c r="A3348" s="8"/>
    </row>
    <row r="3349" spans="1:1" ht="13.8" x14ac:dyDescent="0.25">
      <c r="A3349" s="8"/>
    </row>
    <row r="3350" spans="1:1" ht="13.8" x14ac:dyDescent="0.25">
      <c r="A3350" s="8"/>
    </row>
    <row r="3351" spans="1:1" ht="13.8" x14ac:dyDescent="0.25">
      <c r="A3351" s="8"/>
    </row>
    <row r="3352" spans="1:1" ht="13.8" x14ac:dyDescent="0.25">
      <c r="A3352" s="8"/>
    </row>
    <row r="3353" spans="1:1" ht="13.8" x14ac:dyDescent="0.25">
      <c r="A3353" s="8"/>
    </row>
    <row r="3354" spans="1:1" ht="13.8" x14ac:dyDescent="0.25">
      <c r="A3354" s="8"/>
    </row>
    <row r="3355" spans="1:1" ht="13.8" x14ac:dyDescent="0.25">
      <c r="A3355" s="8"/>
    </row>
    <row r="3356" spans="1:1" ht="13.8" x14ac:dyDescent="0.25">
      <c r="A3356" s="8"/>
    </row>
    <row r="3357" spans="1:1" ht="13.8" x14ac:dyDescent="0.25">
      <c r="A3357" s="8"/>
    </row>
    <row r="3358" spans="1:1" ht="13.8" x14ac:dyDescent="0.25">
      <c r="A3358" s="8"/>
    </row>
    <row r="3359" spans="1:1" ht="13.8" x14ac:dyDescent="0.25">
      <c r="A3359" s="8"/>
    </row>
    <row r="3360" spans="1:1" ht="13.8" x14ac:dyDescent="0.25">
      <c r="A3360" s="8"/>
    </row>
    <row r="3361" spans="1:1" ht="13.8" x14ac:dyDescent="0.25">
      <c r="A3361" s="8"/>
    </row>
    <row r="3362" spans="1:1" ht="13.8" x14ac:dyDescent="0.25">
      <c r="A3362" s="8"/>
    </row>
    <row r="3363" spans="1:1" ht="13.8" x14ac:dyDescent="0.25">
      <c r="A3363" s="8"/>
    </row>
    <row r="3364" spans="1:1" ht="13.8" x14ac:dyDescent="0.25">
      <c r="A3364" s="8"/>
    </row>
    <row r="3365" spans="1:1" ht="13.8" x14ac:dyDescent="0.25">
      <c r="A3365" s="8"/>
    </row>
    <row r="3366" spans="1:1" ht="13.8" x14ac:dyDescent="0.25">
      <c r="A3366" s="8"/>
    </row>
    <row r="3367" spans="1:1" ht="13.8" x14ac:dyDescent="0.25">
      <c r="A3367" s="8"/>
    </row>
    <row r="3368" spans="1:1" ht="13.8" x14ac:dyDescent="0.25">
      <c r="A3368" s="8"/>
    </row>
    <row r="3369" spans="1:1" ht="13.8" x14ac:dyDescent="0.25">
      <c r="A3369" s="8"/>
    </row>
    <row r="3370" spans="1:1" ht="13.8" x14ac:dyDescent="0.25">
      <c r="A3370" s="8"/>
    </row>
    <row r="3371" spans="1:1" ht="13.8" x14ac:dyDescent="0.25">
      <c r="A3371" s="8"/>
    </row>
    <row r="3372" spans="1:1" ht="13.8" x14ac:dyDescent="0.25">
      <c r="A3372" s="8"/>
    </row>
    <row r="3373" spans="1:1" ht="13.8" x14ac:dyDescent="0.25">
      <c r="A3373" s="8"/>
    </row>
    <row r="3374" spans="1:1" ht="13.8" x14ac:dyDescent="0.25">
      <c r="A3374" s="8"/>
    </row>
    <row r="3375" spans="1:1" ht="13.8" x14ac:dyDescent="0.25">
      <c r="A3375" s="8"/>
    </row>
    <row r="3376" spans="1:1" ht="13.8" x14ac:dyDescent="0.25">
      <c r="A3376" s="8"/>
    </row>
    <row r="3377" spans="1:1" ht="13.8" x14ac:dyDescent="0.25">
      <c r="A3377" s="8"/>
    </row>
    <row r="3378" spans="1:1" ht="13.8" x14ac:dyDescent="0.25">
      <c r="A3378" s="8"/>
    </row>
    <row r="3379" spans="1:1" ht="13.8" x14ac:dyDescent="0.25">
      <c r="A3379" s="8"/>
    </row>
    <row r="3380" spans="1:1" ht="13.8" x14ac:dyDescent="0.25">
      <c r="A3380" s="8"/>
    </row>
    <row r="3381" spans="1:1" ht="13.8" x14ac:dyDescent="0.25">
      <c r="A3381" s="8"/>
    </row>
    <row r="3382" spans="1:1" ht="13.8" x14ac:dyDescent="0.25">
      <c r="A3382" s="8"/>
    </row>
    <row r="3383" spans="1:1" ht="13.8" x14ac:dyDescent="0.25">
      <c r="A3383" s="8"/>
    </row>
    <row r="3384" spans="1:1" ht="13.8" x14ac:dyDescent="0.25">
      <c r="A3384" s="8"/>
    </row>
    <row r="3385" spans="1:1" ht="13.8" x14ac:dyDescent="0.25">
      <c r="A3385" s="8"/>
    </row>
    <row r="3386" spans="1:1" ht="13.8" x14ac:dyDescent="0.25">
      <c r="A3386" s="8"/>
    </row>
    <row r="3387" spans="1:1" ht="13.8" x14ac:dyDescent="0.25">
      <c r="A3387" s="8"/>
    </row>
    <row r="3388" spans="1:1" ht="13.8" x14ac:dyDescent="0.25">
      <c r="A3388" s="8"/>
    </row>
    <row r="3389" spans="1:1" ht="13.8" x14ac:dyDescent="0.25">
      <c r="A3389" s="8"/>
    </row>
    <row r="3390" spans="1:1" ht="13.8" x14ac:dyDescent="0.25">
      <c r="A3390" s="8"/>
    </row>
    <row r="3391" spans="1:1" ht="13.8" x14ac:dyDescent="0.25">
      <c r="A3391" s="8"/>
    </row>
    <row r="3392" spans="1:1" ht="13.8" x14ac:dyDescent="0.25">
      <c r="A3392" s="8"/>
    </row>
    <row r="3393" spans="1:1" ht="13.8" x14ac:dyDescent="0.25">
      <c r="A3393" s="8"/>
    </row>
    <row r="3394" spans="1:1" ht="13.8" x14ac:dyDescent="0.25">
      <c r="A3394" s="8"/>
    </row>
    <row r="3395" spans="1:1" ht="13.8" x14ac:dyDescent="0.25">
      <c r="A3395" s="8"/>
    </row>
    <row r="3396" spans="1:1" ht="13.8" x14ac:dyDescent="0.25">
      <c r="A3396" s="8"/>
    </row>
    <row r="3397" spans="1:1" ht="13.8" x14ac:dyDescent="0.25">
      <c r="A3397" s="8"/>
    </row>
    <row r="3398" spans="1:1" ht="13.8" x14ac:dyDescent="0.25">
      <c r="A3398" s="8"/>
    </row>
    <row r="3399" spans="1:1" ht="13.8" x14ac:dyDescent="0.25">
      <c r="A3399" s="8"/>
    </row>
    <row r="3400" spans="1:1" ht="13.8" x14ac:dyDescent="0.25">
      <c r="A3400" s="8"/>
    </row>
    <row r="3401" spans="1:1" ht="13.8" x14ac:dyDescent="0.25">
      <c r="A3401" s="8"/>
    </row>
    <row r="3402" spans="1:1" ht="13.8" x14ac:dyDescent="0.25">
      <c r="A3402" s="8"/>
    </row>
    <row r="3403" spans="1:1" ht="13.8" x14ac:dyDescent="0.25">
      <c r="A3403" s="8"/>
    </row>
    <row r="3404" spans="1:1" ht="13.8" x14ac:dyDescent="0.25">
      <c r="A3404" s="8"/>
    </row>
    <row r="3405" spans="1:1" ht="13.8" x14ac:dyDescent="0.25">
      <c r="A3405" s="8"/>
    </row>
    <row r="3406" spans="1:1" ht="13.8" x14ac:dyDescent="0.25">
      <c r="A3406" s="8"/>
    </row>
    <row r="3407" spans="1:1" ht="13.8" x14ac:dyDescent="0.25">
      <c r="A3407" s="8"/>
    </row>
    <row r="3408" spans="1:1" ht="13.8" x14ac:dyDescent="0.25">
      <c r="A3408" s="8"/>
    </row>
    <row r="3409" spans="1:1" ht="13.8" x14ac:dyDescent="0.25">
      <c r="A3409" s="8"/>
    </row>
    <row r="3410" spans="1:1" ht="13.8" x14ac:dyDescent="0.25">
      <c r="A3410" s="8"/>
    </row>
    <row r="3411" spans="1:1" ht="13.8" x14ac:dyDescent="0.25">
      <c r="A3411" s="8"/>
    </row>
    <row r="3412" spans="1:1" ht="13.8" x14ac:dyDescent="0.25">
      <c r="A3412" s="8"/>
    </row>
    <row r="3413" spans="1:1" ht="13.8" x14ac:dyDescent="0.25">
      <c r="A3413" s="8"/>
    </row>
    <row r="3414" spans="1:1" ht="13.8" x14ac:dyDescent="0.25">
      <c r="A3414" s="8"/>
    </row>
    <row r="3415" spans="1:1" ht="13.8" x14ac:dyDescent="0.25">
      <c r="A3415" s="8"/>
    </row>
    <row r="3416" spans="1:1" ht="13.8" x14ac:dyDescent="0.25">
      <c r="A3416" s="8"/>
    </row>
    <row r="3417" spans="1:1" ht="13.8" x14ac:dyDescent="0.25">
      <c r="A3417" s="8"/>
    </row>
    <row r="3418" spans="1:1" ht="13.8" x14ac:dyDescent="0.25">
      <c r="A3418" s="8"/>
    </row>
    <row r="3419" spans="1:1" ht="13.8" x14ac:dyDescent="0.25">
      <c r="A3419" s="8"/>
    </row>
    <row r="3420" spans="1:1" ht="13.8" x14ac:dyDescent="0.25">
      <c r="A3420" s="8"/>
    </row>
    <row r="3421" spans="1:1" ht="13.8" x14ac:dyDescent="0.25">
      <c r="A3421" s="8"/>
    </row>
    <row r="3422" spans="1:1" ht="13.8" x14ac:dyDescent="0.25">
      <c r="A3422" s="8"/>
    </row>
    <row r="3423" spans="1:1" ht="13.8" x14ac:dyDescent="0.25">
      <c r="A3423" s="8"/>
    </row>
    <row r="3424" spans="1:1" ht="13.8" x14ac:dyDescent="0.25">
      <c r="A3424" s="8"/>
    </row>
    <row r="3425" spans="1:1" ht="13.8" x14ac:dyDescent="0.25">
      <c r="A3425" s="8"/>
    </row>
    <row r="3426" spans="1:1" ht="13.8" x14ac:dyDescent="0.25">
      <c r="A3426" s="8"/>
    </row>
    <row r="3427" spans="1:1" ht="13.8" x14ac:dyDescent="0.25">
      <c r="A3427" s="8"/>
    </row>
    <row r="3428" spans="1:1" ht="13.8" x14ac:dyDescent="0.25">
      <c r="A3428" s="8"/>
    </row>
    <row r="3429" spans="1:1" ht="13.8" x14ac:dyDescent="0.25">
      <c r="A3429" s="8"/>
    </row>
    <row r="3430" spans="1:1" ht="13.8" x14ac:dyDescent="0.25">
      <c r="A3430" s="8"/>
    </row>
    <row r="3431" spans="1:1" ht="13.8" x14ac:dyDescent="0.25">
      <c r="A3431" s="8"/>
    </row>
    <row r="3432" spans="1:1" ht="13.8" x14ac:dyDescent="0.25">
      <c r="A3432" s="8"/>
    </row>
    <row r="3433" spans="1:1" ht="13.8" x14ac:dyDescent="0.25">
      <c r="A3433" s="8"/>
    </row>
    <row r="3434" spans="1:1" ht="13.8" x14ac:dyDescent="0.25">
      <c r="A3434" s="8"/>
    </row>
    <row r="3435" spans="1:1" ht="13.8" x14ac:dyDescent="0.25">
      <c r="A3435" s="8"/>
    </row>
    <row r="3436" spans="1:1" ht="13.8" x14ac:dyDescent="0.25">
      <c r="A3436" s="8"/>
    </row>
    <row r="3437" spans="1:1" ht="13.8" x14ac:dyDescent="0.25">
      <c r="A3437" s="8"/>
    </row>
    <row r="3438" spans="1:1" ht="13.8" x14ac:dyDescent="0.25">
      <c r="A3438" s="8"/>
    </row>
    <row r="3439" spans="1:1" ht="13.8" x14ac:dyDescent="0.25">
      <c r="A3439" s="8"/>
    </row>
    <row r="3440" spans="1:1" ht="13.8" x14ac:dyDescent="0.25">
      <c r="A3440" s="8"/>
    </row>
    <row r="3441" spans="1:1" ht="13.8" x14ac:dyDescent="0.25">
      <c r="A3441" s="8"/>
    </row>
    <row r="3442" spans="1:1" ht="13.8" x14ac:dyDescent="0.25">
      <c r="A3442" s="8"/>
    </row>
    <row r="3443" spans="1:1" ht="13.8" x14ac:dyDescent="0.25">
      <c r="A3443" s="8"/>
    </row>
    <row r="3444" spans="1:1" ht="13.8" x14ac:dyDescent="0.25">
      <c r="A3444" s="8"/>
    </row>
    <row r="3445" spans="1:1" ht="13.8" x14ac:dyDescent="0.25">
      <c r="A3445" s="8"/>
    </row>
    <row r="3446" spans="1:1" ht="13.8" x14ac:dyDescent="0.25">
      <c r="A3446" s="8"/>
    </row>
    <row r="3447" spans="1:1" ht="13.8" x14ac:dyDescent="0.25">
      <c r="A3447" s="8"/>
    </row>
    <row r="3448" spans="1:1" ht="13.8" x14ac:dyDescent="0.25">
      <c r="A3448" s="8"/>
    </row>
    <row r="3449" spans="1:1" ht="13.8" x14ac:dyDescent="0.25">
      <c r="A3449" s="8"/>
    </row>
    <row r="3450" spans="1:1" ht="13.8" x14ac:dyDescent="0.25">
      <c r="A3450" s="8"/>
    </row>
    <row r="3451" spans="1:1" ht="13.8" x14ac:dyDescent="0.25">
      <c r="A3451" s="8"/>
    </row>
    <row r="3452" spans="1:1" ht="13.8" x14ac:dyDescent="0.25">
      <c r="A3452" s="8"/>
    </row>
    <row r="3453" spans="1:1" ht="13.8" x14ac:dyDescent="0.25">
      <c r="A3453" s="8"/>
    </row>
    <row r="3454" spans="1:1" ht="13.8" x14ac:dyDescent="0.25">
      <c r="A3454" s="8"/>
    </row>
    <row r="3455" spans="1:1" ht="13.8" x14ac:dyDescent="0.25">
      <c r="A3455" s="8"/>
    </row>
    <row r="3456" spans="1:1" ht="13.8" x14ac:dyDescent="0.25">
      <c r="A3456" s="8"/>
    </row>
    <row r="3457" spans="1:1" ht="13.8" x14ac:dyDescent="0.25">
      <c r="A3457" s="8"/>
    </row>
    <row r="3458" spans="1:1" ht="13.8" x14ac:dyDescent="0.25">
      <c r="A3458" s="8"/>
    </row>
    <row r="3459" spans="1:1" ht="13.8" x14ac:dyDescent="0.25">
      <c r="A3459" s="8"/>
    </row>
    <row r="3460" spans="1:1" ht="13.8" x14ac:dyDescent="0.25">
      <c r="A3460" s="8"/>
    </row>
    <row r="3461" spans="1:1" ht="13.8" x14ac:dyDescent="0.25">
      <c r="A3461" s="8"/>
    </row>
    <row r="3462" spans="1:1" ht="13.8" x14ac:dyDescent="0.25">
      <c r="A3462" s="8"/>
    </row>
    <row r="3463" spans="1:1" ht="13.8" x14ac:dyDescent="0.25">
      <c r="A3463" s="8"/>
    </row>
    <row r="3464" spans="1:1" ht="13.8" x14ac:dyDescent="0.25">
      <c r="A3464" s="8"/>
    </row>
    <row r="3465" spans="1:1" ht="13.8" x14ac:dyDescent="0.25">
      <c r="A3465" s="8"/>
    </row>
    <row r="3466" spans="1:1" ht="13.8" x14ac:dyDescent="0.25">
      <c r="A3466" s="8"/>
    </row>
    <row r="3467" spans="1:1" ht="13.8" x14ac:dyDescent="0.25">
      <c r="A3467" s="8"/>
    </row>
    <row r="3468" spans="1:1" ht="13.8" x14ac:dyDescent="0.25">
      <c r="A3468" s="8"/>
    </row>
    <row r="3469" spans="1:1" ht="13.8" x14ac:dyDescent="0.25">
      <c r="A3469" s="8"/>
    </row>
    <row r="3470" spans="1:1" ht="13.8" x14ac:dyDescent="0.25">
      <c r="A3470" s="8"/>
    </row>
    <row r="3471" spans="1:1" ht="13.8" x14ac:dyDescent="0.25">
      <c r="A3471" s="8"/>
    </row>
    <row r="3472" spans="1:1" ht="13.8" x14ac:dyDescent="0.25">
      <c r="A3472" s="8"/>
    </row>
    <row r="3473" spans="1:1" ht="13.8" x14ac:dyDescent="0.25">
      <c r="A3473" s="8"/>
    </row>
    <row r="3474" spans="1:1" ht="13.8" x14ac:dyDescent="0.25">
      <c r="A3474" s="8"/>
    </row>
    <row r="3475" spans="1:1" ht="13.8" x14ac:dyDescent="0.25">
      <c r="A3475" s="8"/>
    </row>
    <row r="3476" spans="1:1" ht="13.8" x14ac:dyDescent="0.25">
      <c r="A3476" s="8"/>
    </row>
    <row r="3477" spans="1:1" ht="13.8" x14ac:dyDescent="0.25">
      <c r="A3477" s="8"/>
    </row>
    <row r="3478" spans="1:1" ht="13.8" x14ac:dyDescent="0.25">
      <c r="A3478" s="8"/>
    </row>
    <row r="3479" spans="1:1" ht="13.8" x14ac:dyDescent="0.25">
      <c r="A3479" s="8"/>
    </row>
    <row r="3480" spans="1:1" ht="13.8" x14ac:dyDescent="0.25">
      <c r="A3480" s="8"/>
    </row>
    <row r="3481" spans="1:1" ht="13.8" x14ac:dyDescent="0.25">
      <c r="A3481" s="8"/>
    </row>
    <row r="3482" spans="1:1" ht="13.8" x14ac:dyDescent="0.25">
      <c r="A3482" s="8"/>
    </row>
    <row r="3483" spans="1:1" ht="13.8" x14ac:dyDescent="0.25">
      <c r="A3483" s="8"/>
    </row>
    <row r="3484" spans="1:1" ht="13.8" x14ac:dyDescent="0.25">
      <c r="A3484" s="8"/>
    </row>
    <row r="3485" spans="1:1" ht="13.8" x14ac:dyDescent="0.25">
      <c r="A3485" s="8"/>
    </row>
    <row r="3486" spans="1:1" ht="13.8" x14ac:dyDescent="0.25">
      <c r="A3486" s="8"/>
    </row>
    <row r="3487" spans="1:1" ht="13.8" x14ac:dyDescent="0.25">
      <c r="A3487" s="8"/>
    </row>
    <row r="3488" spans="1:1" ht="13.8" x14ac:dyDescent="0.25">
      <c r="A3488" s="8"/>
    </row>
    <row r="3489" spans="1:1" ht="13.8" x14ac:dyDescent="0.25">
      <c r="A3489" s="8"/>
    </row>
    <row r="3490" spans="1:1" ht="13.8" x14ac:dyDescent="0.25">
      <c r="A3490" s="8"/>
    </row>
    <row r="3491" spans="1:1" ht="13.8" x14ac:dyDescent="0.25">
      <c r="A3491" s="8"/>
    </row>
    <row r="3492" spans="1:1" ht="13.8" x14ac:dyDescent="0.25">
      <c r="A3492" s="8"/>
    </row>
    <row r="3493" spans="1:1" ht="13.8" x14ac:dyDescent="0.25">
      <c r="A3493" s="8"/>
    </row>
    <row r="3494" spans="1:1" ht="13.8" x14ac:dyDescent="0.25">
      <c r="A3494" s="8"/>
    </row>
    <row r="3495" spans="1:1" ht="13.8" x14ac:dyDescent="0.25">
      <c r="A3495" s="8"/>
    </row>
    <row r="3496" spans="1:1" ht="13.8" x14ac:dyDescent="0.25">
      <c r="A3496" s="8"/>
    </row>
    <row r="3497" spans="1:1" ht="13.8" x14ac:dyDescent="0.25">
      <c r="A3497" s="8"/>
    </row>
    <row r="3498" spans="1:1" ht="13.8" x14ac:dyDescent="0.25">
      <c r="A3498" s="8"/>
    </row>
    <row r="3499" spans="1:1" ht="13.8" x14ac:dyDescent="0.25">
      <c r="A3499" s="8"/>
    </row>
    <row r="3500" spans="1:1" ht="13.8" x14ac:dyDescent="0.25">
      <c r="A3500" s="8"/>
    </row>
    <row r="3501" spans="1:1" ht="13.8" x14ac:dyDescent="0.25">
      <c r="A3501" s="8"/>
    </row>
    <row r="3502" spans="1:1" ht="13.8" x14ac:dyDescent="0.25">
      <c r="A3502" s="8"/>
    </row>
    <row r="3503" spans="1:1" ht="13.8" x14ac:dyDescent="0.25">
      <c r="A3503" s="8"/>
    </row>
    <row r="3504" spans="1:1" ht="13.8" x14ac:dyDescent="0.25">
      <c r="A3504" s="8"/>
    </row>
    <row r="3505" spans="1:1" ht="13.8" x14ac:dyDescent="0.25">
      <c r="A3505" s="8"/>
    </row>
    <row r="3506" spans="1:1" ht="13.8" x14ac:dyDescent="0.25">
      <c r="A3506" s="8"/>
    </row>
    <row r="3507" spans="1:1" ht="13.8" x14ac:dyDescent="0.25">
      <c r="A3507" s="8"/>
    </row>
    <row r="3508" spans="1:1" ht="13.8" x14ac:dyDescent="0.25">
      <c r="A3508" s="8"/>
    </row>
    <row r="3509" spans="1:1" ht="13.8" x14ac:dyDescent="0.25">
      <c r="A3509" s="8"/>
    </row>
    <row r="3510" spans="1:1" ht="13.8" x14ac:dyDescent="0.25">
      <c r="A3510" s="8"/>
    </row>
    <row r="3511" spans="1:1" ht="13.8" x14ac:dyDescent="0.25">
      <c r="A3511" s="8"/>
    </row>
    <row r="3512" spans="1:1" ht="13.8" x14ac:dyDescent="0.25">
      <c r="A3512" s="8"/>
    </row>
    <row r="3513" spans="1:1" ht="13.8" x14ac:dyDescent="0.25">
      <c r="A3513" s="8"/>
    </row>
    <row r="3514" spans="1:1" ht="13.8" x14ac:dyDescent="0.25">
      <c r="A3514" s="8"/>
    </row>
    <row r="3515" spans="1:1" ht="13.8" x14ac:dyDescent="0.25">
      <c r="A3515" s="8"/>
    </row>
    <row r="3516" spans="1:1" ht="13.8" x14ac:dyDescent="0.25">
      <c r="A3516" s="8"/>
    </row>
    <row r="3517" spans="1:1" ht="13.8" x14ac:dyDescent="0.25">
      <c r="A3517" s="8"/>
    </row>
    <row r="3518" spans="1:1" ht="13.8" x14ac:dyDescent="0.25">
      <c r="A3518" s="8"/>
    </row>
    <row r="3519" spans="1:1" ht="13.8" x14ac:dyDescent="0.25">
      <c r="A3519" s="8"/>
    </row>
    <row r="3520" spans="1:1" ht="13.8" x14ac:dyDescent="0.25">
      <c r="A3520" s="8"/>
    </row>
    <row r="3521" spans="1:1" ht="13.8" x14ac:dyDescent="0.25">
      <c r="A3521" s="8"/>
    </row>
    <row r="3522" spans="1:1" ht="13.8" x14ac:dyDescent="0.25">
      <c r="A3522" s="8"/>
    </row>
    <row r="3523" spans="1:1" ht="13.8" x14ac:dyDescent="0.25">
      <c r="A3523" s="8"/>
    </row>
    <row r="3524" spans="1:1" ht="13.8" x14ac:dyDescent="0.25">
      <c r="A3524" s="8"/>
    </row>
    <row r="3525" spans="1:1" ht="13.8" x14ac:dyDescent="0.25">
      <c r="A3525" s="8"/>
    </row>
    <row r="3526" spans="1:1" ht="13.8" x14ac:dyDescent="0.25">
      <c r="A3526" s="8"/>
    </row>
    <row r="3527" spans="1:1" ht="13.8" x14ac:dyDescent="0.25">
      <c r="A3527" s="8"/>
    </row>
    <row r="3528" spans="1:1" ht="13.8" x14ac:dyDescent="0.25">
      <c r="A3528" s="8"/>
    </row>
    <row r="3529" spans="1:1" ht="13.8" x14ac:dyDescent="0.25">
      <c r="A3529" s="8"/>
    </row>
    <row r="3530" spans="1:1" ht="13.8" x14ac:dyDescent="0.25">
      <c r="A3530" s="8"/>
    </row>
    <row r="3531" spans="1:1" ht="13.8" x14ac:dyDescent="0.25">
      <c r="A3531" s="8"/>
    </row>
    <row r="3532" spans="1:1" ht="13.8" x14ac:dyDescent="0.25">
      <c r="A3532" s="8"/>
    </row>
    <row r="3533" spans="1:1" ht="13.8" x14ac:dyDescent="0.25">
      <c r="A3533" s="8"/>
    </row>
    <row r="3534" spans="1:1" ht="13.8" x14ac:dyDescent="0.25">
      <c r="A3534" s="8"/>
    </row>
    <row r="3535" spans="1:1" ht="13.8" x14ac:dyDescent="0.25">
      <c r="A3535" s="8"/>
    </row>
    <row r="3536" spans="1:1" ht="13.8" x14ac:dyDescent="0.25">
      <c r="A3536" s="8"/>
    </row>
    <row r="3537" spans="1:1" ht="13.8" x14ac:dyDescent="0.25">
      <c r="A3537" s="8"/>
    </row>
    <row r="3538" spans="1:1" ht="13.8" x14ac:dyDescent="0.25">
      <c r="A3538" s="8"/>
    </row>
    <row r="3539" spans="1:1" ht="13.8" x14ac:dyDescent="0.25">
      <c r="A3539" s="8"/>
    </row>
    <row r="3540" spans="1:1" ht="13.8" x14ac:dyDescent="0.25">
      <c r="A3540" s="8"/>
    </row>
    <row r="3541" spans="1:1" ht="13.8" x14ac:dyDescent="0.25">
      <c r="A3541" s="8"/>
    </row>
    <row r="3542" spans="1:1" ht="13.8" x14ac:dyDescent="0.25">
      <c r="A3542" s="8"/>
    </row>
    <row r="3543" spans="1:1" ht="13.8" x14ac:dyDescent="0.25">
      <c r="A3543" s="8"/>
    </row>
    <row r="3544" spans="1:1" ht="13.8" x14ac:dyDescent="0.25">
      <c r="A3544" s="8"/>
    </row>
    <row r="3545" spans="1:1" ht="13.8" x14ac:dyDescent="0.25">
      <c r="A3545" s="8"/>
    </row>
    <row r="3546" spans="1:1" ht="13.8" x14ac:dyDescent="0.25">
      <c r="A3546" s="8"/>
    </row>
    <row r="3547" spans="1:1" ht="13.8" x14ac:dyDescent="0.25">
      <c r="A3547" s="8"/>
    </row>
    <row r="3548" spans="1:1" ht="13.8" x14ac:dyDescent="0.25">
      <c r="A3548" s="8"/>
    </row>
    <row r="3549" spans="1:1" ht="13.8" x14ac:dyDescent="0.25">
      <c r="A3549" s="8"/>
    </row>
    <row r="3550" spans="1:1" ht="13.8" x14ac:dyDescent="0.25">
      <c r="A3550" s="8"/>
    </row>
    <row r="3551" spans="1:1" ht="13.8" x14ac:dyDescent="0.25">
      <c r="A3551" s="8"/>
    </row>
    <row r="3552" spans="1:1" ht="13.8" x14ac:dyDescent="0.25">
      <c r="A3552" s="8"/>
    </row>
    <row r="3553" spans="1:1" ht="13.8" x14ac:dyDescent="0.25">
      <c r="A3553" s="8"/>
    </row>
    <row r="3554" spans="1:1" ht="13.8" x14ac:dyDescent="0.25">
      <c r="A3554" s="8"/>
    </row>
    <row r="3555" spans="1:1" ht="13.8" x14ac:dyDescent="0.25">
      <c r="A3555" s="8"/>
    </row>
    <row r="3556" spans="1:1" ht="13.8" x14ac:dyDescent="0.25">
      <c r="A3556" s="8"/>
    </row>
    <row r="3557" spans="1:1" ht="13.8" x14ac:dyDescent="0.25">
      <c r="A3557" s="8"/>
    </row>
    <row r="3558" spans="1:1" ht="13.8" x14ac:dyDescent="0.25">
      <c r="A3558" s="8"/>
    </row>
    <row r="3559" spans="1:1" ht="13.8" x14ac:dyDescent="0.25">
      <c r="A3559" s="8"/>
    </row>
    <row r="3560" spans="1:1" ht="13.8" x14ac:dyDescent="0.25">
      <c r="A3560" s="8"/>
    </row>
    <row r="3561" spans="1:1" ht="13.8" x14ac:dyDescent="0.25">
      <c r="A3561" s="8"/>
    </row>
    <row r="3562" spans="1:1" ht="13.8" x14ac:dyDescent="0.25">
      <c r="A3562" s="8"/>
    </row>
    <row r="3563" spans="1:1" ht="13.8" x14ac:dyDescent="0.25">
      <c r="A3563" s="8"/>
    </row>
    <row r="3564" spans="1:1" ht="13.8" x14ac:dyDescent="0.25">
      <c r="A3564" s="8"/>
    </row>
    <row r="3565" spans="1:1" ht="13.8" x14ac:dyDescent="0.25">
      <c r="A3565" s="8"/>
    </row>
    <row r="3566" spans="1:1" ht="13.8" x14ac:dyDescent="0.25">
      <c r="A3566" s="8"/>
    </row>
    <row r="3567" spans="1:1" ht="13.8" x14ac:dyDescent="0.25">
      <c r="A3567" s="8"/>
    </row>
    <row r="3568" spans="1:1" ht="13.8" x14ac:dyDescent="0.25">
      <c r="A3568" s="8"/>
    </row>
    <row r="3569" spans="1:1" ht="13.8" x14ac:dyDescent="0.25">
      <c r="A3569" s="8"/>
    </row>
    <row r="3570" spans="1:1" ht="13.8" x14ac:dyDescent="0.25">
      <c r="A3570" s="8"/>
    </row>
    <row r="3571" spans="1:1" ht="13.8" x14ac:dyDescent="0.25">
      <c r="A3571" s="8"/>
    </row>
    <row r="3572" spans="1:1" ht="13.8" x14ac:dyDescent="0.25">
      <c r="A3572" s="8"/>
    </row>
    <row r="3573" spans="1:1" ht="13.8" x14ac:dyDescent="0.25">
      <c r="A3573" s="8"/>
    </row>
    <row r="3574" spans="1:1" ht="13.8" x14ac:dyDescent="0.25">
      <c r="A3574" s="8"/>
    </row>
    <row r="3575" spans="1:1" ht="13.8" x14ac:dyDescent="0.25">
      <c r="A3575" s="8"/>
    </row>
    <row r="3576" spans="1:1" ht="13.8" x14ac:dyDescent="0.25">
      <c r="A3576" s="8"/>
    </row>
    <row r="3577" spans="1:1" ht="13.8" x14ac:dyDescent="0.25">
      <c r="A3577" s="8"/>
    </row>
    <row r="3578" spans="1:1" ht="13.8" x14ac:dyDescent="0.25">
      <c r="A3578" s="8"/>
    </row>
    <row r="3579" spans="1:1" ht="13.8" x14ac:dyDescent="0.25">
      <c r="A3579" s="8"/>
    </row>
    <row r="3580" spans="1:1" ht="13.8" x14ac:dyDescent="0.25">
      <c r="A3580" s="8"/>
    </row>
    <row r="3581" spans="1:1" ht="13.8" x14ac:dyDescent="0.25">
      <c r="A3581" s="8"/>
    </row>
    <row r="3582" spans="1:1" ht="13.8" x14ac:dyDescent="0.25">
      <c r="A3582" s="8"/>
    </row>
    <row r="3583" spans="1:1" ht="13.8" x14ac:dyDescent="0.25">
      <c r="A3583" s="8"/>
    </row>
    <row r="3584" spans="1:1" ht="13.8" x14ac:dyDescent="0.25">
      <c r="A3584" s="8"/>
    </row>
    <row r="3585" spans="1:1" ht="13.8" x14ac:dyDescent="0.25">
      <c r="A3585" s="8"/>
    </row>
    <row r="3586" spans="1:1" ht="13.8" x14ac:dyDescent="0.25">
      <c r="A3586" s="8"/>
    </row>
    <row r="3587" spans="1:1" ht="13.8" x14ac:dyDescent="0.25">
      <c r="A3587" s="8"/>
    </row>
    <row r="3588" spans="1:1" ht="13.8" x14ac:dyDescent="0.25">
      <c r="A3588" s="8"/>
    </row>
    <row r="3589" spans="1:1" ht="13.8" x14ac:dyDescent="0.25">
      <c r="A3589" s="8"/>
    </row>
    <row r="3590" spans="1:1" ht="13.8" x14ac:dyDescent="0.25">
      <c r="A3590" s="8"/>
    </row>
    <row r="3591" spans="1:1" ht="13.8" x14ac:dyDescent="0.25">
      <c r="A3591" s="8"/>
    </row>
    <row r="3592" spans="1:1" ht="13.8" x14ac:dyDescent="0.25">
      <c r="A3592" s="8"/>
    </row>
    <row r="3593" spans="1:1" ht="13.8" x14ac:dyDescent="0.25">
      <c r="A3593" s="8"/>
    </row>
    <row r="3594" spans="1:1" ht="13.8" x14ac:dyDescent="0.25">
      <c r="A3594" s="8"/>
    </row>
    <row r="3595" spans="1:1" ht="13.8" x14ac:dyDescent="0.25">
      <c r="A3595" s="8"/>
    </row>
    <row r="3596" spans="1:1" ht="13.8" x14ac:dyDescent="0.25">
      <c r="A3596" s="8"/>
    </row>
    <row r="3597" spans="1:1" ht="13.8" x14ac:dyDescent="0.25">
      <c r="A3597" s="8"/>
    </row>
    <row r="3598" spans="1:1" ht="13.8" x14ac:dyDescent="0.25">
      <c r="A3598" s="8"/>
    </row>
    <row r="3599" spans="1:1" ht="13.8" x14ac:dyDescent="0.25">
      <c r="A3599" s="8"/>
    </row>
    <row r="3600" spans="1:1" ht="13.8" x14ac:dyDescent="0.25">
      <c r="A3600" s="8"/>
    </row>
    <row r="3601" spans="1:1" ht="13.8" x14ac:dyDescent="0.25">
      <c r="A3601" s="8"/>
    </row>
    <row r="3602" spans="1:1" ht="13.8" x14ac:dyDescent="0.25">
      <c r="A3602" s="8"/>
    </row>
    <row r="3603" spans="1:1" ht="13.8" x14ac:dyDescent="0.25">
      <c r="A3603" s="8"/>
    </row>
    <row r="3604" spans="1:1" ht="13.8" x14ac:dyDescent="0.25">
      <c r="A3604" s="8"/>
    </row>
    <row r="3605" spans="1:1" ht="13.8" x14ac:dyDescent="0.25">
      <c r="A3605" s="8"/>
    </row>
    <row r="3606" spans="1:1" ht="13.8" x14ac:dyDescent="0.25">
      <c r="A3606" s="8"/>
    </row>
    <row r="3607" spans="1:1" ht="13.8" x14ac:dyDescent="0.25">
      <c r="A3607" s="8"/>
    </row>
    <row r="3608" spans="1:1" ht="13.8" x14ac:dyDescent="0.25">
      <c r="A3608" s="8"/>
    </row>
    <row r="3609" spans="1:1" ht="13.8" x14ac:dyDescent="0.25">
      <c r="A3609" s="8"/>
    </row>
    <row r="3610" spans="1:1" ht="13.8" x14ac:dyDescent="0.25">
      <c r="A3610" s="8"/>
    </row>
    <row r="3611" spans="1:1" ht="13.8" x14ac:dyDescent="0.25">
      <c r="A3611" s="8"/>
    </row>
    <row r="3612" spans="1:1" ht="13.8" x14ac:dyDescent="0.25">
      <c r="A3612" s="8"/>
    </row>
    <row r="3613" spans="1:1" ht="13.8" x14ac:dyDescent="0.25">
      <c r="A3613" s="8"/>
    </row>
    <row r="3614" spans="1:1" ht="13.8" x14ac:dyDescent="0.25">
      <c r="A3614" s="8"/>
    </row>
    <row r="3615" spans="1:1" ht="13.8" x14ac:dyDescent="0.25">
      <c r="A3615" s="8"/>
    </row>
    <row r="3616" spans="1:1" ht="13.8" x14ac:dyDescent="0.25">
      <c r="A3616" s="8"/>
    </row>
    <row r="3617" spans="1:1" ht="13.8" x14ac:dyDescent="0.25">
      <c r="A3617" s="8"/>
    </row>
    <row r="3618" spans="1:1" ht="13.8" x14ac:dyDescent="0.25">
      <c r="A3618" s="8"/>
    </row>
    <row r="3619" spans="1:1" ht="13.8" x14ac:dyDescent="0.25">
      <c r="A3619" s="8"/>
    </row>
    <row r="3620" spans="1:1" ht="13.8" x14ac:dyDescent="0.25">
      <c r="A3620" s="8"/>
    </row>
    <row r="3621" spans="1:1" ht="13.8" x14ac:dyDescent="0.25">
      <c r="A3621" s="8"/>
    </row>
    <row r="3622" spans="1:1" ht="13.8" x14ac:dyDescent="0.25">
      <c r="A3622" s="8"/>
    </row>
    <row r="3623" spans="1:1" ht="13.8" x14ac:dyDescent="0.25">
      <c r="A3623" s="8"/>
    </row>
    <row r="3624" spans="1:1" ht="13.8" x14ac:dyDescent="0.25">
      <c r="A3624" s="8"/>
    </row>
    <row r="3625" spans="1:1" ht="13.8" x14ac:dyDescent="0.25">
      <c r="A3625" s="8"/>
    </row>
    <row r="3626" spans="1:1" ht="13.8" x14ac:dyDescent="0.25">
      <c r="A3626" s="8"/>
    </row>
    <row r="3627" spans="1:1" ht="13.8" x14ac:dyDescent="0.25">
      <c r="A3627" s="8"/>
    </row>
    <row r="3628" spans="1:1" ht="13.8" x14ac:dyDescent="0.25">
      <c r="A3628" s="8"/>
    </row>
    <row r="3629" spans="1:1" ht="13.8" x14ac:dyDescent="0.25">
      <c r="A3629" s="8"/>
    </row>
    <row r="3630" spans="1:1" ht="13.8" x14ac:dyDescent="0.25">
      <c r="A3630" s="8"/>
    </row>
    <row r="3631" spans="1:1" ht="13.8" x14ac:dyDescent="0.25">
      <c r="A3631" s="8"/>
    </row>
    <row r="3632" spans="1:1" ht="13.8" x14ac:dyDescent="0.25">
      <c r="A3632" s="8"/>
    </row>
    <row r="3633" spans="1:1" ht="13.8" x14ac:dyDescent="0.25">
      <c r="A3633" s="8"/>
    </row>
    <row r="3634" spans="1:1" ht="13.8" x14ac:dyDescent="0.25">
      <c r="A3634" s="8"/>
    </row>
    <row r="3635" spans="1:1" ht="13.8" x14ac:dyDescent="0.25">
      <c r="A3635" s="8"/>
    </row>
    <row r="3636" spans="1:1" ht="13.8" x14ac:dyDescent="0.25">
      <c r="A3636" s="8"/>
    </row>
    <row r="3637" spans="1:1" ht="13.8" x14ac:dyDescent="0.25">
      <c r="A3637" s="8"/>
    </row>
    <row r="3638" spans="1:1" ht="13.8" x14ac:dyDescent="0.25">
      <c r="A3638" s="8"/>
    </row>
    <row r="3639" spans="1:1" ht="13.8" x14ac:dyDescent="0.25">
      <c r="A3639" s="8"/>
    </row>
    <row r="3640" spans="1:1" ht="13.8" x14ac:dyDescent="0.25">
      <c r="A3640" s="8"/>
    </row>
    <row r="3641" spans="1:1" ht="13.8" x14ac:dyDescent="0.25">
      <c r="A3641" s="8"/>
    </row>
    <row r="3642" spans="1:1" ht="13.8" x14ac:dyDescent="0.25">
      <c r="A3642" s="8"/>
    </row>
    <row r="3643" spans="1:1" ht="13.8" x14ac:dyDescent="0.25">
      <c r="A3643" s="8"/>
    </row>
    <row r="3644" spans="1:1" ht="13.8" x14ac:dyDescent="0.25">
      <c r="A3644" s="8"/>
    </row>
    <row r="3645" spans="1:1" ht="13.8" x14ac:dyDescent="0.25">
      <c r="A3645" s="8"/>
    </row>
    <row r="3646" spans="1:1" ht="13.8" x14ac:dyDescent="0.25">
      <c r="A3646" s="8"/>
    </row>
    <row r="3647" spans="1:1" ht="13.8" x14ac:dyDescent="0.25">
      <c r="A3647" s="8"/>
    </row>
    <row r="3648" spans="1:1" ht="13.8" x14ac:dyDescent="0.25">
      <c r="A3648" s="8"/>
    </row>
    <row r="3649" spans="1:1" ht="13.8" x14ac:dyDescent="0.25">
      <c r="A3649" s="8"/>
    </row>
    <row r="3650" spans="1:1" ht="13.8" x14ac:dyDescent="0.25">
      <c r="A3650" s="8"/>
    </row>
    <row r="3651" spans="1:1" ht="13.8" x14ac:dyDescent="0.25">
      <c r="A3651" s="8"/>
    </row>
    <row r="3652" spans="1:1" ht="13.8" x14ac:dyDescent="0.25">
      <c r="A3652" s="8"/>
    </row>
    <row r="3653" spans="1:1" ht="13.8" x14ac:dyDescent="0.25">
      <c r="A3653" s="8"/>
    </row>
    <row r="3654" spans="1:1" ht="13.8" x14ac:dyDescent="0.25">
      <c r="A3654" s="8"/>
    </row>
    <row r="3655" spans="1:1" ht="13.8" x14ac:dyDescent="0.25">
      <c r="A3655" s="8"/>
    </row>
    <row r="3656" spans="1:1" ht="13.8" x14ac:dyDescent="0.25">
      <c r="A3656" s="8"/>
    </row>
    <row r="3657" spans="1:1" ht="13.8" x14ac:dyDescent="0.25">
      <c r="A3657" s="8"/>
    </row>
    <row r="3658" spans="1:1" ht="13.8" x14ac:dyDescent="0.25">
      <c r="A3658" s="8"/>
    </row>
    <row r="3659" spans="1:1" ht="13.8" x14ac:dyDescent="0.25">
      <c r="A3659" s="8"/>
    </row>
    <row r="3660" spans="1:1" ht="13.8" x14ac:dyDescent="0.25">
      <c r="A3660" s="8"/>
    </row>
    <row r="3661" spans="1:1" ht="13.8" x14ac:dyDescent="0.25">
      <c r="A3661" s="8"/>
    </row>
    <row r="3662" spans="1:1" ht="13.8" x14ac:dyDescent="0.25">
      <c r="A3662" s="8"/>
    </row>
    <row r="3663" spans="1:1" ht="13.8" x14ac:dyDescent="0.25">
      <c r="A3663" s="8"/>
    </row>
    <row r="3664" spans="1:1" ht="13.8" x14ac:dyDescent="0.25">
      <c r="A3664" s="8"/>
    </row>
    <row r="3665" spans="1:1" ht="13.8" x14ac:dyDescent="0.25">
      <c r="A3665" s="8"/>
    </row>
    <row r="3666" spans="1:1" ht="13.8" x14ac:dyDescent="0.25">
      <c r="A3666" s="8"/>
    </row>
    <row r="3667" spans="1:1" ht="13.8" x14ac:dyDescent="0.25">
      <c r="A3667" s="8"/>
    </row>
    <row r="3668" spans="1:1" ht="13.8" x14ac:dyDescent="0.25">
      <c r="A3668" s="8"/>
    </row>
    <row r="3669" spans="1:1" ht="13.8" x14ac:dyDescent="0.25">
      <c r="A3669" s="8"/>
    </row>
    <row r="3670" spans="1:1" ht="13.8" x14ac:dyDescent="0.25">
      <c r="A3670" s="8"/>
    </row>
    <row r="3671" spans="1:1" ht="13.8" x14ac:dyDescent="0.25">
      <c r="A3671" s="8"/>
    </row>
    <row r="3672" spans="1:1" ht="13.8" x14ac:dyDescent="0.25">
      <c r="A3672" s="8"/>
    </row>
    <row r="3673" spans="1:1" ht="13.8" x14ac:dyDescent="0.25">
      <c r="A3673" s="8"/>
    </row>
    <row r="3674" spans="1:1" ht="13.8" x14ac:dyDescent="0.25">
      <c r="A3674" s="8"/>
    </row>
    <row r="3675" spans="1:1" ht="13.8" x14ac:dyDescent="0.25">
      <c r="A3675" s="8"/>
    </row>
    <row r="3676" spans="1:1" ht="13.8" x14ac:dyDescent="0.25">
      <c r="A3676" s="8"/>
    </row>
    <row r="3677" spans="1:1" ht="13.8" x14ac:dyDescent="0.25">
      <c r="A3677" s="8"/>
    </row>
    <row r="3678" spans="1:1" ht="13.8" x14ac:dyDescent="0.25">
      <c r="A3678" s="8"/>
    </row>
    <row r="3679" spans="1:1" ht="13.8" x14ac:dyDescent="0.25">
      <c r="A3679" s="8"/>
    </row>
    <row r="3680" spans="1:1" ht="13.8" x14ac:dyDescent="0.25">
      <c r="A3680" s="8"/>
    </row>
    <row r="3681" spans="1:1" ht="13.8" x14ac:dyDescent="0.25">
      <c r="A3681" s="8"/>
    </row>
    <row r="3682" spans="1:1" ht="13.8" x14ac:dyDescent="0.25">
      <c r="A3682" s="8"/>
    </row>
    <row r="3683" spans="1:1" ht="13.8" x14ac:dyDescent="0.25">
      <c r="A3683" s="8"/>
    </row>
    <row r="3684" spans="1:1" ht="13.8" x14ac:dyDescent="0.25">
      <c r="A3684" s="8"/>
    </row>
    <row r="3685" spans="1:1" ht="13.8" x14ac:dyDescent="0.25">
      <c r="A3685" s="8"/>
    </row>
    <row r="3686" spans="1:1" ht="13.8" x14ac:dyDescent="0.25">
      <c r="A3686" s="8"/>
    </row>
    <row r="3687" spans="1:1" ht="13.8" x14ac:dyDescent="0.25">
      <c r="A3687" s="8"/>
    </row>
    <row r="3688" spans="1:1" ht="13.8" x14ac:dyDescent="0.25">
      <c r="A3688" s="8"/>
    </row>
    <row r="3689" spans="1:1" ht="13.8" x14ac:dyDescent="0.25">
      <c r="A3689" s="8"/>
    </row>
    <row r="3690" spans="1:1" ht="13.8" x14ac:dyDescent="0.25">
      <c r="A3690" s="8"/>
    </row>
    <row r="3691" spans="1:1" ht="13.8" x14ac:dyDescent="0.25">
      <c r="A3691" s="8"/>
    </row>
    <row r="3692" spans="1:1" ht="13.8" x14ac:dyDescent="0.25">
      <c r="A3692" s="8"/>
    </row>
    <row r="3693" spans="1:1" ht="13.8" x14ac:dyDescent="0.25">
      <c r="A3693" s="8"/>
    </row>
    <row r="3694" spans="1:1" ht="13.8" x14ac:dyDescent="0.25">
      <c r="A3694" s="8"/>
    </row>
    <row r="3695" spans="1:1" ht="13.8" x14ac:dyDescent="0.25">
      <c r="A3695" s="8"/>
    </row>
    <row r="3696" spans="1:1" ht="13.8" x14ac:dyDescent="0.25">
      <c r="A3696" s="8"/>
    </row>
    <row r="3697" spans="1:1" ht="13.8" x14ac:dyDescent="0.25">
      <c r="A3697" s="8"/>
    </row>
    <row r="3698" spans="1:1" ht="13.8" x14ac:dyDescent="0.25">
      <c r="A3698" s="8"/>
    </row>
    <row r="3699" spans="1:1" ht="13.8" x14ac:dyDescent="0.25">
      <c r="A3699" s="8"/>
    </row>
    <row r="3700" spans="1:1" ht="13.8" x14ac:dyDescent="0.25">
      <c r="A3700" s="8"/>
    </row>
    <row r="3701" spans="1:1" ht="13.8" x14ac:dyDescent="0.25">
      <c r="A3701" s="8"/>
    </row>
    <row r="3702" spans="1:1" ht="13.8" x14ac:dyDescent="0.25">
      <c r="A3702" s="8"/>
    </row>
    <row r="3703" spans="1:1" ht="13.8" x14ac:dyDescent="0.25">
      <c r="A3703" s="8"/>
    </row>
    <row r="3704" spans="1:1" ht="13.8" x14ac:dyDescent="0.25">
      <c r="A3704" s="8"/>
    </row>
    <row r="3705" spans="1:1" ht="13.8" x14ac:dyDescent="0.25">
      <c r="A3705" s="8"/>
    </row>
    <row r="3706" spans="1:1" ht="13.8" x14ac:dyDescent="0.25">
      <c r="A3706" s="8"/>
    </row>
    <row r="3707" spans="1:1" ht="13.8" x14ac:dyDescent="0.25">
      <c r="A3707" s="8"/>
    </row>
    <row r="3708" spans="1:1" ht="13.8" x14ac:dyDescent="0.25">
      <c r="A3708" s="8"/>
    </row>
    <row r="3709" spans="1:1" ht="13.8" x14ac:dyDescent="0.25">
      <c r="A3709" s="8"/>
    </row>
    <row r="3710" spans="1:1" ht="13.8" x14ac:dyDescent="0.25">
      <c r="A3710" s="8"/>
    </row>
    <row r="3711" spans="1:1" ht="13.8" x14ac:dyDescent="0.25">
      <c r="A3711" s="8"/>
    </row>
    <row r="3712" spans="1:1" ht="13.8" x14ac:dyDescent="0.25">
      <c r="A3712" s="8"/>
    </row>
    <row r="3713" spans="1:1" ht="13.8" x14ac:dyDescent="0.25">
      <c r="A3713" s="8"/>
    </row>
    <row r="3714" spans="1:1" ht="13.8" x14ac:dyDescent="0.25">
      <c r="A3714" s="8"/>
    </row>
    <row r="3715" spans="1:1" ht="13.8" x14ac:dyDescent="0.25">
      <c r="A3715" s="8"/>
    </row>
    <row r="3716" spans="1:1" ht="13.8" x14ac:dyDescent="0.25">
      <c r="A3716" s="8"/>
    </row>
    <row r="3717" spans="1:1" ht="13.8" x14ac:dyDescent="0.25">
      <c r="A3717" s="8"/>
    </row>
    <row r="3718" spans="1:1" ht="13.8" x14ac:dyDescent="0.25">
      <c r="A3718" s="8"/>
    </row>
    <row r="3719" spans="1:1" ht="13.8" x14ac:dyDescent="0.25">
      <c r="A3719" s="8"/>
    </row>
    <row r="3720" spans="1:1" ht="13.8" x14ac:dyDescent="0.25">
      <c r="A3720" s="8"/>
    </row>
    <row r="3721" spans="1:1" ht="13.8" x14ac:dyDescent="0.25">
      <c r="A3721" s="8"/>
    </row>
    <row r="3722" spans="1:1" ht="13.8" x14ac:dyDescent="0.25">
      <c r="A3722" s="8"/>
    </row>
    <row r="3723" spans="1:1" ht="13.8" x14ac:dyDescent="0.25">
      <c r="A3723" s="8"/>
    </row>
    <row r="3724" spans="1:1" ht="13.8" x14ac:dyDescent="0.25">
      <c r="A3724" s="8"/>
    </row>
    <row r="3725" spans="1:1" ht="13.8" x14ac:dyDescent="0.25">
      <c r="A3725" s="8"/>
    </row>
    <row r="3726" spans="1:1" ht="13.8" x14ac:dyDescent="0.25">
      <c r="A3726" s="8"/>
    </row>
    <row r="3727" spans="1:1" ht="13.8" x14ac:dyDescent="0.25">
      <c r="A3727" s="8"/>
    </row>
    <row r="3728" spans="1:1" ht="13.8" x14ac:dyDescent="0.25">
      <c r="A3728" s="8"/>
    </row>
    <row r="3729" spans="1:1" ht="13.8" x14ac:dyDescent="0.25">
      <c r="A3729" s="8"/>
    </row>
    <row r="3730" spans="1:1" ht="13.8" x14ac:dyDescent="0.25">
      <c r="A3730" s="8"/>
    </row>
    <row r="3731" spans="1:1" ht="13.8" x14ac:dyDescent="0.25">
      <c r="A3731" s="8"/>
    </row>
    <row r="3732" spans="1:1" ht="13.8" x14ac:dyDescent="0.25">
      <c r="A3732" s="8"/>
    </row>
    <row r="3733" spans="1:1" ht="13.8" x14ac:dyDescent="0.25">
      <c r="A3733" s="8"/>
    </row>
    <row r="3734" spans="1:1" ht="13.8" x14ac:dyDescent="0.25">
      <c r="A3734" s="8"/>
    </row>
    <row r="3735" spans="1:1" ht="13.8" x14ac:dyDescent="0.25">
      <c r="A3735" s="8"/>
    </row>
    <row r="3736" spans="1:1" ht="13.8" x14ac:dyDescent="0.25">
      <c r="A3736" s="8"/>
    </row>
    <row r="3737" spans="1:1" ht="13.8" x14ac:dyDescent="0.25">
      <c r="A3737" s="8"/>
    </row>
    <row r="3738" spans="1:1" ht="13.8" x14ac:dyDescent="0.25">
      <c r="A3738" s="8"/>
    </row>
    <row r="3739" spans="1:1" ht="13.8" x14ac:dyDescent="0.25">
      <c r="A3739" s="8"/>
    </row>
    <row r="3740" spans="1:1" ht="13.8" x14ac:dyDescent="0.25">
      <c r="A3740" s="8"/>
    </row>
    <row r="3741" spans="1:1" ht="13.8" x14ac:dyDescent="0.25">
      <c r="A3741" s="8"/>
    </row>
    <row r="3742" spans="1:1" ht="13.8" x14ac:dyDescent="0.25">
      <c r="A3742" s="8"/>
    </row>
    <row r="3743" spans="1:1" ht="13.8" x14ac:dyDescent="0.25">
      <c r="A3743" s="8"/>
    </row>
    <row r="3744" spans="1:1" ht="13.8" x14ac:dyDescent="0.25">
      <c r="A3744" s="8"/>
    </row>
    <row r="3745" spans="1:1" ht="13.8" x14ac:dyDescent="0.25">
      <c r="A3745" s="8"/>
    </row>
    <row r="3746" spans="1:1" ht="13.8" x14ac:dyDescent="0.25">
      <c r="A3746" s="8"/>
    </row>
    <row r="3747" spans="1:1" ht="13.8" x14ac:dyDescent="0.25">
      <c r="A3747" s="8"/>
    </row>
    <row r="3748" spans="1:1" ht="13.8" x14ac:dyDescent="0.25">
      <c r="A3748" s="8"/>
    </row>
    <row r="3749" spans="1:1" ht="13.8" x14ac:dyDescent="0.25">
      <c r="A3749" s="8"/>
    </row>
    <row r="3750" spans="1:1" ht="13.8" x14ac:dyDescent="0.25">
      <c r="A3750" s="8"/>
    </row>
    <row r="3751" spans="1:1" ht="13.8" x14ac:dyDescent="0.25">
      <c r="A3751" s="8"/>
    </row>
    <row r="3752" spans="1:1" ht="13.8" x14ac:dyDescent="0.25">
      <c r="A3752" s="8"/>
    </row>
    <row r="3753" spans="1:1" ht="13.8" x14ac:dyDescent="0.25">
      <c r="A3753" s="8"/>
    </row>
    <row r="3754" spans="1:1" ht="13.8" x14ac:dyDescent="0.25">
      <c r="A3754" s="8"/>
    </row>
    <row r="3755" spans="1:1" ht="13.8" x14ac:dyDescent="0.25">
      <c r="A3755" s="8"/>
    </row>
    <row r="3756" spans="1:1" ht="13.8" x14ac:dyDescent="0.25">
      <c r="A3756" s="8"/>
    </row>
    <row r="3757" spans="1:1" ht="13.8" x14ac:dyDescent="0.25">
      <c r="A3757" s="8"/>
    </row>
    <row r="3758" spans="1:1" ht="13.8" x14ac:dyDescent="0.25">
      <c r="A3758" s="8"/>
    </row>
    <row r="3759" spans="1:1" ht="13.8" x14ac:dyDescent="0.25">
      <c r="A3759" s="8"/>
    </row>
    <row r="3760" spans="1:1" ht="13.8" x14ac:dyDescent="0.25">
      <c r="A3760" s="8"/>
    </row>
    <row r="3761" spans="1:1" ht="13.8" x14ac:dyDescent="0.25">
      <c r="A3761" s="8"/>
    </row>
    <row r="3762" spans="1:1" ht="13.8" x14ac:dyDescent="0.25">
      <c r="A3762" s="8"/>
    </row>
    <row r="3763" spans="1:1" ht="13.8" x14ac:dyDescent="0.25">
      <c r="A3763" s="8"/>
    </row>
    <row r="3764" spans="1:1" ht="13.8" x14ac:dyDescent="0.25">
      <c r="A3764" s="8"/>
    </row>
    <row r="3765" spans="1:1" ht="13.8" x14ac:dyDescent="0.25">
      <c r="A3765" s="8"/>
    </row>
    <row r="3766" spans="1:1" ht="13.8" x14ac:dyDescent="0.25">
      <c r="A3766" s="8"/>
    </row>
    <row r="3767" spans="1:1" ht="13.8" x14ac:dyDescent="0.25">
      <c r="A3767" s="8"/>
    </row>
    <row r="3768" spans="1:1" ht="13.8" x14ac:dyDescent="0.25">
      <c r="A3768" s="8"/>
    </row>
    <row r="3769" spans="1:1" ht="13.8" x14ac:dyDescent="0.25">
      <c r="A3769" s="8"/>
    </row>
    <row r="3770" spans="1:1" ht="13.8" x14ac:dyDescent="0.25">
      <c r="A3770" s="8"/>
    </row>
    <row r="3771" spans="1:1" ht="13.8" x14ac:dyDescent="0.25">
      <c r="A3771" s="8"/>
    </row>
    <row r="3772" spans="1:1" ht="13.8" x14ac:dyDescent="0.25">
      <c r="A3772" s="8"/>
    </row>
    <row r="3773" spans="1:1" ht="13.8" x14ac:dyDescent="0.25">
      <c r="A3773" s="8"/>
    </row>
    <row r="3774" spans="1:1" ht="13.8" x14ac:dyDescent="0.25">
      <c r="A3774" s="8"/>
    </row>
    <row r="3775" spans="1:1" ht="13.8" x14ac:dyDescent="0.25">
      <c r="A3775" s="8"/>
    </row>
    <row r="3776" spans="1:1" ht="13.8" x14ac:dyDescent="0.25">
      <c r="A3776" s="8"/>
    </row>
    <row r="3777" spans="1:1" ht="13.8" x14ac:dyDescent="0.25">
      <c r="A3777" s="8"/>
    </row>
    <row r="3778" spans="1:1" ht="13.8" x14ac:dyDescent="0.25">
      <c r="A3778" s="8"/>
    </row>
    <row r="3779" spans="1:1" ht="13.8" x14ac:dyDescent="0.25">
      <c r="A3779" s="8"/>
    </row>
    <row r="3780" spans="1:1" ht="13.8" x14ac:dyDescent="0.25">
      <c r="A3780" s="8"/>
    </row>
    <row r="3781" spans="1:1" ht="13.8" x14ac:dyDescent="0.25">
      <c r="A3781" s="8"/>
    </row>
    <row r="3782" spans="1:1" ht="13.8" x14ac:dyDescent="0.25">
      <c r="A3782" s="8"/>
    </row>
    <row r="3783" spans="1:1" ht="13.8" x14ac:dyDescent="0.25">
      <c r="A3783" s="8"/>
    </row>
    <row r="3784" spans="1:1" ht="13.8" x14ac:dyDescent="0.25">
      <c r="A3784" s="8"/>
    </row>
    <row r="3785" spans="1:1" ht="13.8" x14ac:dyDescent="0.25">
      <c r="A3785" s="8"/>
    </row>
    <row r="3786" spans="1:1" ht="13.8" x14ac:dyDescent="0.25">
      <c r="A3786" s="8"/>
    </row>
    <row r="3787" spans="1:1" ht="13.8" x14ac:dyDescent="0.25">
      <c r="A3787" s="8"/>
    </row>
    <row r="3788" spans="1:1" ht="13.8" x14ac:dyDescent="0.25">
      <c r="A3788" s="8"/>
    </row>
    <row r="3789" spans="1:1" ht="13.8" x14ac:dyDescent="0.25">
      <c r="A3789" s="8"/>
    </row>
    <row r="3790" spans="1:1" ht="13.8" x14ac:dyDescent="0.25">
      <c r="A3790" s="8"/>
    </row>
    <row r="3791" spans="1:1" ht="13.8" x14ac:dyDescent="0.25">
      <c r="A3791" s="8"/>
    </row>
    <row r="3792" spans="1:1" ht="13.8" x14ac:dyDescent="0.25">
      <c r="A3792" s="8"/>
    </row>
    <row r="3793" spans="1:1" ht="13.8" x14ac:dyDescent="0.25">
      <c r="A3793" s="8"/>
    </row>
    <row r="3794" spans="1:1" ht="13.8" x14ac:dyDescent="0.25">
      <c r="A3794" s="8"/>
    </row>
    <row r="3795" spans="1:1" ht="13.8" x14ac:dyDescent="0.25">
      <c r="A3795" s="8"/>
    </row>
    <row r="3796" spans="1:1" ht="13.8" x14ac:dyDescent="0.25">
      <c r="A3796" s="8"/>
    </row>
    <row r="3797" spans="1:1" ht="13.8" x14ac:dyDescent="0.25">
      <c r="A3797" s="8"/>
    </row>
    <row r="3798" spans="1:1" ht="13.8" x14ac:dyDescent="0.25">
      <c r="A3798" s="8"/>
    </row>
    <row r="3799" spans="1:1" ht="13.8" x14ac:dyDescent="0.25">
      <c r="A3799" s="8"/>
    </row>
    <row r="3800" spans="1:1" ht="13.8" x14ac:dyDescent="0.25">
      <c r="A3800" s="8"/>
    </row>
    <row r="3801" spans="1:1" ht="13.8" x14ac:dyDescent="0.25">
      <c r="A3801" s="8"/>
    </row>
    <row r="3802" spans="1:1" ht="13.8" x14ac:dyDescent="0.25">
      <c r="A3802" s="8"/>
    </row>
    <row r="3803" spans="1:1" ht="13.8" x14ac:dyDescent="0.25">
      <c r="A3803" s="8"/>
    </row>
    <row r="3804" spans="1:1" ht="13.8" x14ac:dyDescent="0.25">
      <c r="A3804" s="8"/>
    </row>
    <row r="3805" spans="1:1" ht="13.8" x14ac:dyDescent="0.25">
      <c r="A3805" s="8"/>
    </row>
    <row r="3806" spans="1:1" ht="13.8" x14ac:dyDescent="0.25">
      <c r="A3806" s="8"/>
    </row>
    <row r="3807" spans="1:1" ht="13.8" x14ac:dyDescent="0.25">
      <c r="A3807" s="8"/>
    </row>
    <row r="3808" spans="1:1" ht="13.8" x14ac:dyDescent="0.25">
      <c r="A3808" s="8"/>
    </row>
    <row r="3809" spans="1:1" ht="13.8" x14ac:dyDescent="0.25">
      <c r="A3809" s="8"/>
    </row>
    <row r="3810" spans="1:1" ht="13.8" x14ac:dyDescent="0.25">
      <c r="A3810" s="8"/>
    </row>
    <row r="3811" spans="1:1" ht="13.8" x14ac:dyDescent="0.25">
      <c r="A3811" s="8"/>
    </row>
    <row r="3812" spans="1:1" ht="13.8" x14ac:dyDescent="0.25">
      <c r="A3812" s="8"/>
    </row>
    <row r="3813" spans="1:1" ht="13.8" x14ac:dyDescent="0.25">
      <c r="A3813" s="8"/>
    </row>
    <row r="3814" spans="1:1" ht="13.8" x14ac:dyDescent="0.25">
      <c r="A3814" s="8"/>
    </row>
    <row r="3815" spans="1:1" ht="13.8" x14ac:dyDescent="0.25">
      <c r="A3815" s="8"/>
    </row>
    <row r="3816" spans="1:1" ht="13.8" x14ac:dyDescent="0.25">
      <c r="A3816" s="8"/>
    </row>
    <row r="3817" spans="1:1" ht="13.8" x14ac:dyDescent="0.25">
      <c r="A3817" s="8"/>
    </row>
    <row r="3818" spans="1:1" ht="13.8" x14ac:dyDescent="0.25">
      <c r="A3818" s="8"/>
    </row>
    <row r="3819" spans="1:1" ht="13.8" x14ac:dyDescent="0.25">
      <c r="A3819" s="8"/>
    </row>
    <row r="3820" spans="1:1" ht="13.8" x14ac:dyDescent="0.25">
      <c r="A3820" s="8"/>
    </row>
    <row r="3821" spans="1:1" ht="13.8" x14ac:dyDescent="0.25">
      <c r="A3821" s="8"/>
    </row>
    <row r="3822" spans="1:1" ht="13.8" x14ac:dyDescent="0.25">
      <c r="A3822" s="8"/>
    </row>
    <row r="3823" spans="1:1" ht="13.8" x14ac:dyDescent="0.25">
      <c r="A3823" s="8"/>
    </row>
    <row r="3824" spans="1:1" ht="13.8" x14ac:dyDescent="0.25">
      <c r="A3824" s="8"/>
    </row>
    <row r="3825" spans="1:1" ht="13.8" x14ac:dyDescent="0.25">
      <c r="A3825" s="8"/>
    </row>
    <row r="3826" spans="1:1" ht="13.8" x14ac:dyDescent="0.25">
      <c r="A3826" s="8"/>
    </row>
    <row r="3827" spans="1:1" ht="13.8" x14ac:dyDescent="0.25">
      <c r="A3827" s="8"/>
    </row>
    <row r="3828" spans="1:1" ht="13.8" x14ac:dyDescent="0.25">
      <c r="A3828" s="8"/>
    </row>
    <row r="3829" spans="1:1" ht="13.8" x14ac:dyDescent="0.25">
      <c r="A3829" s="8"/>
    </row>
    <row r="3830" spans="1:1" ht="13.8" x14ac:dyDescent="0.25">
      <c r="A3830" s="8"/>
    </row>
    <row r="3831" spans="1:1" ht="13.8" x14ac:dyDescent="0.25">
      <c r="A3831" s="8"/>
    </row>
    <row r="3832" spans="1:1" ht="13.8" x14ac:dyDescent="0.25">
      <c r="A3832" s="8"/>
    </row>
    <row r="3833" spans="1:1" ht="13.8" x14ac:dyDescent="0.25">
      <c r="A3833" s="8"/>
    </row>
    <row r="3834" spans="1:1" ht="13.8" x14ac:dyDescent="0.25">
      <c r="A3834" s="8"/>
    </row>
    <row r="3835" spans="1:1" ht="13.8" x14ac:dyDescent="0.25">
      <c r="A3835" s="8"/>
    </row>
    <row r="3836" spans="1:1" ht="13.8" x14ac:dyDescent="0.25">
      <c r="A3836" s="8"/>
    </row>
    <row r="3837" spans="1:1" ht="13.8" x14ac:dyDescent="0.25">
      <c r="A3837" s="8"/>
    </row>
    <row r="3838" spans="1:1" ht="13.8" x14ac:dyDescent="0.25">
      <c r="A3838" s="8"/>
    </row>
    <row r="3839" spans="1:1" ht="13.8" x14ac:dyDescent="0.25">
      <c r="A3839" s="8"/>
    </row>
    <row r="3840" spans="1:1" ht="13.8" x14ac:dyDescent="0.25">
      <c r="A3840" s="8"/>
    </row>
    <row r="3841" spans="1:1" ht="13.8" x14ac:dyDescent="0.25">
      <c r="A3841" s="8"/>
    </row>
    <row r="3842" spans="1:1" ht="13.8" x14ac:dyDescent="0.25">
      <c r="A3842" s="8"/>
    </row>
    <row r="3843" spans="1:1" ht="13.8" x14ac:dyDescent="0.25">
      <c r="A3843" s="8"/>
    </row>
    <row r="3844" spans="1:1" ht="13.8" x14ac:dyDescent="0.25">
      <c r="A3844" s="8"/>
    </row>
    <row r="3845" spans="1:1" ht="13.8" x14ac:dyDescent="0.25">
      <c r="A3845" s="8"/>
    </row>
    <row r="3846" spans="1:1" ht="13.8" x14ac:dyDescent="0.25">
      <c r="A3846" s="8"/>
    </row>
    <row r="3847" spans="1:1" ht="13.8" x14ac:dyDescent="0.25">
      <c r="A3847" s="8"/>
    </row>
    <row r="3848" spans="1:1" ht="13.8" x14ac:dyDescent="0.25">
      <c r="A3848" s="8"/>
    </row>
    <row r="3849" spans="1:1" ht="13.8" x14ac:dyDescent="0.25">
      <c r="A3849" s="8"/>
    </row>
    <row r="3850" spans="1:1" ht="13.8" x14ac:dyDescent="0.25">
      <c r="A3850" s="8"/>
    </row>
    <row r="3851" spans="1:1" ht="13.8" x14ac:dyDescent="0.25">
      <c r="A3851" s="8"/>
    </row>
    <row r="3852" spans="1:1" ht="13.8" x14ac:dyDescent="0.25">
      <c r="A3852" s="8"/>
    </row>
    <row r="3853" spans="1:1" ht="13.8" x14ac:dyDescent="0.25">
      <c r="A3853" s="8"/>
    </row>
    <row r="3854" spans="1:1" ht="13.8" x14ac:dyDescent="0.25">
      <c r="A3854" s="8"/>
    </row>
    <row r="3855" spans="1:1" ht="13.8" x14ac:dyDescent="0.25">
      <c r="A3855" s="8"/>
    </row>
    <row r="3856" spans="1:1" ht="13.8" x14ac:dyDescent="0.25">
      <c r="A3856" s="8"/>
    </row>
    <row r="3857" spans="1:1" ht="13.8" x14ac:dyDescent="0.25">
      <c r="A3857" s="8"/>
    </row>
    <row r="3858" spans="1:1" ht="13.8" x14ac:dyDescent="0.25">
      <c r="A3858" s="8"/>
    </row>
    <row r="3859" spans="1:1" ht="13.8" x14ac:dyDescent="0.25">
      <c r="A3859" s="8"/>
    </row>
    <row r="3860" spans="1:1" ht="13.8" x14ac:dyDescent="0.25">
      <c r="A3860" s="8"/>
    </row>
    <row r="3861" spans="1:1" ht="13.8" x14ac:dyDescent="0.25">
      <c r="A3861" s="8"/>
    </row>
    <row r="3862" spans="1:1" ht="13.8" x14ac:dyDescent="0.25">
      <c r="A3862" s="8"/>
    </row>
    <row r="3863" spans="1:1" ht="13.8" x14ac:dyDescent="0.25">
      <c r="A3863" s="8"/>
    </row>
    <row r="3864" spans="1:1" ht="13.8" x14ac:dyDescent="0.25">
      <c r="A3864" s="8"/>
    </row>
    <row r="3865" spans="1:1" ht="13.8" x14ac:dyDescent="0.25">
      <c r="A3865" s="8"/>
    </row>
    <row r="3866" spans="1:1" ht="13.8" x14ac:dyDescent="0.25">
      <c r="A3866" s="8"/>
    </row>
    <row r="3867" spans="1:1" ht="13.8" x14ac:dyDescent="0.25">
      <c r="A3867" s="8"/>
    </row>
    <row r="3868" spans="1:1" ht="13.8" x14ac:dyDescent="0.25">
      <c r="A3868" s="8"/>
    </row>
    <row r="3869" spans="1:1" ht="13.8" x14ac:dyDescent="0.25">
      <c r="A3869" s="8"/>
    </row>
    <row r="3870" spans="1:1" ht="13.8" x14ac:dyDescent="0.25">
      <c r="A3870" s="8"/>
    </row>
    <row r="3871" spans="1:1" ht="13.8" x14ac:dyDescent="0.25">
      <c r="A3871" s="8"/>
    </row>
    <row r="3872" spans="1:1" ht="13.8" x14ac:dyDescent="0.25">
      <c r="A3872" s="8"/>
    </row>
    <row r="3873" spans="1:1" ht="13.8" x14ac:dyDescent="0.25">
      <c r="A3873" s="8"/>
    </row>
    <row r="3874" spans="1:1" ht="13.8" x14ac:dyDescent="0.25">
      <c r="A3874" s="8"/>
    </row>
    <row r="3875" spans="1:1" ht="13.8" x14ac:dyDescent="0.25">
      <c r="A3875" s="8"/>
    </row>
    <row r="3876" spans="1:1" ht="13.8" x14ac:dyDescent="0.25">
      <c r="A3876" s="8"/>
    </row>
    <row r="3877" spans="1:1" ht="13.8" x14ac:dyDescent="0.25">
      <c r="A3877" s="8"/>
    </row>
    <row r="3878" spans="1:1" ht="13.8" x14ac:dyDescent="0.25">
      <c r="A3878" s="8"/>
    </row>
    <row r="3879" spans="1:1" ht="13.8" x14ac:dyDescent="0.25">
      <c r="A3879" s="8"/>
    </row>
    <row r="3880" spans="1:1" ht="13.8" x14ac:dyDescent="0.25">
      <c r="A3880" s="8"/>
    </row>
    <row r="3881" spans="1:1" ht="13.8" x14ac:dyDescent="0.25">
      <c r="A3881" s="8"/>
    </row>
    <row r="3882" spans="1:1" ht="13.8" x14ac:dyDescent="0.25">
      <c r="A3882" s="8"/>
    </row>
    <row r="3883" spans="1:1" ht="13.8" x14ac:dyDescent="0.25">
      <c r="A3883" s="8"/>
    </row>
    <row r="3884" spans="1:1" ht="13.8" x14ac:dyDescent="0.25">
      <c r="A3884" s="8"/>
    </row>
    <row r="3885" spans="1:1" ht="13.8" x14ac:dyDescent="0.25">
      <c r="A3885" s="8"/>
    </row>
    <row r="3886" spans="1:1" ht="13.8" x14ac:dyDescent="0.25">
      <c r="A3886" s="8"/>
    </row>
    <row r="3887" spans="1:1" ht="13.8" x14ac:dyDescent="0.25">
      <c r="A3887" s="8"/>
    </row>
    <row r="3888" spans="1:1" ht="13.8" x14ac:dyDescent="0.25">
      <c r="A3888" s="8"/>
    </row>
    <row r="3889" spans="1:1" ht="13.8" x14ac:dyDescent="0.25">
      <c r="A3889" s="8"/>
    </row>
    <row r="3890" spans="1:1" ht="13.8" x14ac:dyDescent="0.25">
      <c r="A3890" s="8"/>
    </row>
    <row r="3891" spans="1:1" ht="13.8" x14ac:dyDescent="0.25">
      <c r="A3891" s="8"/>
    </row>
    <row r="3892" spans="1:1" ht="13.8" x14ac:dyDescent="0.25">
      <c r="A3892" s="8"/>
    </row>
    <row r="3893" spans="1:1" ht="13.8" x14ac:dyDescent="0.25">
      <c r="A3893" s="8"/>
    </row>
    <row r="3894" spans="1:1" ht="13.8" x14ac:dyDescent="0.25">
      <c r="A3894" s="8"/>
    </row>
    <row r="3895" spans="1:1" ht="13.8" x14ac:dyDescent="0.25">
      <c r="A3895" s="8"/>
    </row>
    <row r="3896" spans="1:1" ht="13.8" x14ac:dyDescent="0.25">
      <c r="A3896" s="8"/>
    </row>
    <row r="3897" spans="1:1" ht="13.8" x14ac:dyDescent="0.25">
      <c r="A3897" s="8"/>
    </row>
    <row r="3898" spans="1:1" ht="13.8" x14ac:dyDescent="0.25">
      <c r="A3898" s="8"/>
    </row>
    <row r="3899" spans="1:1" ht="13.8" x14ac:dyDescent="0.25">
      <c r="A3899" s="8"/>
    </row>
    <row r="3900" spans="1:1" ht="13.8" x14ac:dyDescent="0.25">
      <c r="A3900" s="8"/>
    </row>
    <row r="3901" spans="1:1" ht="13.8" x14ac:dyDescent="0.25">
      <c r="A3901" s="8"/>
    </row>
    <row r="3902" spans="1:1" ht="13.8" x14ac:dyDescent="0.25">
      <c r="A3902" s="8"/>
    </row>
    <row r="3903" spans="1:1" ht="13.8" x14ac:dyDescent="0.25">
      <c r="A3903" s="8"/>
    </row>
    <row r="3904" spans="1:1" ht="13.8" x14ac:dyDescent="0.25">
      <c r="A3904" s="8"/>
    </row>
    <row r="3905" spans="1:1" ht="13.8" x14ac:dyDescent="0.25">
      <c r="A3905" s="8"/>
    </row>
    <row r="3906" spans="1:1" ht="13.8" x14ac:dyDescent="0.25">
      <c r="A3906" s="8"/>
    </row>
    <row r="3907" spans="1:1" ht="13.8" x14ac:dyDescent="0.25">
      <c r="A3907" s="8"/>
    </row>
    <row r="3908" spans="1:1" ht="13.8" x14ac:dyDescent="0.25">
      <c r="A3908" s="8"/>
    </row>
    <row r="3909" spans="1:1" ht="13.8" x14ac:dyDescent="0.25">
      <c r="A3909" s="8"/>
    </row>
    <row r="3910" spans="1:1" ht="13.8" x14ac:dyDescent="0.25">
      <c r="A3910" s="8"/>
    </row>
    <row r="3911" spans="1:1" ht="13.8" x14ac:dyDescent="0.25">
      <c r="A3911" s="8"/>
    </row>
    <row r="3912" spans="1:1" ht="13.8" x14ac:dyDescent="0.25">
      <c r="A3912" s="8"/>
    </row>
    <row r="3913" spans="1:1" ht="13.8" x14ac:dyDescent="0.25">
      <c r="A3913" s="8"/>
    </row>
    <row r="3914" spans="1:1" ht="13.8" x14ac:dyDescent="0.25">
      <c r="A3914" s="8"/>
    </row>
    <row r="3915" spans="1:1" ht="13.8" x14ac:dyDescent="0.25">
      <c r="A3915" s="8"/>
    </row>
    <row r="3916" spans="1:1" ht="13.8" x14ac:dyDescent="0.25">
      <c r="A3916" s="8"/>
    </row>
    <row r="3917" spans="1:1" ht="13.8" x14ac:dyDescent="0.25">
      <c r="A3917" s="8"/>
    </row>
    <row r="3918" spans="1:1" ht="13.8" x14ac:dyDescent="0.25">
      <c r="A3918" s="8"/>
    </row>
    <row r="3919" spans="1:1" ht="13.8" x14ac:dyDescent="0.25">
      <c r="A3919" s="8"/>
    </row>
    <row r="3920" spans="1:1" ht="13.8" x14ac:dyDescent="0.25">
      <c r="A3920" s="8"/>
    </row>
    <row r="3921" spans="1:1" ht="13.8" x14ac:dyDescent="0.25">
      <c r="A3921" s="8"/>
    </row>
    <row r="3922" spans="1:1" ht="13.8" x14ac:dyDescent="0.25">
      <c r="A3922" s="8"/>
    </row>
    <row r="3923" spans="1:1" ht="13.8" x14ac:dyDescent="0.25">
      <c r="A3923" s="8"/>
    </row>
    <row r="3924" spans="1:1" ht="13.8" x14ac:dyDescent="0.25">
      <c r="A3924" s="8"/>
    </row>
    <row r="3925" spans="1:1" ht="13.8" x14ac:dyDescent="0.25">
      <c r="A3925" s="8"/>
    </row>
    <row r="3926" spans="1:1" ht="13.8" x14ac:dyDescent="0.25">
      <c r="A3926" s="8"/>
    </row>
    <row r="3927" spans="1:1" ht="13.8" x14ac:dyDescent="0.25">
      <c r="A3927" s="8"/>
    </row>
    <row r="3928" spans="1:1" ht="13.8" x14ac:dyDescent="0.25">
      <c r="A3928" s="8"/>
    </row>
    <row r="3929" spans="1:1" ht="13.8" x14ac:dyDescent="0.25">
      <c r="A3929" s="8"/>
    </row>
    <row r="3930" spans="1:1" ht="13.8" x14ac:dyDescent="0.25">
      <c r="A3930" s="8"/>
    </row>
    <row r="3931" spans="1:1" ht="13.8" x14ac:dyDescent="0.25">
      <c r="A3931" s="8"/>
    </row>
    <row r="3932" spans="1:1" ht="13.8" x14ac:dyDescent="0.25">
      <c r="A3932" s="8"/>
    </row>
    <row r="3933" spans="1:1" ht="13.8" x14ac:dyDescent="0.25">
      <c r="A3933" s="8"/>
    </row>
    <row r="3934" spans="1:1" ht="13.8" x14ac:dyDescent="0.25">
      <c r="A3934" s="8"/>
    </row>
    <row r="3935" spans="1:1" ht="13.8" x14ac:dyDescent="0.25">
      <c r="A3935" s="8"/>
    </row>
    <row r="3936" spans="1:1" ht="13.8" x14ac:dyDescent="0.25">
      <c r="A3936" s="8"/>
    </row>
    <row r="3937" spans="1:1" ht="13.8" x14ac:dyDescent="0.25">
      <c r="A3937" s="8"/>
    </row>
    <row r="3938" spans="1:1" ht="13.8" x14ac:dyDescent="0.25">
      <c r="A3938" s="8"/>
    </row>
    <row r="3939" spans="1:1" ht="13.8" x14ac:dyDescent="0.25">
      <c r="A3939" s="8"/>
    </row>
    <row r="3940" spans="1:1" ht="13.8" x14ac:dyDescent="0.25">
      <c r="A3940" s="8"/>
    </row>
    <row r="3941" spans="1:1" ht="13.8" x14ac:dyDescent="0.25">
      <c r="A3941" s="8"/>
    </row>
    <row r="3942" spans="1:1" ht="13.8" x14ac:dyDescent="0.25">
      <c r="A3942" s="8"/>
    </row>
    <row r="3943" spans="1:1" ht="13.8" x14ac:dyDescent="0.25">
      <c r="A3943" s="8"/>
    </row>
    <row r="3944" spans="1:1" ht="13.8" x14ac:dyDescent="0.25">
      <c r="A3944" s="8"/>
    </row>
    <row r="3945" spans="1:1" ht="13.8" x14ac:dyDescent="0.25">
      <c r="A3945" s="8"/>
    </row>
    <row r="3946" spans="1:1" ht="13.8" x14ac:dyDescent="0.25">
      <c r="A3946" s="8"/>
    </row>
    <row r="3947" spans="1:1" ht="13.8" x14ac:dyDescent="0.25">
      <c r="A3947" s="8"/>
    </row>
    <row r="3948" spans="1:1" ht="13.8" x14ac:dyDescent="0.25">
      <c r="A3948" s="8"/>
    </row>
    <row r="3949" spans="1:1" ht="13.8" x14ac:dyDescent="0.25">
      <c r="A3949" s="8"/>
    </row>
    <row r="3950" spans="1:1" ht="13.8" x14ac:dyDescent="0.25">
      <c r="A3950" s="8"/>
    </row>
    <row r="3951" spans="1:1" ht="13.8" x14ac:dyDescent="0.25">
      <c r="A3951" s="8"/>
    </row>
    <row r="3952" spans="1:1" ht="13.8" x14ac:dyDescent="0.25">
      <c r="A3952" s="8"/>
    </row>
    <row r="3953" spans="1:1" ht="13.8" x14ac:dyDescent="0.25">
      <c r="A3953" s="8"/>
    </row>
    <row r="3954" spans="1:1" ht="13.8" x14ac:dyDescent="0.25">
      <c r="A3954" s="8"/>
    </row>
    <row r="3955" spans="1:1" ht="13.8" x14ac:dyDescent="0.25">
      <c r="A3955" s="8"/>
    </row>
    <row r="3956" spans="1:1" ht="13.8" x14ac:dyDescent="0.25">
      <c r="A3956" s="8"/>
    </row>
    <row r="3957" spans="1:1" ht="13.8" x14ac:dyDescent="0.25">
      <c r="A3957" s="8"/>
    </row>
    <row r="3958" spans="1:1" ht="13.8" x14ac:dyDescent="0.25">
      <c r="A3958" s="8"/>
    </row>
    <row r="3959" spans="1:1" ht="13.8" x14ac:dyDescent="0.25">
      <c r="A3959" s="8"/>
    </row>
    <row r="3960" spans="1:1" ht="13.8" x14ac:dyDescent="0.25">
      <c r="A3960" s="8"/>
    </row>
    <row r="3961" spans="1:1" ht="13.8" x14ac:dyDescent="0.25">
      <c r="A3961" s="8"/>
    </row>
    <row r="3962" spans="1:1" ht="13.8" x14ac:dyDescent="0.25">
      <c r="A3962" s="8"/>
    </row>
    <row r="3963" spans="1:1" ht="13.8" x14ac:dyDescent="0.25">
      <c r="A3963" s="8"/>
    </row>
    <row r="3964" spans="1:1" ht="13.8" x14ac:dyDescent="0.25">
      <c r="A3964" s="8"/>
    </row>
    <row r="3965" spans="1:1" ht="13.8" x14ac:dyDescent="0.25">
      <c r="A3965" s="8"/>
    </row>
    <row r="3966" spans="1:1" ht="13.8" x14ac:dyDescent="0.25">
      <c r="A3966" s="8"/>
    </row>
    <row r="3967" spans="1:1" ht="13.8" x14ac:dyDescent="0.25">
      <c r="A3967" s="8"/>
    </row>
    <row r="3968" spans="1:1" ht="13.8" x14ac:dyDescent="0.25">
      <c r="A3968" s="8"/>
    </row>
    <row r="3969" spans="1:1" ht="13.8" x14ac:dyDescent="0.25">
      <c r="A3969" s="8"/>
    </row>
    <row r="3970" spans="1:1" ht="13.8" x14ac:dyDescent="0.25">
      <c r="A3970" s="8"/>
    </row>
    <row r="3971" spans="1:1" ht="13.8" x14ac:dyDescent="0.25">
      <c r="A3971" s="8"/>
    </row>
    <row r="3972" spans="1:1" ht="13.8" x14ac:dyDescent="0.25">
      <c r="A3972" s="8"/>
    </row>
    <row r="3973" spans="1:1" ht="13.8" x14ac:dyDescent="0.25">
      <c r="A3973" s="8"/>
    </row>
    <row r="3974" spans="1:1" ht="13.8" x14ac:dyDescent="0.25">
      <c r="A3974" s="8"/>
    </row>
    <row r="3975" spans="1:1" ht="13.8" x14ac:dyDescent="0.25">
      <c r="A3975" s="8"/>
    </row>
    <row r="3976" spans="1:1" ht="13.8" x14ac:dyDescent="0.25">
      <c r="A3976" s="8"/>
    </row>
    <row r="3977" spans="1:1" ht="13.8" x14ac:dyDescent="0.25">
      <c r="A3977" s="8"/>
    </row>
    <row r="3978" spans="1:1" ht="13.8" x14ac:dyDescent="0.25">
      <c r="A3978" s="8"/>
    </row>
    <row r="3979" spans="1:1" ht="13.8" x14ac:dyDescent="0.25">
      <c r="A3979" s="8"/>
    </row>
    <row r="3980" spans="1:1" ht="13.8" x14ac:dyDescent="0.25">
      <c r="A3980" s="8"/>
    </row>
    <row r="3981" spans="1:1" ht="13.8" x14ac:dyDescent="0.25">
      <c r="A3981" s="8"/>
    </row>
    <row r="3982" spans="1:1" ht="13.8" x14ac:dyDescent="0.25">
      <c r="A3982" s="8"/>
    </row>
    <row r="3983" spans="1:1" ht="13.8" x14ac:dyDescent="0.25">
      <c r="A3983" s="8"/>
    </row>
    <row r="3984" spans="1:1" ht="13.8" x14ac:dyDescent="0.25">
      <c r="A3984" s="8"/>
    </row>
    <row r="3985" spans="1:1" ht="13.8" x14ac:dyDescent="0.25">
      <c r="A3985" s="8"/>
    </row>
    <row r="3986" spans="1:1" ht="13.8" x14ac:dyDescent="0.25">
      <c r="A3986" s="8"/>
    </row>
    <row r="3987" spans="1:1" ht="13.8" x14ac:dyDescent="0.25">
      <c r="A3987" s="8"/>
    </row>
    <row r="3988" spans="1:1" ht="13.8" x14ac:dyDescent="0.25">
      <c r="A3988" s="8"/>
    </row>
    <row r="3989" spans="1:1" ht="13.8" x14ac:dyDescent="0.25">
      <c r="A3989" s="8"/>
    </row>
    <row r="3990" spans="1:1" ht="13.8" x14ac:dyDescent="0.25">
      <c r="A3990" s="8"/>
    </row>
    <row r="3991" spans="1:1" ht="13.8" x14ac:dyDescent="0.25">
      <c r="A3991" s="8"/>
    </row>
    <row r="3992" spans="1:1" ht="13.8" x14ac:dyDescent="0.25">
      <c r="A3992" s="8"/>
    </row>
    <row r="3993" spans="1:1" ht="13.8" x14ac:dyDescent="0.25">
      <c r="A3993" s="8"/>
    </row>
    <row r="3994" spans="1:1" ht="13.8" x14ac:dyDescent="0.25">
      <c r="A3994" s="8"/>
    </row>
    <row r="3995" spans="1:1" ht="13.8" x14ac:dyDescent="0.25">
      <c r="A3995" s="8"/>
    </row>
    <row r="3996" spans="1:1" ht="13.8" x14ac:dyDescent="0.25">
      <c r="A3996" s="8"/>
    </row>
    <row r="3997" spans="1:1" ht="13.8" x14ac:dyDescent="0.25">
      <c r="A3997" s="8"/>
    </row>
    <row r="3998" spans="1:1" ht="13.8" x14ac:dyDescent="0.25">
      <c r="A3998" s="8"/>
    </row>
    <row r="3999" spans="1:1" ht="13.8" x14ac:dyDescent="0.25">
      <c r="A3999" s="8"/>
    </row>
    <row r="4000" spans="1:1" ht="13.8" x14ac:dyDescent="0.25">
      <c r="A4000" s="8"/>
    </row>
    <row r="4001" spans="1:1" ht="13.8" x14ac:dyDescent="0.25">
      <c r="A4001" s="8"/>
    </row>
    <row r="4002" spans="1:1" ht="13.8" x14ac:dyDescent="0.25">
      <c r="A4002" s="8"/>
    </row>
    <row r="4003" spans="1:1" ht="13.8" x14ac:dyDescent="0.25">
      <c r="A4003" s="8"/>
    </row>
    <row r="4004" spans="1:1" ht="13.8" x14ac:dyDescent="0.25">
      <c r="A4004" s="8"/>
    </row>
    <row r="4005" spans="1:1" ht="13.8" x14ac:dyDescent="0.25">
      <c r="A4005" s="8"/>
    </row>
    <row r="4006" spans="1:1" ht="13.8" x14ac:dyDescent="0.25">
      <c r="A4006" s="8"/>
    </row>
    <row r="4007" spans="1:1" ht="13.8" x14ac:dyDescent="0.25">
      <c r="A4007" s="8"/>
    </row>
    <row r="4008" spans="1:1" ht="13.8" x14ac:dyDescent="0.25">
      <c r="A4008" s="8"/>
    </row>
    <row r="4009" spans="1:1" ht="13.8" x14ac:dyDescent="0.25">
      <c r="A4009" s="8"/>
    </row>
    <row r="4010" spans="1:1" ht="13.8" x14ac:dyDescent="0.25">
      <c r="A4010" s="8"/>
    </row>
    <row r="4011" spans="1:1" ht="13.8" x14ac:dyDescent="0.25">
      <c r="A4011" s="8"/>
    </row>
    <row r="4012" spans="1:1" ht="13.8" x14ac:dyDescent="0.25">
      <c r="A4012" s="8"/>
    </row>
    <row r="4013" spans="1:1" ht="13.8" x14ac:dyDescent="0.25">
      <c r="A4013" s="8"/>
    </row>
    <row r="4014" spans="1:1" ht="13.8" x14ac:dyDescent="0.25">
      <c r="A4014" s="8"/>
    </row>
    <row r="4015" spans="1:1" ht="13.8" x14ac:dyDescent="0.25">
      <c r="A4015" s="8"/>
    </row>
    <row r="4016" spans="1:1" ht="13.8" x14ac:dyDescent="0.25">
      <c r="A4016" s="8"/>
    </row>
    <row r="4017" spans="1:1" ht="13.8" x14ac:dyDescent="0.25">
      <c r="A4017" s="8"/>
    </row>
    <row r="4018" spans="1:1" ht="13.8" x14ac:dyDescent="0.25">
      <c r="A4018" s="8"/>
    </row>
    <row r="4019" spans="1:1" ht="13.8" x14ac:dyDescent="0.25">
      <c r="A4019" s="8"/>
    </row>
    <row r="4020" spans="1:1" ht="13.8" x14ac:dyDescent="0.25">
      <c r="A4020" s="8"/>
    </row>
    <row r="4021" spans="1:1" ht="13.8" x14ac:dyDescent="0.25">
      <c r="A4021" s="8"/>
    </row>
    <row r="4022" spans="1:1" ht="13.8" x14ac:dyDescent="0.25">
      <c r="A4022" s="8"/>
    </row>
    <row r="4023" spans="1:1" ht="13.8" x14ac:dyDescent="0.25">
      <c r="A4023" s="8"/>
    </row>
    <row r="4024" spans="1:1" ht="13.8" x14ac:dyDescent="0.25">
      <c r="A4024" s="8"/>
    </row>
    <row r="4025" spans="1:1" ht="13.8" x14ac:dyDescent="0.25">
      <c r="A4025" s="8"/>
    </row>
    <row r="4026" spans="1:1" ht="13.8" x14ac:dyDescent="0.25">
      <c r="A4026" s="8"/>
    </row>
    <row r="4027" spans="1:1" ht="13.8" x14ac:dyDescent="0.25">
      <c r="A4027" s="8"/>
    </row>
    <row r="4028" spans="1:1" ht="13.8" x14ac:dyDescent="0.25">
      <c r="A4028" s="8"/>
    </row>
    <row r="4029" spans="1:1" ht="13.8" x14ac:dyDescent="0.25">
      <c r="A4029" s="8"/>
    </row>
    <row r="4030" spans="1:1" ht="13.8" x14ac:dyDescent="0.25">
      <c r="A4030" s="8"/>
    </row>
    <row r="4031" spans="1:1" ht="13.8" x14ac:dyDescent="0.25">
      <c r="A4031" s="8"/>
    </row>
    <row r="4032" spans="1:1" ht="13.8" x14ac:dyDescent="0.25">
      <c r="A4032" s="8"/>
    </row>
    <row r="4033" spans="1:1" ht="13.8" x14ac:dyDescent="0.25">
      <c r="A4033" s="8"/>
    </row>
    <row r="4034" spans="1:1" ht="13.8" x14ac:dyDescent="0.25">
      <c r="A4034" s="8"/>
    </row>
    <row r="4035" spans="1:1" ht="13.8" x14ac:dyDescent="0.25">
      <c r="A4035" s="8"/>
    </row>
    <row r="4036" spans="1:1" ht="13.8" x14ac:dyDescent="0.25">
      <c r="A4036" s="8"/>
    </row>
    <row r="4037" spans="1:1" ht="13.8" x14ac:dyDescent="0.25">
      <c r="A4037" s="8"/>
    </row>
    <row r="4038" spans="1:1" ht="13.8" x14ac:dyDescent="0.25">
      <c r="A4038" s="8"/>
    </row>
    <row r="4039" spans="1:1" ht="13.8" x14ac:dyDescent="0.25">
      <c r="A4039" s="8"/>
    </row>
    <row r="4040" spans="1:1" ht="13.8" x14ac:dyDescent="0.25">
      <c r="A4040" s="8"/>
    </row>
    <row r="4041" spans="1:1" ht="13.8" x14ac:dyDescent="0.25">
      <c r="A4041" s="8"/>
    </row>
    <row r="4042" spans="1:1" ht="13.8" x14ac:dyDescent="0.25">
      <c r="A4042" s="8"/>
    </row>
    <row r="4043" spans="1:1" ht="13.8" x14ac:dyDescent="0.25">
      <c r="A4043" s="8"/>
    </row>
    <row r="4044" spans="1:1" ht="13.8" x14ac:dyDescent="0.25">
      <c r="A4044" s="8"/>
    </row>
    <row r="4045" spans="1:1" ht="13.8" x14ac:dyDescent="0.25">
      <c r="A4045" s="8"/>
    </row>
    <row r="4046" spans="1:1" ht="13.8" x14ac:dyDescent="0.25">
      <c r="A4046" s="8"/>
    </row>
    <row r="4047" spans="1:1" ht="13.8" x14ac:dyDescent="0.25">
      <c r="A4047" s="8"/>
    </row>
    <row r="4048" spans="1:1" ht="13.8" x14ac:dyDescent="0.25">
      <c r="A4048" s="8"/>
    </row>
    <row r="4049" spans="1:1" ht="13.8" x14ac:dyDescent="0.25">
      <c r="A4049" s="8"/>
    </row>
    <row r="4050" spans="1:1" ht="13.8" x14ac:dyDescent="0.25">
      <c r="A4050" s="8"/>
    </row>
    <row r="4051" spans="1:1" ht="13.8" x14ac:dyDescent="0.25">
      <c r="A4051" s="8"/>
    </row>
    <row r="4052" spans="1:1" ht="13.8" x14ac:dyDescent="0.25">
      <c r="A4052" s="8"/>
    </row>
    <row r="4053" spans="1:1" ht="13.8" x14ac:dyDescent="0.25">
      <c r="A4053" s="8"/>
    </row>
    <row r="4054" spans="1:1" ht="13.8" x14ac:dyDescent="0.25">
      <c r="A4054" s="8"/>
    </row>
    <row r="4055" spans="1:1" ht="13.8" x14ac:dyDescent="0.25">
      <c r="A4055" s="8"/>
    </row>
    <row r="4056" spans="1:1" ht="13.8" x14ac:dyDescent="0.25">
      <c r="A4056" s="8"/>
    </row>
    <row r="4057" spans="1:1" ht="13.8" x14ac:dyDescent="0.25">
      <c r="A4057" s="8"/>
    </row>
    <row r="4058" spans="1:1" ht="13.8" x14ac:dyDescent="0.25">
      <c r="A4058" s="8"/>
    </row>
    <row r="4059" spans="1:1" ht="13.8" x14ac:dyDescent="0.25">
      <c r="A4059" s="8"/>
    </row>
    <row r="4060" spans="1:1" ht="13.8" x14ac:dyDescent="0.25">
      <c r="A4060" s="8"/>
    </row>
    <row r="4061" spans="1:1" ht="13.8" x14ac:dyDescent="0.25">
      <c r="A4061" s="8"/>
    </row>
    <row r="4062" spans="1:1" ht="13.8" x14ac:dyDescent="0.25">
      <c r="A4062" s="8"/>
    </row>
    <row r="4063" spans="1:1" ht="13.8" x14ac:dyDescent="0.25">
      <c r="A4063" s="8"/>
    </row>
    <row r="4064" spans="1:1" ht="13.8" x14ac:dyDescent="0.25">
      <c r="A4064" s="8"/>
    </row>
    <row r="4065" spans="1:1" ht="13.8" x14ac:dyDescent="0.25">
      <c r="A4065" s="8"/>
    </row>
    <row r="4066" spans="1:1" ht="13.8" x14ac:dyDescent="0.25">
      <c r="A4066" s="8"/>
    </row>
    <row r="4067" spans="1:1" ht="13.8" x14ac:dyDescent="0.25">
      <c r="A4067" s="8"/>
    </row>
    <row r="4068" spans="1:1" ht="13.8" x14ac:dyDescent="0.25">
      <c r="A4068" s="8"/>
    </row>
    <row r="4069" spans="1:1" ht="13.8" x14ac:dyDescent="0.25">
      <c r="A4069" s="8"/>
    </row>
    <row r="4070" spans="1:1" ht="13.8" x14ac:dyDescent="0.25">
      <c r="A4070" s="8"/>
    </row>
    <row r="4071" spans="1:1" ht="13.8" x14ac:dyDescent="0.25">
      <c r="A4071" s="8"/>
    </row>
    <row r="4072" spans="1:1" ht="13.8" x14ac:dyDescent="0.25">
      <c r="A4072" s="8"/>
    </row>
    <row r="4073" spans="1:1" ht="13.8" x14ac:dyDescent="0.25">
      <c r="A4073" s="8"/>
    </row>
    <row r="4074" spans="1:1" ht="13.8" x14ac:dyDescent="0.25">
      <c r="A4074" s="8"/>
    </row>
    <row r="4075" spans="1:1" ht="13.8" x14ac:dyDescent="0.25">
      <c r="A4075" s="8"/>
    </row>
    <row r="4076" spans="1:1" ht="13.8" x14ac:dyDescent="0.25">
      <c r="A4076" s="8"/>
    </row>
    <row r="4077" spans="1:1" ht="13.8" x14ac:dyDescent="0.25">
      <c r="A4077" s="8"/>
    </row>
    <row r="4078" spans="1:1" ht="13.8" x14ac:dyDescent="0.25">
      <c r="A4078" s="8"/>
    </row>
    <row r="4079" spans="1:1" ht="13.8" x14ac:dyDescent="0.25">
      <c r="A4079" s="8"/>
    </row>
    <row r="4080" spans="1:1" ht="13.8" x14ac:dyDescent="0.25">
      <c r="A4080" s="8"/>
    </row>
    <row r="4081" spans="1:1" ht="13.8" x14ac:dyDescent="0.25">
      <c r="A4081" s="8"/>
    </row>
    <row r="4082" spans="1:1" ht="13.8" x14ac:dyDescent="0.25">
      <c r="A4082" s="8"/>
    </row>
    <row r="4083" spans="1:1" ht="13.8" x14ac:dyDescent="0.25">
      <c r="A4083" s="8"/>
    </row>
    <row r="4084" spans="1:1" ht="13.8" x14ac:dyDescent="0.25">
      <c r="A4084" s="8"/>
    </row>
    <row r="4085" spans="1:1" ht="13.8" x14ac:dyDescent="0.25">
      <c r="A4085" s="8"/>
    </row>
    <row r="4086" spans="1:1" ht="13.8" x14ac:dyDescent="0.25">
      <c r="A4086" s="8"/>
    </row>
    <row r="4087" spans="1:1" ht="13.8" x14ac:dyDescent="0.25">
      <c r="A4087" s="8"/>
    </row>
    <row r="4088" spans="1:1" ht="13.8" x14ac:dyDescent="0.25">
      <c r="A4088" s="8"/>
    </row>
    <row r="4089" spans="1:1" ht="13.8" x14ac:dyDescent="0.25">
      <c r="A4089" s="8"/>
    </row>
    <row r="4090" spans="1:1" ht="13.8" x14ac:dyDescent="0.25">
      <c r="A4090" s="8"/>
    </row>
    <row r="4091" spans="1:1" ht="13.8" x14ac:dyDescent="0.25">
      <c r="A4091" s="8"/>
    </row>
    <row r="4092" spans="1:1" ht="13.8" x14ac:dyDescent="0.25">
      <c r="A4092" s="8"/>
    </row>
    <row r="4093" spans="1:1" ht="13.8" x14ac:dyDescent="0.25">
      <c r="A4093" s="8"/>
    </row>
    <row r="4094" spans="1:1" ht="13.8" x14ac:dyDescent="0.25">
      <c r="A4094" s="8"/>
    </row>
    <row r="4095" spans="1:1" ht="13.8" x14ac:dyDescent="0.25">
      <c r="A4095" s="8"/>
    </row>
    <row r="4096" spans="1:1" ht="13.8" x14ac:dyDescent="0.25">
      <c r="A4096" s="8"/>
    </row>
    <row r="4097" spans="1:1" ht="13.8" x14ac:dyDescent="0.25">
      <c r="A4097" s="8"/>
    </row>
    <row r="4098" spans="1:1" ht="13.8" x14ac:dyDescent="0.25">
      <c r="A4098" s="8"/>
    </row>
    <row r="4099" spans="1:1" ht="13.8" x14ac:dyDescent="0.25">
      <c r="A4099" s="8"/>
    </row>
    <row r="4100" spans="1:1" ht="13.8" x14ac:dyDescent="0.25">
      <c r="A4100" s="8"/>
    </row>
    <row r="4101" spans="1:1" ht="13.8" x14ac:dyDescent="0.25">
      <c r="A4101" s="8"/>
    </row>
    <row r="4102" spans="1:1" ht="13.8" x14ac:dyDescent="0.25">
      <c r="A4102" s="8"/>
    </row>
    <row r="4103" spans="1:1" ht="13.8" x14ac:dyDescent="0.25">
      <c r="A4103" s="8"/>
    </row>
    <row r="4104" spans="1:1" ht="13.8" x14ac:dyDescent="0.25">
      <c r="A4104" s="8"/>
    </row>
    <row r="4105" spans="1:1" ht="13.8" x14ac:dyDescent="0.25">
      <c r="A4105" s="8"/>
    </row>
    <row r="4106" spans="1:1" ht="13.8" x14ac:dyDescent="0.25">
      <c r="A4106" s="8"/>
    </row>
    <row r="4107" spans="1:1" ht="13.8" x14ac:dyDescent="0.25">
      <c r="A4107" s="8"/>
    </row>
    <row r="4108" spans="1:1" ht="13.8" x14ac:dyDescent="0.25">
      <c r="A4108" s="8"/>
    </row>
    <row r="4109" spans="1:1" ht="13.8" x14ac:dyDescent="0.25">
      <c r="A4109" s="8"/>
    </row>
    <row r="4110" spans="1:1" ht="13.8" x14ac:dyDescent="0.25">
      <c r="A4110" s="8"/>
    </row>
    <row r="4111" spans="1:1" ht="13.8" x14ac:dyDescent="0.25">
      <c r="A4111" s="8"/>
    </row>
    <row r="4112" spans="1:1" ht="13.8" x14ac:dyDescent="0.25">
      <c r="A4112" s="8"/>
    </row>
    <row r="4113" spans="1:1" ht="13.8" x14ac:dyDescent="0.25">
      <c r="A4113" s="8"/>
    </row>
    <row r="4114" spans="1:1" ht="13.8" x14ac:dyDescent="0.25">
      <c r="A4114" s="8"/>
    </row>
    <row r="4115" spans="1:1" ht="13.8" x14ac:dyDescent="0.25">
      <c r="A4115" s="8"/>
    </row>
    <row r="4116" spans="1:1" ht="13.8" x14ac:dyDescent="0.25">
      <c r="A4116" s="8"/>
    </row>
    <row r="4117" spans="1:1" ht="13.8" x14ac:dyDescent="0.25">
      <c r="A4117" s="8"/>
    </row>
    <row r="4118" spans="1:1" ht="13.8" x14ac:dyDescent="0.25">
      <c r="A4118" s="8"/>
    </row>
    <row r="4119" spans="1:1" ht="13.8" x14ac:dyDescent="0.25">
      <c r="A4119" s="8"/>
    </row>
    <row r="4120" spans="1:1" ht="13.8" x14ac:dyDescent="0.25">
      <c r="A4120" s="8"/>
    </row>
    <row r="4121" spans="1:1" ht="13.8" x14ac:dyDescent="0.25">
      <c r="A4121" s="8"/>
    </row>
    <row r="4122" spans="1:1" ht="13.8" x14ac:dyDescent="0.25">
      <c r="A4122" s="8"/>
    </row>
    <row r="4123" spans="1:1" ht="13.8" x14ac:dyDescent="0.25">
      <c r="A4123" s="8"/>
    </row>
    <row r="4124" spans="1:1" ht="13.8" x14ac:dyDescent="0.25">
      <c r="A4124" s="8"/>
    </row>
    <row r="4125" spans="1:1" ht="13.8" x14ac:dyDescent="0.25">
      <c r="A4125" s="8"/>
    </row>
    <row r="4126" spans="1:1" ht="13.8" x14ac:dyDescent="0.25">
      <c r="A4126" s="8"/>
    </row>
    <row r="4127" spans="1:1" ht="13.8" x14ac:dyDescent="0.25">
      <c r="A4127" s="8"/>
    </row>
    <row r="4128" spans="1:1" ht="13.8" x14ac:dyDescent="0.25">
      <c r="A4128" s="8"/>
    </row>
    <row r="4129" spans="1:1" ht="13.8" x14ac:dyDescent="0.25">
      <c r="A4129" s="8"/>
    </row>
    <row r="4130" spans="1:1" ht="13.8" x14ac:dyDescent="0.25">
      <c r="A4130" s="8"/>
    </row>
    <row r="4131" spans="1:1" ht="13.8" x14ac:dyDescent="0.25">
      <c r="A4131" s="8"/>
    </row>
    <row r="4132" spans="1:1" ht="13.8" x14ac:dyDescent="0.25">
      <c r="A4132" s="8"/>
    </row>
    <row r="4133" spans="1:1" ht="13.8" x14ac:dyDescent="0.25">
      <c r="A4133" s="8"/>
    </row>
    <row r="4134" spans="1:1" ht="13.8" x14ac:dyDescent="0.25">
      <c r="A4134" s="8"/>
    </row>
    <row r="4135" spans="1:1" ht="13.8" x14ac:dyDescent="0.25">
      <c r="A4135" s="8"/>
    </row>
    <row r="4136" spans="1:1" ht="13.8" x14ac:dyDescent="0.25">
      <c r="A4136" s="8"/>
    </row>
    <row r="4137" spans="1:1" ht="13.8" x14ac:dyDescent="0.25">
      <c r="A4137" s="8"/>
    </row>
    <row r="4138" spans="1:1" ht="13.8" x14ac:dyDescent="0.25">
      <c r="A4138" s="8"/>
    </row>
    <row r="4139" spans="1:1" ht="13.8" x14ac:dyDescent="0.25">
      <c r="A4139" s="8"/>
    </row>
    <row r="4140" spans="1:1" ht="13.8" x14ac:dyDescent="0.25">
      <c r="A4140" s="8"/>
    </row>
    <row r="4141" spans="1:1" ht="13.8" x14ac:dyDescent="0.25">
      <c r="A4141" s="8"/>
    </row>
    <row r="4142" spans="1:1" ht="13.8" x14ac:dyDescent="0.25">
      <c r="A4142" s="8"/>
    </row>
    <row r="4143" spans="1:1" ht="13.8" x14ac:dyDescent="0.25">
      <c r="A4143" s="8"/>
    </row>
    <row r="4144" spans="1:1" ht="13.8" x14ac:dyDescent="0.25">
      <c r="A4144" s="8"/>
    </row>
    <row r="4145" spans="1:1" ht="13.8" x14ac:dyDescent="0.25">
      <c r="A4145" s="8"/>
    </row>
    <row r="4146" spans="1:1" ht="13.8" x14ac:dyDescent="0.25">
      <c r="A4146" s="8"/>
    </row>
    <row r="4147" spans="1:1" ht="13.8" x14ac:dyDescent="0.25">
      <c r="A4147" s="8"/>
    </row>
    <row r="4148" spans="1:1" ht="13.8" x14ac:dyDescent="0.25">
      <c r="A4148" s="8"/>
    </row>
    <row r="4149" spans="1:1" ht="13.8" x14ac:dyDescent="0.25">
      <c r="A4149" s="8"/>
    </row>
    <row r="4150" spans="1:1" ht="13.8" x14ac:dyDescent="0.25">
      <c r="A4150" s="8"/>
    </row>
    <row r="4151" spans="1:1" ht="13.8" x14ac:dyDescent="0.25">
      <c r="A4151" s="8"/>
    </row>
    <row r="4152" spans="1:1" ht="13.8" x14ac:dyDescent="0.25">
      <c r="A4152" s="8"/>
    </row>
    <row r="4153" spans="1:1" ht="13.8" x14ac:dyDescent="0.25">
      <c r="A4153" s="8"/>
    </row>
    <row r="4154" spans="1:1" ht="13.8" x14ac:dyDescent="0.25">
      <c r="A4154" s="8"/>
    </row>
    <row r="4155" spans="1:1" ht="13.8" x14ac:dyDescent="0.25">
      <c r="A4155" s="8"/>
    </row>
    <row r="4156" spans="1:1" ht="13.8" x14ac:dyDescent="0.25">
      <c r="A4156" s="8"/>
    </row>
    <row r="4157" spans="1:1" ht="13.8" x14ac:dyDescent="0.25">
      <c r="A4157" s="8"/>
    </row>
    <row r="4158" spans="1:1" ht="13.8" x14ac:dyDescent="0.25">
      <c r="A4158" s="8"/>
    </row>
    <row r="4159" spans="1:1" ht="13.8" x14ac:dyDescent="0.25">
      <c r="A4159" s="8"/>
    </row>
    <row r="4160" spans="1:1" ht="13.8" x14ac:dyDescent="0.25">
      <c r="A4160" s="8"/>
    </row>
    <row r="4161" spans="1:1" ht="13.8" x14ac:dyDescent="0.25">
      <c r="A4161" s="8"/>
    </row>
    <row r="4162" spans="1:1" ht="13.8" x14ac:dyDescent="0.25">
      <c r="A4162" s="8"/>
    </row>
    <row r="4163" spans="1:1" ht="13.8" x14ac:dyDescent="0.25">
      <c r="A4163" s="8"/>
    </row>
    <row r="4164" spans="1:1" ht="13.8" x14ac:dyDescent="0.25">
      <c r="A4164" s="8"/>
    </row>
    <row r="4165" spans="1:1" ht="13.8" x14ac:dyDescent="0.25">
      <c r="A4165" s="8"/>
    </row>
    <row r="4166" spans="1:1" ht="13.8" x14ac:dyDescent="0.25">
      <c r="A4166" s="8"/>
    </row>
    <row r="4167" spans="1:1" ht="13.8" x14ac:dyDescent="0.25">
      <c r="A4167" s="8"/>
    </row>
    <row r="4168" spans="1:1" ht="13.8" x14ac:dyDescent="0.25">
      <c r="A4168" s="8"/>
    </row>
    <row r="4169" spans="1:1" ht="13.8" x14ac:dyDescent="0.25">
      <c r="A4169" s="8"/>
    </row>
    <row r="4170" spans="1:1" ht="13.8" x14ac:dyDescent="0.25">
      <c r="A4170" s="8"/>
    </row>
    <row r="4171" spans="1:1" ht="13.8" x14ac:dyDescent="0.25">
      <c r="A4171" s="8"/>
    </row>
    <row r="4172" spans="1:1" ht="13.8" x14ac:dyDescent="0.25">
      <c r="A4172" s="8"/>
    </row>
    <row r="4173" spans="1:1" ht="13.8" x14ac:dyDescent="0.25">
      <c r="A4173" s="8"/>
    </row>
    <row r="4174" spans="1:1" ht="13.8" x14ac:dyDescent="0.25">
      <c r="A4174" s="8"/>
    </row>
    <row r="4175" spans="1:1" ht="13.8" x14ac:dyDescent="0.25">
      <c r="A4175" s="8"/>
    </row>
    <row r="4176" spans="1:1" ht="13.8" x14ac:dyDescent="0.25">
      <c r="A4176" s="8"/>
    </row>
    <row r="4177" spans="1:1" ht="13.8" x14ac:dyDescent="0.25">
      <c r="A4177" s="8"/>
    </row>
    <row r="4178" spans="1:1" ht="13.8" x14ac:dyDescent="0.25">
      <c r="A4178" s="8"/>
    </row>
    <row r="4179" spans="1:1" ht="13.8" x14ac:dyDescent="0.25">
      <c r="A4179" s="8"/>
    </row>
    <row r="4180" spans="1:1" ht="13.8" x14ac:dyDescent="0.25">
      <c r="A4180" s="8"/>
    </row>
    <row r="4181" spans="1:1" ht="13.8" x14ac:dyDescent="0.25">
      <c r="A4181" s="8"/>
    </row>
    <row r="4182" spans="1:1" ht="13.8" x14ac:dyDescent="0.25">
      <c r="A4182" s="8"/>
    </row>
    <row r="4183" spans="1:1" ht="13.8" x14ac:dyDescent="0.25">
      <c r="A4183" s="8"/>
    </row>
    <row r="4184" spans="1:1" ht="13.8" x14ac:dyDescent="0.25">
      <c r="A4184" s="8"/>
    </row>
    <row r="4185" spans="1:1" ht="13.8" x14ac:dyDescent="0.25">
      <c r="A4185" s="8"/>
    </row>
    <row r="4186" spans="1:1" ht="13.8" x14ac:dyDescent="0.25">
      <c r="A4186" s="8"/>
    </row>
    <row r="4187" spans="1:1" ht="13.8" x14ac:dyDescent="0.25">
      <c r="A4187" s="8"/>
    </row>
    <row r="4188" spans="1:1" ht="13.8" x14ac:dyDescent="0.25">
      <c r="A4188" s="8"/>
    </row>
    <row r="4189" spans="1:1" ht="13.8" x14ac:dyDescent="0.25">
      <c r="A4189" s="8"/>
    </row>
    <row r="4190" spans="1:1" ht="13.8" x14ac:dyDescent="0.25">
      <c r="A4190" s="8"/>
    </row>
    <row r="4191" spans="1:1" ht="13.8" x14ac:dyDescent="0.25">
      <c r="A4191" s="8"/>
    </row>
    <row r="4192" spans="1:1" ht="13.8" x14ac:dyDescent="0.25">
      <c r="A4192" s="8"/>
    </row>
    <row r="4193" spans="1:1" ht="13.8" x14ac:dyDescent="0.25">
      <c r="A4193" s="8"/>
    </row>
    <row r="4194" spans="1:1" ht="13.8" x14ac:dyDescent="0.25">
      <c r="A4194" s="8"/>
    </row>
    <row r="4195" spans="1:1" ht="13.8" x14ac:dyDescent="0.25">
      <c r="A4195" s="8"/>
    </row>
    <row r="4196" spans="1:1" ht="13.8" x14ac:dyDescent="0.25">
      <c r="A4196" s="8"/>
    </row>
    <row r="4197" spans="1:1" ht="13.8" x14ac:dyDescent="0.25">
      <c r="A4197" s="8"/>
    </row>
    <row r="4198" spans="1:1" ht="13.8" x14ac:dyDescent="0.25">
      <c r="A4198" s="8"/>
    </row>
    <row r="4199" spans="1:1" ht="13.8" x14ac:dyDescent="0.25">
      <c r="A4199" s="8"/>
    </row>
    <row r="4200" spans="1:1" ht="13.8" x14ac:dyDescent="0.25">
      <c r="A4200" s="8"/>
    </row>
    <row r="4201" spans="1:1" ht="13.8" x14ac:dyDescent="0.25">
      <c r="A4201" s="8"/>
    </row>
    <row r="4202" spans="1:1" ht="13.8" x14ac:dyDescent="0.25">
      <c r="A4202" s="8"/>
    </row>
    <row r="4203" spans="1:1" ht="13.8" x14ac:dyDescent="0.25">
      <c r="A4203" s="8"/>
    </row>
    <row r="4204" spans="1:1" ht="13.8" x14ac:dyDescent="0.25">
      <c r="A4204" s="8"/>
    </row>
    <row r="4205" spans="1:1" ht="13.8" x14ac:dyDescent="0.25">
      <c r="A4205" s="8"/>
    </row>
    <row r="4206" spans="1:1" ht="13.8" x14ac:dyDescent="0.25">
      <c r="A4206" s="8"/>
    </row>
    <row r="4207" spans="1:1" ht="13.8" x14ac:dyDescent="0.25">
      <c r="A4207" s="8"/>
    </row>
    <row r="4208" spans="1:1" ht="13.8" x14ac:dyDescent="0.25">
      <c r="A4208" s="8"/>
    </row>
    <row r="4209" spans="1:1" ht="13.8" x14ac:dyDescent="0.25">
      <c r="A4209" s="8"/>
    </row>
    <row r="4210" spans="1:1" ht="13.8" x14ac:dyDescent="0.25">
      <c r="A4210" s="8"/>
    </row>
    <row r="4211" spans="1:1" ht="13.8" x14ac:dyDescent="0.25">
      <c r="A4211" s="8"/>
    </row>
    <row r="4212" spans="1:1" ht="13.8" x14ac:dyDescent="0.25">
      <c r="A4212" s="8"/>
    </row>
    <row r="4213" spans="1:1" ht="13.8" x14ac:dyDescent="0.25">
      <c r="A4213" s="8"/>
    </row>
    <row r="4214" spans="1:1" ht="13.8" x14ac:dyDescent="0.25">
      <c r="A4214" s="8"/>
    </row>
    <row r="4215" spans="1:1" ht="13.8" x14ac:dyDescent="0.25">
      <c r="A4215" s="8"/>
    </row>
    <row r="4216" spans="1:1" ht="13.8" x14ac:dyDescent="0.25">
      <c r="A4216" s="8"/>
    </row>
    <row r="4217" spans="1:1" ht="13.8" x14ac:dyDescent="0.25">
      <c r="A4217" s="8"/>
    </row>
    <row r="4218" spans="1:1" ht="13.8" x14ac:dyDescent="0.25">
      <c r="A4218" s="8"/>
    </row>
    <row r="4219" spans="1:1" ht="13.8" x14ac:dyDescent="0.25">
      <c r="A4219" s="8"/>
    </row>
    <row r="4220" spans="1:1" ht="13.8" x14ac:dyDescent="0.25">
      <c r="A4220" s="8"/>
    </row>
    <row r="4221" spans="1:1" ht="13.8" x14ac:dyDescent="0.25">
      <c r="A4221" s="8"/>
    </row>
    <row r="4222" spans="1:1" ht="13.8" x14ac:dyDescent="0.25">
      <c r="A4222" s="8"/>
    </row>
    <row r="4223" spans="1:1" ht="13.8" x14ac:dyDescent="0.25">
      <c r="A4223" s="8"/>
    </row>
    <row r="4224" spans="1:1" ht="13.8" x14ac:dyDescent="0.25">
      <c r="A4224" s="8"/>
    </row>
    <row r="4225" spans="1:1" ht="13.8" x14ac:dyDescent="0.25">
      <c r="A4225" s="8"/>
    </row>
    <row r="4226" spans="1:1" ht="13.8" x14ac:dyDescent="0.25">
      <c r="A4226" s="8"/>
    </row>
    <row r="4227" spans="1:1" ht="13.8" x14ac:dyDescent="0.25">
      <c r="A4227" s="8"/>
    </row>
    <row r="4228" spans="1:1" ht="13.8" x14ac:dyDescent="0.25">
      <c r="A4228" s="8"/>
    </row>
    <row r="4229" spans="1:1" ht="13.8" x14ac:dyDescent="0.25">
      <c r="A4229" s="8"/>
    </row>
    <row r="4230" spans="1:1" ht="13.8" x14ac:dyDescent="0.25">
      <c r="A4230" s="8"/>
    </row>
    <row r="4231" spans="1:1" ht="13.8" x14ac:dyDescent="0.25">
      <c r="A4231" s="8"/>
    </row>
    <row r="4232" spans="1:1" ht="13.8" x14ac:dyDescent="0.25">
      <c r="A4232" s="8"/>
    </row>
    <row r="4233" spans="1:1" ht="13.8" x14ac:dyDescent="0.25">
      <c r="A4233" s="8"/>
    </row>
    <row r="4234" spans="1:1" ht="13.8" x14ac:dyDescent="0.25">
      <c r="A4234" s="8"/>
    </row>
    <row r="4235" spans="1:1" ht="13.8" x14ac:dyDescent="0.25">
      <c r="A4235" s="8"/>
    </row>
    <row r="4236" spans="1:1" ht="13.8" x14ac:dyDescent="0.25">
      <c r="A4236" s="8"/>
    </row>
    <row r="4237" spans="1:1" ht="13.8" x14ac:dyDescent="0.25">
      <c r="A4237" s="8"/>
    </row>
    <row r="4238" spans="1:1" ht="13.8" x14ac:dyDescent="0.25">
      <c r="A4238" s="8"/>
    </row>
    <row r="4239" spans="1:1" ht="13.8" x14ac:dyDescent="0.25">
      <c r="A4239" s="8"/>
    </row>
    <row r="4240" spans="1:1" ht="13.8" x14ac:dyDescent="0.25">
      <c r="A4240" s="8"/>
    </row>
    <row r="4241" spans="1:1" ht="13.8" x14ac:dyDescent="0.25">
      <c r="A4241" s="8"/>
    </row>
    <row r="4242" spans="1:1" ht="13.8" x14ac:dyDescent="0.25">
      <c r="A4242" s="8"/>
    </row>
    <row r="4243" spans="1:1" ht="13.8" x14ac:dyDescent="0.25">
      <c r="A4243" s="8"/>
    </row>
    <row r="4244" spans="1:1" ht="13.8" x14ac:dyDescent="0.25">
      <c r="A4244" s="8"/>
    </row>
    <row r="4245" spans="1:1" ht="13.8" x14ac:dyDescent="0.25">
      <c r="A4245" s="8"/>
    </row>
    <row r="4246" spans="1:1" ht="13.8" x14ac:dyDescent="0.25">
      <c r="A4246" s="8"/>
    </row>
    <row r="4247" spans="1:1" ht="13.8" x14ac:dyDescent="0.25">
      <c r="A4247" s="8"/>
    </row>
    <row r="4248" spans="1:1" ht="13.8" x14ac:dyDescent="0.25">
      <c r="A4248" s="8"/>
    </row>
    <row r="4249" spans="1:1" ht="13.8" x14ac:dyDescent="0.25">
      <c r="A4249" s="8"/>
    </row>
    <row r="4250" spans="1:1" ht="13.8" x14ac:dyDescent="0.25">
      <c r="A4250" s="8"/>
    </row>
    <row r="4251" spans="1:1" ht="13.8" x14ac:dyDescent="0.25">
      <c r="A4251" s="8"/>
    </row>
    <row r="4252" spans="1:1" ht="13.8" x14ac:dyDescent="0.25">
      <c r="A4252" s="8"/>
    </row>
    <row r="4253" spans="1:1" ht="13.8" x14ac:dyDescent="0.25">
      <c r="A4253" s="8"/>
    </row>
    <row r="4254" spans="1:1" ht="13.8" x14ac:dyDescent="0.25">
      <c r="A4254" s="8"/>
    </row>
    <row r="4255" spans="1:1" ht="13.8" x14ac:dyDescent="0.25">
      <c r="A4255" s="8"/>
    </row>
    <row r="4256" spans="1:1" ht="13.8" x14ac:dyDescent="0.25">
      <c r="A4256" s="8"/>
    </row>
    <row r="4257" spans="1:1" ht="13.8" x14ac:dyDescent="0.25">
      <c r="A4257" s="8"/>
    </row>
    <row r="4258" spans="1:1" ht="13.8" x14ac:dyDescent="0.25">
      <c r="A4258" s="8"/>
    </row>
    <row r="4259" spans="1:1" ht="13.8" x14ac:dyDescent="0.25">
      <c r="A4259" s="8"/>
    </row>
    <row r="4260" spans="1:1" ht="13.8" x14ac:dyDescent="0.25">
      <c r="A4260" s="8"/>
    </row>
    <row r="4261" spans="1:1" ht="13.8" x14ac:dyDescent="0.25">
      <c r="A4261" s="8"/>
    </row>
    <row r="4262" spans="1:1" ht="13.8" x14ac:dyDescent="0.25">
      <c r="A4262" s="8"/>
    </row>
    <row r="4263" spans="1:1" ht="13.8" x14ac:dyDescent="0.25">
      <c r="A4263" s="8"/>
    </row>
    <row r="4264" spans="1:1" ht="13.8" x14ac:dyDescent="0.25">
      <c r="A4264" s="8"/>
    </row>
    <row r="4265" spans="1:1" ht="13.8" x14ac:dyDescent="0.25">
      <c r="A4265" s="8"/>
    </row>
    <row r="4266" spans="1:1" ht="13.8" x14ac:dyDescent="0.25">
      <c r="A4266" s="8"/>
    </row>
    <row r="4267" spans="1:1" ht="13.8" x14ac:dyDescent="0.25">
      <c r="A4267" s="8"/>
    </row>
    <row r="4268" spans="1:1" ht="13.8" x14ac:dyDescent="0.25">
      <c r="A4268" s="8"/>
    </row>
    <row r="4269" spans="1:1" ht="13.8" x14ac:dyDescent="0.25">
      <c r="A4269" s="8"/>
    </row>
    <row r="4270" spans="1:1" ht="13.8" x14ac:dyDescent="0.25">
      <c r="A4270" s="8"/>
    </row>
    <row r="4271" spans="1:1" ht="13.8" x14ac:dyDescent="0.25">
      <c r="A4271" s="8"/>
    </row>
    <row r="4272" spans="1:1" ht="13.8" x14ac:dyDescent="0.25">
      <c r="A4272" s="8"/>
    </row>
    <row r="4273" spans="1:1" ht="13.8" x14ac:dyDescent="0.25">
      <c r="A4273" s="8"/>
    </row>
    <row r="4274" spans="1:1" ht="13.8" x14ac:dyDescent="0.25">
      <c r="A4274" s="8"/>
    </row>
    <row r="4275" spans="1:1" ht="13.8" x14ac:dyDescent="0.25">
      <c r="A4275" s="8"/>
    </row>
    <row r="4276" spans="1:1" ht="13.8" x14ac:dyDescent="0.25">
      <c r="A4276" s="8"/>
    </row>
    <row r="4277" spans="1:1" ht="13.8" x14ac:dyDescent="0.25">
      <c r="A4277" s="8"/>
    </row>
    <row r="4278" spans="1:1" ht="13.8" x14ac:dyDescent="0.25">
      <c r="A4278" s="8"/>
    </row>
    <row r="4279" spans="1:1" ht="13.8" x14ac:dyDescent="0.25">
      <c r="A4279" s="8"/>
    </row>
    <row r="4280" spans="1:1" ht="13.8" x14ac:dyDescent="0.25">
      <c r="A4280" s="8"/>
    </row>
    <row r="4281" spans="1:1" ht="13.8" x14ac:dyDescent="0.25">
      <c r="A4281" s="8"/>
    </row>
    <row r="4282" spans="1:1" ht="13.8" x14ac:dyDescent="0.25">
      <c r="A4282" s="8"/>
    </row>
    <row r="4283" spans="1:1" ht="13.8" x14ac:dyDescent="0.25">
      <c r="A4283" s="8"/>
    </row>
    <row r="4284" spans="1:1" ht="13.8" x14ac:dyDescent="0.25">
      <c r="A4284" s="8"/>
    </row>
    <row r="4285" spans="1:1" ht="13.8" x14ac:dyDescent="0.25">
      <c r="A4285" s="8"/>
    </row>
    <row r="4286" spans="1:1" ht="13.8" x14ac:dyDescent="0.25">
      <c r="A4286" s="8"/>
    </row>
    <row r="4287" spans="1:1" ht="13.8" x14ac:dyDescent="0.25">
      <c r="A4287" s="8"/>
    </row>
    <row r="4288" spans="1:1" ht="13.8" x14ac:dyDescent="0.25">
      <c r="A4288" s="8"/>
    </row>
    <row r="4289" spans="1:1" ht="13.8" x14ac:dyDescent="0.25">
      <c r="A4289" s="8"/>
    </row>
    <row r="4290" spans="1:1" ht="13.8" x14ac:dyDescent="0.25">
      <c r="A4290" s="8"/>
    </row>
    <row r="4291" spans="1:1" ht="13.8" x14ac:dyDescent="0.25">
      <c r="A4291" s="8"/>
    </row>
    <row r="4292" spans="1:1" ht="13.8" x14ac:dyDescent="0.25">
      <c r="A4292" s="8"/>
    </row>
    <row r="4293" spans="1:1" ht="13.8" x14ac:dyDescent="0.25">
      <c r="A4293" s="8"/>
    </row>
    <row r="4294" spans="1:1" ht="13.8" x14ac:dyDescent="0.25">
      <c r="A4294" s="8"/>
    </row>
    <row r="4295" spans="1:1" ht="13.8" x14ac:dyDescent="0.25">
      <c r="A4295" s="8"/>
    </row>
    <row r="4296" spans="1:1" ht="13.8" x14ac:dyDescent="0.25">
      <c r="A4296" s="8"/>
    </row>
    <row r="4297" spans="1:1" ht="13.8" x14ac:dyDescent="0.25">
      <c r="A4297" s="8"/>
    </row>
    <row r="4298" spans="1:1" ht="13.8" x14ac:dyDescent="0.25">
      <c r="A4298" s="8"/>
    </row>
    <row r="4299" spans="1:1" ht="13.8" x14ac:dyDescent="0.25">
      <c r="A4299" s="8"/>
    </row>
    <row r="4300" spans="1:1" ht="13.8" x14ac:dyDescent="0.25">
      <c r="A4300" s="8"/>
    </row>
    <row r="4301" spans="1:1" ht="13.8" x14ac:dyDescent="0.25">
      <c r="A4301" s="8"/>
    </row>
    <row r="4302" spans="1:1" ht="13.8" x14ac:dyDescent="0.25">
      <c r="A4302" s="8"/>
    </row>
    <row r="4303" spans="1:1" ht="13.8" x14ac:dyDescent="0.25">
      <c r="A4303" s="8"/>
    </row>
    <row r="4304" spans="1:1" ht="13.8" x14ac:dyDescent="0.25">
      <c r="A4304" s="8"/>
    </row>
    <row r="4305" spans="1:1" ht="13.8" x14ac:dyDescent="0.25">
      <c r="A4305" s="8"/>
    </row>
    <row r="4306" spans="1:1" ht="13.8" x14ac:dyDescent="0.25">
      <c r="A4306" s="8"/>
    </row>
    <row r="4307" spans="1:1" ht="13.8" x14ac:dyDescent="0.25">
      <c r="A4307" s="8"/>
    </row>
    <row r="4308" spans="1:1" ht="13.8" x14ac:dyDescent="0.25">
      <c r="A4308" s="8"/>
    </row>
    <row r="4309" spans="1:1" ht="13.8" x14ac:dyDescent="0.25">
      <c r="A4309" s="8"/>
    </row>
    <row r="4310" spans="1:1" ht="13.8" x14ac:dyDescent="0.25">
      <c r="A4310" s="8"/>
    </row>
    <row r="4311" spans="1:1" ht="13.8" x14ac:dyDescent="0.25">
      <c r="A4311" s="8"/>
    </row>
    <row r="4312" spans="1:1" ht="13.8" x14ac:dyDescent="0.25">
      <c r="A4312" s="8"/>
    </row>
    <row r="4313" spans="1:1" ht="13.8" x14ac:dyDescent="0.25">
      <c r="A4313" s="8"/>
    </row>
    <row r="4314" spans="1:1" ht="13.8" x14ac:dyDescent="0.25">
      <c r="A4314" s="8"/>
    </row>
    <row r="4315" spans="1:1" ht="13.8" x14ac:dyDescent="0.25">
      <c r="A4315" s="8"/>
    </row>
    <row r="4316" spans="1:1" ht="13.8" x14ac:dyDescent="0.25">
      <c r="A4316" s="8"/>
    </row>
    <row r="4317" spans="1:1" ht="13.8" x14ac:dyDescent="0.25">
      <c r="A4317" s="8"/>
    </row>
    <row r="4318" spans="1:1" ht="13.8" x14ac:dyDescent="0.25">
      <c r="A4318" s="8"/>
    </row>
    <row r="4319" spans="1:1" ht="13.8" x14ac:dyDescent="0.25">
      <c r="A4319" s="8"/>
    </row>
    <row r="4320" spans="1:1" ht="13.8" x14ac:dyDescent="0.25">
      <c r="A4320" s="8"/>
    </row>
    <row r="4321" spans="1:1" ht="13.8" x14ac:dyDescent="0.25">
      <c r="A4321" s="8"/>
    </row>
    <row r="4322" spans="1:1" ht="13.8" x14ac:dyDescent="0.25">
      <c r="A4322" s="8"/>
    </row>
    <row r="4323" spans="1:1" ht="13.8" x14ac:dyDescent="0.25">
      <c r="A4323" s="8"/>
    </row>
    <row r="4324" spans="1:1" ht="13.8" x14ac:dyDescent="0.25">
      <c r="A4324" s="8"/>
    </row>
    <row r="4325" spans="1:1" ht="13.8" x14ac:dyDescent="0.25">
      <c r="A4325" s="8"/>
    </row>
    <row r="4326" spans="1:1" ht="13.8" x14ac:dyDescent="0.25">
      <c r="A4326" s="8"/>
    </row>
    <row r="4327" spans="1:1" ht="13.8" x14ac:dyDescent="0.25">
      <c r="A4327" s="8"/>
    </row>
    <row r="4328" spans="1:1" ht="13.8" x14ac:dyDescent="0.25">
      <c r="A4328" s="8"/>
    </row>
    <row r="4329" spans="1:1" ht="13.8" x14ac:dyDescent="0.25">
      <c r="A4329" s="8"/>
    </row>
    <row r="4330" spans="1:1" ht="13.8" x14ac:dyDescent="0.25">
      <c r="A4330" s="8"/>
    </row>
    <row r="4331" spans="1:1" ht="13.8" x14ac:dyDescent="0.25">
      <c r="A4331" s="8"/>
    </row>
    <row r="4332" spans="1:1" ht="13.8" x14ac:dyDescent="0.25">
      <c r="A4332" s="8"/>
    </row>
    <row r="4333" spans="1:1" ht="13.8" x14ac:dyDescent="0.25">
      <c r="A4333" s="8"/>
    </row>
    <row r="4334" spans="1:1" ht="13.8" x14ac:dyDescent="0.25">
      <c r="A4334" s="8"/>
    </row>
    <row r="4335" spans="1:1" ht="13.8" x14ac:dyDescent="0.25">
      <c r="A4335" s="8"/>
    </row>
    <row r="4336" spans="1:1" ht="13.8" x14ac:dyDescent="0.25">
      <c r="A4336" s="8"/>
    </row>
    <row r="4337" spans="1:1" ht="13.8" x14ac:dyDescent="0.25">
      <c r="A4337" s="8"/>
    </row>
    <row r="4338" spans="1:1" ht="13.8" x14ac:dyDescent="0.25">
      <c r="A4338" s="8"/>
    </row>
    <row r="4339" spans="1:1" ht="13.8" x14ac:dyDescent="0.25">
      <c r="A4339" s="8"/>
    </row>
    <row r="4340" spans="1:1" ht="13.8" x14ac:dyDescent="0.25">
      <c r="A4340" s="8"/>
    </row>
    <row r="4341" spans="1:1" ht="13.8" x14ac:dyDescent="0.25">
      <c r="A4341" s="8"/>
    </row>
    <row r="4342" spans="1:1" ht="13.8" x14ac:dyDescent="0.25">
      <c r="A4342" s="8"/>
    </row>
    <row r="4343" spans="1:1" ht="13.8" x14ac:dyDescent="0.25">
      <c r="A4343" s="8"/>
    </row>
    <row r="4344" spans="1:1" ht="13.8" x14ac:dyDescent="0.25">
      <c r="A4344" s="8"/>
    </row>
    <row r="4345" spans="1:1" ht="13.8" x14ac:dyDescent="0.25">
      <c r="A4345" s="8"/>
    </row>
    <row r="4346" spans="1:1" ht="13.8" x14ac:dyDescent="0.25">
      <c r="A4346" s="8"/>
    </row>
    <row r="4347" spans="1:1" ht="13.8" x14ac:dyDescent="0.25">
      <c r="A4347" s="8"/>
    </row>
    <row r="4348" spans="1:1" ht="13.8" x14ac:dyDescent="0.25">
      <c r="A4348" s="8"/>
    </row>
    <row r="4349" spans="1:1" ht="13.8" x14ac:dyDescent="0.25">
      <c r="A4349" s="8"/>
    </row>
    <row r="4350" spans="1:1" ht="13.8" x14ac:dyDescent="0.25">
      <c r="A4350" s="8"/>
    </row>
    <row r="4351" spans="1:1" ht="13.8" x14ac:dyDescent="0.25">
      <c r="A4351" s="8"/>
    </row>
    <row r="4352" spans="1:1" ht="13.8" x14ac:dyDescent="0.25">
      <c r="A4352" s="8"/>
    </row>
    <row r="4353" spans="1:1" ht="13.8" x14ac:dyDescent="0.25">
      <c r="A4353" s="8"/>
    </row>
    <row r="4354" spans="1:1" ht="13.8" x14ac:dyDescent="0.25">
      <c r="A4354" s="8"/>
    </row>
    <row r="4355" spans="1:1" ht="13.8" x14ac:dyDescent="0.25">
      <c r="A4355" s="8"/>
    </row>
    <row r="4356" spans="1:1" ht="13.8" x14ac:dyDescent="0.25">
      <c r="A4356" s="8"/>
    </row>
    <row r="4357" spans="1:1" ht="13.8" x14ac:dyDescent="0.25">
      <c r="A4357" s="8"/>
    </row>
    <row r="4358" spans="1:1" ht="13.8" x14ac:dyDescent="0.25">
      <c r="A4358" s="8"/>
    </row>
    <row r="4359" spans="1:1" ht="13.8" x14ac:dyDescent="0.25">
      <c r="A4359" s="8"/>
    </row>
    <row r="4360" spans="1:1" ht="13.8" x14ac:dyDescent="0.25">
      <c r="A4360" s="8"/>
    </row>
    <row r="4361" spans="1:1" ht="13.8" x14ac:dyDescent="0.25">
      <c r="A4361" s="8"/>
    </row>
    <row r="4362" spans="1:1" ht="13.8" x14ac:dyDescent="0.25">
      <c r="A4362" s="8"/>
    </row>
    <row r="4363" spans="1:1" ht="13.8" x14ac:dyDescent="0.25">
      <c r="A4363" s="8"/>
    </row>
    <row r="4364" spans="1:1" ht="13.8" x14ac:dyDescent="0.25">
      <c r="A4364" s="8"/>
    </row>
    <row r="4365" spans="1:1" ht="13.8" x14ac:dyDescent="0.25">
      <c r="A4365" s="8"/>
    </row>
    <row r="4366" spans="1:1" ht="13.8" x14ac:dyDescent="0.25">
      <c r="A4366" s="8"/>
    </row>
    <row r="4367" spans="1:1" ht="13.8" x14ac:dyDescent="0.25">
      <c r="A4367" s="8"/>
    </row>
    <row r="4368" spans="1:1" ht="13.8" x14ac:dyDescent="0.25">
      <c r="A4368" s="8"/>
    </row>
    <row r="4369" spans="1:1" ht="13.8" x14ac:dyDescent="0.25">
      <c r="A4369" s="8"/>
    </row>
    <row r="4370" spans="1:1" ht="13.8" x14ac:dyDescent="0.25">
      <c r="A4370" s="8"/>
    </row>
    <row r="4371" spans="1:1" ht="13.8" x14ac:dyDescent="0.25">
      <c r="A4371" s="8"/>
    </row>
    <row r="4372" spans="1:1" ht="13.8" x14ac:dyDescent="0.25">
      <c r="A4372" s="8"/>
    </row>
    <row r="4373" spans="1:1" ht="13.8" x14ac:dyDescent="0.25">
      <c r="A4373" s="8"/>
    </row>
    <row r="4374" spans="1:1" ht="13.8" x14ac:dyDescent="0.25">
      <c r="A4374" s="8"/>
    </row>
    <row r="4375" spans="1:1" ht="13.8" x14ac:dyDescent="0.25">
      <c r="A4375" s="8"/>
    </row>
    <row r="4376" spans="1:1" ht="13.8" x14ac:dyDescent="0.25">
      <c r="A4376" s="8"/>
    </row>
    <row r="4377" spans="1:1" ht="13.8" x14ac:dyDescent="0.25">
      <c r="A4377" s="8"/>
    </row>
    <row r="4378" spans="1:1" ht="13.8" x14ac:dyDescent="0.25">
      <c r="A4378" s="8"/>
    </row>
    <row r="4379" spans="1:1" ht="13.8" x14ac:dyDescent="0.25">
      <c r="A4379" s="8"/>
    </row>
    <row r="4380" spans="1:1" ht="13.8" x14ac:dyDescent="0.25">
      <c r="A4380" s="8"/>
    </row>
    <row r="4381" spans="1:1" ht="13.8" x14ac:dyDescent="0.25">
      <c r="A4381" s="8"/>
    </row>
    <row r="4382" spans="1:1" ht="13.8" x14ac:dyDescent="0.25">
      <c r="A4382" s="8"/>
    </row>
    <row r="4383" spans="1:1" ht="13.8" x14ac:dyDescent="0.25">
      <c r="A4383" s="8"/>
    </row>
    <row r="4384" spans="1:1" ht="13.8" x14ac:dyDescent="0.25">
      <c r="A4384" s="8"/>
    </row>
    <row r="4385" spans="1:1" ht="13.8" x14ac:dyDescent="0.25">
      <c r="A4385" s="8"/>
    </row>
    <row r="4386" spans="1:1" ht="13.8" x14ac:dyDescent="0.25">
      <c r="A4386" s="8"/>
    </row>
    <row r="4387" spans="1:1" ht="13.8" x14ac:dyDescent="0.25">
      <c r="A4387" s="8"/>
    </row>
    <row r="4388" spans="1:1" ht="13.8" x14ac:dyDescent="0.25">
      <c r="A4388" s="8"/>
    </row>
    <row r="4389" spans="1:1" ht="13.8" x14ac:dyDescent="0.25">
      <c r="A4389" s="8"/>
    </row>
    <row r="4390" spans="1:1" ht="13.8" x14ac:dyDescent="0.25">
      <c r="A4390" s="8"/>
    </row>
    <row r="4391" spans="1:1" ht="13.8" x14ac:dyDescent="0.25">
      <c r="A4391" s="8"/>
    </row>
    <row r="4392" spans="1:1" ht="13.8" x14ac:dyDescent="0.25">
      <c r="A4392" s="8"/>
    </row>
    <row r="4393" spans="1:1" ht="13.8" x14ac:dyDescent="0.25">
      <c r="A4393" s="8"/>
    </row>
    <row r="4394" spans="1:1" ht="13.8" x14ac:dyDescent="0.25">
      <c r="A4394" s="8"/>
    </row>
    <row r="4395" spans="1:1" ht="13.8" x14ac:dyDescent="0.25">
      <c r="A4395" s="8"/>
    </row>
    <row r="4396" spans="1:1" ht="13.8" x14ac:dyDescent="0.25">
      <c r="A4396" s="8"/>
    </row>
    <row r="4397" spans="1:1" ht="13.8" x14ac:dyDescent="0.25">
      <c r="A4397" s="8"/>
    </row>
    <row r="4398" spans="1:1" ht="13.8" x14ac:dyDescent="0.25">
      <c r="A4398" s="8"/>
    </row>
    <row r="4399" spans="1:1" ht="13.8" x14ac:dyDescent="0.25">
      <c r="A4399" s="8"/>
    </row>
    <row r="4400" spans="1:1" ht="13.8" x14ac:dyDescent="0.25">
      <c r="A4400" s="8"/>
    </row>
    <row r="4401" spans="1:1" ht="13.8" x14ac:dyDescent="0.25">
      <c r="A4401" s="8"/>
    </row>
    <row r="4402" spans="1:1" ht="13.8" x14ac:dyDescent="0.25">
      <c r="A4402" s="8"/>
    </row>
    <row r="4403" spans="1:1" ht="13.8" x14ac:dyDescent="0.25">
      <c r="A4403" s="8"/>
    </row>
    <row r="4404" spans="1:1" ht="13.8" x14ac:dyDescent="0.25">
      <c r="A4404" s="8"/>
    </row>
    <row r="4405" spans="1:1" ht="13.8" x14ac:dyDescent="0.25">
      <c r="A4405" s="8"/>
    </row>
    <row r="4406" spans="1:1" ht="13.8" x14ac:dyDescent="0.25">
      <c r="A4406" s="8"/>
    </row>
    <row r="4407" spans="1:1" ht="13.8" x14ac:dyDescent="0.25">
      <c r="A4407" s="8"/>
    </row>
    <row r="4408" spans="1:1" ht="13.8" x14ac:dyDescent="0.25">
      <c r="A4408" s="8"/>
    </row>
    <row r="4409" spans="1:1" ht="13.8" x14ac:dyDescent="0.25">
      <c r="A4409" s="8"/>
    </row>
    <row r="4410" spans="1:1" ht="13.8" x14ac:dyDescent="0.25">
      <c r="A4410" s="8"/>
    </row>
    <row r="4411" spans="1:1" ht="13.8" x14ac:dyDescent="0.25">
      <c r="A4411" s="8"/>
    </row>
    <row r="4412" spans="1:1" ht="13.8" x14ac:dyDescent="0.25">
      <c r="A4412" s="8"/>
    </row>
    <row r="4413" spans="1:1" ht="13.8" x14ac:dyDescent="0.25">
      <c r="A4413" s="8"/>
    </row>
    <row r="4414" spans="1:1" ht="13.8" x14ac:dyDescent="0.25">
      <c r="A4414" s="8"/>
    </row>
    <row r="4415" spans="1:1" ht="13.8" x14ac:dyDescent="0.25">
      <c r="A4415" s="8"/>
    </row>
    <row r="4416" spans="1:1" ht="13.8" x14ac:dyDescent="0.25">
      <c r="A4416" s="8"/>
    </row>
    <row r="4417" spans="1:1" ht="13.8" x14ac:dyDescent="0.25">
      <c r="A4417" s="8"/>
    </row>
    <row r="4418" spans="1:1" ht="13.8" x14ac:dyDescent="0.25">
      <c r="A4418" s="8"/>
    </row>
    <row r="4419" spans="1:1" ht="13.8" x14ac:dyDescent="0.25">
      <c r="A4419" s="8"/>
    </row>
    <row r="4420" spans="1:1" ht="13.8" x14ac:dyDescent="0.25">
      <c r="A4420" s="8"/>
    </row>
    <row r="4421" spans="1:1" ht="13.8" x14ac:dyDescent="0.25">
      <c r="A4421" s="8"/>
    </row>
    <row r="4422" spans="1:1" ht="13.8" x14ac:dyDescent="0.25">
      <c r="A4422" s="8"/>
    </row>
    <row r="4423" spans="1:1" ht="13.8" x14ac:dyDescent="0.25">
      <c r="A4423" s="8"/>
    </row>
    <row r="4424" spans="1:1" ht="13.8" x14ac:dyDescent="0.25">
      <c r="A4424" s="8"/>
    </row>
    <row r="4425" spans="1:1" ht="13.8" x14ac:dyDescent="0.25">
      <c r="A4425" s="8"/>
    </row>
    <row r="4426" spans="1:1" ht="13.8" x14ac:dyDescent="0.25">
      <c r="A4426" s="8"/>
    </row>
    <row r="4427" spans="1:1" ht="13.8" x14ac:dyDescent="0.25">
      <c r="A4427" s="8"/>
    </row>
    <row r="4428" spans="1:1" ht="13.8" x14ac:dyDescent="0.25">
      <c r="A4428" s="8"/>
    </row>
    <row r="4429" spans="1:1" ht="13.8" x14ac:dyDescent="0.25">
      <c r="A4429" s="8"/>
    </row>
    <row r="4430" spans="1:1" ht="13.8" x14ac:dyDescent="0.25">
      <c r="A4430" s="8"/>
    </row>
    <row r="4431" spans="1:1" ht="13.8" x14ac:dyDescent="0.25">
      <c r="A4431" s="8"/>
    </row>
    <row r="4432" spans="1:1" ht="13.8" x14ac:dyDescent="0.25">
      <c r="A4432" s="8"/>
    </row>
    <row r="4433" spans="1:1" ht="13.8" x14ac:dyDescent="0.25">
      <c r="A4433" s="8"/>
    </row>
    <row r="4434" spans="1:1" ht="13.8" x14ac:dyDescent="0.25">
      <c r="A4434" s="8"/>
    </row>
    <row r="4435" spans="1:1" ht="13.8" x14ac:dyDescent="0.25">
      <c r="A4435" s="8"/>
    </row>
    <row r="4436" spans="1:1" ht="13.8" x14ac:dyDescent="0.25">
      <c r="A4436" s="8"/>
    </row>
    <row r="4437" spans="1:1" ht="13.8" x14ac:dyDescent="0.25">
      <c r="A4437" s="8"/>
    </row>
    <row r="4438" spans="1:1" ht="13.8" x14ac:dyDescent="0.25">
      <c r="A4438" s="8"/>
    </row>
    <row r="4439" spans="1:1" ht="13.8" x14ac:dyDescent="0.25">
      <c r="A4439" s="8"/>
    </row>
    <row r="4440" spans="1:1" ht="13.8" x14ac:dyDescent="0.25">
      <c r="A4440" s="8"/>
    </row>
    <row r="4441" spans="1:1" ht="13.8" x14ac:dyDescent="0.25">
      <c r="A4441" s="8"/>
    </row>
    <row r="4442" spans="1:1" ht="13.8" x14ac:dyDescent="0.25">
      <c r="A4442" s="8"/>
    </row>
    <row r="4443" spans="1:1" ht="13.8" x14ac:dyDescent="0.25">
      <c r="A4443" s="8"/>
    </row>
    <row r="4444" spans="1:1" ht="13.8" x14ac:dyDescent="0.25">
      <c r="A4444" s="8"/>
    </row>
    <row r="4445" spans="1:1" ht="13.8" x14ac:dyDescent="0.25">
      <c r="A4445" s="8"/>
    </row>
    <row r="4446" spans="1:1" ht="13.8" x14ac:dyDescent="0.25">
      <c r="A4446" s="8"/>
    </row>
    <row r="4447" spans="1:1" ht="13.8" x14ac:dyDescent="0.25">
      <c r="A4447" s="8"/>
    </row>
    <row r="4448" spans="1:1" ht="13.8" x14ac:dyDescent="0.25">
      <c r="A4448" s="8"/>
    </row>
    <row r="4449" spans="1:1" ht="13.8" x14ac:dyDescent="0.25">
      <c r="A4449" s="8"/>
    </row>
    <row r="4450" spans="1:1" ht="13.8" x14ac:dyDescent="0.25">
      <c r="A4450" s="8"/>
    </row>
    <row r="4451" spans="1:1" ht="13.8" x14ac:dyDescent="0.25">
      <c r="A4451" s="8"/>
    </row>
    <row r="4452" spans="1:1" ht="13.8" x14ac:dyDescent="0.25">
      <c r="A4452" s="8"/>
    </row>
    <row r="4453" spans="1:1" ht="13.8" x14ac:dyDescent="0.25">
      <c r="A4453" s="8"/>
    </row>
    <row r="4454" spans="1:1" ht="13.8" x14ac:dyDescent="0.25">
      <c r="A4454" s="8"/>
    </row>
    <row r="4455" spans="1:1" ht="13.8" x14ac:dyDescent="0.25">
      <c r="A4455" s="8"/>
    </row>
    <row r="4456" spans="1:1" ht="13.8" x14ac:dyDescent="0.25">
      <c r="A4456" s="8"/>
    </row>
    <row r="4457" spans="1:1" ht="13.8" x14ac:dyDescent="0.25">
      <c r="A4457" s="8"/>
    </row>
    <row r="4458" spans="1:1" ht="13.8" x14ac:dyDescent="0.25">
      <c r="A4458" s="8"/>
    </row>
    <row r="4459" spans="1:1" ht="13.8" x14ac:dyDescent="0.25">
      <c r="A4459" s="8"/>
    </row>
    <row r="4460" spans="1:1" ht="13.8" x14ac:dyDescent="0.25">
      <c r="A4460" s="8"/>
    </row>
    <row r="4461" spans="1:1" ht="13.8" x14ac:dyDescent="0.25">
      <c r="A4461" s="8"/>
    </row>
    <row r="4462" spans="1:1" ht="13.8" x14ac:dyDescent="0.25">
      <c r="A4462" s="8"/>
    </row>
    <row r="4463" spans="1:1" ht="13.8" x14ac:dyDescent="0.25">
      <c r="A4463" s="8"/>
    </row>
    <row r="4464" spans="1:1" ht="13.8" x14ac:dyDescent="0.25">
      <c r="A4464" s="8"/>
    </row>
    <row r="4465" spans="1:1" ht="13.8" x14ac:dyDescent="0.25">
      <c r="A4465" s="8"/>
    </row>
    <row r="4466" spans="1:1" ht="13.8" x14ac:dyDescent="0.25">
      <c r="A4466" s="8"/>
    </row>
    <row r="4467" spans="1:1" ht="13.8" x14ac:dyDescent="0.25">
      <c r="A4467" s="8"/>
    </row>
    <row r="4468" spans="1:1" ht="13.8" x14ac:dyDescent="0.25">
      <c r="A4468" s="8"/>
    </row>
    <row r="4469" spans="1:1" ht="13.8" x14ac:dyDescent="0.25">
      <c r="A4469" s="8"/>
    </row>
    <row r="4470" spans="1:1" ht="13.8" x14ac:dyDescent="0.25">
      <c r="A4470" s="8"/>
    </row>
    <row r="4471" spans="1:1" ht="13.8" x14ac:dyDescent="0.25">
      <c r="A4471" s="8"/>
    </row>
    <row r="4472" spans="1:1" ht="13.8" x14ac:dyDescent="0.25">
      <c r="A4472" s="8"/>
    </row>
    <row r="4473" spans="1:1" ht="13.8" x14ac:dyDescent="0.25">
      <c r="A4473" s="8"/>
    </row>
    <row r="4474" spans="1:1" ht="13.8" x14ac:dyDescent="0.25">
      <c r="A4474" s="8"/>
    </row>
    <row r="4475" spans="1:1" ht="13.8" x14ac:dyDescent="0.25">
      <c r="A4475" s="8"/>
    </row>
    <row r="4476" spans="1:1" ht="13.8" x14ac:dyDescent="0.25">
      <c r="A4476" s="8"/>
    </row>
    <row r="4477" spans="1:1" ht="13.8" x14ac:dyDescent="0.25">
      <c r="A4477" s="8"/>
    </row>
    <row r="4478" spans="1:1" ht="13.8" x14ac:dyDescent="0.25">
      <c r="A4478" s="8"/>
    </row>
    <row r="4479" spans="1:1" ht="13.8" x14ac:dyDescent="0.25">
      <c r="A4479" s="8"/>
    </row>
    <row r="4480" spans="1:1" ht="13.8" x14ac:dyDescent="0.25">
      <c r="A4480" s="8"/>
    </row>
    <row r="4481" spans="1:1" ht="13.8" x14ac:dyDescent="0.25">
      <c r="A4481" s="8"/>
    </row>
    <row r="4482" spans="1:1" ht="13.8" x14ac:dyDescent="0.25">
      <c r="A4482" s="8"/>
    </row>
    <row r="4483" spans="1:1" ht="13.8" x14ac:dyDescent="0.25">
      <c r="A4483" s="8"/>
    </row>
    <row r="4484" spans="1:1" ht="13.8" x14ac:dyDescent="0.25">
      <c r="A4484" s="8"/>
    </row>
    <row r="4485" spans="1:1" ht="13.8" x14ac:dyDescent="0.25">
      <c r="A4485" s="8"/>
    </row>
    <row r="4486" spans="1:1" ht="13.8" x14ac:dyDescent="0.25">
      <c r="A4486" s="8"/>
    </row>
    <row r="4487" spans="1:1" ht="13.8" x14ac:dyDescent="0.25">
      <c r="A4487" s="8"/>
    </row>
    <row r="4488" spans="1:1" ht="13.8" x14ac:dyDescent="0.25">
      <c r="A4488" s="8"/>
    </row>
    <row r="4489" spans="1:1" ht="13.8" x14ac:dyDescent="0.25">
      <c r="A4489" s="8"/>
    </row>
    <row r="4490" spans="1:1" ht="13.8" x14ac:dyDescent="0.25">
      <c r="A4490" s="8"/>
    </row>
    <row r="4491" spans="1:1" ht="13.8" x14ac:dyDescent="0.25">
      <c r="A4491" s="8"/>
    </row>
    <row r="4492" spans="1:1" ht="13.8" x14ac:dyDescent="0.25">
      <c r="A4492" s="8"/>
    </row>
    <row r="4493" spans="1:1" ht="13.8" x14ac:dyDescent="0.25">
      <c r="A4493" s="8"/>
    </row>
    <row r="4494" spans="1:1" ht="13.8" x14ac:dyDescent="0.25">
      <c r="A4494" s="8"/>
    </row>
    <row r="4495" spans="1:1" ht="13.8" x14ac:dyDescent="0.25">
      <c r="A4495" s="8"/>
    </row>
    <row r="4496" spans="1:1" ht="13.8" x14ac:dyDescent="0.25">
      <c r="A4496" s="8"/>
    </row>
    <row r="4497" spans="1:1" ht="13.8" x14ac:dyDescent="0.25">
      <c r="A4497" s="8"/>
    </row>
    <row r="4498" spans="1:1" ht="13.8" x14ac:dyDescent="0.25">
      <c r="A4498" s="8"/>
    </row>
    <row r="4499" spans="1:1" ht="13.8" x14ac:dyDescent="0.25">
      <c r="A4499" s="8"/>
    </row>
    <row r="4500" spans="1:1" ht="13.8" x14ac:dyDescent="0.25">
      <c r="A4500" s="8"/>
    </row>
    <row r="4501" spans="1:1" ht="13.8" x14ac:dyDescent="0.25">
      <c r="A4501" s="8"/>
    </row>
    <row r="4502" spans="1:1" ht="13.8" x14ac:dyDescent="0.25">
      <c r="A4502" s="8"/>
    </row>
    <row r="4503" spans="1:1" ht="13.8" x14ac:dyDescent="0.25">
      <c r="A4503" s="8"/>
    </row>
    <row r="4504" spans="1:1" ht="13.8" x14ac:dyDescent="0.25">
      <c r="A4504" s="8"/>
    </row>
    <row r="4505" spans="1:1" ht="13.8" x14ac:dyDescent="0.25">
      <c r="A4505" s="8"/>
    </row>
    <row r="4506" spans="1:1" ht="13.8" x14ac:dyDescent="0.25">
      <c r="A4506" s="8"/>
    </row>
    <row r="4507" spans="1:1" ht="13.8" x14ac:dyDescent="0.25">
      <c r="A4507" s="8"/>
    </row>
    <row r="4508" spans="1:1" ht="13.8" x14ac:dyDescent="0.25">
      <c r="A4508" s="8"/>
    </row>
    <row r="4509" spans="1:1" ht="13.8" x14ac:dyDescent="0.25">
      <c r="A4509" s="8"/>
    </row>
    <row r="4510" spans="1:1" ht="13.8" x14ac:dyDescent="0.25">
      <c r="A4510" s="8"/>
    </row>
    <row r="4511" spans="1:1" ht="13.8" x14ac:dyDescent="0.25">
      <c r="A4511" s="8"/>
    </row>
    <row r="4512" spans="1:1" ht="13.8" x14ac:dyDescent="0.25">
      <c r="A4512" s="8"/>
    </row>
    <row r="4513" spans="1:1" ht="13.8" x14ac:dyDescent="0.25">
      <c r="A4513" s="8"/>
    </row>
    <row r="4514" spans="1:1" ht="13.8" x14ac:dyDescent="0.25">
      <c r="A4514" s="8"/>
    </row>
    <row r="4515" spans="1:1" ht="13.8" x14ac:dyDescent="0.25">
      <c r="A4515" s="8"/>
    </row>
    <row r="4516" spans="1:1" ht="13.8" x14ac:dyDescent="0.25">
      <c r="A4516" s="8"/>
    </row>
    <row r="4517" spans="1:1" ht="13.8" x14ac:dyDescent="0.25">
      <c r="A4517" s="8"/>
    </row>
    <row r="4518" spans="1:1" ht="13.8" x14ac:dyDescent="0.25">
      <c r="A4518" s="8"/>
    </row>
    <row r="4519" spans="1:1" ht="13.8" x14ac:dyDescent="0.25">
      <c r="A4519" s="8"/>
    </row>
    <row r="4520" spans="1:1" ht="13.8" x14ac:dyDescent="0.25">
      <c r="A4520" s="8"/>
    </row>
    <row r="4521" spans="1:1" ht="13.8" x14ac:dyDescent="0.25">
      <c r="A4521" s="8"/>
    </row>
    <row r="4522" spans="1:1" ht="13.8" x14ac:dyDescent="0.25">
      <c r="A4522" s="8"/>
    </row>
    <row r="4523" spans="1:1" ht="13.8" x14ac:dyDescent="0.25">
      <c r="A4523" s="8"/>
    </row>
    <row r="4524" spans="1:1" ht="13.8" x14ac:dyDescent="0.25">
      <c r="A4524" s="8"/>
    </row>
    <row r="4525" spans="1:1" ht="13.8" x14ac:dyDescent="0.25">
      <c r="A4525" s="8"/>
    </row>
    <row r="4526" spans="1:1" ht="13.8" x14ac:dyDescent="0.25">
      <c r="A4526" s="8"/>
    </row>
    <row r="4527" spans="1:1" ht="13.8" x14ac:dyDescent="0.25">
      <c r="A4527" s="8"/>
    </row>
    <row r="4528" spans="1:1" ht="13.8" x14ac:dyDescent="0.25">
      <c r="A4528" s="8"/>
    </row>
    <row r="4529" spans="1:1" ht="13.8" x14ac:dyDescent="0.25">
      <c r="A4529" s="8"/>
    </row>
    <row r="4530" spans="1:1" ht="13.8" x14ac:dyDescent="0.25">
      <c r="A4530" s="8"/>
    </row>
    <row r="4531" spans="1:1" ht="13.8" x14ac:dyDescent="0.25">
      <c r="A4531" s="8"/>
    </row>
    <row r="4532" spans="1:1" ht="13.8" x14ac:dyDescent="0.25">
      <c r="A4532" s="8"/>
    </row>
    <row r="4533" spans="1:1" ht="13.8" x14ac:dyDescent="0.25">
      <c r="A4533" s="8"/>
    </row>
    <row r="4534" spans="1:1" ht="13.8" x14ac:dyDescent="0.25">
      <c r="A4534" s="8"/>
    </row>
    <row r="4535" spans="1:1" ht="13.8" x14ac:dyDescent="0.25">
      <c r="A4535" s="8"/>
    </row>
    <row r="4536" spans="1:1" ht="13.8" x14ac:dyDescent="0.25">
      <c r="A4536" s="8"/>
    </row>
    <row r="4537" spans="1:1" ht="13.8" x14ac:dyDescent="0.25">
      <c r="A4537" s="8"/>
    </row>
    <row r="4538" spans="1:1" ht="13.8" x14ac:dyDescent="0.25">
      <c r="A4538" s="8"/>
    </row>
    <row r="4539" spans="1:1" ht="13.8" x14ac:dyDescent="0.25">
      <c r="A4539" s="8"/>
    </row>
    <row r="4540" spans="1:1" ht="13.8" x14ac:dyDescent="0.25">
      <c r="A4540" s="8"/>
    </row>
    <row r="4541" spans="1:1" ht="13.8" x14ac:dyDescent="0.25">
      <c r="A4541" s="8"/>
    </row>
    <row r="4542" spans="1:1" ht="13.8" x14ac:dyDescent="0.25">
      <c r="A4542" s="8"/>
    </row>
    <row r="4543" spans="1:1" ht="13.8" x14ac:dyDescent="0.25">
      <c r="A4543" s="8"/>
    </row>
    <row r="4544" spans="1:1" ht="13.8" x14ac:dyDescent="0.25">
      <c r="A4544" s="8"/>
    </row>
    <row r="4545" spans="1:1" ht="13.8" x14ac:dyDescent="0.25">
      <c r="A4545" s="8"/>
    </row>
    <row r="4546" spans="1:1" ht="13.8" x14ac:dyDescent="0.25">
      <c r="A4546" s="8"/>
    </row>
    <row r="4547" spans="1:1" ht="13.8" x14ac:dyDescent="0.25">
      <c r="A4547" s="8"/>
    </row>
    <row r="4548" spans="1:1" ht="13.8" x14ac:dyDescent="0.25">
      <c r="A4548" s="8"/>
    </row>
    <row r="4549" spans="1:1" ht="13.8" x14ac:dyDescent="0.25">
      <c r="A4549" s="8"/>
    </row>
    <row r="4550" spans="1:1" ht="13.8" x14ac:dyDescent="0.25">
      <c r="A4550" s="8"/>
    </row>
    <row r="4551" spans="1:1" ht="13.8" x14ac:dyDescent="0.25">
      <c r="A4551" s="8"/>
    </row>
    <row r="4552" spans="1:1" ht="13.8" x14ac:dyDescent="0.25">
      <c r="A4552" s="8"/>
    </row>
    <row r="4553" spans="1:1" ht="13.8" x14ac:dyDescent="0.25">
      <c r="A4553" s="8"/>
    </row>
    <row r="4554" spans="1:1" ht="13.8" x14ac:dyDescent="0.25">
      <c r="A4554" s="8"/>
    </row>
    <row r="4555" spans="1:1" ht="13.8" x14ac:dyDescent="0.25">
      <c r="A4555" s="8"/>
    </row>
    <row r="4556" spans="1:1" ht="13.8" x14ac:dyDescent="0.25">
      <c r="A4556" s="8"/>
    </row>
    <row r="4557" spans="1:1" ht="13.8" x14ac:dyDescent="0.25">
      <c r="A4557" s="8"/>
    </row>
    <row r="4558" spans="1:1" ht="13.8" x14ac:dyDescent="0.25">
      <c r="A4558" s="8"/>
    </row>
    <row r="4559" spans="1:1" ht="13.8" x14ac:dyDescent="0.25">
      <c r="A4559" s="8"/>
    </row>
    <row r="4560" spans="1:1" ht="13.8" x14ac:dyDescent="0.25">
      <c r="A4560" s="8"/>
    </row>
    <row r="4561" spans="1:1" ht="13.8" x14ac:dyDescent="0.25">
      <c r="A4561" s="8"/>
    </row>
    <row r="4562" spans="1:1" ht="13.8" x14ac:dyDescent="0.25">
      <c r="A4562" s="8"/>
    </row>
    <row r="4563" spans="1:1" ht="13.8" x14ac:dyDescent="0.25">
      <c r="A4563" s="8"/>
    </row>
    <row r="4564" spans="1:1" ht="13.8" x14ac:dyDescent="0.25">
      <c r="A4564" s="8"/>
    </row>
    <row r="4565" spans="1:1" ht="13.8" x14ac:dyDescent="0.25">
      <c r="A4565" s="8"/>
    </row>
    <row r="4566" spans="1:1" ht="13.8" x14ac:dyDescent="0.25">
      <c r="A4566" s="8"/>
    </row>
    <row r="4567" spans="1:1" ht="13.8" x14ac:dyDescent="0.25">
      <c r="A4567" s="8"/>
    </row>
    <row r="4568" spans="1:1" ht="13.8" x14ac:dyDescent="0.25">
      <c r="A4568" s="8"/>
    </row>
    <row r="4569" spans="1:1" ht="13.8" x14ac:dyDescent="0.25">
      <c r="A4569" s="8"/>
    </row>
    <row r="4570" spans="1:1" ht="13.8" x14ac:dyDescent="0.25">
      <c r="A4570" s="8"/>
    </row>
    <row r="4571" spans="1:1" ht="13.8" x14ac:dyDescent="0.25">
      <c r="A4571" s="8"/>
    </row>
    <row r="4572" spans="1:1" ht="13.8" x14ac:dyDescent="0.25">
      <c r="A4572" s="8"/>
    </row>
    <row r="4573" spans="1:1" ht="13.8" x14ac:dyDescent="0.25">
      <c r="A4573" s="8"/>
    </row>
    <row r="4574" spans="1:1" ht="13.8" x14ac:dyDescent="0.25">
      <c r="A4574" s="8"/>
    </row>
    <row r="4575" spans="1:1" ht="13.8" x14ac:dyDescent="0.25">
      <c r="A4575" s="8"/>
    </row>
    <row r="4576" spans="1:1" ht="13.8" x14ac:dyDescent="0.25">
      <c r="A4576" s="8"/>
    </row>
    <row r="4577" spans="1:1" ht="13.8" x14ac:dyDescent="0.25">
      <c r="A4577" s="8"/>
    </row>
    <row r="4578" spans="1:1" ht="13.8" x14ac:dyDescent="0.25">
      <c r="A4578" s="8"/>
    </row>
    <row r="4579" spans="1:1" ht="13.8" x14ac:dyDescent="0.25">
      <c r="A4579" s="8"/>
    </row>
    <row r="4580" spans="1:1" ht="13.8" x14ac:dyDescent="0.25">
      <c r="A4580" s="8"/>
    </row>
    <row r="4581" spans="1:1" ht="13.8" x14ac:dyDescent="0.25">
      <c r="A4581" s="8"/>
    </row>
    <row r="4582" spans="1:1" ht="13.8" x14ac:dyDescent="0.25">
      <c r="A4582" s="8"/>
    </row>
    <row r="4583" spans="1:1" ht="13.8" x14ac:dyDescent="0.25">
      <c r="A4583" s="8"/>
    </row>
    <row r="4584" spans="1:1" ht="13.8" x14ac:dyDescent="0.25">
      <c r="A4584" s="8"/>
    </row>
    <row r="4585" spans="1:1" ht="13.8" x14ac:dyDescent="0.25">
      <c r="A4585" s="8"/>
    </row>
    <row r="4586" spans="1:1" ht="13.8" x14ac:dyDescent="0.25">
      <c r="A4586" s="8"/>
    </row>
    <row r="4587" spans="1:1" ht="13.8" x14ac:dyDescent="0.25">
      <c r="A4587" s="8"/>
    </row>
    <row r="4588" spans="1:1" ht="13.8" x14ac:dyDescent="0.25">
      <c r="A4588" s="8"/>
    </row>
    <row r="4589" spans="1:1" ht="13.8" x14ac:dyDescent="0.25">
      <c r="A4589" s="8"/>
    </row>
    <row r="4590" spans="1:1" ht="13.8" x14ac:dyDescent="0.25">
      <c r="A4590" s="8"/>
    </row>
    <row r="4591" spans="1:1" ht="13.8" x14ac:dyDescent="0.25">
      <c r="A4591" s="8"/>
    </row>
    <row r="4592" spans="1:1" ht="13.8" x14ac:dyDescent="0.25">
      <c r="A4592" s="8"/>
    </row>
    <row r="4593" spans="1:1" ht="13.8" x14ac:dyDescent="0.25">
      <c r="A4593" s="8"/>
    </row>
    <row r="4594" spans="1:1" ht="13.8" x14ac:dyDescent="0.25">
      <c r="A4594" s="8"/>
    </row>
    <row r="4595" spans="1:1" ht="13.8" x14ac:dyDescent="0.25">
      <c r="A4595" s="8"/>
    </row>
    <row r="4596" spans="1:1" ht="13.8" x14ac:dyDescent="0.25">
      <c r="A4596" s="8"/>
    </row>
    <row r="4597" spans="1:1" ht="13.8" x14ac:dyDescent="0.25">
      <c r="A4597" s="8"/>
    </row>
    <row r="4598" spans="1:1" ht="13.8" x14ac:dyDescent="0.25">
      <c r="A4598" s="8"/>
    </row>
    <row r="4599" spans="1:1" ht="13.8" x14ac:dyDescent="0.25">
      <c r="A4599" s="8"/>
    </row>
    <row r="4600" spans="1:1" ht="13.8" x14ac:dyDescent="0.25">
      <c r="A4600" s="8"/>
    </row>
    <row r="4601" spans="1:1" ht="13.8" x14ac:dyDescent="0.25">
      <c r="A4601" s="8"/>
    </row>
    <row r="4602" spans="1:1" ht="13.8" x14ac:dyDescent="0.25">
      <c r="A4602" s="8"/>
    </row>
    <row r="4603" spans="1:1" ht="13.8" x14ac:dyDescent="0.25">
      <c r="A4603" s="8"/>
    </row>
    <row r="4604" spans="1:1" ht="13.8" x14ac:dyDescent="0.25">
      <c r="A4604" s="8"/>
    </row>
    <row r="4605" spans="1:1" ht="13.8" x14ac:dyDescent="0.25">
      <c r="A4605" s="8"/>
    </row>
    <row r="4606" spans="1:1" ht="13.8" x14ac:dyDescent="0.25">
      <c r="A4606" s="8"/>
    </row>
    <row r="4607" spans="1:1" ht="13.8" x14ac:dyDescent="0.25">
      <c r="A4607" s="8"/>
    </row>
    <row r="4608" spans="1:1" ht="13.8" x14ac:dyDescent="0.25">
      <c r="A4608" s="8"/>
    </row>
    <row r="4609" spans="1:1" ht="13.8" x14ac:dyDescent="0.25">
      <c r="A4609" s="8"/>
    </row>
    <row r="4610" spans="1:1" ht="13.8" x14ac:dyDescent="0.25">
      <c r="A4610" s="8"/>
    </row>
    <row r="4611" spans="1:1" ht="13.8" x14ac:dyDescent="0.25">
      <c r="A4611" s="8"/>
    </row>
    <row r="4612" spans="1:1" ht="13.8" x14ac:dyDescent="0.25">
      <c r="A4612" s="8"/>
    </row>
    <row r="4613" spans="1:1" ht="13.8" x14ac:dyDescent="0.25">
      <c r="A4613" s="8"/>
    </row>
    <row r="4614" spans="1:1" ht="13.8" x14ac:dyDescent="0.25">
      <c r="A4614" s="8"/>
    </row>
    <row r="4615" spans="1:1" ht="13.8" x14ac:dyDescent="0.25">
      <c r="A4615" s="8"/>
    </row>
    <row r="4616" spans="1:1" ht="13.8" x14ac:dyDescent="0.25">
      <c r="A4616" s="8"/>
    </row>
    <row r="4617" spans="1:1" ht="13.8" x14ac:dyDescent="0.25">
      <c r="A4617" s="8"/>
    </row>
    <row r="4618" spans="1:1" ht="13.8" x14ac:dyDescent="0.25">
      <c r="A4618" s="8"/>
    </row>
    <row r="4619" spans="1:1" ht="13.8" x14ac:dyDescent="0.25">
      <c r="A4619" s="8"/>
    </row>
    <row r="4620" spans="1:1" ht="13.8" x14ac:dyDescent="0.25">
      <c r="A4620" s="8"/>
    </row>
    <row r="4621" spans="1:1" ht="13.8" x14ac:dyDescent="0.25">
      <c r="A4621" s="8"/>
    </row>
    <row r="4622" spans="1:1" ht="13.8" x14ac:dyDescent="0.25">
      <c r="A4622" s="8"/>
    </row>
    <row r="4623" spans="1:1" ht="13.8" x14ac:dyDescent="0.25">
      <c r="A4623" s="8"/>
    </row>
    <row r="4624" spans="1:1" ht="13.8" x14ac:dyDescent="0.25">
      <c r="A4624" s="8"/>
    </row>
    <row r="4625" spans="1:1" ht="13.8" x14ac:dyDescent="0.25">
      <c r="A4625" s="8"/>
    </row>
    <row r="4626" spans="1:1" ht="13.8" x14ac:dyDescent="0.25">
      <c r="A4626" s="8"/>
    </row>
    <row r="4627" spans="1:1" ht="13.8" x14ac:dyDescent="0.25">
      <c r="A4627" s="8"/>
    </row>
    <row r="4628" spans="1:1" ht="13.8" x14ac:dyDescent="0.25">
      <c r="A4628" s="8"/>
    </row>
    <row r="4629" spans="1:1" ht="13.8" x14ac:dyDescent="0.25">
      <c r="A4629" s="8"/>
    </row>
    <row r="4630" spans="1:1" ht="13.8" x14ac:dyDescent="0.25">
      <c r="A4630" s="8"/>
    </row>
    <row r="4631" spans="1:1" ht="13.8" x14ac:dyDescent="0.25">
      <c r="A4631" s="8"/>
    </row>
    <row r="4632" spans="1:1" ht="13.8" x14ac:dyDescent="0.25">
      <c r="A4632" s="8"/>
    </row>
    <row r="4633" spans="1:1" ht="13.8" x14ac:dyDescent="0.25">
      <c r="A4633" s="8"/>
    </row>
    <row r="4634" spans="1:1" ht="13.8" x14ac:dyDescent="0.25">
      <c r="A4634" s="8"/>
    </row>
    <row r="4635" spans="1:1" ht="13.8" x14ac:dyDescent="0.25">
      <c r="A4635" s="8"/>
    </row>
    <row r="4636" spans="1:1" ht="13.8" x14ac:dyDescent="0.25">
      <c r="A4636" s="8"/>
    </row>
    <row r="4637" spans="1:1" ht="13.8" x14ac:dyDescent="0.25">
      <c r="A4637" s="8"/>
    </row>
    <row r="4638" spans="1:1" ht="13.8" x14ac:dyDescent="0.25">
      <c r="A4638" s="8"/>
    </row>
    <row r="4639" spans="1:1" ht="13.8" x14ac:dyDescent="0.25">
      <c r="A4639" s="8"/>
    </row>
    <row r="4640" spans="1:1" ht="13.8" x14ac:dyDescent="0.25">
      <c r="A4640" s="8"/>
    </row>
    <row r="4641" spans="1:1" ht="13.8" x14ac:dyDescent="0.25">
      <c r="A4641" s="8"/>
    </row>
    <row r="4642" spans="1:1" ht="13.8" x14ac:dyDescent="0.25">
      <c r="A4642" s="8"/>
    </row>
    <row r="4643" spans="1:1" ht="13.8" x14ac:dyDescent="0.25">
      <c r="A4643" s="8"/>
    </row>
    <row r="4644" spans="1:1" ht="13.8" x14ac:dyDescent="0.25">
      <c r="A4644" s="8"/>
    </row>
    <row r="4645" spans="1:1" ht="13.8" x14ac:dyDescent="0.25">
      <c r="A4645" s="8"/>
    </row>
    <row r="4646" spans="1:1" ht="13.8" x14ac:dyDescent="0.25">
      <c r="A4646" s="8"/>
    </row>
    <row r="4647" spans="1:1" ht="13.8" x14ac:dyDescent="0.25">
      <c r="A4647" s="8"/>
    </row>
    <row r="4648" spans="1:1" ht="13.8" x14ac:dyDescent="0.25">
      <c r="A4648" s="8"/>
    </row>
    <row r="4649" spans="1:1" ht="13.8" x14ac:dyDescent="0.25">
      <c r="A4649" s="8"/>
    </row>
    <row r="4650" spans="1:1" ht="13.8" x14ac:dyDescent="0.25">
      <c r="A4650" s="8"/>
    </row>
    <row r="4651" spans="1:1" ht="13.8" x14ac:dyDescent="0.25">
      <c r="A4651" s="8"/>
    </row>
    <row r="4652" spans="1:1" ht="13.8" x14ac:dyDescent="0.25">
      <c r="A4652" s="8"/>
    </row>
    <row r="4653" spans="1:1" ht="13.8" x14ac:dyDescent="0.25">
      <c r="A4653" s="8"/>
    </row>
    <row r="4654" spans="1:1" ht="13.8" x14ac:dyDescent="0.25">
      <c r="A4654" s="8"/>
    </row>
    <row r="4655" spans="1:1" ht="13.8" x14ac:dyDescent="0.25">
      <c r="A4655" s="8"/>
    </row>
    <row r="4656" spans="1:1" ht="13.8" x14ac:dyDescent="0.25">
      <c r="A4656" s="8"/>
    </row>
    <row r="4657" spans="1:1" ht="13.8" x14ac:dyDescent="0.25">
      <c r="A4657" s="8"/>
    </row>
    <row r="4658" spans="1:1" ht="13.8" x14ac:dyDescent="0.25">
      <c r="A4658" s="8"/>
    </row>
    <row r="4659" spans="1:1" ht="13.8" x14ac:dyDescent="0.25">
      <c r="A4659" s="8"/>
    </row>
    <row r="4660" spans="1:1" ht="13.8" x14ac:dyDescent="0.25">
      <c r="A4660" s="8"/>
    </row>
    <row r="4661" spans="1:1" ht="13.8" x14ac:dyDescent="0.25">
      <c r="A4661" s="8"/>
    </row>
    <row r="4662" spans="1:1" ht="13.8" x14ac:dyDescent="0.25">
      <c r="A4662" s="8"/>
    </row>
    <row r="4663" spans="1:1" ht="13.8" x14ac:dyDescent="0.25">
      <c r="A4663" s="8"/>
    </row>
    <row r="4664" spans="1:1" ht="13.8" x14ac:dyDescent="0.25">
      <c r="A4664" s="8"/>
    </row>
    <row r="4665" spans="1:1" ht="13.8" x14ac:dyDescent="0.25">
      <c r="A4665" s="8"/>
    </row>
    <row r="4666" spans="1:1" ht="13.8" x14ac:dyDescent="0.25">
      <c r="A4666" s="8"/>
    </row>
    <row r="4667" spans="1:1" ht="13.8" x14ac:dyDescent="0.25">
      <c r="A4667" s="8"/>
    </row>
    <row r="4668" spans="1:1" ht="13.8" x14ac:dyDescent="0.25">
      <c r="A4668" s="8"/>
    </row>
    <row r="4669" spans="1:1" ht="13.8" x14ac:dyDescent="0.25">
      <c r="A4669" s="8"/>
    </row>
    <row r="4670" spans="1:1" ht="13.8" x14ac:dyDescent="0.25">
      <c r="A4670" s="8"/>
    </row>
    <row r="4671" spans="1:1" ht="13.8" x14ac:dyDescent="0.25">
      <c r="A4671" s="8"/>
    </row>
    <row r="4672" spans="1:1" ht="13.8" x14ac:dyDescent="0.25">
      <c r="A4672" s="8"/>
    </row>
    <row r="4673" spans="1:1" ht="13.8" x14ac:dyDescent="0.25">
      <c r="A4673" s="8"/>
    </row>
    <row r="4674" spans="1:1" ht="13.8" x14ac:dyDescent="0.25">
      <c r="A4674" s="8"/>
    </row>
    <row r="4675" spans="1:1" ht="13.8" x14ac:dyDescent="0.25">
      <c r="A4675" s="8"/>
    </row>
    <row r="4676" spans="1:1" ht="13.8" x14ac:dyDescent="0.25">
      <c r="A4676" s="8"/>
    </row>
    <row r="4677" spans="1:1" ht="13.8" x14ac:dyDescent="0.25">
      <c r="A4677" s="8"/>
    </row>
    <row r="4678" spans="1:1" ht="13.8" x14ac:dyDescent="0.25">
      <c r="A4678" s="8"/>
    </row>
    <row r="4679" spans="1:1" ht="13.8" x14ac:dyDescent="0.25">
      <c r="A4679" s="8"/>
    </row>
    <row r="4680" spans="1:1" ht="13.8" x14ac:dyDescent="0.25">
      <c r="A4680" s="8"/>
    </row>
    <row r="4681" spans="1:1" ht="13.8" x14ac:dyDescent="0.25">
      <c r="A4681" s="8"/>
    </row>
    <row r="4682" spans="1:1" ht="13.8" x14ac:dyDescent="0.25">
      <c r="A4682" s="8"/>
    </row>
    <row r="4683" spans="1:1" ht="13.8" x14ac:dyDescent="0.25">
      <c r="A4683" s="8"/>
    </row>
    <row r="4684" spans="1:1" ht="13.8" x14ac:dyDescent="0.25">
      <c r="A4684" s="8"/>
    </row>
    <row r="4685" spans="1:1" ht="13.8" x14ac:dyDescent="0.25">
      <c r="A4685" s="8"/>
    </row>
    <row r="4686" spans="1:1" ht="13.8" x14ac:dyDescent="0.25">
      <c r="A4686" s="8"/>
    </row>
    <row r="4687" spans="1:1" ht="13.8" x14ac:dyDescent="0.25">
      <c r="A4687" s="8"/>
    </row>
    <row r="4688" spans="1:1" ht="13.8" x14ac:dyDescent="0.25">
      <c r="A4688" s="8"/>
    </row>
    <row r="4689" spans="1:1" ht="13.8" x14ac:dyDescent="0.25">
      <c r="A4689" s="8"/>
    </row>
    <row r="4690" spans="1:1" ht="13.8" x14ac:dyDescent="0.25">
      <c r="A4690" s="8"/>
    </row>
    <row r="4691" spans="1:1" ht="13.8" x14ac:dyDescent="0.25">
      <c r="A4691" s="8"/>
    </row>
    <row r="4692" spans="1:1" ht="13.8" x14ac:dyDescent="0.25">
      <c r="A4692" s="8"/>
    </row>
    <row r="4693" spans="1:1" ht="13.8" x14ac:dyDescent="0.25">
      <c r="A4693" s="8"/>
    </row>
    <row r="4694" spans="1:1" ht="13.8" x14ac:dyDescent="0.25">
      <c r="A4694" s="8"/>
    </row>
    <row r="4695" spans="1:1" ht="13.8" x14ac:dyDescent="0.25">
      <c r="A4695" s="8"/>
    </row>
    <row r="4696" spans="1:1" ht="13.8" x14ac:dyDescent="0.25">
      <c r="A4696" s="8"/>
    </row>
    <row r="4697" spans="1:1" ht="13.8" x14ac:dyDescent="0.25">
      <c r="A4697" s="8"/>
    </row>
    <row r="4698" spans="1:1" ht="13.8" x14ac:dyDescent="0.25">
      <c r="A4698" s="8"/>
    </row>
    <row r="4699" spans="1:1" ht="13.8" x14ac:dyDescent="0.25">
      <c r="A4699" s="8"/>
    </row>
    <row r="4700" spans="1:1" ht="13.8" x14ac:dyDescent="0.25">
      <c r="A4700" s="8"/>
    </row>
    <row r="4701" spans="1:1" ht="13.8" x14ac:dyDescent="0.25">
      <c r="A4701" s="8"/>
    </row>
    <row r="4702" spans="1:1" ht="13.8" x14ac:dyDescent="0.25">
      <c r="A4702" s="8"/>
    </row>
    <row r="4703" spans="1:1" ht="13.8" x14ac:dyDescent="0.25">
      <c r="A4703" s="8"/>
    </row>
    <row r="4704" spans="1:1" ht="13.8" x14ac:dyDescent="0.25">
      <c r="A4704" s="8"/>
    </row>
    <row r="4705" spans="1:1" ht="13.8" x14ac:dyDescent="0.25">
      <c r="A4705" s="8"/>
    </row>
    <row r="4706" spans="1:1" ht="13.8" x14ac:dyDescent="0.25">
      <c r="A4706" s="8"/>
    </row>
    <row r="4707" spans="1:1" ht="13.8" x14ac:dyDescent="0.25">
      <c r="A4707" s="8"/>
    </row>
    <row r="4708" spans="1:1" ht="13.8" x14ac:dyDescent="0.25">
      <c r="A4708" s="8"/>
    </row>
    <row r="4709" spans="1:1" ht="13.8" x14ac:dyDescent="0.25">
      <c r="A4709" s="8"/>
    </row>
    <row r="4710" spans="1:1" ht="13.8" x14ac:dyDescent="0.25">
      <c r="A4710" s="8"/>
    </row>
    <row r="4711" spans="1:1" ht="13.8" x14ac:dyDescent="0.25">
      <c r="A4711" s="8"/>
    </row>
    <row r="4712" spans="1:1" ht="13.8" x14ac:dyDescent="0.25">
      <c r="A4712" s="8"/>
    </row>
    <row r="4713" spans="1:1" ht="13.8" x14ac:dyDescent="0.25">
      <c r="A4713" s="8"/>
    </row>
    <row r="4714" spans="1:1" ht="13.8" x14ac:dyDescent="0.25">
      <c r="A4714" s="8"/>
    </row>
    <row r="4715" spans="1:1" ht="13.8" x14ac:dyDescent="0.25">
      <c r="A4715" s="8"/>
    </row>
    <row r="4716" spans="1:1" ht="13.8" x14ac:dyDescent="0.25">
      <c r="A4716" s="8"/>
    </row>
    <row r="4717" spans="1:1" ht="13.8" x14ac:dyDescent="0.25">
      <c r="A4717" s="8"/>
    </row>
    <row r="4718" spans="1:1" ht="13.8" x14ac:dyDescent="0.25">
      <c r="A4718" s="8"/>
    </row>
    <row r="4719" spans="1:1" ht="13.8" x14ac:dyDescent="0.25">
      <c r="A4719" s="8"/>
    </row>
    <row r="4720" spans="1:1" ht="13.8" x14ac:dyDescent="0.25">
      <c r="A4720" s="8"/>
    </row>
    <row r="4721" spans="1:1" ht="13.8" x14ac:dyDescent="0.25">
      <c r="A4721" s="8"/>
    </row>
    <row r="4722" spans="1:1" ht="13.8" x14ac:dyDescent="0.25">
      <c r="A4722" s="8"/>
    </row>
    <row r="4723" spans="1:1" ht="13.8" x14ac:dyDescent="0.25">
      <c r="A4723" s="8"/>
    </row>
    <row r="4724" spans="1:1" ht="13.8" x14ac:dyDescent="0.25">
      <c r="A4724" s="8"/>
    </row>
    <row r="4725" spans="1:1" ht="13.8" x14ac:dyDescent="0.25">
      <c r="A4725" s="8"/>
    </row>
    <row r="4726" spans="1:1" ht="13.8" x14ac:dyDescent="0.25">
      <c r="A4726" s="8"/>
    </row>
    <row r="4727" spans="1:1" ht="13.8" x14ac:dyDescent="0.25">
      <c r="A4727" s="8"/>
    </row>
    <row r="4728" spans="1:1" ht="13.8" x14ac:dyDescent="0.25">
      <c r="A4728" s="8"/>
    </row>
    <row r="4729" spans="1:1" ht="13.8" x14ac:dyDescent="0.25">
      <c r="A4729" s="8"/>
    </row>
    <row r="4730" spans="1:1" ht="13.8" x14ac:dyDescent="0.25">
      <c r="A4730" s="8"/>
    </row>
    <row r="4731" spans="1:1" ht="13.8" x14ac:dyDescent="0.25">
      <c r="A4731" s="8"/>
    </row>
    <row r="4732" spans="1:1" ht="13.8" x14ac:dyDescent="0.25">
      <c r="A4732" s="8"/>
    </row>
    <row r="4733" spans="1:1" ht="13.8" x14ac:dyDescent="0.25">
      <c r="A4733" s="8"/>
    </row>
    <row r="4734" spans="1:1" ht="13.8" x14ac:dyDescent="0.25">
      <c r="A4734" s="8"/>
    </row>
    <row r="4735" spans="1:1" ht="13.8" x14ac:dyDescent="0.25">
      <c r="A4735" s="8"/>
    </row>
    <row r="4736" spans="1:1" ht="13.8" x14ac:dyDescent="0.25">
      <c r="A4736" s="8"/>
    </row>
    <row r="4737" spans="1:1" ht="13.8" x14ac:dyDescent="0.25">
      <c r="A4737" s="8"/>
    </row>
    <row r="4738" spans="1:1" ht="13.8" x14ac:dyDescent="0.25">
      <c r="A4738" s="8"/>
    </row>
    <row r="4739" spans="1:1" ht="13.8" x14ac:dyDescent="0.25">
      <c r="A4739" s="8"/>
    </row>
    <row r="4740" spans="1:1" ht="13.8" x14ac:dyDescent="0.25">
      <c r="A4740" s="8"/>
    </row>
    <row r="4741" spans="1:1" ht="13.8" x14ac:dyDescent="0.25">
      <c r="A4741" s="8"/>
    </row>
    <row r="4742" spans="1:1" ht="13.8" x14ac:dyDescent="0.25">
      <c r="A4742" s="8"/>
    </row>
    <row r="4743" spans="1:1" ht="13.8" x14ac:dyDescent="0.25">
      <c r="A4743" s="8"/>
    </row>
    <row r="4744" spans="1:1" ht="13.8" x14ac:dyDescent="0.25">
      <c r="A4744" s="8"/>
    </row>
    <row r="4745" spans="1:1" ht="13.8" x14ac:dyDescent="0.25">
      <c r="A4745" s="8"/>
    </row>
    <row r="4746" spans="1:1" ht="13.8" x14ac:dyDescent="0.25">
      <c r="A4746" s="8"/>
    </row>
    <row r="4747" spans="1:1" ht="13.8" x14ac:dyDescent="0.25">
      <c r="A4747" s="8"/>
    </row>
    <row r="4748" spans="1:1" ht="13.8" x14ac:dyDescent="0.25">
      <c r="A4748" s="8"/>
    </row>
    <row r="4749" spans="1:1" ht="13.8" x14ac:dyDescent="0.25">
      <c r="A4749" s="8"/>
    </row>
    <row r="4750" spans="1:1" ht="13.8" x14ac:dyDescent="0.25">
      <c r="A4750" s="8"/>
    </row>
    <row r="4751" spans="1:1" ht="13.8" x14ac:dyDescent="0.25">
      <c r="A4751" s="8"/>
    </row>
    <row r="4752" spans="1:1" ht="13.8" x14ac:dyDescent="0.25">
      <c r="A4752" s="8"/>
    </row>
    <row r="4753" spans="1:1" ht="13.8" x14ac:dyDescent="0.25">
      <c r="A4753" s="8"/>
    </row>
    <row r="4754" spans="1:1" ht="13.8" x14ac:dyDescent="0.25">
      <c r="A4754" s="8"/>
    </row>
    <row r="4755" spans="1:1" ht="13.8" x14ac:dyDescent="0.25">
      <c r="A4755" s="8"/>
    </row>
    <row r="4756" spans="1:1" ht="13.8" x14ac:dyDescent="0.25">
      <c r="A4756" s="8"/>
    </row>
    <row r="4757" spans="1:1" ht="13.8" x14ac:dyDescent="0.25">
      <c r="A4757" s="8"/>
    </row>
    <row r="4758" spans="1:1" ht="13.8" x14ac:dyDescent="0.25">
      <c r="A4758" s="8"/>
    </row>
    <row r="4759" spans="1:1" ht="13.8" x14ac:dyDescent="0.25">
      <c r="A4759" s="8"/>
    </row>
    <row r="4760" spans="1:1" ht="13.8" x14ac:dyDescent="0.25">
      <c r="A4760" s="8"/>
    </row>
    <row r="4761" spans="1:1" ht="13.8" x14ac:dyDescent="0.25">
      <c r="A4761" s="8"/>
    </row>
    <row r="4762" spans="1:1" ht="13.8" x14ac:dyDescent="0.25">
      <c r="A4762" s="8"/>
    </row>
    <row r="4763" spans="1:1" ht="13.8" x14ac:dyDescent="0.25">
      <c r="A4763" s="8"/>
    </row>
    <row r="4764" spans="1:1" ht="13.8" x14ac:dyDescent="0.25">
      <c r="A4764" s="8"/>
    </row>
    <row r="4765" spans="1:1" ht="13.8" x14ac:dyDescent="0.25">
      <c r="A4765" s="8"/>
    </row>
    <row r="4766" spans="1:1" ht="13.8" x14ac:dyDescent="0.25">
      <c r="A4766" s="8"/>
    </row>
    <row r="4767" spans="1:1" ht="13.8" x14ac:dyDescent="0.25">
      <c r="A4767" s="8"/>
    </row>
    <row r="4768" spans="1:1" ht="13.8" x14ac:dyDescent="0.25">
      <c r="A4768" s="8"/>
    </row>
    <row r="4769" spans="1:1" ht="13.8" x14ac:dyDescent="0.25">
      <c r="A4769" s="8"/>
    </row>
    <row r="4770" spans="1:1" ht="13.8" x14ac:dyDescent="0.25">
      <c r="A4770" s="8"/>
    </row>
    <row r="4771" spans="1:1" ht="13.8" x14ac:dyDescent="0.25">
      <c r="A4771" s="8"/>
    </row>
    <row r="4772" spans="1:1" ht="13.8" x14ac:dyDescent="0.25">
      <c r="A4772" s="8"/>
    </row>
    <row r="4773" spans="1:1" ht="13.8" x14ac:dyDescent="0.25">
      <c r="A4773" s="8"/>
    </row>
    <row r="4774" spans="1:1" ht="13.8" x14ac:dyDescent="0.25">
      <c r="A4774" s="8"/>
    </row>
    <row r="4775" spans="1:1" ht="13.8" x14ac:dyDescent="0.25">
      <c r="A4775" s="8"/>
    </row>
    <row r="4776" spans="1:1" ht="13.8" x14ac:dyDescent="0.25">
      <c r="A4776" s="8"/>
    </row>
    <row r="4777" spans="1:1" ht="13.8" x14ac:dyDescent="0.25">
      <c r="A4777" s="8"/>
    </row>
    <row r="4778" spans="1:1" ht="13.8" x14ac:dyDescent="0.25">
      <c r="A4778" s="8"/>
    </row>
    <row r="4779" spans="1:1" ht="13.8" x14ac:dyDescent="0.25">
      <c r="A4779" s="8"/>
    </row>
    <row r="4780" spans="1:1" ht="13.8" x14ac:dyDescent="0.25">
      <c r="A4780" s="8"/>
    </row>
    <row r="4781" spans="1:1" ht="13.8" x14ac:dyDescent="0.25">
      <c r="A4781" s="8"/>
    </row>
    <row r="4782" spans="1:1" ht="13.8" x14ac:dyDescent="0.25">
      <c r="A4782" s="8"/>
    </row>
    <row r="4783" spans="1:1" ht="13.8" x14ac:dyDescent="0.25">
      <c r="A4783" s="8"/>
    </row>
    <row r="4784" spans="1:1" ht="13.8" x14ac:dyDescent="0.25">
      <c r="A4784" s="8"/>
    </row>
    <row r="4785" spans="1:1" ht="13.8" x14ac:dyDescent="0.25">
      <c r="A4785" s="8"/>
    </row>
    <row r="4786" spans="1:1" ht="13.8" x14ac:dyDescent="0.25">
      <c r="A4786" s="8"/>
    </row>
    <row r="4787" spans="1:1" ht="13.8" x14ac:dyDescent="0.25">
      <c r="A4787" s="8"/>
    </row>
    <row r="4788" spans="1:1" ht="13.8" x14ac:dyDescent="0.25">
      <c r="A4788" s="8"/>
    </row>
    <row r="4789" spans="1:1" ht="13.8" x14ac:dyDescent="0.25">
      <c r="A4789" s="8"/>
    </row>
    <row r="4790" spans="1:1" ht="13.8" x14ac:dyDescent="0.25">
      <c r="A4790" s="8"/>
    </row>
    <row r="4791" spans="1:1" ht="13.8" x14ac:dyDescent="0.25">
      <c r="A4791" s="8"/>
    </row>
    <row r="4792" spans="1:1" ht="13.8" x14ac:dyDescent="0.25">
      <c r="A4792" s="8"/>
    </row>
    <row r="4793" spans="1:1" ht="13.8" x14ac:dyDescent="0.25">
      <c r="A4793" s="8"/>
    </row>
    <row r="4794" spans="1:1" ht="13.8" x14ac:dyDescent="0.25">
      <c r="A4794" s="8"/>
    </row>
    <row r="4795" spans="1:1" ht="13.8" x14ac:dyDescent="0.25">
      <c r="A4795" s="8"/>
    </row>
    <row r="4796" spans="1:1" ht="13.8" x14ac:dyDescent="0.25">
      <c r="A4796" s="8"/>
    </row>
    <row r="4797" spans="1:1" ht="13.8" x14ac:dyDescent="0.25">
      <c r="A4797" s="8"/>
    </row>
    <row r="4798" spans="1:1" ht="13.8" x14ac:dyDescent="0.25">
      <c r="A4798" s="8"/>
    </row>
    <row r="4799" spans="1:1" ht="13.8" x14ac:dyDescent="0.25">
      <c r="A4799" s="8"/>
    </row>
    <row r="4800" spans="1:1" ht="13.8" x14ac:dyDescent="0.25">
      <c r="A4800" s="8"/>
    </row>
    <row r="4801" spans="1:1" ht="13.8" x14ac:dyDescent="0.25">
      <c r="A4801" s="8"/>
    </row>
    <row r="4802" spans="1:1" ht="13.8" x14ac:dyDescent="0.25">
      <c r="A4802" s="8"/>
    </row>
    <row r="4803" spans="1:1" ht="13.8" x14ac:dyDescent="0.25">
      <c r="A4803" s="8"/>
    </row>
    <row r="4804" spans="1:1" ht="13.8" x14ac:dyDescent="0.25">
      <c r="A4804" s="8"/>
    </row>
    <row r="4805" spans="1:1" ht="13.8" x14ac:dyDescent="0.25">
      <c r="A4805" s="8"/>
    </row>
    <row r="4806" spans="1:1" ht="13.8" x14ac:dyDescent="0.25">
      <c r="A4806" s="8"/>
    </row>
    <row r="4807" spans="1:1" ht="13.8" x14ac:dyDescent="0.25">
      <c r="A4807" s="8"/>
    </row>
    <row r="4808" spans="1:1" ht="13.8" x14ac:dyDescent="0.25">
      <c r="A4808" s="8"/>
    </row>
    <row r="4809" spans="1:1" ht="13.8" x14ac:dyDescent="0.25">
      <c r="A4809" s="8"/>
    </row>
    <row r="4810" spans="1:1" ht="13.8" x14ac:dyDescent="0.25">
      <c r="A4810" s="8"/>
    </row>
    <row r="4811" spans="1:1" ht="13.8" x14ac:dyDescent="0.25">
      <c r="A4811" s="8"/>
    </row>
    <row r="4812" spans="1:1" ht="13.8" x14ac:dyDescent="0.25">
      <c r="A4812" s="8"/>
    </row>
    <row r="4813" spans="1:1" ht="13.8" x14ac:dyDescent="0.25">
      <c r="A4813" s="8"/>
    </row>
    <row r="4814" spans="1:1" ht="13.8" x14ac:dyDescent="0.25">
      <c r="A4814" s="8"/>
    </row>
    <row r="4815" spans="1:1" ht="13.8" x14ac:dyDescent="0.25">
      <c r="A4815" s="8"/>
    </row>
    <row r="4816" spans="1:1" ht="13.8" x14ac:dyDescent="0.25">
      <c r="A4816" s="8"/>
    </row>
    <row r="4817" spans="1:1" ht="13.8" x14ac:dyDescent="0.25">
      <c r="A4817" s="8"/>
    </row>
    <row r="4818" spans="1:1" ht="13.8" x14ac:dyDescent="0.25">
      <c r="A4818" s="8"/>
    </row>
    <row r="4819" spans="1:1" ht="13.8" x14ac:dyDescent="0.25">
      <c r="A4819" s="8"/>
    </row>
    <row r="4820" spans="1:1" ht="13.8" x14ac:dyDescent="0.25">
      <c r="A4820" s="8"/>
    </row>
    <row r="4821" spans="1:1" ht="13.8" x14ac:dyDescent="0.25">
      <c r="A4821" s="8"/>
    </row>
    <row r="4822" spans="1:1" ht="13.8" x14ac:dyDescent="0.25">
      <c r="A4822" s="8"/>
    </row>
    <row r="4823" spans="1:1" ht="13.8" x14ac:dyDescent="0.25">
      <c r="A4823" s="8"/>
    </row>
    <row r="4824" spans="1:1" ht="13.8" x14ac:dyDescent="0.25">
      <c r="A4824" s="8"/>
    </row>
    <row r="4825" spans="1:1" ht="13.8" x14ac:dyDescent="0.25">
      <c r="A4825" s="8"/>
    </row>
    <row r="4826" spans="1:1" ht="13.8" x14ac:dyDescent="0.25">
      <c r="A4826" s="8"/>
    </row>
    <row r="4827" spans="1:1" ht="13.8" x14ac:dyDescent="0.25">
      <c r="A4827" s="8"/>
    </row>
    <row r="4828" spans="1:1" ht="13.8" x14ac:dyDescent="0.25">
      <c r="A4828" s="8"/>
    </row>
    <row r="4829" spans="1:1" ht="13.8" x14ac:dyDescent="0.25">
      <c r="A4829" s="8"/>
    </row>
    <row r="4830" spans="1:1" ht="13.8" x14ac:dyDescent="0.25">
      <c r="A4830" s="8"/>
    </row>
    <row r="4831" spans="1:1" ht="13.8" x14ac:dyDescent="0.25">
      <c r="A4831" s="8"/>
    </row>
    <row r="4832" spans="1:1" ht="13.8" x14ac:dyDescent="0.25">
      <c r="A4832" s="8"/>
    </row>
    <row r="4833" spans="1:1" ht="13.8" x14ac:dyDescent="0.25">
      <c r="A4833" s="8"/>
    </row>
    <row r="4834" spans="1:1" ht="13.8" x14ac:dyDescent="0.25">
      <c r="A4834" s="8"/>
    </row>
    <row r="4835" spans="1:1" ht="13.8" x14ac:dyDescent="0.25">
      <c r="A4835" s="8"/>
    </row>
    <row r="4836" spans="1:1" ht="13.8" x14ac:dyDescent="0.25">
      <c r="A4836" s="8"/>
    </row>
    <row r="4837" spans="1:1" ht="13.8" x14ac:dyDescent="0.25">
      <c r="A4837" s="8"/>
    </row>
    <row r="4838" spans="1:1" ht="13.8" x14ac:dyDescent="0.25">
      <c r="A4838" s="8"/>
    </row>
    <row r="4839" spans="1:1" ht="13.8" x14ac:dyDescent="0.25">
      <c r="A4839" s="8"/>
    </row>
    <row r="4840" spans="1:1" ht="13.8" x14ac:dyDescent="0.25">
      <c r="A4840" s="8"/>
    </row>
    <row r="4841" spans="1:1" ht="13.8" x14ac:dyDescent="0.25">
      <c r="A4841" s="8"/>
    </row>
    <row r="4842" spans="1:1" ht="13.8" x14ac:dyDescent="0.25">
      <c r="A4842" s="8"/>
    </row>
    <row r="4843" spans="1:1" ht="13.8" x14ac:dyDescent="0.25">
      <c r="A4843" s="8"/>
    </row>
    <row r="4844" spans="1:1" ht="13.8" x14ac:dyDescent="0.25">
      <c r="A4844" s="8"/>
    </row>
    <row r="4845" spans="1:1" ht="13.8" x14ac:dyDescent="0.25">
      <c r="A4845" s="8"/>
    </row>
    <row r="4846" spans="1:1" ht="13.8" x14ac:dyDescent="0.25">
      <c r="A4846" s="8"/>
    </row>
    <row r="4847" spans="1:1" ht="13.8" x14ac:dyDescent="0.25">
      <c r="A4847" s="8"/>
    </row>
    <row r="4848" spans="1:1" ht="13.8" x14ac:dyDescent="0.25">
      <c r="A4848" s="8"/>
    </row>
    <row r="4849" spans="1:1" ht="13.8" x14ac:dyDescent="0.25">
      <c r="A4849" s="8"/>
    </row>
    <row r="4850" spans="1:1" ht="13.8" x14ac:dyDescent="0.25">
      <c r="A4850" s="8"/>
    </row>
    <row r="4851" spans="1:1" ht="13.8" x14ac:dyDescent="0.25">
      <c r="A4851" s="8"/>
    </row>
    <row r="4852" spans="1:1" ht="13.8" x14ac:dyDescent="0.25">
      <c r="A4852" s="8"/>
    </row>
    <row r="4853" spans="1:1" ht="13.8" x14ac:dyDescent="0.25">
      <c r="A4853" s="8"/>
    </row>
    <row r="4854" spans="1:1" ht="13.8" x14ac:dyDescent="0.25">
      <c r="A4854" s="8"/>
    </row>
    <row r="4855" spans="1:1" ht="13.8" x14ac:dyDescent="0.25">
      <c r="A4855" s="8"/>
    </row>
    <row r="4856" spans="1:1" ht="13.8" x14ac:dyDescent="0.25">
      <c r="A4856" s="8"/>
    </row>
    <row r="4857" spans="1:1" ht="13.8" x14ac:dyDescent="0.25">
      <c r="A4857" s="8"/>
    </row>
    <row r="4858" spans="1:1" ht="13.8" x14ac:dyDescent="0.25">
      <c r="A4858" s="8"/>
    </row>
    <row r="4859" spans="1:1" ht="13.8" x14ac:dyDescent="0.25">
      <c r="A4859" s="8"/>
    </row>
    <row r="4860" spans="1:1" ht="13.8" x14ac:dyDescent="0.25">
      <c r="A4860" s="8"/>
    </row>
    <row r="4861" spans="1:1" ht="13.8" x14ac:dyDescent="0.25">
      <c r="A4861" s="8"/>
    </row>
    <row r="4862" spans="1:1" ht="13.8" x14ac:dyDescent="0.25">
      <c r="A4862" s="8"/>
    </row>
    <row r="4863" spans="1:1" ht="13.8" x14ac:dyDescent="0.25">
      <c r="A4863" s="8"/>
    </row>
    <row r="4864" spans="1:1" ht="13.8" x14ac:dyDescent="0.25">
      <c r="A4864" s="8"/>
    </row>
    <row r="4865" spans="1:1" ht="13.8" x14ac:dyDescent="0.25">
      <c r="A4865" s="8"/>
    </row>
    <row r="4866" spans="1:1" ht="13.8" x14ac:dyDescent="0.25">
      <c r="A4866" s="8"/>
    </row>
    <row r="4867" spans="1:1" ht="13.8" x14ac:dyDescent="0.25">
      <c r="A4867" s="8"/>
    </row>
    <row r="4868" spans="1:1" ht="13.8" x14ac:dyDescent="0.25">
      <c r="A4868" s="8"/>
    </row>
    <row r="4869" spans="1:1" ht="13.8" x14ac:dyDescent="0.25">
      <c r="A4869" s="8"/>
    </row>
    <row r="4870" spans="1:1" ht="13.8" x14ac:dyDescent="0.25">
      <c r="A4870" s="8"/>
    </row>
    <row r="4871" spans="1:1" ht="13.8" x14ac:dyDescent="0.25">
      <c r="A4871" s="8"/>
    </row>
    <row r="4872" spans="1:1" ht="13.8" x14ac:dyDescent="0.25">
      <c r="A4872" s="8"/>
    </row>
    <row r="4873" spans="1:1" ht="13.8" x14ac:dyDescent="0.25">
      <c r="A4873" s="8"/>
    </row>
    <row r="4874" spans="1:1" ht="13.8" x14ac:dyDescent="0.25">
      <c r="A4874" s="8"/>
    </row>
    <row r="4875" spans="1:1" ht="13.8" x14ac:dyDescent="0.25">
      <c r="A4875" s="8"/>
    </row>
    <row r="4876" spans="1:1" ht="13.8" x14ac:dyDescent="0.25">
      <c r="A4876" s="8"/>
    </row>
    <row r="4877" spans="1:1" ht="13.8" x14ac:dyDescent="0.25">
      <c r="A4877" s="8"/>
    </row>
    <row r="4878" spans="1:1" ht="13.8" x14ac:dyDescent="0.25">
      <c r="A4878" s="8"/>
    </row>
    <row r="4879" spans="1:1" ht="13.8" x14ac:dyDescent="0.25">
      <c r="A4879" s="8"/>
    </row>
    <row r="4880" spans="1:1" ht="13.8" x14ac:dyDescent="0.25">
      <c r="A4880" s="8"/>
    </row>
    <row r="4881" spans="1:1" ht="13.8" x14ac:dyDescent="0.25">
      <c r="A4881" s="8"/>
    </row>
    <row r="4882" spans="1:1" ht="13.8" x14ac:dyDescent="0.25">
      <c r="A4882" s="8"/>
    </row>
    <row r="4883" spans="1:1" ht="13.8" x14ac:dyDescent="0.25">
      <c r="A4883" s="8"/>
    </row>
    <row r="4884" spans="1:1" ht="13.8" x14ac:dyDescent="0.25">
      <c r="A4884" s="8"/>
    </row>
    <row r="4885" spans="1:1" ht="13.8" x14ac:dyDescent="0.25">
      <c r="A4885" s="8"/>
    </row>
    <row r="4886" spans="1:1" ht="13.8" x14ac:dyDescent="0.25">
      <c r="A4886" s="8"/>
    </row>
    <row r="4887" spans="1:1" ht="13.8" x14ac:dyDescent="0.25">
      <c r="A4887" s="8"/>
    </row>
    <row r="4888" spans="1:1" ht="13.8" x14ac:dyDescent="0.25">
      <c r="A4888" s="8"/>
    </row>
    <row r="4889" spans="1:1" ht="13.8" x14ac:dyDescent="0.25">
      <c r="A4889" s="8"/>
    </row>
    <row r="4890" spans="1:1" ht="13.8" x14ac:dyDescent="0.25">
      <c r="A4890" s="8"/>
    </row>
    <row r="4891" spans="1:1" ht="13.8" x14ac:dyDescent="0.25">
      <c r="A4891" s="8"/>
    </row>
    <row r="4892" spans="1:1" ht="13.8" x14ac:dyDescent="0.25">
      <c r="A4892" s="8"/>
    </row>
    <row r="4893" spans="1:1" ht="13.8" x14ac:dyDescent="0.25">
      <c r="A4893" s="8"/>
    </row>
    <row r="4894" spans="1:1" ht="13.8" x14ac:dyDescent="0.25">
      <c r="A4894" s="8"/>
    </row>
    <row r="4895" spans="1:1" ht="13.8" x14ac:dyDescent="0.25">
      <c r="A4895" s="8"/>
    </row>
    <row r="4896" spans="1:1" ht="13.8" x14ac:dyDescent="0.25">
      <c r="A4896" s="8"/>
    </row>
    <row r="4897" spans="1:1" ht="13.8" x14ac:dyDescent="0.25">
      <c r="A4897" s="8"/>
    </row>
    <row r="4898" spans="1:1" ht="13.8" x14ac:dyDescent="0.25">
      <c r="A4898" s="8"/>
    </row>
    <row r="4899" spans="1:1" ht="13.8" x14ac:dyDescent="0.25">
      <c r="A4899" s="8"/>
    </row>
    <row r="4900" spans="1:1" ht="13.8" x14ac:dyDescent="0.25">
      <c r="A4900" s="8"/>
    </row>
    <row r="4901" spans="1:1" ht="13.8" x14ac:dyDescent="0.25">
      <c r="A4901" s="8"/>
    </row>
    <row r="4902" spans="1:1" ht="13.8" x14ac:dyDescent="0.25">
      <c r="A4902" s="8"/>
    </row>
    <row r="4903" spans="1:1" ht="13.8" x14ac:dyDescent="0.25">
      <c r="A4903" s="8"/>
    </row>
    <row r="4904" spans="1:1" ht="13.8" x14ac:dyDescent="0.25">
      <c r="A4904" s="8"/>
    </row>
    <row r="4905" spans="1:1" ht="13.8" x14ac:dyDescent="0.25">
      <c r="A4905" s="8"/>
    </row>
    <row r="4906" spans="1:1" ht="13.8" x14ac:dyDescent="0.25">
      <c r="A4906" s="8"/>
    </row>
    <row r="4907" spans="1:1" ht="13.8" x14ac:dyDescent="0.25">
      <c r="A4907" s="8"/>
    </row>
    <row r="4908" spans="1:1" ht="13.8" x14ac:dyDescent="0.25">
      <c r="A4908" s="8"/>
    </row>
    <row r="4909" spans="1:1" ht="13.8" x14ac:dyDescent="0.25">
      <c r="A4909" s="8"/>
    </row>
    <row r="4910" spans="1:1" ht="13.8" x14ac:dyDescent="0.25">
      <c r="A4910" s="8"/>
    </row>
    <row r="4911" spans="1:1" ht="13.8" x14ac:dyDescent="0.25">
      <c r="A4911" s="8"/>
    </row>
    <row r="4912" spans="1:1" ht="13.8" x14ac:dyDescent="0.25">
      <c r="A4912" s="8"/>
    </row>
    <row r="4913" spans="1:1" ht="13.8" x14ac:dyDescent="0.25">
      <c r="A4913" s="8"/>
    </row>
    <row r="4914" spans="1:1" ht="13.8" x14ac:dyDescent="0.25">
      <c r="A4914" s="8"/>
    </row>
    <row r="4915" spans="1:1" ht="13.8" x14ac:dyDescent="0.25">
      <c r="A4915" s="8"/>
    </row>
    <row r="4916" spans="1:1" ht="13.8" x14ac:dyDescent="0.25">
      <c r="A4916" s="8"/>
    </row>
    <row r="4917" spans="1:1" ht="13.8" x14ac:dyDescent="0.25">
      <c r="A4917" s="8"/>
    </row>
    <row r="4918" spans="1:1" ht="13.8" x14ac:dyDescent="0.25">
      <c r="A4918" s="8"/>
    </row>
    <row r="4919" spans="1:1" ht="13.8" x14ac:dyDescent="0.25">
      <c r="A4919" s="8"/>
    </row>
    <row r="4920" spans="1:1" ht="13.8" x14ac:dyDescent="0.25">
      <c r="A4920" s="8"/>
    </row>
    <row r="4921" spans="1:1" ht="13.8" x14ac:dyDescent="0.25">
      <c r="A4921" s="8"/>
    </row>
    <row r="4922" spans="1:1" ht="13.8" x14ac:dyDescent="0.25">
      <c r="A4922" s="8"/>
    </row>
    <row r="4923" spans="1:1" ht="13.8" x14ac:dyDescent="0.25">
      <c r="A4923" s="8"/>
    </row>
    <row r="4924" spans="1:1" ht="13.8" x14ac:dyDescent="0.25">
      <c r="A4924" s="8"/>
    </row>
    <row r="4925" spans="1:1" ht="13.8" x14ac:dyDescent="0.25">
      <c r="A4925" s="8"/>
    </row>
    <row r="4926" spans="1:1" ht="13.8" x14ac:dyDescent="0.25">
      <c r="A4926" s="8"/>
    </row>
    <row r="4927" spans="1:1" ht="13.8" x14ac:dyDescent="0.25">
      <c r="A4927" s="8"/>
    </row>
    <row r="4928" spans="1:1" ht="13.8" x14ac:dyDescent="0.25">
      <c r="A4928" s="8"/>
    </row>
    <row r="4929" spans="1:1" ht="13.8" x14ac:dyDescent="0.25">
      <c r="A4929" s="8"/>
    </row>
    <row r="4930" spans="1:1" ht="13.8" x14ac:dyDescent="0.25">
      <c r="A4930" s="8"/>
    </row>
    <row r="4931" spans="1:1" ht="13.8" x14ac:dyDescent="0.25">
      <c r="A4931" s="8"/>
    </row>
    <row r="4932" spans="1:1" ht="13.8" x14ac:dyDescent="0.25">
      <c r="A4932" s="8"/>
    </row>
    <row r="4933" spans="1:1" ht="13.8" x14ac:dyDescent="0.25">
      <c r="A4933" s="8"/>
    </row>
    <row r="4934" spans="1:1" ht="13.8" x14ac:dyDescent="0.25">
      <c r="A4934" s="8"/>
    </row>
    <row r="4935" spans="1:1" ht="13.8" x14ac:dyDescent="0.25">
      <c r="A4935" s="8"/>
    </row>
    <row r="4936" spans="1:1" ht="13.8" x14ac:dyDescent="0.25">
      <c r="A4936" s="8"/>
    </row>
    <row r="4937" spans="1:1" ht="13.8" x14ac:dyDescent="0.25">
      <c r="A4937" s="8"/>
    </row>
    <row r="4938" spans="1:1" ht="13.8" x14ac:dyDescent="0.25">
      <c r="A4938" s="8"/>
    </row>
    <row r="4939" spans="1:1" ht="13.8" x14ac:dyDescent="0.25">
      <c r="A4939" s="8"/>
    </row>
    <row r="4940" spans="1:1" ht="13.8" x14ac:dyDescent="0.25">
      <c r="A4940" s="8"/>
    </row>
    <row r="4941" spans="1:1" ht="13.8" x14ac:dyDescent="0.25">
      <c r="A4941" s="8"/>
    </row>
    <row r="4942" spans="1:1" ht="13.8" x14ac:dyDescent="0.25">
      <c r="A4942" s="8"/>
    </row>
    <row r="4943" spans="1:1" ht="13.8" x14ac:dyDescent="0.25">
      <c r="A4943" s="8"/>
    </row>
    <row r="4944" spans="1:1" ht="13.8" x14ac:dyDescent="0.25">
      <c r="A4944" s="8"/>
    </row>
    <row r="4945" spans="1:1" ht="13.8" x14ac:dyDescent="0.25">
      <c r="A4945" s="8"/>
    </row>
    <row r="4946" spans="1:1" ht="13.8" x14ac:dyDescent="0.25">
      <c r="A4946" s="8"/>
    </row>
    <row r="4947" spans="1:1" ht="13.8" x14ac:dyDescent="0.25">
      <c r="A4947" s="8"/>
    </row>
    <row r="4948" spans="1:1" ht="13.8" x14ac:dyDescent="0.25">
      <c r="A4948" s="8"/>
    </row>
    <row r="4949" spans="1:1" ht="13.8" x14ac:dyDescent="0.25">
      <c r="A4949" s="8"/>
    </row>
    <row r="4950" spans="1:1" ht="13.8" x14ac:dyDescent="0.25">
      <c r="A4950" s="8"/>
    </row>
    <row r="4951" spans="1:1" ht="13.8" x14ac:dyDescent="0.25">
      <c r="A4951" s="8"/>
    </row>
    <row r="4952" spans="1:1" ht="13.8" x14ac:dyDescent="0.25">
      <c r="A4952" s="8"/>
    </row>
    <row r="4953" spans="1:1" ht="13.8" x14ac:dyDescent="0.25">
      <c r="A4953" s="8"/>
    </row>
    <row r="4954" spans="1:1" ht="13.8" x14ac:dyDescent="0.25">
      <c r="A4954" s="8"/>
    </row>
    <row r="4955" spans="1:1" ht="13.8" x14ac:dyDescent="0.25">
      <c r="A4955" s="8"/>
    </row>
    <row r="4956" spans="1:1" ht="13.8" x14ac:dyDescent="0.25">
      <c r="A4956" s="8"/>
    </row>
    <row r="4957" spans="1:1" ht="13.8" x14ac:dyDescent="0.25">
      <c r="A4957" s="8"/>
    </row>
    <row r="4958" spans="1:1" ht="13.8" x14ac:dyDescent="0.25">
      <c r="A4958" s="8"/>
    </row>
    <row r="4959" spans="1:1" ht="13.8" x14ac:dyDescent="0.25">
      <c r="A4959" s="8"/>
    </row>
    <row r="4960" spans="1:1" ht="13.8" x14ac:dyDescent="0.25">
      <c r="A4960" s="8"/>
    </row>
    <row r="4961" spans="1:1" ht="13.8" x14ac:dyDescent="0.25">
      <c r="A4961" s="8"/>
    </row>
    <row r="4962" spans="1:1" ht="13.8" x14ac:dyDescent="0.25">
      <c r="A4962" s="8"/>
    </row>
    <row r="4963" spans="1:1" ht="13.8" x14ac:dyDescent="0.25">
      <c r="A4963" s="8"/>
    </row>
    <row r="4964" spans="1:1" ht="13.8" x14ac:dyDescent="0.25">
      <c r="A4964" s="8"/>
    </row>
    <row r="4965" spans="1:1" ht="13.8" x14ac:dyDescent="0.25">
      <c r="A4965" s="8"/>
    </row>
    <row r="4966" spans="1:1" ht="13.8" x14ac:dyDescent="0.25">
      <c r="A4966" s="8"/>
    </row>
    <row r="4967" spans="1:1" ht="13.8" x14ac:dyDescent="0.25">
      <c r="A4967" s="8"/>
    </row>
    <row r="4968" spans="1:1" ht="13.8" x14ac:dyDescent="0.25">
      <c r="A4968" s="8"/>
    </row>
    <row r="4969" spans="1:1" ht="13.8" x14ac:dyDescent="0.25">
      <c r="A4969" s="8"/>
    </row>
    <row r="4970" spans="1:1" ht="13.8" x14ac:dyDescent="0.25">
      <c r="A4970" s="8"/>
    </row>
    <row r="4971" spans="1:1" ht="13.8" x14ac:dyDescent="0.25">
      <c r="A4971" s="8"/>
    </row>
    <row r="4972" spans="1:1" ht="13.8" x14ac:dyDescent="0.25">
      <c r="A4972" s="8"/>
    </row>
    <row r="4973" spans="1:1" ht="13.8" x14ac:dyDescent="0.25">
      <c r="A4973" s="8"/>
    </row>
    <row r="4974" spans="1:1" ht="13.8" x14ac:dyDescent="0.25">
      <c r="A4974" s="8"/>
    </row>
    <row r="4975" spans="1:1" ht="13.8" x14ac:dyDescent="0.25">
      <c r="A4975" s="8"/>
    </row>
    <row r="4976" spans="1:1" ht="13.8" x14ac:dyDescent="0.25">
      <c r="A4976" s="8"/>
    </row>
    <row r="4977" spans="1:1" ht="13.8" x14ac:dyDescent="0.25">
      <c r="A4977" s="8"/>
    </row>
    <row r="4978" spans="1:1" ht="13.8" x14ac:dyDescent="0.25">
      <c r="A4978" s="8"/>
    </row>
    <row r="4979" spans="1:1" ht="13.8" x14ac:dyDescent="0.25">
      <c r="A4979" s="8"/>
    </row>
    <row r="4980" spans="1:1" ht="13.8" x14ac:dyDescent="0.25">
      <c r="A4980" s="8"/>
    </row>
    <row r="4981" spans="1:1" ht="13.8" x14ac:dyDescent="0.25">
      <c r="A4981" s="8"/>
    </row>
    <row r="4982" spans="1:1" ht="13.8" x14ac:dyDescent="0.25">
      <c r="A4982" s="8"/>
    </row>
    <row r="4983" spans="1:1" ht="13.8" x14ac:dyDescent="0.25">
      <c r="A4983" s="8"/>
    </row>
    <row r="4984" spans="1:1" ht="13.8" x14ac:dyDescent="0.25">
      <c r="A4984" s="8"/>
    </row>
    <row r="4985" spans="1:1" ht="13.8" x14ac:dyDescent="0.25">
      <c r="A4985" s="8"/>
    </row>
    <row r="4986" spans="1:1" ht="13.8" x14ac:dyDescent="0.25">
      <c r="A4986" s="8"/>
    </row>
    <row r="4987" spans="1:1" ht="13.8" x14ac:dyDescent="0.25">
      <c r="A4987" s="8"/>
    </row>
    <row r="4988" spans="1:1" ht="13.8" x14ac:dyDescent="0.25">
      <c r="A4988" s="8"/>
    </row>
    <row r="4989" spans="1:1" ht="13.8" x14ac:dyDescent="0.25">
      <c r="A4989" s="8"/>
    </row>
    <row r="4990" spans="1:1" ht="13.8" x14ac:dyDescent="0.25">
      <c r="A4990" s="8"/>
    </row>
    <row r="4991" spans="1:1" ht="13.8" x14ac:dyDescent="0.25">
      <c r="A4991" s="8"/>
    </row>
    <row r="4992" spans="1:1" ht="13.8" x14ac:dyDescent="0.25">
      <c r="A4992" s="8"/>
    </row>
    <row r="4993" spans="1:1" ht="13.8" x14ac:dyDescent="0.25">
      <c r="A4993" s="8"/>
    </row>
    <row r="4994" spans="1:1" ht="13.8" x14ac:dyDescent="0.25">
      <c r="A4994" s="8"/>
    </row>
    <row r="4995" spans="1:1" ht="13.8" x14ac:dyDescent="0.25">
      <c r="A4995" s="8"/>
    </row>
    <row r="4996" spans="1:1" ht="13.8" x14ac:dyDescent="0.25">
      <c r="A4996" s="8"/>
    </row>
    <row r="4997" spans="1:1" ht="13.8" x14ac:dyDescent="0.25">
      <c r="A4997" s="8"/>
    </row>
    <row r="4998" spans="1:1" ht="13.8" x14ac:dyDescent="0.25">
      <c r="A4998" s="8"/>
    </row>
    <row r="4999" spans="1:1" ht="13.8" x14ac:dyDescent="0.25">
      <c r="A4999" s="8"/>
    </row>
    <row r="5000" spans="1:1" ht="13.8" x14ac:dyDescent="0.25">
      <c r="A5000" s="8"/>
    </row>
    <row r="5001" spans="1:1" ht="13.8" x14ac:dyDescent="0.25">
      <c r="A5001" s="8"/>
    </row>
    <row r="5002" spans="1:1" ht="13.8" x14ac:dyDescent="0.25">
      <c r="A5002" s="8"/>
    </row>
    <row r="5003" spans="1:1" ht="13.8" x14ac:dyDescent="0.25">
      <c r="A5003" s="8"/>
    </row>
    <row r="5004" spans="1:1" ht="13.8" x14ac:dyDescent="0.25">
      <c r="A5004" s="8"/>
    </row>
    <row r="5005" spans="1:1" ht="13.8" x14ac:dyDescent="0.25">
      <c r="A5005" s="8"/>
    </row>
    <row r="5006" spans="1:1" ht="13.8" x14ac:dyDescent="0.25">
      <c r="A5006" s="8"/>
    </row>
    <row r="5007" spans="1:1" ht="13.8" x14ac:dyDescent="0.25">
      <c r="A5007" s="8"/>
    </row>
    <row r="5008" spans="1:1" ht="13.8" x14ac:dyDescent="0.25">
      <c r="A5008" s="8"/>
    </row>
    <row r="5009" spans="1:1" ht="13.8" x14ac:dyDescent="0.25">
      <c r="A5009" s="8"/>
    </row>
    <row r="5010" spans="1:1" ht="13.8" x14ac:dyDescent="0.25">
      <c r="A5010" s="8"/>
    </row>
    <row r="5011" spans="1:1" ht="13.8" x14ac:dyDescent="0.25">
      <c r="A5011" s="8"/>
    </row>
    <row r="5012" spans="1:1" ht="13.8" x14ac:dyDescent="0.25">
      <c r="A5012" s="8"/>
    </row>
    <row r="5013" spans="1:1" ht="13.8" x14ac:dyDescent="0.25">
      <c r="A5013" s="8"/>
    </row>
    <row r="5014" spans="1:1" ht="13.8" x14ac:dyDescent="0.25">
      <c r="A5014" s="8"/>
    </row>
    <row r="5015" spans="1:1" ht="13.8" x14ac:dyDescent="0.25">
      <c r="A5015" s="8"/>
    </row>
    <row r="5016" spans="1:1" ht="13.8" x14ac:dyDescent="0.25">
      <c r="A5016" s="8"/>
    </row>
    <row r="5017" spans="1:1" ht="13.8" x14ac:dyDescent="0.25">
      <c r="A5017" s="8"/>
    </row>
    <row r="5018" spans="1:1" ht="13.8" x14ac:dyDescent="0.25">
      <c r="A5018" s="8"/>
    </row>
    <row r="5019" spans="1:1" ht="13.8" x14ac:dyDescent="0.25">
      <c r="A5019" s="8"/>
    </row>
    <row r="5020" spans="1:1" ht="13.8" x14ac:dyDescent="0.25">
      <c r="A5020" s="8"/>
    </row>
    <row r="5021" spans="1:1" ht="13.8" x14ac:dyDescent="0.25">
      <c r="A5021" s="8"/>
    </row>
    <row r="5022" spans="1:1" ht="13.8" x14ac:dyDescent="0.25">
      <c r="A5022" s="8"/>
    </row>
    <row r="5023" spans="1:1" ht="13.8" x14ac:dyDescent="0.25">
      <c r="A5023" s="8"/>
    </row>
    <row r="5024" spans="1:1" ht="13.8" x14ac:dyDescent="0.25">
      <c r="A5024" s="8"/>
    </row>
    <row r="5025" spans="1:1" ht="13.8" x14ac:dyDescent="0.25">
      <c r="A5025" s="8"/>
    </row>
    <row r="5026" spans="1:1" ht="13.8" x14ac:dyDescent="0.25">
      <c r="A5026" s="8"/>
    </row>
    <row r="5027" spans="1:1" ht="13.8" x14ac:dyDescent="0.25">
      <c r="A5027" s="8"/>
    </row>
    <row r="5028" spans="1:1" ht="13.8" x14ac:dyDescent="0.25">
      <c r="A5028" s="8"/>
    </row>
    <row r="5029" spans="1:1" ht="13.8" x14ac:dyDescent="0.25">
      <c r="A5029" s="8"/>
    </row>
    <row r="5030" spans="1:1" ht="13.8" x14ac:dyDescent="0.25">
      <c r="A5030" s="8"/>
    </row>
    <row r="5031" spans="1:1" ht="13.8" x14ac:dyDescent="0.25">
      <c r="A5031" s="8"/>
    </row>
    <row r="5032" spans="1:1" ht="13.8" x14ac:dyDescent="0.25">
      <c r="A5032" s="8"/>
    </row>
    <row r="5033" spans="1:1" ht="13.8" x14ac:dyDescent="0.25">
      <c r="A5033" s="8"/>
    </row>
    <row r="5034" spans="1:1" ht="13.8" x14ac:dyDescent="0.25">
      <c r="A5034" s="8"/>
    </row>
    <row r="5035" spans="1:1" ht="13.8" x14ac:dyDescent="0.25">
      <c r="A5035" s="8"/>
    </row>
    <row r="5036" spans="1:1" ht="13.8" x14ac:dyDescent="0.25">
      <c r="A5036" s="8"/>
    </row>
    <row r="5037" spans="1:1" ht="13.8" x14ac:dyDescent="0.25">
      <c r="A5037" s="8"/>
    </row>
    <row r="5038" spans="1:1" ht="13.8" x14ac:dyDescent="0.25">
      <c r="A5038" s="8"/>
    </row>
    <row r="5039" spans="1:1" ht="13.8" x14ac:dyDescent="0.25">
      <c r="A5039" s="8"/>
    </row>
    <row r="5040" spans="1:1" ht="13.8" x14ac:dyDescent="0.25">
      <c r="A5040" s="8"/>
    </row>
    <row r="5041" spans="1:1" ht="13.8" x14ac:dyDescent="0.25">
      <c r="A5041" s="8"/>
    </row>
    <row r="5042" spans="1:1" ht="13.8" x14ac:dyDescent="0.25">
      <c r="A5042" s="8"/>
    </row>
    <row r="5043" spans="1:1" ht="13.8" x14ac:dyDescent="0.25">
      <c r="A5043" s="8"/>
    </row>
    <row r="5044" spans="1:1" ht="13.8" x14ac:dyDescent="0.25">
      <c r="A5044" s="8"/>
    </row>
    <row r="5045" spans="1:1" ht="13.8" x14ac:dyDescent="0.25">
      <c r="A5045" s="8"/>
    </row>
    <row r="5046" spans="1:1" ht="13.8" x14ac:dyDescent="0.25">
      <c r="A5046" s="8"/>
    </row>
    <row r="5047" spans="1:1" ht="13.8" x14ac:dyDescent="0.25">
      <c r="A5047" s="8"/>
    </row>
    <row r="5048" spans="1:1" ht="13.8" x14ac:dyDescent="0.25">
      <c r="A5048" s="8"/>
    </row>
    <row r="5049" spans="1:1" ht="13.8" x14ac:dyDescent="0.25">
      <c r="A5049" s="8"/>
    </row>
    <row r="5050" spans="1:1" ht="13.8" x14ac:dyDescent="0.25">
      <c r="A5050" s="8"/>
    </row>
    <row r="5051" spans="1:1" ht="13.8" x14ac:dyDescent="0.25">
      <c r="A5051" s="8"/>
    </row>
    <row r="5052" spans="1:1" ht="13.8" x14ac:dyDescent="0.25">
      <c r="A5052" s="8"/>
    </row>
    <row r="5053" spans="1:1" ht="13.8" x14ac:dyDescent="0.25">
      <c r="A5053" s="8"/>
    </row>
    <row r="5054" spans="1:1" ht="13.8" x14ac:dyDescent="0.25">
      <c r="A5054" s="8"/>
    </row>
    <row r="5055" spans="1:1" ht="13.8" x14ac:dyDescent="0.25">
      <c r="A5055" s="8"/>
    </row>
    <row r="5056" spans="1:1" ht="13.8" x14ac:dyDescent="0.25">
      <c r="A5056" s="8"/>
    </row>
    <row r="5057" spans="1:1" ht="13.8" x14ac:dyDescent="0.25">
      <c r="A5057" s="8"/>
    </row>
    <row r="5058" spans="1:1" ht="13.8" x14ac:dyDescent="0.25">
      <c r="A5058" s="8"/>
    </row>
    <row r="5059" spans="1:1" ht="13.8" x14ac:dyDescent="0.25">
      <c r="A5059" s="8"/>
    </row>
    <row r="5060" spans="1:1" ht="13.8" x14ac:dyDescent="0.25">
      <c r="A5060" s="8"/>
    </row>
    <row r="5061" spans="1:1" ht="13.8" x14ac:dyDescent="0.25">
      <c r="A5061" s="8"/>
    </row>
    <row r="5062" spans="1:1" ht="13.8" x14ac:dyDescent="0.25">
      <c r="A5062" s="8"/>
    </row>
    <row r="5063" spans="1:1" ht="13.8" x14ac:dyDescent="0.25">
      <c r="A5063" s="8"/>
    </row>
    <row r="5064" spans="1:1" ht="13.8" x14ac:dyDescent="0.25">
      <c r="A5064" s="8"/>
    </row>
    <row r="5065" spans="1:1" ht="13.8" x14ac:dyDescent="0.25">
      <c r="A5065" s="8"/>
    </row>
    <row r="5066" spans="1:1" ht="13.8" x14ac:dyDescent="0.25">
      <c r="A5066" s="8"/>
    </row>
    <row r="5067" spans="1:1" ht="13.8" x14ac:dyDescent="0.25">
      <c r="A5067" s="8"/>
    </row>
    <row r="5068" spans="1:1" ht="13.8" x14ac:dyDescent="0.25">
      <c r="A5068" s="8"/>
    </row>
    <row r="5069" spans="1:1" ht="13.8" x14ac:dyDescent="0.25">
      <c r="A5069" s="8"/>
    </row>
    <row r="5070" spans="1:1" ht="13.8" x14ac:dyDescent="0.25">
      <c r="A5070" s="8"/>
    </row>
    <row r="5071" spans="1:1" ht="13.8" x14ac:dyDescent="0.25">
      <c r="A5071" s="8"/>
    </row>
    <row r="5072" spans="1:1" ht="13.8" x14ac:dyDescent="0.25">
      <c r="A5072" s="8"/>
    </row>
    <row r="5073" spans="1:1" ht="13.8" x14ac:dyDescent="0.25">
      <c r="A5073" s="8"/>
    </row>
    <row r="5074" spans="1:1" ht="13.8" x14ac:dyDescent="0.25">
      <c r="A5074" s="8"/>
    </row>
    <row r="5075" spans="1:1" ht="13.8" x14ac:dyDescent="0.25">
      <c r="A5075" s="8"/>
    </row>
    <row r="5076" spans="1:1" ht="13.8" x14ac:dyDescent="0.25">
      <c r="A5076" s="8"/>
    </row>
    <row r="5077" spans="1:1" ht="13.8" x14ac:dyDescent="0.25">
      <c r="A5077" s="8"/>
    </row>
    <row r="5078" spans="1:1" ht="13.8" x14ac:dyDescent="0.25">
      <c r="A5078" s="8"/>
    </row>
    <row r="5079" spans="1:1" ht="13.8" x14ac:dyDescent="0.25">
      <c r="A5079" s="8"/>
    </row>
    <row r="5080" spans="1:1" ht="13.8" x14ac:dyDescent="0.25">
      <c r="A5080" s="8"/>
    </row>
    <row r="5081" spans="1:1" ht="13.8" x14ac:dyDescent="0.25">
      <c r="A5081" s="8"/>
    </row>
    <row r="5082" spans="1:1" ht="13.8" x14ac:dyDescent="0.25">
      <c r="A5082" s="8"/>
    </row>
    <row r="5083" spans="1:1" ht="13.8" x14ac:dyDescent="0.25">
      <c r="A5083" s="8"/>
    </row>
    <row r="5084" spans="1:1" ht="13.8" x14ac:dyDescent="0.25">
      <c r="A5084" s="8"/>
    </row>
    <row r="5085" spans="1:1" ht="13.8" x14ac:dyDescent="0.25">
      <c r="A5085" s="8"/>
    </row>
    <row r="5086" spans="1:1" ht="13.8" x14ac:dyDescent="0.25">
      <c r="A5086" s="8"/>
    </row>
    <row r="5087" spans="1:1" ht="13.8" x14ac:dyDescent="0.25">
      <c r="A5087" s="8"/>
    </row>
    <row r="5088" spans="1:1" ht="13.8" x14ac:dyDescent="0.25">
      <c r="A5088" s="8"/>
    </row>
    <row r="5089" spans="1:1" ht="13.8" x14ac:dyDescent="0.25">
      <c r="A5089" s="8"/>
    </row>
    <row r="5090" spans="1:1" ht="13.8" x14ac:dyDescent="0.25">
      <c r="A5090" s="8"/>
    </row>
    <row r="5091" spans="1:1" ht="13.8" x14ac:dyDescent="0.25">
      <c r="A5091" s="8"/>
    </row>
    <row r="5092" spans="1:1" ht="13.8" x14ac:dyDescent="0.25">
      <c r="A5092" s="8"/>
    </row>
    <row r="5093" spans="1:1" ht="13.8" x14ac:dyDescent="0.25">
      <c r="A5093" s="8"/>
    </row>
    <row r="5094" spans="1:1" ht="13.8" x14ac:dyDescent="0.25">
      <c r="A5094" s="8"/>
    </row>
    <row r="5095" spans="1:1" ht="13.8" x14ac:dyDescent="0.25">
      <c r="A5095" s="8"/>
    </row>
    <row r="5096" spans="1:1" ht="13.8" x14ac:dyDescent="0.25">
      <c r="A5096" s="8"/>
    </row>
    <row r="5097" spans="1:1" ht="13.8" x14ac:dyDescent="0.25">
      <c r="A5097" s="8"/>
    </row>
    <row r="5098" spans="1:1" ht="13.8" x14ac:dyDescent="0.25">
      <c r="A5098" s="8"/>
    </row>
    <row r="5099" spans="1:1" ht="13.8" x14ac:dyDescent="0.25">
      <c r="A5099" s="8"/>
    </row>
    <row r="5100" spans="1:1" ht="13.8" x14ac:dyDescent="0.25">
      <c r="A5100" s="8"/>
    </row>
    <row r="5101" spans="1:1" ht="13.8" x14ac:dyDescent="0.25">
      <c r="A5101" s="8"/>
    </row>
    <row r="5102" spans="1:1" ht="13.8" x14ac:dyDescent="0.25">
      <c r="A5102" s="8"/>
    </row>
    <row r="5103" spans="1:1" ht="13.8" x14ac:dyDescent="0.25">
      <c r="A5103" s="8"/>
    </row>
    <row r="5104" spans="1:1" ht="13.8" x14ac:dyDescent="0.25">
      <c r="A5104" s="8"/>
    </row>
    <row r="5105" spans="1:1" ht="13.8" x14ac:dyDescent="0.25">
      <c r="A5105" s="8"/>
    </row>
    <row r="5106" spans="1:1" ht="13.8" x14ac:dyDescent="0.25">
      <c r="A5106" s="8"/>
    </row>
    <row r="5107" spans="1:1" ht="13.8" x14ac:dyDescent="0.25">
      <c r="A5107" s="8"/>
    </row>
    <row r="5108" spans="1:1" ht="13.8" x14ac:dyDescent="0.25">
      <c r="A5108" s="8"/>
    </row>
    <row r="5109" spans="1:1" ht="13.8" x14ac:dyDescent="0.25">
      <c r="A5109" s="8"/>
    </row>
    <row r="5110" spans="1:1" ht="13.8" x14ac:dyDescent="0.25">
      <c r="A5110" s="8"/>
    </row>
    <row r="5111" spans="1:1" ht="13.8" x14ac:dyDescent="0.25">
      <c r="A5111" s="8"/>
    </row>
    <row r="5112" spans="1:1" ht="13.8" x14ac:dyDescent="0.25">
      <c r="A5112" s="8"/>
    </row>
    <row r="5113" spans="1:1" ht="13.8" x14ac:dyDescent="0.25">
      <c r="A5113" s="8"/>
    </row>
    <row r="5114" spans="1:1" ht="13.8" x14ac:dyDescent="0.25">
      <c r="A5114" s="8"/>
    </row>
    <row r="5115" spans="1:1" ht="13.8" x14ac:dyDescent="0.25">
      <c r="A5115" s="8"/>
    </row>
    <row r="5116" spans="1:1" ht="13.8" x14ac:dyDescent="0.25">
      <c r="A5116" s="8"/>
    </row>
    <row r="5117" spans="1:1" ht="13.8" x14ac:dyDescent="0.25">
      <c r="A5117" s="8"/>
    </row>
    <row r="5118" spans="1:1" ht="13.8" x14ac:dyDescent="0.25">
      <c r="A5118" s="8"/>
    </row>
    <row r="5119" spans="1:1" ht="13.8" x14ac:dyDescent="0.25">
      <c r="A5119" s="8"/>
    </row>
    <row r="5120" spans="1:1" ht="13.8" x14ac:dyDescent="0.25">
      <c r="A5120" s="8"/>
    </row>
    <row r="5121" spans="1:1" ht="13.8" x14ac:dyDescent="0.25">
      <c r="A5121" s="8"/>
    </row>
    <row r="5122" spans="1:1" ht="13.8" x14ac:dyDescent="0.25">
      <c r="A5122" s="8"/>
    </row>
    <row r="5123" spans="1:1" ht="13.8" x14ac:dyDescent="0.25">
      <c r="A5123" s="8"/>
    </row>
    <row r="5124" spans="1:1" ht="13.8" x14ac:dyDescent="0.25">
      <c r="A5124" s="8"/>
    </row>
    <row r="5125" spans="1:1" ht="13.8" x14ac:dyDescent="0.25">
      <c r="A5125" s="8"/>
    </row>
    <row r="5126" spans="1:1" ht="13.8" x14ac:dyDescent="0.25">
      <c r="A5126" s="8"/>
    </row>
    <row r="5127" spans="1:1" ht="13.8" x14ac:dyDescent="0.25">
      <c r="A5127" s="8"/>
    </row>
    <row r="5128" spans="1:1" ht="13.8" x14ac:dyDescent="0.25">
      <c r="A5128" s="8"/>
    </row>
    <row r="5129" spans="1:1" ht="13.8" x14ac:dyDescent="0.25">
      <c r="A5129" s="8"/>
    </row>
    <row r="5130" spans="1:1" ht="13.8" x14ac:dyDescent="0.25">
      <c r="A5130" s="8"/>
    </row>
    <row r="5131" spans="1:1" ht="13.8" x14ac:dyDescent="0.25">
      <c r="A5131" s="8"/>
    </row>
    <row r="5132" spans="1:1" ht="13.8" x14ac:dyDescent="0.25">
      <c r="A5132" s="8"/>
    </row>
    <row r="5133" spans="1:1" ht="13.8" x14ac:dyDescent="0.25">
      <c r="A5133" s="8"/>
    </row>
    <row r="5134" spans="1:1" ht="13.8" x14ac:dyDescent="0.25">
      <c r="A5134" s="8"/>
    </row>
    <row r="5135" spans="1:1" ht="13.8" x14ac:dyDescent="0.25">
      <c r="A5135" s="8"/>
    </row>
    <row r="5136" spans="1:1" ht="13.8" x14ac:dyDescent="0.25">
      <c r="A5136" s="8"/>
    </row>
    <row r="5137" spans="1:1" ht="13.8" x14ac:dyDescent="0.25">
      <c r="A5137" s="8"/>
    </row>
    <row r="5138" spans="1:1" ht="13.8" x14ac:dyDescent="0.25">
      <c r="A5138" s="8"/>
    </row>
    <row r="5139" spans="1:1" ht="13.8" x14ac:dyDescent="0.25">
      <c r="A5139" s="8"/>
    </row>
    <row r="5140" spans="1:1" ht="13.8" x14ac:dyDescent="0.25">
      <c r="A5140" s="8"/>
    </row>
    <row r="5141" spans="1:1" ht="13.8" x14ac:dyDescent="0.25">
      <c r="A5141" s="8"/>
    </row>
    <row r="5142" spans="1:1" ht="13.8" x14ac:dyDescent="0.25">
      <c r="A5142" s="8"/>
    </row>
    <row r="5143" spans="1:1" ht="13.8" x14ac:dyDescent="0.25">
      <c r="A5143" s="8"/>
    </row>
    <row r="5144" spans="1:1" ht="13.8" x14ac:dyDescent="0.25">
      <c r="A5144" s="8"/>
    </row>
    <row r="5145" spans="1:1" ht="13.8" x14ac:dyDescent="0.25">
      <c r="A5145" s="8"/>
    </row>
    <row r="5146" spans="1:1" ht="13.8" x14ac:dyDescent="0.25">
      <c r="A5146" s="8"/>
    </row>
    <row r="5147" spans="1:1" ht="13.8" x14ac:dyDescent="0.25">
      <c r="A5147" s="8"/>
    </row>
    <row r="5148" spans="1:1" ht="13.8" x14ac:dyDescent="0.25">
      <c r="A5148" s="8"/>
    </row>
    <row r="5149" spans="1:1" ht="13.8" x14ac:dyDescent="0.25">
      <c r="A5149" s="8"/>
    </row>
    <row r="5150" spans="1:1" ht="13.8" x14ac:dyDescent="0.25">
      <c r="A5150" s="8"/>
    </row>
    <row r="5151" spans="1:1" ht="13.8" x14ac:dyDescent="0.25">
      <c r="A5151" s="8"/>
    </row>
    <row r="5152" spans="1:1" ht="13.8" x14ac:dyDescent="0.25">
      <c r="A5152" s="8"/>
    </row>
    <row r="5153" spans="1:1" ht="13.8" x14ac:dyDescent="0.25">
      <c r="A5153" s="8"/>
    </row>
    <row r="5154" spans="1:1" ht="13.8" x14ac:dyDescent="0.25">
      <c r="A5154" s="8"/>
    </row>
    <row r="5155" spans="1:1" ht="13.8" x14ac:dyDescent="0.25">
      <c r="A5155" s="8"/>
    </row>
    <row r="5156" spans="1:1" ht="13.8" x14ac:dyDescent="0.25">
      <c r="A5156" s="8"/>
    </row>
    <row r="5157" spans="1:1" ht="13.8" x14ac:dyDescent="0.25">
      <c r="A5157" s="8"/>
    </row>
    <row r="5158" spans="1:1" ht="13.8" x14ac:dyDescent="0.25">
      <c r="A5158" s="8"/>
    </row>
    <row r="5159" spans="1:1" ht="13.8" x14ac:dyDescent="0.25">
      <c r="A5159" s="8"/>
    </row>
    <row r="5160" spans="1:1" ht="13.8" x14ac:dyDescent="0.25">
      <c r="A5160" s="8"/>
    </row>
    <row r="5161" spans="1:1" ht="13.8" x14ac:dyDescent="0.25">
      <c r="A5161" s="8"/>
    </row>
    <row r="5162" spans="1:1" ht="13.8" x14ac:dyDescent="0.25">
      <c r="A5162" s="8"/>
    </row>
    <row r="5163" spans="1:1" ht="13.8" x14ac:dyDescent="0.25">
      <c r="A5163" s="8"/>
    </row>
    <row r="5164" spans="1:1" ht="13.8" x14ac:dyDescent="0.25">
      <c r="A5164" s="8"/>
    </row>
    <row r="5165" spans="1:1" ht="13.8" x14ac:dyDescent="0.25">
      <c r="A5165" s="8"/>
    </row>
    <row r="5166" spans="1:1" ht="13.8" x14ac:dyDescent="0.25">
      <c r="A5166" s="8"/>
    </row>
    <row r="5167" spans="1:1" ht="13.8" x14ac:dyDescent="0.25">
      <c r="A5167" s="8"/>
    </row>
    <row r="5168" spans="1:1" ht="13.8" x14ac:dyDescent="0.25">
      <c r="A5168" s="8"/>
    </row>
    <row r="5169" spans="1:1" ht="13.8" x14ac:dyDescent="0.25">
      <c r="A5169" s="8"/>
    </row>
    <row r="5170" spans="1:1" ht="13.8" x14ac:dyDescent="0.25">
      <c r="A5170" s="8"/>
    </row>
    <row r="5171" spans="1:1" ht="13.8" x14ac:dyDescent="0.25">
      <c r="A5171" s="8"/>
    </row>
    <row r="5172" spans="1:1" ht="13.8" x14ac:dyDescent="0.25">
      <c r="A5172" s="8"/>
    </row>
    <row r="5173" spans="1:1" ht="13.8" x14ac:dyDescent="0.25">
      <c r="A5173" s="8"/>
    </row>
    <row r="5174" spans="1:1" ht="13.8" x14ac:dyDescent="0.25">
      <c r="A5174" s="8"/>
    </row>
    <row r="5175" spans="1:1" ht="13.8" x14ac:dyDescent="0.25">
      <c r="A5175" s="8"/>
    </row>
    <row r="5176" spans="1:1" ht="13.8" x14ac:dyDescent="0.25">
      <c r="A5176" s="8"/>
    </row>
    <row r="5177" spans="1:1" ht="13.8" x14ac:dyDescent="0.25">
      <c r="A5177" s="8"/>
    </row>
    <row r="5178" spans="1:1" ht="13.8" x14ac:dyDescent="0.25">
      <c r="A5178" s="8"/>
    </row>
    <row r="5179" spans="1:1" ht="13.8" x14ac:dyDescent="0.25">
      <c r="A5179" s="8"/>
    </row>
    <row r="5180" spans="1:1" ht="13.8" x14ac:dyDescent="0.25">
      <c r="A5180" s="8"/>
    </row>
    <row r="5181" spans="1:1" ht="13.8" x14ac:dyDescent="0.25">
      <c r="A5181" s="8"/>
    </row>
    <row r="5182" spans="1:1" ht="13.8" x14ac:dyDescent="0.25">
      <c r="A5182" s="8"/>
    </row>
    <row r="5183" spans="1:1" ht="13.8" x14ac:dyDescent="0.25">
      <c r="A5183" s="8"/>
    </row>
    <row r="5184" spans="1:1" ht="13.8" x14ac:dyDescent="0.25">
      <c r="A5184" s="8"/>
    </row>
    <row r="5185" spans="1:1" ht="13.8" x14ac:dyDescent="0.25">
      <c r="A5185" s="8"/>
    </row>
    <row r="5186" spans="1:1" ht="13.8" x14ac:dyDescent="0.25">
      <c r="A5186" s="8"/>
    </row>
    <row r="5187" spans="1:1" ht="13.8" x14ac:dyDescent="0.25">
      <c r="A5187" s="8"/>
    </row>
    <row r="5188" spans="1:1" ht="13.8" x14ac:dyDescent="0.25">
      <c r="A5188" s="8"/>
    </row>
    <row r="5189" spans="1:1" ht="13.8" x14ac:dyDescent="0.25">
      <c r="A5189" s="8"/>
    </row>
    <row r="5190" spans="1:1" ht="13.8" x14ac:dyDescent="0.25">
      <c r="A5190" s="8"/>
    </row>
    <row r="5191" spans="1:1" ht="13.8" x14ac:dyDescent="0.25">
      <c r="A5191" s="8"/>
    </row>
    <row r="5192" spans="1:1" ht="13.8" x14ac:dyDescent="0.25">
      <c r="A5192" s="8"/>
    </row>
    <row r="5193" spans="1:1" ht="13.8" x14ac:dyDescent="0.25">
      <c r="A5193" s="8"/>
    </row>
    <row r="5194" spans="1:1" ht="13.8" x14ac:dyDescent="0.25">
      <c r="A5194" s="8"/>
    </row>
    <row r="5195" spans="1:1" ht="13.8" x14ac:dyDescent="0.25">
      <c r="A5195" s="8"/>
    </row>
    <row r="5196" spans="1:1" ht="13.8" x14ac:dyDescent="0.25">
      <c r="A5196" s="8"/>
    </row>
    <row r="5197" spans="1:1" ht="13.8" x14ac:dyDescent="0.25">
      <c r="A5197" s="8"/>
    </row>
    <row r="5198" spans="1:1" ht="13.8" x14ac:dyDescent="0.25">
      <c r="A5198" s="8"/>
    </row>
    <row r="5199" spans="1:1" ht="13.8" x14ac:dyDescent="0.25">
      <c r="A5199" s="8"/>
    </row>
    <row r="5200" spans="1:1" ht="13.8" x14ac:dyDescent="0.25">
      <c r="A5200" s="8"/>
    </row>
    <row r="5201" spans="1:1" ht="13.8" x14ac:dyDescent="0.25">
      <c r="A5201" s="8"/>
    </row>
    <row r="5202" spans="1:1" ht="13.8" x14ac:dyDescent="0.25">
      <c r="A5202" s="8"/>
    </row>
    <row r="5203" spans="1:1" ht="13.8" x14ac:dyDescent="0.25">
      <c r="A5203" s="8"/>
    </row>
    <row r="5204" spans="1:1" ht="13.8" x14ac:dyDescent="0.25">
      <c r="A5204" s="8"/>
    </row>
    <row r="5205" spans="1:1" ht="13.8" x14ac:dyDescent="0.25">
      <c r="A5205" s="8"/>
    </row>
    <row r="5206" spans="1:1" ht="13.8" x14ac:dyDescent="0.25">
      <c r="A5206" s="8"/>
    </row>
    <row r="5207" spans="1:1" ht="13.8" x14ac:dyDescent="0.25">
      <c r="A5207" s="8"/>
    </row>
    <row r="5208" spans="1:1" ht="13.8" x14ac:dyDescent="0.25">
      <c r="A5208" s="8"/>
    </row>
    <row r="5209" spans="1:1" ht="13.8" x14ac:dyDescent="0.25">
      <c r="A5209" s="8"/>
    </row>
    <row r="5210" spans="1:1" ht="13.8" x14ac:dyDescent="0.25">
      <c r="A5210" s="8"/>
    </row>
    <row r="5211" spans="1:1" ht="13.8" x14ac:dyDescent="0.25">
      <c r="A5211" s="8"/>
    </row>
    <row r="5212" spans="1:1" ht="13.8" x14ac:dyDescent="0.25">
      <c r="A5212" s="8"/>
    </row>
    <row r="5213" spans="1:1" ht="13.8" x14ac:dyDescent="0.25">
      <c r="A5213" s="8"/>
    </row>
    <row r="5214" spans="1:1" ht="13.8" x14ac:dyDescent="0.25">
      <c r="A5214" s="8"/>
    </row>
    <row r="5215" spans="1:1" ht="13.8" x14ac:dyDescent="0.25">
      <c r="A5215" s="8"/>
    </row>
    <row r="5216" spans="1:1" ht="13.8" x14ac:dyDescent="0.25">
      <c r="A5216" s="8"/>
    </row>
    <row r="5217" spans="1:1" ht="13.8" x14ac:dyDescent="0.25">
      <c r="A5217" s="8"/>
    </row>
    <row r="5218" spans="1:1" ht="13.8" x14ac:dyDescent="0.25">
      <c r="A5218" s="8"/>
    </row>
    <row r="5219" spans="1:1" ht="13.8" x14ac:dyDescent="0.25">
      <c r="A5219" s="8"/>
    </row>
    <row r="5220" spans="1:1" ht="13.8" x14ac:dyDescent="0.25">
      <c r="A5220" s="8"/>
    </row>
    <row r="5221" spans="1:1" ht="13.8" x14ac:dyDescent="0.25">
      <c r="A5221" s="8"/>
    </row>
    <row r="5222" spans="1:1" ht="13.8" x14ac:dyDescent="0.25">
      <c r="A5222" s="8"/>
    </row>
    <row r="5223" spans="1:1" ht="13.8" x14ac:dyDescent="0.25">
      <c r="A5223" s="8"/>
    </row>
    <row r="5224" spans="1:1" ht="13.8" x14ac:dyDescent="0.25">
      <c r="A5224" s="8"/>
    </row>
    <row r="5225" spans="1:1" ht="13.8" x14ac:dyDescent="0.25">
      <c r="A5225" s="8"/>
    </row>
    <row r="5226" spans="1:1" ht="13.8" x14ac:dyDescent="0.25">
      <c r="A5226" s="8"/>
    </row>
    <row r="5227" spans="1:1" ht="13.8" x14ac:dyDescent="0.25">
      <c r="A5227" s="8"/>
    </row>
    <row r="5228" spans="1:1" ht="13.8" x14ac:dyDescent="0.25">
      <c r="A5228" s="8"/>
    </row>
    <row r="5229" spans="1:1" ht="13.8" x14ac:dyDescent="0.25">
      <c r="A5229" s="8"/>
    </row>
    <row r="5230" spans="1:1" ht="13.8" x14ac:dyDescent="0.25">
      <c r="A5230" s="8"/>
    </row>
    <row r="5231" spans="1:1" ht="13.8" x14ac:dyDescent="0.25">
      <c r="A5231" s="8"/>
    </row>
    <row r="5232" spans="1:1" ht="13.8" x14ac:dyDescent="0.25">
      <c r="A5232" s="8"/>
    </row>
    <row r="5233" spans="1:1" ht="13.8" x14ac:dyDescent="0.25">
      <c r="A5233" s="8"/>
    </row>
    <row r="5234" spans="1:1" ht="13.8" x14ac:dyDescent="0.25">
      <c r="A5234" s="8"/>
    </row>
    <row r="5235" spans="1:1" ht="13.8" x14ac:dyDescent="0.25">
      <c r="A5235" s="8"/>
    </row>
    <row r="5236" spans="1:1" ht="13.8" x14ac:dyDescent="0.25">
      <c r="A5236" s="8"/>
    </row>
    <row r="5237" spans="1:1" ht="13.8" x14ac:dyDescent="0.25">
      <c r="A5237" s="8"/>
    </row>
    <row r="5238" spans="1:1" ht="13.8" x14ac:dyDescent="0.25">
      <c r="A5238" s="8"/>
    </row>
    <row r="5239" spans="1:1" ht="13.8" x14ac:dyDescent="0.25">
      <c r="A5239" s="8"/>
    </row>
    <row r="5240" spans="1:1" ht="13.8" x14ac:dyDescent="0.25">
      <c r="A5240" s="8"/>
    </row>
    <row r="5241" spans="1:1" ht="13.8" x14ac:dyDescent="0.25">
      <c r="A5241" s="8"/>
    </row>
    <row r="5242" spans="1:1" ht="13.8" x14ac:dyDescent="0.25">
      <c r="A5242" s="8"/>
    </row>
    <row r="5243" spans="1:1" ht="13.8" x14ac:dyDescent="0.25">
      <c r="A5243" s="8"/>
    </row>
    <row r="5244" spans="1:1" ht="13.8" x14ac:dyDescent="0.25">
      <c r="A5244" s="8"/>
    </row>
    <row r="5245" spans="1:1" ht="13.8" x14ac:dyDescent="0.25">
      <c r="A5245" s="8"/>
    </row>
    <row r="5246" spans="1:1" ht="13.8" x14ac:dyDescent="0.25">
      <c r="A5246" s="8"/>
    </row>
    <row r="5247" spans="1:1" ht="13.8" x14ac:dyDescent="0.25">
      <c r="A5247" s="8"/>
    </row>
    <row r="5248" spans="1:1" ht="13.8" x14ac:dyDescent="0.25">
      <c r="A5248" s="8"/>
    </row>
    <row r="5249" spans="1:1" ht="13.8" x14ac:dyDescent="0.25">
      <c r="A5249" s="8"/>
    </row>
    <row r="5250" spans="1:1" ht="13.8" x14ac:dyDescent="0.25">
      <c r="A5250" s="8"/>
    </row>
    <row r="5251" spans="1:1" ht="13.8" x14ac:dyDescent="0.25">
      <c r="A5251" s="8"/>
    </row>
    <row r="5252" spans="1:1" ht="13.8" x14ac:dyDescent="0.25">
      <c r="A5252" s="8"/>
    </row>
    <row r="5253" spans="1:1" ht="13.8" x14ac:dyDescent="0.25">
      <c r="A5253" s="8"/>
    </row>
    <row r="5254" spans="1:1" ht="13.8" x14ac:dyDescent="0.25">
      <c r="A5254" s="8"/>
    </row>
    <row r="5255" spans="1:1" ht="13.8" x14ac:dyDescent="0.25">
      <c r="A5255" s="8"/>
    </row>
    <row r="5256" spans="1:1" ht="13.8" x14ac:dyDescent="0.25">
      <c r="A5256" s="8"/>
    </row>
    <row r="5257" spans="1:1" ht="13.8" x14ac:dyDescent="0.25">
      <c r="A5257" s="8"/>
    </row>
    <row r="5258" spans="1:1" ht="13.8" x14ac:dyDescent="0.25">
      <c r="A5258" s="8"/>
    </row>
    <row r="5259" spans="1:1" ht="13.8" x14ac:dyDescent="0.25">
      <c r="A5259" s="8"/>
    </row>
    <row r="5260" spans="1:1" ht="13.8" x14ac:dyDescent="0.25">
      <c r="A5260" s="8"/>
    </row>
    <row r="5261" spans="1:1" ht="13.8" x14ac:dyDescent="0.25">
      <c r="A5261" s="8"/>
    </row>
    <row r="5262" spans="1:1" ht="13.8" x14ac:dyDescent="0.25">
      <c r="A5262" s="8"/>
    </row>
    <row r="5263" spans="1:1" ht="13.8" x14ac:dyDescent="0.25">
      <c r="A5263" s="8"/>
    </row>
    <row r="5264" spans="1:1" ht="13.8" x14ac:dyDescent="0.25">
      <c r="A5264" s="8"/>
    </row>
    <row r="5265" spans="1:1" ht="13.8" x14ac:dyDescent="0.25">
      <c r="A5265" s="8"/>
    </row>
    <row r="5266" spans="1:1" ht="13.8" x14ac:dyDescent="0.25">
      <c r="A5266" s="8"/>
    </row>
    <row r="5267" spans="1:1" ht="13.8" x14ac:dyDescent="0.25">
      <c r="A5267" s="8"/>
    </row>
    <row r="5268" spans="1:1" ht="13.8" x14ac:dyDescent="0.25">
      <c r="A5268" s="8"/>
    </row>
    <row r="5269" spans="1:1" ht="13.8" x14ac:dyDescent="0.25">
      <c r="A5269" s="8"/>
    </row>
    <row r="5270" spans="1:1" ht="13.8" x14ac:dyDescent="0.25">
      <c r="A5270" s="8"/>
    </row>
    <row r="5271" spans="1:1" ht="13.8" x14ac:dyDescent="0.25">
      <c r="A5271" s="8"/>
    </row>
    <row r="5272" spans="1:1" ht="13.8" x14ac:dyDescent="0.25">
      <c r="A5272" s="8"/>
    </row>
    <row r="5273" spans="1:1" ht="13.8" x14ac:dyDescent="0.25">
      <c r="A5273" s="8"/>
    </row>
    <row r="5274" spans="1:1" ht="13.8" x14ac:dyDescent="0.25">
      <c r="A5274" s="8"/>
    </row>
    <row r="5275" spans="1:1" ht="13.8" x14ac:dyDescent="0.25">
      <c r="A5275" s="8"/>
    </row>
    <row r="5276" spans="1:1" ht="13.8" x14ac:dyDescent="0.25">
      <c r="A5276" s="8"/>
    </row>
    <row r="5277" spans="1:1" ht="13.8" x14ac:dyDescent="0.25">
      <c r="A5277" s="8"/>
    </row>
    <row r="5278" spans="1:1" ht="13.8" x14ac:dyDescent="0.25">
      <c r="A5278" s="8"/>
    </row>
    <row r="5279" spans="1:1" ht="13.8" x14ac:dyDescent="0.25">
      <c r="A5279" s="8"/>
    </row>
    <row r="5280" spans="1:1" ht="13.8" x14ac:dyDescent="0.25">
      <c r="A5280" s="8"/>
    </row>
    <row r="5281" spans="1:1" ht="13.8" x14ac:dyDescent="0.25">
      <c r="A5281" s="8"/>
    </row>
    <row r="5282" spans="1:1" ht="13.8" x14ac:dyDescent="0.25">
      <c r="A5282" s="8"/>
    </row>
    <row r="5283" spans="1:1" ht="13.8" x14ac:dyDescent="0.25">
      <c r="A5283" s="8"/>
    </row>
    <row r="5284" spans="1:1" ht="13.8" x14ac:dyDescent="0.25">
      <c r="A5284" s="8"/>
    </row>
    <row r="5285" spans="1:1" ht="13.8" x14ac:dyDescent="0.25">
      <c r="A5285" s="8"/>
    </row>
    <row r="5286" spans="1:1" ht="13.8" x14ac:dyDescent="0.25">
      <c r="A5286" s="8"/>
    </row>
    <row r="5287" spans="1:1" ht="13.8" x14ac:dyDescent="0.25">
      <c r="A5287" s="8"/>
    </row>
    <row r="5288" spans="1:1" ht="13.8" x14ac:dyDescent="0.25">
      <c r="A5288" s="8"/>
    </row>
    <row r="5289" spans="1:1" ht="13.8" x14ac:dyDescent="0.25">
      <c r="A5289" s="8"/>
    </row>
    <row r="5290" spans="1:1" ht="13.8" x14ac:dyDescent="0.25">
      <c r="A5290" s="8"/>
    </row>
    <row r="5291" spans="1:1" ht="13.8" x14ac:dyDescent="0.25">
      <c r="A5291" s="8"/>
    </row>
    <row r="5292" spans="1:1" ht="13.8" x14ac:dyDescent="0.25">
      <c r="A5292" s="8"/>
    </row>
    <row r="5293" spans="1:1" ht="13.8" x14ac:dyDescent="0.25">
      <c r="A5293" s="8"/>
    </row>
    <row r="5294" spans="1:1" ht="13.8" x14ac:dyDescent="0.25">
      <c r="A5294" s="8"/>
    </row>
    <row r="5295" spans="1:1" ht="13.8" x14ac:dyDescent="0.25">
      <c r="A5295" s="8"/>
    </row>
    <row r="5296" spans="1:1" ht="13.8" x14ac:dyDescent="0.25">
      <c r="A5296" s="8"/>
    </row>
    <row r="5297" spans="1:1" ht="13.8" x14ac:dyDescent="0.25">
      <c r="A5297" s="8"/>
    </row>
    <row r="5298" spans="1:1" ht="13.8" x14ac:dyDescent="0.25">
      <c r="A5298" s="8"/>
    </row>
    <row r="5299" spans="1:1" ht="13.8" x14ac:dyDescent="0.25">
      <c r="A5299" s="8"/>
    </row>
    <row r="5300" spans="1:1" ht="13.8" x14ac:dyDescent="0.25">
      <c r="A5300" s="8"/>
    </row>
    <row r="5301" spans="1:1" ht="13.8" x14ac:dyDescent="0.25">
      <c r="A5301" s="8"/>
    </row>
    <row r="5302" spans="1:1" ht="13.8" x14ac:dyDescent="0.25">
      <c r="A5302" s="8"/>
    </row>
    <row r="5303" spans="1:1" ht="13.8" x14ac:dyDescent="0.25">
      <c r="A5303" s="8"/>
    </row>
    <row r="5304" spans="1:1" ht="13.8" x14ac:dyDescent="0.25">
      <c r="A5304" s="8"/>
    </row>
    <row r="5305" spans="1:1" ht="13.8" x14ac:dyDescent="0.25">
      <c r="A5305" s="8"/>
    </row>
    <row r="5306" spans="1:1" ht="13.8" x14ac:dyDescent="0.25">
      <c r="A5306" s="8"/>
    </row>
    <row r="5307" spans="1:1" ht="13.8" x14ac:dyDescent="0.25">
      <c r="A5307" s="8"/>
    </row>
    <row r="5308" spans="1:1" ht="13.8" x14ac:dyDescent="0.25">
      <c r="A5308" s="8"/>
    </row>
    <row r="5309" spans="1:1" ht="13.8" x14ac:dyDescent="0.25">
      <c r="A5309" s="8"/>
    </row>
    <row r="5310" spans="1:1" ht="13.8" x14ac:dyDescent="0.25">
      <c r="A5310" s="8"/>
    </row>
    <row r="5311" spans="1:1" ht="13.8" x14ac:dyDescent="0.25">
      <c r="A5311" s="8"/>
    </row>
    <row r="5312" spans="1:1" ht="13.8" x14ac:dyDescent="0.25">
      <c r="A5312" s="8"/>
    </row>
    <row r="5313" spans="1:1" ht="13.8" x14ac:dyDescent="0.25">
      <c r="A5313" s="8"/>
    </row>
    <row r="5314" spans="1:1" ht="13.8" x14ac:dyDescent="0.25">
      <c r="A5314" s="8"/>
    </row>
    <row r="5315" spans="1:1" ht="13.8" x14ac:dyDescent="0.25">
      <c r="A5315" s="8"/>
    </row>
    <row r="5316" spans="1:1" ht="13.8" x14ac:dyDescent="0.25">
      <c r="A5316" s="8"/>
    </row>
    <row r="5317" spans="1:1" ht="13.8" x14ac:dyDescent="0.25">
      <c r="A5317" s="8"/>
    </row>
    <row r="5318" spans="1:1" ht="13.8" x14ac:dyDescent="0.25">
      <c r="A5318" s="8"/>
    </row>
    <row r="5319" spans="1:1" ht="13.8" x14ac:dyDescent="0.25">
      <c r="A5319" s="8"/>
    </row>
    <row r="5320" spans="1:1" ht="13.8" x14ac:dyDescent="0.25">
      <c r="A5320" s="8"/>
    </row>
    <row r="5321" spans="1:1" ht="13.8" x14ac:dyDescent="0.25">
      <c r="A5321" s="8"/>
    </row>
    <row r="5322" spans="1:1" ht="13.8" x14ac:dyDescent="0.25">
      <c r="A5322" s="8"/>
    </row>
    <row r="5323" spans="1:1" ht="13.8" x14ac:dyDescent="0.25">
      <c r="A5323" s="8"/>
    </row>
    <row r="5324" spans="1:1" ht="13.8" x14ac:dyDescent="0.25">
      <c r="A5324" s="8"/>
    </row>
    <row r="5325" spans="1:1" ht="13.8" x14ac:dyDescent="0.25">
      <c r="A5325" s="8"/>
    </row>
    <row r="5326" spans="1:1" ht="13.8" x14ac:dyDescent="0.25">
      <c r="A5326" s="8"/>
    </row>
    <row r="5327" spans="1:1" ht="13.8" x14ac:dyDescent="0.25">
      <c r="A5327" s="8"/>
    </row>
    <row r="5328" spans="1:1" ht="13.8" x14ac:dyDescent="0.25">
      <c r="A5328" s="8"/>
    </row>
    <row r="5329" spans="1:1" ht="13.8" x14ac:dyDescent="0.25">
      <c r="A5329" s="8"/>
    </row>
    <row r="5330" spans="1:1" ht="13.8" x14ac:dyDescent="0.25">
      <c r="A5330" s="8"/>
    </row>
    <row r="5331" spans="1:1" ht="13.8" x14ac:dyDescent="0.25">
      <c r="A5331" s="8"/>
    </row>
    <row r="5332" spans="1:1" ht="13.8" x14ac:dyDescent="0.25">
      <c r="A5332" s="8"/>
    </row>
    <row r="5333" spans="1:1" ht="13.8" x14ac:dyDescent="0.25">
      <c r="A5333" s="8"/>
    </row>
    <row r="5334" spans="1:1" ht="13.8" x14ac:dyDescent="0.25">
      <c r="A5334" s="8"/>
    </row>
    <row r="5335" spans="1:1" ht="13.8" x14ac:dyDescent="0.25">
      <c r="A5335" s="8"/>
    </row>
    <row r="5336" spans="1:1" ht="13.8" x14ac:dyDescent="0.25">
      <c r="A5336" s="8"/>
    </row>
    <row r="5337" spans="1:1" ht="13.8" x14ac:dyDescent="0.25">
      <c r="A5337" s="8"/>
    </row>
    <row r="5338" spans="1:1" ht="13.8" x14ac:dyDescent="0.25">
      <c r="A5338" s="8"/>
    </row>
    <row r="5339" spans="1:1" ht="13.8" x14ac:dyDescent="0.25">
      <c r="A5339" s="8"/>
    </row>
    <row r="5340" spans="1:1" ht="13.8" x14ac:dyDescent="0.25">
      <c r="A5340" s="8"/>
    </row>
    <row r="5341" spans="1:1" ht="13.8" x14ac:dyDescent="0.25">
      <c r="A5341" s="8"/>
    </row>
    <row r="5342" spans="1:1" ht="13.8" x14ac:dyDescent="0.25">
      <c r="A5342" s="8"/>
    </row>
    <row r="5343" spans="1:1" ht="13.8" x14ac:dyDescent="0.25">
      <c r="A5343" s="8"/>
    </row>
    <row r="5344" spans="1:1" ht="13.8" x14ac:dyDescent="0.25">
      <c r="A5344" s="8"/>
    </row>
    <row r="5345" spans="1:1" ht="13.8" x14ac:dyDescent="0.25">
      <c r="A5345" s="8"/>
    </row>
    <row r="5346" spans="1:1" ht="13.8" x14ac:dyDescent="0.25">
      <c r="A5346" s="8"/>
    </row>
    <row r="5347" spans="1:1" ht="13.8" x14ac:dyDescent="0.25">
      <c r="A5347" s="8"/>
    </row>
    <row r="5348" spans="1:1" ht="13.8" x14ac:dyDescent="0.25">
      <c r="A5348" s="8"/>
    </row>
    <row r="5349" spans="1:1" ht="13.8" x14ac:dyDescent="0.25">
      <c r="A5349" s="8"/>
    </row>
    <row r="5350" spans="1:1" ht="13.8" x14ac:dyDescent="0.25">
      <c r="A5350" s="8"/>
    </row>
    <row r="5351" spans="1:1" ht="13.8" x14ac:dyDescent="0.25">
      <c r="A5351" s="8"/>
    </row>
    <row r="5352" spans="1:1" ht="13.8" x14ac:dyDescent="0.25">
      <c r="A5352" s="8"/>
    </row>
    <row r="5353" spans="1:1" ht="13.8" x14ac:dyDescent="0.25">
      <c r="A5353" s="8"/>
    </row>
    <row r="5354" spans="1:1" ht="13.8" x14ac:dyDescent="0.25">
      <c r="A5354" s="8"/>
    </row>
    <row r="5355" spans="1:1" ht="13.8" x14ac:dyDescent="0.25">
      <c r="A5355" s="8"/>
    </row>
    <row r="5356" spans="1:1" ht="13.8" x14ac:dyDescent="0.25">
      <c r="A5356" s="8"/>
    </row>
    <row r="5357" spans="1:1" ht="13.8" x14ac:dyDescent="0.25">
      <c r="A5357" s="8"/>
    </row>
    <row r="5358" spans="1:1" ht="13.8" x14ac:dyDescent="0.25">
      <c r="A5358" s="8"/>
    </row>
    <row r="5359" spans="1:1" ht="13.8" x14ac:dyDescent="0.25">
      <c r="A5359" s="8"/>
    </row>
    <row r="5360" spans="1:1" ht="13.8" x14ac:dyDescent="0.25">
      <c r="A5360" s="8"/>
    </row>
    <row r="5361" spans="1:1" ht="13.8" x14ac:dyDescent="0.25">
      <c r="A5361" s="8"/>
    </row>
    <row r="5362" spans="1:1" ht="13.8" x14ac:dyDescent="0.25">
      <c r="A5362" s="8"/>
    </row>
    <row r="5363" spans="1:1" ht="13.8" x14ac:dyDescent="0.25">
      <c r="A5363" s="8"/>
    </row>
    <row r="5364" spans="1:1" ht="13.8" x14ac:dyDescent="0.25">
      <c r="A5364" s="8"/>
    </row>
    <row r="5365" spans="1:1" ht="13.8" x14ac:dyDescent="0.25">
      <c r="A5365" s="8"/>
    </row>
    <row r="5366" spans="1:1" ht="13.8" x14ac:dyDescent="0.25">
      <c r="A5366" s="8"/>
    </row>
    <row r="5367" spans="1:1" ht="13.8" x14ac:dyDescent="0.25">
      <c r="A5367" s="8"/>
    </row>
    <row r="5368" spans="1:1" ht="13.8" x14ac:dyDescent="0.25">
      <c r="A5368" s="8"/>
    </row>
    <row r="5369" spans="1:1" ht="13.8" x14ac:dyDescent="0.25">
      <c r="A5369" s="8"/>
    </row>
    <row r="5370" spans="1:1" ht="13.8" x14ac:dyDescent="0.25">
      <c r="A5370" s="8"/>
    </row>
    <row r="5371" spans="1:1" ht="13.8" x14ac:dyDescent="0.25">
      <c r="A5371" s="8"/>
    </row>
    <row r="5372" spans="1:1" ht="13.8" x14ac:dyDescent="0.25">
      <c r="A5372" s="8"/>
    </row>
    <row r="5373" spans="1:1" ht="13.8" x14ac:dyDescent="0.25">
      <c r="A5373" s="8"/>
    </row>
    <row r="5374" spans="1:1" ht="13.8" x14ac:dyDescent="0.25">
      <c r="A5374" s="8"/>
    </row>
    <row r="5375" spans="1:1" ht="13.8" x14ac:dyDescent="0.25">
      <c r="A5375" s="8"/>
    </row>
    <row r="5376" spans="1:1" ht="13.8" x14ac:dyDescent="0.25">
      <c r="A5376" s="8"/>
    </row>
    <row r="5377" spans="1:1" ht="13.8" x14ac:dyDescent="0.25">
      <c r="A5377" s="8"/>
    </row>
    <row r="5378" spans="1:1" ht="13.8" x14ac:dyDescent="0.25">
      <c r="A5378" s="8"/>
    </row>
    <row r="5379" spans="1:1" ht="13.8" x14ac:dyDescent="0.25">
      <c r="A5379" s="8"/>
    </row>
    <row r="5380" spans="1:1" ht="13.8" x14ac:dyDescent="0.25">
      <c r="A5380" s="8"/>
    </row>
    <row r="5381" spans="1:1" ht="13.8" x14ac:dyDescent="0.25">
      <c r="A5381" s="8"/>
    </row>
    <row r="5382" spans="1:1" ht="13.8" x14ac:dyDescent="0.25">
      <c r="A5382" s="8"/>
    </row>
    <row r="5383" spans="1:1" ht="13.8" x14ac:dyDescent="0.25">
      <c r="A5383" s="8"/>
    </row>
    <row r="5384" spans="1:1" ht="13.8" x14ac:dyDescent="0.25">
      <c r="A5384" s="8"/>
    </row>
    <row r="5385" spans="1:1" ht="13.8" x14ac:dyDescent="0.25">
      <c r="A5385" s="8"/>
    </row>
    <row r="5386" spans="1:1" ht="13.8" x14ac:dyDescent="0.25">
      <c r="A5386" s="8"/>
    </row>
    <row r="5387" spans="1:1" ht="13.8" x14ac:dyDescent="0.25">
      <c r="A5387" s="8"/>
    </row>
    <row r="5388" spans="1:1" ht="13.8" x14ac:dyDescent="0.25">
      <c r="A5388" s="8"/>
    </row>
    <row r="5389" spans="1:1" ht="13.8" x14ac:dyDescent="0.25">
      <c r="A5389" s="8"/>
    </row>
    <row r="5390" spans="1:1" ht="13.8" x14ac:dyDescent="0.25">
      <c r="A5390" s="8"/>
    </row>
    <row r="5391" spans="1:1" ht="13.8" x14ac:dyDescent="0.25">
      <c r="A5391" s="8"/>
    </row>
    <row r="5392" spans="1:1" ht="13.8" x14ac:dyDescent="0.25">
      <c r="A5392" s="8"/>
    </row>
    <row r="5393" spans="1:1" ht="13.8" x14ac:dyDescent="0.25">
      <c r="A5393" s="8"/>
    </row>
    <row r="5394" spans="1:1" ht="13.8" x14ac:dyDescent="0.25">
      <c r="A5394" s="8"/>
    </row>
    <row r="5395" spans="1:1" ht="13.8" x14ac:dyDescent="0.25">
      <c r="A5395" s="8"/>
    </row>
    <row r="5396" spans="1:1" ht="13.8" x14ac:dyDescent="0.25">
      <c r="A5396" s="8"/>
    </row>
    <row r="5397" spans="1:1" ht="13.8" x14ac:dyDescent="0.25">
      <c r="A5397" s="8"/>
    </row>
    <row r="5398" spans="1:1" ht="13.8" x14ac:dyDescent="0.25">
      <c r="A5398" s="8"/>
    </row>
    <row r="5399" spans="1:1" ht="13.8" x14ac:dyDescent="0.25">
      <c r="A5399" s="8"/>
    </row>
    <row r="5400" spans="1:1" ht="13.8" x14ac:dyDescent="0.25">
      <c r="A5400" s="8"/>
    </row>
    <row r="5401" spans="1:1" ht="13.8" x14ac:dyDescent="0.25">
      <c r="A5401" s="8"/>
    </row>
    <row r="5402" spans="1:1" ht="13.8" x14ac:dyDescent="0.25">
      <c r="A5402" s="8"/>
    </row>
    <row r="5403" spans="1:1" ht="13.8" x14ac:dyDescent="0.25">
      <c r="A5403" s="8"/>
    </row>
    <row r="5404" spans="1:1" ht="13.8" x14ac:dyDescent="0.25">
      <c r="A5404" s="8"/>
    </row>
    <row r="5405" spans="1:1" ht="13.8" x14ac:dyDescent="0.25">
      <c r="A5405" s="8"/>
    </row>
    <row r="5406" spans="1:1" ht="13.8" x14ac:dyDescent="0.25">
      <c r="A5406" s="8"/>
    </row>
    <row r="5407" spans="1:1" ht="13.8" x14ac:dyDescent="0.25">
      <c r="A5407" s="8"/>
    </row>
    <row r="5408" spans="1:1" ht="13.8" x14ac:dyDescent="0.25">
      <c r="A5408" s="8"/>
    </row>
    <row r="5409" spans="1:1" ht="13.8" x14ac:dyDescent="0.25">
      <c r="A5409" s="8"/>
    </row>
    <row r="5410" spans="1:1" ht="13.8" x14ac:dyDescent="0.25">
      <c r="A5410" s="8"/>
    </row>
    <row r="5411" spans="1:1" ht="13.8" x14ac:dyDescent="0.25">
      <c r="A5411" s="8"/>
    </row>
    <row r="5412" spans="1:1" ht="13.8" x14ac:dyDescent="0.25">
      <c r="A5412" s="8"/>
    </row>
    <row r="5413" spans="1:1" ht="13.8" x14ac:dyDescent="0.25">
      <c r="A5413" s="8"/>
    </row>
    <row r="5414" spans="1:1" ht="13.8" x14ac:dyDescent="0.25">
      <c r="A5414" s="8"/>
    </row>
    <row r="5415" spans="1:1" ht="13.8" x14ac:dyDescent="0.25">
      <c r="A5415" s="8"/>
    </row>
    <row r="5416" spans="1:1" ht="13.8" x14ac:dyDescent="0.25">
      <c r="A5416" s="8"/>
    </row>
    <row r="5417" spans="1:1" ht="13.8" x14ac:dyDescent="0.25">
      <c r="A5417" s="8"/>
    </row>
    <row r="5418" spans="1:1" ht="13.8" x14ac:dyDescent="0.25">
      <c r="A5418" s="8"/>
    </row>
    <row r="5419" spans="1:1" ht="13.8" x14ac:dyDescent="0.25">
      <c r="A5419" s="8"/>
    </row>
    <row r="5420" spans="1:1" ht="13.8" x14ac:dyDescent="0.25">
      <c r="A5420" s="8"/>
    </row>
    <row r="5421" spans="1:1" ht="13.8" x14ac:dyDescent="0.25">
      <c r="A5421" s="8"/>
    </row>
    <row r="5422" spans="1:1" ht="13.8" x14ac:dyDescent="0.25">
      <c r="A5422" s="8"/>
    </row>
    <row r="5423" spans="1:1" ht="13.8" x14ac:dyDescent="0.25">
      <c r="A5423" s="8"/>
    </row>
    <row r="5424" spans="1:1" ht="13.8" x14ac:dyDescent="0.25">
      <c r="A5424" s="8"/>
    </row>
    <row r="5425" spans="1:1" ht="13.8" x14ac:dyDescent="0.25">
      <c r="A5425" s="8"/>
    </row>
    <row r="5426" spans="1:1" ht="13.8" x14ac:dyDescent="0.25">
      <c r="A5426" s="8"/>
    </row>
    <row r="5427" spans="1:1" ht="13.8" x14ac:dyDescent="0.25">
      <c r="A5427" s="8"/>
    </row>
    <row r="5428" spans="1:1" ht="13.8" x14ac:dyDescent="0.25">
      <c r="A5428" s="8"/>
    </row>
    <row r="5429" spans="1:1" ht="13.8" x14ac:dyDescent="0.25">
      <c r="A5429" s="8"/>
    </row>
    <row r="5430" spans="1:1" ht="13.8" x14ac:dyDescent="0.25">
      <c r="A5430" s="8"/>
    </row>
    <row r="5431" spans="1:1" ht="13.8" x14ac:dyDescent="0.25">
      <c r="A5431" s="8"/>
    </row>
    <row r="5432" spans="1:1" ht="13.8" x14ac:dyDescent="0.25">
      <c r="A5432" s="8"/>
    </row>
    <row r="5433" spans="1:1" ht="13.8" x14ac:dyDescent="0.25">
      <c r="A5433" s="8"/>
    </row>
    <row r="5434" spans="1:1" ht="13.8" x14ac:dyDescent="0.25">
      <c r="A5434" s="8"/>
    </row>
    <row r="5435" spans="1:1" ht="13.8" x14ac:dyDescent="0.25">
      <c r="A5435" s="8"/>
    </row>
    <row r="5436" spans="1:1" ht="13.8" x14ac:dyDescent="0.25">
      <c r="A5436" s="8"/>
    </row>
    <row r="5437" spans="1:1" ht="13.8" x14ac:dyDescent="0.25">
      <c r="A5437" s="8"/>
    </row>
    <row r="5438" spans="1:1" ht="13.8" x14ac:dyDescent="0.25">
      <c r="A5438" s="8"/>
    </row>
    <row r="5439" spans="1:1" ht="13.8" x14ac:dyDescent="0.25">
      <c r="A5439" s="8"/>
    </row>
    <row r="5440" spans="1:1" ht="13.8" x14ac:dyDescent="0.25">
      <c r="A5440" s="8"/>
    </row>
    <row r="5441" spans="1:1" ht="13.8" x14ac:dyDescent="0.25">
      <c r="A5441" s="8"/>
    </row>
    <row r="5442" spans="1:1" ht="13.8" x14ac:dyDescent="0.25">
      <c r="A5442" s="8"/>
    </row>
    <row r="5443" spans="1:1" ht="13.8" x14ac:dyDescent="0.25">
      <c r="A5443" s="8"/>
    </row>
    <row r="5444" spans="1:1" ht="13.8" x14ac:dyDescent="0.25">
      <c r="A5444" s="8"/>
    </row>
    <row r="5445" spans="1:1" ht="13.8" x14ac:dyDescent="0.25">
      <c r="A5445" s="8"/>
    </row>
    <row r="5446" spans="1:1" ht="13.8" x14ac:dyDescent="0.25">
      <c r="A5446" s="8"/>
    </row>
    <row r="5447" spans="1:1" ht="13.8" x14ac:dyDescent="0.25">
      <c r="A5447" s="8"/>
    </row>
    <row r="5448" spans="1:1" ht="13.8" x14ac:dyDescent="0.25">
      <c r="A5448" s="8"/>
    </row>
    <row r="5449" spans="1:1" ht="13.8" x14ac:dyDescent="0.25">
      <c r="A5449" s="8"/>
    </row>
    <row r="5450" spans="1:1" ht="13.8" x14ac:dyDescent="0.25">
      <c r="A5450" s="8"/>
    </row>
    <row r="5451" spans="1:1" ht="13.8" x14ac:dyDescent="0.25">
      <c r="A5451" s="8"/>
    </row>
    <row r="5452" spans="1:1" ht="13.8" x14ac:dyDescent="0.25">
      <c r="A5452" s="8"/>
    </row>
    <row r="5453" spans="1:1" ht="13.8" x14ac:dyDescent="0.25">
      <c r="A5453" s="8"/>
    </row>
    <row r="5454" spans="1:1" ht="13.8" x14ac:dyDescent="0.25">
      <c r="A5454" s="8"/>
    </row>
    <row r="5455" spans="1:1" ht="13.8" x14ac:dyDescent="0.25">
      <c r="A5455" s="8"/>
    </row>
    <row r="5456" spans="1:1" ht="13.8" x14ac:dyDescent="0.25">
      <c r="A5456" s="8"/>
    </row>
    <row r="5457" spans="1:1" ht="13.8" x14ac:dyDescent="0.25">
      <c r="A5457" s="8"/>
    </row>
    <row r="5458" spans="1:1" ht="13.8" x14ac:dyDescent="0.25">
      <c r="A5458" s="8"/>
    </row>
    <row r="5459" spans="1:1" ht="13.8" x14ac:dyDescent="0.25">
      <c r="A5459" s="8"/>
    </row>
    <row r="5460" spans="1:1" ht="13.8" x14ac:dyDescent="0.25">
      <c r="A5460" s="8"/>
    </row>
    <row r="5461" spans="1:1" ht="13.8" x14ac:dyDescent="0.25">
      <c r="A5461" s="8"/>
    </row>
    <row r="5462" spans="1:1" ht="13.8" x14ac:dyDescent="0.25">
      <c r="A5462" s="8"/>
    </row>
    <row r="5463" spans="1:1" ht="13.8" x14ac:dyDescent="0.25">
      <c r="A5463" s="8"/>
    </row>
    <row r="5464" spans="1:1" ht="13.8" x14ac:dyDescent="0.25">
      <c r="A5464" s="8"/>
    </row>
    <row r="5465" spans="1:1" ht="13.8" x14ac:dyDescent="0.25">
      <c r="A5465" s="8"/>
    </row>
    <row r="5466" spans="1:1" ht="13.8" x14ac:dyDescent="0.25">
      <c r="A5466" s="8"/>
    </row>
    <row r="5467" spans="1:1" ht="13.8" x14ac:dyDescent="0.25">
      <c r="A5467" s="8"/>
    </row>
    <row r="5468" spans="1:1" ht="13.8" x14ac:dyDescent="0.25">
      <c r="A5468" s="8"/>
    </row>
    <row r="5469" spans="1:1" ht="13.8" x14ac:dyDescent="0.25">
      <c r="A5469" s="8"/>
    </row>
    <row r="5470" spans="1:1" ht="13.8" x14ac:dyDescent="0.25">
      <c r="A5470" s="8"/>
    </row>
    <row r="5471" spans="1:1" ht="13.8" x14ac:dyDescent="0.25">
      <c r="A5471" s="8"/>
    </row>
    <row r="5472" spans="1:1" ht="13.8" x14ac:dyDescent="0.25">
      <c r="A5472" s="8"/>
    </row>
    <row r="5473" spans="1:1" ht="13.8" x14ac:dyDescent="0.25">
      <c r="A5473" s="8"/>
    </row>
    <row r="5474" spans="1:1" ht="13.8" x14ac:dyDescent="0.25">
      <c r="A5474" s="8"/>
    </row>
    <row r="5475" spans="1:1" ht="13.8" x14ac:dyDescent="0.25">
      <c r="A5475" s="8"/>
    </row>
    <row r="5476" spans="1:1" ht="13.8" x14ac:dyDescent="0.25">
      <c r="A5476" s="8"/>
    </row>
    <row r="5477" spans="1:1" ht="13.8" x14ac:dyDescent="0.25">
      <c r="A5477" s="8"/>
    </row>
    <row r="5478" spans="1:1" ht="13.8" x14ac:dyDescent="0.25">
      <c r="A5478" s="8"/>
    </row>
    <row r="5479" spans="1:1" ht="13.8" x14ac:dyDescent="0.25">
      <c r="A5479" s="8"/>
    </row>
    <row r="5480" spans="1:1" ht="13.8" x14ac:dyDescent="0.25">
      <c r="A5480" s="8"/>
    </row>
    <row r="5481" spans="1:1" ht="13.8" x14ac:dyDescent="0.25">
      <c r="A5481" s="8"/>
    </row>
    <row r="5482" spans="1:1" ht="13.8" x14ac:dyDescent="0.25">
      <c r="A5482" s="8"/>
    </row>
    <row r="5483" spans="1:1" ht="13.8" x14ac:dyDescent="0.25">
      <c r="A5483" s="8"/>
    </row>
    <row r="5484" spans="1:1" ht="13.8" x14ac:dyDescent="0.25">
      <c r="A5484" s="8"/>
    </row>
    <row r="5485" spans="1:1" ht="13.8" x14ac:dyDescent="0.25">
      <c r="A5485" s="8"/>
    </row>
    <row r="5486" spans="1:1" ht="13.8" x14ac:dyDescent="0.25">
      <c r="A5486" s="8"/>
    </row>
    <row r="5487" spans="1:1" ht="13.8" x14ac:dyDescent="0.25">
      <c r="A5487" s="8"/>
    </row>
    <row r="5488" spans="1:1" ht="13.8" x14ac:dyDescent="0.25">
      <c r="A5488" s="8"/>
    </row>
    <row r="5489" spans="1:1" ht="13.8" x14ac:dyDescent="0.25">
      <c r="A5489" s="8"/>
    </row>
    <row r="5490" spans="1:1" ht="13.8" x14ac:dyDescent="0.25">
      <c r="A5490" s="8"/>
    </row>
    <row r="5491" spans="1:1" ht="13.8" x14ac:dyDescent="0.25">
      <c r="A5491" s="8"/>
    </row>
    <row r="5492" spans="1:1" ht="13.8" x14ac:dyDescent="0.25">
      <c r="A5492" s="8"/>
    </row>
    <row r="5493" spans="1:1" ht="13.8" x14ac:dyDescent="0.25">
      <c r="A5493" s="8"/>
    </row>
    <row r="5494" spans="1:1" ht="13.8" x14ac:dyDescent="0.25">
      <c r="A5494" s="8"/>
    </row>
    <row r="5495" spans="1:1" ht="13.8" x14ac:dyDescent="0.25">
      <c r="A5495" s="8"/>
    </row>
    <row r="5496" spans="1:1" ht="13.8" x14ac:dyDescent="0.25">
      <c r="A5496" s="8"/>
    </row>
    <row r="5497" spans="1:1" ht="13.8" x14ac:dyDescent="0.25">
      <c r="A5497" s="8"/>
    </row>
    <row r="5498" spans="1:1" ht="13.8" x14ac:dyDescent="0.25">
      <c r="A5498" s="8"/>
    </row>
    <row r="5499" spans="1:1" ht="13.8" x14ac:dyDescent="0.25">
      <c r="A5499" s="8"/>
    </row>
    <row r="5500" spans="1:1" ht="13.8" x14ac:dyDescent="0.25">
      <c r="A5500" s="8"/>
    </row>
    <row r="5501" spans="1:1" ht="13.8" x14ac:dyDescent="0.25">
      <c r="A5501" s="8"/>
    </row>
    <row r="5502" spans="1:1" ht="13.8" x14ac:dyDescent="0.25">
      <c r="A5502" s="8"/>
    </row>
    <row r="5503" spans="1:1" ht="13.8" x14ac:dyDescent="0.25">
      <c r="A5503" s="8"/>
    </row>
    <row r="5504" spans="1:1" ht="13.8" x14ac:dyDescent="0.25">
      <c r="A5504" s="8"/>
    </row>
    <row r="5505" spans="1:1" ht="13.8" x14ac:dyDescent="0.25">
      <c r="A5505" s="8"/>
    </row>
    <row r="5506" spans="1:1" ht="13.8" x14ac:dyDescent="0.25">
      <c r="A5506" s="8"/>
    </row>
    <row r="5507" spans="1:1" ht="13.8" x14ac:dyDescent="0.25">
      <c r="A5507" s="8"/>
    </row>
    <row r="5508" spans="1:1" ht="13.8" x14ac:dyDescent="0.25">
      <c r="A5508" s="8"/>
    </row>
    <row r="5509" spans="1:1" ht="13.8" x14ac:dyDescent="0.25">
      <c r="A5509" s="8"/>
    </row>
    <row r="5510" spans="1:1" ht="13.8" x14ac:dyDescent="0.25">
      <c r="A5510" s="8"/>
    </row>
    <row r="5511" spans="1:1" ht="13.8" x14ac:dyDescent="0.25">
      <c r="A5511" s="8"/>
    </row>
    <row r="5512" spans="1:1" ht="13.8" x14ac:dyDescent="0.25">
      <c r="A5512" s="8"/>
    </row>
    <row r="5513" spans="1:1" ht="13.8" x14ac:dyDescent="0.25">
      <c r="A5513" s="8"/>
    </row>
    <row r="5514" spans="1:1" ht="13.8" x14ac:dyDescent="0.25">
      <c r="A5514" s="8"/>
    </row>
    <row r="5515" spans="1:1" ht="13.8" x14ac:dyDescent="0.25">
      <c r="A5515" s="8"/>
    </row>
    <row r="5516" spans="1:1" ht="13.8" x14ac:dyDescent="0.25">
      <c r="A5516" s="8"/>
    </row>
    <row r="5517" spans="1:1" ht="13.8" x14ac:dyDescent="0.25">
      <c r="A5517" s="8"/>
    </row>
    <row r="5518" spans="1:1" ht="13.8" x14ac:dyDescent="0.25">
      <c r="A5518" s="8"/>
    </row>
    <row r="5519" spans="1:1" ht="13.8" x14ac:dyDescent="0.25">
      <c r="A5519" s="8"/>
    </row>
    <row r="5520" spans="1:1" ht="13.8" x14ac:dyDescent="0.25">
      <c r="A5520" s="8"/>
    </row>
    <row r="5521" spans="1:1" ht="13.8" x14ac:dyDescent="0.25">
      <c r="A5521" s="8"/>
    </row>
    <row r="5522" spans="1:1" ht="13.8" x14ac:dyDescent="0.25">
      <c r="A5522" s="8"/>
    </row>
    <row r="5523" spans="1:1" ht="13.8" x14ac:dyDescent="0.25">
      <c r="A5523" s="8"/>
    </row>
    <row r="5524" spans="1:1" ht="13.8" x14ac:dyDescent="0.25">
      <c r="A5524" s="8"/>
    </row>
    <row r="5525" spans="1:1" ht="13.8" x14ac:dyDescent="0.25">
      <c r="A5525" s="8"/>
    </row>
    <row r="5526" spans="1:1" ht="13.8" x14ac:dyDescent="0.25">
      <c r="A5526" s="8"/>
    </row>
    <row r="5527" spans="1:1" ht="13.8" x14ac:dyDescent="0.25">
      <c r="A5527" s="8"/>
    </row>
    <row r="5528" spans="1:1" ht="13.8" x14ac:dyDescent="0.25">
      <c r="A5528" s="8"/>
    </row>
    <row r="5529" spans="1:1" ht="13.8" x14ac:dyDescent="0.25">
      <c r="A5529" s="8"/>
    </row>
    <row r="5530" spans="1:1" ht="13.8" x14ac:dyDescent="0.25">
      <c r="A5530" s="8"/>
    </row>
    <row r="5531" spans="1:1" ht="13.8" x14ac:dyDescent="0.25">
      <c r="A5531" s="8"/>
    </row>
    <row r="5532" spans="1:1" ht="13.8" x14ac:dyDescent="0.25">
      <c r="A5532" s="8"/>
    </row>
    <row r="5533" spans="1:1" ht="13.8" x14ac:dyDescent="0.25">
      <c r="A5533" s="8"/>
    </row>
    <row r="5534" spans="1:1" ht="13.8" x14ac:dyDescent="0.25">
      <c r="A5534" s="8"/>
    </row>
    <row r="5535" spans="1:1" ht="13.8" x14ac:dyDescent="0.25">
      <c r="A5535" s="8"/>
    </row>
    <row r="5536" spans="1:1" ht="13.8" x14ac:dyDescent="0.25">
      <c r="A5536" s="8"/>
    </row>
    <row r="5537" spans="1:1" ht="13.8" x14ac:dyDescent="0.25">
      <c r="A5537" s="8"/>
    </row>
    <row r="5538" spans="1:1" ht="13.8" x14ac:dyDescent="0.25">
      <c r="A5538" s="8"/>
    </row>
    <row r="5539" spans="1:1" ht="13.8" x14ac:dyDescent="0.25">
      <c r="A5539" s="8"/>
    </row>
    <row r="5540" spans="1:1" ht="13.8" x14ac:dyDescent="0.25">
      <c r="A5540" s="8"/>
    </row>
    <row r="5541" spans="1:1" ht="13.8" x14ac:dyDescent="0.25">
      <c r="A5541" s="8"/>
    </row>
    <row r="5542" spans="1:1" ht="13.8" x14ac:dyDescent="0.25">
      <c r="A5542" s="8"/>
    </row>
    <row r="5543" spans="1:1" ht="13.8" x14ac:dyDescent="0.25">
      <c r="A5543" s="8"/>
    </row>
    <row r="5544" spans="1:1" ht="13.8" x14ac:dyDescent="0.25">
      <c r="A5544" s="8"/>
    </row>
    <row r="5545" spans="1:1" ht="13.8" x14ac:dyDescent="0.25">
      <c r="A5545" s="8"/>
    </row>
    <row r="5546" spans="1:1" ht="13.8" x14ac:dyDescent="0.25">
      <c r="A5546" s="8"/>
    </row>
    <row r="5547" spans="1:1" ht="13.8" x14ac:dyDescent="0.25">
      <c r="A5547" s="8"/>
    </row>
    <row r="5548" spans="1:1" ht="13.8" x14ac:dyDescent="0.25">
      <c r="A5548" s="8"/>
    </row>
    <row r="5549" spans="1:1" ht="13.8" x14ac:dyDescent="0.25">
      <c r="A5549" s="8"/>
    </row>
    <row r="5550" spans="1:1" ht="13.8" x14ac:dyDescent="0.25">
      <c r="A5550" s="8"/>
    </row>
    <row r="5551" spans="1:1" ht="13.8" x14ac:dyDescent="0.25">
      <c r="A5551" s="8"/>
    </row>
    <row r="5552" spans="1:1" ht="13.8" x14ac:dyDescent="0.25">
      <c r="A5552" s="8"/>
    </row>
    <row r="5553" spans="1:1" ht="13.8" x14ac:dyDescent="0.25">
      <c r="A5553" s="8"/>
    </row>
    <row r="5554" spans="1:1" ht="13.8" x14ac:dyDescent="0.25">
      <c r="A5554" s="8"/>
    </row>
    <row r="5555" spans="1:1" ht="13.8" x14ac:dyDescent="0.25">
      <c r="A5555" s="8"/>
    </row>
    <row r="5556" spans="1:1" ht="13.8" x14ac:dyDescent="0.25">
      <c r="A5556" s="8"/>
    </row>
    <row r="5557" spans="1:1" ht="13.8" x14ac:dyDescent="0.25">
      <c r="A5557" s="8"/>
    </row>
    <row r="5558" spans="1:1" ht="13.8" x14ac:dyDescent="0.25">
      <c r="A5558" s="8"/>
    </row>
    <row r="5559" spans="1:1" ht="13.8" x14ac:dyDescent="0.25">
      <c r="A5559" s="8"/>
    </row>
    <row r="5560" spans="1:1" ht="13.8" x14ac:dyDescent="0.25">
      <c r="A5560" s="8"/>
    </row>
    <row r="5561" spans="1:1" ht="13.8" x14ac:dyDescent="0.25">
      <c r="A5561" s="8"/>
    </row>
    <row r="5562" spans="1:1" ht="13.8" x14ac:dyDescent="0.25">
      <c r="A5562" s="8"/>
    </row>
    <row r="5563" spans="1:1" ht="13.8" x14ac:dyDescent="0.25">
      <c r="A5563" s="8"/>
    </row>
    <row r="5564" spans="1:1" ht="13.8" x14ac:dyDescent="0.25">
      <c r="A5564" s="8"/>
    </row>
    <row r="5565" spans="1:1" ht="13.8" x14ac:dyDescent="0.25">
      <c r="A5565" s="8"/>
    </row>
    <row r="5566" spans="1:1" ht="13.8" x14ac:dyDescent="0.25">
      <c r="A5566" s="8"/>
    </row>
    <row r="5567" spans="1:1" ht="13.8" x14ac:dyDescent="0.25">
      <c r="A5567" s="8"/>
    </row>
    <row r="5568" spans="1:1" ht="13.8" x14ac:dyDescent="0.25">
      <c r="A5568" s="8"/>
    </row>
    <row r="5569" spans="1:1" ht="13.8" x14ac:dyDescent="0.25">
      <c r="A5569" s="8"/>
    </row>
    <row r="5570" spans="1:1" ht="13.8" x14ac:dyDescent="0.25">
      <c r="A5570" s="8"/>
    </row>
    <row r="5571" spans="1:1" ht="13.8" x14ac:dyDescent="0.25">
      <c r="A5571" s="8"/>
    </row>
    <row r="5572" spans="1:1" ht="13.8" x14ac:dyDescent="0.25">
      <c r="A5572" s="8"/>
    </row>
    <row r="5573" spans="1:1" ht="13.8" x14ac:dyDescent="0.25">
      <c r="A5573" s="8"/>
    </row>
    <row r="5574" spans="1:1" ht="13.8" x14ac:dyDescent="0.25">
      <c r="A5574" s="8"/>
    </row>
    <row r="5575" spans="1:1" ht="13.8" x14ac:dyDescent="0.25">
      <c r="A5575" s="8"/>
    </row>
    <row r="5576" spans="1:1" ht="13.8" x14ac:dyDescent="0.25">
      <c r="A5576" s="8"/>
    </row>
    <row r="5577" spans="1:1" ht="13.8" x14ac:dyDescent="0.25">
      <c r="A5577" s="8"/>
    </row>
    <row r="5578" spans="1:1" ht="13.8" x14ac:dyDescent="0.25">
      <c r="A5578" s="8"/>
    </row>
    <row r="5579" spans="1:1" ht="13.8" x14ac:dyDescent="0.25">
      <c r="A5579" s="8"/>
    </row>
    <row r="5580" spans="1:1" ht="13.8" x14ac:dyDescent="0.25">
      <c r="A5580" s="8"/>
    </row>
    <row r="5581" spans="1:1" ht="13.8" x14ac:dyDescent="0.25">
      <c r="A5581" s="8"/>
    </row>
    <row r="5582" spans="1:1" ht="13.8" x14ac:dyDescent="0.25">
      <c r="A5582" s="8"/>
    </row>
    <row r="5583" spans="1:1" ht="13.8" x14ac:dyDescent="0.25">
      <c r="A5583" s="8"/>
    </row>
    <row r="5584" spans="1:1" ht="13.8" x14ac:dyDescent="0.25">
      <c r="A5584" s="8"/>
    </row>
    <row r="5585" spans="1:1" ht="13.8" x14ac:dyDescent="0.25">
      <c r="A5585" s="8"/>
    </row>
    <row r="5586" spans="1:1" ht="13.8" x14ac:dyDescent="0.25">
      <c r="A5586" s="8"/>
    </row>
    <row r="5587" spans="1:1" ht="13.8" x14ac:dyDescent="0.25">
      <c r="A5587" s="8"/>
    </row>
    <row r="5588" spans="1:1" ht="13.8" x14ac:dyDescent="0.25">
      <c r="A5588" s="8"/>
    </row>
    <row r="5589" spans="1:1" ht="13.8" x14ac:dyDescent="0.25">
      <c r="A5589" s="8"/>
    </row>
    <row r="5590" spans="1:1" ht="13.8" x14ac:dyDescent="0.25">
      <c r="A5590" s="8"/>
    </row>
    <row r="5591" spans="1:1" ht="13.8" x14ac:dyDescent="0.25">
      <c r="A5591" s="8"/>
    </row>
    <row r="5592" spans="1:1" ht="13.8" x14ac:dyDescent="0.25">
      <c r="A5592" s="8"/>
    </row>
    <row r="5593" spans="1:1" ht="13.8" x14ac:dyDescent="0.25">
      <c r="A5593" s="8"/>
    </row>
    <row r="5594" spans="1:1" ht="13.8" x14ac:dyDescent="0.25">
      <c r="A5594" s="8"/>
    </row>
    <row r="5595" spans="1:1" ht="13.8" x14ac:dyDescent="0.25">
      <c r="A5595" s="8"/>
    </row>
    <row r="5596" spans="1:1" ht="13.8" x14ac:dyDescent="0.25">
      <c r="A5596" s="8"/>
    </row>
    <row r="5597" spans="1:1" ht="13.8" x14ac:dyDescent="0.25">
      <c r="A5597" s="8"/>
    </row>
    <row r="5598" spans="1:1" ht="13.8" x14ac:dyDescent="0.25">
      <c r="A5598" s="8"/>
    </row>
    <row r="5599" spans="1:1" ht="13.8" x14ac:dyDescent="0.25">
      <c r="A5599" s="8"/>
    </row>
    <row r="5600" spans="1:1" ht="13.8" x14ac:dyDescent="0.25">
      <c r="A5600" s="8"/>
    </row>
    <row r="5601" spans="1:1" ht="13.8" x14ac:dyDescent="0.25">
      <c r="A5601" s="8"/>
    </row>
    <row r="5602" spans="1:1" ht="13.8" x14ac:dyDescent="0.25">
      <c r="A5602" s="8"/>
    </row>
    <row r="5603" spans="1:1" ht="13.8" x14ac:dyDescent="0.25">
      <c r="A5603" s="8"/>
    </row>
    <row r="5604" spans="1:1" ht="13.8" x14ac:dyDescent="0.25">
      <c r="A5604" s="8"/>
    </row>
    <row r="5605" spans="1:1" ht="13.8" x14ac:dyDescent="0.25">
      <c r="A5605" s="8"/>
    </row>
    <row r="5606" spans="1:1" ht="13.8" x14ac:dyDescent="0.25">
      <c r="A5606" s="8"/>
    </row>
    <row r="5607" spans="1:1" ht="13.8" x14ac:dyDescent="0.25">
      <c r="A5607" s="8"/>
    </row>
    <row r="5608" spans="1:1" ht="13.8" x14ac:dyDescent="0.25">
      <c r="A5608" s="8"/>
    </row>
    <row r="5609" spans="1:1" ht="13.8" x14ac:dyDescent="0.25">
      <c r="A5609" s="8"/>
    </row>
    <row r="5610" spans="1:1" ht="13.8" x14ac:dyDescent="0.25">
      <c r="A5610" s="8"/>
    </row>
    <row r="5611" spans="1:1" ht="13.8" x14ac:dyDescent="0.25">
      <c r="A5611" s="8"/>
    </row>
    <row r="5612" spans="1:1" ht="13.8" x14ac:dyDescent="0.25">
      <c r="A5612" s="8"/>
    </row>
    <row r="5613" spans="1:1" ht="13.8" x14ac:dyDescent="0.25">
      <c r="A5613" s="8"/>
    </row>
    <row r="5614" spans="1:1" ht="13.8" x14ac:dyDescent="0.25">
      <c r="A5614" s="8"/>
    </row>
    <row r="5615" spans="1:1" ht="13.8" x14ac:dyDescent="0.25">
      <c r="A5615" s="8"/>
    </row>
    <row r="5616" spans="1:1" ht="13.8" x14ac:dyDescent="0.25">
      <c r="A5616" s="8"/>
    </row>
    <row r="5617" spans="1:1" ht="13.8" x14ac:dyDescent="0.25">
      <c r="A5617" s="8"/>
    </row>
    <row r="5618" spans="1:1" ht="13.8" x14ac:dyDescent="0.25">
      <c r="A5618" s="8"/>
    </row>
    <row r="5619" spans="1:1" ht="13.8" x14ac:dyDescent="0.25">
      <c r="A5619" s="8"/>
    </row>
    <row r="5620" spans="1:1" ht="13.8" x14ac:dyDescent="0.25">
      <c r="A5620" s="8"/>
    </row>
    <row r="5621" spans="1:1" ht="13.8" x14ac:dyDescent="0.25">
      <c r="A5621" s="8"/>
    </row>
    <row r="5622" spans="1:1" ht="13.8" x14ac:dyDescent="0.25">
      <c r="A5622" s="8"/>
    </row>
    <row r="5623" spans="1:1" ht="13.8" x14ac:dyDescent="0.25">
      <c r="A5623" s="8"/>
    </row>
    <row r="5624" spans="1:1" ht="13.8" x14ac:dyDescent="0.25">
      <c r="A5624" s="8"/>
    </row>
    <row r="5625" spans="1:1" ht="13.8" x14ac:dyDescent="0.25">
      <c r="A5625" s="8"/>
    </row>
    <row r="5626" spans="1:1" ht="13.8" x14ac:dyDescent="0.25">
      <c r="A5626" s="8"/>
    </row>
    <row r="5627" spans="1:1" ht="13.8" x14ac:dyDescent="0.25">
      <c r="A5627" s="8"/>
    </row>
    <row r="5628" spans="1:1" ht="13.8" x14ac:dyDescent="0.25">
      <c r="A5628" s="8"/>
    </row>
    <row r="5629" spans="1:1" ht="13.8" x14ac:dyDescent="0.25">
      <c r="A5629" s="8"/>
    </row>
    <row r="5630" spans="1:1" ht="13.8" x14ac:dyDescent="0.25">
      <c r="A5630" s="8"/>
    </row>
    <row r="5631" spans="1:1" ht="13.8" x14ac:dyDescent="0.25">
      <c r="A5631" s="8"/>
    </row>
    <row r="5632" spans="1:1" ht="13.8" x14ac:dyDescent="0.25">
      <c r="A5632" s="8"/>
    </row>
    <row r="5633" spans="1:1" ht="13.8" x14ac:dyDescent="0.25">
      <c r="A5633" s="8"/>
    </row>
    <row r="5634" spans="1:1" ht="13.8" x14ac:dyDescent="0.25">
      <c r="A5634" s="8"/>
    </row>
    <row r="5635" spans="1:1" ht="13.8" x14ac:dyDescent="0.25">
      <c r="A5635" s="8"/>
    </row>
    <row r="5636" spans="1:1" ht="13.8" x14ac:dyDescent="0.25">
      <c r="A5636" s="8"/>
    </row>
    <row r="5637" spans="1:1" ht="13.8" x14ac:dyDescent="0.25">
      <c r="A5637" s="8"/>
    </row>
    <row r="5638" spans="1:1" ht="13.8" x14ac:dyDescent="0.25">
      <c r="A5638" s="8"/>
    </row>
    <row r="5639" spans="1:1" ht="13.8" x14ac:dyDescent="0.25">
      <c r="A5639" s="8"/>
    </row>
    <row r="5640" spans="1:1" ht="13.8" x14ac:dyDescent="0.25">
      <c r="A5640" s="8"/>
    </row>
    <row r="5641" spans="1:1" ht="13.8" x14ac:dyDescent="0.25">
      <c r="A5641" s="8"/>
    </row>
    <row r="5642" spans="1:1" ht="13.8" x14ac:dyDescent="0.25">
      <c r="A5642" s="8"/>
    </row>
    <row r="5643" spans="1:1" ht="13.8" x14ac:dyDescent="0.25">
      <c r="A5643" s="8"/>
    </row>
    <row r="5644" spans="1:1" ht="13.8" x14ac:dyDescent="0.25">
      <c r="A5644" s="8"/>
    </row>
    <row r="5645" spans="1:1" ht="13.8" x14ac:dyDescent="0.25">
      <c r="A5645" s="8"/>
    </row>
    <row r="5646" spans="1:1" ht="13.8" x14ac:dyDescent="0.25">
      <c r="A5646" s="8"/>
    </row>
    <row r="5647" spans="1:1" ht="13.8" x14ac:dyDescent="0.25">
      <c r="A5647" s="8"/>
    </row>
    <row r="5648" spans="1:1" ht="13.8" x14ac:dyDescent="0.25">
      <c r="A5648" s="8"/>
    </row>
    <row r="5649" spans="1:1" ht="13.8" x14ac:dyDescent="0.25">
      <c r="A5649" s="8"/>
    </row>
    <row r="5650" spans="1:1" ht="13.8" x14ac:dyDescent="0.25">
      <c r="A5650" s="8"/>
    </row>
    <row r="5651" spans="1:1" ht="13.8" x14ac:dyDescent="0.25">
      <c r="A5651" s="8"/>
    </row>
    <row r="5652" spans="1:1" ht="13.8" x14ac:dyDescent="0.25">
      <c r="A5652" s="8"/>
    </row>
    <row r="5653" spans="1:1" ht="13.8" x14ac:dyDescent="0.25">
      <c r="A5653" s="8"/>
    </row>
    <row r="5654" spans="1:1" ht="13.8" x14ac:dyDescent="0.25">
      <c r="A5654" s="8"/>
    </row>
    <row r="5655" spans="1:1" ht="13.8" x14ac:dyDescent="0.25">
      <c r="A5655" s="8"/>
    </row>
    <row r="5656" spans="1:1" ht="13.8" x14ac:dyDescent="0.25">
      <c r="A5656" s="8"/>
    </row>
    <row r="5657" spans="1:1" ht="13.8" x14ac:dyDescent="0.25">
      <c r="A5657" s="8"/>
    </row>
    <row r="5658" spans="1:1" ht="13.8" x14ac:dyDescent="0.25">
      <c r="A5658" s="8"/>
    </row>
    <row r="5659" spans="1:1" ht="13.8" x14ac:dyDescent="0.25">
      <c r="A5659" s="8"/>
    </row>
    <row r="5660" spans="1:1" ht="13.8" x14ac:dyDescent="0.25">
      <c r="A5660" s="8"/>
    </row>
    <row r="5661" spans="1:1" ht="13.8" x14ac:dyDescent="0.25">
      <c r="A5661" s="8"/>
    </row>
    <row r="5662" spans="1:1" ht="13.8" x14ac:dyDescent="0.25">
      <c r="A5662" s="8"/>
    </row>
    <row r="5663" spans="1:1" ht="13.8" x14ac:dyDescent="0.25">
      <c r="A5663" s="8"/>
    </row>
    <row r="5664" spans="1:1" ht="13.8" x14ac:dyDescent="0.25">
      <c r="A5664" s="8"/>
    </row>
    <row r="5665" spans="1:1" ht="13.8" x14ac:dyDescent="0.25">
      <c r="A5665" s="8"/>
    </row>
    <row r="5666" spans="1:1" ht="13.8" x14ac:dyDescent="0.25">
      <c r="A5666" s="8"/>
    </row>
    <row r="5667" spans="1:1" ht="13.8" x14ac:dyDescent="0.25">
      <c r="A5667" s="8"/>
    </row>
    <row r="5668" spans="1:1" ht="13.8" x14ac:dyDescent="0.25">
      <c r="A5668" s="8"/>
    </row>
    <row r="5669" spans="1:1" ht="13.8" x14ac:dyDescent="0.25">
      <c r="A5669" s="8"/>
    </row>
    <row r="5670" spans="1:1" ht="13.8" x14ac:dyDescent="0.25">
      <c r="A5670" s="8"/>
    </row>
    <row r="5671" spans="1:1" ht="13.8" x14ac:dyDescent="0.25">
      <c r="A5671" s="8"/>
    </row>
    <row r="5672" spans="1:1" ht="13.8" x14ac:dyDescent="0.25">
      <c r="A5672" s="8"/>
    </row>
    <row r="5673" spans="1:1" ht="13.8" x14ac:dyDescent="0.25">
      <c r="A5673" s="8"/>
    </row>
    <row r="5674" spans="1:1" ht="13.8" x14ac:dyDescent="0.25">
      <c r="A5674" s="8"/>
    </row>
    <row r="5675" spans="1:1" ht="13.8" x14ac:dyDescent="0.25">
      <c r="A5675" s="8"/>
    </row>
    <row r="5676" spans="1:1" ht="13.8" x14ac:dyDescent="0.25">
      <c r="A5676" s="8"/>
    </row>
    <row r="5677" spans="1:1" ht="13.8" x14ac:dyDescent="0.25">
      <c r="A5677" s="8"/>
    </row>
    <row r="5678" spans="1:1" ht="13.8" x14ac:dyDescent="0.25">
      <c r="A5678" s="8"/>
    </row>
    <row r="5679" spans="1:1" ht="13.8" x14ac:dyDescent="0.25">
      <c r="A5679" s="8"/>
    </row>
    <row r="5680" spans="1:1" ht="13.8" x14ac:dyDescent="0.25">
      <c r="A5680" s="8"/>
    </row>
    <row r="5681" spans="1:1" ht="13.8" x14ac:dyDescent="0.25">
      <c r="A5681" s="8"/>
    </row>
    <row r="5682" spans="1:1" ht="13.8" x14ac:dyDescent="0.25">
      <c r="A5682" s="8"/>
    </row>
    <row r="5683" spans="1:1" ht="13.8" x14ac:dyDescent="0.25">
      <c r="A5683" s="8"/>
    </row>
    <row r="5684" spans="1:1" ht="13.8" x14ac:dyDescent="0.25">
      <c r="A5684" s="8"/>
    </row>
    <row r="5685" spans="1:1" ht="13.8" x14ac:dyDescent="0.25">
      <c r="A5685" s="8"/>
    </row>
    <row r="5686" spans="1:1" ht="13.8" x14ac:dyDescent="0.25">
      <c r="A5686" s="8"/>
    </row>
    <row r="5687" spans="1:1" ht="13.8" x14ac:dyDescent="0.25">
      <c r="A5687" s="8"/>
    </row>
    <row r="5688" spans="1:1" ht="13.8" x14ac:dyDescent="0.25">
      <c r="A5688" s="8"/>
    </row>
    <row r="5689" spans="1:1" ht="13.8" x14ac:dyDescent="0.25">
      <c r="A5689" s="8"/>
    </row>
    <row r="5690" spans="1:1" ht="13.8" x14ac:dyDescent="0.25">
      <c r="A5690" s="8"/>
    </row>
    <row r="5691" spans="1:1" ht="13.8" x14ac:dyDescent="0.25">
      <c r="A5691" s="8"/>
    </row>
    <row r="5692" spans="1:1" ht="13.8" x14ac:dyDescent="0.25">
      <c r="A5692" s="8"/>
    </row>
    <row r="5693" spans="1:1" ht="13.8" x14ac:dyDescent="0.25">
      <c r="A5693" s="8"/>
    </row>
    <row r="5694" spans="1:1" ht="13.8" x14ac:dyDescent="0.25">
      <c r="A5694" s="8"/>
    </row>
    <row r="5695" spans="1:1" ht="13.8" x14ac:dyDescent="0.25">
      <c r="A5695" s="8"/>
    </row>
    <row r="5696" spans="1:1" ht="13.8" x14ac:dyDescent="0.25">
      <c r="A5696" s="8"/>
    </row>
    <row r="5697" spans="1:1" ht="13.8" x14ac:dyDescent="0.25">
      <c r="A5697" s="8"/>
    </row>
    <row r="5698" spans="1:1" ht="13.8" x14ac:dyDescent="0.25">
      <c r="A5698" s="8"/>
    </row>
    <row r="5699" spans="1:1" ht="13.8" x14ac:dyDescent="0.25">
      <c r="A5699" s="8"/>
    </row>
    <row r="5700" spans="1:1" ht="13.8" x14ac:dyDescent="0.25">
      <c r="A5700" s="8"/>
    </row>
    <row r="5701" spans="1:1" ht="13.8" x14ac:dyDescent="0.25">
      <c r="A5701" s="8"/>
    </row>
    <row r="5702" spans="1:1" ht="13.8" x14ac:dyDescent="0.25">
      <c r="A5702" s="8"/>
    </row>
    <row r="5703" spans="1:1" ht="13.8" x14ac:dyDescent="0.25">
      <c r="A5703" s="8"/>
    </row>
    <row r="5704" spans="1:1" ht="13.8" x14ac:dyDescent="0.25">
      <c r="A5704" s="8"/>
    </row>
    <row r="5705" spans="1:1" ht="13.8" x14ac:dyDescent="0.25">
      <c r="A5705" s="8"/>
    </row>
    <row r="5706" spans="1:1" ht="13.8" x14ac:dyDescent="0.25">
      <c r="A5706" s="8"/>
    </row>
    <row r="5707" spans="1:1" ht="13.8" x14ac:dyDescent="0.25">
      <c r="A5707" s="8"/>
    </row>
    <row r="5708" spans="1:1" ht="13.8" x14ac:dyDescent="0.25">
      <c r="A5708" s="8"/>
    </row>
    <row r="5709" spans="1:1" ht="13.8" x14ac:dyDescent="0.25">
      <c r="A5709" s="8"/>
    </row>
    <row r="5710" spans="1:1" ht="13.8" x14ac:dyDescent="0.25">
      <c r="A5710" s="8"/>
    </row>
    <row r="5711" spans="1:1" ht="13.8" x14ac:dyDescent="0.25">
      <c r="A5711" s="8"/>
    </row>
    <row r="5712" spans="1:1" ht="13.8" x14ac:dyDescent="0.25">
      <c r="A5712" s="8"/>
    </row>
    <row r="5713" spans="1:1" ht="13.8" x14ac:dyDescent="0.25">
      <c r="A5713" s="8"/>
    </row>
    <row r="5714" spans="1:1" ht="13.8" x14ac:dyDescent="0.25">
      <c r="A5714" s="8"/>
    </row>
    <row r="5715" spans="1:1" ht="13.8" x14ac:dyDescent="0.25">
      <c r="A5715" s="8"/>
    </row>
    <row r="5716" spans="1:1" ht="13.8" x14ac:dyDescent="0.25">
      <c r="A5716" s="8"/>
    </row>
    <row r="5717" spans="1:1" ht="13.8" x14ac:dyDescent="0.25">
      <c r="A5717" s="8"/>
    </row>
    <row r="5718" spans="1:1" ht="13.8" x14ac:dyDescent="0.25">
      <c r="A5718" s="8"/>
    </row>
    <row r="5719" spans="1:1" ht="13.8" x14ac:dyDescent="0.25">
      <c r="A5719" s="8"/>
    </row>
    <row r="5720" spans="1:1" ht="13.8" x14ac:dyDescent="0.25">
      <c r="A5720" s="8"/>
    </row>
    <row r="5721" spans="1:1" ht="13.8" x14ac:dyDescent="0.25">
      <c r="A5721" s="8"/>
    </row>
    <row r="5722" spans="1:1" ht="13.8" x14ac:dyDescent="0.25">
      <c r="A5722" s="8"/>
    </row>
    <row r="5723" spans="1:1" ht="13.8" x14ac:dyDescent="0.25">
      <c r="A5723" s="8"/>
    </row>
    <row r="5724" spans="1:1" ht="13.8" x14ac:dyDescent="0.25">
      <c r="A5724" s="8"/>
    </row>
    <row r="5725" spans="1:1" ht="13.8" x14ac:dyDescent="0.25">
      <c r="A5725" s="8"/>
    </row>
    <row r="5726" spans="1:1" ht="13.8" x14ac:dyDescent="0.25">
      <c r="A5726" s="8"/>
    </row>
    <row r="5727" spans="1:1" ht="13.8" x14ac:dyDescent="0.25">
      <c r="A5727" s="8"/>
    </row>
    <row r="5728" spans="1:1" ht="13.8" x14ac:dyDescent="0.25">
      <c r="A5728" s="8"/>
    </row>
    <row r="5729" spans="1:1" ht="13.8" x14ac:dyDescent="0.25">
      <c r="A5729" s="8"/>
    </row>
    <row r="5730" spans="1:1" ht="13.8" x14ac:dyDescent="0.25">
      <c r="A5730" s="8"/>
    </row>
    <row r="5731" spans="1:1" ht="13.8" x14ac:dyDescent="0.25">
      <c r="A5731" s="8"/>
    </row>
    <row r="5732" spans="1:1" ht="13.8" x14ac:dyDescent="0.25">
      <c r="A5732" s="8"/>
    </row>
    <row r="5733" spans="1:1" ht="13.8" x14ac:dyDescent="0.25">
      <c r="A5733" s="8"/>
    </row>
    <row r="5734" spans="1:1" ht="13.8" x14ac:dyDescent="0.25">
      <c r="A5734" s="8"/>
    </row>
    <row r="5735" spans="1:1" ht="13.8" x14ac:dyDescent="0.25">
      <c r="A5735" s="8"/>
    </row>
    <row r="5736" spans="1:1" ht="13.8" x14ac:dyDescent="0.25">
      <c r="A5736" s="8"/>
    </row>
    <row r="5737" spans="1:1" ht="13.8" x14ac:dyDescent="0.25">
      <c r="A5737" s="8"/>
    </row>
    <row r="5738" spans="1:1" ht="13.8" x14ac:dyDescent="0.25">
      <c r="A5738" s="8"/>
    </row>
    <row r="5739" spans="1:1" ht="13.8" x14ac:dyDescent="0.25">
      <c r="A5739" s="8"/>
    </row>
    <row r="5740" spans="1:1" ht="13.8" x14ac:dyDescent="0.25">
      <c r="A5740" s="8"/>
    </row>
    <row r="5741" spans="1:1" ht="13.8" x14ac:dyDescent="0.25">
      <c r="A5741" s="8"/>
    </row>
    <row r="5742" spans="1:1" ht="13.8" x14ac:dyDescent="0.25">
      <c r="A5742" s="8"/>
    </row>
    <row r="5743" spans="1:1" ht="13.8" x14ac:dyDescent="0.25">
      <c r="A5743" s="8"/>
    </row>
    <row r="5744" spans="1:1" ht="13.8" x14ac:dyDescent="0.25">
      <c r="A5744" s="8"/>
    </row>
    <row r="5745" spans="1:1" ht="13.8" x14ac:dyDescent="0.25">
      <c r="A5745" s="8"/>
    </row>
    <row r="5746" spans="1:1" ht="13.8" x14ac:dyDescent="0.25">
      <c r="A5746" s="8"/>
    </row>
    <row r="5747" spans="1:1" ht="13.8" x14ac:dyDescent="0.25">
      <c r="A5747" s="8"/>
    </row>
    <row r="5748" spans="1:1" ht="13.8" x14ac:dyDescent="0.25">
      <c r="A5748" s="8"/>
    </row>
    <row r="5749" spans="1:1" ht="13.8" x14ac:dyDescent="0.25">
      <c r="A5749" s="8"/>
    </row>
    <row r="5750" spans="1:1" ht="13.8" x14ac:dyDescent="0.25">
      <c r="A5750" s="8"/>
    </row>
    <row r="5751" spans="1:1" ht="13.8" x14ac:dyDescent="0.25">
      <c r="A5751" s="8"/>
    </row>
    <row r="5752" spans="1:1" ht="13.8" x14ac:dyDescent="0.25">
      <c r="A5752" s="8"/>
    </row>
    <row r="5753" spans="1:1" ht="13.8" x14ac:dyDescent="0.25">
      <c r="A5753" s="8"/>
    </row>
    <row r="5754" spans="1:1" ht="13.8" x14ac:dyDescent="0.25">
      <c r="A5754" s="8"/>
    </row>
    <row r="5755" spans="1:1" ht="13.8" x14ac:dyDescent="0.25">
      <c r="A5755" s="8"/>
    </row>
    <row r="5756" spans="1:1" ht="13.8" x14ac:dyDescent="0.25">
      <c r="A5756" s="8"/>
    </row>
    <row r="5757" spans="1:1" ht="13.8" x14ac:dyDescent="0.25">
      <c r="A5757" s="8"/>
    </row>
    <row r="5758" spans="1:1" ht="13.8" x14ac:dyDescent="0.25">
      <c r="A5758" s="8"/>
    </row>
    <row r="5759" spans="1:1" ht="13.8" x14ac:dyDescent="0.25">
      <c r="A5759" s="8"/>
    </row>
    <row r="5760" spans="1:1" ht="13.8" x14ac:dyDescent="0.25">
      <c r="A5760" s="8"/>
    </row>
    <row r="5761" spans="1:1" ht="13.8" x14ac:dyDescent="0.25">
      <c r="A5761" s="8"/>
    </row>
    <row r="5762" spans="1:1" ht="13.8" x14ac:dyDescent="0.25">
      <c r="A5762" s="8"/>
    </row>
    <row r="5763" spans="1:1" ht="13.8" x14ac:dyDescent="0.25">
      <c r="A5763" s="8"/>
    </row>
    <row r="5764" spans="1:1" ht="13.8" x14ac:dyDescent="0.25">
      <c r="A5764" s="8"/>
    </row>
    <row r="5765" spans="1:1" ht="13.8" x14ac:dyDescent="0.25">
      <c r="A5765" s="8"/>
    </row>
    <row r="5766" spans="1:1" ht="13.8" x14ac:dyDescent="0.25">
      <c r="A5766" s="8"/>
    </row>
    <row r="5767" spans="1:1" ht="13.8" x14ac:dyDescent="0.25">
      <c r="A5767" s="8"/>
    </row>
    <row r="5768" spans="1:1" ht="13.8" x14ac:dyDescent="0.25">
      <c r="A5768" s="8"/>
    </row>
    <row r="5769" spans="1:1" ht="13.8" x14ac:dyDescent="0.25">
      <c r="A5769" s="8"/>
    </row>
    <row r="5770" spans="1:1" ht="13.8" x14ac:dyDescent="0.25">
      <c r="A5770" s="8"/>
    </row>
    <row r="5771" spans="1:1" ht="13.8" x14ac:dyDescent="0.25">
      <c r="A5771" s="8"/>
    </row>
    <row r="5772" spans="1:1" ht="13.8" x14ac:dyDescent="0.25">
      <c r="A5772" s="8"/>
    </row>
    <row r="5773" spans="1:1" ht="13.8" x14ac:dyDescent="0.25">
      <c r="A5773" s="8"/>
    </row>
    <row r="5774" spans="1:1" ht="13.8" x14ac:dyDescent="0.25">
      <c r="A5774" s="8"/>
    </row>
    <row r="5775" spans="1:1" ht="13.8" x14ac:dyDescent="0.25">
      <c r="A5775" s="8"/>
    </row>
    <row r="5776" spans="1:1" ht="13.8" x14ac:dyDescent="0.25">
      <c r="A5776" s="8"/>
    </row>
    <row r="5777" spans="1:1" ht="13.8" x14ac:dyDescent="0.25">
      <c r="A5777" s="8"/>
    </row>
    <row r="5778" spans="1:1" ht="13.8" x14ac:dyDescent="0.25">
      <c r="A5778" s="8"/>
    </row>
    <row r="5779" spans="1:1" ht="13.8" x14ac:dyDescent="0.25">
      <c r="A5779" s="8"/>
    </row>
    <row r="5780" spans="1:1" ht="13.8" x14ac:dyDescent="0.25">
      <c r="A5780" s="8"/>
    </row>
    <row r="5781" spans="1:1" ht="13.8" x14ac:dyDescent="0.25">
      <c r="A5781" s="8"/>
    </row>
    <row r="5782" spans="1:1" ht="13.8" x14ac:dyDescent="0.25">
      <c r="A5782" s="8"/>
    </row>
    <row r="5783" spans="1:1" ht="13.8" x14ac:dyDescent="0.25">
      <c r="A5783" s="8"/>
    </row>
    <row r="5784" spans="1:1" ht="13.8" x14ac:dyDescent="0.25">
      <c r="A5784" s="8"/>
    </row>
    <row r="5785" spans="1:1" ht="13.8" x14ac:dyDescent="0.25">
      <c r="A5785" s="8"/>
    </row>
    <row r="5786" spans="1:1" ht="13.8" x14ac:dyDescent="0.25">
      <c r="A5786" s="8"/>
    </row>
    <row r="5787" spans="1:1" ht="13.8" x14ac:dyDescent="0.25">
      <c r="A5787" s="8"/>
    </row>
    <row r="5788" spans="1:1" ht="13.8" x14ac:dyDescent="0.25">
      <c r="A5788" s="8"/>
    </row>
    <row r="5789" spans="1:1" ht="13.8" x14ac:dyDescent="0.25">
      <c r="A5789" s="8"/>
    </row>
    <row r="5790" spans="1:1" ht="13.8" x14ac:dyDescent="0.25">
      <c r="A5790" s="8"/>
    </row>
    <row r="5791" spans="1:1" ht="13.8" x14ac:dyDescent="0.25">
      <c r="A5791" s="8"/>
    </row>
    <row r="5792" spans="1:1" ht="13.8" x14ac:dyDescent="0.25">
      <c r="A5792" s="8"/>
    </row>
    <row r="5793" spans="1:1" ht="13.8" x14ac:dyDescent="0.25">
      <c r="A5793" s="8"/>
    </row>
    <row r="5794" spans="1:1" ht="13.8" x14ac:dyDescent="0.25">
      <c r="A5794" s="8"/>
    </row>
    <row r="5795" spans="1:1" ht="13.8" x14ac:dyDescent="0.25">
      <c r="A5795" s="8"/>
    </row>
    <row r="5796" spans="1:1" ht="13.8" x14ac:dyDescent="0.25">
      <c r="A5796" s="8"/>
    </row>
    <row r="5797" spans="1:1" ht="13.8" x14ac:dyDescent="0.25">
      <c r="A5797" s="8"/>
    </row>
    <row r="5798" spans="1:1" ht="13.8" x14ac:dyDescent="0.25">
      <c r="A5798" s="8"/>
    </row>
    <row r="5799" spans="1:1" ht="13.8" x14ac:dyDescent="0.25">
      <c r="A5799" s="8"/>
    </row>
    <row r="5800" spans="1:1" ht="13.8" x14ac:dyDescent="0.25">
      <c r="A5800" s="8"/>
    </row>
    <row r="5801" spans="1:1" ht="13.8" x14ac:dyDescent="0.25">
      <c r="A5801" s="8"/>
    </row>
    <row r="5802" spans="1:1" ht="13.8" x14ac:dyDescent="0.25">
      <c r="A5802" s="8"/>
    </row>
    <row r="5803" spans="1:1" ht="13.8" x14ac:dyDescent="0.25">
      <c r="A5803" s="8"/>
    </row>
    <row r="5804" spans="1:1" ht="13.8" x14ac:dyDescent="0.25">
      <c r="A5804" s="8"/>
    </row>
    <row r="5805" spans="1:1" ht="13.8" x14ac:dyDescent="0.25">
      <c r="A5805" s="8"/>
    </row>
    <row r="5806" spans="1:1" ht="13.8" x14ac:dyDescent="0.25">
      <c r="A5806" s="8"/>
    </row>
    <row r="5807" spans="1:1" ht="13.8" x14ac:dyDescent="0.25">
      <c r="A5807" s="8"/>
    </row>
    <row r="5808" spans="1:1" ht="13.8" x14ac:dyDescent="0.25">
      <c r="A5808" s="8"/>
    </row>
    <row r="5809" spans="1:1" ht="13.8" x14ac:dyDescent="0.25">
      <c r="A5809" s="8"/>
    </row>
    <row r="5810" spans="1:1" ht="13.8" x14ac:dyDescent="0.25">
      <c r="A5810" s="8"/>
    </row>
    <row r="5811" spans="1:1" ht="13.8" x14ac:dyDescent="0.25">
      <c r="A5811" s="8"/>
    </row>
    <row r="5812" spans="1:1" ht="13.8" x14ac:dyDescent="0.25">
      <c r="A5812" s="8"/>
    </row>
    <row r="5813" spans="1:1" ht="13.8" x14ac:dyDescent="0.25">
      <c r="A5813" s="8"/>
    </row>
    <row r="5814" spans="1:1" ht="13.8" x14ac:dyDescent="0.25">
      <c r="A5814" s="8"/>
    </row>
    <row r="5815" spans="1:1" ht="13.8" x14ac:dyDescent="0.25">
      <c r="A5815" s="8"/>
    </row>
    <row r="5816" spans="1:1" ht="13.8" x14ac:dyDescent="0.25">
      <c r="A5816" s="8"/>
    </row>
    <row r="5817" spans="1:1" ht="13.8" x14ac:dyDescent="0.25">
      <c r="A5817" s="8"/>
    </row>
    <row r="5818" spans="1:1" ht="13.8" x14ac:dyDescent="0.25">
      <c r="A5818" s="8"/>
    </row>
    <row r="5819" spans="1:1" ht="13.8" x14ac:dyDescent="0.25">
      <c r="A5819" s="8"/>
    </row>
    <row r="5820" spans="1:1" ht="13.8" x14ac:dyDescent="0.25">
      <c r="A5820" s="8"/>
    </row>
    <row r="5821" spans="1:1" ht="13.8" x14ac:dyDescent="0.25">
      <c r="A5821" s="8"/>
    </row>
    <row r="5822" spans="1:1" ht="13.8" x14ac:dyDescent="0.25">
      <c r="A5822" s="8"/>
    </row>
    <row r="5823" spans="1:1" ht="13.8" x14ac:dyDescent="0.25">
      <c r="A5823" s="8"/>
    </row>
    <row r="5824" spans="1:1" ht="13.8" x14ac:dyDescent="0.25">
      <c r="A5824" s="8"/>
    </row>
    <row r="5825" spans="1:1" ht="13.8" x14ac:dyDescent="0.25">
      <c r="A5825" s="8"/>
    </row>
    <row r="5826" spans="1:1" ht="13.8" x14ac:dyDescent="0.25">
      <c r="A5826" s="8"/>
    </row>
    <row r="5827" spans="1:1" ht="13.8" x14ac:dyDescent="0.25">
      <c r="A5827" s="8"/>
    </row>
    <row r="5828" spans="1:1" ht="13.8" x14ac:dyDescent="0.25">
      <c r="A5828" s="8"/>
    </row>
    <row r="5829" spans="1:1" ht="13.8" x14ac:dyDescent="0.25">
      <c r="A5829" s="8"/>
    </row>
    <row r="5830" spans="1:1" ht="13.8" x14ac:dyDescent="0.25">
      <c r="A5830" s="8"/>
    </row>
    <row r="5831" spans="1:1" ht="13.8" x14ac:dyDescent="0.25">
      <c r="A5831" s="8"/>
    </row>
    <row r="5832" spans="1:1" ht="13.8" x14ac:dyDescent="0.25">
      <c r="A5832" s="8"/>
    </row>
    <row r="5833" spans="1:1" ht="13.8" x14ac:dyDescent="0.25">
      <c r="A5833" s="8"/>
    </row>
    <row r="5834" spans="1:1" ht="13.8" x14ac:dyDescent="0.25">
      <c r="A5834" s="8"/>
    </row>
    <row r="5835" spans="1:1" ht="13.8" x14ac:dyDescent="0.25">
      <c r="A5835" s="8"/>
    </row>
    <row r="5836" spans="1:1" ht="13.8" x14ac:dyDescent="0.25">
      <c r="A5836" s="8"/>
    </row>
    <row r="5837" spans="1:1" ht="13.8" x14ac:dyDescent="0.25">
      <c r="A5837" s="8"/>
    </row>
    <row r="5838" spans="1:1" ht="13.8" x14ac:dyDescent="0.25">
      <c r="A5838" s="8"/>
    </row>
    <row r="5839" spans="1:1" ht="13.8" x14ac:dyDescent="0.25">
      <c r="A5839" s="8"/>
    </row>
    <row r="5840" spans="1:1" ht="13.8" x14ac:dyDescent="0.25">
      <c r="A5840" s="8"/>
    </row>
    <row r="5841" spans="1:1" ht="13.8" x14ac:dyDescent="0.25">
      <c r="A5841" s="8"/>
    </row>
    <row r="5842" spans="1:1" ht="13.8" x14ac:dyDescent="0.25">
      <c r="A5842" s="8"/>
    </row>
    <row r="5843" spans="1:1" ht="13.8" x14ac:dyDescent="0.25">
      <c r="A5843" s="8"/>
    </row>
    <row r="5844" spans="1:1" ht="13.8" x14ac:dyDescent="0.25">
      <c r="A5844" s="8"/>
    </row>
    <row r="5845" spans="1:1" ht="13.8" x14ac:dyDescent="0.25">
      <c r="A5845" s="8"/>
    </row>
    <row r="5846" spans="1:1" ht="13.8" x14ac:dyDescent="0.25">
      <c r="A5846" s="8"/>
    </row>
    <row r="5847" spans="1:1" ht="13.8" x14ac:dyDescent="0.25">
      <c r="A5847" s="8"/>
    </row>
    <row r="5848" spans="1:1" ht="13.8" x14ac:dyDescent="0.25">
      <c r="A5848" s="8"/>
    </row>
    <row r="5849" spans="1:1" ht="13.8" x14ac:dyDescent="0.25">
      <c r="A5849" s="8"/>
    </row>
    <row r="5850" spans="1:1" ht="13.8" x14ac:dyDescent="0.25">
      <c r="A5850" s="8"/>
    </row>
    <row r="5851" spans="1:1" ht="13.8" x14ac:dyDescent="0.25">
      <c r="A5851" s="8"/>
    </row>
    <row r="5852" spans="1:1" ht="13.8" x14ac:dyDescent="0.25">
      <c r="A5852" s="8"/>
    </row>
    <row r="5853" spans="1:1" ht="13.8" x14ac:dyDescent="0.25">
      <c r="A5853" s="8"/>
    </row>
    <row r="5854" spans="1:1" ht="13.8" x14ac:dyDescent="0.25">
      <c r="A5854" s="8"/>
    </row>
    <row r="5855" spans="1:1" ht="13.8" x14ac:dyDescent="0.25">
      <c r="A5855" s="8"/>
    </row>
    <row r="5856" spans="1:1" ht="13.8" x14ac:dyDescent="0.25">
      <c r="A5856" s="8"/>
    </row>
    <row r="5857" spans="1:1" ht="13.8" x14ac:dyDescent="0.25">
      <c r="A5857" s="8"/>
    </row>
    <row r="5858" spans="1:1" ht="13.8" x14ac:dyDescent="0.25">
      <c r="A5858" s="8"/>
    </row>
    <row r="5859" spans="1:1" ht="13.8" x14ac:dyDescent="0.25">
      <c r="A5859" s="8"/>
    </row>
    <row r="5860" spans="1:1" ht="13.8" x14ac:dyDescent="0.25">
      <c r="A5860" s="8"/>
    </row>
    <row r="5861" spans="1:1" ht="13.8" x14ac:dyDescent="0.25">
      <c r="A5861" s="8"/>
    </row>
    <row r="5862" spans="1:1" ht="13.8" x14ac:dyDescent="0.25">
      <c r="A5862" s="8"/>
    </row>
    <row r="5863" spans="1:1" ht="13.8" x14ac:dyDescent="0.25">
      <c r="A5863" s="8"/>
    </row>
    <row r="5864" spans="1:1" ht="13.8" x14ac:dyDescent="0.25">
      <c r="A5864" s="8"/>
    </row>
    <row r="5865" spans="1:1" ht="13.8" x14ac:dyDescent="0.25">
      <c r="A5865" s="8"/>
    </row>
    <row r="5866" spans="1:1" ht="13.8" x14ac:dyDescent="0.25">
      <c r="A5866" s="8"/>
    </row>
    <row r="5867" spans="1:1" ht="13.8" x14ac:dyDescent="0.25">
      <c r="A5867" s="8"/>
    </row>
    <row r="5868" spans="1:1" ht="13.8" x14ac:dyDescent="0.25">
      <c r="A5868" s="8"/>
    </row>
    <row r="5869" spans="1:1" ht="13.8" x14ac:dyDescent="0.25">
      <c r="A5869" s="8"/>
    </row>
    <row r="5870" spans="1:1" ht="13.8" x14ac:dyDescent="0.25">
      <c r="A5870" s="8"/>
    </row>
    <row r="5871" spans="1:1" ht="13.8" x14ac:dyDescent="0.25">
      <c r="A5871" s="8"/>
    </row>
    <row r="5872" spans="1:1" ht="13.8" x14ac:dyDescent="0.25">
      <c r="A5872" s="8"/>
    </row>
    <row r="5873" spans="1:1" ht="13.8" x14ac:dyDescent="0.25">
      <c r="A5873" s="8"/>
    </row>
    <row r="5874" spans="1:1" ht="13.8" x14ac:dyDescent="0.25">
      <c r="A5874" s="8"/>
    </row>
    <row r="5875" spans="1:1" ht="13.8" x14ac:dyDescent="0.25">
      <c r="A5875" s="8"/>
    </row>
    <row r="5876" spans="1:1" ht="13.8" x14ac:dyDescent="0.25">
      <c r="A5876" s="8"/>
    </row>
    <row r="5877" spans="1:1" ht="13.8" x14ac:dyDescent="0.25">
      <c r="A5877" s="8"/>
    </row>
    <row r="5878" spans="1:1" ht="13.8" x14ac:dyDescent="0.25">
      <c r="A5878" s="8"/>
    </row>
    <row r="5879" spans="1:1" ht="13.8" x14ac:dyDescent="0.25">
      <c r="A5879" s="8"/>
    </row>
    <row r="5880" spans="1:1" ht="13.8" x14ac:dyDescent="0.25">
      <c r="A5880" s="8"/>
    </row>
    <row r="5881" spans="1:1" ht="13.8" x14ac:dyDescent="0.25">
      <c r="A5881" s="8"/>
    </row>
    <row r="5882" spans="1:1" ht="13.8" x14ac:dyDescent="0.25">
      <c r="A5882" s="8"/>
    </row>
    <row r="5883" spans="1:1" ht="13.8" x14ac:dyDescent="0.25">
      <c r="A5883" s="8"/>
    </row>
    <row r="5884" spans="1:1" ht="13.8" x14ac:dyDescent="0.25">
      <c r="A5884" s="8"/>
    </row>
    <row r="5885" spans="1:1" ht="13.8" x14ac:dyDescent="0.25">
      <c r="A5885" s="8"/>
    </row>
    <row r="5886" spans="1:1" ht="13.8" x14ac:dyDescent="0.25">
      <c r="A5886" s="8"/>
    </row>
    <row r="5887" spans="1:1" ht="13.8" x14ac:dyDescent="0.25">
      <c r="A5887" s="8"/>
    </row>
    <row r="5888" spans="1:1" ht="13.8" x14ac:dyDescent="0.25">
      <c r="A5888" s="8"/>
    </row>
    <row r="5889" spans="1:1" ht="13.8" x14ac:dyDescent="0.25">
      <c r="A5889" s="8"/>
    </row>
    <row r="5890" spans="1:1" ht="13.8" x14ac:dyDescent="0.25">
      <c r="A5890" s="8"/>
    </row>
    <row r="5891" spans="1:1" ht="13.8" x14ac:dyDescent="0.25">
      <c r="A5891" s="8"/>
    </row>
    <row r="5892" spans="1:1" ht="13.8" x14ac:dyDescent="0.25">
      <c r="A5892" s="8"/>
    </row>
    <row r="5893" spans="1:1" ht="13.8" x14ac:dyDescent="0.25">
      <c r="A5893" s="8"/>
    </row>
    <row r="5894" spans="1:1" ht="13.8" x14ac:dyDescent="0.25">
      <c r="A5894" s="8"/>
    </row>
    <row r="5895" spans="1:1" ht="13.8" x14ac:dyDescent="0.25">
      <c r="A5895" s="8"/>
    </row>
    <row r="5896" spans="1:1" ht="13.8" x14ac:dyDescent="0.25">
      <c r="A5896" s="8"/>
    </row>
    <row r="5897" spans="1:1" ht="13.8" x14ac:dyDescent="0.25">
      <c r="A5897" s="8"/>
    </row>
    <row r="5898" spans="1:1" ht="13.8" x14ac:dyDescent="0.25">
      <c r="A5898" s="8"/>
    </row>
    <row r="5899" spans="1:1" ht="13.8" x14ac:dyDescent="0.25">
      <c r="A5899" s="8"/>
    </row>
    <row r="5900" spans="1:1" ht="13.8" x14ac:dyDescent="0.25">
      <c r="A5900" s="8"/>
    </row>
    <row r="5901" spans="1:1" ht="13.8" x14ac:dyDescent="0.25">
      <c r="A5901" s="8"/>
    </row>
    <row r="5902" spans="1:1" ht="13.8" x14ac:dyDescent="0.25">
      <c r="A5902" s="8"/>
    </row>
    <row r="5903" spans="1:1" ht="13.8" x14ac:dyDescent="0.25">
      <c r="A5903" s="8"/>
    </row>
    <row r="5904" spans="1:1" ht="13.8" x14ac:dyDescent="0.25">
      <c r="A5904" s="8"/>
    </row>
    <row r="5905" spans="1:1" ht="13.8" x14ac:dyDescent="0.25">
      <c r="A5905" s="8"/>
    </row>
    <row r="5906" spans="1:1" ht="13.8" x14ac:dyDescent="0.25">
      <c r="A5906" s="8"/>
    </row>
    <row r="5907" spans="1:1" ht="13.8" x14ac:dyDescent="0.25">
      <c r="A5907" s="8"/>
    </row>
    <row r="5908" spans="1:1" ht="13.8" x14ac:dyDescent="0.25">
      <c r="A5908" s="8"/>
    </row>
    <row r="5909" spans="1:1" ht="13.8" x14ac:dyDescent="0.25">
      <c r="A5909" s="8"/>
    </row>
    <row r="5910" spans="1:1" ht="13.8" x14ac:dyDescent="0.25">
      <c r="A5910" s="8"/>
    </row>
    <row r="5911" spans="1:1" ht="13.8" x14ac:dyDescent="0.25">
      <c r="A5911" s="8"/>
    </row>
    <row r="5912" spans="1:1" ht="13.8" x14ac:dyDescent="0.25">
      <c r="A5912" s="8"/>
    </row>
    <row r="5913" spans="1:1" ht="13.8" x14ac:dyDescent="0.25">
      <c r="A5913" s="8"/>
    </row>
    <row r="5914" spans="1:1" ht="13.8" x14ac:dyDescent="0.25">
      <c r="A5914" s="8"/>
    </row>
    <row r="5915" spans="1:1" ht="13.8" x14ac:dyDescent="0.25">
      <c r="A5915" s="8"/>
    </row>
    <row r="5916" spans="1:1" ht="13.8" x14ac:dyDescent="0.25">
      <c r="A5916" s="8"/>
    </row>
    <row r="5917" spans="1:1" ht="13.8" x14ac:dyDescent="0.25">
      <c r="A5917" s="8"/>
    </row>
    <row r="5918" spans="1:1" ht="13.8" x14ac:dyDescent="0.25">
      <c r="A5918" s="8"/>
    </row>
    <row r="5919" spans="1:1" ht="13.8" x14ac:dyDescent="0.25">
      <c r="A5919" s="8"/>
    </row>
    <row r="5920" spans="1:1" ht="13.8" x14ac:dyDescent="0.25">
      <c r="A5920" s="8"/>
    </row>
    <row r="5921" spans="1:1" ht="13.8" x14ac:dyDescent="0.25">
      <c r="A5921" s="8"/>
    </row>
    <row r="5922" spans="1:1" ht="13.8" x14ac:dyDescent="0.25">
      <c r="A5922" s="8"/>
    </row>
    <row r="5923" spans="1:1" ht="13.8" x14ac:dyDescent="0.25">
      <c r="A5923" s="8"/>
    </row>
    <row r="5924" spans="1:1" ht="13.8" x14ac:dyDescent="0.25">
      <c r="A5924" s="8"/>
    </row>
    <row r="5925" spans="1:1" ht="13.8" x14ac:dyDescent="0.25">
      <c r="A5925" s="8"/>
    </row>
    <row r="5926" spans="1:1" ht="13.8" x14ac:dyDescent="0.25">
      <c r="A5926" s="8"/>
    </row>
    <row r="5927" spans="1:1" ht="13.8" x14ac:dyDescent="0.25">
      <c r="A5927" s="8"/>
    </row>
    <row r="5928" spans="1:1" ht="13.8" x14ac:dyDescent="0.25">
      <c r="A5928" s="8"/>
    </row>
    <row r="5929" spans="1:1" ht="13.8" x14ac:dyDescent="0.25">
      <c r="A5929" s="8"/>
    </row>
    <row r="5930" spans="1:1" ht="13.8" x14ac:dyDescent="0.25">
      <c r="A5930" s="8"/>
    </row>
    <row r="5931" spans="1:1" ht="13.8" x14ac:dyDescent="0.25">
      <c r="A5931" s="8"/>
    </row>
    <row r="5932" spans="1:1" ht="13.8" x14ac:dyDescent="0.25">
      <c r="A5932" s="8"/>
    </row>
    <row r="5933" spans="1:1" ht="13.8" x14ac:dyDescent="0.25">
      <c r="A5933" s="8"/>
    </row>
    <row r="5934" spans="1:1" ht="13.8" x14ac:dyDescent="0.25">
      <c r="A5934" s="8"/>
    </row>
    <row r="5935" spans="1:1" ht="13.8" x14ac:dyDescent="0.25">
      <c r="A5935" s="8"/>
    </row>
    <row r="5936" spans="1:1" ht="13.8" x14ac:dyDescent="0.25">
      <c r="A5936" s="8"/>
    </row>
    <row r="5937" spans="1:1" ht="13.8" x14ac:dyDescent="0.25">
      <c r="A5937" s="8"/>
    </row>
    <row r="5938" spans="1:1" ht="13.8" x14ac:dyDescent="0.25">
      <c r="A5938" s="8"/>
    </row>
    <row r="5939" spans="1:1" ht="13.8" x14ac:dyDescent="0.25">
      <c r="A5939" s="8"/>
    </row>
    <row r="5940" spans="1:1" ht="13.8" x14ac:dyDescent="0.25">
      <c r="A5940" s="8"/>
    </row>
    <row r="5941" spans="1:1" ht="13.8" x14ac:dyDescent="0.25">
      <c r="A5941" s="8"/>
    </row>
    <row r="5942" spans="1:1" ht="13.8" x14ac:dyDescent="0.25">
      <c r="A5942" s="8"/>
    </row>
    <row r="5943" spans="1:1" ht="13.8" x14ac:dyDescent="0.25">
      <c r="A5943" s="8"/>
    </row>
    <row r="5944" spans="1:1" ht="13.8" x14ac:dyDescent="0.25">
      <c r="A5944" s="8"/>
    </row>
    <row r="5945" spans="1:1" ht="13.8" x14ac:dyDescent="0.25">
      <c r="A5945" s="8"/>
    </row>
    <row r="5946" spans="1:1" ht="13.8" x14ac:dyDescent="0.25">
      <c r="A5946" s="8"/>
    </row>
    <row r="5947" spans="1:1" ht="13.8" x14ac:dyDescent="0.25">
      <c r="A5947" s="8"/>
    </row>
    <row r="5948" spans="1:1" ht="13.8" x14ac:dyDescent="0.25">
      <c r="A5948" s="8"/>
    </row>
    <row r="5949" spans="1:1" ht="13.8" x14ac:dyDescent="0.25">
      <c r="A5949" s="8"/>
    </row>
    <row r="5950" spans="1:1" ht="13.8" x14ac:dyDescent="0.25">
      <c r="A5950" s="8"/>
    </row>
    <row r="5951" spans="1:1" ht="13.8" x14ac:dyDescent="0.25">
      <c r="A5951" s="8"/>
    </row>
    <row r="5952" spans="1:1" ht="13.8" x14ac:dyDescent="0.25">
      <c r="A5952" s="8"/>
    </row>
    <row r="5953" spans="1:1" ht="13.8" x14ac:dyDescent="0.25">
      <c r="A5953" s="8"/>
    </row>
    <row r="5954" spans="1:1" ht="13.8" x14ac:dyDescent="0.25">
      <c r="A5954" s="8"/>
    </row>
    <row r="5955" spans="1:1" ht="13.8" x14ac:dyDescent="0.25">
      <c r="A5955" s="8"/>
    </row>
    <row r="5956" spans="1:1" ht="13.8" x14ac:dyDescent="0.25">
      <c r="A5956" s="8"/>
    </row>
    <row r="5957" spans="1:1" ht="13.8" x14ac:dyDescent="0.25">
      <c r="A5957" s="8"/>
    </row>
    <row r="5958" spans="1:1" ht="13.8" x14ac:dyDescent="0.25">
      <c r="A5958" s="8"/>
    </row>
    <row r="5959" spans="1:1" ht="13.8" x14ac:dyDescent="0.25">
      <c r="A5959" s="8"/>
    </row>
    <row r="5960" spans="1:1" ht="13.8" x14ac:dyDescent="0.25">
      <c r="A5960" s="8"/>
    </row>
    <row r="5961" spans="1:1" ht="13.8" x14ac:dyDescent="0.25">
      <c r="A5961" s="8"/>
    </row>
    <row r="5962" spans="1:1" ht="13.8" x14ac:dyDescent="0.25">
      <c r="A5962" s="8"/>
    </row>
    <row r="5963" spans="1:1" ht="13.8" x14ac:dyDescent="0.25">
      <c r="A5963" s="8"/>
    </row>
    <row r="5964" spans="1:1" ht="13.8" x14ac:dyDescent="0.25">
      <c r="A5964" s="8"/>
    </row>
    <row r="5965" spans="1:1" ht="13.8" x14ac:dyDescent="0.25">
      <c r="A5965" s="8"/>
    </row>
    <row r="5966" spans="1:1" ht="13.8" x14ac:dyDescent="0.25">
      <c r="A5966" s="8"/>
    </row>
    <row r="5967" spans="1:1" ht="13.8" x14ac:dyDescent="0.25">
      <c r="A5967" s="8"/>
    </row>
    <row r="5968" spans="1:1" ht="13.8" x14ac:dyDescent="0.25">
      <c r="A5968" s="8"/>
    </row>
    <row r="5969" spans="1:1" ht="13.8" x14ac:dyDescent="0.25">
      <c r="A5969" s="8"/>
    </row>
    <row r="5970" spans="1:1" ht="13.8" x14ac:dyDescent="0.25">
      <c r="A5970" s="8"/>
    </row>
    <row r="5971" spans="1:1" ht="13.8" x14ac:dyDescent="0.25">
      <c r="A5971" s="8"/>
    </row>
    <row r="5972" spans="1:1" ht="13.8" x14ac:dyDescent="0.25">
      <c r="A5972" s="8"/>
    </row>
    <row r="5973" spans="1:1" ht="13.8" x14ac:dyDescent="0.25">
      <c r="A5973" s="8"/>
    </row>
    <row r="5974" spans="1:1" ht="13.8" x14ac:dyDescent="0.25">
      <c r="A5974" s="8"/>
    </row>
    <row r="5975" spans="1:1" ht="13.8" x14ac:dyDescent="0.25">
      <c r="A5975" s="8"/>
    </row>
    <row r="5976" spans="1:1" ht="13.8" x14ac:dyDescent="0.25">
      <c r="A5976" s="8"/>
    </row>
    <row r="5977" spans="1:1" ht="13.8" x14ac:dyDescent="0.25">
      <c r="A5977" s="8"/>
    </row>
    <row r="5978" spans="1:1" ht="13.8" x14ac:dyDescent="0.25">
      <c r="A5978" s="8"/>
    </row>
    <row r="5979" spans="1:1" ht="13.8" x14ac:dyDescent="0.25">
      <c r="A5979" s="8"/>
    </row>
    <row r="5980" spans="1:1" ht="13.8" x14ac:dyDescent="0.25">
      <c r="A5980" s="8"/>
    </row>
    <row r="5981" spans="1:1" ht="13.8" x14ac:dyDescent="0.25">
      <c r="A5981" s="8"/>
    </row>
    <row r="5982" spans="1:1" ht="13.8" x14ac:dyDescent="0.25">
      <c r="A5982" s="8"/>
    </row>
    <row r="5983" spans="1:1" ht="13.8" x14ac:dyDescent="0.25">
      <c r="A5983" s="8"/>
    </row>
    <row r="5984" spans="1:1" ht="13.8" x14ac:dyDescent="0.25">
      <c r="A5984" s="8"/>
    </row>
    <row r="5985" spans="1:1" ht="13.8" x14ac:dyDescent="0.25">
      <c r="A5985" s="8"/>
    </row>
    <row r="5986" spans="1:1" ht="13.8" x14ac:dyDescent="0.25">
      <c r="A5986" s="8"/>
    </row>
    <row r="5987" spans="1:1" ht="13.8" x14ac:dyDescent="0.25">
      <c r="A5987" s="8"/>
    </row>
    <row r="5988" spans="1:1" ht="13.8" x14ac:dyDescent="0.25">
      <c r="A5988" s="8"/>
    </row>
    <row r="5989" spans="1:1" ht="13.8" x14ac:dyDescent="0.25">
      <c r="A5989" s="8"/>
    </row>
    <row r="5990" spans="1:1" ht="13.8" x14ac:dyDescent="0.25">
      <c r="A5990" s="8"/>
    </row>
    <row r="5991" spans="1:1" ht="13.8" x14ac:dyDescent="0.25">
      <c r="A5991" s="8"/>
    </row>
    <row r="5992" spans="1:1" ht="13.8" x14ac:dyDescent="0.25">
      <c r="A5992" s="8"/>
    </row>
    <row r="5993" spans="1:1" ht="13.8" x14ac:dyDescent="0.25">
      <c r="A5993" s="8"/>
    </row>
    <row r="5994" spans="1:1" ht="13.8" x14ac:dyDescent="0.25">
      <c r="A5994" s="8"/>
    </row>
    <row r="5995" spans="1:1" ht="13.8" x14ac:dyDescent="0.25">
      <c r="A5995" s="8"/>
    </row>
    <row r="5996" spans="1:1" ht="13.8" x14ac:dyDescent="0.25">
      <c r="A5996" s="8"/>
    </row>
    <row r="5997" spans="1:1" ht="13.8" x14ac:dyDescent="0.25">
      <c r="A5997" s="8"/>
    </row>
    <row r="5998" spans="1:1" ht="13.8" x14ac:dyDescent="0.25">
      <c r="A5998" s="8"/>
    </row>
    <row r="5999" spans="1:1" ht="13.8" x14ac:dyDescent="0.25">
      <c r="A5999" s="8"/>
    </row>
    <row r="6000" spans="1:1" ht="13.8" x14ac:dyDescent="0.25">
      <c r="A6000" s="8"/>
    </row>
  </sheetData>
  <conditionalFormatting sqref="A2:CA6000">
    <cfRule type="expression" dxfId="1" priority="1">
      <formula>$A:$A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CA6000"/>
  <sheetViews>
    <sheetView workbookViewId="0"/>
  </sheetViews>
  <sheetFormatPr defaultColWidth="12.5546875" defaultRowHeight="15.75" customHeight="1" x14ac:dyDescent="0.25"/>
  <cols>
    <col min="1" max="1" width="6.88671875" customWidth="1"/>
    <col min="2" max="2" width="15.44140625" customWidth="1"/>
    <col min="3" max="3" width="24" customWidth="1"/>
    <col min="4" max="4" width="33.44140625" customWidth="1"/>
  </cols>
  <sheetData>
    <row r="1" spans="1:79" ht="15.75" customHeight="1" x14ac:dyDescent="0.25">
      <c r="A1" s="3" t="str">
        <f ca="1">IFERROR(__xludf.DUMMYFUNCTION("QUERY(HeadersCompetitors)"),"Pago?")</f>
        <v>Pago?</v>
      </c>
      <c r="B1" s="3" t="str">
        <f ca="1">IFERROR(__xludf.DUMMYFUNCTION("""COMPUTED_VALUE"""),"Dirección de correo electrónico")</f>
        <v>Dirección de correo electrónico</v>
      </c>
      <c r="C1" s="3" t="str">
        <f ca="1">IFERROR(__xludf.DUMMYFUNCTION("""COMPUTED_VALUE"""),"Seleccione la categoria en la que inscribirse")</f>
        <v>Seleccione la categoria en la que inscribirse</v>
      </c>
      <c r="D1" s="3" t="str">
        <f ca="1">IFERROR(__xludf.DUMMYFUNCTION("""COMPUTED_VALUE"""),"Nombre")</f>
        <v>Nombre</v>
      </c>
      <c r="E1" s="3" t="str">
        <f ca="1">IFERROR(__xludf.DUMMYFUNCTION("""COMPUTED_VALUE"""),"Apellido")</f>
        <v>Apellido</v>
      </c>
      <c r="F1" s="3" t="str">
        <f ca="1">IFERROR(__xludf.DUMMYFUNCTION("""COMPUTED_VALUE"""),"Numero de Vela")</f>
        <v>Numero de Vela</v>
      </c>
      <c r="G1" s="3" t="str">
        <f ca="1">IFERROR(__xludf.DUMMYFUNCTION("""COMPUTED_VALUE"""),"Club")</f>
        <v>Club</v>
      </c>
      <c r="H1" s="3" t="str">
        <f ca="1">IFERROR(__xludf.DUMMYFUNCTION("""COMPUTED_VALUE"""),"DNI")</f>
        <v>DNI</v>
      </c>
      <c r="I1" s="3" t="str">
        <f ca="1">IFERROR(__xludf.DUMMYFUNCTION("""COMPUTED_VALUE"""),"Feha nacimiento")</f>
        <v>Feha nacimiento</v>
      </c>
      <c r="J1" s="3" t="str">
        <f ca="1">IFERROR(__xludf.DUMMYFUNCTION("""COMPUTED_VALUE"""),"Correo electronico")</f>
        <v>Correo electronico</v>
      </c>
      <c r="K1" s="3" t="str">
        <f ca="1">IFERROR(__xludf.DUMMYFUNCTION("""COMPUTED_VALUE"""),"Sexo")</f>
        <v>Sexo</v>
      </c>
      <c r="L1" s="3" t="str">
        <f ca="1">IFERROR(__xludf.DUMMYFUNCTION("""COMPUTED_VALUE"""),"Pais")</f>
        <v>Pais</v>
      </c>
      <c r="M1" s="3" t="str">
        <f ca="1">IFERROR(__xludf.DUMMYFUNCTION("""COMPUTED_VALUE"""),"Region / Provincia")</f>
        <v>Region / Provincia</v>
      </c>
      <c r="N1" s="3" t="str">
        <f ca="1">IFERROR(__xludf.DUMMYFUNCTION("""COMPUTED_VALUE"""),"Localidad / Ciudad")</f>
        <v>Localidad / Ciudad</v>
      </c>
      <c r="O1" s="3" t="str">
        <f ca="1">IFERROR(__xludf.DUMMYFUNCTION("""COMPUTED_VALUE"""),"Direccion")</f>
        <v>Direccion</v>
      </c>
      <c r="P1" s="3" t="str">
        <f ca="1">IFERROR(__xludf.DUMMYFUNCTION("""COMPUTED_VALUE"""),"Codigo postal")</f>
        <v>Codigo postal</v>
      </c>
      <c r="Q1" s="3" t="str">
        <f ca="1">IFERROR(__xludf.DUMMYFUNCTION("""COMPUTED_VALUE"""),"Nombre del Padre o Madre (Solo para competidores menores)")</f>
        <v>Nombre del Padre o Madre (Solo para competidores menores)</v>
      </c>
      <c r="R1" s="3" t="str">
        <f ca="1">IFERROR(__xludf.DUMMYFUNCTION("""COMPUTED_VALUE"""),"Apellido del Padre o Madre (Solo para competidores menores)")</f>
        <v>Apellido del Padre o Madre (Solo para competidores menores)</v>
      </c>
      <c r="S1" s="3" t="str">
        <f ca="1">IFERROR(__xludf.DUMMYFUNCTION("""COMPUTED_VALUE"""),"Email del Padre o Madre (Solo para competidores menores)")</f>
        <v>Email del Padre o Madre (Solo para competidores menores)</v>
      </c>
      <c r="T1" s="3" t="str">
        <f ca="1">IFERROR(__xludf.DUMMYFUNCTION("""COMPUTED_VALUE"""),"Numero de contacto del Padre o Madre (Solo para competidores menores)")</f>
        <v>Numero de contacto del Padre o Madre (Solo para competidores menores)</v>
      </c>
      <c r="U1" s="3" t="str">
        <f ca="1">IFERROR(__xludf.DUMMYFUNCTION("""COMPUTED_VALUE"""),"Contacto de emergencia 1")</f>
        <v>Contacto de emergencia 1</v>
      </c>
      <c r="V1" s="3" t="str">
        <f ca="1">IFERROR(__xludf.DUMMYFUNCTION("""COMPUTED_VALUE"""),"Contacto de emergencia 2")</f>
        <v>Contacto de emergencia 2</v>
      </c>
      <c r="W1" s="3" t="str">
        <f ca="1">IFERROR(__xludf.DUMMYFUNCTION("""COMPUTED_VALUE"""),"Obra social")</f>
        <v>Obra social</v>
      </c>
      <c r="X1" s="3" t="str">
        <f ca="1">IFERROR(__xludf.DUMMYFUNCTION("""COMPUTED_VALUE"""),"Numero de afiliado")</f>
        <v>Numero de afiliado</v>
      </c>
      <c r="Y1" s="3" t="str">
        <f ca="1">IFERROR(__xludf.DUMMYFUNCTION("""COMPUTED_VALUE"""),"Nombre")</f>
        <v>Nombre</v>
      </c>
      <c r="Z1" s="3" t="str">
        <f ca="1">IFERROR(__xludf.DUMMYFUNCTION("""COMPUTED_VALUE"""),"Apellido")</f>
        <v>Apellido</v>
      </c>
      <c r="AA1" s="3" t="str">
        <f ca="1">IFERROR(__xludf.DUMMYFUNCTION("""COMPUTED_VALUE"""),"Numero de Vela")</f>
        <v>Numero de Vela</v>
      </c>
      <c r="AB1" s="3" t="str">
        <f ca="1">IFERROR(__xludf.DUMMYFUNCTION("""COMPUTED_VALUE"""),"Club")</f>
        <v>Club</v>
      </c>
      <c r="AC1" s="3" t="str">
        <f ca="1">IFERROR(__xludf.DUMMYFUNCTION("""COMPUTED_VALUE"""),"DNI")</f>
        <v>DNI</v>
      </c>
      <c r="AD1" s="3" t="str">
        <f ca="1">IFERROR(__xludf.DUMMYFUNCTION("""COMPUTED_VALUE"""),"Feha nacimiento")</f>
        <v>Feha nacimiento</v>
      </c>
      <c r="AE1" s="3" t="str">
        <f ca="1">IFERROR(__xludf.DUMMYFUNCTION("""COMPUTED_VALUE"""),"Correo electronico")</f>
        <v>Correo electronico</v>
      </c>
      <c r="AF1" s="3" t="str">
        <f ca="1">IFERROR(__xludf.DUMMYFUNCTION("""COMPUTED_VALUE"""),"Sexo")</f>
        <v>Sexo</v>
      </c>
      <c r="AG1" s="3" t="str">
        <f ca="1">IFERROR(__xludf.DUMMYFUNCTION("""COMPUTED_VALUE"""),"Pais")</f>
        <v>Pais</v>
      </c>
      <c r="AH1" s="3" t="str">
        <f ca="1">IFERROR(__xludf.DUMMYFUNCTION("""COMPUTED_VALUE"""),"Region / Provincia")</f>
        <v>Region / Provincia</v>
      </c>
      <c r="AI1" s="3" t="str">
        <f ca="1">IFERROR(__xludf.DUMMYFUNCTION("""COMPUTED_VALUE"""),"Localidad / Ciudad")</f>
        <v>Localidad / Ciudad</v>
      </c>
      <c r="AJ1" s="3" t="str">
        <f ca="1">IFERROR(__xludf.DUMMYFUNCTION("""COMPUTED_VALUE"""),"Direccion")</f>
        <v>Direccion</v>
      </c>
      <c r="AK1" s="3" t="str">
        <f ca="1">IFERROR(__xludf.DUMMYFUNCTION("""COMPUTED_VALUE"""),"Codigo postal")</f>
        <v>Codigo postal</v>
      </c>
      <c r="AL1" s="3" t="str">
        <f ca="1">IFERROR(__xludf.DUMMYFUNCTION("""COMPUTED_VALUE"""),"Nombre del Padre o Madre (Solo para competidores menores)")</f>
        <v>Nombre del Padre o Madre (Solo para competidores menores)</v>
      </c>
      <c r="AM1" s="3" t="str">
        <f ca="1">IFERROR(__xludf.DUMMYFUNCTION("""COMPUTED_VALUE"""),"Apellido del Padre o Madre (Solo para competidores menores)")</f>
        <v>Apellido del Padre o Madre (Solo para competidores menores)</v>
      </c>
      <c r="AN1" s="3" t="str">
        <f ca="1">IFERROR(__xludf.DUMMYFUNCTION("""COMPUTED_VALUE"""),"Email del Padre o Madre (Solo para competidores menores)")</f>
        <v>Email del Padre o Madre (Solo para competidores menores)</v>
      </c>
      <c r="AO1" s="3" t="str">
        <f ca="1">IFERROR(__xludf.DUMMYFUNCTION("""COMPUTED_VALUE"""),"Numero de contacto del Padre o Madre (Solo para competidores menores)")</f>
        <v>Numero de contacto del Padre o Madre (Solo para competidores menores)</v>
      </c>
      <c r="AP1" s="3" t="str">
        <f ca="1">IFERROR(__xludf.DUMMYFUNCTION("""COMPUTED_VALUE"""),"Contacto de emergencia 1")</f>
        <v>Contacto de emergencia 1</v>
      </c>
      <c r="AQ1" s="3" t="str">
        <f ca="1">IFERROR(__xludf.DUMMYFUNCTION("""COMPUTED_VALUE"""),"Contacto de emergencia 2")</f>
        <v>Contacto de emergencia 2</v>
      </c>
      <c r="AR1" s="3" t="str">
        <f ca="1">IFERROR(__xludf.DUMMYFUNCTION("""COMPUTED_VALUE"""),"Obra social")</f>
        <v>Obra social</v>
      </c>
      <c r="AS1" s="3" t="str">
        <f ca="1">IFERROR(__xludf.DUMMYFUNCTION("""COMPUTED_VALUE"""),"Numero de afiliado")</f>
        <v>Numero de afiliado</v>
      </c>
      <c r="AT1" s="3"/>
      <c r="AU1" s="3"/>
      <c r="AV1" s="3"/>
      <c r="AW1" s="3"/>
      <c r="AX1" s="3"/>
      <c r="AY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</row>
    <row r="2" spans="1:79" ht="15.75" customHeight="1" x14ac:dyDescent="0.25">
      <c r="A2" s="8" t="str">
        <f ca="1">IFERROR(__xludf.DUMMYFUNCTION("IFERROR(ARRAYFORMULA(SUBSTITUTE(SUBSTITUTE(FILTER(ResponsesCompetitors,CategoryCompetitors=""Nacra 17""),TRUE,""✅""),FALSE,""❌"")),"""")"),"")</f>
        <v/>
      </c>
    </row>
    <row r="3" spans="1:79" ht="15.75" customHeight="1" x14ac:dyDescent="0.25">
      <c r="A3" s="8"/>
    </row>
    <row r="4" spans="1:79" ht="15.75" customHeight="1" x14ac:dyDescent="0.25">
      <c r="A4" s="8"/>
    </row>
    <row r="5" spans="1:79" ht="15.75" customHeight="1" x14ac:dyDescent="0.25">
      <c r="A5" s="8"/>
    </row>
    <row r="6" spans="1:79" ht="15.75" customHeight="1" x14ac:dyDescent="0.25">
      <c r="A6" s="8"/>
    </row>
    <row r="7" spans="1:79" ht="15.75" customHeight="1" x14ac:dyDescent="0.25">
      <c r="A7" s="8"/>
    </row>
    <row r="8" spans="1:79" ht="15.75" customHeight="1" x14ac:dyDescent="0.25">
      <c r="A8" s="8"/>
    </row>
    <row r="9" spans="1:79" ht="15.75" customHeight="1" x14ac:dyDescent="0.25">
      <c r="A9" s="8"/>
    </row>
    <row r="10" spans="1:79" ht="15.75" customHeight="1" x14ac:dyDescent="0.25">
      <c r="A10" s="8"/>
    </row>
    <row r="11" spans="1:79" ht="15.75" customHeight="1" x14ac:dyDescent="0.25">
      <c r="A11" s="8"/>
    </row>
    <row r="12" spans="1:79" ht="15.75" customHeight="1" x14ac:dyDescent="0.25">
      <c r="A12" s="8"/>
    </row>
    <row r="13" spans="1:79" ht="15.75" customHeight="1" x14ac:dyDescent="0.25">
      <c r="A13" s="8"/>
    </row>
    <row r="14" spans="1:79" ht="15.75" customHeight="1" x14ac:dyDescent="0.25">
      <c r="A14" s="8"/>
    </row>
    <row r="15" spans="1:79" ht="15.75" customHeight="1" x14ac:dyDescent="0.25">
      <c r="A15" s="8"/>
    </row>
    <row r="16" spans="1:79" ht="15.75" customHeight="1" x14ac:dyDescent="0.25">
      <c r="A16" s="8"/>
    </row>
    <row r="17" spans="1:4" ht="15.75" customHeight="1" x14ac:dyDescent="0.25">
      <c r="A17" s="8"/>
    </row>
    <row r="18" spans="1:4" ht="15.75" customHeight="1" x14ac:dyDescent="0.25">
      <c r="A18" s="8"/>
      <c r="D18" s="3"/>
    </row>
    <row r="19" spans="1:4" ht="15.75" customHeight="1" x14ac:dyDescent="0.25">
      <c r="A19" s="8"/>
    </row>
    <row r="20" spans="1:4" ht="15.75" customHeight="1" x14ac:dyDescent="0.25">
      <c r="A20" s="8"/>
    </row>
    <row r="21" spans="1:4" ht="15.75" customHeight="1" x14ac:dyDescent="0.25">
      <c r="A21" s="8"/>
    </row>
    <row r="22" spans="1:4" ht="15.75" customHeight="1" x14ac:dyDescent="0.25">
      <c r="A22" s="8"/>
    </row>
    <row r="23" spans="1:4" ht="15.75" customHeight="1" x14ac:dyDescent="0.25">
      <c r="A23" s="8"/>
    </row>
    <row r="24" spans="1:4" ht="15.75" customHeight="1" x14ac:dyDescent="0.25">
      <c r="A24" s="8"/>
    </row>
    <row r="25" spans="1:4" ht="15.75" customHeight="1" x14ac:dyDescent="0.25">
      <c r="A25" s="8"/>
    </row>
    <row r="26" spans="1:4" ht="15.75" customHeight="1" x14ac:dyDescent="0.25">
      <c r="A26" s="8"/>
    </row>
    <row r="27" spans="1:4" ht="13.8" x14ac:dyDescent="0.25">
      <c r="A27" s="8"/>
    </row>
    <row r="28" spans="1:4" ht="13.8" x14ac:dyDescent="0.25">
      <c r="A28" s="8"/>
    </row>
    <row r="29" spans="1:4" ht="13.8" x14ac:dyDescent="0.25">
      <c r="A29" s="8"/>
    </row>
    <row r="30" spans="1:4" ht="13.8" x14ac:dyDescent="0.25">
      <c r="A30" s="8"/>
    </row>
    <row r="31" spans="1:4" ht="13.8" x14ac:dyDescent="0.25">
      <c r="A31" s="8"/>
    </row>
    <row r="32" spans="1:4" ht="13.8" x14ac:dyDescent="0.25">
      <c r="A32" s="8"/>
    </row>
    <row r="33" spans="1:1" ht="13.8" x14ac:dyDescent="0.25">
      <c r="A33" s="8"/>
    </row>
    <row r="34" spans="1:1" ht="13.8" x14ac:dyDescent="0.25">
      <c r="A34" s="8"/>
    </row>
    <row r="35" spans="1:1" ht="13.8" x14ac:dyDescent="0.25">
      <c r="A35" s="8"/>
    </row>
    <row r="36" spans="1:1" ht="13.8" x14ac:dyDescent="0.25">
      <c r="A36" s="8"/>
    </row>
    <row r="37" spans="1:1" ht="13.8" x14ac:dyDescent="0.25">
      <c r="A37" s="8"/>
    </row>
    <row r="38" spans="1:1" ht="13.8" x14ac:dyDescent="0.25">
      <c r="A38" s="8"/>
    </row>
    <row r="39" spans="1:1" ht="13.8" x14ac:dyDescent="0.25">
      <c r="A39" s="8"/>
    </row>
    <row r="40" spans="1:1" ht="13.8" x14ac:dyDescent="0.25">
      <c r="A40" s="8"/>
    </row>
    <row r="41" spans="1:1" ht="13.8" x14ac:dyDescent="0.25">
      <c r="A41" s="8"/>
    </row>
    <row r="42" spans="1:1" ht="13.8" x14ac:dyDescent="0.25">
      <c r="A42" s="8"/>
    </row>
    <row r="43" spans="1:1" ht="13.8" x14ac:dyDescent="0.25">
      <c r="A43" s="8"/>
    </row>
    <row r="44" spans="1:1" ht="13.8" x14ac:dyDescent="0.25">
      <c r="A44" s="8"/>
    </row>
    <row r="45" spans="1:1" ht="13.8" x14ac:dyDescent="0.25">
      <c r="A45" s="8"/>
    </row>
    <row r="46" spans="1:1" ht="13.8" x14ac:dyDescent="0.25">
      <c r="A46" s="8"/>
    </row>
    <row r="47" spans="1:1" ht="13.8" x14ac:dyDescent="0.25">
      <c r="A47" s="8"/>
    </row>
    <row r="48" spans="1:1" ht="13.8" x14ac:dyDescent="0.25">
      <c r="A48" s="8"/>
    </row>
    <row r="49" spans="1:1" ht="13.8" x14ac:dyDescent="0.25">
      <c r="A49" s="8"/>
    </row>
    <row r="50" spans="1:1" ht="13.8" x14ac:dyDescent="0.25">
      <c r="A50" s="8"/>
    </row>
    <row r="51" spans="1:1" ht="13.8" x14ac:dyDescent="0.25">
      <c r="A51" s="8"/>
    </row>
    <row r="52" spans="1:1" ht="13.8" x14ac:dyDescent="0.25">
      <c r="A52" s="8"/>
    </row>
    <row r="53" spans="1:1" ht="13.8" x14ac:dyDescent="0.25">
      <c r="A53" s="8"/>
    </row>
    <row r="54" spans="1:1" ht="13.8" x14ac:dyDescent="0.25">
      <c r="A54" s="8"/>
    </row>
    <row r="55" spans="1:1" ht="13.8" x14ac:dyDescent="0.25">
      <c r="A55" s="8"/>
    </row>
    <row r="56" spans="1:1" ht="13.8" x14ac:dyDescent="0.25">
      <c r="A56" s="8"/>
    </row>
    <row r="57" spans="1:1" ht="13.8" x14ac:dyDescent="0.25">
      <c r="A57" s="8"/>
    </row>
    <row r="58" spans="1:1" ht="13.8" x14ac:dyDescent="0.25">
      <c r="A58" s="8"/>
    </row>
    <row r="59" spans="1:1" ht="13.8" x14ac:dyDescent="0.25">
      <c r="A59" s="8"/>
    </row>
    <row r="60" spans="1:1" ht="13.8" x14ac:dyDescent="0.25">
      <c r="A60" s="8"/>
    </row>
    <row r="61" spans="1:1" ht="13.8" x14ac:dyDescent="0.25">
      <c r="A61" s="8"/>
    </row>
    <row r="62" spans="1:1" ht="13.8" x14ac:dyDescent="0.25">
      <c r="A62" s="8"/>
    </row>
    <row r="63" spans="1:1" ht="13.8" x14ac:dyDescent="0.25">
      <c r="A63" s="8"/>
    </row>
    <row r="64" spans="1:1" ht="13.8" x14ac:dyDescent="0.25">
      <c r="A64" s="8"/>
    </row>
    <row r="65" spans="1:1" ht="13.8" x14ac:dyDescent="0.25">
      <c r="A65" s="8"/>
    </row>
    <row r="66" spans="1:1" ht="13.8" x14ac:dyDescent="0.25">
      <c r="A66" s="8"/>
    </row>
    <row r="67" spans="1:1" ht="13.8" x14ac:dyDescent="0.25">
      <c r="A67" s="8"/>
    </row>
    <row r="68" spans="1:1" ht="13.8" x14ac:dyDescent="0.25">
      <c r="A68" s="8"/>
    </row>
    <row r="69" spans="1:1" ht="13.8" x14ac:dyDescent="0.25">
      <c r="A69" s="8"/>
    </row>
    <row r="70" spans="1:1" ht="13.8" x14ac:dyDescent="0.25">
      <c r="A70" s="8"/>
    </row>
    <row r="71" spans="1:1" ht="13.8" x14ac:dyDescent="0.25">
      <c r="A71" s="8"/>
    </row>
    <row r="72" spans="1:1" ht="13.8" x14ac:dyDescent="0.25">
      <c r="A72" s="8"/>
    </row>
    <row r="73" spans="1:1" ht="13.8" x14ac:dyDescent="0.25">
      <c r="A73" s="8"/>
    </row>
    <row r="74" spans="1:1" ht="13.8" x14ac:dyDescent="0.25">
      <c r="A74" s="8"/>
    </row>
    <row r="75" spans="1:1" ht="13.8" x14ac:dyDescent="0.25">
      <c r="A75" s="8"/>
    </row>
    <row r="76" spans="1:1" ht="13.8" x14ac:dyDescent="0.25">
      <c r="A76" s="8"/>
    </row>
    <row r="77" spans="1:1" ht="13.8" x14ac:dyDescent="0.25">
      <c r="A77" s="8"/>
    </row>
    <row r="78" spans="1:1" ht="13.8" x14ac:dyDescent="0.25">
      <c r="A78" s="8"/>
    </row>
    <row r="79" spans="1:1" ht="13.8" x14ac:dyDescent="0.25">
      <c r="A79" s="8"/>
    </row>
    <row r="80" spans="1:1" ht="13.8" x14ac:dyDescent="0.25">
      <c r="A80" s="8"/>
    </row>
    <row r="81" spans="1:1" ht="13.8" x14ac:dyDescent="0.25">
      <c r="A81" s="8"/>
    </row>
    <row r="82" spans="1:1" ht="13.8" x14ac:dyDescent="0.25">
      <c r="A82" s="8"/>
    </row>
    <row r="83" spans="1:1" ht="13.8" x14ac:dyDescent="0.25">
      <c r="A83" s="8"/>
    </row>
    <row r="84" spans="1:1" ht="13.8" x14ac:dyDescent="0.25">
      <c r="A84" s="8"/>
    </row>
    <row r="85" spans="1:1" ht="13.8" x14ac:dyDescent="0.25">
      <c r="A85" s="8"/>
    </row>
    <row r="86" spans="1:1" ht="13.8" x14ac:dyDescent="0.25">
      <c r="A86" s="8"/>
    </row>
    <row r="87" spans="1:1" ht="13.8" x14ac:dyDescent="0.25">
      <c r="A87" s="8"/>
    </row>
    <row r="88" spans="1:1" ht="13.8" x14ac:dyDescent="0.25">
      <c r="A88" s="8"/>
    </row>
    <row r="89" spans="1:1" ht="13.8" x14ac:dyDescent="0.25">
      <c r="A89" s="8"/>
    </row>
    <row r="90" spans="1:1" ht="13.8" x14ac:dyDescent="0.25">
      <c r="A90" s="8"/>
    </row>
    <row r="91" spans="1:1" ht="13.8" x14ac:dyDescent="0.25">
      <c r="A91" s="8"/>
    </row>
    <row r="92" spans="1:1" ht="13.8" x14ac:dyDescent="0.25">
      <c r="A92" s="8"/>
    </row>
    <row r="93" spans="1:1" ht="13.8" x14ac:dyDescent="0.25">
      <c r="A93" s="8"/>
    </row>
    <row r="94" spans="1:1" ht="13.8" x14ac:dyDescent="0.25">
      <c r="A94" s="8"/>
    </row>
    <row r="95" spans="1:1" ht="13.8" x14ac:dyDescent="0.25">
      <c r="A95" s="8"/>
    </row>
    <row r="96" spans="1:1" ht="13.8" x14ac:dyDescent="0.25">
      <c r="A96" s="8"/>
    </row>
    <row r="97" spans="1:1" ht="13.8" x14ac:dyDescent="0.25">
      <c r="A97" s="8"/>
    </row>
    <row r="98" spans="1:1" ht="13.8" x14ac:dyDescent="0.25">
      <c r="A98" s="8"/>
    </row>
    <row r="99" spans="1:1" ht="13.8" x14ac:dyDescent="0.25">
      <c r="A99" s="8"/>
    </row>
    <row r="100" spans="1:1" ht="13.8" x14ac:dyDescent="0.25">
      <c r="A100" s="8"/>
    </row>
    <row r="101" spans="1:1" ht="13.8" x14ac:dyDescent="0.25">
      <c r="A101" s="8"/>
    </row>
    <row r="102" spans="1:1" ht="13.8" x14ac:dyDescent="0.25">
      <c r="A102" s="8"/>
    </row>
    <row r="103" spans="1:1" ht="13.8" x14ac:dyDescent="0.25">
      <c r="A103" s="8"/>
    </row>
    <row r="104" spans="1:1" ht="13.8" x14ac:dyDescent="0.25">
      <c r="A104" s="8"/>
    </row>
    <row r="105" spans="1:1" ht="13.8" x14ac:dyDescent="0.25">
      <c r="A105" s="8"/>
    </row>
    <row r="106" spans="1:1" ht="13.8" x14ac:dyDescent="0.25">
      <c r="A106" s="8"/>
    </row>
    <row r="107" spans="1:1" ht="13.8" x14ac:dyDescent="0.25">
      <c r="A107" s="8"/>
    </row>
    <row r="108" spans="1:1" ht="13.8" x14ac:dyDescent="0.25">
      <c r="A108" s="8"/>
    </row>
    <row r="109" spans="1:1" ht="13.8" x14ac:dyDescent="0.25">
      <c r="A109" s="8"/>
    </row>
    <row r="110" spans="1:1" ht="13.8" x14ac:dyDescent="0.25">
      <c r="A110" s="8"/>
    </row>
    <row r="111" spans="1:1" ht="13.8" x14ac:dyDescent="0.25">
      <c r="A111" s="8"/>
    </row>
    <row r="112" spans="1:1" ht="13.8" x14ac:dyDescent="0.25">
      <c r="A112" s="8"/>
    </row>
    <row r="113" spans="1:1" ht="13.8" x14ac:dyDescent="0.25">
      <c r="A113" s="8"/>
    </row>
    <row r="114" spans="1:1" ht="13.8" x14ac:dyDescent="0.25">
      <c r="A114" s="8"/>
    </row>
    <row r="115" spans="1:1" ht="13.8" x14ac:dyDescent="0.25">
      <c r="A115" s="8"/>
    </row>
    <row r="116" spans="1:1" ht="13.8" x14ac:dyDescent="0.25">
      <c r="A116" s="8"/>
    </row>
    <row r="117" spans="1:1" ht="13.8" x14ac:dyDescent="0.25">
      <c r="A117" s="8"/>
    </row>
    <row r="118" spans="1:1" ht="13.8" x14ac:dyDescent="0.25">
      <c r="A118" s="8"/>
    </row>
    <row r="119" spans="1:1" ht="13.8" x14ac:dyDescent="0.25">
      <c r="A119" s="8"/>
    </row>
    <row r="120" spans="1:1" ht="13.8" x14ac:dyDescent="0.25">
      <c r="A120" s="8"/>
    </row>
    <row r="121" spans="1:1" ht="13.8" x14ac:dyDescent="0.25">
      <c r="A121" s="8"/>
    </row>
    <row r="122" spans="1:1" ht="13.8" x14ac:dyDescent="0.25">
      <c r="A122" s="8"/>
    </row>
    <row r="123" spans="1:1" ht="13.8" x14ac:dyDescent="0.25">
      <c r="A123" s="8"/>
    </row>
    <row r="124" spans="1:1" ht="13.8" x14ac:dyDescent="0.25">
      <c r="A124" s="8"/>
    </row>
    <row r="125" spans="1:1" ht="13.8" x14ac:dyDescent="0.25">
      <c r="A125" s="8"/>
    </row>
    <row r="126" spans="1:1" ht="13.8" x14ac:dyDescent="0.25">
      <c r="A126" s="8"/>
    </row>
    <row r="127" spans="1:1" ht="13.8" x14ac:dyDescent="0.25">
      <c r="A127" s="8"/>
    </row>
    <row r="128" spans="1:1" ht="13.8" x14ac:dyDescent="0.25">
      <c r="A128" s="8"/>
    </row>
    <row r="129" spans="1:1" ht="13.8" x14ac:dyDescent="0.25">
      <c r="A129" s="8"/>
    </row>
    <row r="130" spans="1:1" ht="13.8" x14ac:dyDescent="0.25">
      <c r="A130" s="8"/>
    </row>
    <row r="131" spans="1:1" ht="13.8" x14ac:dyDescent="0.25">
      <c r="A131" s="8"/>
    </row>
    <row r="132" spans="1:1" ht="13.8" x14ac:dyDescent="0.25">
      <c r="A132" s="8"/>
    </row>
    <row r="133" spans="1:1" ht="13.8" x14ac:dyDescent="0.25">
      <c r="A133" s="8"/>
    </row>
    <row r="134" spans="1:1" ht="13.8" x14ac:dyDescent="0.25">
      <c r="A134" s="8"/>
    </row>
    <row r="135" spans="1:1" ht="13.8" x14ac:dyDescent="0.25">
      <c r="A135" s="8"/>
    </row>
    <row r="136" spans="1:1" ht="13.8" x14ac:dyDescent="0.25">
      <c r="A136" s="8"/>
    </row>
    <row r="137" spans="1:1" ht="13.8" x14ac:dyDescent="0.25">
      <c r="A137" s="8"/>
    </row>
    <row r="138" spans="1:1" ht="13.8" x14ac:dyDescent="0.25">
      <c r="A138" s="8"/>
    </row>
    <row r="139" spans="1:1" ht="13.8" x14ac:dyDescent="0.25">
      <c r="A139" s="8"/>
    </row>
    <row r="140" spans="1:1" ht="13.8" x14ac:dyDescent="0.25">
      <c r="A140" s="8"/>
    </row>
    <row r="141" spans="1:1" ht="13.8" x14ac:dyDescent="0.25">
      <c r="A141" s="8"/>
    </row>
    <row r="142" spans="1:1" ht="13.8" x14ac:dyDescent="0.25">
      <c r="A142" s="8"/>
    </row>
    <row r="143" spans="1:1" ht="13.8" x14ac:dyDescent="0.25">
      <c r="A143" s="8"/>
    </row>
    <row r="144" spans="1:1" ht="13.8" x14ac:dyDescent="0.25">
      <c r="A144" s="8"/>
    </row>
    <row r="145" spans="1:1" ht="13.8" x14ac:dyDescent="0.25">
      <c r="A145" s="8"/>
    </row>
    <row r="146" spans="1:1" ht="13.8" x14ac:dyDescent="0.25">
      <c r="A146" s="8"/>
    </row>
    <row r="147" spans="1:1" ht="13.8" x14ac:dyDescent="0.25">
      <c r="A147" s="8"/>
    </row>
    <row r="148" spans="1:1" ht="13.8" x14ac:dyDescent="0.25">
      <c r="A148" s="8"/>
    </row>
    <row r="149" spans="1:1" ht="13.8" x14ac:dyDescent="0.25">
      <c r="A149" s="8"/>
    </row>
    <row r="150" spans="1:1" ht="13.8" x14ac:dyDescent="0.25">
      <c r="A150" s="8"/>
    </row>
    <row r="151" spans="1:1" ht="13.8" x14ac:dyDescent="0.25">
      <c r="A151" s="8"/>
    </row>
    <row r="152" spans="1:1" ht="13.8" x14ac:dyDescent="0.25">
      <c r="A152" s="8"/>
    </row>
    <row r="153" spans="1:1" ht="13.8" x14ac:dyDescent="0.25">
      <c r="A153" s="8"/>
    </row>
    <row r="154" spans="1:1" ht="13.8" x14ac:dyDescent="0.25">
      <c r="A154" s="8"/>
    </row>
    <row r="155" spans="1:1" ht="13.8" x14ac:dyDescent="0.25">
      <c r="A155" s="8"/>
    </row>
    <row r="156" spans="1:1" ht="13.8" x14ac:dyDescent="0.25">
      <c r="A156" s="8"/>
    </row>
    <row r="157" spans="1:1" ht="13.8" x14ac:dyDescent="0.25">
      <c r="A157" s="8"/>
    </row>
    <row r="158" spans="1:1" ht="13.8" x14ac:dyDescent="0.25">
      <c r="A158" s="8"/>
    </row>
    <row r="159" spans="1:1" ht="13.8" x14ac:dyDescent="0.25">
      <c r="A159" s="8"/>
    </row>
    <row r="160" spans="1:1" ht="13.8" x14ac:dyDescent="0.25">
      <c r="A160" s="8"/>
    </row>
    <row r="161" spans="1:1" ht="13.8" x14ac:dyDescent="0.25">
      <c r="A161" s="8"/>
    </row>
    <row r="162" spans="1:1" ht="13.8" x14ac:dyDescent="0.25">
      <c r="A162" s="8"/>
    </row>
    <row r="163" spans="1:1" ht="13.8" x14ac:dyDescent="0.25">
      <c r="A163" s="8"/>
    </row>
    <row r="164" spans="1:1" ht="13.8" x14ac:dyDescent="0.25">
      <c r="A164" s="8"/>
    </row>
    <row r="165" spans="1:1" ht="13.8" x14ac:dyDescent="0.25">
      <c r="A165" s="8"/>
    </row>
    <row r="166" spans="1:1" ht="13.8" x14ac:dyDescent="0.25">
      <c r="A166" s="8"/>
    </row>
    <row r="167" spans="1:1" ht="13.8" x14ac:dyDescent="0.25">
      <c r="A167" s="8"/>
    </row>
    <row r="168" spans="1:1" ht="13.8" x14ac:dyDescent="0.25">
      <c r="A168" s="8"/>
    </row>
    <row r="169" spans="1:1" ht="13.8" x14ac:dyDescent="0.25">
      <c r="A169" s="8"/>
    </row>
    <row r="170" spans="1:1" ht="13.8" x14ac:dyDescent="0.25">
      <c r="A170" s="8"/>
    </row>
    <row r="171" spans="1:1" ht="13.8" x14ac:dyDescent="0.25">
      <c r="A171" s="8"/>
    </row>
    <row r="172" spans="1:1" ht="13.8" x14ac:dyDescent="0.25">
      <c r="A172" s="8"/>
    </row>
    <row r="173" spans="1:1" ht="13.8" x14ac:dyDescent="0.25">
      <c r="A173" s="8"/>
    </row>
    <row r="174" spans="1:1" ht="13.8" x14ac:dyDescent="0.25">
      <c r="A174" s="8"/>
    </row>
    <row r="175" spans="1:1" ht="13.8" x14ac:dyDescent="0.25">
      <c r="A175" s="8"/>
    </row>
    <row r="176" spans="1:1" ht="13.8" x14ac:dyDescent="0.25">
      <c r="A176" s="8"/>
    </row>
    <row r="177" spans="1:1" ht="13.8" x14ac:dyDescent="0.25">
      <c r="A177" s="8"/>
    </row>
    <row r="178" spans="1:1" ht="13.8" x14ac:dyDescent="0.25">
      <c r="A178" s="8"/>
    </row>
    <row r="179" spans="1:1" ht="13.8" x14ac:dyDescent="0.25">
      <c r="A179" s="8"/>
    </row>
    <row r="180" spans="1:1" ht="13.8" x14ac:dyDescent="0.25">
      <c r="A180" s="8"/>
    </row>
    <row r="181" spans="1:1" ht="13.8" x14ac:dyDescent="0.25">
      <c r="A181" s="8"/>
    </row>
    <row r="182" spans="1:1" ht="13.8" x14ac:dyDescent="0.25">
      <c r="A182" s="8"/>
    </row>
    <row r="183" spans="1:1" ht="13.8" x14ac:dyDescent="0.25">
      <c r="A183" s="8"/>
    </row>
    <row r="184" spans="1:1" ht="13.8" x14ac:dyDescent="0.25">
      <c r="A184" s="8"/>
    </row>
    <row r="185" spans="1:1" ht="13.8" x14ac:dyDescent="0.25">
      <c r="A185" s="8"/>
    </row>
    <row r="186" spans="1:1" ht="13.8" x14ac:dyDescent="0.25">
      <c r="A186" s="8"/>
    </row>
    <row r="187" spans="1:1" ht="13.8" x14ac:dyDescent="0.25">
      <c r="A187" s="8"/>
    </row>
    <row r="188" spans="1:1" ht="13.8" x14ac:dyDescent="0.25">
      <c r="A188" s="8"/>
    </row>
    <row r="189" spans="1:1" ht="13.8" x14ac:dyDescent="0.25">
      <c r="A189" s="8"/>
    </row>
    <row r="190" spans="1:1" ht="13.8" x14ac:dyDescent="0.25">
      <c r="A190" s="8"/>
    </row>
    <row r="191" spans="1:1" ht="13.8" x14ac:dyDescent="0.25">
      <c r="A191" s="8"/>
    </row>
    <row r="192" spans="1:1" ht="13.8" x14ac:dyDescent="0.25">
      <c r="A192" s="8"/>
    </row>
    <row r="193" spans="1:1" ht="13.8" x14ac:dyDescent="0.25">
      <c r="A193" s="8"/>
    </row>
    <row r="194" spans="1:1" ht="13.8" x14ac:dyDescent="0.25">
      <c r="A194" s="8"/>
    </row>
    <row r="195" spans="1:1" ht="13.8" x14ac:dyDescent="0.25">
      <c r="A195" s="8"/>
    </row>
    <row r="196" spans="1:1" ht="13.8" x14ac:dyDescent="0.25">
      <c r="A196" s="8"/>
    </row>
    <row r="197" spans="1:1" ht="13.8" x14ac:dyDescent="0.25">
      <c r="A197" s="8"/>
    </row>
    <row r="198" spans="1:1" ht="13.8" x14ac:dyDescent="0.25">
      <c r="A198" s="8"/>
    </row>
    <row r="199" spans="1:1" ht="13.8" x14ac:dyDescent="0.25">
      <c r="A199" s="8"/>
    </row>
    <row r="200" spans="1:1" ht="13.8" x14ac:dyDescent="0.25">
      <c r="A200" s="8"/>
    </row>
    <row r="201" spans="1:1" ht="13.8" x14ac:dyDescent="0.25">
      <c r="A201" s="8"/>
    </row>
    <row r="202" spans="1:1" ht="13.8" x14ac:dyDescent="0.25">
      <c r="A202" s="8"/>
    </row>
    <row r="203" spans="1:1" ht="13.8" x14ac:dyDescent="0.25">
      <c r="A203" s="8"/>
    </row>
    <row r="204" spans="1:1" ht="13.8" x14ac:dyDescent="0.25">
      <c r="A204" s="8"/>
    </row>
    <row r="205" spans="1:1" ht="13.8" x14ac:dyDescent="0.25">
      <c r="A205" s="8"/>
    </row>
    <row r="206" spans="1:1" ht="13.8" x14ac:dyDescent="0.25">
      <c r="A206" s="8"/>
    </row>
    <row r="207" spans="1:1" ht="13.8" x14ac:dyDescent="0.25">
      <c r="A207" s="8"/>
    </row>
    <row r="208" spans="1:1" ht="13.8" x14ac:dyDescent="0.25">
      <c r="A208" s="8"/>
    </row>
    <row r="209" spans="1:1" ht="13.8" x14ac:dyDescent="0.25">
      <c r="A209" s="8"/>
    </row>
    <row r="210" spans="1:1" ht="13.8" x14ac:dyDescent="0.25">
      <c r="A210" s="8"/>
    </row>
    <row r="211" spans="1:1" ht="13.8" x14ac:dyDescent="0.25">
      <c r="A211" s="8"/>
    </row>
    <row r="212" spans="1:1" ht="13.8" x14ac:dyDescent="0.25">
      <c r="A212" s="8"/>
    </row>
    <row r="213" spans="1:1" ht="13.8" x14ac:dyDescent="0.25">
      <c r="A213" s="8"/>
    </row>
    <row r="214" spans="1:1" ht="13.8" x14ac:dyDescent="0.25">
      <c r="A214" s="8"/>
    </row>
    <row r="215" spans="1:1" ht="13.8" x14ac:dyDescent="0.25">
      <c r="A215" s="8"/>
    </row>
    <row r="216" spans="1:1" ht="13.8" x14ac:dyDescent="0.25">
      <c r="A216" s="8"/>
    </row>
    <row r="217" spans="1:1" ht="13.8" x14ac:dyDescent="0.25">
      <c r="A217" s="8"/>
    </row>
    <row r="218" spans="1:1" ht="13.8" x14ac:dyDescent="0.25">
      <c r="A218" s="8"/>
    </row>
    <row r="219" spans="1:1" ht="13.8" x14ac:dyDescent="0.25">
      <c r="A219" s="8"/>
    </row>
    <row r="220" spans="1:1" ht="13.8" x14ac:dyDescent="0.25">
      <c r="A220" s="8"/>
    </row>
    <row r="221" spans="1:1" ht="13.8" x14ac:dyDescent="0.25">
      <c r="A221" s="8"/>
    </row>
    <row r="222" spans="1:1" ht="13.8" x14ac:dyDescent="0.25">
      <c r="A222" s="8"/>
    </row>
    <row r="223" spans="1:1" ht="13.8" x14ac:dyDescent="0.25">
      <c r="A223" s="8"/>
    </row>
    <row r="224" spans="1:1" ht="13.8" x14ac:dyDescent="0.25">
      <c r="A224" s="8"/>
    </row>
    <row r="225" spans="1:1" ht="13.8" x14ac:dyDescent="0.25">
      <c r="A225" s="8"/>
    </row>
    <row r="226" spans="1:1" ht="13.8" x14ac:dyDescent="0.25">
      <c r="A226" s="8"/>
    </row>
    <row r="227" spans="1:1" ht="13.8" x14ac:dyDescent="0.25">
      <c r="A227" s="8"/>
    </row>
    <row r="228" spans="1:1" ht="13.8" x14ac:dyDescent="0.25">
      <c r="A228" s="8"/>
    </row>
    <row r="229" spans="1:1" ht="13.8" x14ac:dyDescent="0.25">
      <c r="A229" s="8"/>
    </row>
    <row r="230" spans="1:1" ht="13.8" x14ac:dyDescent="0.25">
      <c r="A230" s="8"/>
    </row>
    <row r="231" spans="1:1" ht="13.8" x14ac:dyDescent="0.25">
      <c r="A231" s="8"/>
    </row>
    <row r="232" spans="1:1" ht="13.8" x14ac:dyDescent="0.25">
      <c r="A232" s="8"/>
    </row>
    <row r="233" spans="1:1" ht="13.8" x14ac:dyDescent="0.25">
      <c r="A233" s="8"/>
    </row>
    <row r="234" spans="1:1" ht="13.8" x14ac:dyDescent="0.25">
      <c r="A234" s="8"/>
    </row>
    <row r="235" spans="1:1" ht="13.8" x14ac:dyDescent="0.25">
      <c r="A235" s="8"/>
    </row>
    <row r="236" spans="1:1" ht="13.8" x14ac:dyDescent="0.25">
      <c r="A236" s="8"/>
    </row>
    <row r="237" spans="1:1" ht="13.8" x14ac:dyDescent="0.25">
      <c r="A237" s="8"/>
    </row>
    <row r="238" spans="1:1" ht="13.8" x14ac:dyDescent="0.25">
      <c r="A238" s="8"/>
    </row>
    <row r="239" spans="1:1" ht="13.8" x14ac:dyDescent="0.25">
      <c r="A239" s="8"/>
    </row>
    <row r="240" spans="1:1" ht="13.8" x14ac:dyDescent="0.25">
      <c r="A240" s="8"/>
    </row>
    <row r="241" spans="1:1" ht="13.8" x14ac:dyDescent="0.25">
      <c r="A241" s="8"/>
    </row>
    <row r="242" spans="1:1" ht="13.8" x14ac:dyDescent="0.25">
      <c r="A242" s="8"/>
    </row>
    <row r="243" spans="1:1" ht="13.8" x14ac:dyDescent="0.25">
      <c r="A243" s="8"/>
    </row>
    <row r="244" spans="1:1" ht="13.8" x14ac:dyDescent="0.25">
      <c r="A244" s="8"/>
    </row>
    <row r="245" spans="1:1" ht="13.8" x14ac:dyDescent="0.25">
      <c r="A245" s="8"/>
    </row>
    <row r="246" spans="1:1" ht="13.8" x14ac:dyDescent="0.25">
      <c r="A246" s="8"/>
    </row>
    <row r="247" spans="1:1" ht="13.8" x14ac:dyDescent="0.25">
      <c r="A247" s="8"/>
    </row>
    <row r="248" spans="1:1" ht="13.8" x14ac:dyDescent="0.25">
      <c r="A248" s="8"/>
    </row>
    <row r="249" spans="1:1" ht="13.8" x14ac:dyDescent="0.25">
      <c r="A249" s="8"/>
    </row>
    <row r="250" spans="1:1" ht="13.8" x14ac:dyDescent="0.25">
      <c r="A250" s="8"/>
    </row>
    <row r="251" spans="1:1" ht="13.8" x14ac:dyDescent="0.25">
      <c r="A251" s="8"/>
    </row>
    <row r="252" spans="1:1" ht="13.8" x14ac:dyDescent="0.25">
      <c r="A252" s="8"/>
    </row>
    <row r="253" spans="1:1" ht="13.8" x14ac:dyDescent="0.25">
      <c r="A253" s="8"/>
    </row>
    <row r="254" spans="1:1" ht="13.8" x14ac:dyDescent="0.25">
      <c r="A254" s="8"/>
    </row>
    <row r="255" spans="1:1" ht="13.8" x14ac:dyDescent="0.25">
      <c r="A255" s="8"/>
    </row>
    <row r="256" spans="1:1" ht="13.8" x14ac:dyDescent="0.25">
      <c r="A256" s="8"/>
    </row>
    <row r="257" spans="1:1" ht="13.8" x14ac:dyDescent="0.25">
      <c r="A257" s="8"/>
    </row>
    <row r="258" spans="1:1" ht="13.8" x14ac:dyDescent="0.25">
      <c r="A258" s="8"/>
    </row>
    <row r="259" spans="1:1" ht="13.8" x14ac:dyDescent="0.25">
      <c r="A259" s="8"/>
    </row>
    <row r="260" spans="1:1" ht="13.8" x14ac:dyDescent="0.25">
      <c r="A260" s="8"/>
    </row>
    <row r="261" spans="1:1" ht="13.8" x14ac:dyDescent="0.25">
      <c r="A261" s="8"/>
    </row>
    <row r="262" spans="1:1" ht="13.8" x14ac:dyDescent="0.25">
      <c r="A262" s="8"/>
    </row>
    <row r="263" spans="1:1" ht="13.8" x14ac:dyDescent="0.25">
      <c r="A263" s="8"/>
    </row>
    <row r="264" spans="1:1" ht="13.8" x14ac:dyDescent="0.25">
      <c r="A264" s="8"/>
    </row>
    <row r="265" spans="1:1" ht="13.8" x14ac:dyDescent="0.25">
      <c r="A265" s="8"/>
    </row>
    <row r="266" spans="1:1" ht="13.8" x14ac:dyDescent="0.25">
      <c r="A266" s="8"/>
    </row>
    <row r="267" spans="1:1" ht="13.8" x14ac:dyDescent="0.25">
      <c r="A267" s="8"/>
    </row>
    <row r="268" spans="1:1" ht="13.8" x14ac:dyDescent="0.25">
      <c r="A268" s="8"/>
    </row>
    <row r="269" spans="1:1" ht="13.8" x14ac:dyDescent="0.25">
      <c r="A269" s="8"/>
    </row>
    <row r="270" spans="1:1" ht="13.8" x14ac:dyDescent="0.25">
      <c r="A270" s="8"/>
    </row>
    <row r="271" spans="1:1" ht="13.8" x14ac:dyDescent="0.25">
      <c r="A271" s="8"/>
    </row>
    <row r="272" spans="1:1" ht="13.8" x14ac:dyDescent="0.25">
      <c r="A272" s="8"/>
    </row>
    <row r="273" spans="1:1" ht="13.8" x14ac:dyDescent="0.25">
      <c r="A273" s="8"/>
    </row>
    <row r="274" spans="1:1" ht="13.8" x14ac:dyDescent="0.25">
      <c r="A274" s="8"/>
    </row>
    <row r="275" spans="1:1" ht="13.8" x14ac:dyDescent="0.25">
      <c r="A275" s="8"/>
    </row>
    <row r="276" spans="1:1" ht="13.8" x14ac:dyDescent="0.25">
      <c r="A276" s="8"/>
    </row>
    <row r="277" spans="1:1" ht="13.8" x14ac:dyDescent="0.25">
      <c r="A277" s="8"/>
    </row>
    <row r="278" spans="1:1" ht="13.8" x14ac:dyDescent="0.25">
      <c r="A278" s="8"/>
    </row>
    <row r="279" spans="1:1" ht="13.8" x14ac:dyDescent="0.25">
      <c r="A279" s="8"/>
    </row>
    <row r="280" spans="1:1" ht="13.8" x14ac:dyDescent="0.25">
      <c r="A280" s="8"/>
    </row>
    <row r="281" spans="1:1" ht="13.8" x14ac:dyDescent="0.25">
      <c r="A281" s="8"/>
    </row>
    <row r="282" spans="1:1" ht="13.8" x14ac:dyDescent="0.25">
      <c r="A282" s="8"/>
    </row>
    <row r="283" spans="1:1" ht="13.8" x14ac:dyDescent="0.25">
      <c r="A283" s="8"/>
    </row>
    <row r="284" spans="1:1" ht="13.8" x14ac:dyDescent="0.25">
      <c r="A284" s="8"/>
    </row>
    <row r="285" spans="1:1" ht="13.8" x14ac:dyDescent="0.25">
      <c r="A285" s="8"/>
    </row>
    <row r="286" spans="1:1" ht="13.8" x14ac:dyDescent="0.25">
      <c r="A286" s="8"/>
    </row>
    <row r="287" spans="1:1" ht="13.8" x14ac:dyDescent="0.25">
      <c r="A287" s="8"/>
    </row>
    <row r="288" spans="1:1" ht="13.8" x14ac:dyDescent="0.25">
      <c r="A288" s="8"/>
    </row>
    <row r="289" spans="1:1" ht="13.8" x14ac:dyDescent="0.25">
      <c r="A289" s="8"/>
    </row>
    <row r="290" spans="1:1" ht="13.8" x14ac:dyDescent="0.25">
      <c r="A290" s="8"/>
    </row>
    <row r="291" spans="1:1" ht="13.8" x14ac:dyDescent="0.25">
      <c r="A291" s="8"/>
    </row>
    <row r="292" spans="1:1" ht="13.8" x14ac:dyDescent="0.25">
      <c r="A292" s="8"/>
    </row>
    <row r="293" spans="1:1" ht="13.8" x14ac:dyDescent="0.25">
      <c r="A293" s="8"/>
    </row>
    <row r="294" spans="1:1" ht="13.8" x14ac:dyDescent="0.25">
      <c r="A294" s="8"/>
    </row>
    <row r="295" spans="1:1" ht="13.8" x14ac:dyDescent="0.25">
      <c r="A295" s="8"/>
    </row>
    <row r="296" spans="1:1" ht="13.8" x14ac:dyDescent="0.25">
      <c r="A296" s="8"/>
    </row>
    <row r="297" spans="1:1" ht="13.8" x14ac:dyDescent="0.25">
      <c r="A297" s="8"/>
    </row>
    <row r="298" spans="1:1" ht="13.8" x14ac:dyDescent="0.25">
      <c r="A298" s="8"/>
    </row>
    <row r="299" spans="1:1" ht="13.8" x14ac:dyDescent="0.25">
      <c r="A299" s="8"/>
    </row>
    <row r="300" spans="1:1" ht="13.8" x14ac:dyDescent="0.25">
      <c r="A300" s="8"/>
    </row>
    <row r="301" spans="1:1" ht="13.8" x14ac:dyDescent="0.25">
      <c r="A301" s="8"/>
    </row>
    <row r="302" spans="1:1" ht="13.8" x14ac:dyDescent="0.25">
      <c r="A302" s="8"/>
    </row>
    <row r="303" spans="1:1" ht="13.8" x14ac:dyDescent="0.25">
      <c r="A303" s="8"/>
    </row>
    <row r="304" spans="1:1" ht="13.8" x14ac:dyDescent="0.25">
      <c r="A304" s="8"/>
    </row>
    <row r="305" spans="1:1" ht="13.8" x14ac:dyDescent="0.25">
      <c r="A305" s="8"/>
    </row>
    <row r="306" spans="1:1" ht="13.8" x14ac:dyDescent="0.25">
      <c r="A306" s="8"/>
    </row>
    <row r="307" spans="1:1" ht="13.8" x14ac:dyDescent="0.25">
      <c r="A307" s="8"/>
    </row>
    <row r="308" spans="1:1" ht="13.8" x14ac:dyDescent="0.25">
      <c r="A308" s="8"/>
    </row>
    <row r="309" spans="1:1" ht="13.8" x14ac:dyDescent="0.25">
      <c r="A309" s="8"/>
    </row>
    <row r="310" spans="1:1" ht="13.8" x14ac:dyDescent="0.25">
      <c r="A310" s="8"/>
    </row>
    <row r="311" spans="1:1" ht="13.8" x14ac:dyDescent="0.25">
      <c r="A311" s="8"/>
    </row>
    <row r="312" spans="1:1" ht="13.8" x14ac:dyDescent="0.25">
      <c r="A312" s="8"/>
    </row>
    <row r="313" spans="1:1" ht="13.8" x14ac:dyDescent="0.25">
      <c r="A313" s="8"/>
    </row>
    <row r="314" spans="1:1" ht="13.8" x14ac:dyDescent="0.25">
      <c r="A314" s="8"/>
    </row>
    <row r="315" spans="1:1" ht="13.8" x14ac:dyDescent="0.25">
      <c r="A315" s="8"/>
    </row>
    <row r="316" spans="1:1" ht="13.8" x14ac:dyDescent="0.25">
      <c r="A316" s="8"/>
    </row>
    <row r="317" spans="1:1" ht="13.8" x14ac:dyDescent="0.25">
      <c r="A317" s="8"/>
    </row>
    <row r="318" spans="1:1" ht="13.8" x14ac:dyDescent="0.25">
      <c r="A318" s="8"/>
    </row>
    <row r="319" spans="1:1" ht="13.8" x14ac:dyDescent="0.25">
      <c r="A319" s="8"/>
    </row>
    <row r="320" spans="1:1" ht="13.8" x14ac:dyDescent="0.25">
      <c r="A320" s="8"/>
    </row>
    <row r="321" spans="1:1" ht="13.8" x14ac:dyDescent="0.25">
      <c r="A321" s="8"/>
    </row>
    <row r="322" spans="1:1" ht="13.8" x14ac:dyDescent="0.25">
      <c r="A322" s="8"/>
    </row>
    <row r="323" spans="1:1" ht="13.8" x14ac:dyDescent="0.25">
      <c r="A323" s="8"/>
    </row>
    <row r="324" spans="1:1" ht="13.8" x14ac:dyDescent="0.25">
      <c r="A324" s="8"/>
    </row>
    <row r="325" spans="1:1" ht="13.8" x14ac:dyDescent="0.25">
      <c r="A325" s="8"/>
    </row>
    <row r="326" spans="1:1" ht="13.8" x14ac:dyDescent="0.25">
      <c r="A326" s="8"/>
    </row>
    <row r="327" spans="1:1" ht="13.8" x14ac:dyDescent="0.25">
      <c r="A327" s="8"/>
    </row>
    <row r="328" spans="1:1" ht="13.8" x14ac:dyDescent="0.25">
      <c r="A328" s="8"/>
    </row>
    <row r="329" spans="1:1" ht="13.8" x14ac:dyDescent="0.25">
      <c r="A329" s="8"/>
    </row>
    <row r="330" spans="1:1" ht="13.8" x14ac:dyDescent="0.25">
      <c r="A330" s="8"/>
    </row>
    <row r="331" spans="1:1" ht="13.8" x14ac:dyDescent="0.25">
      <c r="A331" s="8"/>
    </row>
    <row r="332" spans="1:1" ht="13.8" x14ac:dyDescent="0.25">
      <c r="A332" s="8"/>
    </row>
    <row r="333" spans="1:1" ht="13.8" x14ac:dyDescent="0.25">
      <c r="A333" s="8"/>
    </row>
    <row r="334" spans="1:1" ht="13.8" x14ac:dyDescent="0.25">
      <c r="A334" s="8"/>
    </row>
    <row r="335" spans="1:1" ht="13.8" x14ac:dyDescent="0.25">
      <c r="A335" s="8"/>
    </row>
    <row r="336" spans="1:1" ht="13.8" x14ac:dyDescent="0.25">
      <c r="A336" s="8"/>
    </row>
    <row r="337" spans="1:1" ht="13.8" x14ac:dyDescent="0.25">
      <c r="A337" s="8"/>
    </row>
    <row r="338" spans="1:1" ht="13.8" x14ac:dyDescent="0.25">
      <c r="A338" s="8"/>
    </row>
    <row r="339" spans="1:1" ht="13.8" x14ac:dyDescent="0.25">
      <c r="A339" s="8"/>
    </row>
    <row r="340" spans="1:1" ht="13.8" x14ac:dyDescent="0.25">
      <c r="A340" s="8"/>
    </row>
    <row r="341" spans="1:1" ht="13.8" x14ac:dyDescent="0.25">
      <c r="A341" s="8"/>
    </row>
    <row r="342" spans="1:1" ht="13.8" x14ac:dyDescent="0.25">
      <c r="A342" s="8"/>
    </row>
    <row r="343" spans="1:1" ht="13.8" x14ac:dyDescent="0.25">
      <c r="A343" s="8"/>
    </row>
    <row r="344" spans="1:1" ht="13.8" x14ac:dyDescent="0.25">
      <c r="A344" s="8"/>
    </row>
    <row r="345" spans="1:1" ht="13.8" x14ac:dyDescent="0.25">
      <c r="A345" s="8"/>
    </row>
    <row r="346" spans="1:1" ht="13.8" x14ac:dyDescent="0.25">
      <c r="A346" s="8"/>
    </row>
    <row r="347" spans="1:1" ht="13.8" x14ac:dyDescent="0.25">
      <c r="A347" s="8"/>
    </row>
    <row r="348" spans="1:1" ht="13.8" x14ac:dyDescent="0.25">
      <c r="A348" s="8"/>
    </row>
    <row r="349" spans="1:1" ht="13.8" x14ac:dyDescent="0.25">
      <c r="A349" s="8"/>
    </row>
    <row r="350" spans="1:1" ht="13.8" x14ac:dyDescent="0.25">
      <c r="A350" s="8"/>
    </row>
    <row r="351" spans="1:1" ht="13.8" x14ac:dyDescent="0.25">
      <c r="A351" s="8"/>
    </row>
    <row r="352" spans="1:1" ht="13.8" x14ac:dyDescent="0.25">
      <c r="A352" s="8"/>
    </row>
    <row r="353" spans="1:1" ht="13.8" x14ac:dyDescent="0.25">
      <c r="A353" s="8"/>
    </row>
    <row r="354" spans="1:1" ht="13.8" x14ac:dyDescent="0.25">
      <c r="A354" s="8"/>
    </row>
    <row r="355" spans="1:1" ht="13.8" x14ac:dyDescent="0.25">
      <c r="A355" s="8"/>
    </row>
    <row r="356" spans="1:1" ht="13.8" x14ac:dyDescent="0.25">
      <c r="A356" s="8"/>
    </row>
    <row r="357" spans="1:1" ht="13.8" x14ac:dyDescent="0.25">
      <c r="A357" s="8"/>
    </row>
    <row r="358" spans="1:1" ht="13.8" x14ac:dyDescent="0.25">
      <c r="A358" s="8"/>
    </row>
    <row r="359" spans="1:1" ht="13.8" x14ac:dyDescent="0.25">
      <c r="A359" s="8"/>
    </row>
    <row r="360" spans="1:1" ht="13.8" x14ac:dyDescent="0.25">
      <c r="A360" s="8"/>
    </row>
    <row r="361" spans="1:1" ht="13.8" x14ac:dyDescent="0.25">
      <c r="A361" s="8"/>
    </row>
    <row r="362" spans="1:1" ht="13.8" x14ac:dyDescent="0.25">
      <c r="A362" s="8"/>
    </row>
    <row r="363" spans="1:1" ht="13.8" x14ac:dyDescent="0.25">
      <c r="A363" s="8"/>
    </row>
    <row r="364" spans="1:1" ht="13.8" x14ac:dyDescent="0.25">
      <c r="A364" s="8"/>
    </row>
    <row r="365" spans="1:1" ht="13.8" x14ac:dyDescent="0.25">
      <c r="A365" s="8"/>
    </row>
    <row r="366" spans="1:1" ht="13.8" x14ac:dyDescent="0.25">
      <c r="A366" s="8"/>
    </row>
    <row r="367" spans="1:1" ht="13.8" x14ac:dyDescent="0.25">
      <c r="A367" s="8"/>
    </row>
    <row r="368" spans="1:1" ht="13.8" x14ac:dyDescent="0.25">
      <c r="A368" s="8"/>
    </row>
    <row r="369" spans="1:1" ht="13.8" x14ac:dyDescent="0.25">
      <c r="A369" s="8"/>
    </row>
    <row r="370" spans="1:1" ht="13.8" x14ac:dyDescent="0.25">
      <c r="A370" s="8"/>
    </row>
    <row r="371" spans="1:1" ht="13.8" x14ac:dyDescent="0.25">
      <c r="A371" s="8"/>
    </row>
    <row r="372" spans="1:1" ht="13.8" x14ac:dyDescent="0.25">
      <c r="A372" s="8"/>
    </row>
    <row r="373" spans="1:1" ht="13.8" x14ac:dyDescent="0.25">
      <c r="A373" s="8"/>
    </row>
    <row r="374" spans="1:1" ht="13.8" x14ac:dyDescent="0.25">
      <c r="A374" s="8"/>
    </row>
    <row r="375" spans="1:1" ht="13.8" x14ac:dyDescent="0.25">
      <c r="A375" s="8"/>
    </row>
    <row r="376" spans="1:1" ht="13.8" x14ac:dyDescent="0.25">
      <c r="A376" s="8"/>
    </row>
    <row r="377" spans="1:1" ht="13.8" x14ac:dyDescent="0.25">
      <c r="A377" s="8"/>
    </row>
    <row r="378" spans="1:1" ht="13.8" x14ac:dyDescent="0.25">
      <c r="A378" s="8"/>
    </row>
    <row r="379" spans="1:1" ht="13.8" x14ac:dyDescent="0.25">
      <c r="A379" s="8"/>
    </row>
    <row r="380" spans="1:1" ht="13.8" x14ac:dyDescent="0.25">
      <c r="A380" s="8"/>
    </row>
    <row r="381" spans="1:1" ht="13.8" x14ac:dyDescent="0.25">
      <c r="A381" s="8"/>
    </row>
    <row r="382" spans="1:1" ht="13.8" x14ac:dyDescent="0.25">
      <c r="A382" s="8"/>
    </row>
    <row r="383" spans="1:1" ht="13.8" x14ac:dyDescent="0.25">
      <c r="A383" s="8"/>
    </row>
    <row r="384" spans="1:1" ht="13.8" x14ac:dyDescent="0.25">
      <c r="A384" s="8"/>
    </row>
    <row r="385" spans="1:1" ht="13.8" x14ac:dyDescent="0.25">
      <c r="A385" s="8"/>
    </row>
    <row r="386" spans="1:1" ht="13.8" x14ac:dyDescent="0.25">
      <c r="A386" s="8"/>
    </row>
    <row r="387" spans="1:1" ht="13.8" x14ac:dyDescent="0.25">
      <c r="A387" s="8"/>
    </row>
    <row r="388" spans="1:1" ht="13.8" x14ac:dyDescent="0.25">
      <c r="A388" s="8"/>
    </row>
    <row r="389" spans="1:1" ht="13.8" x14ac:dyDescent="0.25">
      <c r="A389" s="8"/>
    </row>
    <row r="390" spans="1:1" ht="13.8" x14ac:dyDescent="0.25">
      <c r="A390" s="8"/>
    </row>
    <row r="391" spans="1:1" ht="13.8" x14ac:dyDescent="0.25">
      <c r="A391" s="8"/>
    </row>
    <row r="392" spans="1:1" ht="13.8" x14ac:dyDescent="0.25">
      <c r="A392" s="8"/>
    </row>
    <row r="393" spans="1:1" ht="13.8" x14ac:dyDescent="0.25">
      <c r="A393" s="8"/>
    </row>
    <row r="394" spans="1:1" ht="13.8" x14ac:dyDescent="0.25">
      <c r="A394" s="8"/>
    </row>
    <row r="395" spans="1:1" ht="13.8" x14ac:dyDescent="0.25">
      <c r="A395" s="8"/>
    </row>
    <row r="396" spans="1:1" ht="13.8" x14ac:dyDescent="0.25">
      <c r="A396" s="8"/>
    </row>
    <row r="397" spans="1:1" ht="13.8" x14ac:dyDescent="0.25">
      <c r="A397" s="8"/>
    </row>
    <row r="398" spans="1:1" ht="13.8" x14ac:dyDescent="0.25">
      <c r="A398" s="8"/>
    </row>
    <row r="399" spans="1:1" ht="13.8" x14ac:dyDescent="0.25">
      <c r="A399" s="8"/>
    </row>
    <row r="400" spans="1:1" ht="13.8" x14ac:dyDescent="0.25">
      <c r="A400" s="8"/>
    </row>
    <row r="401" spans="1:1" ht="13.8" x14ac:dyDescent="0.25">
      <c r="A401" s="8"/>
    </row>
    <row r="402" spans="1:1" ht="13.8" x14ac:dyDescent="0.25">
      <c r="A402" s="8"/>
    </row>
    <row r="403" spans="1:1" ht="13.8" x14ac:dyDescent="0.25">
      <c r="A403" s="8"/>
    </row>
    <row r="404" spans="1:1" ht="13.8" x14ac:dyDescent="0.25">
      <c r="A404" s="8"/>
    </row>
    <row r="405" spans="1:1" ht="13.8" x14ac:dyDescent="0.25">
      <c r="A405" s="8"/>
    </row>
    <row r="406" spans="1:1" ht="13.8" x14ac:dyDescent="0.25">
      <c r="A406" s="8"/>
    </row>
    <row r="407" spans="1:1" ht="13.8" x14ac:dyDescent="0.25">
      <c r="A407" s="8"/>
    </row>
    <row r="408" spans="1:1" ht="13.8" x14ac:dyDescent="0.25">
      <c r="A408" s="8"/>
    </row>
    <row r="409" spans="1:1" ht="13.8" x14ac:dyDescent="0.25">
      <c r="A409" s="8"/>
    </row>
    <row r="410" spans="1:1" ht="13.8" x14ac:dyDescent="0.25">
      <c r="A410" s="8"/>
    </row>
    <row r="411" spans="1:1" ht="13.8" x14ac:dyDescent="0.25">
      <c r="A411" s="8"/>
    </row>
    <row r="412" spans="1:1" ht="13.8" x14ac:dyDescent="0.25">
      <c r="A412" s="8"/>
    </row>
    <row r="413" spans="1:1" ht="13.8" x14ac:dyDescent="0.25">
      <c r="A413" s="8"/>
    </row>
    <row r="414" spans="1:1" ht="13.8" x14ac:dyDescent="0.25">
      <c r="A414" s="8"/>
    </row>
    <row r="415" spans="1:1" ht="13.8" x14ac:dyDescent="0.25">
      <c r="A415" s="8"/>
    </row>
    <row r="416" spans="1:1" ht="13.8" x14ac:dyDescent="0.25">
      <c r="A416" s="8"/>
    </row>
    <row r="417" spans="1:1" ht="13.8" x14ac:dyDescent="0.25">
      <c r="A417" s="8"/>
    </row>
    <row r="418" spans="1:1" ht="13.8" x14ac:dyDescent="0.25">
      <c r="A418" s="8"/>
    </row>
    <row r="419" spans="1:1" ht="13.8" x14ac:dyDescent="0.25">
      <c r="A419" s="8"/>
    </row>
    <row r="420" spans="1:1" ht="13.8" x14ac:dyDescent="0.25">
      <c r="A420" s="8"/>
    </row>
    <row r="421" spans="1:1" ht="13.8" x14ac:dyDescent="0.25">
      <c r="A421" s="8"/>
    </row>
    <row r="422" spans="1:1" ht="13.8" x14ac:dyDescent="0.25">
      <c r="A422" s="8"/>
    </row>
    <row r="423" spans="1:1" ht="13.8" x14ac:dyDescent="0.25">
      <c r="A423" s="8"/>
    </row>
    <row r="424" spans="1:1" ht="13.8" x14ac:dyDescent="0.25">
      <c r="A424" s="8"/>
    </row>
    <row r="425" spans="1:1" ht="13.8" x14ac:dyDescent="0.25">
      <c r="A425" s="8"/>
    </row>
    <row r="426" spans="1:1" ht="13.8" x14ac:dyDescent="0.25">
      <c r="A426" s="8"/>
    </row>
    <row r="427" spans="1:1" ht="13.8" x14ac:dyDescent="0.25">
      <c r="A427" s="8"/>
    </row>
    <row r="428" spans="1:1" ht="13.8" x14ac:dyDescent="0.25">
      <c r="A428" s="8"/>
    </row>
    <row r="429" spans="1:1" ht="13.8" x14ac:dyDescent="0.25">
      <c r="A429" s="8"/>
    </row>
    <row r="430" spans="1:1" ht="13.8" x14ac:dyDescent="0.25">
      <c r="A430" s="8"/>
    </row>
    <row r="431" spans="1:1" ht="13.8" x14ac:dyDescent="0.25">
      <c r="A431" s="8"/>
    </row>
    <row r="432" spans="1:1" ht="13.8" x14ac:dyDescent="0.25">
      <c r="A432" s="8"/>
    </row>
    <row r="433" spans="1:1" ht="13.8" x14ac:dyDescent="0.25">
      <c r="A433" s="8"/>
    </row>
    <row r="434" spans="1:1" ht="13.8" x14ac:dyDescent="0.25">
      <c r="A434" s="8"/>
    </row>
    <row r="435" spans="1:1" ht="13.8" x14ac:dyDescent="0.25">
      <c r="A435" s="8"/>
    </row>
    <row r="436" spans="1:1" ht="13.8" x14ac:dyDescent="0.25">
      <c r="A436" s="8"/>
    </row>
    <row r="437" spans="1:1" ht="13.8" x14ac:dyDescent="0.25">
      <c r="A437" s="8"/>
    </row>
    <row r="438" spans="1:1" ht="13.8" x14ac:dyDescent="0.25">
      <c r="A438" s="8"/>
    </row>
    <row r="439" spans="1:1" ht="13.8" x14ac:dyDescent="0.25">
      <c r="A439" s="8"/>
    </row>
    <row r="440" spans="1:1" ht="13.8" x14ac:dyDescent="0.25">
      <c r="A440" s="8"/>
    </row>
    <row r="441" spans="1:1" ht="13.8" x14ac:dyDescent="0.25">
      <c r="A441" s="8"/>
    </row>
    <row r="442" spans="1:1" ht="13.8" x14ac:dyDescent="0.25">
      <c r="A442" s="8"/>
    </row>
    <row r="443" spans="1:1" ht="13.8" x14ac:dyDescent="0.25">
      <c r="A443" s="8"/>
    </row>
    <row r="444" spans="1:1" ht="13.8" x14ac:dyDescent="0.25">
      <c r="A444" s="8"/>
    </row>
    <row r="445" spans="1:1" ht="13.8" x14ac:dyDescent="0.25">
      <c r="A445" s="8"/>
    </row>
    <row r="446" spans="1:1" ht="13.8" x14ac:dyDescent="0.25">
      <c r="A446" s="8"/>
    </row>
    <row r="447" spans="1:1" ht="13.8" x14ac:dyDescent="0.25">
      <c r="A447" s="8"/>
    </row>
    <row r="448" spans="1:1" ht="13.8" x14ac:dyDescent="0.25">
      <c r="A448" s="8"/>
    </row>
    <row r="449" spans="1:1" ht="13.8" x14ac:dyDescent="0.25">
      <c r="A449" s="8"/>
    </row>
    <row r="450" spans="1:1" ht="13.8" x14ac:dyDescent="0.25">
      <c r="A450" s="8"/>
    </row>
    <row r="451" spans="1:1" ht="13.8" x14ac:dyDescent="0.25">
      <c r="A451" s="8"/>
    </row>
    <row r="452" spans="1:1" ht="13.8" x14ac:dyDescent="0.25">
      <c r="A452" s="8"/>
    </row>
    <row r="453" spans="1:1" ht="13.8" x14ac:dyDescent="0.25">
      <c r="A453" s="8"/>
    </row>
    <row r="454" spans="1:1" ht="13.8" x14ac:dyDescent="0.25">
      <c r="A454" s="8"/>
    </row>
    <row r="455" spans="1:1" ht="13.8" x14ac:dyDescent="0.25">
      <c r="A455" s="8"/>
    </row>
    <row r="456" spans="1:1" ht="13.8" x14ac:dyDescent="0.25">
      <c r="A456" s="8"/>
    </row>
    <row r="457" spans="1:1" ht="13.8" x14ac:dyDescent="0.25">
      <c r="A457" s="8"/>
    </row>
    <row r="458" spans="1:1" ht="13.8" x14ac:dyDescent="0.25">
      <c r="A458" s="8"/>
    </row>
    <row r="459" spans="1:1" ht="13.8" x14ac:dyDescent="0.25">
      <c r="A459" s="8"/>
    </row>
    <row r="460" spans="1:1" ht="13.8" x14ac:dyDescent="0.25">
      <c r="A460" s="8"/>
    </row>
    <row r="461" spans="1:1" ht="13.8" x14ac:dyDescent="0.25">
      <c r="A461" s="8"/>
    </row>
    <row r="462" spans="1:1" ht="13.8" x14ac:dyDescent="0.25">
      <c r="A462" s="8"/>
    </row>
    <row r="463" spans="1:1" ht="13.8" x14ac:dyDescent="0.25">
      <c r="A463" s="8"/>
    </row>
    <row r="464" spans="1:1" ht="13.8" x14ac:dyDescent="0.25">
      <c r="A464" s="8"/>
    </row>
    <row r="465" spans="1:1" ht="13.8" x14ac:dyDescent="0.25">
      <c r="A465" s="8"/>
    </row>
    <row r="466" spans="1:1" ht="13.8" x14ac:dyDescent="0.25">
      <c r="A466" s="8"/>
    </row>
    <row r="467" spans="1:1" ht="13.8" x14ac:dyDescent="0.25">
      <c r="A467" s="8"/>
    </row>
    <row r="468" spans="1:1" ht="13.8" x14ac:dyDescent="0.25">
      <c r="A468" s="8"/>
    </row>
    <row r="469" spans="1:1" ht="13.8" x14ac:dyDescent="0.25">
      <c r="A469" s="8"/>
    </row>
    <row r="470" spans="1:1" ht="13.8" x14ac:dyDescent="0.25">
      <c r="A470" s="8"/>
    </row>
    <row r="471" spans="1:1" ht="13.8" x14ac:dyDescent="0.25">
      <c r="A471" s="8"/>
    </row>
    <row r="472" spans="1:1" ht="13.8" x14ac:dyDescent="0.25">
      <c r="A472" s="8"/>
    </row>
    <row r="473" spans="1:1" ht="13.8" x14ac:dyDescent="0.25">
      <c r="A473" s="8"/>
    </row>
    <row r="474" spans="1:1" ht="13.8" x14ac:dyDescent="0.25">
      <c r="A474" s="8"/>
    </row>
    <row r="475" spans="1:1" ht="13.8" x14ac:dyDescent="0.25">
      <c r="A475" s="8"/>
    </row>
    <row r="476" spans="1:1" ht="13.8" x14ac:dyDescent="0.25">
      <c r="A476" s="8"/>
    </row>
    <row r="477" spans="1:1" ht="13.8" x14ac:dyDescent="0.25">
      <c r="A477" s="8"/>
    </row>
    <row r="478" spans="1:1" ht="13.8" x14ac:dyDescent="0.25">
      <c r="A478" s="8"/>
    </row>
    <row r="479" spans="1:1" ht="13.8" x14ac:dyDescent="0.25">
      <c r="A479" s="8"/>
    </row>
    <row r="480" spans="1:1" ht="13.8" x14ac:dyDescent="0.25">
      <c r="A480" s="8"/>
    </row>
    <row r="481" spans="1:1" ht="13.8" x14ac:dyDescent="0.25">
      <c r="A481" s="8"/>
    </row>
    <row r="482" spans="1:1" ht="13.8" x14ac:dyDescent="0.25">
      <c r="A482" s="8"/>
    </row>
    <row r="483" spans="1:1" ht="13.8" x14ac:dyDescent="0.25">
      <c r="A483" s="8"/>
    </row>
    <row r="484" spans="1:1" ht="13.8" x14ac:dyDescent="0.25">
      <c r="A484" s="8"/>
    </row>
    <row r="485" spans="1:1" ht="13.8" x14ac:dyDescent="0.25">
      <c r="A485" s="8"/>
    </row>
    <row r="486" spans="1:1" ht="13.8" x14ac:dyDescent="0.25">
      <c r="A486" s="8"/>
    </row>
    <row r="487" spans="1:1" ht="13.8" x14ac:dyDescent="0.25">
      <c r="A487" s="8"/>
    </row>
    <row r="488" spans="1:1" ht="13.8" x14ac:dyDescent="0.25">
      <c r="A488" s="8"/>
    </row>
    <row r="489" spans="1:1" ht="13.8" x14ac:dyDescent="0.25">
      <c r="A489" s="8"/>
    </row>
    <row r="490" spans="1:1" ht="13.8" x14ac:dyDescent="0.25">
      <c r="A490" s="8"/>
    </row>
    <row r="491" spans="1:1" ht="13.8" x14ac:dyDescent="0.25">
      <c r="A491" s="8"/>
    </row>
    <row r="492" spans="1:1" ht="13.8" x14ac:dyDescent="0.25">
      <c r="A492" s="8"/>
    </row>
    <row r="493" spans="1:1" ht="13.8" x14ac:dyDescent="0.25">
      <c r="A493" s="8"/>
    </row>
    <row r="494" spans="1:1" ht="13.8" x14ac:dyDescent="0.25">
      <c r="A494" s="8"/>
    </row>
    <row r="495" spans="1:1" ht="13.8" x14ac:dyDescent="0.25">
      <c r="A495" s="8"/>
    </row>
    <row r="496" spans="1:1" ht="13.8" x14ac:dyDescent="0.25">
      <c r="A496" s="8"/>
    </row>
    <row r="497" spans="1:1" ht="13.8" x14ac:dyDescent="0.25">
      <c r="A497" s="8"/>
    </row>
    <row r="498" spans="1:1" ht="13.8" x14ac:dyDescent="0.25">
      <c r="A498" s="8"/>
    </row>
    <row r="499" spans="1:1" ht="13.8" x14ac:dyDescent="0.25">
      <c r="A499" s="8"/>
    </row>
    <row r="500" spans="1:1" ht="13.8" x14ac:dyDescent="0.25">
      <c r="A500" s="8"/>
    </row>
    <row r="501" spans="1:1" ht="13.8" x14ac:dyDescent="0.25">
      <c r="A501" s="8"/>
    </row>
    <row r="502" spans="1:1" ht="13.8" x14ac:dyDescent="0.25">
      <c r="A502" s="8"/>
    </row>
    <row r="503" spans="1:1" ht="13.8" x14ac:dyDescent="0.25">
      <c r="A503" s="8"/>
    </row>
    <row r="504" spans="1:1" ht="13.8" x14ac:dyDescent="0.25">
      <c r="A504" s="8"/>
    </row>
    <row r="505" spans="1:1" ht="13.8" x14ac:dyDescent="0.25">
      <c r="A505" s="8"/>
    </row>
    <row r="506" spans="1:1" ht="13.8" x14ac:dyDescent="0.25">
      <c r="A506" s="8"/>
    </row>
    <row r="507" spans="1:1" ht="13.8" x14ac:dyDescent="0.25">
      <c r="A507" s="8"/>
    </row>
    <row r="508" spans="1:1" ht="13.8" x14ac:dyDescent="0.25">
      <c r="A508" s="8"/>
    </row>
    <row r="509" spans="1:1" ht="13.8" x14ac:dyDescent="0.25">
      <c r="A509" s="8"/>
    </row>
    <row r="510" spans="1:1" ht="13.8" x14ac:dyDescent="0.25">
      <c r="A510" s="8"/>
    </row>
    <row r="511" spans="1:1" ht="13.8" x14ac:dyDescent="0.25">
      <c r="A511" s="8"/>
    </row>
    <row r="512" spans="1:1" ht="13.8" x14ac:dyDescent="0.25">
      <c r="A512" s="8"/>
    </row>
    <row r="513" spans="1:1" ht="13.8" x14ac:dyDescent="0.25">
      <c r="A513" s="8"/>
    </row>
    <row r="514" spans="1:1" ht="13.8" x14ac:dyDescent="0.25">
      <c r="A514" s="8"/>
    </row>
    <row r="515" spans="1:1" ht="13.8" x14ac:dyDescent="0.25">
      <c r="A515" s="8"/>
    </row>
    <row r="516" spans="1:1" ht="13.8" x14ac:dyDescent="0.25">
      <c r="A516" s="8"/>
    </row>
    <row r="517" spans="1:1" ht="13.8" x14ac:dyDescent="0.25">
      <c r="A517" s="8"/>
    </row>
    <row r="518" spans="1:1" ht="13.8" x14ac:dyDescent="0.25">
      <c r="A518" s="8"/>
    </row>
    <row r="519" spans="1:1" ht="13.8" x14ac:dyDescent="0.25">
      <c r="A519" s="8"/>
    </row>
    <row r="520" spans="1:1" ht="13.8" x14ac:dyDescent="0.25">
      <c r="A520" s="8"/>
    </row>
    <row r="521" spans="1:1" ht="13.8" x14ac:dyDescent="0.25">
      <c r="A521" s="8"/>
    </row>
    <row r="522" spans="1:1" ht="13.8" x14ac:dyDescent="0.25">
      <c r="A522" s="8"/>
    </row>
    <row r="523" spans="1:1" ht="13.8" x14ac:dyDescent="0.25">
      <c r="A523" s="8"/>
    </row>
    <row r="524" spans="1:1" ht="13.8" x14ac:dyDescent="0.25">
      <c r="A524" s="8"/>
    </row>
    <row r="525" spans="1:1" ht="13.8" x14ac:dyDescent="0.25">
      <c r="A525" s="8"/>
    </row>
    <row r="526" spans="1:1" ht="13.8" x14ac:dyDescent="0.25">
      <c r="A526" s="8"/>
    </row>
    <row r="527" spans="1:1" ht="13.8" x14ac:dyDescent="0.25">
      <c r="A527" s="8"/>
    </row>
    <row r="528" spans="1:1" ht="13.8" x14ac:dyDescent="0.25">
      <c r="A528" s="8"/>
    </row>
    <row r="529" spans="1:1" ht="13.8" x14ac:dyDescent="0.25">
      <c r="A529" s="8"/>
    </row>
    <row r="530" spans="1:1" ht="13.8" x14ac:dyDescent="0.25">
      <c r="A530" s="8"/>
    </row>
    <row r="531" spans="1:1" ht="13.8" x14ac:dyDescent="0.25">
      <c r="A531" s="8"/>
    </row>
    <row r="532" spans="1:1" ht="13.8" x14ac:dyDescent="0.25">
      <c r="A532" s="8"/>
    </row>
    <row r="533" spans="1:1" ht="13.8" x14ac:dyDescent="0.25">
      <c r="A533" s="8"/>
    </row>
    <row r="534" spans="1:1" ht="13.8" x14ac:dyDescent="0.25">
      <c r="A534" s="8"/>
    </row>
    <row r="535" spans="1:1" ht="13.8" x14ac:dyDescent="0.25">
      <c r="A535" s="8"/>
    </row>
    <row r="536" spans="1:1" ht="13.8" x14ac:dyDescent="0.25">
      <c r="A536" s="8"/>
    </row>
    <row r="537" spans="1:1" ht="13.8" x14ac:dyDescent="0.25">
      <c r="A537" s="8"/>
    </row>
    <row r="538" spans="1:1" ht="13.8" x14ac:dyDescent="0.25">
      <c r="A538" s="8"/>
    </row>
    <row r="539" spans="1:1" ht="13.8" x14ac:dyDescent="0.25">
      <c r="A539" s="8"/>
    </row>
    <row r="540" spans="1:1" ht="13.8" x14ac:dyDescent="0.25">
      <c r="A540" s="8"/>
    </row>
    <row r="541" spans="1:1" ht="13.8" x14ac:dyDescent="0.25">
      <c r="A541" s="8"/>
    </row>
    <row r="542" spans="1:1" ht="13.8" x14ac:dyDescent="0.25">
      <c r="A542" s="8"/>
    </row>
    <row r="543" spans="1:1" ht="13.8" x14ac:dyDescent="0.25">
      <c r="A543" s="8"/>
    </row>
    <row r="544" spans="1:1" ht="13.8" x14ac:dyDescent="0.25">
      <c r="A544" s="8"/>
    </row>
    <row r="545" spans="1:1" ht="13.8" x14ac:dyDescent="0.25">
      <c r="A545" s="8"/>
    </row>
    <row r="546" spans="1:1" ht="13.8" x14ac:dyDescent="0.25">
      <c r="A546" s="8"/>
    </row>
    <row r="547" spans="1:1" ht="13.8" x14ac:dyDescent="0.25">
      <c r="A547" s="8"/>
    </row>
    <row r="548" spans="1:1" ht="13.8" x14ac:dyDescent="0.25">
      <c r="A548" s="8"/>
    </row>
    <row r="549" spans="1:1" ht="13.8" x14ac:dyDescent="0.25">
      <c r="A549" s="8"/>
    </row>
    <row r="550" spans="1:1" ht="13.8" x14ac:dyDescent="0.25">
      <c r="A550" s="8"/>
    </row>
    <row r="551" spans="1:1" ht="13.8" x14ac:dyDescent="0.25">
      <c r="A551" s="8"/>
    </row>
    <row r="552" spans="1:1" ht="13.8" x14ac:dyDescent="0.25">
      <c r="A552" s="8"/>
    </row>
    <row r="553" spans="1:1" ht="13.8" x14ac:dyDescent="0.25">
      <c r="A553" s="8"/>
    </row>
    <row r="554" spans="1:1" ht="13.8" x14ac:dyDescent="0.25">
      <c r="A554" s="8"/>
    </row>
    <row r="555" spans="1:1" ht="13.8" x14ac:dyDescent="0.25">
      <c r="A555" s="8"/>
    </row>
    <row r="556" spans="1:1" ht="13.8" x14ac:dyDescent="0.25">
      <c r="A556" s="8"/>
    </row>
    <row r="557" spans="1:1" ht="13.8" x14ac:dyDescent="0.25">
      <c r="A557" s="8"/>
    </row>
    <row r="558" spans="1:1" ht="13.8" x14ac:dyDescent="0.25">
      <c r="A558" s="8"/>
    </row>
    <row r="559" spans="1:1" ht="13.8" x14ac:dyDescent="0.25">
      <c r="A559" s="8"/>
    </row>
    <row r="560" spans="1:1" ht="13.8" x14ac:dyDescent="0.25">
      <c r="A560" s="8"/>
    </row>
    <row r="561" spans="1:1" ht="13.8" x14ac:dyDescent="0.25">
      <c r="A561" s="8"/>
    </row>
    <row r="562" spans="1:1" ht="13.8" x14ac:dyDescent="0.25">
      <c r="A562" s="8"/>
    </row>
    <row r="563" spans="1:1" ht="13.8" x14ac:dyDescent="0.25">
      <c r="A563" s="8"/>
    </row>
    <row r="564" spans="1:1" ht="13.8" x14ac:dyDescent="0.25">
      <c r="A564" s="8"/>
    </row>
    <row r="565" spans="1:1" ht="13.8" x14ac:dyDescent="0.25">
      <c r="A565" s="8"/>
    </row>
    <row r="566" spans="1:1" ht="13.8" x14ac:dyDescent="0.25">
      <c r="A566" s="8"/>
    </row>
    <row r="567" spans="1:1" ht="13.8" x14ac:dyDescent="0.25">
      <c r="A567" s="8"/>
    </row>
    <row r="568" spans="1:1" ht="13.8" x14ac:dyDescent="0.25">
      <c r="A568" s="8"/>
    </row>
    <row r="569" spans="1:1" ht="13.8" x14ac:dyDescent="0.25">
      <c r="A569" s="8"/>
    </row>
    <row r="570" spans="1:1" ht="13.8" x14ac:dyDescent="0.25">
      <c r="A570" s="8"/>
    </row>
    <row r="571" spans="1:1" ht="13.8" x14ac:dyDescent="0.25">
      <c r="A571" s="8"/>
    </row>
    <row r="572" spans="1:1" ht="13.8" x14ac:dyDescent="0.25">
      <c r="A572" s="8"/>
    </row>
    <row r="573" spans="1:1" ht="13.8" x14ac:dyDescent="0.25">
      <c r="A573" s="8"/>
    </row>
    <row r="574" spans="1:1" ht="13.8" x14ac:dyDescent="0.25">
      <c r="A574" s="8"/>
    </row>
    <row r="575" spans="1:1" ht="13.8" x14ac:dyDescent="0.25">
      <c r="A575" s="8"/>
    </row>
    <row r="576" spans="1:1" ht="13.8" x14ac:dyDescent="0.25">
      <c r="A576" s="8"/>
    </row>
    <row r="577" spans="1:1" ht="13.8" x14ac:dyDescent="0.25">
      <c r="A577" s="8"/>
    </row>
    <row r="578" spans="1:1" ht="13.8" x14ac:dyDescent="0.25">
      <c r="A578" s="8"/>
    </row>
    <row r="579" spans="1:1" ht="13.8" x14ac:dyDescent="0.25">
      <c r="A579" s="8"/>
    </row>
    <row r="580" spans="1:1" ht="13.8" x14ac:dyDescent="0.25">
      <c r="A580" s="8"/>
    </row>
    <row r="581" spans="1:1" ht="13.8" x14ac:dyDescent="0.25">
      <c r="A581" s="8"/>
    </row>
    <row r="582" spans="1:1" ht="13.8" x14ac:dyDescent="0.25">
      <c r="A582" s="8"/>
    </row>
    <row r="583" spans="1:1" ht="13.8" x14ac:dyDescent="0.25">
      <c r="A583" s="8"/>
    </row>
    <row r="584" spans="1:1" ht="13.8" x14ac:dyDescent="0.25">
      <c r="A584" s="8"/>
    </row>
    <row r="585" spans="1:1" ht="13.8" x14ac:dyDescent="0.25">
      <c r="A585" s="8"/>
    </row>
    <row r="586" spans="1:1" ht="13.8" x14ac:dyDescent="0.25">
      <c r="A586" s="8"/>
    </row>
    <row r="587" spans="1:1" ht="13.8" x14ac:dyDescent="0.25">
      <c r="A587" s="8"/>
    </row>
    <row r="588" spans="1:1" ht="13.8" x14ac:dyDescent="0.25">
      <c r="A588" s="8"/>
    </row>
    <row r="589" spans="1:1" ht="13.8" x14ac:dyDescent="0.25">
      <c r="A589" s="8"/>
    </row>
    <row r="590" spans="1:1" ht="13.8" x14ac:dyDescent="0.25">
      <c r="A590" s="8"/>
    </row>
    <row r="591" spans="1:1" ht="13.8" x14ac:dyDescent="0.25">
      <c r="A591" s="8"/>
    </row>
    <row r="592" spans="1:1" ht="13.8" x14ac:dyDescent="0.25">
      <c r="A592" s="8"/>
    </row>
    <row r="593" spans="1:1" ht="13.8" x14ac:dyDescent="0.25">
      <c r="A593" s="8"/>
    </row>
    <row r="594" spans="1:1" ht="13.8" x14ac:dyDescent="0.25">
      <c r="A594" s="8"/>
    </row>
    <row r="595" spans="1:1" ht="13.8" x14ac:dyDescent="0.25">
      <c r="A595" s="8"/>
    </row>
    <row r="596" spans="1:1" ht="13.8" x14ac:dyDescent="0.25">
      <c r="A596" s="8"/>
    </row>
    <row r="597" spans="1:1" ht="13.8" x14ac:dyDescent="0.25">
      <c r="A597" s="8"/>
    </row>
    <row r="598" spans="1:1" ht="13.8" x14ac:dyDescent="0.25">
      <c r="A598" s="8"/>
    </row>
    <row r="599" spans="1:1" ht="13.8" x14ac:dyDescent="0.25">
      <c r="A599" s="8"/>
    </row>
    <row r="600" spans="1:1" ht="13.8" x14ac:dyDescent="0.25">
      <c r="A600" s="8"/>
    </row>
    <row r="601" spans="1:1" ht="13.8" x14ac:dyDescent="0.25">
      <c r="A601" s="8"/>
    </row>
    <row r="602" spans="1:1" ht="13.8" x14ac:dyDescent="0.25">
      <c r="A602" s="8"/>
    </row>
    <row r="603" spans="1:1" ht="13.8" x14ac:dyDescent="0.25">
      <c r="A603" s="8"/>
    </row>
    <row r="604" spans="1:1" ht="13.8" x14ac:dyDescent="0.25">
      <c r="A604" s="8"/>
    </row>
    <row r="605" spans="1:1" ht="13.8" x14ac:dyDescent="0.25">
      <c r="A605" s="8"/>
    </row>
    <row r="606" spans="1:1" ht="13.8" x14ac:dyDescent="0.25">
      <c r="A606" s="8"/>
    </row>
    <row r="607" spans="1:1" ht="13.8" x14ac:dyDescent="0.25">
      <c r="A607" s="8"/>
    </row>
    <row r="608" spans="1:1" ht="13.8" x14ac:dyDescent="0.25">
      <c r="A608" s="8"/>
    </row>
    <row r="609" spans="1:1" ht="13.8" x14ac:dyDescent="0.25">
      <c r="A609" s="8"/>
    </row>
    <row r="610" spans="1:1" ht="13.8" x14ac:dyDescent="0.25">
      <c r="A610" s="8"/>
    </row>
    <row r="611" spans="1:1" ht="13.8" x14ac:dyDescent="0.25">
      <c r="A611" s="8"/>
    </row>
    <row r="612" spans="1:1" ht="13.8" x14ac:dyDescent="0.25">
      <c r="A612" s="8"/>
    </row>
    <row r="613" spans="1:1" ht="13.8" x14ac:dyDescent="0.25">
      <c r="A613" s="8"/>
    </row>
    <row r="614" spans="1:1" ht="13.8" x14ac:dyDescent="0.25">
      <c r="A614" s="8"/>
    </row>
    <row r="615" spans="1:1" ht="13.8" x14ac:dyDescent="0.25">
      <c r="A615" s="8"/>
    </row>
    <row r="616" spans="1:1" ht="13.8" x14ac:dyDescent="0.25">
      <c r="A616" s="8"/>
    </row>
    <row r="617" spans="1:1" ht="13.8" x14ac:dyDescent="0.25">
      <c r="A617" s="8"/>
    </row>
    <row r="618" spans="1:1" ht="13.8" x14ac:dyDescent="0.25">
      <c r="A618" s="8"/>
    </row>
    <row r="619" spans="1:1" ht="13.8" x14ac:dyDescent="0.25">
      <c r="A619" s="8"/>
    </row>
    <row r="620" spans="1:1" ht="13.8" x14ac:dyDescent="0.25">
      <c r="A620" s="8"/>
    </row>
    <row r="621" spans="1:1" ht="13.8" x14ac:dyDescent="0.25">
      <c r="A621" s="8"/>
    </row>
    <row r="622" spans="1:1" ht="13.8" x14ac:dyDescent="0.25">
      <c r="A622" s="8"/>
    </row>
    <row r="623" spans="1:1" ht="13.8" x14ac:dyDescent="0.25">
      <c r="A623" s="8"/>
    </row>
    <row r="624" spans="1:1" ht="13.8" x14ac:dyDescent="0.25">
      <c r="A624" s="8"/>
    </row>
    <row r="625" spans="1:1" ht="13.8" x14ac:dyDescent="0.25">
      <c r="A625" s="8"/>
    </row>
    <row r="626" spans="1:1" ht="13.8" x14ac:dyDescent="0.25">
      <c r="A626" s="8"/>
    </row>
    <row r="627" spans="1:1" ht="13.8" x14ac:dyDescent="0.25">
      <c r="A627" s="8"/>
    </row>
    <row r="628" spans="1:1" ht="13.8" x14ac:dyDescent="0.25">
      <c r="A628" s="8"/>
    </row>
    <row r="629" spans="1:1" ht="13.8" x14ac:dyDescent="0.25">
      <c r="A629" s="8"/>
    </row>
    <row r="630" spans="1:1" ht="13.8" x14ac:dyDescent="0.25">
      <c r="A630" s="8"/>
    </row>
    <row r="631" spans="1:1" ht="13.8" x14ac:dyDescent="0.25">
      <c r="A631" s="8"/>
    </row>
    <row r="632" spans="1:1" ht="13.8" x14ac:dyDescent="0.25">
      <c r="A632" s="8"/>
    </row>
    <row r="633" spans="1:1" ht="13.8" x14ac:dyDescent="0.25">
      <c r="A633" s="8"/>
    </row>
    <row r="634" spans="1:1" ht="13.8" x14ac:dyDescent="0.25">
      <c r="A634" s="8"/>
    </row>
    <row r="635" spans="1:1" ht="13.8" x14ac:dyDescent="0.25">
      <c r="A635" s="8"/>
    </row>
    <row r="636" spans="1:1" ht="13.8" x14ac:dyDescent="0.25">
      <c r="A636" s="8"/>
    </row>
    <row r="637" spans="1:1" ht="13.8" x14ac:dyDescent="0.25">
      <c r="A637" s="8"/>
    </row>
    <row r="638" spans="1:1" ht="13.8" x14ac:dyDescent="0.25">
      <c r="A638" s="8"/>
    </row>
    <row r="639" spans="1:1" ht="13.8" x14ac:dyDescent="0.25">
      <c r="A639" s="8"/>
    </row>
    <row r="640" spans="1:1" ht="13.8" x14ac:dyDescent="0.25">
      <c r="A640" s="8"/>
    </row>
    <row r="641" spans="1:1" ht="13.8" x14ac:dyDescent="0.25">
      <c r="A641" s="8"/>
    </row>
    <row r="642" spans="1:1" ht="13.8" x14ac:dyDescent="0.25">
      <c r="A642" s="8"/>
    </row>
    <row r="643" spans="1:1" ht="13.8" x14ac:dyDescent="0.25">
      <c r="A643" s="8"/>
    </row>
    <row r="644" spans="1:1" ht="13.8" x14ac:dyDescent="0.25">
      <c r="A644" s="8"/>
    </row>
    <row r="645" spans="1:1" ht="13.8" x14ac:dyDescent="0.25">
      <c r="A645" s="8"/>
    </row>
    <row r="646" spans="1:1" ht="13.8" x14ac:dyDescent="0.25">
      <c r="A646" s="8"/>
    </row>
    <row r="647" spans="1:1" ht="13.8" x14ac:dyDescent="0.25">
      <c r="A647" s="8"/>
    </row>
    <row r="648" spans="1:1" ht="13.8" x14ac:dyDescent="0.25">
      <c r="A648" s="8"/>
    </row>
    <row r="649" spans="1:1" ht="13.8" x14ac:dyDescent="0.25">
      <c r="A649" s="8"/>
    </row>
    <row r="650" spans="1:1" ht="13.8" x14ac:dyDescent="0.25">
      <c r="A650" s="8"/>
    </row>
    <row r="651" spans="1:1" ht="13.8" x14ac:dyDescent="0.25">
      <c r="A651" s="8"/>
    </row>
    <row r="652" spans="1:1" ht="13.8" x14ac:dyDescent="0.25">
      <c r="A652" s="8"/>
    </row>
    <row r="653" spans="1:1" ht="13.8" x14ac:dyDescent="0.25">
      <c r="A653" s="8"/>
    </row>
    <row r="654" spans="1:1" ht="13.8" x14ac:dyDescent="0.25">
      <c r="A654" s="8"/>
    </row>
    <row r="655" spans="1:1" ht="13.8" x14ac:dyDescent="0.25">
      <c r="A655" s="8"/>
    </row>
    <row r="656" spans="1:1" ht="13.8" x14ac:dyDescent="0.25">
      <c r="A656" s="8"/>
    </row>
    <row r="657" spans="1:1" ht="13.8" x14ac:dyDescent="0.25">
      <c r="A657" s="8"/>
    </row>
    <row r="658" spans="1:1" ht="13.8" x14ac:dyDescent="0.25">
      <c r="A658" s="8"/>
    </row>
    <row r="659" spans="1:1" ht="13.8" x14ac:dyDescent="0.25">
      <c r="A659" s="8"/>
    </row>
    <row r="660" spans="1:1" ht="13.8" x14ac:dyDescent="0.25">
      <c r="A660" s="8"/>
    </row>
    <row r="661" spans="1:1" ht="13.8" x14ac:dyDescent="0.25">
      <c r="A661" s="8"/>
    </row>
    <row r="662" spans="1:1" ht="13.8" x14ac:dyDescent="0.25">
      <c r="A662" s="8"/>
    </row>
    <row r="663" spans="1:1" ht="13.8" x14ac:dyDescent="0.25">
      <c r="A663" s="8"/>
    </row>
    <row r="664" spans="1:1" ht="13.8" x14ac:dyDescent="0.25">
      <c r="A664" s="8"/>
    </row>
    <row r="665" spans="1:1" ht="13.8" x14ac:dyDescent="0.25">
      <c r="A665" s="8"/>
    </row>
    <row r="666" spans="1:1" ht="13.8" x14ac:dyDescent="0.25">
      <c r="A666" s="8"/>
    </row>
    <row r="667" spans="1:1" ht="13.8" x14ac:dyDescent="0.25">
      <c r="A667" s="8"/>
    </row>
    <row r="668" spans="1:1" ht="13.8" x14ac:dyDescent="0.25">
      <c r="A668" s="8"/>
    </row>
    <row r="669" spans="1:1" ht="13.8" x14ac:dyDescent="0.25">
      <c r="A669" s="8"/>
    </row>
    <row r="670" spans="1:1" ht="13.8" x14ac:dyDescent="0.25">
      <c r="A670" s="8"/>
    </row>
    <row r="671" spans="1:1" ht="13.8" x14ac:dyDescent="0.25">
      <c r="A671" s="8"/>
    </row>
    <row r="672" spans="1:1" ht="13.8" x14ac:dyDescent="0.25">
      <c r="A672" s="8"/>
    </row>
    <row r="673" spans="1:1" ht="13.8" x14ac:dyDescent="0.25">
      <c r="A673" s="8"/>
    </row>
    <row r="674" spans="1:1" ht="13.8" x14ac:dyDescent="0.25">
      <c r="A674" s="8"/>
    </row>
    <row r="675" spans="1:1" ht="13.8" x14ac:dyDescent="0.25">
      <c r="A675" s="8"/>
    </row>
    <row r="676" spans="1:1" ht="13.8" x14ac:dyDescent="0.25">
      <c r="A676" s="8"/>
    </row>
    <row r="677" spans="1:1" ht="13.8" x14ac:dyDescent="0.25">
      <c r="A677" s="8"/>
    </row>
    <row r="678" spans="1:1" ht="13.8" x14ac:dyDescent="0.25">
      <c r="A678" s="8"/>
    </row>
    <row r="679" spans="1:1" ht="13.8" x14ac:dyDescent="0.25">
      <c r="A679" s="8"/>
    </row>
    <row r="680" spans="1:1" ht="13.8" x14ac:dyDescent="0.25">
      <c r="A680" s="8"/>
    </row>
    <row r="681" spans="1:1" ht="13.8" x14ac:dyDescent="0.25">
      <c r="A681" s="8"/>
    </row>
    <row r="682" spans="1:1" ht="13.8" x14ac:dyDescent="0.25">
      <c r="A682" s="8"/>
    </row>
    <row r="683" spans="1:1" ht="13.8" x14ac:dyDescent="0.25">
      <c r="A683" s="8"/>
    </row>
    <row r="684" spans="1:1" ht="13.8" x14ac:dyDescent="0.25">
      <c r="A684" s="8"/>
    </row>
    <row r="685" spans="1:1" ht="13.8" x14ac:dyDescent="0.25">
      <c r="A685" s="8"/>
    </row>
    <row r="686" spans="1:1" ht="13.8" x14ac:dyDescent="0.25">
      <c r="A686" s="8"/>
    </row>
    <row r="687" spans="1:1" ht="13.8" x14ac:dyDescent="0.25">
      <c r="A687" s="8"/>
    </row>
    <row r="688" spans="1:1" ht="13.8" x14ac:dyDescent="0.25">
      <c r="A688" s="8"/>
    </row>
    <row r="689" spans="1:1" ht="13.8" x14ac:dyDescent="0.25">
      <c r="A689" s="8"/>
    </row>
    <row r="690" spans="1:1" ht="13.8" x14ac:dyDescent="0.25">
      <c r="A690" s="8"/>
    </row>
    <row r="691" spans="1:1" ht="13.8" x14ac:dyDescent="0.25">
      <c r="A691" s="8"/>
    </row>
    <row r="692" spans="1:1" ht="13.8" x14ac:dyDescent="0.25">
      <c r="A692" s="8"/>
    </row>
    <row r="693" spans="1:1" ht="13.8" x14ac:dyDescent="0.25">
      <c r="A693" s="8"/>
    </row>
    <row r="694" spans="1:1" ht="13.8" x14ac:dyDescent="0.25">
      <c r="A694" s="8"/>
    </row>
    <row r="695" spans="1:1" ht="13.8" x14ac:dyDescent="0.25">
      <c r="A695" s="8"/>
    </row>
    <row r="696" spans="1:1" ht="13.8" x14ac:dyDescent="0.25">
      <c r="A696" s="8"/>
    </row>
    <row r="697" spans="1:1" ht="13.8" x14ac:dyDescent="0.25">
      <c r="A697" s="8"/>
    </row>
    <row r="698" spans="1:1" ht="13.8" x14ac:dyDescent="0.25">
      <c r="A698" s="8"/>
    </row>
    <row r="699" spans="1:1" ht="13.8" x14ac:dyDescent="0.25">
      <c r="A699" s="8"/>
    </row>
    <row r="700" spans="1:1" ht="13.8" x14ac:dyDescent="0.25">
      <c r="A700" s="8"/>
    </row>
    <row r="701" spans="1:1" ht="13.8" x14ac:dyDescent="0.25">
      <c r="A701" s="8"/>
    </row>
    <row r="702" spans="1:1" ht="13.8" x14ac:dyDescent="0.25">
      <c r="A702" s="8"/>
    </row>
    <row r="703" spans="1:1" ht="13.8" x14ac:dyDescent="0.25">
      <c r="A703" s="8"/>
    </row>
    <row r="704" spans="1:1" ht="13.8" x14ac:dyDescent="0.25">
      <c r="A704" s="8"/>
    </row>
    <row r="705" spans="1:1" ht="13.8" x14ac:dyDescent="0.25">
      <c r="A705" s="8"/>
    </row>
    <row r="706" spans="1:1" ht="13.8" x14ac:dyDescent="0.25">
      <c r="A706" s="8"/>
    </row>
    <row r="707" spans="1:1" ht="13.8" x14ac:dyDescent="0.25">
      <c r="A707" s="8"/>
    </row>
    <row r="708" spans="1:1" ht="13.8" x14ac:dyDescent="0.25">
      <c r="A708" s="8"/>
    </row>
    <row r="709" spans="1:1" ht="13.8" x14ac:dyDescent="0.25">
      <c r="A709" s="8"/>
    </row>
    <row r="710" spans="1:1" ht="13.8" x14ac:dyDescent="0.25">
      <c r="A710" s="8"/>
    </row>
    <row r="711" spans="1:1" ht="13.8" x14ac:dyDescent="0.25">
      <c r="A711" s="8"/>
    </row>
    <row r="712" spans="1:1" ht="13.8" x14ac:dyDescent="0.25">
      <c r="A712" s="8"/>
    </row>
    <row r="713" spans="1:1" ht="13.8" x14ac:dyDescent="0.25">
      <c r="A713" s="8"/>
    </row>
    <row r="714" spans="1:1" ht="13.8" x14ac:dyDescent="0.25">
      <c r="A714" s="8"/>
    </row>
    <row r="715" spans="1:1" ht="13.8" x14ac:dyDescent="0.25">
      <c r="A715" s="8"/>
    </row>
    <row r="716" spans="1:1" ht="13.8" x14ac:dyDescent="0.25">
      <c r="A716" s="8"/>
    </row>
    <row r="717" spans="1:1" ht="13.8" x14ac:dyDescent="0.25">
      <c r="A717" s="8"/>
    </row>
    <row r="718" spans="1:1" ht="13.8" x14ac:dyDescent="0.25">
      <c r="A718" s="8"/>
    </row>
    <row r="719" spans="1:1" ht="13.8" x14ac:dyDescent="0.25">
      <c r="A719" s="8"/>
    </row>
    <row r="720" spans="1:1" ht="13.8" x14ac:dyDescent="0.25">
      <c r="A720" s="8"/>
    </row>
    <row r="721" spans="1:1" ht="13.8" x14ac:dyDescent="0.25">
      <c r="A721" s="8"/>
    </row>
    <row r="722" spans="1:1" ht="13.8" x14ac:dyDescent="0.25">
      <c r="A722" s="8"/>
    </row>
    <row r="723" spans="1:1" ht="13.8" x14ac:dyDescent="0.25">
      <c r="A723" s="8"/>
    </row>
    <row r="724" spans="1:1" ht="13.8" x14ac:dyDescent="0.25">
      <c r="A724" s="8"/>
    </row>
    <row r="725" spans="1:1" ht="13.8" x14ac:dyDescent="0.25">
      <c r="A725" s="8"/>
    </row>
    <row r="726" spans="1:1" ht="13.8" x14ac:dyDescent="0.25">
      <c r="A726" s="8"/>
    </row>
    <row r="727" spans="1:1" ht="13.8" x14ac:dyDescent="0.25">
      <c r="A727" s="8"/>
    </row>
    <row r="728" spans="1:1" ht="13.8" x14ac:dyDescent="0.25">
      <c r="A728" s="8"/>
    </row>
    <row r="729" spans="1:1" ht="13.8" x14ac:dyDescent="0.25">
      <c r="A729" s="8"/>
    </row>
    <row r="730" spans="1:1" ht="13.8" x14ac:dyDescent="0.25">
      <c r="A730" s="8"/>
    </row>
    <row r="731" spans="1:1" ht="13.8" x14ac:dyDescent="0.25">
      <c r="A731" s="8"/>
    </row>
    <row r="732" spans="1:1" ht="13.8" x14ac:dyDescent="0.25">
      <c r="A732" s="8"/>
    </row>
    <row r="733" spans="1:1" ht="13.8" x14ac:dyDescent="0.25">
      <c r="A733" s="8"/>
    </row>
    <row r="734" spans="1:1" ht="13.8" x14ac:dyDescent="0.25">
      <c r="A734" s="8"/>
    </row>
    <row r="735" spans="1:1" ht="13.8" x14ac:dyDescent="0.25">
      <c r="A735" s="8"/>
    </row>
    <row r="736" spans="1:1" ht="13.8" x14ac:dyDescent="0.25">
      <c r="A736" s="8"/>
    </row>
    <row r="737" spans="1:1" ht="13.8" x14ac:dyDescent="0.25">
      <c r="A737" s="8"/>
    </row>
    <row r="738" spans="1:1" ht="13.8" x14ac:dyDescent="0.25">
      <c r="A738" s="8"/>
    </row>
    <row r="739" spans="1:1" ht="13.8" x14ac:dyDescent="0.25">
      <c r="A739" s="8"/>
    </row>
    <row r="740" spans="1:1" ht="13.8" x14ac:dyDescent="0.25">
      <c r="A740" s="8"/>
    </row>
    <row r="741" spans="1:1" ht="13.8" x14ac:dyDescent="0.25">
      <c r="A741" s="8"/>
    </row>
    <row r="742" spans="1:1" ht="13.8" x14ac:dyDescent="0.25">
      <c r="A742" s="8"/>
    </row>
    <row r="743" spans="1:1" ht="13.8" x14ac:dyDescent="0.25">
      <c r="A743" s="8"/>
    </row>
    <row r="744" spans="1:1" ht="13.8" x14ac:dyDescent="0.25">
      <c r="A744" s="8"/>
    </row>
    <row r="745" spans="1:1" ht="13.8" x14ac:dyDescent="0.25">
      <c r="A745" s="8"/>
    </row>
    <row r="746" spans="1:1" ht="13.8" x14ac:dyDescent="0.25">
      <c r="A746" s="8"/>
    </row>
    <row r="747" spans="1:1" ht="13.8" x14ac:dyDescent="0.25">
      <c r="A747" s="8"/>
    </row>
    <row r="748" spans="1:1" ht="13.8" x14ac:dyDescent="0.25">
      <c r="A748" s="8"/>
    </row>
    <row r="749" spans="1:1" ht="13.8" x14ac:dyDescent="0.25">
      <c r="A749" s="8"/>
    </row>
    <row r="750" spans="1:1" ht="13.8" x14ac:dyDescent="0.25">
      <c r="A750" s="8"/>
    </row>
    <row r="751" spans="1:1" ht="13.8" x14ac:dyDescent="0.25">
      <c r="A751" s="8"/>
    </row>
    <row r="752" spans="1:1" ht="13.8" x14ac:dyDescent="0.25">
      <c r="A752" s="8"/>
    </row>
    <row r="753" spans="1:1" ht="13.8" x14ac:dyDescent="0.25">
      <c r="A753" s="8"/>
    </row>
    <row r="754" spans="1:1" ht="13.8" x14ac:dyDescent="0.25">
      <c r="A754" s="8"/>
    </row>
    <row r="755" spans="1:1" ht="13.8" x14ac:dyDescent="0.25">
      <c r="A755" s="8"/>
    </row>
    <row r="756" spans="1:1" ht="13.8" x14ac:dyDescent="0.25">
      <c r="A756" s="8"/>
    </row>
    <row r="757" spans="1:1" ht="13.8" x14ac:dyDescent="0.25">
      <c r="A757" s="8"/>
    </row>
    <row r="758" spans="1:1" ht="13.8" x14ac:dyDescent="0.25">
      <c r="A758" s="8"/>
    </row>
    <row r="759" spans="1:1" ht="13.8" x14ac:dyDescent="0.25">
      <c r="A759" s="8"/>
    </row>
    <row r="760" spans="1:1" ht="13.8" x14ac:dyDescent="0.25">
      <c r="A760" s="8"/>
    </row>
    <row r="761" spans="1:1" ht="13.8" x14ac:dyDescent="0.25">
      <c r="A761" s="8"/>
    </row>
    <row r="762" spans="1:1" ht="13.8" x14ac:dyDescent="0.25">
      <c r="A762" s="8"/>
    </row>
    <row r="763" spans="1:1" ht="13.8" x14ac:dyDescent="0.25">
      <c r="A763" s="8"/>
    </row>
    <row r="764" spans="1:1" ht="13.8" x14ac:dyDescent="0.25">
      <c r="A764" s="8"/>
    </row>
    <row r="765" spans="1:1" ht="13.8" x14ac:dyDescent="0.25">
      <c r="A765" s="8"/>
    </row>
    <row r="766" spans="1:1" ht="13.8" x14ac:dyDescent="0.25">
      <c r="A766" s="8"/>
    </row>
    <row r="767" spans="1:1" ht="13.8" x14ac:dyDescent="0.25">
      <c r="A767" s="8"/>
    </row>
    <row r="768" spans="1:1" ht="13.8" x14ac:dyDescent="0.25">
      <c r="A768" s="8"/>
    </row>
    <row r="769" spans="1:1" ht="13.8" x14ac:dyDescent="0.25">
      <c r="A769" s="8"/>
    </row>
    <row r="770" spans="1:1" ht="13.8" x14ac:dyDescent="0.25">
      <c r="A770" s="8"/>
    </row>
    <row r="771" spans="1:1" ht="13.8" x14ac:dyDescent="0.25">
      <c r="A771" s="8"/>
    </row>
    <row r="772" spans="1:1" ht="13.8" x14ac:dyDescent="0.25">
      <c r="A772" s="8"/>
    </row>
    <row r="773" spans="1:1" ht="13.8" x14ac:dyDescent="0.25">
      <c r="A773" s="8"/>
    </row>
    <row r="774" spans="1:1" ht="13.8" x14ac:dyDescent="0.25">
      <c r="A774" s="8"/>
    </row>
    <row r="775" spans="1:1" ht="13.8" x14ac:dyDescent="0.25">
      <c r="A775" s="8"/>
    </row>
    <row r="776" spans="1:1" ht="13.8" x14ac:dyDescent="0.25">
      <c r="A776" s="8"/>
    </row>
    <row r="777" spans="1:1" ht="13.8" x14ac:dyDescent="0.25">
      <c r="A777" s="8"/>
    </row>
    <row r="778" spans="1:1" ht="13.8" x14ac:dyDescent="0.25">
      <c r="A778" s="8"/>
    </row>
    <row r="779" spans="1:1" ht="13.8" x14ac:dyDescent="0.25">
      <c r="A779" s="8"/>
    </row>
    <row r="780" spans="1:1" ht="13.8" x14ac:dyDescent="0.25">
      <c r="A780" s="8"/>
    </row>
    <row r="781" spans="1:1" ht="13.8" x14ac:dyDescent="0.25">
      <c r="A781" s="8"/>
    </row>
    <row r="782" spans="1:1" ht="13.8" x14ac:dyDescent="0.25">
      <c r="A782" s="8"/>
    </row>
    <row r="783" spans="1:1" ht="13.8" x14ac:dyDescent="0.25">
      <c r="A783" s="8"/>
    </row>
    <row r="784" spans="1:1" ht="13.8" x14ac:dyDescent="0.25">
      <c r="A784" s="8"/>
    </row>
    <row r="785" spans="1:1" ht="13.8" x14ac:dyDescent="0.25">
      <c r="A785" s="8"/>
    </row>
    <row r="786" spans="1:1" ht="13.8" x14ac:dyDescent="0.25">
      <c r="A786" s="8"/>
    </row>
    <row r="787" spans="1:1" ht="13.8" x14ac:dyDescent="0.25">
      <c r="A787" s="8"/>
    </row>
    <row r="788" spans="1:1" ht="13.8" x14ac:dyDescent="0.25">
      <c r="A788" s="8"/>
    </row>
    <row r="789" spans="1:1" ht="13.8" x14ac:dyDescent="0.25">
      <c r="A789" s="8"/>
    </row>
    <row r="790" spans="1:1" ht="13.8" x14ac:dyDescent="0.25">
      <c r="A790" s="8"/>
    </row>
    <row r="791" spans="1:1" ht="13.8" x14ac:dyDescent="0.25">
      <c r="A791" s="8"/>
    </row>
    <row r="792" spans="1:1" ht="13.8" x14ac:dyDescent="0.25">
      <c r="A792" s="8"/>
    </row>
    <row r="793" spans="1:1" ht="13.8" x14ac:dyDescent="0.25">
      <c r="A793" s="8"/>
    </row>
    <row r="794" spans="1:1" ht="13.8" x14ac:dyDescent="0.25">
      <c r="A794" s="8"/>
    </row>
    <row r="795" spans="1:1" ht="13.8" x14ac:dyDescent="0.25">
      <c r="A795" s="8"/>
    </row>
    <row r="796" spans="1:1" ht="13.8" x14ac:dyDescent="0.25">
      <c r="A796" s="8"/>
    </row>
    <row r="797" spans="1:1" ht="13.8" x14ac:dyDescent="0.25">
      <c r="A797" s="8"/>
    </row>
    <row r="798" spans="1:1" ht="13.8" x14ac:dyDescent="0.25">
      <c r="A798" s="8"/>
    </row>
    <row r="799" spans="1:1" ht="13.8" x14ac:dyDescent="0.25">
      <c r="A799" s="8"/>
    </row>
    <row r="800" spans="1:1" ht="13.8" x14ac:dyDescent="0.25">
      <c r="A800" s="8"/>
    </row>
    <row r="801" spans="1:1" ht="13.8" x14ac:dyDescent="0.25">
      <c r="A801" s="8"/>
    </row>
    <row r="802" spans="1:1" ht="13.8" x14ac:dyDescent="0.25">
      <c r="A802" s="8"/>
    </row>
    <row r="803" spans="1:1" ht="13.8" x14ac:dyDescent="0.25">
      <c r="A803" s="8"/>
    </row>
    <row r="804" spans="1:1" ht="13.8" x14ac:dyDescent="0.25">
      <c r="A804" s="8"/>
    </row>
    <row r="805" spans="1:1" ht="13.8" x14ac:dyDescent="0.25">
      <c r="A805" s="8"/>
    </row>
    <row r="806" spans="1:1" ht="13.8" x14ac:dyDescent="0.25">
      <c r="A806" s="8"/>
    </row>
    <row r="807" spans="1:1" ht="13.8" x14ac:dyDescent="0.25">
      <c r="A807" s="8"/>
    </row>
    <row r="808" spans="1:1" ht="13.8" x14ac:dyDescent="0.25">
      <c r="A808" s="8"/>
    </row>
    <row r="809" spans="1:1" ht="13.8" x14ac:dyDescent="0.25">
      <c r="A809" s="8"/>
    </row>
    <row r="810" spans="1:1" ht="13.8" x14ac:dyDescent="0.25">
      <c r="A810" s="8"/>
    </row>
    <row r="811" spans="1:1" ht="13.8" x14ac:dyDescent="0.25">
      <c r="A811" s="8"/>
    </row>
    <row r="812" spans="1:1" ht="13.8" x14ac:dyDescent="0.25">
      <c r="A812" s="8"/>
    </row>
    <row r="813" spans="1:1" ht="13.8" x14ac:dyDescent="0.25">
      <c r="A813" s="8"/>
    </row>
    <row r="814" spans="1:1" ht="13.8" x14ac:dyDescent="0.25">
      <c r="A814" s="8"/>
    </row>
    <row r="815" spans="1:1" ht="13.8" x14ac:dyDescent="0.25">
      <c r="A815" s="8"/>
    </row>
    <row r="816" spans="1:1" ht="13.8" x14ac:dyDescent="0.25">
      <c r="A816" s="8"/>
    </row>
    <row r="817" spans="1:1" ht="13.8" x14ac:dyDescent="0.25">
      <c r="A817" s="8"/>
    </row>
    <row r="818" spans="1:1" ht="13.8" x14ac:dyDescent="0.25">
      <c r="A818" s="8"/>
    </row>
    <row r="819" spans="1:1" ht="13.8" x14ac:dyDescent="0.25">
      <c r="A819" s="8"/>
    </row>
    <row r="820" spans="1:1" ht="13.8" x14ac:dyDescent="0.25">
      <c r="A820" s="8"/>
    </row>
    <row r="821" spans="1:1" ht="13.8" x14ac:dyDescent="0.25">
      <c r="A821" s="8"/>
    </row>
    <row r="822" spans="1:1" ht="13.8" x14ac:dyDescent="0.25">
      <c r="A822" s="8"/>
    </row>
    <row r="823" spans="1:1" ht="13.8" x14ac:dyDescent="0.25">
      <c r="A823" s="8"/>
    </row>
    <row r="824" spans="1:1" ht="13.8" x14ac:dyDescent="0.25">
      <c r="A824" s="8"/>
    </row>
    <row r="825" spans="1:1" ht="13.8" x14ac:dyDescent="0.25">
      <c r="A825" s="8"/>
    </row>
    <row r="826" spans="1:1" ht="13.8" x14ac:dyDescent="0.25">
      <c r="A826" s="8"/>
    </row>
    <row r="827" spans="1:1" ht="13.8" x14ac:dyDescent="0.25">
      <c r="A827" s="8"/>
    </row>
    <row r="828" spans="1:1" ht="13.8" x14ac:dyDescent="0.25">
      <c r="A828" s="8"/>
    </row>
    <row r="829" spans="1:1" ht="13.8" x14ac:dyDescent="0.25">
      <c r="A829" s="8"/>
    </row>
    <row r="830" spans="1:1" ht="13.8" x14ac:dyDescent="0.25">
      <c r="A830" s="8"/>
    </row>
    <row r="831" spans="1:1" ht="13.8" x14ac:dyDescent="0.25">
      <c r="A831" s="8"/>
    </row>
    <row r="832" spans="1:1" ht="13.8" x14ac:dyDescent="0.25">
      <c r="A832" s="8"/>
    </row>
    <row r="833" spans="1:1" ht="13.8" x14ac:dyDescent="0.25">
      <c r="A833" s="8"/>
    </row>
    <row r="834" spans="1:1" ht="13.8" x14ac:dyDescent="0.25">
      <c r="A834" s="8"/>
    </row>
    <row r="835" spans="1:1" ht="13.8" x14ac:dyDescent="0.25">
      <c r="A835" s="8"/>
    </row>
    <row r="836" spans="1:1" ht="13.8" x14ac:dyDescent="0.25">
      <c r="A836" s="8"/>
    </row>
    <row r="837" spans="1:1" ht="13.8" x14ac:dyDescent="0.25">
      <c r="A837" s="8"/>
    </row>
    <row r="838" spans="1:1" ht="13.8" x14ac:dyDescent="0.25">
      <c r="A838" s="8"/>
    </row>
    <row r="839" spans="1:1" ht="13.8" x14ac:dyDescent="0.25">
      <c r="A839" s="8"/>
    </row>
    <row r="840" spans="1:1" ht="13.8" x14ac:dyDescent="0.25">
      <c r="A840" s="8"/>
    </row>
    <row r="841" spans="1:1" ht="13.8" x14ac:dyDescent="0.25">
      <c r="A841" s="8"/>
    </row>
    <row r="842" spans="1:1" ht="13.8" x14ac:dyDescent="0.25">
      <c r="A842" s="8"/>
    </row>
    <row r="843" spans="1:1" ht="13.8" x14ac:dyDescent="0.25">
      <c r="A843" s="8"/>
    </row>
    <row r="844" spans="1:1" ht="13.8" x14ac:dyDescent="0.25">
      <c r="A844" s="8"/>
    </row>
    <row r="845" spans="1:1" ht="13.8" x14ac:dyDescent="0.25">
      <c r="A845" s="8"/>
    </row>
    <row r="846" spans="1:1" ht="13.8" x14ac:dyDescent="0.25">
      <c r="A846" s="8"/>
    </row>
    <row r="847" spans="1:1" ht="13.8" x14ac:dyDescent="0.25">
      <c r="A847" s="8"/>
    </row>
    <row r="848" spans="1:1" ht="13.8" x14ac:dyDescent="0.25">
      <c r="A848" s="8"/>
    </row>
    <row r="849" spans="1:1" ht="13.8" x14ac:dyDescent="0.25">
      <c r="A849" s="8"/>
    </row>
    <row r="850" spans="1:1" ht="13.8" x14ac:dyDescent="0.25">
      <c r="A850" s="8"/>
    </row>
    <row r="851" spans="1:1" ht="13.8" x14ac:dyDescent="0.25">
      <c r="A851" s="8"/>
    </row>
    <row r="852" spans="1:1" ht="13.8" x14ac:dyDescent="0.25">
      <c r="A852" s="8"/>
    </row>
    <row r="853" spans="1:1" ht="13.8" x14ac:dyDescent="0.25">
      <c r="A853" s="8"/>
    </row>
    <row r="854" spans="1:1" ht="13.8" x14ac:dyDescent="0.25">
      <c r="A854" s="8"/>
    </row>
    <row r="855" spans="1:1" ht="13.8" x14ac:dyDescent="0.25">
      <c r="A855" s="8"/>
    </row>
    <row r="856" spans="1:1" ht="13.8" x14ac:dyDescent="0.25">
      <c r="A856" s="8"/>
    </row>
    <row r="857" spans="1:1" ht="13.8" x14ac:dyDescent="0.25">
      <c r="A857" s="8"/>
    </row>
    <row r="858" spans="1:1" ht="13.8" x14ac:dyDescent="0.25">
      <c r="A858" s="8"/>
    </row>
    <row r="859" spans="1:1" ht="13.8" x14ac:dyDescent="0.25">
      <c r="A859" s="8"/>
    </row>
    <row r="860" spans="1:1" ht="13.8" x14ac:dyDescent="0.25">
      <c r="A860" s="8"/>
    </row>
    <row r="861" spans="1:1" ht="13.8" x14ac:dyDescent="0.25">
      <c r="A861" s="8"/>
    </row>
    <row r="862" spans="1:1" ht="13.8" x14ac:dyDescent="0.25">
      <c r="A862" s="8"/>
    </row>
    <row r="863" spans="1:1" ht="13.8" x14ac:dyDescent="0.25">
      <c r="A863" s="8"/>
    </row>
    <row r="864" spans="1:1" ht="13.8" x14ac:dyDescent="0.25">
      <c r="A864" s="8"/>
    </row>
    <row r="865" spans="1:1" ht="13.8" x14ac:dyDescent="0.25">
      <c r="A865" s="8"/>
    </row>
    <row r="866" spans="1:1" ht="13.8" x14ac:dyDescent="0.25">
      <c r="A866" s="8"/>
    </row>
    <row r="867" spans="1:1" ht="13.8" x14ac:dyDescent="0.25">
      <c r="A867" s="8"/>
    </row>
    <row r="868" spans="1:1" ht="13.8" x14ac:dyDescent="0.25">
      <c r="A868" s="8"/>
    </row>
    <row r="869" spans="1:1" ht="13.8" x14ac:dyDescent="0.25">
      <c r="A869" s="8"/>
    </row>
    <row r="870" spans="1:1" ht="13.8" x14ac:dyDescent="0.25">
      <c r="A870" s="8"/>
    </row>
    <row r="871" spans="1:1" ht="13.8" x14ac:dyDescent="0.25">
      <c r="A871" s="8"/>
    </row>
    <row r="872" spans="1:1" ht="13.8" x14ac:dyDescent="0.25">
      <c r="A872" s="8"/>
    </row>
    <row r="873" spans="1:1" ht="13.8" x14ac:dyDescent="0.25">
      <c r="A873" s="8"/>
    </row>
    <row r="874" spans="1:1" ht="13.8" x14ac:dyDescent="0.25">
      <c r="A874" s="8"/>
    </row>
    <row r="875" spans="1:1" ht="13.8" x14ac:dyDescent="0.25">
      <c r="A875" s="8"/>
    </row>
    <row r="876" spans="1:1" ht="13.8" x14ac:dyDescent="0.25">
      <c r="A876" s="8"/>
    </row>
    <row r="877" spans="1:1" ht="13.8" x14ac:dyDescent="0.25">
      <c r="A877" s="8"/>
    </row>
    <row r="878" spans="1:1" ht="13.8" x14ac:dyDescent="0.25">
      <c r="A878" s="8"/>
    </row>
    <row r="879" spans="1:1" ht="13.8" x14ac:dyDescent="0.25">
      <c r="A879" s="8"/>
    </row>
    <row r="880" spans="1:1" ht="13.8" x14ac:dyDescent="0.25">
      <c r="A880" s="8"/>
    </row>
    <row r="881" spans="1:1" ht="13.8" x14ac:dyDescent="0.25">
      <c r="A881" s="8"/>
    </row>
    <row r="882" spans="1:1" ht="13.8" x14ac:dyDescent="0.25">
      <c r="A882" s="8"/>
    </row>
    <row r="883" spans="1:1" ht="13.8" x14ac:dyDescent="0.25">
      <c r="A883" s="8"/>
    </row>
    <row r="884" spans="1:1" ht="13.8" x14ac:dyDescent="0.25">
      <c r="A884" s="8"/>
    </row>
    <row r="885" spans="1:1" ht="13.8" x14ac:dyDescent="0.25">
      <c r="A885" s="8"/>
    </row>
    <row r="886" spans="1:1" ht="13.8" x14ac:dyDescent="0.25">
      <c r="A886" s="8"/>
    </row>
    <row r="887" spans="1:1" ht="13.8" x14ac:dyDescent="0.25">
      <c r="A887" s="8"/>
    </row>
    <row r="888" spans="1:1" ht="13.8" x14ac:dyDescent="0.25">
      <c r="A888" s="8"/>
    </row>
    <row r="889" spans="1:1" ht="13.8" x14ac:dyDescent="0.25">
      <c r="A889" s="8"/>
    </row>
    <row r="890" spans="1:1" ht="13.8" x14ac:dyDescent="0.25">
      <c r="A890" s="8"/>
    </row>
    <row r="891" spans="1:1" ht="13.8" x14ac:dyDescent="0.25">
      <c r="A891" s="8"/>
    </row>
    <row r="892" spans="1:1" ht="13.8" x14ac:dyDescent="0.25">
      <c r="A892" s="8"/>
    </row>
    <row r="893" spans="1:1" ht="13.8" x14ac:dyDescent="0.25">
      <c r="A893" s="8"/>
    </row>
    <row r="894" spans="1:1" ht="13.8" x14ac:dyDescent="0.25">
      <c r="A894" s="8"/>
    </row>
    <row r="895" spans="1:1" ht="13.8" x14ac:dyDescent="0.25">
      <c r="A895" s="8"/>
    </row>
    <row r="896" spans="1:1" ht="13.8" x14ac:dyDescent="0.25">
      <c r="A896" s="8"/>
    </row>
    <row r="897" spans="1:1" ht="13.8" x14ac:dyDescent="0.25">
      <c r="A897" s="8"/>
    </row>
    <row r="898" spans="1:1" ht="13.8" x14ac:dyDescent="0.25">
      <c r="A898" s="8"/>
    </row>
    <row r="899" spans="1:1" ht="13.8" x14ac:dyDescent="0.25">
      <c r="A899" s="8"/>
    </row>
    <row r="900" spans="1:1" ht="13.8" x14ac:dyDescent="0.25">
      <c r="A900" s="8"/>
    </row>
    <row r="901" spans="1:1" ht="13.8" x14ac:dyDescent="0.25">
      <c r="A901" s="8"/>
    </row>
    <row r="902" spans="1:1" ht="13.8" x14ac:dyDescent="0.25">
      <c r="A902" s="8"/>
    </row>
    <row r="903" spans="1:1" ht="13.8" x14ac:dyDescent="0.25">
      <c r="A903" s="8"/>
    </row>
    <row r="904" spans="1:1" ht="13.8" x14ac:dyDescent="0.25">
      <c r="A904" s="8"/>
    </row>
    <row r="905" spans="1:1" ht="13.8" x14ac:dyDescent="0.25">
      <c r="A905" s="8"/>
    </row>
    <row r="906" spans="1:1" ht="13.8" x14ac:dyDescent="0.25">
      <c r="A906" s="8"/>
    </row>
    <row r="907" spans="1:1" ht="13.8" x14ac:dyDescent="0.25">
      <c r="A907" s="8"/>
    </row>
    <row r="908" spans="1:1" ht="13.8" x14ac:dyDescent="0.25">
      <c r="A908" s="8"/>
    </row>
    <row r="909" spans="1:1" ht="13.8" x14ac:dyDescent="0.25">
      <c r="A909" s="8"/>
    </row>
    <row r="910" spans="1:1" ht="13.8" x14ac:dyDescent="0.25">
      <c r="A910" s="8"/>
    </row>
    <row r="911" spans="1:1" ht="13.8" x14ac:dyDescent="0.25">
      <c r="A911" s="8"/>
    </row>
    <row r="912" spans="1:1" ht="13.8" x14ac:dyDescent="0.25">
      <c r="A912" s="8"/>
    </row>
    <row r="913" spans="1:1" ht="13.8" x14ac:dyDescent="0.25">
      <c r="A913" s="8"/>
    </row>
    <row r="914" spans="1:1" ht="13.8" x14ac:dyDescent="0.25">
      <c r="A914" s="8"/>
    </row>
    <row r="915" spans="1:1" ht="13.8" x14ac:dyDescent="0.25">
      <c r="A915" s="8"/>
    </row>
    <row r="916" spans="1:1" ht="13.8" x14ac:dyDescent="0.25">
      <c r="A916" s="8"/>
    </row>
    <row r="917" spans="1:1" ht="13.8" x14ac:dyDescent="0.25">
      <c r="A917" s="8"/>
    </row>
    <row r="918" spans="1:1" ht="13.8" x14ac:dyDescent="0.25">
      <c r="A918" s="8"/>
    </row>
    <row r="919" spans="1:1" ht="13.8" x14ac:dyDescent="0.25">
      <c r="A919" s="8"/>
    </row>
    <row r="920" spans="1:1" ht="13.8" x14ac:dyDescent="0.25">
      <c r="A920" s="8"/>
    </row>
    <row r="921" spans="1:1" ht="13.8" x14ac:dyDescent="0.25">
      <c r="A921" s="8"/>
    </row>
    <row r="922" spans="1:1" ht="13.8" x14ac:dyDescent="0.25">
      <c r="A922" s="8"/>
    </row>
    <row r="923" spans="1:1" ht="13.8" x14ac:dyDescent="0.25">
      <c r="A923" s="8"/>
    </row>
    <row r="924" spans="1:1" ht="13.8" x14ac:dyDescent="0.25">
      <c r="A924" s="8"/>
    </row>
    <row r="925" spans="1:1" ht="13.8" x14ac:dyDescent="0.25">
      <c r="A925" s="8"/>
    </row>
    <row r="926" spans="1:1" ht="13.8" x14ac:dyDescent="0.25">
      <c r="A926" s="8"/>
    </row>
    <row r="927" spans="1:1" ht="13.8" x14ac:dyDescent="0.25">
      <c r="A927" s="8"/>
    </row>
    <row r="928" spans="1:1" ht="13.8" x14ac:dyDescent="0.25">
      <c r="A928" s="8"/>
    </row>
    <row r="929" spans="1:1" ht="13.8" x14ac:dyDescent="0.25">
      <c r="A929" s="8"/>
    </row>
    <row r="930" spans="1:1" ht="13.8" x14ac:dyDescent="0.25">
      <c r="A930" s="8"/>
    </row>
    <row r="931" spans="1:1" ht="13.8" x14ac:dyDescent="0.25">
      <c r="A931" s="8"/>
    </row>
    <row r="932" spans="1:1" ht="13.8" x14ac:dyDescent="0.25">
      <c r="A932" s="8"/>
    </row>
    <row r="933" spans="1:1" ht="13.8" x14ac:dyDescent="0.25">
      <c r="A933" s="8"/>
    </row>
    <row r="934" spans="1:1" ht="13.8" x14ac:dyDescent="0.25">
      <c r="A934" s="8"/>
    </row>
    <row r="935" spans="1:1" ht="13.8" x14ac:dyDescent="0.25">
      <c r="A935" s="8"/>
    </row>
    <row r="936" spans="1:1" ht="13.8" x14ac:dyDescent="0.25">
      <c r="A936" s="8"/>
    </row>
    <row r="937" spans="1:1" ht="13.8" x14ac:dyDescent="0.25">
      <c r="A937" s="8"/>
    </row>
    <row r="938" spans="1:1" ht="13.8" x14ac:dyDescent="0.25">
      <c r="A938" s="8"/>
    </row>
    <row r="939" spans="1:1" ht="13.8" x14ac:dyDescent="0.25">
      <c r="A939" s="8"/>
    </row>
    <row r="940" spans="1:1" ht="13.8" x14ac:dyDescent="0.25">
      <c r="A940" s="8"/>
    </row>
    <row r="941" spans="1:1" ht="13.8" x14ac:dyDescent="0.25">
      <c r="A941" s="8"/>
    </row>
    <row r="942" spans="1:1" ht="13.8" x14ac:dyDescent="0.25">
      <c r="A942" s="8"/>
    </row>
    <row r="943" spans="1:1" ht="13.8" x14ac:dyDescent="0.25">
      <c r="A943" s="8"/>
    </row>
    <row r="944" spans="1:1" ht="13.8" x14ac:dyDescent="0.25">
      <c r="A944" s="8"/>
    </row>
    <row r="945" spans="1:1" ht="13.8" x14ac:dyDescent="0.25">
      <c r="A945" s="8"/>
    </row>
    <row r="946" spans="1:1" ht="13.8" x14ac:dyDescent="0.25">
      <c r="A946" s="8"/>
    </row>
    <row r="947" spans="1:1" ht="13.8" x14ac:dyDescent="0.25">
      <c r="A947" s="8"/>
    </row>
    <row r="948" spans="1:1" ht="13.8" x14ac:dyDescent="0.25">
      <c r="A948" s="8"/>
    </row>
    <row r="949" spans="1:1" ht="13.8" x14ac:dyDescent="0.25">
      <c r="A949" s="8"/>
    </row>
    <row r="950" spans="1:1" ht="13.8" x14ac:dyDescent="0.25">
      <c r="A950" s="8"/>
    </row>
    <row r="951" spans="1:1" ht="13.8" x14ac:dyDescent="0.25">
      <c r="A951" s="8"/>
    </row>
    <row r="952" spans="1:1" ht="13.8" x14ac:dyDescent="0.25">
      <c r="A952" s="8"/>
    </row>
    <row r="953" spans="1:1" ht="13.8" x14ac:dyDescent="0.25">
      <c r="A953" s="8"/>
    </row>
    <row r="954" spans="1:1" ht="13.8" x14ac:dyDescent="0.25">
      <c r="A954" s="8"/>
    </row>
    <row r="955" spans="1:1" ht="13.8" x14ac:dyDescent="0.25">
      <c r="A955" s="8"/>
    </row>
    <row r="956" spans="1:1" ht="13.8" x14ac:dyDescent="0.25">
      <c r="A956" s="8"/>
    </row>
    <row r="957" spans="1:1" ht="13.8" x14ac:dyDescent="0.25">
      <c r="A957" s="8"/>
    </row>
    <row r="958" spans="1:1" ht="13.8" x14ac:dyDescent="0.25">
      <c r="A958" s="8"/>
    </row>
    <row r="959" spans="1:1" ht="13.8" x14ac:dyDescent="0.25">
      <c r="A959" s="8"/>
    </row>
    <row r="960" spans="1:1" ht="13.8" x14ac:dyDescent="0.25">
      <c r="A960" s="8"/>
    </row>
    <row r="961" spans="1:1" ht="13.8" x14ac:dyDescent="0.25">
      <c r="A961" s="8"/>
    </row>
    <row r="962" spans="1:1" ht="13.8" x14ac:dyDescent="0.25">
      <c r="A962" s="8"/>
    </row>
    <row r="963" spans="1:1" ht="13.8" x14ac:dyDescent="0.25">
      <c r="A963" s="8"/>
    </row>
    <row r="964" spans="1:1" ht="13.8" x14ac:dyDescent="0.25">
      <c r="A964" s="8"/>
    </row>
    <row r="965" spans="1:1" ht="13.8" x14ac:dyDescent="0.25">
      <c r="A965" s="8"/>
    </row>
    <row r="966" spans="1:1" ht="13.8" x14ac:dyDescent="0.25">
      <c r="A966" s="8"/>
    </row>
    <row r="967" spans="1:1" ht="13.8" x14ac:dyDescent="0.25">
      <c r="A967" s="8"/>
    </row>
    <row r="968" spans="1:1" ht="13.8" x14ac:dyDescent="0.25">
      <c r="A968" s="8"/>
    </row>
    <row r="969" spans="1:1" ht="13.8" x14ac:dyDescent="0.25">
      <c r="A969" s="8"/>
    </row>
    <row r="970" spans="1:1" ht="13.8" x14ac:dyDescent="0.25">
      <c r="A970" s="8"/>
    </row>
    <row r="971" spans="1:1" ht="13.8" x14ac:dyDescent="0.25">
      <c r="A971" s="8"/>
    </row>
    <row r="972" spans="1:1" ht="13.8" x14ac:dyDescent="0.25">
      <c r="A972" s="8"/>
    </row>
    <row r="973" spans="1:1" ht="13.8" x14ac:dyDescent="0.25">
      <c r="A973" s="8"/>
    </row>
    <row r="974" spans="1:1" ht="13.8" x14ac:dyDescent="0.25">
      <c r="A974" s="8"/>
    </row>
    <row r="975" spans="1:1" ht="13.8" x14ac:dyDescent="0.25">
      <c r="A975" s="8"/>
    </row>
    <row r="976" spans="1:1" ht="13.8" x14ac:dyDescent="0.25">
      <c r="A976" s="8"/>
    </row>
    <row r="977" spans="1:1" ht="13.8" x14ac:dyDescent="0.25">
      <c r="A977" s="8"/>
    </row>
    <row r="978" spans="1:1" ht="13.8" x14ac:dyDescent="0.25">
      <c r="A978" s="8"/>
    </row>
    <row r="979" spans="1:1" ht="13.8" x14ac:dyDescent="0.25">
      <c r="A979" s="8"/>
    </row>
    <row r="980" spans="1:1" ht="13.8" x14ac:dyDescent="0.25">
      <c r="A980" s="8"/>
    </row>
    <row r="981" spans="1:1" ht="13.8" x14ac:dyDescent="0.25">
      <c r="A981" s="8"/>
    </row>
    <row r="982" spans="1:1" ht="13.8" x14ac:dyDescent="0.25">
      <c r="A982" s="8"/>
    </row>
    <row r="983" spans="1:1" ht="13.8" x14ac:dyDescent="0.25">
      <c r="A983" s="8"/>
    </row>
    <row r="984" spans="1:1" ht="13.8" x14ac:dyDescent="0.25">
      <c r="A984" s="8"/>
    </row>
    <row r="985" spans="1:1" ht="13.8" x14ac:dyDescent="0.25">
      <c r="A985" s="8"/>
    </row>
    <row r="986" spans="1:1" ht="13.8" x14ac:dyDescent="0.25">
      <c r="A986" s="8"/>
    </row>
    <row r="987" spans="1:1" ht="13.8" x14ac:dyDescent="0.25">
      <c r="A987" s="8"/>
    </row>
    <row r="988" spans="1:1" ht="13.8" x14ac:dyDescent="0.25">
      <c r="A988" s="8"/>
    </row>
    <row r="989" spans="1:1" ht="13.8" x14ac:dyDescent="0.25">
      <c r="A989" s="8"/>
    </row>
    <row r="990" spans="1:1" ht="13.8" x14ac:dyDescent="0.25">
      <c r="A990" s="8"/>
    </row>
    <row r="991" spans="1:1" ht="13.8" x14ac:dyDescent="0.25">
      <c r="A991" s="8"/>
    </row>
    <row r="992" spans="1:1" ht="13.8" x14ac:dyDescent="0.25">
      <c r="A992" s="8"/>
    </row>
    <row r="993" spans="1:1" ht="13.8" x14ac:dyDescent="0.25">
      <c r="A993" s="8"/>
    </row>
    <row r="994" spans="1:1" ht="13.8" x14ac:dyDescent="0.25">
      <c r="A994" s="8"/>
    </row>
    <row r="995" spans="1:1" ht="13.8" x14ac:dyDescent="0.25">
      <c r="A995" s="8"/>
    </row>
    <row r="996" spans="1:1" ht="13.8" x14ac:dyDescent="0.25">
      <c r="A996" s="8"/>
    </row>
    <row r="997" spans="1:1" ht="13.8" x14ac:dyDescent="0.25">
      <c r="A997" s="8"/>
    </row>
    <row r="998" spans="1:1" ht="13.8" x14ac:dyDescent="0.25">
      <c r="A998" s="8"/>
    </row>
    <row r="999" spans="1:1" ht="13.8" x14ac:dyDescent="0.25">
      <c r="A999" s="8"/>
    </row>
    <row r="1000" spans="1:1" ht="13.8" x14ac:dyDescent="0.25">
      <c r="A1000" s="8"/>
    </row>
    <row r="1001" spans="1:1" ht="13.8" x14ac:dyDescent="0.25">
      <c r="A1001" s="8"/>
    </row>
    <row r="1002" spans="1:1" ht="13.8" x14ac:dyDescent="0.25">
      <c r="A1002" s="8"/>
    </row>
    <row r="1003" spans="1:1" ht="13.8" x14ac:dyDescent="0.25">
      <c r="A1003" s="8"/>
    </row>
    <row r="1004" spans="1:1" ht="13.8" x14ac:dyDescent="0.25">
      <c r="A1004" s="8"/>
    </row>
    <row r="1005" spans="1:1" ht="13.8" x14ac:dyDescent="0.25">
      <c r="A1005" s="8"/>
    </row>
    <row r="1006" spans="1:1" ht="13.8" x14ac:dyDescent="0.25">
      <c r="A1006" s="8"/>
    </row>
    <row r="1007" spans="1:1" ht="13.8" x14ac:dyDescent="0.25">
      <c r="A1007" s="8"/>
    </row>
    <row r="1008" spans="1:1" ht="13.8" x14ac:dyDescent="0.25">
      <c r="A1008" s="8"/>
    </row>
    <row r="1009" spans="1:1" ht="13.8" x14ac:dyDescent="0.25">
      <c r="A1009" s="8"/>
    </row>
    <row r="1010" spans="1:1" ht="13.8" x14ac:dyDescent="0.25">
      <c r="A1010" s="8"/>
    </row>
    <row r="1011" spans="1:1" ht="13.8" x14ac:dyDescent="0.25">
      <c r="A1011" s="8"/>
    </row>
    <row r="1012" spans="1:1" ht="13.8" x14ac:dyDescent="0.25">
      <c r="A1012" s="8"/>
    </row>
    <row r="1013" spans="1:1" ht="13.8" x14ac:dyDescent="0.25">
      <c r="A1013" s="8"/>
    </row>
    <row r="1014" spans="1:1" ht="13.8" x14ac:dyDescent="0.25">
      <c r="A1014" s="8"/>
    </row>
    <row r="1015" spans="1:1" ht="13.8" x14ac:dyDescent="0.25">
      <c r="A1015" s="8"/>
    </row>
    <row r="1016" spans="1:1" ht="13.8" x14ac:dyDescent="0.25">
      <c r="A1016" s="8"/>
    </row>
    <row r="1017" spans="1:1" ht="13.8" x14ac:dyDescent="0.25">
      <c r="A1017" s="8"/>
    </row>
    <row r="1018" spans="1:1" ht="13.8" x14ac:dyDescent="0.25">
      <c r="A1018" s="8"/>
    </row>
    <row r="1019" spans="1:1" ht="13.8" x14ac:dyDescent="0.25">
      <c r="A1019" s="8"/>
    </row>
    <row r="1020" spans="1:1" ht="13.8" x14ac:dyDescent="0.25">
      <c r="A1020" s="8"/>
    </row>
    <row r="1021" spans="1:1" ht="13.8" x14ac:dyDescent="0.25">
      <c r="A1021" s="8"/>
    </row>
    <row r="1022" spans="1:1" ht="13.8" x14ac:dyDescent="0.25">
      <c r="A1022" s="8"/>
    </row>
    <row r="1023" spans="1:1" ht="13.8" x14ac:dyDescent="0.25">
      <c r="A1023" s="8"/>
    </row>
    <row r="1024" spans="1:1" ht="13.8" x14ac:dyDescent="0.25">
      <c r="A1024" s="8"/>
    </row>
    <row r="1025" spans="1:1" ht="13.8" x14ac:dyDescent="0.25">
      <c r="A1025" s="8"/>
    </row>
    <row r="1026" spans="1:1" ht="13.8" x14ac:dyDescent="0.25">
      <c r="A1026" s="8"/>
    </row>
    <row r="1027" spans="1:1" ht="13.8" x14ac:dyDescent="0.25">
      <c r="A1027" s="8"/>
    </row>
    <row r="1028" spans="1:1" ht="13.8" x14ac:dyDescent="0.25">
      <c r="A1028" s="8"/>
    </row>
    <row r="1029" spans="1:1" ht="13.8" x14ac:dyDescent="0.25">
      <c r="A1029" s="8"/>
    </row>
    <row r="1030" spans="1:1" ht="13.8" x14ac:dyDescent="0.25">
      <c r="A1030" s="8"/>
    </row>
    <row r="1031" spans="1:1" ht="13.8" x14ac:dyDescent="0.25">
      <c r="A1031" s="8"/>
    </row>
    <row r="1032" spans="1:1" ht="13.8" x14ac:dyDescent="0.25">
      <c r="A1032" s="8"/>
    </row>
    <row r="1033" spans="1:1" ht="13.8" x14ac:dyDescent="0.25">
      <c r="A1033" s="8"/>
    </row>
    <row r="1034" spans="1:1" ht="13.8" x14ac:dyDescent="0.25">
      <c r="A1034" s="8"/>
    </row>
    <row r="1035" spans="1:1" ht="13.8" x14ac:dyDescent="0.25">
      <c r="A1035" s="8"/>
    </row>
    <row r="1036" spans="1:1" ht="13.8" x14ac:dyDescent="0.25">
      <c r="A1036" s="8"/>
    </row>
    <row r="1037" spans="1:1" ht="13.8" x14ac:dyDescent="0.25">
      <c r="A1037" s="8"/>
    </row>
    <row r="1038" spans="1:1" ht="13.8" x14ac:dyDescent="0.25">
      <c r="A1038" s="8"/>
    </row>
    <row r="1039" spans="1:1" ht="13.8" x14ac:dyDescent="0.25">
      <c r="A1039" s="8"/>
    </row>
    <row r="1040" spans="1:1" ht="13.8" x14ac:dyDescent="0.25">
      <c r="A1040" s="8"/>
    </row>
    <row r="1041" spans="1:1" ht="13.8" x14ac:dyDescent="0.25">
      <c r="A1041" s="8"/>
    </row>
    <row r="1042" spans="1:1" ht="13.8" x14ac:dyDescent="0.25">
      <c r="A1042" s="8"/>
    </row>
    <row r="1043" spans="1:1" ht="13.8" x14ac:dyDescent="0.25">
      <c r="A1043" s="8"/>
    </row>
    <row r="1044" spans="1:1" ht="13.8" x14ac:dyDescent="0.25">
      <c r="A1044" s="8"/>
    </row>
    <row r="1045" spans="1:1" ht="13.8" x14ac:dyDescent="0.25">
      <c r="A1045" s="8"/>
    </row>
    <row r="1046" spans="1:1" ht="13.8" x14ac:dyDescent="0.25">
      <c r="A1046" s="8"/>
    </row>
    <row r="1047" spans="1:1" ht="13.8" x14ac:dyDescent="0.25">
      <c r="A1047" s="8"/>
    </row>
    <row r="1048" spans="1:1" ht="13.8" x14ac:dyDescent="0.25">
      <c r="A1048" s="8"/>
    </row>
    <row r="1049" spans="1:1" ht="13.8" x14ac:dyDescent="0.25">
      <c r="A1049" s="8"/>
    </row>
    <row r="1050" spans="1:1" ht="13.8" x14ac:dyDescent="0.25">
      <c r="A1050" s="8"/>
    </row>
    <row r="1051" spans="1:1" ht="13.8" x14ac:dyDescent="0.25">
      <c r="A1051" s="8"/>
    </row>
    <row r="1052" spans="1:1" ht="13.8" x14ac:dyDescent="0.25">
      <c r="A1052" s="8"/>
    </row>
    <row r="1053" spans="1:1" ht="13.8" x14ac:dyDescent="0.25">
      <c r="A1053" s="8"/>
    </row>
    <row r="1054" spans="1:1" ht="13.8" x14ac:dyDescent="0.25">
      <c r="A1054" s="8"/>
    </row>
    <row r="1055" spans="1:1" ht="13.8" x14ac:dyDescent="0.25">
      <c r="A1055" s="8"/>
    </row>
    <row r="1056" spans="1:1" ht="13.8" x14ac:dyDescent="0.25">
      <c r="A1056" s="8"/>
    </row>
    <row r="1057" spans="1:1" ht="13.8" x14ac:dyDescent="0.25">
      <c r="A1057" s="8"/>
    </row>
    <row r="1058" spans="1:1" ht="13.8" x14ac:dyDescent="0.25">
      <c r="A1058" s="8"/>
    </row>
    <row r="1059" spans="1:1" ht="13.8" x14ac:dyDescent="0.25">
      <c r="A1059" s="8"/>
    </row>
    <row r="1060" spans="1:1" ht="13.8" x14ac:dyDescent="0.25">
      <c r="A1060" s="8"/>
    </row>
    <row r="1061" spans="1:1" ht="13.8" x14ac:dyDescent="0.25">
      <c r="A1061" s="8"/>
    </row>
    <row r="1062" spans="1:1" ht="13.8" x14ac:dyDescent="0.25">
      <c r="A1062" s="8"/>
    </row>
    <row r="1063" spans="1:1" ht="13.8" x14ac:dyDescent="0.25">
      <c r="A1063" s="8"/>
    </row>
    <row r="1064" spans="1:1" ht="13.8" x14ac:dyDescent="0.25">
      <c r="A1064" s="8"/>
    </row>
    <row r="1065" spans="1:1" ht="13.8" x14ac:dyDescent="0.25">
      <c r="A1065" s="8"/>
    </row>
    <row r="1066" spans="1:1" ht="13.8" x14ac:dyDescent="0.25">
      <c r="A1066" s="8"/>
    </row>
    <row r="1067" spans="1:1" ht="13.8" x14ac:dyDescent="0.25">
      <c r="A1067" s="8"/>
    </row>
    <row r="1068" spans="1:1" ht="13.8" x14ac:dyDescent="0.25">
      <c r="A1068" s="8"/>
    </row>
    <row r="1069" spans="1:1" ht="13.8" x14ac:dyDescent="0.25">
      <c r="A1069" s="8"/>
    </row>
    <row r="1070" spans="1:1" ht="13.8" x14ac:dyDescent="0.25">
      <c r="A1070" s="8"/>
    </row>
    <row r="1071" spans="1:1" ht="13.8" x14ac:dyDescent="0.25">
      <c r="A1071" s="8"/>
    </row>
    <row r="1072" spans="1:1" ht="13.8" x14ac:dyDescent="0.25">
      <c r="A1072" s="8"/>
    </row>
    <row r="1073" spans="1:1" ht="13.8" x14ac:dyDescent="0.25">
      <c r="A1073" s="8"/>
    </row>
    <row r="1074" spans="1:1" ht="13.8" x14ac:dyDescent="0.25">
      <c r="A1074" s="8"/>
    </row>
    <row r="1075" spans="1:1" ht="13.8" x14ac:dyDescent="0.25">
      <c r="A1075" s="8"/>
    </row>
    <row r="1076" spans="1:1" ht="13.8" x14ac:dyDescent="0.25">
      <c r="A1076" s="8"/>
    </row>
    <row r="1077" spans="1:1" ht="13.8" x14ac:dyDescent="0.25">
      <c r="A1077" s="8"/>
    </row>
    <row r="1078" spans="1:1" ht="13.8" x14ac:dyDescent="0.25">
      <c r="A1078" s="8"/>
    </row>
    <row r="1079" spans="1:1" ht="13.8" x14ac:dyDescent="0.25">
      <c r="A1079" s="8"/>
    </row>
    <row r="1080" spans="1:1" ht="13.8" x14ac:dyDescent="0.25">
      <c r="A1080" s="8"/>
    </row>
    <row r="1081" spans="1:1" ht="13.8" x14ac:dyDescent="0.25">
      <c r="A1081" s="8"/>
    </row>
    <row r="1082" spans="1:1" ht="13.8" x14ac:dyDescent="0.25">
      <c r="A1082" s="8"/>
    </row>
    <row r="1083" spans="1:1" ht="13.8" x14ac:dyDescent="0.25">
      <c r="A1083" s="8"/>
    </row>
    <row r="1084" spans="1:1" ht="13.8" x14ac:dyDescent="0.25">
      <c r="A1084" s="8"/>
    </row>
    <row r="1085" spans="1:1" ht="13.8" x14ac:dyDescent="0.25">
      <c r="A1085" s="8"/>
    </row>
    <row r="1086" spans="1:1" ht="13.8" x14ac:dyDescent="0.25">
      <c r="A1086" s="8"/>
    </row>
    <row r="1087" spans="1:1" ht="13.8" x14ac:dyDescent="0.25">
      <c r="A1087" s="8"/>
    </row>
    <row r="1088" spans="1:1" ht="13.8" x14ac:dyDescent="0.25">
      <c r="A1088" s="8"/>
    </row>
    <row r="1089" spans="1:1" ht="13.8" x14ac:dyDescent="0.25">
      <c r="A1089" s="8"/>
    </row>
    <row r="1090" spans="1:1" ht="13.8" x14ac:dyDescent="0.25">
      <c r="A1090" s="8"/>
    </row>
    <row r="1091" spans="1:1" ht="13.8" x14ac:dyDescent="0.25">
      <c r="A1091" s="8"/>
    </row>
    <row r="1092" spans="1:1" ht="13.8" x14ac:dyDescent="0.25">
      <c r="A1092" s="8"/>
    </row>
    <row r="1093" spans="1:1" ht="13.8" x14ac:dyDescent="0.25">
      <c r="A1093" s="8"/>
    </row>
    <row r="1094" spans="1:1" ht="13.8" x14ac:dyDescent="0.25">
      <c r="A1094" s="8"/>
    </row>
    <row r="1095" spans="1:1" ht="13.8" x14ac:dyDescent="0.25">
      <c r="A1095" s="8"/>
    </row>
    <row r="1096" spans="1:1" ht="13.8" x14ac:dyDescent="0.25">
      <c r="A1096" s="8"/>
    </row>
    <row r="1097" spans="1:1" ht="13.8" x14ac:dyDescent="0.25">
      <c r="A1097" s="8"/>
    </row>
    <row r="1098" spans="1:1" ht="13.8" x14ac:dyDescent="0.25">
      <c r="A1098" s="8"/>
    </row>
    <row r="1099" spans="1:1" ht="13.8" x14ac:dyDescent="0.25">
      <c r="A1099" s="8"/>
    </row>
    <row r="1100" spans="1:1" ht="13.8" x14ac:dyDescent="0.25">
      <c r="A1100" s="8"/>
    </row>
    <row r="1101" spans="1:1" ht="13.8" x14ac:dyDescent="0.25">
      <c r="A1101" s="8"/>
    </row>
    <row r="1102" spans="1:1" ht="13.8" x14ac:dyDescent="0.25">
      <c r="A1102" s="8"/>
    </row>
    <row r="1103" spans="1:1" ht="13.8" x14ac:dyDescent="0.25">
      <c r="A1103" s="8"/>
    </row>
    <row r="1104" spans="1:1" ht="13.8" x14ac:dyDescent="0.25">
      <c r="A1104" s="8"/>
    </row>
    <row r="1105" spans="1:1" ht="13.8" x14ac:dyDescent="0.25">
      <c r="A1105" s="8"/>
    </row>
    <row r="1106" spans="1:1" ht="13.8" x14ac:dyDescent="0.25">
      <c r="A1106" s="8"/>
    </row>
    <row r="1107" spans="1:1" ht="13.8" x14ac:dyDescent="0.25">
      <c r="A1107" s="8"/>
    </row>
    <row r="1108" spans="1:1" ht="13.8" x14ac:dyDescent="0.25">
      <c r="A1108" s="8"/>
    </row>
    <row r="1109" spans="1:1" ht="13.8" x14ac:dyDescent="0.25">
      <c r="A1109" s="8"/>
    </row>
    <row r="1110" spans="1:1" ht="13.8" x14ac:dyDescent="0.25">
      <c r="A1110" s="8"/>
    </row>
    <row r="1111" spans="1:1" ht="13.8" x14ac:dyDescent="0.25">
      <c r="A1111" s="8"/>
    </row>
    <row r="1112" spans="1:1" ht="13.8" x14ac:dyDescent="0.25">
      <c r="A1112" s="8"/>
    </row>
    <row r="1113" spans="1:1" ht="13.8" x14ac:dyDescent="0.25">
      <c r="A1113" s="8"/>
    </row>
    <row r="1114" spans="1:1" ht="13.8" x14ac:dyDescent="0.25">
      <c r="A1114" s="8"/>
    </row>
    <row r="1115" spans="1:1" ht="13.8" x14ac:dyDescent="0.25">
      <c r="A1115" s="8"/>
    </row>
    <row r="1116" spans="1:1" ht="13.8" x14ac:dyDescent="0.25">
      <c r="A1116" s="8"/>
    </row>
    <row r="1117" spans="1:1" ht="13.8" x14ac:dyDescent="0.25">
      <c r="A1117" s="8"/>
    </row>
    <row r="1118" spans="1:1" ht="13.8" x14ac:dyDescent="0.25">
      <c r="A1118" s="8"/>
    </row>
    <row r="1119" spans="1:1" ht="13.8" x14ac:dyDescent="0.25">
      <c r="A1119" s="8"/>
    </row>
    <row r="1120" spans="1:1" ht="13.8" x14ac:dyDescent="0.25">
      <c r="A1120" s="8"/>
    </row>
    <row r="1121" spans="1:1" ht="13.8" x14ac:dyDescent="0.25">
      <c r="A1121" s="8"/>
    </row>
    <row r="1122" spans="1:1" ht="13.8" x14ac:dyDescent="0.25">
      <c r="A1122" s="8"/>
    </row>
    <row r="1123" spans="1:1" ht="13.8" x14ac:dyDescent="0.25">
      <c r="A1123" s="8"/>
    </row>
    <row r="1124" spans="1:1" ht="13.8" x14ac:dyDescent="0.25">
      <c r="A1124" s="8"/>
    </row>
    <row r="1125" spans="1:1" ht="13.8" x14ac:dyDescent="0.25">
      <c r="A1125" s="8"/>
    </row>
    <row r="1126" spans="1:1" ht="13.8" x14ac:dyDescent="0.25">
      <c r="A1126" s="8"/>
    </row>
    <row r="1127" spans="1:1" ht="13.8" x14ac:dyDescent="0.25">
      <c r="A1127" s="8"/>
    </row>
    <row r="1128" spans="1:1" ht="13.8" x14ac:dyDescent="0.25">
      <c r="A1128" s="8"/>
    </row>
    <row r="1129" spans="1:1" ht="13.8" x14ac:dyDescent="0.25">
      <c r="A1129" s="8"/>
    </row>
    <row r="1130" spans="1:1" ht="13.8" x14ac:dyDescent="0.25">
      <c r="A1130" s="8"/>
    </row>
    <row r="1131" spans="1:1" ht="13.8" x14ac:dyDescent="0.25">
      <c r="A1131" s="8"/>
    </row>
    <row r="1132" spans="1:1" ht="13.8" x14ac:dyDescent="0.25">
      <c r="A1132" s="8"/>
    </row>
    <row r="1133" spans="1:1" ht="13.8" x14ac:dyDescent="0.25">
      <c r="A1133" s="8"/>
    </row>
    <row r="1134" spans="1:1" ht="13.8" x14ac:dyDescent="0.25">
      <c r="A1134" s="8"/>
    </row>
    <row r="1135" spans="1:1" ht="13.8" x14ac:dyDescent="0.25">
      <c r="A1135" s="8"/>
    </row>
    <row r="1136" spans="1:1" ht="13.8" x14ac:dyDescent="0.25">
      <c r="A1136" s="8"/>
    </row>
    <row r="1137" spans="1:1" ht="13.8" x14ac:dyDescent="0.25">
      <c r="A1137" s="8"/>
    </row>
    <row r="1138" spans="1:1" ht="13.8" x14ac:dyDescent="0.25">
      <c r="A1138" s="8"/>
    </row>
    <row r="1139" spans="1:1" ht="13.8" x14ac:dyDescent="0.25">
      <c r="A1139" s="8"/>
    </row>
    <row r="1140" spans="1:1" ht="13.8" x14ac:dyDescent="0.25">
      <c r="A1140" s="8"/>
    </row>
    <row r="1141" spans="1:1" ht="13.8" x14ac:dyDescent="0.25">
      <c r="A1141" s="8"/>
    </row>
    <row r="1142" spans="1:1" ht="13.8" x14ac:dyDescent="0.25">
      <c r="A1142" s="8"/>
    </row>
    <row r="1143" spans="1:1" ht="13.8" x14ac:dyDescent="0.25">
      <c r="A1143" s="8"/>
    </row>
    <row r="1144" spans="1:1" ht="13.8" x14ac:dyDescent="0.25">
      <c r="A1144" s="8"/>
    </row>
    <row r="1145" spans="1:1" ht="13.8" x14ac:dyDescent="0.25">
      <c r="A1145" s="8"/>
    </row>
    <row r="1146" spans="1:1" ht="13.8" x14ac:dyDescent="0.25">
      <c r="A1146" s="8"/>
    </row>
    <row r="1147" spans="1:1" ht="13.8" x14ac:dyDescent="0.25">
      <c r="A1147" s="8"/>
    </row>
    <row r="1148" spans="1:1" ht="13.8" x14ac:dyDescent="0.25">
      <c r="A1148" s="8"/>
    </row>
    <row r="1149" spans="1:1" ht="13.8" x14ac:dyDescent="0.25">
      <c r="A1149" s="8"/>
    </row>
    <row r="1150" spans="1:1" ht="13.8" x14ac:dyDescent="0.25">
      <c r="A1150" s="8"/>
    </row>
    <row r="1151" spans="1:1" ht="13.8" x14ac:dyDescent="0.25">
      <c r="A1151" s="8"/>
    </row>
    <row r="1152" spans="1:1" ht="13.8" x14ac:dyDescent="0.25">
      <c r="A1152" s="8"/>
    </row>
    <row r="1153" spans="1:1" ht="13.8" x14ac:dyDescent="0.25">
      <c r="A1153" s="8"/>
    </row>
    <row r="1154" spans="1:1" ht="13.8" x14ac:dyDescent="0.25">
      <c r="A1154" s="8"/>
    </row>
    <row r="1155" spans="1:1" ht="13.8" x14ac:dyDescent="0.25">
      <c r="A1155" s="8"/>
    </row>
    <row r="1156" spans="1:1" ht="13.8" x14ac:dyDescent="0.25">
      <c r="A1156" s="8"/>
    </row>
    <row r="1157" spans="1:1" ht="13.8" x14ac:dyDescent="0.25">
      <c r="A1157" s="8"/>
    </row>
    <row r="1158" spans="1:1" ht="13.8" x14ac:dyDescent="0.25">
      <c r="A1158" s="8"/>
    </row>
    <row r="1159" spans="1:1" ht="13.8" x14ac:dyDescent="0.25">
      <c r="A1159" s="8"/>
    </row>
    <row r="1160" spans="1:1" ht="13.8" x14ac:dyDescent="0.25">
      <c r="A1160" s="8"/>
    </row>
    <row r="1161" spans="1:1" ht="13.8" x14ac:dyDescent="0.25">
      <c r="A1161" s="8"/>
    </row>
    <row r="1162" spans="1:1" ht="13.8" x14ac:dyDescent="0.25">
      <c r="A1162" s="8"/>
    </row>
    <row r="1163" spans="1:1" ht="13.8" x14ac:dyDescent="0.25">
      <c r="A1163" s="8"/>
    </row>
    <row r="1164" spans="1:1" ht="13.8" x14ac:dyDescent="0.25">
      <c r="A1164" s="8"/>
    </row>
    <row r="1165" spans="1:1" ht="13.8" x14ac:dyDescent="0.25">
      <c r="A1165" s="8"/>
    </row>
    <row r="1166" spans="1:1" ht="13.8" x14ac:dyDescent="0.25">
      <c r="A1166" s="8"/>
    </row>
    <row r="1167" spans="1:1" ht="13.8" x14ac:dyDescent="0.25">
      <c r="A1167" s="8"/>
    </row>
    <row r="1168" spans="1:1" ht="13.8" x14ac:dyDescent="0.25">
      <c r="A1168" s="8"/>
    </row>
    <row r="1169" spans="1:1" ht="13.8" x14ac:dyDescent="0.25">
      <c r="A1169" s="8"/>
    </row>
    <row r="1170" spans="1:1" ht="13.8" x14ac:dyDescent="0.25">
      <c r="A1170" s="8"/>
    </row>
    <row r="1171" spans="1:1" ht="13.8" x14ac:dyDescent="0.25">
      <c r="A1171" s="8"/>
    </row>
    <row r="1172" spans="1:1" ht="13.8" x14ac:dyDescent="0.25">
      <c r="A1172" s="8"/>
    </row>
    <row r="1173" spans="1:1" ht="13.8" x14ac:dyDescent="0.25">
      <c r="A1173" s="8"/>
    </row>
    <row r="1174" spans="1:1" ht="13.8" x14ac:dyDescent="0.25">
      <c r="A1174" s="8"/>
    </row>
    <row r="1175" spans="1:1" ht="13.8" x14ac:dyDescent="0.25">
      <c r="A1175" s="8"/>
    </row>
    <row r="1176" spans="1:1" ht="13.8" x14ac:dyDescent="0.25">
      <c r="A1176" s="8"/>
    </row>
    <row r="1177" spans="1:1" ht="13.8" x14ac:dyDescent="0.25">
      <c r="A1177" s="8"/>
    </row>
    <row r="1178" spans="1:1" ht="13.8" x14ac:dyDescent="0.25">
      <c r="A1178" s="8"/>
    </row>
    <row r="1179" spans="1:1" ht="13.8" x14ac:dyDescent="0.25">
      <c r="A1179" s="8"/>
    </row>
    <row r="1180" spans="1:1" ht="13.8" x14ac:dyDescent="0.25">
      <c r="A1180" s="8"/>
    </row>
    <row r="1181" spans="1:1" ht="13.8" x14ac:dyDescent="0.25">
      <c r="A1181" s="8"/>
    </row>
    <row r="1182" spans="1:1" ht="13.8" x14ac:dyDescent="0.25">
      <c r="A1182" s="8"/>
    </row>
    <row r="1183" spans="1:1" ht="13.8" x14ac:dyDescent="0.25">
      <c r="A1183" s="8"/>
    </row>
    <row r="1184" spans="1:1" ht="13.8" x14ac:dyDescent="0.25">
      <c r="A1184" s="8"/>
    </row>
    <row r="1185" spans="1:1" ht="13.8" x14ac:dyDescent="0.25">
      <c r="A1185" s="8"/>
    </row>
    <row r="1186" spans="1:1" ht="13.8" x14ac:dyDescent="0.25">
      <c r="A1186" s="8"/>
    </row>
    <row r="1187" spans="1:1" ht="13.8" x14ac:dyDescent="0.25">
      <c r="A1187" s="8"/>
    </row>
    <row r="1188" spans="1:1" ht="13.8" x14ac:dyDescent="0.25">
      <c r="A1188" s="8"/>
    </row>
    <row r="1189" spans="1:1" ht="13.8" x14ac:dyDescent="0.25">
      <c r="A1189" s="8"/>
    </row>
    <row r="1190" spans="1:1" ht="13.8" x14ac:dyDescent="0.25">
      <c r="A1190" s="8"/>
    </row>
    <row r="1191" spans="1:1" ht="13.8" x14ac:dyDescent="0.25">
      <c r="A1191" s="8"/>
    </row>
    <row r="1192" spans="1:1" ht="13.8" x14ac:dyDescent="0.25">
      <c r="A1192" s="8"/>
    </row>
    <row r="1193" spans="1:1" ht="13.8" x14ac:dyDescent="0.25">
      <c r="A1193" s="8"/>
    </row>
    <row r="1194" spans="1:1" ht="13.8" x14ac:dyDescent="0.25">
      <c r="A1194" s="8"/>
    </row>
    <row r="1195" spans="1:1" ht="13.8" x14ac:dyDescent="0.25">
      <c r="A1195" s="8"/>
    </row>
    <row r="1196" spans="1:1" ht="13.8" x14ac:dyDescent="0.25">
      <c r="A1196" s="8"/>
    </row>
    <row r="1197" spans="1:1" ht="13.8" x14ac:dyDescent="0.25">
      <c r="A1197" s="8"/>
    </row>
    <row r="1198" spans="1:1" ht="13.8" x14ac:dyDescent="0.25">
      <c r="A1198" s="8"/>
    </row>
    <row r="1199" spans="1:1" ht="13.8" x14ac:dyDescent="0.25">
      <c r="A1199" s="8"/>
    </row>
    <row r="1200" spans="1:1" ht="13.8" x14ac:dyDescent="0.25">
      <c r="A1200" s="8"/>
    </row>
    <row r="1201" spans="1:1" ht="13.8" x14ac:dyDescent="0.25">
      <c r="A1201" s="8"/>
    </row>
    <row r="1202" spans="1:1" ht="13.8" x14ac:dyDescent="0.25">
      <c r="A1202" s="8"/>
    </row>
    <row r="1203" spans="1:1" ht="13.8" x14ac:dyDescent="0.25">
      <c r="A1203" s="8"/>
    </row>
    <row r="1204" spans="1:1" ht="13.8" x14ac:dyDescent="0.25">
      <c r="A1204" s="8"/>
    </row>
    <row r="1205" spans="1:1" ht="13.8" x14ac:dyDescent="0.25">
      <c r="A1205" s="8"/>
    </row>
    <row r="1206" spans="1:1" ht="13.8" x14ac:dyDescent="0.25">
      <c r="A1206" s="8"/>
    </row>
    <row r="1207" spans="1:1" ht="13.8" x14ac:dyDescent="0.25">
      <c r="A1207" s="8"/>
    </row>
    <row r="1208" spans="1:1" ht="13.8" x14ac:dyDescent="0.25">
      <c r="A1208" s="8"/>
    </row>
    <row r="1209" spans="1:1" ht="13.8" x14ac:dyDescent="0.25">
      <c r="A1209" s="8"/>
    </row>
    <row r="1210" spans="1:1" ht="13.8" x14ac:dyDescent="0.25">
      <c r="A1210" s="8"/>
    </row>
    <row r="1211" spans="1:1" ht="13.8" x14ac:dyDescent="0.25">
      <c r="A1211" s="8"/>
    </row>
    <row r="1212" spans="1:1" ht="13.8" x14ac:dyDescent="0.25">
      <c r="A1212" s="8"/>
    </row>
    <row r="1213" spans="1:1" ht="13.8" x14ac:dyDescent="0.25">
      <c r="A1213" s="8"/>
    </row>
    <row r="1214" spans="1:1" ht="13.8" x14ac:dyDescent="0.25">
      <c r="A1214" s="8"/>
    </row>
    <row r="1215" spans="1:1" ht="13.8" x14ac:dyDescent="0.25">
      <c r="A1215" s="8"/>
    </row>
    <row r="1216" spans="1:1" ht="13.8" x14ac:dyDescent="0.25">
      <c r="A1216" s="8"/>
    </row>
    <row r="1217" spans="1:1" ht="13.8" x14ac:dyDescent="0.25">
      <c r="A1217" s="8"/>
    </row>
    <row r="1218" spans="1:1" ht="13.8" x14ac:dyDescent="0.25">
      <c r="A1218" s="8"/>
    </row>
    <row r="1219" spans="1:1" ht="13.8" x14ac:dyDescent="0.25">
      <c r="A1219" s="8"/>
    </row>
    <row r="1220" spans="1:1" ht="13.8" x14ac:dyDescent="0.25">
      <c r="A1220" s="8"/>
    </row>
    <row r="1221" spans="1:1" ht="13.8" x14ac:dyDescent="0.25">
      <c r="A1221" s="8"/>
    </row>
    <row r="1222" spans="1:1" ht="13.8" x14ac:dyDescent="0.25">
      <c r="A1222" s="8"/>
    </row>
    <row r="1223" spans="1:1" ht="13.8" x14ac:dyDescent="0.25">
      <c r="A1223" s="8"/>
    </row>
    <row r="1224" spans="1:1" ht="13.8" x14ac:dyDescent="0.25">
      <c r="A1224" s="8"/>
    </row>
    <row r="1225" spans="1:1" ht="13.8" x14ac:dyDescent="0.25">
      <c r="A1225" s="8"/>
    </row>
    <row r="1226" spans="1:1" ht="13.8" x14ac:dyDescent="0.25">
      <c r="A1226" s="8"/>
    </row>
    <row r="1227" spans="1:1" ht="13.8" x14ac:dyDescent="0.25">
      <c r="A1227" s="8"/>
    </row>
    <row r="1228" spans="1:1" ht="13.8" x14ac:dyDescent="0.25">
      <c r="A1228" s="8"/>
    </row>
    <row r="1229" spans="1:1" ht="13.8" x14ac:dyDescent="0.25">
      <c r="A1229" s="8"/>
    </row>
    <row r="1230" spans="1:1" ht="13.8" x14ac:dyDescent="0.25">
      <c r="A1230" s="8"/>
    </row>
    <row r="1231" spans="1:1" ht="13.8" x14ac:dyDescent="0.25">
      <c r="A1231" s="8"/>
    </row>
    <row r="1232" spans="1:1" ht="13.8" x14ac:dyDescent="0.25">
      <c r="A1232" s="8"/>
    </row>
    <row r="1233" spans="1:1" ht="13.8" x14ac:dyDescent="0.25">
      <c r="A1233" s="8"/>
    </row>
    <row r="1234" spans="1:1" ht="13.8" x14ac:dyDescent="0.25">
      <c r="A1234" s="8"/>
    </row>
    <row r="1235" spans="1:1" ht="13.8" x14ac:dyDescent="0.25">
      <c r="A1235" s="8"/>
    </row>
    <row r="1236" spans="1:1" ht="13.8" x14ac:dyDescent="0.25">
      <c r="A1236" s="8"/>
    </row>
    <row r="1237" spans="1:1" ht="13.8" x14ac:dyDescent="0.25">
      <c r="A1237" s="8"/>
    </row>
    <row r="1238" spans="1:1" ht="13.8" x14ac:dyDescent="0.25">
      <c r="A1238" s="8"/>
    </row>
    <row r="1239" spans="1:1" ht="13.8" x14ac:dyDescent="0.25">
      <c r="A1239" s="8"/>
    </row>
    <row r="1240" spans="1:1" ht="13.8" x14ac:dyDescent="0.25">
      <c r="A1240" s="8"/>
    </row>
    <row r="1241" spans="1:1" ht="13.8" x14ac:dyDescent="0.25">
      <c r="A1241" s="8"/>
    </row>
    <row r="1242" spans="1:1" ht="13.8" x14ac:dyDescent="0.25">
      <c r="A1242" s="8"/>
    </row>
    <row r="1243" spans="1:1" ht="13.8" x14ac:dyDescent="0.25">
      <c r="A1243" s="8"/>
    </row>
    <row r="1244" spans="1:1" ht="13.8" x14ac:dyDescent="0.25">
      <c r="A1244" s="8"/>
    </row>
    <row r="1245" spans="1:1" ht="13.8" x14ac:dyDescent="0.25">
      <c r="A1245" s="8"/>
    </row>
    <row r="1246" spans="1:1" ht="13.8" x14ac:dyDescent="0.25">
      <c r="A1246" s="8"/>
    </row>
    <row r="1247" spans="1:1" ht="13.8" x14ac:dyDescent="0.25">
      <c r="A1247" s="8"/>
    </row>
    <row r="1248" spans="1:1" ht="13.8" x14ac:dyDescent="0.25">
      <c r="A1248" s="8"/>
    </row>
    <row r="1249" spans="1:1" ht="13.8" x14ac:dyDescent="0.25">
      <c r="A1249" s="8"/>
    </row>
    <row r="1250" spans="1:1" ht="13.8" x14ac:dyDescent="0.25">
      <c r="A1250" s="8"/>
    </row>
    <row r="1251" spans="1:1" ht="13.8" x14ac:dyDescent="0.25">
      <c r="A1251" s="8"/>
    </row>
    <row r="1252" spans="1:1" ht="13.8" x14ac:dyDescent="0.25">
      <c r="A1252" s="8"/>
    </row>
    <row r="1253" spans="1:1" ht="13.8" x14ac:dyDescent="0.25">
      <c r="A1253" s="8"/>
    </row>
    <row r="1254" spans="1:1" ht="13.8" x14ac:dyDescent="0.25">
      <c r="A1254" s="8"/>
    </row>
    <row r="1255" spans="1:1" ht="13.8" x14ac:dyDescent="0.25">
      <c r="A1255" s="8"/>
    </row>
    <row r="1256" spans="1:1" ht="13.8" x14ac:dyDescent="0.25">
      <c r="A1256" s="8"/>
    </row>
    <row r="1257" spans="1:1" ht="13.8" x14ac:dyDescent="0.25">
      <c r="A1257" s="8"/>
    </row>
    <row r="1258" spans="1:1" ht="13.8" x14ac:dyDescent="0.25">
      <c r="A1258" s="8"/>
    </row>
    <row r="1259" spans="1:1" ht="13.8" x14ac:dyDescent="0.25">
      <c r="A1259" s="8"/>
    </row>
    <row r="1260" spans="1:1" ht="13.8" x14ac:dyDescent="0.25">
      <c r="A1260" s="8"/>
    </row>
    <row r="1261" spans="1:1" ht="13.8" x14ac:dyDescent="0.25">
      <c r="A1261" s="8"/>
    </row>
    <row r="1262" spans="1:1" ht="13.8" x14ac:dyDescent="0.25">
      <c r="A1262" s="8"/>
    </row>
    <row r="1263" spans="1:1" ht="13.8" x14ac:dyDescent="0.25">
      <c r="A1263" s="8"/>
    </row>
    <row r="1264" spans="1:1" ht="13.8" x14ac:dyDescent="0.25">
      <c r="A1264" s="8"/>
    </row>
    <row r="1265" spans="1:1" ht="13.8" x14ac:dyDescent="0.25">
      <c r="A1265" s="8"/>
    </row>
    <row r="1266" spans="1:1" ht="13.8" x14ac:dyDescent="0.25">
      <c r="A1266" s="8"/>
    </row>
    <row r="1267" spans="1:1" ht="13.8" x14ac:dyDescent="0.25">
      <c r="A1267" s="8"/>
    </row>
    <row r="1268" spans="1:1" ht="13.8" x14ac:dyDescent="0.25">
      <c r="A1268" s="8"/>
    </row>
    <row r="1269" spans="1:1" ht="13.8" x14ac:dyDescent="0.25">
      <c r="A1269" s="8"/>
    </row>
    <row r="1270" spans="1:1" ht="13.8" x14ac:dyDescent="0.25">
      <c r="A1270" s="8"/>
    </row>
    <row r="1271" spans="1:1" ht="13.8" x14ac:dyDescent="0.25">
      <c r="A1271" s="8"/>
    </row>
    <row r="1272" spans="1:1" ht="13.8" x14ac:dyDescent="0.25">
      <c r="A1272" s="8"/>
    </row>
    <row r="1273" spans="1:1" ht="13.8" x14ac:dyDescent="0.25">
      <c r="A1273" s="8"/>
    </row>
    <row r="1274" spans="1:1" ht="13.8" x14ac:dyDescent="0.25">
      <c r="A1274" s="8"/>
    </row>
    <row r="1275" spans="1:1" ht="13.8" x14ac:dyDescent="0.25">
      <c r="A1275" s="8"/>
    </row>
    <row r="1276" spans="1:1" ht="13.8" x14ac:dyDescent="0.25">
      <c r="A1276" s="8"/>
    </row>
    <row r="1277" spans="1:1" ht="13.8" x14ac:dyDescent="0.25">
      <c r="A1277" s="8"/>
    </row>
    <row r="1278" spans="1:1" ht="13.8" x14ac:dyDescent="0.25">
      <c r="A1278" s="8"/>
    </row>
    <row r="1279" spans="1:1" ht="13.8" x14ac:dyDescent="0.25">
      <c r="A1279" s="8"/>
    </row>
    <row r="1280" spans="1:1" ht="13.8" x14ac:dyDescent="0.25">
      <c r="A1280" s="8"/>
    </row>
    <row r="1281" spans="1:1" ht="13.8" x14ac:dyDescent="0.25">
      <c r="A1281" s="8"/>
    </row>
    <row r="1282" spans="1:1" ht="13.8" x14ac:dyDescent="0.25">
      <c r="A1282" s="8"/>
    </row>
    <row r="1283" spans="1:1" ht="13.8" x14ac:dyDescent="0.25">
      <c r="A1283" s="8"/>
    </row>
    <row r="1284" spans="1:1" ht="13.8" x14ac:dyDescent="0.25">
      <c r="A1284" s="8"/>
    </row>
    <row r="1285" spans="1:1" ht="13.8" x14ac:dyDescent="0.25">
      <c r="A1285" s="8"/>
    </row>
    <row r="1286" spans="1:1" ht="13.8" x14ac:dyDescent="0.25">
      <c r="A1286" s="8"/>
    </row>
    <row r="1287" spans="1:1" ht="13.8" x14ac:dyDescent="0.25">
      <c r="A1287" s="8"/>
    </row>
    <row r="1288" spans="1:1" ht="13.8" x14ac:dyDescent="0.25">
      <c r="A1288" s="8"/>
    </row>
    <row r="1289" spans="1:1" ht="13.8" x14ac:dyDescent="0.25">
      <c r="A1289" s="8"/>
    </row>
    <row r="1290" spans="1:1" ht="13.8" x14ac:dyDescent="0.25">
      <c r="A1290" s="8"/>
    </row>
    <row r="1291" spans="1:1" ht="13.8" x14ac:dyDescent="0.25">
      <c r="A1291" s="8"/>
    </row>
    <row r="1292" spans="1:1" ht="13.8" x14ac:dyDescent="0.25">
      <c r="A1292" s="8"/>
    </row>
    <row r="1293" spans="1:1" ht="13.8" x14ac:dyDescent="0.25">
      <c r="A1293" s="8"/>
    </row>
    <row r="1294" spans="1:1" ht="13.8" x14ac:dyDescent="0.25">
      <c r="A1294" s="8"/>
    </row>
    <row r="1295" spans="1:1" ht="13.8" x14ac:dyDescent="0.25">
      <c r="A1295" s="8"/>
    </row>
    <row r="1296" spans="1:1" ht="13.8" x14ac:dyDescent="0.25">
      <c r="A1296" s="8"/>
    </row>
    <row r="1297" spans="1:1" ht="13.8" x14ac:dyDescent="0.25">
      <c r="A1297" s="8"/>
    </row>
    <row r="1298" spans="1:1" ht="13.8" x14ac:dyDescent="0.25">
      <c r="A1298" s="8"/>
    </row>
    <row r="1299" spans="1:1" ht="13.8" x14ac:dyDescent="0.25">
      <c r="A1299" s="8"/>
    </row>
    <row r="1300" spans="1:1" ht="13.8" x14ac:dyDescent="0.25">
      <c r="A1300" s="8"/>
    </row>
    <row r="1301" spans="1:1" ht="13.8" x14ac:dyDescent="0.25">
      <c r="A1301" s="8"/>
    </row>
    <row r="1302" spans="1:1" ht="13.8" x14ac:dyDescent="0.25">
      <c r="A1302" s="8"/>
    </row>
    <row r="1303" spans="1:1" ht="13.8" x14ac:dyDescent="0.25">
      <c r="A1303" s="8"/>
    </row>
    <row r="1304" spans="1:1" ht="13.8" x14ac:dyDescent="0.25">
      <c r="A1304" s="8"/>
    </row>
    <row r="1305" spans="1:1" ht="13.8" x14ac:dyDescent="0.25">
      <c r="A1305" s="8"/>
    </row>
    <row r="1306" spans="1:1" ht="13.8" x14ac:dyDescent="0.25">
      <c r="A1306" s="8"/>
    </row>
    <row r="1307" spans="1:1" ht="13.8" x14ac:dyDescent="0.25">
      <c r="A1307" s="8"/>
    </row>
    <row r="1308" spans="1:1" ht="13.8" x14ac:dyDescent="0.25">
      <c r="A1308" s="8"/>
    </row>
    <row r="1309" spans="1:1" ht="13.8" x14ac:dyDescent="0.25">
      <c r="A1309" s="8"/>
    </row>
    <row r="1310" spans="1:1" ht="13.8" x14ac:dyDescent="0.25">
      <c r="A1310" s="8"/>
    </row>
    <row r="1311" spans="1:1" ht="13.8" x14ac:dyDescent="0.25">
      <c r="A1311" s="8"/>
    </row>
    <row r="1312" spans="1:1" ht="13.8" x14ac:dyDescent="0.25">
      <c r="A1312" s="8"/>
    </row>
    <row r="1313" spans="1:1" ht="13.8" x14ac:dyDescent="0.25">
      <c r="A1313" s="8"/>
    </row>
    <row r="1314" spans="1:1" ht="13.8" x14ac:dyDescent="0.25">
      <c r="A1314" s="8"/>
    </row>
    <row r="1315" spans="1:1" ht="13.8" x14ac:dyDescent="0.25">
      <c r="A1315" s="8"/>
    </row>
    <row r="1316" spans="1:1" ht="13.8" x14ac:dyDescent="0.25">
      <c r="A1316" s="8"/>
    </row>
    <row r="1317" spans="1:1" ht="13.8" x14ac:dyDescent="0.25">
      <c r="A1317" s="8"/>
    </row>
    <row r="1318" spans="1:1" ht="13.8" x14ac:dyDescent="0.25">
      <c r="A1318" s="8"/>
    </row>
    <row r="1319" spans="1:1" ht="13.8" x14ac:dyDescent="0.25">
      <c r="A1319" s="8"/>
    </row>
    <row r="1320" spans="1:1" ht="13.8" x14ac:dyDescent="0.25">
      <c r="A1320" s="8"/>
    </row>
    <row r="1321" spans="1:1" ht="13.8" x14ac:dyDescent="0.25">
      <c r="A1321" s="8"/>
    </row>
    <row r="1322" spans="1:1" ht="13.8" x14ac:dyDescent="0.25">
      <c r="A1322" s="8"/>
    </row>
    <row r="1323" spans="1:1" ht="13.8" x14ac:dyDescent="0.25">
      <c r="A1323" s="8"/>
    </row>
    <row r="1324" spans="1:1" ht="13.8" x14ac:dyDescent="0.25">
      <c r="A1324" s="8"/>
    </row>
    <row r="1325" spans="1:1" ht="13.8" x14ac:dyDescent="0.25">
      <c r="A1325" s="8"/>
    </row>
    <row r="1326" spans="1:1" ht="13.8" x14ac:dyDescent="0.25">
      <c r="A1326" s="8"/>
    </row>
    <row r="1327" spans="1:1" ht="13.8" x14ac:dyDescent="0.25">
      <c r="A1327" s="8"/>
    </row>
    <row r="1328" spans="1:1" ht="13.8" x14ac:dyDescent="0.25">
      <c r="A1328" s="8"/>
    </row>
    <row r="1329" spans="1:1" ht="13.8" x14ac:dyDescent="0.25">
      <c r="A1329" s="8"/>
    </row>
    <row r="1330" spans="1:1" ht="13.8" x14ac:dyDescent="0.25">
      <c r="A1330" s="8"/>
    </row>
    <row r="1331" spans="1:1" ht="13.8" x14ac:dyDescent="0.25">
      <c r="A1331" s="8"/>
    </row>
    <row r="1332" spans="1:1" ht="13.8" x14ac:dyDescent="0.25">
      <c r="A1332" s="8"/>
    </row>
    <row r="1333" spans="1:1" ht="13.8" x14ac:dyDescent="0.25">
      <c r="A1333" s="8"/>
    </row>
    <row r="1334" spans="1:1" ht="13.8" x14ac:dyDescent="0.25">
      <c r="A1334" s="8"/>
    </row>
    <row r="1335" spans="1:1" ht="13.8" x14ac:dyDescent="0.25">
      <c r="A1335" s="8"/>
    </row>
    <row r="1336" spans="1:1" ht="13.8" x14ac:dyDescent="0.25">
      <c r="A1336" s="8"/>
    </row>
    <row r="1337" spans="1:1" ht="13.8" x14ac:dyDescent="0.25">
      <c r="A1337" s="8"/>
    </row>
    <row r="1338" spans="1:1" ht="13.8" x14ac:dyDescent="0.25">
      <c r="A1338" s="8"/>
    </row>
    <row r="1339" spans="1:1" ht="13.8" x14ac:dyDescent="0.25">
      <c r="A1339" s="8"/>
    </row>
    <row r="1340" spans="1:1" ht="13.8" x14ac:dyDescent="0.25">
      <c r="A1340" s="8"/>
    </row>
    <row r="1341" spans="1:1" ht="13.8" x14ac:dyDescent="0.25">
      <c r="A1341" s="8"/>
    </row>
    <row r="1342" spans="1:1" ht="13.8" x14ac:dyDescent="0.25">
      <c r="A1342" s="8"/>
    </row>
    <row r="1343" spans="1:1" ht="13.8" x14ac:dyDescent="0.25">
      <c r="A1343" s="8"/>
    </row>
    <row r="1344" spans="1:1" ht="13.8" x14ac:dyDescent="0.25">
      <c r="A1344" s="8"/>
    </row>
    <row r="1345" spans="1:1" ht="13.8" x14ac:dyDescent="0.25">
      <c r="A1345" s="8"/>
    </row>
    <row r="1346" spans="1:1" ht="13.8" x14ac:dyDescent="0.25">
      <c r="A1346" s="8"/>
    </row>
    <row r="1347" spans="1:1" ht="13.8" x14ac:dyDescent="0.25">
      <c r="A1347" s="8"/>
    </row>
    <row r="1348" spans="1:1" ht="13.8" x14ac:dyDescent="0.25">
      <c r="A1348" s="8"/>
    </row>
    <row r="1349" spans="1:1" ht="13.8" x14ac:dyDescent="0.25">
      <c r="A1349" s="8"/>
    </row>
    <row r="1350" spans="1:1" ht="13.8" x14ac:dyDescent="0.25">
      <c r="A1350" s="8"/>
    </row>
    <row r="1351" spans="1:1" ht="13.8" x14ac:dyDescent="0.25">
      <c r="A1351" s="8"/>
    </row>
    <row r="1352" spans="1:1" ht="13.8" x14ac:dyDescent="0.25">
      <c r="A1352" s="8"/>
    </row>
    <row r="1353" spans="1:1" ht="13.8" x14ac:dyDescent="0.25">
      <c r="A1353" s="8"/>
    </row>
    <row r="1354" spans="1:1" ht="13.8" x14ac:dyDescent="0.25">
      <c r="A1354" s="8"/>
    </row>
    <row r="1355" spans="1:1" ht="13.8" x14ac:dyDescent="0.25">
      <c r="A1355" s="8"/>
    </row>
    <row r="1356" spans="1:1" ht="13.8" x14ac:dyDescent="0.25">
      <c r="A1356" s="8"/>
    </row>
    <row r="1357" spans="1:1" ht="13.8" x14ac:dyDescent="0.25">
      <c r="A1357" s="8"/>
    </row>
    <row r="1358" spans="1:1" ht="13.8" x14ac:dyDescent="0.25">
      <c r="A1358" s="8"/>
    </row>
    <row r="1359" spans="1:1" ht="13.8" x14ac:dyDescent="0.25">
      <c r="A1359" s="8"/>
    </row>
    <row r="1360" spans="1:1" ht="13.8" x14ac:dyDescent="0.25">
      <c r="A1360" s="8"/>
    </row>
    <row r="1361" spans="1:1" ht="13.8" x14ac:dyDescent="0.25">
      <c r="A1361" s="8"/>
    </row>
    <row r="1362" spans="1:1" ht="13.8" x14ac:dyDescent="0.25">
      <c r="A1362" s="8"/>
    </row>
    <row r="1363" spans="1:1" ht="13.8" x14ac:dyDescent="0.25">
      <c r="A1363" s="8"/>
    </row>
    <row r="1364" spans="1:1" ht="13.8" x14ac:dyDescent="0.25">
      <c r="A1364" s="8"/>
    </row>
    <row r="1365" spans="1:1" ht="13.8" x14ac:dyDescent="0.25">
      <c r="A1365" s="8"/>
    </row>
    <row r="1366" spans="1:1" ht="13.8" x14ac:dyDescent="0.25">
      <c r="A1366" s="8"/>
    </row>
    <row r="1367" spans="1:1" ht="13.8" x14ac:dyDescent="0.25">
      <c r="A1367" s="8"/>
    </row>
    <row r="1368" spans="1:1" ht="13.8" x14ac:dyDescent="0.25">
      <c r="A1368" s="8"/>
    </row>
    <row r="1369" spans="1:1" ht="13.8" x14ac:dyDescent="0.25">
      <c r="A1369" s="8"/>
    </row>
    <row r="1370" spans="1:1" ht="13.8" x14ac:dyDescent="0.25">
      <c r="A1370" s="8"/>
    </row>
    <row r="1371" spans="1:1" ht="13.8" x14ac:dyDescent="0.25">
      <c r="A1371" s="8"/>
    </row>
    <row r="1372" spans="1:1" ht="13.8" x14ac:dyDescent="0.25">
      <c r="A1372" s="8"/>
    </row>
    <row r="1373" spans="1:1" ht="13.8" x14ac:dyDescent="0.25">
      <c r="A1373" s="8"/>
    </row>
    <row r="1374" spans="1:1" ht="13.8" x14ac:dyDescent="0.25">
      <c r="A1374" s="8"/>
    </row>
    <row r="1375" spans="1:1" ht="13.8" x14ac:dyDescent="0.25">
      <c r="A1375" s="8"/>
    </row>
    <row r="1376" spans="1:1" ht="13.8" x14ac:dyDescent="0.25">
      <c r="A1376" s="8"/>
    </row>
    <row r="1377" spans="1:1" ht="13.8" x14ac:dyDescent="0.25">
      <c r="A1377" s="8"/>
    </row>
    <row r="1378" spans="1:1" ht="13.8" x14ac:dyDescent="0.25">
      <c r="A1378" s="8"/>
    </row>
    <row r="1379" spans="1:1" ht="13.8" x14ac:dyDescent="0.25">
      <c r="A1379" s="8"/>
    </row>
    <row r="1380" spans="1:1" ht="13.8" x14ac:dyDescent="0.25">
      <c r="A1380" s="8"/>
    </row>
    <row r="1381" spans="1:1" ht="13.8" x14ac:dyDescent="0.25">
      <c r="A1381" s="8"/>
    </row>
    <row r="1382" spans="1:1" ht="13.8" x14ac:dyDescent="0.25">
      <c r="A1382" s="8"/>
    </row>
    <row r="1383" spans="1:1" ht="13.8" x14ac:dyDescent="0.25">
      <c r="A1383" s="8"/>
    </row>
    <row r="1384" spans="1:1" ht="13.8" x14ac:dyDescent="0.25">
      <c r="A1384" s="8"/>
    </row>
    <row r="1385" spans="1:1" ht="13.8" x14ac:dyDescent="0.25">
      <c r="A1385" s="8"/>
    </row>
    <row r="1386" spans="1:1" ht="13.8" x14ac:dyDescent="0.25">
      <c r="A1386" s="8"/>
    </row>
    <row r="1387" spans="1:1" ht="13.8" x14ac:dyDescent="0.25">
      <c r="A1387" s="8"/>
    </row>
    <row r="1388" spans="1:1" ht="13.8" x14ac:dyDescent="0.25">
      <c r="A1388" s="8"/>
    </row>
    <row r="1389" spans="1:1" ht="13.8" x14ac:dyDescent="0.25">
      <c r="A1389" s="8"/>
    </row>
    <row r="1390" spans="1:1" ht="13.8" x14ac:dyDescent="0.25">
      <c r="A1390" s="8"/>
    </row>
    <row r="1391" spans="1:1" ht="13.8" x14ac:dyDescent="0.25">
      <c r="A1391" s="8"/>
    </row>
    <row r="1392" spans="1:1" ht="13.8" x14ac:dyDescent="0.25">
      <c r="A1392" s="8"/>
    </row>
    <row r="1393" spans="1:1" ht="13.8" x14ac:dyDescent="0.25">
      <c r="A1393" s="8"/>
    </row>
    <row r="1394" spans="1:1" ht="13.8" x14ac:dyDescent="0.25">
      <c r="A1394" s="8"/>
    </row>
    <row r="1395" spans="1:1" ht="13.8" x14ac:dyDescent="0.25">
      <c r="A1395" s="8"/>
    </row>
    <row r="1396" spans="1:1" ht="13.8" x14ac:dyDescent="0.25">
      <c r="A1396" s="8"/>
    </row>
    <row r="1397" spans="1:1" ht="13.8" x14ac:dyDescent="0.25">
      <c r="A1397" s="8"/>
    </row>
    <row r="1398" spans="1:1" ht="13.8" x14ac:dyDescent="0.25">
      <c r="A1398" s="8"/>
    </row>
    <row r="1399" spans="1:1" ht="13.8" x14ac:dyDescent="0.25">
      <c r="A1399" s="8"/>
    </row>
    <row r="1400" spans="1:1" ht="13.8" x14ac:dyDescent="0.25">
      <c r="A1400" s="8"/>
    </row>
    <row r="1401" spans="1:1" ht="13.8" x14ac:dyDescent="0.25">
      <c r="A1401" s="8"/>
    </row>
    <row r="1402" spans="1:1" ht="13.8" x14ac:dyDescent="0.25">
      <c r="A1402" s="8"/>
    </row>
    <row r="1403" spans="1:1" ht="13.8" x14ac:dyDescent="0.25">
      <c r="A1403" s="8"/>
    </row>
    <row r="1404" spans="1:1" ht="13.8" x14ac:dyDescent="0.25">
      <c r="A1404" s="8"/>
    </row>
    <row r="1405" spans="1:1" ht="13.8" x14ac:dyDescent="0.25">
      <c r="A1405" s="8"/>
    </row>
    <row r="1406" spans="1:1" ht="13.8" x14ac:dyDescent="0.25">
      <c r="A1406" s="8"/>
    </row>
    <row r="1407" spans="1:1" ht="13.8" x14ac:dyDescent="0.25">
      <c r="A1407" s="8"/>
    </row>
    <row r="1408" spans="1:1" ht="13.8" x14ac:dyDescent="0.25">
      <c r="A1408" s="8"/>
    </row>
    <row r="1409" spans="1:1" ht="13.8" x14ac:dyDescent="0.25">
      <c r="A1409" s="8"/>
    </row>
    <row r="1410" spans="1:1" ht="13.8" x14ac:dyDescent="0.25">
      <c r="A1410" s="8"/>
    </row>
    <row r="1411" spans="1:1" ht="13.8" x14ac:dyDescent="0.25">
      <c r="A1411" s="8"/>
    </row>
    <row r="1412" spans="1:1" ht="13.8" x14ac:dyDescent="0.25">
      <c r="A1412" s="8"/>
    </row>
    <row r="1413" spans="1:1" ht="13.8" x14ac:dyDescent="0.25">
      <c r="A1413" s="8"/>
    </row>
    <row r="1414" spans="1:1" ht="13.8" x14ac:dyDescent="0.25">
      <c r="A1414" s="8"/>
    </row>
    <row r="1415" spans="1:1" ht="13.8" x14ac:dyDescent="0.25">
      <c r="A1415" s="8"/>
    </row>
    <row r="1416" spans="1:1" ht="13.8" x14ac:dyDescent="0.25">
      <c r="A1416" s="8"/>
    </row>
    <row r="1417" spans="1:1" ht="13.8" x14ac:dyDescent="0.25">
      <c r="A1417" s="8"/>
    </row>
    <row r="1418" spans="1:1" ht="13.8" x14ac:dyDescent="0.25">
      <c r="A1418" s="8"/>
    </row>
    <row r="1419" spans="1:1" ht="13.8" x14ac:dyDescent="0.25">
      <c r="A1419" s="8"/>
    </row>
    <row r="1420" spans="1:1" ht="13.8" x14ac:dyDescent="0.25">
      <c r="A1420" s="8"/>
    </row>
    <row r="1421" spans="1:1" ht="13.8" x14ac:dyDescent="0.25">
      <c r="A1421" s="8"/>
    </row>
    <row r="1422" spans="1:1" ht="13.8" x14ac:dyDescent="0.25">
      <c r="A1422" s="8"/>
    </row>
    <row r="1423" spans="1:1" ht="13.8" x14ac:dyDescent="0.25">
      <c r="A1423" s="8"/>
    </row>
    <row r="1424" spans="1:1" ht="13.8" x14ac:dyDescent="0.25">
      <c r="A1424" s="8"/>
    </row>
    <row r="1425" spans="1:1" ht="13.8" x14ac:dyDescent="0.25">
      <c r="A1425" s="8"/>
    </row>
    <row r="1426" spans="1:1" ht="13.8" x14ac:dyDescent="0.25">
      <c r="A1426" s="8"/>
    </row>
    <row r="1427" spans="1:1" ht="13.8" x14ac:dyDescent="0.25">
      <c r="A1427" s="8"/>
    </row>
    <row r="1428" spans="1:1" ht="13.8" x14ac:dyDescent="0.25">
      <c r="A1428" s="8"/>
    </row>
    <row r="1429" spans="1:1" ht="13.8" x14ac:dyDescent="0.25">
      <c r="A1429" s="8"/>
    </row>
    <row r="1430" spans="1:1" ht="13.8" x14ac:dyDescent="0.25">
      <c r="A1430" s="8"/>
    </row>
    <row r="1431" spans="1:1" ht="13.8" x14ac:dyDescent="0.25">
      <c r="A1431" s="8"/>
    </row>
    <row r="1432" spans="1:1" ht="13.8" x14ac:dyDescent="0.25">
      <c r="A1432" s="8"/>
    </row>
    <row r="1433" spans="1:1" ht="13.8" x14ac:dyDescent="0.25">
      <c r="A1433" s="8"/>
    </row>
    <row r="1434" spans="1:1" ht="13.8" x14ac:dyDescent="0.25">
      <c r="A1434" s="8"/>
    </row>
    <row r="1435" spans="1:1" ht="13.8" x14ac:dyDescent="0.25">
      <c r="A1435" s="8"/>
    </row>
    <row r="1436" spans="1:1" ht="13.8" x14ac:dyDescent="0.25">
      <c r="A1436" s="8"/>
    </row>
    <row r="1437" spans="1:1" ht="13.8" x14ac:dyDescent="0.25">
      <c r="A1437" s="8"/>
    </row>
    <row r="1438" spans="1:1" ht="13.8" x14ac:dyDescent="0.25">
      <c r="A1438" s="8"/>
    </row>
    <row r="1439" spans="1:1" ht="13.8" x14ac:dyDescent="0.25">
      <c r="A1439" s="8"/>
    </row>
    <row r="1440" spans="1:1" ht="13.8" x14ac:dyDescent="0.25">
      <c r="A1440" s="8"/>
    </row>
    <row r="1441" spans="1:1" ht="13.8" x14ac:dyDescent="0.25">
      <c r="A1441" s="8"/>
    </row>
    <row r="1442" spans="1:1" ht="13.8" x14ac:dyDescent="0.25">
      <c r="A1442" s="8"/>
    </row>
    <row r="1443" spans="1:1" ht="13.8" x14ac:dyDescent="0.25">
      <c r="A1443" s="8"/>
    </row>
    <row r="1444" spans="1:1" ht="13.8" x14ac:dyDescent="0.25">
      <c r="A1444" s="8"/>
    </row>
    <row r="1445" spans="1:1" ht="13.8" x14ac:dyDescent="0.25">
      <c r="A1445" s="8"/>
    </row>
    <row r="1446" spans="1:1" ht="13.8" x14ac:dyDescent="0.25">
      <c r="A1446" s="8"/>
    </row>
    <row r="1447" spans="1:1" ht="13.8" x14ac:dyDescent="0.25">
      <c r="A1447" s="8"/>
    </row>
    <row r="1448" spans="1:1" ht="13.8" x14ac:dyDescent="0.25">
      <c r="A1448" s="8"/>
    </row>
    <row r="1449" spans="1:1" ht="13.8" x14ac:dyDescent="0.25">
      <c r="A1449" s="8"/>
    </row>
    <row r="1450" spans="1:1" ht="13.8" x14ac:dyDescent="0.25">
      <c r="A1450" s="8"/>
    </row>
    <row r="1451" spans="1:1" ht="13.8" x14ac:dyDescent="0.25">
      <c r="A1451" s="8"/>
    </row>
    <row r="1452" spans="1:1" ht="13.8" x14ac:dyDescent="0.25">
      <c r="A1452" s="8"/>
    </row>
    <row r="1453" spans="1:1" ht="13.8" x14ac:dyDescent="0.25">
      <c r="A1453" s="8"/>
    </row>
    <row r="1454" spans="1:1" ht="13.8" x14ac:dyDescent="0.25">
      <c r="A1454" s="8"/>
    </row>
    <row r="1455" spans="1:1" ht="13.8" x14ac:dyDescent="0.25">
      <c r="A1455" s="8"/>
    </row>
    <row r="1456" spans="1:1" ht="13.8" x14ac:dyDescent="0.25">
      <c r="A1456" s="8"/>
    </row>
    <row r="1457" spans="1:1" ht="13.8" x14ac:dyDescent="0.25">
      <c r="A1457" s="8"/>
    </row>
    <row r="1458" spans="1:1" ht="13.8" x14ac:dyDescent="0.25">
      <c r="A1458" s="8"/>
    </row>
    <row r="1459" spans="1:1" ht="13.8" x14ac:dyDescent="0.25">
      <c r="A1459" s="8"/>
    </row>
    <row r="1460" spans="1:1" ht="13.8" x14ac:dyDescent="0.25">
      <c r="A1460" s="8"/>
    </row>
    <row r="1461" spans="1:1" ht="13.8" x14ac:dyDescent="0.25">
      <c r="A1461" s="8"/>
    </row>
    <row r="1462" spans="1:1" ht="13.8" x14ac:dyDescent="0.25">
      <c r="A1462" s="8"/>
    </row>
    <row r="1463" spans="1:1" ht="13.8" x14ac:dyDescent="0.25">
      <c r="A1463" s="8"/>
    </row>
    <row r="1464" spans="1:1" ht="13.8" x14ac:dyDescent="0.25">
      <c r="A1464" s="8"/>
    </row>
    <row r="1465" spans="1:1" ht="13.8" x14ac:dyDescent="0.25">
      <c r="A1465" s="8"/>
    </row>
    <row r="1466" spans="1:1" ht="13.8" x14ac:dyDescent="0.25">
      <c r="A1466" s="8"/>
    </row>
    <row r="1467" spans="1:1" ht="13.8" x14ac:dyDescent="0.25">
      <c r="A1467" s="8"/>
    </row>
    <row r="1468" spans="1:1" ht="13.8" x14ac:dyDescent="0.25">
      <c r="A1468" s="8"/>
    </row>
    <row r="1469" spans="1:1" ht="13.8" x14ac:dyDescent="0.25">
      <c r="A1469" s="8"/>
    </row>
    <row r="1470" spans="1:1" ht="13.8" x14ac:dyDescent="0.25">
      <c r="A1470" s="8"/>
    </row>
    <row r="1471" spans="1:1" ht="13.8" x14ac:dyDescent="0.25">
      <c r="A1471" s="8"/>
    </row>
    <row r="1472" spans="1:1" ht="13.8" x14ac:dyDescent="0.25">
      <c r="A1472" s="8"/>
    </row>
    <row r="1473" spans="1:1" ht="13.8" x14ac:dyDescent="0.25">
      <c r="A1473" s="8"/>
    </row>
    <row r="1474" spans="1:1" ht="13.8" x14ac:dyDescent="0.25">
      <c r="A1474" s="8"/>
    </row>
    <row r="1475" spans="1:1" ht="13.8" x14ac:dyDescent="0.25">
      <c r="A1475" s="8"/>
    </row>
    <row r="1476" spans="1:1" ht="13.8" x14ac:dyDescent="0.25">
      <c r="A1476" s="8"/>
    </row>
    <row r="1477" spans="1:1" ht="13.8" x14ac:dyDescent="0.25">
      <c r="A1477" s="8"/>
    </row>
    <row r="1478" spans="1:1" ht="13.8" x14ac:dyDescent="0.25">
      <c r="A1478" s="8"/>
    </row>
    <row r="1479" spans="1:1" ht="13.8" x14ac:dyDescent="0.25">
      <c r="A1479" s="8"/>
    </row>
    <row r="1480" spans="1:1" ht="13.8" x14ac:dyDescent="0.25">
      <c r="A1480" s="8"/>
    </row>
    <row r="1481" spans="1:1" ht="13.8" x14ac:dyDescent="0.25">
      <c r="A1481" s="8"/>
    </row>
    <row r="1482" spans="1:1" ht="13.8" x14ac:dyDescent="0.25">
      <c r="A1482" s="8"/>
    </row>
    <row r="1483" spans="1:1" ht="13.8" x14ac:dyDescent="0.25">
      <c r="A1483" s="8"/>
    </row>
    <row r="1484" spans="1:1" ht="13.8" x14ac:dyDescent="0.25">
      <c r="A1484" s="8"/>
    </row>
    <row r="1485" spans="1:1" ht="13.8" x14ac:dyDescent="0.25">
      <c r="A1485" s="8"/>
    </row>
    <row r="1486" spans="1:1" ht="13.8" x14ac:dyDescent="0.25">
      <c r="A1486" s="8"/>
    </row>
    <row r="1487" spans="1:1" ht="13.8" x14ac:dyDescent="0.25">
      <c r="A1487" s="8"/>
    </row>
    <row r="1488" spans="1:1" ht="13.8" x14ac:dyDescent="0.25">
      <c r="A1488" s="8"/>
    </row>
    <row r="1489" spans="1:1" ht="13.8" x14ac:dyDescent="0.25">
      <c r="A1489" s="8"/>
    </row>
    <row r="1490" spans="1:1" ht="13.8" x14ac:dyDescent="0.25">
      <c r="A1490" s="8"/>
    </row>
    <row r="1491" spans="1:1" ht="13.8" x14ac:dyDescent="0.25">
      <c r="A1491" s="8"/>
    </row>
    <row r="1492" spans="1:1" ht="13.8" x14ac:dyDescent="0.25">
      <c r="A1492" s="8"/>
    </row>
    <row r="1493" spans="1:1" ht="13.8" x14ac:dyDescent="0.25">
      <c r="A1493" s="8"/>
    </row>
    <row r="1494" spans="1:1" ht="13.8" x14ac:dyDescent="0.25">
      <c r="A1494" s="8"/>
    </row>
    <row r="1495" spans="1:1" ht="13.8" x14ac:dyDescent="0.25">
      <c r="A1495" s="8"/>
    </row>
    <row r="1496" spans="1:1" ht="13.8" x14ac:dyDescent="0.25">
      <c r="A1496" s="8"/>
    </row>
    <row r="1497" spans="1:1" ht="13.8" x14ac:dyDescent="0.25">
      <c r="A1497" s="8"/>
    </row>
    <row r="1498" spans="1:1" ht="13.8" x14ac:dyDescent="0.25">
      <c r="A1498" s="8"/>
    </row>
    <row r="1499" spans="1:1" ht="13.8" x14ac:dyDescent="0.25">
      <c r="A1499" s="8"/>
    </row>
    <row r="1500" spans="1:1" ht="13.8" x14ac:dyDescent="0.25">
      <c r="A1500" s="8"/>
    </row>
    <row r="1501" spans="1:1" ht="13.8" x14ac:dyDescent="0.25">
      <c r="A1501" s="8"/>
    </row>
    <row r="1502" spans="1:1" ht="13.8" x14ac:dyDescent="0.25">
      <c r="A1502" s="8"/>
    </row>
    <row r="1503" spans="1:1" ht="13.8" x14ac:dyDescent="0.25">
      <c r="A1503" s="8"/>
    </row>
    <row r="1504" spans="1:1" ht="13.8" x14ac:dyDescent="0.25">
      <c r="A1504" s="8"/>
    </row>
    <row r="1505" spans="1:1" ht="13.8" x14ac:dyDescent="0.25">
      <c r="A1505" s="8"/>
    </row>
    <row r="1506" spans="1:1" ht="13.8" x14ac:dyDescent="0.25">
      <c r="A1506" s="8"/>
    </row>
    <row r="1507" spans="1:1" ht="13.8" x14ac:dyDescent="0.25">
      <c r="A1507" s="8"/>
    </row>
    <row r="1508" spans="1:1" ht="13.8" x14ac:dyDescent="0.25">
      <c r="A1508" s="8"/>
    </row>
    <row r="1509" spans="1:1" ht="13.8" x14ac:dyDescent="0.25">
      <c r="A1509" s="8"/>
    </row>
    <row r="1510" spans="1:1" ht="13.8" x14ac:dyDescent="0.25">
      <c r="A1510" s="8"/>
    </row>
    <row r="1511" spans="1:1" ht="13.8" x14ac:dyDescent="0.25">
      <c r="A1511" s="8"/>
    </row>
    <row r="1512" spans="1:1" ht="13.8" x14ac:dyDescent="0.25">
      <c r="A1512" s="8"/>
    </row>
    <row r="1513" spans="1:1" ht="13.8" x14ac:dyDescent="0.25">
      <c r="A1513" s="8"/>
    </row>
    <row r="1514" spans="1:1" ht="13.8" x14ac:dyDescent="0.25">
      <c r="A1514" s="8"/>
    </row>
    <row r="1515" spans="1:1" ht="13.8" x14ac:dyDescent="0.25">
      <c r="A1515" s="8"/>
    </row>
    <row r="1516" spans="1:1" ht="13.8" x14ac:dyDescent="0.25">
      <c r="A1516" s="8"/>
    </row>
    <row r="1517" spans="1:1" ht="13.8" x14ac:dyDescent="0.25">
      <c r="A1517" s="8"/>
    </row>
    <row r="1518" spans="1:1" ht="13.8" x14ac:dyDescent="0.25">
      <c r="A1518" s="8"/>
    </row>
    <row r="1519" spans="1:1" ht="13.8" x14ac:dyDescent="0.25">
      <c r="A1519" s="8"/>
    </row>
    <row r="1520" spans="1:1" ht="13.8" x14ac:dyDescent="0.25">
      <c r="A1520" s="8"/>
    </row>
    <row r="1521" spans="1:1" ht="13.8" x14ac:dyDescent="0.25">
      <c r="A1521" s="8"/>
    </row>
    <row r="1522" spans="1:1" ht="13.8" x14ac:dyDescent="0.25">
      <c r="A1522" s="8"/>
    </row>
    <row r="1523" spans="1:1" ht="13.8" x14ac:dyDescent="0.25">
      <c r="A1523" s="8"/>
    </row>
    <row r="1524" spans="1:1" ht="13.8" x14ac:dyDescent="0.25">
      <c r="A1524" s="8"/>
    </row>
    <row r="1525" spans="1:1" ht="13.8" x14ac:dyDescent="0.25">
      <c r="A1525" s="8"/>
    </row>
    <row r="1526" spans="1:1" ht="13.8" x14ac:dyDescent="0.25">
      <c r="A1526" s="8"/>
    </row>
    <row r="1527" spans="1:1" ht="13.8" x14ac:dyDescent="0.25">
      <c r="A1527" s="8"/>
    </row>
    <row r="1528" spans="1:1" ht="13.8" x14ac:dyDescent="0.25">
      <c r="A1528" s="8"/>
    </row>
    <row r="1529" spans="1:1" ht="13.8" x14ac:dyDescent="0.25">
      <c r="A1529" s="8"/>
    </row>
    <row r="1530" spans="1:1" ht="13.8" x14ac:dyDescent="0.25">
      <c r="A1530" s="8"/>
    </row>
    <row r="1531" spans="1:1" ht="13.8" x14ac:dyDescent="0.25">
      <c r="A1531" s="8"/>
    </row>
    <row r="1532" spans="1:1" ht="13.8" x14ac:dyDescent="0.25">
      <c r="A1532" s="8"/>
    </row>
    <row r="1533" spans="1:1" ht="13.8" x14ac:dyDescent="0.25">
      <c r="A1533" s="8"/>
    </row>
    <row r="1534" spans="1:1" ht="13.8" x14ac:dyDescent="0.25">
      <c r="A1534" s="8"/>
    </row>
    <row r="1535" spans="1:1" ht="13.8" x14ac:dyDescent="0.25">
      <c r="A1535" s="8"/>
    </row>
    <row r="1536" spans="1:1" ht="13.8" x14ac:dyDescent="0.25">
      <c r="A1536" s="8"/>
    </row>
    <row r="1537" spans="1:1" ht="13.8" x14ac:dyDescent="0.25">
      <c r="A1537" s="8"/>
    </row>
    <row r="1538" spans="1:1" ht="13.8" x14ac:dyDescent="0.25">
      <c r="A1538" s="8"/>
    </row>
    <row r="1539" spans="1:1" ht="13.8" x14ac:dyDescent="0.25">
      <c r="A1539" s="8"/>
    </row>
    <row r="1540" spans="1:1" ht="13.8" x14ac:dyDescent="0.25">
      <c r="A1540" s="8"/>
    </row>
    <row r="1541" spans="1:1" ht="13.8" x14ac:dyDescent="0.25">
      <c r="A1541" s="8"/>
    </row>
    <row r="1542" spans="1:1" ht="13.8" x14ac:dyDescent="0.25">
      <c r="A1542" s="8"/>
    </row>
    <row r="1543" spans="1:1" ht="13.8" x14ac:dyDescent="0.25">
      <c r="A1543" s="8"/>
    </row>
    <row r="1544" spans="1:1" ht="13.8" x14ac:dyDescent="0.25">
      <c r="A1544" s="8"/>
    </row>
    <row r="1545" spans="1:1" ht="13.8" x14ac:dyDescent="0.25">
      <c r="A1545" s="8"/>
    </row>
    <row r="1546" spans="1:1" ht="13.8" x14ac:dyDescent="0.25">
      <c r="A1546" s="8"/>
    </row>
    <row r="1547" spans="1:1" ht="13.8" x14ac:dyDescent="0.25">
      <c r="A1547" s="8"/>
    </row>
    <row r="1548" spans="1:1" ht="13.8" x14ac:dyDescent="0.25">
      <c r="A1548" s="8"/>
    </row>
    <row r="1549" spans="1:1" ht="13.8" x14ac:dyDescent="0.25">
      <c r="A1549" s="8"/>
    </row>
    <row r="1550" spans="1:1" ht="13.8" x14ac:dyDescent="0.25">
      <c r="A1550" s="8"/>
    </row>
    <row r="1551" spans="1:1" ht="13.8" x14ac:dyDescent="0.25">
      <c r="A1551" s="8"/>
    </row>
    <row r="1552" spans="1:1" ht="13.8" x14ac:dyDescent="0.25">
      <c r="A1552" s="8"/>
    </row>
    <row r="1553" spans="1:1" ht="13.8" x14ac:dyDescent="0.25">
      <c r="A1553" s="8"/>
    </row>
    <row r="1554" spans="1:1" ht="13.8" x14ac:dyDescent="0.25">
      <c r="A1554" s="8"/>
    </row>
    <row r="1555" spans="1:1" ht="13.8" x14ac:dyDescent="0.25">
      <c r="A1555" s="8"/>
    </row>
    <row r="1556" spans="1:1" ht="13.8" x14ac:dyDescent="0.25">
      <c r="A1556" s="8"/>
    </row>
    <row r="1557" spans="1:1" ht="13.8" x14ac:dyDescent="0.25">
      <c r="A1557" s="8"/>
    </row>
    <row r="1558" spans="1:1" ht="13.8" x14ac:dyDescent="0.25">
      <c r="A1558" s="8"/>
    </row>
    <row r="1559" spans="1:1" ht="13.8" x14ac:dyDescent="0.25">
      <c r="A1559" s="8"/>
    </row>
    <row r="1560" spans="1:1" ht="13.8" x14ac:dyDescent="0.25">
      <c r="A1560" s="8"/>
    </row>
    <row r="1561" spans="1:1" ht="13.8" x14ac:dyDescent="0.25">
      <c r="A1561" s="8"/>
    </row>
    <row r="1562" spans="1:1" ht="13.8" x14ac:dyDescent="0.25">
      <c r="A1562" s="8"/>
    </row>
    <row r="1563" spans="1:1" ht="13.8" x14ac:dyDescent="0.25">
      <c r="A1563" s="8"/>
    </row>
    <row r="1564" spans="1:1" ht="13.8" x14ac:dyDescent="0.25">
      <c r="A1564" s="8"/>
    </row>
    <row r="1565" spans="1:1" ht="13.8" x14ac:dyDescent="0.25">
      <c r="A1565" s="8"/>
    </row>
    <row r="1566" spans="1:1" ht="13.8" x14ac:dyDescent="0.25">
      <c r="A1566" s="8"/>
    </row>
    <row r="1567" spans="1:1" ht="13.8" x14ac:dyDescent="0.25">
      <c r="A1567" s="8"/>
    </row>
    <row r="1568" spans="1:1" ht="13.8" x14ac:dyDescent="0.25">
      <c r="A1568" s="8"/>
    </row>
    <row r="1569" spans="1:1" ht="13.8" x14ac:dyDescent="0.25">
      <c r="A1569" s="8"/>
    </row>
    <row r="1570" spans="1:1" ht="13.8" x14ac:dyDescent="0.25">
      <c r="A1570" s="8"/>
    </row>
    <row r="1571" spans="1:1" ht="13.8" x14ac:dyDescent="0.25">
      <c r="A1571" s="8"/>
    </row>
    <row r="1572" spans="1:1" ht="13.8" x14ac:dyDescent="0.25">
      <c r="A1572" s="8"/>
    </row>
    <row r="1573" spans="1:1" ht="13.8" x14ac:dyDescent="0.25">
      <c r="A1573" s="8"/>
    </row>
    <row r="1574" spans="1:1" ht="13.8" x14ac:dyDescent="0.25">
      <c r="A1574" s="8"/>
    </row>
    <row r="1575" spans="1:1" ht="13.8" x14ac:dyDescent="0.25">
      <c r="A1575" s="8"/>
    </row>
    <row r="1576" spans="1:1" ht="13.8" x14ac:dyDescent="0.25">
      <c r="A1576" s="8"/>
    </row>
    <row r="1577" spans="1:1" ht="13.8" x14ac:dyDescent="0.25">
      <c r="A1577" s="8"/>
    </row>
    <row r="1578" spans="1:1" ht="13.8" x14ac:dyDescent="0.25">
      <c r="A1578" s="8"/>
    </row>
    <row r="1579" spans="1:1" ht="13.8" x14ac:dyDescent="0.25">
      <c r="A1579" s="8"/>
    </row>
    <row r="1580" spans="1:1" ht="13.8" x14ac:dyDescent="0.25">
      <c r="A1580" s="8"/>
    </row>
    <row r="1581" spans="1:1" ht="13.8" x14ac:dyDescent="0.25">
      <c r="A1581" s="8"/>
    </row>
    <row r="1582" spans="1:1" ht="13.8" x14ac:dyDescent="0.25">
      <c r="A1582" s="8"/>
    </row>
    <row r="1583" spans="1:1" ht="13.8" x14ac:dyDescent="0.25">
      <c r="A1583" s="8"/>
    </row>
    <row r="1584" spans="1:1" ht="13.8" x14ac:dyDescent="0.25">
      <c r="A1584" s="8"/>
    </row>
    <row r="1585" spans="1:1" ht="13.8" x14ac:dyDescent="0.25">
      <c r="A1585" s="8"/>
    </row>
    <row r="1586" spans="1:1" ht="13.8" x14ac:dyDescent="0.25">
      <c r="A1586" s="8"/>
    </row>
    <row r="1587" spans="1:1" ht="13.8" x14ac:dyDescent="0.25">
      <c r="A1587" s="8"/>
    </row>
    <row r="1588" spans="1:1" ht="13.8" x14ac:dyDescent="0.25">
      <c r="A1588" s="8"/>
    </row>
    <row r="1589" spans="1:1" ht="13.8" x14ac:dyDescent="0.25">
      <c r="A1589" s="8"/>
    </row>
    <row r="1590" spans="1:1" ht="13.8" x14ac:dyDescent="0.25">
      <c r="A1590" s="8"/>
    </row>
    <row r="1591" spans="1:1" ht="13.8" x14ac:dyDescent="0.25">
      <c r="A1591" s="8"/>
    </row>
    <row r="1592" spans="1:1" ht="13.8" x14ac:dyDescent="0.25">
      <c r="A1592" s="8"/>
    </row>
    <row r="1593" spans="1:1" ht="13.8" x14ac:dyDescent="0.25">
      <c r="A1593" s="8"/>
    </row>
    <row r="1594" spans="1:1" ht="13.8" x14ac:dyDescent="0.25">
      <c r="A1594" s="8"/>
    </row>
    <row r="1595" spans="1:1" ht="13.8" x14ac:dyDescent="0.25">
      <c r="A1595" s="8"/>
    </row>
    <row r="1596" spans="1:1" ht="13.8" x14ac:dyDescent="0.25">
      <c r="A1596" s="8"/>
    </row>
    <row r="1597" spans="1:1" ht="13.8" x14ac:dyDescent="0.25">
      <c r="A1597" s="8"/>
    </row>
    <row r="1598" spans="1:1" ht="13.8" x14ac:dyDescent="0.25">
      <c r="A1598" s="8"/>
    </row>
    <row r="1599" spans="1:1" ht="13.8" x14ac:dyDescent="0.25">
      <c r="A1599" s="8"/>
    </row>
    <row r="1600" spans="1:1" ht="13.8" x14ac:dyDescent="0.25">
      <c r="A1600" s="8"/>
    </row>
    <row r="1601" spans="1:1" ht="13.8" x14ac:dyDescent="0.25">
      <c r="A1601" s="8"/>
    </row>
    <row r="1602" spans="1:1" ht="13.8" x14ac:dyDescent="0.25">
      <c r="A1602" s="8"/>
    </row>
    <row r="1603" spans="1:1" ht="13.8" x14ac:dyDescent="0.25">
      <c r="A1603" s="8"/>
    </row>
    <row r="1604" spans="1:1" ht="13.8" x14ac:dyDescent="0.25">
      <c r="A1604" s="8"/>
    </row>
    <row r="1605" spans="1:1" ht="13.8" x14ac:dyDescent="0.25">
      <c r="A1605" s="8"/>
    </row>
    <row r="1606" spans="1:1" ht="13.8" x14ac:dyDescent="0.25">
      <c r="A1606" s="8"/>
    </row>
    <row r="1607" spans="1:1" ht="13.8" x14ac:dyDescent="0.25">
      <c r="A1607" s="8"/>
    </row>
    <row r="1608" spans="1:1" ht="13.8" x14ac:dyDescent="0.25">
      <c r="A1608" s="8"/>
    </row>
    <row r="1609" spans="1:1" ht="13.8" x14ac:dyDescent="0.25">
      <c r="A1609" s="8"/>
    </row>
    <row r="1610" spans="1:1" ht="13.8" x14ac:dyDescent="0.25">
      <c r="A1610" s="8"/>
    </row>
    <row r="1611" spans="1:1" ht="13.8" x14ac:dyDescent="0.25">
      <c r="A1611" s="8"/>
    </row>
    <row r="1612" spans="1:1" ht="13.8" x14ac:dyDescent="0.25">
      <c r="A1612" s="8"/>
    </row>
    <row r="1613" spans="1:1" ht="13.8" x14ac:dyDescent="0.25">
      <c r="A1613" s="8"/>
    </row>
    <row r="1614" spans="1:1" ht="13.8" x14ac:dyDescent="0.25">
      <c r="A1614" s="8"/>
    </row>
    <row r="1615" spans="1:1" ht="13.8" x14ac:dyDescent="0.25">
      <c r="A1615" s="8"/>
    </row>
    <row r="1616" spans="1:1" ht="13.8" x14ac:dyDescent="0.25">
      <c r="A1616" s="8"/>
    </row>
    <row r="1617" spans="1:1" ht="13.8" x14ac:dyDescent="0.25">
      <c r="A1617" s="8"/>
    </row>
    <row r="1618" spans="1:1" ht="13.8" x14ac:dyDescent="0.25">
      <c r="A1618" s="8"/>
    </row>
    <row r="1619" spans="1:1" ht="13.8" x14ac:dyDescent="0.25">
      <c r="A1619" s="8"/>
    </row>
    <row r="1620" spans="1:1" ht="13.8" x14ac:dyDescent="0.25">
      <c r="A1620" s="8"/>
    </row>
    <row r="1621" spans="1:1" ht="13.8" x14ac:dyDescent="0.25">
      <c r="A1621" s="8"/>
    </row>
    <row r="1622" spans="1:1" ht="13.8" x14ac:dyDescent="0.25">
      <c r="A1622" s="8"/>
    </row>
    <row r="1623" spans="1:1" ht="13.8" x14ac:dyDescent="0.25">
      <c r="A1623" s="8"/>
    </row>
    <row r="1624" spans="1:1" ht="13.8" x14ac:dyDescent="0.25">
      <c r="A1624" s="8"/>
    </row>
    <row r="1625" spans="1:1" ht="13.8" x14ac:dyDescent="0.25">
      <c r="A1625" s="8"/>
    </row>
    <row r="1626" spans="1:1" ht="13.8" x14ac:dyDescent="0.25">
      <c r="A1626" s="8"/>
    </row>
    <row r="1627" spans="1:1" ht="13.8" x14ac:dyDescent="0.25">
      <c r="A1627" s="8"/>
    </row>
    <row r="1628" spans="1:1" ht="13.8" x14ac:dyDescent="0.25">
      <c r="A1628" s="8"/>
    </row>
    <row r="1629" spans="1:1" ht="13.8" x14ac:dyDescent="0.25">
      <c r="A1629" s="8"/>
    </row>
    <row r="1630" spans="1:1" ht="13.8" x14ac:dyDescent="0.25">
      <c r="A1630" s="8"/>
    </row>
    <row r="1631" spans="1:1" ht="13.8" x14ac:dyDescent="0.25">
      <c r="A1631" s="8"/>
    </row>
    <row r="1632" spans="1:1" ht="13.8" x14ac:dyDescent="0.25">
      <c r="A1632" s="8"/>
    </row>
    <row r="1633" spans="1:1" ht="13.8" x14ac:dyDescent="0.25">
      <c r="A1633" s="8"/>
    </row>
    <row r="1634" spans="1:1" ht="13.8" x14ac:dyDescent="0.25">
      <c r="A1634" s="8"/>
    </row>
    <row r="1635" spans="1:1" ht="13.8" x14ac:dyDescent="0.25">
      <c r="A1635" s="8"/>
    </row>
    <row r="1636" spans="1:1" ht="13.8" x14ac:dyDescent="0.25">
      <c r="A1636" s="8"/>
    </row>
    <row r="1637" spans="1:1" ht="13.8" x14ac:dyDescent="0.25">
      <c r="A1637" s="8"/>
    </row>
    <row r="1638" spans="1:1" ht="13.8" x14ac:dyDescent="0.25">
      <c r="A1638" s="8"/>
    </row>
    <row r="1639" spans="1:1" ht="13.8" x14ac:dyDescent="0.25">
      <c r="A1639" s="8"/>
    </row>
    <row r="1640" spans="1:1" ht="13.8" x14ac:dyDescent="0.25">
      <c r="A1640" s="8"/>
    </row>
    <row r="1641" spans="1:1" ht="13.8" x14ac:dyDescent="0.25">
      <c r="A1641" s="8"/>
    </row>
    <row r="1642" spans="1:1" ht="13.8" x14ac:dyDescent="0.25">
      <c r="A1642" s="8"/>
    </row>
    <row r="1643" spans="1:1" ht="13.8" x14ac:dyDescent="0.25">
      <c r="A1643" s="8"/>
    </row>
    <row r="1644" spans="1:1" ht="13.8" x14ac:dyDescent="0.25">
      <c r="A1644" s="8"/>
    </row>
    <row r="1645" spans="1:1" ht="13.8" x14ac:dyDescent="0.25">
      <c r="A1645" s="8"/>
    </row>
    <row r="1646" spans="1:1" ht="13.8" x14ac:dyDescent="0.25">
      <c r="A1646" s="8"/>
    </row>
    <row r="1647" spans="1:1" ht="13.8" x14ac:dyDescent="0.25">
      <c r="A1647" s="8"/>
    </row>
    <row r="1648" spans="1:1" ht="13.8" x14ac:dyDescent="0.25">
      <c r="A1648" s="8"/>
    </row>
    <row r="1649" spans="1:1" ht="13.8" x14ac:dyDescent="0.25">
      <c r="A1649" s="8"/>
    </row>
    <row r="1650" spans="1:1" ht="13.8" x14ac:dyDescent="0.25">
      <c r="A1650" s="8"/>
    </row>
    <row r="1651" spans="1:1" ht="13.8" x14ac:dyDescent="0.25">
      <c r="A1651" s="8"/>
    </row>
    <row r="1652" spans="1:1" ht="13.8" x14ac:dyDescent="0.25">
      <c r="A1652" s="8"/>
    </row>
    <row r="1653" spans="1:1" ht="13.8" x14ac:dyDescent="0.25">
      <c r="A1653" s="8"/>
    </row>
    <row r="1654" spans="1:1" ht="13.8" x14ac:dyDescent="0.25">
      <c r="A1654" s="8"/>
    </row>
    <row r="1655" spans="1:1" ht="13.8" x14ac:dyDescent="0.25">
      <c r="A1655" s="8"/>
    </row>
    <row r="1656" spans="1:1" ht="13.8" x14ac:dyDescent="0.25">
      <c r="A1656" s="8"/>
    </row>
    <row r="1657" spans="1:1" ht="13.8" x14ac:dyDescent="0.25">
      <c r="A1657" s="8"/>
    </row>
    <row r="1658" spans="1:1" ht="13.8" x14ac:dyDescent="0.25">
      <c r="A1658" s="8"/>
    </row>
    <row r="1659" spans="1:1" ht="13.8" x14ac:dyDescent="0.25">
      <c r="A1659" s="8"/>
    </row>
    <row r="1660" spans="1:1" ht="13.8" x14ac:dyDescent="0.25">
      <c r="A1660" s="8"/>
    </row>
    <row r="1661" spans="1:1" ht="13.8" x14ac:dyDescent="0.25">
      <c r="A1661" s="8"/>
    </row>
    <row r="1662" spans="1:1" ht="13.8" x14ac:dyDescent="0.25">
      <c r="A1662" s="8"/>
    </row>
    <row r="1663" spans="1:1" ht="13.8" x14ac:dyDescent="0.25">
      <c r="A1663" s="8"/>
    </row>
    <row r="1664" spans="1:1" ht="13.8" x14ac:dyDescent="0.25">
      <c r="A1664" s="8"/>
    </row>
    <row r="1665" spans="1:1" ht="13.8" x14ac:dyDescent="0.25">
      <c r="A1665" s="8"/>
    </row>
    <row r="1666" spans="1:1" ht="13.8" x14ac:dyDescent="0.25">
      <c r="A1666" s="8"/>
    </row>
    <row r="1667" spans="1:1" ht="13.8" x14ac:dyDescent="0.25">
      <c r="A1667" s="8"/>
    </row>
    <row r="1668" spans="1:1" ht="13.8" x14ac:dyDescent="0.25">
      <c r="A1668" s="8"/>
    </row>
    <row r="1669" spans="1:1" ht="13.8" x14ac:dyDescent="0.25">
      <c r="A1669" s="8"/>
    </row>
    <row r="1670" spans="1:1" ht="13.8" x14ac:dyDescent="0.25">
      <c r="A1670" s="8"/>
    </row>
    <row r="1671" spans="1:1" ht="13.8" x14ac:dyDescent="0.25">
      <c r="A1671" s="8"/>
    </row>
    <row r="1672" spans="1:1" ht="13.8" x14ac:dyDescent="0.25">
      <c r="A1672" s="8"/>
    </row>
    <row r="1673" spans="1:1" ht="13.8" x14ac:dyDescent="0.25">
      <c r="A1673" s="8"/>
    </row>
    <row r="1674" spans="1:1" ht="13.8" x14ac:dyDescent="0.25">
      <c r="A1674" s="8"/>
    </row>
    <row r="1675" spans="1:1" ht="13.8" x14ac:dyDescent="0.25">
      <c r="A1675" s="8"/>
    </row>
    <row r="1676" spans="1:1" ht="13.8" x14ac:dyDescent="0.25">
      <c r="A1676" s="8"/>
    </row>
    <row r="1677" spans="1:1" ht="13.8" x14ac:dyDescent="0.25">
      <c r="A1677" s="8"/>
    </row>
    <row r="1678" spans="1:1" ht="13.8" x14ac:dyDescent="0.25">
      <c r="A1678" s="8"/>
    </row>
    <row r="1679" spans="1:1" ht="13.8" x14ac:dyDescent="0.25">
      <c r="A1679" s="8"/>
    </row>
    <row r="1680" spans="1:1" ht="13.8" x14ac:dyDescent="0.25">
      <c r="A1680" s="8"/>
    </row>
    <row r="1681" spans="1:1" ht="13.8" x14ac:dyDescent="0.25">
      <c r="A1681" s="8"/>
    </row>
    <row r="1682" spans="1:1" ht="13.8" x14ac:dyDescent="0.25">
      <c r="A1682" s="8"/>
    </row>
    <row r="1683" spans="1:1" ht="13.8" x14ac:dyDescent="0.25">
      <c r="A1683" s="8"/>
    </row>
    <row r="1684" spans="1:1" ht="13.8" x14ac:dyDescent="0.25">
      <c r="A1684" s="8"/>
    </row>
    <row r="1685" spans="1:1" ht="13.8" x14ac:dyDescent="0.25">
      <c r="A1685" s="8"/>
    </row>
    <row r="1686" spans="1:1" ht="13.8" x14ac:dyDescent="0.25">
      <c r="A1686" s="8"/>
    </row>
    <row r="1687" spans="1:1" ht="13.8" x14ac:dyDescent="0.25">
      <c r="A1687" s="8"/>
    </row>
    <row r="1688" spans="1:1" ht="13.8" x14ac:dyDescent="0.25">
      <c r="A1688" s="8"/>
    </row>
    <row r="1689" spans="1:1" ht="13.8" x14ac:dyDescent="0.25">
      <c r="A1689" s="8"/>
    </row>
    <row r="1690" spans="1:1" ht="13.8" x14ac:dyDescent="0.25">
      <c r="A1690" s="8"/>
    </row>
    <row r="1691" spans="1:1" ht="13.8" x14ac:dyDescent="0.25">
      <c r="A1691" s="8"/>
    </row>
    <row r="1692" spans="1:1" ht="13.8" x14ac:dyDescent="0.25">
      <c r="A1692" s="8"/>
    </row>
    <row r="1693" spans="1:1" ht="13.8" x14ac:dyDescent="0.25">
      <c r="A1693" s="8"/>
    </row>
    <row r="1694" spans="1:1" ht="13.8" x14ac:dyDescent="0.25">
      <c r="A1694" s="8"/>
    </row>
    <row r="1695" spans="1:1" ht="13.8" x14ac:dyDescent="0.25">
      <c r="A1695" s="8"/>
    </row>
    <row r="1696" spans="1:1" ht="13.8" x14ac:dyDescent="0.25">
      <c r="A1696" s="8"/>
    </row>
    <row r="1697" spans="1:1" ht="13.8" x14ac:dyDescent="0.25">
      <c r="A1697" s="8"/>
    </row>
    <row r="1698" spans="1:1" ht="13.8" x14ac:dyDescent="0.25">
      <c r="A1698" s="8"/>
    </row>
    <row r="1699" spans="1:1" ht="13.8" x14ac:dyDescent="0.25">
      <c r="A1699" s="8"/>
    </row>
    <row r="1700" spans="1:1" ht="13.8" x14ac:dyDescent="0.25">
      <c r="A1700" s="8"/>
    </row>
    <row r="1701" spans="1:1" ht="13.8" x14ac:dyDescent="0.25">
      <c r="A1701" s="8"/>
    </row>
    <row r="1702" spans="1:1" ht="13.8" x14ac:dyDescent="0.25">
      <c r="A1702" s="8"/>
    </row>
    <row r="1703" spans="1:1" ht="13.8" x14ac:dyDescent="0.25">
      <c r="A1703" s="8"/>
    </row>
    <row r="1704" spans="1:1" ht="13.8" x14ac:dyDescent="0.25">
      <c r="A1704" s="8"/>
    </row>
    <row r="1705" spans="1:1" ht="13.8" x14ac:dyDescent="0.25">
      <c r="A1705" s="8"/>
    </row>
    <row r="1706" spans="1:1" ht="13.8" x14ac:dyDescent="0.25">
      <c r="A1706" s="8"/>
    </row>
    <row r="1707" spans="1:1" ht="13.8" x14ac:dyDescent="0.25">
      <c r="A1707" s="8"/>
    </row>
    <row r="1708" spans="1:1" ht="13.8" x14ac:dyDescent="0.25">
      <c r="A1708" s="8"/>
    </row>
    <row r="1709" spans="1:1" ht="13.8" x14ac:dyDescent="0.25">
      <c r="A1709" s="8"/>
    </row>
    <row r="1710" spans="1:1" ht="13.8" x14ac:dyDescent="0.25">
      <c r="A1710" s="8"/>
    </row>
    <row r="1711" spans="1:1" ht="13.8" x14ac:dyDescent="0.25">
      <c r="A1711" s="8"/>
    </row>
    <row r="1712" spans="1:1" ht="13.8" x14ac:dyDescent="0.25">
      <c r="A1712" s="8"/>
    </row>
    <row r="1713" spans="1:1" ht="13.8" x14ac:dyDescent="0.25">
      <c r="A1713" s="8"/>
    </row>
    <row r="1714" spans="1:1" ht="13.8" x14ac:dyDescent="0.25">
      <c r="A1714" s="8"/>
    </row>
    <row r="1715" spans="1:1" ht="13.8" x14ac:dyDescent="0.25">
      <c r="A1715" s="8"/>
    </row>
    <row r="1716" spans="1:1" ht="13.8" x14ac:dyDescent="0.25">
      <c r="A1716" s="8"/>
    </row>
    <row r="1717" spans="1:1" ht="13.8" x14ac:dyDescent="0.25">
      <c r="A1717" s="8"/>
    </row>
    <row r="1718" spans="1:1" ht="13.8" x14ac:dyDescent="0.25">
      <c r="A1718" s="8"/>
    </row>
    <row r="1719" spans="1:1" ht="13.8" x14ac:dyDescent="0.25">
      <c r="A1719" s="8"/>
    </row>
    <row r="1720" spans="1:1" ht="13.8" x14ac:dyDescent="0.25">
      <c r="A1720" s="8"/>
    </row>
    <row r="1721" spans="1:1" ht="13.8" x14ac:dyDescent="0.25">
      <c r="A1721" s="8"/>
    </row>
    <row r="1722" spans="1:1" ht="13.8" x14ac:dyDescent="0.25">
      <c r="A1722" s="8"/>
    </row>
    <row r="1723" spans="1:1" ht="13.8" x14ac:dyDescent="0.25">
      <c r="A1723" s="8"/>
    </row>
    <row r="1724" spans="1:1" ht="13.8" x14ac:dyDescent="0.25">
      <c r="A1724" s="8"/>
    </row>
    <row r="1725" spans="1:1" ht="13.8" x14ac:dyDescent="0.25">
      <c r="A1725" s="8"/>
    </row>
    <row r="1726" spans="1:1" ht="13.8" x14ac:dyDescent="0.25">
      <c r="A1726" s="8"/>
    </row>
    <row r="1727" spans="1:1" ht="13.8" x14ac:dyDescent="0.25">
      <c r="A1727" s="8"/>
    </row>
    <row r="1728" spans="1:1" ht="13.8" x14ac:dyDescent="0.25">
      <c r="A1728" s="8"/>
    </row>
    <row r="1729" spans="1:1" ht="13.8" x14ac:dyDescent="0.25">
      <c r="A1729" s="8"/>
    </row>
    <row r="1730" spans="1:1" ht="13.8" x14ac:dyDescent="0.25">
      <c r="A1730" s="8"/>
    </row>
    <row r="1731" spans="1:1" ht="13.8" x14ac:dyDescent="0.25">
      <c r="A1731" s="8"/>
    </row>
    <row r="1732" spans="1:1" ht="13.8" x14ac:dyDescent="0.25">
      <c r="A1732" s="8"/>
    </row>
    <row r="1733" spans="1:1" ht="13.8" x14ac:dyDescent="0.25">
      <c r="A1733" s="8"/>
    </row>
    <row r="1734" spans="1:1" ht="13.8" x14ac:dyDescent="0.25">
      <c r="A1734" s="8"/>
    </row>
    <row r="1735" spans="1:1" ht="13.8" x14ac:dyDescent="0.25">
      <c r="A1735" s="8"/>
    </row>
    <row r="1736" spans="1:1" ht="13.8" x14ac:dyDescent="0.25">
      <c r="A1736" s="8"/>
    </row>
    <row r="1737" spans="1:1" ht="13.8" x14ac:dyDescent="0.25">
      <c r="A1737" s="8"/>
    </row>
    <row r="1738" spans="1:1" ht="13.8" x14ac:dyDescent="0.25">
      <c r="A1738" s="8"/>
    </row>
    <row r="1739" spans="1:1" ht="13.8" x14ac:dyDescent="0.25">
      <c r="A1739" s="8"/>
    </row>
    <row r="1740" spans="1:1" ht="13.8" x14ac:dyDescent="0.25">
      <c r="A1740" s="8"/>
    </row>
    <row r="1741" spans="1:1" ht="13.8" x14ac:dyDescent="0.25">
      <c r="A1741" s="8"/>
    </row>
    <row r="1742" spans="1:1" ht="13.8" x14ac:dyDescent="0.25">
      <c r="A1742" s="8"/>
    </row>
    <row r="1743" spans="1:1" ht="13.8" x14ac:dyDescent="0.25">
      <c r="A1743" s="8"/>
    </row>
    <row r="1744" spans="1:1" ht="13.8" x14ac:dyDescent="0.25">
      <c r="A1744" s="8"/>
    </row>
    <row r="1745" spans="1:1" ht="13.8" x14ac:dyDescent="0.25">
      <c r="A1745" s="8"/>
    </row>
    <row r="1746" spans="1:1" ht="13.8" x14ac:dyDescent="0.25">
      <c r="A1746" s="8"/>
    </row>
    <row r="1747" spans="1:1" ht="13.8" x14ac:dyDescent="0.25">
      <c r="A1747" s="8"/>
    </row>
    <row r="1748" spans="1:1" ht="13.8" x14ac:dyDescent="0.25">
      <c r="A1748" s="8"/>
    </row>
    <row r="1749" spans="1:1" ht="13.8" x14ac:dyDescent="0.25">
      <c r="A1749" s="8"/>
    </row>
    <row r="1750" spans="1:1" ht="13.8" x14ac:dyDescent="0.25">
      <c r="A1750" s="8"/>
    </row>
    <row r="1751" spans="1:1" ht="13.8" x14ac:dyDescent="0.25">
      <c r="A1751" s="8"/>
    </row>
    <row r="1752" spans="1:1" ht="13.8" x14ac:dyDescent="0.25">
      <c r="A1752" s="8"/>
    </row>
    <row r="1753" spans="1:1" ht="13.8" x14ac:dyDescent="0.25">
      <c r="A1753" s="8"/>
    </row>
    <row r="1754" spans="1:1" ht="13.8" x14ac:dyDescent="0.25">
      <c r="A1754" s="8"/>
    </row>
    <row r="1755" spans="1:1" ht="13.8" x14ac:dyDescent="0.25">
      <c r="A1755" s="8"/>
    </row>
    <row r="1756" spans="1:1" ht="13.8" x14ac:dyDescent="0.25">
      <c r="A1756" s="8"/>
    </row>
    <row r="1757" spans="1:1" ht="13.8" x14ac:dyDescent="0.25">
      <c r="A1757" s="8"/>
    </row>
    <row r="1758" spans="1:1" ht="13.8" x14ac:dyDescent="0.25">
      <c r="A1758" s="8"/>
    </row>
    <row r="1759" spans="1:1" ht="13.8" x14ac:dyDescent="0.25">
      <c r="A1759" s="8"/>
    </row>
    <row r="1760" spans="1:1" ht="13.8" x14ac:dyDescent="0.25">
      <c r="A1760" s="8"/>
    </row>
    <row r="1761" spans="1:1" ht="13.8" x14ac:dyDescent="0.25">
      <c r="A1761" s="8"/>
    </row>
    <row r="1762" spans="1:1" ht="13.8" x14ac:dyDescent="0.25">
      <c r="A1762" s="8"/>
    </row>
    <row r="1763" spans="1:1" ht="13.8" x14ac:dyDescent="0.25">
      <c r="A1763" s="8"/>
    </row>
    <row r="1764" spans="1:1" ht="13.8" x14ac:dyDescent="0.25">
      <c r="A1764" s="8"/>
    </row>
    <row r="1765" spans="1:1" ht="13.8" x14ac:dyDescent="0.25">
      <c r="A1765" s="8"/>
    </row>
    <row r="1766" spans="1:1" ht="13.8" x14ac:dyDescent="0.25">
      <c r="A1766" s="8"/>
    </row>
    <row r="1767" spans="1:1" ht="13.8" x14ac:dyDescent="0.25">
      <c r="A1767" s="8"/>
    </row>
    <row r="1768" spans="1:1" ht="13.8" x14ac:dyDescent="0.25">
      <c r="A1768" s="8"/>
    </row>
    <row r="1769" spans="1:1" ht="13.8" x14ac:dyDescent="0.25">
      <c r="A1769" s="8"/>
    </row>
    <row r="1770" spans="1:1" ht="13.8" x14ac:dyDescent="0.25">
      <c r="A1770" s="8"/>
    </row>
    <row r="1771" spans="1:1" ht="13.8" x14ac:dyDescent="0.25">
      <c r="A1771" s="8"/>
    </row>
    <row r="1772" spans="1:1" ht="13.8" x14ac:dyDescent="0.25">
      <c r="A1772" s="8"/>
    </row>
    <row r="1773" spans="1:1" ht="13.8" x14ac:dyDescent="0.25">
      <c r="A1773" s="8"/>
    </row>
    <row r="1774" spans="1:1" ht="13.8" x14ac:dyDescent="0.25">
      <c r="A1774" s="8"/>
    </row>
    <row r="1775" spans="1:1" ht="13.8" x14ac:dyDescent="0.25">
      <c r="A1775" s="8"/>
    </row>
    <row r="1776" spans="1:1" ht="13.8" x14ac:dyDescent="0.25">
      <c r="A1776" s="8"/>
    </row>
    <row r="1777" spans="1:1" ht="13.8" x14ac:dyDescent="0.25">
      <c r="A1777" s="8"/>
    </row>
    <row r="1778" spans="1:1" ht="13.8" x14ac:dyDescent="0.25">
      <c r="A1778" s="8"/>
    </row>
    <row r="1779" spans="1:1" ht="13.8" x14ac:dyDescent="0.25">
      <c r="A1779" s="8"/>
    </row>
    <row r="1780" spans="1:1" ht="13.8" x14ac:dyDescent="0.25">
      <c r="A1780" s="8"/>
    </row>
    <row r="1781" spans="1:1" ht="13.8" x14ac:dyDescent="0.25">
      <c r="A1781" s="8"/>
    </row>
    <row r="1782" spans="1:1" ht="13.8" x14ac:dyDescent="0.25">
      <c r="A1782" s="8"/>
    </row>
    <row r="1783" spans="1:1" ht="13.8" x14ac:dyDescent="0.25">
      <c r="A1783" s="8"/>
    </row>
    <row r="1784" spans="1:1" ht="13.8" x14ac:dyDescent="0.25">
      <c r="A1784" s="8"/>
    </row>
    <row r="1785" spans="1:1" ht="13.8" x14ac:dyDescent="0.25">
      <c r="A1785" s="8"/>
    </row>
    <row r="1786" spans="1:1" ht="13.8" x14ac:dyDescent="0.25">
      <c r="A1786" s="8"/>
    </row>
    <row r="1787" spans="1:1" ht="13.8" x14ac:dyDescent="0.25">
      <c r="A1787" s="8"/>
    </row>
    <row r="1788" spans="1:1" ht="13.8" x14ac:dyDescent="0.25">
      <c r="A1788" s="8"/>
    </row>
    <row r="1789" spans="1:1" ht="13.8" x14ac:dyDescent="0.25">
      <c r="A1789" s="8"/>
    </row>
    <row r="1790" spans="1:1" ht="13.8" x14ac:dyDescent="0.25">
      <c r="A1790" s="8"/>
    </row>
    <row r="1791" spans="1:1" ht="13.8" x14ac:dyDescent="0.25">
      <c r="A1791" s="8"/>
    </row>
    <row r="1792" spans="1:1" ht="13.8" x14ac:dyDescent="0.25">
      <c r="A1792" s="8"/>
    </row>
    <row r="1793" spans="1:1" ht="13.8" x14ac:dyDescent="0.25">
      <c r="A1793" s="8"/>
    </row>
    <row r="1794" spans="1:1" ht="13.8" x14ac:dyDescent="0.25">
      <c r="A1794" s="8"/>
    </row>
    <row r="1795" spans="1:1" ht="13.8" x14ac:dyDescent="0.25">
      <c r="A1795" s="8"/>
    </row>
    <row r="1796" spans="1:1" ht="13.8" x14ac:dyDescent="0.25">
      <c r="A1796" s="8"/>
    </row>
    <row r="1797" spans="1:1" ht="13.8" x14ac:dyDescent="0.25">
      <c r="A1797" s="8"/>
    </row>
    <row r="1798" spans="1:1" ht="13.8" x14ac:dyDescent="0.25">
      <c r="A1798" s="8"/>
    </row>
    <row r="1799" spans="1:1" ht="13.8" x14ac:dyDescent="0.25">
      <c r="A1799" s="8"/>
    </row>
    <row r="1800" spans="1:1" ht="13.8" x14ac:dyDescent="0.25">
      <c r="A1800" s="8"/>
    </row>
    <row r="1801" spans="1:1" ht="13.8" x14ac:dyDescent="0.25">
      <c r="A1801" s="8"/>
    </row>
    <row r="1802" spans="1:1" ht="13.8" x14ac:dyDescent="0.25">
      <c r="A1802" s="8"/>
    </row>
    <row r="1803" spans="1:1" ht="13.8" x14ac:dyDescent="0.25">
      <c r="A1803" s="8"/>
    </row>
    <row r="1804" spans="1:1" ht="13.8" x14ac:dyDescent="0.25">
      <c r="A1804" s="8"/>
    </row>
    <row r="1805" spans="1:1" ht="13.8" x14ac:dyDescent="0.25">
      <c r="A1805" s="8"/>
    </row>
    <row r="1806" spans="1:1" ht="13.8" x14ac:dyDescent="0.25">
      <c r="A1806" s="8"/>
    </row>
    <row r="1807" spans="1:1" ht="13.8" x14ac:dyDescent="0.25">
      <c r="A1807" s="8"/>
    </row>
    <row r="1808" spans="1:1" ht="13.8" x14ac:dyDescent="0.25">
      <c r="A1808" s="8"/>
    </row>
    <row r="1809" spans="1:1" ht="13.8" x14ac:dyDescent="0.25">
      <c r="A1809" s="8"/>
    </row>
    <row r="1810" spans="1:1" ht="13.8" x14ac:dyDescent="0.25">
      <c r="A1810" s="8"/>
    </row>
    <row r="1811" spans="1:1" ht="13.8" x14ac:dyDescent="0.25">
      <c r="A1811" s="8"/>
    </row>
    <row r="1812" spans="1:1" ht="13.8" x14ac:dyDescent="0.25">
      <c r="A1812" s="8"/>
    </row>
    <row r="1813" spans="1:1" ht="13.8" x14ac:dyDescent="0.25">
      <c r="A1813" s="8"/>
    </row>
    <row r="1814" spans="1:1" ht="13.8" x14ac:dyDescent="0.25">
      <c r="A1814" s="8"/>
    </row>
    <row r="1815" spans="1:1" ht="13.8" x14ac:dyDescent="0.25">
      <c r="A1815" s="8"/>
    </row>
    <row r="1816" spans="1:1" ht="13.8" x14ac:dyDescent="0.25">
      <c r="A1816" s="8"/>
    </row>
    <row r="1817" spans="1:1" ht="13.8" x14ac:dyDescent="0.25">
      <c r="A1817" s="8"/>
    </row>
    <row r="1818" spans="1:1" ht="13.8" x14ac:dyDescent="0.25">
      <c r="A1818" s="8"/>
    </row>
    <row r="1819" spans="1:1" ht="13.8" x14ac:dyDescent="0.25">
      <c r="A1819" s="8"/>
    </row>
    <row r="1820" spans="1:1" ht="13.8" x14ac:dyDescent="0.25">
      <c r="A1820" s="8"/>
    </row>
    <row r="1821" spans="1:1" ht="13.8" x14ac:dyDescent="0.25">
      <c r="A1821" s="8"/>
    </row>
    <row r="1822" spans="1:1" ht="13.8" x14ac:dyDescent="0.25">
      <c r="A1822" s="8"/>
    </row>
    <row r="1823" spans="1:1" ht="13.8" x14ac:dyDescent="0.25">
      <c r="A1823" s="8"/>
    </row>
    <row r="1824" spans="1:1" ht="13.8" x14ac:dyDescent="0.25">
      <c r="A1824" s="8"/>
    </row>
    <row r="1825" spans="1:1" ht="13.8" x14ac:dyDescent="0.25">
      <c r="A1825" s="8"/>
    </row>
    <row r="1826" spans="1:1" ht="13.8" x14ac:dyDescent="0.25">
      <c r="A1826" s="8"/>
    </row>
    <row r="1827" spans="1:1" ht="13.8" x14ac:dyDescent="0.25">
      <c r="A1827" s="8"/>
    </row>
    <row r="1828" spans="1:1" ht="13.8" x14ac:dyDescent="0.25">
      <c r="A1828" s="8"/>
    </row>
    <row r="1829" spans="1:1" ht="13.8" x14ac:dyDescent="0.25">
      <c r="A1829" s="8"/>
    </row>
    <row r="1830" spans="1:1" ht="13.8" x14ac:dyDescent="0.25">
      <c r="A1830" s="8"/>
    </row>
    <row r="1831" spans="1:1" ht="13.8" x14ac:dyDescent="0.25">
      <c r="A1831" s="8"/>
    </row>
    <row r="1832" spans="1:1" ht="13.8" x14ac:dyDescent="0.25">
      <c r="A1832" s="8"/>
    </row>
    <row r="1833" spans="1:1" ht="13.8" x14ac:dyDescent="0.25">
      <c r="A1833" s="8"/>
    </row>
    <row r="1834" spans="1:1" ht="13.8" x14ac:dyDescent="0.25">
      <c r="A1834" s="8"/>
    </row>
    <row r="1835" spans="1:1" ht="13.8" x14ac:dyDescent="0.25">
      <c r="A1835" s="8"/>
    </row>
    <row r="1836" spans="1:1" ht="13.8" x14ac:dyDescent="0.25">
      <c r="A1836" s="8"/>
    </row>
    <row r="1837" spans="1:1" ht="13.8" x14ac:dyDescent="0.25">
      <c r="A1837" s="8"/>
    </row>
    <row r="1838" spans="1:1" ht="13.8" x14ac:dyDescent="0.25">
      <c r="A1838" s="8"/>
    </row>
    <row r="1839" spans="1:1" ht="13.8" x14ac:dyDescent="0.25">
      <c r="A1839" s="8"/>
    </row>
    <row r="1840" spans="1:1" ht="13.8" x14ac:dyDescent="0.25">
      <c r="A1840" s="8"/>
    </row>
    <row r="1841" spans="1:1" ht="13.8" x14ac:dyDescent="0.25">
      <c r="A1841" s="8"/>
    </row>
    <row r="1842" spans="1:1" ht="13.8" x14ac:dyDescent="0.25">
      <c r="A1842" s="8"/>
    </row>
    <row r="1843" spans="1:1" ht="13.8" x14ac:dyDescent="0.25">
      <c r="A1843" s="8"/>
    </row>
    <row r="1844" spans="1:1" ht="13.8" x14ac:dyDescent="0.25">
      <c r="A1844" s="8"/>
    </row>
    <row r="1845" spans="1:1" ht="13.8" x14ac:dyDescent="0.25">
      <c r="A1845" s="8"/>
    </row>
    <row r="1846" spans="1:1" ht="13.8" x14ac:dyDescent="0.25">
      <c r="A1846" s="8"/>
    </row>
    <row r="1847" spans="1:1" ht="13.8" x14ac:dyDescent="0.25">
      <c r="A1847" s="8"/>
    </row>
    <row r="1848" spans="1:1" ht="13.8" x14ac:dyDescent="0.25">
      <c r="A1848" s="8"/>
    </row>
    <row r="1849" spans="1:1" ht="13.8" x14ac:dyDescent="0.25">
      <c r="A1849" s="8"/>
    </row>
    <row r="1850" spans="1:1" ht="13.8" x14ac:dyDescent="0.25">
      <c r="A1850" s="8"/>
    </row>
    <row r="1851" spans="1:1" ht="13.8" x14ac:dyDescent="0.25">
      <c r="A1851" s="8"/>
    </row>
    <row r="1852" spans="1:1" ht="13.8" x14ac:dyDescent="0.25">
      <c r="A1852" s="8"/>
    </row>
    <row r="1853" spans="1:1" ht="13.8" x14ac:dyDescent="0.25">
      <c r="A1853" s="8"/>
    </row>
    <row r="1854" spans="1:1" ht="13.8" x14ac:dyDescent="0.25">
      <c r="A1854" s="8"/>
    </row>
    <row r="1855" spans="1:1" ht="13.8" x14ac:dyDescent="0.25">
      <c r="A1855" s="8"/>
    </row>
    <row r="1856" spans="1:1" ht="13.8" x14ac:dyDescent="0.25">
      <c r="A1856" s="8"/>
    </row>
    <row r="1857" spans="1:1" ht="13.8" x14ac:dyDescent="0.25">
      <c r="A1857" s="8"/>
    </row>
    <row r="1858" spans="1:1" ht="13.8" x14ac:dyDescent="0.25">
      <c r="A1858" s="8"/>
    </row>
    <row r="1859" spans="1:1" ht="13.8" x14ac:dyDescent="0.25">
      <c r="A1859" s="8"/>
    </row>
    <row r="1860" spans="1:1" ht="13.8" x14ac:dyDescent="0.25">
      <c r="A1860" s="8"/>
    </row>
    <row r="1861" spans="1:1" ht="13.8" x14ac:dyDescent="0.25">
      <c r="A1861" s="8"/>
    </row>
    <row r="1862" spans="1:1" ht="13.8" x14ac:dyDescent="0.25">
      <c r="A1862" s="8"/>
    </row>
    <row r="1863" spans="1:1" ht="13.8" x14ac:dyDescent="0.25">
      <c r="A1863" s="8"/>
    </row>
    <row r="1864" spans="1:1" ht="13.8" x14ac:dyDescent="0.25">
      <c r="A1864" s="8"/>
    </row>
    <row r="1865" spans="1:1" ht="13.8" x14ac:dyDescent="0.25">
      <c r="A1865" s="8"/>
    </row>
    <row r="1866" spans="1:1" ht="13.8" x14ac:dyDescent="0.25">
      <c r="A1866" s="8"/>
    </row>
    <row r="1867" spans="1:1" ht="13.8" x14ac:dyDescent="0.25">
      <c r="A1867" s="8"/>
    </row>
    <row r="1868" spans="1:1" ht="13.8" x14ac:dyDescent="0.25">
      <c r="A1868" s="8"/>
    </row>
    <row r="1869" spans="1:1" ht="13.8" x14ac:dyDescent="0.25">
      <c r="A1869" s="8"/>
    </row>
    <row r="1870" spans="1:1" ht="13.8" x14ac:dyDescent="0.25">
      <c r="A1870" s="8"/>
    </row>
    <row r="1871" spans="1:1" ht="13.8" x14ac:dyDescent="0.25">
      <c r="A1871" s="8"/>
    </row>
    <row r="1872" spans="1:1" ht="13.8" x14ac:dyDescent="0.25">
      <c r="A1872" s="8"/>
    </row>
    <row r="1873" spans="1:1" ht="13.8" x14ac:dyDescent="0.25">
      <c r="A1873" s="8"/>
    </row>
    <row r="1874" spans="1:1" ht="13.8" x14ac:dyDescent="0.25">
      <c r="A1874" s="8"/>
    </row>
    <row r="1875" spans="1:1" ht="13.8" x14ac:dyDescent="0.25">
      <c r="A1875" s="8"/>
    </row>
    <row r="1876" spans="1:1" ht="13.8" x14ac:dyDescent="0.25">
      <c r="A1876" s="8"/>
    </row>
    <row r="1877" spans="1:1" ht="13.8" x14ac:dyDescent="0.25">
      <c r="A1877" s="8"/>
    </row>
    <row r="1878" spans="1:1" ht="13.8" x14ac:dyDescent="0.25">
      <c r="A1878" s="8"/>
    </row>
    <row r="1879" spans="1:1" ht="13.8" x14ac:dyDescent="0.25">
      <c r="A1879" s="8"/>
    </row>
    <row r="1880" spans="1:1" ht="13.8" x14ac:dyDescent="0.25">
      <c r="A1880" s="8"/>
    </row>
    <row r="1881" spans="1:1" ht="13.8" x14ac:dyDescent="0.25">
      <c r="A1881" s="8"/>
    </row>
    <row r="1882" spans="1:1" ht="13.8" x14ac:dyDescent="0.25">
      <c r="A1882" s="8"/>
    </row>
    <row r="1883" spans="1:1" ht="13.8" x14ac:dyDescent="0.25">
      <c r="A1883" s="8"/>
    </row>
    <row r="1884" spans="1:1" ht="13.8" x14ac:dyDescent="0.25">
      <c r="A1884" s="8"/>
    </row>
    <row r="1885" spans="1:1" ht="13.8" x14ac:dyDescent="0.25">
      <c r="A1885" s="8"/>
    </row>
    <row r="1886" spans="1:1" ht="13.8" x14ac:dyDescent="0.25">
      <c r="A1886" s="8"/>
    </row>
    <row r="1887" spans="1:1" ht="13.8" x14ac:dyDescent="0.25">
      <c r="A1887" s="8"/>
    </row>
    <row r="1888" spans="1:1" ht="13.8" x14ac:dyDescent="0.25">
      <c r="A1888" s="8"/>
    </row>
    <row r="1889" spans="1:1" ht="13.8" x14ac:dyDescent="0.25">
      <c r="A1889" s="8"/>
    </row>
    <row r="1890" spans="1:1" ht="13.8" x14ac:dyDescent="0.25">
      <c r="A1890" s="8"/>
    </row>
    <row r="1891" spans="1:1" ht="13.8" x14ac:dyDescent="0.25">
      <c r="A1891" s="8"/>
    </row>
    <row r="1892" spans="1:1" ht="13.8" x14ac:dyDescent="0.25">
      <c r="A1892" s="8"/>
    </row>
    <row r="1893" spans="1:1" ht="13.8" x14ac:dyDescent="0.25">
      <c r="A1893" s="8"/>
    </row>
    <row r="1894" spans="1:1" ht="13.8" x14ac:dyDescent="0.25">
      <c r="A1894" s="8"/>
    </row>
    <row r="1895" spans="1:1" ht="13.8" x14ac:dyDescent="0.25">
      <c r="A1895" s="8"/>
    </row>
    <row r="1896" spans="1:1" ht="13.8" x14ac:dyDescent="0.25">
      <c r="A1896" s="8"/>
    </row>
    <row r="1897" spans="1:1" ht="13.8" x14ac:dyDescent="0.25">
      <c r="A1897" s="8"/>
    </row>
    <row r="1898" spans="1:1" ht="13.8" x14ac:dyDescent="0.25">
      <c r="A1898" s="8"/>
    </row>
    <row r="1899" spans="1:1" ht="13.8" x14ac:dyDescent="0.25">
      <c r="A1899" s="8"/>
    </row>
    <row r="1900" spans="1:1" ht="13.8" x14ac:dyDescent="0.25">
      <c r="A1900" s="8"/>
    </row>
    <row r="1901" spans="1:1" ht="13.8" x14ac:dyDescent="0.25">
      <c r="A1901" s="8"/>
    </row>
    <row r="1902" spans="1:1" ht="13.8" x14ac:dyDescent="0.25">
      <c r="A1902" s="8"/>
    </row>
    <row r="1903" spans="1:1" ht="13.8" x14ac:dyDescent="0.25">
      <c r="A1903" s="8"/>
    </row>
    <row r="1904" spans="1:1" ht="13.8" x14ac:dyDescent="0.25">
      <c r="A1904" s="8"/>
    </row>
    <row r="1905" spans="1:1" ht="13.8" x14ac:dyDescent="0.25">
      <c r="A1905" s="8"/>
    </row>
    <row r="1906" spans="1:1" ht="13.8" x14ac:dyDescent="0.25">
      <c r="A1906" s="8"/>
    </row>
    <row r="1907" spans="1:1" ht="13.8" x14ac:dyDescent="0.25">
      <c r="A1907" s="8"/>
    </row>
    <row r="1908" spans="1:1" ht="13.8" x14ac:dyDescent="0.25">
      <c r="A1908" s="8"/>
    </row>
    <row r="1909" spans="1:1" ht="13.8" x14ac:dyDescent="0.25">
      <c r="A1909" s="8"/>
    </row>
    <row r="1910" spans="1:1" ht="13.8" x14ac:dyDescent="0.25">
      <c r="A1910" s="8"/>
    </row>
    <row r="1911" spans="1:1" ht="13.8" x14ac:dyDescent="0.25">
      <c r="A1911" s="8"/>
    </row>
    <row r="1912" spans="1:1" ht="13.8" x14ac:dyDescent="0.25">
      <c r="A1912" s="8"/>
    </row>
    <row r="1913" spans="1:1" ht="13.8" x14ac:dyDescent="0.25">
      <c r="A1913" s="8"/>
    </row>
    <row r="1914" spans="1:1" ht="13.8" x14ac:dyDescent="0.25">
      <c r="A1914" s="8"/>
    </row>
    <row r="1915" spans="1:1" ht="13.8" x14ac:dyDescent="0.25">
      <c r="A1915" s="8"/>
    </row>
    <row r="1916" spans="1:1" ht="13.8" x14ac:dyDescent="0.25">
      <c r="A1916" s="8"/>
    </row>
    <row r="1917" spans="1:1" ht="13.8" x14ac:dyDescent="0.25">
      <c r="A1917" s="8"/>
    </row>
    <row r="1918" spans="1:1" ht="13.8" x14ac:dyDescent="0.25">
      <c r="A1918" s="8"/>
    </row>
    <row r="1919" spans="1:1" ht="13.8" x14ac:dyDescent="0.25">
      <c r="A1919" s="8"/>
    </row>
    <row r="1920" spans="1:1" ht="13.8" x14ac:dyDescent="0.25">
      <c r="A1920" s="8"/>
    </row>
    <row r="1921" spans="1:1" ht="13.8" x14ac:dyDescent="0.25">
      <c r="A1921" s="8"/>
    </row>
    <row r="1922" spans="1:1" ht="13.8" x14ac:dyDescent="0.25">
      <c r="A1922" s="8"/>
    </row>
    <row r="1923" spans="1:1" ht="13.8" x14ac:dyDescent="0.25">
      <c r="A1923" s="8"/>
    </row>
    <row r="1924" spans="1:1" ht="13.8" x14ac:dyDescent="0.25">
      <c r="A1924" s="8"/>
    </row>
    <row r="1925" spans="1:1" ht="13.8" x14ac:dyDescent="0.25">
      <c r="A1925" s="8"/>
    </row>
    <row r="1926" spans="1:1" ht="13.8" x14ac:dyDescent="0.25">
      <c r="A1926" s="8"/>
    </row>
    <row r="1927" spans="1:1" ht="13.8" x14ac:dyDescent="0.25">
      <c r="A1927" s="8"/>
    </row>
    <row r="1928" spans="1:1" ht="13.8" x14ac:dyDescent="0.25">
      <c r="A1928" s="8"/>
    </row>
    <row r="1929" spans="1:1" ht="13.8" x14ac:dyDescent="0.25">
      <c r="A1929" s="8"/>
    </row>
    <row r="1930" spans="1:1" ht="13.8" x14ac:dyDescent="0.25">
      <c r="A1930" s="8"/>
    </row>
    <row r="1931" spans="1:1" ht="13.8" x14ac:dyDescent="0.25">
      <c r="A1931" s="8"/>
    </row>
    <row r="1932" spans="1:1" ht="13.8" x14ac:dyDescent="0.25">
      <c r="A1932" s="8"/>
    </row>
    <row r="1933" spans="1:1" ht="13.8" x14ac:dyDescent="0.25">
      <c r="A1933" s="8"/>
    </row>
    <row r="1934" spans="1:1" ht="13.8" x14ac:dyDescent="0.25">
      <c r="A1934" s="8"/>
    </row>
    <row r="1935" spans="1:1" ht="13.8" x14ac:dyDescent="0.25">
      <c r="A1935" s="8"/>
    </row>
    <row r="1936" spans="1:1" ht="13.8" x14ac:dyDescent="0.25">
      <c r="A1936" s="8"/>
    </row>
    <row r="1937" spans="1:1" ht="13.8" x14ac:dyDescent="0.25">
      <c r="A1937" s="8"/>
    </row>
    <row r="1938" spans="1:1" ht="13.8" x14ac:dyDescent="0.25">
      <c r="A1938" s="8"/>
    </row>
    <row r="1939" spans="1:1" ht="13.8" x14ac:dyDescent="0.25">
      <c r="A1939" s="8"/>
    </row>
    <row r="1940" spans="1:1" ht="13.8" x14ac:dyDescent="0.25">
      <c r="A1940" s="8"/>
    </row>
    <row r="1941" spans="1:1" ht="13.8" x14ac:dyDescent="0.25">
      <c r="A1941" s="8"/>
    </row>
    <row r="1942" spans="1:1" ht="13.8" x14ac:dyDescent="0.25">
      <c r="A1942" s="8"/>
    </row>
    <row r="1943" spans="1:1" ht="13.8" x14ac:dyDescent="0.25">
      <c r="A1943" s="8"/>
    </row>
    <row r="1944" spans="1:1" ht="13.8" x14ac:dyDescent="0.25">
      <c r="A1944" s="8"/>
    </row>
    <row r="1945" spans="1:1" ht="13.8" x14ac:dyDescent="0.25">
      <c r="A1945" s="8"/>
    </row>
    <row r="1946" spans="1:1" ht="13.8" x14ac:dyDescent="0.25">
      <c r="A1946" s="8"/>
    </row>
    <row r="1947" spans="1:1" ht="13.8" x14ac:dyDescent="0.25">
      <c r="A1947" s="8"/>
    </row>
    <row r="1948" spans="1:1" ht="13.8" x14ac:dyDescent="0.25">
      <c r="A1948" s="8"/>
    </row>
    <row r="1949" spans="1:1" ht="13.8" x14ac:dyDescent="0.25">
      <c r="A1949" s="8"/>
    </row>
    <row r="1950" spans="1:1" ht="13.8" x14ac:dyDescent="0.25">
      <c r="A1950" s="8"/>
    </row>
    <row r="1951" spans="1:1" ht="13.8" x14ac:dyDescent="0.25">
      <c r="A1951" s="8"/>
    </row>
    <row r="1952" spans="1:1" ht="13.8" x14ac:dyDescent="0.25">
      <c r="A1952" s="8"/>
    </row>
    <row r="1953" spans="1:1" ht="13.8" x14ac:dyDescent="0.25">
      <c r="A1953" s="8"/>
    </row>
    <row r="1954" spans="1:1" ht="13.8" x14ac:dyDescent="0.25">
      <c r="A1954" s="8"/>
    </row>
    <row r="1955" spans="1:1" ht="13.8" x14ac:dyDescent="0.25">
      <c r="A1955" s="8"/>
    </row>
    <row r="1956" spans="1:1" ht="13.8" x14ac:dyDescent="0.25">
      <c r="A1956" s="8"/>
    </row>
    <row r="1957" spans="1:1" ht="13.8" x14ac:dyDescent="0.25">
      <c r="A1957" s="8"/>
    </row>
    <row r="1958" spans="1:1" ht="13.8" x14ac:dyDescent="0.25">
      <c r="A1958" s="8"/>
    </row>
    <row r="1959" spans="1:1" ht="13.8" x14ac:dyDescent="0.25">
      <c r="A1959" s="8"/>
    </row>
    <row r="1960" spans="1:1" ht="13.8" x14ac:dyDescent="0.25">
      <c r="A1960" s="8"/>
    </row>
    <row r="1961" spans="1:1" ht="13.8" x14ac:dyDescent="0.25">
      <c r="A1961" s="8"/>
    </row>
    <row r="1962" spans="1:1" ht="13.8" x14ac:dyDescent="0.25">
      <c r="A1962" s="8"/>
    </row>
    <row r="1963" spans="1:1" ht="13.8" x14ac:dyDescent="0.25">
      <c r="A1963" s="8"/>
    </row>
    <row r="1964" spans="1:1" ht="13.8" x14ac:dyDescent="0.25">
      <c r="A1964" s="8"/>
    </row>
    <row r="1965" spans="1:1" ht="13.8" x14ac:dyDescent="0.25">
      <c r="A1965" s="8"/>
    </row>
    <row r="1966" spans="1:1" ht="13.8" x14ac:dyDescent="0.25">
      <c r="A1966" s="8"/>
    </row>
    <row r="1967" spans="1:1" ht="13.8" x14ac:dyDescent="0.25">
      <c r="A1967" s="8"/>
    </row>
    <row r="1968" spans="1:1" ht="13.8" x14ac:dyDescent="0.25">
      <c r="A1968" s="8"/>
    </row>
    <row r="1969" spans="1:1" ht="13.8" x14ac:dyDescent="0.25">
      <c r="A1969" s="8"/>
    </row>
    <row r="1970" spans="1:1" ht="13.8" x14ac:dyDescent="0.25">
      <c r="A1970" s="8"/>
    </row>
    <row r="1971" spans="1:1" ht="13.8" x14ac:dyDescent="0.25">
      <c r="A1971" s="8"/>
    </row>
    <row r="1972" spans="1:1" ht="13.8" x14ac:dyDescent="0.25">
      <c r="A1972" s="8"/>
    </row>
    <row r="1973" spans="1:1" ht="13.8" x14ac:dyDescent="0.25">
      <c r="A1973" s="8"/>
    </row>
    <row r="1974" spans="1:1" ht="13.8" x14ac:dyDescent="0.25">
      <c r="A1974" s="8"/>
    </row>
    <row r="1975" spans="1:1" ht="13.8" x14ac:dyDescent="0.25">
      <c r="A1975" s="8"/>
    </row>
    <row r="1976" spans="1:1" ht="13.8" x14ac:dyDescent="0.25">
      <c r="A1976" s="8"/>
    </row>
    <row r="1977" spans="1:1" ht="13.8" x14ac:dyDescent="0.25">
      <c r="A1977" s="8"/>
    </row>
    <row r="1978" spans="1:1" ht="13.8" x14ac:dyDescent="0.25">
      <c r="A1978" s="8"/>
    </row>
    <row r="1979" spans="1:1" ht="13.8" x14ac:dyDescent="0.25">
      <c r="A1979" s="8"/>
    </row>
    <row r="1980" spans="1:1" ht="13.8" x14ac:dyDescent="0.25">
      <c r="A1980" s="8"/>
    </row>
    <row r="1981" spans="1:1" ht="13.8" x14ac:dyDescent="0.25">
      <c r="A1981" s="8"/>
    </row>
    <row r="1982" spans="1:1" ht="13.8" x14ac:dyDescent="0.25">
      <c r="A1982" s="8"/>
    </row>
    <row r="1983" spans="1:1" ht="13.8" x14ac:dyDescent="0.25">
      <c r="A1983" s="8"/>
    </row>
    <row r="1984" spans="1:1" ht="13.8" x14ac:dyDescent="0.25">
      <c r="A1984" s="8"/>
    </row>
    <row r="1985" spans="1:1" ht="13.8" x14ac:dyDescent="0.25">
      <c r="A1985" s="8"/>
    </row>
    <row r="1986" spans="1:1" ht="13.8" x14ac:dyDescent="0.25">
      <c r="A1986" s="8"/>
    </row>
    <row r="1987" spans="1:1" ht="13.8" x14ac:dyDescent="0.25">
      <c r="A1987" s="8"/>
    </row>
    <row r="1988" spans="1:1" ht="13.8" x14ac:dyDescent="0.25">
      <c r="A1988" s="8"/>
    </row>
    <row r="1989" spans="1:1" ht="13.8" x14ac:dyDescent="0.25">
      <c r="A1989" s="8"/>
    </row>
    <row r="1990" spans="1:1" ht="13.8" x14ac:dyDescent="0.25">
      <c r="A1990" s="8"/>
    </row>
    <row r="1991" spans="1:1" ht="13.8" x14ac:dyDescent="0.25">
      <c r="A1991" s="8"/>
    </row>
    <row r="1992" spans="1:1" ht="13.8" x14ac:dyDescent="0.25">
      <c r="A1992" s="8"/>
    </row>
    <row r="1993" spans="1:1" ht="13.8" x14ac:dyDescent="0.25">
      <c r="A1993" s="8"/>
    </row>
    <row r="1994" spans="1:1" ht="13.8" x14ac:dyDescent="0.25">
      <c r="A1994" s="8"/>
    </row>
    <row r="1995" spans="1:1" ht="13.8" x14ac:dyDescent="0.25">
      <c r="A1995" s="8"/>
    </row>
    <row r="1996" spans="1:1" ht="13.8" x14ac:dyDescent="0.25">
      <c r="A1996" s="8"/>
    </row>
    <row r="1997" spans="1:1" ht="13.8" x14ac:dyDescent="0.25">
      <c r="A1997" s="8"/>
    </row>
    <row r="1998" spans="1:1" ht="13.8" x14ac:dyDescent="0.25">
      <c r="A1998" s="8"/>
    </row>
    <row r="1999" spans="1:1" ht="13.8" x14ac:dyDescent="0.25">
      <c r="A1999" s="8"/>
    </row>
    <row r="2000" spans="1:1" ht="13.8" x14ac:dyDescent="0.25">
      <c r="A2000" s="8"/>
    </row>
    <row r="2001" spans="1:1" ht="13.8" x14ac:dyDescent="0.25">
      <c r="A2001" s="8"/>
    </row>
    <row r="2002" spans="1:1" ht="13.8" x14ac:dyDescent="0.25">
      <c r="A2002" s="8"/>
    </row>
    <row r="2003" spans="1:1" ht="13.8" x14ac:dyDescent="0.25">
      <c r="A2003" s="8"/>
    </row>
    <row r="2004" spans="1:1" ht="13.8" x14ac:dyDescent="0.25">
      <c r="A2004" s="8"/>
    </row>
    <row r="2005" spans="1:1" ht="13.8" x14ac:dyDescent="0.25">
      <c r="A2005" s="8"/>
    </row>
    <row r="2006" spans="1:1" ht="13.8" x14ac:dyDescent="0.25">
      <c r="A2006" s="8"/>
    </row>
    <row r="2007" spans="1:1" ht="13.8" x14ac:dyDescent="0.25">
      <c r="A2007" s="8"/>
    </row>
    <row r="2008" spans="1:1" ht="13.8" x14ac:dyDescent="0.25">
      <c r="A2008" s="8"/>
    </row>
    <row r="2009" spans="1:1" ht="13.8" x14ac:dyDescent="0.25">
      <c r="A2009" s="8"/>
    </row>
    <row r="2010" spans="1:1" ht="13.8" x14ac:dyDescent="0.25">
      <c r="A2010" s="8"/>
    </row>
    <row r="2011" spans="1:1" ht="13.8" x14ac:dyDescent="0.25">
      <c r="A2011" s="8"/>
    </row>
    <row r="2012" spans="1:1" ht="13.8" x14ac:dyDescent="0.25">
      <c r="A2012" s="8"/>
    </row>
    <row r="2013" spans="1:1" ht="13.8" x14ac:dyDescent="0.25">
      <c r="A2013" s="8"/>
    </row>
    <row r="2014" spans="1:1" ht="13.8" x14ac:dyDescent="0.25">
      <c r="A2014" s="8"/>
    </row>
    <row r="2015" spans="1:1" ht="13.8" x14ac:dyDescent="0.25">
      <c r="A2015" s="8"/>
    </row>
    <row r="2016" spans="1:1" ht="13.8" x14ac:dyDescent="0.25">
      <c r="A2016" s="8"/>
    </row>
    <row r="2017" spans="1:1" ht="13.8" x14ac:dyDescent="0.25">
      <c r="A2017" s="8"/>
    </row>
    <row r="2018" spans="1:1" ht="13.8" x14ac:dyDescent="0.25">
      <c r="A2018" s="8"/>
    </row>
    <row r="2019" spans="1:1" ht="13.8" x14ac:dyDescent="0.25">
      <c r="A2019" s="8"/>
    </row>
    <row r="2020" spans="1:1" ht="13.8" x14ac:dyDescent="0.25">
      <c r="A2020" s="8"/>
    </row>
    <row r="2021" spans="1:1" ht="13.8" x14ac:dyDescent="0.25">
      <c r="A2021" s="8"/>
    </row>
    <row r="2022" spans="1:1" ht="13.8" x14ac:dyDescent="0.25">
      <c r="A2022" s="8"/>
    </row>
    <row r="2023" spans="1:1" ht="13.8" x14ac:dyDescent="0.25">
      <c r="A2023" s="8"/>
    </row>
    <row r="2024" spans="1:1" ht="13.8" x14ac:dyDescent="0.25">
      <c r="A2024" s="8"/>
    </row>
    <row r="2025" spans="1:1" ht="13.8" x14ac:dyDescent="0.25">
      <c r="A2025" s="8"/>
    </row>
    <row r="2026" spans="1:1" ht="13.8" x14ac:dyDescent="0.25">
      <c r="A2026" s="8"/>
    </row>
    <row r="2027" spans="1:1" ht="13.8" x14ac:dyDescent="0.25">
      <c r="A2027" s="8"/>
    </row>
    <row r="2028" spans="1:1" ht="13.8" x14ac:dyDescent="0.25">
      <c r="A2028" s="8"/>
    </row>
    <row r="2029" spans="1:1" ht="13.8" x14ac:dyDescent="0.25">
      <c r="A2029" s="8"/>
    </row>
    <row r="2030" spans="1:1" ht="13.8" x14ac:dyDescent="0.25">
      <c r="A2030" s="8"/>
    </row>
    <row r="2031" spans="1:1" ht="13.8" x14ac:dyDescent="0.25">
      <c r="A2031" s="8"/>
    </row>
    <row r="2032" spans="1:1" ht="13.8" x14ac:dyDescent="0.25">
      <c r="A2032" s="8"/>
    </row>
    <row r="2033" spans="1:1" ht="13.8" x14ac:dyDescent="0.25">
      <c r="A2033" s="8"/>
    </row>
    <row r="2034" spans="1:1" ht="13.8" x14ac:dyDescent="0.25">
      <c r="A2034" s="8"/>
    </row>
    <row r="2035" spans="1:1" ht="13.8" x14ac:dyDescent="0.25">
      <c r="A2035" s="8"/>
    </row>
    <row r="2036" spans="1:1" ht="13.8" x14ac:dyDescent="0.25">
      <c r="A2036" s="8"/>
    </row>
    <row r="2037" spans="1:1" ht="13.8" x14ac:dyDescent="0.25">
      <c r="A2037" s="8"/>
    </row>
    <row r="2038" spans="1:1" ht="13.8" x14ac:dyDescent="0.25">
      <c r="A2038" s="8"/>
    </row>
    <row r="2039" spans="1:1" ht="13.8" x14ac:dyDescent="0.25">
      <c r="A2039" s="8"/>
    </row>
    <row r="2040" spans="1:1" ht="13.8" x14ac:dyDescent="0.25">
      <c r="A2040" s="8"/>
    </row>
    <row r="2041" spans="1:1" ht="13.8" x14ac:dyDescent="0.25">
      <c r="A2041" s="8"/>
    </row>
    <row r="2042" spans="1:1" ht="13.8" x14ac:dyDescent="0.25">
      <c r="A2042" s="8"/>
    </row>
    <row r="2043" spans="1:1" ht="13.8" x14ac:dyDescent="0.25">
      <c r="A2043" s="8"/>
    </row>
    <row r="2044" spans="1:1" ht="13.8" x14ac:dyDescent="0.25">
      <c r="A2044" s="8"/>
    </row>
    <row r="2045" spans="1:1" ht="13.8" x14ac:dyDescent="0.25">
      <c r="A2045" s="8"/>
    </row>
    <row r="2046" spans="1:1" ht="13.8" x14ac:dyDescent="0.25">
      <c r="A2046" s="8"/>
    </row>
    <row r="2047" spans="1:1" ht="13.8" x14ac:dyDescent="0.25">
      <c r="A2047" s="8"/>
    </row>
    <row r="2048" spans="1:1" ht="13.8" x14ac:dyDescent="0.25">
      <c r="A2048" s="8"/>
    </row>
    <row r="2049" spans="1:1" ht="13.8" x14ac:dyDescent="0.25">
      <c r="A2049" s="8"/>
    </row>
    <row r="2050" spans="1:1" ht="13.8" x14ac:dyDescent="0.25">
      <c r="A2050" s="8"/>
    </row>
    <row r="2051" spans="1:1" ht="13.8" x14ac:dyDescent="0.25">
      <c r="A2051" s="8"/>
    </row>
    <row r="2052" spans="1:1" ht="13.8" x14ac:dyDescent="0.25">
      <c r="A2052" s="8"/>
    </row>
    <row r="2053" spans="1:1" ht="13.8" x14ac:dyDescent="0.25">
      <c r="A2053" s="8"/>
    </row>
    <row r="2054" spans="1:1" ht="13.8" x14ac:dyDescent="0.25">
      <c r="A2054" s="8"/>
    </row>
    <row r="2055" spans="1:1" ht="13.8" x14ac:dyDescent="0.25">
      <c r="A2055" s="8"/>
    </row>
    <row r="2056" spans="1:1" ht="13.8" x14ac:dyDescent="0.25">
      <c r="A2056" s="8"/>
    </row>
    <row r="2057" spans="1:1" ht="13.8" x14ac:dyDescent="0.25">
      <c r="A2057" s="8"/>
    </row>
    <row r="2058" spans="1:1" ht="13.8" x14ac:dyDescent="0.25">
      <c r="A2058" s="8"/>
    </row>
    <row r="2059" spans="1:1" ht="13.8" x14ac:dyDescent="0.25">
      <c r="A2059" s="8"/>
    </row>
    <row r="2060" spans="1:1" ht="13.8" x14ac:dyDescent="0.25">
      <c r="A2060" s="8"/>
    </row>
    <row r="2061" spans="1:1" ht="13.8" x14ac:dyDescent="0.25">
      <c r="A2061" s="8"/>
    </row>
    <row r="2062" spans="1:1" ht="13.8" x14ac:dyDescent="0.25">
      <c r="A2062" s="8"/>
    </row>
    <row r="2063" spans="1:1" ht="13.8" x14ac:dyDescent="0.25">
      <c r="A2063" s="8"/>
    </row>
    <row r="2064" spans="1:1" ht="13.8" x14ac:dyDescent="0.25">
      <c r="A2064" s="8"/>
    </row>
    <row r="2065" spans="1:1" ht="13.8" x14ac:dyDescent="0.25">
      <c r="A2065" s="8"/>
    </row>
    <row r="2066" spans="1:1" ht="13.8" x14ac:dyDescent="0.25">
      <c r="A2066" s="8"/>
    </row>
    <row r="2067" spans="1:1" ht="13.8" x14ac:dyDescent="0.25">
      <c r="A2067" s="8"/>
    </row>
    <row r="2068" spans="1:1" ht="13.8" x14ac:dyDescent="0.25">
      <c r="A2068" s="8"/>
    </row>
    <row r="2069" spans="1:1" ht="13.8" x14ac:dyDescent="0.25">
      <c r="A2069" s="8"/>
    </row>
    <row r="2070" spans="1:1" ht="13.8" x14ac:dyDescent="0.25">
      <c r="A2070" s="8"/>
    </row>
    <row r="2071" spans="1:1" ht="13.8" x14ac:dyDescent="0.25">
      <c r="A2071" s="8"/>
    </row>
    <row r="2072" spans="1:1" ht="13.8" x14ac:dyDescent="0.25">
      <c r="A2072" s="8"/>
    </row>
    <row r="2073" spans="1:1" ht="13.8" x14ac:dyDescent="0.25">
      <c r="A2073" s="8"/>
    </row>
    <row r="2074" spans="1:1" ht="13.8" x14ac:dyDescent="0.25">
      <c r="A2074" s="8"/>
    </row>
    <row r="2075" spans="1:1" ht="13.8" x14ac:dyDescent="0.25">
      <c r="A2075" s="8"/>
    </row>
    <row r="2076" spans="1:1" ht="13.8" x14ac:dyDescent="0.25">
      <c r="A2076" s="8"/>
    </row>
    <row r="2077" spans="1:1" ht="13.8" x14ac:dyDescent="0.25">
      <c r="A2077" s="8"/>
    </row>
    <row r="2078" spans="1:1" ht="13.8" x14ac:dyDescent="0.25">
      <c r="A2078" s="8"/>
    </row>
    <row r="2079" spans="1:1" ht="13.8" x14ac:dyDescent="0.25">
      <c r="A2079" s="8"/>
    </row>
    <row r="2080" spans="1:1" ht="13.8" x14ac:dyDescent="0.25">
      <c r="A2080" s="8"/>
    </row>
    <row r="2081" spans="1:1" ht="13.8" x14ac:dyDescent="0.25">
      <c r="A2081" s="8"/>
    </row>
    <row r="2082" spans="1:1" ht="13.8" x14ac:dyDescent="0.25">
      <c r="A2082" s="8"/>
    </row>
    <row r="2083" spans="1:1" ht="13.8" x14ac:dyDescent="0.25">
      <c r="A2083" s="8"/>
    </row>
    <row r="2084" spans="1:1" ht="13.8" x14ac:dyDescent="0.25">
      <c r="A2084" s="8"/>
    </row>
    <row r="2085" spans="1:1" ht="13.8" x14ac:dyDescent="0.25">
      <c r="A2085" s="8"/>
    </row>
    <row r="2086" spans="1:1" ht="13.8" x14ac:dyDescent="0.25">
      <c r="A2086" s="8"/>
    </row>
    <row r="2087" spans="1:1" ht="13.8" x14ac:dyDescent="0.25">
      <c r="A2087" s="8"/>
    </row>
    <row r="2088" spans="1:1" ht="13.8" x14ac:dyDescent="0.25">
      <c r="A2088" s="8"/>
    </row>
    <row r="2089" spans="1:1" ht="13.8" x14ac:dyDescent="0.25">
      <c r="A2089" s="8"/>
    </row>
    <row r="2090" spans="1:1" ht="13.8" x14ac:dyDescent="0.25">
      <c r="A2090" s="8"/>
    </row>
    <row r="2091" spans="1:1" ht="13.8" x14ac:dyDescent="0.25">
      <c r="A2091" s="8"/>
    </row>
    <row r="2092" spans="1:1" ht="13.8" x14ac:dyDescent="0.25">
      <c r="A2092" s="8"/>
    </row>
    <row r="2093" spans="1:1" ht="13.8" x14ac:dyDescent="0.25">
      <c r="A2093" s="8"/>
    </row>
    <row r="2094" spans="1:1" ht="13.8" x14ac:dyDescent="0.25">
      <c r="A2094" s="8"/>
    </row>
    <row r="2095" spans="1:1" ht="13.8" x14ac:dyDescent="0.25">
      <c r="A2095" s="8"/>
    </row>
    <row r="2096" spans="1:1" ht="13.8" x14ac:dyDescent="0.25">
      <c r="A2096" s="8"/>
    </row>
    <row r="2097" spans="1:1" ht="13.8" x14ac:dyDescent="0.25">
      <c r="A2097" s="8"/>
    </row>
    <row r="2098" spans="1:1" ht="13.8" x14ac:dyDescent="0.25">
      <c r="A2098" s="8"/>
    </row>
    <row r="2099" spans="1:1" ht="13.8" x14ac:dyDescent="0.25">
      <c r="A2099" s="8"/>
    </row>
    <row r="2100" spans="1:1" ht="13.8" x14ac:dyDescent="0.25">
      <c r="A2100" s="8"/>
    </row>
    <row r="2101" spans="1:1" ht="13.8" x14ac:dyDescent="0.25">
      <c r="A2101" s="8"/>
    </row>
    <row r="2102" spans="1:1" ht="13.8" x14ac:dyDescent="0.25">
      <c r="A2102" s="8"/>
    </row>
    <row r="2103" spans="1:1" ht="13.8" x14ac:dyDescent="0.25">
      <c r="A2103" s="8"/>
    </row>
    <row r="2104" spans="1:1" ht="13.8" x14ac:dyDescent="0.25">
      <c r="A2104" s="8"/>
    </row>
    <row r="2105" spans="1:1" ht="13.8" x14ac:dyDescent="0.25">
      <c r="A2105" s="8"/>
    </row>
    <row r="2106" spans="1:1" ht="13.8" x14ac:dyDescent="0.25">
      <c r="A2106" s="8"/>
    </row>
    <row r="2107" spans="1:1" ht="13.8" x14ac:dyDescent="0.25">
      <c r="A2107" s="8"/>
    </row>
    <row r="2108" spans="1:1" ht="13.8" x14ac:dyDescent="0.25">
      <c r="A2108" s="8"/>
    </row>
    <row r="2109" spans="1:1" ht="13.8" x14ac:dyDescent="0.25">
      <c r="A2109" s="8"/>
    </row>
    <row r="2110" spans="1:1" ht="13.8" x14ac:dyDescent="0.25">
      <c r="A2110" s="8"/>
    </row>
    <row r="2111" spans="1:1" ht="13.8" x14ac:dyDescent="0.25">
      <c r="A2111" s="8"/>
    </row>
    <row r="2112" spans="1:1" ht="13.8" x14ac:dyDescent="0.25">
      <c r="A2112" s="8"/>
    </row>
    <row r="2113" spans="1:1" ht="13.8" x14ac:dyDescent="0.25">
      <c r="A2113" s="8"/>
    </row>
    <row r="2114" spans="1:1" ht="13.8" x14ac:dyDescent="0.25">
      <c r="A2114" s="8"/>
    </row>
    <row r="2115" spans="1:1" ht="13.8" x14ac:dyDescent="0.25">
      <c r="A2115" s="8"/>
    </row>
    <row r="2116" spans="1:1" ht="13.8" x14ac:dyDescent="0.25">
      <c r="A2116" s="8"/>
    </row>
    <row r="2117" spans="1:1" ht="13.8" x14ac:dyDescent="0.25">
      <c r="A2117" s="8"/>
    </row>
    <row r="2118" spans="1:1" ht="13.8" x14ac:dyDescent="0.25">
      <c r="A2118" s="8"/>
    </row>
    <row r="2119" spans="1:1" ht="13.8" x14ac:dyDescent="0.25">
      <c r="A2119" s="8"/>
    </row>
    <row r="2120" spans="1:1" ht="13.8" x14ac:dyDescent="0.25">
      <c r="A2120" s="8"/>
    </row>
    <row r="2121" spans="1:1" ht="13.8" x14ac:dyDescent="0.25">
      <c r="A2121" s="8"/>
    </row>
    <row r="2122" spans="1:1" ht="13.8" x14ac:dyDescent="0.25">
      <c r="A2122" s="8"/>
    </row>
    <row r="2123" spans="1:1" ht="13.8" x14ac:dyDescent="0.25">
      <c r="A2123" s="8"/>
    </row>
    <row r="2124" spans="1:1" ht="13.8" x14ac:dyDescent="0.25">
      <c r="A2124" s="8"/>
    </row>
    <row r="2125" spans="1:1" ht="13.8" x14ac:dyDescent="0.25">
      <c r="A2125" s="8"/>
    </row>
    <row r="2126" spans="1:1" ht="13.8" x14ac:dyDescent="0.25">
      <c r="A2126" s="8"/>
    </row>
    <row r="2127" spans="1:1" ht="13.8" x14ac:dyDescent="0.25">
      <c r="A2127" s="8"/>
    </row>
    <row r="2128" spans="1:1" ht="13.8" x14ac:dyDescent="0.25">
      <c r="A2128" s="8"/>
    </row>
    <row r="2129" spans="1:1" ht="13.8" x14ac:dyDescent="0.25">
      <c r="A2129" s="8"/>
    </row>
    <row r="2130" spans="1:1" ht="13.8" x14ac:dyDescent="0.25">
      <c r="A2130" s="8"/>
    </row>
    <row r="2131" spans="1:1" ht="13.8" x14ac:dyDescent="0.25">
      <c r="A2131" s="8"/>
    </row>
    <row r="2132" spans="1:1" ht="13.8" x14ac:dyDescent="0.25">
      <c r="A2132" s="8"/>
    </row>
    <row r="2133" spans="1:1" ht="13.8" x14ac:dyDescent="0.25">
      <c r="A2133" s="8"/>
    </row>
    <row r="2134" spans="1:1" ht="13.8" x14ac:dyDescent="0.25">
      <c r="A2134" s="8"/>
    </row>
    <row r="2135" spans="1:1" ht="13.8" x14ac:dyDescent="0.25">
      <c r="A2135" s="8"/>
    </row>
    <row r="2136" spans="1:1" ht="13.8" x14ac:dyDescent="0.25">
      <c r="A2136" s="8"/>
    </row>
    <row r="2137" spans="1:1" ht="13.8" x14ac:dyDescent="0.25">
      <c r="A2137" s="8"/>
    </row>
    <row r="2138" spans="1:1" ht="13.8" x14ac:dyDescent="0.25">
      <c r="A2138" s="8"/>
    </row>
    <row r="2139" spans="1:1" ht="13.8" x14ac:dyDescent="0.25">
      <c r="A2139" s="8"/>
    </row>
    <row r="2140" spans="1:1" ht="13.8" x14ac:dyDescent="0.25">
      <c r="A2140" s="8"/>
    </row>
    <row r="2141" spans="1:1" ht="13.8" x14ac:dyDescent="0.25">
      <c r="A2141" s="8"/>
    </row>
    <row r="2142" spans="1:1" ht="13.8" x14ac:dyDescent="0.25">
      <c r="A2142" s="8"/>
    </row>
    <row r="2143" spans="1:1" ht="13.8" x14ac:dyDescent="0.25">
      <c r="A2143" s="8"/>
    </row>
    <row r="2144" spans="1:1" ht="13.8" x14ac:dyDescent="0.25">
      <c r="A2144" s="8"/>
    </row>
    <row r="2145" spans="1:1" ht="13.8" x14ac:dyDescent="0.25">
      <c r="A2145" s="8"/>
    </row>
    <row r="2146" spans="1:1" ht="13.8" x14ac:dyDescent="0.25">
      <c r="A2146" s="8"/>
    </row>
    <row r="2147" spans="1:1" ht="13.8" x14ac:dyDescent="0.25">
      <c r="A2147" s="8"/>
    </row>
    <row r="2148" spans="1:1" ht="13.8" x14ac:dyDescent="0.25">
      <c r="A2148" s="8"/>
    </row>
    <row r="2149" spans="1:1" ht="13.8" x14ac:dyDescent="0.25">
      <c r="A2149" s="8"/>
    </row>
    <row r="2150" spans="1:1" ht="13.8" x14ac:dyDescent="0.25">
      <c r="A2150" s="8"/>
    </row>
    <row r="2151" spans="1:1" ht="13.8" x14ac:dyDescent="0.25">
      <c r="A2151" s="8"/>
    </row>
    <row r="2152" spans="1:1" ht="13.8" x14ac:dyDescent="0.25">
      <c r="A2152" s="8"/>
    </row>
    <row r="2153" spans="1:1" ht="13.8" x14ac:dyDescent="0.25">
      <c r="A2153" s="8"/>
    </row>
    <row r="2154" spans="1:1" ht="13.8" x14ac:dyDescent="0.25">
      <c r="A2154" s="8"/>
    </row>
    <row r="2155" spans="1:1" ht="13.8" x14ac:dyDescent="0.25">
      <c r="A2155" s="8"/>
    </row>
    <row r="2156" spans="1:1" ht="13.8" x14ac:dyDescent="0.25">
      <c r="A2156" s="8"/>
    </row>
    <row r="2157" spans="1:1" ht="13.8" x14ac:dyDescent="0.25">
      <c r="A2157" s="8"/>
    </row>
    <row r="2158" spans="1:1" ht="13.8" x14ac:dyDescent="0.25">
      <c r="A2158" s="8"/>
    </row>
    <row r="2159" spans="1:1" ht="13.8" x14ac:dyDescent="0.25">
      <c r="A2159" s="8"/>
    </row>
    <row r="2160" spans="1:1" ht="13.8" x14ac:dyDescent="0.25">
      <c r="A2160" s="8"/>
    </row>
    <row r="2161" spans="1:1" ht="13.8" x14ac:dyDescent="0.25">
      <c r="A2161" s="8"/>
    </row>
    <row r="2162" spans="1:1" ht="13.8" x14ac:dyDescent="0.25">
      <c r="A2162" s="8"/>
    </row>
    <row r="2163" spans="1:1" ht="13.8" x14ac:dyDescent="0.25">
      <c r="A2163" s="8"/>
    </row>
    <row r="2164" spans="1:1" ht="13.8" x14ac:dyDescent="0.25">
      <c r="A2164" s="8"/>
    </row>
    <row r="2165" spans="1:1" ht="13.8" x14ac:dyDescent="0.25">
      <c r="A2165" s="8"/>
    </row>
    <row r="2166" spans="1:1" ht="13.8" x14ac:dyDescent="0.25">
      <c r="A2166" s="8"/>
    </row>
    <row r="2167" spans="1:1" ht="13.8" x14ac:dyDescent="0.25">
      <c r="A2167" s="8"/>
    </row>
    <row r="2168" spans="1:1" ht="13.8" x14ac:dyDescent="0.25">
      <c r="A2168" s="8"/>
    </row>
    <row r="2169" spans="1:1" ht="13.8" x14ac:dyDescent="0.25">
      <c r="A2169" s="8"/>
    </row>
    <row r="2170" spans="1:1" ht="13.8" x14ac:dyDescent="0.25">
      <c r="A2170" s="8"/>
    </row>
    <row r="2171" spans="1:1" ht="13.8" x14ac:dyDescent="0.25">
      <c r="A2171" s="8"/>
    </row>
    <row r="2172" spans="1:1" ht="13.8" x14ac:dyDescent="0.25">
      <c r="A2172" s="8"/>
    </row>
    <row r="2173" spans="1:1" ht="13.8" x14ac:dyDescent="0.25">
      <c r="A2173" s="8"/>
    </row>
    <row r="2174" spans="1:1" ht="13.8" x14ac:dyDescent="0.25">
      <c r="A2174" s="8"/>
    </row>
    <row r="2175" spans="1:1" ht="13.8" x14ac:dyDescent="0.25">
      <c r="A2175" s="8"/>
    </row>
    <row r="2176" spans="1:1" ht="13.8" x14ac:dyDescent="0.25">
      <c r="A2176" s="8"/>
    </row>
    <row r="2177" spans="1:1" ht="13.8" x14ac:dyDescent="0.25">
      <c r="A2177" s="8"/>
    </row>
    <row r="2178" spans="1:1" ht="13.8" x14ac:dyDescent="0.25">
      <c r="A2178" s="8"/>
    </row>
    <row r="2179" spans="1:1" ht="13.8" x14ac:dyDescent="0.25">
      <c r="A2179" s="8"/>
    </row>
    <row r="2180" spans="1:1" ht="13.8" x14ac:dyDescent="0.25">
      <c r="A2180" s="8"/>
    </row>
    <row r="2181" spans="1:1" ht="13.8" x14ac:dyDescent="0.25">
      <c r="A2181" s="8"/>
    </row>
    <row r="2182" spans="1:1" ht="13.8" x14ac:dyDescent="0.25">
      <c r="A2182" s="8"/>
    </row>
    <row r="2183" spans="1:1" ht="13.8" x14ac:dyDescent="0.25">
      <c r="A2183" s="8"/>
    </row>
    <row r="2184" spans="1:1" ht="13.8" x14ac:dyDescent="0.25">
      <c r="A2184" s="8"/>
    </row>
    <row r="2185" spans="1:1" ht="13.8" x14ac:dyDescent="0.25">
      <c r="A2185" s="8"/>
    </row>
    <row r="2186" spans="1:1" ht="13.8" x14ac:dyDescent="0.25">
      <c r="A2186" s="8"/>
    </row>
    <row r="2187" spans="1:1" ht="13.8" x14ac:dyDescent="0.25">
      <c r="A2187" s="8"/>
    </row>
    <row r="2188" spans="1:1" ht="13.8" x14ac:dyDescent="0.25">
      <c r="A2188" s="8"/>
    </row>
    <row r="2189" spans="1:1" ht="13.8" x14ac:dyDescent="0.25">
      <c r="A2189" s="8"/>
    </row>
    <row r="2190" spans="1:1" ht="13.8" x14ac:dyDescent="0.25">
      <c r="A2190" s="8"/>
    </row>
    <row r="2191" spans="1:1" ht="13.8" x14ac:dyDescent="0.25">
      <c r="A2191" s="8"/>
    </row>
    <row r="2192" spans="1:1" ht="13.8" x14ac:dyDescent="0.25">
      <c r="A2192" s="8"/>
    </row>
    <row r="2193" spans="1:1" ht="13.8" x14ac:dyDescent="0.25">
      <c r="A2193" s="8"/>
    </row>
    <row r="2194" spans="1:1" ht="13.8" x14ac:dyDescent="0.25">
      <c r="A2194" s="8"/>
    </row>
    <row r="2195" spans="1:1" ht="13.8" x14ac:dyDescent="0.25">
      <c r="A2195" s="8"/>
    </row>
    <row r="2196" spans="1:1" ht="13.8" x14ac:dyDescent="0.25">
      <c r="A2196" s="8"/>
    </row>
    <row r="2197" spans="1:1" ht="13.8" x14ac:dyDescent="0.25">
      <c r="A2197" s="8"/>
    </row>
    <row r="2198" spans="1:1" ht="13.8" x14ac:dyDescent="0.25">
      <c r="A2198" s="8"/>
    </row>
    <row r="2199" spans="1:1" ht="13.8" x14ac:dyDescent="0.25">
      <c r="A2199" s="8"/>
    </row>
    <row r="2200" spans="1:1" ht="13.8" x14ac:dyDescent="0.25">
      <c r="A2200" s="8"/>
    </row>
    <row r="2201" spans="1:1" ht="13.8" x14ac:dyDescent="0.25">
      <c r="A2201" s="8"/>
    </row>
    <row r="2202" spans="1:1" ht="13.8" x14ac:dyDescent="0.25">
      <c r="A2202" s="8"/>
    </row>
    <row r="2203" spans="1:1" ht="13.8" x14ac:dyDescent="0.25">
      <c r="A2203" s="8"/>
    </row>
    <row r="2204" spans="1:1" ht="13.8" x14ac:dyDescent="0.25">
      <c r="A2204" s="8"/>
    </row>
    <row r="2205" spans="1:1" ht="13.8" x14ac:dyDescent="0.25">
      <c r="A2205" s="8"/>
    </row>
    <row r="2206" spans="1:1" ht="13.8" x14ac:dyDescent="0.25">
      <c r="A2206" s="8"/>
    </row>
    <row r="2207" spans="1:1" ht="13.8" x14ac:dyDescent="0.25">
      <c r="A2207" s="8"/>
    </row>
    <row r="2208" spans="1:1" ht="13.8" x14ac:dyDescent="0.25">
      <c r="A2208" s="8"/>
    </row>
    <row r="2209" spans="1:1" ht="13.8" x14ac:dyDescent="0.25">
      <c r="A2209" s="8"/>
    </row>
    <row r="2210" spans="1:1" ht="13.8" x14ac:dyDescent="0.25">
      <c r="A2210" s="8"/>
    </row>
    <row r="2211" spans="1:1" ht="13.8" x14ac:dyDescent="0.25">
      <c r="A2211" s="8"/>
    </row>
    <row r="2212" spans="1:1" ht="13.8" x14ac:dyDescent="0.25">
      <c r="A2212" s="8"/>
    </row>
    <row r="2213" spans="1:1" ht="13.8" x14ac:dyDescent="0.25">
      <c r="A2213" s="8"/>
    </row>
    <row r="2214" spans="1:1" ht="13.8" x14ac:dyDescent="0.25">
      <c r="A2214" s="8"/>
    </row>
    <row r="2215" spans="1:1" ht="13.8" x14ac:dyDescent="0.25">
      <c r="A2215" s="8"/>
    </row>
    <row r="2216" spans="1:1" ht="13.8" x14ac:dyDescent="0.25">
      <c r="A2216" s="8"/>
    </row>
    <row r="2217" spans="1:1" ht="13.8" x14ac:dyDescent="0.25">
      <c r="A2217" s="8"/>
    </row>
    <row r="2218" spans="1:1" ht="13.8" x14ac:dyDescent="0.25">
      <c r="A2218" s="8"/>
    </row>
    <row r="2219" spans="1:1" ht="13.8" x14ac:dyDescent="0.25">
      <c r="A2219" s="8"/>
    </row>
    <row r="2220" spans="1:1" ht="13.8" x14ac:dyDescent="0.25">
      <c r="A2220" s="8"/>
    </row>
    <row r="2221" spans="1:1" ht="13.8" x14ac:dyDescent="0.25">
      <c r="A2221" s="8"/>
    </row>
    <row r="2222" spans="1:1" ht="13.8" x14ac:dyDescent="0.25">
      <c r="A2222" s="8"/>
    </row>
    <row r="2223" spans="1:1" ht="13.8" x14ac:dyDescent="0.25">
      <c r="A2223" s="8"/>
    </row>
    <row r="2224" spans="1:1" ht="13.8" x14ac:dyDescent="0.25">
      <c r="A2224" s="8"/>
    </row>
    <row r="2225" spans="1:1" ht="13.8" x14ac:dyDescent="0.25">
      <c r="A2225" s="8"/>
    </row>
    <row r="2226" spans="1:1" ht="13.8" x14ac:dyDescent="0.25">
      <c r="A2226" s="8"/>
    </row>
    <row r="2227" spans="1:1" ht="13.8" x14ac:dyDescent="0.25">
      <c r="A2227" s="8"/>
    </row>
    <row r="2228" spans="1:1" ht="13.8" x14ac:dyDescent="0.25">
      <c r="A2228" s="8"/>
    </row>
    <row r="2229" spans="1:1" ht="13.8" x14ac:dyDescent="0.25">
      <c r="A2229" s="8"/>
    </row>
    <row r="2230" spans="1:1" ht="13.8" x14ac:dyDescent="0.25">
      <c r="A2230" s="8"/>
    </row>
    <row r="2231" spans="1:1" ht="13.8" x14ac:dyDescent="0.25">
      <c r="A2231" s="8"/>
    </row>
    <row r="2232" spans="1:1" ht="13.8" x14ac:dyDescent="0.25">
      <c r="A2232" s="8"/>
    </row>
    <row r="2233" spans="1:1" ht="13.8" x14ac:dyDescent="0.25">
      <c r="A2233" s="8"/>
    </row>
    <row r="2234" spans="1:1" ht="13.8" x14ac:dyDescent="0.25">
      <c r="A2234" s="8"/>
    </row>
    <row r="2235" spans="1:1" ht="13.8" x14ac:dyDescent="0.25">
      <c r="A2235" s="8"/>
    </row>
    <row r="2236" spans="1:1" ht="13.8" x14ac:dyDescent="0.25">
      <c r="A2236" s="8"/>
    </row>
    <row r="2237" spans="1:1" ht="13.8" x14ac:dyDescent="0.25">
      <c r="A2237" s="8"/>
    </row>
    <row r="2238" spans="1:1" ht="13.8" x14ac:dyDescent="0.25">
      <c r="A2238" s="8"/>
    </row>
    <row r="2239" spans="1:1" ht="13.8" x14ac:dyDescent="0.25">
      <c r="A2239" s="8"/>
    </row>
    <row r="2240" spans="1:1" ht="13.8" x14ac:dyDescent="0.25">
      <c r="A2240" s="8"/>
    </row>
    <row r="2241" spans="1:1" ht="13.8" x14ac:dyDescent="0.25">
      <c r="A2241" s="8"/>
    </row>
    <row r="2242" spans="1:1" ht="13.8" x14ac:dyDescent="0.25">
      <c r="A2242" s="8"/>
    </row>
    <row r="2243" spans="1:1" ht="13.8" x14ac:dyDescent="0.25">
      <c r="A2243" s="8"/>
    </row>
    <row r="2244" spans="1:1" ht="13.8" x14ac:dyDescent="0.25">
      <c r="A2244" s="8"/>
    </row>
    <row r="2245" spans="1:1" ht="13.8" x14ac:dyDescent="0.25">
      <c r="A2245" s="8"/>
    </row>
    <row r="2246" spans="1:1" ht="13.8" x14ac:dyDescent="0.25">
      <c r="A2246" s="8"/>
    </row>
    <row r="2247" spans="1:1" ht="13.8" x14ac:dyDescent="0.25">
      <c r="A2247" s="8"/>
    </row>
    <row r="2248" spans="1:1" ht="13.8" x14ac:dyDescent="0.25">
      <c r="A2248" s="8"/>
    </row>
    <row r="2249" spans="1:1" ht="13.8" x14ac:dyDescent="0.25">
      <c r="A2249" s="8"/>
    </row>
    <row r="2250" spans="1:1" ht="13.8" x14ac:dyDescent="0.25">
      <c r="A2250" s="8"/>
    </row>
    <row r="2251" spans="1:1" ht="13.8" x14ac:dyDescent="0.25">
      <c r="A2251" s="8"/>
    </row>
    <row r="2252" spans="1:1" ht="13.8" x14ac:dyDescent="0.25">
      <c r="A2252" s="8"/>
    </row>
    <row r="2253" spans="1:1" ht="13.8" x14ac:dyDescent="0.25">
      <c r="A2253" s="8"/>
    </row>
    <row r="2254" spans="1:1" ht="13.8" x14ac:dyDescent="0.25">
      <c r="A2254" s="8"/>
    </row>
    <row r="2255" spans="1:1" ht="13.8" x14ac:dyDescent="0.25">
      <c r="A2255" s="8"/>
    </row>
    <row r="2256" spans="1:1" ht="13.8" x14ac:dyDescent="0.25">
      <c r="A2256" s="8"/>
    </row>
    <row r="2257" spans="1:1" ht="13.8" x14ac:dyDescent="0.25">
      <c r="A2257" s="8"/>
    </row>
    <row r="2258" spans="1:1" ht="13.8" x14ac:dyDescent="0.25">
      <c r="A2258" s="8"/>
    </row>
    <row r="2259" spans="1:1" ht="13.8" x14ac:dyDescent="0.25">
      <c r="A2259" s="8"/>
    </row>
    <row r="2260" spans="1:1" ht="13.8" x14ac:dyDescent="0.25">
      <c r="A2260" s="8"/>
    </row>
    <row r="2261" spans="1:1" ht="13.8" x14ac:dyDescent="0.25">
      <c r="A2261" s="8"/>
    </row>
    <row r="2262" spans="1:1" ht="13.8" x14ac:dyDescent="0.25">
      <c r="A2262" s="8"/>
    </row>
    <row r="2263" spans="1:1" ht="13.8" x14ac:dyDescent="0.25">
      <c r="A2263" s="8"/>
    </row>
    <row r="2264" spans="1:1" ht="13.8" x14ac:dyDescent="0.25">
      <c r="A2264" s="8"/>
    </row>
    <row r="2265" spans="1:1" ht="13.8" x14ac:dyDescent="0.25">
      <c r="A2265" s="8"/>
    </row>
    <row r="2266" spans="1:1" ht="13.8" x14ac:dyDescent="0.25">
      <c r="A2266" s="8"/>
    </row>
    <row r="2267" spans="1:1" ht="13.8" x14ac:dyDescent="0.25">
      <c r="A2267" s="8"/>
    </row>
    <row r="2268" spans="1:1" ht="13.8" x14ac:dyDescent="0.25">
      <c r="A2268" s="8"/>
    </row>
    <row r="2269" spans="1:1" ht="13.8" x14ac:dyDescent="0.25">
      <c r="A2269" s="8"/>
    </row>
    <row r="2270" spans="1:1" ht="13.8" x14ac:dyDescent="0.25">
      <c r="A2270" s="8"/>
    </row>
    <row r="2271" spans="1:1" ht="13.8" x14ac:dyDescent="0.25">
      <c r="A2271" s="8"/>
    </row>
    <row r="2272" spans="1:1" ht="13.8" x14ac:dyDescent="0.25">
      <c r="A2272" s="8"/>
    </row>
    <row r="2273" spans="1:1" ht="13.8" x14ac:dyDescent="0.25">
      <c r="A2273" s="8"/>
    </row>
    <row r="2274" spans="1:1" ht="13.8" x14ac:dyDescent="0.25">
      <c r="A2274" s="8"/>
    </row>
    <row r="2275" spans="1:1" ht="13.8" x14ac:dyDescent="0.25">
      <c r="A2275" s="8"/>
    </row>
    <row r="2276" spans="1:1" ht="13.8" x14ac:dyDescent="0.25">
      <c r="A2276" s="8"/>
    </row>
    <row r="2277" spans="1:1" ht="13.8" x14ac:dyDescent="0.25">
      <c r="A2277" s="8"/>
    </row>
    <row r="2278" spans="1:1" ht="13.8" x14ac:dyDescent="0.25">
      <c r="A2278" s="8"/>
    </row>
    <row r="2279" spans="1:1" ht="13.8" x14ac:dyDescent="0.25">
      <c r="A2279" s="8"/>
    </row>
    <row r="2280" spans="1:1" ht="13.8" x14ac:dyDescent="0.25">
      <c r="A2280" s="8"/>
    </row>
    <row r="2281" spans="1:1" ht="13.8" x14ac:dyDescent="0.25">
      <c r="A2281" s="8"/>
    </row>
    <row r="2282" spans="1:1" ht="13.8" x14ac:dyDescent="0.25">
      <c r="A2282" s="8"/>
    </row>
    <row r="2283" spans="1:1" ht="13.8" x14ac:dyDescent="0.25">
      <c r="A2283" s="8"/>
    </row>
    <row r="2284" spans="1:1" ht="13.8" x14ac:dyDescent="0.25">
      <c r="A2284" s="8"/>
    </row>
    <row r="2285" spans="1:1" ht="13.8" x14ac:dyDescent="0.25">
      <c r="A2285" s="8"/>
    </row>
    <row r="2286" spans="1:1" ht="13.8" x14ac:dyDescent="0.25">
      <c r="A2286" s="8"/>
    </row>
    <row r="2287" spans="1:1" ht="13.8" x14ac:dyDescent="0.25">
      <c r="A2287" s="8"/>
    </row>
    <row r="2288" spans="1:1" ht="13.8" x14ac:dyDescent="0.25">
      <c r="A2288" s="8"/>
    </row>
    <row r="2289" spans="1:1" ht="13.8" x14ac:dyDescent="0.25">
      <c r="A2289" s="8"/>
    </row>
    <row r="2290" spans="1:1" ht="13.8" x14ac:dyDescent="0.25">
      <c r="A2290" s="8"/>
    </row>
    <row r="2291" spans="1:1" ht="13.8" x14ac:dyDescent="0.25">
      <c r="A2291" s="8"/>
    </row>
    <row r="2292" spans="1:1" ht="13.8" x14ac:dyDescent="0.25">
      <c r="A2292" s="8"/>
    </row>
    <row r="2293" spans="1:1" ht="13.8" x14ac:dyDescent="0.25">
      <c r="A2293" s="8"/>
    </row>
    <row r="2294" spans="1:1" ht="13.8" x14ac:dyDescent="0.25">
      <c r="A2294" s="8"/>
    </row>
    <row r="2295" spans="1:1" ht="13.8" x14ac:dyDescent="0.25">
      <c r="A2295" s="8"/>
    </row>
    <row r="2296" spans="1:1" ht="13.8" x14ac:dyDescent="0.25">
      <c r="A2296" s="8"/>
    </row>
    <row r="2297" spans="1:1" ht="13.8" x14ac:dyDescent="0.25">
      <c r="A2297" s="8"/>
    </row>
    <row r="2298" spans="1:1" ht="13.8" x14ac:dyDescent="0.25">
      <c r="A2298" s="8"/>
    </row>
    <row r="2299" spans="1:1" ht="13.8" x14ac:dyDescent="0.25">
      <c r="A2299" s="8"/>
    </row>
    <row r="2300" spans="1:1" ht="13.8" x14ac:dyDescent="0.25">
      <c r="A2300" s="8"/>
    </row>
    <row r="2301" spans="1:1" ht="13.8" x14ac:dyDescent="0.25">
      <c r="A2301" s="8"/>
    </row>
    <row r="2302" spans="1:1" ht="13.8" x14ac:dyDescent="0.25">
      <c r="A2302" s="8"/>
    </row>
    <row r="2303" spans="1:1" ht="13.8" x14ac:dyDescent="0.25">
      <c r="A2303" s="8"/>
    </row>
    <row r="2304" spans="1:1" ht="13.8" x14ac:dyDescent="0.25">
      <c r="A2304" s="8"/>
    </row>
    <row r="2305" spans="1:1" ht="13.8" x14ac:dyDescent="0.25">
      <c r="A2305" s="8"/>
    </row>
    <row r="2306" spans="1:1" ht="13.8" x14ac:dyDescent="0.25">
      <c r="A2306" s="8"/>
    </row>
    <row r="2307" spans="1:1" ht="13.8" x14ac:dyDescent="0.25">
      <c r="A2307" s="8"/>
    </row>
    <row r="2308" spans="1:1" ht="13.8" x14ac:dyDescent="0.25">
      <c r="A2308" s="8"/>
    </row>
    <row r="2309" spans="1:1" ht="13.8" x14ac:dyDescent="0.25">
      <c r="A2309" s="8"/>
    </row>
    <row r="2310" spans="1:1" ht="13.8" x14ac:dyDescent="0.25">
      <c r="A2310" s="8"/>
    </row>
    <row r="2311" spans="1:1" ht="13.8" x14ac:dyDescent="0.25">
      <c r="A2311" s="8"/>
    </row>
    <row r="2312" spans="1:1" ht="13.8" x14ac:dyDescent="0.25">
      <c r="A2312" s="8"/>
    </row>
    <row r="2313" spans="1:1" ht="13.8" x14ac:dyDescent="0.25">
      <c r="A2313" s="8"/>
    </row>
    <row r="2314" spans="1:1" ht="13.8" x14ac:dyDescent="0.25">
      <c r="A2314" s="8"/>
    </row>
    <row r="2315" spans="1:1" ht="13.8" x14ac:dyDescent="0.25">
      <c r="A2315" s="8"/>
    </row>
    <row r="2316" spans="1:1" ht="13.8" x14ac:dyDescent="0.25">
      <c r="A2316" s="8"/>
    </row>
    <row r="2317" spans="1:1" ht="13.8" x14ac:dyDescent="0.25">
      <c r="A2317" s="8"/>
    </row>
    <row r="2318" spans="1:1" ht="13.8" x14ac:dyDescent="0.25">
      <c r="A2318" s="8"/>
    </row>
    <row r="2319" spans="1:1" ht="13.8" x14ac:dyDescent="0.25">
      <c r="A2319" s="8"/>
    </row>
    <row r="2320" spans="1:1" ht="13.8" x14ac:dyDescent="0.25">
      <c r="A2320" s="8"/>
    </row>
    <row r="2321" spans="1:1" ht="13.8" x14ac:dyDescent="0.25">
      <c r="A2321" s="8"/>
    </row>
    <row r="2322" spans="1:1" ht="13.8" x14ac:dyDescent="0.25">
      <c r="A2322" s="8"/>
    </row>
    <row r="2323" spans="1:1" ht="13.8" x14ac:dyDescent="0.25">
      <c r="A2323" s="8"/>
    </row>
    <row r="2324" spans="1:1" ht="13.8" x14ac:dyDescent="0.25">
      <c r="A2324" s="8"/>
    </row>
    <row r="2325" spans="1:1" ht="13.8" x14ac:dyDescent="0.25">
      <c r="A2325" s="8"/>
    </row>
    <row r="2326" spans="1:1" ht="13.8" x14ac:dyDescent="0.25">
      <c r="A2326" s="8"/>
    </row>
    <row r="2327" spans="1:1" ht="13.8" x14ac:dyDescent="0.25">
      <c r="A2327" s="8"/>
    </row>
    <row r="2328" spans="1:1" ht="13.8" x14ac:dyDescent="0.25">
      <c r="A2328" s="8"/>
    </row>
    <row r="2329" spans="1:1" ht="13.8" x14ac:dyDescent="0.25">
      <c r="A2329" s="8"/>
    </row>
    <row r="2330" spans="1:1" ht="13.8" x14ac:dyDescent="0.25">
      <c r="A2330" s="8"/>
    </row>
    <row r="2331" spans="1:1" ht="13.8" x14ac:dyDescent="0.25">
      <c r="A2331" s="8"/>
    </row>
    <row r="2332" spans="1:1" ht="13.8" x14ac:dyDescent="0.25">
      <c r="A2332" s="8"/>
    </row>
    <row r="2333" spans="1:1" ht="13.8" x14ac:dyDescent="0.25">
      <c r="A2333" s="8"/>
    </row>
    <row r="2334" spans="1:1" ht="13.8" x14ac:dyDescent="0.25">
      <c r="A2334" s="8"/>
    </row>
    <row r="2335" spans="1:1" ht="13.8" x14ac:dyDescent="0.25">
      <c r="A2335" s="8"/>
    </row>
    <row r="2336" spans="1:1" ht="13.8" x14ac:dyDescent="0.25">
      <c r="A2336" s="8"/>
    </row>
    <row r="2337" spans="1:1" ht="13.8" x14ac:dyDescent="0.25">
      <c r="A2337" s="8"/>
    </row>
    <row r="2338" spans="1:1" ht="13.8" x14ac:dyDescent="0.25">
      <c r="A2338" s="8"/>
    </row>
    <row r="2339" spans="1:1" ht="13.8" x14ac:dyDescent="0.25">
      <c r="A2339" s="8"/>
    </row>
    <row r="2340" spans="1:1" ht="13.8" x14ac:dyDescent="0.25">
      <c r="A2340" s="8"/>
    </row>
    <row r="2341" spans="1:1" ht="13.8" x14ac:dyDescent="0.25">
      <c r="A2341" s="8"/>
    </row>
    <row r="2342" spans="1:1" ht="13.8" x14ac:dyDescent="0.25">
      <c r="A2342" s="8"/>
    </row>
    <row r="2343" spans="1:1" ht="13.8" x14ac:dyDescent="0.25">
      <c r="A2343" s="8"/>
    </row>
    <row r="2344" spans="1:1" ht="13.8" x14ac:dyDescent="0.25">
      <c r="A2344" s="8"/>
    </row>
    <row r="2345" spans="1:1" ht="13.8" x14ac:dyDescent="0.25">
      <c r="A2345" s="8"/>
    </row>
    <row r="2346" spans="1:1" ht="13.8" x14ac:dyDescent="0.25">
      <c r="A2346" s="8"/>
    </row>
    <row r="2347" spans="1:1" ht="13.8" x14ac:dyDescent="0.25">
      <c r="A2347" s="8"/>
    </row>
    <row r="2348" spans="1:1" ht="13.8" x14ac:dyDescent="0.25">
      <c r="A2348" s="8"/>
    </row>
    <row r="2349" spans="1:1" ht="13.8" x14ac:dyDescent="0.25">
      <c r="A2349" s="8"/>
    </row>
    <row r="2350" spans="1:1" ht="13.8" x14ac:dyDescent="0.25">
      <c r="A2350" s="8"/>
    </row>
    <row r="2351" spans="1:1" ht="13.8" x14ac:dyDescent="0.25">
      <c r="A2351" s="8"/>
    </row>
    <row r="2352" spans="1:1" ht="13.8" x14ac:dyDescent="0.25">
      <c r="A2352" s="8"/>
    </row>
    <row r="2353" spans="1:1" ht="13.8" x14ac:dyDescent="0.25">
      <c r="A2353" s="8"/>
    </row>
    <row r="2354" spans="1:1" ht="13.8" x14ac:dyDescent="0.25">
      <c r="A2354" s="8"/>
    </row>
    <row r="2355" spans="1:1" ht="13.8" x14ac:dyDescent="0.25">
      <c r="A2355" s="8"/>
    </row>
    <row r="2356" spans="1:1" ht="13.8" x14ac:dyDescent="0.25">
      <c r="A2356" s="8"/>
    </row>
    <row r="2357" spans="1:1" ht="13.8" x14ac:dyDescent="0.25">
      <c r="A2357" s="8"/>
    </row>
    <row r="2358" spans="1:1" ht="13.8" x14ac:dyDescent="0.25">
      <c r="A2358" s="8"/>
    </row>
    <row r="2359" spans="1:1" ht="13.8" x14ac:dyDescent="0.25">
      <c r="A2359" s="8"/>
    </row>
    <row r="2360" spans="1:1" ht="13.8" x14ac:dyDescent="0.25">
      <c r="A2360" s="8"/>
    </row>
    <row r="2361" spans="1:1" ht="13.8" x14ac:dyDescent="0.25">
      <c r="A2361" s="8"/>
    </row>
    <row r="2362" spans="1:1" ht="13.8" x14ac:dyDescent="0.25">
      <c r="A2362" s="8"/>
    </row>
    <row r="2363" spans="1:1" ht="13.8" x14ac:dyDescent="0.25">
      <c r="A2363" s="8"/>
    </row>
    <row r="2364" spans="1:1" ht="13.8" x14ac:dyDescent="0.25">
      <c r="A2364" s="8"/>
    </row>
    <row r="2365" spans="1:1" ht="13.8" x14ac:dyDescent="0.25">
      <c r="A2365" s="8"/>
    </row>
    <row r="2366" spans="1:1" ht="13.8" x14ac:dyDescent="0.25">
      <c r="A2366" s="8"/>
    </row>
    <row r="2367" spans="1:1" ht="13.8" x14ac:dyDescent="0.25">
      <c r="A2367" s="8"/>
    </row>
    <row r="2368" spans="1:1" ht="13.8" x14ac:dyDescent="0.25">
      <c r="A2368" s="8"/>
    </row>
    <row r="2369" spans="1:1" ht="13.8" x14ac:dyDescent="0.25">
      <c r="A2369" s="8"/>
    </row>
    <row r="2370" spans="1:1" ht="13.8" x14ac:dyDescent="0.25">
      <c r="A2370" s="8"/>
    </row>
    <row r="2371" spans="1:1" ht="13.8" x14ac:dyDescent="0.25">
      <c r="A2371" s="8"/>
    </row>
    <row r="2372" spans="1:1" ht="13.8" x14ac:dyDescent="0.25">
      <c r="A2372" s="8"/>
    </row>
    <row r="2373" spans="1:1" ht="13.8" x14ac:dyDescent="0.25">
      <c r="A2373" s="8"/>
    </row>
    <row r="2374" spans="1:1" ht="13.8" x14ac:dyDescent="0.25">
      <c r="A2374" s="8"/>
    </row>
    <row r="2375" spans="1:1" ht="13.8" x14ac:dyDescent="0.25">
      <c r="A2375" s="8"/>
    </row>
    <row r="2376" spans="1:1" ht="13.8" x14ac:dyDescent="0.25">
      <c r="A2376" s="8"/>
    </row>
    <row r="2377" spans="1:1" ht="13.8" x14ac:dyDescent="0.25">
      <c r="A2377" s="8"/>
    </row>
    <row r="2378" spans="1:1" ht="13.8" x14ac:dyDescent="0.25">
      <c r="A2378" s="8"/>
    </row>
    <row r="2379" spans="1:1" ht="13.8" x14ac:dyDescent="0.25">
      <c r="A2379" s="8"/>
    </row>
    <row r="2380" spans="1:1" ht="13.8" x14ac:dyDescent="0.25">
      <c r="A2380" s="8"/>
    </row>
    <row r="2381" spans="1:1" ht="13.8" x14ac:dyDescent="0.25">
      <c r="A2381" s="8"/>
    </row>
    <row r="2382" spans="1:1" ht="13.8" x14ac:dyDescent="0.25">
      <c r="A2382" s="8"/>
    </row>
    <row r="2383" spans="1:1" ht="13.8" x14ac:dyDescent="0.25">
      <c r="A2383" s="8"/>
    </row>
    <row r="2384" spans="1:1" ht="13.8" x14ac:dyDescent="0.25">
      <c r="A2384" s="8"/>
    </row>
    <row r="2385" spans="1:1" ht="13.8" x14ac:dyDescent="0.25">
      <c r="A2385" s="8"/>
    </row>
    <row r="2386" spans="1:1" ht="13.8" x14ac:dyDescent="0.25">
      <c r="A2386" s="8"/>
    </row>
    <row r="2387" spans="1:1" ht="13.8" x14ac:dyDescent="0.25">
      <c r="A2387" s="8"/>
    </row>
    <row r="2388" spans="1:1" ht="13.8" x14ac:dyDescent="0.25">
      <c r="A2388" s="8"/>
    </row>
    <row r="2389" spans="1:1" ht="13.8" x14ac:dyDescent="0.25">
      <c r="A2389" s="8"/>
    </row>
    <row r="2390" spans="1:1" ht="13.8" x14ac:dyDescent="0.25">
      <c r="A2390" s="8"/>
    </row>
    <row r="2391" spans="1:1" ht="13.8" x14ac:dyDescent="0.25">
      <c r="A2391" s="8"/>
    </row>
    <row r="2392" spans="1:1" ht="13.8" x14ac:dyDescent="0.25">
      <c r="A2392" s="8"/>
    </row>
    <row r="2393" spans="1:1" ht="13.8" x14ac:dyDescent="0.25">
      <c r="A2393" s="8"/>
    </row>
    <row r="2394" spans="1:1" ht="13.8" x14ac:dyDescent="0.25">
      <c r="A2394" s="8"/>
    </row>
    <row r="2395" spans="1:1" ht="13.8" x14ac:dyDescent="0.25">
      <c r="A2395" s="8"/>
    </row>
    <row r="2396" spans="1:1" ht="13.8" x14ac:dyDescent="0.25">
      <c r="A2396" s="8"/>
    </row>
    <row r="2397" spans="1:1" ht="13.8" x14ac:dyDescent="0.25">
      <c r="A2397" s="8"/>
    </row>
    <row r="2398" spans="1:1" ht="13.8" x14ac:dyDescent="0.25">
      <c r="A2398" s="8"/>
    </row>
    <row r="2399" spans="1:1" ht="13.8" x14ac:dyDescent="0.25">
      <c r="A2399" s="8"/>
    </row>
    <row r="2400" spans="1:1" ht="13.8" x14ac:dyDescent="0.25">
      <c r="A2400" s="8"/>
    </row>
    <row r="2401" spans="1:1" ht="13.8" x14ac:dyDescent="0.25">
      <c r="A2401" s="8"/>
    </row>
    <row r="2402" spans="1:1" ht="13.8" x14ac:dyDescent="0.25">
      <c r="A2402" s="8"/>
    </row>
    <row r="2403" spans="1:1" ht="13.8" x14ac:dyDescent="0.25">
      <c r="A2403" s="8"/>
    </row>
    <row r="2404" spans="1:1" ht="13.8" x14ac:dyDescent="0.25">
      <c r="A2404" s="8"/>
    </row>
    <row r="2405" spans="1:1" ht="13.8" x14ac:dyDescent="0.25">
      <c r="A2405" s="8"/>
    </row>
    <row r="2406" spans="1:1" ht="13.8" x14ac:dyDescent="0.25">
      <c r="A2406" s="8"/>
    </row>
    <row r="2407" spans="1:1" ht="13.8" x14ac:dyDescent="0.25">
      <c r="A2407" s="8"/>
    </row>
    <row r="2408" spans="1:1" ht="13.8" x14ac:dyDescent="0.25">
      <c r="A2408" s="8"/>
    </row>
    <row r="2409" spans="1:1" ht="13.8" x14ac:dyDescent="0.25">
      <c r="A2409" s="8"/>
    </row>
    <row r="2410" spans="1:1" ht="13.8" x14ac:dyDescent="0.25">
      <c r="A2410" s="8"/>
    </row>
    <row r="2411" spans="1:1" ht="13.8" x14ac:dyDescent="0.25">
      <c r="A2411" s="8"/>
    </row>
    <row r="2412" spans="1:1" ht="13.8" x14ac:dyDescent="0.25">
      <c r="A2412" s="8"/>
    </row>
    <row r="2413" spans="1:1" ht="13.8" x14ac:dyDescent="0.25">
      <c r="A2413" s="8"/>
    </row>
    <row r="2414" spans="1:1" ht="13.8" x14ac:dyDescent="0.25">
      <c r="A2414" s="8"/>
    </row>
    <row r="2415" spans="1:1" ht="13.8" x14ac:dyDescent="0.25">
      <c r="A2415" s="8"/>
    </row>
    <row r="2416" spans="1:1" ht="13.8" x14ac:dyDescent="0.25">
      <c r="A2416" s="8"/>
    </row>
    <row r="2417" spans="1:1" ht="13.8" x14ac:dyDescent="0.25">
      <c r="A2417" s="8"/>
    </row>
    <row r="2418" spans="1:1" ht="13.8" x14ac:dyDescent="0.25">
      <c r="A2418" s="8"/>
    </row>
    <row r="2419" spans="1:1" ht="13.8" x14ac:dyDescent="0.25">
      <c r="A2419" s="8"/>
    </row>
    <row r="2420" spans="1:1" ht="13.8" x14ac:dyDescent="0.25">
      <c r="A2420" s="8"/>
    </row>
    <row r="2421" spans="1:1" ht="13.8" x14ac:dyDescent="0.25">
      <c r="A2421" s="8"/>
    </row>
    <row r="2422" spans="1:1" ht="13.8" x14ac:dyDescent="0.25">
      <c r="A2422" s="8"/>
    </row>
    <row r="2423" spans="1:1" ht="13.8" x14ac:dyDescent="0.25">
      <c r="A2423" s="8"/>
    </row>
    <row r="2424" spans="1:1" ht="13.8" x14ac:dyDescent="0.25">
      <c r="A2424" s="8"/>
    </row>
    <row r="2425" spans="1:1" ht="13.8" x14ac:dyDescent="0.25">
      <c r="A2425" s="8"/>
    </row>
    <row r="2426" spans="1:1" ht="13.8" x14ac:dyDescent="0.25">
      <c r="A2426" s="8"/>
    </row>
    <row r="2427" spans="1:1" ht="13.8" x14ac:dyDescent="0.25">
      <c r="A2427" s="8"/>
    </row>
    <row r="2428" spans="1:1" ht="13.8" x14ac:dyDescent="0.25">
      <c r="A2428" s="8"/>
    </row>
    <row r="2429" spans="1:1" ht="13.8" x14ac:dyDescent="0.25">
      <c r="A2429" s="8"/>
    </row>
    <row r="2430" spans="1:1" ht="13.8" x14ac:dyDescent="0.25">
      <c r="A2430" s="8"/>
    </row>
    <row r="2431" spans="1:1" ht="13.8" x14ac:dyDescent="0.25">
      <c r="A2431" s="8"/>
    </row>
    <row r="2432" spans="1:1" ht="13.8" x14ac:dyDescent="0.25">
      <c r="A2432" s="8"/>
    </row>
    <row r="2433" spans="1:1" ht="13.8" x14ac:dyDescent="0.25">
      <c r="A2433" s="8"/>
    </row>
    <row r="2434" spans="1:1" ht="13.8" x14ac:dyDescent="0.25">
      <c r="A2434" s="8"/>
    </row>
    <row r="2435" spans="1:1" ht="13.8" x14ac:dyDescent="0.25">
      <c r="A2435" s="8"/>
    </row>
    <row r="2436" spans="1:1" ht="13.8" x14ac:dyDescent="0.25">
      <c r="A2436" s="8"/>
    </row>
    <row r="2437" spans="1:1" ht="13.8" x14ac:dyDescent="0.25">
      <c r="A2437" s="8"/>
    </row>
    <row r="2438" spans="1:1" ht="13.8" x14ac:dyDescent="0.25">
      <c r="A2438" s="8"/>
    </row>
    <row r="2439" spans="1:1" ht="13.8" x14ac:dyDescent="0.25">
      <c r="A2439" s="8"/>
    </row>
    <row r="2440" spans="1:1" ht="13.8" x14ac:dyDescent="0.25">
      <c r="A2440" s="8"/>
    </row>
    <row r="2441" spans="1:1" ht="13.8" x14ac:dyDescent="0.25">
      <c r="A2441" s="8"/>
    </row>
    <row r="2442" spans="1:1" ht="13.8" x14ac:dyDescent="0.25">
      <c r="A2442" s="8"/>
    </row>
    <row r="2443" spans="1:1" ht="13.8" x14ac:dyDescent="0.25">
      <c r="A2443" s="8"/>
    </row>
    <row r="2444" spans="1:1" ht="13.8" x14ac:dyDescent="0.25">
      <c r="A2444" s="8"/>
    </row>
    <row r="2445" spans="1:1" ht="13.8" x14ac:dyDescent="0.25">
      <c r="A2445" s="8"/>
    </row>
    <row r="2446" spans="1:1" ht="13.8" x14ac:dyDescent="0.25">
      <c r="A2446" s="8"/>
    </row>
    <row r="2447" spans="1:1" ht="13.8" x14ac:dyDescent="0.25">
      <c r="A2447" s="8"/>
    </row>
    <row r="2448" spans="1:1" ht="13.8" x14ac:dyDescent="0.25">
      <c r="A2448" s="8"/>
    </row>
    <row r="2449" spans="1:1" ht="13.8" x14ac:dyDescent="0.25">
      <c r="A2449" s="8"/>
    </row>
    <row r="2450" spans="1:1" ht="13.8" x14ac:dyDescent="0.25">
      <c r="A2450" s="8"/>
    </row>
    <row r="2451" spans="1:1" ht="13.8" x14ac:dyDescent="0.25">
      <c r="A2451" s="8"/>
    </row>
    <row r="2452" spans="1:1" ht="13.8" x14ac:dyDescent="0.25">
      <c r="A2452" s="8"/>
    </row>
    <row r="2453" spans="1:1" ht="13.8" x14ac:dyDescent="0.25">
      <c r="A2453" s="8"/>
    </row>
    <row r="2454" spans="1:1" ht="13.8" x14ac:dyDescent="0.25">
      <c r="A2454" s="8"/>
    </row>
    <row r="2455" spans="1:1" ht="13.8" x14ac:dyDescent="0.25">
      <c r="A2455" s="8"/>
    </row>
    <row r="2456" spans="1:1" ht="13.8" x14ac:dyDescent="0.25">
      <c r="A2456" s="8"/>
    </row>
    <row r="2457" spans="1:1" ht="13.8" x14ac:dyDescent="0.25">
      <c r="A2457" s="8"/>
    </row>
    <row r="2458" spans="1:1" ht="13.8" x14ac:dyDescent="0.25">
      <c r="A2458" s="8"/>
    </row>
    <row r="2459" spans="1:1" ht="13.8" x14ac:dyDescent="0.25">
      <c r="A2459" s="8"/>
    </row>
    <row r="2460" spans="1:1" ht="13.8" x14ac:dyDescent="0.25">
      <c r="A2460" s="8"/>
    </row>
    <row r="2461" spans="1:1" ht="13.8" x14ac:dyDescent="0.25">
      <c r="A2461" s="8"/>
    </row>
    <row r="2462" spans="1:1" ht="13.8" x14ac:dyDescent="0.25">
      <c r="A2462" s="8"/>
    </row>
    <row r="2463" spans="1:1" ht="13.8" x14ac:dyDescent="0.25">
      <c r="A2463" s="8"/>
    </row>
    <row r="2464" spans="1:1" ht="13.8" x14ac:dyDescent="0.25">
      <c r="A2464" s="8"/>
    </row>
    <row r="2465" spans="1:1" ht="13.8" x14ac:dyDescent="0.25">
      <c r="A2465" s="8"/>
    </row>
    <row r="2466" spans="1:1" ht="13.8" x14ac:dyDescent="0.25">
      <c r="A2466" s="8"/>
    </row>
    <row r="2467" spans="1:1" ht="13.8" x14ac:dyDescent="0.25">
      <c r="A2467" s="8"/>
    </row>
    <row r="2468" spans="1:1" ht="13.8" x14ac:dyDescent="0.25">
      <c r="A2468" s="8"/>
    </row>
    <row r="2469" spans="1:1" ht="13.8" x14ac:dyDescent="0.25">
      <c r="A2469" s="8"/>
    </row>
    <row r="2470" spans="1:1" ht="13.8" x14ac:dyDescent="0.25">
      <c r="A2470" s="8"/>
    </row>
    <row r="2471" spans="1:1" ht="13.8" x14ac:dyDescent="0.25">
      <c r="A2471" s="8"/>
    </row>
    <row r="2472" spans="1:1" ht="13.8" x14ac:dyDescent="0.25">
      <c r="A2472" s="8"/>
    </row>
    <row r="2473" spans="1:1" ht="13.8" x14ac:dyDescent="0.25">
      <c r="A2473" s="8"/>
    </row>
    <row r="2474" spans="1:1" ht="13.8" x14ac:dyDescent="0.25">
      <c r="A2474" s="8"/>
    </row>
    <row r="2475" spans="1:1" ht="13.8" x14ac:dyDescent="0.25">
      <c r="A2475" s="8"/>
    </row>
    <row r="2476" spans="1:1" ht="13.8" x14ac:dyDescent="0.25">
      <c r="A2476" s="8"/>
    </row>
    <row r="2477" spans="1:1" ht="13.8" x14ac:dyDescent="0.25">
      <c r="A2477" s="8"/>
    </row>
    <row r="2478" spans="1:1" ht="13.8" x14ac:dyDescent="0.25">
      <c r="A2478" s="8"/>
    </row>
    <row r="2479" spans="1:1" ht="13.8" x14ac:dyDescent="0.25">
      <c r="A2479" s="8"/>
    </row>
    <row r="2480" spans="1:1" ht="13.8" x14ac:dyDescent="0.25">
      <c r="A2480" s="8"/>
    </row>
    <row r="2481" spans="1:1" ht="13.8" x14ac:dyDescent="0.25">
      <c r="A2481" s="8"/>
    </row>
    <row r="2482" spans="1:1" ht="13.8" x14ac:dyDescent="0.25">
      <c r="A2482" s="8"/>
    </row>
    <row r="2483" spans="1:1" ht="13.8" x14ac:dyDescent="0.25">
      <c r="A2483" s="8"/>
    </row>
    <row r="2484" spans="1:1" ht="13.8" x14ac:dyDescent="0.25">
      <c r="A2484" s="8"/>
    </row>
    <row r="2485" spans="1:1" ht="13.8" x14ac:dyDescent="0.25">
      <c r="A2485" s="8"/>
    </row>
    <row r="2486" spans="1:1" ht="13.8" x14ac:dyDescent="0.25">
      <c r="A2486" s="8"/>
    </row>
    <row r="2487" spans="1:1" ht="13.8" x14ac:dyDescent="0.25">
      <c r="A2487" s="8"/>
    </row>
    <row r="2488" spans="1:1" ht="13.8" x14ac:dyDescent="0.25">
      <c r="A2488" s="8"/>
    </row>
    <row r="2489" spans="1:1" ht="13.8" x14ac:dyDescent="0.25">
      <c r="A2489" s="8"/>
    </row>
    <row r="2490" spans="1:1" ht="13.8" x14ac:dyDescent="0.25">
      <c r="A2490" s="8"/>
    </row>
    <row r="2491" spans="1:1" ht="13.8" x14ac:dyDescent="0.25">
      <c r="A2491" s="8"/>
    </row>
    <row r="2492" spans="1:1" ht="13.8" x14ac:dyDescent="0.25">
      <c r="A2492" s="8"/>
    </row>
    <row r="2493" spans="1:1" ht="13.8" x14ac:dyDescent="0.25">
      <c r="A2493" s="8"/>
    </row>
    <row r="2494" spans="1:1" ht="13.8" x14ac:dyDescent="0.25">
      <c r="A2494" s="8"/>
    </row>
    <row r="2495" spans="1:1" ht="13.8" x14ac:dyDescent="0.25">
      <c r="A2495" s="8"/>
    </row>
    <row r="2496" spans="1:1" ht="13.8" x14ac:dyDescent="0.25">
      <c r="A2496" s="8"/>
    </row>
    <row r="2497" spans="1:1" ht="13.8" x14ac:dyDescent="0.25">
      <c r="A2497" s="8"/>
    </row>
    <row r="2498" spans="1:1" ht="13.8" x14ac:dyDescent="0.25">
      <c r="A2498" s="8"/>
    </row>
    <row r="2499" spans="1:1" ht="13.8" x14ac:dyDescent="0.25">
      <c r="A2499" s="8"/>
    </row>
    <row r="2500" spans="1:1" ht="13.8" x14ac:dyDescent="0.25">
      <c r="A2500" s="8"/>
    </row>
    <row r="2501" spans="1:1" ht="13.8" x14ac:dyDescent="0.25">
      <c r="A2501" s="8"/>
    </row>
    <row r="2502" spans="1:1" ht="13.8" x14ac:dyDescent="0.25">
      <c r="A2502" s="8"/>
    </row>
    <row r="2503" spans="1:1" ht="13.8" x14ac:dyDescent="0.25">
      <c r="A2503" s="8"/>
    </row>
    <row r="2504" spans="1:1" ht="13.8" x14ac:dyDescent="0.25">
      <c r="A2504" s="8"/>
    </row>
    <row r="2505" spans="1:1" ht="13.8" x14ac:dyDescent="0.25">
      <c r="A2505" s="8"/>
    </row>
    <row r="2506" spans="1:1" ht="13.8" x14ac:dyDescent="0.25">
      <c r="A2506" s="8"/>
    </row>
    <row r="2507" spans="1:1" ht="13.8" x14ac:dyDescent="0.25">
      <c r="A2507" s="8"/>
    </row>
    <row r="2508" spans="1:1" ht="13.8" x14ac:dyDescent="0.25">
      <c r="A2508" s="8"/>
    </row>
    <row r="2509" spans="1:1" ht="13.8" x14ac:dyDescent="0.25">
      <c r="A2509" s="8"/>
    </row>
    <row r="2510" spans="1:1" ht="13.8" x14ac:dyDescent="0.25">
      <c r="A2510" s="8"/>
    </row>
    <row r="2511" spans="1:1" ht="13.8" x14ac:dyDescent="0.25">
      <c r="A2511" s="8"/>
    </row>
    <row r="2512" spans="1:1" ht="13.8" x14ac:dyDescent="0.25">
      <c r="A2512" s="8"/>
    </row>
    <row r="2513" spans="1:1" ht="13.8" x14ac:dyDescent="0.25">
      <c r="A2513" s="8"/>
    </row>
    <row r="2514" spans="1:1" ht="13.8" x14ac:dyDescent="0.25">
      <c r="A2514" s="8"/>
    </row>
    <row r="2515" spans="1:1" ht="13.8" x14ac:dyDescent="0.25">
      <c r="A2515" s="8"/>
    </row>
    <row r="2516" spans="1:1" ht="13.8" x14ac:dyDescent="0.25">
      <c r="A2516" s="8"/>
    </row>
    <row r="2517" spans="1:1" ht="13.8" x14ac:dyDescent="0.25">
      <c r="A2517" s="8"/>
    </row>
    <row r="2518" spans="1:1" ht="13.8" x14ac:dyDescent="0.25">
      <c r="A2518" s="8"/>
    </row>
    <row r="2519" spans="1:1" ht="13.8" x14ac:dyDescent="0.25">
      <c r="A2519" s="8"/>
    </row>
    <row r="2520" spans="1:1" ht="13.8" x14ac:dyDescent="0.25">
      <c r="A2520" s="8"/>
    </row>
    <row r="2521" spans="1:1" ht="13.8" x14ac:dyDescent="0.25">
      <c r="A2521" s="8"/>
    </row>
    <row r="2522" spans="1:1" ht="13.8" x14ac:dyDescent="0.25">
      <c r="A2522" s="8"/>
    </row>
    <row r="2523" spans="1:1" ht="13.8" x14ac:dyDescent="0.25">
      <c r="A2523" s="8"/>
    </row>
    <row r="2524" spans="1:1" ht="13.8" x14ac:dyDescent="0.25">
      <c r="A2524" s="8"/>
    </row>
    <row r="2525" spans="1:1" ht="13.8" x14ac:dyDescent="0.25">
      <c r="A2525" s="8"/>
    </row>
    <row r="2526" spans="1:1" ht="13.8" x14ac:dyDescent="0.25">
      <c r="A2526" s="8"/>
    </row>
    <row r="2527" spans="1:1" ht="13.8" x14ac:dyDescent="0.25">
      <c r="A2527" s="8"/>
    </row>
    <row r="2528" spans="1:1" ht="13.8" x14ac:dyDescent="0.25">
      <c r="A2528" s="8"/>
    </row>
    <row r="2529" spans="1:1" ht="13.8" x14ac:dyDescent="0.25">
      <c r="A2529" s="8"/>
    </row>
    <row r="2530" spans="1:1" ht="13.8" x14ac:dyDescent="0.25">
      <c r="A2530" s="8"/>
    </row>
    <row r="2531" spans="1:1" ht="13.8" x14ac:dyDescent="0.25">
      <c r="A2531" s="8"/>
    </row>
    <row r="2532" spans="1:1" ht="13.8" x14ac:dyDescent="0.25">
      <c r="A2532" s="8"/>
    </row>
    <row r="2533" spans="1:1" ht="13.8" x14ac:dyDescent="0.25">
      <c r="A2533" s="8"/>
    </row>
    <row r="2534" spans="1:1" ht="13.8" x14ac:dyDescent="0.25">
      <c r="A2534" s="8"/>
    </row>
    <row r="2535" spans="1:1" ht="13.8" x14ac:dyDescent="0.25">
      <c r="A2535" s="8"/>
    </row>
    <row r="2536" spans="1:1" ht="13.8" x14ac:dyDescent="0.25">
      <c r="A2536" s="8"/>
    </row>
    <row r="2537" spans="1:1" ht="13.8" x14ac:dyDescent="0.25">
      <c r="A2537" s="8"/>
    </row>
    <row r="2538" spans="1:1" ht="13.8" x14ac:dyDescent="0.25">
      <c r="A2538" s="8"/>
    </row>
    <row r="2539" spans="1:1" ht="13.8" x14ac:dyDescent="0.25">
      <c r="A2539" s="8"/>
    </row>
    <row r="2540" spans="1:1" ht="13.8" x14ac:dyDescent="0.25">
      <c r="A2540" s="8"/>
    </row>
    <row r="2541" spans="1:1" ht="13.8" x14ac:dyDescent="0.25">
      <c r="A2541" s="8"/>
    </row>
    <row r="2542" spans="1:1" ht="13.8" x14ac:dyDescent="0.25">
      <c r="A2542" s="8"/>
    </row>
    <row r="2543" spans="1:1" ht="13.8" x14ac:dyDescent="0.25">
      <c r="A2543" s="8"/>
    </row>
    <row r="2544" spans="1:1" ht="13.8" x14ac:dyDescent="0.25">
      <c r="A2544" s="8"/>
    </row>
    <row r="2545" spans="1:1" ht="13.8" x14ac:dyDescent="0.25">
      <c r="A2545" s="8"/>
    </row>
    <row r="2546" spans="1:1" ht="13.8" x14ac:dyDescent="0.25">
      <c r="A2546" s="8"/>
    </row>
    <row r="2547" spans="1:1" ht="13.8" x14ac:dyDescent="0.25">
      <c r="A2547" s="8"/>
    </row>
    <row r="2548" spans="1:1" ht="13.8" x14ac:dyDescent="0.25">
      <c r="A2548" s="8"/>
    </row>
    <row r="2549" spans="1:1" ht="13.8" x14ac:dyDescent="0.25">
      <c r="A2549" s="8"/>
    </row>
    <row r="2550" spans="1:1" ht="13.8" x14ac:dyDescent="0.25">
      <c r="A2550" s="8"/>
    </row>
    <row r="2551" spans="1:1" ht="13.8" x14ac:dyDescent="0.25">
      <c r="A2551" s="8"/>
    </row>
    <row r="2552" spans="1:1" ht="13.8" x14ac:dyDescent="0.25">
      <c r="A2552" s="8"/>
    </row>
    <row r="2553" spans="1:1" ht="13.8" x14ac:dyDescent="0.25">
      <c r="A2553" s="8"/>
    </row>
    <row r="2554" spans="1:1" ht="13.8" x14ac:dyDescent="0.25">
      <c r="A2554" s="8"/>
    </row>
    <row r="2555" spans="1:1" ht="13.8" x14ac:dyDescent="0.25">
      <c r="A2555" s="8"/>
    </row>
    <row r="2556" spans="1:1" ht="13.8" x14ac:dyDescent="0.25">
      <c r="A2556" s="8"/>
    </row>
    <row r="2557" spans="1:1" ht="13.8" x14ac:dyDescent="0.25">
      <c r="A2557" s="8"/>
    </row>
    <row r="2558" spans="1:1" ht="13.8" x14ac:dyDescent="0.25">
      <c r="A2558" s="8"/>
    </row>
    <row r="2559" spans="1:1" ht="13.8" x14ac:dyDescent="0.25">
      <c r="A2559" s="8"/>
    </row>
    <row r="2560" spans="1:1" ht="13.8" x14ac:dyDescent="0.25">
      <c r="A2560" s="8"/>
    </row>
    <row r="2561" spans="1:1" ht="13.8" x14ac:dyDescent="0.25">
      <c r="A2561" s="8"/>
    </row>
    <row r="2562" spans="1:1" ht="13.8" x14ac:dyDescent="0.25">
      <c r="A2562" s="8"/>
    </row>
    <row r="2563" spans="1:1" ht="13.8" x14ac:dyDescent="0.25">
      <c r="A2563" s="8"/>
    </row>
    <row r="2564" spans="1:1" ht="13.8" x14ac:dyDescent="0.25">
      <c r="A2564" s="8"/>
    </row>
    <row r="2565" spans="1:1" ht="13.8" x14ac:dyDescent="0.25">
      <c r="A2565" s="8"/>
    </row>
    <row r="2566" spans="1:1" ht="13.8" x14ac:dyDescent="0.25">
      <c r="A2566" s="8"/>
    </row>
    <row r="2567" spans="1:1" ht="13.8" x14ac:dyDescent="0.25">
      <c r="A2567" s="8"/>
    </row>
    <row r="2568" spans="1:1" ht="13.8" x14ac:dyDescent="0.25">
      <c r="A2568" s="8"/>
    </row>
    <row r="2569" spans="1:1" ht="13.8" x14ac:dyDescent="0.25">
      <c r="A2569" s="8"/>
    </row>
    <row r="2570" spans="1:1" ht="13.8" x14ac:dyDescent="0.25">
      <c r="A2570" s="8"/>
    </row>
    <row r="2571" spans="1:1" ht="13.8" x14ac:dyDescent="0.25">
      <c r="A2571" s="8"/>
    </row>
    <row r="2572" spans="1:1" ht="13.8" x14ac:dyDescent="0.25">
      <c r="A2572" s="8"/>
    </row>
    <row r="2573" spans="1:1" ht="13.8" x14ac:dyDescent="0.25">
      <c r="A2573" s="8"/>
    </row>
    <row r="2574" spans="1:1" ht="13.8" x14ac:dyDescent="0.25">
      <c r="A2574" s="8"/>
    </row>
    <row r="2575" spans="1:1" ht="13.8" x14ac:dyDescent="0.25">
      <c r="A2575" s="8"/>
    </row>
    <row r="2576" spans="1:1" ht="13.8" x14ac:dyDescent="0.25">
      <c r="A2576" s="8"/>
    </row>
    <row r="2577" spans="1:1" ht="13.8" x14ac:dyDescent="0.25">
      <c r="A2577" s="8"/>
    </row>
    <row r="2578" spans="1:1" ht="13.8" x14ac:dyDescent="0.25">
      <c r="A2578" s="8"/>
    </row>
    <row r="2579" spans="1:1" ht="13.8" x14ac:dyDescent="0.25">
      <c r="A2579" s="8"/>
    </row>
    <row r="2580" spans="1:1" ht="13.8" x14ac:dyDescent="0.25">
      <c r="A2580" s="8"/>
    </row>
    <row r="2581" spans="1:1" ht="13.8" x14ac:dyDescent="0.25">
      <c r="A2581" s="8"/>
    </row>
    <row r="2582" spans="1:1" ht="13.8" x14ac:dyDescent="0.25">
      <c r="A2582" s="8"/>
    </row>
    <row r="2583" spans="1:1" ht="13.8" x14ac:dyDescent="0.25">
      <c r="A2583" s="8"/>
    </row>
    <row r="2584" spans="1:1" ht="13.8" x14ac:dyDescent="0.25">
      <c r="A2584" s="8"/>
    </row>
    <row r="2585" spans="1:1" ht="13.8" x14ac:dyDescent="0.25">
      <c r="A2585" s="8"/>
    </row>
    <row r="2586" spans="1:1" ht="13.8" x14ac:dyDescent="0.25">
      <c r="A2586" s="8"/>
    </row>
    <row r="2587" spans="1:1" ht="13.8" x14ac:dyDescent="0.25">
      <c r="A2587" s="8"/>
    </row>
    <row r="2588" spans="1:1" ht="13.8" x14ac:dyDescent="0.25">
      <c r="A2588" s="8"/>
    </row>
    <row r="2589" spans="1:1" ht="13.8" x14ac:dyDescent="0.25">
      <c r="A2589" s="8"/>
    </row>
    <row r="2590" spans="1:1" ht="13.8" x14ac:dyDescent="0.25">
      <c r="A2590" s="8"/>
    </row>
    <row r="2591" spans="1:1" ht="13.8" x14ac:dyDescent="0.25">
      <c r="A2591" s="8"/>
    </row>
    <row r="2592" spans="1:1" ht="13.8" x14ac:dyDescent="0.25">
      <c r="A2592" s="8"/>
    </row>
    <row r="2593" spans="1:1" ht="13.8" x14ac:dyDescent="0.25">
      <c r="A2593" s="8"/>
    </row>
    <row r="2594" spans="1:1" ht="13.8" x14ac:dyDescent="0.25">
      <c r="A2594" s="8"/>
    </row>
    <row r="2595" spans="1:1" ht="13.8" x14ac:dyDescent="0.25">
      <c r="A2595" s="8"/>
    </row>
    <row r="2596" spans="1:1" ht="13.8" x14ac:dyDescent="0.25">
      <c r="A2596" s="8"/>
    </row>
    <row r="2597" spans="1:1" ht="13.8" x14ac:dyDescent="0.25">
      <c r="A2597" s="8"/>
    </row>
    <row r="2598" spans="1:1" ht="13.8" x14ac:dyDescent="0.25">
      <c r="A2598" s="8"/>
    </row>
    <row r="2599" spans="1:1" ht="13.8" x14ac:dyDescent="0.25">
      <c r="A2599" s="8"/>
    </row>
    <row r="2600" spans="1:1" ht="13.8" x14ac:dyDescent="0.25">
      <c r="A2600" s="8"/>
    </row>
    <row r="2601" spans="1:1" ht="13.8" x14ac:dyDescent="0.25">
      <c r="A2601" s="8"/>
    </row>
    <row r="2602" spans="1:1" ht="13.8" x14ac:dyDescent="0.25">
      <c r="A2602" s="8"/>
    </row>
    <row r="2603" spans="1:1" ht="13.8" x14ac:dyDescent="0.25">
      <c r="A2603" s="8"/>
    </row>
    <row r="2604" spans="1:1" ht="13.8" x14ac:dyDescent="0.25">
      <c r="A2604" s="8"/>
    </row>
    <row r="2605" spans="1:1" ht="13.8" x14ac:dyDescent="0.25">
      <c r="A2605" s="8"/>
    </row>
    <row r="2606" spans="1:1" ht="13.8" x14ac:dyDescent="0.25">
      <c r="A2606" s="8"/>
    </row>
    <row r="2607" spans="1:1" ht="13.8" x14ac:dyDescent="0.25">
      <c r="A2607" s="8"/>
    </row>
    <row r="2608" spans="1:1" ht="13.8" x14ac:dyDescent="0.25">
      <c r="A2608" s="8"/>
    </row>
    <row r="2609" spans="1:1" ht="13.8" x14ac:dyDescent="0.25">
      <c r="A2609" s="8"/>
    </row>
    <row r="2610" spans="1:1" ht="13.8" x14ac:dyDescent="0.25">
      <c r="A2610" s="8"/>
    </row>
    <row r="2611" spans="1:1" ht="13.8" x14ac:dyDescent="0.25">
      <c r="A2611" s="8"/>
    </row>
    <row r="2612" spans="1:1" ht="13.8" x14ac:dyDescent="0.25">
      <c r="A2612" s="8"/>
    </row>
    <row r="2613" spans="1:1" ht="13.8" x14ac:dyDescent="0.25">
      <c r="A2613" s="8"/>
    </row>
    <row r="2614" spans="1:1" ht="13.8" x14ac:dyDescent="0.25">
      <c r="A2614" s="8"/>
    </row>
    <row r="2615" spans="1:1" ht="13.8" x14ac:dyDescent="0.25">
      <c r="A2615" s="8"/>
    </row>
    <row r="2616" spans="1:1" ht="13.8" x14ac:dyDescent="0.25">
      <c r="A2616" s="8"/>
    </row>
    <row r="2617" spans="1:1" ht="13.8" x14ac:dyDescent="0.25">
      <c r="A2617" s="8"/>
    </row>
    <row r="2618" spans="1:1" ht="13.8" x14ac:dyDescent="0.25">
      <c r="A2618" s="8"/>
    </row>
    <row r="2619" spans="1:1" ht="13.8" x14ac:dyDescent="0.25">
      <c r="A2619" s="8"/>
    </row>
    <row r="2620" spans="1:1" ht="13.8" x14ac:dyDescent="0.25">
      <c r="A2620" s="8"/>
    </row>
    <row r="2621" spans="1:1" ht="13.8" x14ac:dyDescent="0.25">
      <c r="A2621" s="8"/>
    </row>
    <row r="2622" spans="1:1" ht="13.8" x14ac:dyDescent="0.25">
      <c r="A2622" s="8"/>
    </row>
    <row r="2623" spans="1:1" ht="13.8" x14ac:dyDescent="0.25">
      <c r="A2623" s="8"/>
    </row>
    <row r="2624" spans="1:1" ht="13.8" x14ac:dyDescent="0.25">
      <c r="A2624" s="8"/>
    </row>
    <row r="2625" spans="1:1" ht="13.8" x14ac:dyDescent="0.25">
      <c r="A2625" s="8"/>
    </row>
    <row r="2626" spans="1:1" ht="13.8" x14ac:dyDescent="0.25">
      <c r="A2626" s="8"/>
    </row>
    <row r="2627" spans="1:1" ht="13.8" x14ac:dyDescent="0.25">
      <c r="A2627" s="8"/>
    </row>
    <row r="2628" spans="1:1" ht="13.8" x14ac:dyDescent="0.25">
      <c r="A2628" s="8"/>
    </row>
    <row r="2629" spans="1:1" ht="13.8" x14ac:dyDescent="0.25">
      <c r="A2629" s="8"/>
    </row>
    <row r="2630" spans="1:1" ht="13.8" x14ac:dyDescent="0.25">
      <c r="A2630" s="8"/>
    </row>
    <row r="2631" spans="1:1" ht="13.8" x14ac:dyDescent="0.25">
      <c r="A2631" s="8"/>
    </row>
    <row r="2632" spans="1:1" ht="13.8" x14ac:dyDescent="0.25">
      <c r="A2632" s="8"/>
    </row>
    <row r="2633" spans="1:1" ht="13.8" x14ac:dyDescent="0.25">
      <c r="A2633" s="8"/>
    </row>
    <row r="2634" spans="1:1" ht="13.8" x14ac:dyDescent="0.25">
      <c r="A2634" s="8"/>
    </row>
    <row r="2635" spans="1:1" ht="13.8" x14ac:dyDescent="0.25">
      <c r="A2635" s="8"/>
    </row>
    <row r="2636" spans="1:1" ht="13.8" x14ac:dyDescent="0.25">
      <c r="A2636" s="8"/>
    </row>
    <row r="2637" spans="1:1" ht="13.8" x14ac:dyDescent="0.25">
      <c r="A2637" s="8"/>
    </row>
    <row r="2638" spans="1:1" ht="13.8" x14ac:dyDescent="0.25">
      <c r="A2638" s="8"/>
    </row>
    <row r="2639" spans="1:1" ht="13.8" x14ac:dyDescent="0.25">
      <c r="A2639" s="8"/>
    </row>
    <row r="2640" spans="1:1" ht="13.8" x14ac:dyDescent="0.25">
      <c r="A2640" s="8"/>
    </row>
    <row r="2641" spans="1:1" ht="13.8" x14ac:dyDescent="0.25">
      <c r="A2641" s="8"/>
    </row>
    <row r="2642" spans="1:1" ht="13.8" x14ac:dyDescent="0.25">
      <c r="A2642" s="8"/>
    </row>
    <row r="2643" spans="1:1" ht="13.8" x14ac:dyDescent="0.25">
      <c r="A2643" s="8"/>
    </row>
    <row r="2644" spans="1:1" ht="13.8" x14ac:dyDescent="0.25">
      <c r="A2644" s="8"/>
    </row>
    <row r="2645" spans="1:1" ht="13.8" x14ac:dyDescent="0.25">
      <c r="A2645" s="8"/>
    </row>
    <row r="2646" spans="1:1" ht="13.8" x14ac:dyDescent="0.25">
      <c r="A2646" s="8"/>
    </row>
    <row r="2647" spans="1:1" ht="13.8" x14ac:dyDescent="0.25">
      <c r="A2647" s="8"/>
    </row>
    <row r="2648" spans="1:1" ht="13.8" x14ac:dyDescent="0.25">
      <c r="A2648" s="8"/>
    </row>
    <row r="2649" spans="1:1" ht="13.8" x14ac:dyDescent="0.25">
      <c r="A2649" s="8"/>
    </row>
    <row r="2650" spans="1:1" ht="13.8" x14ac:dyDescent="0.25">
      <c r="A2650" s="8"/>
    </row>
    <row r="2651" spans="1:1" ht="13.8" x14ac:dyDescent="0.25">
      <c r="A2651" s="8"/>
    </row>
    <row r="2652" spans="1:1" ht="13.8" x14ac:dyDescent="0.25">
      <c r="A2652" s="8"/>
    </row>
    <row r="2653" spans="1:1" ht="13.8" x14ac:dyDescent="0.25">
      <c r="A2653" s="8"/>
    </row>
    <row r="2654" spans="1:1" ht="13.8" x14ac:dyDescent="0.25">
      <c r="A2654" s="8"/>
    </row>
    <row r="2655" spans="1:1" ht="13.8" x14ac:dyDescent="0.25">
      <c r="A2655" s="8"/>
    </row>
    <row r="2656" spans="1:1" ht="13.8" x14ac:dyDescent="0.25">
      <c r="A2656" s="8"/>
    </row>
    <row r="2657" spans="1:1" ht="13.8" x14ac:dyDescent="0.25">
      <c r="A2657" s="8"/>
    </row>
    <row r="2658" spans="1:1" ht="13.8" x14ac:dyDescent="0.25">
      <c r="A2658" s="8"/>
    </row>
    <row r="2659" spans="1:1" ht="13.8" x14ac:dyDescent="0.25">
      <c r="A2659" s="8"/>
    </row>
    <row r="2660" spans="1:1" ht="13.8" x14ac:dyDescent="0.25">
      <c r="A2660" s="8"/>
    </row>
    <row r="2661" spans="1:1" ht="13.8" x14ac:dyDescent="0.25">
      <c r="A2661" s="8"/>
    </row>
    <row r="2662" spans="1:1" ht="13.8" x14ac:dyDescent="0.25">
      <c r="A2662" s="8"/>
    </row>
    <row r="2663" spans="1:1" ht="13.8" x14ac:dyDescent="0.25">
      <c r="A2663" s="8"/>
    </row>
    <row r="2664" spans="1:1" ht="13.8" x14ac:dyDescent="0.25">
      <c r="A2664" s="8"/>
    </row>
    <row r="2665" spans="1:1" ht="13.8" x14ac:dyDescent="0.25">
      <c r="A2665" s="8"/>
    </row>
    <row r="2666" spans="1:1" ht="13.8" x14ac:dyDescent="0.25">
      <c r="A2666" s="8"/>
    </row>
    <row r="2667" spans="1:1" ht="13.8" x14ac:dyDescent="0.25">
      <c r="A2667" s="8"/>
    </row>
    <row r="2668" spans="1:1" ht="13.8" x14ac:dyDescent="0.25">
      <c r="A2668" s="8"/>
    </row>
    <row r="2669" spans="1:1" ht="13.8" x14ac:dyDescent="0.25">
      <c r="A2669" s="8"/>
    </row>
    <row r="2670" spans="1:1" ht="13.8" x14ac:dyDescent="0.25">
      <c r="A2670" s="8"/>
    </row>
    <row r="2671" spans="1:1" ht="13.8" x14ac:dyDescent="0.25">
      <c r="A2671" s="8"/>
    </row>
    <row r="2672" spans="1:1" ht="13.8" x14ac:dyDescent="0.25">
      <c r="A2672" s="8"/>
    </row>
    <row r="2673" spans="1:1" ht="13.8" x14ac:dyDescent="0.25">
      <c r="A2673" s="8"/>
    </row>
    <row r="2674" spans="1:1" ht="13.8" x14ac:dyDescent="0.25">
      <c r="A2674" s="8"/>
    </row>
    <row r="2675" spans="1:1" ht="13.8" x14ac:dyDescent="0.25">
      <c r="A2675" s="8"/>
    </row>
    <row r="2676" spans="1:1" ht="13.8" x14ac:dyDescent="0.25">
      <c r="A2676" s="8"/>
    </row>
    <row r="2677" spans="1:1" ht="13.8" x14ac:dyDescent="0.25">
      <c r="A2677" s="8"/>
    </row>
    <row r="2678" spans="1:1" ht="13.8" x14ac:dyDescent="0.25">
      <c r="A2678" s="8"/>
    </row>
    <row r="2679" spans="1:1" ht="13.8" x14ac:dyDescent="0.25">
      <c r="A2679" s="8"/>
    </row>
    <row r="2680" spans="1:1" ht="13.8" x14ac:dyDescent="0.25">
      <c r="A2680" s="8"/>
    </row>
    <row r="2681" spans="1:1" ht="13.8" x14ac:dyDescent="0.25">
      <c r="A2681" s="8"/>
    </row>
    <row r="2682" spans="1:1" ht="13.8" x14ac:dyDescent="0.25">
      <c r="A2682" s="8"/>
    </row>
    <row r="2683" spans="1:1" ht="13.8" x14ac:dyDescent="0.25">
      <c r="A2683" s="8"/>
    </row>
    <row r="2684" spans="1:1" ht="13.8" x14ac:dyDescent="0.25">
      <c r="A2684" s="8"/>
    </row>
    <row r="2685" spans="1:1" ht="13.8" x14ac:dyDescent="0.25">
      <c r="A2685" s="8"/>
    </row>
    <row r="2686" spans="1:1" ht="13.8" x14ac:dyDescent="0.25">
      <c r="A2686" s="8"/>
    </row>
    <row r="2687" spans="1:1" ht="13.8" x14ac:dyDescent="0.25">
      <c r="A2687" s="8"/>
    </row>
    <row r="2688" spans="1:1" ht="13.8" x14ac:dyDescent="0.25">
      <c r="A2688" s="8"/>
    </row>
    <row r="2689" spans="1:1" ht="13.8" x14ac:dyDescent="0.25">
      <c r="A2689" s="8"/>
    </row>
    <row r="2690" spans="1:1" ht="13.8" x14ac:dyDescent="0.25">
      <c r="A2690" s="8"/>
    </row>
    <row r="2691" spans="1:1" ht="13.8" x14ac:dyDescent="0.25">
      <c r="A2691" s="8"/>
    </row>
    <row r="2692" spans="1:1" ht="13.8" x14ac:dyDescent="0.25">
      <c r="A2692" s="8"/>
    </row>
    <row r="2693" spans="1:1" ht="13.8" x14ac:dyDescent="0.25">
      <c r="A2693" s="8"/>
    </row>
    <row r="2694" spans="1:1" ht="13.8" x14ac:dyDescent="0.25">
      <c r="A2694" s="8"/>
    </row>
    <row r="2695" spans="1:1" ht="13.8" x14ac:dyDescent="0.25">
      <c r="A2695" s="8"/>
    </row>
    <row r="2696" spans="1:1" ht="13.8" x14ac:dyDescent="0.25">
      <c r="A2696" s="8"/>
    </row>
    <row r="2697" spans="1:1" ht="13.8" x14ac:dyDescent="0.25">
      <c r="A2697" s="8"/>
    </row>
    <row r="2698" spans="1:1" ht="13.8" x14ac:dyDescent="0.25">
      <c r="A2698" s="8"/>
    </row>
    <row r="2699" spans="1:1" ht="13.8" x14ac:dyDescent="0.25">
      <c r="A2699" s="8"/>
    </row>
    <row r="2700" spans="1:1" ht="13.8" x14ac:dyDescent="0.25">
      <c r="A2700" s="8"/>
    </row>
    <row r="2701" spans="1:1" ht="13.8" x14ac:dyDescent="0.25">
      <c r="A2701" s="8"/>
    </row>
    <row r="2702" spans="1:1" ht="13.8" x14ac:dyDescent="0.25">
      <c r="A2702" s="8"/>
    </row>
    <row r="2703" spans="1:1" ht="13.8" x14ac:dyDescent="0.25">
      <c r="A2703" s="8"/>
    </row>
    <row r="2704" spans="1:1" ht="13.8" x14ac:dyDescent="0.25">
      <c r="A2704" s="8"/>
    </row>
    <row r="2705" spans="1:1" ht="13.8" x14ac:dyDescent="0.25">
      <c r="A2705" s="8"/>
    </row>
    <row r="2706" spans="1:1" ht="13.8" x14ac:dyDescent="0.25">
      <c r="A2706" s="8"/>
    </row>
    <row r="2707" spans="1:1" ht="13.8" x14ac:dyDescent="0.25">
      <c r="A2707" s="8"/>
    </row>
    <row r="2708" spans="1:1" ht="13.8" x14ac:dyDescent="0.25">
      <c r="A2708" s="8"/>
    </row>
    <row r="2709" spans="1:1" ht="13.8" x14ac:dyDescent="0.25">
      <c r="A2709" s="8"/>
    </row>
    <row r="2710" spans="1:1" ht="13.8" x14ac:dyDescent="0.25">
      <c r="A2710" s="8"/>
    </row>
    <row r="2711" spans="1:1" ht="13.8" x14ac:dyDescent="0.25">
      <c r="A2711" s="8"/>
    </row>
    <row r="2712" spans="1:1" ht="13.8" x14ac:dyDescent="0.25">
      <c r="A2712" s="8"/>
    </row>
    <row r="2713" spans="1:1" ht="13.8" x14ac:dyDescent="0.25">
      <c r="A2713" s="8"/>
    </row>
    <row r="2714" spans="1:1" ht="13.8" x14ac:dyDescent="0.25">
      <c r="A2714" s="8"/>
    </row>
    <row r="2715" spans="1:1" ht="13.8" x14ac:dyDescent="0.25">
      <c r="A2715" s="8"/>
    </row>
    <row r="2716" spans="1:1" ht="13.8" x14ac:dyDescent="0.25">
      <c r="A2716" s="8"/>
    </row>
    <row r="2717" spans="1:1" ht="13.8" x14ac:dyDescent="0.25">
      <c r="A2717" s="8"/>
    </row>
    <row r="2718" spans="1:1" ht="13.8" x14ac:dyDescent="0.25">
      <c r="A2718" s="8"/>
    </row>
    <row r="2719" spans="1:1" ht="13.8" x14ac:dyDescent="0.25">
      <c r="A2719" s="8"/>
    </row>
    <row r="2720" spans="1:1" ht="13.8" x14ac:dyDescent="0.25">
      <c r="A2720" s="8"/>
    </row>
    <row r="2721" spans="1:1" ht="13.8" x14ac:dyDescent="0.25">
      <c r="A2721" s="8"/>
    </row>
    <row r="2722" spans="1:1" ht="13.8" x14ac:dyDescent="0.25">
      <c r="A2722" s="8"/>
    </row>
    <row r="2723" spans="1:1" ht="13.8" x14ac:dyDescent="0.25">
      <c r="A2723" s="8"/>
    </row>
    <row r="2724" spans="1:1" ht="13.8" x14ac:dyDescent="0.25">
      <c r="A2724" s="8"/>
    </row>
    <row r="2725" spans="1:1" ht="13.8" x14ac:dyDescent="0.25">
      <c r="A2725" s="8"/>
    </row>
    <row r="2726" spans="1:1" ht="13.8" x14ac:dyDescent="0.25">
      <c r="A2726" s="8"/>
    </row>
    <row r="2727" spans="1:1" ht="13.8" x14ac:dyDescent="0.25">
      <c r="A2727" s="8"/>
    </row>
    <row r="2728" spans="1:1" ht="13.8" x14ac:dyDescent="0.25">
      <c r="A2728" s="8"/>
    </row>
    <row r="2729" spans="1:1" ht="13.8" x14ac:dyDescent="0.25">
      <c r="A2729" s="8"/>
    </row>
    <row r="2730" spans="1:1" ht="13.8" x14ac:dyDescent="0.25">
      <c r="A2730" s="8"/>
    </row>
    <row r="2731" spans="1:1" ht="13.8" x14ac:dyDescent="0.25">
      <c r="A2731" s="8"/>
    </row>
    <row r="2732" spans="1:1" ht="13.8" x14ac:dyDescent="0.25">
      <c r="A2732" s="8"/>
    </row>
    <row r="2733" spans="1:1" ht="13.8" x14ac:dyDescent="0.25">
      <c r="A2733" s="8"/>
    </row>
    <row r="2734" spans="1:1" ht="13.8" x14ac:dyDescent="0.25">
      <c r="A2734" s="8"/>
    </row>
    <row r="2735" spans="1:1" ht="13.8" x14ac:dyDescent="0.25">
      <c r="A2735" s="8"/>
    </row>
    <row r="2736" spans="1:1" ht="13.8" x14ac:dyDescent="0.25">
      <c r="A2736" s="8"/>
    </row>
    <row r="2737" spans="1:1" ht="13.8" x14ac:dyDescent="0.25">
      <c r="A2737" s="8"/>
    </row>
    <row r="2738" spans="1:1" ht="13.8" x14ac:dyDescent="0.25">
      <c r="A2738" s="8"/>
    </row>
    <row r="2739" spans="1:1" ht="13.8" x14ac:dyDescent="0.25">
      <c r="A2739" s="8"/>
    </row>
    <row r="2740" spans="1:1" ht="13.8" x14ac:dyDescent="0.25">
      <c r="A2740" s="8"/>
    </row>
    <row r="2741" spans="1:1" ht="13.8" x14ac:dyDescent="0.25">
      <c r="A2741" s="8"/>
    </row>
    <row r="2742" spans="1:1" ht="13.8" x14ac:dyDescent="0.25">
      <c r="A2742" s="8"/>
    </row>
    <row r="2743" spans="1:1" ht="13.8" x14ac:dyDescent="0.25">
      <c r="A2743" s="8"/>
    </row>
    <row r="2744" spans="1:1" ht="13.8" x14ac:dyDescent="0.25">
      <c r="A2744" s="8"/>
    </row>
    <row r="2745" spans="1:1" ht="13.8" x14ac:dyDescent="0.25">
      <c r="A2745" s="8"/>
    </row>
    <row r="2746" spans="1:1" ht="13.8" x14ac:dyDescent="0.25">
      <c r="A2746" s="8"/>
    </row>
    <row r="2747" spans="1:1" ht="13.8" x14ac:dyDescent="0.25">
      <c r="A2747" s="8"/>
    </row>
    <row r="2748" spans="1:1" ht="13.8" x14ac:dyDescent="0.25">
      <c r="A2748" s="8"/>
    </row>
    <row r="2749" spans="1:1" ht="13.8" x14ac:dyDescent="0.25">
      <c r="A2749" s="8"/>
    </row>
    <row r="2750" spans="1:1" ht="13.8" x14ac:dyDescent="0.25">
      <c r="A2750" s="8"/>
    </row>
    <row r="2751" spans="1:1" ht="13.8" x14ac:dyDescent="0.25">
      <c r="A2751" s="8"/>
    </row>
    <row r="2752" spans="1:1" ht="13.8" x14ac:dyDescent="0.25">
      <c r="A2752" s="8"/>
    </row>
    <row r="2753" spans="1:1" ht="13.8" x14ac:dyDescent="0.25">
      <c r="A2753" s="8"/>
    </row>
    <row r="2754" spans="1:1" ht="13.8" x14ac:dyDescent="0.25">
      <c r="A2754" s="8"/>
    </row>
    <row r="2755" spans="1:1" ht="13.8" x14ac:dyDescent="0.25">
      <c r="A2755" s="8"/>
    </row>
    <row r="2756" spans="1:1" ht="13.8" x14ac:dyDescent="0.25">
      <c r="A2756" s="8"/>
    </row>
    <row r="2757" spans="1:1" ht="13.8" x14ac:dyDescent="0.25">
      <c r="A2757" s="8"/>
    </row>
    <row r="2758" spans="1:1" ht="13.8" x14ac:dyDescent="0.25">
      <c r="A2758" s="8"/>
    </row>
    <row r="2759" spans="1:1" ht="13.8" x14ac:dyDescent="0.25">
      <c r="A2759" s="8"/>
    </row>
    <row r="2760" spans="1:1" ht="13.8" x14ac:dyDescent="0.25">
      <c r="A2760" s="8"/>
    </row>
    <row r="2761" spans="1:1" ht="13.8" x14ac:dyDescent="0.25">
      <c r="A2761" s="8"/>
    </row>
    <row r="2762" spans="1:1" ht="13.8" x14ac:dyDescent="0.25">
      <c r="A2762" s="8"/>
    </row>
    <row r="2763" spans="1:1" ht="13.8" x14ac:dyDescent="0.25">
      <c r="A2763" s="8"/>
    </row>
    <row r="2764" spans="1:1" ht="13.8" x14ac:dyDescent="0.25">
      <c r="A2764" s="8"/>
    </row>
    <row r="2765" spans="1:1" ht="13.8" x14ac:dyDescent="0.25">
      <c r="A2765" s="8"/>
    </row>
    <row r="2766" spans="1:1" ht="13.8" x14ac:dyDescent="0.25">
      <c r="A2766" s="8"/>
    </row>
    <row r="2767" spans="1:1" ht="13.8" x14ac:dyDescent="0.25">
      <c r="A2767" s="8"/>
    </row>
    <row r="2768" spans="1:1" ht="13.8" x14ac:dyDescent="0.25">
      <c r="A2768" s="8"/>
    </row>
    <row r="2769" spans="1:1" ht="13.8" x14ac:dyDescent="0.25">
      <c r="A2769" s="8"/>
    </row>
    <row r="2770" spans="1:1" ht="13.8" x14ac:dyDescent="0.25">
      <c r="A2770" s="8"/>
    </row>
    <row r="2771" spans="1:1" ht="13.8" x14ac:dyDescent="0.25">
      <c r="A2771" s="8"/>
    </row>
    <row r="2772" spans="1:1" ht="13.8" x14ac:dyDescent="0.25">
      <c r="A2772" s="8"/>
    </row>
    <row r="2773" spans="1:1" ht="13.8" x14ac:dyDescent="0.25">
      <c r="A2773" s="8"/>
    </row>
    <row r="2774" spans="1:1" ht="13.8" x14ac:dyDescent="0.25">
      <c r="A2774" s="8"/>
    </row>
    <row r="2775" spans="1:1" ht="13.8" x14ac:dyDescent="0.25">
      <c r="A2775" s="8"/>
    </row>
    <row r="2776" spans="1:1" ht="13.8" x14ac:dyDescent="0.25">
      <c r="A2776" s="8"/>
    </row>
    <row r="2777" spans="1:1" ht="13.8" x14ac:dyDescent="0.25">
      <c r="A2777" s="8"/>
    </row>
    <row r="2778" spans="1:1" ht="13.8" x14ac:dyDescent="0.25">
      <c r="A2778" s="8"/>
    </row>
    <row r="2779" spans="1:1" ht="13.8" x14ac:dyDescent="0.25">
      <c r="A2779" s="8"/>
    </row>
    <row r="2780" spans="1:1" ht="13.8" x14ac:dyDescent="0.25">
      <c r="A2780" s="8"/>
    </row>
    <row r="2781" spans="1:1" ht="13.8" x14ac:dyDescent="0.25">
      <c r="A2781" s="8"/>
    </row>
    <row r="2782" spans="1:1" ht="13.8" x14ac:dyDescent="0.25">
      <c r="A2782" s="8"/>
    </row>
    <row r="2783" spans="1:1" ht="13.8" x14ac:dyDescent="0.25">
      <c r="A2783" s="8"/>
    </row>
    <row r="2784" spans="1:1" ht="13.8" x14ac:dyDescent="0.25">
      <c r="A2784" s="8"/>
    </row>
    <row r="2785" spans="1:1" ht="13.8" x14ac:dyDescent="0.25">
      <c r="A2785" s="8"/>
    </row>
    <row r="2786" spans="1:1" ht="13.8" x14ac:dyDescent="0.25">
      <c r="A2786" s="8"/>
    </row>
    <row r="2787" spans="1:1" ht="13.8" x14ac:dyDescent="0.25">
      <c r="A2787" s="8"/>
    </row>
    <row r="2788" spans="1:1" ht="13.8" x14ac:dyDescent="0.25">
      <c r="A2788" s="8"/>
    </row>
    <row r="2789" spans="1:1" ht="13.8" x14ac:dyDescent="0.25">
      <c r="A2789" s="8"/>
    </row>
    <row r="2790" spans="1:1" ht="13.8" x14ac:dyDescent="0.25">
      <c r="A2790" s="8"/>
    </row>
    <row r="2791" spans="1:1" ht="13.8" x14ac:dyDescent="0.25">
      <c r="A2791" s="8"/>
    </row>
    <row r="2792" spans="1:1" ht="13.8" x14ac:dyDescent="0.25">
      <c r="A2792" s="8"/>
    </row>
    <row r="2793" spans="1:1" ht="13.8" x14ac:dyDescent="0.25">
      <c r="A2793" s="8"/>
    </row>
    <row r="2794" spans="1:1" ht="13.8" x14ac:dyDescent="0.25">
      <c r="A2794" s="8"/>
    </row>
    <row r="2795" spans="1:1" ht="13.8" x14ac:dyDescent="0.25">
      <c r="A2795" s="8"/>
    </row>
    <row r="2796" spans="1:1" ht="13.8" x14ac:dyDescent="0.25">
      <c r="A2796" s="8"/>
    </row>
    <row r="2797" spans="1:1" ht="13.8" x14ac:dyDescent="0.25">
      <c r="A2797" s="8"/>
    </row>
    <row r="2798" spans="1:1" ht="13.8" x14ac:dyDescent="0.25">
      <c r="A2798" s="8"/>
    </row>
    <row r="2799" spans="1:1" ht="13.8" x14ac:dyDescent="0.25">
      <c r="A2799" s="8"/>
    </row>
    <row r="2800" spans="1:1" ht="13.8" x14ac:dyDescent="0.25">
      <c r="A2800" s="8"/>
    </row>
    <row r="2801" spans="1:1" ht="13.8" x14ac:dyDescent="0.25">
      <c r="A2801" s="8"/>
    </row>
    <row r="2802" spans="1:1" ht="13.8" x14ac:dyDescent="0.25">
      <c r="A2802" s="8"/>
    </row>
    <row r="2803" spans="1:1" ht="13.8" x14ac:dyDescent="0.25">
      <c r="A2803" s="8"/>
    </row>
    <row r="2804" spans="1:1" ht="13.8" x14ac:dyDescent="0.25">
      <c r="A2804" s="8"/>
    </row>
    <row r="2805" spans="1:1" ht="13.8" x14ac:dyDescent="0.25">
      <c r="A2805" s="8"/>
    </row>
    <row r="2806" spans="1:1" ht="13.8" x14ac:dyDescent="0.25">
      <c r="A2806" s="8"/>
    </row>
    <row r="2807" spans="1:1" ht="13.8" x14ac:dyDescent="0.25">
      <c r="A2807" s="8"/>
    </row>
    <row r="2808" spans="1:1" ht="13.8" x14ac:dyDescent="0.25">
      <c r="A2808" s="8"/>
    </row>
    <row r="2809" spans="1:1" ht="13.8" x14ac:dyDescent="0.25">
      <c r="A2809" s="8"/>
    </row>
    <row r="2810" spans="1:1" ht="13.8" x14ac:dyDescent="0.25">
      <c r="A2810" s="8"/>
    </row>
    <row r="2811" spans="1:1" ht="13.8" x14ac:dyDescent="0.25">
      <c r="A2811" s="8"/>
    </row>
    <row r="2812" spans="1:1" ht="13.8" x14ac:dyDescent="0.25">
      <c r="A2812" s="8"/>
    </row>
    <row r="2813" spans="1:1" ht="13.8" x14ac:dyDescent="0.25">
      <c r="A2813" s="8"/>
    </row>
    <row r="2814" spans="1:1" ht="13.8" x14ac:dyDescent="0.25">
      <c r="A2814" s="8"/>
    </row>
    <row r="2815" spans="1:1" ht="13.8" x14ac:dyDescent="0.25">
      <c r="A2815" s="8"/>
    </row>
    <row r="2816" spans="1:1" ht="13.8" x14ac:dyDescent="0.25">
      <c r="A2816" s="8"/>
    </row>
    <row r="2817" spans="1:1" ht="13.8" x14ac:dyDescent="0.25">
      <c r="A2817" s="8"/>
    </row>
    <row r="2818" spans="1:1" ht="13.8" x14ac:dyDescent="0.25">
      <c r="A2818" s="8"/>
    </row>
    <row r="2819" spans="1:1" ht="13.8" x14ac:dyDescent="0.25">
      <c r="A2819" s="8"/>
    </row>
    <row r="2820" spans="1:1" ht="13.8" x14ac:dyDescent="0.25">
      <c r="A2820" s="8"/>
    </row>
    <row r="2821" spans="1:1" ht="13.8" x14ac:dyDescent="0.25">
      <c r="A2821" s="8"/>
    </row>
    <row r="2822" spans="1:1" ht="13.8" x14ac:dyDescent="0.25">
      <c r="A2822" s="8"/>
    </row>
    <row r="2823" spans="1:1" ht="13.8" x14ac:dyDescent="0.25">
      <c r="A2823" s="8"/>
    </row>
    <row r="2824" spans="1:1" ht="13.8" x14ac:dyDescent="0.25">
      <c r="A2824" s="8"/>
    </row>
    <row r="2825" spans="1:1" ht="13.8" x14ac:dyDescent="0.25">
      <c r="A2825" s="8"/>
    </row>
    <row r="2826" spans="1:1" ht="13.8" x14ac:dyDescent="0.25">
      <c r="A2826" s="8"/>
    </row>
    <row r="2827" spans="1:1" ht="13.8" x14ac:dyDescent="0.25">
      <c r="A2827" s="8"/>
    </row>
    <row r="2828" spans="1:1" ht="13.8" x14ac:dyDescent="0.25">
      <c r="A2828" s="8"/>
    </row>
    <row r="2829" spans="1:1" ht="13.8" x14ac:dyDescent="0.25">
      <c r="A2829" s="8"/>
    </row>
    <row r="2830" spans="1:1" ht="13.8" x14ac:dyDescent="0.25">
      <c r="A2830" s="8"/>
    </row>
    <row r="2831" spans="1:1" ht="13.8" x14ac:dyDescent="0.25">
      <c r="A2831" s="8"/>
    </row>
    <row r="2832" spans="1:1" ht="13.8" x14ac:dyDescent="0.25">
      <c r="A2832" s="8"/>
    </row>
    <row r="2833" spans="1:1" ht="13.8" x14ac:dyDescent="0.25">
      <c r="A2833" s="8"/>
    </row>
    <row r="2834" spans="1:1" ht="13.8" x14ac:dyDescent="0.25">
      <c r="A2834" s="8"/>
    </row>
    <row r="2835" spans="1:1" ht="13.8" x14ac:dyDescent="0.25">
      <c r="A2835" s="8"/>
    </row>
    <row r="2836" spans="1:1" ht="13.8" x14ac:dyDescent="0.25">
      <c r="A2836" s="8"/>
    </row>
    <row r="2837" spans="1:1" ht="13.8" x14ac:dyDescent="0.25">
      <c r="A2837" s="8"/>
    </row>
    <row r="2838" spans="1:1" ht="13.8" x14ac:dyDescent="0.25">
      <c r="A2838" s="8"/>
    </row>
    <row r="2839" spans="1:1" ht="13.8" x14ac:dyDescent="0.25">
      <c r="A2839" s="8"/>
    </row>
    <row r="2840" spans="1:1" ht="13.8" x14ac:dyDescent="0.25">
      <c r="A2840" s="8"/>
    </row>
    <row r="2841" spans="1:1" ht="13.8" x14ac:dyDescent="0.25">
      <c r="A2841" s="8"/>
    </row>
    <row r="2842" spans="1:1" ht="13.8" x14ac:dyDescent="0.25">
      <c r="A2842" s="8"/>
    </row>
    <row r="2843" spans="1:1" ht="13.8" x14ac:dyDescent="0.25">
      <c r="A2843" s="8"/>
    </row>
    <row r="2844" spans="1:1" ht="13.8" x14ac:dyDescent="0.25">
      <c r="A2844" s="8"/>
    </row>
    <row r="2845" spans="1:1" ht="13.8" x14ac:dyDescent="0.25">
      <c r="A2845" s="8"/>
    </row>
    <row r="2846" spans="1:1" ht="13.8" x14ac:dyDescent="0.25">
      <c r="A2846" s="8"/>
    </row>
    <row r="2847" spans="1:1" ht="13.8" x14ac:dyDescent="0.25">
      <c r="A2847" s="8"/>
    </row>
    <row r="2848" spans="1:1" ht="13.8" x14ac:dyDescent="0.25">
      <c r="A2848" s="8"/>
    </row>
    <row r="2849" spans="1:1" ht="13.8" x14ac:dyDescent="0.25">
      <c r="A2849" s="8"/>
    </row>
    <row r="2850" spans="1:1" ht="13.8" x14ac:dyDescent="0.25">
      <c r="A2850" s="8"/>
    </row>
    <row r="2851" spans="1:1" ht="13.8" x14ac:dyDescent="0.25">
      <c r="A2851" s="8"/>
    </row>
    <row r="2852" spans="1:1" ht="13.8" x14ac:dyDescent="0.25">
      <c r="A2852" s="8"/>
    </row>
    <row r="2853" spans="1:1" ht="13.8" x14ac:dyDescent="0.25">
      <c r="A2853" s="8"/>
    </row>
    <row r="2854" spans="1:1" ht="13.8" x14ac:dyDescent="0.25">
      <c r="A2854" s="8"/>
    </row>
    <row r="2855" spans="1:1" ht="13.8" x14ac:dyDescent="0.25">
      <c r="A2855" s="8"/>
    </row>
    <row r="2856" spans="1:1" ht="13.8" x14ac:dyDescent="0.25">
      <c r="A2856" s="8"/>
    </row>
    <row r="2857" spans="1:1" ht="13.8" x14ac:dyDescent="0.25">
      <c r="A2857" s="8"/>
    </row>
    <row r="2858" spans="1:1" ht="13.8" x14ac:dyDescent="0.25">
      <c r="A2858" s="8"/>
    </row>
    <row r="2859" spans="1:1" ht="13.8" x14ac:dyDescent="0.25">
      <c r="A2859" s="8"/>
    </row>
    <row r="2860" spans="1:1" ht="13.8" x14ac:dyDescent="0.25">
      <c r="A2860" s="8"/>
    </row>
    <row r="2861" spans="1:1" ht="13.8" x14ac:dyDescent="0.25">
      <c r="A2861" s="8"/>
    </row>
    <row r="2862" spans="1:1" ht="13.8" x14ac:dyDescent="0.25">
      <c r="A2862" s="8"/>
    </row>
    <row r="2863" spans="1:1" ht="13.8" x14ac:dyDescent="0.25">
      <c r="A2863" s="8"/>
    </row>
    <row r="2864" spans="1:1" ht="13.8" x14ac:dyDescent="0.25">
      <c r="A2864" s="8"/>
    </row>
    <row r="2865" spans="1:1" ht="13.8" x14ac:dyDescent="0.25">
      <c r="A2865" s="8"/>
    </row>
    <row r="2866" spans="1:1" ht="13.8" x14ac:dyDescent="0.25">
      <c r="A2866" s="8"/>
    </row>
    <row r="2867" spans="1:1" ht="13.8" x14ac:dyDescent="0.25">
      <c r="A2867" s="8"/>
    </row>
    <row r="2868" spans="1:1" ht="13.8" x14ac:dyDescent="0.25">
      <c r="A2868" s="8"/>
    </row>
    <row r="2869" spans="1:1" ht="13.8" x14ac:dyDescent="0.25">
      <c r="A2869" s="8"/>
    </row>
    <row r="2870" spans="1:1" ht="13.8" x14ac:dyDescent="0.25">
      <c r="A2870" s="8"/>
    </row>
    <row r="2871" spans="1:1" ht="13.8" x14ac:dyDescent="0.25">
      <c r="A2871" s="8"/>
    </row>
    <row r="2872" spans="1:1" ht="13.8" x14ac:dyDescent="0.25">
      <c r="A2872" s="8"/>
    </row>
    <row r="2873" spans="1:1" ht="13.8" x14ac:dyDescent="0.25">
      <c r="A2873" s="8"/>
    </row>
    <row r="2874" spans="1:1" ht="13.8" x14ac:dyDescent="0.25">
      <c r="A2874" s="8"/>
    </row>
    <row r="2875" spans="1:1" ht="13.8" x14ac:dyDescent="0.25">
      <c r="A2875" s="8"/>
    </row>
    <row r="2876" spans="1:1" ht="13.8" x14ac:dyDescent="0.25">
      <c r="A2876" s="8"/>
    </row>
    <row r="2877" spans="1:1" ht="13.8" x14ac:dyDescent="0.25">
      <c r="A2877" s="8"/>
    </row>
    <row r="2878" spans="1:1" ht="13.8" x14ac:dyDescent="0.25">
      <c r="A2878" s="8"/>
    </row>
    <row r="2879" spans="1:1" ht="13.8" x14ac:dyDescent="0.25">
      <c r="A2879" s="8"/>
    </row>
    <row r="2880" spans="1:1" ht="13.8" x14ac:dyDescent="0.25">
      <c r="A2880" s="8"/>
    </row>
    <row r="2881" spans="1:1" ht="13.8" x14ac:dyDescent="0.25">
      <c r="A2881" s="8"/>
    </row>
    <row r="2882" spans="1:1" ht="13.8" x14ac:dyDescent="0.25">
      <c r="A2882" s="8"/>
    </row>
    <row r="2883" spans="1:1" ht="13.8" x14ac:dyDescent="0.25">
      <c r="A2883" s="8"/>
    </row>
    <row r="2884" spans="1:1" ht="13.8" x14ac:dyDescent="0.25">
      <c r="A2884" s="8"/>
    </row>
    <row r="2885" spans="1:1" ht="13.8" x14ac:dyDescent="0.25">
      <c r="A2885" s="8"/>
    </row>
    <row r="2886" spans="1:1" ht="13.8" x14ac:dyDescent="0.25">
      <c r="A2886" s="8"/>
    </row>
    <row r="2887" spans="1:1" ht="13.8" x14ac:dyDescent="0.25">
      <c r="A2887" s="8"/>
    </row>
    <row r="2888" spans="1:1" ht="13.8" x14ac:dyDescent="0.25">
      <c r="A2888" s="8"/>
    </row>
    <row r="2889" spans="1:1" ht="13.8" x14ac:dyDescent="0.25">
      <c r="A2889" s="8"/>
    </row>
    <row r="2890" spans="1:1" ht="13.8" x14ac:dyDescent="0.25">
      <c r="A2890" s="8"/>
    </row>
    <row r="2891" spans="1:1" ht="13.8" x14ac:dyDescent="0.25">
      <c r="A2891" s="8"/>
    </row>
    <row r="2892" spans="1:1" ht="13.8" x14ac:dyDescent="0.25">
      <c r="A2892" s="8"/>
    </row>
    <row r="2893" spans="1:1" ht="13.8" x14ac:dyDescent="0.25">
      <c r="A2893" s="8"/>
    </row>
    <row r="2894" spans="1:1" ht="13.8" x14ac:dyDescent="0.25">
      <c r="A2894" s="8"/>
    </row>
    <row r="2895" spans="1:1" ht="13.8" x14ac:dyDescent="0.25">
      <c r="A2895" s="8"/>
    </row>
    <row r="2896" spans="1:1" ht="13.8" x14ac:dyDescent="0.25">
      <c r="A2896" s="8"/>
    </row>
    <row r="2897" spans="1:1" ht="13.8" x14ac:dyDescent="0.25">
      <c r="A2897" s="8"/>
    </row>
    <row r="2898" spans="1:1" ht="13.8" x14ac:dyDescent="0.25">
      <c r="A2898" s="8"/>
    </row>
    <row r="2899" spans="1:1" ht="13.8" x14ac:dyDescent="0.25">
      <c r="A2899" s="8"/>
    </row>
    <row r="2900" spans="1:1" ht="13.8" x14ac:dyDescent="0.25">
      <c r="A2900" s="8"/>
    </row>
    <row r="2901" spans="1:1" ht="13.8" x14ac:dyDescent="0.25">
      <c r="A2901" s="8"/>
    </row>
    <row r="2902" spans="1:1" ht="13.8" x14ac:dyDescent="0.25">
      <c r="A2902" s="8"/>
    </row>
    <row r="2903" spans="1:1" ht="13.8" x14ac:dyDescent="0.25">
      <c r="A2903" s="8"/>
    </row>
    <row r="2904" spans="1:1" ht="13.8" x14ac:dyDescent="0.25">
      <c r="A2904" s="8"/>
    </row>
    <row r="2905" spans="1:1" ht="13.8" x14ac:dyDescent="0.25">
      <c r="A2905" s="8"/>
    </row>
    <row r="2906" spans="1:1" ht="13.8" x14ac:dyDescent="0.25">
      <c r="A2906" s="8"/>
    </row>
    <row r="2907" spans="1:1" ht="13.8" x14ac:dyDescent="0.25">
      <c r="A2907" s="8"/>
    </row>
    <row r="2908" spans="1:1" ht="13.8" x14ac:dyDescent="0.25">
      <c r="A2908" s="8"/>
    </row>
    <row r="2909" spans="1:1" ht="13.8" x14ac:dyDescent="0.25">
      <c r="A2909" s="8"/>
    </row>
    <row r="2910" spans="1:1" ht="13.8" x14ac:dyDescent="0.25">
      <c r="A2910" s="8"/>
    </row>
    <row r="2911" spans="1:1" ht="13.8" x14ac:dyDescent="0.25">
      <c r="A2911" s="8"/>
    </row>
    <row r="2912" spans="1:1" ht="13.8" x14ac:dyDescent="0.25">
      <c r="A2912" s="8"/>
    </row>
    <row r="2913" spans="1:1" ht="13.8" x14ac:dyDescent="0.25">
      <c r="A2913" s="8"/>
    </row>
    <row r="2914" spans="1:1" ht="13.8" x14ac:dyDescent="0.25">
      <c r="A2914" s="8"/>
    </row>
    <row r="2915" spans="1:1" ht="13.8" x14ac:dyDescent="0.25">
      <c r="A2915" s="8"/>
    </row>
    <row r="2916" spans="1:1" ht="13.8" x14ac:dyDescent="0.25">
      <c r="A2916" s="8"/>
    </row>
    <row r="2917" spans="1:1" ht="13.8" x14ac:dyDescent="0.25">
      <c r="A2917" s="8"/>
    </row>
    <row r="2918" spans="1:1" ht="13.8" x14ac:dyDescent="0.25">
      <c r="A2918" s="8"/>
    </row>
    <row r="2919" spans="1:1" ht="13.8" x14ac:dyDescent="0.25">
      <c r="A2919" s="8"/>
    </row>
    <row r="2920" spans="1:1" ht="13.8" x14ac:dyDescent="0.25">
      <c r="A2920" s="8"/>
    </row>
    <row r="2921" spans="1:1" ht="13.8" x14ac:dyDescent="0.25">
      <c r="A2921" s="8"/>
    </row>
    <row r="2922" spans="1:1" ht="13.8" x14ac:dyDescent="0.25">
      <c r="A2922" s="8"/>
    </row>
    <row r="2923" spans="1:1" ht="13.8" x14ac:dyDescent="0.25">
      <c r="A2923" s="8"/>
    </row>
    <row r="2924" spans="1:1" ht="13.8" x14ac:dyDescent="0.25">
      <c r="A2924" s="8"/>
    </row>
    <row r="2925" spans="1:1" ht="13.8" x14ac:dyDescent="0.25">
      <c r="A2925" s="8"/>
    </row>
    <row r="2926" spans="1:1" ht="13.8" x14ac:dyDescent="0.25">
      <c r="A2926" s="8"/>
    </row>
    <row r="2927" spans="1:1" ht="13.8" x14ac:dyDescent="0.25">
      <c r="A2927" s="8"/>
    </row>
    <row r="2928" spans="1:1" ht="13.8" x14ac:dyDescent="0.25">
      <c r="A2928" s="8"/>
    </row>
    <row r="2929" spans="1:1" ht="13.8" x14ac:dyDescent="0.25">
      <c r="A2929" s="8"/>
    </row>
    <row r="2930" spans="1:1" ht="13.8" x14ac:dyDescent="0.25">
      <c r="A2930" s="8"/>
    </row>
    <row r="2931" spans="1:1" ht="13.8" x14ac:dyDescent="0.25">
      <c r="A2931" s="8"/>
    </row>
    <row r="2932" spans="1:1" ht="13.8" x14ac:dyDescent="0.25">
      <c r="A2932" s="8"/>
    </row>
    <row r="2933" spans="1:1" ht="13.8" x14ac:dyDescent="0.25">
      <c r="A2933" s="8"/>
    </row>
    <row r="2934" spans="1:1" ht="13.8" x14ac:dyDescent="0.25">
      <c r="A2934" s="8"/>
    </row>
    <row r="2935" spans="1:1" ht="13.8" x14ac:dyDescent="0.25">
      <c r="A2935" s="8"/>
    </row>
    <row r="2936" spans="1:1" ht="13.8" x14ac:dyDescent="0.25">
      <c r="A2936" s="8"/>
    </row>
    <row r="2937" spans="1:1" ht="13.8" x14ac:dyDescent="0.25">
      <c r="A2937" s="8"/>
    </row>
    <row r="2938" spans="1:1" ht="13.8" x14ac:dyDescent="0.25">
      <c r="A2938" s="8"/>
    </row>
    <row r="2939" spans="1:1" ht="13.8" x14ac:dyDescent="0.25">
      <c r="A2939" s="8"/>
    </row>
    <row r="2940" spans="1:1" ht="13.8" x14ac:dyDescent="0.25">
      <c r="A2940" s="8"/>
    </row>
    <row r="2941" spans="1:1" ht="13.8" x14ac:dyDescent="0.25">
      <c r="A2941" s="8"/>
    </row>
    <row r="2942" spans="1:1" ht="13.8" x14ac:dyDescent="0.25">
      <c r="A2942" s="8"/>
    </row>
    <row r="2943" spans="1:1" ht="13.8" x14ac:dyDescent="0.25">
      <c r="A2943" s="8"/>
    </row>
    <row r="2944" spans="1:1" ht="13.8" x14ac:dyDescent="0.25">
      <c r="A2944" s="8"/>
    </row>
    <row r="2945" spans="1:1" ht="13.8" x14ac:dyDescent="0.25">
      <c r="A2945" s="8"/>
    </row>
    <row r="2946" spans="1:1" ht="13.8" x14ac:dyDescent="0.25">
      <c r="A2946" s="8"/>
    </row>
    <row r="2947" spans="1:1" ht="13.8" x14ac:dyDescent="0.25">
      <c r="A2947" s="8"/>
    </row>
    <row r="2948" spans="1:1" ht="13.8" x14ac:dyDescent="0.25">
      <c r="A2948" s="8"/>
    </row>
    <row r="2949" spans="1:1" ht="13.8" x14ac:dyDescent="0.25">
      <c r="A2949" s="8"/>
    </row>
    <row r="2950" spans="1:1" ht="13.8" x14ac:dyDescent="0.25">
      <c r="A2950" s="8"/>
    </row>
    <row r="2951" spans="1:1" ht="13.8" x14ac:dyDescent="0.25">
      <c r="A2951" s="8"/>
    </row>
    <row r="2952" spans="1:1" ht="13.8" x14ac:dyDescent="0.25">
      <c r="A2952" s="8"/>
    </row>
    <row r="2953" spans="1:1" ht="13.8" x14ac:dyDescent="0.25">
      <c r="A2953" s="8"/>
    </row>
    <row r="2954" spans="1:1" ht="13.8" x14ac:dyDescent="0.25">
      <c r="A2954" s="8"/>
    </row>
    <row r="2955" spans="1:1" ht="13.8" x14ac:dyDescent="0.25">
      <c r="A2955" s="8"/>
    </row>
    <row r="2956" spans="1:1" ht="13.8" x14ac:dyDescent="0.25">
      <c r="A2956" s="8"/>
    </row>
    <row r="2957" spans="1:1" ht="13.8" x14ac:dyDescent="0.25">
      <c r="A2957" s="8"/>
    </row>
    <row r="2958" spans="1:1" ht="13.8" x14ac:dyDescent="0.25">
      <c r="A2958" s="8"/>
    </row>
    <row r="2959" spans="1:1" ht="13.8" x14ac:dyDescent="0.25">
      <c r="A2959" s="8"/>
    </row>
    <row r="2960" spans="1:1" ht="13.8" x14ac:dyDescent="0.25">
      <c r="A2960" s="8"/>
    </row>
    <row r="2961" spans="1:1" ht="13.8" x14ac:dyDescent="0.25">
      <c r="A2961" s="8"/>
    </row>
    <row r="2962" spans="1:1" ht="13.8" x14ac:dyDescent="0.25">
      <c r="A2962" s="8"/>
    </row>
    <row r="2963" spans="1:1" ht="13.8" x14ac:dyDescent="0.25">
      <c r="A2963" s="8"/>
    </row>
    <row r="2964" spans="1:1" ht="13.8" x14ac:dyDescent="0.25">
      <c r="A2964" s="8"/>
    </row>
    <row r="2965" spans="1:1" ht="13.8" x14ac:dyDescent="0.25">
      <c r="A2965" s="8"/>
    </row>
    <row r="2966" spans="1:1" ht="13.8" x14ac:dyDescent="0.25">
      <c r="A2966" s="8"/>
    </row>
    <row r="2967" spans="1:1" ht="13.8" x14ac:dyDescent="0.25">
      <c r="A2967" s="8"/>
    </row>
    <row r="2968" spans="1:1" ht="13.8" x14ac:dyDescent="0.25">
      <c r="A2968" s="8"/>
    </row>
    <row r="2969" spans="1:1" ht="13.8" x14ac:dyDescent="0.25">
      <c r="A2969" s="8"/>
    </row>
    <row r="2970" spans="1:1" ht="13.8" x14ac:dyDescent="0.25">
      <c r="A2970" s="8"/>
    </row>
    <row r="2971" spans="1:1" ht="13.8" x14ac:dyDescent="0.25">
      <c r="A2971" s="8"/>
    </row>
    <row r="2972" spans="1:1" ht="13.8" x14ac:dyDescent="0.25">
      <c r="A2972" s="8"/>
    </row>
    <row r="2973" spans="1:1" ht="13.8" x14ac:dyDescent="0.25">
      <c r="A2973" s="8"/>
    </row>
    <row r="2974" spans="1:1" ht="13.8" x14ac:dyDescent="0.25">
      <c r="A2974" s="8"/>
    </row>
    <row r="2975" spans="1:1" ht="13.8" x14ac:dyDescent="0.25">
      <c r="A2975" s="8"/>
    </row>
    <row r="2976" spans="1:1" ht="13.8" x14ac:dyDescent="0.25">
      <c r="A2976" s="8"/>
    </row>
    <row r="2977" spans="1:1" ht="13.8" x14ac:dyDescent="0.25">
      <c r="A2977" s="8"/>
    </row>
    <row r="2978" spans="1:1" ht="13.8" x14ac:dyDescent="0.25">
      <c r="A2978" s="8"/>
    </row>
    <row r="2979" spans="1:1" ht="13.8" x14ac:dyDescent="0.25">
      <c r="A2979" s="8"/>
    </row>
    <row r="2980" spans="1:1" ht="13.8" x14ac:dyDescent="0.25">
      <c r="A2980" s="8"/>
    </row>
    <row r="2981" spans="1:1" ht="13.8" x14ac:dyDescent="0.25">
      <c r="A2981" s="8"/>
    </row>
    <row r="2982" spans="1:1" ht="13.8" x14ac:dyDescent="0.25">
      <c r="A2982" s="8"/>
    </row>
    <row r="2983" spans="1:1" ht="13.8" x14ac:dyDescent="0.25">
      <c r="A2983" s="8"/>
    </row>
    <row r="2984" spans="1:1" ht="13.8" x14ac:dyDescent="0.25">
      <c r="A2984" s="8"/>
    </row>
    <row r="2985" spans="1:1" ht="13.8" x14ac:dyDescent="0.25">
      <c r="A2985" s="8"/>
    </row>
    <row r="2986" spans="1:1" ht="13.8" x14ac:dyDescent="0.25">
      <c r="A2986" s="8"/>
    </row>
    <row r="2987" spans="1:1" ht="13.8" x14ac:dyDescent="0.25">
      <c r="A2987" s="8"/>
    </row>
    <row r="2988" spans="1:1" ht="13.8" x14ac:dyDescent="0.25">
      <c r="A2988" s="8"/>
    </row>
    <row r="2989" spans="1:1" ht="13.8" x14ac:dyDescent="0.25">
      <c r="A2989" s="8"/>
    </row>
    <row r="2990" spans="1:1" ht="13.8" x14ac:dyDescent="0.25">
      <c r="A2990" s="8"/>
    </row>
    <row r="2991" spans="1:1" ht="13.8" x14ac:dyDescent="0.25">
      <c r="A2991" s="8"/>
    </row>
    <row r="2992" spans="1:1" ht="13.8" x14ac:dyDescent="0.25">
      <c r="A2992" s="8"/>
    </row>
    <row r="2993" spans="1:1" ht="13.8" x14ac:dyDescent="0.25">
      <c r="A2993" s="8"/>
    </row>
    <row r="2994" spans="1:1" ht="13.8" x14ac:dyDescent="0.25">
      <c r="A2994" s="8"/>
    </row>
    <row r="2995" spans="1:1" ht="13.8" x14ac:dyDescent="0.25">
      <c r="A2995" s="8"/>
    </row>
    <row r="2996" spans="1:1" ht="13.8" x14ac:dyDescent="0.25">
      <c r="A2996" s="8"/>
    </row>
    <row r="2997" spans="1:1" ht="13.8" x14ac:dyDescent="0.25">
      <c r="A2997" s="8"/>
    </row>
    <row r="2998" spans="1:1" ht="13.8" x14ac:dyDescent="0.25">
      <c r="A2998" s="8"/>
    </row>
    <row r="2999" spans="1:1" ht="13.8" x14ac:dyDescent="0.25">
      <c r="A2999" s="8"/>
    </row>
    <row r="3000" spans="1:1" ht="13.8" x14ac:dyDescent="0.25">
      <c r="A3000" s="8"/>
    </row>
    <row r="3001" spans="1:1" ht="13.8" x14ac:dyDescent="0.25">
      <c r="A3001" s="8"/>
    </row>
    <row r="3002" spans="1:1" ht="13.8" x14ac:dyDescent="0.25">
      <c r="A3002" s="8"/>
    </row>
    <row r="3003" spans="1:1" ht="13.8" x14ac:dyDescent="0.25">
      <c r="A3003" s="8"/>
    </row>
    <row r="3004" spans="1:1" ht="13.8" x14ac:dyDescent="0.25">
      <c r="A3004" s="8"/>
    </row>
    <row r="3005" spans="1:1" ht="13.8" x14ac:dyDescent="0.25">
      <c r="A3005" s="8"/>
    </row>
    <row r="3006" spans="1:1" ht="13.8" x14ac:dyDescent="0.25">
      <c r="A3006" s="8"/>
    </row>
    <row r="3007" spans="1:1" ht="13.8" x14ac:dyDescent="0.25">
      <c r="A3007" s="8"/>
    </row>
    <row r="3008" spans="1:1" ht="13.8" x14ac:dyDescent="0.25">
      <c r="A3008" s="8"/>
    </row>
    <row r="3009" spans="1:1" ht="13.8" x14ac:dyDescent="0.25">
      <c r="A3009" s="8"/>
    </row>
    <row r="3010" spans="1:1" ht="13.8" x14ac:dyDescent="0.25">
      <c r="A3010" s="8"/>
    </row>
    <row r="3011" spans="1:1" ht="13.8" x14ac:dyDescent="0.25">
      <c r="A3011" s="8"/>
    </row>
    <row r="3012" spans="1:1" ht="13.8" x14ac:dyDescent="0.25">
      <c r="A3012" s="8"/>
    </row>
    <row r="3013" spans="1:1" ht="13.8" x14ac:dyDescent="0.25">
      <c r="A3013" s="8"/>
    </row>
    <row r="3014" spans="1:1" ht="13.8" x14ac:dyDescent="0.25">
      <c r="A3014" s="8"/>
    </row>
    <row r="3015" spans="1:1" ht="13.8" x14ac:dyDescent="0.25">
      <c r="A3015" s="8"/>
    </row>
    <row r="3016" spans="1:1" ht="13.8" x14ac:dyDescent="0.25">
      <c r="A3016" s="8"/>
    </row>
    <row r="3017" spans="1:1" ht="13.8" x14ac:dyDescent="0.25">
      <c r="A3017" s="8"/>
    </row>
    <row r="3018" spans="1:1" ht="13.8" x14ac:dyDescent="0.25">
      <c r="A3018" s="8"/>
    </row>
    <row r="3019" spans="1:1" ht="13.8" x14ac:dyDescent="0.25">
      <c r="A3019" s="8"/>
    </row>
    <row r="3020" spans="1:1" ht="13.8" x14ac:dyDescent="0.25">
      <c r="A3020" s="8"/>
    </row>
    <row r="3021" spans="1:1" ht="13.8" x14ac:dyDescent="0.25">
      <c r="A3021" s="8"/>
    </row>
    <row r="3022" spans="1:1" ht="13.8" x14ac:dyDescent="0.25">
      <c r="A3022" s="8"/>
    </row>
    <row r="3023" spans="1:1" ht="13.8" x14ac:dyDescent="0.25">
      <c r="A3023" s="8"/>
    </row>
    <row r="3024" spans="1:1" ht="13.8" x14ac:dyDescent="0.25">
      <c r="A3024" s="8"/>
    </row>
    <row r="3025" spans="1:1" ht="13.8" x14ac:dyDescent="0.25">
      <c r="A3025" s="8"/>
    </row>
    <row r="3026" spans="1:1" ht="13.8" x14ac:dyDescent="0.25">
      <c r="A3026" s="8"/>
    </row>
    <row r="3027" spans="1:1" ht="13.8" x14ac:dyDescent="0.25">
      <c r="A3027" s="8"/>
    </row>
    <row r="3028" spans="1:1" ht="13.8" x14ac:dyDescent="0.25">
      <c r="A3028" s="8"/>
    </row>
    <row r="3029" spans="1:1" ht="13.8" x14ac:dyDescent="0.25">
      <c r="A3029" s="8"/>
    </row>
    <row r="3030" spans="1:1" ht="13.8" x14ac:dyDescent="0.25">
      <c r="A3030" s="8"/>
    </row>
    <row r="3031" spans="1:1" ht="13.8" x14ac:dyDescent="0.25">
      <c r="A3031" s="8"/>
    </row>
    <row r="3032" spans="1:1" ht="13.8" x14ac:dyDescent="0.25">
      <c r="A3032" s="8"/>
    </row>
    <row r="3033" spans="1:1" ht="13.8" x14ac:dyDescent="0.25">
      <c r="A3033" s="8"/>
    </row>
    <row r="3034" spans="1:1" ht="13.8" x14ac:dyDescent="0.25">
      <c r="A3034" s="8"/>
    </row>
    <row r="3035" spans="1:1" ht="13.8" x14ac:dyDescent="0.25">
      <c r="A3035" s="8"/>
    </row>
    <row r="3036" spans="1:1" ht="13.8" x14ac:dyDescent="0.25">
      <c r="A3036" s="8"/>
    </row>
    <row r="3037" spans="1:1" ht="13.8" x14ac:dyDescent="0.25">
      <c r="A3037" s="8"/>
    </row>
    <row r="3038" spans="1:1" ht="13.8" x14ac:dyDescent="0.25">
      <c r="A3038" s="8"/>
    </row>
    <row r="3039" spans="1:1" ht="13.8" x14ac:dyDescent="0.25">
      <c r="A3039" s="8"/>
    </row>
    <row r="3040" spans="1:1" ht="13.8" x14ac:dyDescent="0.25">
      <c r="A3040" s="8"/>
    </row>
    <row r="3041" spans="1:1" ht="13.8" x14ac:dyDescent="0.25">
      <c r="A3041" s="8"/>
    </row>
    <row r="3042" spans="1:1" ht="13.8" x14ac:dyDescent="0.25">
      <c r="A3042" s="8"/>
    </row>
    <row r="3043" spans="1:1" ht="13.8" x14ac:dyDescent="0.25">
      <c r="A3043" s="8"/>
    </row>
    <row r="3044" spans="1:1" ht="13.8" x14ac:dyDescent="0.25">
      <c r="A3044" s="8"/>
    </row>
    <row r="3045" spans="1:1" ht="13.8" x14ac:dyDescent="0.25">
      <c r="A3045" s="8"/>
    </row>
    <row r="3046" spans="1:1" ht="13.8" x14ac:dyDescent="0.25">
      <c r="A3046" s="8"/>
    </row>
    <row r="3047" spans="1:1" ht="13.8" x14ac:dyDescent="0.25">
      <c r="A3047" s="8"/>
    </row>
    <row r="3048" spans="1:1" ht="13.8" x14ac:dyDescent="0.25">
      <c r="A3048" s="8"/>
    </row>
    <row r="3049" spans="1:1" ht="13.8" x14ac:dyDescent="0.25">
      <c r="A3049" s="8"/>
    </row>
    <row r="3050" spans="1:1" ht="13.8" x14ac:dyDescent="0.25">
      <c r="A3050" s="8"/>
    </row>
    <row r="3051" spans="1:1" ht="13.8" x14ac:dyDescent="0.25">
      <c r="A3051" s="8"/>
    </row>
    <row r="3052" spans="1:1" ht="13.8" x14ac:dyDescent="0.25">
      <c r="A3052" s="8"/>
    </row>
    <row r="3053" spans="1:1" ht="13.8" x14ac:dyDescent="0.25">
      <c r="A3053" s="8"/>
    </row>
    <row r="3054" spans="1:1" ht="13.8" x14ac:dyDescent="0.25">
      <c r="A3054" s="8"/>
    </row>
    <row r="3055" spans="1:1" ht="13.8" x14ac:dyDescent="0.25">
      <c r="A3055" s="8"/>
    </row>
    <row r="3056" spans="1:1" ht="13.8" x14ac:dyDescent="0.25">
      <c r="A3056" s="8"/>
    </row>
    <row r="3057" spans="1:1" ht="13.8" x14ac:dyDescent="0.25">
      <c r="A3057" s="8"/>
    </row>
    <row r="3058" spans="1:1" ht="13.8" x14ac:dyDescent="0.25">
      <c r="A3058" s="8"/>
    </row>
    <row r="3059" spans="1:1" ht="13.8" x14ac:dyDescent="0.25">
      <c r="A3059" s="8"/>
    </row>
    <row r="3060" spans="1:1" ht="13.8" x14ac:dyDescent="0.25">
      <c r="A3060" s="8"/>
    </row>
    <row r="3061" spans="1:1" ht="13.8" x14ac:dyDescent="0.25">
      <c r="A3061" s="8"/>
    </row>
    <row r="3062" spans="1:1" ht="13.8" x14ac:dyDescent="0.25">
      <c r="A3062" s="8"/>
    </row>
    <row r="3063" spans="1:1" ht="13.8" x14ac:dyDescent="0.25">
      <c r="A3063" s="8"/>
    </row>
    <row r="3064" spans="1:1" ht="13.8" x14ac:dyDescent="0.25">
      <c r="A3064" s="8"/>
    </row>
    <row r="3065" spans="1:1" ht="13.8" x14ac:dyDescent="0.25">
      <c r="A3065" s="8"/>
    </row>
    <row r="3066" spans="1:1" ht="13.8" x14ac:dyDescent="0.25">
      <c r="A3066" s="8"/>
    </row>
    <row r="3067" spans="1:1" ht="13.8" x14ac:dyDescent="0.25">
      <c r="A3067" s="8"/>
    </row>
    <row r="3068" spans="1:1" ht="13.8" x14ac:dyDescent="0.25">
      <c r="A3068" s="8"/>
    </row>
    <row r="3069" spans="1:1" ht="13.8" x14ac:dyDescent="0.25">
      <c r="A3069" s="8"/>
    </row>
    <row r="3070" spans="1:1" ht="13.8" x14ac:dyDescent="0.25">
      <c r="A3070" s="8"/>
    </row>
    <row r="3071" spans="1:1" ht="13.8" x14ac:dyDescent="0.25">
      <c r="A3071" s="8"/>
    </row>
    <row r="3072" spans="1:1" ht="13.8" x14ac:dyDescent="0.25">
      <c r="A3072" s="8"/>
    </row>
    <row r="3073" spans="1:1" ht="13.8" x14ac:dyDescent="0.25">
      <c r="A3073" s="8"/>
    </row>
    <row r="3074" spans="1:1" ht="13.8" x14ac:dyDescent="0.25">
      <c r="A3074" s="8"/>
    </row>
    <row r="3075" spans="1:1" ht="13.8" x14ac:dyDescent="0.25">
      <c r="A3075" s="8"/>
    </row>
    <row r="3076" spans="1:1" ht="13.8" x14ac:dyDescent="0.25">
      <c r="A3076" s="8"/>
    </row>
    <row r="3077" spans="1:1" ht="13.8" x14ac:dyDescent="0.25">
      <c r="A3077" s="8"/>
    </row>
    <row r="3078" spans="1:1" ht="13.8" x14ac:dyDescent="0.25">
      <c r="A3078" s="8"/>
    </row>
    <row r="3079" spans="1:1" ht="13.8" x14ac:dyDescent="0.25">
      <c r="A3079" s="8"/>
    </row>
    <row r="3080" spans="1:1" ht="13.8" x14ac:dyDescent="0.25">
      <c r="A3080" s="8"/>
    </row>
    <row r="3081" spans="1:1" ht="13.8" x14ac:dyDescent="0.25">
      <c r="A3081" s="8"/>
    </row>
    <row r="3082" spans="1:1" ht="13.8" x14ac:dyDescent="0.25">
      <c r="A3082" s="8"/>
    </row>
    <row r="3083" spans="1:1" ht="13.8" x14ac:dyDescent="0.25">
      <c r="A3083" s="8"/>
    </row>
    <row r="3084" spans="1:1" ht="13.8" x14ac:dyDescent="0.25">
      <c r="A3084" s="8"/>
    </row>
    <row r="3085" spans="1:1" ht="13.8" x14ac:dyDescent="0.25">
      <c r="A3085" s="8"/>
    </row>
    <row r="3086" spans="1:1" ht="13.8" x14ac:dyDescent="0.25">
      <c r="A3086" s="8"/>
    </row>
    <row r="3087" spans="1:1" ht="13.8" x14ac:dyDescent="0.25">
      <c r="A3087" s="8"/>
    </row>
    <row r="3088" spans="1:1" ht="13.8" x14ac:dyDescent="0.25">
      <c r="A3088" s="8"/>
    </row>
    <row r="3089" spans="1:1" ht="13.8" x14ac:dyDescent="0.25">
      <c r="A3089" s="8"/>
    </row>
    <row r="3090" spans="1:1" ht="13.8" x14ac:dyDescent="0.25">
      <c r="A3090" s="8"/>
    </row>
    <row r="3091" spans="1:1" ht="13.8" x14ac:dyDescent="0.25">
      <c r="A3091" s="8"/>
    </row>
    <row r="3092" spans="1:1" ht="13.8" x14ac:dyDescent="0.25">
      <c r="A3092" s="8"/>
    </row>
    <row r="3093" spans="1:1" ht="13.8" x14ac:dyDescent="0.25">
      <c r="A3093" s="8"/>
    </row>
    <row r="3094" spans="1:1" ht="13.8" x14ac:dyDescent="0.25">
      <c r="A3094" s="8"/>
    </row>
    <row r="3095" spans="1:1" ht="13.8" x14ac:dyDescent="0.25">
      <c r="A3095" s="8"/>
    </row>
    <row r="3096" spans="1:1" ht="13.8" x14ac:dyDescent="0.25">
      <c r="A3096" s="8"/>
    </row>
    <row r="3097" spans="1:1" ht="13.8" x14ac:dyDescent="0.25">
      <c r="A3097" s="8"/>
    </row>
    <row r="3098" spans="1:1" ht="13.8" x14ac:dyDescent="0.25">
      <c r="A3098" s="8"/>
    </row>
    <row r="3099" spans="1:1" ht="13.8" x14ac:dyDescent="0.25">
      <c r="A3099" s="8"/>
    </row>
    <row r="3100" spans="1:1" ht="13.8" x14ac:dyDescent="0.25">
      <c r="A3100" s="8"/>
    </row>
    <row r="3101" spans="1:1" ht="13.8" x14ac:dyDescent="0.25">
      <c r="A3101" s="8"/>
    </row>
    <row r="3102" spans="1:1" ht="13.8" x14ac:dyDescent="0.25">
      <c r="A3102" s="8"/>
    </row>
    <row r="3103" spans="1:1" ht="13.8" x14ac:dyDescent="0.25">
      <c r="A3103" s="8"/>
    </row>
    <row r="3104" spans="1:1" ht="13.8" x14ac:dyDescent="0.25">
      <c r="A3104" s="8"/>
    </row>
    <row r="3105" spans="1:1" ht="13.8" x14ac:dyDescent="0.25">
      <c r="A3105" s="8"/>
    </row>
    <row r="3106" spans="1:1" ht="13.8" x14ac:dyDescent="0.25">
      <c r="A3106" s="8"/>
    </row>
    <row r="3107" spans="1:1" ht="13.8" x14ac:dyDescent="0.25">
      <c r="A3107" s="8"/>
    </row>
    <row r="3108" spans="1:1" ht="13.8" x14ac:dyDescent="0.25">
      <c r="A3108" s="8"/>
    </row>
    <row r="3109" spans="1:1" ht="13.8" x14ac:dyDescent="0.25">
      <c r="A3109" s="8"/>
    </row>
    <row r="3110" spans="1:1" ht="13.8" x14ac:dyDescent="0.25">
      <c r="A3110" s="8"/>
    </row>
    <row r="3111" spans="1:1" ht="13.8" x14ac:dyDescent="0.25">
      <c r="A3111" s="8"/>
    </row>
    <row r="3112" spans="1:1" ht="13.8" x14ac:dyDescent="0.25">
      <c r="A3112" s="8"/>
    </row>
    <row r="3113" spans="1:1" ht="13.8" x14ac:dyDescent="0.25">
      <c r="A3113" s="8"/>
    </row>
    <row r="3114" spans="1:1" ht="13.8" x14ac:dyDescent="0.25">
      <c r="A3114" s="8"/>
    </row>
    <row r="3115" spans="1:1" ht="13.8" x14ac:dyDescent="0.25">
      <c r="A3115" s="8"/>
    </row>
    <row r="3116" spans="1:1" ht="13.8" x14ac:dyDescent="0.25">
      <c r="A3116" s="8"/>
    </row>
    <row r="3117" spans="1:1" ht="13.8" x14ac:dyDescent="0.25">
      <c r="A3117" s="8"/>
    </row>
    <row r="3118" spans="1:1" ht="13.8" x14ac:dyDescent="0.25">
      <c r="A3118" s="8"/>
    </row>
    <row r="3119" spans="1:1" ht="13.8" x14ac:dyDescent="0.25">
      <c r="A3119" s="8"/>
    </row>
    <row r="3120" spans="1:1" ht="13.8" x14ac:dyDescent="0.25">
      <c r="A3120" s="8"/>
    </row>
    <row r="3121" spans="1:1" ht="13.8" x14ac:dyDescent="0.25">
      <c r="A3121" s="8"/>
    </row>
    <row r="3122" spans="1:1" ht="13.8" x14ac:dyDescent="0.25">
      <c r="A3122" s="8"/>
    </row>
    <row r="3123" spans="1:1" ht="13.8" x14ac:dyDescent="0.25">
      <c r="A3123" s="8"/>
    </row>
    <row r="3124" spans="1:1" ht="13.8" x14ac:dyDescent="0.25">
      <c r="A3124" s="8"/>
    </row>
    <row r="3125" spans="1:1" ht="13.8" x14ac:dyDescent="0.25">
      <c r="A3125" s="8"/>
    </row>
    <row r="3126" spans="1:1" ht="13.8" x14ac:dyDescent="0.25">
      <c r="A3126" s="8"/>
    </row>
    <row r="3127" spans="1:1" ht="13.8" x14ac:dyDescent="0.25">
      <c r="A3127" s="8"/>
    </row>
    <row r="3128" spans="1:1" ht="13.8" x14ac:dyDescent="0.25">
      <c r="A3128" s="8"/>
    </row>
    <row r="3129" spans="1:1" ht="13.8" x14ac:dyDescent="0.25">
      <c r="A3129" s="8"/>
    </row>
    <row r="3130" spans="1:1" ht="13.8" x14ac:dyDescent="0.25">
      <c r="A3130" s="8"/>
    </row>
    <row r="3131" spans="1:1" ht="13.8" x14ac:dyDescent="0.25">
      <c r="A3131" s="8"/>
    </row>
    <row r="3132" spans="1:1" ht="13.8" x14ac:dyDescent="0.25">
      <c r="A3132" s="8"/>
    </row>
    <row r="3133" spans="1:1" ht="13.8" x14ac:dyDescent="0.25">
      <c r="A3133" s="8"/>
    </row>
    <row r="3134" spans="1:1" ht="13.8" x14ac:dyDescent="0.25">
      <c r="A3134" s="8"/>
    </row>
    <row r="3135" spans="1:1" ht="13.8" x14ac:dyDescent="0.25">
      <c r="A3135" s="8"/>
    </row>
    <row r="3136" spans="1:1" ht="13.8" x14ac:dyDescent="0.25">
      <c r="A3136" s="8"/>
    </row>
    <row r="3137" spans="1:1" ht="13.8" x14ac:dyDescent="0.25">
      <c r="A3137" s="8"/>
    </row>
    <row r="3138" spans="1:1" ht="13.8" x14ac:dyDescent="0.25">
      <c r="A3138" s="8"/>
    </row>
    <row r="3139" spans="1:1" ht="13.8" x14ac:dyDescent="0.25">
      <c r="A3139" s="8"/>
    </row>
    <row r="3140" spans="1:1" ht="13.8" x14ac:dyDescent="0.25">
      <c r="A3140" s="8"/>
    </row>
    <row r="3141" spans="1:1" ht="13.8" x14ac:dyDescent="0.25">
      <c r="A3141" s="8"/>
    </row>
    <row r="3142" spans="1:1" ht="13.8" x14ac:dyDescent="0.25">
      <c r="A3142" s="8"/>
    </row>
    <row r="3143" spans="1:1" ht="13.8" x14ac:dyDescent="0.25">
      <c r="A3143" s="8"/>
    </row>
    <row r="3144" spans="1:1" ht="13.8" x14ac:dyDescent="0.25">
      <c r="A3144" s="8"/>
    </row>
    <row r="3145" spans="1:1" ht="13.8" x14ac:dyDescent="0.25">
      <c r="A3145" s="8"/>
    </row>
    <row r="3146" spans="1:1" ht="13.8" x14ac:dyDescent="0.25">
      <c r="A3146" s="8"/>
    </row>
    <row r="3147" spans="1:1" ht="13.8" x14ac:dyDescent="0.25">
      <c r="A3147" s="8"/>
    </row>
    <row r="3148" spans="1:1" ht="13.8" x14ac:dyDescent="0.25">
      <c r="A3148" s="8"/>
    </row>
    <row r="3149" spans="1:1" ht="13.8" x14ac:dyDescent="0.25">
      <c r="A3149" s="8"/>
    </row>
    <row r="3150" spans="1:1" ht="13.8" x14ac:dyDescent="0.25">
      <c r="A3150" s="8"/>
    </row>
    <row r="3151" spans="1:1" ht="13.8" x14ac:dyDescent="0.25">
      <c r="A3151" s="8"/>
    </row>
    <row r="3152" spans="1:1" ht="13.8" x14ac:dyDescent="0.25">
      <c r="A3152" s="8"/>
    </row>
    <row r="3153" spans="1:1" ht="13.8" x14ac:dyDescent="0.25">
      <c r="A3153" s="8"/>
    </row>
    <row r="3154" spans="1:1" ht="13.8" x14ac:dyDescent="0.25">
      <c r="A3154" s="8"/>
    </row>
    <row r="3155" spans="1:1" ht="13.8" x14ac:dyDescent="0.25">
      <c r="A3155" s="8"/>
    </row>
    <row r="3156" spans="1:1" ht="13.8" x14ac:dyDescent="0.25">
      <c r="A3156" s="8"/>
    </row>
    <row r="3157" spans="1:1" ht="13.8" x14ac:dyDescent="0.25">
      <c r="A3157" s="8"/>
    </row>
    <row r="3158" spans="1:1" ht="13.8" x14ac:dyDescent="0.25">
      <c r="A3158" s="8"/>
    </row>
    <row r="3159" spans="1:1" ht="13.8" x14ac:dyDescent="0.25">
      <c r="A3159" s="8"/>
    </row>
    <row r="3160" spans="1:1" ht="13.8" x14ac:dyDescent="0.25">
      <c r="A3160" s="8"/>
    </row>
    <row r="3161" spans="1:1" ht="13.8" x14ac:dyDescent="0.25">
      <c r="A3161" s="8"/>
    </row>
    <row r="3162" spans="1:1" ht="13.8" x14ac:dyDescent="0.25">
      <c r="A3162" s="8"/>
    </row>
    <row r="3163" spans="1:1" ht="13.8" x14ac:dyDescent="0.25">
      <c r="A3163" s="8"/>
    </row>
    <row r="3164" spans="1:1" ht="13.8" x14ac:dyDescent="0.25">
      <c r="A3164" s="8"/>
    </row>
    <row r="3165" spans="1:1" ht="13.8" x14ac:dyDescent="0.25">
      <c r="A3165" s="8"/>
    </row>
    <row r="3166" spans="1:1" ht="13.8" x14ac:dyDescent="0.25">
      <c r="A3166" s="8"/>
    </row>
    <row r="3167" spans="1:1" ht="13.8" x14ac:dyDescent="0.25">
      <c r="A3167" s="8"/>
    </row>
    <row r="3168" spans="1:1" ht="13.8" x14ac:dyDescent="0.25">
      <c r="A3168" s="8"/>
    </row>
    <row r="3169" spans="1:1" ht="13.8" x14ac:dyDescent="0.25">
      <c r="A3169" s="8"/>
    </row>
    <row r="3170" spans="1:1" ht="13.8" x14ac:dyDescent="0.25">
      <c r="A3170" s="8"/>
    </row>
    <row r="3171" spans="1:1" ht="13.8" x14ac:dyDescent="0.25">
      <c r="A3171" s="8"/>
    </row>
    <row r="3172" spans="1:1" ht="13.8" x14ac:dyDescent="0.25">
      <c r="A3172" s="8"/>
    </row>
    <row r="3173" spans="1:1" ht="13.8" x14ac:dyDescent="0.25">
      <c r="A3173" s="8"/>
    </row>
    <row r="3174" spans="1:1" ht="13.8" x14ac:dyDescent="0.25">
      <c r="A3174" s="8"/>
    </row>
    <row r="3175" spans="1:1" ht="13.8" x14ac:dyDescent="0.25">
      <c r="A3175" s="8"/>
    </row>
    <row r="3176" spans="1:1" ht="13.8" x14ac:dyDescent="0.25">
      <c r="A3176" s="8"/>
    </row>
    <row r="3177" spans="1:1" ht="13.8" x14ac:dyDescent="0.25">
      <c r="A3177" s="8"/>
    </row>
    <row r="3178" spans="1:1" ht="13.8" x14ac:dyDescent="0.25">
      <c r="A3178" s="8"/>
    </row>
    <row r="3179" spans="1:1" ht="13.8" x14ac:dyDescent="0.25">
      <c r="A3179" s="8"/>
    </row>
    <row r="3180" spans="1:1" ht="13.8" x14ac:dyDescent="0.25">
      <c r="A3180" s="8"/>
    </row>
    <row r="3181" spans="1:1" ht="13.8" x14ac:dyDescent="0.25">
      <c r="A3181" s="8"/>
    </row>
    <row r="3182" spans="1:1" ht="13.8" x14ac:dyDescent="0.25">
      <c r="A3182" s="8"/>
    </row>
    <row r="3183" spans="1:1" ht="13.8" x14ac:dyDescent="0.25">
      <c r="A3183" s="8"/>
    </row>
    <row r="3184" spans="1:1" ht="13.8" x14ac:dyDescent="0.25">
      <c r="A3184" s="8"/>
    </row>
    <row r="3185" spans="1:1" ht="13.8" x14ac:dyDescent="0.25">
      <c r="A3185" s="8"/>
    </row>
    <row r="3186" spans="1:1" ht="13.8" x14ac:dyDescent="0.25">
      <c r="A3186" s="8"/>
    </row>
    <row r="3187" spans="1:1" ht="13.8" x14ac:dyDescent="0.25">
      <c r="A3187" s="8"/>
    </row>
    <row r="3188" spans="1:1" ht="13.8" x14ac:dyDescent="0.25">
      <c r="A3188" s="8"/>
    </row>
    <row r="3189" spans="1:1" ht="13.8" x14ac:dyDescent="0.25">
      <c r="A3189" s="8"/>
    </row>
    <row r="3190" spans="1:1" ht="13.8" x14ac:dyDescent="0.25">
      <c r="A3190" s="8"/>
    </row>
    <row r="3191" spans="1:1" ht="13.8" x14ac:dyDescent="0.25">
      <c r="A3191" s="8"/>
    </row>
    <row r="3192" spans="1:1" ht="13.8" x14ac:dyDescent="0.25">
      <c r="A3192" s="8"/>
    </row>
    <row r="3193" spans="1:1" ht="13.8" x14ac:dyDescent="0.25">
      <c r="A3193" s="8"/>
    </row>
    <row r="3194" spans="1:1" ht="13.8" x14ac:dyDescent="0.25">
      <c r="A3194" s="8"/>
    </row>
    <row r="3195" spans="1:1" ht="13.8" x14ac:dyDescent="0.25">
      <c r="A3195" s="8"/>
    </row>
    <row r="3196" spans="1:1" ht="13.8" x14ac:dyDescent="0.25">
      <c r="A3196" s="8"/>
    </row>
    <row r="3197" spans="1:1" ht="13.8" x14ac:dyDescent="0.25">
      <c r="A3197" s="8"/>
    </row>
    <row r="3198" spans="1:1" ht="13.8" x14ac:dyDescent="0.25">
      <c r="A3198" s="8"/>
    </row>
    <row r="3199" spans="1:1" ht="13.8" x14ac:dyDescent="0.25">
      <c r="A3199" s="8"/>
    </row>
    <row r="3200" spans="1:1" ht="13.8" x14ac:dyDescent="0.25">
      <c r="A3200" s="8"/>
    </row>
    <row r="3201" spans="1:1" ht="13.8" x14ac:dyDescent="0.25">
      <c r="A3201" s="8"/>
    </row>
    <row r="3202" spans="1:1" ht="13.8" x14ac:dyDescent="0.25">
      <c r="A3202" s="8"/>
    </row>
    <row r="3203" spans="1:1" ht="13.8" x14ac:dyDescent="0.25">
      <c r="A3203" s="8"/>
    </row>
    <row r="3204" spans="1:1" ht="13.8" x14ac:dyDescent="0.25">
      <c r="A3204" s="8"/>
    </row>
    <row r="3205" spans="1:1" ht="13.8" x14ac:dyDescent="0.25">
      <c r="A3205" s="8"/>
    </row>
    <row r="3206" spans="1:1" ht="13.8" x14ac:dyDescent="0.25">
      <c r="A3206" s="8"/>
    </row>
    <row r="3207" spans="1:1" ht="13.8" x14ac:dyDescent="0.25">
      <c r="A3207" s="8"/>
    </row>
    <row r="3208" spans="1:1" ht="13.8" x14ac:dyDescent="0.25">
      <c r="A3208" s="8"/>
    </row>
    <row r="3209" spans="1:1" ht="13.8" x14ac:dyDescent="0.25">
      <c r="A3209" s="8"/>
    </row>
    <row r="3210" spans="1:1" ht="13.8" x14ac:dyDescent="0.25">
      <c r="A3210" s="8"/>
    </row>
    <row r="3211" spans="1:1" ht="13.8" x14ac:dyDescent="0.25">
      <c r="A3211" s="8"/>
    </row>
    <row r="3212" spans="1:1" ht="13.8" x14ac:dyDescent="0.25">
      <c r="A3212" s="8"/>
    </row>
    <row r="3213" spans="1:1" ht="13.8" x14ac:dyDescent="0.25">
      <c r="A3213" s="8"/>
    </row>
    <row r="3214" spans="1:1" ht="13.8" x14ac:dyDescent="0.25">
      <c r="A3214" s="8"/>
    </row>
    <row r="3215" spans="1:1" ht="13.8" x14ac:dyDescent="0.25">
      <c r="A3215" s="8"/>
    </row>
    <row r="3216" spans="1:1" ht="13.8" x14ac:dyDescent="0.25">
      <c r="A3216" s="8"/>
    </row>
    <row r="3217" spans="1:1" ht="13.8" x14ac:dyDescent="0.25">
      <c r="A3217" s="8"/>
    </row>
    <row r="3218" spans="1:1" ht="13.8" x14ac:dyDescent="0.25">
      <c r="A3218" s="8"/>
    </row>
    <row r="3219" spans="1:1" ht="13.8" x14ac:dyDescent="0.25">
      <c r="A3219" s="8"/>
    </row>
    <row r="3220" spans="1:1" ht="13.8" x14ac:dyDescent="0.25">
      <c r="A3220" s="8"/>
    </row>
    <row r="3221" spans="1:1" ht="13.8" x14ac:dyDescent="0.25">
      <c r="A3221" s="8"/>
    </row>
    <row r="3222" spans="1:1" ht="13.8" x14ac:dyDescent="0.25">
      <c r="A3222" s="8"/>
    </row>
    <row r="3223" spans="1:1" ht="13.8" x14ac:dyDescent="0.25">
      <c r="A3223" s="8"/>
    </row>
    <row r="3224" spans="1:1" ht="13.8" x14ac:dyDescent="0.25">
      <c r="A3224" s="8"/>
    </row>
    <row r="3225" spans="1:1" ht="13.8" x14ac:dyDescent="0.25">
      <c r="A3225" s="8"/>
    </row>
    <row r="3226" spans="1:1" ht="13.8" x14ac:dyDescent="0.25">
      <c r="A3226" s="8"/>
    </row>
    <row r="3227" spans="1:1" ht="13.8" x14ac:dyDescent="0.25">
      <c r="A3227" s="8"/>
    </row>
    <row r="3228" spans="1:1" ht="13.8" x14ac:dyDescent="0.25">
      <c r="A3228" s="8"/>
    </row>
    <row r="3229" spans="1:1" ht="13.8" x14ac:dyDescent="0.25">
      <c r="A3229" s="8"/>
    </row>
    <row r="3230" spans="1:1" ht="13.8" x14ac:dyDescent="0.25">
      <c r="A3230" s="8"/>
    </row>
    <row r="3231" spans="1:1" ht="13.8" x14ac:dyDescent="0.25">
      <c r="A3231" s="8"/>
    </row>
    <row r="3232" spans="1:1" ht="13.8" x14ac:dyDescent="0.25">
      <c r="A3232" s="8"/>
    </row>
    <row r="3233" spans="1:1" ht="13.8" x14ac:dyDescent="0.25">
      <c r="A3233" s="8"/>
    </row>
    <row r="3234" spans="1:1" ht="13.8" x14ac:dyDescent="0.25">
      <c r="A3234" s="8"/>
    </row>
    <row r="3235" spans="1:1" ht="13.8" x14ac:dyDescent="0.25">
      <c r="A3235" s="8"/>
    </row>
    <row r="3236" spans="1:1" ht="13.8" x14ac:dyDescent="0.25">
      <c r="A3236" s="8"/>
    </row>
    <row r="3237" spans="1:1" ht="13.8" x14ac:dyDescent="0.25">
      <c r="A3237" s="8"/>
    </row>
    <row r="3238" spans="1:1" ht="13.8" x14ac:dyDescent="0.25">
      <c r="A3238" s="8"/>
    </row>
    <row r="3239" spans="1:1" ht="13.8" x14ac:dyDescent="0.25">
      <c r="A3239" s="8"/>
    </row>
    <row r="3240" spans="1:1" ht="13.8" x14ac:dyDescent="0.25">
      <c r="A3240" s="8"/>
    </row>
    <row r="3241" spans="1:1" ht="13.8" x14ac:dyDescent="0.25">
      <c r="A3241" s="8"/>
    </row>
    <row r="3242" spans="1:1" ht="13.8" x14ac:dyDescent="0.25">
      <c r="A3242" s="8"/>
    </row>
    <row r="3243" spans="1:1" ht="13.8" x14ac:dyDescent="0.25">
      <c r="A3243" s="8"/>
    </row>
    <row r="3244" spans="1:1" ht="13.8" x14ac:dyDescent="0.25">
      <c r="A3244" s="8"/>
    </row>
    <row r="3245" spans="1:1" ht="13.8" x14ac:dyDescent="0.25">
      <c r="A3245" s="8"/>
    </row>
    <row r="3246" spans="1:1" ht="13.8" x14ac:dyDescent="0.25">
      <c r="A3246" s="8"/>
    </row>
    <row r="3247" spans="1:1" ht="13.8" x14ac:dyDescent="0.25">
      <c r="A3247" s="8"/>
    </row>
    <row r="3248" spans="1:1" ht="13.8" x14ac:dyDescent="0.25">
      <c r="A3248" s="8"/>
    </row>
    <row r="3249" spans="1:1" ht="13.8" x14ac:dyDescent="0.25">
      <c r="A3249" s="8"/>
    </row>
    <row r="3250" spans="1:1" ht="13.8" x14ac:dyDescent="0.25">
      <c r="A3250" s="8"/>
    </row>
    <row r="3251" spans="1:1" ht="13.8" x14ac:dyDescent="0.25">
      <c r="A3251" s="8"/>
    </row>
    <row r="3252" spans="1:1" ht="13.8" x14ac:dyDescent="0.25">
      <c r="A3252" s="8"/>
    </row>
    <row r="3253" spans="1:1" ht="13.8" x14ac:dyDescent="0.25">
      <c r="A3253" s="8"/>
    </row>
    <row r="3254" spans="1:1" ht="13.8" x14ac:dyDescent="0.25">
      <c r="A3254" s="8"/>
    </row>
    <row r="3255" spans="1:1" ht="13.8" x14ac:dyDescent="0.25">
      <c r="A3255" s="8"/>
    </row>
    <row r="3256" spans="1:1" ht="13.8" x14ac:dyDescent="0.25">
      <c r="A3256" s="8"/>
    </row>
    <row r="3257" spans="1:1" ht="13.8" x14ac:dyDescent="0.25">
      <c r="A3257" s="8"/>
    </row>
    <row r="3258" spans="1:1" ht="13.8" x14ac:dyDescent="0.25">
      <c r="A3258" s="8"/>
    </row>
    <row r="3259" spans="1:1" ht="13.8" x14ac:dyDescent="0.25">
      <c r="A3259" s="8"/>
    </row>
    <row r="3260" spans="1:1" ht="13.8" x14ac:dyDescent="0.25">
      <c r="A3260" s="8"/>
    </row>
    <row r="3261" spans="1:1" ht="13.8" x14ac:dyDescent="0.25">
      <c r="A3261" s="8"/>
    </row>
    <row r="3262" spans="1:1" ht="13.8" x14ac:dyDescent="0.25">
      <c r="A3262" s="8"/>
    </row>
    <row r="3263" spans="1:1" ht="13.8" x14ac:dyDescent="0.25">
      <c r="A3263" s="8"/>
    </row>
    <row r="3264" spans="1:1" ht="13.8" x14ac:dyDescent="0.25">
      <c r="A3264" s="8"/>
    </row>
    <row r="3265" spans="1:1" ht="13.8" x14ac:dyDescent="0.25">
      <c r="A3265" s="8"/>
    </row>
    <row r="3266" spans="1:1" ht="13.8" x14ac:dyDescent="0.25">
      <c r="A3266" s="8"/>
    </row>
    <row r="3267" spans="1:1" ht="13.8" x14ac:dyDescent="0.25">
      <c r="A3267" s="8"/>
    </row>
    <row r="3268" spans="1:1" ht="13.8" x14ac:dyDescent="0.25">
      <c r="A3268" s="8"/>
    </row>
    <row r="3269" spans="1:1" ht="13.8" x14ac:dyDescent="0.25">
      <c r="A3269" s="8"/>
    </row>
    <row r="3270" spans="1:1" ht="13.8" x14ac:dyDescent="0.25">
      <c r="A3270" s="8"/>
    </row>
    <row r="3271" spans="1:1" ht="13.8" x14ac:dyDescent="0.25">
      <c r="A3271" s="8"/>
    </row>
    <row r="3272" spans="1:1" ht="13.8" x14ac:dyDescent="0.25">
      <c r="A3272" s="8"/>
    </row>
    <row r="3273" spans="1:1" ht="13.8" x14ac:dyDescent="0.25">
      <c r="A3273" s="8"/>
    </row>
    <row r="3274" spans="1:1" ht="13.8" x14ac:dyDescent="0.25">
      <c r="A3274" s="8"/>
    </row>
    <row r="3275" spans="1:1" ht="13.8" x14ac:dyDescent="0.25">
      <c r="A3275" s="8"/>
    </row>
    <row r="3276" spans="1:1" ht="13.8" x14ac:dyDescent="0.25">
      <c r="A3276" s="8"/>
    </row>
    <row r="3277" spans="1:1" ht="13.8" x14ac:dyDescent="0.25">
      <c r="A3277" s="8"/>
    </row>
    <row r="3278" spans="1:1" ht="13.8" x14ac:dyDescent="0.25">
      <c r="A3278" s="8"/>
    </row>
    <row r="3279" spans="1:1" ht="13.8" x14ac:dyDescent="0.25">
      <c r="A3279" s="8"/>
    </row>
    <row r="3280" spans="1:1" ht="13.8" x14ac:dyDescent="0.25">
      <c r="A3280" s="8"/>
    </row>
    <row r="3281" spans="1:1" ht="13.8" x14ac:dyDescent="0.25">
      <c r="A3281" s="8"/>
    </row>
    <row r="3282" spans="1:1" ht="13.8" x14ac:dyDescent="0.25">
      <c r="A3282" s="8"/>
    </row>
    <row r="3283" spans="1:1" ht="13.8" x14ac:dyDescent="0.25">
      <c r="A3283" s="8"/>
    </row>
    <row r="3284" spans="1:1" ht="13.8" x14ac:dyDescent="0.25">
      <c r="A3284" s="8"/>
    </row>
    <row r="3285" spans="1:1" ht="13.8" x14ac:dyDescent="0.25">
      <c r="A3285" s="8"/>
    </row>
    <row r="3286" spans="1:1" ht="13.8" x14ac:dyDescent="0.25">
      <c r="A3286" s="8"/>
    </row>
    <row r="3287" spans="1:1" ht="13.8" x14ac:dyDescent="0.25">
      <c r="A3287" s="8"/>
    </row>
    <row r="3288" spans="1:1" ht="13.8" x14ac:dyDescent="0.25">
      <c r="A3288" s="8"/>
    </row>
    <row r="3289" spans="1:1" ht="13.8" x14ac:dyDescent="0.25">
      <c r="A3289" s="8"/>
    </row>
    <row r="3290" spans="1:1" ht="13.8" x14ac:dyDescent="0.25">
      <c r="A3290" s="8"/>
    </row>
    <row r="3291" spans="1:1" ht="13.8" x14ac:dyDescent="0.25">
      <c r="A3291" s="8"/>
    </row>
    <row r="3292" spans="1:1" ht="13.8" x14ac:dyDescent="0.25">
      <c r="A3292" s="8"/>
    </row>
    <row r="3293" spans="1:1" ht="13.8" x14ac:dyDescent="0.25">
      <c r="A3293" s="8"/>
    </row>
    <row r="3294" spans="1:1" ht="13.8" x14ac:dyDescent="0.25">
      <c r="A3294" s="8"/>
    </row>
    <row r="3295" spans="1:1" ht="13.8" x14ac:dyDescent="0.25">
      <c r="A3295" s="8"/>
    </row>
    <row r="3296" spans="1:1" ht="13.8" x14ac:dyDescent="0.25">
      <c r="A3296" s="8"/>
    </row>
    <row r="3297" spans="1:1" ht="13.8" x14ac:dyDescent="0.25">
      <c r="A3297" s="8"/>
    </row>
    <row r="3298" spans="1:1" ht="13.8" x14ac:dyDescent="0.25">
      <c r="A3298" s="8"/>
    </row>
    <row r="3299" spans="1:1" ht="13.8" x14ac:dyDescent="0.25">
      <c r="A3299" s="8"/>
    </row>
    <row r="3300" spans="1:1" ht="13.8" x14ac:dyDescent="0.25">
      <c r="A3300" s="8"/>
    </row>
    <row r="3301" spans="1:1" ht="13.8" x14ac:dyDescent="0.25">
      <c r="A3301" s="8"/>
    </row>
    <row r="3302" spans="1:1" ht="13.8" x14ac:dyDescent="0.25">
      <c r="A3302" s="8"/>
    </row>
    <row r="3303" spans="1:1" ht="13.8" x14ac:dyDescent="0.25">
      <c r="A3303" s="8"/>
    </row>
    <row r="3304" spans="1:1" ht="13.8" x14ac:dyDescent="0.25">
      <c r="A3304" s="8"/>
    </row>
    <row r="3305" spans="1:1" ht="13.8" x14ac:dyDescent="0.25">
      <c r="A3305" s="8"/>
    </row>
    <row r="3306" spans="1:1" ht="13.8" x14ac:dyDescent="0.25">
      <c r="A3306" s="8"/>
    </row>
    <row r="3307" spans="1:1" ht="13.8" x14ac:dyDescent="0.25">
      <c r="A3307" s="8"/>
    </row>
    <row r="3308" spans="1:1" ht="13.8" x14ac:dyDescent="0.25">
      <c r="A3308" s="8"/>
    </row>
    <row r="3309" spans="1:1" ht="13.8" x14ac:dyDescent="0.25">
      <c r="A3309" s="8"/>
    </row>
    <row r="3310" spans="1:1" ht="13.8" x14ac:dyDescent="0.25">
      <c r="A3310" s="8"/>
    </row>
    <row r="3311" spans="1:1" ht="13.8" x14ac:dyDescent="0.25">
      <c r="A3311" s="8"/>
    </row>
    <row r="3312" spans="1:1" ht="13.8" x14ac:dyDescent="0.25">
      <c r="A3312" s="8"/>
    </row>
    <row r="3313" spans="1:1" ht="13.8" x14ac:dyDescent="0.25">
      <c r="A3313" s="8"/>
    </row>
    <row r="3314" spans="1:1" ht="13.8" x14ac:dyDescent="0.25">
      <c r="A3314" s="8"/>
    </row>
    <row r="3315" spans="1:1" ht="13.8" x14ac:dyDescent="0.25">
      <c r="A3315" s="8"/>
    </row>
    <row r="3316" spans="1:1" ht="13.8" x14ac:dyDescent="0.25">
      <c r="A3316" s="8"/>
    </row>
    <row r="3317" spans="1:1" ht="13.8" x14ac:dyDescent="0.25">
      <c r="A3317" s="8"/>
    </row>
    <row r="3318" spans="1:1" ht="13.8" x14ac:dyDescent="0.25">
      <c r="A3318" s="8"/>
    </row>
    <row r="3319" spans="1:1" ht="13.8" x14ac:dyDescent="0.25">
      <c r="A3319" s="8"/>
    </row>
    <row r="3320" spans="1:1" ht="13.8" x14ac:dyDescent="0.25">
      <c r="A3320" s="8"/>
    </row>
    <row r="3321" spans="1:1" ht="13.8" x14ac:dyDescent="0.25">
      <c r="A3321" s="8"/>
    </row>
    <row r="3322" spans="1:1" ht="13.8" x14ac:dyDescent="0.25">
      <c r="A3322" s="8"/>
    </row>
    <row r="3323" spans="1:1" ht="13.8" x14ac:dyDescent="0.25">
      <c r="A3323" s="8"/>
    </row>
    <row r="3324" spans="1:1" ht="13.8" x14ac:dyDescent="0.25">
      <c r="A3324" s="8"/>
    </row>
    <row r="3325" spans="1:1" ht="13.8" x14ac:dyDescent="0.25">
      <c r="A3325" s="8"/>
    </row>
    <row r="3326" spans="1:1" ht="13.8" x14ac:dyDescent="0.25">
      <c r="A3326" s="8"/>
    </row>
    <row r="3327" spans="1:1" ht="13.8" x14ac:dyDescent="0.25">
      <c r="A3327" s="8"/>
    </row>
    <row r="3328" spans="1:1" ht="13.8" x14ac:dyDescent="0.25">
      <c r="A3328" s="8"/>
    </row>
    <row r="3329" spans="1:1" ht="13.8" x14ac:dyDescent="0.25">
      <c r="A3329" s="8"/>
    </row>
    <row r="3330" spans="1:1" ht="13.8" x14ac:dyDescent="0.25">
      <c r="A3330" s="8"/>
    </row>
    <row r="3331" spans="1:1" ht="13.8" x14ac:dyDescent="0.25">
      <c r="A3331" s="8"/>
    </row>
    <row r="3332" spans="1:1" ht="13.8" x14ac:dyDescent="0.25">
      <c r="A3332" s="8"/>
    </row>
    <row r="3333" spans="1:1" ht="13.8" x14ac:dyDescent="0.25">
      <c r="A3333" s="8"/>
    </row>
    <row r="3334" spans="1:1" ht="13.8" x14ac:dyDescent="0.25">
      <c r="A3334" s="8"/>
    </row>
    <row r="3335" spans="1:1" ht="13.8" x14ac:dyDescent="0.25">
      <c r="A3335" s="8"/>
    </row>
    <row r="3336" spans="1:1" ht="13.8" x14ac:dyDescent="0.25">
      <c r="A3336" s="8"/>
    </row>
    <row r="3337" spans="1:1" ht="13.8" x14ac:dyDescent="0.25">
      <c r="A3337" s="8"/>
    </row>
    <row r="3338" spans="1:1" ht="13.8" x14ac:dyDescent="0.25">
      <c r="A3338" s="8"/>
    </row>
    <row r="3339" spans="1:1" ht="13.8" x14ac:dyDescent="0.25">
      <c r="A3339" s="8"/>
    </row>
    <row r="3340" spans="1:1" ht="13.8" x14ac:dyDescent="0.25">
      <c r="A3340" s="8"/>
    </row>
    <row r="3341" spans="1:1" ht="13.8" x14ac:dyDescent="0.25">
      <c r="A3341" s="8"/>
    </row>
    <row r="3342" spans="1:1" ht="13.8" x14ac:dyDescent="0.25">
      <c r="A3342" s="8"/>
    </row>
    <row r="3343" spans="1:1" ht="13.8" x14ac:dyDescent="0.25">
      <c r="A3343" s="8"/>
    </row>
    <row r="3344" spans="1:1" ht="13.8" x14ac:dyDescent="0.25">
      <c r="A3344" s="8"/>
    </row>
    <row r="3345" spans="1:1" ht="13.8" x14ac:dyDescent="0.25">
      <c r="A3345" s="8"/>
    </row>
    <row r="3346" spans="1:1" ht="13.8" x14ac:dyDescent="0.25">
      <c r="A3346" s="8"/>
    </row>
    <row r="3347" spans="1:1" ht="13.8" x14ac:dyDescent="0.25">
      <c r="A3347" s="8"/>
    </row>
    <row r="3348" spans="1:1" ht="13.8" x14ac:dyDescent="0.25">
      <c r="A3348" s="8"/>
    </row>
    <row r="3349" spans="1:1" ht="13.8" x14ac:dyDescent="0.25">
      <c r="A3349" s="8"/>
    </row>
    <row r="3350" spans="1:1" ht="13.8" x14ac:dyDescent="0.25">
      <c r="A3350" s="8"/>
    </row>
    <row r="3351" spans="1:1" ht="13.8" x14ac:dyDescent="0.25">
      <c r="A3351" s="8"/>
    </row>
    <row r="3352" spans="1:1" ht="13.8" x14ac:dyDescent="0.25">
      <c r="A3352" s="8"/>
    </row>
    <row r="3353" spans="1:1" ht="13.8" x14ac:dyDescent="0.25">
      <c r="A3353" s="8"/>
    </row>
    <row r="3354" spans="1:1" ht="13.8" x14ac:dyDescent="0.25">
      <c r="A3354" s="8"/>
    </row>
    <row r="3355" spans="1:1" ht="13.8" x14ac:dyDescent="0.25">
      <c r="A3355" s="8"/>
    </row>
    <row r="3356" spans="1:1" ht="13.8" x14ac:dyDescent="0.25">
      <c r="A3356" s="8"/>
    </row>
    <row r="3357" spans="1:1" ht="13.8" x14ac:dyDescent="0.25">
      <c r="A3357" s="8"/>
    </row>
    <row r="3358" spans="1:1" ht="13.8" x14ac:dyDescent="0.25">
      <c r="A3358" s="8"/>
    </row>
    <row r="3359" spans="1:1" ht="13.8" x14ac:dyDescent="0.25">
      <c r="A3359" s="8"/>
    </row>
    <row r="3360" spans="1:1" ht="13.8" x14ac:dyDescent="0.25">
      <c r="A3360" s="8"/>
    </row>
    <row r="3361" spans="1:1" ht="13.8" x14ac:dyDescent="0.25">
      <c r="A3361" s="8"/>
    </row>
    <row r="3362" spans="1:1" ht="13.8" x14ac:dyDescent="0.25">
      <c r="A3362" s="8"/>
    </row>
    <row r="3363" spans="1:1" ht="13.8" x14ac:dyDescent="0.25">
      <c r="A3363" s="8"/>
    </row>
    <row r="3364" spans="1:1" ht="13.8" x14ac:dyDescent="0.25">
      <c r="A3364" s="8"/>
    </row>
    <row r="3365" spans="1:1" ht="13.8" x14ac:dyDescent="0.25">
      <c r="A3365" s="8"/>
    </row>
    <row r="3366" spans="1:1" ht="13.8" x14ac:dyDescent="0.25">
      <c r="A3366" s="8"/>
    </row>
    <row r="3367" spans="1:1" ht="13.8" x14ac:dyDescent="0.25">
      <c r="A3367" s="8"/>
    </row>
    <row r="3368" spans="1:1" ht="13.8" x14ac:dyDescent="0.25">
      <c r="A3368" s="8"/>
    </row>
    <row r="3369" spans="1:1" ht="13.8" x14ac:dyDescent="0.25">
      <c r="A3369" s="8"/>
    </row>
    <row r="3370" spans="1:1" ht="13.8" x14ac:dyDescent="0.25">
      <c r="A3370" s="8"/>
    </row>
    <row r="3371" spans="1:1" ht="13.8" x14ac:dyDescent="0.25">
      <c r="A3371" s="8"/>
    </row>
    <row r="3372" spans="1:1" ht="13.8" x14ac:dyDescent="0.25">
      <c r="A3372" s="8"/>
    </row>
    <row r="3373" spans="1:1" ht="13.8" x14ac:dyDescent="0.25">
      <c r="A3373" s="8"/>
    </row>
    <row r="3374" spans="1:1" ht="13.8" x14ac:dyDescent="0.25">
      <c r="A3374" s="8"/>
    </row>
    <row r="3375" spans="1:1" ht="13.8" x14ac:dyDescent="0.25">
      <c r="A3375" s="8"/>
    </row>
    <row r="3376" spans="1:1" ht="13.8" x14ac:dyDescent="0.25">
      <c r="A3376" s="8"/>
    </row>
    <row r="3377" spans="1:1" ht="13.8" x14ac:dyDescent="0.25">
      <c r="A3377" s="8"/>
    </row>
    <row r="3378" spans="1:1" ht="13.8" x14ac:dyDescent="0.25">
      <c r="A3378" s="8"/>
    </row>
    <row r="3379" spans="1:1" ht="13.8" x14ac:dyDescent="0.25">
      <c r="A3379" s="8"/>
    </row>
    <row r="3380" spans="1:1" ht="13.8" x14ac:dyDescent="0.25">
      <c r="A3380" s="8"/>
    </row>
    <row r="3381" spans="1:1" ht="13.8" x14ac:dyDescent="0.25">
      <c r="A3381" s="8"/>
    </row>
    <row r="3382" spans="1:1" ht="13.8" x14ac:dyDescent="0.25">
      <c r="A3382" s="8"/>
    </row>
    <row r="3383" spans="1:1" ht="13.8" x14ac:dyDescent="0.25">
      <c r="A3383" s="8"/>
    </row>
    <row r="3384" spans="1:1" ht="13.8" x14ac:dyDescent="0.25">
      <c r="A3384" s="8"/>
    </row>
    <row r="3385" spans="1:1" ht="13.8" x14ac:dyDescent="0.25">
      <c r="A3385" s="8"/>
    </row>
    <row r="3386" spans="1:1" ht="13.8" x14ac:dyDescent="0.25">
      <c r="A3386" s="8"/>
    </row>
    <row r="3387" spans="1:1" ht="13.8" x14ac:dyDescent="0.25">
      <c r="A3387" s="8"/>
    </row>
    <row r="3388" spans="1:1" ht="13.8" x14ac:dyDescent="0.25">
      <c r="A3388" s="8"/>
    </row>
    <row r="3389" spans="1:1" ht="13.8" x14ac:dyDescent="0.25">
      <c r="A3389" s="8"/>
    </row>
    <row r="3390" spans="1:1" ht="13.8" x14ac:dyDescent="0.25">
      <c r="A3390" s="8"/>
    </row>
    <row r="3391" spans="1:1" ht="13.8" x14ac:dyDescent="0.25">
      <c r="A3391" s="8"/>
    </row>
    <row r="3392" spans="1:1" ht="13.8" x14ac:dyDescent="0.25">
      <c r="A3392" s="8"/>
    </row>
    <row r="3393" spans="1:1" ht="13.8" x14ac:dyDescent="0.25">
      <c r="A3393" s="8"/>
    </row>
    <row r="3394" spans="1:1" ht="13.8" x14ac:dyDescent="0.25">
      <c r="A3394" s="8"/>
    </row>
    <row r="3395" spans="1:1" ht="13.8" x14ac:dyDescent="0.25">
      <c r="A3395" s="8"/>
    </row>
    <row r="3396" spans="1:1" ht="13.8" x14ac:dyDescent="0.25">
      <c r="A3396" s="8"/>
    </row>
    <row r="3397" spans="1:1" ht="13.8" x14ac:dyDescent="0.25">
      <c r="A3397" s="8"/>
    </row>
    <row r="3398" spans="1:1" ht="13.8" x14ac:dyDescent="0.25">
      <c r="A3398" s="8"/>
    </row>
    <row r="3399" spans="1:1" ht="13.8" x14ac:dyDescent="0.25">
      <c r="A3399" s="8"/>
    </row>
    <row r="3400" spans="1:1" ht="13.8" x14ac:dyDescent="0.25">
      <c r="A3400" s="8"/>
    </row>
    <row r="3401" spans="1:1" ht="13.8" x14ac:dyDescent="0.25">
      <c r="A3401" s="8"/>
    </row>
    <row r="3402" spans="1:1" ht="13.8" x14ac:dyDescent="0.25">
      <c r="A3402" s="8"/>
    </row>
    <row r="3403" spans="1:1" ht="13.8" x14ac:dyDescent="0.25">
      <c r="A3403" s="8"/>
    </row>
    <row r="3404" spans="1:1" ht="13.8" x14ac:dyDescent="0.25">
      <c r="A3404" s="8"/>
    </row>
    <row r="3405" spans="1:1" ht="13.8" x14ac:dyDescent="0.25">
      <c r="A3405" s="8"/>
    </row>
    <row r="3406" spans="1:1" ht="13.8" x14ac:dyDescent="0.25">
      <c r="A3406" s="8"/>
    </row>
    <row r="3407" spans="1:1" ht="13.8" x14ac:dyDescent="0.25">
      <c r="A3407" s="8"/>
    </row>
    <row r="3408" spans="1:1" ht="13.8" x14ac:dyDescent="0.25">
      <c r="A3408" s="8"/>
    </row>
    <row r="3409" spans="1:1" ht="13.8" x14ac:dyDescent="0.25">
      <c r="A3409" s="8"/>
    </row>
    <row r="3410" spans="1:1" ht="13.8" x14ac:dyDescent="0.25">
      <c r="A3410" s="8"/>
    </row>
    <row r="3411" spans="1:1" ht="13.8" x14ac:dyDescent="0.25">
      <c r="A3411" s="8"/>
    </row>
    <row r="3412" spans="1:1" ht="13.8" x14ac:dyDescent="0.25">
      <c r="A3412" s="8"/>
    </row>
    <row r="3413" spans="1:1" ht="13.8" x14ac:dyDescent="0.25">
      <c r="A3413" s="8"/>
    </row>
    <row r="3414" spans="1:1" ht="13.8" x14ac:dyDescent="0.25">
      <c r="A3414" s="8"/>
    </row>
    <row r="3415" spans="1:1" ht="13.8" x14ac:dyDescent="0.25">
      <c r="A3415" s="8"/>
    </row>
    <row r="3416" spans="1:1" ht="13.8" x14ac:dyDescent="0.25">
      <c r="A3416" s="8"/>
    </row>
    <row r="3417" spans="1:1" ht="13.8" x14ac:dyDescent="0.25">
      <c r="A3417" s="8"/>
    </row>
    <row r="3418" spans="1:1" ht="13.8" x14ac:dyDescent="0.25">
      <c r="A3418" s="8"/>
    </row>
    <row r="3419" spans="1:1" ht="13.8" x14ac:dyDescent="0.25">
      <c r="A3419" s="8"/>
    </row>
    <row r="3420" spans="1:1" ht="13.8" x14ac:dyDescent="0.25">
      <c r="A3420" s="8"/>
    </row>
    <row r="3421" spans="1:1" ht="13.8" x14ac:dyDescent="0.25">
      <c r="A3421" s="8"/>
    </row>
    <row r="3422" spans="1:1" ht="13.8" x14ac:dyDescent="0.25">
      <c r="A3422" s="8"/>
    </row>
    <row r="3423" spans="1:1" ht="13.8" x14ac:dyDescent="0.25">
      <c r="A3423" s="8"/>
    </row>
    <row r="3424" spans="1:1" ht="13.8" x14ac:dyDescent="0.25">
      <c r="A3424" s="8"/>
    </row>
    <row r="3425" spans="1:1" ht="13.8" x14ac:dyDescent="0.25">
      <c r="A3425" s="8"/>
    </row>
    <row r="3426" spans="1:1" ht="13.8" x14ac:dyDescent="0.25">
      <c r="A3426" s="8"/>
    </row>
    <row r="3427" spans="1:1" ht="13.8" x14ac:dyDescent="0.25">
      <c r="A3427" s="8"/>
    </row>
    <row r="3428" spans="1:1" ht="13.8" x14ac:dyDescent="0.25">
      <c r="A3428" s="8"/>
    </row>
    <row r="3429" spans="1:1" ht="13.8" x14ac:dyDescent="0.25">
      <c r="A3429" s="8"/>
    </row>
    <row r="3430" spans="1:1" ht="13.8" x14ac:dyDescent="0.25">
      <c r="A3430" s="8"/>
    </row>
    <row r="3431" spans="1:1" ht="13.8" x14ac:dyDescent="0.25">
      <c r="A3431" s="8"/>
    </row>
    <row r="3432" spans="1:1" ht="13.8" x14ac:dyDescent="0.25">
      <c r="A3432" s="8"/>
    </row>
    <row r="3433" spans="1:1" ht="13.8" x14ac:dyDescent="0.25">
      <c r="A3433" s="8"/>
    </row>
    <row r="3434" spans="1:1" ht="13.8" x14ac:dyDescent="0.25">
      <c r="A3434" s="8"/>
    </row>
    <row r="3435" spans="1:1" ht="13.8" x14ac:dyDescent="0.25">
      <c r="A3435" s="8"/>
    </row>
    <row r="3436" spans="1:1" ht="13.8" x14ac:dyDescent="0.25">
      <c r="A3436" s="8"/>
    </row>
    <row r="3437" spans="1:1" ht="13.8" x14ac:dyDescent="0.25">
      <c r="A3437" s="8"/>
    </row>
    <row r="3438" spans="1:1" ht="13.8" x14ac:dyDescent="0.25">
      <c r="A3438" s="8"/>
    </row>
    <row r="3439" spans="1:1" ht="13.8" x14ac:dyDescent="0.25">
      <c r="A3439" s="8"/>
    </row>
    <row r="3440" spans="1:1" ht="13.8" x14ac:dyDescent="0.25">
      <c r="A3440" s="8"/>
    </row>
    <row r="3441" spans="1:1" ht="13.8" x14ac:dyDescent="0.25">
      <c r="A3441" s="8"/>
    </row>
    <row r="3442" spans="1:1" ht="13.8" x14ac:dyDescent="0.25">
      <c r="A3442" s="8"/>
    </row>
    <row r="3443" spans="1:1" ht="13.8" x14ac:dyDescent="0.25">
      <c r="A3443" s="8"/>
    </row>
    <row r="3444" spans="1:1" ht="13.8" x14ac:dyDescent="0.25">
      <c r="A3444" s="8"/>
    </row>
    <row r="3445" spans="1:1" ht="13.8" x14ac:dyDescent="0.25">
      <c r="A3445" s="8"/>
    </row>
    <row r="3446" spans="1:1" ht="13.8" x14ac:dyDescent="0.25">
      <c r="A3446" s="8"/>
    </row>
    <row r="3447" spans="1:1" ht="13.8" x14ac:dyDescent="0.25">
      <c r="A3447" s="8"/>
    </row>
    <row r="3448" spans="1:1" ht="13.8" x14ac:dyDescent="0.25">
      <c r="A3448" s="8"/>
    </row>
    <row r="3449" spans="1:1" ht="13.8" x14ac:dyDescent="0.25">
      <c r="A3449" s="8"/>
    </row>
    <row r="3450" spans="1:1" ht="13.8" x14ac:dyDescent="0.25">
      <c r="A3450" s="8"/>
    </row>
    <row r="3451" spans="1:1" ht="13.8" x14ac:dyDescent="0.25">
      <c r="A3451" s="8"/>
    </row>
    <row r="3452" spans="1:1" ht="13.8" x14ac:dyDescent="0.25">
      <c r="A3452" s="8"/>
    </row>
    <row r="3453" spans="1:1" ht="13.8" x14ac:dyDescent="0.25">
      <c r="A3453" s="8"/>
    </row>
    <row r="3454" spans="1:1" ht="13.8" x14ac:dyDescent="0.25">
      <c r="A3454" s="8"/>
    </row>
    <row r="3455" spans="1:1" ht="13.8" x14ac:dyDescent="0.25">
      <c r="A3455" s="8"/>
    </row>
    <row r="3456" spans="1:1" ht="13.8" x14ac:dyDescent="0.25">
      <c r="A3456" s="8"/>
    </row>
    <row r="3457" spans="1:1" ht="13.8" x14ac:dyDescent="0.25">
      <c r="A3457" s="8"/>
    </row>
    <row r="3458" spans="1:1" ht="13.8" x14ac:dyDescent="0.25">
      <c r="A3458" s="8"/>
    </row>
    <row r="3459" spans="1:1" ht="13.8" x14ac:dyDescent="0.25">
      <c r="A3459" s="8"/>
    </row>
    <row r="3460" spans="1:1" ht="13.8" x14ac:dyDescent="0.25">
      <c r="A3460" s="8"/>
    </row>
    <row r="3461" spans="1:1" ht="13.8" x14ac:dyDescent="0.25">
      <c r="A3461" s="8"/>
    </row>
    <row r="3462" spans="1:1" ht="13.8" x14ac:dyDescent="0.25">
      <c r="A3462" s="8"/>
    </row>
    <row r="3463" spans="1:1" ht="13.8" x14ac:dyDescent="0.25">
      <c r="A3463" s="8"/>
    </row>
    <row r="3464" spans="1:1" ht="13.8" x14ac:dyDescent="0.25">
      <c r="A3464" s="8"/>
    </row>
    <row r="3465" spans="1:1" ht="13.8" x14ac:dyDescent="0.25">
      <c r="A3465" s="8"/>
    </row>
    <row r="3466" spans="1:1" ht="13.8" x14ac:dyDescent="0.25">
      <c r="A3466" s="8"/>
    </row>
    <row r="3467" spans="1:1" ht="13.8" x14ac:dyDescent="0.25">
      <c r="A3467" s="8"/>
    </row>
    <row r="3468" spans="1:1" ht="13.8" x14ac:dyDescent="0.25">
      <c r="A3468" s="8"/>
    </row>
    <row r="3469" spans="1:1" ht="13.8" x14ac:dyDescent="0.25">
      <c r="A3469" s="8"/>
    </row>
    <row r="3470" spans="1:1" ht="13.8" x14ac:dyDescent="0.25">
      <c r="A3470" s="8"/>
    </row>
    <row r="3471" spans="1:1" ht="13.8" x14ac:dyDescent="0.25">
      <c r="A3471" s="8"/>
    </row>
    <row r="3472" spans="1:1" ht="13.8" x14ac:dyDescent="0.25">
      <c r="A3472" s="8"/>
    </row>
    <row r="3473" spans="1:1" ht="13.8" x14ac:dyDescent="0.25">
      <c r="A3473" s="8"/>
    </row>
    <row r="3474" spans="1:1" ht="13.8" x14ac:dyDescent="0.25">
      <c r="A3474" s="8"/>
    </row>
    <row r="3475" spans="1:1" ht="13.8" x14ac:dyDescent="0.25">
      <c r="A3475" s="8"/>
    </row>
    <row r="3476" spans="1:1" ht="13.8" x14ac:dyDescent="0.25">
      <c r="A3476" s="8"/>
    </row>
    <row r="3477" spans="1:1" ht="13.8" x14ac:dyDescent="0.25">
      <c r="A3477" s="8"/>
    </row>
    <row r="3478" spans="1:1" ht="13.8" x14ac:dyDescent="0.25">
      <c r="A3478" s="8"/>
    </row>
    <row r="3479" spans="1:1" ht="13.8" x14ac:dyDescent="0.25">
      <c r="A3479" s="8"/>
    </row>
    <row r="3480" spans="1:1" ht="13.8" x14ac:dyDescent="0.25">
      <c r="A3480" s="8"/>
    </row>
    <row r="3481" spans="1:1" ht="13.8" x14ac:dyDescent="0.25">
      <c r="A3481" s="8"/>
    </row>
    <row r="3482" spans="1:1" ht="13.8" x14ac:dyDescent="0.25">
      <c r="A3482" s="8"/>
    </row>
    <row r="3483" spans="1:1" ht="13.8" x14ac:dyDescent="0.25">
      <c r="A3483" s="8"/>
    </row>
    <row r="3484" spans="1:1" ht="13.8" x14ac:dyDescent="0.25">
      <c r="A3484" s="8"/>
    </row>
    <row r="3485" spans="1:1" ht="13.8" x14ac:dyDescent="0.25">
      <c r="A3485" s="8"/>
    </row>
    <row r="3486" spans="1:1" ht="13.8" x14ac:dyDescent="0.25">
      <c r="A3486" s="8"/>
    </row>
    <row r="3487" spans="1:1" ht="13.8" x14ac:dyDescent="0.25">
      <c r="A3487" s="8"/>
    </row>
    <row r="3488" spans="1:1" ht="13.8" x14ac:dyDescent="0.25">
      <c r="A3488" s="8"/>
    </row>
    <row r="3489" spans="1:1" ht="13.8" x14ac:dyDescent="0.25">
      <c r="A3489" s="8"/>
    </row>
    <row r="3490" spans="1:1" ht="13.8" x14ac:dyDescent="0.25">
      <c r="A3490" s="8"/>
    </row>
    <row r="3491" spans="1:1" ht="13.8" x14ac:dyDescent="0.25">
      <c r="A3491" s="8"/>
    </row>
    <row r="3492" spans="1:1" ht="13.8" x14ac:dyDescent="0.25">
      <c r="A3492" s="8"/>
    </row>
    <row r="3493" spans="1:1" ht="13.8" x14ac:dyDescent="0.25">
      <c r="A3493" s="8"/>
    </row>
    <row r="3494" spans="1:1" ht="13.8" x14ac:dyDescent="0.25">
      <c r="A3494" s="8"/>
    </row>
    <row r="3495" spans="1:1" ht="13.8" x14ac:dyDescent="0.25">
      <c r="A3495" s="8"/>
    </row>
    <row r="3496" spans="1:1" ht="13.8" x14ac:dyDescent="0.25">
      <c r="A3496" s="8"/>
    </row>
    <row r="3497" spans="1:1" ht="13.8" x14ac:dyDescent="0.25">
      <c r="A3497" s="8"/>
    </row>
    <row r="3498" spans="1:1" ht="13.8" x14ac:dyDescent="0.25">
      <c r="A3498" s="8"/>
    </row>
    <row r="3499" spans="1:1" ht="13.8" x14ac:dyDescent="0.25">
      <c r="A3499" s="8"/>
    </row>
    <row r="3500" spans="1:1" ht="13.8" x14ac:dyDescent="0.25">
      <c r="A3500" s="8"/>
    </row>
    <row r="3501" spans="1:1" ht="13.8" x14ac:dyDescent="0.25">
      <c r="A3501" s="8"/>
    </row>
    <row r="3502" spans="1:1" ht="13.8" x14ac:dyDescent="0.25">
      <c r="A3502" s="8"/>
    </row>
    <row r="3503" spans="1:1" ht="13.8" x14ac:dyDescent="0.25">
      <c r="A3503" s="8"/>
    </row>
    <row r="3504" spans="1:1" ht="13.8" x14ac:dyDescent="0.25">
      <c r="A3504" s="8"/>
    </row>
    <row r="3505" spans="1:1" ht="13.8" x14ac:dyDescent="0.25">
      <c r="A3505" s="8"/>
    </row>
    <row r="3506" spans="1:1" ht="13.8" x14ac:dyDescent="0.25">
      <c r="A3506" s="8"/>
    </row>
    <row r="3507" spans="1:1" ht="13.8" x14ac:dyDescent="0.25">
      <c r="A3507" s="8"/>
    </row>
    <row r="3508" spans="1:1" ht="13.8" x14ac:dyDescent="0.25">
      <c r="A3508" s="8"/>
    </row>
    <row r="3509" spans="1:1" ht="13.8" x14ac:dyDescent="0.25">
      <c r="A3509" s="8"/>
    </row>
    <row r="3510" spans="1:1" ht="13.8" x14ac:dyDescent="0.25">
      <c r="A3510" s="8"/>
    </row>
    <row r="3511" spans="1:1" ht="13.8" x14ac:dyDescent="0.25">
      <c r="A3511" s="8"/>
    </row>
    <row r="3512" spans="1:1" ht="13.8" x14ac:dyDescent="0.25">
      <c r="A3512" s="8"/>
    </row>
    <row r="3513" spans="1:1" ht="13.8" x14ac:dyDescent="0.25">
      <c r="A3513" s="8"/>
    </row>
    <row r="3514" spans="1:1" ht="13.8" x14ac:dyDescent="0.25">
      <c r="A3514" s="8"/>
    </row>
    <row r="3515" spans="1:1" ht="13.8" x14ac:dyDescent="0.25">
      <c r="A3515" s="8"/>
    </row>
    <row r="3516" spans="1:1" ht="13.8" x14ac:dyDescent="0.25">
      <c r="A3516" s="8"/>
    </row>
    <row r="3517" spans="1:1" ht="13.8" x14ac:dyDescent="0.25">
      <c r="A3517" s="8"/>
    </row>
    <row r="3518" spans="1:1" ht="13.8" x14ac:dyDescent="0.25">
      <c r="A3518" s="8"/>
    </row>
    <row r="3519" spans="1:1" ht="13.8" x14ac:dyDescent="0.25">
      <c r="A3519" s="8"/>
    </row>
    <row r="3520" spans="1:1" ht="13.8" x14ac:dyDescent="0.25">
      <c r="A3520" s="8"/>
    </row>
    <row r="3521" spans="1:1" ht="13.8" x14ac:dyDescent="0.25">
      <c r="A3521" s="8"/>
    </row>
    <row r="3522" spans="1:1" ht="13.8" x14ac:dyDescent="0.25">
      <c r="A3522" s="8"/>
    </row>
    <row r="3523" spans="1:1" ht="13.8" x14ac:dyDescent="0.25">
      <c r="A3523" s="8"/>
    </row>
    <row r="3524" spans="1:1" ht="13.8" x14ac:dyDescent="0.25">
      <c r="A3524" s="8"/>
    </row>
    <row r="3525" spans="1:1" ht="13.8" x14ac:dyDescent="0.25">
      <c r="A3525" s="8"/>
    </row>
    <row r="3526" spans="1:1" ht="13.8" x14ac:dyDescent="0.25">
      <c r="A3526" s="8"/>
    </row>
    <row r="3527" spans="1:1" ht="13.8" x14ac:dyDescent="0.25">
      <c r="A3527" s="8"/>
    </row>
    <row r="3528" spans="1:1" ht="13.8" x14ac:dyDescent="0.25">
      <c r="A3528" s="8"/>
    </row>
    <row r="3529" spans="1:1" ht="13.8" x14ac:dyDescent="0.25">
      <c r="A3529" s="8"/>
    </row>
    <row r="3530" spans="1:1" ht="13.8" x14ac:dyDescent="0.25">
      <c r="A3530" s="8"/>
    </row>
    <row r="3531" spans="1:1" ht="13.8" x14ac:dyDescent="0.25">
      <c r="A3531" s="8"/>
    </row>
    <row r="3532" spans="1:1" ht="13.8" x14ac:dyDescent="0.25">
      <c r="A3532" s="8"/>
    </row>
    <row r="3533" spans="1:1" ht="13.8" x14ac:dyDescent="0.25">
      <c r="A3533" s="8"/>
    </row>
    <row r="3534" spans="1:1" ht="13.8" x14ac:dyDescent="0.25">
      <c r="A3534" s="8"/>
    </row>
    <row r="3535" spans="1:1" ht="13.8" x14ac:dyDescent="0.25">
      <c r="A3535" s="8"/>
    </row>
    <row r="3536" spans="1:1" ht="13.8" x14ac:dyDescent="0.25">
      <c r="A3536" s="8"/>
    </row>
    <row r="3537" spans="1:1" ht="13.8" x14ac:dyDescent="0.25">
      <c r="A3537" s="8"/>
    </row>
    <row r="3538" spans="1:1" ht="13.8" x14ac:dyDescent="0.25">
      <c r="A3538" s="8"/>
    </row>
    <row r="3539" spans="1:1" ht="13.8" x14ac:dyDescent="0.25">
      <c r="A3539" s="8"/>
    </row>
    <row r="3540" spans="1:1" ht="13.8" x14ac:dyDescent="0.25">
      <c r="A3540" s="8"/>
    </row>
    <row r="3541" spans="1:1" ht="13.8" x14ac:dyDescent="0.25">
      <c r="A3541" s="8"/>
    </row>
    <row r="3542" spans="1:1" ht="13.8" x14ac:dyDescent="0.25">
      <c r="A3542" s="8"/>
    </row>
    <row r="3543" spans="1:1" ht="13.8" x14ac:dyDescent="0.25">
      <c r="A3543" s="8"/>
    </row>
    <row r="3544" spans="1:1" ht="13.8" x14ac:dyDescent="0.25">
      <c r="A3544" s="8"/>
    </row>
    <row r="3545" spans="1:1" ht="13.8" x14ac:dyDescent="0.25">
      <c r="A3545" s="8"/>
    </row>
    <row r="3546" spans="1:1" ht="13.8" x14ac:dyDescent="0.25">
      <c r="A3546" s="8"/>
    </row>
    <row r="3547" spans="1:1" ht="13.8" x14ac:dyDescent="0.25">
      <c r="A3547" s="8"/>
    </row>
    <row r="3548" spans="1:1" ht="13.8" x14ac:dyDescent="0.25">
      <c r="A3548" s="8"/>
    </row>
    <row r="3549" spans="1:1" ht="13.8" x14ac:dyDescent="0.25">
      <c r="A3549" s="8"/>
    </row>
    <row r="3550" spans="1:1" ht="13.8" x14ac:dyDescent="0.25">
      <c r="A3550" s="8"/>
    </row>
    <row r="3551" spans="1:1" ht="13.8" x14ac:dyDescent="0.25">
      <c r="A3551" s="8"/>
    </row>
    <row r="3552" spans="1:1" ht="13.8" x14ac:dyDescent="0.25">
      <c r="A3552" s="8"/>
    </row>
    <row r="3553" spans="1:1" ht="13.8" x14ac:dyDescent="0.25">
      <c r="A3553" s="8"/>
    </row>
    <row r="3554" spans="1:1" ht="13.8" x14ac:dyDescent="0.25">
      <c r="A3554" s="8"/>
    </row>
    <row r="3555" spans="1:1" ht="13.8" x14ac:dyDescent="0.25">
      <c r="A3555" s="8"/>
    </row>
    <row r="3556" spans="1:1" ht="13.8" x14ac:dyDescent="0.25">
      <c r="A3556" s="8"/>
    </row>
    <row r="3557" spans="1:1" ht="13.8" x14ac:dyDescent="0.25">
      <c r="A3557" s="8"/>
    </row>
    <row r="3558" spans="1:1" ht="13.8" x14ac:dyDescent="0.25">
      <c r="A3558" s="8"/>
    </row>
    <row r="3559" spans="1:1" ht="13.8" x14ac:dyDescent="0.25">
      <c r="A3559" s="8"/>
    </row>
    <row r="3560" spans="1:1" ht="13.8" x14ac:dyDescent="0.25">
      <c r="A3560" s="8"/>
    </row>
    <row r="3561" spans="1:1" ht="13.8" x14ac:dyDescent="0.25">
      <c r="A3561" s="8"/>
    </row>
    <row r="3562" spans="1:1" ht="13.8" x14ac:dyDescent="0.25">
      <c r="A3562" s="8"/>
    </row>
    <row r="3563" spans="1:1" ht="13.8" x14ac:dyDescent="0.25">
      <c r="A3563" s="8"/>
    </row>
    <row r="3564" spans="1:1" ht="13.8" x14ac:dyDescent="0.25">
      <c r="A3564" s="8"/>
    </row>
    <row r="3565" spans="1:1" ht="13.8" x14ac:dyDescent="0.25">
      <c r="A3565" s="8"/>
    </row>
    <row r="3566" spans="1:1" ht="13.8" x14ac:dyDescent="0.25">
      <c r="A3566" s="8"/>
    </row>
    <row r="3567" spans="1:1" ht="13.8" x14ac:dyDescent="0.25">
      <c r="A3567" s="8"/>
    </row>
    <row r="3568" spans="1:1" ht="13.8" x14ac:dyDescent="0.25">
      <c r="A3568" s="8"/>
    </row>
    <row r="3569" spans="1:1" ht="13.8" x14ac:dyDescent="0.25">
      <c r="A3569" s="8"/>
    </row>
    <row r="3570" spans="1:1" ht="13.8" x14ac:dyDescent="0.25">
      <c r="A3570" s="8"/>
    </row>
    <row r="3571" spans="1:1" ht="13.8" x14ac:dyDescent="0.25">
      <c r="A3571" s="8"/>
    </row>
    <row r="3572" spans="1:1" ht="13.8" x14ac:dyDescent="0.25">
      <c r="A3572" s="8"/>
    </row>
    <row r="3573" spans="1:1" ht="13.8" x14ac:dyDescent="0.25">
      <c r="A3573" s="8"/>
    </row>
    <row r="3574" spans="1:1" ht="13.8" x14ac:dyDescent="0.25">
      <c r="A3574" s="8"/>
    </row>
    <row r="3575" spans="1:1" ht="13.8" x14ac:dyDescent="0.25">
      <c r="A3575" s="8"/>
    </row>
    <row r="3576" spans="1:1" ht="13.8" x14ac:dyDescent="0.25">
      <c r="A3576" s="8"/>
    </row>
    <row r="3577" spans="1:1" ht="13.8" x14ac:dyDescent="0.25">
      <c r="A3577" s="8"/>
    </row>
    <row r="3578" spans="1:1" ht="13.8" x14ac:dyDescent="0.25">
      <c r="A3578" s="8"/>
    </row>
    <row r="3579" spans="1:1" ht="13.8" x14ac:dyDescent="0.25">
      <c r="A3579" s="8"/>
    </row>
    <row r="3580" spans="1:1" ht="13.8" x14ac:dyDescent="0.25">
      <c r="A3580" s="8"/>
    </row>
    <row r="3581" spans="1:1" ht="13.8" x14ac:dyDescent="0.25">
      <c r="A3581" s="8"/>
    </row>
    <row r="3582" spans="1:1" ht="13.8" x14ac:dyDescent="0.25">
      <c r="A3582" s="8"/>
    </row>
    <row r="3583" spans="1:1" ht="13.8" x14ac:dyDescent="0.25">
      <c r="A3583" s="8"/>
    </row>
    <row r="3584" spans="1:1" ht="13.8" x14ac:dyDescent="0.25">
      <c r="A3584" s="8"/>
    </row>
    <row r="3585" spans="1:1" ht="13.8" x14ac:dyDescent="0.25">
      <c r="A3585" s="8"/>
    </row>
    <row r="3586" spans="1:1" ht="13.8" x14ac:dyDescent="0.25">
      <c r="A3586" s="8"/>
    </row>
    <row r="3587" spans="1:1" ht="13.8" x14ac:dyDescent="0.25">
      <c r="A3587" s="8"/>
    </row>
    <row r="3588" spans="1:1" ht="13.8" x14ac:dyDescent="0.25">
      <c r="A3588" s="8"/>
    </row>
    <row r="3589" spans="1:1" ht="13.8" x14ac:dyDescent="0.25">
      <c r="A3589" s="8"/>
    </row>
    <row r="3590" spans="1:1" ht="13.8" x14ac:dyDescent="0.25">
      <c r="A3590" s="8"/>
    </row>
    <row r="3591" spans="1:1" ht="13.8" x14ac:dyDescent="0.25">
      <c r="A3591" s="8"/>
    </row>
    <row r="3592" spans="1:1" ht="13.8" x14ac:dyDescent="0.25">
      <c r="A3592" s="8"/>
    </row>
    <row r="3593" spans="1:1" ht="13.8" x14ac:dyDescent="0.25">
      <c r="A3593" s="8"/>
    </row>
    <row r="3594" spans="1:1" ht="13.8" x14ac:dyDescent="0.25">
      <c r="A3594" s="8"/>
    </row>
    <row r="3595" spans="1:1" ht="13.8" x14ac:dyDescent="0.25">
      <c r="A3595" s="8"/>
    </row>
    <row r="3596" spans="1:1" ht="13.8" x14ac:dyDescent="0.25">
      <c r="A3596" s="8"/>
    </row>
    <row r="3597" spans="1:1" ht="13.8" x14ac:dyDescent="0.25">
      <c r="A3597" s="8"/>
    </row>
    <row r="3598" spans="1:1" ht="13.8" x14ac:dyDescent="0.25">
      <c r="A3598" s="8"/>
    </row>
    <row r="3599" spans="1:1" ht="13.8" x14ac:dyDescent="0.25">
      <c r="A3599" s="8"/>
    </row>
    <row r="3600" spans="1:1" ht="13.8" x14ac:dyDescent="0.25">
      <c r="A3600" s="8"/>
    </row>
    <row r="3601" spans="1:1" ht="13.8" x14ac:dyDescent="0.25">
      <c r="A3601" s="8"/>
    </row>
    <row r="3602" spans="1:1" ht="13.8" x14ac:dyDescent="0.25">
      <c r="A3602" s="8"/>
    </row>
    <row r="3603" spans="1:1" ht="13.8" x14ac:dyDescent="0.25">
      <c r="A3603" s="8"/>
    </row>
    <row r="3604" spans="1:1" ht="13.8" x14ac:dyDescent="0.25">
      <c r="A3604" s="8"/>
    </row>
    <row r="3605" spans="1:1" ht="13.8" x14ac:dyDescent="0.25">
      <c r="A3605" s="8"/>
    </row>
    <row r="3606" spans="1:1" ht="13.8" x14ac:dyDescent="0.25">
      <c r="A3606" s="8"/>
    </row>
    <row r="3607" spans="1:1" ht="13.8" x14ac:dyDescent="0.25">
      <c r="A3607" s="8"/>
    </row>
    <row r="3608" spans="1:1" ht="13.8" x14ac:dyDescent="0.25">
      <c r="A3608" s="8"/>
    </row>
    <row r="3609" spans="1:1" ht="13.8" x14ac:dyDescent="0.25">
      <c r="A3609" s="8"/>
    </row>
    <row r="3610" spans="1:1" ht="13.8" x14ac:dyDescent="0.25">
      <c r="A3610" s="8"/>
    </row>
    <row r="3611" spans="1:1" ht="13.8" x14ac:dyDescent="0.25">
      <c r="A3611" s="8"/>
    </row>
    <row r="3612" spans="1:1" ht="13.8" x14ac:dyDescent="0.25">
      <c r="A3612" s="8"/>
    </row>
    <row r="3613" spans="1:1" ht="13.8" x14ac:dyDescent="0.25">
      <c r="A3613" s="8"/>
    </row>
    <row r="3614" spans="1:1" ht="13.8" x14ac:dyDescent="0.25">
      <c r="A3614" s="8"/>
    </row>
    <row r="3615" spans="1:1" ht="13.8" x14ac:dyDescent="0.25">
      <c r="A3615" s="8"/>
    </row>
    <row r="3616" spans="1:1" ht="13.8" x14ac:dyDescent="0.25">
      <c r="A3616" s="8"/>
    </row>
    <row r="3617" spans="1:1" ht="13.8" x14ac:dyDescent="0.25">
      <c r="A3617" s="8"/>
    </row>
    <row r="3618" spans="1:1" ht="13.8" x14ac:dyDescent="0.25">
      <c r="A3618" s="8"/>
    </row>
    <row r="3619" spans="1:1" ht="13.8" x14ac:dyDescent="0.25">
      <c r="A3619" s="8"/>
    </row>
    <row r="3620" spans="1:1" ht="13.8" x14ac:dyDescent="0.25">
      <c r="A3620" s="8"/>
    </row>
    <row r="3621" spans="1:1" ht="13.8" x14ac:dyDescent="0.25">
      <c r="A3621" s="8"/>
    </row>
    <row r="3622" spans="1:1" ht="13.8" x14ac:dyDescent="0.25">
      <c r="A3622" s="8"/>
    </row>
    <row r="3623" spans="1:1" ht="13.8" x14ac:dyDescent="0.25">
      <c r="A3623" s="8"/>
    </row>
    <row r="3624" spans="1:1" ht="13.8" x14ac:dyDescent="0.25">
      <c r="A3624" s="8"/>
    </row>
    <row r="3625" spans="1:1" ht="13.8" x14ac:dyDescent="0.25">
      <c r="A3625" s="8"/>
    </row>
    <row r="3626" spans="1:1" ht="13.8" x14ac:dyDescent="0.25">
      <c r="A3626" s="8"/>
    </row>
    <row r="3627" spans="1:1" ht="13.8" x14ac:dyDescent="0.25">
      <c r="A3627" s="8"/>
    </row>
    <row r="3628" spans="1:1" ht="13.8" x14ac:dyDescent="0.25">
      <c r="A3628" s="8"/>
    </row>
    <row r="3629" spans="1:1" ht="13.8" x14ac:dyDescent="0.25">
      <c r="A3629" s="8"/>
    </row>
    <row r="3630" spans="1:1" ht="13.8" x14ac:dyDescent="0.25">
      <c r="A3630" s="8"/>
    </row>
    <row r="3631" spans="1:1" ht="13.8" x14ac:dyDescent="0.25">
      <c r="A3631" s="8"/>
    </row>
    <row r="3632" spans="1:1" ht="13.8" x14ac:dyDescent="0.25">
      <c r="A3632" s="8"/>
    </row>
    <row r="3633" spans="1:1" ht="13.8" x14ac:dyDescent="0.25">
      <c r="A3633" s="8"/>
    </row>
    <row r="3634" spans="1:1" ht="13.8" x14ac:dyDescent="0.25">
      <c r="A3634" s="8"/>
    </row>
    <row r="3635" spans="1:1" ht="13.8" x14ac:dyDescent="0.25">
      <c r="A3635" s="8"/>
    </row>
    <row r="3636" spans="1:1" ht="13.8" x14ac:dyDescent="0.25">
      <c r="A3636" s="8"/>
    </row>
    <row r="3637" spans="1:1" ht="13.8" x14ac:dyDescent="0.25">
      <c r="A3637" s="8"/>
    </row>
    <row r="3638" spans="1:1" ht="13.8" x14ac:dyDescent="0.25">
      <c r="A3638" s="8"/>
    </row>
    <row r="3639" spans="1:1" ht="13.8" x14ac:dyDescent="0.25">
      <c r="A3639" s="8"/>
    </row>
    <row r="3640" spans="1:1" ht="13.8" x14ac:dyDescent="0.25">
      <c r="A3640" s="8"/>
    </row>
    <row r="3641" spans="1:1" ht="13.8" x14ac:dyDescent="0.25">
      <c r="A3641" s="8"/>
    </row>
    <row r="3642" spans="1:1" ht="13.8" x14ac:dyDescent="0.25">
      <c r="A3642" s="8"/>
    </row>
    <row r="3643" spans="1:1" ht="13.8" x14ac:dyDescent="0.25">
      <c r="A3643" s="8"/>
    </row>
    <row r="3644" spans="1:1" ht="13.8" x14ac:dyDescent="0.25">
      <c r="A3644" s="8"/>
    </row>
    <row r="3645" spans="1:1" ht="13.8" x14ac:dyDescent="0.25">
      <c r="A3645" s="8"/>
    </row>
    <row r="3646" spans="1:1" ht="13.8" x14ac:dyDescent="0.25">
      <c r="A3646" s="8"/>
    </row>
    <row r="3647" spans="1:1" ht="13.8" x14ac:dyDescent="0.25">
      <c r="A3647" s="8"/>
    </row>
    <row r="3648" spans="1:1" ht="13.8" x14ac:dyDescent="0.25">
      <c r="A3648" s="8"/>
    </row>
    <row r="3649" spans="1:1" ht="13.8" x14ac:dyDescent="0.25">
      <c r="A3649" s="8"/>
    </row>
    <row r="3650" spans="1:1" ht="13.8" x14ac:dyDescent="0.25">
      <c r="A3650" s="8"/>
    </row>
    <row r="3651" spans="1:1" ht="13.8" x14ac:dyDescent="0.25">
      <c r="A3651" s="8"/>
    </row>
    <row r="3652" spans="1:1" ht="13.8" x14ac:dyDescent="0.25">
      <c r="A3652" s="8"/>
    </row>
    <row r="3653" spans="1:1" ht="13.8" x14ac:dyDescent="0.25">
      <c r="A3653" s="8"/>
    </row>
    <row r="3654" spans="1:1" ht="13.8" x14ac:dyDescent="0.25">
      <c r="A3654" s="8"/>
    </row>
    <row r="3655" spans="1:1" ht="13.8" x14ac:dyDescent="0.25">
      <c r="A3655" s="8"/>
    </row>
    <row r="3656" spans="1:1" ht="13.8" x14ac:dyDescent="0.25">
      <c r="A3656" s="8"/>
    </row>
    <row r="3657" spans="1:1" ht="13.8" x14ac:dyDescent="0.25">
      <c r="A3657" s="8"/>
    </row>
    <row r="3658" spans="1:1" ht="13.8" x14ac:dyDescent="0.25">
      <c r="A3658" s="8"/>
    </row>
    <row r="3659" spans="1:1" ht="13.8" x14ac:dyDescent="0.25">
      <c r="A3659" s="8"/>
    </row>
    <row r="3660" spans="1:1" ht="13.8" x14ac:dyDescent="0.25">
      <c r="A3660" s="8"/>
    </row>
    <row r="3661" spans="1:1" ht="13.8" x14ac:dyDescent="0.25">
      <c r="A3661" s="8"/>
    </row>
    <row r="3662" spans="1:1" ht="13.8" x14ac:dyDescent="0.25">
      <c r="A3662" s="8"/>
    </row>
    <row r="3663" spans="1:1" ht="13.8" x14ac:dyDescent="0.25">
      <c r="A3663" s="8"/>
    </row>
    <row r="3664" spans="1:1" ht="13.8" x14ac:dyDescent="0.25">
      <c r="A3664" s="8"/>
    </row>
    <row r="3665" spans="1:1" ht="13.8" x14ac:dyDescent="0.25">
      <c r="A3665" s="8"/>
    </row>
    <row r="3666" spans="1:1" ht="13.8" x14ac:dyDescent="0.25">
      <c r="A3666" s="8"/>
    </row>
    <row r="3667" spans="1:1" ht="13.8" x14ac:dyDescent="0.25">
      <c r="A3667" s="8"/>
    </row>
    <row r="3668" spans="1:1" ht="13.8" x14ac:dyDescent="0.25">
      <c r="A3668" s="8"/>
    </row>
    <row r="3669" spans="1:1" ht="13.8" x14ac:dyDescent="0.25">
      <c r="A3669" s="8"/>
    </row>
    <row r="3670" spans="1:1" ht="13.8" x14ac:dyDescent="0.25">
      <c r="A3670" s="8"/>
    </row>
    <row r="3671" spans="1:1" ht="13.8" x14ac:dyDescent="0.25">
      <c r="A3671" s="8"/>
    </row>
    <row r="3672" spans="1:1" ht="13.8" x14ac:dyDescent="0.25">
      <c r="A3672" s="8"/>
    </row>
    <row r="3673" spans="1:1" ht="13.8" x14ac:dyDescent="0.25">
      <c r="A3673" s="8"/>
    </row>
    <row r="3674" spans="1:1" ht="13.8" x14ac:dyDescent="0.25">
      <c r="A3674" s="8"/>
    </row>
    <row r="3675" spans="1:1" ht="13.8" x14ac:dyDescent="0.25">
      <c r="A3675" s="8"/>
    </row>
    <row r="3676" spans="1:1" ht="13.8" x14ac:dyDescent="0.25">
      <c r="A3676" s="8"/>
    </row>
    <row r="3677" spans="1:1" ht="13.8" x14ac:dyDescent="0.25">
      <c r="A3677" s="8"/>
    </row>
    <row r="3678" spans="1:1" ht="13.8" x14ac:dyDescent="0.25">
      <c r="A3678" s="8"/>
    </row>
    <row r="3679" spans="1:1" ht="13.8" x14ac:dyDescent="0.25">
      <c r="A3679" s="8"/>
    </row>
    <row r="3680" spans="1:1" ht="13.8" x14ac:dyDescent="0.25">
      <c r="A3680" s="8"/>
    </row>
    <row r="3681" spans="1:1" ht="13.8" x14ac:dyDescent="0.25">
      <c r="A3681" s="8"/>
    </row>
    <row r="3682" spans="1:1" ht="13.8" x14ac:dyDescent="0.25">
      <c r="A3682" s="8"/>
    </row>
    <row r="3683" spans="1:1" ht="13.8" x14ac:dyDescent="0.25">
      <c r="A3683" s="8"/>
    </row>
    <row r="3684" spans="1:1" ht="13.8" x14ac:dyDescent="0.25">
      <c r="A3684" s="8"/>
    </row>
    <row r="3685" spans="1:1" ht="13.8" x14ac:dyDescent="0.25">
      <c r="A3685" s="8"/>
    </row>
    <row r="3686" spans="1:1" ht="13.8" x14ac:dyDescent="0.25">
      <c r="A3686" s="8"/>
    </row>
    <row r="3687" spans="1:1" ht="13.8" x14ac:dyDescent="0.25">
      <c r="A3687" s="8"/>
    </row>
    <row r="3688" spans="1:1" ht="13.8" x14ac:dyDescent="0.25">
      <c r="A3688" s="8"/>
    </row>
    <row r="3689" spans="1:1" ht="13.8" x14ac:dyDescent="0.25">
      <c r="A3689" s="8"/>
    </row>
    <row r="3690" spans="1:1" ht="13.8" x14ac:dyDescent="0.25">
      <c r="A3690" s="8"/>
    </row>
    <row r="3691" spans="1:1" ht="13.8" x14ac:dyDescent="0.25">
      <c r="A3691" s="8"/>
    </row>
    <row r="3692" spans="1:1" ht="13.8" x14ac:dyDescent="0.25">
      <c r="A3692" s="8"/>
    </row>
    <row r="3693" spans="1:1" ht="13.8" x14ac:dyDescent="0.25">
      <c r="A3693" s="8"/>
    </row>
    <row r="3694" spans="1:1" ht="13.8" x14ac:dyDescent="0.25">
      <c r="A3694" s="8"/>
    </row>
    <row r="3695" spans="1:1" ht="13.8" x14ac:dyDescent="0.25">
      <c r="A3695" s="8"/>
    </row>
    <row r="3696" spans="1:1" ht="13.8" x14ac:dyDescent="0.25">
      <c r="A3696" s="8"/>
    </row>
    <row r="3697" spans="1:1" ht="13.8" x14ac:dyDescent="0.25">
      <c r="A3697" s="8"/>
    </row>
    <row r="3698" spans="1:1" ht="13.8" x14ac:dyDescent="0.25">
      <c r="A3698" s="8"/>
    </row>
    <row r="3699" spans="1:1" ht="13.8" x14ac:dyDescent="0.25">
      <c r="A3699" s="8"/>
    </row>
    <row r="3700" spans="1:1" ht="13.8" x14ac:dyDescent="0.25">
      <c r="A3700" s="8"/>
    </row>
    <row r="3701" spans="1:1" ht="13.8" x14ac:dyDescent="0.25">
      <c r="A3701" s="8"/>
    </row>
    <row r="3702" spans="1:1" ht="13.8" x14ac:dyDescent="0.25">
      <c r="A3702" s="8"/>
    </row>
    <row r="3703" spans="1:1" ht="13.8" x14ac:dyDescent="0.25">
      <c r="A3703" s="8"/>
    </row>
    <row r="3704" spans="1:1" ht="13.8" x14ac:dyDescent="0.25">
      <c r="A3704" s="8"/>
    </row>
    <row r="3705" spans="1:1" ht="13.8" x14ac:dyDescent="0.25">
      <c r="A3705" s="8"/>
    </row>
    <row r="3706" spans="1:1" ht="13.8" x14ac:dyDescent="0.25">
      <c r="A3706" s="8"/>
    </row>
    <row r="3707" spans="1:1" ht="13.8" x14ac:dyDescent="0.25">
      <c r="A3707" s="8"/>
    </row>
    <row r="3708" spans="1:1" ht="13.8" x14ac:dyDescent="0.25">
      <c r="A3708" s="8"/>
    </row>
    <row r="3709" spans="1:1" ht="13.8" x14ac:dyDescent="0.25">
      <c r="A3709" s="8"/>
    </row>
    <row r="3710" spans="1:1" ht="13.8" x14ac:dyDescent="0.25">
      <c r="A3710" s="8"/>
    </row>
    <row r="3711" spans="1:1" ht="13.8" x14ac:dyDescent="0.25">
      <c r="A3711" s="8"/>
    </row>
    <row r="3712" spans="1:1" ht="13.8" x14ac:dyDescent="0.25">
      <c r="A3712" s="8"/>
    </row>
    <row r="3713" spans="1:1" ht="13.8" x14ac:dyDescent="0.25">
      <c r="A3713" s="8"/>
    </row>
    <row r="3714" spans="1:1" ht="13.8" x14ac:dyDescent="0.25">
      <c r="A3714" s="8"/>
    </row>
    <row r="3715" spans="1:1" ht="13.8" x14ac:dyDescent="0.25">
      <c r="A3715" s="8"/>
    </row>
    <row r="3716" spans="1:1" ht="13.8" x14ac:dyDescent="0.25">
      <c r="A3716" s="8"/>
    </row>
    <row r="3717" spans="1:1" ht="13.8" x14ac:dyDescent="0.25">
      <c r="A3717" s="8"/>
    </row>
    <row r="3718" spans="1:1" ht="13.8" x14ac:dyDescent="0.25">
      <c r="A3718" s="8"/>
    </row>
    <row r="3719" spans="1:1" ht="13.8" x14ac:dyDescent="0.25">
      <c r="A3719" s="8"/>
    </row>
    <row r="3720" spans="1:1" ht="13.8" x14ac:dyDescent="0.25">
      <c r="A3720" s="8"/>
    </row>
    <row r="3721" spans="1:1" ht="13.8" x14ac:dyDescent="0.25">
      <c r="A3721" s="8"/>
    </row>
    <row r="3722" spans="1:1" ht="13.8" x14ac:dyDescent="0.25">
      <c r="A3722" s="8"/>
    </row>
    <row r="3723" spans="1:1" ht="13.8" x14ac:dyDescent="0.25">
      <c r="A3723" s="8"/>
    </row>
    <row r="3724" spans="1:1" ht="13.8" x14ac:dyDescent="0.25">
      <c r="A3724" s="8"/>
    </row>
    <row r="3725" spans="1:1" ht="13.8" x14ac:dyDescent="0.25">
      <c r="A3725" s="8"/>
    </row>
    <row r="3726" spans="1:1" ht="13.8" x14ac:dyDescent="0.25">
      <c r="A3726" s="8"/>
    </row>
    <row r="3727" spans="1:1" ht="13.8" x14ac:dyDescent="0.25">
      <c r="A3727" s="8"/>
    </row>
    <row r="3728" spans="1:1" ht="13.8" x14ac:dyDescent="0.25">
      <c r="A3728" s="8"/>
    </row>
    <row r="3729" spans="1:1" ht="13.8" x14ac:dyDescent="0.25">
      <c r="A3729" s="8"/>
    </row>
    <row r="3730" spans="1:1" ht="13.8" x14ac:dyDescent="0.25">
      <c r="A3730" s="8"/>
    </row>
    <row r="3731" spans="1:1" ht="13.8" x14ac:dyDescent="0.25">
      <c r="A3731" s="8"/>
    </row>
    <row r="3732" spans="1:1" ht="13.8" x14ac:dyDescent="0.25">
      <c r="A3732" s="8"/>
    </row>
    <row r="3733" spans="1:1" ht="13.8" x14ac:dyDescent="0.25">
      <c r="A3733" s="8"/>
    </row>
    <row r="3734" spans="1:1" ht="13.8" x14ac:dyDescent="0.25">
      <c r="A3734" s="8"/>
    </row>
    <row r="3735" spans="1:1" ht="13.8" x14ac:dyDescent="0.25">
      <c r="A3735" s="8"/>
    </row>
    <row r="3736" spans="1:1" ht="13.8" x14ac:dyDescent="0.25">
      <c r="A3736" s="8"/>
    </row>
    <row r="3737" spans="1:1" ht="13.8" x14ac:dyDescent="0.25">
      <c r="A3737" s="8"/>
    </row>
    <row r="3738" spans="1:1" ht="13.8" x14ac:dyDescent="0.25">
      <c r="A3738" s="8"/>
    </row>
    <row r="3739" spans="1:1" ht="13.8" x14ac:dyDescent="0.25">
      <c r="A3739" s="8"/>
    </row>
    <row r="3740" spans="1:1" ht="13.8" x14ac:dyDescent="0.25">
      <c r="A3740" s="8"/>
    </row>
    <row r="3741" spans="1:1" ht="13.8" x14ac:dyDescent="0.25">
      <c r="A3741" s="8"/>
    </row>
    <row r="3742" spans="1:1" ht="13.8" x14ac:dyDescent="0.25">
      <c r="A3742" s="8"/>
    </row>
    <row r="3743" spans="1:1" ht="13.8" x14ac:dyDescent="0.25">
      <c r="A3743" s="8"/>
    </row>
    <row r="3744" spans="1:1" ht="13.8" x14ac:dyDescent="0.25">
      <c r="A3744" s="8"/>
    </row>
    <row r="3745" spans="1:1" ht="13.8" x14ac:dyDescent="0.25">
      <c r="A3745" s="8"/>
    </row>
    <row r="3746" spans="1:1" ht="13.8" x14ac:dyDescent="0.25">
      <c r="A3746" s="8"/>
    </row>
    <row r="3747" spans="1:1" ht="13.8" x14ac:dyDescent="0.25">
      <c r="A3747" s="8"/>
    </row>
    <row r="3748" spans="1:1" ht="13.8" x14ac:dyDescent="0.25">
      <c r="A3748" s="8"/>
    </row>
    <row r="3749" spans="1:1" ht="13.8" x14ac:dyDescent="0.25">
      <c r="A3749" s="8"/>
    </row>
    <row r="3750" spans="1:1" ht="13.8" x14ac:dyDescent="0.25">
      <c r="A3750" s="8"/>
    </row>
    <row r="3751" spans="1:1" ht="13.8" x14ac:dyDescent="0.25">
      <c r="A3751" s="8"/>
    </row>
    <row r="3752" spans="1:1" ht="13.8" x14ac:dyDescent="0.25">
      <c r="A3752" s="8"/>
    </row>
    <row r="3753" spans="1:1" ht="13.8" x14ac:dyDescent="0.25">
      <c r="A3753" s="8"/>
    </row>
    <row r="3754" spans="1:1" ht="13.8" x14ac:dyDescent="0.25">
      <c r="A3754" s="8"/>
    </row>
    <row r="3755" spans="1:1" ht="13.8" x14ac:dyDescent="0.25">
      <c r="A3755" s="8"/>
    </row>
    <row r="3756" spans="1:1" ht="13.8" x14ac:dyDescent="0.25">
      <c r="A3756" s="8"/>
    </row>
    <row r="3757" spans="1:1" ht="13.8" x14ac:dyDescent="0.25">
      <c r="A3757" s="8"/>
    </row>
    <row r="3758" spans="1:1" ht="13.8" x14ac:dyDescent="0.25">
      <c r="A3758" s="8"/>
    </row>
    <row r="3759" spans="1:1" ht="13.8" x14ac:dyDescent="0.25">
      <c r="A3759" s="8"/>
    </row>
    <row r="3760" spans="1:1" ht="13.8" x14ac:dyDescent="0.25">
      <c r="A3760" s="8"/>
    </row>
    <row r="3761" spans="1:1" ht="13.8" x14ac:dyDescent="0.25">
      <c r="A3761" s="8"/>
    </row>
    <row r="3762" spans="1:1" ht="13.8" x14ac:dyDescent="0.25">
      <c r="A3762" s="8"/>
    </row>
    <row r="3763" spans="1:1" ht="13.8" x14ac:dyDescent="0.25">
      <c r="A3763" s="8"/>
    </row>
    <row r="3764" spans="1:1" ht="13.8" x14ac:dyDescent="0.25">
      <c r="A3764" s="8"/>
    </row>
    <row r="3765" spans="1:1" ht="13.8" x14ac:dyDescent="0.25">
      <c r="A3765" s="8"/>
    </row>
    <row r="3766" spans="1:1" ht="13.8" x14ac:dyDescent="0.25">
      <c r="A3766" s="8"/>
    </row>
    <row r="3767" spans="1:1" ht="13.8" x14ac:dyDescent="0.25">
      <c r="A3767" s="8"/>
    </row>
    <row r="3768" spans="1:1" ht="13.8" x14ac:dyDescent="0.25">
      <c r="A3768" s="8"/>
    </row>
    <row r="3769" spans="1:1" ht="13.8" x14ac:dyDescent="0.25">
      <c r="A3769" s="8"/>
    </row>
    <row r="3770" spans="1:1" ht="13.8" x14ac:dyDescent="0.25">
      <c r="A3770" s="8"/>
    </row>
    <row r="3771" spans="1:1" ht="13.8" x14ac:dyDescent="0.25">
      <c r="A3771" s="8"/>
    </row>
    <row r="3772" spans="1:1" ht="13.8" x14ac:dyDescent="0.25">
      <c r="A3772" s="8"/>
    </row>
    <row r="3773" spans="1:1" ht="13.8" x14ac:dyDescent="0.25">
      <c r="A3773" s="8"/>
    </row>
    <row r="3774" spans="1:1" ht="13.8" x14ac:dyDescent="0.25">
      <c r="A3774" s="8"/>
    </row>
    <row r="3775" spans="1:1" ht="13.8" x14ac:dyDescent="0.25">
      <c r="A3775" s="8"/>
    </row>
    <row r="3776" spans="1:1" ht="13.8" x14ac:dyDescent="0.25">
      <c r="A3776" s="8"/>
    </row>
    <row r="3777" spans="1:1" ht="13.8" x14ac:dyDescent="0.25">
      <c r="A3777" s="8"/>
    </row>
    <row r="3778" spans="1:1" ht="13.8" x14ac:dyDescent="0.25">
      <c r="A3778" s="8"/>
    </row>
    <row r="3779" spans="1:1" ht="13.8" x14ac:dyDescent="0.25">
      <c r="A3779" s="8"/>
    </row>
    <row r="3780" spans="1:1" ht="13.8" x14ac:dyDescent="0.25">
      <c r="A3780" s="8"/>
    </row>
    <row r="3781" spans="1:1" ht="13.8" x14ac:dyDescent="0.25">
      <c r="A3781" s="8"/>
    </row>
    <row r="3782" spans="1:1" ht="13.8" x14ac:dyDescent="0.25">
      <c r="A3782" s="8"/>
    </row>
    <row r="3783" spans="1:1" ht="13.8" x14ac:dyDescent="0.25">
      <c r="A3783" s="8"/>
    </row>
    <row r="3784" spans="1:1" ht="13.8" x14ac:dyDescent="0.25">
      <c r="A3784" s="8"/>
    </row>
    <row r="3785" spans="1:1" ht="13.8" x14ac:dyDescent="0.25">
      <c r="A3785" s="8"/>
    </row>
    <row r="3786" spans="1:1" ht="13.8" x14ac:dyDescent="0.25">
      <c r="A3786" s="8"/>
    </row>
    <row r="3787" spans="1:1" ht="13.8" x14ac:dyDescent="0.25">
      <c r="A3787" s="8"/>
    </row>
    <row r="3788" spans="1:1" ht="13.8" x14ac:dyDescent="0.25">
      <c r="A3788" s="8"/>
    </row>
    <row r="3789" spans="1:1" ht="13.8" x14ac:dyDescent="0.25">
      <c r="A3789" s="8"/>
    </row>
    <row r="3790" spans="1:1" ht="13.8" x14ac:dyDescent="0.25">
      <c r="A3790" s="8"/>
    </row>
    <row r="3791" spans="1:1" ht="13.8" x14ac:dyDescent="0.25">
      <c r="A3791" s="8"/>
    </row>
    <row r="3792" spans="1:1" ht="13.8" x14ac:dyDescent="0.25">
      <c r="A3792" s="8"/>
    </row>
    <row r="3793" spans="1:1" ht="13.8" x14ac:dyDescent="0.25">
      <c r="A3793" s="8"/>
    </row>
    <row r="3794" spans="1:1" ht="13.8" x14ac:dyDescent="0.25">
      <c r="A3794" s="8"/>
    </row>
    <row r="3795" spans="1:1" ht="13.8" x14ac:dyDescent="0.25">
      <c r="A3795" s="8"/>
    </row>
    <row r="3796" spans="1:1" ht="13.8" x14ac:dyDescent="0.25">
      <c r="A3796" s="8"/>
    </row>
    <row r="3797" spans="1:1" ht="13.8" x14ac:dyDescent="0.25">
      <c r="A3797" s="8"/>
    </row>
    <row r="3798" spans="1:1" ht="13.8" x14ac:dyDescent="0.25">
      <c r="A3798" s="8"/>
    </row>
    <row r="3799" spans="1:1" ht="13.8" x14ac:dyDescent="0.25">
      <c r="A3799" s="8"/>
    </row>
    <row r="3800" spans="1:1" ht="13.8" x14ac:dyDescent="0.25">
      <c r="A3800" s="8"/>
    </row>
    <row r="3801" spans="1:1" ht="13.8" x14ac:dyDescent="0.25">
      <c r="A3801" s="8"/>
    </row>
    <row r="3802" spans="1:1" ht="13.8" x14ac:dyDescent="0.25">
      <c r="A3802" s="8"/>
    </row>
    <row r="3803" spans="1:1" ht="13.8" x14ac:dyDescent="0.25">
      <c r="A3803" s="8"/>
    </row>
    <row r="3804" spans="1:1" ht="13.8" x14ac:dyDescent="0.25">
      <c r="A3804" s="8"/>
    </row>
    <row r="3805" spans="1:1" ht="13.8" x14ac:dyDescent="0.25">
      <c r="A3805" s="8"/>
    </row>
    <row r="3806" spans="1:1" ht="13.8" x14ac:dyDescent="0.25">
      <c r="A3806" s="8"/>
    </row>
    <row r="3807" spans="1:1" ht="13.8" x14ac:dyDescent="0.25">
      <c r="A3807" s="8"/>
    </row>
    <row r="3808" spans="1:1" ht="13.8" x14ac:dyDescent="0.25">
      <c r="A3808" s="8"/>
    </row>
    <row r="3809" spans="1:1" ht="13.8" x14ac:dyDescent="0.25">
      <c r="A3809" s="8"/>
    </row>
    <row r="3810" spans="1:1" ht="13.8" x14ac:dyDescent="0.25">
      <c r="A3810" s="8"/>
    </row>
    <row r="3811" spans="1:1" ht="13.8" x14ac:dyDescent="0.25">
      <c r="A3811" s="8"/>
    </row>
    <row r="3812" spans="1:1" ht="13.8" x14ac:dyDescent="0.25">
      <c r="A3812" s="8"/>
    </row>
    <row r="3813" spans="1:1" ht="13.8" x14ac:dyDescent="0.25">
      <c r="A3813" s="8"/>
    </row>
    <row r="3814" spans="1:1" ht="13.8" x14ac:dyDescent="0.25">
      <c r="A3814" s="8"/>
    </row>
    <row r="3815" spans="1:1" ht="13.8" x14ac:dyDescent="0.25">
      <c r="A3815" s="8"/>
    </row>
    <row r="3816" spans="1:1" ht="13.8" x14ac:dyDescent="0.25">
      <c r="A3816" s="8"/>
    </row>
    <row r="3817" spans="1:1" ht="13.8" x14ac:dyDescent="0.25">
      <c r="A3817" s="8"/>
    </row>
    <row r="3818" spans="1:1" ht="13.8" x14ac:dyDescent="0.25">
      <c r="A3818" s="8"/>
    </row>
    <row r="3819" spans="1:1" ht="13.8" x14ac:dyDescent="0.25">
      <c r="A3819" s="8"/>
    </row>
    <row r="3820" spans="1:1" ht="13.8" x14ac:dyDescent="0.25">
      <c r="A3820" s="8"/>
    </row>
    <row r="3821" spans="1:1" ht="13.8" x14ac:dyDescent="0.25">
      <c r="A3821" s="8"/>
    </row>
    <row r="3822" spans="1:1" ht="13.8" x14ac:dyDescent="0.25">
      <c r="A3822" s="8"/>
    </row>
    <row r="3823" spans="1:1" ht="13.8" x14ac:dyDescent="0.25">
      <c r="A3823" s="8"/>
    </row>
    <row r="3824" spans="1:1" ht="13.8" x14ac:dyDescent="0.25">
      <c r="A3824" s="8"/>
    </row>
    <row r="3825" spans="1:1" ht="13.8" x14ac:dyDescent="0.25">
      <c r="A3825" s="8"/>
    </row>
    <row r="3826" spans="1:1" ht="13.8" x14ac:dyDescent="0.25">
      <c r="A3826" s="8"/>
    </row>
    <row r="3827" spans="1:1" ht="13.8" x14ac:dyDescent="0.25">
      <c r="A3827" s="8"/>
    </row>
    <row r="3828" spans="1:1" ht="13.8" x14ac:dyDescent="0.25">
      <c r="A3828" s="8"/>
    </row>
    <row r="3829" spans="1:1" ht="13.8" x14ac:dyDescent="0.25">
      <c r="A3829" s="8"/>
    </row>
    <row r="3830" spans="1:1" ht="13.8" x14ac:dyDescent="0.25">
      <c r="A3830" s="8"/>
    </row>
    <row r="3831" spans="1:1" ht="13.8" x14ac:dyDescent="0.25">
      <c r="A3831" s="8"/>
    </row>
    <row r="3832" spans="1:1" ht="13.8" x14ac:dyDescent="0.25">
      <c r="A3832" s="8"/>
    </row>
    <row r="3833" spans="1:1" ht="13.8" x14ac:dyDescent="0.25">
      <c r="A3833" s="8"/>
    </row>
    <row r="3834" spans="1:1" ht="13.8" x14ac:dyDescent="0.25">
      <c r="A3834" s="8"/>
    </row>
    <row r="3835" spans="1:1" ht="13.8" x14ac:dyDescent="0.25">
      <c r="A3835" s="8"/>
    </row>
    <row r="3836" spans="1:1" ht="13.8" x14ac:dyDescent="0.25">
      <c r="A3836" s="8"/>
    </row>
    <row r="3837" spans="1:1" ht="13.8" x14ac:dyDescent="0.25">
      <c r="A3837" s="8"/>
    </row>
    <row r="3838" spans="1:1" ht="13.8" x14ac:dyDescent="0.25">
      <c r="A3838" s="8"/>
    </row>
    <row r="3839" spans="1:1" ht="13.8" x14ac:dyDescent="0.25">
      <c r="A3839" s="8"/>
    </row>
    <row r="3840" spans="1:1" ht="13.8" x14ac:dyDescent="0.25">
      <c r="A3840" s="8"/>
    </row>
    <row r="3841" spans="1:1" ht="13.8" x14ac:dyDescent="0.25">
      <c r="A3841" s="8"/>
    </row>
    <row r="3842" spans="1:1" ht="13.8" x14ac:dyDescent="0.25">
      <c r="A3842" s="8"/>
    </row>
    <row r="3843" spans="1:1" ht="13.8" x14ac:dyDescent="0.25">
      <c r="A3843" s="8"/>
    </row>
    <row r="3844" spans="1:1" ht="13.8" x14ac:dyDescent="0.25">
      <c r="A3844" s="8"/>
    </row>
    <row r="3845" spans="1:1" ht="13.8" x14ac:dyDescent="0.25">
      <c r="A3845" s="8"/>
    </row>
    <row r="3846" spans="1:1" ht="13.8" x14ac:dyDescent="0.25">
      <c r="A3846" s="8"/>
    </row>
    <row r="3847" spans="1:1" ht="13.8" x14ac:dyDescent="0.25">
      <c r="A3847" s="8"/>
    </row>
    <row r="3848" spans="1:1" ht="13.8" x14ac:dyDescent="0.25">
      <c r="A3848" s="8"/>
    </row>
    <row r="3849" spans="1:1" ht="13.8" x14ac:dyDescent="0.25">
      <c r="A3849" s="8"/>
    </row>
    <row r="3850" spans="1:1" ht="13.8" x14ac:dyDescent="0.25">
      <c r="A3850" s="8"/>
    </row>
    <row r="3851" spans="1:1" ht="13.8" x14ac:dyDescent="0.25">
      <c r="A3851" s="8"/>
    </row>
    <row r="3852" spans="1:1" ht="13.8" x14ac:dyDescent="0.25">
      <c r="A3852" s="8"/>
    </row>
    <row r="3853" spans="1:1" ht="13.8" x14ac:dyDescent="0.25">
      <c r="A3853" s="8"/>
    </row>
    <row r="3854" spans="1:1" ht="13.8" x14ac:dyDescent="0.25">
      <c r="A3854" s="8"/>
    </row>
    <row r="3855" spans="1:1" ht="13.8" x14ac:dyDescent="0.25">
      <c r="A3855" s="8"/>
    </row>
    <row r="3856" spans="1:1" ht="13.8" x14ac:dyDescent="0.25">
      <c r="A3856" s="8"/>
    </row>
    <row r="3857" spans="1:1" ht="13.8" x14ac:dyDescent="0.25">
      <c r="A3857" s="8"/>
    </row>
    <row r="3858" spans="1:1" ht="13.8" x14ac:dyDescent="0.25">
      <c r="A3858" s="8"/>
    </row>
    <row r="3859" spans="1:1" ht="13.8" x14ac:dyDescent="0.25">
      <c r="A3859" s="8"/>
    </row>
    <row r="3860" spans="1:1" ht="13.8" x14ac:dyDescent="0.25">
      <c r="A3860" s="8"/>
    </row>
    <row r="3861" spans="1:1" ht="13.8" x14ac:dyDescent="0.25">
      <c r="A3861" s="8"/>
    </row>
    <row r="3862" spans="1:1" ht="13.8" x14ac:dyDescent="0.25">
      <c r="A3862" s="8"/>
    </row>
    <row r="3863" spans="1:1" ht="13.8" x14ac:dyDescent="0.25">
      <c r="A3863" s="8"/>
    </row>
    <row r="3864" spans="1:1" ht="13.8" x14ac:dyDescent="0.25">
      <c r="A3864" s="8"/>
    </row>
    <row r="3865" spans="1:1" ht="13.8" x14ac:dyDescent="0.25">
      <c r="A3865" s="8"/>
    </row>
    <row r="3866" spans="1:1" ht="13.8" x14ac:dyDescent="0.25">
      <c r="A3866" s="8"/>
    </row>
    <row r="3867" spans="1:1" ht="13.8" x14ac:dyDescent="0.25">
      <c r="A3867" s="8"/>
    </row>
    <row r="3868" spans="1:1" ht="13.8" x14ac:dyDescent="0.25">
      <c r="A3868" s="8"/>
    </row>
    <row r="3869" spans="1:1" ht="13.8" x14ac:dyDescent="0.25">
      <c r="A3869" s="8"/>
    </row>
    <row r="3870" spans="1:1" ht="13.8" x14ac:dyDescent="0.25">
      <c r="A3870" s="8"/>
    </row>
    <row r="3871" spans="1:1" ht="13.8" x14ac:dyDescent="0.25">
      <c r="A3871" s="8"/>
    </row>
    <row r="3872" spans="1:1" ht="13.8" x14ac:dyDescent="0.25">
      <c r="A3872" s="8"/>
    </row>
    <row r="3873" spans="1:1" ht="13.8" x14ac:dyDescent="0.25">
      <c r="A3873" s="8"/>
    </row>
    <row r="3874" spans="1:1" ht="13.8" x14ac:dyDescent="0.25">
      <c r="A3874" s="8"/>
    </row>
    <row r="3875" spans="1:1" ht="13.8" x14ac:dyDescent="0.25">
      <c r="A3875" s="8"/>
    </row>
    <row r="3876" spans="1:1" ht="13.8" x14ac:dyDescent="0.25">
      <c r="A3876" s="8"/>
    </row>
    <row r="3877" spans="1:1" ht="13.8" x14ac:dyDescent="0.25">
      <c r="A3877" s="8"/>
    </row>
    <row r="3878" spans="1:1" ht="13.8" x14ac:dyDescent="0.25">
      <c r="A3878" s="8"/>
    </row>
    <row r="3879" spans="1:1" ht="13.8" x14ac:dyDescent="0.25">
      <c r="A3879" s="8"/>
    </row>
    <row r="3880" spans="1:1" ht="13.8" x14ac:dyDescent="0.25">
      <c r="A3880" s="8"/>
    </row>
    <row r="3881" spans="1:1" ht="13.8" x14ac:dyDescent="0.25">
      <c r="A3881" s="8"/>
    </row>
    <row r="3882" spans="1:1" ht="13.8" x14ac:dyDescent="0.25">
      <c r="A3882" s="8"/>
    </row>
    <row r="3883" spans="1:1" ht="13.8" x14ac:dyDescent="0.25">
      <c r="A3883" s="8"/>
    </row>
    <row r="3884" spans="1:1" ht="13.8" x14ac:dyDescent="0.25">
      <c r="A3884" s="8"/>
    </row>
    <row r="3885" spans="1:1" ht="13.8" x14ac:dyDescent="0.25">
      <c r="A3885" s="8"/>
    </row>
    <row r="3886" spans="1:1" ht="13.8" x14ac:dyDescent="0.25">
      <c r="A3886" s="8"/>
    </row>
    <row r="3887" spans="1:1" ht="13.8" x14ac:dyDescent="0.25">
      <c r="A3887" s="8"/>
    </row>
    <row r="3888" spans="1:1" ht="13.8" x14ac:dyDescent="0.25">
      <c r="A3888" s="8"/>
    </row>
    <row r="3889" spans="1:1" ht="13.8" x14ac:dyDescent="0.25">
      <c r="A3889" s="8"/>
    </row>
    <row r="3890" spans="1:1" ht="13.8" x14ac:dyDescent="0.25">
      <c r="A3890" s="8"/>
    </row>
    <row r="3891" spans="1:1" ht="13.8" x14ac:dyDescent="0.25">
      <c r="A3891" s="8"/>
    </row>
    <row r="3892" spans="1:1" ht="13.8" x14ac:dyDescent="0.25">
      <c r="A3892" s="8"/>
    </row>
    <row r="3893" spans="1:1" ht="13.8" x14ac:dyDescent="0.25">
      <c r="A3893" s="8"/>
    </row>
    <row r="3894" spans="1:1" ht="13.8" x14ac:dyDescent="0.25">
      <c r="A3894" s="8"/>
    </row>
    <row r="3895" spans="1:1" ht="13.8" x14ac:dyDescent="0.25">
      <c r="A3895" s="8"/>
    </row>
    <row r="3896" spans="1:1" ht="13.8" x14ac:dyDescent="0.25">
      <c r="A3896" s="8"/>
    </row>
    <row r="3897" spans="1:1" ht="13.8" x14ac:dyDescent="0.25">
      <c r="A3897" s="8"/>
    </row>
    <row r="3898" spans="1:1" ht="13.8" x14ac:dyDescent="0.25">
      <c r="A3898" s="8"/>
    </row>
    <row r="3899" spans="1:1" ht="13.8" x14ac:dyDescent="0.25">
      <c r="A3899" s="8"/>
    </row>
    <row r="3900" spans="1:1" ht="13.8" x14ac:dyDescent="0.25">
      <c r="A3900" s="8"/>
    </row>
    <row r="3901" spans="1:1" ht="13.8" x14ac:dyDescent="0.25">
      <c r="A3901" s="8"/>
    </row>
    <row r="3902" spans="1:1" ht="13.8" x14ac:dyDescent="0.25">
      <c r="A3902" s="8"/>
    </row>
    <row r="3903" spans="1:1" ht="13.8" x14ac:dyDescent="0.25">
      <c r="A3903" s="8"/>
    </row>
    <row r="3904" spans="1:1" ht="13.8" x14ac:dyDescent="0.25">
      <c r="A3904" s="8"/>
    </row>
    <row r="3905" spans="1:1" ht="13.8" x14ac:dyDescent="0.25">
      <c r="A3905" s="8"/>
    </row>
    <row r="3906" spans="1:1" ht="13.8" x14ac:dyDescent="0.25">
      <c r="A3906" s="8"/>
    </row>
    <row r="3907" spans="1:1" ht="13.8" x14ac:dyDescent="0.25">
      <c r="A3907" s="8"/>
    </row>
    <row r="3908" spans="1:1" ht="13.8" x14ac:dyDescent="0.25">
      <c r="A3908" s="8"/>
    </row>
    <row r="3909" spans="1:1" ht="13.8" x14ac:dyDescent="0.25">
      <c r="A3909" s="8"/>
    </row>
    <row r="3910" spans="1:1" ht="13.8" x14ac:dyDescent="0.25">
      <c r="A3910" s="8"/>
    </row>
    <row r="3911" spans="1:1" ht="13.8" x14ac:dyDescent="0.25">
      <c r="A3911" s="8"/>
    </row>
    <row r="3912" spans="1:1" ht="13.8" x14ac:dyDescent="0.25">
      <c r="A3912" s="8"/>
    </row>
    <row r="3913" spans="1:1" ht="13.8" x14ac:dyDescent="0.25">
      <c r="A3913" s="8"/>
    </row>
    <row r="3914" spans="1:1" ht="13.8" x14ac:dyDescent="0.25">
      <c r="A3914" s="8"/>
    </row>
    <row r="3915" spans="1:1" ht="13.8" x14ac:dyDescent="0.25">
      <c r="A3915" s="8"/>
    </row>
    <row r="3916" spans="1:1" ht="13.8" x14ac:dyDescent="0.25">
      <c r="A3916" s="8"/>
    </row>
    <row r="3917" spans="1:1" ht="13.8" x14ac:dyDescent="0.25">
      <c r="A3917" s="8"/>
    </row>
    <row r="3918" spans="1:1" ht="13.8" x14ac:dyDescent="0.25">
      <c r="A3918" s="8"/>
    </row>
    <row r="3919" spans="1:1" ht="13.8" x14ac:dyDescent="0.25">
      <c r="A3919" s="8"/>
    </row>
    <row r="3920" spans="1:1" ht="13.8" x14ac:dyDescent="0.25">
      <c r="A3920" s="8"/>
    </row>
    <row r="3921" spans="1:1" ht="13.8" x14ac:dyDescent="0.25">
      <c r="A3921" s="8"/>
    </row>
    <row r="3922" spans="1:1" ht="13.8" x14ac:dyDescent="0.25">
      <c r="A3922" s="8"/>
    </row>
    <row r="3923" spans="1:1" ht="13.8" x14ac:dyDescent="0.25">
      <c r="A3923" s="8"/>
    </row>
    <row r="3924" spans="1:1" ht="13.8" x14ac:dyDescent="0.25">
      <c r="A3924" s="8"/>
    </row>
    <row r="3925" spans="1:1" ht="13.8" x14ac:dyDescent="0.25">
      <c r="A3925" s="8"/>
    </row>
    <row r="3926" spans="1:1" ht="13.8" x14ac:dyDescent="0.25">
      <c r="A3926" s="8"/>
    </row>
    <row r="3927" spans="1:1" ht="13.8" x14ac:dyDescent="0.25">
      <c r="A3927" s="8"/>
    </row>
    <row r="3928" spans="1:1" ht="13.8" x14ac:dyDescent="0.25">
      <c r="A3928" s="8"/>
    </row>
    <row r="3929" spans="1:1" ht="13.8" x14ac:dyDescent="0.25">
      <c r="A3929" s="8"/>
    </row>
    <row r="3930" spans="1:1" ht="13.8" x14ac:dyDescent="0.25">
      <c r="A3930" s="8"/>
    </row>
    <row r="3931" spans="1:1" ht="13.8" x14ac:dyDescent="0.25">
      <c r="A3931" s="8"/>
    </row>
    <row r="3932" spans="1:1" ht="13.8" x14ac:dyDescent="0.25">
      <c r="A3932" s="8"/>
    </row>
    <row r="3933" spans="1:1" ht="13.8" x14ac:dyDescent="0.25">
      <c r="A3933" s="8"/>
    </row>
    <row r="3934" spans="1:1" ht="13.8" x14ac:dyDescent="0.25">
      <c r="A3934" s="8"/>
    </row>
    <row r="3935" spans="1:1" ht="13.8" x14ac:dyDescent="0.25">
      <c r="A3935" s="8"/>
    </row>
    <row r="3936" spans="1:1" ht="13.8" x14ac:dyDescent="0.25">
      <c r="A3936" s="8"/>
    </row>
    <row r="3937" spans="1:1" ht="13.8" x14ac:dyDescent="0.25">
      <c r="A3937" s="8"/>
    </row>
    <row r="3938" spans="1:1" ht="13.8" x14ac:dyDescent="0.25">
      <c r="A3938" s="8"/>
    </row>
    <row r="3939" spans="1:1" ht="13.8" x14ac:dyDescent="0.25">
      <c r="A3939" s="8"/>
    </row>
    <row r="3940" spans="1:1" ht="13.8" x14ac:dyDescent="0.25">
      <c r="A3940" s="8"/>
    </row>
    <row r="3941" spans="1:1" ht="13.8" x14ac:dyDescent="0.25">
      <c r="A3941" s="8"/>
    </row>
    <row r="3942" spans="1:1" ht="13.8" x14ac:dyDescent="0.25">
      <c r="A3942" s="8"/>
    </row>
    <row r="3943" spans="1:1" ht="13.8" x14ac:dyDescent="0.25">
      <c r="A3943" s="8"/>
    </row>
    <row r="3944" spans="1:1" ht="13.8" x14ac:dyDescent="0.25">
      <c r="A3944" s="8"/>
    </row>
    <row r="3945" spans="1:1" ht="13.8" x14ac:dyDescent="0.25">
      <c r="A3945" s="8"/>
    </row>
    <row r="3946" spans="1:1" ht="13.8" x14ac:dyDescent="0.25">
      <c r="A3946" s="8"/>
    </row>
    <row r="3947" spans="1:1" ht="13.8" x14ac:dyDescent="0.25">
      <c r="A3947" s="8"/>
    </row>
    <row r="3948" spans="1:1" ht="13.8" x14ac:dyDescent="0.25">
      <c r="A3948" s="8"/>
    </row>
    <row r="3949" spans="1:1" ht="13.8" x14ac:dyDescent="0.25">
      <c r="A3949" s="8"/>
    </row>
    <row r="3950" spans="1:1" ht="13.8" x14ac:dyDescent="0.25">
      <c r="A3950" s="8"/>
    </row>
    <row r="3951" spans="1:1" ht="13.8" x14ac:dyDescent="0.25">
      <c r="A3951" s="8"/>
    </row>
    <row r="3952" spans="1:1" ht="13.8" x14ac:dyDescent="0.25">
      <c r="A3952" s="8"/>
    </row>
    <row r="3953" spans="1:1" ht="13.8" x14ac:dyDescent="0.25">
      <c r="A3953" s="8"/>
    </row>
    <row r="3954" spans="1:1" ht="13.8" x14ac:dyDescent="0.25">
      <c r="A3954" s="8"/>
    </row>
    <row r="3955" spans="1:1" ht="13.8" x14ac:dyDescent="0.25">
      <c r="A3955" s="8"/>
    </row>
    <row r="3956" spans="1:1" ht="13.8" x14ac:dyDescent="0.25">
      <c r="A3956" s="8"/>
    </row>
    <row r="3957" spans="1:1" ht="13.8" x14ac:dyDescent="0.25">
      <c r="A3957" s="8"/>
    </row>
    <row r="3958" spans="1:1" ht="13.8" x14ac:dyDescent="0.25">
      <c r="A3958" s="8"/>
    </row>
    <row r="3959" spans="1:1" ht="13.8" x14ac:dyDescent="0.25">
      <c r="A3959" s="8"/>
    </row>
    <row r="3960" spans="1:1" ht="13.8" x14ac:dyDescent="0.25">
      <c r="A3960" s="8"/>
    </row>
    <row r="3961" spans="1:1" ht="13.8" x14ac:dyDescent="0.25">
      <c r="A3961" s="8"/>
    </row>
    <row r="3962" spans="1:1" ht="13.8" x14ac:dyDescent="0.25">
      <c r="A3962" s="8"/>
    </row>
    <row r="3963" spans="1:1" ht="13.8" x14ac:dyDescent="0.25">
      <c r="A3963" s="8"/>
    </row>
    <row r="3964" spans="1:1" ht="13.8" x14ac:dyDescent="0.25">
      <c r="A3964" s="8"/>
    </row>
    <row r="3965" spans="1:1" ht="13.8" x14ac:dyDescent="0.25">
      <c r="A3965" s="8"/>
    </row>
    <row r="3966" spans="1:1" ht="13.8" x14ac:dyDescent="0.25">
      <c r="A3966" s="8"/>
    </row>
    <row r="3967" spans="1:1" ht="13.8" x14ac:dyDescent="0.25">
      <c r="A3967" s="8"/>
    </row>
    <row r="3968" spans="1:1" ht="13.8" x14ac:dyDescent="0.25">
      <c r="A3968" s="8"/>
    </row>
    <row r="3969" spans="1:1" ht="13.8" x14ac:dyDescent="0.25">
      <c r="A3969" s="8"/>
    </row>
    <row r="3970" spans="1:1" ht="13.8" x14ac:dyDescent="0.25">
      <c r="A3970" s="8"/>
    </row>
    <row r="3971" spans="1:1" ht="13.8" x14ac:dyDescent="0.25">
      <c r="A3971" s="8"/>
    </row>
    <row r="3972" spans="1:1" ht="13.8" x14ac:dyDescent="0.25">
      <c r="A3972" s="8"/>
    </row>
    <row r="3973" spans="1:1" ht="13.8" x14ac:dyDescent="0.25">
      <c r="A3973" s="8"/>
    </row>
    <row r="3974" spans="1:1" ht="13.8" x14ac:dyDescent="0.25">
      <c r="A3974" s="8"/>
    </row>
    <row r="3975" spans="1:1" ht="13.8" x14ac:dyDescent="0.25">
      <c r="A3975" s="8"/>
    </row>
    <row r="3976" spans="1:1" ht="13.8" x14ac:dyDescent="0.25">
      <c r="A3976" s="8"/>
    </row>
    <row r="3977" spans="1:1" ht="13.8" x14ac:dyDescent="0.25">
      <c r="A3977" s="8"/>
    </row>
    <row r="3978" spans="1:1" ht="13.8" x14ac:dyDescent="0.25">
      <c r="A3978" s="8"/>
    </row>
    <row r="3979" spans="1:1" ht="13.8" x14ac:dyDescent="0.25">
      <c r="A3979" s="8"/>
    </row>
    <row r="3980" spans="1:1" ht="13.8" x14ac:dyDescent="0.25">
      <c r="A3980" s="8"/>
    </row>
    <row r="3981" spans="1:1" ht="13.8" x14ac:dyDescent="0.25">
      <c r="A3981" s="8"/>
    </row>
    <row r="3982" spans="1:1" ht="13.8" x14ac:dyDescent="0.25">
      <c r="A3982" s="8"/>
    </row>
    <row r="3983" spans="1:1" ht="13.8" x14ac:dyDescent="0.25">
      <c r="A3983" s="8"/>
    </row>
    <row r="3984" spans="1:1" ht="13.8" x14ac:dyDescent="0.25">
      <c r="A3984" s="8"/>
    </row>
    <row r="3985" spans="1:1" ht="13.8" x14ac:dyDescent="0.25">
      <c r="A3985" s="8"/>
    </row>
    <row r="3986" spans="1:1" ht="13.8" x14ac:dyDescent="0.25">
      <c r="A3986" s="8"/>
    </row>
    <row r="3987" spans="1:1" ht="13.8" x14ac:dyDescent="0.25">
      <c r="A3987" s="8"/>
    </row>
    <row r="3988" spans="1:1" ht="13.8" x14ac:dyDescent="0.25">
      <c r="A3988" s="8"/>
    </row>
    <row r="3989" spans="1:1" ht="13.8" x14ac:dyDescent="0.25">
      <c r="A3989" s="8"/>
    </row>
    <row r="3990" spans="1:1" ht="13.8" x14ac:dyDescent="0.25">
      <c r="A3990" s="8"/>
    </row>
    <row r="3991" spans="1:1" ht="13.8" x14ac:dyDescent="0.25">
      <c r="A3991" s="8"/>
    </row>
    <row r="3992" spans="1:1" ht="13.8" x14ac:dyDescent="0.25">
      <c r="A3992" s="8"/>
    </row>
    <row r="3993" spans="1:1" ht="13.8" x14ac:dyDescent="0.25">
      <c r="A3993" s="8"/>
    </row>
    <row r="3994" spans="1:1" ht="13.8" x14ac:dyDescent="0.25">
      <c r="A3994" s="8"/>
    </row>
    <row r="3995" spans="1:1" ht="13.8" x14ac:dyDescent="0.25">
      <c r="A3995" s="8"/>
    </row>
    <row r="3996" spans="1:1" ht="13.8" x14ac:dyDescent="0.25">
      <c r="A3996" s="8"/>
    </row>
    <row r="3997" spans="1:1" ht="13.8" x14ac:dyDescent="0.25">
      <c r="A3997" s="8"/>
    </row>
    <row r="3998" spans="1:1" ht="13.8" x14ac:dyDescent="0.25">
      <c r="A3998" s="8"/>
    </row>
    <row r="3999" spans="1:1" ht="13.8" x14ac:dyDescent="0.25">
      <c r="A3999" s="8"/>
    </row>
    <row r="4000" spans="1:1" ht="13.8" x14ac:dyDescent="0.25">
      <c r="A4000" s="8"/>
    </row>
    <row r="4001" spans="1:1" ht="13.8" x14ac:dyDescent="0.25">
      <c r="A4001" s="8"/>
    </row>
    <row r="4002" spans="1:1" ht="13.8" x14ac:dyDescent="0.25">
      <c r="A4002" s="8"/>
    </row>
    <row r="4003" spans="1:1" ht="13.8" x14ac:dyDescent="0.25">
      <c r="A4003" s="8"/>
    </row>
    <row r="4004" spans="1:1" ht="13.8" x14ac:dyDescent="0.25">
      <c r="A4004" s="8"/>
    </row>
    <row r="4005" spans="1:1" ht="13.8" x14ac:dyDescent="0.25">
      <c r="A4005" s="8"/>
    </row>
    <row r="4006" spans="1:1" ht="13.8" x14ac:dyDescent="0.25">
      <c r="A4006" s="8"/>
    </row>
    <row r="4007" spans="1:1" ht="13.8" x14ac:dyDescent="0.25">
      <c r="A4007" s="8"/>
    </row>
    <row r="4008" spans="1:1" ht="13.8" x14ac:dyDescent="0.25">
      <c r="A4008" s="8"/>
    </row>
    <row r="4009" spans="1:1" ht="13.8" x14ac:dyDescent="0.25">
      <c r="A4009" s="8"/>
    </row>
    <row r="4010" spans="1:1" ht="13.8" x14ac:dyDescent="0.25">
      <c r="A4010" s="8"/>
    </row>
    <row r="4011" spans="1:1" ht="13.8" x14ac:dyDescent="0.25">
      <c r="A4011" s="8"/>
    </row>
    <row r="4012" spans="1:1" ht="13.8" x14ac:dyDescent="0.25">
      <c r="A4012" s="8"/>
    </row>
    <row r="4013" spans="1:1" ht="13.8" x14ac:dyDescent="0.25">
      <c r="A4013" s="8"/>
    </row>
    <row r="4014" spans="1:1" ht="13.8" x14ac:dyDescent="0.25">
      <c r="A4014" s="8"/>
    </row>
    <row r="4015" spans="1:1" ht="13.8" x14ac:dyDescent="0.25">
      <c r="A4015" s="8"/>
    </row>
    <row r="4016" spans="1:1" ht="13.8" x14ac:dyDescent="0.25">
      <c r="A4016" s="8"/>
    </row>
    <row r="4017" spans="1:1" ht="13.8" x14ac:dyDescent="0.25">
      <c r="A4017" s="8"/>
    </row>
    <row r="4018" spans="1:1" ht="13.8" x14ac:dyDescent="0.25">
      <c r="A4018" s="8"/>
    </row>
    <row r="4019" spans="1:1" ht="13.8" x14ac:dyDescent="0.25">
      <c r="A4019" s="8"/>
    </row>
    <row r="4020" spans="1:1" ht="13.8" x14ac:dyDescent="0.25">
      <c r="A4020" s="8"/>
    </row>
    <row r="4021" spans="1:1" ht="13.8" x14ac:dyDescent="0.25">
      <c r="A4021" s="8"/>
    </row>
    <row r="4022" spans="1:1" ht="13.8" x14ac:dyDescent="0.25">
      <c r="A4022" s="8"/>
    </row>
    <row r="4023" spans="1:1" ht="13.8" x14ac:dyDescent="0.25">
      <c r="A4023" s="8"/>
    </row>
    <row r="4024" spans="1:1" ht="13.8" x14ac:dyDescent="0.25">
      <c r="A4024" s="8"/>
    </row>
    <row r="4025" spans="1:1" ht="13.8" x14ac:dyDescent="0.25">
      <c r="A4025" s="8"/>
    </row>
    <row r="4026" spans="1:1" ht="13.8" x14ac:dyDescent="0.25">
      <c r="A4026" s="8"/>
    </row>
    <row r="4027" spans="1:1" ht="13.8" x14ac:dyDescent="0.25">
      <c r="A4027" s="8"/>
    </row>
    <row r="4028" spans="1:1" ht="13.8" x14ac:dyDescent="0.25">
      <c r="A4028" s="8"/>
    </row>
    <row r="4029" spans="1:1" ht="13.8" x14ac:dyDescent="0.25">
      <c r="A4029" s="8"/>
    </row>
    <row r="4030" spans="1:1" ht="13.8" x14ac:dyDescent="0.25">
      <c r="A4030" s="8"/>
    </row>
    <row r="4031" spans="1:1" ht="13.8" x14ac:dyDescent="0.25">
      <c r="A4031" s="8"/>
    </row>
    <row r="4032" spans="1:1" ht="13.8" x14ac:dyDescent="0.25">
      <c r="A4032" s="8"/>
    </row>
    <row r="4033" spans="1:1" ht="13.8" x14ac:dyDescent="0.25">
      <c r="A4033" s="8"/>
    </row>
    <row r="4034" spans="1:1" ht="13.8" x14ac:dyDescent="0.25">
      <c r="A4034" s="8"/>
    </row>
    <row r="4035" spans="1:1" ht="13.8" x14ac:dyDescent="0.25">
      <c r="A4035" s="8"/>
    </row>
    <row r="4036" spans="1:1" ht="13.8" x14ac:dyDescent="0.25">
      <c r="A4036" s="8"/>
    </row>
    <row r="4037" spans="1:1" ht="13.8" x14ac:dyDescent="0.25">
      <c r="A4037" s="8"/>
    </row>
    <row r="4038" spans="1:1" ht="13.8" x14ac:dyDescent="0.25">
      <c r="A4038" s="8"/>
    </row>
    <row r="4039" spans="1:1" ht="13.8" x14ac:dyDescent="0.25">
      <c r="A4039" s="8"/>
    </row>
    <row r="4040" spans="1:1" ht="13.8" x14ac:dyDescent="0.25">
      <c r="A4040" s="8"/>
    </row>
    <row r="4041" spans="1:1" ht="13.8" x14ac:dyDescent="0.25">
      <c r="A4041" s="8"/>
    </row>
    <row r="4042" spans="1:1" ht="13.8" x14ac:dyDescent="0.25">
      <c r="A4042" s="8"/>
    </row>
    <row r="4043" spans="1:1" ht="13.8" x14ac:dyDescent="0.25">
      <c r="A4043" s="8"/>
    </row>
    <row r="4044" spans="1:1" ht="13.8" x14ac:dyDescent="0.25">
      <c r="A4044" s="8"/>
    </row>
    <row r="4045" spans="1:1" ht="13.8" x14ac:dyDescent="0.25">
      <c r="A4045" s="8"/>
    </row>
    <row r="4046" spans="1:1" ht="13.8" x14ac:dyDescent="0.25">
      <c r="A4046" s="8"/>
    </row>
    <row r="4047" spans="1:1" ht="13.8" x14ac:dyDescent="0.25">
      <c r="A4047" s="8"/>
    </row>
    <row r="4048" spans="1:1" ht="13.8" x14ac:dyDescent="0.25">
      <c r="A4048" s="8"/>
    </row>
    <row r="4049" spans="1:1" ht="13.8" x14ac:dyDescent="0.25">
      <c r="A4049" s="8"/>
    </row>
    <row r="4050" spans="1:1" ht="13.8" x14ac:dyDescent="0.25">
      <c r="A4050" s="8"/>
    </row>
    <row r="4051" spans="1:1" ht="13.8" x14ac:dyDescent="0.25">
      <c r="A4051" s="8"/>
    </row>
    <row r="4052" spans="1:1" ht="13.8" x14ac:dyDescent="0.25">
      <c r="A4052" s="8"/>
    </row>
    <row r="4053" spans="1:1" ht="13.8" x14ac:dyDescent="0.25">
      <c r="A4053" s="8"/>
    </row>
    <row r="4054" spans="1:1" ht="13.8" x14ac:dyDescent="0.25">
      <c r="A4054" s="8"/>
    </row>
    <row r="4055" spans="1:1" ht="13.8" x14ac:dyDescent="0.25">
      <c r="A4055" s="8"/>
    </row>
    <row r="4056" spans="1:1" ht="13.8" x14ac:dyDescent="0.25">
      <c r="A4056" s="8"/>
    </row>
    <row r="4057" spans="1:1" ht="13.8" x14ac:dyDescent="0.25">
      <c r="A4057" s="8"/>
    </row>
    <row r="4058" spans="1:1" ht="13.8" x14ac:dyDescent="0.25">
      <c r="A4058" s="8"/>
    </row>
    <row r="4059" spans="1:1" ht="13.8" x14ac:dyDescent="0.25">
      <c r="A4059" s="8"/>
    </row>
    <row r="4060" spans="1:1" ht="13.8" x14ac:dyDescent="0.25">
      <c r="A4060" s="8"/>
    </row>
    <row r="4061" spans="1:1" ht="13.8" x14ac:dyDescent="0.25">
      <c r="A4061" s="8"/>
    </row>
    <row r="4062" spans="1:1" ht="13.8" x14ac:dyDescent="0.25">
      <c r="A4062" s="8"/>
    </row>
    <row r="4063" spans="1:1" ht="13.8" x14ac:dyDescent="0.25">
      <c r="A4063" s="8"/>
    </row>
    <row r="4064" spans="1:1" ht="13.8" x14ac:dyDescent="0.25">
      <c r="A4064" s="8"/>
    </row>
    <row r="4065" spans="1:1" ht="13.8" x14ac:dyDescent="0.25">
      <c r="A4065" s="8"/>
    </row>
    <row r="4066" spans="1:1" ht="13.8" x14ac:dyDescent="0.25">
      <c r="A4066" s="8"/>
    </row>
    <row r="4067" spans="1:1" ht="13.8" x14ac:dyDescent="0.25">
      <c r="A4067" s="8"/>
    </row>
    <row r="4068" spans="1:1" ht="13.8" x14ac:dyDescent="0.25">
      <c r="A4068" s="8"/>
    </row>
    <row r="4069" spans="1:1" ht="13.8" x14ac:dyDescent="0.25">
      <c r="A4069" s="8"/>
    </row>
    <row r="4070" spans="1:1" ht="13.8" x14ac:dyDescent="0.25">
      <c r="A4070" s="8"/>
    </row>
    <row r="4071" spans="1:1" ht="13.8" x14ac:dyDescent="0.25">
      <c r="A4071" s="8"/>
    </row>
    <row r="4072" spans="1:1" ht="13.8" x14ac:dyDescent="0.25">
      <c r="A4072" s="8"/>
    </row>
    <row r="4073" spans="1:1" ht="13.8" x14ac:dyDescent="0.25">
      <c r="A4073" s="8"/>
    </row>
    <row r="4074" spans="1:1" ht="13.8" x14ac:dyDescent="0.25">
      <c r="A4074" s="8"/>
    </row>
    <row r="4075" spans="1:1" ht="13.8" x14ac:dyDescent="0.25">
      <c r="A4075" s="8"/>
    </row>
    <row r="4076" spans="1:1" ht="13.8" x14ac:dyDescent="0.25">
      <c r="A4076" s="8"/>
    </row>
    <row r="4077" spans="1:1" ht="13.8" x14ac:dyDescent="0.25">
      <c r="A4077" s="8"/>
    </row>
    <row r="4078" spans="1:1" ht="13.8" x14ac:dyDescent="0.25">
      <c r="A4078" s="8"/>
    </row>
    <row r="4079" spans="1:1" ht="13.8" x14ac:dyDescent="0.25">
      <c r="A4079" s="8"/>
    </row>
    <row r="4080" spans="1:1" ht="13.8" x14ac:dyDescent="0.25">
      <c r="A4080" s="8"/>
    </row>
    <row r="4081" spans="1:1" ht="13.8" x14ac:dyDescent="0.25">
      <c r="A4081" s="8"/>
    </row>
    <row r="4082" spans="1:1" ht="13.8" x14ac:dyDescent="0.25">
      <c r="A4082" s="8"/>
    </row>
    <row r="4083" spans="1:1" ht="13.8" x14ac:dyDescent="0.25">
      <c r="A4083" s="8"/>
    </row>
    <row r="4084" spans="1:1" ht="13.8" x14ac:dyDescent="0.25">
      <c r="A4084" s="8"/>
    </row>
    <row r="4085" spans="1:1" ht="13.8" x14ac:dyDescent="0.25">
      <c r="A4085" s="8"/>
    </row>
    <row r="4086" spans="1:1" ht="13.8" x14ac:dyDescent="0.25">
      <c r="A4086" s="8"/>
    </row>
    <row r="4087" spans="1:1" ht="13.8" x14ac:dyDescent="0.25">
      <c r="A4087" s="8"/>
    </row>
    <row r="4088" spans="1:1" ht="13.8" x14ac:dyDescent="0.25">
      <c r="A4088" s="8"/>
    </row>
    <row r="4089" spans="1:1" ht="13.8" x14ac:dyDescent="0.25">
      <c r="A4089" s="8"/>
    </row>
    <row r="4090" spans="1:1" ht="13.8" x14ac:dyDescent="0.25">
      <c r="A4090" s="8"/>
    </row>
    <row r="4091" spans="1:1" ht="13.8" x14ac:dyDescent="0.25">
      <c r="A4091" s="8"/>
    </row>
    <row r="4092" spans="1:1" ht="13.8" x14ac:dyDescent="0.25">
      <c r="A4092" s="8"/>
    </row>
    <row r="4093" spans="1:1" ht="13.8" x14ac:dyDescent="0.25">
      <c r="A4093" s="8"/>
    </row>
    <row r="4094" spans="1:1" ht="13.8" x14ac:dyDescent="0.25">
      <c r="A4094" s="8"/>
    </row>
    <row r="4095" spans="1:1" ht="13.8" x14ac:dyDescent="0.25">
      <c r="A4095" s="8"/>
    </row>
    <row r="4096" spans="1:1" ht="13.8" x14ac:dyDescent="0.25">
      <c r="A4096" s="8"/>
    </row>
    <row r="4097" spans="1:1" ht="13.8" x14ac:dyDescent="0.25">
      <c r="A4097" s="8"/>
    </row>
    <row r="4098" spans="1:1" ht="13.8" x14ac:dyDescent="0.25">
      <c r="A4098" s="8"/>
    </row>
    <row r="4099" spans="1:1" ht="13.8" x14ac:dyDescent="0.25">
      <c r="A4099" s="8"/>
    </row>
    <row r="4100" spans="1:1" ht="13.8" x14ac:dyDescent="0.25">
      <c r="A4100" s="8"/>
    </row>
    <row r="4101" spans="1:1" ht="13.8" x14ac:dyDescent="0.25">
      <c r="A4101" s="8"/>
    </row>
    <row r="4102" spans="1:1" ht="13.8" x14ac:dyDescent="0.25">
      <c r="A4102" s="8"/>
    </row>
    <row r="4103" spans="1:1" ht="13.8" x14ac:dyDescent="0.25">
      <c r="A4103" s="8"/>
    </row>
    <row r="4104" spans="1:1" ht="13.8" x14ac:dyDescent="0.25">
      <c r="A4104" s="8"/>
    </row>
    <row r="4105" spans="1:1" ht="13.8" x14ac:dyDescent="0.25">
      <c r="A4105" s="8"/>
    </row>
    <row r="4106" spans="1:1" ht="13.8" x14ac:dyDescent="0.25">
      <c r="A4106" s="8"/>
    </row>
    <row r="4107" spans="1:1" ht="13.8" x14ac:dyDescent="0.25">
      <c r="A4107" s="8"/>
    </row>
    <row r="4108" spans="1:1" ht="13.8" x14ac:dyDescent="0.25">
      <c r="A4108" s="8"/>
    </row>
    <row r="4109" spans="1:1" ht="13.8" x14ac:dyDescent="0.25">
      <c r="A4109" s="8"/>
    </row>
    <row r="4110" spans="1:1" ht="13.8" x14ac:dyDescent="0.25">
      <c r="A4110" s="8"/>
    </row>
    <row r="4111" spans="1:1" ht="13.8" x14ac:dyDescent="0.25">
      <c r="A4111" s="8"/>
    </row>
    <row r="4112" spans="1:1" ht="13.8" x14ac:dyDescent="0.25">
      <c r="A4112" s="8"/>
    </row>
    <row r="4113" spans="1:1" ht="13.8" x14ac:dyDescent="0.25">
      <c r="A4113" s="8"/>
    </row>
    <row r="4114" spans="1:1" ht="13.8" x14ac:dyDescent="0.25">
      <c r="A4114" s="8"/>
    </row>
    <row r="4115" spans="1:1" ht="13.8" x14ac:dyDescent="0.25">
      <c r="A4115" s="8"/>
    </row>
    <row r="4116" spans="1:1" ht="13.8" x14ac:dyDescent="0.25">
      <c r="A4116" s="8"/>
    </row>
    <row r="4117" spans="1:1" ht="13.8" x14ac:dyDescent="0.25">
      <c r="A4117" s="8"/>
    </row>
    <row r="4118" spans="1:1" ht="13.8" x14ac:dyDescent="0.25">
      <c r="A4118" s="8"/>
    </row>
    <row r="4119" spans="1:1" ht="13.8" x14ac:dyDescent="0.25">
      <c r="A4119" s="8"/>
    </row>
    <row r="4120" spans="1:1" ht="13.8" x14ac:dyDescent="0.25">
      <c r="A4120" s="8"/>
    </row>
    <row r="4121" spans="1:1" ht="13.8" x14ac:dyDescent="0.25">
      <c r="A4121" s="8"/>
    </row>
    <row r="4122" spans="1:1" ht="13.8" x14ac:dyDescent="0.25">
      <c r="A4122" s="8"/>
    </row>
    <row r="4123" spans="1:1" ht="13.8" x14ac:dyDescent="0.25">
      <c r="A4123" s="8"/>
    </row>
    <row r="4124" spans="1:1" ht="13.8" x14ac:dyDescent="0.25">
      <c r="A4124" s="8"/>
    </row>
    <row r="4125" spans="1:1" ht="13.8" x14ac:dyDescent="0.25">
      <c r="A4125" s="8"/>
    </row>
    <row r="4126" spans="1:1" ht="13.8" x14ac:dyDescent="0.25">
      <c r="A4126" s="8"/>
    </row>
    <row r="4127" spans="1:1" ht="13.8" x14ac:dyDescent="0.25">
      <c r="A4127" s="8"/>
    </row>
    <row r="4128" spans="1:1" ht="13.8" x14ac:dyDescent="0.25">
      <c r="A4128" s="8"/>
    </row>
    <row r="4129" spans="1:1" ht="13.8" x14ac:dyDescent="0.25">
      <c r="A4129" s="8"/>
    </row>
    <row r="4130" spans="1:1" ht="13.8" x14ac:dyDescent="0.25">
      <c r="A4130" s="8"/>
    </row>
    <row r="4131" spans="1:1" ht="13.8" x14ac:dyDescent="0.25">
      <c r="A4131" s="8"/>
    </row>
    <row r="4132" spans="1:1" ht="13.8" x14ac:dyDescent="0.25">
      <c r="A4132" s="8"/>
    </row>
    <row r="4133" spans="1:1" ht="13.8" x14ac:dyDescent="0.25">
      <c r="A4133" s="8"/>
    </row>
    <row r="4134" spans="1:1" ht="13.8" x14ac:dyDescent="0.25">
      <c r="A4134" s="8"/>
    </row>
    <row r="4135" spans="1:1" ht="13.8" x14ac:dyDescent="0.25">
      <c r="A4135" s="8"/>
    </row>
    <row r="4136" spans="1:1" ht="13.8" x14ac:dyDescent="0.25">
      <c r="A4136" s="8"/>
    </row>
    <row r="4137" spans="1:1" ht="13.8" x14ac:dyDescent="0.25">
      <c r="A4137" s="8"/>
    </row>
    <row r="4138" spans="1:1" ht="13.8" x14ac:dyDescent="0.25">
      <c r="A4138" s="8"/>
    </row>
    <row r="4139" spans="1:1" ht="13.8" x14ac:dyDescent="0.25">
      <c r="A4139" s="8"/>
    </row>
    <row r="4140" spans="1:1" ht="13.8" x14ac:dyDescent="0.25">
      <c r="A4140" s="8"/>
    </row>
    <row r="4141" spans="1:1" ht="13.8" x14ac:dyDescent="0.25">
      <c r="A4141" s="8"/>
    </row>
    <row r="4142" spans="1:1" ht="13.8" x14ac:dyDescent="0.25">
      <c r="A4142" s="8"/>
    </row>
    <row r="4143" spans="1:1" ht="13.8" x14ac:dyDescent="0.25">
      <c r="A4143" s="8"/>
    </row>
    <row r="4144" spans="1:1" ht="13.8" x14ac:dyDescent="0.25">
      <c r="A4144" s="8"/>
    </row>
    <row r="4145" spans="1:1" ht="13.8" x14ac:dyDescent="0.25">
      <c r="A4145" s="8"/>
    </row>
    <row r="4146" spans="1:1" ht="13.8" x14ac:dyDescent="0.25">
      <c r="A4146" s="8"/>
    </row>
    <row r="4147" spans="1:1" ht="13.8" x14ac:dyDescent="0.25">
      <c r="A4147" s="8"/>
    </row>
    <row r="4148" spans="1:1" ht="13.8" x14ac:dyDescent="0.25">
      <c r="A4148" s="8"/>
    </row>
    <row r="4149" spans="1:1" ht="13.8" x14ac:dyDescent="0.25">
      <c r="A4149" s="8"/>
    </row>
    <row r="4150" spans="1:1" ht="13.8" x14ac:dyDescent="0.25">
      <c r="A4150" s="8"/>
    </row>
    <row r="4151" spans="1:1" ht="13.8" x14ac:dyDescent="0.25">
      <c r="A4151" s="8"/>
    </row>
    <row r="4152" spans="1:1" ht="13.8" x14ac:dyDescent="0.25">
      <c r="A4152" s="8"/>
    </row>
    <row r="4153" spans="1:1" ht="13.8" x14ac:dyDescent="0.25">
      <c r="A4153" s="8"/>
    </row>
    <row r="4154" spans="1:1" ht="13.8" x14ac:dyDescent="0.25">
      <c r="A4154" s="8"/>
    </row>
    <row r="4155" spans="1:1" ht="13.8" x14ac:dyDescent="0.25">
      <c r="A4155" s="8"/>
    </row>
    <row r="4156" spans="1:1" ht="13.8" x14ac:dyDescent="0.25">
      <c r="A4156" s="8"/>
    </row>
    <row r="4157" spans="1:1" ht="13.8" x14ac:dyDescent="0.25">
      <c r="A4157" s="8"/>
    </row>
    <row r="4158" spans="1:1" ht="13.8" x14ac:dyDescent="0.25">
      <c r="A4158" s="8"/>
    </row>
    <row r="4159" spans="1:1" ht="13.8" x14ac:dyDescent="0.25">
      <c r="A4159" s="8"/>
    </row>
    <row r="4160" spans="1:1" ht="13.8" x14ac:dyDescent="0.25">
      <c r="A4160" s="8"/>
    </row>
    <row r="4161" spans="1:1" ht="13.8" x14ac:dyDescent="0.25">
      <c r="A4161" s="8"/>
    </row>
    <row r="4162" spans="1:1" ht="13.8" x14ac:dyDescent="0.25">
      <c r="A4162" s="8"/>
    </row>
    <row r="4163" spans="1:1" ht="13.8" x14ac:dyDescent="0.25">
      <c r="A4163" s="8"/>
    </row>
    <row r="4164" spans="1:1" ht="13.8" x14ac:dyDescent="0.25">
      <c r="A4164" s="8"/>
    </row>
    <row r="4165" spans="1:1" ht="13.8" x14ac:dyDescent="0.25">
      <c r="A4165" s="8"/>
    </row>
    <row r="4166" spans="1:1" ht="13.8" x14ac:dyDescent="0.25">
      <c r="A4166" s="8"/>
    </row>
    <row r="4167" spans="1:1" ht="13.8" x14ac:dyDescent="0.25">
      <c r="A4167" s="8"/>
    </row>
    <row r="4168" spans="1:1" ht="13.8" x14ac:dyDescent="0.25">
      <c r="A4168" s="8"/>
    </row>
    <row r="4169" spans="1:1" ht="13.8" x14ac:dyDescent="0.25">
      <c r="A4169" s="8"/>
    </row>
    <row r="4170" spans="1:1" ht="13.8" x14ac:dyDescent="0.25">
      <c r="A4170" s="8"/>
    </row>
    <row r="4171" spans="1:1" ht="13.8" x14ac:dyDescent="0.25">
      <c r="A4171" s="8"/>
    </row>
    <row r="4172" spans="1:1" ht="13.8" x14ac:dyDescent="0.25">
      <c r="A4172" s="8"/>
    </row>
    <row r="4173" spans="1:1" ht="13.8" x14ac:dyDescent="0.25">
      <c r="A4173" s="8"/>
    </row>
    <row r="4174" spans="1:1" ht="13.8" x14ac:dyDescent="0.25">
      <c r="A4174" s="8"/>
    </row>
    <row r="4175" spans="1:1" ht="13.8" x14ac:dyDescent="0.25">
      <c r="A4175" s="8"/>
    </row>
    <row r="4176" spans="1:1" ht="13.8" x14ac:dyDescent="0.25">
      <c r="A4176" s="8"/>
    </row>
    <row r="4177" spans="1:1" ht="13.8" x14ac:dyDescent="0.25">
      <c r="A4177" s="8"/>
    </row>
    <row r="4178" spans="1:1" ht="13.8" x14ac:dyDescent="0.25">
      <c r="A4178" s="8"/>
    </row>
    <row r="4179" spans="1:1" ht="13.8" x14ac:dyDescent="0.25">
      <c r="A4179" s="8"/>
    </row>
    <row r="4180" spans="1:1" ht="13.8" x14ac:dyDescent="0.25">
      <c r="A4180" s="8"/>
    </row>
    <row r="4181" spans="1:1" ht="13.8" x14ac:dyDescent="0.25">
      <c r="A4181" s="8"/>
    </row>
    <row r="4182" spans="1:1" ht="13.8" x14ac:dyDescent="0.25">
      <c r="A4182" s="8"/>
    </row>
    <row r="4183" spans="1:1" ht="13.8" x14ac:dyDescent="0.25">
      <c r="A4183" s="8"/>
    </row>
    <row r="4184" spans="1:1" ht="13.8" x14ac:dyDescent="0.25">
      <c r="A4184" s="8"/>
    </row>
    <row r="4185" spans="1:1" ht="13.8" x14ac:dyDescent="0.25">
      <c r="A4185" s="8"/>
    </row>
    <row r="4186" spans="1:1" ht="13.8" x14ac:dyDescent="0.25">
      <c r="A4186" s="8"/>
    </row>
    <row r="4187" spans="1:1" ht="13.8" x14ac:dyDescent="0.25">
      <c r="A4187" s="8"/>
    </row>
    <row r="4188" spans="1:1" ht="13.8" x14ac:dyDescent="0.25">
      <c r="A4188" s="8"/>
    </row>
    <row r="4189" spans="1:1" ht="13.8" x14ac:dyDescent="0.25">
      <c r="A4189" s="8"/>
    </row>
    <row r="4190" spans="1:1" ht="13.8" x14ac:dyDescent="0.25">
      <c r="A4190" s="8"/>
    </row>
    <row r="4191" spans="1:1" ht="13.8" x14ac:dyDescent="0.25">
      <c r="A4191" s="8"/>
    </row>
    <row r="4192" spans="1:1" ht="13.8" x14ac:dyDescent="0.25">
      <c r="A4192" s="8"/>
    </row>
    <row r="4193" spans="1:1" ht="13.8" x14ac:dyDescent="0.25">
      <c r="A4193" s="8"/>
    </row>
    <row r="4194" spans="1:1" ht="13.8" x14ac:dyDescent="0.25">
      <c r="A4194" s="8"/>
    </row>
    <row r="4195" spans="1:1" ht="13.8" x14ac:dyDescent="0.25">
      <c r="A4195" s="8"/>
    </row>
    <row r="4196" spans="1:1" ht="13.8" x14ac:dyDescent="0.25">
      <c r="A4196" s="8"/>
    </row>
    <row r="4197" spans="1:1" ht="13.8" x14ac:dyDescent="0.25">
      <c r="A4197" s="8"/>
    </row>
    <row r="4198" spans="1:1" ht="13.8" x14ac:dyDescent="0.25">
      <c r="A4198" s="8"/>
    </row>
    <row r="4199" spans="1:1" ht="13.8" x14ac:dyDescent="0.25">
      <c r="A4199" s="8"/>
    </row>
    <row r="4200" spans="1:1" ht="13.8" x14ac:dyDescent="0.25">
      <c r="A4200" s="8"/>
    </row>
    <row r="4201" spans="1:1" ht="13.8" x14ac:dyDescent="0.25">
      <c r="A4201" s="8"/>
    </row>
    <row r="4202" spans="1:1" ht="13.8" x14ac:dyDescent="0.25">
      <c r="A4202" s="8"/>
    </row>
    <row r="4203" spans="1:1" ht="13.8" x14ac:dyDescent="0.25">
      <c r="A4203" s="8"/>
    </row>
    <row r="4204" spans="1:1" ht="13.8" x14ac:dyDescent="0.25">
      <c r="A4204" s="8"/>
    </row>
    <row r="4205" spans="1:1" ht="13.8" x14ac:dyDescent="0.25">
      <c r="A4205" s="8"/>
    </row>
    <row r="4206" spans="1:1" ht="13.8" x14ac:dyDescent="0.25">
      <c r="A4206" s="8"/>
    </row>
    <row r="4207" spans="1:1" ht="13.8" x14ac:dyDescent="0.25">
      <c r="A4207" s="8"/>
    </row>
    <row r="4208" spans="1:1" ht="13.8" x14ac:dyDescent="0.25">
      <c r="A4208" s="8"/>
    </row>
    <row r="4209" spans="1:1" ht="13.8" x14ac:dyDescent="0.25">
      <c r="A4209" s="8"/>
    </row>
    <row r="4210" spans="1:1" ht="13.8" x14ac:dyDescent="0.25">
      <c r="A4210" s="8"/>
    </row>
    <row r="4211" spans="1:1" ht="13.8" x14ac:dyDescent="0.25">
      <c r="A4211" s="8"/>
    </row>
    <row r="4212" spans="1:1" ht="13.8" x14ac:dyDescent="0.25">
      <c r="A4212" s="8"/>
    </row>
    <row r="4213" spans="1:1" ht="13.8" x14ac:dyDescent="0.25">
      <c r="A4213" s="8"/>
    </row>
    <row r="4214" spans="1:1" ht="13.8" x14ac:dyDescent="0.25">
      <c r="A4214" s="8"/>
    </row>
    <row r="4215" spans="1:1" ht="13.8" x14ac:dyDescent="0.25">
      <c r="A4215" s="8"/>
    </row>
    <row r="4216" spans="1:1" ht="13.8" x14ac:dyDescent="0.25">
      <c r="A4216" s="8"/>
    </row>
    <row r="4217" spans="1:1" ht="13.8" x14ac:dyDescent="0.25">
      <c r="A4217" s="8"/>
    </row>
    <row r="4218" spans="1:1" ht="13.8" x14ac:dyDescent="0.25">
      <c r="A4218" s="8"/>
    </row>
    <row r="4219" spans="1:1" ht="13.8" x14ac:dyDescent="0.25">
      <c r="A4219" s="8"/>
    </row>
    <row r="4220" spans="1:1" ht="13.8" x14ac:dyDescent="0.25">
      <c r="A4220" s="8"/>
    </row>
    <row r="4221" spans="1:1" ht="13.8" x14ac:dyDescent="0.25">
      <c r="A4221" s="8"/>
    </row>
    <row r="4222" spans="1:1" ht="13.8" x14ac:dyDescent="0.25">
      <c r="A4222" s="8"/>
    </row>
    <row r="4223" spans="1:1" ht="13.8" x14ac:dyDescent="0.25">
      <c r="A4223" s="8"/>
    </row>
    <row r="4224" spans="1:1" ht="13.8" x14ac:dyDescent="0.25">
      <c r="A4224" s="8"/>
    </row>
    <row r="4225" spans="1:1" ht="13.8" x14ac:dyDescent="0.25">
      <c r="A4225" s="8"/>
    </row>
    <row r="4226" spans="1:1" ht="13.8" x14ac:dyDescent="0.25">
      <c r="A4226" s="8"/>
    </row>
    <row r="4227" spans="1:1" ht="13.8" x14ac:dyDescent="0.25">
      <c r="A4227" s="8"/>
    </row>
    <row r="4228" spans="1:1" ht="13.8" x14ac:dyDescent="0.25">
      <c r="A4228" s="8"/>
    </row>
    <row r="4229" spans="1:1" ht="13.8" x14ac:dyDescent="0.25">
      <c r="A4229" s="8"/>
    </row>
    <row r="4230" spans="1:1" ht="13.8" x14ac:dyDescent="0.25">
      <c r="A4230" s="8"/>
    </row>
    <row r="4231" spans="1:1" ht="13.8" x14ac:dyDescent="0.25">
      <c r="A4231" s="8"/>
    </row>
    <row r="4232" spans="1:1" ht="13.8" x14ac:dyDescent="0.25">
      <c r="A4232" s="8"/>
    </row>
    <row r="4233" spans="1:1" ht="13.8" x14ac:dyDescent="0.25">
      <c r="A4233" s="8"/>
    </row>
    <row r="4234" spans="1:1" ht="13.8" x14ac:dyDescent="0.25">
      <c r="A4234" s="8"/>
    </row>
    <row r="4235" spans="1:1" ht="13.8" x14ac:dyDescent="0.25">
      <c r="A4235" s="8"/>
    </row>
    <row r="4236" spans="1:1" ht="13.8" x14ac:dyDescent="0.25">
      <c r="A4236" s="8"/>
    </row>
    <row r="4237" spans="1:1" ht="13.8" x14ac:dyDescent="0.25">
      <c r="A4237" s="8"/>
    </row>
    <row r="4238" spans="1:1" ht="13.8" x14ac:dyDescent="0.25">
      <c r="A4238" s="8"/>
    </row>
    <row r="4239" spans="1:1" ht="13.8" x14ac:dyDescent="0.25">
      <c r="A4239" s="8"/>
    </row>
    <row r="4240" spans="1:1" ht="13.8" x14ac:dyDescent="0.25">
      <c r="A4240" s="8"/>
    </row>
    <row r="4241" spans="1:1" ht="13.8" x14ac:dyDescent="0.25">
      <c r="A4241" s="8"/>
    </row>
    <row r="4242" spans="1:1" ht="13.8" x14ac:dyDescent="0.25">
      <c r="A4242" s="8"/>
    </row>
    <row r="4243" spans="1:1" ht="13.8" x14ac:dyDescent="0.25">
      <c r="A4243" s="8"/>
    </row>
    <row r="4244" spans="1:1" ht="13.8" x14ac:dyDescent="0.25">
      <c r="A4244" s="8"/>
    </row>
    <row r="4245" spans="1:1" ht="13.8" x14ac:dyDescent="0.25">
      <c r="A4245" s="8"/>
    </row>
    <row r="4246" spans="1:1" ht="13.8" x14ac:dyDescent="0.25">
      <c r="A4246" s="8"/>
    </row>
    <row r="4247" spans="1:1" ht="13.8" x14ac:dyDescent="0.25">
      <c r="A4247" s="8"/>
    </row>
    <row r="4248" spans="1:1" ht="13.8" x14ac:dyDescent="0.25">
      <c r="A4248" s="8"/>
    </row>
    <row r="4249" spans="1:1" ht="13.8" x14ac:dyDescent="0.25">
      <c r="A4249" s="8"/>
    </row>
    <row r="4250" spans="1:1" ht="13.8" x14ac:dyDescent="0.25">
      <c r="A4250" s="8"/>
    </row>
    <row r="4251" spans="1:1" ht="13.8" x14ac:dyDescent="0.25">
      <c r="A4251" s="8"/>
    </row>
    <row r="4252" spans="1:1" ht="13.8" x14ac:dyDescent="0.25">
      <c r="A4252" s="8"/>
    </row>
    <row r="4253" spans="1:1" ht="13.8" x14ac:dyDescent="0.25">
      <c r="A4253" s="8"/>
    </row>
    <row r="4254" spans="1:1" ht="13.8" x14ac:dyDescent="0.25">
      <c r="A4254" s="8"/>
    </row>
    <row r="4255" spans="1:1" ht="13.8" x14ac:dyDescent="0.25">
      <c r="A4255" s="8"/>
    </row>
    <row r="4256" spans="1:1" ht="13.8" x14ac:dyDescent="0.25">
      <c r="A4256" s="8"/>
    </row>
    <row r="4257" spans="1:1" ht="13.8" x14ac:dyDescent="0.25">
      <c r="A4257" s="8"/>
    </row>
    <row r="4258" spans="1:1" ht="13.8" x14ac:dyDescent="0.25">
      <c r="A4258" s="8"/>
    </row>
    <row r="4259" spans="1:1" ht="13.8" x14ac:dyDescent="0.25">
      <c r="A4259" s="8"/>
    </row>
    <row r="4260" spans="1:1" ht="13.8" x14ac:dyDescent="0.25">
      <c r="A4260" s="8"/>
    </row>
    <row r="4261" spans="1:1" ht="13.8" x14ac:dyDescent="0.25">
      <c r="A4261" s="8"/>
    </row>
    <row r="4262" spans="1:1" ht="13.8" x14ac:dyDescent="0.25">
      <c r="A4262" s="8"/>
    </row>
    <row r="4263" spans="1:1" ht="13.8" x14ac:dyDescent="0.25">
      <c r="A4263" s="8"/>
    </row>
    <row r="4264" spans="1:1" ht="13.8" x14ac:dyDescent="0.25">
      <c r="A4264" s="8"/>
    </row>
    <row r="4265" spans="1:1" ht="13.8" x14ac:dyDescent="0.25">
      <c r="A4265" s="8"/>
    </row>
    <row r="4266" spans="1:1" ht="13.8" x14ac:dyDescent="0.25">
      <c r="A4266" s="8"/>
    </row>
    <row r="4267" spans="1:1" ht="13.8" x14ac:dyDescent="0.25">
      <c r="A4267" s="8"/>
    </row>
    <row r="4268" spans="1:1" ht="13.8" x14ac:dyDescent="0.25">
      <c r="A4268" s="8"/>
    </row>
    <row r="4269" spans="1:1" ht="13.8" x14ac:dyDescent="0.25">
      <c r="A4269" s="8"/>
    </row>
    <row r="4270" spans="1:1" ht="13.8" x14ac:dyDescent="0.25">
      <c r="A4270" s="8"/>
    </row>
    <row r="4271" spans="1:1" ht="13.8" x14ac:dyDescent="0.25">
      <c r="A4271" s="8"/>
    </row>
    <row r="4272" spans="1:1" ht="13.8" x14ac:dyDescent="0.25">
      <c r="A4272" s="8"/>
    </row>
    <row r="4273" spans="1:1" ht="13.8" x14ac:dyDescent="0.25">
      <c r="A4273" s="8"/>
    </row>
    <row r="4274" spans="1:1" ht="13.8" x14ac:dyDescent="0.25">
      <c r="A4274" s="8"/>
    </row>
    <row r="4275" spans="1:1" ht="13.8" x14ac:dyDescent="0.25">
      <c r="A4275" s="8"/>
    </row>
    <row r="4276" spans="1:1" ht="13.8" x14ac:dyDescent="0.25">
      <c r="A4276" s="8"/>
    </row>
    <row r="4277" spans="1:1" ht="13.8" x14ac:dyDescent="0.25">
      <c r="A4277" s="8"/>
    </row>
    <row r="4278" spans="1:1" ht="13.8" x14ac:dyDescent="0.25">
      <c r="A4278" s="8"/>
    </row>
    <row r="4279" spans="1:1" ht="13.8" x14ac:dyDescent="0.25">
      <c r="A4279" s="8"/>
    </row>
    <row r="4280" spans="1:1" ht="13.8" x14ac:dyDescent="0.25">
      <c r="A4280" s="8"/>
    </row>
    <row r="4281" spans="1:1" ht="13.8" x14ac:dyDescent="0.25">
      <c r="A4281" s="8"/>
    </row>
    <row r="4282" spans="1:1" ht="13.8" x14ac:dyDescent="0.25">
      <c r="A4282" s="8"/>
    </row>
    <row r="4283" spans="1:1" ht="13.8" x14ac:dyDescent="0.25">
      <c r="A4283" s="8"/>
    </row>
    <row r="4284" spans="1:1" ht="13.8" x14ac:dyDescent="0.25">
      <c r="A4284" s="8"/>
    </row>
    <row r="4285" spans="1:1" ht="13.8" x14ac:dyDescent="0.25">
      <c r="A4285" s="8"/>
    </row>
    <row r="4286" spans="1:1" ht="13.8" x14ac:dyDescent="0.25">
      <c r="A4286" s="8"/>
    </row>
    <row r="4287" spans="1:1" ht="13.8" x14ac:dyDescent="0.25">
      <c r="A4287" s="8"/>
    </row>
    <row r="4288" spans="1:1" ht="13.8" x14ac:dyDescent="0.25">
      <c r="A4288" s="8"/>
    </row>
    <row r="4289" spans="1:1" ht="13.8" x14ac:dyDescent="0.25">
      <c r="A4289" s="8"/>
    </row>
    <row r="4290" spans="1:1" ht="13.8" x14ac:dyDescent="0.25">
      <c r="A4290" s="8"/>
    </row>
    <row r="4291" spans="1:1" ht="13.8" x14ac:dyDescent="0.25">
      <c r="A4291" s="8"/>
    </row>
    <row r="4292" spans="1:1" ht="13.8" x14ac:dyDescent="0.25">
      <c r="A4292" s="8"/>
    </row>
    <row r="4293" spans="1:1" ht="13.8" x14ac:dyDescent="0.25">
      <c r="A4293" s="8"/>
    </row>
    <row r="4294" spans="1:1" ht="13.8" x14ac:dyDescent="0.25">
      <c r="A4294" s="8"/>
    </row>
    <row r="4295" spans="1:1" ht="13.8" x14ac:dyDescent="0.25">
      <c r="A4295" s="8"/>
    </row>
    <row r="4296" spans="1:1" ht="13.8" x14ac:dyDescent="0.25">
      <c r="A4296" s="8"/>
    </row>
    <row r="4297" spans="1:1" ht="13.8" x14ac:dyDescent="0.25">
      <c r="A4297" s="8"/>
    </row>
    <row r="4298" spans="1:1" ht="13.8" x14ac:dyDescent="0.25">
      <c r="A4298" s="8"/>
    </row>
    <row r="4299" spans="1:1" ht="13.8" x14ac:dyDescent="0.25">
      <c r="A4299" s="8"/>
    </row>
    <row r="4300" spans="1:1" ht="13.8" x14ac:dyDescent="0.25">
      <c r="A4300" s="8"/>
    </row>
    <row r="4301" spans="1:1" ht="13.8" x14ac:dyDescent="0.25">
      <c r="A4301" s="8"/>
    </row>
    <row r="4302" spans="1:1" ht="13.8" x14ac:dyDescent="0.25">
      <c r="A4302" s="8"/>
    </row>
    <row r="4303" spans="1:1" ht="13.8" x14ac:dyDescent="0.25">
      <c r="A4303" s="8"/>
    </row>
    <row r="4304" spans="1:1" ht="13.8" x14ac:dyDescent="0.25">
      <c r="A4304" s="8"/>
    </row>
    <row r="4305" spans="1:1" ht="13.8" x14ac:dyDescent="0.25">
      <c r="A4305" s="8"/>
    </row>
    <row r="4306" spans="1:1" ht="13.8" x14ac:dyDescent="0.25">
      <c r="A4306" s="8"/>
    </row>
    <row r="4307" spans="1:1" ht="13.8" x14ac:dyDescent="0.25">
      <c r="A4307" s="8"/>
    </row>
    <row r="4308" spans="1:1" ht="13.8" x14ac:dyDescent="0.25">
      <c r="A4308" s="8"/>
    </row>
    <row r="4309" spans="1:1" ht="13.8" x14ac:dyDescent="0.25">
      <c r="A4309" s="8"/>
    </row>
    <row r="4310" spans="1:1" ht="13.8" x14ac:dyDescent="0.25">
      <c r="A4310" s="8"/>
    </row>
    <row r="4311" spans="1:1" ht="13.8" x14ac:dyDescent="0.25">
      <c r="A4311" s="8"/>
    </row>
    <row r="4312" spans="1:1" ht="13.8" x14ac:dyDescent="0.25">
      <c r="A4312" s="8"/>
    </row>
    <row r="4313" spans="1:1" ht="13.8" x14ac:dyDescent="0.25">
      <c r="A4313" s="8"/>
    </row>
    <row r="4314" spans="1:1" ht="13.8" x14ac:dyDescent="0.25">
      <c r="A4314" s="8"/>
    </row>
    <row r="4315" spans="1:1" ht="13.8" x14ac:dyDescent="0.25">
      <c r="A4315" s="8"/>
    </row>
    <row r="4316" spans="1:1" ht="13.8" x14ac:dyDescent="0.25">
      <c r="A4316" s="8"/>
    </row>
    <row r="4317" spans="1:1" ht="13.8" x14ac:dyDescent="0.25">
      <c r="A4317" s="8"/>
    </row>
    <row r="4318" spans="1:1" ht="13.8" x14ac:dyDescent="0.25">
      <c r="A4318" s="8"/>
    </row>
    <row r="4319" spans="1:1" ht="13.8" x14ac:dyDescent="0.25">
      <c r="A4319" s="8"/>
    </row>
    <row r="4320" spans="1:1" ht="13.8" x14ac:dyDescent="0.25">
      <c r="A4320" s="8"/>
    </row>
    <row r="4321" spans="1:1" ht="13.8" x14ac:dyDescent="0.25">
      <c r="A4321" s="8"/>
    </row>
    <row r="4322" spans="1:1" ht="13.8" x14ac:dyDescent="0.25">
      <c r="A4322" s="8"/>
    </row>
    <row r="4323" spans="1:1" ht="13.8" x14ac:dyDescent="0.25">
      <c r="A4323" s="8"/>
    </row>
    <row r="4324" spans="1:1" ht="13.8" x14ac:dyDescent="0.25">
      <c r="A4324" s="8"/>
    </row>
    <row r="4325" spans="1:1" ht="13.8" x14ac:dyDescent="0.25">
      <c r="A4325" s="8"/>
    </row>
    <row r="4326" spans="1:1" ht="13.8" x14ac:dyDescent="0.25">
      <c r="A4326" s="8"/>
    </row>
    <row r="4327" spans="1:1" ht="13.8" x14ac:dyDescent="0.25">
      <c r="A4327" s="8"/>
    </row>
    <row r="4328" spans="1:1" ht="13.8" x14ac:dyDescent="0.25">
      <c r="A4328" s="8"/>
    </row>
    <row r="4329" spans="1:1" ht="13.8" x14ac:dyDescent="0.25">
      <c r="A4329" s="8"/>
    </row>
    <row r="4330" spans="1:1" ht="13.8" x14ac:dyDescent="0.25">
      <c r="A4330" s="8"/>
    </row>
    <row r="4331" spans="1:1" ht="13.8" x14ac:dyDescent="0.25">
      <c r="A4331" s="8"/>
    </row>
    <row r="4332" spans="1:1" ht="13.8" x14ac:dyDescent="0.25">
      <c r="A4332" s="8"/>
    </row>
    <row r="4333" spans="1:1" ht="13.8" x14ac:dyDescent="0.25">
      <c r="A4333" s="8"/>
    </row>
    <row r="4334" spans="1:1" ht="13.8" x14ac:dyDescent="0.25">
      <c r="A4334" s="8"/>
    </row>
    <row r="4335" spans="1:1" ht="13.8" x14ac:dyDescent="0.25">
      <c r="A4335" s="8"/>
    </row>
    <row r="4336" spans="1:1" ht="13.8" x14ac:dyDescent="0.25">
      <c r="A4336" s="8"/>
    </row>
    <row r="4337" spans="1:1" ht="13.8" x14ac:dyDescent="0.25">
      <c r="A4337" s="8"/>
    </row>
    <row r="4338" spans="1:1" ht="13.8" x14ac:dyDescent="0.25">
      <c r="A4338" s="8"/>
    </row>
    <row r="4339" spans="1:1" ht="13.8" x14ac:dyDescent="0.25">
      <c r="A4339" s="8"/>
    </row>
    <row r="4340" spans="1:1" ht="13.8" x14ac:dyDescent="0.25">
      <c r="A4340" s="8"/>
    </row>
    <row r="4341" spans="1:1" ht="13.8" x14ac:dyDescent="0.25">
      <c r="A4341" s="8"/>
    </row>
    <row r="4342" spans="1:1" ht="13.8" x14ac:dyDescent="0.25">
      <c r="A4342" s="8"/>
    </row>
    <row r="4343" spans="1:1" ht="13.8" x14ac:dyDescent="0.25">
      <c r="A4343" s="8"/>
    </row>
    <row r="4344" spans="1:1" ht="13.8" x14ac:dyDescent="0.25">
      <c r="A4344" s="8"/>
    </row>
    <row r="4345" spans="1:1" ht="13.8" x14ac:dyDescent="0.25">
      <c r="A4345" s="8"/>
    </row>
    <row r="4346" spans="1:1" ht="13.8" x14ac:dyDescent="0.25">
      <c r="A4346" s="8"/>
    </row>
    <row r="4347" spans="1:1" ht="13.8" x14ac:dyDescent="0.25">
      <c r="A4347" s="8"/>
    </row>
    <row r="4348" spans="1:1" ht="13.8" x14ac:dyDescent="0.25">
      <c r="A4348" s="8"/>
    </row>
    <row r="4349" spans="1:1" ht="13.8" x14ac:dyDescent="0.25">
      <c r="A4349" s="8"/>
    </row>
    <row r="4350" spans="1:1" ht="13.8" x14ac:dyDescent="0.25">
      <c r="A4350" s="8"/>
    </row>
    <row r="4351" spans="1:1" ht="13.8" x14ac:dyDescent="0.25">
      <c r="A4351" s="8"/>
    </row>
    <row r="4352" spans="1:1" ht="13.8" x14ac:dyDescent="0.25">
      <c r="A4352" s="8"/>
    </row>
    <row r="4353" spans="1:1" ht="13.8" x14ac:dyDescent="0.25">
      <c r="A4353" s="8"/>
    </row>
    <row r="4354" spans="1:1" ht="13.8" x14ac:dyDescent="0.25">
      <c r="A4354" s="8"/>
    </row>
    <row r="4355" spans="1:1" ht="13.8" x14ac:dyDescent="0.25">
      <c r="A4355" s="8"/>
    </row>
    <row r="4356" spans="1:1" ht="13.8" x14ac:dyDescent="0.25">
      <c r="A4356" s="8"/>
    </row>
    <row r="4357" spans="1:1" ht="13.8" x14ac:dyDescent="0.25">
      <c r="A4357" s="8"/>
    </row>
    <row r="4358" spans="1:1" ht="13.8" x14ac:dyDescent="0.25">
      <c r="A4358" s="8"/>
    </row>
    <row r="4359" spans="1:1" ht="13.8" x14ac:dyDescent="0.25">
      <c r="A4359" s="8"/>
    </row>
    <row r="4360" spans="1:1" ht="13.8" x14ac:dyDescent="0.25">
      <c r="A4360" s="8"/>
    </row>
    <row r="4361" spans="1:1" ht="13.8" x14ac:dyDescent="0.25">
      <c r="A4361" s="8"/>
    </row>
    <row r="4362" spans="1:1" ht="13.8" x14ac:dyDescent="0.25">
      <c r="A4362" s="8"/>
    </row>
    <row r="4363" spans="1:1" ht="13.8" x14ac:dyDescent="0.25">
      <c r="A4363" s="8"/>
    </row>
    <row r="4364" spans="1:1" ht="13.8" x14ac:dyDescent="0.25">
      <c r="A4364" s="8"/>
    </row>
    <row r="4365" spans="1:1" ht="13.8" x14ac:dyDescent="0.25">
      <c r="A4365" s="8"/>
    </row>
    <row r="4366" spans="1:1" ht="13.8" x14ac:dyDescent="0.25">
      <c r="A4366" s="8"/>
    </row>
    <row r="4367" spans="1:1" ht="13.8" x14ac:dyDescent="0.25">
      <c r="A4367" s="8"/>
    </row>
    <row r="4368" spans="1:1" ht="13.8" x14ac:dyDescent="0.25">
      <c r="A4368" s="8"/>
    </row>
    <row r="4369" spans="1:1" ht="13.8" x14ac:dyDescent="0.25">
      <c r="A4369" s="8"/>
    </row>
    <row r="4370" spans="1:1" ht="13.8" x14ac:dyDescent="0.25">
      <c r="A4370" s="8"/>
    </row>
    <row r="4371" spans="1:1" ht="13.8" x14ac:dyDescent="0.25">
      <c r="A4371" s="8"/>
    </row>
    <row r="4372" spans="1:1" ht="13.8" x14ac:dyDescent="0.25">
      <c r="A4372" s="8"/>
    </row>
    <row r="4373" spans="1:1" ht="13.8" x14ac:dyDescent="0.25">
      <c r="A4373" s="8"/>
    </row>
    <row r="4374" spans="1:1" ht="13.8" x14ac:dyDescent="0.25">
      <c r="A4374" s="8"/>
    </row>
    <row r="4375" spans="1:1" ht="13.8" x14ac:dyDescent="0.25">
      <c r="A4375" s="8"/>
    </row>
    <row r="4376" spans="1:1" ht="13.8" x14ac:dyDescent="0.25">
      <c r="A4376" s="8"/>
    </row>
    <row r="4377" spans="1:1" ht="13.8" x14ac:dyDescent="0.25">
      <c r="A4377" s="8"/>
    </row>
    <row r="4378" spans="1:1" ht="13.8" x14ac:dyDescent="0.25">
      <c r="A4378" s="8"/>
    </row>
    <row r="4379" spans="1:1" ht="13.8" x14ac:dyDescent="0.25">
      <c r="A4379" s="8"/>
    </row>
    <row r="4380" spans="1:1" ht="13.8" x14ac:dyDescent="0.25">
      <c r="A4380" s="8"/>
    </row>
    <row r="4381" spans="1:1" ht="13.8" x14ac:dyDescent="0.25">
      <c r="A4381" s="8"/>
    </row>
    <row r="4382" spans="1:1" ht="13.8" x14ac:dyDescent="0.25">
      <c r="A4382" s="8"/>
    </row>
    <row r="4383" spans="1:1" ht="13.8" x14ac:dyDescent="0.25">
      <c r="A4383" s="8"/>
    </row>
    <row r="4384" spans="1:1" ht="13.8" x14ac:dyDescent="0.25">
      <c r="A4384" s="8"/>
    </row>
    <row r="4385" spans="1:1" ht="13.8" x14ac:dyDescent="0.25">
      <c r="A4385" s="8"/>
    </row>
    <row r="4386" spans="1:1" ht="13.8" x14ac:dyDescent="0.25">
      <c r="A4386" s="8"/>
    </row>
    <row r="4387" spans="1:1" ht="13.8" x14ac:dyDescent="0.25">
      <c r="A4387" s="8"/>
    </row>
    <row r="4388" spans="1:1" ht="13.8" x14ac:dyDescent="0.25">
      <c r="A4388" s="8"/>
    </row>
    <row r="4389" spans="1:1" ht="13.8" x14ac:dyDescent="0.25">
      <c r="A4389" s="8"/>
    </row>
    <row r="4390" spans="1:1" ht="13.8" x14ac:dyDescent="0.25">
      <c r="A4390" s="8"/>
    </row>
    <row r="4391" spans="1:1" ht="13.8" x14ac:dyDescent="0.25">
      <c r="A4391" s="8"/>
    </row>
    <row r="4392" spans="1:1" ht="13.8" x14ac:dyDescent="0.25">
      <c r="A4392" s="8"/>
    </row>
    <row r="4393" spans="1:1" ht="13.8" x14ac:dyDescent="0.25">
      <c r="A4393" s="8"/>
    </row>
    <row r="4394" spans="1:1" ht="13.8" x14ac:dyDescent="0.25">
      <c r="A4394" s="8"/>
    </row>
    <row r="4395" spans="1:1" ht="13.8" x14ac:dyDescent="0.25">
      <c r="A4395" s="8"/>
    </row>
    <row r="4396" spans="1:1" ht="13.8" x14ac:dyDescent="0.25">
      <c r="A4396" s="8"/>
    </row>
    <row r="4397" spans="1:1" ht="13.8" x14ac:dyDescent="0.25">
      <c r="A4397" s="8"/>
    </row>
    <row r="4398" spans="1:1" ht="13.8" x14ac:dyDescent="0.25">
      <c r="A4398" s="8"/>
    </row>
    <row r="4399" spans="1:1" ht="13.8" x14ac:dyDescent="0.25">
      <c r="A4399" s="8"/>
    </row>
    <row r="4400" spans="1:1" ht="13.8" x14ac:dyDescent="0.25">
      <c r="A4400" s="8"/>
    </row>
    <row r="4401" spans="1:1" ht="13.8" x14ac:dyDescent="0.25">
      <c r="A4401" s="8"/>
    </row>
    <row r="4402" spans="1:1" ht="13.8" x14ac:dyDescent="0.25">
      <c r="A4402" s="8"/>
    </row>
    <row r="4403" spans="1:1" ht="13.8" x14ac:dyDescent="0.25">
      <c r="A4403" s="8"/>
    </row>
    <row r="4404" spans="1:1" ht="13.8" x14ac:dyDescent="0.25">
      <c r="A4404" s="8"/>
    </row>
    <row r="4405" spans="1:1" ht="13.8" x14ac:dyDescent="0.25">
      <c r="A4405" s="8"/>
    </row>
    <row r="4406" spans="1:1" ht="13.8" x14ac:dyDescent="0.25">
      <c r="A4406" s="8"/>
    </row>
    <row r="4407" spans="1:1" ht="13.8" x14ac:dyDescent="0.25">
      <c r="A4407" s="8"/>
    </row>
    <row r="4408" spans="1:1" ht="13.8" x14ac:dyDescent="0.25">
      <c r="A4408" s="8"/>
    </row>
    <row r="4409" spans="1:1" ht="13.8" x14ac:dyDescent="0.25">
      <c r="A4409" s="8"/>
    </row>
    <row r="4410" spans="1:1" ht="13.8" x14ac:dyDescent="0.25">
      <c r="A4410" s="8"/>
    </row>
    <row r="4411" spans="1:1" ht="13.8" x14ac:dyDescent="0.25">
      <c r="A4411" s="8"/>
    </row>
    <row r="4412" spans="1:1" ht="13.8" x14ac:dyDescent="0.25">
      <c r="A4412" s="8"/>
    </row>
    <row r="4413" spans="1:1" ht="13.8" x14ac:dyDescent="0.25">
      <c r="A4413" s="8"/>
    </row>
    <row r="4414" spans="1:1" ht="13.8" x14ac:dyDescent="0.25">
      <c r="A4414" s="8"/>
    </row>
    <row r="4415" spans="1:1" ht="13.8" x14ac:dyDescent="0.25">
      <c r="A4415" s="8"/>
    </row>
    <row r="4416" spans="1:1" ht="13.8" x14ac:dyDescent="0.25">
      <c r="A4416" s="8"/>
    </row>
    <row r="4417" spans="1:1" ht="13.8" x14ac:dyDescent="0.25">
      <c r="A4417" s="8"/>
    </row>
    <row r="4418" spans="1:1" ht="13.8" x14ac:dyDescent="0.25">
      <c r="A4418" s="8"/>
    </row>
    <row r="4419" spans="1:1" ht="13.8" x14ac:dyDescent="0.25">
      <c r="A4419" s="8"/>
    </row>
    <row r="4420" spans="1:1" ht="13.8" x14ac:dyDescent="0.25">
      <c r="A4420" s="8"/>
    </row>
    <row r="4421" spans="1:1" ht="13.8" x14ac:dyDescent="0.25">
      <c r="A4421" s="8"/>
    </row>
    <row r="4422" spans="1:1" ht="13.8" x14ac:dyDescent="0.25">
      <c r="A4422" s="8"/>
    </row>
    <row r="4423" spans="1:1" ht="13.8" x14ac:dyDescent="0.25">
      <c r="A4423" s="8"/>
    </row>
    <row r="4424" spans="1:1" ht="13.8" x14ac:dyDescent="0.25">
      <c r="A4424" s="8"/>
    </row>
    <row r="4425" spans="1:1" ht="13.8" x14ac:dyDescent="0.25">
      <c r="A4425" s="8"/>
    </row>
    <row r="4426" spans="1:1" ht="13.8" x14ac:dyDescent="0.25">
      <c r="A4426" s="8"/>
    </row>
    <row r="4427" spans="1:1" ht="13.8" x14ac:dyDescent="0.25">
      <c r="A4427" s="8"/>
    </row>
    <row r="4428" spans="1:1" ht="13.8" x14ac:dyDescent="0.25">
      <c r="A4428" s="8"/>
    </row>
    <row r="4429" spans="1:1" ht="13.8" x14ac:dyDescent="0.25">
      <c r="A4429" s="8"/>
    </row>
    <row r="4430" spans="1:1" ht="13.8" x14ac:dyDescent="0.25">
      <c r="A4430" s="8"/>
    </row>
    <row r="4431" spans="1:1" ht="13.8" x14ac:dyDescent="0.25">
      <c r="A4431" s="8"/>
    </row>
    <row r="4432" spans="1:1" ht="13.8" x14ac:dyDescent="0.25">
      <c r="A4432" s="8"/>
    </row>
    <row r="4433" spans="1:1" ht="13.8" x14ac:dyDescent="0.25">
      <c r="A4433" s="8"/>
    </row>
    <row r="4434" spans="1:1" ht="13.8" x14ac:dyDescent="0.25">
      <c r="A4434" s="8"/>
    </row>
    <row r="4435" spans="1:1" ht="13.8" x14ac:dyDescent="0.25">
      <c r="A4435" s="8"/>
    </row>
    <row r="4436" spans="1:1" ht="13.8" x14ac:dyDescent="0.25">
      <c r="A4436" s="8"/>
    </row>
    <row r="4437" spans="1:1" ht="13.8" x14ac:dyDescent="0.25">
      <c r="A4437" s="8"/>
    </row>
    <row r="4438" spans="1:1" ht="13.8" x14ac:dyDescent="0.25">
      <c r="A4438" s="8"/>
    </row>
    <row r="4439" spans="1:1" ht="13.8" x14ac:dyDescent="0.25">
      <c r="A4439" s="8"/>
    </row>
    <row r="4440" spans="1:1" ht="13.8" x14ac:dyDescent="0.25">
      <c r="A4440" s="8"/>
    </row>
    <row r="4441" spans="1:1" ht="13.8" x14ac:dyDescent="0.25">
      <c r="A4441" s="8"/>
    </row>
    <row r="4442" spans="1:1" ht="13.8" x14ac:dyDescent="0.25">
      <c r="A4442" s="8"/>
    </row>
    <row r="4443" spans="1:1" ht="13.8" x14ac:dyDescent="0.25">
      <c r="A4443" s="8"/>
    </row>
    <row r="4444" spans="1:1" ht="13.8" x14ac:dyDescent="0.25">
      <c r="A4444" s="8"/>
    </row>
    <row r="4445" spans="1:1" ht="13.8" x14ac:dyDescent="0.25">
      <c r="A4445" s="8"/>
    </row>
    <row r="4446" spans="1:1" ht="13.8" x14ac:dyDescent="0.25">
      <c r="A4446" s="8"/>
    </row>
    <row r="4447" spans="1:1" ht="13.8" x14ac:dyDescent="0.25">
      <c r="A4447" s="8"/>
    </row>
    <row r="4448" spans="1:1" ht="13.8" x14ac:dyDescent="0.25">
      <c r="A4448" s="8"/>
    </row>
    <row r="4449" spans="1:1" ht="13.8" x14ac:dyDescent="0.25">
      <c r="A4449" s="8"/>
    </row>
    <row r="4450" spans="1:1" ht="13.8" x14ac:dyDescent="0.25">
      <c r="A4450" s="8"/>
    </row>
    <row r="4451" spans="1:1" ht="13.8" x14ac:dyDescent="0.25">
      <c r="A4451" s="8"/>
    </row>
    <row r="4452" spans="1:1" ht="13.8" x14ac:dyDescent="0.25">
      <c r="A4452" s="8"/>
    </row>
    <row r="4453" spans="1:1" ht="13.8" x14ac:dyDescent="0.25">
      <c r="A4453" s="8"/>
    </row>
    <row r="4454" spans="1:1" ht="13.8" x14ac:dyDescent="0.25">
      <c r="A4454" s="8"/>
    </row>
    <row r="4455" spans="1:1" ht="13.8" x14ac:dyDescent="0.25">
      <c r="A4455" s="8"/>
    </row>
    <row r="4456" spans="1:1" ht="13.8" x14ac:dyDescent="0.25">
      <c r="A4456" s="8"/>
    </row>
    <row r="4457" spans="1:1" ht="13.8" x14ac:dyDescent="0.25">
      <c r="A4457" s="8"/>
    </row>
    <row r="4458" spans="1:1" ht="13.8" x14ac:dyDescent="0.25">
      <c r="A4458" s="8"/>
    </row>
    <row r="4459" spans="1:1" ht="13.8" x14ac:dyDescent="0.25">
      <c r="A4459" s="8"/>
    </row>
    <row r="4460" spans="1:1" ht="13.8" x14ac:dyDescent="0.25">
      <c r="A4460" s="8"/>
    </row>
    <row r="4461" spans="1:1" ht="13.8" x14ac:dyDescent="0.25">
      <c r="A4461" s="8"/>
    </row>
    <row r="4462" spans="1:1" ht="13.8" x14ac:dyDescent="0.25">
      <c r="A4462" s="8"/>
    </row>
    <row r="4463" spans="1:1" ht="13.8" x14ac:dyDescent="0.25">
      <c r="A4463" s="8"/>
    </row>
    <row r="4464" spans="1:1" ht="13.8" x14ac:dyDescent="0.25">
      <c r="A4464" s="8"/>
    </row>
    <row r="4465" spans="1:1" ht="13.8" x14ac:dyDescent="0.25">
      <c r="A4465" s="8"/>
    </row>
    <row r="4466" spans="1:1" ht="13.8" x14ac:dyDescent="0.25">
      <c r="A4466" s="8"/>
    </row>
    <row r="4467" spans="1:1" ht="13.8" x14ac:dyDescent="0.25">
      <c r="A4467" s="8"/>
    </row>
    <row r="4468" spans="1:1" ht="13.8" x14ac:dyDescent="0.25">
      <c r="A4468" s="8"/>
    </row>
    <row r="4469" spans="1:1" ht="13.8" x14ac:dyDescent="0.25">
      <c r="A4469" s="8"/>
    </row>
    <row r="4470" spans="1:1" ht="13.8" x14ac:dyDescent="0.25">
      <c r="A4470" s="8"/>
    </row>
    <row r="4471" spans="1:1" ht="13.8" x14ac:dyDescent="0.25">
      <c r="A4471" s="8"/>
    </row>
    <row r="4472" spans="1:1" ht="13.8" x14ac:dyDescent="0.25">
      <c r="A4472" s="8"/>
    </row>
    <row r="4473" spans="1:1" ht="13.8" x14ac:dyDescent="0.25">
      <c r="A4473" s="8"/>
    </row>
    <row r="4474" spans="1:1" ht="13.8" x14ac:dyDescent="0.25">
      <c r="A4474" s="8"/>
    </row>
    <row r="4475" spans="1:1" ht="13.8" x14ac:dyDescent="0.25">
      <c r="A4475" s="8"/>
    </row>
    <row r="4476" spans="1:1" ht="13.8" x14ac:dyDescent="0.25">
      <c r="A4476" s="8"/>
    </row>
    <row r="4477" spans="1:1" ht="13.8" x14ac:dyDescent="0.25">
      <c r="A4477" s="8"/>
    </row>
    <row r="4478" spans="1:1" ht="13.8" x14ac:dyDescent="0.25">
      <c r="A4478" s="8"/>
    </row>
    <row r="4479" spans="1:1" ht="13.8" x14ac:dyDescent="0.25">
      <c r="A4479" s="8"/>
    </row>
    <row r="4480" spans="1:1" ht="13.8" x14ac:dyDescent="0.25">
      <c r="A4480" s="8"/>
    </row>
    <row r="4481" spans="1:1" ht="13.8" x14ac:dyDescent="0.25">
      <c r="A4481" s="8"/>
    </row>
    <row r="4482" spans="1:1" ht="13.8" x14ac:dyDescent="0.25">
      <c r="A4482" s="8"/>
    </row>
    <row r="4483" spans="1:1" ht="13.8" x14ac:dyDescent="0.25">
      <c r="A4483" s="8"/>
    </row>
    <row r="4484" spans="1:1" ht="13.8" x14ac:dyDescent="0.25">
      <c r="A4484" s="8"/>
    </row>
    <row r="4485" spans="1:1" ht="13.8" x14ac:dyDescent="0.25">
      <c r="A4485" s="8"/>
    </row>
    <row r="4486" spans="1:1" ht="13.8" x14ac:dyDescent="0.25">
      <c r="A4486" s="8"/>
    </row>
    <row r="4487" spans="1:1" ht="13.8" x14ac:dyDescent="0.25">
      <c r="A4487" s="8"/>
    </row>
    <row r="4488" spans="1:1" ht="13.8" x14ac:dyDescent="0.25">
      <c r="A4488" s="8"/>
    </row>
    <row r="4489" spans="1:1" ht="13.8" x14ac:dyDescent="0.25">
      <c r="A4489" s="8"/>
    </row>
    <row r="4490" spans="1:1" ht="13.8" x14ac:dyDescent="0.25">
      <c r="A4490" s="8"/>
    </row>
    <row r="4491" spans="1:1" ht="13.8" x14ac:dyDescent="0.25">
      <c r="A4491" s="8"/>
    </row>
    <row r="4492" spans="1:1" ht="13.8" x14ac:dyDescent="0.25">
      <c r="A4492" s="8"/>
    </row>
    <row r="4493" spans="1:1" ht="13.8" x14ac:dyDescent="0.25">
      <c r="A4493" s="8"/>
    </row>
    <row r="4494" spans="1:1" ht="13.8" x14ac:dyDescent="0.25">
      <c r="A4494" s="8"/>
    </row>
    <row r="4495" spans="1:1" ht="13.8" x14ac:dyDescent="0.25">
      <c r="A4495" s="8"/>
    </row>
    <row r="4496" spans="1:1" ht="13.8" x14ac:dyDescent="0.25">
      <c r="A4496" s="8"/>
    </row>
    <row r="4497" spans="1:1" ht="13.8" x14ac:dyDescent="0.25">
      <c r="A4497" s="8"/>
    </row>
    <row r="4498" spans="1:1" ht="13.8" x14ac:dyDescent="0.25">
      <c r="A4498" s="8"/>
    </row>
    <row r="4499" spans="1:1" ht="13.8" x14ac:dyDescent="0.25">
      <c r="A4499" s="8"/>
    </row>
    <row r="4500" spans="1:1" ht="13.8" x14ac:dyDescent="0.25">
      <c r="A4500" s="8"/>
    </row>
    <row r="4501" spans="1:1" ht="13.8" x14ac:dyDescent="0.25">
      <c r="A4501" s="8"/>
    </row>
    <row r="4502" spans="1:1" ht="13.8" x14ac:dyDescent="0.25">
      <c r="A4502" s="8"/>
    </row>
    <row r="4503" spans="1:1" ht="13.8" x14ac:dyDescent="0.25">
      <c r="A4503" s="8"/>
    </row>
    <row r="4504" spans="1:1" ht="13.8" x14ac:dyDescent="0.25">
      <c r="A4504" s="8"/>
    </row>
    <row r="4505" spans="1:1" ht="13.8" x14ac:dyDescent="0.25">
      <c r="A4505" s="8"/>
    </row>
    <row r="4506" spans="1:1" ht="13.8" x14ac:dyDescent="0.25">
      <c r="A4506" s="8"/>
    </row>
    <row r="4507" spans="1:1" ht="13.8" x14ac:dyDescent="0.25">
      <c r="A4507" s="8"/>
    </row>
    <row r="4508" spans="1:1" ht="13.8" x14ac:dyDescent="0.25">
      <c r="A4508" s="8"/>
    </row>
    <row r="4509" spans="1:1" ht="13.8" x14ac:dyDescent="0.25">
      <c r="A4509" s="8"/>
    </row>
    <row r="4510" spans="1:1" ht="13.8" x14ac:dyDescent="0.25">
      <c r="A4510" s="8"/>
    </row>
    <row r="4511" spans="1:1" ht="13.8" x14ac:dyDescent="0.25">
      <c r="A4511" s="8"/>
    </row>
    <row r="4512" spans="1:1" ht="13.8" x14ac:dyDescent="0.25">
      <c r="A4512" s="8"/>
    </row>
    <row r="4513" spans="1:1" ht="13.8" x14ac:dyDescent="0.25">
      <c r="A4513" s="8"/>
    </row>
    <row r="4514" spans="1:1" ht="13.8" x14ac:dyDescent="0.25">
      <c r="A4514" s="8"/>
    </row>
    <row r="4515" spans="1:1" ht="13.8" x14ac:dyDescent="0.25">
      <c r="A4515" s="8"/>
    </row>
    <row r="4516" spans="1:1" ht="13.8" x14ac:dyDescent="0.25">
      <c r="A4516" s="8"/>
    </row>
    <row r="4517" spans="1:1" ht="13.8" x14ac:dyDescent="0.25">
      <c r="A4517" s="8"/>
    </row>
    <row r="4518" spans="1:1" ht="13.8" x14ac:dyDescent="0.25">
      <c r="A4518" s="8"/>
    </row>
    <row r="4519" spans="1:1" ht="13.8" x14ac:dyDescent="0.25">
      <c r="A4519" s="8"/>
    </row>
    <row r="4520" spans="1:1" ht="13.8" x14ac:dyDescent="0.25">
      <c r="A4520" s="8"/>
    </row>
    <row r="4521" spans="1:1" ht="13.8" x14ac:dyDescent="0.25">
      <c r="A4521" s="8"/>
    </row>
    <row r="4522" spans="1:1" ht="13.8" x14ac:dyDescent="0.25">
      <c r="A4522" s="8"/>
    </row>
    <row r="4523" spans="1:1" ht="13.8" x14ac:dyDescent="0.25">
      <c r="A4523" s="8"/>
    </row>
    <row r="4524" spans="1:1" ht="13.8" x14ac:dyDescent="0.25">
      <c r="A4524" s="8"/>
    </row>
    <row r="4525" spans="1:1" ht="13.8" x14ac:dyDescent="0.25">
      <c r="A4525" s="8"/>
    </row>
    <row r="4526" spans="1:1" ht="13.8" x14ac:dyDescent="0.25">
      <c r="A4526" s="8"/>
    </row>
    <row r="4527" spans="1:1" ht="13.8" x14ac:dyDescent="0.25">
      <c r="A4527" s="8"/>
    </row>
    <row r="4528" spans="1:1" ht="13.8" x14ac:dyDescent="0.25">
      <c r="A4528" s="8"/>
    </row>
    <row r="4529" spans="1:1" ht="13.8" x14ac:dyDescent="0.25">
      <c r="A4529" s="8"/>
    </row>
    <row r="4530" spans="1:1" ht="13.8" x14ac:dyDescent="0.25">
      <c r="A4530" s="8"/>
    </row>
    <row r="4531" spans="1:1" ht="13.8" x14ac:dyDescent="0.25">
      <c r="A4531" s="8"/>
    </row>
    <row r="4532" spans="1:1" ht="13.8" x14ac:dyDescent="0.25">
      <c r="A4532" s="8"/>
    </row>
    <row r="4533" spans="1:1" ht="13.8" x14ac:dyDescent="0.25">
      <c r="A4533" s="8"/>
    </row>
    <row r="4534" spans="1:1" ht="13.8" x14ac:dyDescent="0.25">
      <c r="A4534" s="8"/>
    </row>
    <row r="4535" spans="1:1" ht="13.8" x14ac:dyDescent="0.25">
      <c r="A4535" s="8"/>
    </row>
    <row r="4536" spans="1:1" ht="13.8" x14ac:dyDescent="0.25">
      <c r="A4536" s="8"/>
    </row>
    <row r="4537" spans="1:1" ht="13.8" x14ac:dyDescent="0.25">
      <c r="A4537" s="8"/>
    </row>
    <row r="4538" spans="1:1" ht="13.8" x14ac:dyDescent="0.25">
      <c r="A4538" s="8"/>
    </row>
    <row r="4539" spans="1:1" ht="13.8" x14ac:dyDescent="0.25">
      <c r="A4539" s="8"/>
    </row>
    <row r="4540" spans="1:1" ht="13.8" x14ac:dyDescent="0.25">
      <c r="A4540" s="8"/>
    </row>
    <row r="4541" spans="1:1" ht="13.8" x14ac:dyDescent="0.25">
      <c r="A4541" s="8"/>
    </row>
    <row r="4542" spans="1:1" ht="13.8" x14ac:dyDescent="0.25">
      <c r="A4542" s="8"/>
    </row>
    <row r="4543" spans="1:1" ht="13.8" x14ac:dyDescent="0.25">
      <c r="A4543" s="8"/>
    </row>
    <row r="4544" spans="1:1" ht="13.8" x14ac:dyDescent="0.25">
      <c r="A4544" s="8"/>
    </row>
    <row r="4545" spans="1:1" ht="13.8" x14ac:dyDescent="0.25">
      <c r="A4545" s="8"/>
    </row>
    <row r="4546" spans="1:1" ht="13.8" x14ac:dyDescent="0.25">
      <c r="A4546" s="8"/>
    </row>
    <row r="4547" spans="1:1" ht="13.8" x14ac:dyDescent="0.25">
      <c r="A4547" s="8"/>
    </row>
    <row r="4548" spans="1:1" ht="13.8" x14ac:dyDescent="0.25">
      <c r="A4548" s="8"/>
    </row>
    <row r="4549" spans="1:1" ht="13.8" x14ac:dyDescent="0.25">
      <c r="A4549" s="8"/>
    </row>
    <row r="4550" spans="1:1" ht="13.8" x14ac:dyDescent="0.25">
      <c r="A4550" s="8"/>
    </row>
    <row r="4551" spans="1:1" ht="13.8" x14ac:dyDescent="0.25">
      <c r="A4551" s="8"/>
    </row>
    <row r="4552" spans="1:1" ht="13.8" x14ac:dyDescent="0.25">
      <c r="A4552" s="8"/>
    </row>
    <row r="4553" spans="1:1" ht="13.8" x14ac:dyDescent="0.25">
      <c r="A4553" s="8"/>
    </row>
    <row r="4554" spans="1:1" ht="13.8" x14ac:dyDescent="0.25">
      <c r="A4554" s="8"/>
    </row>
    <row r="4555" spans="1:1" ht="13.8" x14ac:dyDescent="0.25">
      <c r="A4555" s="8"/>
    </row>
    <row r="4556" spans="1:1" ht="13.8" x14ac:dyDescent="0.25">
      <c r="A4556" s="8"/>
    </row>
    <row r="4557" spans="1:1" ht="13.8" x14ac:dyDescent="0.25">
      <c r="A4557" s="8"/>
    </row>
    <row r="4558" spans="1:1" ht="13.8" x14ac:dyDescent="0.25">
      <c r="A4558" s="8"/>
    </row>
    <row r="4559" spans="1:1" ht="13.8" x14ac:dyDescent="0.25">
      <c r="A4559" s="8"/>
    </row>
    <row r="4560" spans="1:1" ht="13.8" x14ac:dyDescent="0.25">
      <c r="A4560" s="8"/>
    </row>
    <row r="4561" spans="1:1" ht="13.8" x14ac:dyDescent="0.25">
      <c r="A4561" s="8"/>
    </row>
    <row r="4562" spans="1:1" ht="13.8" x14ac:dyDescent="0.25">
      <c r="A4562" s="8"/>
    </row>
    <row r="4563" spans="1:1" ht="13.8" x14ac:dyDescent="0.25">
      <c r="A4563" s="8"/>
    </row>
    <row r="4564" spans="1:1" ht="13.8" x14ac:dyDescent="0.25">
      <c r="A4564" s="8"/>
    </row>
    <row r="4565" spans="1:1" ht="13.8" x14ac:dyDescent="0.25">
      <c r="A4565" s="8"/>
    </row>
    <row r="4566" spans="1:1" ht="13.8" x14ac:dyDescent="0.25">
      <c r="A4566" s="8"/>
    </row>
    <row r="4567" spans="1:1" ht="13.8" x14ac:dyDescent="0.25">
      <c r="A4567" s="8"/>
    </row>
    <row r="4568" spans="1:1" ht="13.8" x14ac:dyDescent="0.25">
      <c r="A4568" s="8"/>
    </row>
    <row r="4569" spans="1:1" ht="13.8" x14ac:dyDescent="0.25">
      <c r="A4569" s="8"/>
    </row>
    <row r="4570" spans="1:1" ht="13.8" x14ac:dyDescent="0.25">
      <c r="A4570" s="8"/>
    </row>
    <row r="4571" spans="1:1" ht="13.8" x14ac:dyDescent="0.25">
      <c r="A4571" s="8"/>
    </row>
    <row r="4572" spans="1:1" ht="13.8" x14ac:dyDescent="0.25">
      <c r="A4572" s="8"/>
    </row>
    <row r="4573" spans="1:1" ht="13.8" x14ac:dyDescent="0.25">
      <c r="A4573" s="8"/>
    </row>
    <row r="4574" spans="1:1" ht="13.8" x14ac:dyDescent="0.25">
      <c r="A4574" s="8"/>
    </row>
    <row r="4575" spans="1:1" ht="13.8" x14ac:dyDescent="0.25">
      <c r="A4575" s="8"/>
    </row>
    <row r="4576" spans="1:1" ht="13.8" x14ac:dyDescent="0.25">
      <c r="A4576" s="8"/>
    </row>
    <row r="4577" spans="1:1" ht="13.8" x14ac:dyDescent="0.25">
      <c r="A4577" s="8"/>
    </row>
    <row r="4578" spans="1:1" ht="13.8" x14ac:dyDescent="0.25">
      <c r="A4578" s="8"/>
    </row>
    <row r="4579" spans="1:1" ht="13.8" x14ac:dyDescent="0.25">
      <c r="A4579" s="8"/>
    </row>
    <row r="4580" spans="1:1" ht="13.8" x14ac:dyDescent="0.25">
      <c r="A4580" s="8"/>
    </row>
    <row r="4581" spans="1:1" ht="13.8" x14ac:dyDescent="0.25">
      <c r="A4581" s="8"/>
    </row>
    <row r="4582" spans="1:1" ht="13.8" x14ac:dyDescent="0.25">
      <c r="A4582" s="8"/>
    </row>
    <row r="4583" spans="1:1" ht="13.8" x14ac:dyDescent="0.25">
      <c r="A4583" s="8"/>
    </row>
    <row r="4584" spans="1:1" ht="13.8" x14ac:dyDescent="0.25">
      <c r="A4584" s="8"/>
    </row>
    <row r="4585" spans="1:1" ht="13.8" x14ac:dyDescent="0.25">
      <c r="A4585" s="8"/>
    </row>
    <row r="4586" spans="1:1" ht="13.8" x14ac:dyDescent="0.25">
      <c r="A4586" s="8"/>
    </row>
    <row r="4587" spans="1:1" ht="13.8" x14ac:dyDescent="0.25">
      <c r="A4587" s="8"/>
    </row>
    <row r="4588" spans="1:1" ht="13.8" x14ac:dyDescent="0.25">
      <c r="A4588" s="8"/>
    </row>
    <row r="4589" spans="1:1" ht="13.8" x14ac:dyDescent="0.25">
      <c r="A4589" s="8"/>
    </row>
    <row r="4590" spans="1:1" ht="13.8" x14ac:dyDescent="0.25">
      <c r="A4590" s="8"/>
    </row>
    <row r="4591" spans="1:1" ht="13.8" x14ac:dyDescent="0.25">
      <c r="A4591" s="8"/>
    </row>
    <row r="4592" spans="1:1" ht="13.8" x14ac:dyDescent="0.25">
      <c r="A4592" s="8"/>
    </row>
    <row r="4593" spans="1:1" ht="13.8" x14ac:dyDescent="0.25">
      <c r="A4593" s="8"/>
    </row>
    <row r="4594" spans="1:1" ht="13.8" x14ac:dyDescent="0.25">
      <c r="A4594" s="8"/>
    </row>
    <row r="4595" spans="1:1" ht="13.8" x14ac:dyDescent="0.25">
      <c r="A4595" s="8"/>
    </row>
    <row r="4596" spans="1:1" ht="13.8" x14ac:dyDescent="0.25">
      <c r="A4596" s="8"/>
    </row>
    <row r="4597" spans="1:1" ht="13.8" x14ac:dyDescent="0.25">
      <c r="A4597" s="8"/>
    </row>
    <row r="4598" spans="1:1" ht="13.8" x14ac:dyDescent="0.25">
      <c r="A4598" s="8"/>
    </row>
    <row r="4599" spans="1:1" ht="13.8" x14ac:dyDescent="0.25">
      <c r="A4599" s="8"/>
    </row>
    <row r="4600" spans="1:1" ht="13.8" x14ac:dyDescent="0.25">
      <c r="A4600" s="8"/>
    </row>
    <row r="4601" spans="1:1" ht="13.8" x14ac:dyDescent="0.25">
      <c r="A4601" s="8"/>
    </row>
    <row r="4602" spans="1:1" ht="13.8" x14ac:dyDescent="0.25">
      <c r="A4602" s="8"/>
    </row>
    <row r="4603" spans="1:1" ht="13.8" x14ac:dyDescent="0.25">
      <c r="A4603" s="8"/>
    </row>
    <row r="4604" spans="1:1" ht="13.8" x14ac:dyDescent="0.25">
      <c r="A4604" s="8"/>
    </row>
    <row r="4605" spans="1:1" ht="13.8" x14ac:dyDescent="0.25">
      <c r="A4605" s="8"/>
    </row>
    <row r="4606" spans="1:1" ht="13.8" x14ac:dyDescent="0.25">
      <c r="A4606" s="8"/>
    </row>
    <row r="4607" spans="1:1" ht="13.8" x14ac:dyDescent="0.25">
      <c r="A4607" s="8"/>
    </row>
    <row r="4608" spans="1:1" ht="13.8" x14ac:dyDescent="0.25">
      <c r="A4608" s="8"/>
    </row>
    <row r="4609" spans="1:1" ht="13.8" x14ac:dyDescent="0.25">
      <c r="A4609" s="8"/>
    </row>
    <row r="4610" spans="1:1" ht="13.8" x14ac:dyDescent="0.25">
      <c r="A4610" s="8"/>
    </row>
    <row r="4611" spans="1:1" ht="13.8" x14ac:dyDescent="0.25">
      <c r="A4611" s="8"/>
    </row>
    <row r="4612" spans="1:1" ht="13.8" x14ac:dyDescent="0.25">
      <c r="A4612" s="8"/>
    </row>
    <row r="4613" spans="1:1" ht="13.8" x14ac:dyDescent="0.25">
      <c r="A4613" s="8"/>
    </row>
    <row r="4614" spans="1:1" ht="13.8" x14ac:dyDescent="0.25">
      <c r="A4614" s="8"/>
    </row>
    <row r="4615" spans="1:1" ht="13.8" x14ac:dyDescent="0.25">
      <c r="A4615" s="8"/>
    </row>
    <row r="4616" spans="1:1" ht="13.8" x14ac:dyDescent="0.25">
      <c r="A4616" s="8"/>
    </row>
    <row r="4617" spans="1:1" ht="13.8" x14ac:dyDescent="0.25">
      <c r="A4617" s="8"/>
    </row>
    <row r="4618" spans="1:1" ht="13.8" x14ac:dyDescent="0.25">
      <c r="A4618" s="8"/>
    </row>
    <row r="4619" spans="1:1" ht="13.8" x14ac:dyDescent="0.25">
      <c r="A4619" s="8"/>
    </row>
    <row r="4620" spans="1:1" ht="13.8" x14ac:dyDescent="0.25">
      <c r="A4620" s="8"/>
    </row>
    <row r="4621" spans="1:1" ht="13.8" x14ac:dyDescent="0.25">
      <c r="A4621" s="8"/>
    </row>
    <row r="4622" spans="1:1" ht="13.8" x14ac:dyDescent="0.25">
      <c r="A4622" s="8"/>
    </row>
    <row r="4623" spans="1:1" ht="13.8" x14ac:dyDescent="0.25">
      <c r="A4623" s="8"/>
    </row>
    <row r="4624" spans="1:1" ht="13.8" x14ac:dyDescent="0.25">
      <c r="A4624" s="8"/>
    </row>
    <row r="4625" spans="1:1" ht="13.8" x14ac:dyDescent="0.25">
      <c r="A4625" s="8"/>
    </row>
    <row r="4626" spans="1:1" ht="13.8" x14ac:dyDescent="0.25">
      <c r="A4626" s="8"/>
    </row>
    <row r="4627" spans="1:1" ht="13.8" x14ac:dyDescent="0.25">
      <c r="A4627" s="8"/>
    </row>
    <row r="4628" spans="1:1" ht="13.8" x14ac:dyDescent="0.25">
      <c r="A4628" s="8"/>
    </row>
    <row r="4629" spans="1:1" ht="13.8" x14ac:dyDescent="0.25">
      <c r="A4629" s="8"/>
    </row>
    <row r="4630" spans="1:1" ht="13.8" x14ac:dyDescent="0.25">
      <c r="A4630" s="8"/>
    </row>
    <row r="4631" spans="1:1" ht="13.8" x14ac:dyDescent="0.25">
      <c r="A4631" s="8"/>
    </row>
    <row r="4632" spans="1:1" ht="13.8" x14ac:dyDescent="0.25">
      <c r="A4632" s="8"/>
    </row>
    <row r="4633" spans="1:1" ht="13.8" x14ac:dyDescent="0.25">
      <c r="A4633" s="8"/>
    </row>
    <row r="4634" spans="1:1" ht="13.8" x14ac:dyDescent="0.25">
      <c r="A4634" s="8"/>
    </row>
    <row r="4635" spans="1:1" ht="13.8" x14ac:dyDescent="0.25">
      <c r="A4635" s="8"/>
    </row>
    <row r="4636" spans="1:1" ht="13.8" x14ac:dyDescent="0.25">
      <c r="A4636" s="8"/>
    </row>
    <row r="4637" spans="1:1" ht="13.8" x14ac:dyDescent="0.25">
      <c r="A4637" s="8"/>
    </row>
    <row r="4638" spans="1:1" ht="13.8" x14ac:dyDescent="0.25">
      <c r="A4638" s="8"/>
    </row>
    <row r="4639" spans="1:1" ht="13.8" x14ac:dyDescent="0.25">
      <c r="A4639" s="8"/>
    </row>
    <row r="4640" spans="1:1" ht="13.8" x14ac:dyDescent="0.25">
      <c r="A4640" s="8"/>
    </row>
    <row r="4641" spans="1:1" ht="13.8" x14ac:dyDescent="0.25">
      <c r="A4641" s="8"/>
    </row>
    <row r="4642" spans="1:1" ht="13.8" x14ac:dyDescent="0.25">
      <c r="A4642" s="8"/>
    </row>
    <row r="4643" spans="1:1" ht="13.8" x14ac:dyDescent="0.25">
      <c r="A4643" s="8"/>
    </row>
    <row r="4644" spans="1:1" ht="13.8" x14ac:dyDescent="0.25">
      <c r="A4644" s="8"/>
    </row>
    <row r="4645" spans="1:1" ht="13.8" x14ac:dyDescent="0.25">
      <c r="A4645" s="8"/>
    </row>
    <row r="4646" spans="1:1" ht="13.8" x14ac:dyDescent="0.25">
      <c r="A4646" s="8"/>
    </row>
    <row r="4647" spans="1:1" ht="13.8" x14ac:dyDescent="0.25">
      <c r="A4647" s="8"/>
    </row>
    <row r="4648" spans="1:1" ht="13.8" x14ac:dyDescent="0.25">
      <c r="A4648" s="8"/>
    </row>
    <row r="4649" spans="1:1" ht="13.8" x14ac:dyDescent="0.25">
      <c r="A4649" s="8"/>
    </row>
    <row r="4650" spans="1:1" ht="13.8" x14ac:dyDescent="0.25">
      <c r="A4650" s="8"/>
    </row>
    <row r="4651" spans="1:1" ht="13.8" x14ac:dyDescent="0.25">
      <c r="A4651" s="8"/>
    </row>
    <row r="4652" spans="1:1" ht="13.8" x14ac:dyDescent="0.25">
      <c r="A4652" s="8"/>
    </row>
    <row r="4653" spans="1:1" ht="13.8" x14ac:dyDescent="0.25">
      <c r="A4653" s="8"/>
    </row>
    <row r="4654" spans="1:1" ht="13.8" x14ac:dyDescent="0.25">
      <c r="A4654" s="8"/>
    </row>
    <row r="4655" spans="1:1" ht="13.8" x14ac:dyDescent="0.25">
      <c r="A4655" s="8"/>
    </row>
    <row r="4656" spans="1:1" ht="13.8" x14ac:dyDescent="0.25">
      <c r="A4656" s="8"/>
    </row>
    <row r="4657" spans="1:1" ht="13.8" x14ac:dyDescent="0.25">
      <c r="A4657" s="8"/>
    </row>
    <row r="4658" spans="1:1" ht="13.8" x14ac:dyDescent="0.25">
      <c r="A4658" s="8"/>
    </row>
    <row r="4659" spans="1:1" ht="13.8" x14ac:dyDescent="0.25">
      <c r="A4659" s="8"/>
    </row>
    <row r="4660" spans="1:1" ht="13.8" x14ac:dyDescent="0.25">
      <c r="A4660" s="8"/>
    </row>
    <row r="4661" spans="1:1" ht="13.8" x14ac:dyDescent="0.25">
      <c r="A4661" s="8"/>
    </row>
    <row r="4662" spans="1:1" ht="13.8" x14ac:dyDescent="0.25">
      <c r="A4662" s="8"/>
    </row>
    <row r="4663" spans="1:1" ht="13.8" x14ac:dyDescent="0.25">
      <c r="A4663" s="8"/>
    </row>
    <row r="4664" spans="1:1" ht="13.8" x14ac:dyDescent="0.25">
      <c r="A4664" s="8"/>
    </row>
    <row r="4665" spans="1:1" ht="13.8" x14ac:dyDescent="0.25">
      <c r="A4665" s="8"/>
    </row>
    <row r="4666" spans="1:1" ht="13.8" x14ac:dyDescent="0.25">
      <c r="A4666" s="8"/>
    </row>
    <row r="4667" spans="1:1" ht="13.8" x14ac:dyDescent="0.25">
      <c r="A4667" s="8"/>
    </row>
    <row r="4668" spans="1:1" ht="13.8" x14ac:dyDescent="0.25">
      <c r="A4668" s="8"/>
    </row>
    <row r="4669" spans="1:1" ht="13.8" x14ac:dyDescent="0.25">
      <c r="A4669" s="8"/>
    </row>
    <row r="4670" spans="1:1" ht="13.8" x14ac:dyDescent="0.25">
      <c r="A4670" s="8"/>
    </row>
    <row r="4671" spans="1:1" ht="13.8" x14ac:dyDescent="0.25">
      <c r="A4671" s="8"/>
    </row>
    <row r="4672" spans="1:1" ht="13.8" x14ac:dyDescent="0.25">
      <c r="A4672" s="8"/>
    </row>
    <row r="4673" spans="1:1" ht="13.8" x14ac:dyDescent="0.25">
      <c r="A4673" s="8"/>
    </row>
    <row r="4674" spans="1:1" ht="13.8" x14ac:dyDescent="0.25">
      <c r="A4674" s="8"/>
    </row>
    <row r="4675" spans="1:1" ht="13.8" x14ac:dyDescent="0.25">
      <c r="A4675" s="8"/>
    </row>
    <row r="4676" spans="1:1" ht="13.8" x14ac:dyDescent="0.25">
      <c r="A4676" s="8"/>
    </row>
    <row r="4677" spans="1:1" ht="13.8" x14ac:dyDescent="0.25">
      <c r="A4677" s="8"/>
    </row>
    <row r="4678" spans="1:1" ht="13.8" x14ac:dyDescent="0.25">
      <c r="A4678" s="8"/>
    </row>
    <row r="4679" spans="1:1" ht="13.8" x14ac:dyDescent="0.25">
      <c r="A4679" s="8"/>
    </row>
    <row r="4680" spans="1:1" ht="13.8" x14ac:dyDescent="0.25">
      <c r="A4680" s="8"/>
    </row>
    <row r="4681" spans="1:1" ht="13.8" x14ac:dyDescent="0.25">
      <c r="A4681" s="8"/>
    </row>
    <row r="4682" spans="1:1" ht="13.8" x14ac:dyDescent="0.25">
      <c r="A4682" s="8"/>
    </row>
    <row r="4683" spans="1:1" ht="13.8" x14ac:dyDescent="0.25">
      <c r="A4683" s="8"/>
    </row>
    <row r="4684" spans="1:1" ht="13.8" x14ac:dyDescent="0.25">
      <c r="A4684" s="8"/>
    </row>
    <row r="4685" spans="1:1" ht="13.8" x14ac:dyDescent="0.25">
      <c r="A4685" s="8"/>
    </row>
    <row r="4686" spans="1:1" ht="13.8" x14ac:dyDescent="0.25">
      <c r="A4686" s="8"/>
    </row>
    <row r="4687" spans="1:1" ht="13.8" x14ac:dyDescent="0.25">
      <c r="A4687" s="8"/>
    </row>
    <row r="4688" spans="1:1" ht="13.8" x14ac:dyDescent="0.25">
      <c r="A4688" s="8"/>
    </row>
    <row r="4689" spans="1:1" ht="13.8" x14ac:dyDescent="0.25">
      <c r="A4689" s="8"/>
    </row>
    <row r="4690" spans="1:1" ht="13.8" x14ac:dyDescent="0.25">
      <c r="A4690" s="8"/>
    </row>
    <row r="4691" spans="1:1" ht="13.8" x14ac:dyDescent="0.25">
      <c r="A4691" s="8"/>
    </row>
    <row r="4692" spans="1:1" ht="13.8" x14ac:dyDescent="0.25">
      <c r="A4692" s="8"/>
    </row>
    <row r="4693" spans="1:1" ht="13.8" x14ac:dyDescent="0.25">
      <c r="A4693" s="8"/>
    </row>
    <row r="4694" spans="1:1" ht="13.8" x14ac:dyDescent="0.25">
      <c r="A4694" s="8"/>
    </row>
    <row r="4695" spans="1:1" ht="13.8" x14ac:dyDescent="0.25">
      <c r="A4695" s="8"/>
    </row>
    <row r="4696" spans="1:1" ht="13.8" x14ac:dyDescent="0.25">
      <c r="A4696" s="8"/>
    </row>
    <row r="4697" spans="1:1" ht="13.8" x14ac:dyDescent="0.25">
      <c r="A4697" s="8"/>
    </row>
    <row r="4698" spans="1:1" ht="13.8" x14ac:dyDescent="0.25">
      <c r="A4698" s="8"/>
    </row>
    <row r="4699" spans="1:1" ht="13.8" x14ac:dyDescent="0.25">
      <c r="A4699" s="8"/>
    </row>
    <row r="4700" spans="1:1" ht="13.8" x14ac:dyDescent="0.25">
      <c r="A4700" s="8"/>
    </row>
    <row r="4701" spans="1:1" ht="13.8" x14ac:dyDescent="0.25">
      <c r="A4701" s="8"/>
    </row>
    <row r="4702" spans="1:1" ht="13.8" x14ac:dyDescent="0.25">
      <c r="A4702" s="8"/>
    </row>
    <row r="4703" spans="1:1" ht="13.8" x14ac:dyDescent="0.25">
      <c r="A4703" s="8"/>
    </row>
    <row r="4704" spans="1:1" ht="13.8" x14ac:dyDescent="0.25">
      <c r="A4704" s="8"/>
    </row>
    <row r="4705" spans="1:1" ht="13.8" x14ac:dyDescent="0.25">
      <c r="A4705" s="8"/>
    </row>
    <row r="4706" spans="1:1" ht="13.8" x14ac:dyDescent="0.25">
      <c r="A4706" s="8"/>
    </row>
    <row r="4707" spans="1:1" ht="13.8" x14ac:dyDescent="0.25">
      <c r="A4707" s="8"/>
    </row>
    <row r="4708" spans="1:1" ht="13.8" x14ac:dyDescent="0.25">
      <c r="A4708" s="8"/>
    </row>
    <row r="4709" spans="1:1" ht="13.8" x14ac:dyDescent="0.25">
      <c r="A4709" s="8"/>
    </row>
    <row r="4710" spans="1:1" ht="13.8" x14ac:dyDescent="0.25">
      <c r="A4710" s="8"/>
    </row>
    <row r="4711" spans="1:1" ht="13.8" x14ac:dyDescent="0.25">
      <c r="A4711" s="8"/>
    </row>
    <row r="4712" spans="1:1" ht="13.8" x14ac:dyDescent="0.25">
      <c r="A4712" s="8"/>
    </row>
    <row r="4713" spans="1:1" ht="13.8" x14ac:dyDescent="0.25">
      <c r="A4713" s="8"/>
    </row>
    <row r="4714" spans="1:1" ht="13.8" x14ac:dyDescent="0.25">
      <c r="A4714" s="8"/>
    </row>
    <row r="4715" spans="1:1" ht="13.8" x14ac:dyDescent="0.25">
      <c r="A4715" s="8"/>
    </row>
    <row r="4716" spans="1:1" ht="13.8" x14ac:dyDescent="0.25">
      <c r="A4716" s="8"/>
    </row>
    <row r="4717" spans="1:1" ht="13.8" x14ac:dyDescent="0.25">
      <c r="A4717" s="8"/>
    </row>
    <row r="4718" spans="1:1" ht="13.8" x14ac:dyDescent="0.25">
      <c r="A4718" s="8"/>
    </row>
    <row r="4719" spans="1:1" ht="13.8" x14ac:dyDescent="0.25">
      <c r="A4719" s="8"/>
    </row>
    <row r="4720" spans="1:1" ht="13.8" x14ac:dyDescent="0.25">
      <c r="A4720" s="8"/>
    </row>
    <row r="4721" spans="1:1" ht="13.8" x14ac:dyDescent="0.25">
      <c r="A4721" s="8"/>
    </row>
    <row r="4722" spans="1:1" ht="13.8" x14ac:dyDescent="0.25">
      <c r="A4722" s="8"/>
    </row>
    <row r="4723" spans="1:1" ht="13.8" x14ac:dyDescent="0.25">
      <c r="A4723" s="8"/>
    </row>
    <row r="4724" spans="1:1" ht="13.8" x14ac:dyDescent="0.25">
      <c r="A4724" s="8"/>
    </row>
    <row r="4725" spans="1:1" ht="13.8" x14ac:dyDescent="0.25">
      <c r="A4725" s="8"/>
    </row>
    <row r="4726" spans="1:1" ht="13.8" x14ac:dyDescent="0.25">
      <c r="A4726" s="8"/>
    </row>
    <row r="4727" spans="1:1" ht="13.8" x14ac:dyDescent="0.25">
      <c r="A4727" s="8"/>
    </row>
    <row r="4728" spans="1:1" ht="13.8" x14ac:dyDescent="0.25">
      <c r="A4728" s="8"/>
    </row>
    <row r="4729" spans="1:1" ht="13.8" x14ac:dyDescent="0.25">
      <c r="A4729" s="8"/>
    </row>
    <row r="4730" spans="1:1" ht="13.8" x14ac:dyDescent="0.25">
      <c r="A4730" s="8"/>
    </row>
    <row r="4731" spans="1:1" ht="13.8" x14ac:dyDescent="0.25">
      <c r="A4731" s="8"/>
    </row>
    <row r="4732" spans="1:1" ht="13.8" x14ac:dyDescent="0.25">
      <c r="A4732" s="8"/>
    </row>
    <row r="4733" spans="1:1" ht="13.8" x14ac:dyDescent="0.25">
      <c r="A4733" s="8"/>
    </row>
    <row r="4734" spans="1:1" ht="13.8" x14ac:dyDescent="0.25">
      <c r="A4734" s="8"/>
    </row>
    <row r="4735" spans="1:1" ht="13.8" x14ac:dyDescent="0.25">
      <c r="A4735" s="8"/>
    </row>
    <row r="4736" spans="1:1" ht="13.8" x14ac:dyDescent="0.25">
      <c r="A4736" s="8"/>
    </row>
    <row r="4737" spans="1:1" ht="13.8" x14ac:dyDescent="0.25">
      <c r="A4737" s="8"/>
    </row>
    <row r="4738" spans="1:1" ht="13.8" x14ac:dyDescent="0.25">
      <c r="A4738" s="8"/>
    </row>
    <row r="4739" spans="1:1" ht="13.8" x14ac:dyDescent="0.25">
      <c r="A4739" s="8"/>
    </row>
    <row r="4740" spans="1:1" ht="13.8" x14ac:dyDescent="0.25">
      <c r="A4740" s="8"/>
    </row>
    <row r="4741" spans="1:1" ht="13.8" x14ac:dyDescent="0.25">
      <c r="A4741" s="8"/>
    </row>
    <row r="4742" spans="1:1" ht="13.8" x14ac:dyDescent="0.25">
      <c r="A4742" s="8"/>
    </row>
    <row r="4743" spans="1:1" ht="13.8" x14ac:dyDescent="0.25">
      <c r="A4743" s="8"/>
    </row>
    <row r="4744" spans="1:1" ht="13.8" x14ac:dyDescent="0.25">
      <c r="A4744" s="8"/>
    </row>
    <row r="4745" spans="1:1" ht="13.8" x14ac:dyDescent="0.25">
      <c r="A4745" s="8"/>
    </row>
    <row r="4746" spans="1:1" ht="13.8" x14ac:dyDescent="0.25">
      <c r="A4746" s="8"/>
    </row>
    <row r="4747" spans="1:1" ht="13.8" x14ac:dyDescent="0.25">
      <c r="A4747" s="8"/>
    </row>
    <row r="4748" spans="1:1" ht="13.8" x14ac:dyDescent="0.25">
      <c r="A4748" s="8"/>
    </row>
    <row r="4749" spans="1:1" ht="13.8" x14ac:dyDescent="0.25">
      <c r="A4749" s="8"/>
    </row>
    <row r="4750" spans="1:1" ht="13.8" x14ac:dyDescent="0.25">
      <c r="A4750" s="8"/>
    </row>
    <row r="4751" spans="1:1" ht="13.8" x14ac:dyDescent="0.25">
      <c r="A4751" s="8"/>
    </row>
    <row r="4752" spans="1:1" ht="13.8" x14ac:dyDescent="0.25">
      <c r="A4752" s="8"/>
    </row>
    <row r="4753" spans="1:1" ht="13.8" x14ac:dyDescent="0.25">
      <c r="A4753" s="8"/>
    </row>
    <row r="4754" spans="1:1" ht="13.8" x14ac:dyDescent="0.25">
      <c r="A4754" s="8"/>
    </row>
    <row r="4755" spans="1:1" ht="13.8" x14ac:dyDescent="0.25">
      <c r="A4755" s="8"/>
    </row>
    <row r="4756" spans="1:1" ht="13.8" x14ac:dyDescent="0.25">
      <c r="A4756" s="8"/>
    </row>
    <row r="4757" spans="1:1" ht="13.8" x14ac:dyDescent="0.25">
      <c r="A4757" s="8"/>
    </row>
    <row r="4758" spans="1:1" ht="13.8" x14ac:dyDescent="0.25">
      <c r="A4758" s="8"/>
    </row>
    <row r="4759" spans="1:1" ht="13.8" x14ac:dyDescent="0.25">
      <c r="A4759" s="8"/>
    </row>
    <row r="4760" spans="1:1" ht="13.8" x14ac:dyDescent="0.25">
      <c r="A4760" s="8"/>
    </row>
    <row r="4761" spans="1:1" ht="13.8" x14ac:dyDescent="0.25">
      <c r="A4761" s="8"/>
    </row>
    <row r="4762" spans="1:1" ht="13.8" x14ac:dyDescent="0.25">
      <c r="A4762" s="8"/>
    </row>
    <row r="4763" spans="1:1" ht="13.8" x14ac:dyDescent="0.25">
      <c r="A4763" s="8"/>
    </row>
    <row r="4764" spans="1:1" ht="13.8" x14ac:dyDescent="0.25">
      <c r="A4764" s="8"/>
    </row>
    <row r="4765" spans="1:1" ht="13.8" x14ac:dyDescent="0.25">
      <c r="A4765" s="8"/>
    </row>
    <row r="4766" spans="1:1" ht="13.8" x14ac:dyDescent="0.25">
      <c r="A4766" s="8"/>
    </row>
    <row r="4767" spans="1:1" ht="13.8" x14ac:dyDescent="0.25">
      <c r="A4767" s="8"/>
    </row>
    <row r="4768" spans="1:1" ht="13.8" x14ac:dyDescent="0.25">
      <c r="A4768" s="8"/>
    </row>
    <row r="4769" spans="1:1" ht="13.8" x14ac:dyDescent="0.25">
      <c r="A4769" s="8"/>
    </row>
    <row r="4770" spans="1:1" ht="13.8" x14ac:dyDescent="0.25">
      <c r="A4770" s="8"/>
    </row>
    <row r="4771" spans="1:1" ht="13.8" x14ac:dyDescent="0.25">
      <c r="A4771" s="8"/>
    </row>
    <row r="4772" spans="1:1" ht="13.8" x14ac:dyDescent="0.25">
      <c r="A4772" s="8"/>
    </row>
    <row r="4773" spans="1:1" ht="13.8" x14ac:dyDescent="0.25">
      <c r="A4773" s="8"/>
    </row>
    <row r="4774" spans="1:1" ht="13.8" x14ac:dyDescent="0.25">
      <c r="A4774" s="8"/>
    </row>
    <row r="4775" spans="1:1" ht="13.8" x14ac:dyDescent="0.25">
      <c r="A4775" s="8"/>
    </row>
    <row r="4776" spans="1:1" ht="13.8" x14ac:dyDescent="0.25">
      <c r="A4776" s="8"/>
    </row>
    <row r="4777" spans="1:1" ht="13.8" x14ac:dyDescent="0.25">
      <c r="A4777" s="8"/>
    </row>
    <row r="4778" spans="1:1" ht="13.8" x14ac:dyDescent="0.25">
      <c r="A4778" s="8"/>
    </row>
    <row r="4779" spans="1:1" ht="13.8" x14ac:dyDescent="0.25">
      <c r="A4779" s="8"/>
    </row>
    <row r="4780" spans="1:1" ht="13.8" x14ac:dyDescent="0.25">
      <c r="A4780" s="8"/>
    </row>
    <row r="4781" spans="1:1" ht="13.8" x14ac:dyDescent="0.25">
      <c r="A4781" s="8"/>
    </row>
    <row r="4782" spans="1:1" ht="13.8" x14ac:dyDescent="0.25">
      <c r="A4782" s="8"/>
    </row>
    <row r="4783" spans="1:1" ht="13.8" x14ac:dyDescent="0.25">
      <c r="A4783" s="8"/>
    </row>
    <row r="4784" spans="1:1" ht="13.8" x14ac:dyDescent="0.25">
      <c r="A4784" s="8"/>
    </row>
    <row r="4785" spans="1:1" ht="13.8" x14ac:dyDescent="0.25">
      <c r="A4785" s="8"/>
    </row>
    <row r="4786" spans="1:1" ht="13.8" x14ac:dyDescent="0.25">
      <c r="A4786" s="8"/>
    </row>
    <row r="4787" spans="1:1" ht="13.8" x14ac:dyDescent="0.25">
      <c r="A4787" s="8"/>
    </row>
    <row r="4788" spans="1:1" ht="13.8" x14ac:dyDescent="0.25">
      <c r="A4788" s="8"/>
    </row>
    <row r="4789" spans="1:1" ht="13.8" x14ac:dyDescent="0.25">
      <c r="A4789" s="8"/>
    </row>
    <row r="4790" spans="1:1" ht="13.8" x14ac:dyDescent="0.25">
      <c r="A4790" s="8"/>
    </row>
    <row r="4791" spans="1:1" ht="13.8" x14ac:dyDescent="0.25">
      <c r="A4791" s="8"/>
    </row>
    <row r="4792" spans="1:1" ht="13.8" x14ac:dyDescent="0.25">
      <c r="A4792" s="8"/>
    </row>
    <row r="4793" spans="1:1" ht="13.8" x14ac:dyDescent="0.25">
      <c r="A4793" s="8"/>
    </row>
    <row r="4794" spans="1:1" ht="13.8" x14ac:dyDescent="0.25">
      <c r="A4794" s="8"/>
    </row>
    <row r="4795" spans="1:1" ht="13.8" x14ac:dyDescent="0.25">
      <c r="A4795" s="8"/>
    </row>
    <row r="4796" spans="1:1" ht="13.8" x14ac:dyDescent="0.25">
      <c r="A4796" s="8"/>
    </row>
    <row r="4797" spans="1:1" ht="13.8" x14ac:dyDescent="0.25">
      <c r="A4797" s="8"/>
    </row>
    <row r="4798" spans="1:1" ht="13.8" x14ac:dyDescent="0.25">
      <c r="A4798" s="8"/>
    </row>
    <row r="4799" spans="1:1" ht="13.8" x14ac:dyDescent="0.25">
      <c r="A4799" s="8"/>
    </row>
    <row r="4800" spans="1:1" ht="13.8" x14ac:dyDescent="0.25">
      <c r="A4800" s="8"/>
    </row>
    <row r="4801" spans="1:1" ht="13.8" x14ac:dyDescent="0.25">
      <c r="A4801" s="8"/>
    </row>
    <row r="4802" spans="1:1" ht="13.8" x14ac:dyDescent="0.25">
      <c r="A4802" s="8"/>
    </row>
    <row r="4803" spans="1:1" ht="13.8" x14ac:dyDescent="0.25">
      <c r="A4803" s="8"/>
    </row>
    <row r="4804" spans="1:1" ht="13.8" x14ac:dyDescent="0.25">
      <c r="A4804" s="8"/>
    </row>
    <row r="4805" spans="1:1" ht="13.8" x14ac:dyDescent="0.25">
      <c r="A4805" s="8"/>
    </row>
    <row r="4806" spans="1:1" ht="13.8" x14ac:dyDescent="0.25">
      <c r="A4806" s="8"/>
    </row>
    <row r="4807" spans="1:1" ht="13.8" x14ac:dyDescent="0.25">
      <c r="A4807" s="8"/>
    </row>
    <row r="4808" spans="1:1" ht="13.8" x14ac:dyDescent="0.25">
      <c r="A4808" s="8"/>
    </row>
    <row r="4809" spans="1:1" ht="13.8" x14ac:dyDescent="0.25">
      <c r="A4809" s="8"/>
    </row>
    <row r="4810" spans="1:1" ht="13.8" x14ac:dyDescent="0.25">
      <c r="A4810" s="8"/>
    </row>
    <row r="4811" spans="1:1" ht="13.8" x14ac:dyDescent="0.25">
      <c r="A4811" s="8"/>
    </row>
    <row r="4812" spans="1:1" ht="13.8" x14ac:dyDescent="0.25">
      <c r="A4812" s="8"/>
    </row>
    <row r="4813" spans="1:1" ht="13.8" x14ac:dyDescent="0.25">
      <c r="A4813" s="8"/>
    </row>
    <row r="4814" spans="1:1" ht="13.8" x14ac:dyDescent="0.25">
      <c r="A4814" s="8"/>
    </row>
    <row r="4815" spans="1:1" ht="13.8" x14ac:dyDescent="0.25">
      <c r="A4815" s="8"/>
    </row>
    <row r="4816" spans="1:1" ht="13.8" x14ac:dyDescent="0.25">
      <c r="A4816" s="8"/>
    </row>
    <row r="4817" spans="1:1" ht="13.8" x14ac:dyDescent="0.25">
      <c r="A4817" s="8"/>
    </row>
    <row r="4818" spans="1:1" ht="13.8" x14ac:dyDescent="0.25">
      <c r="A4818" s="8"/>
    </row>
    <row r="4819" spans="1:1" ht="13.8" x14ac:dyDescent="0.25">
      <c r="A4819" s="8"/>
    </row>
    <row r="4820" spans="1:1" ht="13.8" x14ac:dyDescent="0.25">
      <c r="A4820" s="8"/>
    </row>
    <row r="4821" spans="1:1" ht="13.8" x14ac:dyDescent="0.25">
      <c r="A4821" s="8"/>
    </row>
    <row r="4822" spans="1:1" ht="13.8" x14ac:dyDescent="0.25">
      <c r="A4822" s="8"/>
    </row>
    <row r="4823" spans="1:1" ht="13.8" x14ac:dyDescent="0.25">
      <c r="A4823" s="8"/>
    </row>
    <row r="4824" spans="1:1" ht="13.8" x14ac:dyDescent="0.25">
      <c r="A4824" s="8"/>
    </row>
    <row r="4825" spans="1:1" ht="13.8" x14ac:dyDescent="0.25">
      <c r="A4825" s="8"/>
    </row>
    <row r="4826" spans="1:1" ht="13.8" x14ac:dyDescent="0.25">
      <c r="A4826" s="8"/>
    </row>
    <row r="4827" spans="1:1" ht="13.8" x14ac:dyDescent="0.25">
      <c r="A4827" s="8"/>
    </row>
    <row r="4828" spans="1:1" ht="13.8" x14ac:dyDescent="0.25">
      <c r="A4828" s="8"/>
    </row>
    <row r="4829" spans="1:1" ht="13.8" x14ac:dyDescent="0.25">
      <c r="A4829" s="8"/>
    </row>
    <row r="4830" spans="1:1" ht="13.8" x14ac:dyDescent="0.25">
      <c r="A4830" s="8"/>
    </row>
    <row r="4831" spans="1:1" ht="13.8" x14ac:dyDescent="0.25">
      <c r="A4831" s="8"/>
    </row>
    <row r="4832" spans="1:1" ht="13.8" x14ac:dyDescent="0.25">
      <c r="A4832" s="8"/>
    </row>
    <row r="4833" spans="1:1" ht="13.8" x14ac:dyDescent="0.25">
      <c r="A4833" s="8"/>
    </row>
    <row r="4834" spans="1:1" ht="13.8" x14ac:dyDescent="0.25">
      <c r="A4834" s="8"/>
    </row>
    <row r="4835" spans="1:1" ht="13.8" x14ac:dyDescent="0.25">
      <c r="A4835" s="8"/>
    </row>
    <row r="4836" spans="1:1" ht="13.8" x14ac:dyDescent="0.25">
      <c r="A4836" s="8"/>
    </row>
    <row r="4837" spans="1:1" ht="13.8" x14ac:dyDescent="0.25">
      <c r="A4837" s="8"/>
    </row>
    <row r="4838" spans="1:1" ht="13.8" x14ac:dyDescent="0.25">
      <c r="A4838" s="8"/>
    </row>
    <row r="4839" spans="1:1" ht="13.8" x14ac:dyDescent="0.25">
      <c r="A4839" s="8"/>
    </row>
    <row r="4840" spans="1:1" ht="13.8" x14ac:dyDescent="0.25">
      <c r="A4840" s="8"/>
    </row>
    <row r="4841" spans="1:1" ht="13.8" x14ac:dyDescent="0.25">
      <c r="A4841" s="8"/>
    </row>
    <row r="4842" spans="1:1" ht="13.8" x14ac:dyDescent="0.25">
      <c r="A4842" s="8"/>
    </row>
    <row r="4843" spans="1:1" ht="13.8" x14ac:dyDescent="0.25">
      <c r="A4843" s="8"/>
    </row>
    <row r="4844" spans="1:1" ht="13.8" x14ac:dyDescent="0.25">
      <c r="A4844" s="8"/>
    </row>
    <row r="4845" spans="1:1" ht="13.8" x14ac:dyDescent="0.25">
      <c r="A4845" s="8"/>
    </row>
    <row r="4846" spans="1:1" ht="13.8" x14ac:dyDescent="0.25">
      <c r="A4846" s="8"/>
    </row>
    <row r="4847" spans="1:1" ht="13.8" x14ac:dyDescent="0.25">
      <c r="A4847" s="8"/>
    </row>
    <row r="4848" spans="1:1" ht="13.8" x14ac:dyDescent="0.25">
      <c r="A4848" s="8"/>
    </row>
    <row r="4849" spans="1:1" ht="13.8" x14ac:dyDescent="0.25">
      <c r="A4849" s="8"/>
    </row>
    <row r="4850" spans="1:1" ht="13.8" x14ac:dyDescent="0.25">
      <c r="A4850" s="8"/>
    </row>
    <row r="4851" spans="1:1" ht="13.8" x14ac:dyDescent="0.25">
      <c r="A4851" s="8"/>
    </row>
    <row r="4852" spans="1:1" ht="13.8" x14ac:dyDescent="0.25">
      <c r="A4852" s="8"/>
    </row>
    <row r="4853" spans="1:1" ht="13.8" x14ac:dyDescent="0.25">
      <c r="A4853" s="8"/>
    </row>
    <row r="4854" spans="1:1" ht="13.8" x14ac:dyDescent="0.25">
      <c r="A4854" s="8"/>
    </row>
    <row r="4855" spans="1:1" ht="13.8" x14ac:dyDescent="0.25">
      <c r="A4855" s="8"/>
    </row>
    <row r="4856" spans="1:1" ht="13.8" x14ac:dyDescent="0.25">
      <c r="A4856" s="8"/>
    </row>
    <row r="4857" spans="1:1" ht="13.8" x14ac:dyDescent="0.25">
      <c r="A4857" s="8"/>
    </row>
    <row r="4858" spans="1:1" ht="13.8" x14ac:dyDescent="0.25">
      <c r="A4858" s="8"/>
    </row>
    <row r="4859" spans="1:1" ht="13.8" x14ac:dyDescent="0.25">
      <c r="A4859" s="8"/>
    </row>
    <row r="4860" spans="1:1" ht="13.8" x14ac:dyDescent="0.25">
      <c r="A4860" s="8"/>
    </row>
    <row r="4861" spans="1:1" ht="13.8" x14ac:dyDescent="0.25">
      <c r="A4861" s="8"/>
    </row>
    <row r="4862" spans="1:1" ht="13.8" x14ac:dyDescent="0.25">
      <c r="A4862" s="8"/>
    </row>
    <row r="4863" spans="1:1" ht="13.8" x14ac:dyDescent="0.25">
      <c r="A4863" s="8"/>
    </row>
    <row r="4864" spans="1:1" ht="13.8" x14ac:dyDescent="0.25">
      <c r="A4864" s="8"/>
    </row>
    <row r="4865" spans="1:1" ht="13.8" x14ac:dyDescent="0.25">
      <c r="A4865" s="8"/>
    </row>
    <row r="4866" spans="1:1" ht="13.8" x14ac:dyDescent="0.25">
      <c r="A4866" s="8"/>
    </row>
    <row r="4867" spans="1:1" ht="13.8" x14ac:dyDescent="0.25">
      <c r="A4867" s="8"/>
    </row>
    <row r="4868" spans="1:1" ht="13.8" x14ac:dyDescent="0.25">
      <c r="A4868" s="8"/>
    </row>
    <row r="4869" spans="1:1" ht="13.8" x14ac:dyDescent="0.25">
      <c r="A4869" s="8"/>
    </row>
    <row r="4870" spans="1:1" ht="13.8" x14ac:dyDescent="0.25">
      <c r="A4870" s="8"/>
    </row>
    <row r="4871" spans="1:1" ht="13.8" x14ac:dyDescent="0.25">
      <c r="A4871" s="8"/>
    </row>
    <row r="4872" spans="1:1" ht="13.8" x14ac:dyDescent="0.25">
      <c r="A4872" s="8"/>
    </row>
    <row r="4873" spans="1:1" ht="13.8" x14ac:dyDescent="0.25">
      <c r="A4873" s="8"/>
    </row>
    <row r="4874" spans="1:1" ht="13.8" x14ac:dyDescent="0.25">
      <c r="A4874" s="8"/>
    </row>
    <row r="4875" spans="1:1" ht="13.8" x14ac:dyDescent="0.25">
      <c r="A4875" s="8"/>
    </row>
    <row r="4876" spans="1:1" ht="13.8" x14ac:dyDescent="0.25">
      <c r="A4876" s="8"/>
    </row>
    <row r="4877" spans="1:1" ht="13.8" x14ac:dyDescent="0.25">
      <c r="A4877" s="8"/>
    </row>
    <row r="4878" spans="1:1" ht="13.8" x14ac:dyDescent="0.25">
      <c r="A4878" s="8"/>
    </row>
    <row r="4879" spans="1:1" ht="13.8" x14ac:dyDescent="0.25">
      <c r="A4879" s="8"/>
    </row>
    <row r="4880" spans="1:1" ht="13.8" x14ac:dyDescent="0.25">
      <c r="A4880" s="8"/>
    </row>
    <row r="4881" spans="1:1" ht="13.8" x14ac:dyDescent="0.25">
      <c r="A4881" s="8"/>
    </row>
    <row r="4882" spans="1:1" ht="13.8" x14ac:dyDescent="0.25">
      <c r="A4882" s="8"/>
    </row>
    <row r="4883" spans="1:1" ht="13.8" x14ac:dyDescent="0.25">
      <c r="A4883" s="8"/>
    </row>
    <row r="4884" spans="1:1" ht="13.8" x14ac:dyDescent="0.25">
      <c r="A4884" s="8"/>
    </row>
    <row r="4885" spans="1:1" ht="13.8" x14ac:dyDescent="0.25">
      <c r="A4885" s="8"/>
    </row>
    <row r="4886" spans="1:1" ht="13.8" x14ac:dyDescent="0.25">
      <c r="A4886" s="8"/>
    </row>
    <row r="4887" spans="1:1" ht="13.8" x14ac:dyDescent="0.25">
      <c r="A4887" s="8"/>
    </row>
    <row r="4888" spans="1:1" ht="13.8" x14ac:dyDescent="0.25">
      <c r="A4888" s="8"/>
    </row>
    <row r="4889" spans="1:1" ht="13.8" x14ac:dyDescent="0.25">
      <c r="A4889" s="8"/>
    </row>
    <row r="4890" spans="1:1" ht="13.8" x14ac:dyDescent="0.25">
      <c r="A4890" s="8"/>
    </row>
    <row r="4891" spans="1:1" ht="13.8" x14ac:dyDescent="0.25">
      <c r="A4891" s="8"/>
    </row>
    <row r="4892" spans="1:1" ht="13.8" x14ac:dyDescent="0.25">
      <c r="A4892" s="8"/>
    </row>
    <row r="4893" spans="1:1" ht="13.8" x14ac:dyDescent="0.25">
      <c r="A4893" s="8"/>
    </row>
    <row r="4894" spans="1:1" ht="13.8" x14ac:dyDescent="0.25">
      <c r="A4894" s="8"/>
    </row>
    <row r="4895" spans="1:1" ht="13.8" x14ac:dyDescent="0.25">
      <c r="A4895" s="8"/>
    </row>
    <row r="4896" spans="1:1" ht="13.8" x14ac:dyDescent="0.25">
      <c r="A4896" s="8"/>
    </row>
    <row r="4897" spans="1:1" ht="13.8" x14ac:dyDescent="0.25">
      <c r="A4897" s="8"/>
    </row>
    <row r="4898" spans="1:1" ht="13.8" x14ac:dyDescent="0.25">
      <c r="A4898" s="8"/>
    </row>
    <row r="4899" spans="1:1" ht="13.8" x14ac:dyDescent="0.25">
      <c r="A4899" s="8"/>
    </row>
    <row r="4900" spans="1:1" ht="13.8" x14ac:dyDescent="0.25">
      <c r="A4900" s="8"/>
    </row>
    <row r="4901" spans="1:1" ht="13.8" x14ac:dyDescent="0.25">
      <c r="A4901" s="8"/>
    </row>
    <row r="4902" spans="1:1" ht="13.8" x14ac:dyDescent="0.25">
      <c r="A4902" s="8"/>
    </row>
    <row r="4903" spans="1:1" ht="13.8" x14ac:dyDescent="0.25">
      <c r="A4903" s="8"/>
    </row>
    <row r="4904" spans="1:1" ht="13.8" x14ac:dyDescent="0.25">
      <c r="A4904" s="8"/>
    </row>
    <row r="4905" spans="1:1" ht="13.8" x14ac:dyDescent="0.25">
      <c r="A4905" s="8"/>
    </row>
    <row r="4906" spans="1:1" ht="13.8" x14ac:dyDescent="0.25">
      <c r="A4906" s="8"/>
    </row>
    <row r="4907" spans="1:1" ht="13.8" x14ac:dyDescent="0.25">
      <c r="A4907" s="8"/>
    </row>
    <row r="4908" spans="1:1" ht="13.8" x14ac:dyDescent="0.25">
      <c r="A4908" s="8"/>
    </row>
    <row r="4909" spans="1:1" ht="13.8" x14ac:dyDescent="0.25">
      <c r="A4909" s="8"/>
    </row>
    <row r="4910" spans="1:1" ht="13.8" x14ac:dyDescent="0.25">
      <c r="A4910" s="8"/>
    </row>
    <row r="4911" spans="1:1" ht="13.8" x14ac:dyDescent="0.25">
      <c r="A4911" s="8"/>
    </row>
    <row r="4912" spans="1:1" ht="13.8" x14ac:dyDescent="0.25">
      <c r="A4912" s="8"/>
    </row>
    <row r="4913" spans="1:1" ht="13.8" x14ac:dyDescent="0.25">
      <c r="A4913" s="8"/>
    </row>
    <row r="4914" spans="1:1" ht="13.8" x14ac:dyDescent="0.25">
      <c r="A4914" s="8"/>
    </row>
    <row r="4915" spans="1:1" ht="13.8" x14ac:dyDescent="0.25">
      <c r="A4915" s="8"/>
    </row>
    <row r="4916" spans="1:1" ht="13.8" x14ac:dyDescent="0.25">
      <c r="A4916" s="8"/>
    </row>
    <row r="4917" spans="1:1" ht="13.8" x14ac:dyDescent="0.25">
      <c r="A4917" s="8"/>
    </row>
    <row r="4918" spans="1:1" ht="13.8" x14ac:dyDescent="0.25">
      <c r="A4918" s="8"/>
    </row>
    <row r="4919" spans="1:1" ht="13.8" x14ac:dyDescent="0.25">
      <c r="A4919" s="8"/>
    </row>
    <row r="4920" spans="1:1" ht="13.8" x14ac:dyDescent="0.25">
      <c r="A4920" s="8"/>
    </row>
    <row r="4921" spans="1:1" ht="13.8" x14ac:dyDescent="0.25">
      <c r="A4921" s="8"/>
    </row>
    <row r="4922" spans="1:1" ht="13.8" x14ac:dyDescent="0.25">
      <c r="A4922" s="8"/>
    </row>
    <row r="4923" spans="1:1" ht="13.8" x14ac:dyDescent="0.25">
      <c r="A4923" s="8"/>
    </row>
    <row r="4924" spans="1:1" ht="13.8" x14ac:dyDescent="0.25">
      <c r="A4924" s="8"/>
    </row>
    <row r="4925" spans="1:1" ht="13.8" x14ac:dyDescent="0.25">
      <c r="A4925" s="8"/>
    </row>
    <row r="4926" spans="1:1" ht="13.8" x14ac:dyDescent="0.25">
      <c r="A4926" s="8"/>
    </row>
    <row r="4927" spans="1:1" ht="13.8" x14ac:dyDescent="0.25">
      <c r="A4927" s="8"/>
    </row>
    <row r="4928" spans="1:1" ht="13.8" x14ac:dyDescent="0.25">
      <c r="A4928" s="8"/>
    </row>
    <row r="4929" spans="1:1" ht="13.8" x14ac:dyDescent="0.25">
      <c r="A4929" s="8"/>
    </row>
    <row r="4930" spans="1:1" ht="13.8" x14ac:dyDescent="0.25">
      <c r="A4930" s="8"/>
    </row>
    <row r="4931" spans="1:1" ht="13.8" x14ac:dyDescent="0.25">
      <c r="A4931" s="8"/>
    </row>
    <row r="4932" spans="1:1" ht="13.8" x14ac:dyDescent="0.25">
      <c r="A4932" s="8"/>
    </row>
    <row r="4933" spans="1:1" ht="13.8" x14ac:dyDescent="0.25">
      <c r="A4933" s="8"/>
    </row>
    <row r="4934" spans="1:1" ht="13.8" x14ac:dyDescent="0.25">
      <c r="A4934" s="8"/>
    </row>
    <row r="4935" spans="1:1" ht="13.8" x14ac:dyDescent="0.25">
      <c r="A4935" s="8"/>
    </row>
    <row r="4936" spans="1:1" ht="13.8" x14ac:dyDescent="0.25">
      <c r="A4936" s="8"/>
    </row>
    <row r="4937" spans="1:1" ht="13.8" x14ac:dyDescent="0.25">
      <c r="A4937" s="8"/>
    </row>
    <row r="4938" spans="1:1" ht="13.8" x14ac:dyDescent="0.25">
      <c r="A4938" s="8"/>
    </row>
    <row r="4939" spans="1:1" ht="13.8" x14ac:dyDescent="0.25">
      <c r="A4939" s="8"/>
    </row>
    <row r="4940" spans="1:1" ht="13.8" x14ac:dyDescent="0.25">
      <c r="A4940" s="8"/>
    </row>
    <row r="4941" spans="1:1" ht="13.8" x14ac:dyDescent="0.25">
      <c r="A4941" s="8"/>
    </row>
    <row r="4942" spans="1:1" ht="13.8" x14ac:dyDescent="0.25">
      <c r="A4942" s="8"/>
    </row>
    <row r="4943" spans="1:1" ht="13.8" x14ac:dyDescent="0.25">
      <c r="A4943" s="8"/>
    </row>
    <row r="4944" spans="1:1" ht="13.8" x14ac:dyDescent="0.25">
      <c r="A4944" s="8"/>
    </row>
    <row r="4945" spans="1:1" ht="13.8" x14ac:dyDescent="0.25">
      <c r="A4945" s="8"/>
    </row>
    <row r="4946" spans="1:1" ht="13.8" x14ac:dyDescent="0.25">
      <c r="A4946" s="8"/>
    </row>
    <row r="4947" spans="1:1" ht="13.8" x14ac:dyDescent="0.25">
      <c r="A4947" s="8"/>
    </row>
    <row r="4948" spans="1:1" ht="13.8" x14ac:dyDescent="0.25">
      <c r="A4948" s="8"/>
    </row>
    <row r="4949" spans="1:1" ht="13.8" x14ac:dyDescent="0.25">
      <c r="A4949" s="8"/>
    </row>
    <row r="4950" spans="1:1" ht="13.8" x14ac:dyDescent="0.25">
      <c r="A4950" s="8"/>
    </row>
    <row r="4951" spans="1:1" ht="13.8" x14ac:dyDescent="0.25">
      <c r="A4951" s="8"/>
    </row>
    <row r="4952" spans="1:1" ht="13.8" x14ac:dyDescent="0.25">
      <c r="A4952" s="8"/>
    </row>
    <row r="4953" spans="1:1" ht="13.8" x14ac:dyDescent="0.25">
      <c r="A4953" s="8"/>
    </row>
    <row r="4954" spans="1:1" ht="13.8" x14ac:dyDescent="0.25">
      <c r="A4954" s="8"/>
    </row>
    <row r="4955" spans="1:1" ht="13.8" x14ac:dyDescent="0.25">
      <c r="A4955" s="8"/>
    </row>
    <row r="4956" spans="1:1" ht="13.8" x14ac:dyDescent="0.25">
      <c r="A4956" s="8"/>
    </row>
    <row r="4957" spans="1:1" ht="13.8" x14ac:dyDescent="0.25">
      <c r="A4957" s="8"/>
    </row>
    <row r="4958" spans="1:1" ht="13.8" x14ac:dyDescent="0.25">
      <c r="A4958" s="8"/>
    </row>
    <row r="4959" spans="1:1" ht="13.8" x14ac:dyDescent="0.25">
      <c r="A4959" s="8"/>
    </row>
    <row r="4960" spans="1:1" ht="13.8" x14ac:dyDescent="0.25">
      <c r="A4960" s="8"/>
    </row>
    <row r="4961" spans="1:1" ht="13.8" x14ac:dyDescent="0.25">
      <c r="A4961" s="8"/>
    </row>
    <row r="4962" spans="1:1" ht="13.8" x14ac:dyDescent="0.25">
      <c r="A4962" s="8"/>
    </row>
    <row r="4963" spans="1:1" ht="13.8" x14ac:dyDescent="0.25">
      <c r="A4963" s="8"/>
    </row>
    <row r="4964" spans="1:1" ht="13.8" x14ac:dyDescent="0.25">
      <c r="A4964" s="8"/>
    </row>
    <row r="4965" spans="1:1" ht="13.8" x14ac:dyDescent="0.25">
      <c r="A4965" s="8"/>
    </row>
    <row r="4966" spans="1:1" ht="13.8" x14ac:dyDescent="0.25">
      <c r="A4966" s="8"/>
    </row>
    <row r="4967" spans="1:1" ht="13.8" x14ac:dyDescent="0.25">
      <c r="A4967" s="8"/>
    </row>
    <row r="4968" spans="1:1" ht="13.8" x14ac:dyDescent="0.25">
      <c r="A4968" s="8"/>
    </row>
    <row r="4969" spans="1:1" ht="13.8" x14ac:dyDescent="0.25">
      <c r="A4969" s="8"/>
    </row>
    <row r="4970" spans="1:1" ht="13.8" x14ac:dyDescent="0.25">
      <c r="A4970" s="8"/>
    </row>
    <row r="4971" spans="1:1" ht="13.8" x14ac:dyDescent="0.25">
      <c r="A4971" s="8"/>
    </row>
    <row r="4972" spans="1:1" ht="13.8" x14ac:dyDescent="0.25">
      <c r="A4972" s="8"/>
    </row>
    <row r="4973" spans="1:1" ht="13.8" x14ac:dyDescent="0.25">
      <c r="A4973" s="8"/>
    </row>
    <row r="4974" spans="1:1" ht="13.8" x14ac:dyDescent="0.25">
      <c r="A4974" s="8"/>
    </row>
    <row r="4975" spans="1:1" ht="13.8" x14ac:dyDescent="0.25">
      <c r="A4975" s="8"/>
    </row>
    <row r="4976" spans="1:1" ht="13.8" x14ac:dyDescent="0.25">
      <c r="A4976" s="8"/>
    </row>
    <row r="4977" spans="1:1" ht="13.8" x14ac:dyDescent="0.25">
      <c r="A4977" s="8"/>
    </row>
    <row r="4978" spans="1:1" ht="13.8" x14ac:dyDescent="0.25">
      <c r="A4978" s="8"/>
    </row>
    <row r="4979" spans="1:1" ht="13.8" x14ac:dyDescent="0.25">
      <c r="A4979" s="8"/>
    </row>
    <row r="4980" spans="1:1" ht="13.8" x14ac:dyDescent="0.25">
      <c r="A4980" s="8"/>
    </row>
    <row r="4981" spans="1:1" ht="13.8" x14ac:dyDescent="0.25">
      <c r="A4981" s="8"/>
    </row>
    <row r="4982" spans="1:1" ht="13.8" x14ac:dyDescent="0.25">
      <c r="A4982" s="8"/>
    </row>
    <row r="4983" spans="1:1" ht="13.8" x14ac:dyDescent="0.25">
      <c r="A4983" s="8"/>
    </row>
    <row r="4984" spans="1:1" ht="13.8" x14ac:dyDescent="0.25">
      <c r="A4984" s="8"/>
    </row>
    <row r="4985" spans="1:1" ht="13.8" x14ac:dyDescent="0.25">
      <c r="A4985" s="8"/>
    </row>
    <row r="4986" spans="1:1" ht="13.8" x14ac:dyDescent="0.25">
      <c r="A4986" s="8"/>
    </row>
    <row r="4987" spans="1:1" ht="13.8" x14ac:dyDescent="0.25">
      <c r="A4987" s="8"/>
    </row>
    <row r="4988" spans="1:1" ht="13.8" x14ac:dyDescent="0.25">
      <c r="A4988" s="8"/>
    </row>
    <row r="4989" spans="1:1" ht="13.8" x14ac:dyDescent="0.25">
      <c r="A4989" s="8"/>
    </row>
    <row r="4990" spans="1:1" ht="13.8" x14ac:dyDescent="0.25">
      <c r="A4990" s="8"/>
    </row>
    <row r="4991" spans="1:1" ht="13.8" x14ac:dyDescent="0.25">
      <c r="A4991" s="8"/>
    </row>
    <row r="4992" spans="1:1" ht="13.8" x14ac:dyDescent="0.25">
      <c r="A4992" s="8"/>
    </row>
    <row r="4993" spans="1:1" ht="13.8" x14ac:dyDescent="0.25">
      <c r="A4993" s="8"/>
    </row>
    <row r="4994" spans="1:1" ht="13.8" x14ac:dyDescent="0.25">
      <c r="A4994" s="8"/>
    </row>
    <row r="4995" spans="1:1" ht="13.8" x14ac:dyDescent="0.25">
      <c r="A4995" s="8"/>
    </row>
    <row r="4996" spans="1:1" ht="13.8" x14ac:dyDescent="0.25">
      <c r="A4996" s="8"/>
    </row>
    <row r="4997" spans="1:1" ht="13.8" x14ac:dyDescent="0.25">
      <c r="A4997" s="8"/>
    </row>
    <row r="4998" spans="1:1" ht="13.8" x14ac:dyDescent="0.25">
      <c r="A4998" s="8"/>
    </row>
    <row r="4999" spans="1:1" ht="13.8" x14ac:dyDescent="0.25">
      <c r="A4999" s="8"/>
    </row>
    <row r="5000" spans="1:1" ht="13.8" x14ac:dyDescent="0.25">
      <c r="A5000" s="8"/>
    </row>
    <row r="5001" spans="1:1" ht="13.8" x14ac:dyDescent="0.25">
      <c r="A5001" s="8"/>
    </row>
    <row r="5002" spans="1:1" ht="13.8" x14ac:dyDescent="0.25">
      <c r="A5002" s="8"/>
    </row>
    <row r="5003" spans="1:1" ht="13.8" x14ac:dyDescent="0.25">
      <c r="A5003" s="8"/>
    </row>
    <row r="5004" spans="1:1" ht="13.8" x14ac:dyDescent="0.25">
      <c r="A5004" s="8"/>
    </row>
    <row r="5005" spans="1:1" ht="13.8" x14ac:dyDescent="0.25">
      <c r="A5005" s="8"/>
    </row>
    <row r="5006" spans="1:1" ht="13.8" x14ac:dyDescent="0.25">
      <c r="A5006" s="8"/>
    </row>
    <row r="5007" spans="1:1" ht="13.8" x14ac:dyDescent="0.25">
      <c r="A5007" s="8"/>
    </row>
    <row r="5008" spans="1:1" ht="13.8" x14ac:dyDescent="0.25">
      <c r="A5008" s="8"/>
    </row>
    <row r="5009" spans="1:1" ht="13.8" x14ac:dyDescent="0.25">
      <c r="A5009" s="8"/>
    </row>
    <row r="5010" spans="1:1" ht="13.8" x14ac:dyDescent="0.25">
      <c r="A5010" s="8"/>
    </row>
    <row r="5011" spans="1:1" ht="13.8" x14ac:dyDescent="0.25">
      <c r="A5011" s="8"/>
    </row>
    <row r="5012" spans="1:1" ht="13.8" x14ac:dyDescent="0.25">
      <c r="A5012" s="8"/>
    </row>
    <row r="5013" spans="1:1" ht="13.8" x14ac:dyDescent="0.25">
      <c r="A5013" s="8"/>
    </row>
    <row r="5014" spans="1:1" ht="13.8" x14ac:dyDescent="0.25">
      <c r="A5014" s="8"/>
    </row>
    <row r="5015" spans="1:1" ht="13.8" x14ac:dyDescent="0.25">
      <c r="A5015" s="8"/>
    </row>
    <row r="5016" spans="1:1" ht="13.8" x14ac:dyDescent="0.25">
      <c r="A5016" s="8"/>
    </row>
    <row r="5017" spans="1:1" ht="13.8" x14ac:dyDescent="0.25">
      <c r="A5017" s="8"/>
    </row>
    <row r="5018" spans="1:1" ht="13.8" x14ac:dyDescent="0.25">
      <c r="A5018" s="8"/>
    </row>
    <row r="5019" spans="1:1" ht="13.8" x14ac:dyDescent="0.25">
      <c r="A5019" s="8"/>
    </row>
    <row r="5020" spans="1:1" ht="13.8" x14ac:dyDescent="0.25">
      <c r="A5020" s="8"/>
    </row>
    <row r="5021" spans="1:1" ht="13.8" x14ac:dyDescent="0.25">
      <c r="A5021" s="8"/>
    </row>
    <row r="5022" spans="1:1" ht="13.8" x14ac:dyDescent="0.25">
      <c r="A5022" s="8"/>
    </row>
    <row r="5023" spans="1:1" ht="13.8" x14ac:dyDescent="0.25">
      <c r="A5023" s="8"/>
    </row>
    <row r="5024" spans="1:1" ht="13.8" x14ac:dyDescent="0.25">
      <c r="A5024" s="8"/>
    </row>
    <row r="5025" spans="1:1" ht="13.8" x14ac:dyDescent="0.25">
      <c r="A5025" s="8"/>
    </row>
    <row r="5026" spans="1:1" ht="13.8" x14ac:dyDescent="0.25">
      <c r="A5026" s="8"/>
    </row>
    <row r="5027" spans="1:1" ht="13.8" x14ac:dyDescent="0.25">
      <c r="A5027" s="8"/>
    </row>
    <row r="5028" spans="1:1" ht="13.8" x14ac:dyDescent="0.25">
      <c r="A5028" s="8"/>
    </row>
    <row r="5029" spans="1:1" ht="13.8" x14ac:dyDescent="0.25">
      <c r="A5029" s="8"/>
    </row>
    <row r="5030" spans="1:1" ht="13.8" x14ac:dyDescent="0.25">
      <c r="A5030" s="8"/>
    </row>
    <row r="5031" spans="1:1" ht="13.8" x14ac:dyDescent="0.25">
      <c r="A5031" s="8"/>
    </row>
    <row r="5032" spans="1:1" ht="13.8" x14ac:dyDescent="0.25">
      <c r="A5032" s="8"/>
    </row>
    <row r="5033" spans="1:1" ht="13.8" x14ac:dyDescent="0.25">
      <c r="A5033" s="8"/>
    </row>
    <row r="5034" spans="1:1" ht="13.8" x14ac:dyDescent="0.25">
      <c r="A5034" s="8"/>
    </row>
    <row r="5035" spans="1:1" ht="13.8" x14ac:dyDescent="0.25">
      <c r="A5035" s="8"/>
    </row>
    <row r="5036" spans="1:1" ht="13.8" x14ac:dyDescent="0.25">
      <c r="A5036" s="8"/>
    </row>
    <row r="5037" spans="1:1" ht="13.8" x14ac:dyDescent="0.25">
      <c r="A5037" s="8"/>
    </row>
    <row r="5038" spans="1:1" ht="13.8" x14ac:dyDescent="0.25">
      <c r="A5038" s="8"/>
    </row>
    <row r="5039" spans="1:1" ht="13.8" x14ac:dyDescent="0.25">
      <c r="A5039" s="8"/>
    </row>
    <row r="5040" spans="1:1" ht="13.8" x14ac:dyDescent="0.25">
      <c r="A5040" s="8"/>
    </row>
    <row r="5041" spans="1:1" ht="13.8" x14ac:dyDescent="0.25">
      <c r="A5041" s="8"/>
    </row>
    <row r="5042" spans="1:1" ht="13.8" x14ac:dyDescent="0.25">
      <c r="A5042" s="8"/>
    </row>
    <row r="5043" spans="1:1" ht="13.8" x14ac:dyDescent="0.25">
      <c r="A5043" s="8"/>
    </row>
    <row r="5044" spans="1:1" ht="13.8" x14ac:dyDescent="0.25">
      <c r="A5044" s="8"/>
    </row>
    <row r="5045" spans="1:1" ht="13.8" x14ac:dyDescent="0.25">
      <c r="A5045" s="8"/>
    </row>
    <row r="5046" spans="1:1" ht="13.8" x14ac:dyDescent="0.25">
      <c r="A5046" s="8"/>
    </row>
    <row r="5047" spans="1:1" ht="13.8" x14ac:dyDescent="0.25">
      <c r="A5047" s="8"/>
    </row>
    <row r="5048" spans="1:1" ht="13.8" x14ac:dyDescent="0.25">
      <c r="A5048" s="8"/>
    </row>
    <row r="5049" spans="1:1" ht="13.8" x14ac:dyDescent="0.25">
      <c r="A5049" s="8"/>
    </row>
    <row r="5050" spans="1:1" ht="13.8" x14ac:dyDescent="0.25">
      <c r="A5050" s="8"/>
    </row>
    <row r="5051" spans="1:1" ht="13.8" x14ac:dyDescent="0.25">
      <c r="A5051" s="8"/>
    </row>
    <row r="5052" spans="1:1" ht="13.8" x14ac:dyDescent="0.25">
      <c r="A5052" s="8"/>
    </row>
    <row r="5053" spans="1:1" ht="13.8" x14ac:dyDescent="0.25">
      <c r="A5053" s="8"/>
    </row>
    <row r="5054" spans="1:1" ht="13.8" x14ac:dyDescent="0.25">
      <c r="A5054" s="8"/>
    </row>
    <row r="5055" spans="1:1" ht="13.8" x14ac:dyDescent="0.25">
      <c r="A5055" s="8"/>
    </row>
    <row r="5056" spans="1:1" ht="13.8" x14ac:dyDescent="0.25">
      <c r="A5056" s="8"/>
    </row>
    <row r="5057" spans="1:1" ht="13.8" x14ac:dyDescent="0.25">
      <c r="A5057" s="8"/>
    </row>
    <row r="5058" spans="1:1" ht="13.8" x14ac:dyDescent="0.25">
      <c r="A5058" s="8"/>
    </row>
    <row r="5059" spans="1:1" ht="13.8" x14ac:dyDescent="0.25">
      <c r="A5059" s="8"/>
    </row>
    <row r="5060" spans="1:1" ht="13.8" x14ac:dyDescent="0.25">
      <c r="A5060" s="8"/>
    </row>
    <row r="5061" spans="1:1" ht="13.8" x14ac:dyDescent="0.25">
      <c r="A5061" s="8"/>
    </row>
    <row r="5062" spans="1:1" ht="13.8" x14ac:dyDescent="0.25">
      <c r="A5062" s="8"/>
    </row>
    <row r="5063" spans="1:1" ht="13.8" x14ac:dyDescent="0.25">
      <c r="A5063" s="8"/>
    </row>
    <row r="5064" spans="1:1" ht="13.8" x14ac:dyDescent="0.25">
      <c r="A5064" s="8"/>
    </row>
    <row r="5065" spans="1:1" ht="13.8" x14ac:dyDescent="0.25">
      <c r="A5065" s="8"/>
    </row>
    <row r="5066" spans="1:1" ht="13.8" x14ac:dyDescent="0.25">
      <c r="A5066" s="8"/>
    </row>
    <row r="5067" spans="1:1" ht="13.8" x14ac:dyDescent="0.25">
      <c r="A5067" s="8"/>
    </row>
    <row r="5068" spans="1:1" ht="13.8" x14ac:dyDescent="0.25">
      <c r="A5068" s="8"/>
    </row>
    <row r="5069" spans="1:1" ht="13.8" x14ac:dyDescent="0.25">
      <c r="A5069" s="8"/>
    </row>
    <row r="5070" spans="1:1" ht="13.8" x14ac:dyDescent="0.25">
      <c r="A5070" s="8"/>
    </row>
    <row r="5071" spans="1:1" ht="13.8" x14ac:dyDescent="0.25">
      <c r="A5071" s="8"/>
    </row>
    <row r="5072" spans="1:1" ht="13.8" x14ac:dyDescent="0.25">
      <c r="A5072" s="8"/>
    </row>
    <row r="5073" spans="1:1" ht="13.8" x14ac:dyDescent="0.25">
      <c r="A5073" s="8"/>
    </row>
    <row r="5074" spans="1:1" ht="13.8" x14ac:dyDescent="0.25">
      <c r="A5074" s="8"/>
    </row>
    <row r="5075" spans="1:1" ht="13.8" x14ac:dyDescent="0.25">
      <c r="A5075" s="8"/>
    </row>
    <row r="5076" spans="1:1" ht="13.8" x14ac:dyDescent="0.25">
      <c r="A5076" s="8"/>
    </row>
    <row r="5077" spans="1:1" ht="13.8" x14ac:dyDescent="0.25">
      <c r="A5077" s="8"/>
    </row>
    <row r="5078" spans="1:1" ht="13.8" x14ac:dyDescent="0.25">
      <c r="A5078" s="8"/>
    </row>
    <row r="5079" spans="1:1" ht="13.8" x14ac:dyDescent="0.25">
      <c r="A5079" s="8"/>
    </row>
    <row r="5080" spans="1:1" ht="13.8" x14ac:dyDescent="0.25">
      <c r="A5080" s="8"/>
    </row>
    <row r="5081" spans="1:1" ht="13.8" x14ac:dyDescent="0.25">
      <c r="A5081" s="8"/>
    </row>
    <row r="5082" spans="1:1" ht="13.8" x14ac:dyDescent="0.25">
      <c r="A5082" s="8"/>
    </row>
    <row r="5083" spans="1:1" ht="13.8" x14ac:dyDescent="0.25">
      <c r="A5083" s="8"/>
    </row>
    <row r="5084" spans="1:1" ht="13.8" x14ac:dyDescent="0.25">
      <c r="A5084" s="8"/>
    </row>
    <row r="5085" spans="1:1" ht="13.8" x14ac:dyDescent="0.25">
      <c r="A5085" s="8"/>
    </row>
    <row r="5086" spans="1:1" ht="13.8" x14ac:dyDescent="0.25">
      <c r="A5086" s="8"/>
    </row>
    <row r="5087" spans="1:1" ht="13.8" x14ac:dyDescent="0.25">
      <c r="A5087" s="8"/>
    </row>
    <row r="5088" spans="1:1" ht="13.8" x14ac:dyDescent="0.25">
      <c r="A5088" s="8"/>
    </row>
    <row r="5089" spans="1:1" ht="13.8" x14ac:dyDescent="0.25">
      <c r="A5089" s="8"/>
    </row>
    <row r="5090" spans="1:1" ht="13.8" x14ac:dyDescent="0.25">
      <c r="A5090" s="8"/>
    </row>
    <row r="5091" spans="1:1" ht="13.8" x14ac:dyDescent="0.25">
      <c r="A5091" s="8"/>
    </row>
    <row r="5092" spans="1:1" ht="13.8" x14ac:dyDescent="0.25">
      <c r="A5092" s="8"/>
    </row>
    <row r="5093" spans="1:1" ht="13.8" x14ac:dyDescent="0.25">
      <c r="A5093" s="8"/>
    </row>
    <row r="5094" spans="1:1" ht="13.8" x14ac:dyDescent="0.25">
      <c r="A5094" s="8"/>
    </row>
    <row r="5095" spans="1:1" ht="13.8" x14ac:dyDescent="0.25">
      <c r="A5095" s="8"/>
    </row>
    <row r="5096" spans="1:1" ht="13.8" x14ac:dyDescent="0.25">
      <c r="A5096" s="8"/>
    </row>
    <row r="5097" spans="1:1" ht="13.8" x14ac:dyDescent="0.25">
      <c r="A5097" s="8"/>
    </row>
    <row r="5098" spans="1:1" ht="13.8" x14ac:dyDescent="0.25">
      <c r="A5098" s="8"/>
    </row>
    <row r="5099" spans="1:1" ht="13.8" x14ac:dyDescent="0.25">
      <c r="A5099" s="8"/>
    </row>
    <row r="5100" spans="1:1" ht="13.8" x14ac:dyDescent="0.25">
      <c r="A5100" s="8"/>
    </row>
    <row r="5101" spans="1:1" ht="13.8" x14ac:dyDescent="0.25">
      <c r="A5101" s="8"/>
    </row>
    <row r="5102" spans="1:1" ht="13.8" x14ac:dyDescent="0.25">
      <c r="A5102" s="8"/>
    </row>
    <row r="5103" spans="1:1" ht="13.8" x14ac:dyDescent="0.25">
      <c r="A5103" s="8"/>
    </row>
    <row r="5104" spans="1:1" ht="13.8" x14ac:dyDescent="0.25">
      <c r="A5104" s="8"/>
    </row>
    <row r="5105" spans="1:1" ht="13.8" x14ac:dyDescent="0.25">
      <c r="A5105" s="8"/>
    </row>
    <row r="5106" spans="1:1" ht="13.8" x14ac:dyDescent="0.25">
      <c r="A5106" s="8"/>
    </row>
    <row r="5107" spans="1:1" ht="13.8" x14ac:dyDescent="0.25">
      <c r="A5107" s="8"/>
    </row>
    <row r="5108" spans="1:1" ht="13.8" x14ac:dyDescent="0.25">
      <c r="A5108" s="8"/>
    </row>
    <row r="5109" spans="1:1" ht="13.8" x14ac:dyDescent="0.25">
      <c r="A5109" s="8"/>
    </row>
    <row r="5110" spans="1:1" ht="13.8" x14ac:dyDescent="0.25">
      <c r="A5110" s="8"/>
    </row>
    <row r="5111" spans="1:1" ht="13.8" x14ac:dyDescent="0.25">
      <c r="A5111" s="8"/>
    </row>
    <row r="5112" spans="1:1" ht="13.8" x14ac:dyDescent="0.25">
      <c r="A5112" s="8"/>
    </row>
    <row r="5113" spans="1:1" ht="13.8" x14ac:dyDescent="0.25">
      <c r="A5113" s="8"/>
    </row>
    <row r="5114" spans="1:1" ht="13.8" x14ac:dyDescent="0.25">
      <c r="A5114" s="8"/>
    </row>
    <row r="5115" spans="1:1" ht="13.8" x14ac:dyDescent="0.25">
      <c r="A5115" s="8"/>
    </row>
    <row r="5116" spans="1:1" ht="13.8" x14ac:dyDescent="0.25">
      <c r="A5116" s="8"/>
    </row>
    <row r="5117" spans="1:1" ht="13.8" x14ac:dyDescent="0.25">
      <c r="A5117" s="8"/>
    </row>
    <row r="5118" spans="1:1" ht="13.8" x14ac:dyDescent="0.25">
      <c r="A5118" s="8"/>
    </row>
    <row r="5119" spans="1:1" ht="13.8" x14ac:dyDescent="0.25">
      <c r="A5119" s="8"/>
    </row>
    <row r="5120" spans="1:1" ht="13.8" x14ac:dyDescent="0.25">
      <c r="A5120" s="8"/>
    </row>
    <row r="5121" spans="1:1" ht="13.8" x14ac:dyDescent="0.25">
      <c r="A5121" s="8"/>
    </row>
    <row r="5122" spans="1:1" ht="13.8" x14ac:dyDescent="0.25">
      <c r="A5122" s="8"/>
    </row>
    <row r="5123" spans="1:1" ht="13.8" x14ac:dyDescent="0.25">
      <c r="A5123" s="8"/>
    </row>
    <row r="5124" spans="1:1" ht="13.8" x14ac:dyDescent="0.25">
      <c r="A5124" s="8"/>
    </row>
    <row r="5125" spans="1:1" ht="13.8" x14ac:dyDescent="0.25">
      <c r="A5125" s="8"/>
    </row>
    <row r="5126" spans="1:1" ht="13.8" x14ac:dyDescent="0.25">
      <c r="A5126" s="8"/>
    </row>
    <row r="5127" spans="1:1" ht="13.8" x14ac:dyDescent="0.25">
      <c r="A5127" s="8"/>
    </row>
    <row r="5128" spans="1:1" ht="13.8" x14ac:dyDescent="0.25">
      <c r="A5128" s="8"/>
    </row>
    <row r="5129" spans="1:1" ht="13.8" x14ac:dyDescent="0.25">
      <c r="A5129" s="8"/>
    </row>
    <row r="5130" spans="1:1" ht="13.8" x14ac:dyDescent="0.25">
      <c r="A5130" s="8"/>
    </row>
    <row r="5131" spans="1:1" ht="13.8" x14ac:dyDescent="0.25">
      <c r="A5131" s="8"/>
    </row>
    <row r="5132" spans="1:1" ht="13.8" x14ac:dyDescent="0.25">
      <c r="A5132" s="8"/>
    </row>
    <row r="5133" spans="1:1" ht="13.8" x14ac:dyDescent="0.25">
      <c r="A5133" s="8"/>
    </row>
    <row r="5134" spans="1:1" ht="13.8" x14ac:dyDescent="0.25">
      <c r="A5134" s="8"/>
    </row>
    <row r="5135" spans="1:1" ht="13.8" x14ac:dyDescent="0.25">
      <c r="A5135" s="8"/>
    </row>
    <row r="5136" spans="1:1" ht="13.8" x14ac:dyDescent="0.25">
      <c r="A5136" s="8"/>
    </row>
    <row r="5137" spans="1:1" ht="13.8" x14ac:dyDescent="0.25">
      <c r="A5137" s="8"/>
    </row>
    <row r="5138" spans="1:1" ht="13.8" x14ac:dyDescent="0.25">
      <c r="A5138" s="8"/>
    </row>
    <row r="5139" spans="1:1" ht="13.8" x14ac:dyDescent="0.25">
      <c r="A5139" s="8"/>
    </row>
    <row r="5140" spans="1:1" ht="13.8" x14ac:dyDescent="0.25">
      <c r="A5140" s="8"/>
    </row>
    <row r="5141" spans="1:1" ht="13.8" x14ac:dyDescent="0.25">
      <c r="A5141" s="8"/>
    </row>
    <row r="5142" spans="1:1" ht="13.8" x14ac:dyDescent="0.25">
      <c r="A5142" s="8"/>
    </row>
    <row r="5143" spans="1:1" ht="13.8" x14ac:dyDescent="0.25">
      <c r="A5143" s="8"/>
    </row>
    <row r="5144" spans="1:1" ht="13.8" x14ac:dyDescent="0.25">
      <c r="A5144" s="8"/>
    </row>
    <row r="5145" spans="1:1" ht="13.8" x14ac:dyDescent="0.25">
      <c r="A5145" s="8"/>
    </row>
    <row r="5146" spans="1:1" ht="13.8" x14ac:dyDescent="0.25">
      <c r="A5146" s="8"/>
    </row>
    <row r="5147" spans="1:1" ht="13.8" x14ac:dyDescent="0.25">
      <c r="A5147" s="8"/>
    </row>
    <row r="5148" spans="1:1" ht="13.8" x14ac:dyDescent="0.25">
      <c r="A5148" s="8"/>
    </row>
    <row r="5149" spans="1:1" ht="13.8" x14ac:dyDescent="0.25">
      <c r="A5149" s="8"/>
    </row>
    <row r="5150" spans="1:1" ht="13.8" x14ac:dyDescent="0.25">
      <c r="A5150" s="8"/>
    </row>
    <row r="5151" spans="1:1" ht="13.8" x14ac:dyDescent="0.25">
      <c r="A5151" s="8"/>
    </row>
    <row r="5152" spans="1:1" ht="13.8" x14ac:dyDescent="0.25">
      <c r="A5152" s="8"/>
    </row>
    <row r="5153" spans="1:1" ht="13.8" x14ac:dyDescent="0.25">
      <c r="A5153" s="8"/>
    </row>
    <row r="5154" spans="1:1" ht="13.8" x14ac:dyDescent="0.25">
      <c r="A5154" s="8"/>
    </row>
    <row r="5155" spans="1:1" ht="13.8" x14ac:dyDescent="0.25">
      <c r="A5155" s="8"/>
    </row>
    <row r="5156" spans="1:1" ht="13.8" x14ac:dyDescent="0.25">
      <c r="A5156" s="8"/>
    </row>
    <row r="5157" spans="1:1" ht="13.8" x14ac:dyDescent="0.25">
      <c r="A5157" s="8"/>
    </row>
    <row r="5158" spans="1:1" ht="13.8" x14ac:dyDescent="0.25">
      <c r="A5158" s="8"/>
    </row>
    <row r="5159" spans="1:1" ht="13.8" x14ac:dyDescent="0.25">
      <c r="A5159" s="8"/>
    </row>
    <row r="5160" spans="1:1" ht="13.8" x14ac:dyDescent="0.25">
      <c r="A5160" s="8"/>
    </row>
    <row r="5161" spans="1:1" ht="13.8" x14ac:dyDescent="0.25">
      <c r="A5161" s="8"/>
    </row>
    <row r="5162" spans="1:1" ht="13.8" x14ac:dyDescent="0.25">
      <c r="A5162" s="8"/>
    </row>
    <row r="5163" spans="1:1" ht="13.8" x14ac:dyDescent="0.25">
      <c r="A5163" s="8"/>
    </row>
    <row r="5164" spans="1:1" ht="13.8" x14ac:dyDescent="0.25">
      <c r="A5164" s="8"/>
    </row>
    <row r="5165" spans="1:1" ht="13.8" x14ac:dyDescent="0.25">
      <c r="A5165" s="8"/>
    </row>
    <row r="5166" spans="1:1" ht="13.8" x14ac:dyDescent="0.25">
      <c r="A5166" s="8"/>
    </row>
    <row r="5167" spans="1:1" ht="13.8" x14ac:dyDescent="0.25">
      <c r="A5167" s="8"/>
    </row>
    <row r="5168" spans="1:1" ht="13.8" x14ac:dyDescent="0.25">
      <c r="A5168" s="8"/>
    </row>
    <row r="5169" spans="1:1" ht="13.8" x14ac:dyDescent="0.25">
      <c r="A5169" s="8"/>
    </row>
    <row r="5170" spans="1:1" ht="13.8" x14ac:dyDescent="0.25">
      <c r="A5170" s="8"/>
    </row>
    <row r="5171" spans="1:1" ht="13.8" x14ac:dyDescent="0.25">
      <c r="A5171" s="8"/>
    </row>
    <row r="5172" spans="1:1" ht="13.8" x14ac:dyDescent="0.25">
      <c r="A5172" s="8"/>
    </row>
    <row r="5173" spans="1:1" ht="13.8" x14ac:dyDescent="0.25">
      <c r="A5173" s="8"/>
    </row>
    <row r="5174" spans="1:1" ht="13.8" x14ac:dyDescent="0.25">
      <c r="A5174" s="8"/>
    </row>
    <row r="5175" spans="1:1" ht="13.8" x14ac:dyDescent="0.25">
      <c r="A5175" s="8"/>
    </row>
    <row r="5176" spans="1:1" ht="13.8" x14ac:dyDescent="0.25">
      <c r="A5176" s="8"/>
    </row>
    <row r="5177" spans="1:1" ht="13.8" x14ac:dyDescent="0.25">
      <c r="A5177" s="8"/>
    </row>
    <row r="5178" spans="1:1" ht="13.8" x14ac:dyDescent="0.25">
      <c r="A5178" s="8"/>
    </row>
    <row r="5179" spans="1:1" ht="13.8" x14ac:dyDescent="0.25">
      <c r="A5179" s="8"/>
    </row>
    <row r="5180" spans="1:1" ht="13.8" x14ac:dyDescent="0.25">
      <c r="A5180" s="8"/>
    </row>
    <row r="5181" spans="1:1" ht="13.8" x14ac:dyDescent="0.25">
      <c r="A5181" s="8"/>
    </row>
    <row r="5182" spans="1:1" ht="13.8" x14ac:dyDescent="0.25">
      <c r="A5182" s="8"/>
    </row>
    <row r="5183" spans="1:1" ht="13.8" x14ac:dyDescent="0.25">
      <c r="A5183" s="8"/>
    </row>
    <row r="5184" spans="1:1" ht="13.8" x14ac:dyDescent="0.25">
      <c r="A5184" s="8"/>
    </row>
    <row r="5185" spans="1:1" ht="13.8" x14ac:dyDescent="0.25">
      <c r="A5185" s="8"/>
    </row>
    <row r="5186" spans="1:1" ht="13.8" x14ac:dyDescent="0.25">
      <c r="A5186" s="8"/>
    </row>
    <row r="5187" spans="1:1" ht="13.8" x14ac:dyDescent="0.25">
      <c r="A5187" s="8"/>
    </row>
    <row r="5188" spans="1:1" ht="13.8" x14ac:dyDescent="0.25">
      <c r="A5188" s="8"/>
    </row>
    <row r="5189" spans="1:1" ht="13.8" x14ac:dyDescent="0.25">
      <c r="A5189" s="8"/>
    </row>
    <row r="5190" spans="1:1" ht="13.8" x14ac:dyDescent="0.25">
      <c r="A5190" s="8"/>
    </row>
    <row r="5191" spans="1:1" ht="13.8" x14ac:dyDescent="0.25">
      <c r="A5191" s="8"/>
    </row>
    <row r="5192" spans="1:1" ht="13.8" x14ac:dyDescent="0.25">
      <c r="A5192" s="8"/>
    </row>
    <row r="5193" spans="1:1" ht="13.8" x14ac:dyDescent="0.25">
      <c r="A5193" s="8"/>
    </row>
    <row r="5194" spans="1:1" ht="13.8" x14ac:dyDescent="0.25">
      <c r="A5194" s="8"/>
    </row>
    <row r="5195" spans="1:1" ht="13.8" x14ac:dyDescent="0.25">
      <c r="A5195" s="8"/>
    </row>
    <row r="5196" spans="1:1" ht="13.8" x14ac:dyDescent="0.25">
      <c r="A5196" s="8"/>
    </row>
    <row r="5197" spans="1:1" ht="13.8" x14ac:dyDescent="0.25">
      <c r="A5197" s="8"/>
    </row>
    <row r="5198" spans="1:1" ht="13.8" x14ac:dyDescent="0.25">
      <c r="A5198" s="8"/>
    </row>
    <row r="5199" spans="1:1" ht="13.8" x14ac:dyDescent="0.25">
      <c r="A5199" s="8"/>
    </row>
    <row r="5200" spans="1:1" ht="13.8" x14ac:dyDescent="0.25">
      <c r="A5200" s="8"/>
    </row>
    <row r="5201" spans="1:1" ht="13.8" x14ac:dyDescent="0.25">
      <c r="A5201" s="8"/>
    </row>
    <row r="5202" spans="1:1" ht="13.8" x14ac:dyDescent="0.25">
      <c r="A5202" s="8"/>
    </row>
    <row r="5203" spans="1:1" ht="13.8" x14ac:dyDescent="0.25">
      <c r="A5203" s="8"/>
    </row>
    <row r="5204" spans="1:1" ht="13.8" x14ac:dyDescent="0.25">
      <c r="A5204" s="8"/>
    </row>
    <row r="5205" spans="1:1" ht="13.8" x14ac:dyDescent="0.25">
      <c r="A5205" s="8"/>
    </row>
    <row r="5206" spans="1:1" ht="13.8" x14ac:dyDescent="0.25">
      <c r="A5206" s="8"/>
    </row>
    <row r="5207" spans="1:1" ht="13.8" x14ac:dyDescent="0.25">
      <c r="A5207" s="8"/>
    </row>
    <row r="5208" spans="1:1" ht="13.8" x14ac:dyDescent="0.25">
      <c r="A5208" s="8"/>
    </row>
    <row r="5209" spans="1:1" ht="13.8" x14ac:dyDescent="0.25">
      <c r="A5209" s="8"/>
    </row>
    <row r="5210" spans="1:1" ht="13.8" x14ac:dyDescent="0.25">
      <c r="A5210" s="8"/>
    </row>
    <row r="5211" spans="1:1" ht="13.8" x14ac:dyDescent="0.25">
      <c r="A5211" s="8"/>
    </row>
    <row r="5212" spans="1:1" ht="13.8" x14ac:dyDescent="0.25">
      <c r="A5212" s="8"/>
    </row>
    <row r="5213" spans="1:1" ht="13.8" x14ac:dyDescent="0.25">
      <c r="A5213" s="8"/>
    </row>
    <row r="5214" spans="1:1" ht="13.8" x14ac:dyDescent="0.25">
      <c r="A5214" s="8"/>
    </row>
    <row r="5215" spans="1:1" ht="13.8" x14ac:dyDescent="0.25">
      <c r="A5215" s="8"/>
    </row>
    <row r="5216" spans="1:1" ht="13.8" x14ac:dyDescent="0.25">
      <c r="A5216" s="8"/>
    </row>
    <row r="5217" spans="1:1" ht="13.8" x14ac:dyDescent="0.25">
      <c r="A5217" s="8"/>
    </row>
    <row r="5218" spans="1:1" ht="13.8" x14ac:dyDescent="0.25">
      <c r="A5218" s="8"/>
    </row>
    <row r="5219" spans="1:1" ht="13.8" x14ac:dyDescent="0.25">
      <c r="A5219" s="8"/>
    </row>
    <row r="5220" spans="1:1" ht="13.8" x14ac:dyDescent="0.25">
      <c r="A5220" s="8"/>
    </row>
    <row r="5221" spans="1:1" ht="13.8" x14ac:dyDescent="0.25">
      <c r="A5221" s="8"/>
    </row>
    <row r="5222" spans="1:1" ht="13.8" x14ac:dyDescent="0.25">
      <c r="A5222" s="8"/>
    </row>
    <row r="5223" spans="1:1" ht="13.8" x14ac:dyDescent="0.25">
      <c r="A5223" s="8"/>
    </row>
    <row r="5224" spans="1:1" ht="13.8" x14ac:dyDescent="0.25">
      <c r="A5224" s="8"/>
    </row>
    <row r="5225" spans="1:1" ht="13.8" x14ac:dyDescent="0.25">
      <c r="A5225" s="8"/>
    </row>
    <row r="5226" spans="1:1" ht="13.8" x14ac:dyDescent="0.25">
      <c r="A5226" s="8"/>
    </row>
    <row r="5227" spans="1:1" ht="13.8" x14ac:dyDescent="0.25">
      <c r="A5227" s="8"/>
    </row>
    <row r="5228" spans="1:1" ht="13.8" x14ac:dyDescent="0.25">
      <c r="A5228" s="8"/>
    </row>
    <row r="5229" spans="1:1" ht="13.8" x14ac:dyDescent="0.25">
      <c r="A5229" s="8"/>
    </row>
    <row r="5230" spans="1:1" ht="13.8" x14ac:dyDescent="0.25">
      <c r="A5230" s="8"/>
    </row>
    <row r="5231" spans="1:1" ht="13.8" x14ac:dyDescent="0.25">
      <c r="A5231" s="8"/>
    </row>
    <row r="5232" spans="1:1" ht="13.8" x14ac:dyDescent="0.25">
      <c r="A5232" s="8"/>
    </row>
    <row r="5233" spans="1:1" ht="13.8" x14ac:dyDescent="0.25">
      <c r="A5233" s="8"/>
    </row>
    <row r="5234" spans="1:1" ht="13.8" x14ac:dyDescent="0.25">
      <c r="A5234" s="8"/>
    </row>
    <row r="5235" spans="1:1" ht="13.8" x14ac:dyDescent="0.25">
      <c r="A5235" s="8"/>
    </row>
    <row r="5236" spans="1:1" ht="13.8" x14ac:dyDescent="0.25">
      <c r="A5236" s="8"/>
    </row>
    <row r="5237" spans="1:1" ht="13.8" x14ac:dyDescent="0.25">
      <c r="A5237" s="8"/>
    </row>
    <row r="5238" spans="1:1" ht="13.8" x14ac:dyDescent="0.25">
      <c r="A5238" s="8"/>
    </row>
    <row r="5239" spans="1:1" ht="13.8" x14ac:dyDescent="0.25">
      <c r="A5239" s="8"/>
    </row>
    <row r="5240" spans="1:1" ht="13.8" x14ac:dyDescent="0.25">
      <c r="A5240" s="8"/>
    </row>
    <row r="5241" spans="1:1" ht="13.8" x14ac:dyDescent="0.25">
      <c r="A5241" s="8"/>
    </row>
    <row r="5242" spans="1:1" ht="13.8" x14ac:dyDescent="0.25">
      <c r="A5242" s="8"/>
    </row>
    <row r="5243" spans="1:1" ht="13.8" x14ac:dyDescent="0.25">
      <c r="A5243" s="8"/>
    </row>
    <row r="5244" spans="1:1" ht="13.8" x14ac:dyDescent="0.25">
      <c r="A5244" s="8"/>
    </row>
    <row r="5245" spans="1:1" ht="13.8" x14ac:dyDescent="0.25">
      <c r="A5245" s="8"/>
    </row>
    <row r="5246" spans="1:1" ht="13.8" x14ac:dyDescent="0.25">
      <c r="A5246" s="8"/>
    </row>
    <row r="5247" spans="1:1" ht="13.8" x14ac:dyDescent="0.25">
      <c r="A5247" s="8"/>
    </row>
    <row r="5248" spans="1:1" ht="13.8" x14ac:dyDescent="0.25">
      <c r="A5248" s="8"/>
    </row>
    <row r="5249" spans="1:1" ht="13.8" x14ac:dyDescent="0.25">
      <c r="A5249" s="8"/>
    </row>
    <row r="5250" spans="1:1" ht="13.8" x14ac:dyDescent="0.25">
      <c r="A5250" s="8"/>
    </row>
    <row r="5251" spans="1:1" ht="13.8" x14ac:dyDescent="0.25">
      <c r="A5251" s="8"/>
    </row>
    <row r="5252" spans="1:1" ht="13.8" x14ac:dyDescent="0.25">
      <c r="A5252" s="8"/>
    </row>
    <row r="5253" spans="1:1" ht="13.8" x14ac:dyDescent="0.25">
      <c r="A5253" s="8"/>
    </row>
    <row r="5254" spans="1:1" ht="13.8" x14ac:dyDescent="0.25">
      <c r="A5254" s="8"/>
    </row>
    <row r="5255" spans="1:1" ht="13.8" x14ac:dyDescent="0.25">
      <c r="A5255" s="8"/>
    </row>
    <row r="5256" spans="1:1" ht="13.8" x14ac:dyDescent="0.25">
      <c r="A5256" s="8"/>
    </row>
    <row r="5257" spans="1:1" ht="13.8" x14ac:dyDescent="0.25">
      <c r="A5257" s="8"/>
    </row>
    <row r="5258" spans="1:1" ht="13.8" x14ac:dyDescent="0.25">
      <c r="A5258" s="8"/>
    </row>
    <row r="5259" spans="1:1" ht="13.8" x14ac:dyDescent="0.25">
      <c r="A5259" s="8"/>
    </row>
    <row r="5260" spans="1:1" ht="13.8" x14ac:dyDescent="0.25">
      <c r="A5260" s="8"/>
    </row>
    <row r="5261" spans="1:1" ht="13.8" x14ac:dyDescent="0.25">
      <c r="A5261" s="8"/>
    </row>
    <row r="5262" spans="1:1" ht="13.8" x14ac:dyDescent="0.25">
      <c r="A5262" s="8"/>
    </row>
    <row r="5263" spans="1:1" ht="13.8" x14ac:dyDescent="0.25">
      <c r="A5263" s="8"/>
    </row>
    <row r="5264" spans="1:1" ht="13.8" x14ac:dyDescent="0.25">
      <c r="A5264" s="8"/>
    </row>
    <row r="5265" spans="1:1" ht="13.8" x14ac:dyDescent="0.25">
      <c r="A5265" s="8"/>
    </row>
    <row r="5266" spans="1:1" ht="13.8" x14ac:dyDescent="0.25">
      <c r="A5266" s="8"/>
    </row>
    <row r="5267" spans="1:1" ht="13.8" x14ac:dyDescent="0.25">
      <c r="A5267" s="8"/>
    </row>
    <row r="5268" spans="1:1" ht="13.8" x14ac:dyDescent="0.25">
      <c r="A5268" s="8"/>
    </row>
    <row r="5269" spans="1:1" ht="13.8" x14ac:dyDescent="0.25">
      <c r="A5269" s="8"/>
    </row>
    <row r="5270" spans="1:1" ht="13.8" x14ac:dyDescent="0.25">
      <c r="A5270" s="8"/>
    </row>
    <row r="5271" spans="1:1" ht="13.8" x14ac:dyDescent="0.25">
      <c r="A5271" s="8"/>
    </row>
    <row r="5272" spans="1:1" ht="13.8" x14ac:dyDescent="0.25">
      <c r="A5272" s="8"/>
    </row>
    <row r="5273" spans="1:1" ht="13.8" x14ac:dyDescent="0.25">
      <c r="A5273" s="8"/>
    </row>
    <row r="5274" spans="1:1" ht="13.8" x14ac:dyDescent="0.25">
      <c r="A5274" s="8"/>
    </row>
    <row r="5275" spans="1:1" ht="13.8" x14ac:dyDescent="0.25">
      <c r="A5275" s="8"/>
    </row>
    <row r="5276" spans="1:1" ht="13.8" x14ac:dyDescent="0.25">
      <c r="A5276" s="8"/>
    </row>
    <row r="5277" spans="1:1" ht="13.8" x14ac:dyDescent="0.25">
      <c r="A5277" s="8"/>
    </row>
    <row r="5278" spans="1:1" ht="13.8" x14ac:dyDescent="0.25">
      <c r="A5278" s="8"/>
    </row>
    <row r="5279" spans="1:1" ht="13.8" x14ac:dyDescent="0.25">
      <c r="A5279" s="8"/>
    </row>
    <row r="5280" spans="1:1" ht="13.8" x14ac:dyDescent="0.25">
      <c r="A5280" s="8"/>
    </row>
    <row r="5281" spans="1:1" ht="13.8" x14ac:dyDescent="0.25">
      <c r="A5281" s="8"/>
    </row>
    <row r="5282" spans="1:1" ht="13.8" x14ac:dyDescent="0.25">
      <c r="A5282" s="8"/>
    </row>
    <row r="5283" spans="1:1" ht="13.8" x14ac:dyDescent="0.25">
      <c r="A5283" s="8"/>
    </row>
    <row r="5284" spans="1:1" ht="13.8" x14ac:dyDescent="0.25">
      <c r="A5284" s="8"/>
    </row>
    <row r="5285" spans="1:1" ht="13.8" x14ac:dyDescent="0.25">
      <c r="A5285" s="8"/>
    </row>
    <row r="5286" spans="1:1" ht="13.8" x14ac:dyDescent="0.25">
      <c r="A5286" s="8"/>
    </row>
    <row r="5287" spans="1:1" ht="13.8" x14ac:dyDescent="0.25">
      <c r="A5287" s="8"/>
    </row>
    <row r="5288" spans="1:1" ht="13.8" x14ac:dyDescent="0.25">
      <c r="A5288" s="8"/>
    </row>
    <row r="5289" spans="1:1" ht="13.8" x14ac:dyDescent="0.25">
      <c r="A5289" s="8"/>
    </row>
    <row r="5290" spans="1:1" ht="13.8" x14ac:dyDescent="0.25">
      <c r="A5290" s="8"/>
    </row>
    <row r="5291" spans="1:1" ht="13.8" x14ac:dyDescent="0.25">
      <c r="A5291" s="8"/>
    </row>
    <row r="5292" spans="1:1" ht="13.8" x14ac:dyDescent="0.25">
      <c r="A5292" s="8"/>
    </row>
    <row r="5293" spans="1:1" ht="13.8" x14ac:dyDescent="0.25">
      <c r="A5293" s="8"/>
    </row>
    <row r="5294" spans="1:1" ht="13.8" x14ac:dyDescent="0.25">
      <c r="A5294" s="8"/>
    </row>
    <row r="5295" spans="1:1" ht="13.8" x14ac:dyDescent="0.25">
      <c r="A5295" s="8"/>
    </row>
    <row r="5296" spans="1:1" ht="13.8" x14ac:dyDescent="0.25">
      <c r="A5296" s="8"/>
    </row>
    <row r="5297" spans="1:1" ht="13.8" x14ac:dyDescent="0.25">
      <c r="A5297" s="8"/>
    </row>
    <row r="5298" spans="1:1" ht="13.8" x14ac:dyDescent="0.25">
      <c r="A5298" s="8"/>
    </row>
    <row r="5299" spans="1:1" ht="13.8" x14ac:dyDescent="0.25">
      <c r="A5299" s="8"/>
    </row>
    <row r="5300" spans="1:1" ht="13.8" x14ac:dyDescent="0.25">
      <c r="A5300" s="8"/>
    </row>
    <row r="5301" spans="1:1" ht="13.8" x14ac:dyDescent="0.25">
      <c r="A5301" s="8"/>
    </row>
    <row r="5302" spans="1:1" ht="13.8" x14ac:dyDescent="0.25">
      <c r="A5302" s="8"/>
    </row>
    <row r="5303" spans="1:1" ht="13.8" x14ac:dyDescent="0.25">
      <c r="A5303" s="8"/>
    </row>
    <row r="5304" spans="1:1" ht="13.8" x14ac:dyDescent="0.25">
      <c r="A5304" s="8"/>
    </row>
    <row r="5305" spans="1:1" ht="13.8" x14ac:dyDescent="0.25">
      <c r="A5305" s="8"/>
    </row>
    <row r="5306" spans="1:1" ht="13.8" x14ac:dyDescent="0.25">
      <c r="A5306" s="8"/>
    </row>
    <row r="5307" spans="1:1" ht="13.8" x14ac:dyDescent="0.25">
      <c r="A5307" s="8"/>
    </row>
    <row r="5308" spans="1:1" ht="13.8" x14ac:dyDescent="0.25">
      <c r="A5308" s="8"/>
    </row>
    <row r="5309" spans="1:1" ht="13.8" x14ac:dyDescent="0.25">
      <c r="A5309" s="8"/>
    </row>
    <row r="5310" spans="1:1" ht="13.8" x14ac:dyDescent="0.25">
      <c r="A5310" s="8"/>
    </row>
    <row r="5311" spans="1:1" ht="13.8" x14ac:dyDescent="0.25">
      <c r="A5311" s="8"/>
    </row>
    <row r="5312" spans="1:1" ht="13.8" x14ac:dyDescent="0.25">
      <c r="A5312" s="8"/>
    </row>
    <row r="5313" spans="1:1" ht="13.8" x14ac:dyDescent="0.25">
      <c r="A5313" s="8"/>
    </row>
    <row r="5314" spans="1:1" ht="13.8" x14ac:dyDescent="0.25">
      <c r="A5314" s="8"/>
    </row>
    <row r="5315" spans="1:1" ht="13.8" x14ac:dyDescent="0.25">
      <c r="A5315" s="8"/>
    </row>
    <row r="5316" spans="1:1" ht="13.8" x14ac:dyDescent="0.25">
      <c r="A5316" s="8"/>
    </row>
    <row r="5317" spans="1:1" ht="13.8" x14ac:dyDescent="0.25">
      <c r="A5317" s="8"/>
    </row>
    <row r="5318" spans="1:1" ht="13.8" x14ac:dyDescent="0.25">
      <c r="A5318" s="8"/>
    </row>
    <row r="5319" spans="1:1" ht="13.8" x14ac:dyDescent="0.25">
      <c r="A5319" s="8"/>
    </row>
    <row r="5320" spans="1:1" ht="13.8" x14ac:dyDescent="0.25">
      <c r="A5320" s="8"/>
    </row>
    <row r="5321" spans="1:1" ht="13.8" x14ac:dyDescent="0.25">
      <c r="A5321" s="8"/>
    </row>
    <row r="5322" spans="1:1" ht="13.8" x14ac:dyDescent="0.25">
      <c r="A5322" s="8"/>
    </row>
    <row r="5323" spans="1:1" ht="13.8" x14ac:dyDescent="0.25">
      <c r="A5323" s="8"/>
    </row>
    <row r="5324" spans="1:1" ht="13.8" x14ac:dyDescent="0.25">
      <c r="A5324" s="8"/>
    </row>
    <row r="5325" spans="1:1" ht="13.8" x14ac:dyDescent="0.25">
      <c r="A5325" s="8"/>
    </row>
    <row r="5326" spans="1:1" ht="13.8" x14ac:dyDescent="0.25">
      <c r="A5326" s="8"/>
    </row>
    <row r="5327" spans="1:1" ht="13.8" x14ac:dyDescent="0.25">
      <c r="A5327" s="8"/>
    </row>
    <row r="5328" spans="1:1" ht="13.8" x14ac:dyDescent="0.25">
      <c r="A5328" s="8"/>
    </row>
    <row r="5329" spans="1:1" ht="13.8" x14ac:dyDescent="0.25">
      <c r="A5329" s="8"/>
    </row>
    <row r="5330" spans="1:1" ht="13.8" x14ac:dyDescent="0.25">
      <c r="A5330" s="8"/>
    </row>
    <row r="5331" spans="1:1" ht="13.8" x14ac:dyDescent="0.25">
      <c r="A5331" s="8"/>
    </row>
    <row r="5332" spans="1:1" ht="13.8" x14ac:dyDescent="0.25">
      <c r="A5332" s="8"/>
    </row>
    <row r="5333" spans="1:1" ht="13.8" x14ac:dyDescent="0.25">
      <c r="A5333" s="8"/>
    </row>
    <row r="5334" spans="1:1" ht="13.8" x14ac:dyDescent="0.25">
      <c r="A5334" s="8"/>
    </row>
    <row r="5335" spans="1:1" ht="13.8" x14ac:dyDescent="0.25">
      <c r="A5335" s="8"/>
    </row>
    <row r="5336" spans="1:1" ht="13.8" x14ac:dyDescent="0.25">
      <c r="A5336" s="8"/>
    </row>
    <row r="5337" spans="1:1" ht="13.8" x14ac:dyDescent="0.25">
      <c r="A5337" s="8"/>
    </row>
    <row r="5338" spans="1:1" ht="13.8" x14ac:dyDescent="0.25">
      <c r="A5338" s="8"/>
    </row>
    <row r="5339" spans="1:1" ht="13.8" x14ac:dyDescent="0.25">
      <c r="A5339" s="8"/>
    </row>
    <row r="5340" spans="1:1" ht="13.8" x14ac:dyDescent="0.25">
      <c r="A5340" s="8"/>
    </row>
    <row r="5341" spans="1:1" ht="13.8" x14ac:dyDescent="0.25">
      <c r="A5341" s="8"/>
    </row>
    <row r="5342" spans="1:1" ht="13.8" x14ac:dyDescent="0.25">
      <c r="A5342" s="8"/>
    </row>
    <row r="5343" spans="1:1" ht="13.8" x14ac:dyDescent="0.25">
      <c r="A5343" s="8"/>
    </row>
    <row r="5344" spans="1:1" ht="13.8" x14ac:dyDescent="0.25">
      <c r="A5344" s="8"/>
    </row>
    <row r="5345" spans="1:1" ht="13.8" x14ac:dyDescent="0.25">
      <c r="A5345" s="8"/>
    </row>
    <row r="5346" spans="1:1" ht="13.8" x14ac:dyDescent="0.25">
      <c r="A5346" s="8"/>
    </row>
    <row r="5347" spans="1:1" ht="13.8" x14ac:dyDescent="0.25">
      <c r="A5347" s="8"/>
    </row>
    <row r="5348" spans="1:1" ht="13.8" x14ac:dyDescent="0.25">
      <c r="A5348" s="8"/>
    </row>
    <row r="5349" spans="1:1" ht="13.8" x14ac:dyDescent="0.25">
      <c r="A5349" s="8"/>
    </row>
    <row r="5350" spans="1:1" ht="13.8" x14ac:dyDescent="0.25">
      <c r="A5350" s="8"/>
    </row>
    <row r="5351" spans="1:1" ht="13.8" x14ac:dyDescent="0.25">
      <c r="A5351" s="8"/>
    </row>
    <row r="5352" spans="1:1" ht="13.8" x14ac:dyDescent="0.25">
      <c r="A5352" s="8"/>
    </row>
    <row r="5353" spans="1:1" ht="13.8" x14ac:dyDescent="0.25">
      <c r="A5353" s="8"/>
    </row>
    <row r="5354" spans="1:1" ht="13.8" x14ac:dyDescent="0.25">
      <c r="A5354" s="8"/>
    </row>
    <row r="5355" spans="1:1" ht="13.8" x14ac:dyDescent="0.25">
      <c r="A5355" s="8"/>
    </row>
    <row r="5356" spans="1:1" ht="13.8" x14ac:dyDescent="0.25">
      <c r="A5356" s="8"/>
    </row>
    <row r="5357" spans="1:1" ht="13.8" x14ac:dyDescent="0.25">
      <c r="A5357" s="8"/>
    </row>
    <row r="5358" spans="1:1" ht="13.8" x14ac:dyDescent="0.25">
      <c r="A5358" s="8"/>
    </row>
    <row r="5359" spans="1:1" ht="13.8" x14ac:dyDescent="0.25">
      <c r="A5359" s="8"/>
    </row>
    <row r="5360" spans="1:1" ht="13.8" x14ac:dyDescent="0.25">
      <c r="A5360" s="8"/>
    </row>
    <row r="5361" spans="1:1" ht="13.8" x14ac:dyDescent="0.25">
      <c r="A5361" s="8"/>
    </row>
    <row r="5362" spans="1:1" ht="13.8" x14ac:dyDescent="0.25">
      <c r="A5362" s="8"/>
    </row>
    <row r="5363" spans="1:1" ht="13.8" x14ac:dyDescent="0.25">
      <c r="A5363" s="8"/>
    </row>
    <row r="5364" spans="1:1" ht="13.8" x14ac:dyDescent="0.25">
      <c r="A5364" s="8"/>
    </row>
    <row r="5365" spans="1:1" ht="13.8" x14ac:dyDescent="0.25">
      <c r="A5365" s="8"/>
    </row>
    <row r="5366" spans="1:1" ht="13.8" x14ac:dyDescent="0.25">
      <c r="A5366" s="8"/>
    </row>
    <row r="5367" spans="1:1" ht="13.8" x14ac:dyDescent="0.25">
      <c r="A5367" s="8"/>
    </row>
    <row r="5368" spans="1:1" ht="13.8" x14ac:dyDescent="0.25">
      <c r="A5368" s="8"/>
    </row>
    <row r="5369" spans="1:1" ht="13.8" x14ac:dyDescent="0.25">
      <c r="A5369" s="8"/>
    </row>
    <row r="5370" spans="1:1" ht="13.8" x14ac:dyDescent="0.25">
      <c r="A5370" s="8"/>
    </row>
    <row r="5371" spans="1:1" ht="13.8" x14ac:dyDescent="0.25">
      <c r="A5371" s="8"/>
    </row>
    <row r="5372" spans="1:1" ht="13.8" x14ac:dyDescent="0.25">
      <c r="A5372" s="8"/>
    </row>
    <row r="5373" spans="1:1" ht="13.8" x14ac:dyDescent="0.25">
      <c r="A5373" s="8"/>
    </row>
    <row r="5374" spans="1:1" ht="13.8" x14ac:dyDescent="0.25">
      <c r="A5374" s="8"/>
    </row>
    <row r="5375" spans="1:1" ht="13.8" x14ac:dyDescent="0.25">
      <c r="A5375" s="8"/>
    </row>
    <row r="5376" spans="1:1" ht="13.8" x14ac:dyDescent="0.25">
      <c r="A5376" s="8"/>
    </row>
    <row r="5377" spans="1:1" ht="13.8" x14ac:dyDescent="0.25">
      <c r="A5377" s="8"/>
    </row>
    <row r="5378" spans="1:1" ht="13.8" x14ac:dyDescent="0.25">
      <c r="A5378" s="8"/>
    </row>
    <row r="5379" spans="1:1" ht="13.8" x14ac:dyDescent="0.25">
      <c r="A5379" s="8"/>
    </row>
    <row r="5380" spans="1:1" ht="13.8" x14ac:dyDescent="0.25">
      <c r="A5380" s="8"/>
    </row>
    <row r="5381" spans="1:1" ht="13.8" x14ac:dyDescent="0.25">
      <c r="A5381" s="8"/>
    </row>
    <row r="5382" spans="1:1" ht="13.8" x14ac:dyDescent="0.25">
      <c r="A5382" s="8"/>
    </row>
    <row r="5383" spans="1:1" ht="13.8" x14ac:dyDescent="0.25">
      <c r="A5383" s="8"/>
    </row>
    <row r="5384" spans="1:1" ht="13.8" x14ac:dyDescent="0.25">
      <c r="A5384" s="8"/>
    </row>
    <row r="5385" spans="1:1" ht="13.8" x14ac:dyDescent="0.25">
      <c r="A5385" s="8"/>
    </row>
    <row r="5386" spans="1:1" ht="13.8" x14ac:dyDescent="0.25">
      <c r="A5386" s="8"/>
    </row>
    <row r="5387" spans="1:1" ht="13.8" x14ac:dyDescent="0.25">
      <c r="A5387" s="8"/>
    </row>
    <row r="5388" spans="1:1" ht="13.8" x14ac:dyDescent="0.25">
      <c r="A5388" s="8"/>
    </row>
    <row r="5389" spans="1:1" ht="13.8" x14ac:dyDescent="0.25">
      <c r="A5389" s="8"/>
    </row>
    <row r="5390" spans="1:1" ht="13.8" x14ac:dyDescent="0.25">
      <c r="A5390" s="8"/>
    </row>
    <row r="5391" spans="1:1" ht="13.8" x14ac:dyDescent="0.25">
      <c r="A5391" s="8"/>
    </row>
    <row r="5392" spans="1:1" ht="13.8" x14ac:dyDescent="0.25">
      <c r="A5392" s="8"/>
    </row>
    <row r="5393" spans="1:1" ht="13.8" x14ac:dyDescent="0.25">
      <c r="A5393" s="8"/>
    </row>
    <row r="5394" spans="1:1" ht="13.8" x14ac:dyDescent="0.25">
      <c r="A5394" s="8"/>
    </row>
    <row r="5395" spans="1:1" ht="13.8" x14ac:dyDescent="0.25">
      <c r="A5395" s="8"/>
    </row>
    <row r="5396" spans="1:1" ht="13.8" x14ac:dyDescent="0.25">
      <c r="A5396" s="8"/>
    </row>
    <row r="5397" spans="1:1" ht="13.8" x14ac:dyDescent="0.25">
      <c r="A5397" s="8"/>
    </row>
    <row r="5398" spans="1:1" ht="13.8" x14ac:dyDescent="0.25">
      <c r="A5398" s="8"/>
    </row>
    <row r="5399" spans="1:1" ht="13.8" x14ac:dyDescent="0.25">
      <c r="A5399" s="8"/>
    </row>
    <row r="5400" spans="1:1" ht="13.8" x14ac:dyDescent="0.25">
      <c r="A5400" s="8"/>
    </row>
    <row r="5401" spans="1:1" ht="13.8" x14ac:dyDescent="0.25">
      <c r="A5401" s="8"/>
    </row>
    <row r="5402" spans="1:1" ht="13.8" x14ac:dyDescent="0.25">
      <c r="A5402" s="8"/>
    </row>
    <row r="5403" spans="1:1" ht="13.8" x14ac:dyDescent="0.25">
      <c r="A5403" s="8"/>
    </row>
    <row r="5404" spans="1:1" ht="13.8" x14ac:dyDescent="0.25">
      <c r="A5404" s="8"/>
    </row>
    <row r="5405" spans="1:1" ht="13.8" x14ac:dyDescent="0.25">
      <c r="A5405" s="8"/>
    </row>
    <row r="5406" spans="1:1" ht="13.8" x14ac:dyDescent="0.25">
      <c r="A5406" s="8"/>
    </row>
    <row r="5407" spans="1:1" ht="13.8" x14ac:dyDescent="0.25">
      <c r="A5407" s="8"/>
    </row>
    <row r="5408" spans="1:1" ht="13.8" x14ac:dyDescent="0.25">
      <c r="A5408" s="8"/>
    </row>
    <row r="5409" spans="1:1" ht="13.8" x14ac:dyDescent="0.25">
      <c r="A5409" s="8"/>
    </row>
    <row r="5410" spans="1:1" ht="13.8" x14ac:dyDescent="0.25">
      <c r="A5410" s="8"/>
    </row>
    <row r="5411" spans="1:1" ht="13.8" x14ac:dyDescent="0.25">
      <c r="A5411" s="8"/>
    </row>
    <row r="5412" spans="1:1" ht="13.8" x14ac:dyDescent="0.25">
      <c r="A5412" s="8"/>
    </row>
    <row r="5413" spans="1:1" ht="13.8" x14ac:dyDescent="0.25">
      <c r="A5413" s="8"/>
    </row>
    <row r="5414" spans="1:1" ht="13.8" x14ac:dyDescent="0.25">
      <c r="A5414" s="8"/>
    </row>
    <row r="5415" spans="1:1" ht="13.8" x14ac:dyDescent="0.25">
      <c r="A5415" s="8"/>
    </row>
    <row r="5416" spans="1:1" ht="13.8" x14ac:dyDescent="0.25">
      <c r="A5416" s="8"/>
    </row>
    <row r="5417" spans="1:1" ht="13.8" x14ac:dyDescent="0.25">
      <c r="A5417" s="8"/>
    </row>
    <row r="5418" spans="1:1" ht="13.8" x14ac:dyDescent="0.25">
      <c r="A5418" s="8"/>
    </row>
    <row r="5419" spans="1:1" ht="13.8" x14ac:dyDescent="0.25">
      <c r="A5419" s="8"/>
    </row>
    <row r="5420" spans="1:1" ht="13.8" x14ac:dyDescent="0.25">
      <c r="A5420" s="8"/>
    </row>
    <row r="5421" spans="1:1" ht="13.8" x14ac:dyDescent="0.25">
      <c r="A5421" s="8"/>
    </row>
    <row r="5422" spans="1:1" ht="13.8" x14ac:dyDescent="0.25">
      <c r="A5422" s="8"/>
    </row>
    <row r="5423" spans="1:1" ht="13.8" x14ac:dyDescent="0.25">
      <c r="A5423" s="8"/>
    </row>
    <row r="5424" spans="1:1" ht="13.8" x14ac:dyDescent="0.25">
      <c r="A5424" s="8"/>
    </row>
    <row r="5425" spans="1:1" ht="13.8" x14ac:dyDescent="0.25">
      <c r="A5425" s="8"/>
    </row>
    <row r="5426" spans="1:1" ht="13.8" x14ac:dyDescent="0.25">
      <c r="A5426" s="8"/>
    </row>
    <row r="5427" spans="1:1" ht="13.8" x14ac:dyDescent="0.25">
      <c r="A5427" s="8"/>
    </row>
    <row r="5428" spans="1:1" ht="13.8" x14ac:dyDescent="0.25">
      <c r="A5428" s="8"/>
    </row>
    <row r="5429" spans="1:1" ht="13.8" x14ac:dyDescent="0.25">
      <c r="A5429" s="8"/>
    </row>
    <row r="5430" spans="1:1" ht="13.8" x14ac:dyDescent="0.25">
      <c r="A5430" s="8"/>
    </row>
    <row r="5431" spans="1:1" ht="13.8" x14ac:dyDescent="0.25">
      <c r="A5431" s="8"/>
    </row>
    <row r="5432" spans="1:1" ht="13.8" x14ac:dyDescent="0.25">
      <c r="A5432" s="8"/>
    </row>
    <row r="5433" spans="1:1" ht="13.8" x14ac:dyDescent="0.25">
      <c r="A5433" s="8"/>
    </row>
    <row r="5434" spans="1:1" ht="13.8" x14ac:dyDescent="0.25">
      <c r="A5434" s="8"/>
    </row>
    <row r="5435" spans="1:1" ht="13.8" x14ac:dyDescent="0.25">
      <c r="A5435" s="8"/>
    </row>
    <row r="5436" spans="1:1" ht="13.8" x14ac:dyDescent="0.25">
      <c r="A5436" s="8"/>
    </row>
    <row r="5437" spans="1:1" ht="13.8" x14ac:dyDescent="0.25">
      <c r="A5437" s="8"/>
    </row>
    <row r="5438" spans="1:1" ht="13.8" x14ac:dyDescent="0.25">
      <c r="A5438" s="8"/>
    </row>
    <row r="5439" spans="1:1" ht="13.8" x14ac:dyDescent="0.25">
      <c r="A5439" s="8"/>
    </row>
    <row r="5440" spans="1:1" ht="13.8" x14ac:dyDescent="0.25">
      <c r="A5440" s="8"/>
    </row>
    <row r="5441" spans="1:1" ht="13.8" x14ac:dyDescent="0.25">
      <c r="A5441" s="8"/>
    </row>
    <row r="5442" spans="1:1" ht="13.8" x14ac:dyDescent="0.25">
      <c r="A5442" s="8"/>
    </row>
    <row r="5443" spans="1:1" ht="13.8" x14ac:dyDescent="0.25">
      <c r="A5443" s="8"/>
    </row>
    <row r="5444" spans="1:1" ht="13.8" x14ac:dyDescent="0.25">
      <c r="A5444" s="8"/>
    </row>
    <row r="5445" spans="1:1" ht="13.8" x14ac:dyDescent="0.25">
      <c r="A5445" s="8"/>
    </row>
    <row r="5446" spans="1:1" ht="13.8" x14ac:dyDescent="0.25">
      <c r="A5446" s="8"/>
    </row>
    <row r="5447" spans="1:1" ht="13.8" x14ac:dyDescent="0.25">
      <c r="A5447" s="8"/>
    </row>
    <row r="5448" spans="1:1" ht="13.8" x14ac:dyDescent="0.25">
      <c r="A5448" s="8"/>
    </row>
    <row r="5449" spans="1:1" ht="13.8" x14ac:dyDescent="0.25">
      <c r="A5449" s="8"/>
    </row>
    <row r="5450" spans="1:1" ht="13.8" x14ac:dyDescent="0.25">
      <c r="A5450" s="8"/>
    </row>
    <row r="5451" spans="1:1" ht="13.8" x14ac:dyDescent="0.25">
      <c r="A5451" s="8"/>
    </row>
    <row r="5452" spans="1:1" ht="13.8" x14ac:dyDescent="0.25">
      <c r="A5452" s="8"/>
    </row>
    <row r="5453" spans="1:1" ht="13.8" x14ac:dyDescent="0.25">
      <c r="A5453" s="8"/>
    </row>
    <row r="5454" spans="1:1" ht="13.8" x14ac:dyDescent="0.25">
      <c r="A5454" s="8"/>
    </row>
    <row r="5455" spans="1:1" ht="13.8" x14ac:dyDescent="0.25">
      <c r="A5455" s="8"/>
    </row>
    <row r="5456" spans="1:1" ht="13.8" x14ac:dyDescent="0.25">
      <c r="A5456" s="8"/>
    </row>
    <row r="5457" spans="1:1" ht="13.8" x14ac:dyDescent="0.25">
      <c r="A5457" s="8"/>
    </row>
    <row r="5458" spans="1:1" ht="13.8" x14ac:dyDescent="0.25">
      <c r="A5458" s="8"/>
    </row>
    <row r="5459" spans="1:1" ht="13.8" x14ac:dyDescent="0.25">
      <c r="A5459" s="8"/>
    </row>
    <row r="5460" spans="1:1" ht="13.8" x14ac:dyDescent="0.25">
      <c r="A5460" s="8"/>
    </row>
    <row r="5461" spans="1:1" ht="13.8" x14ac:dyDescent="0.25">
      <c r="A5461" s="8"/>
    </row>
    <row r="5462" spans="1:1" ht="13.8" x14ac:dyDescent="0.25">
      <c r="A5462" s="8"/>
    </row>
    <row r="5463" spans="1:1" ht="13.8" x14ac:dyDescent="0.25">
      <c r="A5463" s="8"/>
    </row>
    <row r="5464" spans="1:1" ht="13.8" x14ac:dyDescent="0.25">
      <c r="A5464" s="8"/>
    </row>
    <row r="5465" spans="1:1" ht="13.8" x14ac:dyDescent="0.25">
      <c r="A5465" s="8"/>
    </row>
    <row r="5466" spans="1:1" ht="13.8" x14ac:dyDescent="0.25">
      <c r="A5466" s="8"/>
    </row>
    <row r="5467" spans="1:1" ht="13.8" x14ac:dyDescent="0.25">
      <c r="A5467" s="8"/>
    </row>
    <row r="5468" spans="1:1" ht="13.8" x14ac:dyDescent="0.25">
      <c r="A5468" s="8"/>
    </row>
    <row r="5469" spans="1:1" ht="13.8" x14ac:dyDescent="0.25">
      <c r="A5469" s="8"/>
    </row>
    <row r="5470" spans="1:1" ht="13.8" x14ac:dyDescent="0.25">
      <c r="A5470" s="8"/>
    </row>
    <row r="5471" spans="1:1" ht="13.8" x14ac:dyDescent="0.25">
      <c r="A5471" s="8"/>
    </row>
    <row r="5472" spans="1:1" ht="13.8" x14ac:dyDescent="0.25">
      <c r="A5472" s="8"/>
    </row>
    <row r="5473" spans="1:1" ht="13.8" x14ac:dyDescent="0.25">
      <c r="A5473" s="8"/>
    </row>
    <row r="5474" spans="1:1" ht="13.8" x14ac:dyDescent="0.25">
      <c r="A5474" s="8"/>
    </row>
    <row r="5475" spans="1:1" ht="13.8" x14ac:dyDescent="0.25">
      <c r="A5475" s="8"/>
    </row>
    <row r="5476" spans="1:1" ht="13.8" x14ac:dyDescent="0.25">
      <c r="A5476" s="8"/>
    </row>
    <row r="5477" spans="1:1" ht="13.8" x14ac:dyDescent="0.25">
      <c r="A5477" s="8"/>
    </row>
    <row r="5478" spans="1:1" ht="13.8" x14ac:dyDescent="0.25">
      <c r="A5478" s="8"/>
    </row>
    <row r="5479" spans="1:1" ht="13.8" x14ac:dyDescent="0.25">
      <c r="A5479" s="8"/>
    </row>
    <row r="5480" spans="1:1" ht="13.8" x14ac:dyDescent="0.25">
      <c r="A5480" s="8"/>
    </row>
    <row r="5481" spans="1:1" ht="13.8" x14ac:dyDescent="0.25">
      <c r="A5481" s="8"/>
    </row>
    <row r="5482" spans="1:1" ht="13.8" x14ac:dyDescent="0.25">
      <c r="A5482" s="8"/>
    </row>
    <row r="5483" spans="1:1" ht="13.8" x14ac:dyDescent="0.25">
      <c r="A5483" s="8"/>
    </row>
    <row r="5484" spans="1:1" ht="13.8" x14ac:dyDescent="0.25">
      <c r="A5484" s="8"/>
    </row>
    <row r="5485" spans="1:1" ht="13.8" x14ac:dyDescent="0.25">
      <c r="A5485" s="8"/>
    </row>
    <row r="5486" spans="1:1" ht="13.8" x14ac:dyDescent="0.25">
      <c r="A5486" s="8"/>
    </row>
    <row r="5487" spans="1:1" ht="13.8" x14ac:dyDescent="0.25">
      <c r="A5487" s="8"/>
    </row>
    <row r="5488" spans="1:1" ht="13.8" x14ac:dyDescent="0.25">
      <c r="A5488" s="8"/>
    </row>
    <row r="5489" spans="1:1" ht="13.8" x14ac:dyDescent="0.25">
      <c r="A5489" s="8"/>
    </row>
    <row r="5490" spans="1:1" ht="13.8" x14ac:dyDescent="0.25">
      <c r="A5490" s="8"/>
    </row>
    <row r="5491" spans="1:1" ht="13.8" x14ac:dyDescent="0.25">
      <c r="A5491" s="8"/>
    </row>
    <row r="5492" spans="1:1" ht="13.8" x14ac:dyDescent="0.25">
      <c r="A5492" s="8"/>
    </row>
    <row r="5493" spans="1:1" ht="13.8" x14ac:dyDescent="0.25">
      <c r="A5493" s="8"/>
    </row>
    <row r="5494" spans="1:1" ht="13.8" x14ac:dyDescent="0.25">
      <c r="A5494" s="8"/>
    </row>
    <row r="5495" spans="1:1" ht="13.8" x14ac:dyDescent="0.25">
      <c r="A5495" s="8"/>
    </row>
    <row r="5496" spans="1:1" ht="13.8" x14ac:dyDescent="0.25">
      <c r="A5496" s="8"/>
    </row>
    <row r="5497" spans="1:1" ht="13.8" x14ac:dyDescent="0.25">
      <c r="A5497" s="8"/>
    </row>
    <row r="5498" spans="1:1" ht="13.8" x14ac:dyDescent="0.25">
      <c r="A5498" s="8"/>
    </row>
    <row r="5499" spans="1:1" ht="13.8" x14ac:dyDescent="0.25">
      <c r="A5499" s="8"/>
    </row>
    <row r="5500" spans="1:1" ht="13.8" x14ac:dyDescent="0.25">
      <c r="A5500" s="8"/>
    </row>
    <row r="5501" spans="1:1" ht="13.8" x14ac:dyDescent="0.25">
      <c r="A5501" s="8"/>
    </row>
    <row r="5502" spans="1:1" ht="13.8" x14ac:dyDescent="0.25">
      <c r="A5502" s="8"/>
    </row>
    <row r="5503" spans="1:1" ht="13.8" x14ac:dyDescent="0.25">
      <c r="A5503" s="8"/>
    </row>
    <row r="5504" spans="1:1" ht="13.8" x14ac:dyDescent="0.25">
      <c r="A5504" s="8"/>
    </row>
    <row r="5505" spans="1:1" ht="13.8" x14ac:dyDescent="0.25">
      <c r="A5505" s="8"/>
    </row>
    <row r="5506" spans="1:1" ht="13.8" x14ac:dyDescent="0.25">
      <c r="A5506" s="8"/>
    </row>
    <row r="5507" spans="1:1" ht="13.8" x14ac:dyDescent="0.25">
      <c r="A5507" s="8"/>
    </row>
    <row r="5508" spans="1:1" ht="13.8" x14ac:dyDescent="0.25">
      <c r="A5508" s="8"/>
    </row>
    <row r="5509" spans="1:1" ht="13.8" x14ac:dyDescent="0.25">
      <c r="A5509" s="8"/>
    </row>
    <row r="5510" spans="1:1" ht="13.8" x14ac:dyDescent="0.25">
      <c r="A5510" s="8"/>
    </row>
    <row r="5511" spans="1:1" ht="13.8" x14ac:dyDescent="0.25">
      <c r="A5511" s="8"/>
    </row>
    <row r="5512" spans="1:1" ht="13.8" x14ac:dyDescent="0.25">
      <c r="A5512" s="8"/>
    </row>
    <row r="5513" spans="1:1" ht="13.8" x14ac:dyDescent="0.25">
      <c r="A5513" s="8"/>
    </row>
    <row r="5514" spans="1:1" ht="13.8" x14ac:dyDescent="0.25">
      <c r="A5514" s="8"/>
    </row>
    <row r="5515" spans="1:1" ht="13.8" x14ac:dyDescent="0.25">
      <c r="A5515" s="8"/>
    </row>
    <row r="5516" spans="1:1" ht="13.8" x14ac:dyDescent="0.25">
      <c r="A5516" s="8"/>
    </row>
    <row r="5517" spans="1:1" ht="13.8" x14ac:dyDescent="0.25">
      <c r="A5517" s="8"/>
    </row>
    <row r="5518" spans="1:1" ht="13.8" x14ac:dyDescent="0.25">
      <c r="A5518" s="8"/>
    </row>
    <row r="5519" spans="1:1" ht="13.8" x14ac:dyDescent="0.25">
      <c r="A5519" s="8"/>
    </row>
    <row r="5520" spans="1:1" ht="13.8" x14ac:dyDescent="0.25">
      <c r="A5520" s="8"/>
    </row>
    <row r="5521" spans="1:1" ht="13.8" x14ac:dyDescent="0.25">
      <c r="A5521" s="8"/>
    </row>
    <row r="5522" spans="1:1" ht="13.8" x14ac:dyDescent="0.25">
      <c r="A5522" s="8"/>
    </row>
    <row r="5523" spans="1:1" ht="13.8" x14ac:dyDescent="0.25">
      <c r="A5523" s="8"/>
    </row>
    <row r="5524" spans="1:1" ht="13.8" x14ac:dyDescent="0.25">
      <c r="A5524" s="8"/>
    </row>
    <row r="5525" spans="1:1" ht="13.8" x14ac:dyDescent="0.25">
      <c r="A5525" s="8"/>
    </row>
    <row r="5526" spans="1:1" ht="13.8" x14ac:dyDescent="0.25">
      <c r="A5526" s="8"/>
    </row>
    <row r="5527" spans="1:1" ht="13.8" x14ac:dyDescent="0.25">
      <c r="A5527" s="8"/>
    </row>
    <row r="5528" spans="1:1" ht="13.8" x14ac:dyDescent="0.25">
      <c r="A5528" s="8"/>
    </row>
    <row r="5529" spans="1:1" ht="13.8" x14ac:dyDescent="0.25">
      <c r="A5529" s="8"/>
    </row>
    <row r="5530" spans="1:1" ht="13.8" x14ac:dyDescent="0.25">
      <c r="A5530" s="8"/>
    </row>
    <row r="5531" spans="1:1" ht="13.8" x14ac:dyDescent="0.25">
      <c r="A5531" s="8"/>
    </row>
    <row r="5532" spans="1:1" ht="13.8" x14ac:dyDescent="0.25">
      <c r="A5532" s="8"/>
    </row>
    <row r="5533" spans="1:1" ht="13.8" x14ac:dyDescent="0.25">
      <c r="A5533" s="8"/>
    </row>
    <row r="5534" spans="1:1" ht="13.8" x14ac:dyDescent="0.25">
      <c r="A5534" s="8"/>
    </row>
    <row r="5535" spans="1:1" ht="13.8" x14ac:dyDescent="0.25">
      <c r="A5535" s="8"/>
    </row>
    <row r="5536" spans="1:1" ht="13.8" x14ac:dyDescent="0.25">
      <c r="A5536" s="8"/>
    </row>
    <row r="5537" spans="1:1" ht="13.8" x14ac:dyDescent="0.25">
      <c r="A5537" s="8"/>
    </row>
    <row r="5538" spans="1:1" ht="13.8" x14ac:dyDescent="0.25">
      <c r="A5538" s="8"/>
    </row>
    <row r="5539" spans="1:1" ht="13.8" x14ac:dyDescent="0.25">
      <c r="A5539" s="8"/>
    </row>
    <row r="5540" spans="1:1" ht="13.8" x14ac:dyDescent="0.25">
      <c r="A5540" s="8"/>
    </row>
    <row r="5541" spans="1:1" ht="13.8" x14ac:dyDescent="0.25">
      <c r="A5541" s="8"/>
    </row>
    <row r="5542" spans="1:1" ht="13.8" x14ac:dyDescent="0.25">
      <c r="A5542" s="8"/>
    </row>
    <row r="5543" spans="1:1" ht="13.8" x14ac:dyDescent="0.25">
      <c r="A5543" s="8"/>
    </row>
    <row r="5544" spans="1:1" ht="13.8" x14ac:dyDescent="0.25">
      <c r="A5544" s="8"/>
    </row>
    <row r="5545" spans="1:1" ht="13.8" x14ac:dyDescent="0.25">
      <c r="A5545" s="8"/>
    </row>
    <row r="5546" spans="1:1" ht="13.8" x14ac:dyDescent="0.25">
      <c r="A5546" s="8"/>
    </row>
    <row r="5547" spans="1:1" ht="13.8" x14ac:dyDescent="0.25">
      <c r="A5547" s="8"/>
    </row>
    <row r="5548" spans="1:1" ht="13.8" x14ac:dyDescent="0.25">
      <c r="A5548" s="8"/>
    </row>
    <row r="5549" spans="1:1" ht="13.8" x14ac:dyDescent="0.25">
      <c r="A5549" s="8"/>
    </row>
    <row r="5550" spans="1:1" ht="13.8" x14ac:dyDescent="0.25">
      <c r="A5550" s="8"/>
    </row>
    <row r="5551" spans="1:1" ht="13.8" x14ac:dyDescent="0.25">
      <c r="A5551" s="8"/>
    </row>
    <row r="5552" spans="1:1" ht="13.8" x14ac:dyDescent="0.25">
      <c r="A5552" s="8"/>
    </row>
    <row r="5553" spans="1:1" ht="13.8" x14ac:dyDescent="0.25">
      <c r="A5553" s="8"/>
    </row>
    <row r="5554" spans="1:1" ht="13.8" x14ac:dyDescent="0.25">
      <c r="A5554" s="8"/>
    </row>
    <row r="5555" spans="1:1" ht="13.8" x14ac:dyDescent="0.25">
      <c r="A5555" s="8"/>
    </row>
    <row r="5556" spans="1:1" ht="13.8" x14ac:dyDescent="0.25">
      <c r="A5556" s="8"/>
    </row>
    <row r="5557" spans="1:1" ht="13.8" x14ac:dyDescent="0.25">
      <c r="A5557" s="8"/>
    </row>
    <row r="5558" spans="1:1" ht="13.8" x14ac:dyDescent="0.25">
      <c r="A5558" s="8"/>
    </row>
    <row r="5559" spans="1:1" ht="13.8" x14ac:dyDescent="0.25">
      <c r="A5559" s="8"/>
    </row>
    <row r="5560" spans="1:1" ht="13.8" x14ac:dyDescent="0.25">
      <c r="A5560" s="8"/>
    </row>
    <row r="5561" spans="1:1" ht="13.8" x14ac:dyDescent="0.25">
      <c r="A5561" s="8"/>
    </row>
    <row r="5562" spans="1:1" ht="13.8" x14ac:dyDescent="0.25">
      <c r="A5562" s="8"/>
    </row>
    <row r="5563" spans="1:1" ht="13.8" x14ac:dyDescent="0.25">
      <c r="A5563" s="8"/>
    </row>
    <row r="5564" spans="1:1" ht="13.8" x14ac:dyDescent="0.25">
      <c r="A5564" s="8"/>
    </row>
    <row r="5565" spans="1:1" ht="13.8" x14ac:dyDescent="0.25">
      <c r="A5565" s="8"/>
    </row>
    <row r="5566" spans="1:1" ht="13.8" x14ac:dyDescent="0.25">
      <c r="A5566" s="8"/>
    </row>
    <row r="5567" spans="1:1" ht="13.8" x14ac:dyDescent="0.25">
      <c r="A5567" s="8"/>
    </row>
    <row r="5568" spans="1:1" ht="13.8" x14ac:dyDescent="0.25">
      <c r="A5568" s="8"/>
    </row>
    <row r="5569" spans="1:1" ht="13.8" x14ac:dyDescent="0.25">
      <c r="A5569" s="8"/>
    </row>
    <row r="5570" spans="1:1" ht="13.8" x14ac:dyDescent="0.25">
      <c r="A5570" s="8"/>
    </row>
    <row r="5571" spans="1:1" ht="13.8" x14ac:dyDescent="0.25">
      <c r="A5571" s="8"/>
    </row>
    <row r="5572" spans="1:1" ht="13.8" x14ac:dyDescent="0.25">
      <c r="A5572" s="8"/>
    </row>
    <row r="5573" spans="1:1" ht="13.8" x14ac:dyDescent="0.25">
      <c r="A5573" s="8"/>
    </row>
    <row r="5574" spans="1:1" ht="13.8" x14ac:dyDescent="0.25">
      <c r="A5574" s="8"/>
    </row>
    <row r="5575" spans="1:1" ht="13.8" x14ac:dyDescent="0.25">
      <c r="A5575" s="8"/>
    </row>
    <row r="5576" spans="1:1" ht="13.8" x14ac:dyDescent="0.25">
      <c r="A5576" s="8"/>
    </row>
    <row r="5577" spans="1:1" ht="13.8" x14ac:dyDescent="0.25">
      <c r="A5577" s="8"/>
    </row>
    <row r="5578" spans="1:1" ht="13.8" x14ac:dyDescent="0.25">
      <c r="A5578" s="8"/>
    </row>
    <row r="5579" spans="1:1" ht="13.8" x14ac:dyDescent="0.25">
      <c r="A5579" s="8"/>
    </row>
    <row r="5580" spans="1:1" ht="13.8" x14ac:dyDescent="0.25">
      <c r="A5580" s="8"/>
    </row>
    <row r="5581" spans="1:1" ht="13.8" x14ac:dyDescent="0.25">
      <c r="A5581" s="8"/>
    </row>
    <row r="5582" spans="1:1" ht="13.8" x14ac:dyDescent="0.25">
      <c r="A5582" s="8"/>
    </row>
    <row r="5583" spans="1:1" ht="13.8" x14ac:dyDescent="0.25">
      <c r="A5583" s="8"/>
    </row>
    <row r="5584" spans="1:1" ht="13.8" x14ac:dyDescent="0.25">
      <c r="A5584" s="8"/>
    </row>
    <row r="5585" spans="1:1" ht="13.8" x14ac:dyDescent="0.25">
      <c r="A5585" s="8"/>
    </row>
    <row r="5586" spans="1:1" ht="13.8" x14ac:dyDescent="0.25">
      <c r="A5586" s="8"/>
    </row>
    <row r="5587" spans="1:1" ht="13.8" x14ac:dyDescent="0.25">
      <c r="A5587" s="8"/>
    </row>
    <row r="5588" spans="1:1" ht="13.8" x14ac:dyDescent="0.25">
      <c r="A5588" s="8"/>
    </row>
    <row r="5589" spans="1:1" ht="13.8" x14ac:dyDescent="0.25">
      <c r="A5589" s="8"/>
    </row>
    <row r="5590" spans="1:1" ht="13.8" x14ac:dyDescent="0.25">
      <c r="A5590" s="8"/>
    </row>
    <row r="5591" spans="1:1" ht="13.8" x14ac:dyDescent="0.25">
      <c r="A5591" s="8"/>
    </row>
    <row r="5592" spans="1:1" ht="13.8" x14ac:dyDescent="0.25">
      <c r="A5592" s="8"/>
    </row>
    <row r="5593" spans="1:1" ht="13.8" x14ac:dyDescent="0.25">
      <c r="A5593" s="8"/>
    </row>
    <row r="5594" spans="1:1" ht="13.8" x14ac:dyDescent="0.25">
      <c r="A5594" s="8"/>
    </row>
    <row r="5595" spans="1:1" ht="13.8" x14ac:dyDescent="0.25">
      <c r="A5595" s="8"/>
    </row>
    <row r="5596" spans="1:1" ht="13.8" x14ac:dyDescent="0.25">
      <c r="A5596" s="8"/>
    </row>
    <row r="5597" spans="1:1" ht="13.8" x14ac:dyDescent="0.25">
      <c r="A5597" s="8"/>
    </row>
    <row r="5598" spans="1:1" ht="13.8" x14ac:dyDescent="0.25">
      <c r="A5598" s="8"/>
    </row>
    <row r="5599" spans="1:1" ht="13.8" x14ac:dyDescent="0.25">
      <c r="A5599" s="8"/>
    </row>
    <row r="5600" spans="1:1" ht="13.8" x14ac:dyDescent="0.25">
      <c r="A5600" s="8"/>
    </row>
    <row r="5601" spans="1:1" ht="13.8" x14ac:dyDescent="0.25">
      <c r="A5601" s="8"/>
    </row>
    <row r="5602" spans="1:1" ht="13.8" x14ac:dyDescent="0.25">
      <c r="A5602" s="8"/>
    </row>
    <row r="5603" spans="1:1" ht="13.8" x14ac:dyDescent="0.25">
      <c r="A5603" s="8"/>
    </row>
    <row r="5604" spans="1:1" ht="13.8" x14ac:dyDescent="0.25">
      <c r="A5604" s="8"/>
    </row>
    <row r="5605" spans="1:1" ht="13.8" x14ac:dyDescent="0.25">
      <c r="A5605" s="8"/>
    </row>
    <row r="5606" spans="1:1" ht="13.8" x14ac:dyDescent="0.25">
      <c r="A5606" s="8"/>
    </row>
    <row r="5607" spans="1:1" ht="13.8" x14ac:dyDescent="0.25">
      <c r="A5607" s="8"/>
    </row>
    <row r="5608" spans="1:1" ht="13.8" x14ac:dyDescent="0.25">
      <c r="A5608" s="8"/>
    </row>
    <row r="5609" spans="1:1" ht="13.8" x14ac:dyDescent="0.25">
      <c r="A5609" s="8"/>
    </row>
    <row r="5610" spans="1:1" ht="13.8" x14ac:dyDescent="0.25">
      <c r="A5610" s="8"/>
    </row>
    <row r="5611" spans="1:1" ht="13.8" x14ac:dyDescent="0.25">
      <c r="A5611" s="8"/>
    </row>
    <row r="5612" spans="1:1" ht="13.8" x14ac:dyDescent="0.25">
      <c r="A5612" s="8"/>
    </row>
    <row r="5613" spans="1:1" ht="13.8" x14ac:dyDescent="0.25">
      <c r="A5613" s="8"/>
    </row>
    <row r="5614" spans="1:1" ht="13.8" x14ac:dyDescent="0.25">
      <c r="A5614" s="8"/>
    </row>
    <row r="5615" spans="1:1" ht="13.8" x14ac:dyDescent="0.25">
      <c r="A5615" s="8"/>
    </row>
    <row r="5616" spans="1:1" ht="13.8" x14ac:dyDescent="0.25">
      <c r="A5616" s="8"/>
    </row>
    <row r="5617" spans="1:1" ht="13.8" x14ac:dyDescent="0.25">
      <c r="A5617" s="8"/>
    </row>
    <row r="5618" spans="1:1" ht="13.8" x14ac:dyDescent="0.25">
      <c r="A5618" s="8"/>
    </row>
    <row r="5619" spans="1:1" ht="13.8" x14ac:dyDescent="0.25">
      <c r="A5619" s="8"/>
    </row>
    <row r="5620" spans="1:1" ht="13.8" x14ac:dyDescent="0.25">
      <c r="A5620" s="8"/>
    </row>
    <row r="5621" spans="1:1" ht="13.8" x14ac:dyDescent="0.25">
      <c r="A5621" s="8"/>
    </row>
    <row r="5622" spans="1:1" ht="13.8" x14ac:dyDescent="0.25">
      <c r="A5622" s="8"/>
    </row>
    <row r="5623" spans="1:1" ht="13.8" x14ac:dyDescent="0.25">
      <c r="A5623" s="8"/>
    </row>
    <row r="5624" spans="1:1" ht="13.8" x14ac:dyDescent="0.25">
      <c r="A5624" s="8"/>
    </row>
    <row r="5625" spans="1:1" ht="13.8" x14ac:dyDescent="0.25">
      <c r="A5625" s="8"/>
    </row>
    <row r="5626" spans="1:1" ht="13.8" x14ac:dyDescent="0.25">
      <c r="A5626" s="8"/>
    </row>
    <row r="5627" spans="1:1" ht="13.8" x14ac:dyDescent="0.25">
      <c r="A5627" s="8"/>
    </row>
    <row r="5628" spans="1:1" ht="13.8" x14ac:dyDescent="0.25">
      <c r="A5628" s="8"/>
    </row>
    <row r="5629" spans="1:1" ht="13.8" x14ac:dyDescent="0.25">
      <c r="A5629" s="8"/>
    </row>
    <row r="5630" spans="1:1" ht="13.8" x14ac:dyDescent="0.25">
      <c r="A5630" s="8"/>
    </row>
    <row r="5631" spans="1:1" ht="13.8" x14ac:dyDescent="0.25">
      <c r="A5631" s="8"/>
    </row>
    <row r="5632" spans="1:1" ht="13.8" x14ac:dyDescent="0.25">
      <c r="A5632" s="8"/>
    </row>
    <row r="5633" spans="1:1" ht="13.8" x14ac:dyDescent="0.25">
      <c r="A5633" s="8"/>
    </row>
    <row r="5634" spans="1:1" ht="13.8" x14ac:dyDescent="0.25">
      <c r="A5634" s="8"/>
    </row>
    <row r="5635" spans="1:1" ht="13.8" x14ac:dyDescent="0.25">
      <c r="A5635" s="8"/>
    </row>
    <row r="5636" spans="1:1" ht="13.8" x14ac:dyDescent="0.25">
      <c r="A5636" s="8"/>
    </row>
    <row r="5637" spans="1:1" ht="13.8" x14ac:dyDescent="0.25">
      <c r="A5637" s="8"/>
    </row>
    <row r="5638" spans="1:1" ht="13.8" x14ac:dyDescent="0.25">
      <c r="A5638" s="8"/>
    </row>
    <row r="5639" spans="1:1" ht="13.8" x14ac:dyDescent="0.25">
      <c r="A5639" s="8"/>
    </row>
    <row r="5640" spans="1:1" ht="13.8" x14ac:dyDescent="0.25">
      <c r="A5640" s="8"/>
    </row>
    <row r="5641" spans="1:1" ht="13.8" x14ac:dyDescent="0.25">
      <c r="A5641" s="8"/>
    </row>
    <row r="5642" spans="1:1" ht="13.8" x14ac:dyDescent="0.25">
      <c r="A5642" s="8"/>
    </row>
    <row r="5643" spans="1:1" ht="13.8" x14ac:dyDescent="0.25">
      <c r="A5643" s="8"/>
    </row>
    <row r="5644" spans="1:1" ht="13.8" x14ac:dyDescent="0.25">
      <c r="A5644" s="8"/>
    </row>
    <row r="5645" spans="1:1" ht="13.8" x14ac:dyDescent="0.25">
      <c r="A5645" s="8"/>
    </row>
    <row r="5646" spans="1:1" ht="13.8" x14ac:dyDescent="0.25">
      <c r="A5646" s="8"/>
    </row>
    <row r="5647" spans="1:1" ht="13.8" x14ac:dyDescent="0.25">
      <c r="A5647" s="8"/>
    </row>
    <row r="5648" spans="1:1" ht="13.8" x14ac:dyDescent="0.25">
      <c r="A5648" s="8"/>
    </row>
    <row r="5649" spans="1:1" ht="13.8" x14ac:dyDescent="0.25">
      <c r="A5649" s="8"/>
    </row>
    <row r="5650" spans="1:1" ht="13.8" x14ac:dyDescent="0.25">
      <c r="A5650" s="8"/>
    </row>
    <row r="5651" spans="1:1" ht="13.8" x14ac:dyDescent="0.25">
      <c r="A5651" s="8"/>
    </row>
    <row r="5652" spans="1:1" ht="13.8" x14ac:dyDescent="0.25">
      <c r="A5652" s="8"/>
    </row>
    <row r="5653" spans="1:1" ht="13.8" x14ac:dyDescent="0.25">
      <c r="A5653" s="8"/>
    </row>
    <row r="5654" spans="1:1" ht="13.8" x14ac:dyDescent="0.25">
      <c r="A5654" s="8"/>
    </row>
    <row r="5655" spans="1:1" ht="13.8" x14ac:dyDescent="0.25">
      <c r="A5655" s="8"/>
    </row>
    <row r="5656" spans="1:1" ht="13.8" x14ac:dyDescent="0.25">
      <c r="A5656" s="8"/>
    </row>
    <row r="5657" spans="1:1" ht="13.8" x14ac:dyDescent="0.25">
      <c r="A5657" s="8"/>
    </row>
    <row r="5658" spans="1:1" ht="13.8" x14ac:dyDescent="0.25">
      <c r="A5658" s="8"/>
    </row>
    <row r="5659" spans="1:1" ht="13.8" x14ac:dyDescent="0.25">
      <c r="A5659" s="8"/>
    </row>
    <row r="5660" spans="1:1" ht="13.8" x14ac:dyDescent="0.25">
      <c r="A5660" s="8"/>
    </row>
    <row r="5661" spans="1:1" ht="13.8" x14ac:dyDescent="0.25">
      <c r="A5661" s="8"/>
    </row>
    <row r="5662" spans="1:1" ht="13.8" x14ac:dyDescent="0.25">
      <c r="A5662" s="8"/>
    </row>
    <row r="5663" spans="1:1" ht="13.8" x14ac:dyDescent="0.25">
      <c r="A5663" s="8"/>
    </row>
    <row r="5664" spans="1:1" ht="13.8" x14ac:dyDescent="0.25">
      <c r="A5664" s="8"/>
    </row>
    <row r="5665" spans="1:1" ht="13.8" x14ac:dyDescent="0.25">
      <c r="A5665" s="8"/>
    </row>
    <row r="5666" spans="1:1" ht="13.8" x14ac:dyDescent="0.25">
      <c r="A5666" s="8"/>
    </row>
    <row r="5667" spans="1:1" ht="13.8" x14ac:dyDescent="0.25">
      <c r="A5667" s="8"/>
    </row>
    <row r="5668" spans="1:1" ht="13.8" x14ac:dyDescent="0.25">
      <c r="A5668" s="8"/>
    </row>
    <row r="5669" spans="1:1" ht="13.8" x14ac:dyDescent="0.25">
      <c r="A5669" s="8"/>
    </row>
    <row r="5670" spans="1:1" ht="13.8" x14ac:dyDescent="0.25">
      <c r="A5670" s="8"/>
    </row>
    <row r="5671" spans="1:1" ht="13.8" x14ac:dyDescent="0.25">
      <c r="A5671" s="8"/>
    </row>
    <row r="5672" spans="1:1" ht="13.8" x14ac:dyDescent="0.25">
      <c r="A5672" s="8"/>
    </row>
    <row r="5673" spans="1:1" ht="13.8" x14ac:dyDescent="0.25">
      <c r="A5673" s="8"/>
    </row>
    <row r="5674" spans="1:1" ht="13.8" x14ac:dyDescent="0.25">
      <c r="A5674" s="8"/>
    </row>
    <row r="5675" spans="1:1" ht="13.8" x14ac:dyDescent="0.25">
      <c r="A5675" s="8"/>
    </row>
    <row r="5676" spans="1:1" ht="13.8" x14ac:dyDescent="0.25">
      <c r="A5676" s="8"/>
    </row>
    <row r="5677" spans="1:1" ht="13.8" x14ac:dyDescent="0.25">
      <c r="A5677" s="8"/>
    </row>
    <row r="5678" spans="1:1" ht="13.8" x14ac:dyDescent="0.25">
      <c r="A5678" s="8"/>
    </row>
    <row r="5679" spans="1:1" ht="13.8" x14ac:dyDescent="0.25">
      <c r="A5679" s="8"/>
    </row>
    <row r="5680" spans="1:1" ht="13.8" x14ac:dyDescent="0.25">
      <c r="A5680" s="8"/>
    </row>
    <row r="5681" spans="1:1" ht="13.8" x14ac:dyDescent="0.25">
      <c r="A5681" s="8"/>
    </row>
    <row r="5682" spans="1:1" ht="13.8" x14ac:dyDescent="0.25">
      <c r="A5682" s="8"/>
    </row>
    <row r="5683" spans="1:1" ht="13.8" x14ac:dyDescent="0.25">
      <c r="A5683" s="8"/>
    </row>
    <row r="5684" spans="1:1" ht="13.8" x14ac:dyDescent="0.25">
      <c r="A5684" s="8"/>
    </row>
    <row r="5685" spans="1:1" ht="13.8" x14ac:dyDescent="0.25">
      <c r="A5685" s="8"/>
    </row>
    <row r="5686" spans="1:1" ht="13.8" x14ac:dyDescent="0.25">
      <c r="A5686" s="8"/>
    </row>
    <row r="5687" spans="1:1" ht="13.8" x14ac:dyDescent="0.25">
      <c r="A5687" s="8"/>
    </row>
    <row r="5688" spans="1:1" ht="13.8" x14ac:dyDescent="0.25">
      <c r="A5688" s="8"/>
    </row>
    <row r="5689" spans="1:1" ht="13.8" x14ac:dyDescent="0.25">
      <c r="A5689" s="8"/>
    </row>
    <row r="5690" spans="1:1" ht="13.8" x14ac:dyDescent="0.25">
      <c r="A5690" s="8"/>
    </row>
    <row r="5691" spans="1:1" ht="13.8" x14ac:dyDescent="0.25">
      <c r="A5691" s="8"/>
    </row>
    <row r="5692" spans="1:1" ht="13.8" x14ac:dyDescent="0.25">
      <c r="A5692" s="8"/>
    </row>
    <row r="5693" spans="1:1" ht="13.8" x14ac:dyDescent="0.25">
      <c r="A5693" s="8"/>
    </row>
    <row r="5694" spans="1:1" ht="13.8" x14ac:dyDescent="0.25">
      <c r="A5694" s="8"/>
    </row>
    <row r="5695" spans="1:1" ht="13.8" x14ac:dyDescent="0.25">
      <c r="A5695" s="8"/>
    </row>
    <row r="5696" spans="1:1" ht="13.8" x14ac:dyDescent="0.25">
      <c r="A5696" s="8"/>
    </row>
    <row r="5697" spans="1:1" ht="13.8" x14ac:dyDescent="0.25">
      <c r="A5697" s="8"/>
    </row>
    <row r="5698" spans="1:1" ht="13.8" x14ac:dyDescent="0.25">
      <c r="A5698" s="8"/>
    </row>
    <row r="5699" spans="1:1" ht="13.8" x14ac:dyDescent="0.25">
      <c r="A5699" s="8"/>
    </row>
    <row r="5700" spans="1:1" ht="13.8" x14ac:dyDescent="0.25">
      <c r="A5700" s="8"/>
    </row>
    <row r="5701" spans="1:1" ht="13.8" x14ac:dyDescent="0.25">
      <c r="A5701" s="8"/>
    </row>
    <row r="5702" spans="1:1" ht="13.8" x14ac:dyDescent="0.25">
      <c r="A5702" s="8"/>
    </row>
    <row r="5703" spans="1:1" ht="13.8" x14ac:dyDescent="0.25">
      <c r="A5703" s="8"/>
    </row>
    <row r="5704" spans="1:1" ht="13.8" x14ac:dyDescent="0.25">
      <c r="A5704" s="8"/>
    </row>
    <row r="5705" spans="1:1" ht="13.8" x14ac:dyDescent="0.25">
      <c r="A5705" s="8"/>
    </row>
    <row r="5706" spans="1:1" ht="13.8" x14ac:dyDescent="0.25">
      <c r="A5706" s="8"/>
    </row>
    <row r="5707" spans="1:1" ht="13.8" x14ac:dyDescent="0.25">
      <c r="A5707" s="8"/>
    </row>
    <row r="5708" spans="1:1" ht="13.8" x14ac:dyDescent="0.25">
      <c r="A5708" s="8"/>
    </row>
    <row r="5709" spans="1:1" ht="13.8" x14ac:dyDescent="0.25">
      <c r="A5709" s="8"/>
    </row>
    <row r="5710" spans="1:1" ht="13.8" x14ac:dyDescent="0.25">
      <c r="A5710" s="8"/>
    </row>
    <row r="5711" spans="1:1" ht="13.8" x14ac:dyDescent="0.25">
      <c r="A5711" s="8"/>
    </row>
    <row r="5712" spans="1:1" ht="13.8" x14ac:dyDescent="0.25">
      <c r="A5712" s="8"/>
    </row>
    <row r="5713" spans="1:1" ht="13.8" x14ac:dyDescent="0.25">
      <c r="A5713" s="8"/>
    </row>
    <row r="5714" spans="1:1" ht="13.8" x14ac:dyDescent="0.25">
      <c r="A5714" s="8"/>
    </row>
    <row r="5715" spans="1:1" ht="13.8" x14ac:dyDescent="0.25">
      <c r="A5715" s="8"/>
    </row>
    <row r="5716" spans="1:1" ht="13.8" x14ac:dyDescent="0.25">
      <c r="A5716" s="8"/>
    </row>
    <row r="5717" spans="1:1" ht="13.8" x14ac:dyDescent="0.25">
      <c r="A5717" s="8"/>
    </row>
    <row r="5718" spans="1:1" ht="13.8" x14ac:dyDescent="0.25">
      <c r="A5718" s="8"/>
    </row>
    <row r="5719" spans="1:1" ht="13.8" x14ac:dyDescent="0.25">
      <c r="A5719" s="8"/>
    </row>
    <row r="5720" spans="1:1" ht="13.8" x14ac:dyDescent="0.25">
      <c r="A5720" s="8"/>
    </row>
    <row r="5721" spans="1:1" ht="13.8" x14ac:dyDescent="0.25">
      <c r="A5721" s="8"/>
    </row>
    <row r="5722" spans="1:1" ht="13.8" x14ac:dyDescent="0.25">
      <c r="A5722" s="8"/>
    </row>
    <row r="5723" spans="1:1" ht="13.8" x14ac:dyDescent="0.25">
      <c r="A5723" s="8"/>
    </row>
    <row r="5724" spans="1:1" ht="13.8" x14ac:dyDescent="0.25">
      <c r="A5724" s="8"/>
    </row>
    <row r="5725" spans="1:1" ht="13.8" x14ac:dyDescent="0.25">
      <c r="A5725" s="8"/>
    </row>
    <row r="5726" spans="1:1" ht="13.8" x14ac:dyDescent="0.25">
      <c r="A5726" s="8"/>
    </row>
    <row r="5727" spans="1:1" ht="13.8" x14ac:dyDescent="0.25">
      <c r="A5727" s="8"/>
    </row>
    <row r="5728" spans="1:1" ht="13.8" x14ac:dyDescent="0.25">
      <c r="A5728" s="8"/>
    </row>
    <row r="5729" spans="1:1" ht="13.8" x14ac:dyDescent="0.25">
      <c r="A5729" s="8"/>
    </row>
    <row r="5730" spans="1:1" ht="13.8" x14ac:dyDescent="0.25">
      <c r="A5730" s="8"/>
    </row>
    <row r="5731" spans="1:1" ht="13.8" x14ac:dyDescent="0.25">
      <c r="A5731" s="8"/>
    </row>
    <row r="5732" spans="1:1" ht="13.8" x14ac:dyDescent="0.25">
      <c r="A5732" s="8"/>
    </row>
    <row r="5733" spans="1:1" ht="13.8" x14ac:dyDescent="0.25">
      <c r="A5733" s="8"/>
    </row>
    <row r="5734" spans="1:1" ht="13.8" x14ac:dyDescent="0.25">
      <c r="A5734" s="8"/>
    </row>
    <row r="5735" spans="1:1" ht="13.8" x14ac:dyDescent="0.25">
      <c r="A5735" s="8"/>
    </row>
    <row r="5736" spans="1:1" ht="13.8" x14ac:dyDescent="0.25">
      <c r="A5736" s="8"/>
    </row>
    <row r="5737" spans="1:1" ht="13.8" x14ac:dyDescent="0.25">
      <c r="A5737" s="8"/>
    </row>
    <row r="5738" spans="1:1" ht="13.8" x14ac:dyDescent="0.25">
      <c r="A5738" s="8"/>
    </row>
    <row r="5739" spans="1:1" ht="13.8" x14ac:dyDescent="0.25">
      <c r="A5739" s="8"/>
    </row>
    <row r="5740" spans="1:1" ht="13.8" x14ac:dyDescent="0.25">
      <c r="A5740" s="8"/>
    </row>
    <row r="5741" spans="1:1" ht="13.8" x14ac:dyDescent="0.25">
      <c r="A5741" s="8"/>
    </row>
    <row r="5742" spans="1:1" ht="13.8" x14ac:dyDescent="0.25">
      <c r="A5742" s="8"/>
    </row>
    <row r="5743" spans="1:1" ht="13.8" x14ac:dyDescent="0.25">
      <c r="A5743" s="8"/>
    </row>
    <row r="5744" spans="1:1" ht="13.8" x14ac:dyDescent="0.25">
      <c r="A5744" s="8"/>
    </row>
    <row r="5745" spans="1:1" ht="13.8" x14ac:dyDescent="0.25">
      <c r="A5745" s="8"/>
    </row>
    <row r="5746" spans="1:1" ht="13.8" x14ac:dyDescent="0.25">
      <c r="A5746" s="8"/>
    </row>
    <row r="5747" spans="1:1" ht="13.8" x14ac:dyDescent="0.25">
      <c r="A5747" s="8"/>
    </row>
    <row r="5748" spans="1:1" ht="13.8" x14ac:dyDescent="0.25">
      <c r="A5748" s="8"/>
    </row>
    <row r="5749" spans="1:1" ht="13.8" x14ac:dyDescent="0.25">
      <c r="A5749" s="8"/>
    </row>
    <row r="5750" spans="1:1" ht="13.8" x14ac:dyDescent="0.25">
      <c r="A5750" s="8"/>
    </row>
    <row r="5751" spans="1:1" ht="13.8" x14ac:dyDescent="0.25">
      <c r="A5751" s="8"/>
    </row>
    <row r="5752" spans="1:1" ht="13.8" x14ac:dyDescent="0.25">
      <c r="A5752" s="8"/>
    </row>
    <row r="5753" spans="1:1" ht="13.8" x14ac:dyDescent="0.25">
      <c r="A5753" s="8"/>
    </row>
    <row r="5754" spans="1:1" ht="13.8" x14ac:dyDescent="0.25">
      <c r="A5754" s="8"/>
    </row>
    <row r="5755" spans="1:1" ht="13.8" x14ac:dyDescent="0.25">
      <c r="A5755" s="8"/>
    </row>
    <row r="5756" spans="1:1" ht="13.8" x14ac:dyDescent="0.25">
      <c r="A5756" s="8"/>
    </row>
    <row r="5757" spans="1:1" ht="13.8" x14ac:dyDescent="0.25">
      <c r="A5757" s="8"/>
    </row>
    <row r="5758" spans="1:1" ht="13.8" x14ac:dyDescent="0.25">
      <c r="A5758" s="8"/>
    </row>
    <row r="5759" spans="1:1" ht="13.8" x14ac:dyDescent="0.25">
      <c r="A5759" s="8"/>
    </row>
    <row r="5760" spans="1:1" ht="13.8" x14ac:dyDescent="0.25">
      <c r="A5760" s="8"/>
    </row>
    <row r="5761" spans="1:1" ht="13.8" x14ac:dyDescent="0.25">
      <c r="A5761" s="8"/>
    </row>
    <row r="5762" spans="1:1" ht="13.8" x14ac:dyDescent="0.25">
      <c r="A5762" s="8"/>
    </row>
    <row r="5763" spans="1:1" ht="13.8" x14ac:dyDescent="0.25">
      <c r="A5763" s="8"/>
    </row>
    <row r="5764" spans="1:1" ht="13.8" x14ac:dyDescent="0.25">
      <c r="A5764" s="8"/>
    </row>
    <row r="5765" spans="1:1" ht="13.8" x14ac:dyDescent="0.25">
      <c r="A5765" s="8"/>
    </row>
    <row r="5766" spans="1:1" ht="13.8" x14ac:dyDescent="0.25">
      <c r="A5766" s="8"/>
    </row>
    <row r="5767" spans="1:1" ht="13.8" x14ac:dyDescent="0.25">
      <c r="A5767" s="8"/>
    </row>
    <row r="5768" spans="1:1" ht="13.8" x14ac:dyDescent="0.25">
      <c r="A5768" s="8"/>
    </row>
    <row r="5769" spans="1:1" ht="13.8" x14ac:dyDescent="0.25">
      <c r="A5769" s="8"/>
    </row>
    <row r="5770" spans="1:1" ht="13.8" x14ac:dyDescent="0.25">
      <c r="A5770" s="8"/>
    </row>
    <row r="5771" spans="1:1" ht="13.8" x14ac:dyDescent="0.25">
      <c r="A5771" s="8"/>
    </row>
    <row r="5772" spans="1:1" ht="13.8" x14ac:dyDescent="0.25">
      <c r="A5772" s="8"/>
    </row>
    <row r="5773" spans="1:1" ht="13.8" x14ac:dyDescent="0.25">
      <c r="A5773" s="8"/>
    </row>
    <row r="5774" spans="1:1" ht="13.8" x14ac:dyDescent="0.25">
      <c r="A5774" s="8"/>
    </row>
    <row r="5775" spans="1:1" ht="13.8" x14ac:dyDescent="0.25">
      <c r="A5775" s="8"/>
    </row>
    <row r="5776" spans="1:1" ht="13.8" x14ac:dyDescent="0.25">
      <c r="A5776" s="8"/>
    </row>
    <row r="5777" spans="1:1" ht="13.8" x14ac:dyDescent="0.25">
      <c r="A5777" s="8"/>
    </row>
    <row r="5778" spans="1:1" ht="13.8" x14ac:dyDescent="0.25">
      <c r="A5778" s="8"/>
    </row>
    <row r="5779" spans="1:1" ht="13.8" x14ac:dyDescent="0.25">
      <c r="A5779" s="8"/>
    </row>
    <row r="5780" spans="1:1" ht="13.8" x14ac:dyDescent="0.25">
      <c r="A5780" s="8"/>
    </row>
    <row r="5781" spans="1:1" ht="13.8" x14ac:dyDescent="0.25">
      <c r="A5781" s="8"/>
    </row>
    <row r="5782" spans="1:1" ht="13.8" x14ac:dyDescent="0.25">
      <c r="A5782" s="8"/>
    </row>
    <row r="5783" spans="1:1" ht="13.8" x14ac:dyDescent="0.25">
      <c r="A5783" s="8"/>
    </row>
    <row r="5784" spans="1:1" ht="13.8" x14ac:dyDescent="0.25">
      <c r="A5784" s="8"/>
    </row>
    <row r="5785" spans="1:1" ht="13.8" x14ac:dyDescent="0.25">
      <c r="A5785" s="8"/>
    </row>
    <row r="5786" spans="1:1" ht="13.8" x14ac:dyDescent="0.25">
      <c r="A5786" s="8"/>
    </row>
    <row r="5787" spans="1:1" ht="13.8" x14ac:dyDescent="0.25">
      <c r="A5787" s="8"/>
    </row>
    <row r="5788" spans="1:1" ht="13.8" x14ac:dyDescent="0.25">
      <c r="A5788" s="8"/>
    </row>
    <row r="5789" spans="1:1" ht="13.8" x14ac:dyDescent="0.25">
      <c r="A5789" s="8"/>
    </row>
    <row r="5790" spans="1:1" ht="13.8" x14ac:dyDescent="0.25">
      <c r="A5790" s="8"/>
    </row>
    <row r="5791" spans="1:1" ht="13.8" x14ac:dyDescent="0.25">
      <c r="A5791" s="8"/>
    </row>
    <row r="5792" spans="1:1" ht="13.8" x14ac:dyDescent="0.25">
      <c r="A5792" s="8"/>
    </row>
    <row r="5793" spans="1:1" ht="13.8" x14ac:dyDescent="0.25">
      <c r="A5793" s="8"/>
    </row>
    <row r="5794" spans="1:1" ht="13.8" x14ac:dyDescent="0.25">
      <c r="A5794" s="8"/>
    </row>
    <row r="5795" spans="1:1" ht="13.8" x14ac:dyDescent="0.25">
      <c r="A5795" s="8"/>
    </row>
    <row r="5796" spans="1:1" ht="13.8" x14ac:dyDescent="0.25">
      <c r="A5796" s="8"/>
    </row>
    <row r="5797" spans="1:1" ht="13.8" x14ac:dyDescent="0.25">
      <c r="A5797" s="8"/>
    </row>
    <row r="5798" spans="1:1" ht="13.8" x14ac:dyDescent="0.25">
      <c r="A5798" s="8"/>
    </row>
    <row r="5799" spans="1:1" ht="13.8" x14ac:dyDescent="0.25">
      <c r="A5799" s="8"/>
    </row>
    <row r="5800" spans="1:1" ht="13.8" x14ac:dyDescent="0.25">
      <c r="A5800" s="8"/>
    </row>
    <row r="5801" spans="1:1" ht="13.8" x14ac:dyDescent="0.25">
      <c r="A5801" s="8"/>
    </row>
    <row r="5802" spans="1:1" ht="13.8" x14ac:dyDescent="0.25">
      <c r="A5802" s="8"/>
    </row>
    <row r="5803" spans="1:1" ht="13.8" x14ac:dyDescent="0.25">
      <c r="A5803" s="8"/>
    </row>
    <row r="5804" spans="1:1" ht="13.8" x14ac:dyDescent="0.25">
      <c r="A5804" s="8"/>
    </row>
    <row r="5805" spans="1:1" ht="13.8" x14ac:dyDescent="0.25">
      <c r="A5805" s="8"/>
    </row>
    <row r="5806" spans="1:1" ht="13.8" x14ac:dyDescent="0.25">
      <c r="A5806" s="8"/>
    </row>
    <row r="5807" spans="1:1" ht="13.8" x14ac:dyDescent="0.25">
      <c r="A5807" s="8"/>
    </row>
    <row r="5808" spans="1:1" ht="13.8" x14ac:dyDescent="0.25">
      <c r="A5808" s="8"/>
    </row>
    <row r="5809" spans="1:1" ht="13.8" x14ac:dyDescent="0.25">
      <c r="A5809" s="8"/>
    </row>
    <row r="5810" spans="1:1" ht="13.8" x14ac:dyDescent="0.25">
      <c r="A5810" s="8"/>
    </row>
    <row r="5811" spans="1:1" ht="13.8" x14ac:dyDescent="0.25">
      <c r="A5811" s="8"/>
    </row>
    <row r="5812" spans="1:1" ht="13.8" x14ac:dyDescent="0.25">
      <c r="A5812" s="8"/>
    </row>
    <row r="5813" spans="1:1" ht="13.8" x14ac:dyDescent="0.25">
      <c r="A5813" s="8"/>
    </row>
    <row r="5814" spans="1:1" ht="13.8" x14ac:dyDescent="0.25">
      <c r="A5814" s="8"/>
    </row>
    <row r="5815" spans="1:1" ht="13.8" x14ac:dyDescent="0.25">
      <c r="A5815" s="8"/>
    </row>
    <row r="5816" spans="1:1" ht="13.8" x14ac:dyDescent="0.25">
      <c r="A5816" s="8"/>
    </row>
    <row r="5817" spans="1:1" ht="13.8" x14ac:dyDescent="0.25">
      <c r="A5817" s="8"/>
    </row>
    <row r="5818" spans="1:1" ht="13.8" x14ac:dyDescent="0.25">
      <c r="A5818" s="8"/>
    </row>
    <row r="5819" spans="1:1" ht="13.8" x14ac:dyDescent="0.25">
      <c r="A5819" s="8"/>
    </row>
    <row r="5820" spans="1:1" ht="13.8" x14ac:dyDescent="0.25">
      <c r="A5820" s="8"/>
    </row>
    <row r="5821" spans="1:1" ht="13.8" x14ac:dyDescent="0.25">
      <c r="A5821" s="8"/>
    </row>
    <row r="5822" spans="1:1" ht="13.8" x14ac:dyDescent="0.25">
      <c r="A5822" s="8"/>
    </row>
    <row r="5823" spans="1:1" ht="13.8" x14ac:dyDescent="0.25">
      <c r="A5823" s="8"/>
    </row>
    <row r="5824" spans="1:1" ht="13.8" x14ac:dyDescent="0.25">
      <c r="A5824" s="8"/>
    </row>
    <row r="5825" spans="1:1" ht="13.8" x14ac:dyDescent="0.25">
      <c r="A5825" s="8"/>
    </row>
    <row r="5826" spans="1:1" ht="13.8" x14ac:dyDescent="0.25">
      <c r="A5826" s="8"/>
    </row>
    <row r="5827" spans="1:1" ht="13.8" x14ac:dyDescent="0.25">
      <c r="A5827" s="8"/>
    </row>
    <row r="5828" spans="1:1" ht="13.8" x14ac:dyDescent="0.25">
      <c r="A5828" s="8"/>
    </row>
    <row r="5829" spans="1:1" ht="13.8" x14ac:dyDescent="0.25">
      <c r="A5829" s="8"/>
    </row>
    <row r="5830" spans="1:1" ht="13.8" x14ac:dyDescent="0.25">
      <c r="A5830" s="8"/>
    </row>
    <row r="5831" spans="1:1" ht="13.8" x14ac:dyDescent="0.25">
      <c r="A5831" s="8"/>
    </row>
    <row r="5832" spans="1:1" ht="13.8" x14ac:dyDescent="0.25">
      <c r="A5832" s="8"/>
    </row>
    <row r="5833" spans="1:1" ht="13.8" x14ac:dyDescent="0.25">
      <c r="A5833" s="8"/>
    </row>
    <row r="5834" spans="1:1" ht="13.8" x14ac:dyDescent="0.25">
      <c r="A5834" s="8"/>
    </row>
    <row r="5835" spans="1:1" ht="13.8" x14ac:dyDescent="0.25">
      <c r="A5835" s="8"/>
    </row>
    <row r="5836" spans="1:1" ht="13.8" x14ac:dyDescent="0.25">
      <c r="A5836" s="8"/>
    </row>
    <row r="5837" spans="1:1" ht="13.8" x14ac:dyDescent="0.25">
      <c r="A5837" s="8"/>
    </row>
    <row r="5838" spans="1:1" ht="13.8" x14ac:dyDescent="0.25">
      <c r="A5838" s="8"/>
    </row>
    <row r="5839" spans="1:1" ht="13.8" x14ac:dyDescent="0.25">
      <c r="A5839" s="8"/>
    </row>
    <row r="5840" spans="1:1" ht="13.8" x14ac:dyDescent="0.25">
      <c r="A5840" s="8"/>
    </row>
    <row r="5841" spans="1:1" ht="13.8" x14ac:dyDescent="0.25">
      <c r="A5841" s="8"/>
    </row>
    <row r="5842" spans="1:1" ht="13.8" x14ac:dyDescent="0.25">
      <c r="A5842" s="8"/>
    </row>
    <row r="5843" spans="1:1" ht="13.8" x14ac:dyDescent="0.25">
      <c r="A5843" s="8"/>
    </row>
    <row r="5844" spans="1:1" ht="13.8" x14ac:dyDescent="0.25">
      <c r="A5844" s="8"/>
    </row>
    <row r="5845" spans="1:1" ht="13.8" x14ac:dyDescent="0.25">
      <c r="A5845" s="8"/>
    </row>
    <row r="5846" spans="1:1" ht="13.8" x14ac:dyDescent="0.25">
      <c r="A5846" s="8"/>
    </row>
    <row r="5847" spans="1:1" ht="13.8" x14ac:dyDescent="0.25">
      <c r="A5847" s="8"/>
    </row>
    <row r="5848" spans="1:1" ht="13.8" x14ac:dyDescent="0.25">
      <c r="A5848" s="8"/>
    </row>
    <row r="5849" spans="1:1" ht="13.8" x14ac:dyDescent="0.25">
      <c r="A5849" s="8"/>
    </row>
    <row r="5850" spans="1:1" ht="13.8" x14ac:dyDescent="0.25">
      <c r="A5850" s="8"/>
    </row>
    <row r="5851" spans="1:1" ht="13.8" x14ac:dyDescent="0.25">
      <c r="A5851" s="8"/>
    </row>
    <row r="5852" spans="1:1" ht="13.8" x14ac:dyDescent="0.25">
      <c r="A5852" s="8"/>
    </row>
    <row r="5853" spans="1:1" ht="13.8" x14ac:dyDescent="0.25">
      <c r="A5853" s="8"/>
    </row>
    <row r="5854" spans="1:1" ht="13.8" x14ac:dyDescent="0.25">
      <c r="A5854" s="8"/>
    </row>
    <row r="5855" spans="1:1" ht="13.8" x14ac:dyDescent="0.25">
      <c r="A5855" s="8"/>
    </row>
    <row r="5856" spans="1:1" ht="13.8" x14ac:dyDescent="0.25">
      <c r="A5856" s="8"/>
    </row>
    <row r="5857" spans="1:1" ht="13.8" x14ac:dyDescent="0.25">
      <c r="A5857" s="8"/>
    </row>
    <row r="5858" spans="1:1" ht="13.8" x14ac:dyDescent="0.25">
      <c r="A5858" s="8"/>
    </row>
    <row r="5859" spans="1:1" ht="13.8" x14ac:dyDescent="0.25">
      <c r="A5859" s="8"/>
    </row>
    <row r="5860" spans="1:1" ht="13.8" x14ac:dyDescent="0.25">
      <c r="A5860" s="8"/>
    </row>
    <row r="5861" spans="1:1" ht="13.8" x14ac:dyDescent="0.25">
      <c r="A5861" s="8"/>
    </row>
    <row r="5862" spans="1:1" ht="13.8" x14ac:dyDescent="0.25">
      <c r="A5862" s="8"/>
    </row>
    <row r="5863" spans="1:1" ht="13.8" x14ac:dyDescent="0.25">
      <c r="A5863" s="8"/>
    </row>
    <row r="5864" spans="1:1" ht="13.8" x14ac:dyDescent="0.25">
      <c r="A5864" s="8"/>
    </row>
    <row r="5865" spans="1:1" ht="13.8" x14ac:dyDescent="0.25">
      <c r="A5865" s="8"/>
    </row>
    <row r="5866" spans="1:1" ht="13.8" x14ac:dyDescent="0.25">
      <c r="A5866" s="8"/>
    </row>
    <row r="5867" spans="1:1" ht="13.8" x14ac:dyDescent="0.25">
      <c r="A5867" s="8"/>
    </row>
    <row r="5868" spans="1:1" ht="13.8" x14ac:dyDescent="0.25">
      <c r="A5868" s="8"/>
    </row>
    <row r="5869" spans="1:1" ht="13.8" x14ac:dyDescent="0.25">
      <c r="A5869" s="8"/>
    </row>
    <row r="5870" spans="1:1" ht="13.8" x14ac:dyDescent="0.25">
      <c r="A5870" s="8"/>
    </row>
    <row r="5871" spans="1:1" ht="13.8" x14ac:dyDescent="0.25">
      <c r="A5871" s="8"/>
    </row>
    <row r="5872" spans="1:1" ht="13.8" x14ac:dyDescent="0.25">
      <c r="A5872" s="8"/>
    </row>
    <row r="5873" spans="1:1" ht="13.8" x14ac:dyDescent="0.25">
      <c r="A5873" s="8"/>
    </row>
    <row r="5874" spans="1:1" ht="13.8" x14ac:dyDescent="0.25">
      <c r="A5874" s="8"/>
    </row>
    <row r="5875" spans="1:1" ht="13.8" x14ac:dyDescent="0.25">
      <c r="A5875" s="8"/>
    </row>
    <row r="5876" spans="1:1" ht="13.8" x14ac:dyDescent="0.25">
      <c r="A5876" s="8"/>
    </row>
    <row r="5877" spans="1:1" ht="13.8" x14ac:dyDescent="0.25">
      <c r="A5877" s="8"/>
    </row>
    <row r="5878" spans="1:1" ht="13.8" x14ac:dyDescent="0.25">
      <c r="A5878" s="8"/>
    </row>
    <row r="5879" spans="1:1" ht="13.8" x14ac:dyDescent="0.25">
      <c r="A5879" s="8"/>
    </row>
    <row r="5880" spans="1:1" ht="13.8" x14ac:dyDescent="0.25">
      <c r="A5880" s="8"/>
    </row>
    <row r="5881" spans="1:1" ht="13.8" x14ac:dyDescent="0.25">
      <c r="A5881" s="8"/>
    </row>
    <row r="5882" spans="1:1" ht="13.8" x14ac:dyDescent="0.25">
      <c r="A5882" s="8"/>
    </row>
    <row r="5883" spans="1:1" ht="13.8" x14ac:dyDescent="0.25">
      <c r="A5883" s="8"/>
    </row>
    <row r="5884" spans="1:1" ht="13.8" x14ac:dyDescent="0.25">
      <c r="A5884" s="8"/>
    </row>
    <row r="5885" spans="1:1" ht="13.8" x14ac:dyDescent="0.25">
      <c r="A5885" s="8"/>
    </row>
    <row r="5886" spans="1:1" ht="13.8" x14ac:dyDescent="0.25">
      <c r="A5886" s="8"/>
    </row>
    <row r="5887" spans="1:1" ht="13.8" x14ac:dyDescent="0.25">
      <c r="A5887" s="8"/>
    </row>
    <row r="5888" spans="1:1" ht="13.8" x14ac:dyDescent="0.25">
      <c r="A5888" s="8"/>
    </row>
    <row r="5889" spans="1:1" ht="13.8" x14ac:dyDescent="0.25">
      <c r="A5889" s="8"/>
    </row>
    <row r="5890" spans="1:1" ht="13.8" x14ac:dyDescent="0.25">
      <c r="A5890" s="8"/>
    </row>
    <row r="5891" spans="1:1" ht="13.8" x14ac:dyDescent="0.25">
      <c r="A5891" s="8"/>
    </row>
    <row r="5892" spans="1:1" ht="13.8" x14ac:dyDescent="0.25">
      <c r="A5892" s="8"/>
    </row>
    <row r="5893" spans="1:1" ht="13.8" x14ac:dyDescent="0.25">
      <c r="A5893" s="8"/>
    </row>
    <row r="5894" spans="1:1" ht="13.8" x14ac:dyDescent="0.25">
      <c r="A5894" s="8"/>
    </row>
    <row r="5895" spans="1:1" ht="13.8" x14ac:dyDescent="0.25">
      <c r="A5895" s="8"/>
    </row>
    <row r="5896" spans="1:1" ht="13.8" x14ac:dyDescent="0.25">
      <c r="A5896" s="8"/>
    </row>
    <row r="5897" spans="1:1" ht="13.8" x14ac:dyDescent="0.25">
      <c r="A5897" s="8"/>
    </row>
    <row r="5898" spans="1:1" ht="13.8" x14ac:dyDescent="0.25">
      <c r="A5898" s="8"/>
    </row>
    <row r="5899" spans="1:1" ht="13.8" x14ac:dyDescent="0.25">
      <c r="A5899" s="8"/>
    </row>
    <row r="5900" spans="1:1" ht="13.8" x14ac:dyDescent="0.25">
      <c r="A5900" s="8"/>
    </row>
    <row r="5901" spans="1:1" ht="13.8" x14ac:dyDescent="0.25">
      <c r="A5901" s="8"/>
    </row>
    <row r="5902" spans="1:1" ht="13.8" x14ac:dyDescent="0.25">
      <c r="A5902" s="8"/>
    </row>
    <row r="5903" spans="1:1" ht="13.8" x14ac:dyDescent="0.25">
      <c r="A5903" s="8"/>
    </row>
    <row r="5904" spans="1:1" ht="13.8" x14ac:dyDescent="0.25">
      <c r="A5904" s="8"/>
    </row>
    <row r="5905" spans="1:1" ht="13.8" x14ac:dyDescent="0.25">
      <c r="A5905" s="8"/>
    </row>
    <row r="5906" spans="1:1" ht="13.8" x14ac:dyDescent="0.25">
      <c r="A5906" s="8"/>
    </row>
    <row r="5907" spans="1:1" ht="13.8" x14ac:dyDescent="0.25">
      <c r="A5907" s="8"/>
    </row>
    <row r="5908" spans="1:1" ht="13.8" x14ac:dyDescent="0.25">
      <c r="A5908" s="8"/>
    </row>
    <row r="5909" spans="1:1" ht="13.8" x14ac:dyDescent="0.25">
      <c r="A5909" s="8"/>
    </row>
    <row r="5910" spans="1:1" ht="13.8" x14ac:dyDescent="0.25">
      <c r="A5910" s="8"/>
    </row>
    <row r="5911" spans="1:1" ht="13.8" x14ac:dyDescent="0.25">
      <c r="A5911" s="8"/>
    </row>
    <row r="5912" spans="1:1" ht="13.8" x14ac:dyDescent="0.25">
      <c r="A5912" s="8"/>
    </row>
    <row r="5913" spans="1:1" ht="13.8" x14ac:dyDescent="0.25">
      <c r="A5913" s="8"/>
    </row>
    <row r="5914" spans="1:1" ht="13.8" x14ac:dyDescent="0.25">
      <c r="A5914" s="8"/>
    </row>
    <row r="5915" spans="1:1" ht="13.8" x14ac:dyDescent="0.25">
      <c r="A5915" s="8"/>
    </row>
    <row r="5916" spans="1:1" ht="13.8" x14ac:dyDescent="0.25">
      <c r="A5916" s="8"/>
    </row>
    <row r="5917" spans="1:1" ht="13.8" x14ac:dyDescent="0.25">
      <c r="A5917" s="8"/>
    </row>
    <row r="5918" spans="1:1" ht="13.8" x14ac:dyDescent="0.25">
      <c r="A5918" s="8"/>
    </row>
    <row r="5919" spans="1:1" ht="13.8" x14ac:dyDescent="0.25">
      <c r="A5919" s="8"/>
    </row>
    <row r="5920" spans="1:1" ht="13.8" x14ac:dyDescent="0.25">
      <c r="A5920" s="8"/>
    </row>
    <row r="5921" spans="1:1" ht="13.8" x14ac:dyDescent="0.25">
      <c r="A5921" s="8"/>
    </row>
    <row r="5922" spans="1:1" ht="13.8" x14ac:dyDescent="0.25">
      <c r="A5922" s="8"/>
    </row>
    <row r="5923" spans="1:1" ht="13.8" x14ac:dyDescent="0.25">
      <c r="A5923" s="8"/>
    </row>
    <row r="5924" spans="1:1" ht="13.8" x14ac:dyDescent="0.25">
      <c r="A5924" s="8"/>
    </row>
    <row r="5925" spans="1:1" ht="13.8" x14ac:dyDescent="0.25">
      <c r="A5925" s="8"/>
    </row>
    <row r="5926" spans="1:1" ht="13.8" x14ac:dyDescent="0.25">
      <c r="A5926" s="8"/>
    </row>
    <row r="5927" spans="1:1" ht="13.8" x14ac:dyDescent="0.25">
      <c r="A5927" s="8"/>
    </row>
    <row r="5928" spans="1:1" ht="13.8" x14ac:dyDescent="0.25">
      <c r="A5928" s="8"/>
    </row>
    <row r="5929" spans="1:1" ht="13.8" x14ac:dyDescent="0.25">
      <c r="A5929" s="8"/>
    </row>
    <row r="5930" spans="1:1" ht="13.8" x14ac:dyDescent="0.25">
      <c r="A5930" s="8"/>
    </row>
    <row r="5931" spans="1:1" ht="13.8" x14ac:dyDescent="0.25">
      <c r="A5931" s="8"/>
    </row>
    <row r="5932" spans="1:1" ht="13.8" x14ac:dyDescent="0.25">
      <c r="A5932" s="8"/>
    </row>
    <row r="5933" spans="1:1" ht="13.8" x14ac:dyDescent="0.25">
      <c r="A5933" s="8"/>
    </row>
    <row r="5934" spans="1:1" ht="13.8" x14ac:dyDescent="0.25">
      <c r="A5934" s="8"/>
    </row>
    <row r="5935" spans="1:1" ht="13.8" x14ac:dyDescent="0.25">
      <c r="A5935" s="8"/>
    </row>
    <row r="5936" spans="1:1" ht="13.8" x14ac:dyDescent="0.25">
      <c r="A5936" s="8"/>
    </row>
    <row r="5937" spans="1:1" ht="13.8" x14ac:dyDescent="0.25">
      <c r="A5937" s="8"/>
    </row>
    <row r="5938" spans="1:1" ht="13.8" x14ac:dyDescent="0.25">
      <c r="A5938" s="8"/>
    </row>
    <row r="5939" spans="1:1" ht="13.8" x14ac:dyDescent="0.25">
      <c r="A5939" s="8"/>
    </row>
    <row r="5940" spans="1:1" ht="13.8" x14ac:dyDescent="0.25">
      <c r="A5940" s="8"/>
    </row>
    <row r="5941" spans="1:1" ht="13.8" x14ac:dyDescent="0.25">
      <c r="A5941" s="8"/>
    </row>
    <row r="5942" spans="1:1" ht="13.8" x14ac:dyDescent="0.25">
      <c r="A5942" s="8"/>
    </row>
    <row r="5943" spans="1:1" ht="13.8" x14ac:dyDescent="0.25">
      <c r="A5943" s="8"/>
    </row>
    <row r="5944" spans="1:1" ht="13.8" x14ac:dyDescent="0.25">
      <c r="A5944" s="8"/>
    </row>
    <row r="5945" spans="1:1" ht="13.8" x14ac:dyDescent="0.25">
      <c r="A5945" s="8"/>
    </row>
    <row r="5946" spans="1:1" ht="13.8" x14ac:dyDescent="0.25">
      <c r="A5946" s="8"/>
    </row>
    <row r="5947" spans="1:1" ht="13.8" x14ac:dyDescent="0.25">
      <c r="A5947" s="8"/>
    </row>
    <row r="5948" spans="1:1" ht="13.8" x14ac:dyDescent="0.25">
      <c r="A5948" s="8"/>
    </row>
    <row r="5949" spans="1:1" ht="13.8" x14ac:dyDescent="0.25">
      <c r="A5949" s="8"/>
    </row>
    <row r="5950" spans="1:1" ht="13.8" x14ac:dyDescent="0.25">
      <c r="A5950" s="8"/>
    </row>
    <row r="5951" spans="1:1" ht="13.8" x14ac:dyDescent="0.25">
      <c r="A5951" s="8"/>
    </row>
    <row r="5952" spans="1:1" ht="13.8" x14ac:dyDescent="0.25">
      <c r="A5952" s="8"/>
    </row>
    <row r="5953" spans="1:1" ht="13.8" x14ac:dyDescent="0.25">
      <c r="A5953" s="8"/>
    </row>
    <row r="5954" spans="1:1" ht="13.8" x14ac:dyDescent="0.25">
      <c r="A5954" s="8"/>
    </row>
    <row r="5955" spans="1:1" ht="13.8" x14ac:dyDescent="0.25">
      <c r="A5955" s="8"/>
    </row>
    <row r="5956" spans="1:1" ht="13.8" x14ac:dyDescent="0.25">
      <c r="A5956" s="8"/>
    </row>
    <row r="5957" spans="1:1" ht="13.8" x14ac:dyDescent="0.25">
      <c r="A5957" s="8"/>
    </row>
    <row r="5958" spans="1:1" ht="13.8" x14ac:dyDescent="0.25">
      <c r="A5958" s="8"/>
    </row>
    <row r="5959" spans="1:1" ht="13.8" x14ac:dyDescent="0.25">
      <c r="A5959" s="8"/>
    </row>
    <row r="5960" spans="1:1" ht="13.8" x14ac:dyDescent="0.25">
      <c r="A5960" s="8"/>
    </row>
    <row r="5961" spans="1:1" ht="13.8" x14ac:dyDescent="0.25">
      <c r="A5961" s="8"/>
    </row>
    <row r="5962" spans="1:1" ht="13.8" x14ac:dyDescent="0.25">
      <c r="A5962" s="8"/>
    </row>
    <row r="5963" spans="1:1" ht="13.8" x14ac:dyDescent="0.25">
      <c r="A5963" s="8"/>
    </row>
    <row r="5964" spans="1:1" ht="13.8" x14ac:dyDescent="0.25">
      <c r="A5964" s="8"/>
    </row>
    <row r="5965" spans="1:1" ht="13.8" x14ac:dyDescent="0.25">
      <c r="A5965" s="8"/>
    </row>
    <row r="5966" spans="1:1" ht="13.8" x14ac:dyDescent="0.25">
      <c r="A5966" s="8"/>
    </row>
    <row r="5967" spans="1:1" ht="13.8" x14ac:dyDescent="0.25">
      <c r="A5967" s="8"/>
    </row>
    <row r="5968" spans="1:1" ht="13.8" x14ac:dyDescent="0.25">
      <c r="A5968" s="8"/>
    </row>
    <row r="5969" spans="1:1" ht="13.8" x14ac:dyDescent="0.25">
      <c r="A5969" s="8"/>
    </row>
    <row r="5970" spans="1:1" ht="13.8" x14ac:dyDescent="0.25">
      <c r="A5970" s="8"/>
    </row>
    <row r="5971" spans="1:1" ht="13.8" x14ac:dyDescent="0.25">
      <c r="A5971" s="8"/>
    </row>
    <row r="5972" spans="1:1" ht="13.8" x14ac:dyDescent="0.25">
      <c r="A5972" s="8"/>
    </row>
    <row r="5973" spans="1:1" ht="13.8" x14ac:dyDescent="0.25">
      <c r="A5973" s="8"/>
    </row>
    <row r="5974" spans="1:1" ht="13.8" x14ac:dyDescent="0.25">
      <c r="A5974" s="8"/>
    </row>
    <row r="5975" spans="1:1" ht="13.8" x14ac:dyDescent="0.25">
      <c r="A5975" s="8"/>
    </row>
    <row r="5976" spans="1:1" ht="13.8" x14ac:dyDescent="0.25">
      <c r="A5976" s="8"/>
    </row>
    <row r="5977" spans="1:1" ht="13.8" x14ac:dyDescent="0.25">
      <c r="A5977" s="8"/>
    </row>
    <row r="5978" spans="1:1" ht="13.8" x14ac:dyDescent="0.25">
      <c r="A5978" s="8"/>
    </row>
    <row r="5979" spans="1:1" ht="13.8" x14ac:dyDescent="0.25">
      <c r="A5979" s="8"/>
    </row>
    <row r="5980" spans="1:1" ht="13.8" x14ac:dyDescent="0.25">
      <c r="A5980" s="8"/>
    </row>
    <row r="5981" spans="1:1" ht="13.8" x14ac:dyDescent="0.25">
      <c r="A5981" s="8"/>
    </row>
    <row r="5982" spans="1:1" ht="13.8" x14ac:dyDescent="0.25">
      <c r="A5982" s="8"/>
    </row>
    <row r="5983" spans="1:1" ht="13.8" x14ac:dyDescent="0.25">
      <c r="A5983" s="8"/>
    </row>
    <row r="5984" spans="1:1" ht="13.8" x14ac:dyDescent="0.25">
      <c r="A5984" s="8"/>
    </row>
    <row r="5985" spans="1:1" ht="13.8" x14ac:dyDescent="0.25">
      <c r="A5985" s="8"/>
    </row>
    <row r="5986" spans="1:1" ht="13.8" x14ac:dyDescent="0.25">
      <c r="A5986" s="8"/>
    </row>
    <row r="5987" spans="1:1" ht="13.8" x14ac:dyDescent="0.25">
      <c r="A5987" s="8"/>
    </row>
    <row r="5988" spans="1:1" ht="13.8" x14ac:dyDescent="0.25">
      <c r="A5988" s="8"/>
    </row>
    <row r="5989" spans="1:1" ht="13.8" x14ac:dyDescent="0.25">
      <c r="A5989" s="8"/>
    </row>
    <row r="5990" spans="1:1" ht="13.8" x14ac:dyDescent="0.25">
      <c r="A5990" s="8"/>
    </row>
    <row r="5991" spans="1:1" ht="13.8" x14ac:dyDescent="0.25">
      <c r="A5991" s="8"/>
    </row>
    <row r="5992" spans="1:1" ht="13.8" x14ac:dyDescent="0.25">
      <c r="A5992" s="8"/>
    </row>
    <row r="5993" spans="1:1" ht="13.8" x14ac:dyDescent="0.25">
      <c r="A5993" s="8"/>
    </row>
    <row r="5994" spans="1:1" ht="13.8" x14ac:dyDescent="0.25">
      <c r="A5994" s="8"/>
    </row>
    <row r="5995" spans="1:1" ht="13.8" x14ac:dyDescent="0.25">
      <c r="A5995" s="8"/>
    </row>
    <row r="5996" spans="1:1" ht="13.8" x14ac:dyDescent="0.25">
      <c r="A5996" s="8"/>
    </row>
    <row r="5997" spans="1:1" ht="13.8" x14ac:dyDescent="0.25">
      <c r="A5997" s="8"/>
    </row>
    <row r="5998" spans="1:1" ht="13.8" x14ac:dyDescent="0.25">
      <c r="A5998" s="8"/>
    </row>
    <row r="5999" spans="1:1" ht="13.8" x14ac:dyDescent="0.25">
      <c r="A5999" s="8"/>
    </row>
    <row r="6000" spans="1:1" ht="13.8" x14ac:dyDescent="0.25">
      <c r="A6000" s="8"/>
    </row>
  </sheetData>
  <conditionalFormatting sqref="A2:CA6000">
    <cfRule type="expression" dxfId="0" priority="1">
      <formula>$A:$A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3</vt:i4>
      </vt:variant>
    </vt:vector>
  </HeadingPairs>
  <TitlesOfParts>
    <vt:vector size="12" baseType="lpstr">
      <vt:lpstr>Competidores</vt:lpstr>
      <vt:lpstr>Optimist Timoneles</vt:lpstr>
      <vt:lpstr>Hoja 2</vt:lpstr>
      <vt:lpstr>Optimist Principiantes</vt:lpstr>
      <vt:lpstr>ILCA 7</vt:lpstr>
      <vt:lpstr>ILCA 6</vt:lpstr>
      <vt:lpstr>ILCA 4</vt:lpstr>
      <vt:lpstr>49er</vt:lpstr>
      <vt:lpstr>Nacra 17</vt:lpstr>
      <vt:lpstr>CategoryCompetitors</vt:lpstr>
      <vt:lpstr>HeadersCompetitors</vt:lpstr>
      <vt:lpstr>ResponsesCompetitors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Nicolas Cloos</cp:lastModifiedBy>
  <dcterms:modified xsi:type="dcterms:W3CDTF">2026-03-07T14:12:45Z</dcterms:modified>
</cp:coreProperties>
</file>