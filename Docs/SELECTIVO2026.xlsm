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ParaGuardar\Campeonatos\VelaFest2026\Docs\"/>
    </mc:Choice>
  </mc:AlternateContent>
  <xr:revisionPtr revIDLastSave="0" documentId="13_ncr:1_{EE638E25-CBAB-4E09-99AA-E5BCED9C1D5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SCRIPTOS" sheetId="3" r:id="rId1"/>
    <sheet name="RSIY25" sheetId="4" r:id="rId2"/>
    <sheet name="VF2025" sheetId="7" r:id="rId3"/>
    <sheet name="SIL25v2" sheetId="11" r:id="rId4"/>
    <sheet name="RESULTADOS_OLD" sheetId="5" r:id="rId5"/>
    <sheet name="RESULTADOS" sheetId="12" r:id="rId6"/>
    <sheet name="SIY26" sheetId="13" r:id="rId7"/>
  </sheets>
  <functionGroups builtInGroupCount="19"/>
  <definedNames>
    <definedName name="ExternalData_1" localSheetId="0" hidden="1">INSCRIPTOS!$A$1:$F$41</definedName>
    <definedName name="ExternalData_1" localSheetId="1" hidden="1">RSIY25!$A$1:$R$232</definedName>
    <definedName name="ExternalData_2" localSheetId="3" hidden="1">SIL25v2!$A$1:$L$264</definedName>
    <definedName name="ExternalData_2" localSheetId="2" hidden="1">'VF2025'!$A$1:$N$211</definedName>
    <definedName name="_xlnm.Print_Area" localSheetId="5">RESULTADOS!$B$1:$AC$176</definedName>
    <definedName name="_xlnm.Print_Area" localSheetId="4">RESULTADOS_OLD!$B$1:$AC$176</definedName>
    <definedName name="_xlnm.Print_Titles" localSheetId="5">RESULTADOS!$6:$6</definedName>
    <definedName name="_xlnm.Print_Titles" localSheetId="4">RESULTADOS_OLD!$6:$6</definedName>
    <definedName name="Regatas" localSheetId="5">INDEX(Selectivo6[#This Row],,MATCH(Selectivo6[[#Headers],[Club]],Selectivo6[#Headers],0)+1):INDEX(Selectivo6[#This Row],,MATCH(Selectivo6[[#Headers],[Total]],Selectivo6[#Headers],0)-1)</definedName>
    <definedName name="Regatas">INDEX(Selectivo[#This Row],,MATCH(Selectivo[[#Headers],[Club]],Selectivo[#Headers],0)+1):INDEX(Selectivo[#This Row],,MATCH(Selectivo[[#Headers],[Total]],Selectivo[#Headers],0)-1)</definedName>
    <definedName name="RegatasN" localSheetId="5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76" i="12" l="1" a="1"/>
  <c r="AG176" i="12" s="1"/>
  <c r="AF176" i="12"/>
  <c r="AE176" i="12"/>
  <c r="AD176" i="12"/>
  <c r="AC176" i="12" a="1"/>
  <c r="AC176" i="12" s="1"/>
  <c r="AB176" i="12" a="1"/>
  <c r="AB176" i="12" s="1"/>
  <c r="AH176" i="12" a="1"/>
  <c r="AH176" i="12" s="1"/>
  <c r="B176" i="12"/>
  <c r="AG175" i="12" a="1"/>
  <c r="AG175" i="12" s="1"/>
  <c r="AF175" i="12"/>
  <c r="AE175" i="12"/>
  <c r="AD175" i="12"/>
  <c r="AC175" i="12" a="1"/>
  <c r="AC175" i="12" s="1"/>
  <c r="AB175" i="12" a="1"/>
  <c r="AB175" i="12" s="1"/>
  <c r="AH175" i="12" a="1"/>
  <c r="AH175" i="12" s="1"/>
  <c r="B175" i="12"/>
  <c r="AG174" i="12" a="1"/>
  <c r="AG174" i="12" s="1"/>
  <c r="AF174" i="12"/>
  <c r="AE174" i="12"/>
  <c r="AD174" i="12"/>
  <c r="AC174" i="12" a="1"/>
  <c r="AC174" i="12" s="1"/>
  <c r="AB174" i="12" a="1"/>
  <c r="AB174" i="12" s="1"/>
  <c r="AH174" i="12" a="1"/>
  <c r="AH174" i="12" s="1"/>
  <c r="B174" i="12"/>
  <c r="AG173" i="12" a="1"/>
  <c r="AG173" i="12" s="1"/>
  <c r="AF173" i="12"/>
  <c r="AE173" i="12"/>
  <c r="AD173" i="12"/>
  <c r="AC173" i="12" a="1"/>
  <c r="AC173" i="12" s="1"/>
  <c r="AB173" i="12" a="1"/>
  <c r="AB173" i="12" s="1"/>
  <c r="AH173" i="12" a="1"/>
  <c r="AH173" i="12" s="1"/>
  <c r="B173" i="12"/>
  <c r="AG172" i="12" a="1"/>
  <c r="AG172" i="12" s="1"/>
  <c r="AF172" i="12"/>
  <c r="AE172" i="12"/>
  <c r="AD172" i="12"/>
  <c r="AC172" i="12" a="1"/>
  <c r="AC172" i="12" s="1"/>
  <c r="AB172" i="12" a="1"/>
  <c r="AB172" i="12" s="1"/>
  <c r="AH172" i="12" a="1"/>
  <c r="AH172" i="12" s="1"/>
  <c r="B172" i="12"/>
  <c r="AG171" i="12" a="1"/>
  <c r="AG171" i="12" s="1"/>
  <c r="AF171" i="12"/>
  <c r="AE171" i="12"/>
  <c r="AD171" i="12"/>
  <c r="AC171" i="12" a="1"/>
  <c r="AC171" i="12" s="1"/>
  <c r="AB171" i="12" a="1"/>
  <c r="AB171" i="12" s="1"/>
  <c r="AH171" i="12" a="1"/>
  <c r="AH171" i="12" s="1"/>
  <c r="B171" i="12"/>
  <c r="AG170" i="12" a="1"/>
  <c r="AG170" i="12" s="1"/>
  <c r="AF170" i="12"/>
  <c r="AE170" i="12"/>
  <c r="AD170" i="12"/>
  <c r="AC170" i="12" a="1"/>
  <c r="AC170" i="12" s="1"/>
  <c r="AB170" i="12" a="1"/>
  <c r="AB170" i="12" s="1"/>
  <c r="AH170" i="12" a="1"/>
  <c r="AH170" i="12" s="1"/>
  <c r="B170" i="12"/>
  <c r="AG169" i="12" a="1"/>
  <c r="AG169" i="12" s="1"/>
  <c r="AF169" i="12"/>
  <c r="AE169" i="12"/>
  <c r="AD169" i="12"/>
  <c r="AC169" i="12" a="1"/>
  <c r="AC169" i="12" s="1"/>
  <c r="AB169" i="12" a="1"/>
  <c r="AB169" i="12" s="1"/>
  <c r="AH169" i="12" a="1"/>
  <c r="AH169" i="12" s="1"/>
  <c r="B169" i="12"/>
  <c r="AH168" i="12" a="1"/>
  <c r="AH168" i="12" s="1"/>
  <c r="AG168" i="12" a="1"/>
  <c r="AG168" i="12" s="1"/>
  <c r="AF168" i="12"/>
  <c r="AE168" i="12"/>
  <c r="AD168" i="12"/>
  <c r="AC168" i="12" a="1"/>
  <c r="AC168" i="12" s="1"/>
  <c r="AB168" i="12" a="1"/>
  <c r="AB168" i="12" s="1"/>
  <c r="B168" i="12"/>
  <c r="AG167" i="12" a="1"/>
  <c r="AG167" i="12" s="1"/>
  <c r="AF167" i="12"/>
  <c r="AE167" i="12"/>
  <c r="AD167" i="12"/>
  <c r="AC167" i="12" a="1"/>
  <c r="AC167" i="12" s="1"/>
  <c r="AB167" i="12" a="1"/>
  <c r="AB167" i="12" s="1"/>
  <c r="AH167" i="12" a="1"/>
  <c r="AH167" i="12" s="1"/>
  <c r="B167" i="12"/>
  <c r="AG166" i="12" a="1"/>
  <c r="AG166" i="12" s="1"/>
  <c r="AF166" i="12"/>
  <c r="AE166" i="12"/>
  <c r="AD166" i="12"/>
  <c r="AC166" i="12" a="1"/>
  <c r="AC166" i="12" s="1"/>
  <c r="AB166" i="12" a="1"/>
  <c r="AB166" i="12" s="1"/>
  <c r="AH166" i="12" a="1"/>
  <c r="AH166" i="12" s="1"/>
  <c r="B166" i="12"/>
  <c r="AG165" i="12" a="1"/>
  <c r="AG165" i="12" s="1"/>
  <c r="AF165" i="12"/>
  <c r="AE165" i="12"/>
  <c r="AD165" i="12"/>
  <c r="AC165" i="12" a="1"/>
  <c r="AC165" i="12" s="1"/>
  <c r="AB165" i="12" a="1"/>
  <c r="AB165" i="12" s="1"/>
  <c r="AH165" i="12" a="1"/>
  <c r="AH165" i="12" s="1"/>
  <c r="B165" i="12"/>
  <c r="AG164" i="12" a="1"/>
  <c r="AG164" i="12" s="1"/>
  <c r="AF164" i="12"/>
  <c r="AE164" i="12"/>
  <c r="AD164" i="12"/>
  <c r="AC164" i="12" a="1"/>
  <c r="AC164" i="12" s="1"/>
  <c r="AB164" i="12" a="1"/>
  <c r="AB164" i="12" s="1"/>
  <c r="AH164" i="12" a="1"/>
  <c r="AH164" i="12" s="1"/>
  <c r="B164" i="12"/>
  <c r="AG163" i="12" a="1"/>
  <c r="AG163" i="12" s="1"/>
  <c r="AF163" i="12"/>
  <c r="AE163" i="12"/>
  <c r="AD163" i="12"/>
  <c r="AC163" i="12" a="1"/>
  <c r="AC163" i="12" s="1"/>
  <c r="AB163" i="12" a="1"/>
  <c r="AB163" i="12" s="1"/>
  <c r="AH163" i="12" a="1"/>
  <c r="AH163" i="12" s="1"/>
  <c r="B163" i="12"/>
  <c r="AG162" i="12" a="1"/>
  <c r="AG162" i="12" s="1"/>
  <c r="AF162" i="12"/>
  <c r="AE162" i="12"/>
  <c r="AD162" i="12"/>
  <c r="AC162" i="12" a="1"/>
  <c r="AC162" i="12" s="1"/>
  <c r="AB162" i="12" a="1"/>
  <c r="AB162" i="12" s="1"/>
  <c r="AH162" i="12" a="1"/>
  <c r="AH162" i="12" s="1"/>
  <c r="B162" i="12"/>
  <c r="AH161" i="12"/>
  <c r="AG161" i="12" a="1"/>
  <c r="AG161" i="12" s="1"/>
  <c r="AF161" i="12"/>
  <c r="AE161" i="12"/>
  <c r="AD161" i="12"/>
  <c r="AC161" i="12" a="1"/>
  <c r="AC161" i="12" s="1"/>
  <c r="AB161" i="12" a="1"/>
  <c r="AB161" i="12" s="1"/>
  <c r="AH161" i="12" a="1"/>
  <c r="B161" i="12"/>
  <c r="AG160" i="12" a="1"/>
  <c r="AG160" i="12" s="1"/>
  <c r="AF160" i="12"/>
  <c r="AE160" i="12"/>
  <c r="AD160" i="12"/>
  <c r="AC160" i="12" a="1"/>
  <c r="AC160" i="12" s="1"/>
  <c r="AB160" i="12" a="1"/>
  <c r="AB160" i="12" s="1"/>
  <c r="AH160" i="12" a="1"/>
  <c r="AH160" i="12" s="1"/>
  <c r="B160" i="12"/>
  <c r="AH159" i="12" a="1"/>
  <c r="AH159" i="12" s="1"/>
  <c r="AG159" i="12" a="1"/>
  <c r="AG159" i="12" s="1"/>
  <c r="AF159" i="12"/>
  <c r="AE159" i="12"/>
  <c r="AD159" i="12"/>
  <c r="AC159" i="12" a="1"/>
  <c r="AC159" i="12" s="1"/>
  <c r="AB159" i="12" a="1"/>
  <c r="AB159" i="12" s="1"/>
  <c r="B159" i="12"/>
  <c r="AG158" i="12" a="1"/>
  <c r="AG158" i="12" s="1"/>
  <c r="AF158" i="12"/>
  <c r="AE158" i="12"/>
  <c r="AD158" i="12"/>
  <c r="AC158" i="12" a="1"/>
  <c r="AC158" i="12" s="1"/>
  <c r="AB158" i="12" a="1"/>
  <c r="AB158" i="12" s="1"/>
  <c r="AH158" i="12" a="1"/>
  <c r="AH158" i="12" s="1"/>
  <c r="B158" i="12"/>
  <c r="AH157" i="12"/>
  <c r="AG157" i="12" a="1"/>
  <c r="AG157" i="12" s="1"/>
  <c r="AF157" i="12"/>
  <c r="AE157" i="12"/>
  <c r="AD157" i="12"/>
  <c r="AC157" i="12" a="1"/>
  <c r="AC157" i="12" s="1"/>
  <c r="AB157" i="12" a="1"/>
  <c r="AB157" i="12" s="1"/>
  <c r="AH157" i="12" a="1"/>
  <c r="B157" i="12"/>
  <c r="AG156" i="12" a="1"/>
  <c r="AG156" i="12" s="1"/>
  <c r="AF156" i="12"/>
  <c r="AE156" i="12"/>
  <c r="AD156" i="12"/>
  <c r="AC156" i="12" a="1"/>
  <c r="AC156" i="12" s="1"/>
  <c r="AB156" i="12" a="1"/>
  <c r="AB156" i="12" s="1"/>
  <c r="AH156" i="12" a="1"/>
  <c r="AH156" i="12" s="1"/>
  <c r="B156" i="12"/>
  <c r="AG155" i="12" a="1"/>
  <c r="AG155" i="12" s="1"/>
  <c r="AF155" i="12"/>
  <c r="AE155" i="12"/>
  <c r="AD155" i="12"/>
  <c r="AC155" i="12" a="1"/>
  <c r="AC155" i="12" s="1"/>
  <c r="AB155" i="12" a="1"/>
  <c r="AB155" i="12" s="1"/>
  <c r="AH155" i="12" a="1"/>
  <c r="AH155" i="12" s="1"/>
  <c r="B155" i="12"/>
  <c r="AH154" i="12"/>
  <c r="AG154" i="12" a="1"/>
  <c r="AG154" i="12" s="1"/>
  <c r="AF154" i="12"/>
  <c r="AE154" i="12"/>
  <c r="AD154" i="12"/>
  <c r="AC154" i="12" a="1"/>
  <c r="AC154" i="12" s="1"/>
  <c r="AB154" i="12" a="1"/>
  <c r="AB154" i="12" s="1"/>
  <c r="AH154" i="12" a="1"/>
  <c r="B154" i="12"/>
  <c r="AG153" i="12" a="1"/>
  <c r="AG153" i="12" s="1"/>
  <c r="AF153" i="12"/>
  <c r="AE153" i="12"/>
  <c r="AD153" i="12"/>
  <c r="AC153" i="12" a="1"/>
  <c r="AC153" i="12" s="1"/>
  <c r="AB153" i="12" a="1"/>
  <c r="AB153" i="12" s="1"/>
  <c r="AH153" i="12" a="1"/>
  <c r="AH153" i="12" s="1"/>
  <c r="B153" i="12"/>
  <c r="AG152" i="12" a="1"/>
  <c r="AG152" i="12" s="1"/>
  <c r="AF152" i="12"/>
  <c r="AE152" i="12"/>
  <c r="AD152" i="12"/>
  <c r="AC152" i="12" a="1"/>
  <c r="AC152" i="12" s="1"/>
  <c r="AB152" i="12" a="1"/>
  <c r="AB152" i="12" s="1"/>
  <c r="AH152" i="12" a="1"/>
  <c r="AH152" i="12" s="1"/>
  <c r="B152" i="12"/>
  <c r="AH151" i="12"/>
  <c r="AG151" i="12" a="1"/>
  <c r="AG151" i="12" s="1"/>
  <c r="AF151" i="12"/>
  <c r="AE151" i="12"/>
  <c r="AD151" i="12"/>
  <c r="AC151" i="12" a="1"/>
  <c r="AC151" i="12" s="1"/>
  <c r="AB151" i="12" a="1"/>
  <c r="AB151" i="12" s="1"/>
  <c r="AH151" i="12" a="1"/>
  <c r="B151" i="12"/>
  <c r="AG150" i="12" a="1"/>
  <c r="AG150" i="12" s="1"/>
  <c r="AF150" i="12"/>
  <c r="AE150" i="12"/>
  <c r="AD150" i="12"/>
  <c r="AC150" i="12" a="1"/>
  <c r="AC150" i="12" s="1"/>
  <c r="AB150" i="12" a="1"/>
  <c r="AB150" i="12" s="1"/>
  <c r="AH150" i="12" a="1"/>
  <c r="AH150" i="12" s="1"/>
  <c r="B150" i="12"/>
  <c r="AG149" i="12" a="1"/>
  <c r="AG149" i="12" s="1"/>
  <c r="AF149" i="12"/>
  <c r="AE149" i="12"/>
  <c r="AD149" i="12"/>
  <c r="AC149" i="12" a="1"/>
  <c r="AC149" i="12" s="1"/>
  <c r="AB149" i="12" a="1"/>
  <c r="AB149" i="12" s="1"/>
  <c r="AH149" i="12" a="1"/>
  <c r="AH149" i="12" s="1"/>
  <c r="B149" i="12"/>
  <c r="AG148" i="12"/>
  <c r="AG148" i="12" a="1"/>
  <c r="AF148" i="12"/>
  <c r="AE148" i="12"/>
  <c r="AD148" i="12"/>
  <c r="AC148" i="12" a="1"/>
  <c r="AC148" i="12" s="1"/>
  <c r="AB148" i="12" a="1"/>
  <c r="AB148" i="12" s="1"/>
  <c r="AH148" i="12" a="1"/>
  <c r="AH148" i="12" s="1"/>
  <c r="B148" i="12"/>
  <c r="AG147" i="12" a="1"/>
  <c r="AG147" i="12" s="1"/>
  <c r="AF147" i="12"/>
  <c r="AE147" i="12"/>
  <c r="AD147" i="12"/>
  <c r="AC147" i="12" a="1"/>
  <c r="AC147" i="12" s="1"/>
  <c r="AB147" i="12" a="1"/>
  <c r="AB147" i="12" s="1"/>
  <c r="AH147" i="12" a="1"/>
  <c r="AH147" i="12" s="1"/>
  <c r="B147" i="12"/>
  <c r="AG146" i="12" a="1"/>
  <c r="AG146" i="12" s="1"/>
  <c r="AF146" i="12"/>
  <c r="AE146" i="12"/>
  <c r="AD146" i="12"/>
  <c r="AC146" i="12" a="1"/>
  <c r="AC146" i="12" s="1"/>
  <c r="AB146" i="12" a="1"/>
  <c r="AB146" i="12" s="1"/>
  <c r="AH146" i="12" a="1"/>
  <c r="AH146" i="12" s="1"/>
  <c r="B146" i="12"/>
  <c r="AG145" i="12" a="1"/>
  <c r="AG145" i="12" s="1"/>
  <c r="AF145" i="12"/>
  <c r="AE145" i="12"/>
  <c r="AD145" i="12"/>
  <c r="AC145" i="12" a="1"/>
  <c r="AC145" i="12" s="1"/>
  <c r="AB145" i="12" a="1"/>
  <c r="AB145" i="12" s="1"/>
  <c r="AH145" i="12" a="1"/>
  <c r="AH145" i="12" s="1"/>
  <c r="B145" i="12"/>
  <c r="AG144" i="12" a="1"/>
  <c r="AG144" i="12" s="1"/>
  <c r="AF144" i="12"/>
  <c r="AE144" i="12"/>
  <c r="AD144" i="12"/>
  <c r="AC144" i="12" a="1"/>
  <c r="AC144" i="12" s="1"/>
  <c r="AB144" i="12" a="1"/>
  <c r="AB144" i="12" s="1"/>
  <c r="AH144" i="12" a="1"/>
  <c r="AH144" i="12" s="1"/>
  <c r="B144" i="12"/>
  <c r="AH143" i="12"/>
  <c r="AG143" i="12" a="1"/>
  <c r="AG143" i="12" s="1"/>
  <c r="AF143" i="12"/>
  <c r="AE143" i="12"/>
  <c r="AD143" i="12"/>
  <c r="AC143" i="12" a="1"/>
  <c r="AC143" i="12" s="1"/>
  <c r="AB143" i="12" a="1"/>
  <c r="AB143" i="12" s="1"/>
  <c r="AH143" i="12" a="1"/>
  <c r="B143" i="12"/>
  <c r="AG142" i="12" a="1"/>
  <c r="AG142" i="12" s="1"/>
  <c r="AF142" i="12"/>
  <c r="AE142" i="12"/>
  <c r="AD142" i="12"/>
  <c r="AC142" i="12" a="1"/>
  <c r="AC142" i="12" s="1"/>
  <c r="AB142" i="12" a="1"/>
  <c r="AB142" i="12" s="1"/>
  <c r="AH142" i="12" a="1"/>
  <c r="AH142" i="12" s="1"/>
  <c r="B142" i="12"/>
  <c r="AG141" i="12" a="1"/>
  <c r="AG141" i="12" s="1"/>
  <c r="AF141" i="12"/>
  <c r="AE141" i="12"/>
  <c r="AD141" i="12"/>
  <c r="AC141" i="12" a="1"/>
  <c r="AC141" i="12" s="1"/>
  <c r="AB141" i="12" a="1"/>
  <c r="AB141" i="12" s="1"/>
  <c r="AH141" i="12" a="1"/>
  <c r="AH141" i="12" s="1"/>
  <c r="B141" i="12"/>
  <c r="AG140" i="12" a="1"/>
  <c r="AG140" i="12" s="1"/>
  <c r="AF140" i="12"/>
  <c r="AE140" i="12"/>
  <c r="AD140" i="12"/>
  <c r="AC140" i="12" a="1"/>
  <c r="AC140" i="12" s="1"/>
  <c r="AB140" i="12"/>
  <c r="AB140" i="12" a="1"/>
  <c r="AH140" i="12" a="1"/>
  <c r="AH140" i="12" s="1"/>
  <c r="B140" i="12"/>
  <c r="AG139" i="12" a="1"/>
  <c r="AG139" i="12" s="1"/>
  <c r="AF139" i="12"/>
  <c r="AE139" i="12"/>
  <c r="AD139" i="12"/>
  <c r="AC139" i="12" a="1"/>
  <c r="AC139" i="12" s="1"/>
  <c r="AB139" i="12" a="1"/>
  <c r="AB139" i="12" s="1"/>
  <c r="AH139" i="12" a="1"/>
  <c r="AH139" i="12" s="1"/>
  <c r="B139" i="12"/>
  <c r="AH138" i="12" a="1"/>
  <c r="AH138" i="12" s="1"/>
  <c r="AG138" i="12" a="1"/>
  <c r="AG138" i="12" s="1"/>
  <c r="AF138" i="12"/>
  <c r="AE138" i="12"/>
  <c r="AD138" i="12"/>
  <c r="AC138" i="12" a="1"/>
  <c r="AC138" i="12" s="1"/>
  <c r="AB138" i="12" a="1"/>
  <c r="AB138" i="12" s="1"/>
  <c r="B138" i="12"/>
  <c r="AG137" i="12" a="1"/>
  <c r="AG137" i="12" s="1"/>
  <c r="AF137" i="12"/>
  <c r="AE137" i="12"/>
  <c r="AD137" i="12"/>
  <c r="AC137" i="12" a="1"/>
  <c r="AC137" i="12" s="1"/>
  <c r="AB137" i="12" a="1"/>
  <c r="AB137" i="12" s="1"/>
  <c r="AH137" i="12" a="1"/>
  <c r="AH137" i="12" s="1"/>
  <c r="B137" i="12"/>
  <c r="AG136" i="12" a="1"/>
  <c r="AG136" i="12" s="1"/>
  <c r="AF136" i="12"/>
  <c r="AE136" i="12"/>
  <c r="AD136" i="12"/>
  <c r="AC136" i="12" a="1"/>
  <c r="AC136" i="12" s="1"/>
  <c r="AB136" i="12" a="1"/>
  <c r="AB136" i="12" s="1"/>
  <c r="AH136" i="12" a="1"/>
  <c r="AH136" i="12" s="1"/>
  <c r="B136" i="12"/>
  <c r="AG135" i="12" a="1"/>
  <c r="AG135" i="12" s="1"/>
  <c r="AF135" i="12"/>
  <c r="AE135" i="12"/>
  <c r="AD135" i="12"/>
  <c r="AC135" i="12" a="1"/>
  <c r="AC135" i="12" s="1"/>
  <c r="AB135" i="12" a="1"/>
  <c r="AB135" i="12" s="1"/>
  <c r="AH135" i="12" a="1"/>
  <c r="AH135" i="12" s="1"/>
  <c r="B135" i="12"/>
  <c r="AH134" i="12" a="1"/>
  <c r="AH134" i="12" s="1"/>
  <c r="AG134" i="12" a="1"/>
  <c r="AG134" i="12" s="1"/>
  <c r="AF134" i="12"/>
  <c r="AE134" i="12"/>
  <c r="AD134" i="12"/>
  <c r="AC134" i="12" a="1"/>
  <c r="AC134" i="12" s="1"/>
  <c r="AB134" i="12" a="1"/>
  <c r="AB134" i="12" s="1"/>
  <c r="B134" i="12"/>
  <c r="AG133" i="12" a="1"/>
  <c r="AG133" i="12" s="1"/>
  <c r="AF133" i="12"/>
  <c r="AE133" i="12"/>
  <c r="AD133" i="12"/>
  <c r="AC133" i="12" a="1"/>
  <c r="AC133" i="12" s="1"/>
  <c r="AB133" i="12" a="1"/>
  <c r="AB133" i="12" s="1"/>
  <c r="AH133" i="12" a="1"/>
  <c r="AH133" i="12" s="1"/>
  <c r="B133" i="12"/>
  <c r="AG132" i="12" a="1"/>
  <c r="AG132" i="12" s="1"/>
  <c r="AF132" i="12"/>
  <c r="AE132" i="12"/>
  <c r="AD132" i="12"/>
  <c r="AC132" i="12" a="1"/>
  <c r="AC132" i="12" s="1"/>
  <c r="AB132" i="12" a="1"/>
  <c r="AB132" i="12" s="1"/>
  <c r="AH132" i="12" a="1"/>
  <c r="AH132" i="12" s="1"/>
  <c r="B132" i="12"/>
  <c r="AH131" i="12" a="1"/>
  <c r="AH131" i="12" s="1"/>
  <c r="AG131" i="12" a="1"/>
  <c r="AG131" i="12" s="1"/>
  <c r="AF131" i="12"/>
  <c r="AE131" i="12"/>
  <c r="AD131" i="12"/>
  <c r="AC131" i="12" a="1"/>
  <c r="AC131" i="12" s="1"/>
  <c r="AB131" i="12" a="1"/>
  <c r="AB131" i="12" s="1"/>
  <c r="B131" i="12"/>
  <c r="AG130" i="12" a="1"/>
  <c r="AG130" i="12" s="1"/>
  <c r="AF130" i="12"/>
  <c r="AE130" i="12"/>
  <c r="AD130" i="12"/>
  <c r="AC130" i="12" a="1"/>
  <c r="AC130" i="12" s="1"/>
  <c r="AB130" i="12" a="1"/>
  <c r="AB130" i="12" s="1"/>
  <c r="AH130" i="12" a="1"/>
  <c r="AH130" i="12" s="1"/>
  <c r="B130" i="12"/>
  <c r="AH129" i="12" a="1"/>
  <c r="AH129" i="12" s="1"/>
  <c r="AG129" i="12" a="1"/>
  <c r="AG129" i="12" s="1"/>
  <c r="AF129" i="12"/>
  <c r="AE129" i="12"/>
  <c r="AD129" i="12"/>
  <c r="AC129" i="12" a="1"/>
  <c r="AC129" i="12" s="1"/>
  <c r="AB129" i="12" a="1"/>
  <c r="AB129" i="12" s="1"/>
  <c r="B129" i="12"/>
  <c r="AG128" i="12" a="1"/>
  <c r="AG128" i="12" s="1"/>
  <c r="AF128" i="12"/>
  <c r="AE128" i="12"/>
  <c r="AD128" i="12"/>
  <c r="AC128" i="12" a="1"/>
  <c r="AC128" i="12" s="1"/>
  <c r="AB128" i="12" a="1"/>
  <c r="AB128" i="12" s="1"/>
  <c r="AH128" i="12" a="1"/>
  <c r="AH128" i="12" s="1"/>
  <c r="B128" i="12"/>
  <c r="AG127" i="12" a="1"/>
  <c r="AG127" i="12" s="1"/>
  <c r="AF127" i="12"/>
  <c r="AE127" i="12"/>
  <c r="AD127" i="12"/>
  <c r="AC127" i="12" a="1"/>
  <c r="AC127" i="12" s="1"/>
  <c r="AB127" i="12" a="1"/>
  <c r="AB127" i="12" s="1"/>
  <c r="AH127" i="12" a="1"/>
  <c r="AH127" i="12" s="1"/>
  <c r="B127" i="12"/>
  <c r="AG126" i="12" a="1"/>
  <c r="AG126" i="12" s="1"/>
  <c r="AF126" i="12"/>
  <c r="AE126" i="12"/>
  <c r="AD126" i="12"/>
  <c r="AC126" i="12" a="1"/>
  <c r="AC126" i="12" s="1"/>
  <c r="AB126" i="12" a="1"/>
  <c r="AB126" i="12" s="1"/>
  <c r="AH126" i="12" a="1"/>
  <c r="AH126" i="12" s="1"/>
  <c r="B126" i="12"/>
  <c r="AG125" i="12" a="1"/>
  <c r="AG125" i="12" s="1"/>
  <c r="AF125" i="12"/>
  <c r="AE125" i="12"/>
  <c r="AD125" i="12"/>
  <c r="AC125" i="12" a="1"/>
  <c r="AC125" i="12" s="1"/>
  <c r="AB125" i="12" a="1"/>
  <c r="AB125" i="12" s="1"/>
  <c r="AH125" i="12" a="1"/>
  <c r="AH125" i="12" s="1"/>
  <c r="B125" i="12"/>
  <c r="AG124" i="12" a="1"/>
  <c r="AG124" i="12" s="1"/>
  <c r="AF124" i="12"/>
  <c r="AE124" i="12"/>
  <c r="AD124" i="12"/>
  <c r="AC124" i="12" a="1"/>
  <c r="AC124" i="12" s="1"/>
  <c r="AB124" i="12" a="1"/>
  <c r="AB124" i="12" s="1"/>
  <c r="AH124" i="12" a="1"/>
  <c r="AH124" i="12" s="1"/>
  <c r="B124" i="12"/>
  <c r="AG123" i="12" a="1"/>
  <c r="AG123" i="12" s="1"/>
  <c r="AF123" i="12"/>
  <c r="AE123" i="12"/>
  <c r="AD123" i="12"/>
  <c r="AC123" i="12" a="1"/>
  <c r="AC123" i="12" s="1"/>
  <c r="AB123" i="12" a="1"/>
  <c r="AB123" i="12" s="1"/>
  <c r="AH123" i="12" a="1"/>
  <c r="AH123" i="12" s="1"/>
  <c r="B123" i="12"/>
  <c r="AH122" i="12" a="1"/>
  <c r="AH122" i="12" s="1"/>
  <c r="AG122" i="12" a="1"/>
  <c r="AG122" i="12" s="1"/>
  <c r="AF122" i="12"/>
  <c r="AE122" i="12"/>
  <c r="AD122" i="12"/>
  <c r="AC122" i="12" a="1"/>
  <c r="AC122" i="12" s="1"/>
  <c r="AB122" i="12" a="1"/>
  <c r="AB122" i="12" s="1"/>
  <c r="B122" i="12"/>
  <c r="AG121" i="12"/>
  <c r="AG121" i="12" a="1"/>
  <c r="AF121" i="12"/>
  <c r="AE121" i="12"/>
  <c r="AD121" i="12"/>
  <c r="AC121" i="12" a="1"/>
  <c r="AC121" i="12" s="1"/>
  <c r="AB121" i="12" a="1"/>
  <c r="AB121" i="12" s="1"/>
  <c r="AH121" i="12" a="1"/>
  <c r="AH121" i="12" s="1"/>
  <c r="B121" i="12"/>
  <c r="AG120" i="12" a="1"/>
  <c r="AG120" i="12" s="1"/>
  <c r="AF120" i="12"/>
  <c r="AE120" i="12"/>
  <c r="AD120" i="12"/>
  <c r="AC120" i="12" a="1"/>
  <c r="AC120" i="12" s="1"/>
  <c r="AB120" i="12" a="1"/>
  <c r="AB120" i="12" s="1"/>
  <c r="AH120" i="12" a="1"/>
  <c r="AH120" i="12" s="1"/>
  <c r="B120" i="12"/>
  <c r="AG119" i="12" a="1"/>
  <c r="AG119" i="12" s="1"/>
  <c r="AF119" i="12"/>
  <c r="AE119" i="12"/>
  <c r="AD119" i="12"/>
  <c r="AC119" i="12" a="1"/>
  <c r="AC119" i="12" s="1"/>
  <c r="AB119" i="12" a="1"/>
  <c r="AB119" i="12" s="1"/>
  <c r="AH119" i="12" a="1"/>
  <c r="AH119" i="12" s="1"/>
  <c r="B119" i="12"/>
  <c r="AG118" i="12" a="1"/>
  <c r="AG118" i="12" s="1"/>
  <c r="AF118" i="12"/>
  <c r="AE118" i="12"/>
  <c r="AD118" i="12"/>
  <c r="AC118" i="12" a="1"/>
  <c r="AC118" i="12" s="1"/>
  <c r="AB118" i="12" a="1"/>
  <c r="AB118" i="12" s="1"/>
  <c r="AH118" i="12" a="1"/>
  <c r="AH118" i="12" s="1"/>
  <c r="B118" i="12"/>
  <c r="AG117" i="12" a="1"/>
  <c r="AG117" i="12" s="1"/>
  <c r="AF117" i="12"/>
  <c r="AE117" i="12"/>
  <c r="AD117" i="12"/>
  <c r="AC117" i="12" a="1"/>
  <c r="AC117" i="12" s="1"/>
  <c r="AB117" i="12" a="1"/>
  <c r="AB117" i="12" s="1"/>
  <c r="AH117" i="12" a="1"/>
  <c r="AH117" i="12" s="1"/>
  <c r="B117" i="12"/>
  <c r="AG116" i="12" a="1"/>
  <c r="AG116" i="12" s="1"/>
  <c r="AF116" i="12"/>
  <c r="AE116" i="12"/>
  <c r="AD116" i="12"/>
  <c r="AC116" i="12" a="1"/>
  <c r="AC116" i="12" s="1"/>
  <c r="AB116" i="12" a="1"/>
  <c r="AB116" i="12" s="1"/>
  <c r="AH116" i="12" a="1"/>
  <c r="AH116" i="12" s="1"/>
  <c r="B116" i="12"/>
  <c r="AG115" i="12" a="1"/>
  <c r="AG115" i="12" s="1"/>
  <c r="AF115" i="12"/>
  <c r="AE115" i="12"/>
  <c r="AD115" i="12"/>
  <c r="AC115" i="12" a="1"/>
  <c r="AC115" i="12" s="1"/>
  <c r="AB115" i="12" a="1"/>
  <c r="AB115" i="12" s="1"/>
  <c r="AH115" i="12" a="1"/>
  <c r="AH115" i="12" s="1"/>
  <c r="B115" i="12"/>
  <c r="AH114" i="12" a="1"/>
  <c r="AH114" i="12" s="1"/>
  <c r="AG114" i="12" a="1"/>
  <c r="AG114" i="12" s="1"/>
  <c r="AF114" i="12"/>
  <c r="AE114" i="12"/>
  <c r="AD114" i="12"/>
  <c r="AC114" i="12" a="1"/>
  <c r="AC114" i="12" s="1"/>
  <c r="AB114" i="12" a="1"/>
  <c r="AB114" i="12" s="1"/>
  <c r="B114" i="12"/>
  <c r="AG113" i="12" a="1"/>
  <c r="AG113" i="12" s="1"/>
  <c r="AF113" i="12"/>
  <c r="AE113" i="12"/>
  <c r="AD113" i="12"/>
  <c r="AC113" i="12" a="1"/>
  <c r="AC113" i="12" s="1"/>
  <c r="AB113" i="12" a="1"/>
  <c r="AB113" i="12" s="1"/>
  <c r="AH113" i="12" a="1"/>
  <c r="AH113" i="12" s="1"/>
  <c r="B113" i="12"/>
  <c r="AH112" i="12"/>
  <c r="AG112" i="12" a="1"/>
  <c r="AG112" i="12" s="1"/>
  <c r="AF112" i="12"/>
  <c r="AE112" i="12"/>
  <c r="AD112" i="12"/>
  <c r="AC112" i="12" a="1"/>
  <c r="AC112" i="12" s="1"/>
  <c r="AB112" i="12" a="1"/>
  <c r="AB112" i="12" s="1"/>
  <c r="AH112" i="12" a="1"/>
  <c r="B112" i="12"/>
  <c r="AH111" i="12" a="1"/>
  <c r="AH111" i="12" s="1"/>
  <c r="AG111" i="12" a="1"/>
  <c r="AG111" i="12" s="1"/>
  <c r="AF111" i="12"/>
  <c r="AE111" i="12"/>
  <c r="AD111" i="12"/>
  <c r="AC111" i="12" a="1"/>
  <c r="AC111" i="12" s="1"/>
  <c r="AB111" i="12" a="1"/>
  <c r="AB111" i="12" s="1"/>
  <c r="B111" i="12"/>
  <c r="AH110" i="12" a="1"/>
  <c r="AH110" i="12" s="1"/>
  <c r="AG110" i="12" a="1"/>
  <c r="AG110" i="12" s="1"/>
  <c r="AF110" i="12"/>
  <c r="AE110" i="12"/>
  <c r="AD110" i="12"/>
  <c r="AC110" i="12" a="1"/>
  <c r="AC110" i="12" s="1"/>
  <c r="AB110" i="12" a="1"/>
  <c r="AB110" i="12" s="1"/>
  <c r="B110" i="12"/>
  <c r="AG109" i="12" a="1"/>
  <c r="AG109" i="12" s="1"/>
  <c r="AF109" i="12"/>
  <c r="AE109" i="12"/>
  <c r="AD109" i="12"/>
  <c r="AC109" i="12" a="1"/>
  <c r="AC109" i="12" s="1"/>
  <c r="AB109" i="12" a="1"/>
  <c r="AB109" i="12" s="1"/>
  <c r="AH109" i="12" a="1"/>
  <c r="AH109" i="12" s="1"/>
  <c r="B109" i="12"/>
  <c r="AG108" i="12" a="1"/>
  <c r="AG108" i="12" s="1"/>
  <c r="AF108" i="12"/>
  <c r="AE108" i="12"/>
  <c r="AD108" i="12"/>
  <c r="AC108" i="12" a="1"/>
  <c r="AC108" i="12" s="1"/>
  <c r="AB108" i="12" a="1"/>
  <c r="AB108" i="12" s="1"/>
  <c r="AH108" i="12" a="1"/>
  <c r="AH108" i="12" s="1"/>
  <c r="B108" i="12"/>
  <c r="AG107" i="12"/>
  <c r="AG107" i="12" a="1"/>
  <c r="AF107" i="12"/>
  <c r="AE107" i="12"/>
  <c r="AD107" i="12"/>
  <c r="AC107" i="12" a="1"/>
  <c r="AC107" i="12" s="1"/>
  <c r="AB107" i="12" a="1"/>
  <c r="AB107" i="12" s="1"/>
  <c r="AH107" i="12" a="1"/>
  <c r="AH107" i="12" s="1"/>
  <c r="B107" i="12"/>
  <c r="AG106" i="12" a="1"/>
  <c r="AG106" i="12" s="1"/>
  <c r="AF106" i="12"/>
  <c r="AE106" i="12"/>
  <c r="AD106" i="12"/>
  <c r="AC106" i="12" a="1"/>
  <c r="AC106" i="12" s="1"/>
  <c r="AB106" i="12" a="1"/>
  <c r="AB106" i="12" s="1"/>
  <c r="AH106" i="12" a="1"/>
  <c r="AH106" i="12" s="1"/>
  <c r="B106" i="12"/>
  <c r="AG105" i="12" a="1"/>
  <c r="AG105" i="12" s="1"/>
  <c r="AF105" i="12"/>
  <c r="AE105" i="12"/>
  <c r="AD105" i="12"/>
  <c r="AC105" i="12" a="1"/>
  <c r="AC105" i="12" s="1"/>
  <c r="AB105" i="12" a="1"/>
  <c r="AB105" i="12" s="1"/>
  <c r="AH105" i="12" a="1"/>
  <c r="AH105" i="12" s="1"/>
  <c r="B105" i="12"/>
  <c r="AG104" i="12" a="1"/>
  <c r="AG104" i="12" s="1"/>
  <c r="AF104" i="12"/>
  <c r="AE104" i="12"/>
  <c r="AD104" i="12"/>
  <c r="AC104" i="12" a="1"/>
  <c r="AC104" i="12" s="1"/>
  <c r="AB104" i="12" a="1"/>
  <c r="AB104" i="12" s="1"/>
  <c r="AH104" i="12" a="1"/>
  <c r="AH104" i="12" s="1"/>
  <c r="B104" i="12"/>
  <c r="AG103" i="12" a="1"/>
  <c r="AG103" i="12" s="1"/>
  <c r="AF103" i="12"/>
  <c r="AE103" i="12"/>
  <c r="AD103" i="12"/>
  <c r="AC103" i="12" a="1"/>
  <c r="AC103" i="12" s="1"/>
  <c r="AB103" i="12" a="1"/>
  <c r="AB103" i="12" s="1"/>
  <c r="AH103" i="12" a="1"/>
  <c r="AH103" i="12" s="1"/>
  <c r="B103" i="12"/>
  <c r="AH102" i="12" a="1"/>
  <c r="AH102" i="12" s="1"/>
  <c r="AG102" i="12" a="1"/>
  <c r="AG102" i="12" s="1"/>
  <c r="AF102" i="12"/>
  <c r="AE102" i="12"/>
  <c r="AD102" i="12"/>
  <c r="AC102" i="12" a="1"/>
  <c r="AC102" i="12" s="1"/>
  <c r="AB102" i="12" a="1"/>
  <c r="AB102" i="12" s="1"/>
  <c r="B102" i="12"/>
  <c r="AG101" i="12" a="1"/>
  <c r="AG101" i="12" s="1"/>
  <c r="AF101" i="12"/>
  <c r="AE101" i="12"/>
  <c r="AD101" i="12"/>
  <c r="AC101" i="12" a="1"/>
  <c r="AC101" i="12" s="1"/>
  <c r="AB101" i="12" a="1"/>
  <c r="AB101" i="12" s="1"/>
  <c r="AH101" i="12" a="1"/>
  <c r="AH101" i="12" s="1"/>
  <c r="B101" i="12"/>
  <c r="AG100" i="12" a="1"/>
  <c r="AG100" i="12" s="1"/>
  <c r="AF100" i="12"/>
  <c r="AE100" i="12"/>
  <c r="AD100" i="12"/>
  <c r="AC100" i="12" a="1"/>
  <c r="AC100" i="12" s="1"/>
  <c r="AB100" i="12" a="1"/>
  <c r="AB100" i="12" s="1"/>
  <c r="AH100" i="12" a="1"/>
  <c r="AH100" i="12" s="1"/>
  <c r="B100" i="12"/>
  <c r="AG99" i="12" a="1"/>
  <c r="AG99" i="12" s="1"/>
  <c r="AF99" i="12"/>
  <c r="AE99" i="12"/>
  <c r="AD99" i="12"/>
  <c r="AC99" i="12" a="1"/>
  <c r="AC99" i="12" s="1"/>
  <c r="AB99" i="12" a="1"/>
  <c r="AB99" i="12" s="1"/>
  <c r="AH99" i="12" a="1"/>
  <c r="AH99" i="12" s="1"/>
  <c r="B99" i="12"/>
  <c r="AG98" i="12" a="1"/>
  <c r="AG98" i="12" s="1"/>
  <c r="AF98" i="12"/>
  <c r="AE98" i="12"/>
  <c r="AD98" i="12"/>
  <c r="AC98" i="12" a="1"/>
  <c r="AC98" i="12" s="1"/>
  <c r="AB98" i="12" a="1"/>
  <c r="AB98" i="12" s="1"/>
  <c r="AH98" i="12" a="1"/>
  <c r="AH98" i="12" s="1"/>
  <c r="B98" i="12"/>
  <c r="AG97" i="12" a="1"/>
  <c r="AG97" i="12" s="1"/>
  <c r="AF97" i="12"/>
  <c r="AE97" i="12"/>
  <c r="AD97" i="12"/>
  <c r="AC97" i="12" a="1"/>
  <c r="AC97" i="12" s="1"/>
  <c r="AB97" i="12" a="1"/>
  <c r="AB97" i="12" s="1"/>
  <c r="AH97" i="12" a="1"/>
  <c r="AH97" i="12" s="1"/>
  <c r="B97" i="12"/>
  <c r="AG96" i="12" a="1"/>
  <c r="AG96" i="12" s="1"/>
  <c r="AF96" i="12"/>
  <c r="AE96" i="12"/>
  <c r="AD96" i="12"/>
  <c r="AC96" i="12" a="1"/>
  <c r="AC96" i="12" s="1"/>
  <c r="AB96" i="12" a="1"/>
  <c r="AB96" i="12" s="1"/>
  <c r="AH96" i="12" a="1"/>
  <c r="AH96" i="12" s="1"/>
  <c r="B96" i="12"/>
  <c r="AG95" i="12" a="1"/>
  <c r="AG95" i="12" s="1"/>
  <c r="AF95" i="12"/>
  <c r="AE95" i="12"/>
  <c r="AD95" i="12"/>
  <c r="AC95" i="12" a="1"/>
  <c r="AC95" i="12" s="1"/>
  <c r="AB95" i="12" a="1"/>
  <c r="AB95" i="12" s="1"/>
  <c r="AH95" i="12" a="1"/>
  <c r="AH95" i="12" s="1"/>
  <c r="B95" i="12"/>
  <c r="AG94" i="12" a="1"/>
  <c r="AG94" i="12" s="1"/>
  <c r="AF94" i="12"/>
  <c r="AE94" i="12"/>
  <c r="AD94" i="12"/>
  <c r="AC94" i="12" a="1"/>
  <c r="AC94" i="12" s="1"/>
  <c r="AB94" i="12" a="1"/>
  <c r="AB94" i="12" s="1"/>
  <c r="AH94" i="12" a="1"/>
  <c r="AH94" i="12" s="1"/>
  <c r="B94" i="12"/>
  <c r="AG93" i="12" a="1"/>
  <c r="AG93" i="12" s="1"/>
  <c r="AF93" i="12"/>
  <c r="AE93" i="12"/>
  <c r="AD93" i="12"/>
  <c r="AC93" i="12" a="1"/>
  <c r="AC93" i="12" s="1"/>
  <c r="AB93" i="12" a="1"/>
  <c r="AB93" i="12" s="1"/>
  <c r="AH93" i="12" a="1"/>
  <c r="AH93" i="12" s="1"/>
  <c r="B93" i="12"/>
  <c r="AG92" i="12" a="1"/>
  <c r="AG92" i="12" s="1"/>
  <c r="AF92" i="12"/>
  <c r="AE92" i="12"/>
  <c r="AD92" i="12"/>
  <c r="AC92" i="12" a="1"/>
  <c r="AC92" i="12" s="1"/>
  <c r="AB92" i="12" a="1"/>
  <c r="AB92" i="12" s="1"/>
  <c r="AH92" i="12" a="1"/>
  <c r="AH92" i="12" s="1"/>
  <c r="B92" i="12"/>
  <c r="AG91" i="12" a="1"/>
  <c r="AG91" i="12" s="1"/>
  <c r="AF91" i="12"/>
  <c r="AE91" i="12"/>
  <c r="AD91" i="12"/>
  <c r="AC91" i="12" a="1"/>
  <c r="AC91" i="12" s="1"/>
  <c r="AB91" i="12" a="1"/>
  <c r="AB91" i="12" s="1"/>
  <c r="AH91" i="12" a="1"/>
  <c r="AH91" i="12" s="1"/>
  <c r="B91" i="12"/>
  <c r="AH90" i="12" a="1"/>
  <c r="AH90" i="12" s="1"/>
  <c r="AG90" i="12" a="1"/>
  <c r="AG90" i="12" s="1"/>
  <c r="AF90" i="12"/>
  <c r="AE90" i="12"/>
  <c r="AD90" i="12"/>
  <c r="AC90" i="12" a="1"/>
  <c r="AC90" i="12" s="1"/>
  <c r="AB90" i="12" a="1"/>
  <c r="AB90" i="12" s="1"/>
  <c r="B90" i="12"/>
  <c r="AG89" i="12" a="1"/>
  <c r="AG89" i="12" s="1"/>
  <c r="AF89" i="12"/>
  <c r="AE89" i="12"/>
  <c r="AD89" i="12"/>
  <c r="AC89" i="12" a="1"/>
  <c r="AC89" i="12" s="1"/>
  <c r="AB89" i="12" a="1"/>
  <c r="AB89" i="12" s="1"/>
  <c r="AH89" i="12" a="1"/>
  <c r="AH89" i="12" s="1"/>
  <c r="B89" i="12"/>
  <c r="AG88" i="12" a="1"/>
  <c r="AG88" i="12" s="1"/>
  <c r="AF88" i="12"/>
  <c r="AE88" i="12"/>
  <c r="AD88" i="12"/>
  <c r="AC88" i="12" a="1"/>
  <c r="AC88" i="12" s="1"/>
  <c r="AB88" i="12" a="1"/>
  <c r="AB88" i="12" s="1"/>
  <c r="AH88" i="12" a="1"/>
  <c r="AH88" i="12" s="1"/>
  <c r="B88" i="12"/>
  <c r="AG87" i="12" a="1"/>
  <c r="AG87" i="12" s="1"/>
  <c r="AF87" i="12"/>
  <c r="AE87" i="12"/>
  <c r="AD87" i="12"/>
  <c r="AC87" i="12" a="1"/>
  <c r="AC87" i="12" s="1"/>
  <c r="AB87" i="12" a="1"/>
  <c r="AB87" i="12" s="1"/>
  <c r="AH87" i="12" a="1"/>
  <c r="AH87" i="12" s="1"/>
  <c r="B87" i="12"/>
  <c r="AG86" i="12" a="1"/>
  <c r="AG86" i="12" s="1"/>
  <c r="AF86" i="12"/>
  <c r="AE86" i="12"/>
  <c r="AD86" i="12"/>
  <c r="AC86" i="12" a="1"/>
  <c r="AC86" i="12" s="1"/>
  <c r="AB86" i="12" a="1"/>
  <c r="AB86" i="12" s="1"/>
  <c r="AH86" i="12" a="1"/>
  <c r="AH86" i="12" s="1"/>
  <c r="B86" i="12"/>
  <c r="AG85" i="12" a="1"/>
  <c r="AG85" i="12" s="1"/>
  <c r="AF85" i="12"/>
  <c r="AE85" i="12"/>
  <c r="AD85" i="12"/>
  <c r="AC85" i="12" a="1"/>
  <c r="AC85" i="12" s="1"/>
  <c r="AB85" i="12" a="1"/>
  <c r="AB85" i="12" s="1"/>
  <c r="AH85" i="12" a="1"/>
  <c r="AH85" i="12" s="1"/>
  <c r="B85" i="12"/>
  <c r="AG84" i="12" a="1"/>
  <c r="AG84" i="12" s="1"/>
  <c r="AF84" i="12"/>
  <c r="AE84" i="12"/>
  <c r="AD84" i="12"/>
  <c r="AC84" i="12" a="1"/>
  <c r="AC84" i="12" s="1"/>
  <c r="AB84" i="12" a="1"/>
  <c r="AB84" i="12" s="1"/>
  <c r="AH84" i="12" a="1"/>
  <c r="AH84" i="12" s="1"/>
  <c r="B84" i="12"/>
  <c r="AG83" i="12"/>
  <c r="AG83" i="12" a="1"/>
  <c r="AF83" i="12"/>
  <c r="AE83" i="12"/>
  <c r="AD83" i="12"/>
  <c r="AC83" i="12" a="1"/>
  <c r="AC83" i="12" s="1"/>
  <c r="AB83" i="12" a="1"/>
  <c r="AB83" i="12" s="1"/>
  <c r="AH83" i="12" a="1"/>
  <c r="AH83" i="12" s="1"/>
  <c r="B83" i="12"/>
  <c r="AG82" i="12" a="1"/>
  <c r="AG82" i="12" s="1"/>
  <c r="AF82" i="12"/>
  <c r="AE82" i="12"/>
  <c r="AD82" i="12"/>
  <c r="AC82" i="12" a="1"/>
  <c r="AC82" i="12" s="1"/>
  <c r="AB82" i="12" a="1"/>
  <c r="AB82" i="12" s="1"/>
  <c r="AH82" i="12" a="1"/>
  <c r="AH82" i="12" s="1"/>
  <c r="B82" i="12"/>
  <c r="AG81" i="12" a="1"/>
  <c r="AG81" i="12" s="1"/>
  <c r="AF81" i="12"/>
  <c r="AE81" i="12"/>
  <c r="AD81" i="12"/>
  <c r="AC81" i="12" a="1"/>
  <c r="AC81" i="12" s="1"/>
  <c r="AB81" i="12" a="1"/>
  <c r="AB81" i="12" s="1"/>
  <c r="AH81" i="12" a="1"/>
  <c r="AH81" i="12" s="1"/>
  <c r="B81" i="12"/>
  <c r="AG80" i="12" a="1"/>
  <c r="AG80" i="12" s="1"/>
  <c r="AF80" i="12"/>
  <c r="AE80" i="12"/>
  <c r="AD80" i="12"/>
  <c r="AC80" i="12" a="1"/>
  <c r="AC80" i="12" s="1"/>
  <c r="AB80" i="12" a="1"/>
  <c r="AB80" i="12" s="1"/>
  <c r="AH80" i="12" a="1"/>
  <c r="AH80" i="12" s="1"/>
  <c r="B80" i="12"/>
  <c r="AG79" i="12" a="1"/>
  <c r="AG79" i="12" s="1"/>
  <c r="AF79" i="12"/>
  <c r="AE79" i="12"/>
  <c r="AD79" i="12"/>
  <c r="AC79" i="12" a="1"/>
  <c r="AC79" i="12" s="1"/>
  <c r="AB79" i="12" a="1"/>
  <c r="AB79" i="12" s="1"/>
  <c r="AH79" i="12" a="1"/>
  <c r="AH79" i="12" s="1"/>
  <c r="B79" i="12"/>
  <c r="AH78" i="12" a="1"/>
  <c r="AH78" i="12" s="1"/>
  <c r="AG78" i="12" a="1"/>
  <c r="AG78" i="12" s="1"/>
  <c r="AF78" i="12"/>
  <c r="AE78" i="12"/>
  <c r="AD78" i="12"/>
  <c r="AC78" i="12" a="1"/>
  <c r="AC78" i="12" s="1"/>
  <c r="AB78" i="12" a="1"/>
  <c r="AB78" i="12" s="1"/>
  <c r="B78" i="12"/>
  <c r="AG77" i="12" a="1"/>
  <c r="AG77" i="12" s="1"/>
  <c r="AF77" i="12"/>
  <c r="AE77" i="12"/>
  <c r="AD77" i="12"/>
  <c r="AC77" i="12" a="1"/>
  <c r="AC77" i="12" s="1"/>
  <c r="AB77" i="12"/>
  <c r="AB77" i="12" a="1"/>
  <c r="AH77" i="12" a="1"/>
  <c r="AH77" i="12" s="1"/>
  <c r="B77" i="12"/>
  <c r="AG76" i="12" a="1"/>
  <c r="AG76" i="12" s="1"/>
  <c r="AF76" i="12"/>
  <c r="AE76" i="12"/>
  <c r="AD76" i="12"/>
  <c r="AC76" i="12" a="1"/>
  <c r="AC76" i="12" s="1"/>
  <c r="AB76" i="12" a="1"/>
  <c r="AB76" i="12" s="1"/>
  <c r="AH76" i="12" a="1"/>
  <c r="AH76" i="12" s="1"/>
  <c r="B76" i="12"/>
  <c r="AG75" i="12" a="1"/>
  <c r="AG75" i="12" s="1"/>
  <c r="AF75" i="12"/>
  <c r="AE75" i="12"/>
  <c r="AD75" i="12"/>
  <c r="AC75" i="12" a="1"/>
  <c r="AC75" i="12" s="1"/>
  <c r="AB75" i="12" a="1"/>
  <c r="AB75" i="12" s="1"/>
  <c r="AH75" i="12" a="1"/>
  <c r="AH75" i="12" s="1"/>
  <c r="B75" i="12"/>
  <c r="AH74" i="12" a="1"/>
  <c r="AH74" i="12" s="1"/>
  <c r="AG74" i="12" a="1"/>
  <c r="AG74" i="12" s="1"/>
  <c r="AF74" i="12"/>
  <c r="AE74" i="12"/>
  <c r="AD74" i="12"/>
  <c r="AC74" i="12" a="1"/>
  <c r="AC74" i="12" s="1"/>
  <c r="AB74" i="12" a="1"/>
  <c r="AB74" i="12" s="1"/>
  <c r="B74" i="12"/>
  <c r="AG73" i="12" a="1"/>
  <c r="AG73" i="12" s="1"/>
  <c r="AF73" i="12"/>
  <c r="AE73" i="12"/>
  <c r="AD73" i="12"/>
  <c r="AC73" i="12" a="1"/>
  <c r="AC73" i="12" s="1"/>
  <c r="AB73" i="12" a="1"/>
  <c r="AB73" i="12" s="1"/>
  <c r="AH73" i="12" a="1"/>
  <c r="AH73" i="12" s="1"/>
  <c r="B73" i="12"/>
  <c r="AH72" i="12" a="1"/>
  <c r="AH72" i="12" s="1"/>
  <c r="AG72" i="12" a="1"/>
  <c r="AG72" i="12" s="1"/>
  <c r="AF72" i="12"/>
  <c r="AE72" i="12"/>
  <c r="AD72" i="12"/>
  <c r="AC72" i="12" a="1"/>
  <c r="AC72" i="12" s="1"/>
  <c r="AB72" i="12" a="1"/>
  <c r="AB72" i="12" s="1"/>
  <c r="B72" i="12"/>
  <c r="AH71" i="12" a="1"/>
  <c r="AH71" i="12" s="1"/>
  <c r="AG71" i="12"/>
  <c r="AG71" i="12" a="1"/>
  <c r="AF71" i="12"/>
  <c r="AE71" i="12"/>
  <c r="AD71" i="12"/>
  <c r="AC71" i="12" a="1"/>
  <c r="AC71" i="12" s="1"/>
  <c r="AB71" i="12" a="1"/>
  <c r="AB71" i="12" s="1"/>
  <c r="B71" i="12"/>
  <c r="AG70" i="12" a="1"/>
  <c r="AG70" i="12" s="1"/>
  <c r="AF70" i="12"/>
  <c r="AE70" i="12"/>
  <c r="AD70" i="12"/>
  <c r="AC70" i="12" a="1"/>
  <c r="AC70" i="12" s="1"/>
  <c r="AB70" i="12" a="1"/>
  <c r="AB70" i="12" s="1"/>
  <c r="AH70" i="12" a="1"/>
  <c r="AH70" i="12" s="1"/>
  <c r="B70" i="12"/>
  <c r="AH69" i="12" a="1"/>
  <c r="AH69" i="12" s="1"/>
  <c r="AG69" i="12" a="1"/>
  <c r="AG69" i="12" s="1"/>
  <c r="AF69" i="12"/>
  <c r="AE69" i="12"/>
  <c r="AD69" i="12"/>
  <c r="AC69" i="12" a="1"/>
  <c r="AC69" i="12" s="1"/>
  <c r="AB69" i="12" a="1"/>
  <c r="AB69" i="12" s="1"/>
  <c r="B69" i="12"/>
  <c r="AG68" i="12" a="1"/>
  <c r="AG68" i="12" s="1"/>
  <c r="AF68" i="12"/>
  <c r="AE68" i="12"/>
  <c r="AD68" i="12"/>
  <c r="AC68" i="12" a="1"/>
  <c r="AC68" i="12" s="1"/>
  <c r="AB68" i="12" a="1"/>
  <c r="AB68" i="12" s="1"/>
  <c r="AH68" i="12" a="1"/>
  <c r="AH68" i="12" s="1"/>
  <c r="B68" i="12"/>
  <c r="AG67" i="12" a="1"/>
  <c r="AG67" i="12" s="1"/>
  <c r="AF67" i="12"/>
  <c r="AE67" i="12"/>
  <c r="AD67" i="12"/>
  <c r="AC67" i="12" a="1"/>
  <c r="AC67" i="12" s="1"/>
  <c r="AB67" i="12" a="1"/>
  <c r="AB67" i="12" s="1"/>
  <c r="AH67" i="12" a="1"/>
  <c r="AH67" i="12" s="1"/>
  <c r="B67" i="12"/>
  <c r="AG66" i="12" a="1"/>
  <c r="AG66" i="12" s="1"/>
  <c r="AF66" i="12"/>
  <c r="AE66" i="12"/>
  <c r="AD66" i="12"/>
  <c r="AC66" i="12" a="1"/>
  <c r="AC66" i="12" s="1"/>
  <c r="AB66" i="12" a="1"/>
  <c r="AB66" i="12" s="1"/>
  <c r="AH66" i="12" a="1"/>
  <c r="AH66" i="12" s="1"/>
  <c r="B66" i="12"/>
  <c r="AG65" i="12" a="1"/>
  <c r="AG65" i="12" s="1"/>
  <c r="AF65" i="12"/>
  <c r="AE65" i="12"/>
  <c r="AD65" i="12"/>
  <c r="AC65" i="12" a="1"/>
  <c r="AC65" i="12" s="1"/>
  <c r="AB65" i="12" a="1"/>
  <c r="AB65" i="12" s="1"/>
  <c r="AH65" i="12" a="1"/>
  <c r="AH65" i="12" s="1"/>
  <c r="B65" i="12"/>
  <c r="AG64" i="12" a="1"/>
  <c r="AG64" i="12" s="1"/>
  <c r="AF64" i="12"/>
  <c r="AE64" i="12"/>
  <c r="AD64" i="12"/>
  <c r="AC64" i="12" a="1"/>
  <c r="AC64" i="12" s="1"/>
  <c r="AB64" i="12" a="1"/>
  <c r="AB64" i="12" s="1"/>
  <c r="AH64" i="12" a="1"/>
  <c r="AH64" i="12" s="1"/>
  <c r="B64" i="12"/>
  <c r="AG63" i="12" a="1"/>
  <c r="AG63" i="12" s="1"/>
  <c r="AF63" i="12"/>
  <c r="AE63" i="12"/>
  <c r="AD63" i="12"/>
  <c r="AC63" i="12" a="1"/>
  <c r="AC63" i="12" s="1"/>
  <c r="AB63" i="12" a="1"/>
  <c r="AB63" i="12" s="1"/>
  <c r="AH63" i="12" a="1"/>
  <c r="AH63" i="12" s="1"/>
  <c r="B63" i="12"/>
  <c r="AH62" i="12" a="1"/>
  <c r="AH62" i="12" s="1"/>
  <c r="AG62" i="12" a="1"/>
  <c r="AG62" i="12" s="1"/>
  <c r="AF62" i="12"/>
  <c r="AE62" i="12"/>
  <c r="AD62" i="12"/>
  <c r="AC62" i="12" a="1"/>
  <c r="AC62" i="12" s="1"/>
  <c r="AB62" i="12" a="1"/>
  <c r="AB62" i="12" s="1"/>
  <c r="B62" i="12"/>
  <c r="AH61" i="12" a="1"/>
  <c r="AH61" i="12" s="1"/>
  <c r="B61" i="12"/>
  <c r="AG60" i="12" a="1"/>
  <c r="AG60" i="12" s="1"/>
  <c r="AF60" i="12"/>
  <c r="AE60" i="12"/>
  <c r="AD60" i="12"/>
  <c r="AC60" i="12" a="1"/>
  <c r="AC60" i="12" s="1"/>
  <c r="AB60" i="12" a="1"/>
  <c r="AB60" i="12" s="1"/>
  <c r="AH60" i="12" a="1"/>
  <c r="AH60" i="12" s="1"/>
  <c r="B60" i="12"/>
  <c r="AG59" i="12" a="1"/>
  <c r="AG59" i="12" s="1"/>
  <c r="AF59" i="12"/>
  <c r="AE59" i="12"/>
  <c r="AD59" i="12"/>
  <c r="AC59" i="12" a="1"/>
  <c r="AC59" i="12" s="1"/>
  <c r="AB59" i="12" a="1"/>
  <c r="AB59" i="12" s="1"/>
  <c r="AH59" i="12" a="1"/>
  <c r="AH59" i="12" s="1"/>
  <c r="B59" i="12"/>
  <c r="AG58" i="12" a="1"/>
  <c r="AG58" i="12" s="1"/>
  <c r="AF58" i="12"/>
  <c r="AE58" i="12"/>
  <c r="AD58" i="12"/>
  <c r="AC58" i="12" a="1"/>
  <c r="AC58" i="12" s="1"/>
  <c r="AB58" i="12" a="1"/>
  <c r="AB58" i="12" s="1"/>
  <c r="AH58" i="12" a="1"/>
  <c r="AH58" i="12" s="1"/>
  <c r="B58" i="12"/>
  <c r="AG57" i="12" a="1"/>
  <c r="AG57" i="12" s="1"/>
  <c r="AF57" i="12"/>
  <c r="AE57" i="12"/>
  <c r="AD57" i="12"/>
  <c r="AC57" i="12" a="1"/>
  <c r="AC57" i="12" s="1"/>
  <c r="AB57" i="12"/>
  <c r="AB57" i="12" a="1"/>
  <c r="AH57" i="12" a="1"/>
  <c r="AH57" i="12" s="1"/>
  <c r="B57" i="12"/>
  <c r="AH56" i="12" a="1"/>
  <c r="AH56" i="12" s="1"/>
  <c r="AG56" i="12" a="1"/>
  <c r="AG56" i="12" s="1"/>
  <c r="AF56" i="12"/>
  <c r="AE56" i="12"/>
  <c r="AD56" i="12"/>
  <c r="AC56" i="12" a="1"/>
  <c r="AC56" i="12" s="1"/>
  <c r="AB56" i="12" a="1"/>
  <c r="AB56" i="12" s="1"/>
  <c r="B56" i="12"/>
  <c r="AG55" i="12" a="1"/>
  <c r="AG55" i="12" s="1"/>
  <c r="AF55" i="12"/>
  <c r="AE55" i="12"/>
  <c r="AD55" i="12"/>
  <c r="AC55" i="12" a="1"/>
  <c r="AC55" i="12" s="1"/>
  <c r="AB55" i="12" a="1"/>
  <c r="AB55" i="12" s="1"/>
  <c r="AH55" i="12" a="1"/>
  <c r="AH55" i="12" s="1"/>
  <c r="B55" i="12"/>
  <c r="AH54" i="12" a="1"/>
  <c r="AH54" i="12" s="1"/>
  <c r="AG54" i="12" a="1"/>
  <c r="AG54" i="12" s="1"/>
  <c r="AF54" i="12"/>
  <c r="AE54" i="12"/>
  <c r="AD54" i="12"/>
  <c r="AC54" i="12" a="1"/>
  <c r="AC54" i="12" s="1"/>
  <c r="AB54" i="12" a="1"/>
  <c r="AB54" i="12" s="1"/>
  <c r="B54" i="12"/>
  <c r="AG53" i="12" a="1"/>
  <c r="AG53" i="12" s="1"/>
  <c r="AF53" i="12"/>
  <c r="AE53" i="12"/>
  <c r="AD53" i="12"/>
  <c r="AC53" i="12" a="1"/>
  <c r="AC53" i="12" s="1"/>
  <c r="AB53" i="12" a="1"/>
  <c r="AB53" i="12" s="1"/>
  <c r="AH53" i="12" a="1"/>
  <c r="AH53" i="12" s="1"/>
  <c r="B53" i="12"/>
  <c r="AG52" i="12" a="1"/>
  <c r="AG52" i="12" s="1"/>
  <c r="AF52" i="12"/>
  <c r="AE52" i="12"/>
  <c r="AD52" i="12"/>
  <c r="AC52" i="12" a="1"/>
  <c r="AC52" i="12" s="1"/>
  <c r="AB52" i="12" a="1"/>
  <c r="AB52" i="12" s="1"/>
  <c r="AH52" i="12" a="1"/>
  <c r="AH52" i="12" s="1"/>
  <c r="B52" i="12"/>
  <c r="AG51" i="12" a="1"/>
  <c r="AG51" i="12" s="1"/>
  <c r="AF51" i="12"/>
  <c r="AE51" i="12"/>
  <c r="AD51" i="12"/>
  <c r="AC51" i="12" a="1"/>
  <c r="AC51" i="12" s="1"/>
  <c r="AB51" i="12" a="1"/>
  <c r="AB51" i="12" s="1"/>
  <c r="AH51" i="12" a="1"/>
  <c r="AH51" i="12" s="1"/>
  <c r="B51" i="12"/>
  <c r="AH50" i="12" a="1"/>
  <c r="AH50" i="12" s="1"/>
  <c r="AG50" i="12" a="1"/>
  <c r="AG50" i="12" s="1"/>
  <c r="AF50" i="12"/>
  <c r="AE50" i="12"/>
  <c r="AD50" i="12"/>
  <c r="AC50" i="12" a="1"/>
  <c r="AC50" i="12" s="1"/>
  <c r="AB50" i="12" a="1"/>
  <c r="AB50" i="12" s="1"/>
  <c r="B50" i="12"/>
  <c r="AG49" i="12" a="1"/>
  <c r="AG49" i="12" s="1"/>
  <c r="AF49" i="12"/>
  <c r="AE49" i="12"/>
  <c r="AD49" i="12"/>
  <c r="AC49" i="12" a="1"/>
  <c r="AC49" i="12" s="1"/>
  <c r="AB49" i="12" a="1"/>
  <c r="AB49" i="12" s="1"/>
  <c r="AH49" i="12" a="1"/>
  <c r="AH49" i="12" s="1"/>
  <c r="B49" i="12"/>
  <c r="AG48" i="12" a="1"/>
  <c r="AG48" i="12" s="1"/>
  <c r="AF48" i="12"/>
  <c r="AE48" i="12"/>
  <c r="AD48" i="12"/>
  <c r="AC48" i="12" a="1"/>
  <c r="AC48" i="12" s="1"/>
  <c r="AB48" i="12" a="1"/>
  <c r="AB48" i="12" s="1"/>
  <c r="AH48" i="12" a="1"/>
  <c r="AH48" i="12" s="1"/>
  <c r="B48" i="12"/>
  <c r="AH47" i="12" a="1"/>
  <c r="AH47" i="12" s="1"/>
  <c r="AG47" i="12" a="1"/>
  <c r="AG47" i="12" s="1"/>
  <c r="AF47" i="12"/>
  <c r="AE47" i="12"/>
  <c r="AD47" i="12"/>
  <c r="AC47" i="12" a="1"/>
  <c r="AC47" i="12" s="1"/>
  <c r="AB47" i="12" a="1"/>
  <c r="AB47" i="12" s="1"/>
  <c r="B47" i="12"/>
  <c r="AG46" i="12" a="1"/>
  <c r="AG46" i="12" s="1"/>
  <c r="AF46" i="12"/>
  <c r="AE46" i="12"/>
  <c r="AD46" i="12"/>
  <c r="AC46" i="12" a="1"/>
  <c r="AC46" i="12" s="1"/>
  <c r="AB46" i="12" a="1"/>
  <c r="AB46" i="12" s="1"/>
  <c r="AH46" i="12" a="1"/>
  <c r="AH46" i="12" s="1"/>
  <c r="B46" i="12"/>
  <c r="AG45" i="12" a="1"/>
  <c r="AG45" i="12" s="1"/>
  <c r="AF45" i="12"/>
  <c r="AE45" i="12"/>
  <c r="AD45" i="12"/>
  <c r="AC45" i="12" a="1"/>
  <c r="AC45" i="12" s="1"/>
  <c r="AB45" i="12" a="1"/>
  <c r="AB45" i="12" s="1"/>
  <c r="AH45" i="12" a="1"/>
  <c r="AH45" i="12" s="1"/>
  <c r="B45" i="12"/>
  <c r="AH44" i="12" a="1"/>
  <c r="AH44" i="12" s="1"/>
  <c r="AG44" i="12" a="1"/>
  <c r="AG44" i="12" s="1"/>
  <c r="AF44" i="12"/>
  <c r="AE44" i="12"/>
  <c r="AD44" i="12"/>
  <c r="AC44" i="12" a="1"/>
  <c r="AC44" i="12" s="1"/>
  <c r="AB44" i="12" a="1"/>
  <c r="AB44" i="12" s="1"/>
  <c r="B44" i="12"/>
  <c r="AG43" i="12" a="1"/>
  <c r="AG43" i="12" s="1"/>
  <c r="AF43" i="12"/>
  <c r="AE43" i="12"/>
  <c r="AD43" i="12"/>
  <c r="AC43" i="12" a="1"/>
  <c r="AC43" i="12" s="1"/>
  <c r="AB43" i="12" a="1"/>
  <c r="AB43" i="12" s="1"/>
  <c r="AH43" i="12" a="1"/>
  <c r="AH43" i="12" s="1"/>
  <c r="B43" i="12"/>
  <c r="AG42" i="12" a="1"/>
  <c r="AG42" i="12" s="1"/>
  <c r="AF42" i="12"/>
  <c r="AE42" i="12"/>
  <c r="AD42" i="12"/>
  <c r="AC42" i="12" a="1"/>
  <c r="AC42" i="12" s="1"/>
  <c r="AB42" i="12" a="1"/>
  <c r="AB42" i="12" s="1"/>
  <c r="AH42" i="12" a="1"/>
  <c r="AH42" i="12" s="1"/>
  <c r="B42" i="12"/>
  <c r="AG41" i="12" a="1"/>
  <c r="AG41" i="12" s="1"/>
  <c r="AF41" i="12"/>
  <c r="AE41" i="12"/>
  <c r="AD41" i="12"/>
  <c r="AC41" i="12" a="1"/>
  <c r="AC41" i="12" s="1"/>
  <c r="AB41" i="12" a="1"/>
  <c r="AB41" i="12" s="1"/>
  <c r="AH41" i="12" a="1"/>
  <c r="AH41" i="12" s="1"/>
  <c r="B41" i="12"/>
  <c r="AG40" i="12" a="1"/>
  <c r="AG40" i="12" s="1"/>
  <c r="AF40" i="12"/>
  <c r="AE40" i="12"/>
  <c r="AD40" i="12"/>
  <c r="AC40" i="12" a="1"/>
  <c r="AC40" i="12" s="1"/>
  <c r="AB40" i="12" a="1"/>
  <c r="AB40" i="12" s="1"/>
  <c r="AH40" i="12" a="1"/>
  <c r="AH40" i="12" s="1"/>
  <c r="B40" i="12"/>
  <c r="AG39" i="12" a="1"/>
  <c r="AG39" i="12" s="1"/>
  <c r="AF39" i="12"/>
  <c r="AE39" i="12"/>
  <c r="AD39" i="12"/>
  <c r="AC39" i="12" a="1"/>
  <c r="AC39" i="12" s="1"/>
  <c r="AB39" i="12" a="1"/>
  <c r="AB39" i="12" s="1"/>
  <c r="AH39" i="12" a="1"/>
  <c r="AH39" i="12" s="1"/>
  <c r="B39" i="12"/>
  <c r="AH38" i="12" a="1"/>
  <c r="AH38" i="12" s="1"/>
  <c r="AG38" i="12" a="1"/>
  <c r="AG38" i="12" s="1"/>
  <c r="AF38" i="12"/>
  <c r="AE38" i="12"/>
  <c r="AD38" i="12"/>
  <c r="AC38" i="12" a="1"/>
  <c r="AC38" i="12" s="1"/>
  <c r="AB38" i="12" a="1"/>
  <c r="AB38" i="12" s="1"/>
  <c r="B38" i="12"/>
  <c r="AG37" i="12"/>
  <c r="AG37" i="12" a="1"/>
  <c r="AF37" i="12"/>
  <c r="AE37" i="12"/>
  <c r="AD37" i="12"/>
  <c r="AC37" i="12" a="1"/>
  <c r="AC37" i="12" s="1"/>
  <c r="AB37" i="12" a="1"/>
  <c r="AB37" i="12" s="1"/>
  <c r="AH37" i="12" a="1"/>
  <c r="AH37" i="12" s="1"/>
  <c r="B37" i="12"/>
  <c r="AG36" i="12" a="1"/>
  <c r="AG36" i="12" s="1"/>
  <c r="AF36" i="12"/>
  <c r="AE36" i="12"/>
  <c r="AD36" i="12"/>
  <c r="AC36" i="12" a="1"/>
  <c r="AC36" i="12" s="1"/>
  <c r="AB36" i="12" a="1"/>
  <c r="AB36" i="12" s="1"/>
  <c r="AH36" i="12" a="1"/>
  <c r="AH36" i="12" s="1"/>
  <c r="B36" i="12"/>
  <c r="AH35" i="12" a="1"/>
  <c r="AH35" i="12" s="1"/>
  <c r="AG35" i="12" a="1"/>
  <c r="AG35" i="12" s="1"/>
  <c r="AF35" i="12"/>
  <c r="AE35" i="12"/>
  <c r="AD35" i="12"/>
  <c r="AC35" i="12" a="1"/>
  <c r="AC35" i="12" s="1"/>
  <c r="AB35" i="12" a="1"/>
  <c r="AB35" i="12" s="1"/>
  <c r="B35" i="12"/>
  <c r="AH34" i="12" a="1"/>
  <c r="AH34" i="12" s="1"/>
  <c r="AG34" i="12" a="1"/>
  <c r="AG34" i="12" s="1"/>
  <c r="AF34" i="12"/>
  <c r="AE34" i="12"/>
  <c r="AD34" i="12"/>
  <c r="AC34" i="12" a="1"/>
  <c r="AC34" i="12" s="1"/>
  <c r="AB34" i="12" a="1"/>
  <c r="AB34" i="12" s="1"/>
  <c r="B34" i="12"/>
  <c r="AH33" i="12"/>
  <c r="AG33" i="12" a="1"/>
  <c r="AG33" i="12" s="1"/>
  <c r="AF33" i="12"/>
  <c r="AE33" i="12"/>
  <c r="AD33" i="12"/>
  <c r="AC33" i="12" a="1"/>
  <c r="AC33" i="12" s="1"/>
  <c r="AB33" i="12" a="1"/>
  <c r="AB33" i="12" s="1"/>
  <c r="AH33" i="12" a="1"/>
  <c r="B33" i="12"/>
  <c r="AG32" i="12" a="1"/>
  <c r="AG32" i="12" s="1"/>
  <c r="AF32" i="12"/>
  <c r="AE32" i="12"/>
  <c r="AD32" i="12"/>
  <c r="AC32" i="12" a="1"/>
  <c r="AC32" i="12" s="1"/>
  <c r="AB32" i="12" a="1"/>
  <c r="AB32" i="12" s="1"/>
  <c r="AH32" i="12" a="1"/>
  <c r="AH32" i="12" s="1"/>
  <c r="B32" i="12"/>
  <c r="AG31" i="12" a="1"/>
  <c r="AG31" i="12" s="1"/>
  <c r="AF31" i="12"/>
  <c r="AE31" i="12"/>
  <c r="AD31" i="12"/>
  <c r="AC31" i="12" a="1"/>
  <c r="AC31" i="12" s="1"/>
  <c r="AB31" i="12" a="1"/>
  <c r="AB31" i="12" s="1"/>
  <c r="AH31" i="12" a="1"/>
  <c r="AH31" i="12" s="1"/>
  <c r="B31" i="12"/>
  <c r="AG30" i="12" a="1"/>
  <c r="AG30" i="12" s="1"/>
  <c r="AF30" i="12"/>
  <c r="AE30" i="12"/>
  <c r="AD30" i="12"/>
  <c r="AC30" i="12" a="1"/>
  <c r="AC30" i="12" s="1"/>
  <c r="AB30" i="12" a="1"/>
  <c r="AB30" i="12" s="1"/>
  <c r="AH30" i="12" a="1"/>
  <c r="AH30" i="12" s="1"/>
  <c r="B30" i="12"/>
  <c r="AG29" i="12" a="1"/>
  <c r="AG29" i="12" s="1"/>
  <c r="AF29" i="12"/>
  <c r="AE29" i="12"/>
  <c r="AD29" i="12"/>
  <c r="AC29" i="12" a="1"/>
  <c r="AC29" i="12" s="1"/>
  <c r="AB29" i="12" a="1"/>
  <c r="AB29" i="12" s="1"/>
  <c r="AH29" i="12" a="1"/>
  <c r="AH29" i="12" s="1"/>
  <c r="B29" i="12"/>
  <c r="AG28" i="12" a="1"/>
  <c r="AG28" i="12" s="1"/>
  <c r="AF28" i="12"/>
  <c r="AE28" i="12"/>
  <c r="AD28" i="12"/>
  <c r="AC28" i="12" a="1"/>
  <c r="AC28" i="12" s="1"/>
  <c r="AB28" i="12" a="1"/>
  <c r="AB28" i="12" s="1"/>
  <c r="AH28" i="12" a="1"/>
  <c r="AH28" i="12" s="1"/>
  <c r="B28" i="12"/>
  <c r="AG27" i="12" a="1"/>
  <c r="AG27" i="12" s="1"/>
  <c r="AF27" i="12"/>
  <c r="AE27" i="12"/>
  <c r="AD27" i="12"/>
  <c r="AC27" i="12" a="1"/>
  <c r="AC27" i="12" s="1"/>
  <c r="AB27" i="12" a="1"/>
  <c r="AB27" i="12" s="1"/>
  <c r="AH27" i="12" a="1"/>
  <c r="AH27" i="12" s="1"/>
  <c r="B27" i="12"/>
  <c r="AG26" i="12" a="1"/>
  <c r="AG26" i="12" s="1"/>
  <c r="AF26" i="12"/>
  <c r="AE26" i="12"/>
  <c r="AD26" i="12"/>
  <c r="AC26" i="12" a="1"/>
  <c r="AC26" i="12" s="1"/>
  <c r="AB26" i="12" a="1"/>
  <c r="AB26" i="12" s="1"/>
  <c r="AH26" i="12" a="1"/>
  <c r="AH26" i="12" s="1"/>
  <c r="B26" i="12"/>
  <c r="AG25" i="12" a="1"/>
  <c r="AG25" i="12" s="1"/>
  <c r="AF25" i="12"/>
  <c r="AE25" i="12"/>
  <c r="AD25" i="12"/>
  <c r="AC25" i="12" a="1"/>
  <c r="AC25" i="12" s="1"/>
  <c r="AB25" i="12" a="1"/>
  <c r="AB25" i="12" s="1"/>
  <c r="AH25" i="12" a="1"/>
  <c r="AH25" i="12" s="1"/>
  <c r="B25" i="12"/>
  <c r="AG24" i="12" a="1"/>
  <c r="AG24" i="12" s="1"/>
  <c r="AF24" i="12"/>
  <c r="AE24" i="12"/>
  <c r="AD24" i="12"/>
  <c r="AC24" i="12" a="1"/>
  <c r="AC24" i="12" s="1"/>
  <c r="AB24" i="12" a="1"/>
  <c r="AB24" i="12" s="1"/>
  <c r="AH24" i="12" a="1"/>
  <c r="AH24" i="12" s="1"/>
  <c r="B24" i="12"/>
  <c r="AG23" i="12" a="1"/>
  <c r="AG23" i="12" s="1"/>
  <c r="AF23" i="12"/>
  <c r="AE23" i="12"/>
  <c r="AD23" i="12"/>
  <c r="AC23" i="12" a="1"/>
  <c r="AC23" i="12" s="1"/>
  <c r="AB23" i="12" a="1"/>
  <c r="AB23" i="12" s="1"/>
  <c r="AH23" i="12" a="1"/>
  <c r="AH23" i="12" s="1"/>
  <c r="B23" i="12"/>
  <c r="AG22" i="12" a="1"/>
  <c r="AG22" i="12" s="1"/>
  <c r="AF22" i="12"/>
  <c r="AE22" i="12"/>
  <c r="AD22" i="12"/>
  <c r="AC22" i="12" a="1"/>
  <c r="AC22" i="12" s="1"/>
  <c r="AB22" i="12" a="1"/>
  <c r="AB22" i="12" s="1"/>
  <c r="AH22" i="12" a="1"/>
  <c r="AH22" i="12" s="1"/>
  <c r="B22" i="12"/>
  <c r="AG21" i="12" a="1"/>
  <c r="AG21" i="12" s="1"/>
  <c r="AF21" i="12"/>
  <c r="AE21" i="12"/>
  <c r="AD21" i="12"/>
  <c r="AC21" i="12" a="1"/>
  <c r="AC21" i="12" s="1"/>
  <c r="AB21" i="12" a="1"/>
  <c r="AB21" i="12" s="1"/>
  <c r="AH21" i="12" a="1"/>
  <c r="AH21" i="12" s="1"/>
  <c r="B21" i="12"/>
  <c r="AG20" i="12"/>
  <c r="AG20" i="12" a="1"/>
  <c r="AF20" i="12"/>
  <c r="AE20" i="12"/>
  <c r="AD20" i="12"/>
  <c r="AC20" i="12" a="1"/>
  <c r="AC20" i="12" s="1"/>
  <c r="AB20" i="12" a="1"/>
  <c r="AB20" i="12" s="1"/>
  <c r="AH20" i="12" a="1"/>
  <c r="AH20" i="12" s="1"/>
  <c r="B20" i="12"/>
  <c r="AG19" i="12" a="1"/>
  <c r="AG19" i="12" s="1"/>
  <c r="AF19" i="12"/>
  <c r="AE19" i="12"/>
  <c r="AD19" i="12"/>
  <c r="AC19" i="12" a="1"/>
  <c r="AC19" i="12" s="1"/>
  <c r="AB19" i="12" a="1"/>
  <c r="AB19" i="12" s="1"/>
  <c r="AH19" i="12" a="1"/>
  <c r="AH19" i="12" s="1"/>
  <c r="B19" i="12"/>
  <c r="AG18" i="12"/>
  <c r="AG18" i="12" a="1"/>
  <c r="AF18" i="12"/>
  <c r="AE18" i="12"/>
  <c r="AD18" i="12"/>
  <c r="AC18" i="12" a="1"/>
  <c r="AC18" i="12" s="1"/>
  <c r="AB18" i="12" a="1"/>
  <c r="AB18" i="12" s="1"/>
  <c r="AH18" i="12" a="1"/>
  <c r="AH18" i="12" s="1"/>
  <c r="B18" i="12"/>
  <c r="AG17" i="12" a="1"/>
  <c r="AG17" i="12" s="1"/>
  <c r="AF17" i="12"/>
  <c r="AE17" i="12"/>
  <c r="AD17" i="12"/>
  <c r="AC17" i="12" a="1"/>
  <c r="AC17" i="12" s="1"/>
  <c r="AB17" i="12" a="1"/>
  <c r="AB17" i="12" s="1"/>
  <c r="AH17" i="12" a="1"/>
  <c r="AH17" i="12" s="1"/>
  <c r="B17" i="12"/>
  <c r="AG16" i="12" a="1"/>
  <c r="AG16" i="12" s="1"/>
  <c r="AF16" i="12"/>
  <c r="AE16" i="12"/>
  <c r="AD16" i="12"/>
  <c r="AC16" i="12" a="1"/>
  <c r="AC16" i="12" s="1"/>
  <c r="AB16" i="12" a="1"/>
  <c r="AB16" i="12" s="1"/>
  <c r="AH16" i="12" a="1"/>
  <c r="AH16" i="12" s="1"/>
  <c r="B16" i="12"/>
  <c r="AG15" i="12" a="1"/>
  <c r="AG15" i="12" s="1"/>
  <c r="AF15" i="12"/>
  <c r="AE15" i="12"/>
  <c r="AD15" i="12"/>
  <c r="AC15" i="12" a="1"/>
  <c r="AC15" i="12" s="1"/>
  <c r="AB15" i="12" a="1"/>
  <c r="AB15" i="12" s="1"/>
  <c r="AH15" i="12" a="1"/>
  <c r="AH15" i="12" s="1"/>
  <c r="B15" i="12"/>
  <c r="AG14" i="12"/>
  <c r="AG14" i="12" a="1"/>
  <c r="AF14" i="12"/>
  <c r="AE14" i="12"/>
  <c r="AD14" i="12"/>
  <c r="AC14" i="12" a="1"/>
  <c r="AC14" i="12" s="1"/>
  <c r="AB14" i="12" a="1"/>
  <c r="AB14" i="12" s="1"/>
  <c r="AH14" i="12" a="1"/>
  <c r="AH14" i="12" s="1"/>
  <c r="B14" i="12"/>
  <c r="AG13" i="12" a="1"/>
  <c r="AG13" i="12" s="1"/>
  <c r="AF13" i="12"/>
  <c r="AE13" i="12"/>
  <c r="AD13" i="12"/>
  <c r="AC13" i="12" a="1"/>
  <c r="AC13" i="12" s="1"/>
  <c r="AB13" i="12" a="1"/>
  <c r="AB13" i="12" s="1"/>
  <c r="AH13" i="12" a="1"/>
  <c r="AH13" i="12" s="1"/>
  <c r="B13" i="12"/>
  <c r="AG12" i="12"/>
  <c r="AG12" i="12" a="1"/>
  <c r="AF12" i="12"/>
  <c r="AE12" i="12"/>
  <c r="AD12" i="12"/>
  <c r="AC12" i="12" a="1"/>
  <c r="AC12" i="12" s="1"/>
  <c r="AB12" i="12" a="1"/>
  <c r="AB12" i="12" s="1"/>
  <c r="AH12" i="12" a="1"/>
  <c r="AH12" i="12" s="1"/>
  <c r="B12" i="12"/>
  <c r="AG11" i="12" a="1"/>
  <c r="AG11" i="12" s="1"/>
  <c r="AF11" i="12"/>
  <c r="AE11" i="12"/>
  <c r="AD11" i="12"/>
  <c r="AC11" i="12" a="1"/>
  <c r="AC11" i="12" s="1"/>
  <c r="AB11" i="12" a="1"/>
  <c r="AB11" i="12" s="1"/>
  <c r="AH11" i="12" a="1"/>
  <c r="AH11" i="12" s="1"/>
  <c r="B11" i="12"/>
  <c r="AG10" i="12"/>
  <c r="AG10" i="12" a="1"/>
  <c r="AF10" i="12"/>
  <c r="AE10" i="12"/>
  <c r="AD10" i="12"/>
  <c r="AC10" i="12" a="1"/>
  <c r="AC10" i="12" s="1"/>
  <c r="AB10" i="12" a="1"/>
  <c r="AB10" i="12" s="1"/>
  <c r="AH10" i="12" a="1"/>
  <c r="AH10" i="12" s="1"/>
  <c r="B10" i="12"/>
  <c r="AG9" i="12" a="1"/>
  <c r="AG9" i="12" s="1"/>
  <c r="AF9" i="12"/>
  <c r="AE9" i="12"/>
  <c r="AD9" i="12"/>
  <c r="AC9" i="12" a="1"/>
  <c r="AC9" i="12" s="1"/>
  <c r="AB9" i="12" a="1"/>
  <c r="AB9" i="12" s="1"/>
  <c r="AH9" i="12" a="1"/>
  <c r="AH9" i="12" s="1"/>
  <c r="B9" i="12"/>
  <c r="AG8" i="12" a="1"/>
  <c r="AG8" i="12" s="1"/>
  <c r="AF8" i="12"/>
  <c r="AE8" i="12"/>
  <c r="AD8" i="12"/>
  <c r="AC8" i="12" a="1"/>
  <c r="AC8" i="12" s="1"/>
  <c r="AB8" i="12" a="1"/>
  <c r="AB8" i="12" s="1"/>
  <c r="AH8" i="12" a="1"/>
  <c r="AH8" i="12" s="1"/>
  <c r="B8" i="12"/>
  <c r="AG7" i="12" a="1"/>
  <c r="AG7" i="12" s="1"/>
  <c r="AF7" i="12"/>
  <c r="AE7" i="12"/>
  <c r="AD7" i="12"/>
  <c r="AC7" i="12" a="1"/>
  <c r="AC7" i="12" s="1"/>
  <c r="AB7" i="12" a="1"/>
  <c r="AB7" i="12" s="1"/>
  <c r="AH7" i="12" a="1"/>
  <c r="AH7" i="12" s="1"/>
  <c r="B7" i="12"/>
  <c r="Y47" i="5" a="1"/>
  <c r="Y47" i="5" s="1"/>
  <c r="X47" i="5" a="1"/>
  <c r="X47" i="5" s="1"/>
  <c r="F7" i="5"/>
  <c r="F8" i="5"/>
  <c r="F9" i="5"/>
  <c r="F10" i="5"/>
  <c r="F11" i="5"/>
  <c r="F12" i="5"/>
  <c r="F13" i="5"/>
  <c r="F14" i="5"/>
  <c r="F15" i="5"/>
  <c r="F16" i="5"/>
  <c r="F17" i="5"/>
  <c r="F19" i="5"/>
  <c r="F18" i="5"/>
  <c r="F20" i="5"/>
  <c r="F22" i="5"/>
  <c r="F21" i="5"/>
  <c r="F23" i="5"/>
  <c r="F24" i="5"/>
  <c r="F25" i="5"/>
  <c r="F26" i="5"/>
  <c r="F27" i="5"/>
  <c r="F28" i="5"/>
  <c r="F29" i="5"/>
  <c r="F30" i="5"/>
  <c r="F31" i="5"/>
  <c r="F32" i="5"/>
  <c r="F33" i="5"/>
  <c r="F39" i="5"/>
  <c r="F34" i="5"/>
  <c r="F36" i="5"/>
  <c r="F37" i="5"/>
  <c r="F35" i="5"/>
  <c r="F38" i="5"/>
  <c r="F40" i="5"/>
  <c r="F41" i="5"/>
  <c r="F42" i="5"/>
  <c r="F44" i="5"/>
  <c r="F43" i="5"/>
  <c r="F45" i="5"/>
  <c r="F46" i="5"/>
  <c r="F48" i="5"/>
  <c r="F49" i="5"/>
  <c r="F50" i="5"/>
  <c r="F52" i="5"/>
  <c r="F51" i="5"/>
  <c r="F55" i="5"/>
  <c r="F54" i="5"/>
  <c r="F56" i="5"/>
  <c r="F53" i="5"/>
  <c r="F57" i="5"/>
  <c r="F58" i="5"/>
  <c r="F59" i="5"/>
  <c r="F60" i="5"/>
  <c r="F62" i="5"/>
  <c r="F63" i="5"/>
  <c r="F64" i="5"/>
  <c r="F65" i="5"/>
  <c r="F66" i="5"/>
  <c r="F68" i="5"/>
  <c r="F67" i="5"/>
  <c r="F47" i="5"/>
  <c r="F69" i="5"/>
  <c r="F70" i="5"/>
  <c r="F71" i="5"/>
  <c r="F73" i="5"/>
  <c r="F72" i="5"/>
  <c r="F74" i="5"/>
  <c r="F75" i="5"/>
  <c r="F77" i="5"/>
  <c r="F76" i="5"/>
  <c r="F78" i="5"/>
  <c r="F79" i="5"/>
  <c r="F80" i="5"/>
  <c r="F84" i="5"/>
  <c r="F81" i="5"/>
  <c r="F82" i="5"/>
  <c r="F83" i="5"/>
  <c r="F85" i="5"/>
  <c r="F86" i="5"/>
  <c r="F87" i="5"/>
  <c r="F88" i="5"/>
  <c r="F89" i="5"/>
  <c r="F90" i="5"/>
  <c r="F91" i="5"/>
  <c r="F92" i="5"/>
  <c r="F94" i="5"/>
  <c r="F93" i="5"/>
  <c r="F95" i="5"/>
  <c r="F96" i="5"/>
  <c r="F97" i="5"/>
  <c r="F98" i="5"/>
  <c r="F99" i="5"/>
  <c r="F100" i="5"/>
  <c r="F101" i="5"/>
  <c r="F102" i="5"/>
  <c r="F103" i="5"/>
  <c r="F109" i="5"/>
  <c r="F104" i="5"/>
  <c r="F105" i="5"/>
  <c r="F106" i="5"/>
  <c r="F107" i="5"/>
  <c r="F108" i="5"/>
  <c r="F110" i="5"/>
  <c r="F111" i="5"/>
  <c r="F112" i="5"/>
  <c r="F113" i="5"/>
  <c r="F114" i="5"/>
  <c r="F115" i="5"/>
  <c r="F117" i="5"/>
  <c r="F116" i="5"/>
  <c r="F118" i="5"/>
  <c r="F119" i="5"/>
  <c r="F120" i="5"/>
  <c r="F122" i="5"/>
  <c r="F121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5" i="5"/>
  <c r="F152" i="5"/>
  <c r="F153" i="5"/>
  <c r="F154" i="5"/>
  <c r="F156" i="5"/>
  <c r="F157" i="5"/>
  <c r="F158" i="5"/>
  <c r="F160" i="5"/>
  <c r="F159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AA7" i="5" a="1"/>
  <c r="AA7" i="5" s="1"/>
  <c r="AA8" i="5" a="1"/>
  <c r="AA8" i="5" s="1"/>
  <c r="AA9" i="5" a="1"/>
  <c r="AA9" i="5" s="1"/>
  <c r="AA10" i="5" a="1"/>
  <c r="AA10" i="5" s="1"/>
  <c r="AA11" i="5" a="1"/>
  <c r="AA11" i="5" s="1"/>
  <c r="AA12" i="5" a="1"/>
  <c r="AA12" i="5" s="1"/>
  <c r="AA13" i="5" a="1"/>
  <c r="AA13" i="5" s="1"/>
  <c r="AA15" i="5" a="1"/>
  <c r="AA15" i="5" s="1"/>
  <c r="AA14" i="5" a="1"/>
  <c r="AA14" i="5" s="1"/>
  <c r="AA16" i="5" a="1"/>
  <c r="AA16" i="5" s="1"/>
  <c r="AA18" i="5" a="1"/>
  <c r="AA18" i="5" s="1"/>
  <c r="AA19" i="5" a="1"/>
  <c r="AA19" i="5" s="1"/>
  <c r="AA17" i="5" a="1"/>
  <c r="AA17" i="5" s="1"/>
  <c r="AA22" i="5" a="1"/>
  <c r="AA22" i="5" s="1"/>
  <c r="AA21" i="5" a="1"/>
  <c r="AA21" i="5" s="1"/>
  <c r="AA24" i="5" a="1"/>
  <c r="AA24" i="5" s="1"/>
  <c r="AA20" i="5" a="1"/>
  <c r="AA20" i="5" s="1"/>
  <c r="AA23" i="5" a="1"/>
  <c r="AA23" i="5" s="1"/>
  <c r="AA25" i="5" a="1"/>
  <c r="AA25" i="5" s="1"/>
  <c r="AA37" i="5" a="1"/>
  <c r="AA37" i="5" s="1"/>
  <c r="AA64" i="5" a="1"/>
  <c r="AA64" i="5" s="1"/>
  <c r="AA28" i="5" a="1"/>
  <c r="AA28" i="5" s="1"/>
  <c r="AA34" i="5" a="1"/>
  <c r="AA34" i="5" s="1"/>
  <c r="AA26" i="5" a="1"/>
  <c r="AA26" i="5" s="1"/>
  <c r="AA30" i="5" a="1"/>
  <c r="AA30" i="5" s="1"/>
  <c r="AA29" i="5" a="1"/>
  <c r="AA29" i="5" s="1"/>
  <c r="AA31" i="5" a="1"/>
  <c r="AA31" i="5" s="1"/>
  <c r="AA27" i="5" a="1"/>
  <c r="AA27" i="5" s="1"/>
  <c r="AA33" i="5" a="1"/>
  <c r="AA33" i="5" s="1"/>
  <c r="AA54" i="5" a="1"/>
  <c r="AA54" i="5" s="1"/>
  <c r="AA45" i="5" a="1"/>
  <c r="AA45" i="5" s="1"/>
  <c r="AA48" i="5" a="1"/>
  <c r="AA48" i="5" s="1"/>
  <c r="AA41" i="5" a="1"/>
  <c r="AA41" i="5" s="1"/>
  <c r="AA32" i="5" a="1"/>
  <c r="AA32" i="5" s="1"/>
  <c r="AA36" i="5" a="1"/>
  <c r="AA36" i="5" s="1"/>
  <c r="AA40" i="5" a="1"/>
  <c r="AA40" i="5" s="1"/>
  <c r="AA35" i="5" a="1"/>
  <c r="AA35" i="5" s="1"/>
  <c r="AA51" i="5" a="1"/>
  <c r="AA51" i="5" s="1"/>
  <c r="AA38" i="5" a="1"/>
  <c r="AA38" i="5" s="1"/>
  <c r="AA42" i="5" a="1"/>
  <c r="AA42" i="5" s="1"/>
  <c r="AA39" i="5" a="1"/>
  <c r="AA39" i="5" s="1"/>
  <c r="AA43" i="5" a="1"/>
  <c r="AA43" i="5" s="1"/>
  <c r="AA66" i="5" a="1"/>
  <c r="AA66" i="5" s="1"/>
  <c r="AA55" i="5" a="1"/>
  <c r="AA55" i="5" s="1"/>
  <c r="AA46" i="5" a="1"/>
  <c r="AA46" i="5" s="1"/>
  <c r="AA49" i="5" a="1"/>
  <c r="AA49" i="5" s="1"/>
  <c r="AA44" i="5" a="1"/>
  <c r="AA44" i="5" s="1"/>
  <c r="AA50" i="5" a="1"/>
  <c r="AA50" i="5" s="1"/>
  <c r="AA60" i="5" a="1"/>
  <c r="AA60" i="5" s="1"/>
  <c r="AA57" i="5" a="1"/>
  <c r="AA57" i="5" s="1"/>
  <c r="AA67" i="5" a="1"/>
  <c r="AA67" i="5" s="1"/>
  <c r="AA68" i="5" a="1"/>
  <c r="AA68" i="5" s="1"/>
  <c r="AA58" i="5" a="1"/>
  <c r="AA58" i="5" s="1"/>
  <c r="AA56" i="5" a="1"/>
  <c r="AA56" i="5" s="1"/>
  <c r="AA63" i="5" a="1"/>
  <c r="AA63" i="5" s="1"/>
  <c r="AA71" i="5" a="1"/>
  <c r="AA71" i="5" s="1"/>
  <c r="AA52" i="5" a="1"/>
  <c r="AA52" i="5" s="1"/>
  <c r="AA62" i="5" a="1"/>
  <c r="AA62" i="5" s="1"/>
  <c r="AA47" i="5" a="1"/>
  <c r="AA47" i="5" s="1"/>
  <c r="AA65" i="5" a="1"/>
  <c r="AA65" i="5" s="1"/>
  <c r="AA80" i="5" a="1"/>
  <c r="AA80" i="5" s="1"/>
  <c r="AA70" i="5" a="1"/>
  <c r="AA70" i="5" s="1"/>
  <c r="AA72" i="5" a="1"/>
  <c r="AA72" i="5" s="1"/>
  <c r="AA73" i="5" a="1"/>
  <c r="AA73" i="5" s="1"/>
  <c r="AA53" i="5" a="1"/>
  <c r="AA53" i="5" s="1"/>
  <c r="AA75" i="5" a="1"/>
  <c r="AA75" i="5" s="1"/>
  <c r="AA77" i="5" a="1"/>
  <c r="AA77" i="5" s="1"/>
  <c r="AA82" i="5" a="1"/>
  <c r="AA82" i="5" s="1"/>
  <c r="AA76" i="5" a="1"/>
  <c r="AA76" i="5" s="1"/>
  <c r="AA74" i="5" a="1"/>
  <c r="AA74" i="5" s="1"/>
  <c r="AA59" i="5" a="1"/>
  <c r="AA59" i="5" s="1"/>
  <c r="AA78" i="5" a="1"/>
  <c r="AA78" i="5" s="1"/>
  <c r="AA69" i="5" a="1"/>
  <c r="AA69" i="5" s="1"/>
  <c r="AA89" i="5" a="1"/>
  <c r="AA89" i="5" s="1"/>
  <c r="AA81" i="5" a="1"/>
  <c r="AA81" i="5" s="1"/>
  <c r="AA61" i="5" a="1"/>
  <c r="AA61" i="5" s="1"/>
  <c r="AA85" i="5" a="1"/>
  <c r="AA85" i="5" s="1"/>
  <c r="AA84" i="5" a="1"/>
  <c r="AA84" i="5" s="1"/>
  <c r="AA93" i="5" a="1"/>
  <c r="AA93" i="5" s="1"/>
  <c r="AA91" i="5" a="1"/>
  <c r="AA91" i="5" s="1"/>
  <c r="AA86" i="5" a="1"/>
  <c r="AA86" i="5" s="1"/>
  <c r="AA79" i="5" a="1"/>
  <c r="AA79" i="5" s="1"/>
  <c r="AA88" i="5" a="1"/>
  <c r="AA88" i="5" s="1"/>
  <c r="AA83" i="5" a="1"/>
  <c r="AA83" i="5" s="1"/>
  <c r="AA87" i="5" a="1"/>
  <c r="AA87" i="5" s="1"/>
  <c r="AA90" i="5" a="1"/>
  <c r="AA90" i="5" s="1"/>
  <c r="AA97" i="5" a="1"/>
  <c r="AA97" i="5" s="1"/>
  <c r="AA107" i="5" a="1"/>
  <c r="AA107" i="5" s="1"/>
  <c r="AA99" i="5" a="1"/>
  <c r="AA99" i="5" s="1"/>
  <c r="AA98" i="5" a="1"/>
  <c r="AA98" i="5" s="1"/>
  <c r="AA101" i="5" a="1"/>
  <c r="AA101" i="5" s="1"/>
  <c r="AA94" i="5" a="1"/>
  <c r="AA94" i="5" s="1"/>
  <c r="AA92" i="5" a="1"/>
  <c r="AA92" i="5" s="1"/>
  <c r="AA100" i="5" a="1"/>
  <c r="AA100" i="5" s="1"/>
  <c r="AA95" i="5" a="1"/>
  <c r="AA95" i="5" s="1"/>
  <c r="AA102" i="5" a="1"/>
  <c r="AA102" i="5" s="1"/>
  <c r="AA104" i="5" a="1"/>
  <c r="AA104" i="5" s="1"/>
  <c r="AA103" i="5" a="1"/>
  <c r="AA103" i="5" s="1"/>
  <c r="AA105" i="5" a="1"/>
  <c r="AA105" i="5" s="1"/>
  <c r="AA96" i="5" a="1"/>
  <c r="AA96" i="5" s="1"/>
  <c r="AA106" i="5" a="1"/>
  <c r="AA106" i="5" s="1"/>
  <c r="AA113" i="5" a="1"/>
  <c r="AA113" i="5" s="1"/>
  <c r="AA111" i="5" a="1"/>
  <c r="AA111" i="5" s="1"/>
  <c r="AA108" i="5" a="1"/>
  <c r="AA108" i="5" s="1"/>
  <c r="AA109" i="5" a="1"/>
  <c r="AA109" i="5" s="1"/>
  <c r="AA115" i="5" a="1"/>
  <c r="AA115" i="5" s="1"/>
  <c r="AA119" i="5" a="1"/>
  <c r="AA119" i="5" s="1"/>
  <c r="AA131" i="5" a="1"/>
  <c r="AA131" i="5" s="1"/>
  <c r="AA117" i="5" a="1"/>
  <c r="AA117" i="5" s="1"/>
  <c r="AA123" i="5" a="1"/>
  <c r="AA123" i="5" s="1"/>
  <c r="AA116" i="5" a="1"/>
  <c r="AA116" i="5" s="1"/>
  <c r="AA118" i="5" a="1"/>
  <c r="AA118" i="5" s="1"/>
  <c r="AA134" i="5" a="1"/>
  <c r="AA134" i="5" s="1"/>
  <c r="AA122" i="5" a="1"/>
  <c r="AA122" i="5" s="1"/>
  <c r="AA112" i="5" a="1"/>
  <c r="AA112" i="5" s="1"/>
  <c r="AA114" i="5" a="1"/>
  <c r="AA114" i="5" s="1"/>
  <c r="AA124" i="5" a="1"/>
  <c r="AA124" i="5" s="1"/>
  <c r="AA110" i="5" a="1"/>
  <c r="AA110" i="5" s="1"/>
  <c r="AA120" i="5" a="1"/>
  <c r="AA120" i="5" s="1"/>
  <c r="AA129" i="5" a="1"/>
  <c r="AA129" i="5" s="1"/>
  <c r="AA132" i="5" a="1"/>
  <c r="AA132" i="5" s="1"/>
  <c r="AA143" i="5" a="1"/>
  <c r="AA143" i="5" s="1"/>
  <c r="AA144" i="5" a="1"/>
  <c r="AA144" i="5" s="1"/>
  <c r="AA145" i="5" a="1"/>
  <c r="AA145" i="5" s="1"/>
  <c r="AA130" i="5" a="1"/>
  <c r="AA130" i="5" s="1"/>
  <c r="AA127" i="5" a="1"/>
  <c r="AA127" i="5" s="1"/>
  <c r="AA125" i="5" a="1"/>
  <c r="AA125" i="5" s="1"/>
  <c r="AA121" i="5" a="1"/>
  <c r="AA121" i="5" s="1"/>
  <c r="AA128" i="5" a="1"/>
  <c r="AA128" i="5" s="1"/>
  <c r="AA126" i="5" a="1"/>
  <c r="AA126" i="5" s="1"/>
  <c r="AA138" i="5" a="1"/>
  <c r="AA138" i="5" s="1"/>
  <c r="AA142" i="5" a="1"/>
  <c r="AA142" i="5" s="1"/>
  <c r="AA139" i="5" a="1"/>
  <c r="AA139" i="5" s="1"/>
  <c r="AA146" i="5" a="1"/>
  <c r="AA146" i="5" s="1"/>
  <c r="AA137" i="5" a="1"/>
  <c r="AA137" i="5" s="1"/>
  <c r="AA151" i="5" a="1"/>
  <c r="AA151" i="5" s="1"/>
  <c r="AA136" i="5" a="1"/>
  <c r="AA136" i="5" s="1"/>
  <c r="AA149" i="5" a="1"/>
  <c r="AA149" i="5" s="1"/>
  <c r="AA135" i="5" a="1"/>
  <c r="AA135" i="5" s="1"/>
  <c r="AA140" i="5" a="1"/>
  <c r="AA140" i="5" s="1"/>
  <c r="AA161" i="5" a="1"/>
  <c r="AA161" i="5" s="1"/>
  <c r="AA163" i="5" a="1"/>
  <c r="AA163" i="5" s="1"/>
  <c r="AA133" i="5" a="1"/>
  <c r="AA133" i="5" s="1"/>
  <c r="AA153" i="5" a="1"/>
  <c r="AA153" i="5" s="1"/>
  <c r="AA148" i="5" a="1"/>
  <c r="AA148" i="5" s="1"/>
  <c r="AA147" i="5" a="1"/>
  <c r="AA147" i="5" s="1"/>
  <c r="AA158" i="5" a="1"/>
  <c r="AA158" i="5" s="1"/>
  <c r="AA150" i="5" a="1"/>
  <c r="AA150" i="5" s="1"/>
  <c r="AA141" i="5" a="1"/>
  <c r="AA141" i="5" s="1"/>
  <c r="AA162" i="5" a="1"/>
  <c r="AA162" i="5" s="1"/>
  <c r="AA156" i="5" a="1"/>
  <c r="AA156" i="5" s="1"/>
  <c r="AA166" i="5" a="1"/>
  <c r="AA166" i="5" s="1"/>
  <c r="AA157" i="5" a="1"/>
  <c r="AA157" i="5" s="1"/>
  <c r="AA167" i="5" a="1"/>
  <c r="AA167" i="5" s="1"/>
  <c r="AA155" i="5" a="1"/>
  <c r="AA155" i="5" s="1"/>
  <c r="AA160" i="5" a="1"/>
  <c r="AA160" i="5" s="1"/>
  <c r="AA152" i="5" a="1"/>
  <c r="AA152" i="5" s="1"/>
  <c r="AA164" i="5" a="1"/>
  <c r="AA164" i="5" s="1"/>
  <c r="AA154" i="5" a="1"/>
  <c r="AA154" i="5" s="1"/>
  <c r="AA170" i="5" a="1"/>
  <c r="AA170" i="5" s="1"/>
  <c r="AA159" i="5" a="1"/>
  <c r="AA159" i="5" s="1"/>
  <c r="AA171" i="5" a="1"/>
  <c r="AA171" i="5" s="1"/>
  <c r="AA169" i="5" a="1"/>
  <c r="AA169" i="5" s="1"/>
  <c r="AA172" i="5" a="1"/>
  <c r="AA172" i="5" s="1"/>
  <c r="AA165" i="5" a="1"/>
  <c r="AA165" i="5" s="1"/>
  <c r="AA168" i="5" a="1"/>
  <c r="AA168" i="5" s="1"/>
  <c r="AA173" i="5" a="1"/>
  <c r="AA173" i="5" s="1"/>
  <c r="AA174" i="5" a="1"/>
  <c r="AA174" i="5" s="1"/>
  <c r="AA175" i="5" a="1"/>
  <c r="AA175" i="5" s="1"/>
  <c r="AA176" i="5" a="1"/>
  <c r="AA176" i="5" s="1"/>
  <c r="Z7" i="5" a="1"/>
  <c r="Z7" i="5" s="1"/>
  <c r="Z8" i="5" a="1"/>
  <c r="Z8" i="5" s="1"/>
  <c r="Z9" i="5" a="1"/>
  <c r="Z9" i="5" s="1"/>
  <c r="Z10" i="5" a="1"/>
  <c r="Z10" i="5" s="1"/>
  <c r="Z11" i="5" a="1"/>
  <c r="Z11" i="5" s="1"/>
  <c r="Z12" i="5" a="1"/>
  <c r="Z12" i="5" s="1"/>
  <c r="Z13" i="5" a="1"/>
  <c r="Z13" i="5" s="1"/>
  <c r="Z15" i="5" a="1"/>
  <c r="Z15" i="5" s="1"/>
  <c r="Z14" i="5" a="1"/>
  <c r="Z14" i="5" s="1"/>
  <c r="Z16" i="5" a="1"/>
  <c r="Z16" i="5" s="1"/>
  <c r="Z18" i="5" a="1"/>
  <c r="Z18" i="5" s="1"/>
  <c r="Z19" i="5" a="1"/>
  <c r="Z19" i="5" s="1"/>
  <c r="Z17" i="5" a="1"/>
  <c r="Z17" i="5" s="1"/>
  <c r="Z22" i="5" a="1"/>
  <c r="Z22" i="5" s="1"/>
  <c r="Z21" i="5" a="1"/>
  <c r="Z21" i="5" s="1"/>
  <c r="Z24" i="5" a="1"/>
  <c r="Z24" i="5" s="1"/>
  <c r="Z20" i="5" a="1"/>
  <c r="Z20" i="5" s="1"/>
  <c r="Z23" i="5" a="1"/>
  <c r="Z23" i="5" s="1"/>
  <c r="Z25" i="5" a="1"/>
  <c r="Z25" i="5" s="1"/>
  <c r="Z37" i="5" a="1"/>
  <c r="Z37" i="5" s="1"/>
  <c r="Z64" i="5" a="1"/>
  <c r="Z64" i="5" s="1"/>
  <c r="Z28" i="5" a="1"/>
  <c r="Z28" i="5" s="1"/>
  <c r="Z34" i="5" a="1"/>
  <c r="Z34" i="5" s="1"/>
  <c r="Z26" i="5" a="1"/>
  <c r="Z26" i="5" s="1"/>
  <c r="Z30" i="5" a="1"/>
  <c r="Z30" i="5" s="1"/>
  <c r="Z29" i="5" a="1"/>
  <c r="Z29" i="5" s="1"/>
  <c r="Z31" i="5" a="1"/>
  <c r="Z31" i="5" s="1"/>
  <c r="Z27" i="5" a="1"/>
  <c r="Z27" i="5" s="1"/>
  <c r="Z33" i="5" a="1"/>
  <c r="Z33" i="5" s="1"/>
  <c r="Z54" i="5" a="1"/>
  <c r="Z54" i="5" s="1"/>
  <c r="Z45" i="5" a="1"/>
  <c r="Z45" i="5" s="1"/>
  <c r="Z48" i="5" a="1"/>
  <c r="Z48" i="5" s="1"/>
  <c r="Z41" i="5" a="1"/>
  <c r="Z41" i="5" s="1"/>
  <c r="Z32" i="5" a="1"/>
  <c r="Z32" i="5" s="1"/>
  <c r="Z36" i="5" a="1"/>
  <c r="Z36" i="5" s="1"/>
  <c r="Z40" i="5" a="1"/>
  <c r="Z40" i="5" s="1"/>
  <c r="Z35" i="5" a="1"/>
  <c r="Z35" i="5" s="1"/>
  <c r="Z51" i="5" a="1"/>
  <c r="Z51" i="5" s="1"/>
  <c r="Z38" i="5" a="1"/>
  <c r="Z38" i="5" s="1"/>
  <c r="Z42" i="5" a="1"/>
  <c r="Z42" i="5" s="1"/>
  <c r="Z39" i="5" a="1"/>
  <c r="Z39" i="5" s="1"/>
  <c r="Z43" i="5" a="1"/>
  <c r="Z43" i="5" s="1"/>
  <c r="Z66" i="5" a="1"/>
  <c r="Z66" i="5" s="1"/>
  <c r="Z55" i="5" a="1"/>
  <c r="Z55" i="5" s="1"/>
  <c r="Z46" i="5" a="1"/>
  <c r="Z46" i="5" s="1"/>
  <c r="Z49" i="5" a="1"/>
  <c r="Z49" i="5" s="1"/>
  <c r="Z44" i="5" a="1"/>
  <c r="Z44" i="5" s="1"/>
  <c r="Z50" i="5" a="1"/>
  <c r="Z50" i="5" s="1"/>
  <c r="Z60" i="5" a="1"/>
  <c r="Z60" i="5" s="1"/>
  <c r="Z57" i="5" a="1"/>
  <c r="Z57" i="5" s="1"/>
  <c r="Z67" i="5" a="1"/>
  <c r="Z67" i="5" s="1"/>
  <c r="Z68" i="5" a="1"/>
  <c r="Z68" i="5" s="1"/>
  <c r="Z58" i="5" a="1"/>
  <c r="Z58" i="5" s="1"/>
  <c r="Z56" i="5" a="1"/>
  <c r="Z56" i="5" s="1"/>
  <c r="Z63" i="5" a="1"/>
  <c r="Z63" i="5" s="1"/>
  <c r="Z71" i="5" a="1"/>
  <c r="Z71" i="5" s="1"/>
  <c r="Z52" i="5" a="1"/>
  <c r="Z52" i="5" s="1"/>
  <c r="Z62" i="5" a="1"/>
  <c r="Z62" i="5" s="1"/>
  <c r="Z47" i="5" a="1"/>
  <c r="Z47" i="5" s="1"/>
  <c r="Z65" i="5" a="1"/>
  <c r="Z65" i="5" s="1"/>
  <c r="Z80" i="5" a="1"/>
  <c r="Z80" i="5" s="1"/>
  <c r="Z70" i="5" a="1"/>
  <c r="Z70" i="5" s="1"/>
  <c r="Z72" i="5" a="1"/>
  <c r="Z72" i="5" s="1"/>
  <c r="Z73" i="5" a="1"/>
  <c r="Z73" i="5" s="1"/>
  <c r="Z53" i="5" a="1"/>
  <c r="Z53" i="5" s="1"/>
  <c r="Z75" i="5" a="1"/>
  <c r="Z75" i="5" s="1"/>
  <c r="Z77" i="5" a="1"/>
  <c r="Z77" i="5" s="1"/>
  <c r="Z82" i="5" a="1"/>
  <c r="Z82" i="5" s="1"/>
  <c r="Z76" i="5" a="1"/>
  <c r="Z76" i="5" s="1"/>
  <c r="Z74" i="5" a="1"/>
  <c r="Z74" i="5" s="1"/>
  <c r="Z59" i="5" a="1"/>
  <c r="Z59" i="5" s="1"/>
  <c r="Z78" i="5" a="1"/>
  <c r="Z78" i="5" s="1"/>
  <c r="Z69" i="5" a="1"/>
  <c r="Z69" i="5" s="1"/>
  <c r="Z89" i="5" a="1"/>
  <c r="Z89" i="5" s="1"/>
  <c r="Z81" i="5" a="1"/>
  <c r="Z81" i="5" s="1"/>
  <c r="Z61" i="5" a="1"/>
  <c r="Z61" i="5" s="1"/>
  <c r="Z85" i="5" a="1"/>
  <c r="Z85" i="5" s="1"/>
  <c r="Z84" i="5" a="1"/>
  <c r="Z84" i="5" s="1"/>
  <c r="Z93" i="5" a="1"/>
  <c r="Z93" i="5" s="1"/>
  <c r="Z91" i="5" a="1"/>
  <c r="Z91" i="5" s="1"/>
  <c r="Z86" i="5" a="1"/>
  <c r="Z86" i="5" s="1"/>
  <c r="Z79" i="5" a="1"/>
  <c r="Z79" i="5" s="1"/>
  <c r="Z88" i="5" a="1"/>
  <c r="Z88" i="5" s="1"/>
  <c r="Z83" i="5" a="1"/>
  <c r="Z83" i="5" s="1"/>
  <c r="Z87" i="5" a="1"/>
  <c r="Z87" i="5" s="1"/>
  <c r="Z90" i="5" a="1"/>
  <c r="Z90" i="5" s="1"/>
  <c r="Z97" i="5" a="1"/>
  <c r="Z97" i="5" s="1"/>
  <c r="Z107" i="5" a="1"/>
  <c r="Z107" i="5" s="1"/>
  <c r="Z99" i="5" a="1"/>
  <c r="Z99" i="5" s="1"/>
  <c r="Z98" i="5" a="1"/>
  <c r="Z98" i="5" s="1"/>
  <c r="Z101" i="5" a="1"/>
  <c r="Z101" i="5" s="1"/>
  <c r="Z94" i="5" a="1"/>
  <c r="Z94" i="5" s="1"/>
  <c r="Z92" i="5" a="1"/>
  <c r="Z92" i="5" s="1"/>
  <c r="Z100" i="5" a="1"/>
  <c r="Z100" i="5" s="1"/>
  <c r="Z95" i="5" a="1"/>
  <c r="Z95" i="5" s="1"/>
  <c r="Z102" i="5" a="1"/>
  <c r="Z102" i="5" s="1"/>
  <c r="Z104" i="5" a="1"/>
  <c r="Z104" i="5" s="1"/>
  <c r="Z103" i="5" a="1"/>
  <c r="Z103" i="5" s="1"/>
  <c r="Z105" i="5" a="1"/>
  <c r="Z105" i="5" s="1"/>
  <c r="Z96" i="5" a="1"/>
  <c r="Z96" i="5" s="1"/>
  <c r="Z106" i="5" a="1"/>
  <c r="Z106" i="5" s="1"/>
  <c r="Z113" i="5" a="1"/>
  <c r="Z113" i="5" s="1"/>
  <c r="Z111" i="5" a="1"/>
  <c r="Z111" i="5" s="1"/>
  <c r="Z108" i="5" a="1"/>
  <c r="Z108" i="5" s="1"/>
  <c r="Z109" i="5" a="1"/>
  <c r="Z109" i="5" s="1"/>
  <c r="Z115" i="5" a="1"/>
  <c r="Z115" i="5" s="1"/>
  <c r="Z119" i="5" a="1"/>
  <c r="Z119" i="5" s="1"/>
  <c r="Z131" i="5" a="1"/>
  <c r="Z131" i="5" s="1"/>
  <c r="Z117" i="5" a="1"/>
  <c r="Z117" i="5" s="1"/>
  <c r="Z123" i="5" a="1"/>
  <c r="Z123" i="5" s="1"/>
  <c r="Z116" i="5" a="1"/>
  <c r="Z116" i="5" s="1"/>
  <c r="Z118" i="5" a="1"/>
  <c r="Z118" i="5" s="1"/>
  <c r="Z134" i="5" a="1"/>
  <c r="Z134" i="5" s="1"/>
  <c r="Z122" i="5" a="1"/>
  <c r="Z122" i="5" s="1"/>
  <c r="Z112" i="5" a="1"/>
  <c r="Z112" i="5" s="1"/>
  <c r="Z114" i="5" a="1"/>
  <c r="Z114" i="5" s="1"/>
  <c r="Z124" i="5" a="1"/>
  <c r="Z124" i="5" s="1"/>
  <c r="Z110" i="5" a="1"/>
  <c r="Z110" i="5" s="1"/>
  <c r="Z120" i="5" a="1"/>
  <c r="Z120" i="5" s="1"/>
  <c r="Z129" i="5" a="1"/>
  <c r="Z129" i="5" s="1"/>
  <c r="Z132" i="5" a="1"/>
  <c r="Z132" i="5" s="1"/>
  <c r="Z143" i="5" a="1"/>
  <c r="Z143" i="5" s="1"/>
  <c r="Z144" i="5" a="1"/>
  <c r="Z144" i="5" s="1"/>
  <c r="Z145" i="5" a="1"/>
  <c r="Z145" i="5" s="1"/>
  <c r="Z130" i="5" a="1"/>
  <c r="Z130" i="5" s="1"/>
  <c r="Z127" i="5" a="1"/>
  <c r="Z127" i="5" s="1"/>
  <c r="Z125" i="5" a="1"/>
  <c r="Z125" i="5" s="1"/>
  <c r="Z121" i="5" a="1"/>
  <c r="Z121" i="5" s="1"/>
  <c r="Z128" i="5" a="1"/>
  <c r="Z128" i="5" s="1"/>
  <c r="Z126" i="5" a="1"/>
  <c r="Z126" i="5" s="1"/>
  <c r="Z138" i="5" a="1"/>
  <c r="Z138" i="5" s="1"/>
  <c r="Z142" i="5" a="1"/>
  <c r="Z142" i="5" s="1"/>
  <c r="Z139" i="5" a="1"/>
  <c r="Z139" i="5" s="1"/>
  <c r="Z146" i="5" a="1"/>
  <c r="Z146" i="5" s="1"/>
  <c r="Z137" i="5" a="1"/>
  <c r="Z137" i="5" s="1"/>
  <c r="Z151" i="5" a="1"/>
  <c r="Z151" i="5" s="1"/>
  <c r="Z136" i="5" a="1"/>
  <c r="Z136" i="5" s="1"/>
  <c r="Z149" i="5" a="1"/>
  <c r="Z149" i="5" s="1"/>
  <c r="Z135" i="5" a="1"/>
  <c r="Z135" i="5" s="1"/>
  <c r="Z140" i="5" a="1"/>
  <c r="Z140" i="5" s="1"/>
  <c r="Z161" i="5" a="1"/>
  <c r="Z161" i="5" s="1"/>
  <c r="Z163" i="5" a="1"/>
  <c r="Z163" i="5" s="1"/>
  <c r="Z133" i="5" a="1"/>
  <c r="Z133" i="5" s="1"/>
  <c r="Z153" i="5" a="1"/>
  <c r="Z153" i="5" s="1"/>
  <c r="Z148" i="5" a="1"/>
  <c r="Z148" i="5" s="1"/>
  <c r="Z147" i="5" a="1"/>
  <c r="Z147" i="5" s="1"/>
  <c r="Z158" i="5" a="1"/>
  <c r="Z158" i="5" s="1"/>
  <c r="Z150" i="5" a="1"/>
  <c r="Z150" i="5" s="1"/>
  <c r="Z141" i="5" a="1"/>
  <c r="Z141" i="5" s="1"/>
  <c r="Z162" i="5" a="1"/>
  <c r="Z162" i="5" s="1"/>
  <c r="Z156" i="5" a="1"/>
  <c r="Z156" i="5" s="1"/>
  <c r="Z166" i="5" a="1"/>
  <c r="Z166" i="5" s="1"/>
  <c r="Z157" i="5" a="1"/>
  <c r="Z157" i="5" s="1"/>
  <c r="Z167" i="5" a="1"/>
  <c r="Z167" i="5" s="1"/>
  <c r="Z155" i="5" a="1"/>
  <c r="Z155" i="5" s="1"/>
  <c r="Z160" i="5" a="1"/>
  <c r="Z160" i="5" s="1"/>
  <c r="Z152" i="5" a="1"/>
  <c r="Z152" i="5" s="1"/>
  <c r="Z164" i="5" a="1"/>
  <c r="Z164" i="5" s="1"/>
  <c r="Z154" i="5" a="1"/>
  <c r="Z154" i="5" s="1"/>
  <c r="Z170" i="5" a="1"/>
  <c r="Z170" i="5" s="1"/>
  <c r="Z159" i="5" a="1"/>
  <c r="Z159" i="5" s="1"/>
  <c r="Z171" i="5" a="1"/>
  <c r="Z171" i="5" s="1"/>
  <c r="Z169" i="5" a="1"/>
  <c r="Z169" i="5" s="1"/>
  <c r="Z172" i="5" a="1"/>
  <c r="Z172" i="5" s="1"/>
  <c r="Z165" i="5" a="1"/>
  <c r="Z165" i="5" s="1"/>
  <c r="Z168" i="5" a="1"/>
  <c r="Z168" i="5" s="1"/>
  <c r="Z173" i="5" a="1"/>
  <c r="Z173" i="5" s="1"/>
  <c r="Z174" i="5" a="1"/>
  <c r="Z174" i="5" s="1"/>
  <c r="Z175" i="5" a="1"/>
  <c r="Z175" i="5" s="1"/>
  <c r="Z176" i="5" a="1"/>
  <c r="Z176" i="5" s="1"/>
  <c r="Y7" i="5" a="1"/>
  <c r="Y7" i="5" s="1"/>
  <c r="Y8" i="5" a="1"/>
  <c r="Y8" i="5" s="1"/>
  <c r="Y9" i="5" a="1"/>
  <c r="Y9" i="5" s="1"/>
  <c r="Y10" i="5" a="1"/>
  <c r="Y10" i="5" s="1"/>
  <c r="Y11" i="5" a="1"/>
  <c r="Y11" i="5" s="1"/>
  <c r="Y12" i="5" a="1"/>
  <c r="Y12" i="5" s="1"/>
  <c r="Y13" i="5" a="1"/>
  <c r="Y13" i="5" s="1"/>
  <c r="Y15" i="5" a="1"/>
  <c r="Y15" i="5" s="1"/>
  <c r="Y14" i="5" a="1"/>
  <c r="Y14" i="5" s="1"/>
  <c r="Y16" i="5" a="1"/>
  <c r="Y16" i="5" s="1"/>
  <c r="Y18" i="5" a="1"/>
  <c r="Y18" i="5" s="1"/>
  <c r="Y19" i="5" a="1"/>
  <c r="Y19" i="5" s="1"/>
  <c r="Y17" i="5" a="1"/>
  <c r="Y17" i="5" s="1"/>
  <c r="Y22" i="5" a="1"/>
  <c r="Y22" i="5" s="1"/>
  <c r="Y21" i="5" a="1"/>
  <c r="Y21" i="5" s="1"/>
  <c r="Y24" i="5" a="1"/>
  <c r="Y24" i="5" s="1"/>
  <c r="Y20" i="5" a="1"/>
  <c r="Y20" i="5" s="1"/>
  <c r="Y23" i="5" a="1"/>
  <c r="Y23" i="5" s="1"/>
  <c r="Y25" i="5" a="1"/>
  <c r="Y25" i="5" s="1"/>
  <c r="Y37" i="5" a="1"/>
  <c r="Y37" i="5" s="1"/>
  <c r="Y64" i="5" a="1"/>
  <c r="Y64" i="5" s="1"/>
  <c r="Y28" i="5" a="1"/>
  <c r="Y28" i="5" s="1"/>
  <c r="Y34" i="5" a="1"/>
  <c r="Y34" i="5" s="1"/>
  <c r="Y26" i="5" a="1"/>
  <c r="Y26" i="5" s="1"/>
  <c r="Y30" i="5" a="1"/>
  <c r="Y30" i="5" s="1"/>
  <c r="Y29" i="5" a="1"/>
  <c r="Y29" i="5" s="1"/>
  <c r="Y31" i="5" a="1"/>
  <c r="Y31" i="5" s="1"/>
  <c r="Y27" i="5" a="1"/>
  <c r="Y27" i="5" s="1"/>
  <c r="Y33" i="5" a="1"/>
  <c r="Y33" i="5" s="1"/>
  <c r="Y54" i="5" a="1"/>
  <c r="Y54" i="5" s="1"/>
  <c r="Y45" i="5" a="1"/>
  <c r="Y45" i="5" s="1"/>
  <c r="Y48" i="5" a="1"/>
  <c r="Y48" i="5" s="1"/>
  <c r="Y41" i="5" a="1"/>
  <c r="Y41" i="5" s="1"/>
  <c r="Y32" i="5" a="1"/>
  <c r="Y32" i="5" s="1"/>
  <c r="Y36" i="5" a="1"/>
  <c r="Y36" i="5" s="1"/>
  <c r="Y40" i="5" a="1"/>
  <c r="Y40" i="5" s="1"/>
  <c r="Y35" i="5" a="1"/>
  <c r="Y35" i="5" s="1"/>
  <c r="Y51" i="5" a="1"/>
  <c r="Y51" i="5" s="1"/>
  <c r="Y38" i="5" a="1"/>
  <c r="Y38" i="5" s="1"/>
  <c r="Y42" i="5" a="1"/>
  <c r="Y42" i="5" s="1"/>
  <c r="Y39" i="5" a="1"/>
  <c r="Y39" i="5" s="1"/>
  <c r="Y43" i="5" a="1"/>
  <c r="Y43" i="5" s="1"/>
  <c r="Y66" i="5" a="1"/>
  <c r="Y66" i="5" s="1"/>
  <c r="Y55" i="5" a="1"/>
  <c r="Y55" i="5" s="1"/>
  <c r="Y46" i="5" a="1"/>
  <c r="Y46" i="5" s="1"/>
  <c r="Y49" i="5" a="1"/>
  <c r="Y49" i="5" s="1"/>
  <c r="Y44" i="5" a="1"/>
  <c r="Y44" i="5" s="1"/>
  <c r="Y50" i="5" a="1"/>
  <c r="Y50" i="5" s="1"/>
  <c r="Y60" i="5" a="1"/>
  <c r="Y60" i="5" s="1"/>
  <c r="Y57" i="5" a="1"/>
  <c r="Y57" i="5" s="1"/>
  <c r="Y67" i="5" a="1"/>
  <c r="Y67" i="5" s="1"/>
  <c r="Y68" i="5" a="1"/>
  <c r="Y68" i="5" s="1"/>
  <c r="Y58" i="5" a="1"/>
  <c r="Y58" i="5" s="1"/>
  <c r="Y56" i="5" a="1"/>
  <c r="Y56" i="5" s="1"/>
  <c r="Y63" i="5" a="1"/>
  <c r="Y63" i="5" s="1"/>
  <c r="Y71" i="5" a="1"/>
  <c r="Y71" i="5" s="1"/>
  <c r="Y52" i="5" a="1"/>
  <c r="Y52" i="5" s="1"/>
  <c r="Y62" i="5" a="1"/>
  <c r="Y62" i="5" s="1"/>
  <c r="Y65" i="5" a="1"/>
  <c r="Y65" i="5" s="1"/>
  <c r="Y80" i="5" a="1"/>
  <c r="Y80" i="5" s="1"/>
  <c r="Y70" i="5" a="1"/>
  <c r="Y70" i="5" s="1"/>
  <c r="Y72" i="5" a="1"/>
  <c r="Y72" i="5" s="1"/>
  <c r="Y73" i="5" a="1"/>
  <c r="Y73" i="5" s="1"/>
  <c r="Y53" i="5" a="1"/>
  <c r="Y53" i="5" s="1"/>
  <c r="Y75" i="5" a="1"/>
  <c r="Y75" i="5" s="1"/>
  <c r="Y77" i="5" a="1"/>
  <c r="Y77" i="5" s="1"/>
  <c r="Y82" i="5" a="1"/>
  <c r="Y82" i="5" s="1"/>
  <c r="Y76" i="5" a="1"/>
  <c r="Y76" i="5" s="1"/>
  <c r="Y74" i="5" a="1"/>
  <c r="Y74" i="5" s="1"/>
  <c r="Y59" i="5" a="1"/>
  <c r="Y59" i="5" s="1"/>
  <c r="Y78" i="5" a="1"/>
  <c r="Y78" i="5" s="1"/>
  <c r="Y69" i="5" a="1"/>
  <c r="Y69" i="5" s="1"/>
  <c r="Y89" i="5" a="1"/>
  <c r="Y89" i="5" s="1"/>
  <c r="Y81" i="5" a="1"/>
  <c r="Y81" i="5" s="1"/>
  <c r="Y61" i="5" a="1"/>
  <c r="Y61" i="5" s="1"/>
  <c r="Y85" i="5" a="1"/>
  <c r="Y85" i="5" s="1"/>
  <c r="Y84" i="5" a="1"/>
  <c r="Y84" i="5" s="1"/>
  <c r="Y93" i="5" a="1"/>
  <c r="Y93" i="5" s="1"/>
  <c r="Y91" i="5" a="1"/>
  <c r="Y91" i="5" s="1"/>
  <c r="Y86" i="5" a="1"/>
  <c r="Y86" i="5" s="1"/>
  <c r="Y79" i="5" a="1"/>
  <c r="Y79" i="5" s="1"/>
  <c r="Y88" i="5" a="1"/>
  <c r="Y88" i="5" s="1"/>
  <c r="Y83" i="5" a="1"/>
  <c r="Y83" i="5" s="1"/>
  <c r="Y87" i="5" a="1"/>
  <c r="Y87" i="5" s="1"/>
  <c r="Y90" i="5" a="1"/>
  <c r="Y90" i="5" s="1"/>
  <c r="Y97" i="5" a="1"/>
  <c r="Y97" i="5" s="1"/>
  <c r="Y107" i="5" a="1"/>
  <c r="Y107" i="5" s="1"/>
  <c r="Y99" i="5" a="1"/>
  <c r="Y99" i="5" s="1"/>
  <c r="Y98" i="5" a="1"/>
  <c r="Y98" i="5" s="1"/>
  <c r="Y101" i="5" a="1"/>
  <c r="Y101" i="5" s="1"/>
  <c r="Y94" i="5" a="1"/>
  <c r="Y94" i="5" s="1"/>
  <c r="Y92" i="5" a="1"/>
  <c r="Y92" i="5" s="1"/>
  <c r="Y100" i="5" a="1"/>
  <c r="Y100" i="5" s="1"/>
  <c r="Y95" i="5" a="1"/>
  <c r="Y95" i="5" s="1"/>
  <c r="Y102" i="5" a="1"/>
  <c r="Y102" i="5" s="1"/>
  <c r="Y104" i="5" a="1"/>
  <c r="Y104" i="5" s="1"/>
  <c r="Y103" i="5" a="1"/>
  <c r="Y103" i="5" s="1"/>
  <c r="Y105" i="5" a="1"/>
  <c r="Y105" i="5" s="1"/>
  <c r="Y96" i="5" a="1"/>
  <c r="Y96" i="5" s="1"/>
  <c r="Y106" i="5" a="1"/>
  <c r="Y106" i="5" s="1"/>
  <c r="Y113" i="5" a="1"/>
  <c r="Y113" i="5" s="1"/>
  <c r="Y111" i="5" a="1"/>
  <c r="Y111" i="5" s="1"/>
  <c r="Y108" i="5" a="1"/>
  <c r="Y108" i="5" s="1"/>
  <c r="Y109" i="5" a="1"/>
  <c r="Y109" i="5" s="1"/>
  <c r="Y115" i="5" a="1"/>
  <c r="Y115" i="5" s="1"/>
  <c r="Y119" i="5" a="1"/>
  <c r="Y119" i="5" s="1"/>
  <c r="Y131" i="5" a="1"/>
  <c r="Y131" i="5" s="1"/>
  <c r="Y117" i="5" a="1"/>
  <c r="Y117" i="5" s="1"/>
  <c r="Y123" i="5" a="1"/>
  <c r="Y123" i="5" s="1"/>
  <c r="Y116" i="5" a="1"/>
  <c r="Y116" i="5" s="1"/>
  <c r="Y118" i="5" a="1"/>
  <c r="Y118" i="5" s="1"/>
  <c r="Y134" i="5" a="1"/>
  <c r="Y134" i="5" s="1"/>
  <c r="Y122" i="5" a="1"/>
  <c r="Y122" i="5" s="1"/>
  <c r="Y112" i="5" a="1"/>
  <c r="Y112" i="5" s="1"/>
  <c r="Y114" i="5" a="1"/>
  <c r="Y114" i="5" s="1"/>
  <c r="Y124" i="5" a="1"/>
  <c r="Y124" i="5" s="1"/>
  <c r="Y110" i="5" a="1"/>
  <c r="Y110" i="5" s="1"/>
  <c r="Y120" i="5" a="1"/>
  <c r="Y120" i="5" s="1"/>
  <c r="Y129" i="5" a="1"/>
  <c r="Y129" i="5" s="1"/>
  <c r="Y132" i="5" a="1"/>
  <c r="Y132" i="5" s="1"/>
  <c r="Y143" i="5" a="1"/>
  <c r="Y143" i="5" s="1"/>
  <c r="Y144" i="5" a="1"/>
  <c r="Y144" i="5" s="1"/>
  <c r="Y145" i="5" a="1"/>
  <c r="Y145" i="5" s="1"/>
  <c r="Y130" i="5" a="1"/>
  <c r="Y130" i="5" s="1"/>
  <c r="Y127" i="5" a="1"/>
  <c r="Y127" i="5" s="1"/>
  <c r="Y125" i="5" a="1"/>
  <c r="Y125" i="5" s="1"/>
  <c r="Y121" i="5" a="1"/>
  <c r="Y121" i="5" s="1"/>
  <c r="Y128" i="5" a="1"/>
  <c r="Y128" i="5" s="1"/>
  <c r="Y126" i="5" a="1"/>
  <c r="Y126" i="5" s="1"/>
  <c r="Y138" i="5" a="1"/>
  <c r="Y138" i="5" s="1"/>
  <c r="Y142" i="5" a="1"/>
  <c r="Y142" i="5" s="1"/>
  <c r="Y139" i="5" a="1"/>
  <c r="Y139" i="5" s="1"/>
  <c r="Y146" i="5" a="1"/>
  <c r="Y146" i="5" s="1"/>
  <c r="Y137" i="5" a="1"/>
  <c r="Y137" i="5" s="1"/>
  <c r="Y151" i="5" a="1"/>
  <c r="Y151" i="5" s="1"/>
  <c r="Y136" i="5" a="1"/>
  <c r="Y136" i="5" s="1"/>
  <c r="Y149" i="5" a="1"/>
  <c r="Y149" i="5" s="1"/>
  <c r="Y135" i="5" a="1"/>
  <c r="Y135" i="5" s="1"/>
  <c r="Y140" i="5" a="1"/>
  <c r="Y140" i="5" s="1"/>
  <c r="Y161" i="5" a="1"/>
  <c r="Y161" i="5" s="1"/>
  <c r="Y163" i="5" a="1"/>
  <c r="Y163" i="5" s="1"/>
  <c r="Y133" i="5" a="1"/>
  <c r="Y133" i="5" s="1"/>
  <c r="Y153" i="5" a="1"/>
  <c r="Y153" i="5" s="1"/>
  <c r="Y148" i="5" a="1"/>
  <c r="Y148" i="5" s="1"/>
  <c r="Y147" i="5" a="1"/>
  <c r="Y147" i="5" s="1"/>
  <c r="Y158" i="5" a="1"/>
  <c r="Y158" i="5" s="1"/>
  <c r="Y150" i="5" a="1"/>
  <c r="Y150" i="5" s="1"/>
  <c r="Y141" i="5" a="1"/>
  <c r="Y141" i="5" s="1"/>
  <c r="Y162" i="5" a="1"/>
  <c r="Y162" i="5" s="1"/>
  <c r="Y156" i="5" a="1"/>
  <c r="Y156" i="5" s="1"/>
  <c r="Y166" i="5" a="1"/>
  <c r="Y166" i="5" s="1"/>
  <c r="Y157" i="5" a="1"/>
  <c r="Y157" i="5" s="1"/>
  <c r="Y167" i="5" a="1"/>
  <c r="Y167" i="5" s="1"/>
  <c r="Y155" i="5" a="1"/>
  <c r="Y155" i="5" s="1"/>
  <c r="Y160" i="5" a="1"/>
  <c r="Y160" i="5" s="1"/>
  <c r="Y152" i="5" a="1"/>
  <c r="Y152" i="5" s="1"/>
  <c r="Y164" i="5" a="1"/>
  <c r="Y164" i="5" s="1"/>
  <c r="Y154" i="5" a="1"/>
  <c r="Y154" i="5" s="1"/>
  <c r="Y170" i="5" a="1"/>
  <c r="Y170" i="5" s="1"/>
  <c r="Y159" i="5" a="1"/>
  <c r="Y159" i="5" s="1"/>
  <c r="Y171" i="5" a="1"/>
  <c r="Y171" i="5" s="1"/>
  <c r="Y169" i="5" a="1"/>
  <c r="Y169" i="5" s="1"/>
  <c r="Y172" i="5" a="1"/>
  <c r="Y172" i="5" s="1"/>
  <c r="Y165" i="5" a="1"/>
  <c r="Y165" i="5" s="1"/>
  <c r="Y168" i="5" a="1"/>
  <c r="Y168" i="5" s="1"/>
  <c r="Y173" i="5" a="1"/>
  <c r="Y173" i="5" s="1"/>
  <c r="Y174" i="5" a="1"/>
  <c r="Y174" i="5" s="1"/>
  <c r="Y175" i="5" a="1"/>
  <c r="Y175" i="5" s="1"/>
  <c r="Y176" i="5" a="1"/>
  <c r="Y176" i="5" s="1"/>
  <c r="K7" i="5"/>
  <c r="K8" i="5"/>
  <c r="K9" i="5"/>
  <c r="K10" i="5"/>
  <c r="K11" i="5"/>
  <c r="K15" i="5"/>
  <c r="K12" i="5"/>
  <c r="K13" i="5"/>
  <c r="K14" i="5"/>
  <c r="K16" i="5"/>
  <c r="K21" i="5"/>
  <c r="K17" i="5"/>
  <c r="K19" i="5"/>
  <c r="K22" i="5"/>
  <c r="K20" i="5"/>
  <c r="K24" i="5"/>
  <c r="K23" i="5"/>
  <c r="K25" i="5"/>
  <c r="K37" i="5"/>
  <c r="K28" i="5"/>
  <c r="K18" i="5"/>
  <c r="K34" i="5"/>
  <c r="K33" i="5"/>
  <c r="K45" i="5"/>
  <c r="K64" i="5"/>
  <c r="K27" i="5"/>
  <c r="K26" i="5"/>
  <c r="K48" i="5"/>
  <c r="K29" i="5"/>
  <c r="K41" i="5"/>
  <c r="K30" i="5"/>
  <c r="K40" i="5"/>
  <c r="K66" i="5"/>
  <c r="K36" i="5"/>
  <c r="K35" i="5"/>
  <c r="K42" i="5"/>
  <c r="K67" i="5"/>
  <c r="K39" i="5"/>
  <c r="K31" i="5"/>
  <c r="K55" i="5"/>
  <c r="K60" i="5"/>
  <c r="K32" i="5"/>
  <c r="K43" i="5"/>
  <c r="K50" i="5"/>
  <c r="K68" i="5"/>
  <c r="K54" i="5"/>
  <c r="K49" i="5"/>
  <c r="K38" i="5"/>
  <c r="K51" i="5"/>
  <c r="K57" i="5"/>
  <c r="K46" i="5"/>
  <c r="K58" i="5"/>
  <c r="K62" i="5"/>
  <c r="K63" i="5"/>
  <c r="K71" i="5"/>
  <c r="K73" i="5"/>
  <c r="K47" i="5"/>
  <c r="K44" i="5"/>
  <c r="K72" i="5"/>
  <c r="K75" i="5"/>
  <c r="K80" i="5"/>
  <c r="K70" i="5"/>
  <c r="K77" i="5"/>
  <c r="K56" i="5"/>
  <c r="K52" i="5"/>
  <c r="K65" i="5"/>
  <c r="K82" i="5"/>
  <c r="K89" i="5"/>
  <c r="K76" i="5"/>
  <c r="K93" i="5"/>
  <c r="K59" i="5"/>
  <c r="K53" i="5"/>
  <c r="K74" i="5"/>
  <c r="K69" i="5"/>
  <c r="K88" i="5"/>
  <c r="K85" i="5"/>
  <c r="K81" i="5"/>
  <c r="K84" i="5"/>
  <c r="K97" i="5"/>
  <c r="K91" i="5"/>
  <c r="K78" i="5"/>
  <c r="K98" i="5"/>
  <c r="K83" i="5"/>
  <c r="K86" i="5"/>
  <c r="K79" i="5"/>
  <c r="K87" i="5"/>
  <c r="K90" i="5"/>
  <c r="K92" i="5"/>
  <c r="K101" i="5"/>
  <c r="K107" i="5"/>
  <c r="K95" i="5"/>
  <c r="K105" i="5"/>
  <c r="K99" i="5"/>
  <c r="K94" i="5"/>
  <c r="K100" i="5"/>
  <c r="K131" i="5"/>
  <c r="K103" i="5"/>
  <c r="K104" i="5"/>
  <c r="K108" i="5"/>
  <c r="K111" i="5"/>
  <c r="K109" i="5"/>
  <c r="K115" i="5"/>
  <c r="K102" i="5"/>
  <c r="K114" i="5"/>
  <c r="K106" i="5"/>
  <c r="K119" i="5"/>
  <c r="K134" i="5"/>
  <c r="K96" i="5"/>
  <c r="K113" i="5"/>
  <c r="K123" i="5"/>
  <c r="K110" i="5"/>
  <c r="K120" i="5"/>
  <c r="K117" i="5"/>
  <c r="K143" i="5"/>
  <c r="K144" i="5"/>
  <c r="K145" i="5"/>
  <c r="K118" i="5"/>
  <c r="K122" i="5"/>
  <c r="K132" i="5"/>
  <c r="K129" i="5"/>
  <c r="K124" i="5"/>
  <c r="K127" i="5"/>
  <c r="K112" i="5"/>
  <c r="K130" i="5"/>
  <c r="K116" i="5"/>
  <c r="K125" i="5"/>
  <c r="K142" i="5"/>
  <c r="K128" i="5"/>
  <c r="K146" i="5"/>
  <c r="K121" i="5"/>
  <c r="K139" i="5"/>
  <c r="K138" i="5"/>
  <c r="K126" i="5"/>
  <c r="K136" i="5"/>
  <c r="K163" i="5"/>
  <c r="K161" i="5"/>
  <c r="K137" i="5"/>
  <c r="K151" i="5"/>
  <c r="K135" i="5"/>
  <c r="K158" i="5"/>
  <c r="K140" i="5"/>
  <c r="K167" i="5"/>
  <c r="K133" i="5"/>
  <c r="K166" i="5"/>
  <c r="K147" i="5"/>
  <c r="K156" i="5"/>
  <c r="K162" i="5"/>
  <c r="K149" i="5"/>
  <c r="K150" i="5"/>
  <c r="K148" i="5"/>
  <c r="K157" i="5"/>
  <c r="K153" i="5"/>
  <c r="K152" i="5"/>
  <c r="K141" i="5"/>
  <c r="K170" i="5"/>
  <c r="K171" i="5"/>
  <c r="K164" i="5"/>
  <c r="K155" i="5"/>
  <c r="K160" i="5"/>
  <c r="K154" i="5"/>
  <c r="K172" i="5"/>
  <c r="K169" i="5"/>
  <c r="K159" i="5"/>
  <c r="K165" i="5"/>
  <c r="K173" i="5"/>
  <c r="K174" i="5"/>
  <c r="K175" i="5"/>
  <c r="K168" i="5"/>
  <c r="K176" i="5"/>
  <c r="J7" i="5"/>
  <c r="J8" i="5"/>
  <c r="J9" i="5"/>
  <c r="J10" i="5"/>
  <c r="J11" i="5"/>
  <c r="J15" i="5"/>
  <c r="J12" i="5"/>
  <c r="J13" i="5"/>
  <c r="J14" i="5"/>
  <c r="J16" i="5"/>
  <c r="J21" i="5"/>
  <c r="J17" i="5"/>
  <c r="J19" i="5"/>
  <c r="J22" i="5"/>
  <c r="J20" i="5"/>
  <c r="J24" i="5"/>
  <c r="J23" i="5"/>
  <c r="J25" i="5"/>
  <c r="J37" i="5"/>
  <c r="J28" i="5"/>
  <c r="J18" i="5"/>
  <c r="J34" i="5"/>
  <c r="J33" i="5"/>
  <c r="J45" i="5"/>
  <c r="J64" i="5"/>
  <c r="J27" i="5"/>
  <c r="J26" i="5"/>
  <c r="J48" i="5"/>
  <c r="J29" i="5"/>
  <c r="J41" i="5"/>
  <c r="J30" i="5"/>
  <c r="J40" i="5"/>
  <c r="J66" i="5"/>
  <c r="J36" i="5"/>
  <c r="J35" i="5"/>
  <c r="J42" i="5"/>
  <c r="J67" i="5"/>
  <c r="J39" i="5"/>
  <c r="J31" i="5"/>
  <c r="J55" i="5"/>
  <c r="J60" i="5"/>
  <c r="J32" i="5"/>
  <c r="J43" i="5"/>
  <c r="J50" i="5"/>
  <c r="J68" i="5"/>
  <c r="J54" i="5"/>
  <c r="J49" i="5"/>
  <c r="J38" i="5"/>
  <c r="J51" i="5"/>
  <c r="J57" i="5"/>
  <c r="J46" i="5"/>
  <c r="J58" i="5"/>
  <c r="J62" i="5"/>
  <c r="J63" i="5"/>
  <c r="J71" i="5"/>
  <c r="J73" i="5"/>
  <c r="J47" i="5"/>
  <c r="J44" i="5"/>
  <c r="J72" i="5"/>
  <c r="J75" i="5"/>
  <c r="J80" i="5"/>
  <c r="J70" i="5"/>
  <c r="J77" i="5"/>
  <c r="J56" i="5"/>
  <c r="J52" i="5"/>
  <c r="J65" i="5"/>
  <c r="J82" i="5"/>
  <c r="J89" i="5"/>
  <c r="J76" i="5"/>
  <c r="J93" i="5"/>
  <c r="J59" i="5"/>
  <c r="J53" i="5"/>
  <c r="J74" i="5"/>
  <c r="J69" i="5"/>
  <c r="J88" i="5"/>
  <c r="J85" i="5"/>
  <c r="J81" i="5"/>
  <c r="J84" i="5"/>
  <c r="J97" i="5"/>
  <c r="J91" i="5"/>
  <c r="J78" i="5"/>
  <c r="J98" i="5"/>
  <c r="J83" i="5"/>
  <c r="J86" i="5"/>
  <c r="J79" i="5"/>
  <c r="J87" i="5"/>
  <c r="J90" i="5"/>
  <c r="J92" i="5"/>
  <c r="J101" i="5"/>
  <c r="J107" i="5"/>
  <c r="J95" i="5"/>
  <c r="J105" i="5"/>
  <c r="J99" i="5"/>
  <c r="J94" i="5"/>
  <c r="J100" i="5"/>
  <c r="J131" i="5"/>
  <c r="J103" i="5"/>
  <c r="J104" i="5"/>
  <c r="J108" i="5"/>
  <c r="J111" i="5"/>
  <c r="J109" i="5"/>
  <c r="J115" i="5"/>
  <c r="J102" i="5"/>
  <c r="J114" i="5"/>
  <c r="J106" i="5"/>
  <c r="J119" i="5"/>
  <c r="J134" i="5"/>
  <c r="J96" i="5"/>
  <c r="J113" i="5"/>
  <c r="J123" i="5"/>
  <c r="J110" i="5"/>
  <c r="J120" i="5"/>
  <c r="J117" i="5"/>
  <c r="J143" i="5"/>
  <c r="J144" i="5"/>
  <c r="J145" i="5"/>
  <c r="J118" i="5"/>
  <c r="J122" i="5"/>
  <c r="J132" i="5"/>
  <c r="J129" i="5"/>
  <c r="J124" i="5"/>
  <c r="J127" i="5"/>
  <c r="J112" i="5"/>
  <c r="J130" i="5"/>
  <c r="J116" i="5"/>
  <c r="J125" i="5"/>
  <c r="J142" i="5"/>
  <c r="J128" i="5"/>
  <c r="J146" i="5"/>
  <c r="J121" i="5"/>
  <c r="J139" i="5"/>
  <c r="J138" i="5"/>
  <c r="J126" i="5"/>
  <c r="J136" i="5"/>
  <c r="J163" i="5"/>
  <c r="J161" i="5"/>
  <c r="J137" i="5"/>
  <c r="J151" i="5"/>
  <c r="J135" i="5"/>
  <c r="J158" i="5"/>
  <c r="J140" i="5"/>
  <c r="J167" i="5"/>
  <c r="J133" i="5"/>
  <c r="J166" i="5"/>
  <c r="J147" i="5"/>
  <c r="J156" i="5"/>
  <c r="J162" i="5"/>
  <c r="J149" i="5"/>
  <c r="J150" i="5"/>
  <c r="J148" i="5"/>
  <c r="J157" i="5"/>
  <c r="J153" i="5"/>
  <c r="J152" i="5"/>
  <c r="J141" i="5"/>
  <c r="J170" i="5"/>
  <c r="J171" i="5"/>
  <c r="J164" i="5"/>
  <c r="J155" i="5"/>
  <c r="J160" i="5"/>
  <c r="J154" i="5"/>
  <c r="J172" i="5"/>
  <c r="J169" i="5"/>
  <c r="J159" i="5"/>
  <c r="J165" i="5"/>
  <c r="J173" i="5"/>
  <c r="J174" i="5"/>
  <c r="J175" i="5"/>
  <c r="J168" i="5"/>
  <c r="J176" i="5"/>
  <c r="I7" i="5"/>
  <c r="I8" i="5"/>
  <c r="I9" i="5"/>
  <c r="I10" i="5"/>
  <c r="I11" i="5"/>
  <c r="I15" i="5"/>
  <c r="I12" i="5"/>
  <c r="I13" i="5"/>
  <c r="I14" i="5"/>
  <c r="I16" i="5"/>
  <c r="I21" i="5"/>
  <c r="I17" i="5"/>
  <c r="I19" i="5"/>
  <c r="I22" i="5"/>
  <c r="I20" i="5"/>
  <c r="I24" i="5"/>
  <c r="I23" i="5"/>
  <c r="I25" i="5"/>
  <c r="I37" i="5"/>
  <c r="I28" i="5"/>
  <c r="I18" i="5"/>
  <c r="I34" i="5"/>
  <c r="I33" i="5"/>
  <c r="I45" i="5"/>
  <c r="I64" i="5"/>
  <c r="I27" i="5"/>
  <c r="I26" i="5"/>
  <c r="I48" i="5"/>
  <c r="I29" i="5"/>
  <c r="I41" i="5"/>
  <c r="I30" i="5"/>
  <c r="I40" i="5"/>
  <c r="I66" i="5"/>
  <c r="I36" i="5"/>
  <c r="I35" i="5"/>
  <c r="I42" i="5"/>
  <c r="I67" i="5"/>
  <c r="I39" i="5"/>
  <c r="I31" i="5"/>
  <c r="I55" i="5"/>
  <c r="I60" i="5"/>
  <c r="I32" i="5"/>
  <c r="I43" i="5"/>
  <c r="I50" i="5"/>
  <c r="I68" i="5"/>
  <c r="I54" i="5"/>
  <c r="I49" i="5"/>
  <c r="I38" i="5"/>
  <c r="I51" i="5"/>
  <c r="I57" i="5"/>
  <c r="I46" i="5"/>
  <c r="I58" i="5"/>
  <c r="I62" i="5"/>
  <c r="I63" i="5"/>
  <c r="I71" i="5"/>
  <c r="I73" i="5"/>
  <c r="I47" i="5"/>
  <c r="I44" i="5"/>
  <c r="I72" i="5"/>
  <c r="I75" i="5"/>
  <c r="I80" i="5"/>
  <c r="I70" i="5"/>
  <c r="I77" i="5"/>
  <c r="I56" i="5"/>
  <c r="I52" i="5"/>
  <c r="I65" i="5"/>
  <c r="I82" i="5"/>
  <c r="I89" i="5"/>
  <c r="I76" i="5"/>
  <c r="I93" i="5"/>
  <c r="I59" i="5"/>
  <c r="I53" i="5"/>
  <c r="I74" i="5"/>
  <c r="I69" i="5"/>
  <c r="I88" i="5"/>
  <c r="I85" i="5"/>
  <c r="I81" i="5"/>
  <c r="I84" i="5"/>
  <c r="I97" i="5"/>
  <c r="I91" i="5"/>
  <c r="I78" i="5"/>
  <c r="I98" i="5"/>
  <c r="I83" i="5"/>
  <c r="I86" i="5"/>
  <c r="I79" i="5"/>
  <c r="I87" i="5"/>
  <c r="I90" i="5"/>
  <c r="I92" i="5"/>
  <c r="I101" i="5"/>
  <c r="I107" i="5"/>
  <c r="I95" i="5"/>
  <c r="I105" i="5"/>
  <c r="I99" i="5"/>
  <c r="I94" i="5"/>
  <c r="I100" i="5"/>
  <c r="I131" i="5"/>
  <c r="I103" i="5"/>
  <c r="I104" i="5"/>
  <c r="I108" i="5"/>
  <c r="I111" i="5"/>
  <c r="I109" i="5"/>
  <c r="I115" i="5"/>
  <c r="I102" i="5"/>
  <c r="I114" i="5"/>
  <c r="I106" i="5"/>
  <c r="I119" i="5"/>
  <c r="I134" i="5"/>
  <c r="I96" i="5"/>
  <c r="I113" i="5"/>
  <c r="I123" i="5"/>
  <c r="I110" i="5"/>
  <c r="I120" i="5"/>
  <c r="I117" i="5"/>
  <c r="I143" i="5"/>
  <c r="I144" i="5"/>
  <c r="I145" i="5"/>
  <c r="I118" i="5"/>
  <c r="I122" i="5"/>
  <c r="I132" i="5"/>
  <c r="I129" i="5"/>
  <c r="I124" i="5"/>
  <c r="I127" i="5"/>
  <c r="I112" i="5"/>
  <c r="I130" i="5"/>
  <c r="I116" i="5"/>
  <c r="I125" i="5"/>
  <c r="I142" i="5"/>
  <c r="I128" i="5"/>
  <c r="I146" i="5"/>
  <c r="I121" i="5"/>
  <c r="I139" i="5"/>
  <c r="I138" i="5"/>
  <c r="I126" i="5"/>
  <c r="I136" i="5"/>
  <c r="I163" i="5"/>
  <c r="I161" i="5"/>
  <c r="I137" i="5"/>
  <c r="I151" i="5"/>
  <c r="I135" i="5"/>
  <c r="I158" i="5"/>
  <c r="I140" i="5"/>
  <c r="I167" i="5"/>
  <c r="I133" i="5"/>
  <c r="I166" i="5"/>
  <c r="I147" i="5"/>
  <c r="I156" i="5"/>
  <c r="I162" i="5"/>
  <c r="I149" i="5"/>
  <c r="I150" i="5"/>
  <c r="I148" i="5"/>
  <c r="I157" i="5"/>
  <c r="I153" i="5"/>
  <c r="I152" i="5"/>
  <c r="I141" i="5"/>
  <c r="I170" i="5"/>
  <c r="I171" i="5"/>
  <c r="I164" i="5"/>
  <c r="I155" i="5"/>
  <c r="I160" i="5"/>
  <c r="I154" i="5"/>
  <c r="I172" i="5"/>
  <c r="I169" i="5"/>
  <c r="I159" i="5"/>
  <c r="I165" i="5"/>
  <c r="I173" i="5"/>
  <c r="I174" i="5"/>
  <c r="I175" i="5"/>
  <c r="I168" i="5"/>
  <c r="I176" i="5"/>
  <c r="H7" i="5"/>
  <c r="H8" i="5"/>
  <c r="H9" i="5"/>
  <c r="H10" i="5"/>
  <c r="H11" i="5"/>
  <c r="H15" i="5"/>
  <c r="H12" i="5"/>
  <c r="H13" i="5"/>
  <c r="H14" i="5"/>
  <c r="H16" i="5"/>
  <c r="H21" i="5"/>
  <c r="H17" i="5"/>
  <c r="H19" i="5"/>
  <c r="H22" i="5"/>
  <c r="H20" i="5"/>
  <c r="H24" i="5"/>
  <c r="H23" i="5"/>
  <c r="H25" i="5"/>
  <c r="H37" i="5"/>
  <c r="H28" i="5"/>
  <c r="H18" i="5"/>
  <c r="H34" i="5"/>
  <c r="H33" i="5"/>
  <c r="H45" i="5"/>
  <c r="H64" i="5"/>
  <c r="H27" i="5"/>
  <c r="H26" i="5"/>
  <c r="H48" i="5"/>
  <c r="H29" i="5"/>
  <c r="H41" i="5"/>
  <c r="H30" i="5"/>
  <c r="H40" i="5"/>
  <c r="H66" i="5"/>
  <c r="H36" i="5"/>
  <c r="H35" i="5"/>
  <c r="H42" i="5"/>
  <c r="H67" i="5"/>
  <c r="H39" i="5"/>
  <c r="H31" i="5"/>
  <c r="H55" i="5"/>
  <c r="H60" i="5"/>
  <c r="H32" i="5"/>
  <c r="H43" i="5"/>
  <c r="H50" i="5"/>
  <c r="H68" i="5"/>
  <c r="H54" i="5"/>
  <c r="H49" i="5"/>
  <c r="H38" i="5"/>
  <c r="H51" i="5"/>
  <c r="H57" i="5"/>
  <c r="H46" i="5"/>
  <c r="H58" i="5"/>
  <c r="H62" i="5"/>
  <c r="H63" i="5"/>
  <c r="H71" i="5"/>
  <c r="H73" i="5"/>
  <c r="H47" i="5"/>
  <c r="H44" i="5"/>
  <c r="H72" i="5"/>
  <c r="H75" i="5"/>
  <c r="H80" i="5"/>
  <c r="H70" i="5"/>
  <c r="H77" i="5"/>
  <c r="H56" i="5"/>
  <c r="H52" i="5"/>
  <c r="H65" i="5"/>
  <c r="H82" i="5"/>
  <c r="H89" i="5"/>
  <c r="H76" i="5"/>
  <c r="H93" i="5"/>
  <c r="H59" i="5"/>
  <c r="H53" i="5"/>
  <c r="H74" i="5"/>
  <c r="H69" i="5"/>
  <c r="H88" i="5"/>
  <c r="H85" i="5"/>
  <c r="H81" i="5"/>
  <c r="H84" i="5"/>
  <c r="H97" i="5"/>
  <c r="H91" i="5"/>
  <c r="H78" i="5"/>
  <c r="H98" i="5"/>
  <c r="H83" i="5"/>
  <c r="H86" i="5"/>
  <c r="H79" i="5"/>
  <c r="H87" i="5"/>
  <c r="H90" i="5"/>
  <c r="H92" i="5"/>
  <c r="H101" i="5"/>
  <c r="H107" i="5"/>
  <c r="H95" i="5"/>
  <c r="H105" i="5"/>
  <c r="H99" i="5"/>
  <c r="H94" i="5"/>
  <c r="H100" i="5"/>
  <c r="H131" i="5"/>
  <c r="H103" i="5"/>
  <c r="H104" i="5"/>
  <c r="H108" i="5"/>
  <c r="H111" i="5"/>
  <c r="H109" i="5"/>
  <c r="H115" i="5"/>
  <c r="H102" i="5"/>
  <c r="H114" i="5"/>
  <c r="H106" i="5"/>
  <c r="H119" i="5"/>
  <c r="H134" i="5"/>
  <c r="H96" i="5"/>
  <c r="H113" i="5"/>
  <c r="H123" i="5"/>
  <c r="H110" i="5"/>
  <c r="H120" i="5"/>
  <c r="H117" i="5"/>
  <c r="H143" i="5"/>
  <c r="H144" i="5"/>
  <c r="H145" i="5"/>
  <c r="H118" i="5"/>
  <c r="H122" i="5"/>
  <c r="H132" i="5"/>
  <c r="H129" i="5"/>
  <c r="H124" i="5"/>
  <c r="H127" i="5"/>
  <c r="H112" i="5"/>
  <c r="H130" i="5"/>
  <c r="H116" i="5"/>
  <c r="H125" i="5"/>
  <c r="H142" i="5"/>
  <c r="H128" i="5"/>
  <c r="H146" i="5"/>
  <c r="H121" i="5"/>
  <c r="H139" i="5"/>
  <c r="H138" i="5"/>
  <c r="H126" i="5"/>
  <c r="H136" i="5"/>
  <c r="H163" i="5"/>
  <c r="H161" i="5"/>
  <c r="H137" i="5"/>
  <c r="H151" i="5"/>
  <c r="H135" i="5"/>
  <c r="H158" i="5"/>
  <c r="H140" i="5"/>
  <c r="H167" i="5"/>
  <c r="H133" i="5"/>
  <c r="H166" i="5"/>
  <c r="H147" i="5"/>
  <c r="H156" i="5"/>
  <c r="H162" i="5"/>
  <c r="H149" i="5"/>
  <c r="H150" i="5"/>
  <c r="H148" i="5"/>
  <c r="H157" i="5"/>
  <c r="H153" i="5"/>
  <c r="H152" i="5"/>
  <c r="H141" i="5"/>
  <c r="H170" i="5"/>
  <c r="H171" i="5"/>
  <c r="H164" i="5"/>
  <c r="H155" i="5"/>
  <c r="H160" i="5"/>
  <c r="H154" i="5"/>
  <c r="H172" i="5"/>
  <c r="H169" i="5"/>
  <c r="H159" i="5"/>
  <c r="H165" i="5"/>
  <c r="H173" i="5"/>
  <c r="H174" i="5"/>
  <c r="H175" i="5"/>
  <c r="H168" i="5"/>
  <c r="H176" i="5"/>
  <c r="G7" i="5"/>
  <c r="G8" i="5"/>
  <c r="G9" i="5"/>
  <c r="G10" i="5"/>
  <c r="G11" i="5"/>
  <c r="G15" i="5"/>
  <c r="G12" i="5"/>
  <c r="G13" i="5"/>
  <c r="G14" i="5"/>
  <c r="G16" i="5"/>
  <c r="G21" i="5"/>
  <c r="G17" i="5"/>
  <c r="G19" i="5"/>
  <c r="G22" i="5"/>
  <c r="G20" i="5"/>
  <c r="G24" i="5"/>
  <c r="G23" i="5"/>
  <c r="G25" i="5"/>
  <c r="G37" i="5"/>
  <c r="G28" i="5"/>
  <c r="G18" i="5"/>
  <c r="G34" i="5"/>
  <c r="G33" i="5"/>
  <c r="G45" i="5"/>
  <c r="G64" i="5"/>
  <c r="G27" i="5"/>
  <c r="G26" i="5"/>
  <c r="G48" i="5"/>
  <c r="G29" i="5"/>
  <c r="G41" i="5"/>
  <c r="G30" i="5"/>
  <c r="G40" i="5"/>
  <c r="G66" i="5"/>
  <c r="G36" i="5"/>
  <c r="G35" i="5"/>
  <c r="G42" i="5"/>
  <c r="G67" i="5"/>
  <c r="G39" i="5"/>
  <c r="G31" i="5"/>
  <c r="G55" i="5"/>
  <c r="G60" i="5"/>
  <c r="G32" i="5"/>
  <c r="G43" i="5"/>
  <c r="G50" i="5"/>
  <c r="G68" i="5"/>
  <c r="G54" i="5"/>
  <c r="G49" i="5"/>
  <c r="G38" i="5"/>
  <c r="G51" i="5"/>
  <c r="G57" i="5"/>
  <c r="G46" i="5"/>
  <c r="G58" i="5"/>
  <c r="G62" i="5"/>
  <c r="G63" i="5"/>
  <c r="G71" i="5"/>
  <c r="G73" i="5"/>
  <c r="G47" i="5"/>
  <c r="G44" i="5"/>
  <c r="G72" i="5"/>
  <c r="G75" i="5"/>
  <c r="G80" i="5"/>
  <c r="G70" i="5"/>
  <c r="G77" i="5"/>
  <c r="G56" i="5"/>
  <c r="G52" i="5"/>
  <c r="G65" i="5"/>
  <c r="G82" i="5"/>
  <c r="G89" i="5"/>
  <c r="G76" i="5"/>
  <c r="G93" i="5"/>
  <c r="G59" i="5"/>
  <c r="G53" i="5"/>
  <c r="G74" i="5"/>
  <c r="G69" i="5"/>
  <c r="G88" i="5"/>
  <c r="G85" i="5"/>
  <c r="G81" i="5"/>
  <c r="G84" i="5"/>
  <c r="G97" i="5"/>
  <c r="G91" i="5"/>
  <c r="G78" i="5"/>
  <c r="G98" i="5"/>
  <c r="G83" i="5"/>
  <c r="G86" i="5"/>
  <c r="G79" i="5"/>
  <c r="G87" i="5"/>
  <c r="G90" i="5"/>
  <c r="G92" i="5"/>
  <c r="G101" i="5"/>
  <c r="G107" i="5"/>
  <c r="G95" i="5"/>
  <c r="G105" i="5"/>
  <c r="G99" i="5"/>
  <c r="G94" i="5"/>
  <c r="G100" i="5"/>
  <c r="G131" i="5"/>
  <c r="G103" i="5"/>
  <c r="G104" i="5"/>
  <c r="G108" i="5"/>
  <c r="G111" i="5"/>
  <c r="G109" i="5"/>
  <c r="G115" i="5"/>
  <c r="G102" i="5"/>
  <c r="G114" i="5"/>
  <c r="G106" i="5"/>
  <c r="G119" i="5"/>
  <c r="G134" i="5"/>
  <c r="G96" i="5"/>
  <c r="G113" i="5"/>
  <c r="G123" i="5"/>
  <c r="G110" i="5"/>
  <c r="G120" i="5"/>
  <c r="G117" i="5"/>
  <c r="G143" i="5"/>
  <c r="G144" i="5"/>
  <c r="G145" i="5"/>
  <c r="G118" i="5"/>
  <c r="G122" i="5"/>
  <c r="G132" i="5"/>
  <c r="G129" i="5"/>
  <c r="G124" i="5"/>
  <c r="G127" i="5"/>
  <c r="G112" i="5"/>
  <c r="G130" i="5"/>
  <c r="G116" i="5"/>
  <c r="G125" i="5"/>
  <c r="G142" i="5"/>
  <c r="G128" i="5"/>
  <c r="G146" i="5"/>
  <c r="G121" i="5"/>
  <c r="G139" i="5"/>
  <c r="G138" i="5"/>
  <c r="G126" i="5"/>
  <c r="G136" i="5"/>
  <c r="G163" i="5"/>
  <c r="G161" i="5"/>
  <c r="G137" i="5"/>
  <c r="G151" i="5"/>
  <c r="G135" i="5"/>
  <c r="G158" i="5"/>
  <c r="G140" i="5"/>
  <c r="G167" i="5"/>
  <c r="G133" i="5"/>
  <c r="G166" i="5"/>
  <c r="G147" i="5"/>
  <c r="G156" i="5"/>
  <c r="G162" i="5"/>
  <c r="G149" i="5"/>
  <c r="G150" i="5"/>
  <c r="G148" i="5"/>
  <c r="G157" i="5"/>
  <c r="G153" i="5"/>
  <c r="G152" i="5"/>
  <c r="G141" i="5"/>
  <c r="G170" i="5"/>
  <c r="G171" i="5"/>
  <c r="G164" i="5"/>
  <c r="G155" i="5"/>
  <c r="G160" i="5"/>
  <c r="G154" i="5"/>
  <c r="G172" i="5"/>
  <c r="G169" i="5"/>
  <c r="G159" i="5"/>
  <c r="G165" i="5"/>
  <c r="G173" i="5"/>
  <c r="G174" i="5"/>
  <c r="G175" i="5"/>
  <c r="G168" i="5"/>
  <c r="G176" i="5"/>
  <c r="X7" i="5" a="1"/>
  <c r="X7" i="5" s="1"/>
  <c r="X8" i="5" a="1"/>
  <c r="X8" i="5" s="1"/>
  <c r="X9" i="5" a="1"/>
  <c r="X9" i="5" s="1"/>
  <c r="X10" i="5" a="1"/>
  <c r="X10" i="5" s="1"/>
  <c r="X11" i="5" a="1"/>
  <c r="X11" i="5" s="1"/>
  <c r="X15" i="5" a="1"/>
  <c r="X15" i="5" s="1"/>
  <c r="X12" i="5" a="1"/>
  <c r="X12" i="5" s="1"/>
  <c r="X13" i="5" a="1"/>
  <c r="X13" i="5" s="1"/>
  <c r="X14" i="5" a="1"/>
  <c r="X14" i="5" s="1"/>
  <c r="X16" i="5" a="1"/>
  <c r="X16" i="5" s="1"/>
  <c r="X21" i="5" a="1"/>
  <c r="X21" i="5" s="1"/>
  <c r="X17" i="5" a="1"/>
  <c r="X17" i="5" s="1"/>
  <c r="X19" i="5" a="1"/>
  <c r="X19" i="5" s="1"/>
  <c r="X22" i="5" a="1"/>
  <c r="X22" i="5" s="1"/>
  <c r="X20" i="5" a="1"/>
  <c r="X20" i="5" s="1"/>
  <c r="X24" i="5" a="1"/>
  <c r="X24" i="5" s="1"/>
  <c r="X23" i="5" a="1"/>
  <c r="X23" i="5" s="1"/>
  <c r="X25" i="5" a="1"/>
  <c r="X25" i="5" s="1"/>
  <c r="X37" i="5" a="1"/>
  <c r="X37" i="5" s="1"/>
  <c r="X28" i="5" a="1"/>
  <c r="X28" i="5" s="1"/>
  <c r="X18" i="5" a="1"/>
  <c r="X18" i="5" s="1"/>
  <c r="X34" i="5" a="1"/>
  <c r="X34" i="5" s="1"/>
  <c r="X33" i="5" a="1"/>
  <c r="X33" i="5" s="1"/>
  <c r="X45" i="5" a="1"/>
  <c r="X45" i="5" s="1"/>
  <c r="X64" i="5" a="1"/>
  <c r="X64" i="5" s="1"/>
  <c r="X27" i="5" a="1"/>
  <c r="X27" i="5" s="1"/>
  <c r="X26" i="5" a="1"/>
  <c r="X26" i="5" s="1"/>
  <c r="X48" i="5" a="1"/>
  <c r="X48" i="5" s="1"/>
  <c r="X29" i="5" a="1"/>
  <c r="X29" i="5" s="1"/>
  <c r="X41" i="5" a="1"/>
  <c r="X41" i="5" s="1"/>
  <c r="X30" i="5" a="1"/>
  <c r="X30" i="5" s="1"/>
  <c r="X40" i="5" a="1"/>
  <c r="X40" i="5" s="1"/>
  <c r="X66" i="5" a="1"/>
  <c r="X66" i="5" s="1"/>
  <c r="X36" i="5" a="1"/>
  <c r="X36" i="5" s="1"/>
  <c r="X35" i="5" a="1"/>
  <c r="X35" i="5" s="1"/>
  <c r="X42" i="5" a="1"/>
  <c r="X42" i="5" s="1"/>
  <c r="X67" i="5" a="1"/>
  <c r="X67" i="5" s="1"/>
  <c r="X39" i="5" a="1"/>
  <c r="X39" i="5" s="1"/>
  <c r="X31" i="5" a="1"/>
  <c r="X31" i="5" s="1"/>
  <c r="X55" i="5" a="1"/>
  <c r="X55" i="5" s="1"/>
  <c r="X60" i="5" a="1"/>
  <c r="X60" i="5" s="1"/>
  <c r="X32" i="5" a="1"/>
  <c r="X32" i="5" s="1"/>
  <c r="X43" i="5" a="1"/>
  <c r="X43" i="5" s="1"/>
  <c r="X50" i="5" a="1"/>
  <c r="X50" i="5" s="1"/>
  <c r="X68" i="5" a="1"/>
  <c r="X68" i="5" s="1"/>
  <c r="X54" i="5" a="1"/>
  <c r="X54" i="5" s="1"/>
  <c r="X49" i="5" a="1"/>
  <c r="X49" i="5" s="1"/>
  <c r="X38" i="5" a="1"/>
  <c r="X38" i="5" s="1"/>
  <c r="X51" i="5" a="1"/>
  <c r="X51" i="5" s="1"/>
  <c r="X57" i="5" a="1"/>
  <c r="X57" i="5" s="1"/>
  <c r="X46" i="5" a="1"/>
  <c r="X46" i="5" s="1"/>
  <c r="X58" i="5" a="1"/>
  <c r="X58" i="5" s="1"/>
  <c r="X62" i="5" a="1"/>
  <c r="X62" i="5" s="1"/>
  <c r="X63" i="5" a="1"/>
  <c r="X63" i="5" s="1"/>
  <c r="X71" i="5" a="1"/>
  <c r="X71" i="5" s="1"/>
  <c r="X73" i="5" a="1"/>
  <c r="X73" i="5" s="1"/>
  <c r="X44" i="5" a="1"/>
  <c r="X44" i="5" s="1"/>
  <c r="X72" i="5" a="1"/>
  <c r="X72" i="5" s="1"/>
  <c r="X75" i="5" a="1"/>
  <c r="X75" i="5" s="1"/>
  <c r="X80" i="5" a="1"/>
  <c r="X80" i="5" s="1"/>
  <c r="X70" i="5" a="1"/>
  <c r="X70" i="5" s="1"/>
  <c r="X77" i="5" a="1"/>
  <c r="X77" i="5" s="1"/>
  <c r="X56" i="5" a="1"/>
  <c r="X56" i="5" s="1"/>
  <c r="X52" i="5" a="1"/>
  <c r="X52" i="5" s="1"/>
  <c r="X65" i="5" a="1"/>
  <c r="X65" i="5" s="1"/>
  <c r="X82" i="5" a="1"/>
  <c r="X82" i="5" s="1"/>
  <c r="X89" i="5" a="1"/>
  <c r="X89" i="5" s="1"/>
  <c r="X76" i="5" a="1"/>
  <c r="X76" i="5" s="1"/>
  <c r="X93" i="5" a="1"/>
  <c r="X93" i="5" s="1"/>
  <c r="X59" i="5" a="1"/>
  <c r="X59" i="5" s="1"/>
  <c r="X53" i="5" a="1"/>
  <c r="X53" i="5" s="1"/>
  <c r="X74" i="5" a="1"/>
  <c r="X74" i="5" s="1"/>
  <c r="X69" i="5" a="1"/>
  <c r="X69" i="5" s="1"/>
  <c r="X88" i="5" a="1"/>
  <c r="X88" i="5" s="1"/>
  <c r="X85" i="5" a="1"/>
  <c r="X85" i="5" s="1"/>
  <c r="X81" i="5" a="1"/>
  <c r="X81" i="5" s="1"/>
  <c r="X84" i="5" a="1"/>
  <c r="X84" i="5" s="1"/>
  <c r="X97" i="5" a="1"/>
  <c r="X97" i="5" s="1"/>
  <c r="X91" i="5" a="1"/>
  <c r="X91" i="5" s="1"/>
  <c r="X78" i="5" a="1"/>
  <c r="X78" i="5" s="1"/>
  <c r="X98" i="5" a="1"/>
  <c r="X98" i="5" s="1"/>
  <c r="X83" i="5" a="1"/>
  <c r="X83" i="5" s="1"/>
  <c r="X86" i="5" a="1"/>
  <c r="X86" i="5" s="1"/>
  <c r="X79" i="5" a="1"/>
  <c r="X79" i="5" s="1"/>
  <c r="X87" i="5" a="1"/>
  <c r="X87" i="5" s="1"/>
  <c r="X90" i="5" a="1"/>
  <c r="X90" i="5" s="1"/>
  <c r="X92" i="5" a="1"/>
  <c r="X92" i="5" s="1"/>
  <c r="X101" i="5" a="1"/>
  <c r="X101" i="5" s="1"/>
  <c r="X107" i="5" a="1"/>
  <c r="X107" i="5" s="1"/>
  <c r="X95" i="5" a="1"/>
  <c r="X95" i="5" s="1"/>
  <c r="X105" i="5" a="1"/>
  <c r="X105" i="5" s="1"/>
  <c r="X99" i="5" a="1"/>
  <c r="X99" i="5" s="1"/>
  <c r="X94" i="5" a="1"/>
  <c r="X94" i="5" s="1"/>
  <c r="X100" i="5" a="1"/>
  <c r="X100" i="5" s="1"/>
  <c r="X131" i="5" a="1"/>
  <c r="X131" i="5" s="1"/>
  <c r="X103" i="5" a="1"/>
  <c r="X103" i="5" s="1"/>
  <c r="X104" i="5" a="1"/>
  <c r="X104" i="5" s="1"/>
  <c r="X108" i="5" a="1"/>
  <c r="X108" i="5" s="1"/>
  <c r="X111" i="5" a="1"/>
  <c r="X111" i="5" s="1"/>
  <c r="X109" i="5" a="1"/>
  <c r="X109" i="5" s="1"/>
  <c r="X61" i="5" a="1"/>
  <c r="X61" i="5" s="1"/>
  <c r="X115" i="5" a="1"/>
  <c r="X115" i="5" s="1"/>
  <c r="X102" i="5" a="1"/>
  <c r="X102" i="5" s="1"/>
  <c r="X114" i="5" a="1"/>
  <c r="X114" i="5" s="1"/>
  <c r="X106" i="5" a="1"/>
  <c r="X106" i="5" s="1"/>
  <c r="X119" i="5" a="1"/>
  <c r="X119" i="5" s="1"/>
  <c r="X134" i="5" a="1"/>
  <c r="X134" i="5" s="1"/>
  <c r="X96" i="5" a="1"/>
  <c r="X96" i="5" s="1"/>
  <c r="X113" i="5" a="1"/>
  <c r="X113" i="5" s="1"/>
  <c r="X123" i="5" a="1"/>
  <c r="X123" i="5" s="1"/>
  <c r="X110" i="5" a="1"/>
  <c r="X110" i="5" s="1"/>
  <c r="X120" i="5" a="1"/>
  <c r="X120" i="5" s="1"/>
  <c r="X117" i="5" a="1"/>
  <c r="X117" i="5" s="1"/>
  <c r="X143" i="5" a="1"/>
  <c r="X143" i="5" s="1"/>
  <c r="X144" i="5" a="1"/>
  <c r="X144" i="5" s="1"/>
  <c r="X145" i="5" a="1"/>
  <c r="X145" i="5" s="1"/>
  <c r="X118" i="5" a="1"/>
  <c r="X118" i="5" s="1"/>
  <c r="X122" i="5" a="1"/>
  <c r="X122" i="5" s="1"/>
  <c r="X132" i="5" a="1"/>
  <c r="X132" i="5" s="1"/>
  <c r="X129" i="5" a="1"/>
  <c r="X129" i="5" s="1"/>
  <c r="X124" i="5" a="1"/>
  <c r="X124" i="5" s="1"/>
  <c r="X127" i="5" a="1"/>
  <c r="X127" i="5" s="1"/>
  <c r="X112" i="5" a="1"/>
  <c r="X112" i="5" s="1"/>
  <c r="X130" i="5" a="1"/>
  <c r="X130" i="5" s="1"/>
  <c r="X116" i="5" a="1"/>
  <c r="X116" i="5" s="1"/>
  <c r="X125" i="5" a="1"/>
  <c r="X125" i="5" s="1"/>
  <c r="X142" i="5" a="1"/>
  <c r="X142" i="5" s="1"/>
  <c r="X128" i="5" a="1"/>
  <c r="X128" i="5" s="1"/>
  <c r="X146" i="5" a="1"/>
  <c r="X146" i="5" s="1"/>
  <c r="X121" i="5" a="1"/>
  <c r="X121" i="5" s="1"/>
  <c r="X139" i="5" a="1"/>
  <c r="X139" i="5" s="1"/>
  <c r="X138" i="5" a="1"/>
  <c r="X138" i="5" s="1"/>
  <c r="X126" i="5" a="1"/>
  <c r="X126" i="5" s="1"/>
  <c r="X136" i="5" a="1"/>
  <c r="X136" i="5" s="1"/>
  <c r="X163" i="5" a="1"/>
  <c r="X163" i="5" s="1"/>
  <c r="X161" i="5" a="1"/>
  <c r="X161" i="5" s="1"/>
  <c r="X137" i="5" a="1"/>
  <c r="X137" i="5" s="1"/>
  <c r="X151" i="5" a="1"/>
  <c r="X151" i="5" s="1"/>
  <c r="X135" i="5" a="1"/>
  <c r="X135" i="5" s="1"/>
  <c r="X158" i="5" a="1"/>
  <c r="X158" i="5" s="1"/>
  <c r="X140" i="5" a="1"/>
  <c r="X140" i="5" s="1"/>
  <c r="X167" i="5" a="1"/>
  <c r="X167" i="5" s="1"/>
  <c r="X133" i="5" a="1"/>
  <c r="X133" i="5" s="1"/>
  <c r="X166" i="5" a="1"/>
  <c r="X166" i="5" s="1"/>
  <c r="X147" i="5" a="1"/>
  <c r="X147" i="5" s="1"/>
  <c r="X156" i="5" a="1"/>
  <c r="X156" i="5" s="1"/>
  <c r="X162" i="5" a="1"/>
  <c r="X162" i="5" s="1"/>
  <c r="X149" i="5" a="1"/>
  <c r="X149" i="5" s="1"/>
  <c r="X150" i="5" a="1"/>
  <c r="X150" i="5" s="1"/>
  <c r="X148" i="5" a="1"/>
  <c r="X148" i="5" s="1"/>
  <c r="X157" i="5" a="1"/>
  <c r="X157" i="5" s="1"/>
  <c r="X153" i="5" a="1"/>
  <c r="X153" i="5" s="1"/>
  <c r="X152" i="5" a="1"/>
  <c r="X152" i="5" s="1"/>
  <c r="X141" i="5" a="1"/>
  <c r="X141" i="5" s="1"/>
  <c r="X170" i="5" a="1"/>
  <c r="X170" i="5" s="1"/>
  <c r="X171" i="5" a="1"/>
  <c r="X171" i="5" s="1"/>
  <c r="X164" i="5" a="1"/>
  <c r="X164" i="5" s="1"/>
  <c r="X155" i="5" a="1"/>
  <c r="X155" i="5" s="1"/>
  <c r="X160" i="5" a="1"/>
  <c r="X160" i="5" s="1"/>
  <c r="X154" i="5" a="1"/>
  <c r="X154" i="5" s="1"/>
  <c r="X172" i="5" a="1"/>
  <c r="X172" i="5" s="1"/>
  <c r="X169" i="5" a="1"/>
  <c r="X169" i="5" s="1"/>
  <c r="X159" i="5" a="1"/>
  <c r="X159" i="5" s="1"/>
  <c r="X165" i="5" a="1"/>
  <c r="X165" i="5" s="1"/>
  <c r="X173" i="5" a="1"/>
  <c r="X173" i="5" s="1"/>
  <c r="X174" i="5" a="1"/>
  <c r="X174" i="5" s="1"/>
  <c r="X175" i="5" a="1"/>
  <c r="X175" i="5" s="1"/>
  <c r="X168" i="5" a="1"/>
  <c r="X168" i="5" s="1"/>
  <c r="X176" i="5" a="1"/>
  <c r="X176" i="5" s="1"/>
  <c r="W7" i="5" a="1"/>
  <c r="W7" i="5" s="1"/>
  <c r="W8" i="5" a="1"/>
  <c r="W8" i="5" s="1"/>
  <c r="W9" i="5" a="1"/>
  <c r="W9" i="5" s="1"/>
  <c r="W10" i="5" a="1"/>
  <c r="W10" i="5" s="1"/>
  <c r="W11" i="5" a="1"/>
  <c r="W11" i="5" s="1"/>
  <c r="W15" i="5" a="1"/>
  <c r="W15" i="5" s="1"/>
  <c r="W12" i="5" a="1"/>
  <c r="W12" i="5" s="1"/>
  <c r="W13" i="5" a="1"/>
  <c r="W13" i="5" s="1"/>
  <c r="W14" i="5" a="1"/>
  <c r="W14" i="5" s="1"/>
  <c r="W16" i="5" a="1"/>
  <c r="W16" i="5" s="1"/>
  <c r="W21" i="5" a="1"/>
  <c r="W21" i="5" s="1"/>
  <c r="W17" i="5" a="1"/>
  <c r="W17" i="5" s="1"/>
  <c r="W19" i="5" a="1"/>
  <c r="W19" i="5" s="1"/>
  <c r="W22" i="5" a="1"/>
  <c r="W22" i="5" s="1"/>
  <c r="W20" i="5" a="1"/>
  <c r="W20" i="5" s="1"/>
  <c r="W24" i="5" a="1"/>
  <c r="W24" i="5" s="1"/>
  <c r="W23" i="5" a="1"/>
  <c r="W23" i="5" s="1"/>
  <c r="W25" i="5" a="1"/>
  <c r="W25" i="5" s="1"/>
  <c r="W37" i="5" a="1"/>
  <c r="W37" i="5" s="1"/>
  <c r="W28" i="5" a="1"/>
  <c r="W28" i="5" s="1"/>
  <c r="W18" i="5" a="1"/>
  <c r="W18" i="5" s="1"/>
  <c r="W34" i="5" a="1"/>
  <c r="W34" i="5" s="1"/>
  <c r="W33" i="5" a="1"/>
  <c r="W33" i="5" s="1"/>
  <c r="W45" i="5" a="1"/>
  <c r="W45" i="5" s="1"/>
  <c r="W64" i="5" a="1"/>
  <c r="W64" i="5" s="1"/>
  <c r="W27" i="5" a="1"/>
  <c r="W27" i="5" s="1"/>
  <c r="W26" i="5" a="1"/>
  <c r="W26" i="5" s="1"/>
  <c r="W48" i="5" a="1"/>
  <c r="W48" i="5" s="1"/>
  <c r="W29" i="5" a="1"/>
  <c r="W29" i="5" s="1"/>
  <c r="W41" i="5" a="1"/>
  <c r="W41" i="5" s="1"/>
  <c r="W30" i="5" a="1"/>
  <c r="W30" i="5" s="1"/>
  <c r="W40" i="5" a="1"/>
  <c r="W40" i="5" s="1"/>
  <c r="W66" i="5" a="1"/>
  <c r="W66" i="5" s="1"/>
  <c r="W36" i="5" a="1"/>
  <c r="W36" i="5" s="1"/>
  <c r="W35" i="5" a="1"/>
  <c r="W35" i="5" s="1"/>
  <c r="W42" i="5" a="1"/>
  <c r="W42" i="5" s="1"/>
  <c r="W67" i="5" a="1"/>
  <c r="W67" i="5" s="1"/>
  <c r="W39" i="5" a="1"/>
  <c r="W39" i="5" s="1"/>
  <c r="W31" i="5" a="1"/>
  <c r="W31" i="5" s="1"/>
  <c r="W55" i="5" a="1"/>
  <c r="W55" i="5" s="1"/>
  <c r="W60" i="5" a="1"/>
  <c r="W60" i="5" s="1"/>
  <c r="W32" i="5" a="1"/>
  <c r="W32" i="5" s="1"/>
  <c r="W43" i="5" a="1"/>
  <c r="W43" i="5" s="1"/>
  <c r="W50" i="5" a="1"/>
  <c r="W50" i="5" s="1"/>
  <c r="W68" i="5" a="1"/>
  <c r="W68" i="5" s="1"/>
  <c r="W54" i="5" a="1"/>
  <c r="W54" i="5" s="1"/>
  <c r="W49" i="5" a="1"/>
  <c r="W49" i="5" s="1"/>
  <c r="W38" i="5" a="1"/>
  <c r="W38" i="5" s="1"/>
  <c r="W51" i="5" a="1"/>
  <c r="W51" i="5" s="1"/>
  <c r="W57" i="5" a="1"/>
  <c r="W57" i="5" s="1"/>
  <c r="W46" i="5" a="1"/>
  <c r="W46" i="5" s="1"/>
  <c r="W58" i="5" a="1"/>
  <c r="W58" i="5" s="1"/>
  <c r="W62" i="5" a="1"/>
  <c r="W62" i="5" s="1"/>
  <c r="W63" i="5" a="1"/>
  <c r="W63" i="5" s="1"/>
  <c r="W71" i="5" a="1"/>
  <c r="W71" i="5" s="1"/>
  <c r="W73" i="5" a="1"/>
  <c r="W73" i="5" s="1"/>
  <c r="W47" i="5" a="1"/>
  <c r="W47" i="5" s="1"/>
  <c r="W44" i="5" a="1"/>
  <c r="W44" i="5" s="1"/>
  <c r="W72" i="5" a="1"/>
  <c r="W72" i="5" s="1"/>
  <c r="W75" i="5" a="1"/>
  <c r="W75" i="5" s="1"/>
  <c r="W80" i="5" a="1"/>
  <c r="W80" i="5" s="1"/>
  <c r="W70" i="5" a="1"/>
  <c r="W70" i="5" s="1"/>
  <c r="W77" i="5" a="1"/>
  <c r="W77" i="5" s="1"/>
  <c r="W56" i="5" a="1"/>
  <c r="W56" i="5" s="1"/>
  <c r="W52" i="5" a="1"/>
  <c r="W52" i="5" s="1"/>
  <c r="W65" i="5" a="1"/>
  <c r="W65" i="5" s="1"/>
  <c r="W82" i="5" a="1"/>
  <c r="W82" i="5" s="1"/>
  <c r="W89" i="5" a="1"/>
  <c r="W89" i="5" s="1"/>
  <c r="W76" i="5" a="1"/>
  <c r="W76" i="5" s="1"/>
  <c r="W93" i="5" a="1"/>
  <c r="W93" i="5" s="1"/>
  <c r="W59" i="5" a="1"/>
  <c r="W59" i="5" s="1"/>
  <c r="W53" i="5" a="1"/>
  <c r="W53" i="5" s="1"/>
  <c r="W74" i="5" a="1"/>
  <c r="W74" i="5" s="1"/>
  <c r="W69" i="5" a="1"/>
  <c r="W69" i="5" s="1"/>
  <c r="W88" i="5" a="1"/>
  <c r="W88" i="5" s="1"/>
  <c r="W85" i="5" a="1"/>
  <c r="W85" i="5" s="1"/>
  <c r="W81" i="5" a="1"/>
  <c r="W81" i="5" s="1"/>
  <c r="W84" i="5" a="1"/>
  <c r="W84" i="5" s="1"/>
  <c r="W97" i="5" a="1"/>
  <c r="W97" i="5" s="1"/>
  <c r="W91" i="5" a="1"/>
  <c r="W91" i="5" s="1"/>
  <c r="W78" i="5" a="1"/>
  <c r="W78" i="5" s="1"/>
  <c r="W98" i="5" a="1"/>
  <c r="W98" i="5" s="1"/>
  <c r="W83" i="5" a="1"/>
  <c r="W83" i="5" s="1"/>
  <c r="W86" i="5" a="1"/>
  <c r="W86" i="5" s="1"/>
  <c r="W79" i="5" a="1"/>
  <c r="W79" i="5" s="1"/>
  <c r="W87" i="5" a="1"/>
  <c r="W87" i="5" s="1"/>
  <c r="W90" i="5" a="1"/>
  <c r="W90" i="5" s="1"/>
  <c r="W92" i="5" a="1"/>
  <c r="W92" i="5" s="1"/>
  <c r="W101" i="5" a="1"/>
  <c r="W101" i="5" s="1"/>
  <c r="W107" i="5" a="1"/>
  <c r="W107" i="5" s="1"/>
  <c r="W95" i="5" a="1"/>
  <c r="W95" i="5" s="1"/>
  <c r="W105" i="5" a="1"/>
  <c r="W105" i="5" s="1"/>
  <c r="W99" i="5" a="1"/>
  <c r="W99" i="5" s="1"/>
  <c r="W94" i="5" a="1"/>
  <c r="W94" i="5" s="1"/>
  <c r="W100" i="5" a="1"/>
  <c r="W100" i="5" s="1"/>
  <c r="W131" i="5" a="1"/>
  <c r="W131" i="5" s="1"/>
  <c r="W103" i="5" a="1"/>
  <c r="W103" i="5" s="1"/>
  <c r="W104" i="5" a="1"/>
  <c r="W104" i="5" s="1"/>
  <c r="W108" i="5" a="1"/>
  <c r="W108" i="5" s="1"/>
  <c r="W111" i="5" a="1"/>
  <c r="W111" i="5" s="1"/>
  <c r="W109" i="5" a="1"/>
  <c r="W109" i="5" s="1"/>
  <c r="W61" i="5" a="1"/>
  <c r="W61" i="5" s="1"/>
  <c r="W115" i="5" a="1"/>
  <c r="W115" i="5" s="1"/>
  <c r="W102" i="5" a="1"/>
  <c r="W102" i="5" s="1"/>
  <c r="W114" i="5" a="1"/>
  <c r="W114" i="5" s="1"/>
  <c r="W106" i="5" a="1"/>
  <c r="W106" i="5" s="1"/>
  <c r="W119" i="5" a="1"/>
  <c r="W119" i="5" s="1"/>
  <c r="W134" i="5" a="1"/>
  <c r="W134" i="5" s="1"/>
  <c r="W96" i="5" a="1"/>
  <c r="W96" i="5" s="1"/>
  <c r="W113" i="5" a="1"/>
  <c r="W113" i="5" s="1"/>
  <c r="W123" i="5" a="1"/>
  <c r="W123" i="5" s="1"/>
  <c r="W110" i="5" a="1"/>
  <c r="W110" i="5" s="1"/>
  <c r="W120" i="5" a="1"/>
  <c r="W120" i="5" s="1"/>
  <c r="W117" i="5" a="1"/>
  <c r="W117" i="5" s="1"/>
  <c r="W143" i="5" a="1"/>
  <c r="W143" i="5" s="1"/>
  <c r="W144" i="5" a="1"/>
  <c r="W144" i="5" s="1"/>
  <c r="W145" i="5" a="1"/>
  <c r="W145" i="5" s="1"/>
  <c r="W118" i="5" a="1"/>
  <c r="W118" i="5" s="1"/>
  <c r="W122" i="5" a="1"/>
  <c r="W122" i="5" s="1"/>
  <c r="W132" i="5" a="1"/>
  <c r="W132" i="5" s="1"/>
  <c r="W129" i="5" a="1"/>
  <c r="W129" i="5" s="1"/>
  <c r="W124" i="5" a="1"/>
  <c r="W124" i="5" s="1"/>
  <c r="W127" i="5" a="1"/>
  <c r="W127" i="5" s="1"/>
  <c r="W112" i="5" a="1"/>
  <c r="W112" i="5" s="1"/>
  <c r="W130" i="5" a="1"/>
  <c r="W130" i="5" s="1"/>
  <c r="W116" i="5" a="1"/>
  <c r="W116" i="5" s="1"/>
  <c r="W125" i="5" a="1"/>
  <c r="W125" i="5" s="1"/>
  <c r="W142" i="5" a="1"/>
  <c r="W142" i="5" s="1"/>
  <c r="W128" i="5" a="1"/>
  <c r="W128" i="5" s="1"/>
  <c r="W146" i="5" a="1"/>
  <c r="W146" i="5" s="1"/>
  <c r="W121" i="5" a="1"/>
  <c r="W121" i="5" s="1"/>
  <c r="W139" i="5" a="1"/>
  <c r="W139" i="5" s="1"/>
  <c r="W138" i="5" a="1"/>
  <c r="W138" i="5" s="1"/>
  <c r="W126" i="5" a="1"/>
  <c r="W126" i="5" s="1"/>
  <c r="W136" i="5" a="1"/>
  <c r="W136" i="5" s="1"/>
  <c r="W163" i="5" a="1"/>
  <c r="W163" i="5" s="1"/>
  <c r="W161" i="5" a="1"/>
  <c r="W161" i="5" s="1"/>
  <c r="W137" i="5" a="1"/>
  <c r="W137" i="5" s="1"/>
  <c r="W151" i="5" a="1"/>
  <c r="W151" i="5" s="1"/>
  <c r="W135" i="5" a="1"/>
  <c r="W135" i="5" s="1"/>
  <c r="W158" i="5" a="1"/>
  <c r="W158" i="5" s="1"/>
  <c r="W140" i="5" a="1"/>
  <c r="W140" i="5" s="1"/>
  <c r="W167" i="5" a="1"/>
  <c r="W167" i="5" s="1"/>
  <c r="W133" i="5" a="1"/>
  <c r="W133" i="5" s="1"/>
  <c r="W166" i="5" a="1"/>
  <c r="W166" i="5" s="1"/>
  <c r="W147" i="5" a="1"/>
  <c r="W147" i="5" s="1"/>
  <c r="W156" i="5" a="1"/>
  <c r="W156" i="5" s="1"/>
  <c r="W162" i="5" a="1"/>
  <c r="W162" i="5" s="1"/>
  <c r="W149" i="5" a="1"/>
  <c r="W149" i="5" s="1"/>
  <c r="W150" i="5" a="1"/>
  <c r="W150" i="5" s="1"/>
  <c r="W148" i="5" a="1"/>
  <c r="W148" i="5" s="1"/>
  <c r="W157" i="5" a="1"/>
  <c r="W157" i="5" s="1"/>
  <c r="W153" i="5" a="1"/>
  <c r="W153" i="5" s="1"/>
  <c r="W152" i="5" a="1"/>
  <c r="W152" i="5" s="1"/>
  <c r="W141" i="5" a="1"/>
  <c r="W141" i="5" s="1"/>
  <c r="W170" i="5" a="1"/>
  <c r="W170" i="5" s="1"/>
  <c r="W171" i="5" a="1"/>
  <c r="W171" i="5" s="1"/>
  <c r="W164" i="5" a="1"/>
  <c r="W164" i="5" s="1"/>
  <c r="W155" i="5" a="1"/>
  <c r="W155" i="5" s="1"/>
  <c r="W160" i="5" a="1"/>
  <c r="W160" i="5" s="1"/>
  <c r="W154" i="5" a="1"/>
  <c r="W154" i="5" s="1"/>
  <c r="W172" i="5" a="1"/>
  <c r="W172" i="5" s="1"/>
  <c r="W169" i="5" a="1"/>
  <c r="W169" i="5" s="1"/>
  <c r="W159" i="5" a="1"/>
  <c r="W159" i="5" s="1"/>
  <c r="W165" i="5" a="1"/>
  <c r="W165" i="5" s="1"/>
  <c r="W173" i="5" a="1"/>
  <c r="W173" i="5" s="1"/>
  <c r="W174" i="5" a="1"/>
  <c r="W174" i="5" s="1"/>
  <c r="W175" i="5" a="1"/>
  <c r="W175" i="5" s="1"/>
  <c r="W168" i="5" a="1"/>
  <c r="W168" i="5" s="1"/>
  <c r="W176" i="5" a="1"/>
  <c r="W176" i="5" s="1"/>
  <c r="V7" i="5" a="1"/>
  <c r="V7" i="5" s="1"/>
  <c r="V8" i="5" a="1"/>
  <c r="V8" i="5" s="1"/>
  <c r="V9" i="5" a="1"/>
  <c r="V9" i="5" s="1"/>
  <c r="V10" i="5" a="1"/>
  <c r="V10" i="5" s="1"/>
  <c r="V11" i="5" a="1"/>
  <c r="V11" i="5" s="1"/>
  <c r="V15" i="5" a="1"/>
  <c r="V15" i="5" s="1"/>
  <c r="V12" i="5" a="1"/>
  <c r="V12" i="5" s="1"/>
  <c r="V13" i="5" a="1"/>
  <c r="V13" i="5" s="1"/>
  <c r="V14" i="5" a="1"/>
  <c r="V14" i="5" s="1"/>
  <c r="V16" i="5" a="1"/>
  <c r="V16" i="5" s="1"/>
  <c r="V21" i="5" a="1"/>
  <c r="V21" i="5" s="1"/>
  <c r="V17" i="5" a="1"/>
  <c r="V17" i="5" s="1"/>
  <c r="V19" i="5" a="1"/>
  <c r="V19" i="5" s="1"/>
  <c r="V22" i="5" a="1"/>
  <c r="V22" i="5" s="1"/>
  <c r="V20" i="5" a="1"/>
  <c r="V20" i="5" s="1"/>
  <c r="V24" i="5" a="1"/>
  <c r="V24" i="5" s="1"/>
  <c r="V23" i="5" a="1"/>
  <c r="V23" i="5" s="1"/>
  <c r="V25" i="5" a="1"/>
  <c r="V25" i="5" s="1"/>
  <c r="V37" i="5" a="1"/>
  <c r="V37" i="5" s="1"/>
  <c r="V28" i="5" a="1"/>
  <c r="V28" i="5" s="1"/>
  <c r="V18" i="5" a="1"/>
  <c r="V18" i="5" s="1"/>
  <c r="V34" i="5" a="1"/>
  <c r="V34" i="5" s="1"/>
  <c r="V33" i="5" a="1"/>
  <c r="V33" i="5" s="1"/>
  <c r="V45" i="5" a="1"/>
  <c r="V45" i="5" s="1"/>
  <c r="V64" i="5" a="1"/>
  <c r="V64" i="5" s="1"/>
  <c r="V27" i="5" a="1"/>
  <c r="V27" i="5" s="1"/>
  <c r="V26" i="5" a="1"/>
  <c r="V26" i="5" s="1"/>
  <c r="V48" i="5" a="1"/>
  <c r="V48" i="5" s="1"/>
  <c r="V29" i="5" a="1"/>
  <c r="V29" i="5" s="1"/>
  <c r="V41" i="5" a="1"/>
  <c r="V41" i="5" s="1"/>
  <c r="V30" i="5" a="1"/>
  <c r="V30" i="5" s="1"/>
  <c r="V40" i="5" a="1"/>
  <c r="V40" i="5" s="1"/>
  <c r="V66" i="5" a="1"/>
  <c r="V66" i="5" s="1"/>
  <c r="V36" i="5" a="1"/>
  <c r="V36" i="5" s="1"/>
  <c r="V35" i="5" a="1"/>
  <c r="V35" i="5" s="1"/>
  <c r="V42" i="5" a="1"/>
  <c r="V42" i="5" s="1"/>
  <c r="V67" i="5" a="1"/>
  <c r="V67" i="5" s="1"/>
  <c r="V39" i="5" a="1"/>
  <c r="V39" i="5" s="1"/>
  <c r="V31" i="5" a="1"/>
  <c r="V31" i="5" s="1"/>
  <c r="V55" i="5" a="1"/>
  <c r="V55" i="5" s="1"/>
  <c r="V60" i="5" a="1"/>
  <c r="V60" i="5" s="1"/>
  <c r="V32" i="5" a="1"/>
  <c r="V32" i="5" s="1"/>
  <c r="V43" i="5" a="1"/>
  <c r="V43" i="5" s="1"/>
  <c r="V50" i="5" a="1"/>
  <c r="V50" i="5" s="1"/>
  <c r="V68" i="5" a="1"/>
  <c r="V68" i="5" s="1"/>
  <c r="V54" i="5" a="1"/>
  <c r="V54" i="5" s="1"/>
  <c r="V49" i="5" a="1"/>
  <c r="V49" i="5" s="1"/>
  <c r="V38" i="5" a="1"/>
  <c r="V38" i="5" s="1"/>
  <c r="V51" i="5" a="1"/>
  <c r="V51" i="5" s="1"/>
  <c r="V57" i="5" a="1"/>
  <c r="V57" i="5" s="1"/>
  <c r="V46" i="5" a="1"/>
  <c r="V46" i="5" s="1"/>
  <c r="V58" i="5" a="1"/>
  <c r="V58" i="5" s="1"/>
  <c r="V62" i="5" a="1"/>
  <c r="V62" i="5" s="1"/>
  <c r="V63" i="5" a="1"/>
  <c r="V63" i="5" s="1"/>
  <c r="V71" i="5" a="1"/>
  <c r="V71" i="5" s="1"/>
  <c r="V73" i="5" a="1"/>
  <c r="V73" i="5" s="1"/>
  <c r="V47" i="5" a="1"/>
  <c r="V47" i="5" s="1"/>
  <c r="V44" i="5" a="1"/>
  <c r="V44" i="5" s="1"/>
  <c r="V72" i="5" a="1"/>
  <c r="V72" i="5" s="1"/>
  <c r="V75" i="5" a="1"/>
  <c r="V75" i="5" s="1"/>
  <c r="V80" i="5" a="1"/>
  <c r="V80" i="5" s="1"/>
  <c r="V70" i="5" a="1"/>
  <c r="V70" i="5" s="1"/>
  <c r="V77" i="5" a="1"/>
  <c r="V77" i="5" s="1"/>
  <c r="V56" i="5" a="1"/>
  <c r="V56" i="5" s="1"/>
  <c r="V52" i="5" a="1"/>
  <c r="V52" i="5" s="1"/>
  <c r="V65" i="5" a="1"/>
  <c r="V65" i="5" s="1"/>
  <c r="V82" i="5" a="1"/>
  <c r="V82" i="5" s="1"/>
  <c r="V89" i="5" a="1"/>
  <c r="V89" i="5" s="1"/>
  <c r="V76" i="5" a="1"/>
  <c r="V76" i="5" s="1"/>
  <c r="V93" i="5" a="1"/>
  <c r="V93" i="5" s="1"/>
  <c r="V59" i="5" a="1"/>
  <c r="V59" i="5" s="1"/>
  <c r="V53" i="5" a="1"/>
  <c r="V53" i="5" s="1"/>
  <c r="V74" i="5" a="1"/>
  <c r="V74" i="5" s="1"/>
  <c r="V69" i="5" a="1"/>
  <c r="V69" i="5" s="1"/>
  <c r="V88" i="5" a="1"/>
  <c r="V88" i="5" s="1"/>
  <c r="V85" i="5" a="1"/>
  <c r="V85" i="5" s="1"/>
  <c r="V81" i="5" a="1"/>
  <c r="V81" i="5" s="1"/>
  <c r="V84" i="5" a="1"/>
  <c r="V84" i="5" s="1"/>
  <c r="V97" i="5" a="1"/>
  <c r="V97" i="5" s="1"/>
  <c r="V91" i="5" a="1"/>
  <c r="V91" i="5" s="1"/>
  <c r="V78" i="5" a="1"/>
  <c r="V78" i="5" s="1"/>
  <c r="V98" i="5" a="1"/>
  <c r="V98" i="5" s="1"/>
  <c r="V83" i="5" a="1"/>
  <c r="V83" i="5" s="1"/>
  <c r="V86" i="5" a="1"/>
  <c r="V86" i="5" s="1"/>
  <c r="V79" i="5" a="1"/>
  <c r="V79" i="5" s="1"/>
  <c r="V87" i="5" a="1"/>
  <c r="V87" i="5" s="1"/>
  <c r="V90" i="5" a="1"/>
  <c r="V90" i="5" s="1"/>
  <c r="V92" i="5" a="1"/>
  <c r="V92" i="5" s="1"/>
  <c r="V101" i="5" a="1"/>
  <c r="V101" i="5" s="1"/>
  <c r="V107" i="5" a="1"/>
  <c r="V107" i="5" s="1"/>
  <c r="V95" i="5" a="1"/>
  <c r="V95" i="5" s="1"/>
  <c r="V105" i="5" a="1"/>
  <c r="V105" i="5" s="1"/>
  <c r="V99" i="5" a="1"/>
  <c r="V99" i="5" s="1"/>
  <c r="V94" i="5" a="1"/>
  <c r="V94" i="5" s="1"/>
  <c r="V100" i="5" a="1"/>
  <c r="V100" i="5" s="1"/>
  <c r="V131" i="5" a="1"/>
  <c r="V131" i="5" s="1"/>
  <c r="V103" i="5" a="1"/>
  <c r="V103" i="5" s="1"/>
  <c r="V104" i="5" a="1"/>
  <c r="V104" i="5" s="1"/>
  <c r="V108" i="5" a="1"/>
  <c r="V108" i="5" s="1"/>
  <c r="V111" i="5" a="1"/>
  <c r="V111" i="5" s="1"/>
  <c r="V109" i="5" a="1"/>
  <c r="V109" i="5" s="1"/>
  <c r="V61" i="5" a="1"/>
  <c r="V61" i="5" s="1"/>
  <c r="V115" i="5" a="1"/>
  <c r="V115" i="5" s="1"/>
  <c r="V102" i="5" a="1"/>
  <c r="V102" i="5" s="1"/>
  <c r="V114" i="5" a="1"/>
  <c r="V114" i="5" s="1"/>
  <c r="V106" i="5" a="1"/>
  <c r="V106" i="5" s="1"/>
  <c r="V119" i="5" a="1"/>
  <c r="V119" i="5" s="1"/>
  <c r="V134" i="5" a="1"/>
  <c r="V134" i="5" s="1"/>
  <c r="V96" i="5" a="1"/>
  <c r="V96" i="5" s="1"/>
  <c r="V113" i="5" a="1"/>
  <c r="V113" i="5" s="1"/>
  <c r="V123" i="5" a="1"/>
  <c r="V123" i="5" s="1"/>
  <c r="V110" i="5" a="1"/>
  <c r="V110" i="5" s="1"/>
  <c r="V120" i="5" a="1"/>
  <c r="V120" i="5" s="1"/>
  <c r="V117" i="5" a="1"/>
  <c r="V117" i="5" s="1"/>
  <c r="V143" i="5" a="1"/>
  <c r="V143" i="5" s="1"/>
  <c r="V144" i="5" a="1"/>
  <c r="V144" i="5" s="1"/>
  <c r="V145" i="5" a="1"/>
  <c r="V145" i="5" s="1"/>
  <c r="V118" i="5" a="1"/>
  <c r="V118" i="5" s="1"/>
  <c r="V122" i="5" a="1"/>
  <c r="V122" i="5" s="1"/>
  <c r="V132" i="5" a="1"/>
  <c r="V132" i="5" s="1"/>
  <c r="V129" i="5" a="1"/>
  <c r="V129" i="5" s="1"/>
  <c r="V124" i="5" a="1"/>
  <c r="V124" i="5" s="1"/>
  <c r="V127" i="5" a="1"/>
  <c r="V127" i="5" s="1"/>
  <c r="V112" i="5" a="1"/>
  <c r="V112" i="5" s="1"/>
  <c r="V130" i="5" a="1"/>
  <c r="V130" i="5" s="1"/>
  <c r="V116" i="5" a="1"/>
  <c r="V116" i="5" s="1"/>
  <c r="V125" i="5" a="1"/>
  <c r="V125" i="5" s="1"/>
  <c r="V142" i="5" a="1"/>
  <c r="V142" i="5" s="1"/>
  <c r="V128" i="5" a="1"/>
  <c r="V128" i="5" s="1"/>
  <c r="V146" i="5" a="1"/>
  <c r="V146" i="5" s="1"/>
  <c r="V121" i="5" a="1"/>
  <c r="V121" i="5" s="1"/>
  <c r="V139" i="5" a="1"/>
  <c r="V139" i="5" s="1"/>
  <c r="V138" i="5" a="1"/>
  <c r="V138" i="5" s="1"/>
  <c r="V126" i="5" a="1"/>
  <c r="V126" i="5" s="1"/>
  <c r="V136" i="5" a="1"/>
  <c r="V136" i="5" s="1"/>
  <c r="V163" i="5" a="1"/>
  <c r="V163" i="5" s="1"/>
  <c r="V161" i="5" a="1"/>
  <c r="V161" i="5" s="1"/>
  <c r="V137" i="5" a="1"/>
  <c r="V137" i="5" s="1"/>
  <c r="V151" i="5" a="1"/>
  <c r="V151" i="5" s="1"/>
  <c r="V135" i="5" a="1"/>
  <c r="V135" i="5" s="1"/>
  <c r="V158" i="5" a="1"/>
  <c r="V158" i="5" s="1"/>
  <c r="V140" i="5" a="1"/>
  <c r="V140" i="5" s="1"/>
  <c r="V167" i="5" a="1"/>
  <c r="V167" i="5" s="1"/>
  <c r="V133" i="5" a="1"/>
  <c r="V133" i="5" s="1"/>
  <c r="V166" i="5" a="1"/>
  <c r="V166" i="5" s="1"/>
  <c r="V147" i="5" a="1"/>
  <c r="V147" i="5" s="1"/>
  <c r="V156" i="5" a="1"/>
  <c r="V156" i="5" s="1"/>
  <c r="V162" i="5" a="1"/>
  <c r="V162" i="5" s="1"/>
  <c r="V149" i="5" a="1"/>
  <c r="V149" i="5" s="1"/>
  <c r="V150" i="5" a="1"/>
  <c r="V150" i="5" s="1"/>
  <c r="V148" i="5" a="1"/>
  <c r="V148" i="5" s="1"/>
  <c r="V157" i="5" a="1"/>
  <c r="V157" i="5" s="1"/>
  <c r="V153" i="5" a="1"/>
  <c r="V153" i="5" s="1"/>
  <c r="V152" i="5" a="1"/>
  <c r="V152" i="5" s="1"/>
  <c r="V141" i="5" a="1"/>
  <c r="V141" i="5" s="1"/>
  <c r="V170" i="5" a="1"/>
  <c r="V170" i="5" s="1"/>
  <c r="V171" i="5" a="1"/>
  <c r="V171" i="5" s="1"/>
  <c r="V164" i="5" a="1"/>
  <c r="V164" i="5" s="1"/>
  <c r="V155" i="5" a="1"/>
  <c r="V155" i="5" s="1"/>
  <c r="V160" i="5" a="1"/>
  <c r="V160" i="5" s="1"/>
  <c r="V154" i="5" a="1"/>
  <c r="V154" i="5" s="1"/>
  <c r="V172" i="5" a="1"/>
  <c r="V172" i="5" s="1"/>
  <c r="V169" i="5" a="1"/>
  <c r="V169" i="5" s="1"/>
  <c r="V159" i="5" a="1"/>
  <c r="V159" i="5" s="1"/>
  <c r="V165" i="5" a="1"/>
  <c r="V165" i="5" s="1"/>
  <c r="V173" i="5" a="1"/>
  <c r="V173" i="5" s="1"/>
  <c r="V174" i="5" a="1"/>
  <c r="V174" i="5" s="1"/>
  <c r="V175" i="5" a="1"/>
  <c r="V175" i="5" s="1"/>
  <c r="V168" i="5" a="1"/>
  <c r="V168" i="5" s="1"/>
  <c r="V176" i="5" a="1"/>
  <c r="V176" i="5" s="1"/>
  <c r="R19" i="5"/>
  <c r="U7" i="5"/>
  <c r="U8" i="5"/>
  <c r="U9" i="5"/>
  <c r="U11" i="5"/>
  <c r="U10" i="5"/>
  <c r="U15" i="5"/>
  <c r="U14" i="5"/>
  <c r="U12" i="5"/>
  <c r="U13" i="5"/>
  <c r="U16" i="5"/>
  <c r="U17" i="5"/>
  <c r="U21" i="5"/>
  <c r="U19" i="5"/>
  <c r="U22" i="5"/>
  <c r="U64" i="5"/>
  <c r="U18" i="5"/>
  <c r="U20" i="5"/>
  <c r="U37" i="5"/>
  <c r="U24" i="5"/>
  <c r="U23" i="5"/>
  <c r="U34" i="5"/>
  <c r="U28" i="5"/>
  <c r="U30" i="5"/>
  <c r="U45" i="5"/>
  <c r="U25" i="5"/>
  <c r="U48" i="5"/>
  <c r="U31" i="5"/>
  <c r="U27" i="5"/>
  <c r="U51" i="5"/>
  <c r="U50" i="5"/>
  <c r="U39" i="5"/>
  <c r="U36" i="5"/>
  <c r="U40" i="5"/>
  <c r="U33" i="5"/>
  <c r="U29" i="5"/>
  <c r="U68" i="5"/>
  <c r="U41" i="5"/>
  <c r="U43" i="5"/>
  <c r="U66" i="5"/>
  <c r="U54" i="5"/>
  <c r="U26" i="5"/>
  <c r="U69" i="5"/>
  <c r="U67" i="5"/>
  <c r="U73" i="5"/>
  <c r="U42" i="5"/>
  <c r="U58" i="5"/>
  <c r="U47" i="5"/>
  <c r="U55" i="5"/>
  <c r="U35" i="5"/>
  <c r="U60" i="5"/>
  <c r="U74" i="5"/>
  <c r="U38" i="5"/>
  <c r="U70" i="5"/>
  <c r="U62" i="5"/>
  <c r="U57" i="5"/>
  <c r="U32" i="5"/>
  <c r="U72" i="5"/>
  <c r="U79" i="5"/>
  <c r="U63" i="5"/>
  <c r="U80" i="5"/>
  <c r="U56" i="5"/>
  <c r="U71" i="5"/>
  <c r="U46" i="5"/>
  <c r="U75" i="5"/>
  <c r="U49" i="5"/>
  <c r="U89" i="5"/>
  <c r="U53" i="5"/>
  <c r="U97" i="5"/>
  <c r="U82" i="5"/>
  <c r="U52" i="5"/>
  <c r="U65" i="5"/>
  <c r="U77" i="5"/>
  <c r="U85" i="5"/>
  <c r="U76" i="5"/>
  <c r="U81" i="5"/>
  <c r="U98" i="5"/>
  <c r="U44" i="5"/>
  <c r="U88" i="5"/>
  <c r="U87" i="5"/>
  <c r="U91" i="5"/>
  <c r="U93" i="5"/>
  <c r="U107" i="5"/>
  <c r="U59" i="5"/>
  <c r="U106" i="5"/>
  <c r="U90" i="5"/>
  <c r="U84" i="5"/>
  <c r="U78" i="5"/>
  <c r="U114" i="5"/>
  <c r="U86" i="5"/>
  <c r="U99" i="5"/>
  <c r="U120" i="5"/>
  <c r="U101" i="5"/>
  <c r="U115" i="5"/>
  <c r="U83" i="5"/>
  <c r="U105" i="5"/>
  <c r="U95" i="5"/>
  <c r="U109" i="5"/>
  <c r="U94" i="5"/>
  <c r="U111" i="5"/>
  <c r="U104" i="5"/>
  <c r="U92" i="5"/>
  <c r="U96" i="5"/>
  <c r="U144" i="5"/>
  <c r="U134" i="5"/>
  <c r="U119" i="5"/>
  <c r="U108" i="5"/>
  <c r="U117" i="5"/>
  <c r="U130" i="5"/>
  <c r="U103" i="5"/>
  <c r="U124" i="5"/>
  <c r="U113" i="5"/>
  <c r="U110" i="5"/>
  <c r="U143" i="5"/>
  <c r="U123" i="5"/>
  <c r="U112" i="5"/>
  <c r="U129" i="5"/>
  <c r="U100" i="5"/>
  <c r="U125" i="5"/>
  <c r="U102" i="5"/>
  <c r="U161" i="5"/>
  <c r="U121" i="5"/>
  <c r="U127" i="5"/>
  <c r="U118" i="5"/>
  <c r="U145" i="5"/>
  <c r="U132" i="5"/>
  <c r="U116" i="5"/>
  <c r="U131" i="5"/>
  <c r="U163" i="5"/>
  <c r="U128" i="5"/>
  <c r="U122" i="5"/>
  <c r="U137" i="5"/>
  <c r="U146" i="5"/>
  <c r="U142" i="5"/>
  <c r="U151" i="5"/>
  <c r="U158" i="5"/>
  <c r="U136" i="5"/>
  <c r="U138" i="5"/>
  <c r="U166" i="5"/>
  <c r="U156" i="5"/>
  <c r="U126" i="5"/>
  <c r="U135" i="5"/>
  <c r="U140" i="5"/>
  <c r="U148" i="5"/>
  <c r="U139" i="5"/>
  <c r="U167" i="5"/>
  <c r="U149" i="5"/>
  <c r="U171" i="5"/>
  <c r="U141" i="5"/>
  <c r="U147" i="5"/>
  <c r="U133" i="5"/>
  <c r="U170" i="5"/>
  <c r="U153" i="5"/>
  <c r="U160" i="5"/>
  <c r="U150" i="5"/>
  <c r="U172" i="5"/>
  <c r="U162" i="5"/>
  <c r="U157" i="5"/>
  <c r="U152" i="5"/>
  <c r="U154" i="5"/>
  <c r="U61" i="5"/>
  <c r="U165" i="5"/>
  <c r="U155" i="5"/>
  <c r="U173" i="5"/>
  <c r="U169" i="5"/>
  <c r="U174" i="5"/>
  <c r="U164" i="5"/>
  <c r="U168" i="5"/>
  <c r="U159" i="5"/>
  <c r="U175" i="5"/>
  <c r="U176" i="5"/>
  <c r="T7" i="5"/>
  <c r="T8" i="5"/>
  <c r="T9" i="5"/>
  <c r="T11" i="5"/>
  <c r="T10" i="5"/>
  <c r="T15" i="5"/>
  <c r="T14" i="5"/>
  <c r="T12" i="5"/>
  <c r="T13" i="5"/>
  <c r="T16" i="5"/>
  <c r="T17" i="5"/>
  <c r="T21" i="5"/>
  <c r="T19" i="5"/>
  <c r="T22" i="5"/>
  <c r="T64" i="5"/>
  <c r="T18" i="5"/>
  <c r="T20" i="5"/>
  <c r="T37" i="5"/>
  <c r="T24" i="5"/>
  <c r="T23" i="5"/>
  <c r="T34" i="5"/>
  <c r="T28" i="5"/>
  <c r="T30" i="5"/>
  <c r="T45" i="5"/>
  <c r="T25" i="5"/>
  <c r="T48" i="5"/>
  <c r="T31" i="5"/>
  <c r="T27" i="5"/>
  <c r="T51" i="5"/>
  <c r="T50" i="5"/>
  <c r="T39" i="5"/>
  <c r="T36" i="5"/>
  <c r="T40" i="5"/>
  <c r="T33" i="5"/>
  <c r="T29" i="5"/>
  <c r="T68" i="5"/>
  <c r="T41" i="5"/>
  <c r="T43" i="5"/>
  <c r="T66" i="5"/>
  <c r="T54" i="5"/>
  <c r="T26" i="5"/>
  <c r="T69" i="5"/>
  <c r="T67" i="5"/>
  <c r="T73" i="5"/>
  <c r="T42" i="5"/>
  <c r="T58" i="5"/>
  <c r="T47" i="5"/>
  <c r="T55" i="5"/>
  <c r="T35" i="5"/>
  <c r="T60" i="5"/>
  <c r="T74" i="5"/>
  <c r="T38" i="5"/>
  <c r="T70" i="5"/>
  <c r="T62" i="5"/>
  <c r="T57" i="5"/>
  <c r="T32" i="5"/>
  <c r="T72" i="5"/>
  <c r="T79" i="5"/>
  <c r="T63" i="5"/>
  <c r="T80" i="5"/>
  <c r="T56" i="5"/>
  <c r="T71" i="5"/>
  <c r="T46" i="5"/>
  <c r="T75" i="5"/>
  <c r="T49" i="5"/>
  <c r="T89" i="5"/>
  <c r="T53" i="5"/>
  <c r="T97" i="5"/>
  <c r="T82" i="5"/>
  <c r="T52" i="5"/>
  <c r="T65" i="5"/>
  <c r="T77" i="5"/>
  <c r="T85" i="5"/>
  <c r="T76" i="5"/>
  <c r="T81" i="5"/>
  <c r="T98" i="5"/>
  <c r="T44" i="5"/>
  <c r="T88" i="5"/>
  <c r="T87" i="5"/>
  <c r="T91" i="5"/>
  <c r="T93" i="5"/>
  <c r="T107" i="5"/>
  <c r="T59" i="5"/>
  <c r="T106" i="5"/>
  <c r="T90" i="5"/>
  <c r="T84" i="5"/>
  <c r="T78" i="5"/>
  <c r="T114" i="5"/>
  <c r="T86" i="5"/>
  <c r="T99" i="5"/>
  <c r="T120" i="5"/>
  <c r="T101" i="5"/>
  <c r="T115" i="5"/>
  <c r="T83" i="5"/>
  <c r="T105" i="5"/>
  <c r="T95" i="5"/>
  <c r="T109" i="5"/>
  <c r="T94" i="5"/>
  <c r="T111" i="5"/>
  <c r="T104" i="5"/>
  <c r="T92" i="5"/>
  <c r="T96" i="5"/>
  <c r="T144" i="5"/>
  <c r="T134" i="5"/>
  <c r="T119" i="5"/>
  <c r="T108" i="5"/>
  <c r="T117" i="5"/>
  <c r="T130" i="5"/>
  <c r="T103" i="5"/>
  <c r="T124" i="5"/>
  <c r="T113" i="5"/>
  <c r="T110" i="5"/>
  <c r="T143" i="5"/>
  <c r="T123" i="5"/>
  <c r="T112" i="5"/>
  <c r="T129" i="5"/>
  <c r="T100" i="5"/>
  <c r="T125" i="5"/>
  <c r="T102" i="5"/>
  <c r="T161" i="5"/>
  <c r="T121" i="5"/>
  <c r="T127" i="5"/>
  <c r="T118" i="5"/>
  <c r="T145" i="5"/>
  <c r="T132" i="5"/>
  <c r="T116" i="5"/>
  <c r="T131" i="5"/>
  <c r="T163" i="5"/>
  <c r="T128" i="5"/>
  <c r="T122" i="5"/>
  <c r="T137" i="5"/>
  <c r="T146" i="5"/>
  <c r="T142" i="5"/>
  <c r="T151" i="5"/>
  <c r="T158" i="5"/>
  <c r="T136" i="5"/>
  <c r="T138" i="5"/>
  <c r="T166" i="5"/>
  <c r="T156" i="5"/>
  <c r="T126" i="5"/>
  <c r="T135" i="5"/>
  <c r="T140" i="5"/>
  <c r="T148" i="5"/>
  <c r="T139" i="5"/>
  <c r="T167" i="5"/>
  <c r="T149" i="5"/>
  <c r="T171" i="5"/>
  <c r="T141" i="5"/>
  <c r="T147" i="5"/>
  <c r="T133" i="5"/>
  <c r="T170" i="5"/>
  <c r="T153" i="5"/>
  <c r="T160" i="5"/>
  <c r="T150" i="5"/>
  <c r="T172" i="5"/>
  <c r="T162" i="5"/>
  <c r="T157" i="5"/>
  <c r="T152" i="5"/>
  <c r="T154" i="5"/>
  <c r="T61" i="5"/>
  <c r="T165" i="5"/>
  <c r="T155" i="5"/>
  <c r="T173" i="5"/>
  <c r="T169" i="5"/>
  <c r="T174" i="5"/>
  <c r="T164" i="5"/>
  <c r="T168" i="5"/>
  <c r="T159" i="5"/>
  <c r="T175" i="5"/>
  <c r="T176" i="5"/>
  <c r="S7" i="5"/>
  <c r="S8" i="5"/>
  <c r="S9" i="5"/>
  <c r="S11" i="5"/>
  <c r="S10" i="5"/>
  <c r="S15" i="5"/>
  <c r="S14" i="5"/>
  <c r="S12" i="5"/>
  <c r="S13" i="5"/>
  <c r="S16" i="5"/>
  <c r="S17" i="5"/>
  <c r="S21" i="5"/>
  <c r="S19" i="5"/>
  <c r="S22" i="5"/>
  <c r="S64" i="5"/>
  <c r="S18" i="5"/>
  <c r="S20" i="5"/>
  <c r="S37" i="5"/>
  <c r="S24" i="5"/>
  <c r="S23" i="5"/>
  <c r="S34" i="5"/>
  <c r="S28" i="5"/>
  <c r="S30" i="5"/>
  <c r="S45" i="5"/>
  <c r="S25" i="5"/>
  <c r="S48" i="5"/>
  <c r="S31" i="5"/>
  <c r="S27" i="5"/>
  <c r="S51" i="5"/>
  <c r="S50" i="5"/>
  <c r="S39" i="5"/>
  <c r="S36" i="5"/>
  <c r="S40" i="5"/>
  <c r="S33" i="5"/>
  <c r="S29" i="5"/>
  <c r="S68" i="5"/>
  <c r="S41" i="5"/>
  <c r="S43" i="5"/>
  <c r="S66" i="5"/>
  <c r="S54" i="5"/>
  <c r="S26" i="5"/>
  <c r="S69" i="5"/>
  <c r="S67" i="5"/>
  <c r="S73" i="5"/>
  <c r="S42" i="5"/>
  <c r="S58" i="5"/>
  <c r="S47" i="5"/>
  <c r="S55" i="5"/>
  <c r="S35" i="5"/>
  <c r="S60" i="5"/>
  <c r="S74" i="5"/>
  <c r="S38" i="5"/>
  <c r="S70" i="5"/>
  <c r="S62" i="5"/>
  <c r="S57" i="5"/>
  <c r="S32" i="5"/>
  <c r="S72" i="5"/>
  <c r="S79" i="5"/>
  <c r="S63" i="5"/>
  <c r="S80" i="5"/>
  <c r="S56" i="5"/>
  <c r="S71" i="5"/>
  <c r="S46" i="5"/>
  <c r="S75" i="5"/>
  <c r="S49" i="5"/>
  <c r="S89" i="5"/>
  <c r="S53" i="5"/>
  <c r="S97" i="5"/>
  <c r="S82" i="5"/>
  <c r="S52" i="5"/>
  <c r="S65" i="5"/>
  <c r="S77" i="5"/>
  <c r="S85" i="5"/>
  <c r="S76" i="5"/>
  <c r="S81" i="5"/>
  <c r="S98" i="5"/>
  <c r="S44" i="5"/>
  <c r="S88" i="5"/>
  <c r="S87" i="5"/>
  <c r="S91" i="5"/>
  <c r="S93" i="5"/>
  <c r="S107" i="5"/>
  <c r="S59" i="5"/>
  <c r="S106" i="5"/>
  <c r="S90" i="5"/>
  <c r="S84" i="5"/>
  <c r="S78" i="5"/>
  <c r="S114" i="5"/>
  <c r="S86" i="5"/>
  <c r="S99" i="5"/>
  <c r="S120" i="5"/>
  <c r="S101" i="5"/>
  <c r="S115" i="5"/>
  <c r="S83" i="5"/>
  <c r="S105" i="5"/>
  <c r="S95" i="5"/>
  <c r="S109" i="5"/>
  <c r="S94" i="5"/>
  <c r="S111" i="5"/>
  <c r="S104" i="5"/>
  <c r="S92" i="5"/>
  <c r="S96" i="5"/>
  <c r="S144" i="5"/>
  <c r="S134" i="5"/>
  <c r="S119" i="5"/>
  <c r="S108" i="5"/>
  <c r="S117" i="5"/>
  <c r="S130" i="5"/>
  <c r="S103" i="5"/>
  <c r="S124" i="5"/>
  <c r="S113" i="5"/>
  <c r="S110" i="5"/>
  <c r="S143" i="5"/>
  <c r="S123" i="5"/>
  <c r="S112" i="5"/>
  <c r="S129" i="5"/>
  <c r="S100" i="5"/>
  <c r="S125" i="5"/>
  <c r="S102" i="5"/>
  <c r="S161" i="5"/>
  <c r="S121" i="5"/>
  <c r="S127" i="5"/>
  <c r="S118" i="5"/>
  <c r="S145" i="5"/>
  <c r="S132" i="5"/>
  <c r="S116" i="5"/>
  <c r="S131" i="5"/>
  <c r="S163" i="5"/>
  <c r="S128" i="5"/>
  <c r="S122" i="5"/>
  <c r="S137" i="5"/>
  <c r="S146" i="5"/>
  <c r="S142" i="5"/>
  <c r="S151" i="5"/>
  <c r="S158" i="5"/>
  <c r="S136" i="5"/>
  <c r="S138" i="5"/>
  <c r="S166" i="5"/>
  <c r="S156" i="5"/>
  <c r="S126" i="5"/>
  <c r="S135" i="5"/>
  <c r="S140" i="5"/>
  <c r="S148" i="5"/>
  <c r="S139" i="5"/>
  <c r="S167" i="5"/>
  <c r="S149" i="5"/>
  <c r="S171" i="5"/>
  <c r="S141" i="5"/>
  <c r="S147" i="5"/>
  <c r="S133" i="5"/>
  <c r="S170" i="5"/>
  <c r="S153" i="5"/>
  <c r="S160" i="5"/>
  <c r="S150" i="5"/>
  <c r="S172" i="5"/>
  <c r="S162" i="5"/>
  <c r="S157" i="5"/>
  <c r="S152" i="5"/>
  <c r="S154" i="5"/>
  <c r="S61" i="5"/>
  <c r="S165" i="5"/>
  <c r="S155" i="5"/>
  <c r="S173" i="5"/>
  <c r="S169" i="5"/>
  <c r="S174" i="5"/>
  <c r="S164" i="5"/>
  <c r="S168" i="5"/>
  <c r="S159" i="5"/>
  <c r="S175" i="5"/>
  <c r="S176" i="5"/>
  <c r="P7" i="5"/>
  <c r="P8" i="5"/>
  <c r="P9" i="5"/>
  <c r="P11" i="5"/>
  <c r="P10" i="5"/>
  <c r="P15" i="5"/>
  <c r="P14" i="5"/>
  <c r="P12" i="5"/>
  <c r="P13" i="5"/>
  <c r="P16" i="5"/>
  <c r="P17" i="5"/>
  <c r="P21" i="5"/>
  <c r="P19" i="5"/>
  <c r="P22" i="5"/>
  <c r="P64" i="5"/>
  <c r="P18" i="5"/>
  <c r="P20" i="5"/>
  <c r="P37" i="5"/>
  <c r="P24" i="5"/>
  <c r="P23" i="5"/>
  <c r="P34" i="5"/>
  <c r="P28" i="5"/>
  <c r="P30" i="5"/>
  <c r="P45" i="5"/>
  <c r="P25" i="5"/>
  <c r="P48" i="5"/>
  <c r="P31" i="5"/>
  <c r="P27" i="5"/>
  <c r="P51" i="5"/>
  <c r="P50" i="5"/>
  <c r="P39" i="5"/>
  <c r="P36" i="5"/>
  <c r="P40" i="5"/>
  <c r="P33" i="5"/>
  <c r="P29" i="5"/>
  <c r="P68" i="5"/>
  <c r="P41" i="5"/>
  <c r="P43" i="5"/>
  <c r="P66" i="5"/>
  <c r="P54" i="5"/>
  <c r="P26" i="5"/>
  <c r="P69" i="5"/>
  <c r="P67" i="5"/>
  <c r="P73" i="5"/>
  <c r="P42" i="5"/>
  <c r="P58" i="5"/>
  <c r="P47" i="5"/>
  <c r="P55" i="5"/>
  <c r="P35" i="5"/>
  <c r="P60" i="5"/>
  <c r="P74" i="5"/>
  <c r="P38" i="5"/>
  <c r="P70" i="5"/>
  <c r="P62" i="5"/>
  <c r="P57" i="5"/>
  <c r="P32" i="5"/>
  <c r="P72" i="5"/>
  <c r="P79" i="5"/>
  <c r="P63" i="5"/>
  <c r="P80" i="5"/>
  <c r="P56" i="5"/>
  <c r="P71" i="5"/>
  <c r="P46" i="5"/>
  <c r="P75" i="5"/>
  <c r="P49" i="5"/>
  <c r="P89" i="5"/>
  <c r="P53" i="5"/>
  <c r="P97" i="5"/>
  <c r="P82" i="5"/>
  <c r="P52" i="5"/>
  <c r="P65" i="5"/>
  <c r="P77" i="5"/>
  <c r="P85" i="5"/>
  <c r="P76" i="5"/>
  <c r="P81" i="5"/>
  <c r="P98" i="5"/>
  <c r="P44" i="5"/>
  <c r="P88" i="5"/>
  <c r="P87" i="5"/>
  <c r="P91" i="5"/>
  <c r="P93" i="5"/>
  <c r="P107" i="5"/>
  <c r="P59" i="5"/>
  <c r="P106" i="5"/>
  <c r="P90" i="5"/>
  <c r="P84" i="5"/>
  <c r="P78" i="5"/>
  <c r="P114" i="5"/>
  <c r="P86" i="5"/>
  <c r="P99" i="5"/>
  <c r="P120" i="5"/>
  <c r="P101" i="5"/>
  <c r="P115" i="5"/>
  <c r="P83" i="5"/>
  <c r="P105" i="5"/>
  <c r="P95" i="5"/>
  <c r="P109" i="5"/>
  <c r="P94" i="5"/>
  <c r="P111" i="5"/>
  <c r="P104" i="5"/>
  <c r="P92" i="5"/>
  <c r="P96" i="5"/>
  <c r="P144" i="5"/>
  <c r="P134" i="5"/>
  <c r="P119" i="5"/>
  <c r="P108" i="5"/>
  <c r="P117" i="5"/>
  <c r="P130" i="5"/>
  <c r="P103" i="5"/>
  <c r="P124" i="5"/>
  <c r="P113" i="5"/>
  <c r="P110" i="5"/>
  <c r="P143" i="5"/>
  <c r="P123" i="5"/>
  <c r="P112" i="5"/>
  <c r="P129" i="5"/>
  <c r="P100" i="5"/>
  <c r="P125" i="5"/>
  <c r="P102" i="5"/>
  <c r="P161" i="5"/>
  <c r="P121" i="5"/>
  <c r="P127" i="5"/>
  <c r="P118" i="5"/>
  <c r="P145" i="5"/>
  <c r="P132" i="5"/>
  <c r="P116" i="5"/>
  <c r="P131" i="5"/>
  <c r="P163" i="5"/>
  <c r="P128" i="5"/>
  <c r="P122" i="5"/>
  <c r="P137" i="5"/>
  <c r="P146" i="5"/>
  <c r="P142" i="5"/>
  <c r="P151" i="5"/>
  <c r="P158" i="5"/>
  <c r="P136" i="5"/>
  <c r="P138" i="5"/>
  <c r="P166" i="5"/>
  <c r="P156" i="5"/>
  <c r="P126" i="5"/>
  <c r="P135" i="5"/>
  <c r="P140" i="5"/>
  <c r="P148" i="5"/>
  <c r="P139" i="5"/>
  <c r="P167" i="5"/>
  <c r="P149" i="5"/>
  <c r="P171" i="5"/>
  <c r="P141" i="5"/>
  <c r="P147" i="5"/>
  <c r="P133" i="5"/>
  <c r="P170" i="5"/>
  <c r="P153" i="5"/>
  <c r="P160" i="5"/>
  <c r="P150" i="5"/>
  <c r="P172" i="5"/>
  <c r="P162" i="5"/>
  <c r="P157" i="5"/>
  <c r="P152" i="5"/>
  <c r="P154" i="5"/>
  <c r="P61" i="5"/>
  <c r="P165" i="5"/>
  <c r="P155" i="5"/>
  <c r="P173" i="5"/>
  <c r="P169" i="5"/>
  <c r="P174" i="5"/>
  <c r="P164" i="5"/>
  <c r="P168" i="5"/>
  <c r="P159" i="5"/>
  <c r="P175" i="5"/>
  <c r="P176" i="5"/>
  <c r="Q7" i="5"/>
  <c r="Q8" i="5"/>
  <c r="Q9" i="5"/>
  <c r="Q11" i="5"/>
  <c r="Q10" i="5"/>
  <c r="Q15" i="5"/>
  <c r="Q14" i="5"/>
  <c r="Q12" i="5"/>
  <c r="Q13" i="5"/>
  <c r="Q16" i="5"/>
  <c r="Q17" i="5"/>
  <c r="Q21" i="5"/>
  <c r="Q19" i="5"/>
  <c r="Q22" i="5"/>
  <c r="Q64" i="5"/>
  <c r="Q18" i="5"/>
  <c r="Q20" i="5"/>
  <c r="Q37" i="5"/>
  <c r="Q24" i="5"/>
  <c r="Q23" i="5"/>
  <c r="Q34" i="5"/>
  <c r="Q28" i="5"/>
  <c r="Q30" i="5"/>
  <c r="Q45" i="5"/>
  <c r="Q25" i="5"/>
  <c r="Q48" i="5"/>
  <c r="Q31" i="5"/>
  <c r="Q27" i="5"/>
  <c r="Q51" i="5"/>
  <c r="Q50" i="5"/>
  <c r="Q39" i="5"/>
  <c r="Q36" i="5"/>
  <c r="Q40" i="5"/>
  <c r="Q33" i="5"/>
  <c r="Q29" i="5"/>
  <c r="Q68" i="5"/>
  <c r="Q41" i="5"/>
  <c r="Q43" i="5"/>
  <c r="Q66" i="5"/>
  <c r="Q54" i="5"/>
  <c r="Q26" i="5"/>
  <c r="Q69" i="5"/>
  <c r="Q67" i="5"/>
  <c r="Q73" i="5"/>
  <c r="Q42" i="5"/>
  <c r="Q58" i="5"/>
  <c r="Q47" i="5"/>
  <c r="Q55" i="5"/>
  <c r="Q35" i="5"/>
  <c r="Q60" i="5"/>
  <c r="Q74" i="5"/>
  <c r="Q38" i="5"/>
  <c r="Q70" i="5"/>
  <c r="Q62" i="5"/>
  <c r="Q57" i="5"/>
  <c r="Q32" i="5"/>
  <c r="Q72" i="5"/>
  <c r="Q79" i="5"/>
  <c r="Q63" i="5"/>
  <c r="Q80" i="5"/>
  <c r="Q56" i="5"/>
  <c r="Q71" i="5"/>
  <c r="Q46" i="5"/>
  <c r="Q75" i="5"/>
  <c r="Q49" i="5"/>
  <c r="Q89" i="5"/>
  <c r="Q53" i="5"/>
  <c r="Q97" i="5"/>
  <c r="Q82" i="5"/>
  <c r="Q52" i="5"/>
  <c r="Q65" i="5"/>
  <c r="Q77" i="5"/>
  <c r="Q85" i="5"/>
  <c r="Q76" i="5"/>
  <c r="Q81" i="5"/>
  <c r="Q98" i="5"/>
  <c r="Q44" i="5"/>
  <c r="Q88" i="5"/>
  <c r="Q87" i="5"/>
  <c r="Q91" i="5"/>
  <c r="Q93" i="5"/>
  <c r="Q107" i="5"/>
  <c r="Q59" i="5"/>
  <c r="Q106" i="5"/>
  <c r="Q90" i="5"/>
  <c r="Q84" i="5"/>
  <c r="Q78" i="5"/>
  <c r="Q114" i="5"/>
  <c r="Q86" i="5"/>
  <c r="Q99" i="5"/>
  <c r="Q120" i="5"/>
  <c r="Q101" i="5"/>
  <c r="Q115" i="5"/>
  <c r="Q83" i="5"/>
  <c r="Q105" i="5"/>
  <c r="Q95" i="5"/>
  <c r="Q109" i="5"/>
  <c r="Q94" i="5"/>
  <c r="Q111" i="5"/>
  <c r="Q104" i="5"/>
  <c r="Q92" i="5"/>
  <c r="Q96" i="5"/>
  <c r="Q144" i="5"/>
  <c r="Q134" i="5"/>
  <c r="Q119" i="5"/>
  <c r="Q108" i="5"/>
  <c r="Q117" i="5"/>
  <c r="Q130" i="5"/>
  <c r="Q103" i="5"/>
  <c r="Q124" i="5"/>
  <c r="Q113" i="5"/>
  <c r="Q110" i="5"/>
  <c r="Q143" i="5"/>
  <c r="Q123" i="5"/>
  <c r="Q112" i="5"/>
  <c r="Q129" i="5"/>
  <c r="Q100" i="5"/>
  <c r="Q125" i="5"/>
  <c r="Q102" i="5"/>
  <c r="Q161" i="5"/>
  <c r="Q121" i="5"/>
  <c r="Q127" i="5"/>
  <c r="Q118" i="5"/>
  <c r="Q145" i="5"/>
  <c r="Q132" i="5"/>
  <c r="Q116" i="5"/>
  <c r="Q131" i="5"/>
  <c r="Q163" i="5"/>
  <c r="Q128" i="5"/>
  <c r="Q122" i="5"/>
  <c r="Q137" i="5"/>
  <c r="Q146" i="5"/>
  <c r="Q142" i="5"/>
  <c r="Q151" i="5"/>
  <c r="Q158" i="5"/>
  <c r="Q136" i="5"/>
  <c r="Q138" i="5"/>
  <c r="Q166" i="5"/>
  <c r="Q156" i="5"/>
  <c r="Q126" i="5"/>
  <c r="Q135" i="5"/>
  <c r="Q140" i="5"/>
  <c r="Q148" i="5"/>
  <c r="Q139" i="5"/>
  <c r="Q167" i="5"/>
  <c r="Q149" i="5"/>
  <c r="Q171" i="5"/>
  <c r="Q141" i="5"/>
  <c r="Q147" i="5"/>
  <c r="Q133" i="5"/>
  <c r="Q170" i="5"/>
  <c r="Q153" i="5"/>
  <c r="Q160" i="5"/>
  <c r="Q150" i="5"/>
  <c r="Q172" i="5"/>
  <c r="Q162" i="5"/>
  <c r="Q157" i="5"/>
  <c r="Q152" i="5"/>
  <c r="Q154" i="5"/>
  <c r="Q61" i="5"/>
  <c r="Q165" i="5"/>
  <c r="Q155" i="5"/>
  <c r="Q173" i="5"/>
  <c r="Q169" i="5"/>
  <c r="Q174" i="5"/>
  <c r="Q164" i="5"/>
  <c r="Q168" i="5"/>
  <c r="Q159" i="5"/>
  <c r="Q175" i="5"/>
  <c r="Q176" i="5"/>
  <c r="R7" i="5"/>
  <c r="R8" i="5"/>
  <c r="R9" i="5"/>
  <c r="R11" i="5"/>
  <c r="R10" i="5"/>
  <c r="R15" i="5"/>
  <c r="R14" i="5"/>
  <c r="R12" i="5"/>
  <c r="R13" i="5"/>
  <c r="R16" i="5"/>
  <c r="R17" i="5"/>
  <c r="R21" i="5"/>
  <c r="R22" i="5"/>
  <c r="R64" i="5"/>
  <c r="R18" i="5"/>
  <c r="R20" i="5"/>
  <c r="R37" i="5"/>
  <c r="R24" i="5"/>
  <c r="R23" i="5"/>
  <c r="R34" i="5"/>
  <c r="R28" i="5"/>
  <c r="R30" i="5"/>
  <c r="R45" i="5"/>
  <c r="R25" i="5"/>
  <c r="R48" i="5"/>
  <c r="R31" i="5"/>
  <c r="R27" i="5"/>
  <c r="R51" i="5"/>
  <c r="R50" i="5"/>
  <c r="R39" i="5"/>
  <c r="R36" i="5"/>
  <c r="R40" i="5"/>
  <c r="R33" i="5"/>
  <c r="R29" i="5"/>
  <c r="R68" i="5"/>
  <c r="R41" i="5"/>
  <c r="R43" i="5"/>
  <c r="R66" i="5"/>
  <c r="R54" i="5"/>
  <c r="R26" i="5"/>
  <c r="R69" i="5"/>
  <c r="R67" i="5"/>
  <c r="R73" i="5"/>
  <c r="R42" i="5"/>
  <c r="R58" i="5"/>
  <c r="R47" i="5"/>
  <c r="R55" i="5"/>
  <c r="R35" i="5"/>
  <c r="R60" i="5"/>
  <c r="R74" i="5"/>
  <c r="R38" i="5"/>
  <c r="R70" i="5"/>
  <c r="R62" i="5"/>
  <c r="R57" i="5"/>
  <c r="R32" i="5"/>
  <c r="R72" i="5"/>
  <c r="R79" i="5"/>
  <c r="R63" i="5"/>
  <c r="R80" i="5"/>
  <c r="R56" i="5"/>
  <c r="R71" i="5"/>
  <c r="R46" i="5"/>
  <c r="R75" i="5"/>
  <c r="R49" i="5"/>
  <c r="R89" i="5"/>
  <c r="R53" i="5"/>
  <c r="R97" i="5"/>
  <c r="R82" i="5"/>
  <c r="R52" i="5"/>
  <c r="R65" i="5"/>
  <c r="R77" i="5"/>
  <c r="R85" i="5"/>
  <c r="R76" i="5"/>
  <c r="R81" i="5"/>
  <c r="R98" i="5"/>
  <c r="R44" i="5"/>
  <c r="R88" i="5"/>
  <c r="R87" i="5"/>
  <c r="R91" i="5"/>
  <c r="R93" i="5"/>
  <c r="R107" i="5"/>
  <c r="R59" i="5"/>
  <c r="R106" i="5"/>
  <c r="R90" i="5"/>
  <c r="R84" i="5"/>
  <c r="R78" i="5"/>
  <c r="R114" i="5"/>
  <c r="R86" i="5"/>
  <c r="R99" i="5"/>
  <c r="R120" i="5"/>
  <c r="R101" i="5"/>
  <c r="R115" i="5"/>
  <c r="R83" i="5"/>
  <c r="R105" i="5"/>
  <c r="R95" i="5"/>
  <c r="R109" i="5"/>
  <c r="R94" i="5"/>
  <c r="R111" i="5"/>
  <c r="R104" i="5"/>
  <c r="R92" i="5"/>
  <c r="R96" i="5"/>
  <c r="R144" i="5"/>
  <c r="R134" i="5"/>
  <c r="R119" i="5"/>
  <c r="R108" i="5"/>
  <c r="R117" i="5"/>
  <c r="R130" i="5"/>
  <c r="R103" i="5"/>
  <c r="R124" i="5"/>
  <c r="R113" i="5"/>
  <c r="R110" i="5"/>
  <c r="R143" i="5"/>
  <c r="R123" i="5"/>
  <c r="R112" i="5"/>
  <c r="R129" i="5"/>
  <c r="R100" i="5"/>
  <c r="R125" i="5"/>
  <c r="R102" i="5"/>
  <c r="R161" i="5"/>
  <c r="R121" i="5"/>
  <c r="R127" i="5"/>
  <c r="R118" i="5"/>
  <c r="R145" i="5"/>
  <c r="R132" i="5"/>
  <c r="R116" i="5"/>
  <c r="R131" i="5"/>
  <c r="R163" i="5"/>
  <c r="R128" i="5"/>
  <c r="R122" i="5"/>
  <c r="R137" i="5"/>
  <c r="R146" i="5"/>
  <c r="R142" i="5"/>
  <c r="R151" i="5"/>
  <c r="R158" i="5"/>
  <c r="R136" i="5"/>
  <c r="R138" i="5"/>
  <c r="R166" i="5"/>
  <c r="R156" i="5"/>
  <c r="R126" i="5"/>
  <c r="R135" i="5"/>
  <c r="R140" i="5"/>
  <c r="R148" i="5"/>
  <c r="R139" i="5"/>
  <c r="R167" i="5"/>
  <c r="R149" i="5"/>
  <c r="R171" i="5"/>
  <c r="R141" i="5"/>
  <c r="R147" i="5"/>
  <c r="R133" i="5"/>
  <c r="R170" i="5"/>
  <c r="R153" i="5"/>
  <c r="R160" i="5"/>
  <c r="R150" i="5"/>
  <c r="R172" i="5"/>
  <c r="R162" i="5"/>
  <c r="R157" i="5"/>
  <c r="R152" i="5"/>
  <c r="R154" i="5"/>
  <c r="R61" i="5"/>
  <c r="R165" i="5"/>
  <c r="R155" i="5"/>
  <c r="R173" i="5"/>
  <c r="R169" i="5"/>
  <c r="R174" i="5"/>
  <c r="R164" i="5"/>
  <c r="R168" i="5"/>
  <c r="R159" i="5"/>
  <c r="R175" i="5"/>
  <c r="R176" i="5"/>
  <c r="O7" i="5"/>
  <c r="O8" i="5"/>
  <c r="O9" i="5"/>
  <c r="O11" i="5"/>
  <c r="O10" i="5"/>
  <c r="O15" i="5"/>
  <c r="O14" i="5"/>
  <c r="O12" i="5"/>
  <c r="O13" i="5"/>
  <c r="O16" i="5"/>
  <c r="O17" i="5"/>
  <c r="O21" i="5"/>
  <c r="O19" i="5"/>
  <c r="O22" i="5"/>
  <c r="O64" i="5"/>
  <c r="O18" i="5"/>
  <c r="O20" i="5"/>
  <c r="O37" i="5"/>
  <c r="O24" i="5"/>
  <c r="O23" i="5"/>
  <c r="O34" i="5"/>
  <c r="O28" i="5"/>
  <c r="O30" i="5"/>
  <c r="O45" i="5"/>
  <c r="O25" i="5"/>
  <c r="O48" i="5"/>
  <c r="O31" i="5"/>
  <c r="O27" i="5"/>
  <c r="O51" i="5"/>
  <c r="O50" i="5"/>
  <c r="O39" i="5"/>
  <c r="O36" i="5"/>
  <c r="O40" i="5"/>
  <c r="O33" i="5"/>
  <c r="O29" i="5"/>
  <c r="O68" i="5"/>
  <c r="O41" i="5"/>
  <c r="O43" i="5"/>
  <c r="O66" i="5"/>
  <c r="O54" i="5"/>
  <c r="O26" i="5"/>
  <c r="O69" i="5"/>
  <c r="O67" i="5"/>
  <c r="O73" i="5"/>
  <c r="O42" i="5"/>
  <c r="O58" i="5"/>
  <c r="O47" i="5"/>
  <c r="O55" i="5"/>
  <c r="O35" i="5"/>
  <c r="O60" i="5"/>
  <c r="O74" i="5"/>
  <c r="O38" i="5"/>
  <c r="O70" i="5"/>
  <c r="O62" i="5"/>
  <c r="O57" i="5"/>
  <c r="O32" i="5"/>
  <c r="O72" i="5"/>
  <c r="O79" i="5"/>
  <c r="O63" i="5"/>
  <c r="O80" i="5"/>
  <c r="O56" i="5"/>
  <c r="O71" i="5"/>
  <c r="O46" i="5"/>
  <c r="O75" i="5"/>
  <c r="O49" i="5"/>
  <c r="O89" i="5"/>
  <c r="O53" i="5"/>
  <c r="O97" i="5"/>
  <c r="O82" i="5"/>
  <c r="O52" i="5"/>
  <c r="O65" i="5"/>
  <c r="O77" i="5"/>
  <c r="O85" i="5"/>
  <c r="O76" i="5"/>
  <c r="O81" i="5"/>
  <c r="O98" i="5"/>
  <c r="O44" i="5"/>
  <c r="O88" i="5"/>
  <c r="O87" i="5"/>
  <c r="O91" i="5"/>
  <c r="O93" i="5"/>
  <c r="O107" i="5"/>
  <c r="O59" i="5"/>
  <c r="O106" i="5"/>
  <c r="O90" i="5"/>
  <c r="O84" i="5"/>
  <c r="O78" i="5"/>
  <c r="O114" i="5"/>
  <c r="O86" i="5"/>
  <c r="O99" i="5"/>
  <c r="O120" i="5"/>
  <c r="O101" i="5"/>
  <c r="O115" i="5"/>
  <c r="O83" i="5"/>
  <c r="O105" i="5"/>
  <c r="O95" i="5"/>
  <c r="O109" i="5"/>
  <c r="O94" i="5"/>
  <c r="O111" i="5"/>
  <c r="O104" i="5"/>
  <c r="O92" i="5"/>
  <c r="O96" i="5"/>
  <c r="O144" i="5"/>
  <c r="O134" i="5"/>
  <c r="O119" i="5"/>
  <c r="O108" i="5"/>
  <c r="O117" i="5"/>
  <c r="O130" i="5"/>
  <c r="O103" i="5"/>
  <c r="O124" i="5"/>
  <c r="O113" i="5"/>
  <c r="O110" i="5"/>
  <c r="O143" i="5"/>
  <c r="O123" i="5"/>
  <c r="O112" i="5"/>
  <c r="O129" i="5"/>
  <c r="O100" i="5"/>
  <c r="O125" i="5"/>
  <c r="O102" i="5"/>
  <c r="O161" i="5"/>
  <c r="O121" i="5"/>
  <c r="O127" i="5"/>
  <c r="O118" i="5"/>
  <c r="O145" i="5"/>
  <c r="O132" i="5"/>
  <c r="O116" i="5"/>
  <c r="O131" i="5"/>
  <c r="O163" i="5"/>
  <c r="O128" i="5"/>
  <c r="O122" i="5"/>
  <c r="O137" i="5"/>
  <c r="O146" i="5"/>
  <c r="O142" i="5"/>
  <c r="O151" i="5"/>
  <c r="O158" i="5"/>
  <c r="O136" i="5"/>
  <c r="O138" i="5"/>
  <c r="O166" i="5"/>
  <c r="O156" i="5"/>
  <c r="O126" i="5"/>
  <c r="O135" i="5"/>
  <c r="O140" i="5"/>
  <c r="O148" i="5"/>
  <c r="O139" i="5"/>
  <c r="O167" i="5"/>
  <c r="O149" i="5"/>
  <c r="O171" i="5"/>
  <c r="O141" i="5"/>
  <c r="O147" i="5"/>
  <c r="O133" i="5"/>
  <c r="O170" i="5"/>
  <c r="O153" i="5"/>
  <c r="O160" i="5"/>
  <c r="O150" i="5"/>
  <c r="O172" i="5"/>
  <c r="O162" i="5"/>
  <c r="O157" i="5"/>
  <c r="O152" i="5"/>
  <c r="O154" i="5"/>
  <c r="O61" i="5"/>
  <c r="O165" i="5"/>
  <c r="O155" i="5"/>
  <c r="O173" i="5"/>
  <c r="O169" i="5"/>
  <c r="O174" i="5"/>
  <c r="O164" i="5"/>
  <c r="O168" i="5"/>
  <c r="O159" i="5"/>
  <c r="O175" i="5"/>
  <c r="O176" i="5"/>
  <c r="N7" i="5"/>
  <c r="N8" i="5"/>
  <c r="N9" i="5"/>
  <c r="N11" i="5"/>
  <c r="N10" i="5"/>
  <c r="N15" i="5"/>
  <c r="N14" i="5"/>
  <c r="N12" i="5"/>
  <c r="N13" i="5"/>
  <c r="N16" i="5"/>
  <c r="N17" i="5"/>
  <c r="N21" i="5"/>
  <c r="N19" i="5"/>
  <c r="N22" i="5"/>
  <c r="N64" i="5"/>
  <c r="N18" i="5"/>
  <c r="N20" i="5"/>
  <c r="N37" i="5"/>
  <c r="N24" i="5"/>
  <c r="N23" i="5"/>
  <c r="N34" i="5"/>
  <c r="N28" i="5"/>
  <c r="N30" i="5"/>
  <c r="N45" i="5"/>
  <c r="N25" i="5"/>
  <c r="N48" i="5"/>
  <c r="N31" i="5"/>
  <c r="N27" i="5"/>
  <c r="N51" i="5"/>
  <c r="N50" i="5"/>
  <c r="N39" i="5"/>
  <c r="N36" i="5"/>
  <c r="N40" i="5"/>
  <c r="N33" i="5"/>
  <c r="N29" i="5"/>
  <c r="N68" i="5"/>
  <c r="N41" i="5"/>
  <c r="N43" i="5"/>
  <c r="N66" i="5"/>
  <c r="N54" i="5"/>
  <c r="N26" i="5"/>
  <c r="N69" i="5"/>
  <c r="N67" i="5"/>
  <c r="N73" i="5"/>
  <c r="N42" i="5"/>
  <c r="N58" i="5"/>
  <c r="N47" i="5"/>
  <c r="N55" i="5"/>
  <c r="N35" i="5"/>
  <c r="N60" i="5"/>
  <c r="N74" i="5"/>
  <c r="N38" i="5"/>
  <c r="N70" i="5"/>
  <c r="N62" i="5"/>
  <c r="N57" i="5"/>
  <c r="N32" i="5"/>
  <c r="N72" i="5"/>
  <c r="N79" i="5"/>
  <c r="N63" i="5"/>
  <c r="N80" i="5"/>
  <c r="N56" i="5"/>
  <c r="N71" i="5"/>
  <c r="N46" i="5"/>
  <c r="N75" i="5"/>
  <c r="N49" i="5"/>
  <c r="N89" i="5"/>
  <c r="N53" i="5"/>
  <c r="N97" i="5"/>
  <c r="N82" i="5"/>
  <c r="N52" i="5"/>
  <c r="N65" i="5"/>
  <c r="N77" i="5"/>
  <c r="N85" i="5"/>
  <c r="N76" i="5"/>
  <c r="N81" i="5"/>
  <c r="N98" i="5"/>
  <c r="N44" i="5"/>
  <c r="N88" i="5"/>
  <c r="N87" i="5"/>
  <c r="N91" i="5"/>
  <c r="N93" i="5"/>
  <c r="N107" i="5"/>
  <c r="N59" i="5"/>
  <c r="N106" i="5"/>
  <c r="N90" i="5"/>
  <c r="N84" i="5"/>
  <c r="N78" i="5"/>
  <c r="N114" i="5"/>
  <c r="N86" i="5"/>
  <c r="N99" i="5"/>
  <c r="N120" i="5"/>
  <c r="N101" i="5"/>
  <c r="N115" i="5"/>
  <c r="N83" i="5"/>
  <c r="N105" i="5"/>
  <c r="N95" i="5"/>
  <c r="N109" i="5"/>
  <c r="N94" i="5"/>
  <c r="N111" i="5"/>
  <c r="N104" i="5"/>
  <c r="N92" i="5"/>
  <c r="N96" i="5"/>
  <c r="N144" i="5"/>
  <c r="N134" i="5"/>
  <c r="N119" i="5"/>
  <c r="N108" i="5"/>
  <c r="N117" i="5"/>
  <c r="N130" i="5"/>
  <c r="N103" i="5"/>
  <c r="N124" i="5"/>
  <c r="N113" i="5"/>
  <c r="N110" i="5"/>
  <c r="N143" i="5"/>
  <c r="N123" i="5"/>
  <c r="N112" i="5"/>
  <c r="N129" i="5"/>
  <c r="N100" i="5"/>
  <c r="N125" i="5"/>
  <c r="N102" i="5"/>
  <c r="N161" i="5"/>
  <c r="N121" i="5"/>
  <c r="N127" i="5"/>
  <c r="N118" i="5"/>
  <c r="N145" i="5"/>
  <c r="N132" i="5"/>
  <c r="N116" i="5"/>
  <c r="N131" i="5"/>
  <c r="N163" i="5"/>
  <c r="N128" i="5"/>
  <c r="N122" i="5"/>
  <c r="N137" i="5"/>
  <c r="N146" i="5"/>
  <c r="N142" i="5"/>
  <c r="N151" i="5"/>
  <c r="N158" i="5"/>
  <c r="N136" i="5"/>
  <c r="N138" i="5"/>
  <c r="N166" i="5"/>
  <c r="N156" i="5"/>
  <c r="N126" i="5"/>
  <c r="N135" i="5"/>
  <c r="N140" i="5"/>
  <c r="N148" i="5"/>
  <c r="N139" i="5"/>
  <c r="N167" i="5"/>
  <c r="N149" i="5"/>
  <c r="N171" i="5"/>
  <c r="N141" i="5"/>
  <c r="N147" i="5"/>
  <c r="N133" i="5"/>
  <c r="N170" i="5"/>
  <c r="N153" i="5"/>
  <c r="N160" i="5"/>
  <c r="N150" i="5"/>
  <c r="N172" i="5"/>
  <c r="N162" i="5"/>
  <c r="N157" i="5"/>
  <c r="N152" i="5"/>
  <c r="N154" i="5"/>
  <c r="N61" i="5"/>
  <c r="N165" i="5"/>
  <c r="N155" i="5"/>
  <c r="N173" i="5"/>
  <c r="N169" i="5"/>
  <c r="N174" i="5"/>
  <c r="N164" i="5"/>
  <c r="N168" i="5"/>
  <c r="N159" i="5"/>
  <c r="N175" i="5"/>
  <c r="N176" i="5"/>
  <c r="M7" i="5"/>
  <c r="M8" i="5"/>
  <c r="M9" i="5"/>
  <c r="M11" i="5"/>
  <c r="M10" i="5"/>
  <c r="M15" i="5"/>
  <c r="M14" i="5"/>
  <c r="M12" i="5"/>
  <c r="M13" i="5"/>
  <c r="M16" i="5"/>
  <c r="M17" i="5"/>
  <c r="M21" i="5"/>
  <c r="M19" i="5"/>
  <c r="M22" i="5"/>
  <c r="M64" i="5"/>
  <c r="M18" i="5"/>
  <c r="M20" i="5"/>
  <c r="M37" i="5"/>
  <c r="M24" i="5"/>
  <c r="M23" i="5"/>
  <c r="M34" i="5"/>
  <c r="M28" i="5"/>
  <c r="M30" i="5"/>
  <c r="M45" i="5"/>
  <c r="M25" i="5"/>
  <c r="M48" i="5"/>
  <c r="M31" i="5"/>
  <c r="M27" i="5"/>
  <c r="M51" i="5"/>
  <c r="M50" i="5"/>
  <c r="M39" i="5"/>
  <c r="M36" i="5"/>
  <c r="M40" i="5"/>
  <c r="M33" i="5"/>
  <c r="M29" i="5"/>
  <c r="M68" i="5"/>
  <c r="M41" i="5"/>
  <c r="M43" i="5"/>
  <c r="M66" i="5"/>
  <c r="M54" i="5"/>
  <c r="M26" i="5"/>
  <c r="M69" i="5"/>
  <c r="M67" i="5"/>
  <c r="M73" i="5"/>
  <c r="M42" i="5"/>
  <c r="M58" i="5"/>
  <c r="M47" i="5"/>
  <c r="M55" i="5"/>
  <c r="M35" i="5"/>
  <c r="M60" i="5"/>
  <c r="M74" i="5"/>
  <c r="M38" i="5"/>
  <c r="M70" i="5"/>
  <c r="M62" i="5"/>
  <c r="M57" i="5"/>
  <c r="M32" i="5"/>
  <c r="M72" i="5"/>
  <c r="M79" i="5"/>
  <c r="M63" i="5"/>
  <c r="M80" i="5"/>
  <c r="M56" i="5"/>
  <c r="M71" i="5"/>
  <c r="M46" i="5"/>
  <c r="M75" i="5"/>
  <c r="M49" i="5"/>
  <c r="M89" i="5"/>
  <c r="M53" i="5"/>
  <c r="M97" i="5"/>
  <c r="M82" i="5"/>
  <c r="M52" i="5"/>
  <c r="M65" i="5"/>
  <c r="M77" i="5"/>
  <c r="M85" i="5"/>
  <c r="M76" i="5"/>
  <c r="M81" i="5"/>
  <c r="M98" i="5"/>
  <c r="M44" i="5"/>
  <c r="M88" i="5"/>
  <c r="M87" i="5"/>
  <c r="M91" i="5"/>
  <c r="M93" i="5"/>
  <c r="M107" i="5"/>
  <c r="M59" i="5"/>
  <c r="M106" i="5"/>
  <c r="M90" i="5"/>
  <c r="M84" i="5"/>
  <c r="M78" i="5"/>
  <c r="M114" i="5"/>
  <c r="M86" i="5"/>
  <c r="M99" i="5"/>
  <c r="M120" i="5"/>
  <c r="M101" i="5"/>
  <c r="M115" i="5"/>
  <c r="M83" i="5"/>
  <c r="M105" i="5"/>
  <c r="M95" i="5"/>
  <c r="M109" i="5"/>
  <c r="M94" i="5"/>
  <c r="M111" i="5"/>
  <c r="M104" i="5"/>
  <c r="M92" i="5"/>
  <c r="M96" i="5"/>
  <c r="M144" i="5"/>
  <c r="M134" i="5"/>
  <c r="M119" i="5"/>
  <c r="M108" i="5"/>
  <c r="M117" i="5"/>
  <c r="M130" i="5"/>
  <c r="M103" i="5"/>
  <c r="M124" i="5"/>
  <c r="M113" i="5"/>
  <c r="M110" i="5"/>
  <c r="M143" i="5"/>
  <c r="M123" i="5"/>
  <c r="M112" i="5"/>
  <c r="M129" i="5"/>
  <c r="M100" i="5"/>
  <c r="M125" i="5"/>
  <c r="M102" i="5"/>
  <c r="M161" i="5"/>
  <c r="M121" i="5"/>
  <c r="M127" i="5"/>
  <c r="M118" i="5"/>
  <c r="M145" i="5"/>
  <c r="M132" i="5"/>
  <c r="M116" i="5"/>
  <c r="M131" i="5"/>
  <c r="M163" i="5"/>
  <c r="M128" i="5"/>
  <c r="M122" i="5"/>
  <c r="M137" i="5"/>
  <c r="M146" i="5"/>
  <c r="M142" i="5"/>
  <c r="M151" i="5"/>
  <c r="M158" i="5"/>
  <c r="M136" i="5"/>
  <c r="M138" i="5"/>
  <c r="M166" i="5"/>
  <c r="M156" i="5"/>
  <c r="M126" i="5"/>
  <c r="M135" i="5"/>
  <c r="M140" i="5"/>
  <c r="M148" i="5"/>
  <c r="M139" i="5"/>
  <c r="M167" i="5"/>
  <c r="M149" i="5"/>
  <c r="M171" i="5"/>
  <c r="M141" i="5"/>
  <c r="M147" i="5"/>
  <c r="M133" i="5"/>
  <c r="M170" i="5"/>
  <c r="M153" i="5"/>
  <c r="M160" i="5"/>
  <c r="M150" i="5"/>
  <c r="M172" i="5"/>
  <c r="M162" i="5"/>
  <c r="M157" i="5"/>
  <c r="M152" i="5"/>
  <c r="M154" i="5"/>
  <c r="M61" i="5"/>
  <c r="M165" i="5"/>
  <c r="M155" i="5"/>
  <c r="M173" i="5"/>
  <c r="M169" i="5"/>
  <c r="M174" i="5"/>
  <c r="M164" i="5"/>
  <c r="M168" i="5"/>
  <c r="M159" i="5"/>
  <c r="M175" i="5"/>
  <c r="M176" i="5"/>
  <c r="L7" i="5"/>
  <c r="L8" i="5"/>
  <c r="L9" i="5"/>
  <c r="L11" i="5"/>
  <c r="L10" i="5"/>
  <c r="L15" i="5"/>
  <c r="L14" i="5"/>
  <c r="L12" i="5"/>
  <c r="L13" i="5"/>
  <c r="L16" i="5"/>
  <c r="L17" i="5"/>
  <c r="L21" i="5"/>
  <c r="L19" i="5"/>
  <c r="L22" i="5"/>
  <c r="L64" i="5"/>
  <c r="L18" i="5"/>
  <c r="L20" i="5"/>
  <c r="L37" i="5"/>
  <c r="L24" i="5"/>
  <c r="L23" i="5"/>
  <c r="L34" i="5"/>
  <c r="L28" i="5"/>
  <c r="L30" i="5"/>
  <c r="L45" i="5"/>
  <c r="L25" i="5"/>
  <c r="L48" i="5"/>
  <c r="L31" i="5"/>
  <c r="L27" i="5"/>
  <c r="L51" i="5"/>
  <c r="L50" i="5"/>
  <c r="L39" i="5"/>
  <c r="L36" i="5"/>
  <c r="L40" i="5"/>
  <c r="L33" i="5"/>
  <c r="L29" i="5"/>
  <c r="L68" i="5"/>
  <c r="L41" i="5"/>
  <c r="L43" i="5"/>
  <c r="L66" i="5"/>
  <c r="L54" i="5"/>
  <c r="L26" i="5"/>
  <c r="L69" i="5"/>
  <c r="L67" i="5"/>
  <c r="L73" i="5"/>
  <c r="L42" i="5"/>
  <c r="L58" i="5"/>
  <c r="L47" i="5"/>
  <c r="L55" i="5"/>
  <c r="L35" i="5"/>
  <c r="L60" i="5"/>
  <c r="L74" i="5"/>
  <c r="L38" i="5"/>
  <c r="L70" i="5"/>
  <c r="L62" i="5"/>
  <c r="L57" i="5"/>
  <c r="L32" i="5"/>
  <c r="L72" i="5"/>
  <c r="L79" i="5"/>
  <c r="L63" i="5"/>
  <c r="L80" i="5"/>
  <c r="L56" i="5"/>
  <c r="L71" i="5"/>
  <c r="L46" i="5"/>
  <c r="L75" i="5"/>
  <c r="L49" i="5"/>
  <c r="L89" i="5"/>
  <c r="L53" i="5"/>
  <c r="L97" i="5"/>
  <c r="L82" i="5"/>
  <c r="L52" i="5"/>
  <c r="L65" i="5"/>
  <c r="L77" i="5"/>
  <c r="L85" i="5"/>
  <c r="L76" i="5"/>
  <c r="L81" i="5"/>
  <c r="L98" i="5"/>
  <c r="L44" i="5"/>
  <c r="L88" i="5"/>
  <c r="L87" i="5"/>
  <c r="L91" i="5"/>
  <c r="L93" i="5"/>
  <c r="L107" i="5"/>
  <c r="L59" i="5"/>
  <c r="L106" i="5"/>
  <c r="L90" i="5"/>
  <c r="L84" i="5"/>
  <c r="L78" i="5"/>
  <c r="L114" i="5"/>
  <c r="L86" i="5"/>
  <c r="L99" i="5"/>
  <c r="L120" i="5"/>
  <c r="L101" i="5"/>
  <c r="L115" i="5"/>
  <c r="L83" i="5"/>
  <c r="L105" i="5"/>
  <c r="L95" i="5"/>
  <c r="L109" i="5"/>
  <c r="L94" i="5"/>
  <c r="L111" i="5"/>
  <c r="L104" i="5"/>
  <c r="L92" i="5"/>
  <c r="L96" i="5"/>
  <c r="L144" i="5"/>
  <c r="L134" i="5"/>
  <c r="L119" i="5"/>
  <c r="L108" i="5"/>
  <c r="L117" i="5"/>
  <c r="L130" i="5"/>
  <c r="L103" i="5"/>
  <c r="L124" i="5"/>
  <c r="L113" i="5"/>
  <c r="L110" i="5"/>
  <c r="L143" i="5"/>
  <c r="L123" i="5"/>
  <c r="L112" i="5"/>
  <c r="L129" i="5"/>
  <c r="L100" i="5"/>
  <c r="L125" i="5"/>
  <c r="L102" i="5"/>
  <c r="L161" i="5"/>
  <c r="L121" i="5"/>
  <c r="L127" i="5"/>
  <c r="L118" i="5"/>
  <c r="L145" i="5"/>
  <c r="L132" i="5"/>
  <c r="L116" i="5"/>
  <c r="L131" i="5"/>
  <c r="L163" i="5"/>
  <c r="L128" i="5"/>
  <c r="L122" i="5"/>
  <c r="L137" i="5"/>
  <c r="L146" i="5"/>
  <c r="L142" i="5"/>
  <c r="L151" i="5"/>
  <c r="L158" i="5"/>
  <c r="L136" i="5"/>
  <c r="L138" i="5"/>
  <c r="L166" i="5"/>
  <c r="L156" i="5"/>
  <c r="L126" i="5"/>
  <c r="L135" i="5"/>
  <c r="L140" i="5"/>
  <c r="L148" i="5"/>
  <c r="L139" i="5"/>
  <c r="L167" i="5"/>
  <c r="L149" i="5"/>
  <c r="L171" i="5"/>
  <c r="L141" i="5"/>
  <c r="L147" i="5"/>
  <c r="L133" i="5"/>
  <c r="L170" i="5"/>
  <c r="L153" i="5"/>
  <c r="L160" i="5"/>
  <c r="L150" i="5"/>
  <c r="L172" i="5"/>
  <c r="L162" i="5"/>
  <c r="L157" i="5"/>
  <c r="L152" i="5"/>
  <c r="L154" i="5"/>
  <c r="L165" i="5"/>
  <c r="L155" i="5"/>
  <c r="L173" i="5"/>
  <c r="L169" i="5"/>
  <c r="L174" i="5"/>
  <c r="L164" i="5"/>
  <c r="L168" i="5"/>
  <c r="L159" i="5"/>
  <c r="L175" i="5"/>
  <c r="L176" i="5"/>
  <c r="G61" i="5" l="1" a="1"/>
  <c r="G61" i="5" s="1"/>
  <c r="J61" i="5" a="1"/>
  <c r="J61" i="5" s="1"/>
  <c r="K61" i="5" a="1"/>
  <c r="K61" i="5" s="1"/>
  <c r="I61" i="5" a="1"/>
  <c r="I61" i="5" s="1"/>
  <c r="F61" i="5" a="1"/>
  <c r="F61" i="5" s="1"/>
  <c r="H61" i="5" a="1"/>
  <c r="H61" i="5" s="1"/>
  <c r="L61" i="5" a="1"/>
  <c r="L61" i="5" s="1"/>
  <c r="AH173" i="5" a="1"/>
  <c r="AH173" i="5" s="1"/>
  <c r="AH25" i="5" a="1"/>
  <c r="AH25" i="5" s="1"/>
  <c r="AH130" i="5" a="1"/>
  <c r="AH130" i="5" s="1"/>
  <c r="AH31" i="5" a="1"/>
  <c r="AH31" i="5" s="1"/>
  <c r="AH19" i="5" a="1"/>
  <c r="AH19" i="5" s="1"/>
  <c r="AH9" i="5" a="1"/>
  <c r="AH9" i="5" s="1"/>
  <c r="AH71" i="5" a="1"/>
  <c r="AH71" i="5" s="1"/>
  <c r="AH22" i="5" a="1"/>
  <c r="AH22" i="5" s="1"/>
  <c r="AH56" i="5" a="1"/>
  <c r="AH56" i="5" s="1"/>
  <c r="AH59" i="5" a="1"/>
  <c r="AH59" i="5" s="1"/>
  <c r="AH160" i="5" a="1"/>
  <c r="AH160" i="5" s="1"/>
  <c r="AH172" i="5" a="1"/>
  <c r="AH172" i="5" s="1"/>
  <c r="AH41" i="5" a="1"/>
  <c r="AH41" i="5" s="1"/>
  <c r="AH167" i="5" a="1"/>
  <c r="AH167" i="5" s="1"/>
  <c r="AH119" i="5" a="1"/>
  <c r="AH119" i="5" s="1"/>
  <c r="AH72" i="5" a="1"/>
  <c r="AH72" i="5" s="1"/>
  <c r="AH97" i="5" a="1"/>
  <c r="AH97" i="5" s="1"/>
  <c r="AH73" i="5" a="1"/>
  <c r="AH73" i="5" s="1"/>
  <c r="AH49" i="5" a="1"/>
  <c r="AH49" i="5" s="1"/>
  <c r="AH20" i="5" a="1"/>
  <c r="AH20" i="5" s="1"/>
  <c r="AH7" i="5" a="1"/>
  <c r="AH7" i="5" s="1"/>
  <c r="AH175" i="5" a="1"/>
  <c r="AH175" i="5" s="1"/>
  <c r="AH109" i="5" a="1"/>
  <c r="AH109" i="5" s="1"/>
  <c r="AH117" i="5" a="1"/>
  <c r="AH117" i="5" s="1"/>
  <c r="AH65" i="5" a="1"/>
  <c r="AH65" i="5" s="1"/>
  <c r="AH63" i="5" a="1"/>
  <c r="AH63" i="5" s="1"/>
  <c r="AH29" i="5" a="1"/>
  <c r="AH29" i="5" s="1"/>
  <c r="AH17" i="5" a="1"/>
  <c r="AH17" i="5" s="1"/>
  <c r="AH143" i="5" a="1"/>
  <c r="AH143" i="5" s="1"/>
  <c r="AH166" i="5" a="1"/>
  <c r="AH166" i="5" s="1"/>
  <c r="AH99" i="5" a="1"/>
  <c r="AH99" i="5" s="1"/>
  <c r="AH38" i="5" a="1"/>
  <c r="AH38" i="5" s="1"/>
  <c r="AH141" i="5" a="1"/>
  <c r="AH141" i="5" s="1"/>
  <c r="AH145" i="5" a="1"/>
  <c r="AH145" i="5" s="1"/>
  <c r="AH89" i="5" a="1"/>
  <c r="AH89" i="5" s="1"/>
  <c r="AH37" i="5" a="1"/>
  <c r="AH37" i="5" s="1"/>
  <c r="AH60" i="5" a="1"/>
  <c r="AH60" i="5" s="1"/>
  <c r="AH101" i="5" a="1"/>
  <c r="AH101" i="5" s="1"/>
  <c r="AH42" i="5" a="1"/>
  <c r="AH42" i="5" s="1"/>
  <c r="AH106" i="5" a="1"/>
  <c r="AH106" i="5" s="1"/>
  <c r="AH140" i="5" a="1"/>
  <c r="AH140" i="5" s="1"/>
  <c r="AH122" i="5" a="1"/>
  <c r="AH122" i="5" s="1"/>
  <c r="AH125" i="5" a="1"/>
  <c r="AH125" i="5" s="1"/>
  <c r="AH58" i="5" a="1"/>
  <c r="AH58" i="5" s="1"/>
  <c r="AH33" i="5" a="1"/>
  <c r="AH33" i="5" s="1"/>
  <c r="AH8" i="5" a="1"/>
  <c r="AH8" i="5" s="1"/>
  <c r="AH34" i="5" a="1"/>
  <c r="AH34" i="5" s="1"/>
  <c r="AH40" i="5" a="1"/>
  <c r="AH40" i="5" s="1"/>
  <c r="AC118" i="5" a="1"/>
  <c r="AC118" i="5" s="1"/>
  <c r="AC172" i="5" a="1"/>
  <c r="AC172" i="5" s="1"/>
  <c r="AC120" i="5" a="1"/>
  <c r="AC120" i="5" s="1"/>
  <c r="AC81" i="5" a="1"/>
  <c r="AC81" i="5" s="1"/>
  <c r="AC29" i="5" a="1"/>
  <c r="AC29" i="5" s="1"/>
  <c r="AC173" i="5" a="1"/>
  <c r="AC173" i="5" s="1"/>
  <c r="AC156" i="5" a="1"/>
  <c r="AC156" i="5" s="1"/>
  <c r="AC59" i="5" a="1"/>
  <c r="AC59" i="5" s="1"/>
  <c r="AC53" i="5" a="1"/>
  <c r="AC53" i="5" s="1"/>
  <c r="AH168" i="5" a="1"/>
  <c r="AH168" i="5" s="1"/>
  <c r="AH158" i="5" a="1"/>
  <c r="AH158" i="5" s="1"/>
  <c r="AH131" i="5" a="1"/>
  <c r="AH131" i="5" s="1"/>
  <c r="AH102" i="5" a="1"/>
  <c r="AH102" i="5" s="1"/>
  <c r="AH113" i="5" a="1"/>
  <c r="AH113" i="5" s="1"/>
  <c r="AH78" i="5" a="1"/>
  <c r="AH78" i="5" s="1"/>
  <c r="AH87" i="5" a="1"/>
  <c r="AH87" i="5" s="1"/>
  <c r="AH30" i="5" a="1"/>
  <c r="AH30" i="5" s="1"/>
  <c r="AC160" i="5" a="1"/>
  <c r="AC160" i="5" s="1"/>
  <c r="AC167" i="5" a="1"/>
  <c r="AC167" i="5" s="1"/>
  <c r="AC128" i="5" a="1"/>
  <c r="AC128" i="5" s="1"/>
  <c r="AC121" i="5" a="1"/>
  <c r="AC121" i="5" s="1"/>
  <c r="AC143" i="5" a="1"/>
  <c r="AC143" i="5" s="1"/>
  <c r="AC119" i="5" a="1"/>
  <c r="AC119" i="5" s="1"/>
  <c r="AC109" i="5" a="1"/>
  <c r="AC109" i="5" s="1"/>
  <c r="AC165" i="5" a="1"/>
  <c r="AC165" i="5" s="1"/>
  <c r="AC106" i="5" a="1"/>
  <c r="AC106" i="5" s="1"/>
  <c r="AC175" i="5" a="1"/>
  <c r="AC175" i="5" s="1"/>
  <c r="AH174" i="5" a="1"/>
  <c r="AH174" i="5" s="1"/>
  <c r="AH61" i="5" a="1"/>
  <c r="AH61" i="5" s="1"/>
  <c r="AH153" i="5" a="1"/>
  <c r="AH153" i="5" s="1"/>
  <c r="AH139" i="5" a="1"/>
  <c r="AH139" i="5" s="1"/>
  <c r="AH163" i="5" a="1"/>
  <c r="AH163" i="5" s="1"/>
  <c r="AH161" i="5" a="1"/>
  <c r="AH161" i="5" s="1"/>
  <c r="AH95" i="5" a="1"/>
  <c r="AH95" i="5" s="1"/>
  <c r="AH77" i="5" a="1"/>
  <c r="AH77" i="5" s="1"/>
  <c r="AH75" i="5" a="1"/>
  <c r="AH75" i="5" s="1"/>
  <c r="AH18" i="5" a="1"/>
  <c r="AH18" i="5" s="1"/>
  <c r="AC171" i="5" a="1"/>
  <c r="AC171" i="5" s="1"/>
  <c r="AC112" i="5" a="1"/>
  <c r="AC112" i="5" s="1"/>
  <c r="AC31" i="5" a="1"/>
  <c r="AC31" i="5" s="1"/>
  <c r="AC117" i="5" a="1"/>
  <c r="AC117" i="5" s="1"/>
  <c r="AC63" i="5" a="1"/>
  <c r="AC63" i="5" s="1"/>
  <c r="AC86" i="5" a="1"/>
  <c r="AC86" i="5" s="1"/>
  <c r="AC85" i="5" a="1"/>
  <c r="AC85" i="5" s="1"/>
  <c r="AC35" i="5" a="1"/>
  <c r="AC35" i="5" s="1"/>
  <c r="AC25" i="5" a="1"/>
  <c r="AC25" i="5" s="1"/>
  <c r="AC146" i="5" a="1"/>
  <c r="AC146" i="5" s="1"/>
  <c r="AC93" i="5" a="1"/>
  <c r="AC93" i="5" s="1"/>
  <c r="AC144" i="5" a="1"/>
  <c r="AC144" i="5" s="1"/>
  <c r="AC47" i="5" a="1"/>
  <c r="AC47" i="5" s="1"/>
  <c r="AC39" i="5" a="1"/>
  <c r="AC39" i="5" s="1"/>
  <c r="AC157" i="5" a="1"/>
  <c r="AC157" i="5" s="1"/>
  <c r="AC147" i="5" a="1"/>
  <c r="AC147" i="5" s="1"/>
  <c r="AC135" i="5" a="1"/>
  <c r="AC135" i="5" s="1"/>
  <c r="AC142" i="5" a="1"/>
  <c r="AC142" i="5" s="1"/>
  <c r="AC132" i="5" a="1"/>
  <c r="AC132" i="5" s="1"/>
  <c r="AC100" i="5" a="1"/>
  <c r="AC100" i="5" s="1"/>
  <c r="AC103" i="5" a="1"/>
  <c r="AC103" i="5" s="1"/>
  <c r="AC92" i="5" a="1"/>
  <c r="AC92" i="5" s="1"/>
  <c r="AC115" i="5" a="1"/>
  <c r="AC115" i="5" s="1"/>
  <c r="AC90" i="5" a="1"/>
  <c r="AC90" i="5" s="1"/>
  <c r="AC44" i="5" a="1"/>
  <c r="AC44" i="5" s="1"/>
  <c r="AC82" i="5" a="1"/>
  <c r="AC82" i="5" s="1"/>
  <c r="AC51" i="5" a="1"/>
  <c r="AC51" i="5" s="1"/>
  <c r="AC10" i="5" a="1"/>
  <c r="AC10" i="5" s="1"/>
  <c r="AH93" i="5" a="1"/>
  <c r="AH93" i="5" s="1"/>
  <c r="AC158" i="5" a="1"/>
  <c r="AC158" i="5" s="1"/>
  <c r="AC126" i="5" a="1"/>
  <c r="AC126" i="5" s="1"/>
  <c r="AC129" i="5" a="1"/>
  <c r="AC129" i="5" s="1"/>
  <c r="AC125" i="5" a="1"/>
  <c r="AC125" i="5" s="1"/>
  <c r="AH92" i="5" a="1"/>
  <c r="AH92" i="5" s="1"/>
  <c r="AC169" i="5" a="1"/>
  <c r="AC169" i="5" s="1"/>
  <c r="AC162" i="5" a="1"/>
  <c r="AC162" i="5" s="1"/>
  <c r="AC130" i="5" a="1"/>
  <c r="AC130" i="5" s="1"/>
  <c r="AC104" i="5" a="1"/>
  <c r="AC104" i="5" s="1"/>
  <c r="AC97" i="5" a="1"/>
  <c r="AC97" i="5" s="1"/>
  <c r="AC27" i="5" a="1"/>
  <c r="AC27" i="5" s="1"/>
  <c r="AC23" i="5" a="1"/>
  <c r="AC23" i="5" s="1"/>
  <c r="AC11" i="5" a="1"/>
  <c r="AC11" i="5" s="1"/>
  <c r="AC174" i="5" a="1"/>
  <c r="AC174" i="5" s="1"/>
  <c r="AC155" i="5" a="1"/>
  <c r="AC155" i="5" s="1"/>
  <c r="AC150" i="5" a="1"/>
  <c r="AC150" i="5" s="1"/>
  <c r="AC166" i="5" a="1"/>
  <c r="AC166" i="5" s="1"/>
  <c r="AC122" i="5" a="1"/>
  <c r="AC122" i="5" s="1"/>
  <c r="AC127" i="5" a="1"/>
  <c r="AC127" i="5" s="1"/>
  <c r="AC123" i="5" a="1"/>
  <c r="AC123" i="5" s="1"/>
  <c r="AC108" i="5" a="1"/>
  <c r="AC108" i="5" s="1"/>
  <c r="AC94" i="5" a="1"/>
  <c r="AC94" i="5" s="1"/>
  <c r="AC76" i="5" a="1"/>
  <c r="AC76" i="5" s="1"/>
  <c r="AC60" i="5" a="1"/>
  <c r="AC60" i="5" s="1"/>
  <c r="AC69" i="5" a="1"/>
  <c r="AC69" i="5" s="1"/>
  <c r="AC33" i="5" a="1"/>
  <c r="AC33" i="5" s="1"/>
  <c r="AC37" i="5" a="1"/>
  <c r="AC37" i="5" s="1"/>
  <c r="AC16" i="5" a="1"/>
  <c r="AC16" i="5" s="1"/>
  <c r="AC168" i="5" a="1"/>
  <c r="AC168" i="5" s="1"/>
  <c r="AC154" i="5" a="1"/>
  <c r="AC154" i="5" s="1"/>
  <c r="AC170" i="5" a="1"/>
  <c r="AC170" i="5" s="1"/>
  <c r="AC148" i="5" a="1"/>
  <c r="AC148" i="5" s="1"/>
  <c r="AC131" i="5" a="1"/>
  <c r="AC131" i="5" s="1"/>
  <c r="AC102" i="5" a="1"/>
  <c r="AC102" i="5" s="1"/>
  <c r="AC113" i="5" a="1"/>
  <c r="AC113" i="5" s="1"/>
  <c r="AH104" i="5" a="1"/>
  <c r="AH104" i="5" s="1"/>
  <c r="AC141" i="5" a="1"/>
  <c r="AC141" i="5" s="1"/>
  <c r="AC145" i="5" a="1"/>
  <c r="AC145" i="5" s="1"/>
  <c r="AC38" i="5" a="1"/>
  <c r="AC38" i="5" s="1"/>
  <c r="AH142" i="5" a="1"/>
  <c r="AH142" i="5" s="1"/>
  <c r="AH90" i="5" a="1"/>
  <c r="AH90" i="5" s="1"/>
  <c r="AH11" i="5" a="1"/>
  <c r="AH11" i="5" s="1"/>
  <c r="AH115" i="5" a="1"/>
  <c r="AH115" i="5" s="1"/>
  <c r="AC164" i="5" a="1"/>
  <c r="AC164" i="5" s="1"/>
  <c r="AC152" i="5" a="1"/>
  <c r="AC152" i="5" s="1"/>
  <c r="AC133" i="5" a="1"/>
  <c r="AC133" i="5" s="1"/>
  <c r="AC151" i="5" a="1"/>
  <c r="AC151" i="5" s="1"/>
  <c r="AC116" i="5" a="1"/>
  <c r="AC116" i="5" s="1"/>
  <c r="AC124" i="5" a="1"/>
  <c r="AC124" i="5" s="1"/>
  <c r="AC83" i="5" a="1"/>
  <c r="AC83" i="5" s="1"/>
  <c r="AC84" i="5" a="1"/>
  <c r="AC84" i="5" s="1"/>
  <c r="AC88" i="5" a="1"/>
  <c r="AC88" i="5" s="1"/>
  <c r="AC43" i="5" a="1"/>
  <c r="AC43" i="5" s="1"/>
  <c r="AC22" i="5" a="1"/>
  <c r="AC22" i="5" s="1"/>
  <c r="AC176" i="5" a="1"/>
  <c r="AC176" i="5" s="1"/>
  <c r="AC149" i="5" a="1"/>
  <c r="AC149" i="5" s="1"/>
  <c r="AC79" i="5" a="1"/>
  <c r="AC79" i="5" s="1"/>
  <c r="AC87" i="5" a="1"/>
  <c r="AC87" i="5" s="1"/>
  <c r="AC65" i="5" a="1"/>
  <c r="AC65" i="5" s="1"/>
  <c r="AC64" i="5" a="1"/>
  <c r="AC64" i="5" s="1"/>
  <c r="AC49" i="5" a="1"/>
  <c r="AC49" i="5" s="1"/>
  <c r="AH51" i="5" a="1"/>
  <c r="AH51" i="5" s="1"/>
  <c r="AC28" i="5" a="1"/>
  <c r="AC28" i="5" s="1"/>
  <c r="AC15" i="5" a="1"/>
  <c r="AC15" i="5" s="1"/>
  <c r="AC140" i="5" a="1"/>
  <c r="AC140" i="5" s="1"/>
  <c r="AH44" i="5" a="1"/>
  <c r="AH44" i="5" s="1"/>
  <c r="AC71" i="5" a="1"/>
  <c r="AC71" i="5" s="1"/>
  <c r="AC19" i="5" a="1"/>
  <c r="AC19" i="5" s="1"/>
  <c r="AH124" i="5" a="1"/>
  <c r="AH124" i="5" s="1"/>
  <c r="AH88" i="5" a="1"/>
  <c r="AH88" i="5" s="1"/>
  <c r="AC8" i="5" a="1"/>
  <c r="AC8" i="5" s="1"/>
  <c r="AH43" i="5" a="1"/>
  <c r="AH43" i="5" s="1"/>
  <c r="AC159" i="5" a="1"/>
  <c r="AC159" i="5" s="1"/>
  <c r="AC91" i="5" a="1"/>
  <c r="AC91" i="5" s="1"/>
  <c r="AH159" i="5" a="1"/>
  <c r="AH159" i="5" s="1"/>
  <c r="AC153" i="5" a="1"/>
  <c r="AC153" i="5" s="1"/>
  <c r="AC95" i="5" a="1"/>
  <c r="AC95" i="5" s="1"/>
  <c r="AC75" i="5" a="1"/>
  <c r="AC75" i="5" s="1"/>
  <c r="AC18" i="5" a="1"/>
  <c r="AC18" i="5" s="1"/>
  <c r="AC139" i="5" a="1"/>
  <c r="AC139" i="5" s="1"/>
  <c r="AC136" i="5" a="1"/>
  <c r="AC136" i="5" s="1"/>
  <c r="AC163" i="5" a="1"/>
  <c r="AC163" i="5" s="1"/>
  <c r="AC161" i="5" a="1"/>
  <c r="AC161" i="5" s="1"/>
  <c r="AC110" i="5" a="1"/>
  <c r="AC110" i="5" s="1"/>
  <c r="AC114" i="5" a="1"/>
  <c r="AC114" i="5" s="1"/>
  <c r="AC77" i="5" a="1"/>
  <c r="AC77" i="5" s="1"/>
  <c r="AC55" i="5" a="1"/>
  <c r="AC55" i="5" s="1"/>
  <c r="AC36" i="5" a="1"/>
  <c r="AC36" i="5" s="1"/>
  <c r="AC134" i="5" a="1"/>
  <c r="AC134" i="5" s="1"/>
  <c r="AC105" i="5" a="1"/>
  <c r="AC105" i="5" s="1"/>
  <c r="AC46" i="5" a="1"/>
  <c r="AC46" i="5" s="1"/>
  <c r="AC80" i="5" a="1"/>
  <c r="AC80" i="5" s="1"/>
  <c r="AC70" i="5" a="1"/>
  <c r="AC70" i="5" s="1"/>
  <c r="AC32" i="5" a="1"/>
  <c r="AC32" i="5" s="1"/>
  <c r="AC72" i="5" a="1"/>
  <c r="AC72" i="5" s="1"/>
  <c r="AC74" i="5" a="1"/>
  <c r="AC74" i="5" s="1"/>
  <c r="AC68" i="5" a="1"/>
  <c r="AC68" i="5" s="1"/>
  <c r="AC48" i="5" a="1"/>
  <c r="AC48" i="5" s="1"/>
  <c r="AC24" i="5" a="1"/>
  <c r="AC24" i="5" s="1"/>
  <c r="AC12" i="5" a="1"/>
  <c r="AC12" i="5" s="1"/>
  <c r="AC137" i="5" a="1"/>
  <c r="AC137" i="5" s="1"/>
  <c r="AC138" i="5" a="1"/>
  <c r="AC138" i="5" s="1"/>
  <c r="AC96" i="5" a="1"/>
  <c r="AC96" i="5" s="1"/>
  <c r="AC78" i="5" a="1"/>
  <c r="AC78" i="5" s="1"/>
  <c r="AC101" i="5" a="1"/>
  <c r="AC101" i="5" s="1"/>
  <c r="AC111" i="5" a="1"/>
  <c r="AC111" i="5" s="1"/>
  <c r="AC99" i="5" a="1"/>
  <c r="AC99" i="5" s="1"/>
  <c r="AC107" i="5" a="1"/>
  <c r="AC107" i="5" s="1"/>
  <c r="AC98" i="5" a="1"/>
  <c r="AC98" i="5" s="1"/>
  <c r="AC52" i="5" a="1"/>
  <c r="AC52" i="5" s="1"/>
  <c r="AC62" i="5" a="1"/>
  <c r="AC62" i="5" s="1"/>
  <c r="AC54" i="5" a="1"/>
  <c r="AC54" i="5" s="1"/>
  <c r="AC41" i="5" a="1"/>
  <c r="AC41" i="5" s="1"/>
  <c r="AC50" i="5" a="1"/>
  <c r="AC50" i="5" s="1"/>
  <c r="AC45" i="5" a="1"/>
  <c r="AC45" i="5" s="1"/>
  <c r="AC17" i="5" a="1"/>
  <c r="AC17" i="5" s="1"/>
  <c r="AC14" i="5" a="1"/>
  <c r="AC14" i="5" s="1"/>
  <c r="AC89" i="5" a="1"/>
  <c r="AC89" i="5" s="1"/>
  <c r="AC56" i="5" a="1"/>
  <c r="AC56" i="5" s="1"/>
  <c r="AC57" i="5" a="1"/>
  <c r="AC57" i="5" s="1"/>
  <c r="AC58" i="5" a="1"/>
  <c r="AC58" i="5" s="1"/>
  <c r="AC73" i="5" a="1"/>
  <c r="AC73" i="5" s="1"/>
  <c r="AC66" i="5" a="1"/>
  <c r="AC66" i="5" s="1"/>
  <c r="AC40" i="5" a="1"/>
  <c r="AC40" i="5" s="1"/>
  <c r="AC34" i="5" a="1"/>
  <c r="AC34" i="5" s="1"/>
  <c r="AC21" i="5" a="1"/>
  <c r="AC21" i="5" s="1"/>
  <c r="AC9" i="5" a="1"/>
  <c r="AC9" i="5" s="1"/>
  <c r="AC42" i="5" a="1"/>
  <c r="AC42" i="5" s="1"/>
  <c r="AC26" i="5" a="1"/>
  <c r="AC26" i="5" s="1"/>
  <c r="AC67" i="5" a="1"/>
  <c r="AC67" i="5" s="1"/>
  <c r="AC30" i="5" a="1"/>
  <c r="AC30" i="5" s="1"/>
  <c r="AC20" i="5" a="1"/>
  <c r="AC20" i="5" s="1"/>
  <c r="AC13" i="5" a="1"/>
  <c r="AC13" i="5" s="1"/>
  <c r="AC7" i="5" a="1"/>
  <c r="AC7" i="5" s="1"/>
  <c r="AH162" i="5" a="1"/>
  <c r="AH162" i="5" s="1"/>
  <c r="AH169" i="5" a="1"/>
  <c r="AH169" i="5" s="1"/>
  <c r="AH94" i="5" a="1"/>
  <c r="AH94" i="5" s="1"/>
  <c r="AH66" i="5" a="1"/>
  <c r="AH66" i="5" s="1"/>
  <c r="AH79" i="5" a="1"/>
  <c r="AH79" i="5" s="1"/>
  <c r="AH126" i="5" a="1"/>
  <c r="AH126" i="5" s="1"/>
  <c r="AH138" i="5" a="1"/>
  <c r="AH138" i="5" s="1"/>
  <c r="AH35" i="5" a="1"/>
  <c r="AH35" i="5" s="1"/>
  <c r="AH81" i="5" a="1"/>
  <c r="AH81" i="5" s="1"/>
  <c r="AH82" i="5" a="1"/>
  <c r="AH82" i="5" s="1"/>
  <c r="AH64" i="5" a="1"/>
  <c r="AH64" i="5" s="1"/>
  <c r="AH110" i="5" a="1"/>
  <c r="AH110" i="5" s="1"/>
  <c r="AH111" i="5" a="1"/>
  <c r="AH111" i="5" s="1"/>
  <c r="AH45" i="5" a="1"/>
  <c r="AH45" i="5" s="1"/>
  <c r="AH21" i="5" a="1"/>
  <c r="AH21" i="5" s="1"/>
  <c r="AH116" i="5" a="1"/>
  <c r="AH116" i="5" s="1"/>
  <c r="AH137" i="5" a="1"/>
  <c r="AH137" i="5" s="1"/>
  <c r="AH27" i="5" a="1"/>
  <c r="AH27" i="5" s="1"/>
  <c r="AH147" i="5" a="1"/>
  <c r="AH147" i="5" s="1"/>
  <c r="AH23" i="5" a="1"/>
  <c r="AH23" i="5" s="1"/>
  <c r="AH107" i="5" a="1"/>
  <c r="AH107" i="5" s="1"/>
  <c r="AH62" i="5" a="1"/>
  <c r="AH62" i="5" s="1"/>
  <c r="AH50" i="5" a="1"/>
  <c r="AH50" i="5" s="1"/>
  <c r="AH133" i="5" a="1"/>
  <c r="AH133" i="5" s="1"/>
  <c r="AH91" i="5" a="1"/>
  <c r="AH91" i="5" s="1"/>
  <c r="AH39" i="5" a="1"/>
  <c r="AH39" i="5" s="1"/>
  <c r="AH112" i="5" a="1"/>
  <c r="AH112" i="5" s="1"/>
  <c r="AH148" i="5" a="1"/>
  <c r="AH148" i="5" s="1"/>
  <c r="AH129" i="5" a="1"/>
  <c r="AH129" i="5" s="1"/>
  <c r="AH15" i="5" a="1"/>
  <c r="AH15" i="5" s="1"/>
  <c r="AH36" i="5" a="1"/>
  <c r="AH36" i="5" s="1"/>
  <c r="AH114" i="5" a="1"/>
  <c r="AH114" i="5" s="1"/>
  <c r="AH57" i="5" a="1"/>
  <c r="AH57" i="5" s="1"/>
  <c r="AH54" i="5" a="1"/>
  <c r="AH54" i="5" s="1"/>
  <c r="AH165" i="5" a="1"/>
  <c r="AH165" i="5" s="1"/>
  <c r="AH136" i="5" a="1"/>
  <c r="AH136" i="5" s="1"/>
  <c r="AH144" i="5" a="1"/>
  <c r="AH144" i="5" s="1"/>
  <c r="AH120" i="5" a="1"/>
  <c r="AH120" i="5" s="1"/>
  <c r="AH84" i="5" a="1"/>
  <c r="AH84" i="5" s="1"/>
  <c r="AH28" i="5" a="1"/>
  <c r="AH28" i="5" s="1"/>
  <c r="AH16" i="5" a="1"/>
  <c r="AH16" i="5" s="1"/>
  <c r="AH103" i="5" a="1"/>
  <c r="AH103" i="5" s="1"/>
  <c r="AH157" i="5" a="1"/>
  <c r="AH157" i="5" s="1"/>
  <c r="AH135" i="5" a="1"/>
  <c r="AH135" i="5" s="1"/>
  <c r="AH132" i="5" a="1"/>
  <c r="AH132" i="5" s="1"/>
  <c r="AH121" i="5" a="1"/>
  <c r="AH121" i="5" s="1"/>
  <c r="AH85" i="5" a="1"/>
  <c r="AH85" i="5" s="1"/>
  <c r="AH53" i="5" a="1"/>
  <c r="AH53" i="5" s="1"/>
  <c r="AH67" i="5" a="1"/>
  <c r="AH67" i="5" s="1"/>
  <c r="AH69" i="5" a="1"/>
  <c r="AH69" i="5" s="1"/>
  <c r="AH13" i="5" a="1"/>
  <c r="AH13" i="5" s="1"/>
  <c r="AH164" i="5" a="1"/>
  <c r="AH164" i="5" s="1"/>
  <c r="AH128" i="5" a="1"/>
  <c r="AH128" i="5" s="1"/>
  <c r="AH118" i="5" a="1"/>
  <c r="AH118" i="5" s="1"/>
  <c r="AH146" i="5" a="1"/>
  <c r="AH146" i="5" s="1"/>
  <c r="AH86" i="5" a="1"/>
  <c r="AH86" i="5" s="1"/>
  <c r="AH96" i="5" a="1"/>
  <c r="AH96" i="5" s="1"/>
  <c r="AH76" i="5" a="1"/>
  <c r="AH76" i="5" s="1"/>
  <c r="AH52" i="5" a="1"/>
  <c r="AH52" i="5" s="1"/>
  <c r="AH14" i="5" a="1"/>
  <c r="AH14" i="5" s="1"/>
  <c r="AH176" i="5" a="1"/>
  <c r="AH176" i="5" s="1"/>
  <c r="AH149" i="5" a="1"/>
  <c r="AH149" i="5" s="1"/>
  <c r="AH100" i="5" a="1"/>
  <c r="AH100" i="5" s="1"/>
  <c r="AH123" i="5" a="1"/>
  <c r="AH123" i="5" s="1"/>
  <c r="AH98" i="5" a="1"/>
  <c r="AH98" i="5" s="1"/>
  <c r="AH47" i="5" a="1"/>
  <c r="AH47" i="5" s="1"/>
  <c r="AH55" i="5" a="1"/>
  <c r="AH55" i="5" s="1"/>
  <c r="AH152" i="5" a="1"/>
  <c r="AH152" i="5" s="1"/>
  <c r="AH171" i="5" a="1"/>
  <c r="AH171" i="5" s="1"/>
  <c r="AH26" i="5" a="1"/>
  <c r="AH26" i="5" s="1"/>
  <c r="AH46" i="5" a="1"/>
  <c r="AH46" i="5" s="1"/>
  <c r="AH10" i="5" a="1"/>
  <c r="AH10" i="5" s="1"/>
  <c r="AH155" i="5" a="1"/>
  <c r="AH155" i="5" s="1"/>
  <c r="AH150" i="5" a="1"/>
  <c r="AH150" i="5" s="1"/>
  <c r="AH154" i="5" a="1"/>
  <c r="AH154" i="5" s="1"/>
  <c r="AH156" i="5" a="1"/>
  <c r="AH156" i="5" s="1"/>
  <c r="AH170" i="5" a="1"/>
  <c r="AH170" i="5" s="1"/>
  <c r="AH127" i="5" a="1"/>
  <c r="AH127" i="5" s="1"/>
  <c r="AH151" i="5" a="1"/>
  <c r="AH151" i="5" s="1"/>
  <c r="AH108" i="5" a="1"/>
  <c r="AH108" i="5" s="1"/>
  <c r="AH83" i="5" a="1"/>
  <c r="AH83" i="5" s="1"/>
  <c r="AH134" i="5" a="1"/>
  <c r="AH134" i="5" s="1"/>
  <c r="AH105" i="5" a="1"/>
  <c r="AH105" i="5" s="1"/>
  <c r="AH80" i="5" a="1"/>
  <c r="AH80" i="5" s="1"/>
  <c r="AH70" i="5" a="1"/>
  <c r="AH70" i="5" s="1"/>
  <c r="AH32" i="5" a="1"/>
  <c r="AH32" i="5" s="1"/>
  <c r="AH74" i="5" a="1"/>
  <c r="AH74" i="5" s="1"/>
  <c r="AH68" i="5" a="1"/>
  <c r="AH68" i="5" s="1"/>
  <c r="AH48" i="5" a="1"/>
  <c r="AH48" i="5" s="1"/>
  <c r="AH24" i="5" a="1"/>
  <c r="AH24" i="5" s="1"/>
  <c r="AH12" i="5" a="1"/>
  <c r="AH12" i="5" s="1"/>
  <c r="AG119" i="5" a="1"/>
  <c r="AG119" i="5" s="1"/>
  <c r="B150" i="5"/>
  <c r="B65" i="5"/>
  <c r="B99" i="5"/>
  <c r="B164" i="5"/>
  <c r="B82" i="5"/>
  <c r="B96" i="5"/>
  <c r="B140" i="5"/>
  <c r="B172" i="5"/>
  <c r="B154" i="5"/>
  <c r="B168" i="5"/>
  <c r="B128" i="5"/>
  <c r="B81" i="5"/>
  <c r="B86" i="5"/>
  <c r="B159" i="5"/>
  <c r="B147" i="5"/>
  <c r="B135" i="5"/>
  <c r="B103" i="5"/>
  <c r="B59" i="5"/>
  <c r="B174" i="5"/>
  <c r="B113" i="5"/>
  <c r="B126" i="5"/>
  <c r="B48" i="5"/>
  <c r="B122" i="5"/>
  <c r="B136" i="5"/>
  <c r="B166" i="5"/>
  <c r="B118" i="5"/>
  <c r="B151" i="5"/>
  <c r="B144" i="5"/>
  <c r="B87" i="5"/>
  <c r="B105" i="5"/>
  <c r="B101" i="5"/>
  <c r="B54" i="5"/>
  <c r="B137" i="5"/>
  <c r="B44" i="5"/>
  <c r="B38" i="5"/>
  <c r="B152" i="5"/>
  <c r="B119" i="5"/>
  <c r="B142" i="5"/>
  <c r="B109" i="5"/>
  <c r="B94" i="5"/>
  <c r="B141" i="5"/>
  <c r="B169" i="5"/>
  <c r="B116" i="5"/>
  <c r="B102" i="5"/>
  <c r="B173" i="5"/>
  <c r="B156" i="5"/>
  <c r="B130" i="5"/>
  <c r="B95" i="5"/>
  <c r="B161" i="5"/>
  <c r="B104" i="5"/>
  <c r="B108" i="5"/>
  <c r="B123" i="5"/>
  <c r="B111" i="5"/>
  <c r="B124" i="5"/>
  <c r="B149" i="5"/>
  <c r="B117" i="5"/>
  <c r="B132" i="5"/>
  <c r="B63" i="5"/>
  <c r="B32" i="5"/>
  <c r="B155" i="5"/>
  <c r="B107" i="5"/>
  <c r="B131" i="5"/>
  <c r="B106" i="5"/>
  <c r="B143" i="5"/>
  <c r="B125" i="5"/>
  <c r="B74" i="5"/>
  <c r="B148" i="5"/>
  <c r="B27" i="5"/>
  <c r="B29" i="5"/>
  <c r="B138" i="5"/>
  <c r="B75" i="5"/>
  <c r="B53" i="5"/>
  <c r="B92" i="5"/>
  <c r="B160" i="5"/>
  <c r="B127" i="5"/>
  <c r="B134" i="5"/>
  <c r="B93" i="5"/>
  <c r="B165" i="5"/>
  <c r="B77" i="5"/>
  <c r="B78" i="5"/>
  <c r="B91" i="5"/>
  <c r="B146" i="5"/>
  <c r="B133" i="5"/>
  <c r="B115" i="5"/>
  <c r="B46" i="5"/>
  <c r="B112" i="5"/>
  <c r="B110" i="5"/>
  <c r="B34" i="5"/>
  <c r="B175" i="5"/>
  <c r="B22" i="5"/>
  <c r="B79" i="5"/>
  <c r="B72" i="5"/>
  <c r="B31" i="5"/>
  <c r="B114" i="5"/>
  <c r="B157" i="5"/>
  <c r="B39" i="5"/>
  <c r="B57" i="5"/>
  <c r="B89" i="5"/>
  <c r="B85" i="5"/>
  <c r="B120" i="5"/>
  <c r="B58" i="5"/>
  <c r="B30" i="5"/>
  <c r="B66" i="5"/>
  <c r="B52" i="5"/>
  <c r="B36" i="5"/>
  <c r="B56" i="5"/>
  <c r="B162" i="5"/>
  <c r="B97" i="5"/>
  <c r="B41" i="5"/>
  <c r="B43" i="5"/>
  <c r="B171" i="5"/>
  <c r="B167" i="5"/>
  <c r="B51" i="5"/>
  <c r="B69" i="5"/>
  <c r="B42" i="5"/>
  <c r="B98" i="5"/>
  <c r="B37" i="5"/>
  <c r="B153" i="5"/>
  <c r="B158" i="5"/>
  <c r="B100" i="5"/>
  <c r="B55" i="5"/>
  <c r="B18" i="5"/>
  <c r="B76" i="5"/>
  <c r="B129" i="5"/>
  <c r="B9" i="5"/>
  <c r="B49" i="5"/>
  <c r="B19" i="5"/>
  <c r="B170" i="5"/>
  <c r="B176" i="5"/>
  <c r="B84" i="5"/>
  <c r="B17" i="5"/>
  <c r="B73" i="5"/>
  <c r="B61" i="5"/>
  <c r="B26" i="5"/>
  <c r="B20" i="5"/>
  <c r="B35" i="5"/>
  <c r="B145" i="5"/>
  <c r="B23" i="5"/>
  <c r="B47" i="5"/>
  <c r="B40" i="5"/>
  <c r="B90" i="5"/>
  <c r="B163" i="5"/>
  <c r="B80" i="5"/>
  <c r="B45" i="5"/>
  <c r="B13" i="5"/>
  <c r="B71" i="5"/>
  <c r="B88" i="5"/>
  <c r="B7" i="5"/>
  <c r="B16" i="5"/>
  <c r="B33" i="5"/>
  <c r="B21" i="5"/>
  <c r="B25" i="5"/>
  <c r="B67" i="5"/>
  <c r="B70" i="5"/>
  <c r="B60" i="5"/>
  <c r="B68" i="5"/>
  <c r="B83" i="5"/>
  <c r="B50" i="5"/>
  <c r="B121" i="5"/>
  <c r="B11" i="5"/>
  <c r="B8" i="5"/>
  <c r="B64" i="5"/>
  <c r="B15" i="5"/>
  <c r="B28" i="5"/>
  <c r="B24" i="5"/>
  <c r="B10" i="5"/>
  <c r="B14" i="5"/>
  <c r="B139" i="5"/>
  <c r="B12" i="5"/>
  <c r="B62" i="5"/>
  <c r="AB61" i="12" l="1" a="1"/>
  <c r="AB61" i="12" s="1"/>
  <c r="AG61" i="12" a="1"/>
  <c r="AG61" i="12" s="1"/>
  <c r="AD61" i="12"/>
  <c r="AC61" i="12" a="1"/>
  <c r="AC61" i="12" s="1"/>
  <c r="AF61" i="12"/>
  <c r="AE61" i="12"/>
  <c r="AC61" i="5" a="1"/>
  <c r="AC61" i="5" s="1"/>
  <c r="AG157" i="5" a="1"/>
  <c r="AG157" i="5" s="1"/>
  <c r="AG101" i="5" a="1"/>
  <c r="AG101" i="5" s="1"/>
  <c r="AG42" i="5" a="1"/>
  <c r="AG42" i="5" s="1"/>
  <c r="AG24" i="5" a="1"/>
  <c r="AG24" i="5" s="1"/>
  <c r="AG61" i="5" a="1"/>
  <c r="AG61" i="5" s="1"/>
  <c r="AG132" i="5" a="1"/>
  <c r="AG132" i="5" s="1"/>
  <c r="AG85" i="5" a="1"/>
  <c r="AG85" i="5" s="1"/>
  <c r="AG92" i="5" a="1"/>
  <c r="AG92" i="5" s="1"/>
  <c r="AG137" i="5" a="1"/>
  <c r="AG137" i="5" s="1"/>
  <c r="AG170" i="5" a="1"/>
  <c r="AG170" i="5" s="1"/>
  <c r="AG100" i="5" a="1"/>
  <c r="AG100" i="5" s="1"/>
  <c r="AG34" i="5" a="1"/>
  <c r="AG34" i="5" s="1"/>
  <c r="AG53" i="5" a="1"/>
  <c r="AG53" i="5" s="1"/>
  <c r="AG117" i="5" a="1"/>
  <c r="AG117" i="5" s="1"/>
  <c r="AG54" i="5" a="1"/>
  <c r="AG54" i="5" s="1"/>
  <c r="AG172" i="5" a="1"/>
  <c r="AG172" i="5" s="1"/>
  <c r="AG56" i="5" a="1"/>
  <c r="AG56" i="5" s="1"/>
  <c r="AG74" i="5" a="1"/>
  <c r="AG74" i="5" s="1"/>
  <c r="AG126" i="5" a="1"/>
  <c r="AG126" i="5" s="1"/>
  <c r="AG15" i="5" a="1"/>
  <c r="AG15" i="5" s="1"/>
  <c r="AG176" i="5" a="1"/>
  <c r="AG176" i="5" s="1"/>
  <c r="AG115" i="5" a="1"/>
  <c r="AG115" i="5" s="1"/>
  <c r="AG82" i="5" a="1"/>
  <c r="AG82" i="5" s="1"/>
  <c r="AG84" i="5" a="1"/>
  <c r="AG84" i="5" s="1"/>
  <c r="AG9" i="5" a="1"/>
  <c r="AG9" i="5" s="1"/>
  <c r="AG175" i="5" a="1"/>
  <c r="AG175" i="5" s="1"/>
  <c r="AG154" i="5" a="1"/>
  <c r="AG154" i="5" s="1"/>
  <c r="AG139" i="5" a="1"/>
  <c r="AG139" i="5" s="1"/>
  <c r="AG160" i="5" a="1"/>
  <c r="AG160" i="5" s="1"/>
  <c r="AG167" i="5" a="1"/>
  <c r="AG167" i="5" s="1"/>
  <c r="AG127" i="5" a="1"/>
  <c r="AG127" i="5" s="1"/>
  <c r="AG171" i="5" a="1"/>
  <c r="AG171" i="5" s="1"/>
  <c r="AG44" i="5" a="1"/>
  <c r="AG44" i="5" s="1"/>
  <c r="AG163" i="5" a="1"/>
  <c r="AG163" i="5" s="1"/>
  <c r="AG78" i="5" a="1"/>
  <c r="AG78" i="5" s="1"/>
  <c r="AG38" i="5" a="1"/>
  <c r="AG38" i="5" s="1"/>
  <c r="AG27" i="5" a="1"/>
  <c r="AG27" i="5" s="1"/>
  <c r="AG107" i="5" a="1"/>
  <c r="AG107" i="5" s="1"/>
  <c r="AG62" i="5" a="1"/>
  <c r="AG62" i="5" s="1"/>
  <c r="AG57" i="5" a="1"/>
  <c r="AG57" i="5" s="1"/>
  <c r="AG144" i="5" a="1"/>
  <c r="AG144" i="5" s="1"/>
  <c r="AG76" i="5" a="1"/>
  <c r="AG76" i="5" s="1"/>
  <c r="AG66" i="5" a="1"/>
  <c r="AG66" i="5" s="1"/>
  <c r="AG69" i="5" a="1"/>
  <c r="AG69" i="5" s="1"/>
  <c r="AG22" i="5" a="1"/>
  <c r="AG22" i="5" s="1"/>
  <c r="AG10" i="5" a="1"/>
  <c r="AG10" i="5" s="1"/>
  <c r="AG79" i="5" a="1"/>
  <c r="AG79" i="5" s="1"/>
  <c r="AG55" i="5" a="1"/>
  <c r="AG55" i="5" s="1"/>
  <c r="AG51" i="5" a="1"/>
  <c r="AG51" i="5" s="1"/>
  <c r="AG152" i="5" a="1"/>
  <c r="AG152" i="5" s="1"/>
  <c r="AG169" i="5" a="1"/>
  <c r="AG169" i="5" s="1"/>
  <c r="AG141" i="5" a="1"/>
  <c r="AG141" i="5" s="1"/>
  <c r="AG133" i="5" a="1"/>
  <c r="AG133" i="5" s="1"/>
  <c r="AG125" i="5" a="1"/>
  <c r="AG125" i="5" s="1"/>
  <c r="AG59" i="5" a="1"/>
  <c r="AG59" i="5" s="1"/>
  <c r="AG128" i="5" a="1"/>
  <c r="AG128" i="5" s="1"/>
  <c r="AG166" i="5" a="1"/>
  <c r="AG166" i="5" s="1"/>
  <c r="AG108" i="5" a="1"/>
  <c r="AG108" i="5" s="1"/>
  <c r="AG80" i="5" a="1"/>
  <c r="AG80" i="5" s="1"/>
  <c r="AG49" i="5" a="1"/>
  <c r="AG49" i="5" s="1"/>
  <c r="AG161" i="5" a="1"/>
  <c r="AG161" i="5" s="1"/>
  <c r="AG106" i="5" a="1"/>
  <c r="AG106" i="5" s="1"/>
  <c r="AG77" i="5" a="1"/>
  <c r="AG77" i="5" s="1"/>
  <c r="AG21" i="5" a="1"/>
  <c r="AG21" i="5" s="1"/>
  <c r="AG65" i="5" a="1"/>
  <c r="AG65" i="5" s="1"/>
  <c r="AG70" i="5" a="1"/>
  <c r="AG70" i="5" s="1"/>
  <c r="AG50" i="5" a="1"/>
  <c r="AG50" i="5" s="1"/>
  <c r="AG20" i="5" a="1"/>
  <c r="AG20" i="5" s="1"/>
  <c r="AG45" i="5" a="1"/>
  <c r="AG45" i="5" s="1"/>
  <c r="AG13" i="5" a="1"/>
  <c r="AG13" i="5" s="1"/>
  <c r="AG122" i="5" a="1"/>
  <c r="AG122" i="5" s="1"/>
  <c r="AG142" i="5" a="1"/>
  <c r="AG142" i="5" s="1"/>
  <c r="AG71" i="5" a="1"/>
  <c r="AG71" i="5" s="1"/>
  <c r="AG88" i="5" a="1"/>
  <c r="AG88" i="5" s="1"/>
  <c r="AG168" i="5" a="1"/>
  <c r="AG168" i="5" s="1"/>
  <c r="AG165" i="5" a="1"/>
  <c r="AG165" i="5" s="1"/>
  <c r="AG149" i="5" a="1"/>
  <c r="AG149" i="5" s="1"/>
  <c r="AG162" i="5" a="1"/>
  <c r="AG162" i="5" s="1"/>
  <c r="AG124" i="5" a="1"/>
  <c r="AG124" i="5" s="1"/>
  <c r="AG89" i="5" a="1"/>
  <c r="AG89" i="5" s="1"/>
  <c r="AG156" i="5" a="1"/>
  <c r="AG156" i="5" s="1"/>
  <c r="AG148" i="5" a="1"/>
  <c r="AG148" i="5" s="1"/>
  <c r="AG32" i="5" a="1"/>
  <c r="AG32" i="5" s="1"/>
  <c r="AG95" i="5" a="1"/>
  <c r="AG95" i="5" s="1"/>
  <c r="AG134" i="5" a="1"/>
  <c r="AG134" i="5" s="1"/>
  <c r="AG109" i="5" a="1"/>
  <c r="AG109" i="5" s="1"/>
  <c r="AG75" i="5" a="1"/>
  <c r="AG75" i="5" s="1"/>
  <c r="AG93" i="5" a="1"/>
  <c r="AG93" i="5" s="1"/>
  <c r="AG64" i="5" a="1"/>
  <c r="AG64" i="5" s="1"/>
  <c r="AG36" i="5" a="1"/>
  <c r="AG36" i="5" s="1"/>
  <c r="AG60" i="5" a="1"/>
  <c r="AG60" i="5" s="1"/>
  <c r="AG40" i="5" a="1"/>
  <c r="AG40" i="5" s="1"/>
  <c r="AG25" i="5" a="1"/>
  <c r="AG25" i="5" s="1"/>
  <c r="AG23" i="5" a="1"/>
  <c r="AG23" i="5" s="1"/>
  <c r="AG7" i="5" a="1"/>
  <c r="AG7" i="5" s="1"/>
  <c r="AG135" i="5" a="1"/>
  <c r="AG135" i="5" s="1"/>
  <c r="AG173" i="5" a="1"/>
  <c r="AG173" i="5" s="1"/>
  <c r="AG131" i="5" a="1"/>
  <c r="AG131" i="5" s="1"/>
  <c r="AG123" i="5" a="1"/>
  <c r="AG123" i="5" s="1"/>
  <c r="AG90" i="5" a="1"/>
  <c r="AG90" i="5" s="1"/>
  <c r="AG39" i="5" a="1"/>
  <c r="AG39" i="5" s="1"/>
  <c r="AG16" i="5" a="1"/>
  <c r="AG16" i="5" s="1"/>
  <c r="AG159" i="5" a="1"/>
  <c r="AG159" i="5" s="1"/>
  <c r="AG174" i="5" a="1"/>
  <c r="AG174" i="5" s="1"/>
  <c r="AG150" i="5" a="1"/>
  <c r="AG150" i="5" s="1"/>
  <c r="AG140" i="5" a="1"/>
  <c r="AG140" i="5" s="1"/>
  <c r="AG145" i="5" a="1"/>
  <c r="AG145" i="5" s="1"/>
  <c r="AG102" i="5" a="1"/>
  <c r="AG102" i="5" s="1"/>
  <c r="AG138" i="5" a="1"/>
  <c r="AG138" i="5" s="1"/>
  <c r="AG103" i="5" a="1"/>
  <c r="AG103" i="5" s="1"/>
  <c r="AG143" i="5" a="1"/>
  <c r="AG143" i="5" s="1"/>
  <c r="AG111" i="5" a="1"/>
  <c r="AG111" i="5" s="1"/>
  <c r="AG99" i="5" a="1"/>
  <c r="AG99" i="5" s="1"/>
  <c r="AG87" i="5" a="1"/>
  <c r="AG87" i="5" s="1"/>
  <c r="AG98" i="5" a="1"/>
  <c r="AG98" i="5" s="1"/>
  <c r="AG31" i="5" a="1"/>
  <c r="AG31" i="5" s="1"/>
  <c r="AG73" i="5" a="1"/>
  <c r="AG73" i="5" s="1"/>
  <c r="AG46" i="5" a="1"/>
  <c r="AG46" i="5" s="1"/>
  <c r="AG41" i="5" a="1"/>
  <c r="AG41" i="5" s="1"/>
  <c r="AG30" i="5" a="1"/>
  <c r="AG30" i="5" s="1"/>
  <c r="AG48" i="5" a="1"/>
  <c r="AG48" i="5" s="1"/>
  <c r="AG19" i="5" a="1"/>
  <c r="AG19" i="5" s="1"/>
  <c r="AG14" i="5" a="1"/>
  <c r="AG14" i="5" s="1"/>
  <c r="AG120" i="5" a="1"/>
  <c r="AG120" i="5" s="1"/>
  <c r="AG155" i="5" a="1"/>
  <c r="AG155" i="5" s="1"/>
  <c r="AG153" i="5" a="1"/>
  <c r="AG153" i="5" s="1"/>
  <c r="AG118" i="5" a="1"/>
  <c r="AG118" i="5" s="1"/>
  <c r="AG116" i="5" a="1"/>
  <c r="AG116" i="5" s="1"/>
  <c r="AG136" i="5" a="1"/>
  <c r="AG136" i="5" s="1"/>
  <c r="AG151" i="5" a="1"/>
  <c r="AG151" i="5" s="1"/>
  <c r="AG129" i="5" a="1"/>
  <c r="AG129" i="5" s="1"/>
  <c r="AG94" i="5" a="1"/>
  <c r="AG94" i="5" s="1"/>
  <c r="AG104" i="5" a="1"/>
  <c r="AG104" i="5" s="1"/>
  <c r="AG81" i="5" a="1"/>
  <c r="AG81" i="5" s="1"/>
  <c r="AG91" i="5" a="1"/>
  <c r="AG91" i="5" s="1"/>
  <c r="AG86" i="5" a="1"/>
  <c r="AG86" i="5" s="1"/>
  <c r="AG37" i="5" a="1"/>
  <c r="AG37" i="5" s="1"/>
  <c r="AG58" i="5" a="1"/>
  <c r="AG58" i="5" s="1"/>
  <c r="AG63" i="5" a="1"/>
  <c r="AG63" i="5" s="1"/>
  <c r="AG47" i="5" a="1"/>
  <c r="AG47" i="5" s="1"/>
  <c r="AG43" i="5" a="1"/>
  <c r="AG43" i="5" s="1"/>
  <c r="AG72" i="5" a="1"/>
  <c r="AG72" i="5" s="1"/>
  <c r="AG33" i="5" a="1"/>
  <c r="AG33" i="5" s="1"/>
  <c r="AG18" i="5" a="1"/>
  <c r="AG18" i="5" s="1"/>
  <c r="AG8" i="5" a="1"/>
  <c r="AG8" i="5" s="1"/>
  <c r="AG105" i="5" a="1"/>
  <c r="AG105" i="5" s="1"/>
  <c r="AG35" i="5" a="1"/>
  <c r="AG35" i="5" s="1"/>
  <c r="AG28" i="5" a="1"/>
  <c r="AG28" i="5" s="1"/>
  <c r="AG110" i="5" a="1"/>
  <c r="AG110" i="5" s="1"/>
  <c r="AG147" i="5" a="1"/>
  <c r="AG147" i="5" s="1"/>
  <c r="AG113" i="5" a="1"/>
  <c r="AG113" i="5" s="1"/>
  <c r="AG164" i="5" a="1"/>
  <c r="AG164" i="5" s="1"/>
  <c r="AG96" i="5" a="1"/>
  <c r="AG96" i="5" s="1"/>
  <c r="AG158" i="5" a="1"/>
  <c r="AG158" i="5" s="1"/>
  <c r="AG112" i="5" a="1"/>
  <c r="AG112" i="5" s="1"/>
  <c r="AG146" i="5" a="1"/>
  <c r="AG146" i="5" s="1"/>
  <c r="AG121" i="5" a="1"/>
  <c r="AG121" i="5" s="1"/>
  <c r="AG83" i="5" a="1"/>
  <c r="AG83" i="5" s="1"/>
  <c r="AG29" i="5" a="1"/>
  <c r="AG29" i="5" s="1"/>
  <c r="AG130" i="5" a="1"/>
  <c r="AG130" i="5" s="1"/>
  <c r="AG114" i="5" a="1"/>
  <c r="AG114" i="5" s="1"/>
  <c r="AG97" i="5" a="1"/>
  <c r="AG97" i="5" s="1"/>
  <c r="AG26" i="5" a="1"/>
  <c r="AG26" i="5" s="1"/>
  <c r="AG52" i="5" a="1"/>
  <c r="AG52" i="5" s="1"/>
  <c r="AG67" i="5" a="1"/>
  <c r="AG67" i="5" s="1"/>
  <c r="AG68" i="5" a="1"/>
  <c r="AG68" i="5" s="1"/>
  <c r="AG17" i="5" a="1"/>
  <c r="AG17" i="5" s="1"/>
  <c r="AG12" i="5" a="1"/>
  <c r="AG12" i="5" s="1"/>
  <c r="AG11" i="5" a="1"/>
  <c r="AG11" i="5" s="1"/>
  <c r="AD61" i="5"/>
  <c r="AF61" i="5"/>
  <c r="AE61" i="5"/>
  <c r="AD172" i="5"/>
  <c r="AF172" i="5"/>
  <c r="AE172" i="5"/>
  <c r="AD122" i="5"/>
  <c r="AF122" i="5"/>
  <c r="AE122" i="5"/>
  <c r="AD126" i="5"/>
  <c r="AF126" i="5"/>
  <c r="AE126" i="5"/>
  <c r="AF170" i="5"/>
  <c r="AD170" i="5"/>
  <c r="AE170" i="5"/>
  <c r="AD132" i="5"/>
  <c r="AF132" i="5"/>
  <c r="AE132" i="5"/>
  <c r="AD142" i="5"/>
  <c r="AF142" i="5"/>
  <c r="AE142" i="5"/>
  <c r="AD137" i="5"/>
  <c r="AF137" i="5"/>
  <c r="AE137" i="5"/>
  <c r="AD119" i="5"/>
  <c r="AF119" i="5"/>
  <c r="AE119" i="5"/>
  <c r="AF92" i="5"/>
  <c r="AE92" i="5"/>
  <c r="AD92" i="5"/>
  <c r="AE105" i="5"/>
  <c r="AD105" i="5"/>
  <c r="AF105" i="5"/>
  <c r="AD56" i="5"/>
  <c r="AF56" i="5"/>
  <c r="AE56" i="5"/>
  <c r="AD74" i="5"/>
  <c r="AF74" i="5"/>
  <c r="AE74" i="5"/>
  <c r="AD53" i="5"/>
  <c r="AF53" i="5"/>
  <c r="AE53" i="5"/>
  <c r="AD85" i="5"/>
  <c r="AF85" i="5"/>
  <c r="AE85" i="5"/>
  <c r="AD35" i="5"/>
  <c r="AF35" i="5"/>
  <c r="AE35" i="5"/>
  <c r="AD120" i="5"/>
  <c r="AF120" i="5"/>
  <c r="AE120" i="5"/>
  <c r="AD42" i="5"/>
  <c r="AF42" i="5"/>
  <c r="AE42" i="5"/>
  <c r="AD28" i="5"/>
  <c r="AF28" i="5"/>
  <c r="AE28" i="5"/>
  <c r="AD24" i="5"/>
  <c r="AF24" i="5"/>
  <c r="AE24" i="5"/>
  <c r="AF34" i="5"/>
  <c r="AE34" i="5"/>
  <c r="AD34" i="5"/>
  <c r="AE15" i="5"/>
  <c r="AD15" i="5"/>
  <c r="AF15" i="5"/>
  <c r="AD157" i="5"/>
  <c r="AF157" i="5"/>
  <c r="AE157" i="5"/>
  <c r="AD135" i="5"/>
  <c r="AF135" i="5"/>
  <c r="AE135" i="5"/>
  <c r="AD100" i="5"/>
  <c r="AF100" i="5"/>
  <c r="AE100" i="5"/>
  <c r="AD173" i="5"/>
  <c r="AF173" i="5"/>
  <c r="AE173" i="5"/>
  <c r="AD176" i="5"/>
  <c r="AF176" i="5"/>
  <c r="AE176" i="5"/>
  <c r="AE117" i="5"/>
  <c r="AD117" i="5"/>
  <c r="AF117" i="5"/>
  <c r="AE131" i="5"/>
  <c r="AD131" i="5"/>
  <c r="AF131" i="5"/>
  <c r="AD115" i="5"/>
  <c r="AF115" i="5"/>
  <c r="AE115" i="5"/>
  <c r="AD71" i="5"/>
  <c r="AF71" i="5"/>
  <c r="AE71" i="5"/>
  <c r="AE123" i="5"/>
  <c r="AD123" i="5"/>
  <c r="AF123" i="5"/>
  <c r="AD101" i="5"/>
  <c r="AF101" i="5"/>
  <c r="AE101" i="5"/>
  <c r="AE82" i="5"/>
  <c r="AD82" i="5"/>
  <c r="AF82" i="5"/>
  <c r="AD88" i="5"/>
  <c r="AF88" i="5"/>
  <c r="AE88" i="5"/>
  <c r="AF79" i="5"/>
  <c r="AE79" i="5"/>
  <c r="AD79" i="5"/>
  <c r="AE90" i="5"/>
  <c r="AD90" i="5"/>
  <c r="AF90" i="5"/>
  <c r="AF84" i="5"/>
  <c r="AE84" i="5"/>
  <c r="AD84" i="5"/>
  <c r="AE55" i="5"/>
  <c r="AD55" i="5"/>
  <c r="AF55" i="5"/>
  <c r="AF39" i="5"/>
  <c r="AE39" i="5"/>
  <c r="AD39" i="5"/>
  <c r="AD54" i="5"/>
  <c r="AF54" i="5"/>
  <c r="AE54" i="5"/>
  <c r="AD51" i="5"/>
  <c r="AF51" i="5"/>
  <c r="AE51" i="5"/>
  <c r="AD16" i="5"/>
  <c r="AF16" i="5"/>
  <c r="AE16" i="5"/>
  <c r="AD9" i="5"/>
  <c r="AF9" i="5"/>
  <c r="AE9" i="5"/>
  <c r="AD175" i="5"/>
  <c r="AF175" i="5"/>
  <c r="AE175" i="5"/>
  <c r="AF154" i="5"/>
  <c r="AD154" i="5"/>
  <c r="AE154" i="5"/>
  <c r="AF139" i="5"/>
  <c r="AD139" i="5"/>
  <c r="AE139" i="5"/>
  <c r="AD160" i="5"/>
  <c r="AF160" i="5"/>
  <c r="AE160" i="5"/>
  <c r="AF167" i="5"/>
  <c r="AD167" i="5"/>
  <c r="AE167" i="5"/>
  <c r="AD127" i="5"/>
  <c r="AF127" i="5"/>
  <c r="AE127" i="5"/>
  <c r="AD171" i="5"/>
  <c r="AF171" i="5"/>
  <c r="AE171" i="5"/>
  <c r="AD44" i="5"/>
  <c r="AF44" i="5"/>
  <c r="AE44" i="5"/>
  <c r="AD163" i="5"/>
  <c r="AF163" i="5"/>
  <c r="AE163" i="5"/>
  <c r="AF78" i="5"/>
  <c r="AE78" i="5"/>
  <c r="AD78" i="5"/>
  <c r="AF38" i="5"/>
  <c r="AE38" i="5"/>
  <c r="AD38" i="5"/>
  <c r="AE27" i="5"/>
  <c r="AD27" i="5"/>
  <c r="AF27" i="5"/>
  <c r="AD107" i="5"/>
  <c r="AF107" i="5"/>
  <c r="AE107" i="5"/>
  <c r="AF62" i="5"/>
  <c r="AE62" i="5"/>
  <c r="AD62" i="5"/>
  <c r="AD57" i="5"/>
  <c r="AF57" i="5"/>
  <c r="AE57" i="5"/>
  <c r="AD144" i="5"/>
  <c r="AF144" i="5"/>
  <c r="AE144" i="5"/>
  <c r="AF76" i="5"/>
  <c r="AE76" i="5"/>
  <c r="AD76" i="5"/>
  <c r="AE66" i="5"/>
  <c r="AD66" i="5"/>
  <c r="AF66" i="5"/>
  <c r="AE69" i="5"/>
  <c r="AD69" i="5"/>
  <c r="AF69" i="5"/>
  <c r="AF22" i="5"/>
  <c r="AE22" i="5"/>
  <c r="AD22" i="5"/>
  <c r="AF10" i="5"/>
  <c r="AE10" i="5"/>
  <c r="AD10" i="5"/>
  <c r="AF152" i="5"/>
  <c r="AD152" i="5"/>
  <c r="AE152" i="5"/>
  <c r="AD169" i="5"/>
  <c r="AF169" i="5"/>
  <c r="AE169" i="5"/>
  <c r="AD141" i="5"/>
  <c r="AF141" i="5"/>
  <c r="AE141" i="5"/>
  <c r="AD133" i="5"/>
  <c r="AF133" i="5"/>
  <c r="AE133" i="5"/>
  <c r="AD125" i="5"/>
  <c r="AF125" i="5"/>
  <c r="AE125" i="5"/>
  <c r="AF59" i="5"/>
  <c r="AE59" i="5"/>
  <c r="AD59" i="5"/>
  <c r="AD128" i="5"/>
  <c r="AF128" i="5"/>
  <c r="AE128" i="5"/>
  <c r="AF166" i="5"/>
  <c r="AE166" i="5"/>
  <c r="AD166" i="5"/>
  <c r="AE108" i="5"/>
  <c r="AD108" i="5"/>
  <c r="AF108" i="5"/>
  <c r="AD80" i="5"/>
  <c r="AF80" i="5"/>
  <c r="AE80" i="5"/>
  <c r="AE49" i="5"/>
  <c r="AD49" i="5"/>
  <c r="AF49" i="5"/>
  <c r="AD161" i="5"/>
  <c r="AF161" i="5"/>
  <c r="AE161" i="5"/>
  <c r="AF106" i="5"/>
  <c r="AE106" i="5"/>
  <c r="AD106" i="5"/>
  <c r="AE77" i="5"/>
  <c r="AD77" i="5"/>
  <c r="AF77" i="5"/>
  <c r="AE21" i="5"/>
  <c r="AD21" i="5"/>
  <c r="AF21" i="5"/>
  <c r="AF65" i="5"/>
  <c r="AE65" i="5"/>
  <c r="AD65" i="5"/>
  <c r="AD70" i="5"/>
  <c r="AF70" i="5"/>
  <c r="AE70" i="5"/>
  <c r="AF50" i="5"/>
  <c r="AE50" i="5"/>
  <c r="AD50" i="5"/>
  <c r="AE20" i="5"/>
  <c r="AD20" i="5"/>
  <c r="AF20" i="5"/>
  <c r="AD45" i="5"/>
  <c r="AF45" i="5"/>
  <c r="AE45" i="5"/>
  <c r="AF13" i="5"/>
  <c r="AE13" i="5"/>
  <c r="AD13" i="5"/>
  <c r="AD168" i="5"/>
  <c r="AF168" i="5"/>
  <c r="AE168" i="5"/>
  <c r="AD165" i="5"/>
  <c r="AF165" i="5"/>
  <c r="AE165" i="5"/>
  <c r="AD149" i="5"/>
  <c r="AF149" i="5"/>
  <c r="AE149" i="5"/>
  <c r="AF162" i="5"/>
  <c r="AD162" i="5"/>
  <c r="AE162" i="5"/>
  <c r="AE124" i="5"/>
  <c r="AD124" i="5"/>
  <c r="AF124" i="5"/>
  <c r="AF89" i="5"/>
  <c r="AE89" i="5"/>
  <c r="AD89" i="5"/>
  <c r="AE156" i="5"/>
  <c r="AD156" i="5"/>
  <c r="AF156" i="5"/>
  <c r="AD148" i="5"/>
  <c r="AF148" i="5"/>
  <c r="AE148" i="5"/>
  <c r="AE32" i="5"/>
  <c r="AD32" i="5"/>
  <c r="AF32" i="5"/>
  <c r="AE95" i="5"/>
  <c r="AD95" i="5"/>
  <c r="AF95" i="5"/>
  <c r="AF134" i="5"/>
  <c r="AE134" i="5"/>
  <c r="AD134" i="5"/>
  <c r="AD109" i="5"/>
  <c r="AF109" i="5"/>
  <c r="AE109" i="5"/>
  <c r="AE75" i="5"/>
  <c r="AD75" i="5"/>
  <c r="AF75" i="5"/>
  <c r="AD93" i="5"/>
  <c r="AF93" i="5"/>
  <c r="AE93" i="5"/>
  <c r="AD64" i="5"/>
  <c r="AF64" i="5"/>
  <c r="AE64" i="5"/>
  <c r="AD36" i="5"/>
  <c r="AF36" i="5"/>
  <c r="AE36" i="5"/>
  <c r="AD60" i="5"/>
  <c r="AF60" i="5"/>
  <c r="AE60" i="5"/>
  <c r="AD40" i="5"/>
  <c r="AF40" i="5"/>
  <c r="AE40" i="5"/>
  <c r="AF25" i="5"/>
  <c r="AE25" i="5"/>
  <c r="AD25" i="5"/>
  <c r="AD23" i="5"/>
  <c r="AF23" i="5"/>
  <c r="AE23" i="5"/>
  <c r="AD7" i="5"/>
  <c r="AF7" i="5"/>
  <c r="AE7" i="5"/>
  <c r="AF159" i="5"/>
  <c r="AD159" i="5"/>
  <c r="AE159" i="5"/>
  <c r="AF174" i="5"/>
  <c r="AD174" i="5"/>
  <c r="AE174" i="5"/>
  <c r="AF150" i="5"/>
  <c r="AD150" i="5"/>
  <c r="AE150" i="5"/>
  <c r="AD140" i="5"/>
  <c r="AF140" i="5"/>
  <c r="AE140" i="5"/>
  <c r="AD145" i="5"/>
  <c r="AF145" i="5"/>
  <c r="AE145" i="5"/>
  <c r="AF102" i="5"/>
  <c r="AE102" i="5"/>
  <c r="AD102" i="5"/>
  <c r="AE138" i="5"/>
  <c r="AD138" i="5"/>
  <c r="AF138" i="5"/>
  <c r="AD103" i="5"/>
  <c r="AF103" i="5"/>
  <c r="AE103" i="5"/>
  <c r="AD143" i="5"/>
  <c r="AF143" i="5"/>
  <c r="AE143" i="5"/>
  <c r="AF111" i="5"/>
  <c r="AE111" i="5"/>
  <c r="AD111" i="5"/>
  <c r="AD99" i="5"/>
  <c r="AF99" i="5"/>
  <c r="AE99" i="5"/>
  <c r="AE87" i="5"/>
  <c r="AD87" i="5"/>
  <c r="AF87" i="5"/>
  <c r="AD98" i="5"/>
  <c r="AF98" i="5"/>
  <c r="AE98" i="5"/>
  <c r="AF31" i="5"/>
  <c r="AE31" i="5"/>
  <c r="AD31" i="5"/>
  <c r="AF73" i="5"/>
  <c r="AE73" i="5"/>
  <c r="AD73" i="5"/>
  <c r="AD46" i="5"/>
  <c r="AF46" i="5"/>
  <c r="AE46" i="5"/>
  <c r="AE41" i="5"/>
  <c r="AD41" i="5"/>
  <c r="AF41" i="5"/>
  <c r="AE30" i="5"/>
  <c r="AD30" i="5"/>
  <c r="AF30" i="5"/>
  <c r="AD48" i="5"/>
  <c r="AF48" i="5"/>
  <c r="AE48" i="5"/>
  <c r="AE19" i="5"/>
  <c r="AD19" i="5"/>
  <c r="AF19" i="5"/>
  <c r="AE14" i="5"/>
  <c r="AD14" i="5"/>
  <c r="AF14" i="5"/>
  <c r="AD155" i="5"/>
  <c r="AF155" i="5"/>
  <c r="AE155" i="5"/>
  <c r="AD153" i="5"/>
  <c r="AF153" i="5"/>
  <c r="AE153" i="5"/>
  <c r="AD118" i="5"/>
  <c r="AF118" i="5"/>
  <c r="AE118" i="5"/>
  <c r="AD116" i="5"/>
  <c r="AF116" i="5"/>
  <c r="AE116" i="5"/>
  <c r="AD136" i="5"/>
  <c r="AF136" i="5"/>
  <c r="AE136" i="5"/>
  <c r="AF151" i="5"/>
  <c r="AE151" i="5"/>
  <c r="AD151" i="5"/>
  <c r="AF129" i="5"/>
  <c r="AE129" i="5"/>
  <c r="AD129" i="5"/>
  <c r="AF94" i="5"/>
  <c r="AE94" i="5"/>
  <c r="AD94" i="5"/>
  <c r="AF104" i="5"/>
  <c r="AE104" i="5"/>
  <c r="AD104" i="5"/>
  <c r="AD81" i="5"/>
  <c r="AF81" i="5"/>
  <c r="AE81" i="5"/>
  <c r="AD91" i="5"/>
  <c r="AF91" i="5"/>
  <c r="AE91" i="5"/>
  <c r="AF86" i="5"/>
  <c r="AE86" i="5"/>
  <c r="AD86" i="5"/>
  <c r="AD37" i="5"/>
  <c r="AF37" i="5"/>
  <c r="AE37" i="5"/>
  <c r="AF58" i="5"/>
  <c r="AE58" i="5"/>
  <c r="AD58" i="5"/>
  <c r="AD63" i="5"/>
  <c r="AF63" i="5"/>
  <c r="AE63" i="5"/>
  <c r="AF47" i="5"/>
  <c r="AE47" i="5"/>
  <c r="AD47" i="5"/>
  <c r="AD43" i="5"/>
  <c r="AF43" i="5"/>
  <c r="AE43" i="5"/>
  <c r="AD72" i="5"/>
  <c r="AF72" i="5"/>
  <c r="AE72" i="5"/>
  <c r="AE33" i="5"/>
  <c r="AD33" i="5"/>
  <c r="AF33" i="5"/>
  <c r="AD18" i="5"/>
  <c r="AF18" i="5"/>
  <c r="AE18" i="5"/>
  <c r="AD8" i="5"/>
  <c r="AF8" i="5"/>
  <c r="AE8" i="5"/>
  <c r="AF110" i="5"/>
  <c r="AD110" i="5"/>
  <c r="AE110" i="5"/>
  <c r="AD147" i="5"/>
  <c r="AF147" i="5"/>
  <c r="AE147" i="5"/>
  <c r="AE113" i="5"/>
  <c r="AD113" i="5"/>
  <c r="AF113" i="5"/>
  <c r="AD164" i="5"/>
  <c r="AF164" i="5"/>
  <c r="AE164" i="5"/>
  <c r="AD96" i="5"/>
  <c r="AF96" i="5"/>
  <c r="AE96" i="5"/>
  <c r="AD158" i="5"/>
  <c r="AF158" i="5"/>
  <c r="AE158" i="5"/>
  <c r="AD112" i="5"/>
  <c r="AF112" i="5"/>
  <c r="AE112" i="5"/>
  <c r="AD146" i="5"/>
  <c r="AF146" i="5"/>
  <c r="AE146" i="5"/>
  <c r="AE121" i="5"/>
  <c r="AD121" i="5"/>
  <c r="AF121" i="5"/>
  <c r="AE83" i="5"/>
  <c r="AD83" i="5"/>
  <c r="AF83" i="5"/>
  <c r="AD29" i="5"/>
  <c r="AF29" i="5"/>
  <c r="AE29" i="5"/>
  <c r="AD130" i="5"/>
  <c r="AF130" i="5"/>
  <c r="AE130" i="5"/>
  <c r="AE114" i="5"/>
  <c r="AD114" i="5"/>
  <c r="AF114" i="5"/>
  <c r="AD97" i="5"/>
  <c r="AF97" i="5"/>
  <c r="AE97" i="5"/>
  <c r="AD26" i="5"/>
  <c r="AF26" i="5"/>
  <c r="AE26" i="5"/>
  <c r="AE52" i="5"/>
  <c r="AD52" i="5"/>
  <c r="AF52" i="5"/>
  <c r="AD67" i="5"/>
  <c r="AF67" i="5"/>
  <c r="AE67" i="5"/>
  <c r="AE68" i="5"/>
  <c r="AD68" i="5"/>
  <c r="AF68" i="5"/>
  <c r="AF17" i="5"/>
  <c r="AE17" i="5"/>
  <c r="AD17" i="5"/>
  <c r="AD12" i="5"/>
  <c r="AF12" i="5"/>
  <c r="AE12" i="5"/>
  <c r="AD11" i="5"/>
  <c r="AF11" i="5"/>
  <c r="AE11" i="5"/>
  <c r="AB68" i="5" a="1"/>
  <c r="AB68" i="5" s="1"/>
  <c r="AB97" i="5" a="1"/>
  <c r="AB97" i="5" s="1"/>
  <c r="AB148" i="5" a="1"/>
  <c r="AB148" i="5" s="1"/>
  <c r="AB133" i="5" a="1"/>
  <c r="AB133" i="5" s="1"/>
  <c r="AB116" i="5" a="1"/>
  <c r="AB116" i="5" s="1"/>
  <c r="AB109" i="5" a="1"/>
  <c r="AB109" i="5" s="1"/>
  <c r="AB172" i="5" a="1"/>
  <c r="AB172" i="5" s="1"/>
  <c r="AB157" i="5" a="1"/>
  <c r="AB157" i="5" s="1"/>
  <c r="AB100" i="5" a="1"/>
  <c r="AB100" i="5" s="1"/>
  <c r="AB117" i="5" a="1"/>
  <c r="AB117" i="5" s="1"/>
  <c r="AB101" i="5" a="1"/>
  <c r="AB101" i="5" s="1"/>
  <c r="AB39" i="5" a="1"/>
  <c r="AB39" i="5" s="1"/>
  <c r="AB54" i="5" a="1"/>
  <c r="AB54" i="5" s="1"/>
  <c r="AB80" i="5" a="1"/>
  <c r="AB80" i="5" s="1"/>
  <c r="AB94" i="5" a="1"/>
  <c r="AB94" i="5" s="1"/>
  <c r="AB176" i="5" a="1"/>
  <c r="AB176" i="5" s="1"/>
  <c r="AB55" i="5" a="1"/>
  <c r="AB55" i="5" s="1"/>
  <c r="AB77" i="5" a="1"/>
  <c r="AB77" i="5" s="1"/>
  <c r="AB13" i="5" a="1"/>
  <c r="AB13" i="5" s="1"/>
  <c r="AB79" i="5" a="1"/>
  <c r="AB79" i="5" s="1"/>
  <c r="AB51" i="5" a="1"/>
  <c r="AB51" i="5" s="1"/>
  <c r="AB135" i="5" a="1"/>
  <c r="AB135" i="5" s="1"/>
  <c r="AB175" i="5" a="1"/>
  <c r="AB175" i="5" s="1"/>
  <c r="AB162" i="5" a="1"/>
  <c r="AB162" i="5" s="1"/>
  <c r="AB131" i="5" a="1"/>
  <c r="AB131" i="5" s="1"/>
  <c r="AB82" i="5" a="1"/>
  <c r="AB82" i="5" s="1"/>
  <c r="AB88" i="5" a="1"/>
  <c r="AB88" i="5" s="1"/>
  <c r="AB90" i="5" a="1"/>
  <c r="AB90" i="5" s="1"/>
  <c r="AB84" i="5" a="1"/>
  <c r="AB84" i="5" s="1"/>
  <c r="AB16" i="5" a="1"/>
  <c r="AB16" i="5" s="1"/>
  <c r="AB9" i="5" a="1"/>
  <c r="AB9" i="5" s="1"/>
  <c r="AB89" i="5" a="1"/>
  <c r="AB89" i="5" s="1"/>
  <c r="AB104" i="5" a="1"/>
  <c r="AB104" i="5" s="1"/>
  <c r="AB59" i="5" a="1"/>
  <c r="AB59" i="5" s="1"/>
  <c r="AB168" i="5" a="1"/>
  <c r="AB168" i="5" s="1"/>
  <c r="AB125" i="5" a="1"/>
  <c r="AB125" i="5" s="1"/>
  <c r="AB154" i="5" a="1"/>
  <c r="AB154" i="5" s="1"/>
  <c r="AB139" i="5" a="1"/>
  <c r="AB139" i="5" s="1"/>
  <c r="AB160" i="5" a="1"/>
  <c r="AB160" i="5" s="1"/>
  <c r="AB167" i="5" a="1"/>
  <c r="AB167" i="5" s="1"/>
  <c r="AB127" i="5" a="1"/>
  <c r="AB127" i="5" s="1"/>
  <c r="AB171" i="5" a="1"/>
  <c r="AB171" i="5" s="1"/>
  <c r="AB44" i="5" a="1"/>
  <c r="AB44" i="5" s="1"/>
  <c r="AB163" i="5" a="1"/>
  <c r="AB163" i="5" s="1"/>
  <c r="AB78" i="5" a="1"/>
  <c r="AB78" i="5" s="1"/>
  <c r="AB38" i="5" a="1"/>
  <c r="AB38" i="5" s="1"/>
  <c r="AB27" i="5" a="1"/>
  <c r="AB27" i="5" s="1"/>
  <c r="AB107" i="5" a="1"/>
  <c r="AB107" i="5" s="1"/>
  <c r="AB62" i="5" a="1"/>
  <c r="AB62" i="5" s="1"/>
  <c r="AB57" i="5" a="1"/>
  <c r="AB57" i="5" s="1"/>
  <c r="AB144" i="5" a="1"/>
  <c r="AB144" i="5" s="1"/>
  <c r="AB76" i="5" a="1"/>
  <c r="AB76" i="5" s="1"/>
  <c r="AB66" i="5" a="1"/>
  <c r="AB66" i="5" s="1"/>
  <c r="AB69" i="5" a="1"/>
  <c r="AB69" i="5" s="1"/>
  <c r="AB22" i="5" a="1"/>
  <c r="AB22" i="5" s="1"/>
  <c r="AB10" i="5" a="1"/>
  <c r="AB10" i="5" s="1"/>
  <c r="AB115" i="5" a="1"/>
  <c r="AB115" i="5" s="1"/>
  <c r="AB141" i="5" a="1"/>
  <c r="AB141" i="5" s="1"/>
  <c r="AB161" i="5" a="1"/>
  <c r="AB161" i="5" s="1"/>
  <c r="AB21" i="5" a="1"/>
  <c r="AB21" i="5" s="1"/>
  <c r="AB20" i="5" a="1"/>
  <c r="AB20" i="5" s="1"/>
  <c r="AB152" i="5" a="1"/>
  <c r="AB152" i="5" s="1"/>
  <c r="AB108" i="5" a="1"/>
  <c r="AB108" i="5" s="1"/>
  <c r="AB65" i="5" a="1"/>
  <c r="AB65" i="5" s="1"/>
  <c r="AB50" i="5" a="1"/>
  <c r="AB50" i="5" s="1"/>
  <c r="AB149" i="5" a="1"/>
  <c r="AB149" i="5" s="1"/>
  <c r="AB124" i="5" a="1"/>
  <c r="AB124" i="5" s="1"/>
  <c r="AB32" i="5" a="1"/>
  <c r="AB32" i="5" s="1"/>
  <c r="AB95" i="5" a="1"/>
  <c r="AB95" i="5" s="1"/>
  <c r="AB134" i="5" a="1"/>
  <c r="AB134" i="5" s="1"/>
  <c r="AB93" i="5" a="1"/>
  <c r="AB93" i="5" s="1"/>
  <c r="AB64" i="5" a="1"/>
  <c r="AB64" i="5" s="1"/>
  <c r="AB36" i="5" a="1"/>
  <c r="AB36" i="5" s="1"/>
  <c r="AB60" i="5" a="1"/>
  <c r="AB60" i="5" s="1"/>
  <c r="AB40" i="5" a="1"/>
  <c r="AB40" i="5" s="1"/>
  <c r="AB25" i="5" a="1"/>
  <c r="AB25" i="5" s="1"/>
  <c r="AB23" i="5" a="1"/>
  <c r="AB23" i="5" s="1"/>
  <c r="AB7" i="5" a="1"/>
  <c r="AB7" i="5" s="1"/>
  <c r="AB169" i="5" a="1"/>
  <c r="AB169" i="5" s="1"/>
  <c r="AB166" i="5" a="1"/>
  <c r="AB166" i="5" s="1"/>
  <c r="AB106" i="5" a="1"/>
  <c r="AB106" i="5" s="1"/>
  <c r="AB70" i="5" a="1"/>
  <c r="AB70" i="5" s="1"/>
  <c r="AB165" i="5" a="1"/>
  <c r="AB165" i="5" s="1"/>
  <c r="AB14" i="5" a="1"/>
  <c r="AB14" i="5" s="1"/>
  <c r="AB19" i="5" a="1"/>
  <c r="AB19" i="5" s="1"/>
  <c r="AB75" i="5" a="1"/>
  <c r="AB75" i="5" s="1"/>
  <c r="AB174" i="5" a="1"/>
  <c r="AB174" i="5" s="1"/>
  <c r="AB150" i="5" a="1"/>
  <c r="AB150" i="5" s="1"/>
  <c r="AB140" i="5" a="1"/>
  <c r="AB140" i="5" s="1"/>
  <c r="AB145" i="5" a="1"/>
  <c r="AB145" i="5" s="1"/>
  <c r="AB102" i="5" a="1"/>
  <c r="AB102" i="5" s="1"/>
  <c r="AB138" i="5" a="1"/>
  <c r="AB138" i="5" s="1"/>
  <c r="AB103" i="5" a="1"/>
  <c r="AB103" i="5" s="1"/>
  <c r="AB143" i="5" a="1"/>
  <c r="AB143" i="5" s="1"/>
  <c r="AB111" i="5" a="1"/>
  <c r="AB111" i="5" s="1"/>
  <c r="AB99" i="5" a="1"/>
  <c r="AB99" i="5" s="1"/>
  <c r="AB87" i="5" a="1"/>
  <c r="AB87" i="5" s="1"/>
  <c r="AB98" i="5" a="1"/>
  <c r="AB98" i="5" s="1"/>
  <c r="AB31" i="5" a="1"/>
  <c r="AB31" i="5" s="1"/>
  <c r="AB73" i="5" a="1"/>
  <c r="AB73" i="5" s="1"/>
  <c r="AB41" i="5" a="1"/>
  <c r="AB41" i="5" s="1"/>
  <c r="AB48" i="5" a="1"/>
  <c r="AB48" i="5" s="1"/>
  <c r="AB128" i="5" a="1"/>
  <c r="AB128" i="5" s="1"/>
  <c r="AB71" i="5" a="1"/>
  <c r="AB71" i="5" s="1"/>
  <c r="AB49" i="5" a="1"/>
  <c r="AB49" i="5" s="1"/>
  <c r="AB159" i="5" a="1"/>
  <c r="AB159" i="5" s="1"/>
  <c r="AB45" i="5" a="1"/>
  <c r="AB45" i="5" s="1"/>
  <c r="AB155" i="5" a="1"/>
  <c r="AB155" i="5" s="1"/>
  <c r="AB153" i="5" a="1"/>
  <c r="AB153" i="5" s="1"/>
  <c r="AB118" i="5" a="1"/>
  <c r="AB118" i="5" s="1"/>
  <c r="AB136" i="5" a="1"/>
  <c r="AB136" i="5" s="1"/>
  <c r="AB151" i="5" a="1"/>
  <c r="AB151" i="5" s="1"/>
  <c r="AB129" i="5" a="1"/>
  <c r="AB129" i="5" s="1"/>
  <c r="AB81" i="5" a="1"/>
  <c r="AB81" i="5" s="1"/>
  <c r="AB86" i="5" a="1"/>
  <c r="AB86" i="5" s="1"/>
  <c r="AB37" i="5" a="1"/>
  <c r="AB37" i="5" s="1"/>
  <c r="AB58" i="5" a="1"/>
  <c r="AB58" i="5" s="1"/>
  <c r="AB63" i="5" a="1"/>
  <c r="AB63" i="5" s="1"/>
  <c r="AB47" i="5" a="1"/>
  <c r="AB47" i="5" s="1"/>
  <c r="AB43" i="5" a="1"/>
  <c r="AB43" i="5" s="1"/>
  <c r="AB72" i="5" a="1"/>
  <c r="AB72" i="5" s="1"/>
  <c r="AB33" i="5" a="1"/>
  <c r="AB33" i="5" s="1"/>
  <c r="AB18" i="5" a="1"/>
  <c r="AB18" i="5" s="1"/>
  <c r="AB8" i="5" a="1"/>
  <c r="AB8" i="5" s="1"/>
  <c r="AB173" i="5" a="1"/>
  <c r="AB173" i="5" s="1"/>
  <c r="AB123" i="5" a="1"/>
  <c r="AB123" i="5" s="1"/>
  <c r="AB91" i="5" a="1"/>
  <c r="AB91" i="5" s="1"/>
  <c r="AB30" i="5" a="1"/>
  <c r="AB30" i="5" s="1"/>
  <c r="AB156" i="5" a="1"/>
  <c r="AB156" i="5" s="1"/>
  <c r="AB96" i="5" a="1"/>
  <c r="AB96" i="5" s="1"/>
  <c r="AB46" i="5" a="1"/>
  <c r="AB46" i="5" s="1"/>
  <c r="AB110" i="5" a="1"/>
  <c r="AB110" i="5" s="1"/>
  <c r="AB147" i="5" a="1"/>
  <c r="AB147" i="5" s="1"/>
  <c r="AB113" i="5" a="1"/>
  <c r="AB113" i="5" s="1"/>
  <c r="AB164" i="5" a="1"/>
  <c r="AB164" i="5" s="1"/>
  <c r="AB158" i="5" a="1"/>
  <c r="AB158" i="5" s="1"/>
  <c r="AB112" i="5" a="1"/>
  <c r="AB112" i="5" s="1"/>
  <c r="AB146" i="5" a="1"/>
  <c r="AB146" i="5" s="1"/>
  <c r="AB121" i="5" a="1"/>
  <c r="AB121" i="5" s="1"/>
  <c r="AB83" i="5" a="1"/>
  <c r="AB83" i="5" s="1"/>
  <c r="AB29" i="5" a="1"/>
  <c r="AB29" i="5" s="1"/>
  <c r="AB130" i="5" a="1"/>
  <c r="AB130" i="5" s="1"/>
  <c r="AB114" i="5" a="1"/>
  <c r="AB114" i="5" s="1"/>
  <c r="AB26" i="5" a="1"/>
  <c r="AB26" i="5" s="1"/>
  <c r="AB52" i="5" a="1"/>
  <c r="AB52" i="5" s="1"/>
  <c r="AB67" i="5" a="1"/>
  <c r="AB67" i="5" s="1"/>
  <c r="AB17" i="5" a="1"/>
  <c r="AB17" i="5" s="1"/>
  <c r="AB12" i="5" a="1"/>
  <c r="AB12" i="5" s="1"/>
  <c r="AB11" i="5" a="1"/>
  <c r="AB11" i="5" s="1"/>
  <c r="AB61" i="5" a="1"/>
  <c r="AB61" i="5" s="1"/>
  <c r="AB122" i="5" a="1"/>
  <c r="AB122" i="5" s="1"/>
  <c r="AB126" i="5" a="1"/>
  <c r="AB126" i="5" s="1"/>
  <c r="AB170" i="5" a="1"/>
  <c r="AB170" i="5" s="1"/>
  <c r="AB132" i="5" a="1"/>
  <c r="AB132" i="5" s="1"/>
  <c r="AB142" i="5" a="1"/>
  <c r="AB142" i="5" s="1"/>
  <c r="AB137" i="5" a="1"/>
  <c r="AB137" i="5" s="1"/>
  <c r="AB119" i="5" a="1"/>
  <c r="AB119" i="5" s="1"/>
  <c r="AB92" i="5" a="1"/>
  <c r="AB92" i="5" s="1"/>
  <c r="AB105" i="5" a="1"/>
  <c r="AB105" i="5" s="1"/>
  <c r="AB56" i="5" a="1"/>
  <c r="AB56" i="5" s="1"/>
  <c r="AB74" i="5" a="1"/>
  <c r="AB74" i="5" s="1"/>
  <c r="AB53" i="5" a="1"/>
  <c r="AB53" i="5" s="1"/>
  <c r="AB85" i="5" a="1"/>
  <c r="AB85" i="5" s="1"/>
  <c r="AB35" i="5" a="1"/>
  <c r="AB35" i="5" s="1"/>
  <c r="AB120" i="5" a="1"/>
  <c r="AB120" i="5" s="1"/>
  <c r="AB42" i="5" a="1"/>
  <c r="AB42" i="5" s="1"/>
  <c r="AB28" i="5" a="1"/>
  <c r="AB28" i="5" s="1"/>
  <c r="AB24" i="5" a="1"/>
  <c r="AB24" i="5" s="1"/>
  <c r="AB34" i="5" a="1"/>
  <c r="AB34" i="5" s="1"/>
  <c r="AB15" i="5" a="1"/>
  <c r="AB15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CA665C-92FE-47B6-9525-4899CC39AF9A}" keepAlive="1" name="Query - blw417A" description="Connection to the 'blw417A' query in the workbook." type="5" refreshedVersion="8" background="1" saveData="1">
    <dbPr connection="Provider=Microsoft.Mashup.OleDb.1;Data Source=$Workbook$;Location=blw417A;Extended Properties=&quot;&quot;" command="SELECT * FROM [blw417A]"/>
  </connection>
  <connection id="2" xr16:uid="{24309EEF-F8CF-470C-87B0-1DF6D2E421F9}" keepAlive="1" name="Query - LISTADO DE INSCRIPTOS PARA EL Selectivo MUN, EURO, NAM, SUDA, AFR, Asia&amp;OC" description="Connection to the 'LISTADO DE INSCRIPTOS PARA EL Selectivo MUN, EURO, NAM, SUDA, AFR, Asia&amp;OC' query in the workbook." type="5" refreshedVersion="8" background="1" saveData="1">
    <dbPr connection="Provider=Microsoft.Mashup.OleDb.1;Data Source=$Workbook$;Location=&quot;LISTADO DE INSCRIPTOS PARA EL Selectivo MUN, EURO, NAM, SUDA, AFR, Asia&amp;OC&quot;;Extended Properties=&quot;&quot;" command="SELECT * FROM [LISTADO DE INSCRIPTOS PARA EL Selectivo MUN, EURO, NAM, SUDA, AFR, Asia&amp;OC]"/>
  </connection>
  <connection id="3" xr16:uid="{4634F1DF-180B-4C05-A2ED-28A7F186838D}" keepAlive="1" name="Query - SIL25" description="Connection to the 'SIL25' query in the workbook." type="5" refreshedVersion="8" background="1" saveData="1">
    <dbPr connection="Provider=Microsoft.Mashup.OleDb.1;Data Source=$Workbook$;Location=SIL25;Extended Properties=&quot;&quot;" command="SELECT * FROM [SIL25]"/>
  </connection>
  <connection id="4" xr16:uid="{41833A7A-DC04-4A44-8F02-846CF8F535E2}" keepAlive="1" name="Query - SIL25v2" description="Connection to the 'SIL25v2' query in the workbook." type="5" refreshedVersion="8" background="1" saveData="1">
    <dbPr connection="Provider=Microsoft.Mashup.OleDb.1;Data Source=$Workbook$;Location=SIL25v2;Extended Properties=&quot;&quot;" command="SELECT * FROM [SIL25v2]"/>
  </connection>
  <connection id="5" xr16:uid="{EA54E9D7-CAC8-4DE5-8F58-3C305C70D597}" keepAlive="1" name="Query - VF2025" description="Connection to the 'VF2025' query in the workbook." type="5" refreshedVersion="8" background="1" saveData="1">
    <dbPr connection="Provider=Microsoft.Mashup.OleDb.1;Data Source=$Workbook$;Location=VF2025;Extended Properties=&quot;&quot;" command="SELECT * FROM [VF202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<sst xmlns="http://schemas.openxmlformats.org/spreadsheetml/2006/main" count="6473" uniqueCount="1946">
  <si>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</si>
  <si>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</si>
  <si>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</si>
  <si>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</si>
  <si>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</si>
  <si>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</si>
  <si>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</si>
  <si>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</si>
  <si>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</si>
  <si>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</si>
  <si>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</si>
  <si>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</si>
  <si>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</si>
  <si>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</si>
  <si>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</si>
  <si>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</si>
  <si>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</si>
  <si>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</si>
  <si>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</si>
  <si>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</si>
  <si>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</si>
  <si>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</si>
  <si>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</si>
  <si>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</si>
  <si>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</si>
  <si>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</si>
  <si>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</si>
  <si>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</si>
  <si>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</si>
  <si>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</si>
  <si>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</si>
  <si>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</si>
  <si>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</si>
  <si>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</si>
  <si>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</si>
  <si>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</si>
  <si>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</si>
  <si>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</si>
  <si>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</si>
  <si>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</si>
  <si>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</si>
  <si>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</si>
  <si>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</si>
  <si>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</si>
  <si>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</si>
  <si>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</si>
  <si>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</si>
  <si>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</si>
  <si>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</si>
  <si>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</si>
  <si>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</si>
  <si>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</si>
  <si>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</si>
  <si>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</si>
  <si>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</si>
  <si>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</si>
  <si>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</si>
  <si>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</si>
  <si>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</si>
  <si>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</si>
  <si>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</si>
  <si>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</si>
  <si>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</si>
  <si>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</si>
  <si>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</si>
  <si>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</si>
  <si>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</si>
  <si>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</si>
  <si>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</si>
  <si>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</si>
  <si>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</si>
  <si>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</si>
  <si>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</si>
  <si>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</si>
  <si>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</si>
  <si>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</si>
  <si>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</si>
  <si>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</si>
  <si>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</si>
  <si>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CNVC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</si>
  <si>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</si>
  <si>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</si>
  <si>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</si>
  <si>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</si>
  <si>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</si>
  <si>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</si>
  <si>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</si>
  <si>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</si>
  <si>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</si>
  <si>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</si>
  <si>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</si>
  <si>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</si>
  <si>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</si>
  <si>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Pais</t>
  </si>
  <si>
    <t>CGLNM</t>
  </si>
  <si>
    <t>ARG</t>
  </si>
  <si>
    <t>CNAS</t>
  </si>
  <si>
    <t>CNASud</t>
  </si>
  <si>
    <t>CNBB</t>
  </si>
  <si>
    <t>CRR - CNP</t>
  </si>
  <si>
    <t>CNRM - YCCN</t>
  </si>
  <si>
    <t>CRR - CNSA</t>
  </si>
  <si>
    <t>CNSE</t>
  </si>
  <si>
    <t>Cnsi</t>
  </si>
  <si>
    <t>CPNLB</t>
  </si>
  <si>
    <t>CPNLB - C Barrio</t>
  </si>
  <si>
    <t>CRA</t>
  </si>
  <si>
    <t>SC / CRL</t>
  </si>
  <si>
    <t>PER</t>
  </si>
  <si>
    <t>OPTICLINIC/LISOT</t>
  </si>
  <si>
    <t>USA</t>
  </si>
  <si>
    <t>Optinic</t>
  </si>
  <si>
    <t>OptiNic</t>
  </si>
  <si>
    <t>OptiNic-FVI</t>
  </si>
  <si>
    <t>Vero Beach Sailing</t>
  </si>
  <si>
    <t>A07673755</t>
  </si>
  <si>
    <t>Yca</t>
  </si>
  <si>
    <t>PAR</t>
  </si>
  <si>
    <t>NUÑEZ ELISA</t>
  </si>
  <si>
    <t>PARDI BROOKS</t>
  </si>
  <si>
    <t>PARDI HAYDEN</t>
  </si>
  <si>
    <t>GANDY WILLS</t>
  </si>
  <si>
    <t>CADARSO CAROLINA</t>
  </si>
  <si>
    <t>CARRILLO MALAGA SOFIA</t>
  </si>
  <si>
    <t>DODD CHLOE</t>
  </si>
  <si>
    <t>CONLAN JACKSON</t>
  </si>
  <si>
    <t>LLOYD MIA</t>
  </si>
  <si>
    <t>SYKES JANE</t>
  </si>
  <si>
    <t>BRECK RYAN</t>
  </si>
  <si>
    <t>PETERSEN CHRISTIAN</t>
  </si>
  <si>
    <t>PINEDO CHIAPPA LAUTARO</t>
  </si>
  <si>
    <t>LANNIA ENZO</t>
  </si>
  <si>
    <t>SANTIAGO FRANCISCO NICOLÁS</t>
  </si>
  <si>
    <t>ESTEVEZ JUAN IGNACIO</t>
  </si>
  <si>
    <t>SANTOS FEDERICO IGNACIO</t>
  </si>
  <si>
    <t>BOERI DI GIORGIO CAMILO</t>
  </si>
  <si>
    <t>SAVIOLI BIANCA</t>
  </si>
  <si>
    <t>GULLO EMILIA</t>
  </si>
  <si>
    <t>PERROTTA JUAN CRUZ</t>
  </si>
  <si>
    <t>JÄGER FACUNDO</t>
  </si>
  <si>
    <t>PARRINO DANTE</t>
  </si>
  <si>
    <t>AQUINO JUAN MARTIN</t>
  </si>
  <si>
    <t>GRINBLAT DERMGERD TOBIAS</t>
  </si>
  <si>
    <t>BERTANI SIMÓN</t>
  </si>
  <si>
    <t>VOLCO CAMILA</t>
  </si>
  <si>
    <t>FERREIRA VALENTINA</t>
  </si>
  <si>
    <t>PANTANALI GARCIA FELIPE</t>
  </si>
  <si>
    <t>DIAZ BASUALDO BRAIAN</t>
  </si>
  <si>
    <t>ULLUA CAPRE JUANITA</t>
  </si>
  <si>
    <t>AZAR MARIA DOLORES</t>
  </si>
  <si>
    <t>AZZARETTI MILO</t>
  </si>
  <si>
    <t>HANONO LUCIO</t>
  </si>
  <si>
    <t>SLY IAN</t>
  </si>
  <si>
    <t>AROCENA JOACO</t>
  </si>
  <si>
    <t>ORTIZ BEORLEGUI MERCEDES</t>
  </si>
  <si>
    <t>FABRIS SANTIAGO</t>
  </si>
  <si>
    <t>SERAFINI GALO</t>
  </si>
  <si>
    <t>PROPERZI LUCIA</t>
  </si>
  <si>
    <t>BRADLEY INES</t>
  </si>
  <si>
    <t>CUESTAS ASTOR</t>
  </si>
  <si>
    <t>ALDAYA GONZALO</t>
  </si>
  <si>
    <t>FUHRMANN RENATA</t>
  </si>
  <si>
    <t>ORELLA CAROLA</t>
  </si>
  <si>
    <t>ANTONI MANUEL</t>
  </si>
  <si>
    <t>VUGDELIJA EMILIA</t>
  </si>
  <si>
    <t>BARCELÓ LOLA</t>
  </si>
  <si>
    <t>NIEVA QUINTEROS SANTIAGO</t>
  </si>
  <si>
    <t>VIEYTEZ SOFIA</t>
  </si>
  <si>
    <t>DOMINGUEZ ALEJANDRO LEON</t>
  </si>
  <si>
    <t>MAINERO FEDERICO</t>
  </si>
  <si>
    <t>PITTALUGA MARTINA</t>
  </si>
  <si>
    <t>AGUIRRE VALENTINA B.</t>
  </si>
  <si>
    <t>MOLINARI JOSEFINA</t>
  </si>
  <si>
    <t>BIASI MIRANDA</t>
  </si>
  <si>
    <t>GUTIERREZ JUANA</t>
  </si>
  <si>
    <t>BALBUENA FRANCISCO</t>
  </si>
  <si>
    <t>ALBORNOZ JOSEFINA</t>
  </si>
  <si>
    <t>ADLERCREUTZ INÉS</t>
  </si>
  <si>
    <t>REIS DEMARTIN JEAN LUCCA</t>
  </si>
  <si>
    <t>BATTISTINI ELENA</t>
  </si>
  <si>
    <t>GARRO INDIANA</t>
  </si>
  <si>
    <t>CUSINATO SANTIAGO</t>
  </si>
  <si>
    <t>GALEANO URIEL</t>
  </si>
  <si>
    <t>VICENTE AGUSTINA MARIEL</t>
  </si>
  <si>
    <t>CERRATO FRANCISCO</t>
  </si>
  <si>
    <t>LEZANA HELENA</t>
  </si>
  <si>
    <t>GARCIA CANTELI DAMASIA</t>
  </si>
  <si>
    <t>LEMOS VIVIANT AGUSTIN</t>
  </si>
  <si>
    <t>TRAVERÍA ISABEL</t>
  </si>
  <si>
    <t>STESMASZEZUK AROCENA MATIAS</t>
  </si>
  <si>
    <t>STOCIK JOSEFINA LUANA</t>
  </si>
  <si>
    <t>GRIMALDI ISABEL</t>
  </si>
  <si>
    <t>BORLENGHI DIEGO</t>
  </si>
  <si>
    <t>QUEVEDO CIRO VALENTIN</t>
  </si>
  <si>
    <t>RIDELLA FELIPE</t>
  </si>
  <si>
    <t>BALDI ABRIL</t>
  </si>
  <si>
    <t>BOZ JUSTINA</t>
  </si>
  <si>
    <t>KORENDIJ MATILDE</t>
  </si>
  <si>
    <t>KATZ HELENA</t>
  </si>
  <si>
    <t>JENDRYKA BAUTISTA</t>
  </si>
  <si>
    <t>DIANDA FAUSTINA</t>
  </si>
  <si>
    <t>DONO MOYA JOAQUIN</t>
  </si>
  <si>
    <t>GONZALEZ SANTIAGO GASPAR</t>
  </si>
  <si>
    <t>FRASCHINA PILAR</t>
  </si>
  <si>
    <t>DOVAL FELIX</t>
  </si>
  <si>
    <t>BERTONE MARCO AUGUSTO</t>
  </si>
  <si>
    <t>RONCHI NICOLÁS AUGUSTO</t>
  </si>
  <si>
    <t>VIALE SANTIAGO</t>
  </si>
  <si>
    <t>COZAR NICOLAS</t>
  </si>
  <si>
    <t>CARANTI ISABEL</t>
  </si>
  <si>
    <t>GALEANO CELINA MARÍA</t>
  </si>
  <si>
    <t>HARIRI FELIPE</t>
  </si>
  <si>
    <t>COROMINAS MAXIMO</t>
  </si>
  <si>
    <t>GENTILI IGNACIO</t>
  </si>
  <si>
    <t>DELEO CLARA</t>
  </si>
  <si>
    <t>RODRIGUEZ THEVENON VALENTIN</t>
  </si>
  <si>
    <t>LÓPEZ BUSTOS NURIA</t>
  </si>
  <si>
    <t>CALABRESE FRANCISCO</t>
  </si>
  <si>
    <t>STABILE MARCOS</t>
  </si>
  <si>
    <t>VÁZQUEZ DEL CAMPO FERMÍN</t>
  </si>
  <si>
    <t>MAFFEI VALENTINA</t>
  </si>
  <si>
    <t>LOZANO BARTOLOME</t>
  </si>
  <si>
    <t>JAIMOVICH LANDEO THAYA</t>
  </si>
  <si>
    <t>MASSA GALLI VALENTIN</t>
  </si>
  <si>
    <t>LÓPEZ FRACCHIA TOMÁS</t>
  </si>
  <si>
    <t>DE BAGGE LAUTARO JULIÁN</t>
  </si>
  <si>
    <t>BOERI DI GIORGIO LUCAS</t>
  </si>
  <si>
    <t>BARCELÓ AIMÈ</t>
  </si>
  <si>
    <t>LOPEZ OBEJERO TANIA</t>
  </si>
  <si>
    <t>LACCHINI FAUSTO</t>
  </si>
  <si>
    <t>DE BERNARDIS GAEL</t>
  </si>
  <si>
    <t>VIEYTEZ MARTIN</t>
  </si>
  <si>
    <t>CASTELARI RIVAS GUILLERMINA</t>
  </si>
  <si>
    <t>SANTORO CALVI LUCIA</t>
  </si>
  <si>
    <t>PECIÑA GUALDONI LUCIA</t>
  </si>
  <si>
    <t>DE VALAIS JUAN CRUZ</t>
  </si>
  <si>
    <t>GODOY RENATA</t>
  </si>
  <si>
    <t>MUSUMECI LUCIA</t>
  </si>
  <si>
    <t>SACCHI HILARIO</t>
  </si>
  <si>
    <t>CICHOWOLSKI MANUEL</t>
  </si>
  <si>
    <t>GHERGHI LARA</t>
  </si>
  <si>
    <t>ZABALA RODRIGO</t>
  </si>
  <si>
    <t>VESPERINI TIZIANO</t>
  </si>
  <si>
    <t>WEIR SOFIA</t>
  </si>
  <si>
    <t>KATZ SIMON</t>
  </si>
  <si>
    <t>FUNES DE RIOJA LUCIA</t>
  </si>
  <si>
    <t>RAINERI TAVERNA NINA</t>
  </si>
  <si>
    <t>BOUVIER OLIVIA</t>
  </si>
  <si>
    <t>CARRETTO JOAQUIN</t>
  </si>
  <si>
    <t>LUIS JUAN FELIPE</t>
  </si>
  <si>
    <t>ROSSO JUAN IGNACIO</t>
  </si>
  <si>
    <t>PERICAZ ESTEVEZ BENJAMIN</t>
  </si>
  <si>
    <t>D’OTTAVIO MARÍA EMILIA</t>
  </si>
  <si>
    <t>MAGGI DANTE</t>
  </si>
  <si>
    <t>BIELER MARIA EMILIA</t>
  </si>
  <si>
    <t>CICHOWOLSKI SANTIAGO</t>
  </si>
  <si>
    <t>GIBERT FERMIN</t>
  </si>
  <si>
    <t>D’OTTAVIO BAUTISTA</t>
  </si>
  <si>
    <t>PIERSON GUIDO</t>
  </si>
  <si>
    <t>MIREY JOSEFINA</t>
  </si>
  <si>
    <t>LUQUE BAUTISTA</t>
  </si>
  <si>
    <t>CALLACI LUCIO</t>
  </si>
  <si>
    <t>MUSUMECI ENZO</t>
  </si>
  <si>
    <t>SANER TOMMY</t>
  </si>
  <si>
    <t>BIZZOZERO TOMÁS</t>
  </si>
  <si>
    <t>DOMINGUEZ CATALINA</t>
  </si>
  <si>
    <t>COZAR GIULIANI PALOMA</t>
  </si>
  <si>
    <t>VIDELA TEJO YAGO</t>
  </si>
  <si>
    <t>BEARZOTTI PEDRO</t>
  </si>
  <si>
    <t>LUQUE DELFINA</t>
  </si>
  <si>
    <t>PROPERZI JUAN SEBASTIAN</t>
  </si>
  <si>
    <t>ROMERO LUCÍA</t>
  </si>
  <si>
    <t>PICHETTI DONATO</t>
  </si>
  <si>
    <t>BOERI DI GIORGIO MATEO</t>
  </si>
  <si>
    <t>MAFFEI CONSTANTINO</t>
  </si>
  <si>
    <t>KRENEK FRANCISCO</t>
  </si>
  <si>
    <t>ARANDA ALLEGRA JULIANA</t>
  </si>
  <si>
    <t>BRACCO JUSTO</t>
  </si>
  <si>
    <t>MORENO MANUEL</t>
  </si>
  <si>
    <t>BALBUENA CAYETANA</t>
  </si>
  <si>
    <t>PANASCI INE</t>
  </si>
  <si>
    <t>HARIRI PEDRO</t>
  </si>
  <si>
    <t>PASSARELLI FELIPE</t>
  </si>
  <si>
    <t>BARUTTA MATEO</t>
  </si>
  <si>
    <t>BARUTTA FRANCO</t>
  </si>
  <si>
    <t>PRAT JUAN MARTIN</t>
  </si>
  <si>
    <t>CHASMANN LORENZO</t>
  </si>
  <si>
    <t>MANRIQUE GASME LUCÍA</t>
  </si>
  <si>
    <t>GUILLE MATEO</t>
  </si>
  <si>
    <t>FEBRÉ PRIETO FEDERICO</t>
  </si>
  <si>
    <t>GONZALEZ NEGRI IMANOL</t>
  </si>
  <si>
    <t>GARCIA LABORDE CAMILA</t>
  </si>
  <si>
    <t>JENDRYKA JUANA</t>
  </si>
  <si>
    <t>VILLAMARIN EMA</t>
  </si>
  <si>
    <t>PADILLA NACHO</t>
  </si>
  <si>
    <t>ZORRAQUIN FACUNDO</t>
  </si>
  <si>
    <t>MONES RAFAEL</t>
  </si>
  <si>
    <t>MONES FÉLIX</t>
  </si>
  <si>
    <t>MORTEO TOMÁS</t>
  </si>
  <si>
    <t>LOUREYRO MORGENSTERN LISANDRO</t>
  </si>
  <si>
    <t>CARRETTO JUANA</t>
  </si>
  <si>
    <t>CALVO TOMÁS</t>
  </si>
  <si>
    <t>PANTIN LUJAN AGUSTINA</t>
  </si>
  <si>
    <t>PANASCI NACHO</t>
  </si>
  <si>
    <t>DOMINGUEZ FACUNDO</t>
  </si>
  <si>
    <t>HERNÁNDEZ INÉS</t>
  </si>
  <si>
    <t>GONZALEZ FELIPE</t>
  </si>
  <si>
    <t>FERREYRA VALENTINA</t>
  </si>
  <si>
    <t>GAUNA JULIAN</t>
  </si>
  <si>
    <t>GONZÁLEZ VILLALBA FELIPE</t>
  </si>
  <si>
    <t>BLAS FELIPE</t>
  </si>
  <si>
    <t>MUZZIO AMBAR</t>
  </si>
  <si>
    <t>COSTA URQUIZA MARCOS</t>
  </si>
  <si>
    <t>MOLINARI TOMAS</t>
  </si>
  <si>
    <t>VALCI CATALINA</t>
  </si>
  <si>
    <t>BECERRA DELFINA</t>
  </si>
  <si>
    <t>LUEG THIAGO</t>
  </si>
  <si>
    <t>ROCCATAGLIATA LOLO</t>
  </si>
  <si>
    <t>PICHETTI GINO</t>
  </si>
  <si>
    <t>GIULIANI ANTONIA</t>
  </si>
  <si>
    <t>TESONE DELFINA</t>
  </si>
  <si>
    <t>FIGUEROA JOAQUIN</t>
  </si>
  <si>
    <t>LORENZINI FRANCISCO</t>
  </si>
  <si>
    <t>FIGUEROA JUAN BAUTISTA</t>
  </si>
  <si>
    <t>PEREIRO BAUTISTA</t>
  </si>
  <si>
    <t>ASTOUL GASTÓN FÉLIX</t>
  </si>
  <si>
    <t>PALACIO CANTO AGUSTIN</t>
  </si>
  <si>
    <t>POGGIO SANTIAGO</t>
  </si>
  <si>
    <t>DONOFRIO FREYTES JANKO</t>
  </si>
  <si>
    <t>LENZETTI COLIN EMMA</t>
  </si>
  <si>
    <t>CASTEX CATALINA</t>
  </si>
  <si>
    <t>PANASCI TINTIN</t>
  </si>
  <si>
    <t>FOLGUERA SILVIO</t>
  </si>
  <si>
    <t>WENZEL VALENTINO</t>
  </si>
  <si>
    <t>TEJADA IBÁÑEZ MÁXIMO SEBASTIÁN</t>
  </si>
  <si>
    <t>MESSINA MILO</t>
  </si>
  <si>
    <t>LLAURÓ FELIPE</t>
  </si>
  <si>
    <t>GÓMEZ CATALINA</t>
  </si>
  <si>
    <t>DE BERNARDIS MÍA</t>
  </si>
  <si>
    <t>BIZZOZERO LUCILA</t>
  </si>
  <si>
    <t>ZABALA PILAR</t>
  </si>
  <si>
    <t>PALMESE FRANCISCO</t>
  </si>
  <si>
    <t>SARAVÍ SANTIAGO</t>
  </si>
  <si>
    <t>PIERSON DANTE</t>
  </si>
  <si>
    <t>Timonel</t>
  </si>
  <si>
    <t>BELARDI DE LEON AMELIA MATEA</t>
  </si>
  <si>
    <t>Rank</t>
  </si>
  <si>
    <t>R1</t>
  </si>
  <si>
    <t>R2</t>
  </si>
  <si>
    <t>R3</t>
  </si>
  <si>
    <t>Total</t>
  </si>
  <si>
    <t>Nett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</si>
  <si>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</si>
  <si>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</si>
  <si>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</si>
  <si>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</si>
  <si>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</si>
  <si>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</si>
  <si>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</si>
  <si>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</si>
  <si>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</si>
  <si>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</si>
  <si>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</si>
  <si>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</si>
  <si>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</si>
  <si>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</si>
  <si>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</si>
  <si>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</si>
  <si>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17th</t>
  </si>
  <si>
    <t>18th</t>
  </si>
  <si>
    <t>19th</t>
  </si>
  <si>
    <t>4 RDG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</si>
  <si>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</si>
  <si>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</si>
  <si>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</si>
  <si>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</si>
  <si>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</si>
  <si>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</si>
  <si>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</si>
  <si>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</si>
  <si>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</si>
  <si>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</si>
  <si>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</si>
  <si>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</si>
  <si>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</si>
  <si>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</si>
  <si>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</si>
  <si>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</si>
  <si>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</si>
  <si>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</si>
  <si>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</si>
  <si>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</si>
  <si>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</si>
  <si>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</si>
  <si>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</si>
  <si>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</si>
  <si>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</si>
  <si>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</si>
  <si>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</si>
  <si>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</si>
  <si>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</si>
  <si>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</si>
  <si>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</si>
  <si>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51st</t>
  </si>
  <si>
    <t>52nd</t>
  </si>
  <si>
    <t>53rd</t>
  </si>
  <si>
    <t>54th</t>
  </si>
  <si>
    <t>55th</t>
  </si>
  <si>
    <t>56th</t>
  </si>
  <si>
    <t>57th</t>
  </si>
  <si>
    <t>58th</t>
  </si>
  <si>
    <t>59th</t>
  </si>
  <si>
    <t>60th</t>
  </si>
  <si>
    <t>61st</t>
  </si>
  <si>
    <t>62nd</t>
  </si>
  <si>
    <t>63rd</t>
  </si>
  <si>
    <t>64th</t>
  </si>
  <si>
    <t>65th</t>
  </si>
  <si>
    <t>66th</t>
  </si>
  <si>
    <t>67th</t>
  </si>
  <si>
    <t>68th</t>
  </si>
  <si>
    <t>69th</t>
  </si>
  <si>
    <t>70th</t>
  </si>
  <si>
    <t>71st</t>
  </si>
  <si>
    <t>72nd</t>
  </si>
  <si>
    <t>73rd</t>
  </si>
  <si>
    <t>74th</t>
  </si>
  <si>
    <t>75th</t>
  </si>
  <si>
    <t>76th</t>
  </si>
  <si>
    <t>77th</t>
  </si>
  <si>
    <t>78th</t>
  </si>
  <si>
    <t>79th</t>
  </si>
  <si>
    <t>80th</t>
  </si>
  <si>
    <t>77 BFD</t>
  </si>
  <si>
    <t>81st</t>
  </si>
  <si>
    <t>82nd</t>
  </si>
  <si>
    <t>83rd</t>
  </si>
  <si>
    <t>84th</t>
  </si>
  <si>
    <t>85th</t>
  </si>
  <si>
    <t>86th</t>
  </si>
  <si>
    <t>87th</t>
  </si>
  <si>
    <t>88th</t>
  </si>
  <si>
    <t>77 DNC</t>
  </si>
  <si>
    <t>89th</t>
  </si>
  <si>
    <t>90th</t>
  </si>
  <si>
    <t>91st</t>
  </si>
  <si>
    <t>92nd</t>
  </si>
  <si>
    <t>93rd</t>
  </si>
  <si>
    <t>94th</t>
  </si>
  <si>
    <t>95th</t>
  </si>
  <si>
    <t>96th</t>
  </si>
  <si>
    <t>97th</t>
  </si>
  <si>
    <t>98th</t>
  </si>
  <si>
    <t>99th</t>
  </si>
  <si>
    <t>100th</t>
  </si>
  <si>
    <t>101st</t>
  </si>
  <si>
    <t>77 DSQ</t>
  </si>
  <si>
    <t>102nd</t>
  </si>
  <si>
    <t>103rd</t>
  </si>
  <si>
    <t>104th</t>
  </si>
  <si>
    <t>105th</t>
  </si>
  <si>
    <t>77 UFD</t>
  </si>
  <si>
    <t>106th</t>
  </si>
  <si>
    <t>107th</t>
  </si>
  <si>
    <t>108th</t>
  </si>
  <si>
    <t>109th</t>
  </si>
  <si>
    <t>110th</t>
  </si>
  <si>
    <t>111th</t>
  </si>
  <si>
    <t>112th</t>
  </si>
  <si>
    <t>113th</t>
  </si>
  <si>
    <t>114th</t>
  </si>
  <si>
    <t>115th</t>
  </si>
  <si>
    <t>116th</t>
  </si>
  <si>
    <t>117th</t>
  </si>
  <si>
    <t>118th</t>
  </si>
  <si>
    <t>119th</t>
  </si>
  <si>
    <t>120th</t>
  </si>
  <si>
    <t>121st</t>
  </si>
  <si>
    <t>122nd</t>
  </si>
  <si>
    <t>123rd</t>
  </si>
  <si>
    <t>124th</t>
  </si>
  <si>
    <t>125th</t>
  </si>
  <si>
    <t>126th</t>
  </si>
  <si>
    <t>127th</t>
  </si>
  <si>
    <t>128th</t>
  </si>
  <si>
    <t>129th</t>
  </si>
  <si>
    <t>130th</t>
  </si>
  <si>
    <t>131st</t>
  </si>
  <si>
    <t>132nd</t>
  </si>
  <si>
    <t>133rd</t>
  </si>
  <si>
    <t>134th</t>
  </si>
  <si>
    <t>135th</t>
  </si>
  <si>
    <t>136th</t>
  </si>
  <si>
    <t>137th</t>
  </si>
  <si>
    <t>138th</t>
  </si>
  <si>
    <t>139th</t>
  </si>
  <si>
    <t>140th</t>
  </si>
  <si>
    <t>141st</t>
  </si>
  <si>
    <t>142nd</t>
  </si>
  <si>
    <t>143rd</t>
  </si>
  <si>
    <t>144th</t>
  </si>
  <si>
    <t>145th</t>
  </si>
  <si>
    <t>146th</t>
  </si>
  <si>
    <t>147th</t>
  </si>
  <si>
    <t>148th</t>
  </si>
  <si>
    <t>149th</t>
  </si>
  <si>
    <t>150th</t>
  </si>
  <si>
    <t>151st</t>
  </si>
  <si>
    <t>152nd</t>
  </si>
  <si>
    <t>153rd</t>
  </si>
  <si>
    <t>154th</t>
  </si>
  <si>
    <t>155th</t>
  </si>
  <si>
    <t>156th</t>
  </si>
  <si>
    <t>157th</t>
  </si>
  <si>
    <t>158th</t>
  </si>
  <si>
    <t>159th</t>
  </si>
  <si>
    <t>160th</t>
  </si>
  <si>
    <t>161st</t>
  </si>
  <si>
    <t>162nd</t>
  </si>
  <si>
    <t>163rd</t>
  </si>
  <si>
    <t>164th</t>
  </si>
  <si>
    <t>165th</t>
  </si>
  <si>
    <t>166th</t>
  </si>
  <si>
    <t>167th</t>
  </si>
  <si>
    <t>168th</t>
  </si>
  <si>
    <t>169th</t>
  </si>
  <si>
    <t>170th</t>
  </si>
  <si>
    <t>171st</t>
  </si>
  <si>
    <t>172nd</t>
  </si>
  <si>
    <t>173rd</t>
  </si>
  <si>
    <t>174th</t>
  </si>
  <si>
    <t>175th</t>
  </si>
  <si>
    <t>176th</t>
  </si>
  <si>
    <t>177th</t>
  </si>
  <si>
    <t>178th</t>
  </si>
  <si>
    <t>179th</t>
  </si>
  <si>
    <t>180th</t>
  </si>
  <si>
    <t>181st</t>
  </si>
  <si>
    <t>182nd</t>
  </si>
  <si>
    <t>183rd</t>
  </si>
  <si>
    <t>184th</t>
  </si>
  <si>
    <t>185th</t>
  </si>
  <si>
    <t>186th</t>
  </si>
  <si>
    <t>77 DNF</t>
  </si>
  <si>
    <t>187th</t>
  </si>
  <si>
    <t>188th</t>
  </si>
  <si>
    <t>189th</t>
  </si>
  <si>
    <t>190th</t>
  </si>
  <si>
    <t>191st</t>
  </si>
  <si>
    <t>192nd</t>
  </si>
  <si>
    <t>193rd</t>
  </si>
  <si>
    <t>194th</t>
  </si>
  <si>
    <t>195th</t>
  </si>
  <si>
    <t>196th</t>
  </si>
  <si>
    <t>197th</t>
  </si>
  <si>
    <t>198th</t>
  </si>
  <si>
    <t>56 SP1</t>
  </si>
  <si>
    <t>60 SP1</t>
  </si>
  <si>
    <t>199th</t>
  </si>
  <si>
    <t>200th</t>
  </si>
  <si>
    <t>201st</t>
  </si>
  <si>
    <t>202nd</t>
  </si>
  <si>
    <t>203rd</t>
  </si>
  <si>
    <t>204th</t>
  </si>
  <si>
    <t>205th</t>
  </si>
  <si>
    <t>64 SP1</t>
  </si>
  <si>
    <t>68 SP1</t>
  </si>
  <si>
    <t>65 SP1</t>
  </si>
  <si>
    <t>206th</t>
  </si>
  <si>
    <t>207th</t>
  </si>
  <si>
    <t>208th</t>
  </si>
  <si>
    <t>209th</t>
  </si>
  <si>
    <t>210th</t>
  </si>
  <si>
    <t>211th</t>
  </si>
  <si>
    <t>212th</t>
  </si>
  <si>
    <t>213th</t>
  </si>
  <si>
    <t>214th</t>
  </si>
  <si>
    <t>215th</t>
  </si>
  <si>
    <t>216th</t>
  </si>
  <si>
    <t>217th</t>
  </si>
  <si>
    <t>218th</t>
  </si>
  <si>
    <t>219th</t>
  </si>
  <si>
    <t>Sailwave Scoring Software 2.34.00</t>
  </si>
  <si>
    <t>www.sailwave.com</t>
  </si>
  <si>
    <t>Fermín Vázquez del Campo</t>
  </si>
  <si>
    <t>Felipe Blas</t>
  </si>
  <si>
    <t>Ferreyra Valentina</t>
  </si>
  <si>
    <t>Maria Dolores Azar</t>
  </si>
  <si>
    <t>Máximo Sebastián Tejada Ibáñez</t>
  </si>
  <si>
    <t>francisco calabrese</t>
  </si>
  <si>
    <t>HILARIO SACCHI</t>
  </si>
  <si>
    <t>Aimé Barceló</t>
  </si>
  <si>
    <t>Facundo Domínguez</t>
  </si>
  <si>
    <t>Juan Ignacio Rosso</t>
  </si>
  <si>
    <t>Antonia Giuliani</t>
  </si>
  <si>
    <t>Lucía Manrique Gasme</t>
  </si>
  <si>
    <t>Thaya Jaimovich Landeo</t>
  </si>
  <si>
    <t>Allegra Juliana Aranda</t>
  </si>
  <si>
    <t>Inés Hernández</t>
  </si>
  <si>
    <t>Rodrigo Ignacio Zabala</t>
  </si>
  <si>
    <t>Lucia Peciña Gualdoni</t>
  </si>
  <si>
    <t>Felipe González</t>
  </si>
  <si>
    <t>Milo Azzaretti</t>
  </si>
  <si>
    <t>Lucas Boeri Di Giorgio</t>
  </si>
  <si>
    <t>Rafael Mones Ruiz</t>
  </si>
  <si>
    <t>Felix Mones Ruiz</t>
  </si>
  <si>
    <t>María Emilia D’Ottavio</t>
  </si>
  <si>
    <t>Lucía Musumeci</t>
  </si>
  <si>
    <t>Galo Serafini</t>
  </si>
  <si>
    <t>Lola Barceló</t>
  </si>
  <si>
    <t>Isabel Caranti</t>
  </si>
  <si>
    <t>Lucia Santoro Calvi</t>
  </si>
  <si>
    <t>ASTOR CUESTAS</t>
  </si>
  <si>
    <t>Olivia Bouvier</t>
  </si>
  <si>
    <t>Santiago Nievas Quinteros</t>
  </si>
  <si>
    <t>Josefina Mirey</t>
  </si>
  <si>
    <t>BRAIAN NAHUEL EZEQUIEL DIAZ BASUALDO</t>
  </si>
  <si>
    <t>MAXIMO COROMINAS</t>
  </si>
  <si>
    <t>MATEO GUILLE</t>
  </si>
  <si>
    <t>Marcos Costa Urquiza</t>
  </si>
  <si>
    <t>Ian Sly</t>
  </si>
  <si>
    <t>Martina Pittaluga</t>
  </si>
  <si>
    <t>Lucio Hanono</t>
  </si>
  <si>
    <t>Felipe Pantanali Garcia</t>
  </si>
  <si>
    <t>Pedro Hariri</t>
  </si>
  <si>
    <t>Gaston Felix Astoul</t>
  </si>
  <si>
    <t>Lorenzo Roccatagliata</t>
  </si>
  <si>
    <t>Fausto Lacchini</t>
  </si>
  <si>
    <t>Juan Felipe Luis</t>
  </si>
  <si>
    <t>Federico Febré Prieto</t>
  </si>
  <si>
    <t>Clara Deleo</t>
  </si>
  <si>
    <t>Catalina Jazmin Dominguez</t>
  </si>
  <si>
    <t>Gonzalo Eduardo Aldaya</t>
  </si>
  <si>
    <t>Paloma Cozar Giuliani</t>
  </si>
  <si>
    <t>RENATA FUHRMANN</t>
  </si>
  <si>
    <t>Nicolás Augusto Ronchi</t>
  </si>
  <si>
    <t>juanita ullua capre</t>
  </si>
  <si>
    <t>Juan Agustin Panasci Dubra</t>
  </si>
  <si>
    <t>Silvio Folguera</t>
  </si>
  <si>
    <t>Santiago Cichowolski Iribas</t>
  </si>
  <si>
    <t>CONSTATINO MAFFEI</t>
  </si>
  <si>
    <t>Lara Gherghi Azabal</t>
  </si>
  <si>
    <t>LAUTARO JULIAN DE BAGGE</t>
  </si>
  <si>
    <t>Gael Martín De Bernardis</t>
  </si>
  <si>
    <t>Tomas Bizzozero Simone</t>
  </si>
  <si>
    <t>Tomas Saner</t>
  </si>
  <si>
    <t>Valentina María Maffei</t>
  </si>
  <si>
    <t>Juana Jendrika</t>
  </si>
  <si>
    <t>EMILIA VUGDELIJA</t>
  </si>
  <si>
    <t>Bautista Pereiro</t>
  </si>
  <si>
    <t>Fermin Gibert</t>
  </si>
  <si>
    <t>Tomás Calvo</t>
  </si>
  <si>
    <t>Lisandro Loureyro Morgenstern</t>
  </si>
  <si>
    <t>Francisco Lorenzini</t>
  </si>
  <si>
    <t>Francisco Palmese</t>
  </si>
  <si>
    <t>LUCIA PROPERZI</t>
  </si>
  <si>
    <t>Enzo Musumeci</t>
  </si>
  <si>
    <t>Manuel Antoni</t>
  </si>
  <si>
    <t>Guido Pierson</t>
  </si>
  <si>
    <t>CAROLA ORELLA</t>
  </si>
  <si>
    <t>Juan Ignacio Panasci Dubra</t>
  </si>
  <si>
    <t>AGUSTIN PALACIO CANTO</t>
  </si>
  <si>
    <t>FRANCISCO KRENEK</t>
  </si>
  <si>
    <t>Martin Vieytez</t>
  </si>
  <si>
    <t>Santiago Saraví</t>
  </si>
  <si>
    <t>Santiago Poggio</t>
  </si>
  <si>
    <t>Marcos Stabile</t>
  </si>
  <si>
    <t>Miranda Biasi</t>
  </si>
  <si>
    <t>Nuria López Bustos</t>
  </si>
  <si>
    <t>Camila Garcia Laborde</t>
  </si>
  <si>
    <t>FEDERICO MAINERO</t>
  </si>
  <si>
    <t>Maria Ines Panasci Dubra</t>
  </si>
  <si>
    <t>Juana Carretto</t>
  </si>
  <si>
    <t>Pilar Andrea Zabala</t>
  </si>
  <si>
    <t>Ambar Muzzio</t>
  </si>
  <si>
    <t>DELFINA TESONE</t>
  </si>
  <si>
    <t>Lucila Bizzozero Simone</t>
  </si>
  <si>
    <t>Tania Lopez Obejero</t>
  </si>
  <si>
    <t>Mercedes ORTIZ BEORLEGUI</t>
  </si>
  <si>
    <t>Ignacio José Padilla</t>
  </si>
  <si>
    <t>Bautista D’ottavio</t>
  </si>
  <si>
    <t>Delfina Becerra</t>
  </si>
  <si>
    <t>Thiago Lueg</t>
  </si>
  <si>
    <t>Tomas Lopez Fracchia</t>
  </si>
  <si>
    <t>IGNACIO GENTILI</t>
  </si>
  <si>
    <t>Ines Adlercreutz</t>
  </si>
  <si>
    <t>Yago Videla Tejo</t>
  </si>
  <si>
    <t>Catalina Valci</t>
  </si>
  <si>
    <t>TIZIANO VESPERINI</t>
  </si>
  <si>
    <t>NINA RAINERI TAVERNA</t>
  </si>
  <si>
    <t>Valentina Belén Aguirre</t>
  </si>
  <si>
    <t>Sofia Vieytez</t>
  </si>
  <si>
    <t>AMELIA MATEA BELARDI DE LEON</t>
  </si>
  <si>
    <t>Renata Carmela Godoy Coronel</t>
  </si>
  <si>
    <t>ines Bradley</t>
  </si>
  <si>
    <t>Sofia Weir</t>
  </si>
  <si>
    <t>CELINA MARÍA GALEANO</t>
  </si>
  <si>
    <t>Justo Bracco</t>
  </si>
  <si>
    <t>LORENZO CHASMANN ESPOSITO</t>
  </si>
  <si>
    <t>Joaquín Arocena</t>
  </si>
  <si>
    <t>Ema Villamarin</t>
  </si>
  <si>
    <t>Valentin Massa Galli</t>
  </si>
  <si>
    <t>Benjamin Pericaz Estevez</t>
  </si>
  <si>
    <t>juan bautista figueroa</t>
  </si>
  <si>
    <t>Alejandro Dominguez</t>
  </si>
  <si>
    <t>JULIAN GAUNA</t>
  </si>
  <si>
    <t>Emma Josefina Lenzetti Colin</t>
  </si>
  <si>
    <t>Lucio Callaci</t>
  </si>
  <si>
    <t>JUAN SEBASTIÁN PROPERZI</t>
  </si>
  <si>
    <t>MILO AGUSTIN MESSINA</t>
  </si>
  <si>
    <t>JOAQUIN FIGUEROA</t>
  </si>
  <si>
    <t>Mateo Barutta</t>
  </si>
  <si>
    <t>Franco Barutta</t>
  </si>
  <si>
    <t>Delfina Rosario Luque</t>
  </si>
  <si>
    <t>FACUNDO ZORRAQUIN</t>
  </si>
  <si>
    <t>Mateo Boeri Di Giorgio</t>
  </si>
  <si>
    <t>Cayetana Balbuena</t>
  </si>
  <si>
    <t>Francisco BALBUENA</t>
  </si>
  <si>
    <t>SIMON KATZ</t>
  </si>
  <si>
    <t>Manuel Moreno Panzino</t>
  </si>
  <si>
    <t>Felipe Llauro</t>
  </si>
  <si>
    <t>Lucia Funes de Rioja</t>
  </si>
  <si>
    <t>Janko Adriano D'Onofrio Freytes</t>
  </si>
  <si>
    <t>juan cruz DE VALAIS</t>
  </si>
  <si>
    <t>Bartolome Lozano</t>
  </si>
  <si>
    <t>Lucia Romero</t>
  </si>
  <si>
    <t>SANTIAGO FABRIS</t>
  </si>
  <si>
    <t>Mía Catalina De Bernardis</t>
  </si>
  <si>
    <t>Tomás Molinari</t>
  </si>
  <si>
    <t>Catalina Castex</t>
  </si>
  <si>
    <t>IMANOL GONZALEZ NEGRI</t>
  </si>
  <si>
    <t>Tomas Morteo</t>
  </si>
  <si>
    <t>PEDRO BEARZOTTI</t>
  </si>
  <si>
    <t>Felipe Ezequiel Gonzalez Villalba</t>
  </si>
  <si>
    <t>Luján Agustina Pantin</t>
  </si>
  <si>
    <t>VALENTINO WENZEL</t>
  </si>
  <si>
    <t>Dante Maggi</t>
  </si>
  <si>
    <t>Juana Gutiérrez</t>
  </si>
  <si>
    <t>GUILLERMINA CASTELARI RIVAS</t>
  </si>
  <si>
    <t>Valentin Matias Rodriguez Thevenon</t>
  </si>
  <si>
    <t>Donato Pichetti</t>
  </si>
  <si>
    <t>Josefina Molinari</t>
  </si>
  <si>
    <t>Felipe Passarelli</t>
  </si>
  <si>
    <t>Gino Pichetti</t>
  </si>
  <si>
    <t>Bautista Martín Luque</t>
  </si>
  <si>
    <t>Emilia Bieler</t>
  </si>
  <si>
    <t>Santiago Andres Viale</t>
  </si>
  <si>
    <t>Dante Pierson</t>
  </si>
  <si>
    <t>Manuel Cichowolski Iribas</t>
  </si>
  <si>
    <t>nicolas cozar</t>
  </si>
  <si>
    <t>Catalina Gomez</t>
  </si>
  <si>
    <t>JUAN MARTIN PRAT</t>
  </si>
  <si>
    <t>Felipe Hariri</t>
  </si>
  <si>
    <t>JOAQUIN CARRETTO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</si>
  <si>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</si>
  <si>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</si>
  <si>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</si>
  <si>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</si>
  <si>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</si>
  <si>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</si>
  <si>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</si>
  <si>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</si>
  <si>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</si>
  <si>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</si>
  <si>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</si>
  <si>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</si>
  <si>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</si>
  <si>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220th</t>
  </si>
  <si>
    <t>221st</t>
  </si>
  <si>
    <t>222nd</t>
  </si>
  <si>
    <t>223rd</t>
  </si>
  <si>
    <t>224th</t>
  </si>
  <si>
    <t>UR</t>
  </si>
  <si>
    <t>DE4</t>
  </si>
  <si>
    <t>|=AND(F7&gt;=LARGE($F7:$L7; 1); COUNTIF($F7:F7; F7)=1;$U$7&gt;=1)</t>
  </si>
  <si>
    <t>R8</t>
  </si>
  <si>
    <t>R9</t>
  </si>
  <si>
    <t>R10</t>
  </si>
  <si>
    <t>77 DNE</t>
  </si>
  <si>
    <t>14 SP1</t>
  </si>
  <si>
    <t>18 SP1</t>
  </si>
  <si>
    <t>17 SP1</t>
  </si>
  <si>
    <t>22 SP1</t>
  </si>
  <si>
    <t>12 SP1</t>
  </si>
  <si>
    <t>27 SP1</t>
  </si>
  <si>
    <t>38 SP1</t>
  </si>
  <si>
    <t>24 SP1</t>
  </si>
  <si>
    <t>41 SP1</t>
  </si>
  <si>
    <t>|=VALUE(LEFT(IFERROR(XLOOKUP([@DNI];_SIY[DNI];_SIY[R2]);"78");FIND(" ";IFERROR(XLOOKUP([@DNI];_SIY[DNI];_SIY[R2]);"78")&amp;" ")-1))</t>
  </si>
  <si>
    <t>VESPERINI Tiziano</t>
  </si>
  <si>
    <t>RRC - Rosario Rowing Club</t>
  </si>
  <si>
    <t>MORTEO Tomás</t>
  </si>
  <si>
    <t>YCA - Yacht Club Argentino</t>
  </si>
  <si>
    <t>ZABALA Pilar</t>
  </si>
  <si>
    <t>CUBA - Club Universitario de Buenos Aire</t>
  </si>
  <si>
    <t>LUQUE Bautista</t>
  </si>
  <si>
    <t>YCO - Yacht Club Olivos</t>
  </si>
  <si>
    <t>PROPERZI Lucía</t>
  </si>
  <si>
    <t>HARIRI Felipe</t>
  </si>
  <si>
    <t>BALBUENA Fran</t>
  </si>
  <si>
    <t>CPNLB - Club de Pesca y Náutica Las Barr</t>
  </si>
  <si>
    <t>FIGUEROA Juan Bautista</t>
  </si>
  <si>
    <t>CNMP - Club Náutico Mar del Plata</t>
  </si>
  <si>
    <t>MOLINARI Tomas</t>
  </si>
  <si>
    <t>CVB - Club de Veleros Barlovento</t>
  </si>
  <si>
    <t>BIZZOZERO Lucila</t>
  </si>
  <si>
    <t>COZAR Nicolas</t>
  </si>
  <si>
    <t>D’OTTAVIO Bautista</t>
  </si>
  <si>
    <t>CVR - Club de Velas Rosario</t>
  </si>
  <si>
    <t>VIALE Santiago</t>
  </si>
  <si>
    <t>GÓMEZ Catalina</t>
  </si>
  <si>
    <t>CNSP - Club Náutico San Pedro</t>
  </si>
  <si>
    <t>MAFFEI Valentina</t>
  </si>
  <si>
    <t>PALMESE Francisco</t>
  </si>
  <si>
    <t>YCR - Yacht Club Rosario</t>
  </si>
  <si>
    <t>FIGUEROA Joaquin</t>
  </si>
  <si>
    <t>PROPERZI Juan Sebastian</t>
  </si>
  <si>
    <t>GUTIÉRREZ Juana</t>
  </si>
  <si>
    <t>PANTIN Lujan Agustina</t>
  </si>
  <si>
    <t>VIEYTEZ Martin</t>
  </si>
  <si>
    <t>KATZ Simon</t>
  </si>
  <si>
    <t>GAUNA Julian</t>
  </si>
  <si>
    <t>DONOFRIO FREYTES Janko</t>
  </si>
  <si>
    <t>YCCN - Yacht Club Centro Naval</t>
  </si>
  <si>
    <t>FOLGUERA Silvio</t>
  </si>
  <si>
    <t>WENZEL Valentino</t>
  </si>
  <si>
    <t>CRLP - Club de Regatas La Plata</t>
  </si>
  <si>
    <t>ZORRAQUIN Facundo</t>
  </si>
  <si>
    <t>CNSI - Club Náutico San Isidro</t>
  </si>
  <si>
    <t>DOMINGUEZ Catalina</t>
  </si>
  <si>
    <t>MAINERO Federico</t>
  </si>
  <si>
    <t>MASSA GALLI Valentin</t>
  </si>
  <si>
    <t>VILLAMARIN Ema</t>
  </si>
  <si>
    <t>CALABRESE Francisco</t>
  </si>
  <si>
    <t>GENTILI Ignacio</t>
  </si>
  <si>
    <t>BALBUENA Cayetana</t>
  </si>
  <si>
    <t>CHASMANN Lorenzo</t>
  </si>
  <si>
    <t>CARRETTO Joaquin</t>
  </si>
  <si>
    <t>CRSN - Club de Regatas San Nicolas</t>
  </si>
  <si>
    <t>FUNES DE RIOJA Lucia</t>
  </si>
  <si>
    <t>CUESTAS Astor</t>
  </si>
  <si>
    <t>PICHETTI Gino</t>
  </si>
  <si>
    <t>GONZÁLEZ Felipe</t>
  </si>
  <si>
    <t>PANTANALI Felipe</t>
  </si>
  <si>
    <t>YCC - Yacht Club Corrientes</t>
  </si>
  <si>
    <t>CHI</t>
  </si>
  <si>
    <t>GARCÍA-HUIDOBRO Martín</t>
  </si>
  <si>
    <t>CDCPV - Club Deportivo Colegio Puerto Va</t>
  </si>
  <si>
    <t>GIANNUZZI Ignacio</t>
  </si>
  <si>
    <t>CNSA - Club Náutico Sportivo Avellaneda</t>
  </si>
  <si>
    <t>DOVAL Félix</t>
  </si>
  <si>
    <t>MOLINARI Josefina</t>
  </si>
  <si>
    <t>MONES Rafael</t>
  </si>
  <si>
    <t>KATZ Helena</t>
  </si>
  <si>
    <t>VIEYTEZ Sofia</t>
  </si>
  <si>
    <t>RAINERI TAVERNA Nina</t>
  </si>
  <si>
    <t>VUGDELIJA Emilia</t>
  </si>
  <si>
    <t>CICHOWOLSKI Santiago</t>
  </si>
  <si>
    <t>COROMINAS Maximo</t>
  </si>
  <si>
    <t>CNZ - Club Náutico Zarate</t>
  </si>
  <si>
    <t>PANASCI Tintin</t>
  </si>
  <si>
    <t>PEREZ Martin</t>
  </si>
  <si>
    <t>CNP - Cofradía Náutica del Pacífico</t>
  </si>
  <si>
    <t>PEREZ Vicente</t>
  </si>
  <si>
    <t>MON</t>
  </si>
  <si>
    <t>RUBINELLI Facundo</t>
  </si>
  <si>
    <t>YCM - Yacht Club de Monaco (&amp; YCA)</t>
  </si>
  <si>
    <t>RODRIGUEZ THEVENON Valentin</t>
  </si>
  <si>
    <t>DE BERNARDIS Mía</t>
  </si>
  <si>
    <t>LOUREYRO MORGENSTERN Lisandro</t>
  </si>
  <si>
    <t>FUHRMANN Renata</t>
  </si>
  <si>
    <t>CNA - Club Náutico Albatros</t>
  </si>
  <si>
    <t>GHERGHI Lara</t>
  </si>
  <si>
    <t>CASTRLARI RIVAS Guillermina</t>
  </si>
  <si>
    <t>ROCCATAGLIATA Lolo</t>
  </si>
  <si>
    <t>CALVO Tomás</t>
  </si>
  <si>
    <t>D’OTTAVIO María Emilia</t>
  </si>
  <si>
    <t>BOZ Justina</t>
  </si>
  <si>
    <t>FABRIS Santiago</t>
  </si>
  <si>
    <t>PECIÑA Lucia</t>
  </si>
  <si>
    <t>BLAS Felipe</t>
  </si>
  <si>
    <t>LÓPEZ BUSTOS Nuria</t>
  </si>
  <si>
    <t>TEJADA IBAÑEZ Máximo</t>
  </si>
  <si>
    <t>DE BERNARDIS Gael</t>
  </si>
  <si>
    <t>BAHAMONDEZ MACERA Agustin</t>
  </si>
  <si>
    <t>BEARZOTTI Pedro</t>
  </si>
  <si>
    <t>MANRIQUE GASME Lucia</t>
  </si>
  <si>
    <t>CVSI - Club de Veleros San Isidro</t>
  </si>
  <si>
    <t>BIZZOZERO Tomas</t>
  </si>
  <si>
    <t>PIERSON Dante</t>
  </si>
  <si>
    <t>CRR - Club de Regatas Rosario</t>
  </si>
  <si>
    <t>LUEG Thiago</t>
  </si>
  <si>
    <t>TESONE Delfina</t>
  </si>
  <si>
    <t>PEREIRO Bautista</t>
  </si>
  <si>
    <t>MONES Felix</t>
  </si>
  <si>
    <t>MORENO PANZINO Manuel</t>
  </si>
  <si>
    <t>MESSINA Milo</t>
  </si>
  <si>
    <t>LACCHINI Fausto</t>
  </si>
  <si>
    <t>MORENO Simona</t>
  </si>
  <si>
    <t>SANER Tommy</t>
  </si>
  <si>
    <t>VALCI Catalina</t>
  </si>
  <si>
    <t>BOERI DI GIORGIO Camilo</t>
  </si>
  <si>
    <t>GARCÍA-HUIDOBRO Nicolás</t>
  </si>
  <si>
    <t>NIEVA QUINTROS Santiago</t>
  </si>
  <si>
    <t>GODOY Renata</t>
  </si>
  <si>
    <t>CNP - Club Náutico Paraná</t>
  </si>
  <si>
    <t>MUZZIO Ambar</t>
  </si>
  <si>
    <t>ARANDA Allegra Juliana</t>
  </si>
  <si>
    <t>MAGGI Dante</t>
  </si>
  <si>
    <t>BELARDI DE LEON Amelia Matea</t>
  </si>
  <si>
    <t>VAZQUEZ DEL CAMPO Fermín</t>
  </si>
  <si>
    <t>ORTIZ BEORLEGUI Mercedes</t>
  </si>
  <si>
    <t>PIERSON Guido</t>
  </si>
  <si>
    <t>GONZÁLEZ VILLALBA Felipe</t>
  </si>
  <si>
    <t>MIREY Josefina</t>
  </si>
  <si>
    <t>MUSUMECI Enzo</t>
  </si>
  <si>
    <t>VERGALLO Defina</t>
  </si>
  <si>
    <t>LUQUE Delfina</t>
  </si>
  <si>
    <t>REIS DEMARTIN Jean Lucca</t>
  </si>
  <si>
    <t>ORELLA Carola</t>
  </si>
  <si>
    <t>ZABALA Rodrigo</t>
  </si>
  <si>
    <t>UGARTE Benjamín</t>
  </si>
  <si>
    <t>GALEANO Celina María</t>
  </si>
  <si>
    <t>GONZALEZ NEGRI Imanol</t>
  </si>
  <si>
    <t>DELEO Clara</t>
  </si>
  <si>
    <t>ULLUA CAPRE Juanita</t>
  </si>
  <si>
    <t>BOUVIER Olivia</t>
  </si>
  <si>
    <t>ALEJANDRO Dominguez</t>
  </si>
  <si>
    <t>GARCIA CANTELI Damasia</t>
  </si>
  <si>
    <t>GARCIA LABORDE Cami</t>
  </si>
  <si>
    <t>MUSUMECI Lucía</t>
  </si>
  <si>
    <t>SARAVI Santiago</t>
  </si>
  <si>
    <t>LENZETTI COLIN Emma</t>
  </si>
  <si>
    <t>LANNIA Enzo</t>
  </si>
  <si>
    <t>DE VALAIS Juan Cruz</t>
  </si>
  <si>
    <t>BOERI DI GIORGIO Mateo</t>
  </si>
  <si>
    <t>WEIR Sofia</t>
  </si>
  <si>
    <t>PARRINO Dante</t>
  </si>
  <si>
    <t>KRENEK Francisco</t>
  </si>
  <si>
    <t>CASTEX Catalina</t>
  </si>
  <si>
    <t>LOZANO Bartolome</t>
  </si>
  <si>
    <t>GIULIANI Antonia</t>
  </si>
  <si>
    <t>PANASCI Nacho</t>
  </si>
  <si>
    <t>TRAVERÍA Isabel</t>
  </si>
  <si>
    <t>CUSINATO Santiago</t>
  </si>
  <si>
    <t>PINEDO CHIAPPA Lautaro</t>
  </si>
  <si>
    <t>STABILE Marcos</t>
  </si>
  <si>
    <t>SLY Ian</t>
  </si>
  <si>
    <t>CICHOWOLSKI Manuel</t>
  </si>
  <si>
    <t>PRAT Juan Martin</t>
  </si>
  <si>
    <t>IGLESIAS KUSTER Manuel W</t>
  </si>
  <si>
    <t>CSV&amp;R Club Sanjuanino de Vela Y Remo</t>
  </si>
  <si>
    <t>DONO Joaquín</t>
  </si>
  <si>
    <t>BECERRA Delfina</t>
  </si>
  <si>
    <t>ROMERO Lucia</t>
  </si>
  <si>
    <t>FEBRÉ PRIETO Federico</t>
  </si>
  <si>
    <t>PERICAZ ESTEVEZ Benjamín</t>
  </si>
  <si>
    <t>GOMEZ VOGT Micaela</t>
  </si>
  <si>
    <t>BORLENGHI Diego</t>
  </si>
  <si>
    <t>JENDRYKA Bautista</t>
  </si>
  <si>
    <t>ROONEY Felicitas</t>
  </si>
  <si>
    <t>GONZALEZ Santiago Gaspar</t>
  </si>
  <si>
    <t>PLOU Alma</t>
  </si>
  <si>
    <t>ELKAYAM Gael</t>
  </si>
  <si>
    <t>PALACIO CANTO Agustin</t>
  </si>
  <si>
    <t>BERTONE Marco</t>
  </si>
  <si>
    <t>FERNANDEZ ALONSO Iñaki</t>
  </si>
  <si>
    <t>NIEVA ORELLAN Romeo</t>
  </si>
  <si>
    <t>CPNLB- CBRIO</t>
  </si>
  <si>
    <t>UJUHS Uhu</t>
  </si>
  <si>
    <t>400YCC - Yacht Club Cordoba</t>
  </si>
  <si>
    <t>PEREZ Luciano Vincas</t>
  </si>
  <si>
    <t>PERROTTA Juan Cruz</t>
  </si>
  <si>
    <t>CNAs - Club Nautico Albatros</t>
  </si>
  <si>
    <t>GARRO Indiana</t>
  </si>
  <si>
    <t>MURGIA Matias</t>
  </si>
  <si>
    <t>CNJ - Club Náutico Junin</t>
  </si>
  <si>
    <t>MENDEZ Kevin</t>
  </si>
  <si>
    <t>VICENTE Agustina Mariel</t>
  </si>
  <si>
    <t>LEMOS VIVIANT Agustin</t>
  </si>
  <si>
    <t>STELMASZEZUK Matias</t>
  </si>
  <si>
    <t>BERTANI Simón</t>
  </si>
  <si>
    <t>GALEAZZI Francesco</t>
  </si>
  <si>
    <t>VOLCO Camila</t>
  </si>
  <si>
    <t>SACCHI Hilario</t>
  </si>
  <si>
    <t>BARCELÓ Lola</t>
  </si>
  <si>
    <t>PITTALUGA Martina</t>
  </si>
  <si>
    <t>LUIS Juan Felipe</t>
  </si>
  <si>
    <t>DIAZ BASUALDO Braian</t>
  </si>
  <si>
    <t>AZAR Maria Dolores</t>
  </si>
  <si>
    <t>HANONO Lucio</t>
  </si>
  <si>
    <t>AROCENA Joaco</t>
  </si>
  <si>
    <t>JAIMOVICH LANDEO Thaya</t>
  </si>
  <si>
    <t>LOPEZ FRACCHIA Tomás</t>
  </si>
  <si>
    <t>DE BAGGE Lautaro Julián</t>
  </si>
  <si>
    <t>BOERI DI GIORGIO Lucas</t>
  </si>
  <si>
    <t>LÓPEZ OBEJERO Tania</t>
  </si>
  <si>
    <t>BRADLEY Ines</t>
  </si>
  <si>
    <t>SANTORO CALVI Lucia</t>
  </si>
  <si>
    <t>ROSSO Juan Ignacio</t>
  </si>
  <si>
    <t>AGUIRRE Valentina B.</t>
  </si>
  <si>
    <t>BIELER Emilia</t>
  </si>
  <si>
    <t>COZAR GIULIANI Paloma</t>
  </si>
  <si>
    <t>VIDELA TEJO Yago</t>
  </si>
  <si>
    <t>PICHETTI Donato</t>
  </si>
  <si>
    <t>MAFFEI Constantino</t>
  </si>
  <si>
    <t>BIASI Miranda</t>
  </si>
  <si>
    <t>BRACCO Justo</t>
  </si>
  <si>
    <t>PANASCI Ine</t>
  </si>
  <si>
    <t>GUILLE Mateo</t>
  </si>
  <si>
    <t>RONCHI Nicolas Augusto</t>
  </si>
  <si>
    <t>CARANTI Isabel</t>
  </si>
  <si>
    <t>JENDRYKA Juana</t>
  </si>
  <si>
    <t>PADILLA Nacho</t>
  </si>
  <si>
    <t>COSTA URQUIZA Marcos</t>
  </si>
  <si>
    <t>HARIRI Pedro</t>
  </si>
  <si>
    <t>CARRETTO Juana</t>
  </si>
  <si>
    <t>HERNANDEZ Inés</t>
  </si>
  <si>
    <t>FERREYRA Valentina</t>
  </si>
  <si>
    <t>LORENZINI Francisco</t>
  </si>
  <si>
    <t>ASTOUL Gastón Félix</t>
  </si>
  <si>
    <t>POGGIO Santiago</t>
  </si>
  <si>
    <t>CALLACI Lucio</t>
  </si>
  <si>
    <t>ADLERCREUTZ Ines</t>
  </si>
  <si>
    <t>LLAURÓ Felipe</t>
  </si>
  <si>
    <t>70 DNF</t>
  </si>
  <si>
    <t>70 DNC</t>
  </si>
  <si>
    <t>70 DSQ</t>
  </si>
  <si>
    <t>70 UFD</t>
  </si>
  <si>
    <t>70 DNE</t>
  </si>
  <si>
    <t>R11</t>
  </si>
  <si>
    <t>R12</t>
  </si>
  <si>
    <t>R13</t>
  </si>
  <si>
    <t>70 BFD</t>
  </si>
  <si>
    <t>LEZANA Helena</t>
  </si>
  <si>
    <t>R14</t>
  </si>
  <si>
    <t>R15</t>
  </si>
  <si>
    <t>R16</t>
  </si>
  <si>
    <t>207.6</t>
  </si>
  <si>
    <t>35 RDG</t>
  </si>
  <si>
    <t>Sail #</t>
  </si>
  <si>
    <t>Sailor</t>
  </si>
  <si>
    <t>Subgroup</t>
  </si>
  <si>
    <t>From</t>
  </si>
  <si>
    <t>1</t>
  </si>
  <si>
    <t>4049</t>
  </si>
  <si>
    <t>Francisco Krenek</t>
  </si>
  <si>
    <t>S</t>
  </si>
  <si>
    <t>4165</t>
  </si>
  <si>
    <t>Tomas Molinari</t>
  </si>
  <si>
    <t>4106</t>
  </si>
  <si>
    <t>Nicolas Cozar</t>
  </si>
  <si>
    <t>AOA - EURO</t>
  </si>
  <si>
    <t>Lorenzo Chasmann</t>
  </si>
  <si>
    <t>2</t>
  </si>
  <si>
    <t>3712</t>
  </si>
  <si>
    <t>Lautaro De Bagge</t>
  </si>
  <si>
    <t>4092</t>
  </si>
  <si>
    <t>Francisco Balbuena</t>
  </si>
  <si>
    <t>3</t>
  </si>
  <si>
    <t>4057</t>
  </si>
  <si>
    <t>Justo Bracco</t>
  </si>
  <si>
    <t>4278</t>
  </si>
  <si>
    <t>Uma Creixell</t>
  </si>
  <si>
    <t>EXT</t>
  </si>
  <si>
    <t>VDS</t>
  </si>
  <si>
    <t>4316</t>
  </si>
  <si>
    <t>Joaquim Krauspenhar</t>
  </si>
  <si>
    <t>ICSC</t>
  </si>
  <si>
    <t>4</t>
  </si>
  <si>
    <t>4061</t>
  </si>
  <si>
    <t>Cayetana Balbuena</t>
  </si>
  <si>
    <t>4130</t>
  </si>
  <si>
    <t>Felipe Hariri</t>
  </si>
  <si>
    <t>AOA- EURO</t>
  </si>
  <si>
    <t>4011</t>
  </si>
  <si>
    <t>Bautista Luque</t>
  </si>
  <si>
    <t>AOA - MUNDIAL</t>
  </si>
  <si>
    <t>5</t>
  </si>
  <si>
    <t>3933</t>
  </si>
  <si>
    <t>Simon Katz</t>
  </si>
  <si>
    <t>3471</t>
  </si>
  <si>
    <t>Lucio Hanono</t>
  </si>
  <si>
    <t>4117</t>
  </si>
  <si>
    <t>Isabel Caranti</t>
  </si>
  <si>
    <t>6</t>
  </si>
  <si>
    <t>3996</t>
  </si>
  <si>
    <t>Bautista D Ottavio</t>
  </si>
  <si>
    <t>BRA4215</t>
  </si>
  <si>
    <t>Felipe Hutzler</t>
  </si>
  <si>
    <t>CICP</t>
  </si>
  <si>
    <t>4142</t>
  </si>
  <si>
    <t>Felipe Gonz�lez</t>
  </si>
  <si>
    <t>7</t>
  </si>
  <si>
    <t>3992</t>
  </si>
  <si>
    <t>Santiago Cichowolski</t>
  </si>
  <si>
    <t>4042</t>
  </si>
  <si>
    <t>Donato Pichetti</t>
  </si>
  <si>
    <t>4200</t>
  </si>
  <si>
    <t>Valentino Wenzel</t>
  </si>
  <si>
    <t>8</t>
  </si>
  <si>
    <t>4372</t>
  </si>
  <si>
    <t>Sofia Dumarco</t>
  </si>
  <si>
    <t>YCSA</t>
  </si>
  <si>
    <t>4175</t>
  </si>
  <si>
    <t>Gino Pichetti</t>
  </si>
  <si>
    <t>4118</t>
  </si>
  <si>
    <t>Rafael Mones</t>
  </si>
  <si>
    <t>SUB12 &amp; S</t>
  </si>
  <si>
    <t>9</t>
  </si>
  <si>
    <t>3968</t>
  </si>
  <si>
    <t>Federico Mainero</t>
  </si>
  <si>
    <t>Bartolome Lozano</t>
  </si>
  <si>
    <t>4204</t>
  </si>
  <si>
    <t>Milo Messina</t>
  </si>
  <si>
    <t>4148</t>
  </si>
  <si>
    <t>Felipe Gonzalez</t>
  </si>
  <si>
    <t>10</t>
  </si>
  <si>
    <t>4133</t>
  </si>
  <si>
    <t>Tom�s Calvo</t>
  </si>
  <si>
    <t>3819</t>
  </si>
  <si>
    <t>Helena Lezana</t>
  </si>
  <si>
    <t>NS</t>
  </si>
  <si>
    <t>4038</t>
  </si>
  <si>
    <t>Juan Properzi</t>
  </si>
  <si>
    <t>11</t>
  </si>
  <si>
    <t>4104</t>
  </si>
  <si>
    <t>Helena Katz</t>
  </si>
  <si>
    <t>SUB12 &amp; NS</t>
  </si>
  <si>
    <t>1226</t>
  </si>
  <si>
    <t>Lucio Pe�a Hassey</t>
  </si>
  <si>
    <t>CYY</t>
  </si>
  <si>
    <t>3889</t>
  </si>
  <si>
    <t>Manuel Cichowolski</t>
  </si>
  <si>
    <t>12</t>
  </si>
  <si>
    <t>4093</t>
  </si>
  <si>
    <t>3684</t>
  </si>
  <si>
    <t>Romeo Nieva</t>
  </si>
  <si>
    <t>CPNLB- CBRIO</t>
  </si>
  <si>
    <t>4152</t>
  </si>
  <si>
    <t>Felipe Blas</t>
  </si>
  <si>
    <t>13</t>
  </si>
  <si>
    <t>4126</t>
  </si>
  <si>
    <t>Lisandro Loureyro</t>
  </si>
  <si>
    <t>4323</t>
  </si>
  <si>
    <t>Roberta de Oliveira Horn</t>
  </si>
  <si>
    <t>CDJ</t>
  </si>
  <si>
    <t>14</t>
  </si>
  <si>
    <t>3908</t>
  </si>
  <si>
    <t>Lola Barcel�</t>
  </si>
  <si>
    <t>4111</t>
  </si>
  <si>
    <t>Ignacio Padilla</t>
  </si>
  <si>
    <t>4203</t>
  </si>
  <si>
    <t>Maximo Tejada</t>
  </si>
  <si>
    <t>15</t>
  </si>
  <si>
    <t>3123</t>
  </si>
  <si>
    <t>Braian Diaz Basualdo</t>
  </si>
  <si>
    <t>3989</t>
  </si>
  <si>
    <t>Emilia Bieler</t>
  </si>
  <si>
    <t>4073</t>
  </si>
  <si>
    <t>Juana Gutierrez</t>
  </si>
  <si>
    <t>16</t>
  </si>
  <si>
    <t>4185</t>
  </si>
  <si>
    <t>Juan Figueroa</t>
  </si>
  <si>
    <t>3825</t>
  </si>
  <si>
    <t>Guillermina Castrlari</t>
  </si>
  <si>
    <t>4181</t>
  </si>
  <si>
    <t>Nuria Bustos</t>
  </si>
  <si>
    <t>17</t>
  </si>
  <si>
    <t>3832</t>
  </si>
  <si>
    <t>Renata Fuhrmann</t>
  </si>
  <si>
    <t>4218</t>
  </si>
  <si>
    <t>Francisco Palmese</t>
  </si>
  <si>
    <t>4113</t>
  </si>
  <si>
    <t>Facundo Zorraquin</t>
  </si>
  <si>
    <t>18</t>
  </si>
  <si>
    <t>87</t>
  </si>
  <si>
    <t>Bautista Ram�rez</t>
  </si>
  <si>
    <t>YCPE</t>
  </si>
  <si>
    <t>3327</t>
  </si>
  <si>
    <t>Simona Moreno</t>
  </si>
  <si>
    <t>4167</t>
  </si>
  <si>
    <t>Catalina Valci</t>
  </si>
  <si>
    <t>19</t>
  </si>
  <si>
    <t>4030</t>
  </si>
  <si>
    <t>Pedro Bearzotti</t>
  </si>
  <si>
    <t>4099</t>
  </si>
  <si>
    <t>Imanol Gonzalez Negri</t>
  </si>
  <si>
    <t>213</t>
  </si>
  <si>
    <t>Domingo Leon</t>
  </si>
  <si>
    <t>CYA</t>
  </si>
  <si>
    <t>20</t>
  </si>
  <si>
    <t>4134</t>
  </si>
  <si>
    <t>Luj�n Pantin</t>
  </si>
  <si>
    <t>3828</t>
  </si>
  <si>
    <t>Lucia Peci�a</t>
  </si>
  <si>
    <t>4324</t>
  </si>
  <si>
    <t>Rosito Francisco</t>
  </si>
  <si>
    <t>21</t>
  </si>
  <si>
    <t>4211</t>
  </si>
  <si>
    <t>Luli Bizzozero</t>
  </si>
  <si>
    <t>4135</t>
  </si>
  <si>
    <t>Maximo Corominas</t>
  </si>
  <si>
    <t>4096</t>
  </si>
  <si>
    <t>Amelia Belardi de Leon</t>
  </si>
  <si>
    <t>22</t>
  </si>
  <si>
    <t>4182</t>
  </si>
  <si>
    <t>Joaquin Figueroa</t>
  </si>
  <si>
    <t>3907</t>
  </si>
  <si>
    <t>Tiziano Vesperini</t>
  </si>
  <si>
    <t>4209</t>
  </si>
  <si>
    <t>Catalina Gomez</t>
  </si>
  <si>
    <t>23</t>
  </si>
  <si>
    <t>4350</t>
  </si>
  <si>
    <t>Helena Echenique</t>
  </si>
  <si>
    <t>4214</t>
  </si>
  <si>
    <t>Pilar Zabala</t>
  </si>
  <si>
    <t>4069</t>
  </si>
  <si>
    <t>Ines Panasci</t>
  </si>
  <si>
    <t>24</t>
  </si>
  <si>
    <t>3962</t>
  </si>
  <si>
    <t>Sofia Vieytez</t>
  </si>
  <si>
    <t>1041</t>
  </si>
  <si>
    <t>Jorge Mu�oz</t>
  </si>
  <si>
    <t>4377</t>
  </si>
  <si>
    <t>Sofia Laguna Zambelli</t>
  </si>
  <si>
    <t>25</t>
  </si>
  <si>
    <t>4119</t>
  </si>
  <si>
    <t>F�lix Mones</t>
  </si>
  <si>
    <t>3563</t>
  </si>
  <si>
    <t>Joaquin Arocena</t>
  </si>
  <si>
    <t>4198</t>
  </si>
  <si>
    <t>Felix Doval</t>
  </si>
  <si>
    <t>26</t>
  </si>
  <si>
    <t>3626</t>
  </si>
  <si>
    <t>Carlotta Staglieno</t>
  </si>
  <si>
    <t>4122</t>
  </si>
  <si>
    <t>Tom�s Morteo</t>
  </si>
  <si>
    <t>4179</t>
  </si>
  <si>
    <t>Delfina Tesone</t>
  </si>
  <si>
    <t>27</t>
  </si>
  <si>
    <t>3918</t>
  </si>
  <si>
    <t>Sim�n Bertani</t>
  </si>
  <si>
    <t>4223</t>
  </si>
  <si>
    <t>Ignacio Giannuzzi</t>
  </si>
  <si>
    <t>4131</t>
  </si>
  <si>
    <t>Joaquin Dono Moya</t>
  </si>
  <si>
    <t>28</t>
  </si>
  <si>
    <t>3951</t>
  </si>
  <si>
    <t>Santiago Nieva</t>
  </si>
  <si>
    <t>4176</t>
  </si>
  <si>
    <t>Valentin Rodriguez Thevenon</t>
  </si>
  <si>
    <t>3099</t>
  </si>
  <si>
    <t>Felipe Pantanali</t>
  </si>
  <si>
    <t>29</t>
  </si>
  <si>
    <t>4025</t>
  </si>
  <si>
    <t>Catalina Dominguez</t>
  </si>
  <si>
    <t>3938</t>
  </si>
  <si>
    <t>Nina Raineri</t>
  </si>
  <si>
    <t>3943</t>
  </si>
  <si>
    <t>Olivia Bouvier</t>
  </si>
  <si>
    <t>30</t>
  </si>
  <si>
    <t>3781</t>
  </si>
  <si>
    <t>Fausto Lacchini</t>
  </si>
  <si>
    <t>4136</t>
  </si>
  <si>
    <t>Ignacio Panasci</t>
  </si>
  <si>
    <t>3953</t>
  </si>
  <si>
    <t>Joaquin Carretto</t>
  </si>
  <si>
    <t>31</t>
  </si>
  <si>
    <t>3823</t>
  </si>
  <si>
    <t>Damasia Garcia Canteli</t>
  </si>
  <si>
    <t>3984</t>
  </si>
  <si>
    <t>Mar�a Emilia D Ottavio</t>
  </si>
  <si>
    <t>3862</t>
  </si>
  <si>
    <t>Renata Godoy</t>
  </si>
  <si>
    <t>32</t>
  </si>
  <si>
    <t>316</t>
  </si>
  <si>
    <t>Vicente Gil Oreilly</t>
  </si>
  <si>
    <t>4055</t>
  </si>
  <si>
    <t>Allegra Aranda</t>
  </si>
  <si>
    <t>4220</t>
  </si>
  <si>
    <t>Dante Pierson</t>
  </si>
  <si>
    <t>33</t>
  </si>
  <si>
    <t>3986</t>
  </si>
  <si>
    <t>Dante Maggi</t>
  </si>
  <si>
    <t>4188</t>
  </si>
  <si>
    <t>Bautista Pereiro</t>
  </si>
  <si>
    <t>BRA4048</t>
  </si>
  <si>
    <t>Eric Tapia</t>
  </si>
  <si>
    <t>34</t>
  </si>
  <si>
    <t>3248</t>
  </si>
  <si>
    <t>Juanita Ullua</t>
  </si>
  <si>
    <t>4172</t>
  </si>
  <si>
    <t>Thiago Lueg</t>
  </si>
  <si>
    <t>4210</t>
  </si>
  <si>
    <t>M�a De Bernardis</t>
  </si>
  <si>
    <t>35</t>
  </si>
  <si>
    <t>3619</t>
  </si>
  <si>
    <t>Juan Cruz Perrotta</t>
  </si>
  <si>
    <t>4154</t>
  </si>
  <si>
    <t>Delfina Kislak</t>
  </si>
  <si>
    <t>CMR</t>
  </si>
  <si>
    <t>3675</t>
  </si>
  <si>
    <t>Thaya Jaimovich</t>
  </si>
  <si>
    <t>36</t>
  </si>
  <si>
    <t>3316</t>
  </si>
  <si>
    <t>Camilo Boeri</t>
  </si>
  <si>
    <t>4026</t>
  </si>
  <si>
    <t>Paloma Cozar</t>
  </si>
  <si>
    <t>4183</t>
  </si>
  <si>
    <t>Gael Elkayam</t>
  </si>
  <si>
    <t>37</t>
  </si>
  <si>
    <t>4321</t>
  </si>
  <si>
    <t>Rodrigo Laguna</t>
  </si>
  <si>
    <t>SUB12 &amp; EXT</t>
  </si>
  <si>
    <t>DCJ</t>
  </si>
  <si>
    <t>4063</t>
  </si>
  <si>
    <t>Pedro Szabo</t>
  </si>
  <si>
    <t>4077</t>
  </si>
  <si>
    <t>Valentina Ferreira</t>
  </si>
  <si>
    <t>4128</t>
  </si>
  <si>
    <t>Bernardo Boranga</t>
  </si>
  <si>
    <t>38</t>
  </si>
  <si>
    <t>Elisa Nu�ez Peralta</t>
  </si>
  <si>
    <t>CNRM</t>
  </si>
  <si>
    <t>4197</t>
  </si>
  <si>
    <t>Silvio Folguera</t>
  </si>
  <si>
    <t>3701</t>
  </si>
  <si>
    <t>Tomas Lopez</t>
  </si>
  <si>
    <t>39</t>
  </si>
  <si>
    <t>3987</t>
  </si>
  <si>
    <t>Valentina Aguirre</t>
  </si>
  <si>
    <t>325</t>
  </si>
  <si>
    <t>Lucas Felip Wahl</t>
  </si>
  <si>
    <t>4095</t>
  </si>
  <si>
    <t>Nicol�s Ronchi</t>
  </si>
  <si>
    <t>40</t>
  </si>
  <si>
    <t>4261</t>
  </si>
  <si>
    <t>Mariana Nunes</t>
  </si>
  <si>
    <t>262</t>
  </si>
  <si>
    <t>Anastasia Malsch</t>
  </si>
  <si>
    <t>4089</t>
  </si>
  <si>
    <t>Luc�a Manrique</t>
  </si>
  <si>
    <t>41</t>
  </si>
  <si>
    <t>Chiara Arcuri</t>
  </si>
  <si>
    <t>4193</t>
  </si>
  <si>
    <t>Emma Lenzetti</t>
  </si>
  <si>
    <t>4082</t>
  </si>
  <si>
    <t>Franco Baldi</t>
  </si>
  <si>
    <t>42</t>
  </si>
  <si>
    <t>3793</t>
  </si>
  <si>
    <t>Astor Cuestas</t>
  </si>
  <si>
    <t>3999</t>
  </si>
  <si>
    <t>Guido Pierson</t>
  </si>
  <si>
    <t>43</t>
  </si>
  <si>
    <t>3295</t>
  </si>
  <si>
    <t>Sofia Frogone</t>
  </si>
  <si>
    <t>3527</t>
  </si>
  <si>
    <t>Ian Sly</t>
  </si>
  <si>
    <t>4022</t>
  </si>
  <si>
    <t>Tomi Bizzozero</t>
  </si>
  <si>
    <t>44</t>
  </si>
  <si>
    <t>3895</t>
  </si>
  <si>
    <t>Rodrigo Zabala</t>
  </si>
  <si>
    <t>3642</t>
  </si>
  <si>
    <t>Santiago Fabris</t>
  </si>
  <si>
    <t>4123</t>
  </si>
  <si>
    <t>Celina Galeano</t>
  </si>
  <si>
    <t>45</t>
  </si>
  <si>
    <t>1221</t>
  </si>
  <si>
    <t>Sebastian Hernandez Mier y Ter�n</t>
  </si>
  <si>
    <t>4140</t>
  </si>
  <si>
    <t>Facundo Dom�nguez</t>
  </si>
  <si>
    <t>3722</t>
  </si>
  <si>
    <t>Dante Parrino</t>
  </si>
  <si>
    <t>46</t>
  </si>
  <si>
    <t>3952</t>
  </si>
  <si>
    <t>Isabel Grimaldi</t>
  </si>
  <si>
    <t>4112</t>
  </si>
  <si>
    <t>Luiz Plentz</t>
  </si>
  <si>
    <t>390</t>
  </si>
  <si>
    <t>Milo Ferrari</t>
  </si>
  <si>
    <t>YCU</t>
  </si>
  <si>
    <t>47</t>
  </si>
  <si>
    <t>3583</t>
  </si>
  <si>
    <t>Ferm�n Vazquez del Campo</t>
  </si>
  <si>
    <t>3935</t>
  </si>
  <si>
    <t>Francesco Galeazzi</t>
  </si>
  <si>
    <t>3866</t>
  </si>
  <si>
    <t>Lucia Musumeci</t>
  </si>
  <si>
    <t>48</t>
  </si>
  <si>
    <t>4174</t>
  </si>
  <si>
    <t>Lolo Roccatagliata</t>
  </si>
  <si>
    <t>4139</t>
  </si>
  <si>
    <t>Ignacio Gentili</t>
  </si>
  <si>
    <t>3711</t>
  </si>
  <si>
    <t>Santiago Cusinato</t>
  </si>
  <si>
    <t>49</t>
  </si>
  <si>
    <t>4098</t>
  </si>
  <si>
    <t>3114</t>
  </si>
  <si>
    <t>Enzo Lannia</t>
  </si>
  <si>
    <t>4108</t>
  </si>
  <si>
    <t>Ema Villamarin</t>
  </si>
  <si>
    <t>50</t>
  </si>
  <si>
    <t>3573</t>
  </si>
  <si>
    <t>72</t>
  </si>
  <si>
    <t>Juan Yandian</t>
  </si>
  <si>
    <t>3422</t>
  </si>
  <si>
    <t>Bianca Savioli</t>
  </si>
  <si>
    <t>51</t>
  </si>
  <si>
    <t>3856</t>
  </si>
  <si>
    <t>Agustin Lemon Viviant</t>
  </si>
  <si>
    <t>4066</t>
  </si>
  <si>
    <t>Martim Cruz Gomes</t>
  </si>
  <si>
    <t>3402</t>
  </si>
  <si>
    <t>dolores Azar</t>
  </si>
  <si>
    <t>481</t>
  </si>
  <si>
    <t>Isidora Annunziata</t>
  </si>
  <si>
    <t>52</t>
  </si>
  <si>
    <t>3630</t>
  </si>
  <si>
    <t>Indiana Garro</t>
  </si>
  <si>
    <t>4213</t>
  </si>
  <si>
    <t>Francisco Nunes</t>
  </si>
  <si>
    <t>4047</t>
  </si>
  <si>
    <t>Constantino Maffei</t>
  </si>
  <si>
    <t>53</t>
  </si>
  <si>
    <t>4079</t>
  </si>
  <si>
    <t>Felipe Passarelli</t>
  </si>
  <si>
    <t>3872</t>
  </si>
  <si>
    <t>Emilia Vugdelija</t>
  </si>
  <si>
    <t>3541</t>
  </si>
  <si>
    <t>Dominique Lambezat</t>
  </si>
  <si>
    <t>YCB</t>
  </si>
  <si>
    <t>54</t>
  </si>
  <si>
    <t>3964</t>
  </si>
  <si>
    <t>Alejandro Dominguez</t>
  </si>
  <si>
    <t>1224</t>
  </si>
  <si>
    <t>Servacio Gonzalez</t>
  </si>
  <si>
    <t>4059</t>
  </si>
  <si>
    <t>Manuel Moreno Panzino</t>
  </si>
  <si>
    <t>55</t>
  </si>
  <si>
    <t>4348</t>
  </si>
  <si>
    <t>Rafael Cotrim Rafa Cotrim Rafa</t>
  </si>
  <si>
    <t>3167</t>
  </si>
  <si>
    <t>Catalina Pefaure</t>
  </si>
  <si>
    <t>CNB</t>
  </si>
  <si>
    <t>4189</t>
  </si>
  <si>
    <t>Gast�n Astoul</t>
  </si>
  <si>
    <t>56</t>
  </si>
  <si>
    <t>136</t>
  </si>
  <si>
    <t>Manuel Gimenez</t>
  </si>
  <si>
    <t>4194</t>
  </si>
  <si>
    <t>Catalina Castex</t>
  </si>
  <si>
    <t>3852</t>
  </si>
  <si>
    <t>Juan Cruz De Valais</t>
  </si>
  <si>
    <t>57</t>
  </si>
  <si>
    <t>4212</t>
  </si>
  <si>
    <t>Marco Bertone</t>
  </si>
  <si>
    <t>3818</t>
  </si>
  <si>
    <t>Martin Vieytez</t>
  </si>
  <si>
    <t>4045</t>
  </si>
  <si>
    <t>Mateo Boeri</t>
  </si>
  <si>
    <t>58</t>
  </si>
  <si>
    <t>3995</t>
  </si>
  <si>
    <t>Fermin Gibert</t>
  </si>
  <si>
    <t>3168</t>
  </si>
  <si>
    <t>Felipe Berger</t>
  </si>
  <si>
    <t>3885</t>
  </si>
  <si>
    <t>Hilario Sacchi</t>
  </si>
  <si>
    <t>59</t>
  </si>
  <si>
    <t>4071</t>
  </si>
  <si>
    <t>Felipe Ridella</t>
  </si>
  <si>
    <t>4031</t>
  </si>
  <si>
    <t>Delfina Luque</t>
  </si>
  <si>
    <t>3800</t>
  </si>
  <si>
    <t>Gael De Bernardis</t>
  </si>
  <si>
    <t>60</t>
  </si>
  <si>
    <t>4018</t>
  </si>
  <si>
    <t>Enzo Musumeci</t>
  </si>
  <si>
    <t>Lorenzo Gordillo</t>
  </si>
  <si>
    <t>61</t>
  </si>
  <si>
    <t>3892</t>
  </si>
  <si>
    <t>Lara Gherghi</t>
  </si>
  <si>
    <t>4163</t>
  </si>
  <si>
    <t>Marcos Costa Urquiza</t>
  </si>
  <si>
    <t>62</t>
  </si>
  <si>
    <t>3175</t>
  </si>
  <si>
    <t>Matias Stelmaszezuk</t>
  </si>
  <si>
    <t>4177</t>
  </si>
  <si>
    <t>Antonia Giuliani</t>
  </si>
  <si>
    <t>63</t>
  </si>
  <si>
    <t>605</t>
  </si>
  <si>
    <t>Florencia Rojas</t>
  </si>
  <si>
    <t>4171</t>
  </si>
  <si>
    <t>Delfina Becerra</t>
  </si>
  <si>
    <t>64</t>
  </si>
  <si>
    <t>4143</t>
  </si>
  <si>
    <t>Juan Begino</t>
  </si>
  <si>
    <t>3790</t>
  </si>
  <si>
    <t>Agustina Vicente</t>
  </si>
  <si>
    <t>65</t>
  </si>
  <si>
    <t>4215</t>
  </si>
  <si>
    <t>Jean Reis Demartin</t>
  </si>
  <si>
    <t>4094</t>
  </si>
  <si>
    <t>Federico Febre Prieto</t>
  </si>
  <si>
    <t>66</t>
  </si>
  <si>
    <t>3958</t>
  </si>
  <si>
    <t>Camila Volco</t>
  </si>
  <si>
    <t>4138</t>
  </si>
  <si>
    <t>Julia Vidal</t>
  </si>
  <si>
    <t>67</t>
  </si>
  <si>
    <t>Lucia Properzi</t>
  </si>
  <si>
    <t>3903</t>
  </si>
  <si>
    <t>Isabel Traver�a</t>
  </si>
  <si>
    <t>68</t>
  </si>
  <si>
    <t>3688</t>
  </si>
  <si>
    <t>Valentin Galli</t>
  </si>
  <si>
    <t>4023</t>
  </si>
  <si>
    <t>Diego Borlenghi</t>
  </si>
  <si>
    <t>69</t>
  </si>
  <si>
    <t>3585</t>
  </si>
  <si>
    <t>Maximillian Raoux</t>
  </si>
  <si>
    <t>4184</t>
  </si>
  <si>
    <t>Francisco Lorenzini</t>
  </si>
  <si>
    <t>70</t>
  </si>
  <si>
    <t>4191</t>
  </si>
  <si>
    <t>Santiago Poggio</t>
  </si>
  <si>
    <t>4083</t>
  </si>
  <si>
    <t>Juan Prat</t>
  </si>
  <si>
    <t>71</t>
  </si>
  <si>
    <t>4153</t>
  </si>
  <si>
    <t>Micaela Finsterbusch</t>
  </si>
  <si>
    <t>4097</t>
  </si>
  <si>
    <t>Uma Gimenez</t>
  </si>
  <si>
    <t>3891</t>
  </si>
  <si>
    <t>Felipe Dura�ona</t>
  </si>
  <si>
    <t>4186</t>
  </si>
  <si>
    <t>Pilar Fraschina</t>
  </si>
  <si>
    <t>73</t>
  </si>
  <si>
    <t>Eduardo Scarrone</t>
  </si>
  <si>
    <t>138</t>
  </si>
  <si>
    <t>Mathias Gonzalez</t>
  </si>
  <si>
    <t>74</t>
  </si>
  <si>
    <t>4161</t>
  </si>
  <si>
    <t>Santiago Gonzalez</t>
  </si>
  <si>
    <t>4075</t>
  </si>
  <si>
    <t>Lorenzo Romano</t>
  </si>
  <si>
    <t>75</t>
  </si>
  <si>
    <t>4236</t>
  </si>
  <si>
    <t>Pilar Llopart</t>
  </si>
  <si>
    <t>4036</t>
  </si>
  <si>
    <t>I�aki Fernandez Alonso</t>
  </si>
  <si>
    <t>76</t>
  </si>
  <si>
    <t>BRA4049</t>
  </si>
  <si>
    <t>Anne Rodrigues de Oliveira</t>
  </si>
  <si>
    <t>22658</t>
  </si>
  <si>
    <t>Sebastian Simonet</t>
  </si>
  <si>
    <t>77</t>
  </si>
  <si>
    <t>Lucio Callaci</t>
  </si>
  <si>
    <t>3980</t>
  </si>
  <si>
    <t>Benjamin Pericaz</t>
  </si>
  <si>
    <t>78</t>
  </si>
  <si>
    <t>4346</t>
  </si>
  <si>
    <t>Malu Machado</t>
  </si>
  <si>
    <t>3070</t>
  </si>
  <si>
    <t>Lautaro Chiappa</t>
  </si>
  <si>
    <t>79</t>
  </si>
  <si>
    <t>3750</t>
  </si>
  <si>
    <t>Tom�s Nirich</t>
  </si>
  <si>
    <t>130</t>
  </si>
  <si>
    <t>Ines Gordillo</t>
  </si>
  <si>
    <t>80</t>
  </si>
  <si>
    <t>Guillermina Koster</t>
  </si>
  <si>
    <t>CNCPG</t>
  </si>
  <si>
    <t>81</t>
  </si>
  <si>
    <t>498</t>
  </si>
  <si>
    <t>Guillermo Perez</t>
  </si>
  <si>
    <t>82</t>
  </si>
  <si>
    <t>3789</t>
  </si>
  <si>
    <t>Uriel Galeano</t>
  </si>
  <si>
    <t>OPTINIC-FVI</t>
  </si>
  <si>
    <t>83</t>
  </si>
  <si>
    <t>4160</t>
  </si>
  <si>
    <t>Clara Deleo</t>
  </si>
  <si>
    <t>3922</t>
  </si>
  <si>
    <t>Josefina Stocik</t>
  </si>
  <si>
    <t>472</t>
  </si>
  <si>
    <t>Emilia Simonet</t>
  </si>
  <si>
    <t>4201</t>
  </si>
  <si>
    <t>Francisco Calabrese</t>
  </si>
  <si>
    <t>4330</t>
  </si>
  <si>
    <t>Andr� Minns</t>
  </si>
  <si>
    <t>4115</t>
  </si>
  <si>
    <t>Felicitas Rooney</t>
  </si>
  <si>
    <t>4192</t>
  </si>
  <si>
    <t>Janko Donofrio</t>
  </si>
  <si>
    <t>4173</t>
  </si>
  <si>
    <t>Pedro Hariri</t>
  </si>
  <si>
    <t>3991</t>
  </si>
  <si>
    <t>Josefina Molinari</t>
  </si>
  <si>
    <t>4164</t>
  </si>
  <si>
    <t>Alma Plou</t>
  </si>
  <si>
    <t>4121</t>
  </si>
  <si>
    <t>Julia Cocozza</t>
  </si>
  <si>
    <t>4162</t>
  </si>
  <si>
    <t>Ambar Muzzio</t>
  </si>
  <si>
    <t>416</t>
  </si>
  <si>
    <t>Alfonso Arnaud</t>
  </si>
  <si>
    <t>Camila Garcia Laborde</t>
  </si>
  <si>
    <t>3552</t>
  </si>
  <si>
    <t>Enrico Cavallari</t>
  </si>
  <si>
    <t>3868</t>
  </si>
  <si>
    <t>Manuel Antoni</t>
  </si>
  <si>
    <t>Sebasti�n Gonzaga</t>
  </si>
  <si>
    <t>4221</t>
  </si>
  <si>
    <t>Emma Grinvald</t>
  </si>
  <si>
    <t>3543</t>
  </si>
  <si>
    <t>Marcos Stabile</t>
  </si>
  <si>
    <t>4158</t>
  </si>
  <si>
    <t>Manuel Iglesias</t>
  </si>
  <si>
    <t>CSV&amp;R</t>
  </si>
  <si>
    <t>3801</t>
  </si>
  <si>
    <t>Francisco Cerrato</t>
  </si>
  <si>
    <t>3185</t>
  </si>
  <si>
    <t>Juan Estevez</t>
  </si>
  <si>
    <t>4146</t>
  </si>
  <si>
    <t>Juliana Gauna</t>
  </si>
  <si>
    <t>3643</t>
  </si>
  <si>
    <t>Valentina Maffei</t>
  </si>
  <si>
    <t>3775</t>
  </si>
  <si>
    <t>Tania Lopez</t>
  </si>
  <si>
    <t>3743</t>
  </si>
  <si>
    <t>Lucas Boeri</t>
  </si>
  <si>
    <t>4144</t>
  </si>
  <si>
    <t>Valentina Ferreyra</t>
  </si>
  <si>
    <t>4062</t>
  </si>
  <si>
    <t>Greta Raya</t>
  </si>
  <si>
    <t>4058</t>
  </si>
  <si>
    <t>Marina Rosito</t>
  </si>
  <si>
    <t>4048</t>
  </si>
  <si>
    <t>Miranda Biasi</t>
  </si>
  <si>
    <t>4028</t>
  </si>
  <si>
    <t>Yago Videla</t>
  </si>
  <si>
    <t>4195</t>
  </si>
  <si>
    <t>Tintin Panasci</t>
  </si>
  <si>
    <t>cnmp</t>
  </si>
  <si>
    <t>4001</t>
  </si>
  <si>
    <t>Josefina Mirey</t>
  </si>
  <si>
    <t>4101</t>
  </si>
  <si>
    <t>Santiago Viale</t>
  </si>
  <si>
    <t>647</t>
  </si>
  <si>
    <t>Nicolas Urdininea</t>
  </si>
  <si>
    <t>3970</t>
  </si>
  <si>
    <t>Martina Pittaluga</t>
  </si>
  <si>
    <t>3977</t>
  </si>
  <si>
    <t>Juan Rosso</t>
  </si>
  <si>
    <t>4205</t>
  </si>
  <si>
    <t>In�s Adlercreutz</t>
  </si>
  <si>
    <t>4141</t>
  </si>
  <si>
    <t>In�s Hern�ndez</t>
  </si>
  <si>
    <t>4219</t>
  </si>
  <si>
    <t>Santiago Sarav�</t>
  </si>
  <si>
    <t>3936</t>
  </si>
  <si>
    <t>Lucia Funes de Rioja</t>
  </si>
  <si>
    <t>4190</t>
  </si>
  <si>
    <t>Agustin Canto</t>
  </si>
  <si>
    <t>10 DPI</t>
  </si>
  <si>
    <t>37 DPI</t>
  </si>
  <si>
    <t>89 BFD</t>
  </si>
  <si>
    <t>89 DNS</t>
  </si>
  <si>
    <t>89 DSQ</t>
  </si>
  <si>
    <t>R17</t>
  </si>
  <si>
    <t>4086</t>
  </si>
  <si>
    <t>3649</t>
  </si>
  <si>
    <t>4016</t>
  </si>
  <si>
    <t>4100</t>
  </si>
  <si>
    <t>3738</t>
  </si>
  <si>
    <t>Pl.</t>
  </si>
  <si>
    <t>Mateo Guille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</si>
  <si>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</si>
  <si>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</si>
  <si>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</si>
  <si>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</si>
  <si>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</si>
  <si>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</si>
  <si>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</si>
  <si>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</si>
  <si>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</si>
  <si>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</si>
  <si>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</si>
  <si>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</si>
  <si>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</si>
  <si>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</si>
  <si>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</si>
  <si>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</si>
  <si>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</si>
  <si>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</si>
  <si>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</si>
  <si>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</si>
  <si>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</si>
  <si>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</si>
  <si>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</si>
  <si>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</si>
  <si>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</si>
  <si>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</si>
  <si>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</si>
  <si>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</si>
  <si>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</si>
  <si>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</si>
  <si>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</si>
  <si>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</si>
  <si>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</si>
  <si>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</si>
  <si>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</si>
  <si>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</si>
  <si>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</si>
  <si>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</si>
  <si>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</si>
  <si>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</si>
  <si>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</si>
  <si>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</si>
  <si>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</si>
  <si>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</si>
  <si>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</si>
  <si>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131</t>
  </si>
  <si>
    <t>132</t>
  </si>
  <si>
    <t>133</t>
  </si>
  <si>
    <t>134</t>
  </si>
  <si>
    <t>135</t>
  </si>
  <si>
    <t>137</t>
  </si>
  <si>
    <t>139</t>
  </si>
  <si>
    <t>140</t>
  </si>
  <si>
    <t>141</t>
  </si>
  <si>
    <t>142</t>
  </si>
  <si>
    <t>4226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</si>
  <si>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</si>
  <si>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</si>
  <si>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</si>
  <si>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</si>
  <si>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</si>
  <si>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</si>
  <si>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</si>
  <si>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</si>
  <si>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</si>
  <si>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</si>
  <si>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</si>
  <si>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</si>
  <si>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</si>
  <si>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</si>
  <si>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</si>
  <si>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</si>
  <si>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</si>
  <si>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</si>
  <si>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</si>
  <si>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</si>
  <si>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</si>
  <si>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</si>
  <si>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</si>
  <si>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</si>
  <si>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</si>
  <si>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</si>
  <si>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</si>
  <si>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</si>
  <si>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</si>
  <si>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</si>
  <si>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</si>
  <si>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</si>
  <si>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</si>
  <si>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</si>
  <si>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</si>
  <si>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</si>
  <si>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</si>
  <si>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</si>
  <si>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</si>
  <si>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</si>
  <si>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</si>
  <si>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</si>
  <si>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</si>
  <si>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</si>
  <si>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</si>
  <si>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</si>
  <si>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</si>
  <si>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</si>
  <si>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</si>
  <si>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</si>
  <si>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</si>
  <si>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</si>
  <si>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</si>
  <si>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</si>
  <si>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</si>
  <si>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</si>
  <si>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</si>
  <si>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</si>
  <si>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</si>
  <si>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</si>
  <si>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</si>
  <si>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</si>
  <si>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</si>
  <si>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</si>
  <si>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</si>
  <si>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</si>
  <si>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</si>
  <si>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</si>
  <si>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</si>
  <si>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</si>
  <si>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</si>
  <si>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</si>
  <si>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</si>
  <si>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</si>
  <si>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</si>
  <si>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</si>
  <si>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</si>
  <si>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</si>
  <si>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</si>
  <si>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</si>
  <si>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</si>
  <si>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</si>
  <si>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</si>
  <si>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</si>
  <si>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</si>
  <si>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</si>
  <si>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</si>
  <si>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</si>
  <si>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</si>
  <si>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</si>
  <si>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Matilde Korendij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</si>
  <si>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</si>
  <si>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</si>
  <si>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</si>
  <si>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</si>
  <si>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</si>
  <si>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</si>
  <si>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</si>
  <si>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</si>
  <si>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</si>
  <si>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</si>
  <si>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</si>
  <si>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</si>
  <si>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</si>
  <si>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</si>
  <si>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</si>
  <si>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</si>
  <si>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</si>
  <si>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</si>
  <si>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</si>
  <si>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</si>
  <si>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</si>
  <si>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</si>
  <si>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</si>
  <si>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19 DPI</t>
  </si>
  <si>
    <t>14 DPI</t>
  </si>
  <si>
    <t>34 DPI</t>
  </si>
  <si>
    <t>89 UFD</t>
  </si>
  <si>
    <t>67 DPI</t>
  </si>
  <si>
    <t>89 DNF</t>
  </si>
  <si>
    <t>R18</t>
  </si>
  <si>
    <t>R19</t>
  </si>
  <si>
    <t>40 DPI</t>
  </si>
  <si>
    <t>45 DPI</t>
  </si>
  <si>
    <t>52 DPI</t>
  </si>
  <si>
    <t>260</t>
  </si>
  <si>
    <t>261</t>
  </si>
  <si>
    <t>263</t>
  </si>
  <si>
    <t>266</t>
  </si>
  <si>
    <t>274</t>
  </si>
  <si>
    <t>277</t>
  </si>
  <si>
    <t>278</t>
  </si>
  <si>
    <t>280</t>
  </si>
  <si>
    <t>289</t>
  </si>
  <si>
    <t>Mercedes Ortiz Beorlegui</t>
  </si>
  <si>
    <t>290</t>
  </si>
  <si>
    <t>294</t>
  </si>
  <si>
    <t>297</t>
  </si>
  <si>
    <t>298</t>
  </si>
  <si>
    <t>302</t>
  </si>
  <si>
    <t>303</t>
  </si>
  <si>
    <t>304</t>
  </si>
  <si>
    <t>305</t>
  </si>
  <si>
    <t>306</t>
  </si>
  <si>
    <t>307</t>
  </si>
  <si>
    <t>309</t>
  </si>
  <si>
    <t>313</t>
  </si>
  <si>
    <t>320</t>
  </si>
  <si>
    <t>324</t>
  </si>
  <si>
    <t>326</t>
  </si>
  <si>
    <t>327</t>
  </si>
  <si>
    <t>328</t>
  </si>
  <si>
    <t>335</t>
  </si>
  <si>
    <t>336</t>
  </si>
  <si>
    <t>350</t>
  </si>
  <si>
    <t>352</t>
  </si>
  <si>
    <t>354</t>
  </si>
  <si>
    <t>359</t>
  </si>
  <si>
    <t>363</t>
  </si>
  <si>
    <t>368</t>
  </si>
  <si>
    <t>369</t>
  </si>
  <si>
    <t>385</t>
  </si>
  <si>
    <t>405</t>
  </si>
  <si>
    <t>257</t>
  </si>
  <si>
    <t>407</t>
  </si>
  <si>
    <t>258</t>
  </si>
  <si>
    <t>259</t>
  </si>
  <si>
    <t>433</t>
  </si>
  <si>
    <t>445T</t>
  </si>
  <si>
    <t>13 DPI</t>
  </si>
  <si>
    <t>R20</t>
  </si>
  <si>
    <t>R21</t>
  </si>
  <si>
    <t>R22</t>
  </si>
  <si>
    <t>11 DPI</t>
  </si>
  <si>
    <t>21 DPI</t>
  </si>
  <si>
    <t>265</t>
  </si>
  <si>
    <t>270</t>
  </si>
  <si>
    <t>271</t>
  </si>
  <si>
    <t>282</t>
  </si>
  <si>
    <t>288</t>
  </si>
  <si>
    <t>295</t>
  </si>
  <si>
    <t>296</t>
  </si>
  <si>
    <t>300</t>
  </si>
  <si>
    <t>317</t>
  </si>
  <si>
    <t>322</t>
  </si>
  <si>
    <t>323</t>
  </si>
  <si>
    <t>334</t>
  </si>
  <si>
    <t>339</t>
  </si>
  <si>
    <t>342</t>
  </si>
  <si>
    <t>344</t>
  </si>
  <si>
    <t>347</t>
  </si>
  <si>
    <t>349</t>
  </si>
  <si>
    <t>371</t>
  </si>
  <si>
    <t>372</t>
  </si>
  <si>
    <t>378</t>
  </si>
  <si>
    <t>387</t>
  </si>
  <si>
    <t>389</t>
  </si>
  <si>
    <t>Provisorios a las 12:05 del 22/4</t>
  </si>
  <si>
    <t>RESULTADOS SELECTIVO OPTIMIST 2026</t>
  </si>
  <si>
    <t>Gianni</t>
  </si>
  <si>
    <t>Andrés</t>
  </si>
  <si>
    <t/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</si>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</sst>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80"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19292B16-9E50-48FF-CBDE-AC59C2F863BE}"/>
            </a:ext>
          </a:extLst>
        </xdr:cNvPr>
        <xdr:cNvSpPr/>
      </xdr:nvSpPr>
      <xdr:spPr>
        <a:xfrm>
          <a:off x="11650980" y="266700"/>
          <a:ext cx="396240" cy="3429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04F49211-FB36-431B-815E-763662BD5276}"/>
            </a:ext>
          </a:extLst>
        </xdr:cNvPr>
        <xdr:cNvSpPr/>
      </xdr:nvSpPr>
      <xdr:spPr>
        <a:xfrm>
          <a:off x="12283440" y="251460"/>
          <a:ext cx="396240" cy="34290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B02964F-52D6-4D27-BF6B-9D8F875B0269}" autoFormatId="16" applyNumberFormats="0" applyBorderFormats="0" applyFontFormats="0" applyPatternFormats="0" applyAlignmentFormats="0" applyWidthHeightFormats="0">
  <queryTableRefresh nextId="8">
    <queryTableFields count="6">
      <queryTableField id="1" name="#" tableColumnId="1"/>
      <queryTableField id="2" name="Nombre" tableColumnId="2"/>
      <queryTableField id="3" name="Apellido" tableColumnId="3"/>
      <queryTableField id="4" name="Club" tableColumnId="4"/>
      <queryTableField id="5" name="Vela" tableColumnId="5"/>
      <queryTableField id="7" name="DNI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C2B4702-27A2-4C22-A33F-85BD138FF53E}" autoFormatId="16" applyNumberFormats="0" applyBorderFormats="0" applyFontFormats="0" applyPatternFormats="0" applyAlignmentFormats="0" applyWidthHeightFormats="0">
  <queryTableRefresh nextId="37">
    <queryTableFields count="18">
      <queryTableField id="12" name="Rank" tableColumnId="12"/>
      <queryTableField id="13" name="Pais" tableColumnId="13"/>
      <queryTableField id="14" name="Vela" tableColumnId="14"/>
      <queryTableField id="15" name="Timonel" tableColumnId="15"/>
      <queryTableField id="16" name="Club" tableColumnId="16"/>
      <queryTableField id="17" name="DNI" tableColumnId="17"/>
      <queryTableField id="18" name="R1" tableColumnId="18"/>
      <queryTableField id="19" name="R2" tableColumnId="19"/>
      <queryTableField id="20" name="R3" tableColumnId="20"/>
      <queryTableField id="23" name="R4" tableColumnId="1"/>
      <queryTableField id="25" name="R5" tableColumnId="2"/>
      <queryTableField id="26" name="R6" tableColumnId="3"/>
      <queryTableField id="29" name="R7" tableColumnId="4"/>
      <queryTableField id="31" name="R8" tableColumnId="5"/>
      <queryTableField id="32" name="R9" tableColumnId="6"/>
      <queryTableField id="33" name="R10" tableColumnId="7"/>
      <queryTableField id="21" name="Total" tableColumnId="21"/>
      <queryTableField id="22" name="Nett" tableColumnId="2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88743BB-E31E-430B-87BA-B3A200D9A77D}" autoFormatId="16" applyNumberFormats="0" applyBorderFormats="0" applyFontFormats="0" applyPatternFormats="0" applyAlignmentFormats="0" applyWidthHeightFormats="0">
  <queryTableRefresh nextId="29">
    <queryTableFields count="14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R1" tableColumnId="7"/>
      <queryTableField id="19" name="R2" tableColumnId="8"/>
      <queryTableField id="20" name="R3" tableColumnId="9"/>
      <queryTableField id="23" name="R4" tableColumnId="10"/>
      <queryTableField id="24" name="R5" tableColumnId="11"/>
      <queryTableField id="25" name="R6" tableColumnId="12"/>
      <queryTableField id="17" name="Total" tableColumnId="17"/>
      <queryTableField id="18" name="Nett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17FB921-25AA-4287-8043-8C04B828E182}" autoFormatId="16" applyNumberFormats="0" applyBorderFormats="0" applyFontFormats="0" applyPatternFormats="0" applyAlignmentFormats="0" applyWidthHeightFormats="0">
  <queryTableRefresh nextId="20">
    <queryTableFields count="12">
      <queryTableField id="1" name="Pl." tableColumnId="1"/>
      <queryTableField id="2" name="Sail #" tableColumnId="2"/>
      <queryTableField id="3" name="Sailor" tableColumnId="3"/>
      <queryTableField id="4" name="Subgroup" tableColumnId="4"/>
      <queryTableField id="5" name="From" tableColumnId="5"/>
      <queryTableField id="6" name="1" tableColumnId="6"/>
      <queryTableField id="7" name="2" tableColumnId="7"/>
      <queryTableField id="8" name="3" tableColumnId="8"/>
      <queryTableField id="11" name="4" tableColumnId="10"/>
      <queryTableField id="12" name="5" tableColumnId="11"/>
      <queryTableField id="13" name="6" tableColumnId="12"/>
      <queryTableField id="9" name="Total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B34995-B798-4778-8488-C570B81D5A83}" name="LISTADO_DE_INSCRIPTOS_PARA_EL_Selectivo_MUN__EURO__NAM__SUDA__AFR__Asia_OC" displayName="LISTADO_DE_INSCRIPTOS_PARA_EL_Selectivo_MUN__EURO__NAM__SUDA__AFR__Asia_OC" ref="A1:F41" tableType="queryTable" totalsRowShown="0">
  <autoFilter ref="A1:F41" xr:uid="{1BB34995-B798-4778-8488-C570B81D5A83}"/>
  <sortState xmlns:xlrd2="http://schemas.microsoft.com/office/spreadsheetml/2017/richdata2" ref="A2:F41">
    <sortCondition descending="1" ref="A1:A41"/>
  </sortState>
  <tableColumns count="6">
    <tableColumn id="1" xr3:uid="{8E1053AC-E4DD-4BA9-AB4C-7FAE40EDDC03}" uniqueName="1" name="#" queryTableFieldId="1"/>
    <tableColumn id="2" xr3:uid="{A95E0598-4868-4751-9029-5072888F81A3}" uniqueName="2" name="Nombre" queryTableFieldId="2" dataDxfId="79"/>
    <tableColumn id="3" xr3:uid="{147862F9-7110-44D5-93BC-8764FAEEDCA3}" uniqueName="3" name="Apellido" queryTableFieldId="3" dataDxfId="78"/>
    <tableColumn id="4" xr3:uid="{FCBCA379-FDBF-4936-83C0-B5FC69ED3163}" uniqueName="4" name="Club" queryTableFieldId="4" dataDxfId="77"/>
    <tableColumn id="5" xr3:uid="{1F707287-DBB0-464C-9FDE-649663F345D9}" uniqueName="5" name="Vela" queryTableFieldId="5"/>
    <tableColumn id="7" xr3:uid="{96E9DA02-E5AB-4748-9360-584C005D2861}" uniqueName="7" name="DNI" queryTableFieldId="7" dataDxfId="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C3D5F4-8FB0-47EA-8491-F750464C4FAB}" name="_SIY" displayName="_SIY" ref="A1:R232" tableType="queryTable" totalsRowShown="0">
  <autoFilter ref="A1:R232" xr:uid="{C1C3D5F4-8FB0-47EA-8491-F750464C4FAB}"/>
  <tableColumns count="18">
    <tableColumn id="12" xr3:uid="{0A60E769-2071-4A9E-99E2-9D348B45FACC}" uniqueName="12" name="Rank" queryTableFieldId="12"/>
    <tableColumn id="13" xr3:uid="{DAAD59D3-E3BC-42A8-ABC1-EC6991C68F8C}" uniqueName="13" name="Pais" queryTableFieldId="13"/>
    <tableColumn id="14" xr3:uid="{8D6DE98A-9B2E-4C99-919E-7103465218B3}" uniqueName="14" name="Vela" queryTableFieldId="14"/>
    <tableColumn id="15" xr3:uid="{782FA991-DECD-46F1-A0D4-A660C9C38153}" uniqueName="15" name="Timonel" queryTableFieldId="15"/>
    <tableColumn id="16" xr3:uid="{2BA1FCF5-017F-43B1-A8F1-DF633CDC4BF8}" uniqueName="16" name="Club" queryTableFieldId="16"/>
    <tableColumn id="17" xr3:uid="{3F29AE0C-F515-4B34-984E-A3BC455D1874}" uniqueName="17" name="DNI" queryTableFieldId="17"/>
    <tableColumn id="18" xr3:uid="{9E95C0B4-61BF-4AD2-8A82-BC2EF8530D06}" uniqueName="18" name="R1" queryTableFieldId="18"/>
    <tableColumn id="19" xr3:uid="{59D7E1E2-E849-4A77-A3A5-A7BD9EB2234B}" uniqueName="19" name="R2" queryTableFieldId="19"/>
    <tableColumn id="20" xr3:uid="{8D3B3479-A0C1-40F8-A912-CBB4A4B0E5E1}" uniqueName="20" name="R3" queryTableFieldId="20"/>
    <tableColumn id="1" xr3:uid="{4609D697-63AF-4C03-8AA2-5FF4B39A02E8}" uniqueName="1" name="R4" queryTableFieldId="23"/>
    <tableColumn id="2" xr3:uid="{7A264AD7-F933-421A-838D-32DE07028D73}" uniqueName="2" name="R5" queryTableFieldId="25"/>
    <tableColumn id="3" xr3:uid="{2A7DE815-D535-4CB4-83B3-368F1D44438E}" uniqueName="3" name="R6" queryTableFieldId="26"/>
    <tableColumn id="4" xr3:uid="{AF29D36C-6F6D-43C7-A5C5-AA62814D8B5F}" uniqueName="4" name="R7" queryTableFieldId="29"/>
    <tableColumn id="5" xr3:uid="{74640C99-4FBA-4C84-A071-CE55CB233CF1}" uniqueName="5" name="R8" queryTableFieldId="31"/>
    <tableColumn id="6" xr3:uid="{2B10C20E-D8F4-43C3-A230-01CE448B9660}" uniqueName="6" name="R9" queryTableFieldId="32"/>
    <tableColumn id="7" xr3:uid="{B7B2DB74-8D1F-4070-A507-BC31FDBAA37D}" uniqueName="7" name="R10" queryTableFieldId="33"/>
    <tableColumn id="21" xr3:uid="{AAA5DA21-A80D-4465-AB82-0FE58F58E6CA}" uniqueName="21" name="Total" queryTableFieldId="21"/>
    <tableColumn id="22" xr3:uid="{A96C1AAD-A668-410F-8155-5F0B32BBB2E1}" uniqueName="22" name="Nett" queryTableField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221557-85CB-4488-AB54-7584D9F862B0}" name="_VF2025" displayName="_VF2025" ref="A1:N211" tableType="queryTable" totalsRowShown="0">
  <autoFilter ref="A1:N211" xr:uid="{E8221557-85CB-4488-AB54-7584D9F862B0}"/>
  <tableColumns count="14">
    <tableColumn id="1" xr3:uid="{EF678EAA-B287-4E4A-A3F6-0CEC39C88DC0}" uniqueName="1" name="Rank" queryTableFieldId="1"/>
    <tableColumn id="2" xr3:uid="{E5C3B797-EB35-4DAE-9E6C-954D389492AA}" uniqueName="2" name="Pais" queryTableFieldId="2"/>
    <tableColumn id="3" xr3:uid="{6A62C5D3-DD6F-402A-9DE8-AF9D273DF8AF}" uniqueName="3" name="Vela" queryTableFieldId="3"/>
    <tableColumn id="4" xr3:uid="{61877017-8D4A-4197-B2C2-BC6B7CFAB9D1}" uniqueName="4" name="Timonel" queryTableFieldId="4"/>
    <tableColumn id="5" xr3:uid="{598E893B-7550-4E8D-84B6-AD024F917A59}" uniqueName="5" name="Club" queryTableFieldId="5"/>
    <tableColumn id="6" xr3:uid="{694A59EE-181A-43E7-B748-034E8C45701C}" uniqueName="6" name="DNI" queryTableFieldId="6"/>
    <tableColumn id="7" xr3:uid="{8BCE2230-2B54-41E3-8E48-79784148C914}" uniqueName="7" name="R1" queryTableFieldId="7"/>
    <tableColumn id="8" xr3:uid="{8086B9D6-77FA-4A8C-ACC2-123904CD55A7}" uniqueName="8" name="R2" queryTableFieldId="19"/>
    <tableColumn id="9" xr3:uid="{23EE7303-E5A8-4605-8ACE-ACF1906F0B9E}" uniqueName="9" name="R3" queryTableFieldId="20"/>
    <tableColumn id="10" xr3:uid="{10E83182-79D5-4B8D-A562-678967234D37}" uniqueName="10" name="R4" queryTableFieldId="23"/>
    <tableColumn id="11" xr3:uid="{6F3E056B-1479-4ECC-BCC7-D955D48B8A45}" uniqueName="11" name="R5" queryTableFieldId="24"/>
    <tableColumn id="12" xr3:uid="{0DB511D4-EA2F-4AF1-9B81-02E3B603029D}" uniqueName="12" name="R6" queryTableFieldId="25"/>
    <tableColumn id="17" xr3:uid="{6B8E25CE-BBCD-4BFA-9F6B-890272A7CDD1}" uniqueName="17" name="Total" queryTableFieldId="17"/>
    <tableColumn id="18" xr3:uid="{88613311-9B35-4BDE-BABD-BB960846C71B}" uniqueName="18" name="Nett" queryTableField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178B6F-2C89-4FDA-A69C-F4ECAA3CD77D}" name="SIL25v2" displayName="SIL25v2" ref="A1:L264" tableType="queryTable" totalsRowShown="0">
  <autoFilter ref="A1:L264" xr:uid="{BD178B6F-2C89-4FDA-A69C-F4ECAA3CD77D}"/>
  <tableColumns count="12">
    <tableColumn id="1" xr3:uid="{9DBC5D1E-F471-46F6-84C9-86D8BAB8463E}" uniqueName="1" name="Pl." queryTableFieldId="1" dataDxfId="75"/>
    <tableColumn id="2" xr3:uid="{0C35C9DB-5CA4-4152-9586-F34B354FD71C}" uniqueName="2" name="Sail #" queryTableFieldId="2" dataDxfId="74"/>
    <tableColumn id="3" xr3:uid="{F99B6664-EC70-4C25-B82D-0F47EBC47B7F}" uniqueName="3" name="Sailor" queryTableFieldId="3" dataDxfId="73"/>
    <tableColumn id="4" xr3:uid="{CEB1D2B1-F72C-4380-B7E0-5C10E577F711}" uniqueName="4" name="Subgroup" queryTableFieldId="4" dataDxfId="72"/>
    <tableColumn id="5" xr3:uid="{DB645C7A-6A73-449D-AEAB-A925C06C619D}" uniqueName="5" name="From" queryTableFieldId="5" dataDxfId="71"/>
    <tableColumn id="6" xr3:uid="{45EC2373-AFB3-48FB-AA93-B870B8F0BB3E}" uniqueName="6" name="1" queryTableFieldId="6" dataDxfId="70"/>
    <tableColumn id="7" xr3:uid="{4E2789E8-2468-44A6-873D-4632F2BF321F}" uniqueName="7" name="2" queryTableFieldId="7" dataDxfId="69"/>
    <tableColumn id="8" xr3:uid="{8668AC41-8EF4-408C-AEDC-8686656F977E}" uniqueName="8" name="3" queryTableFieldId="8" dataDxfId="68"/>
    <tableColumn id="10" xr3:uid="{F3427A3A-61EA-448F-A174-09AB622AADE4}" uniqueName="10" name="4" queryTableFieldId="11" dataDxfId="67"/>
    <tableColumn id="11" xr3:uid="{79E5897D-7E7D-4516-AC5C-16B9C5C54AC1}" uniqueName="11" name="5" queryTableFieldId="12" dataDxfId="66"/>
    <tableColumn id="12" xr3:uid="{C0DC08BC-7886-4DC5-B819-EEC545CF853A}" uniqueName="12" name="6" queryTableFieldId="13" dataDxfId="65"/>
    <tableColumn id="9" xr3:uid="{DEE27C53-F25D-4C56-8E48-A60C4E54B0C2}" uniqueName="9" name="Total" queryTableFieldId="9" dataDxfId="6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D8BD19-E7C7-4351-BBFE-4B1EC9C1DEAE}" name="Selectivo" displayName="Selectivo" ref="A6:AH176" totalsRowShown="0" tableBorderDxfId="63">
  <autoFilter ref="A6:AH176" xr:uid="{DAD8BD19-E7C7-4351-BBFE-4B1EC9C1DEAE}"/>
  <sortState xmlns:xlrd2="http://schemas.microsoft.com/office/spreadsheetml/2017/richdata2" ref="A7:AH176">
    <sortCondition ref="AC7:AC176"/>
    <sortCondition ref="AD7:AD176"/>
    <sortCondition ref="AE7:AE176"/>
    <sortCondition ref="AF7:AF176"/>
    <sortCondition descending="1" ref="AG7:AG176"/>
    <sortCondition ref="AH7:AH176"/>
  </sortState>
  <tableColumns count="34">
    <tableColumn id="1" xr3:uid="{D3EF2CF8-EF39-42A5-AC50-87E9847D1CF1}" name="DNI"/>
    <tableColumn id="2" xr3:uid="{FC818B37-C0FC-4BC3-9F90-8239F061F0F9}" name="Pos" dataDxfId="62">
      <calculatedColumnFormula>ROW()-ROW(Selectivo[[#Headers],[Pos]])</calculatedColumnFormula>
    </tableColumn>
    <tableColumn id="3" xr3:uid="{03E76116-D914-4B1F-9423-7122C6185F0B}" name="Vela" dataDxfId="61"/>
    <tableColumn id="4" xr3:uid="{3682005F-6D31-4539-A03D-34D2B13C5EB3}" name="Timonel"/>
    <tableColumn id="5" xr3:uid="{73B380EC-6589-43FA-BD2D-D69875922538}" name="Club"/>
    <tableColumn id="6" xr3:uid="{EB7181A2-4F7F-4980-BBD1-E536DE3314E3}" name="R1" dataDxfId="60">
      <calculatedColumnFormula>IFERROR(_xlfn.XLOOKUP(Selectivo[[#This Row],[DNI]],_SIY[DNI],_SIY[R1]),"78 DNC")</calculatedColumnFormula>
    </tableColumn>
    <tableColumn id="7" xr3:uid="{3CAD1D92-DF16-4CE2-8125-3FFA7DD136D8}" name="R2" dataDxfId="59">
      <calculatedColumnFormula>IFERROR(_xlfn.XLOOKUP(Selectivo[[#This Row],[DNI]],_SIY[DNI],_SIY[R2]),"78 DNC")</calculatedColumnFormula>
    </tableColumn>
    <tableColumn id="8" xr3:uid="{A4D211BF-A01E-4121-8B50-6A2092ABA2FB}" name="R3" dataDxfId="58">
      <calculatedColumnFormula>IFERROR(_xlfn.XLOOKUP(Selectivo[[#This Row],[DNI]],_SIY[DNI],_SIY[R3]),"78 DNC")</calculatedColumnFormula>
    </tableColumn>
    <tableColumn id="14" xr3:uid="{F5D951A2-8215-4E2B-A764-30F908723916}" name="R4" dataDxfId="57">
      <calculatedColumnFormula>IFERROR(_xlfn.XLOOKUP(Selectivo[[#This Row],[DNI]],_SIY[DNI],_SIY[R4]),"78 DNC")</calculatedColumnFormula>
    </tableColumn>
    <tableColumn id="15" xr3:uid="{E7CCC8AF-6189-48F4-A24B-C36F20CEB326}" name="R5" dataDxfId="56">
      <calculatedColumnFormula>IFERROR(_xlfn.XLOOKUP(Selectivo[[#This Row],[DNI]],_SIY[DNI],_SIY[R5]),"78 DNC")</calculatedColumnFormula>
    </tableColumn>
    <tableColumn id="17" xr3:uid="{A11C3D33-E3B4-48CA-A944-1C60D095E2FD}" name="R6" dataDxfId="55">
      <calculatedColumnFormula>IFERROR(_xlfn.XLOOKUP(Selectivo[[#This Row],[DNI]],_SIY[DNI],_SIY[R6]),"78 DNC")</calculatedColumnFormula>
    </tableColumn>
    <tableColumn id="18" xr3:uid="{5D08CCD7-740B-4665-991D-A0B069CFE39C}" name="R7" dataDxfId="54">
      <calculatedColumnFormula>IFERROR(_xlfn.XLOOKUP(Selectivo[[#This Row],[DNI]],_SIY[DNI],_SIY[R7]),"78 DNC")</calculatedColumnFormula>
    </tableColumn>
    <tableColumn id="16" xr3:uid="{337EF082-6BAE-4F14-9FF4-5A281E52659B}" name="R8" dataDxfId="53">
      <calculatedColumnFormula>IFERROR(_xlfn.XLOOKUP(Selectivo[[#This Row],[DNI]],_SIY[DNI],_SIY[R8]),"78 DNC")</calculatedColumnFormula>
    </tableColumn>
    <tableColumn id="21" xr3:uid="{BA79BD4A-50EB-4799-A3C5-10B09808D97E}" name="R9" dataDxfId="52">
      <calculatedColumnFormula>IFERROR(_xlfn.XLOOKUP(Selectivo[[#This Row],[DNI]],_SIY[DNI],_SIY[R9]),"78 DNC")</calculatedColumnFormula>
    </tableColumn>
    <tableColumn id="22" xr3:uid="{F5C213D7-4DB4-46E7-8A74-5766F50BA0CB}" name="R10" dataDxfId="51">
      <calculatedColumnFormula>IFERROR(_xlfn.XLOOKUP(Selectivo[[#This Row],[DNI]],_SIY[DNI],_SIY[R10]),"78 DNC")</calculatedColumnFormula>
    </tableColumn>
    <tableColumn id="23" xr3:uid="{AAA7A51B-38A2-420A-9F6E-EA0E05492CE3}" name="R11" dataDxfId="50">
      <calculatedColumnFormula>IFERROR(_xlfn.XLOOKUP(Selectivo[[#This Row],[DNI]],_VF2025[DNI],_VF2025[R1]),"70 DNC")</calculatedColumnFormula>
    </tableColumn>
    <tableColumn id="24" xr3:uid="{B86E0177-5878-4DDB-91FF-A1981F813812}" name="R12" dataDxfId="49">
      <calculatedColumnFormula>IFERROR(_xlfn.XLOOKUP(Selectivo[[#This Row],[DNI]],_VF2025[DNI],_VF2025[R2]),"70 DNC")</calculatedColumnFormula>
    </tableColumn>
    <tableColumn id="25" xr3:uid="{D65C15EE-FFF8-4D1D-8812-4D322ED46E8F}" name="R13" dataDxfId="48">
      <calculatedColumnFormula>IFERROR(_xlfn.XLOOKUP(Selectivo[[#This Row],[DNI]],_VF2025[DNI],_VF2025[R3]),"70 DNC")</calculatedColumnFormula>
    </tableColumn>
    <tableColumn id="26" xr3:uid="{4FF0E1EA-7828-4E11-BED5-87D8B88DC87B}" name="R14" dataDxfId="47">
      <calculatedColumnFormula>IFERROR(_xlfn.XLOOKUP(Selectivo[[#This Row],[DNI]],_VF2025[DNI],_VF2025[R4]),"70 DNC")</calculatedColumnFormula>
    </tableColumn>
    <tableColumn id="27" xr3:uid="{CD8EAC89-88C1-4634-87BE-BC821583E36B}" name="R15" dataDxfId="46">
      <calculatedColumnFormula>IFERROR(_xlfn.XLOOKUP(Selectivo[[#This Row],[DNI]],_VF2025[DNI],_VF2025[R5]),"70 DNC")</calculatedColumnFormula>
    </tableColumn>
    <tableColumn id="28" xr3:uid="{3FA5D48B-B06E-433F-AA40-B86FD0267DAF}" name="R16" dataDxfId="45">
      <calculatedColumnFormula>IFERROR(_xlfn.XLOOKUP(Selectivo[[#This Row],[DNI]],_VF2025[DNI],_VF2025[R6]),"70 DNC")</calculatedColumnFormula>
    </tableColumn>
    <tableColumn id="29" xr3:uid="{C563AAED-3E77-4F17-BCF7-E332219983D0}" name="R17" dataDxfId="44">
      <calculatedColumnFormula array="1">IFERROR(_xlfn.XLOOKUP(Selectivo[[#This Row],[Vela]],_xlfn.NUMBERVALUE(SIL25v2[Sail '#]),SIL25v2[1]),"90 DNC")</calculatedColumnFormula>
    </tableColumn>
    <tableColumn id="33" xr3:uid="{B111C784-FE6A-442F-827E-18B5B4A1EBCC}" name="R18" dataDxfId="43">
      <calculatedColumnFormula array="1">IFERROR(_xlfn.XLOOKUP(Selectivo[[#This Row],[Vela]],_xlfn.NUMBERVALUE(SIL25v2[Sail '#]),SIL25v2[2]),"90 DNC")</calculatedColumnFormula>
    </tableColumn>
    <tableColumn id="34" xr3:uid="{29E8D537-5DA1-4FB3-902C-24FD99D1547E}" name="R19" dataDxfId="42">
      <calculatedColumnFormula array="1">IFERROR(_xlfn.XLOOKUP(Selectivo[[#This Row],[Vela]],_xlfn.NUMBERVALUE(SIL25v2[Sail '#]),SIL25v2[3]),"90 DNC")</calculatedColumnFormula>
    </tableColumn>
    <tableColumn id="30" xr3:uid="{62F26B25-C51E-4E46-B392-D63D4C1EAA86}" name="R20" dataDxfId="41">
      <calculatedColumnFormula array="1">IFERROR(_xlfn.XLOOKUP(Selectivo[[#This Row],[Vela]],_xlfn.NUMBERVALUE(SIL25v2[Sail '#]),SIL25v2[4]),"90 DNC")</calculatedColumnFormula>
    </tableColumn>
    <tableColumn id="32" xr3:uid="{9C809963-DF0A-4DDA-A8F9-75A035AFE036}" name="R21" dataDxfId="40">
      <calculatedColumnFormula array="1">IFERROR(_xlfn.XLOOKUP(Selectivo[[#This Row],[Vela]],_xlfn.NUMBERVALUE(SIL25v2[Sail '#]),SIL25v2[5]),"90 DNC")</calculatedColumnFormula>
    </tableColumn>
    <tableColumn id="35" xr3:uid="{D1750583-AAE6-4F9B-A37F-A7AC5E743711}" name="R22" dataDxfId="39">
      <calculatedColumnFormula array="1">IFERROR(_xlfn.XLOOKUP(Selectivo[[#This Row],[Vela]],_xlfn.NUMBERVALUE(SIL25v2[Sail '#]),SIL25v2[6]),"90 DNC")</calculatedColumnFormula>
    </tableColumn>
    <tableColumn id="9" xr3:uid="{B525E9A7-1346-46CB-9E56-8D43A2DF9A81}" name="Total" dataDxfId="38">
      <calculatedColumnFormula array="1">SUM(IFERROR(VALUE(LEFT(Regatas, FIND(" ",Regatas&amp; " ") - 1)), 0))</calculatedColumnFormula>
    </tableColumn>
    <tableColumn id="10" xr3:uid="{5CD36FC5-D257-419E-8079-8ADA4D3B9ECC}" name="Nett" dataDxfId="37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1F5FC22D-7D7B-4305-AB3F-4C8F1A6A4966}" name="DE1" dataDxfId="36">
      <calculatedColumnFormula>SMALL(RegatasN,1)</calculatedColumnFormula>
    </tableColumn>
    <tableColumn id="12" xr3:uid="{107F4B5F-39F5-4651-AAA2-104B982AB7D2}" name="DE2" dataDxfId="35">
      <calculatedColumnFormula>SMALL(RegatasN,2)</calculatedColumnFormula>
    </tableColumn>
    <tableColumn id="13" xr3:uid="{67483B4A-0731-4B47-B54C-382D91967BD0}" name="DE3" dataDxfId="34">
      <calculatedColumnFormula>SMALL(RegatasN,3)</calculatedColumnFormula>
    </tableColumn>
    <tableColumn id="20" xr3:uid="{7ACB5ED2-FB29-4F32-B5CF-A5C21B68C056}" name="DE4" dataDxfId="33">
      <calculatedColumnFormula array="1">COUNTIF(Regatas,SMALL(Regatas,1))</calculatedColumnFormula>
    </tableColumn>
    <tableColumn id="19" xr3:uid="{6122EA51-EEB1-4393-8326-C3F9C31031FA}" name="UR" dataDxfId="32">
      <calculatedColumnFormula array="1">VALUE(LEFT(INDEX(Selectivo[#This Row],,MATCH(Selectivo[[#Headers],[Total]],Selectivo[#Headers],0)-1),SEARCH(" ",INDEX(Selectivo[#This Row],,MATCH(Selectivo[[#Headers],[Total]],Selectivo[#Headers],0)-1)&amp;" ")-1))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76" totalsRowShown="0" tableBorderDxfId="31">
  <autoFilter ref="A6:AH176" xr:uid="{DAD8BD19-E7C7-4351-BBFE-4B1EC9C1DEAE}"/>
  <sortState xmlns:xlrd2="http://schemas.microsoft.com/office/spreadsheetml/2017/richdata2" ref="A7:AH176">
    <sortCondition ref="AC7:AC176"/>
    <sortCondition ref="AD7:AD176"/>
    <sortCondition ref="AE7:AE176"/>
    <sortCondition ref="AF7:AF176"/>
    <sortCondition descending="1" ref="AG7:AG176"/>
    <sortCondition ref="AH7:AH176"/>
  </sortState>
  <tableColumns count="34">
    <tableColumn id="1" xr3:uid="{6E6CB5F5-D6CF-4150-A6F6-3EC6A627B524}" name="DNI"/>
    <tableColumn id="2" xr3:uid="{1B94D03C-A354-4DE2-914D-A38FAA53FBF1}" name="Pos" dataDxfId="30">
      <calculatedColumnFormula>ROW()-ROW(Selectivo6[[#Headers],[Pos]])</calculatedColumnFormula>
    </tableColumn>
    <tableColumn id="3" xr3:uid="{F6A6CA74-CA3B-47C8-9E1A-72A99E88236D}" name="Vela" dataDxfId="29"/>
    <tableColumn id="4" xr3:uid="{32BEBC73-7A45-4079-93C3-BD4C23C1D287}" name="Timonel"/>
    <tableColumn id="5" xr3:uid="{6DE4CF4E-501C-4512-B4CC-0432DBC81DBE}" name="Club"/>
    <tableColumn id="6" xr3:uid="{8E6095D3-2D85-4238-A233-15776FFBFB71}" name="R1" dataDxfId="28"/>
    <tableColumn id="7" xr3:uid="{52848B99-6EF9-4344-BAAB-C64869478E76}" name="R2" dataDxfId="27"/>
    <tableColumn id="8" xr3:uid="{1FECFC30-5E0B-447F-89A2-D008C4CC26C9}" name="R3" dataDxfId="26"/>
    <tableColumn id="14" xr3:uid="{25DBFBA9-C2D7-4E0F-B97E-7C813A9F97F2}" name="R4" dataDxfId="25"/>
    <tableColumn id="15" xr3:uid="{32E7D763-51AF-4832-983A-45FCBFAE95D9}" name="R5" dataDxfId="24"/>
    <tableColumn id="17" xr3:uid="{96C64364-5509-4852-95D2-36B75AD2336A}" name="R6" dataDxfId="23"/>
    <tableColumn id="18" xr3:uid="{5D6DFD7C-D4F3-4CAF-8F53-A59E7671F366}" name="R7" dataDxfId="22"/>
    <tableColumn id="16" xr3:uid="{1F48D02A-07CD-498A-9592-3B4C8869A0DF}" name="R8" dataDxfId="21"/>
    <tableColumn id="21" xr3:uid="{85EBC76D-E72E-4E1B-91E6-ED90A70036F3}" name="R9" dataDxfId="20"/>
    <tableColumn id="22" xr3:uid="{B8316B7C-2925-4B90-8849-D7C8B97B14DA}" name="R10" dataDxfId="19"/>
    <tableColumn id="23" xr3:uid="{C5946883-6A67-485F-8190-5161630B3E7D}" name="R11" dataDxfId="18"/>
    <tableColumn id="24" xr3:uid="{5F89BF81-3D6C-46B6-A7CF-E78F032DDAB7}" name="R12" dataDxfId="17"/>
    <tableColumn id="25" xr3:uid="{A9A5CC6E-F354-4F04-BCB2-9DF654059A98}" name="R13" dataDxfId="16"/>
    <tableColumn id="26" xr3:uid="{C00C3284-EE42-418D-90A2-C4E083535C45}" name="R14" dataDxfId="15"/>
    <tableColumn id="27" xr3:uid="{93C1F253-DC97-4D54-A93A-86C632C02801}" name="R15" dataDxfId="14"/>
    <tableColumn id="28" xr3:uid="{6F1499B4-F144-46A9-9CA3-6E730190608A}" name="R16" dataDxfId="13"/>
    <tableColumn id="29" xr3:uid="{D8829C42-C6E8-449A-9ABE-854A1F6019AD}" name="R17" dataDxfId="12"/>
    <tableColumn id="33" xr3:uid="{64FAA755-5064-4013-94EB-596FBE476F88}" name="R18" dataDxfId="11"/>
    <tableColumn id="34" xr3:uid="{A1D2F11C-9DD4-4809-8522-887CAB92179C}" name="R19" dataDxfId="10"/>
    <tableColumn id="30" xr3:uid="{4996BB29-1CF3-434D-8E91-1AB36465B8F9}" name="R20" dataDxfId="9"/>
    <tableColumn id="32" xr3:uid="{91B335D8-34F8-42E3-9467-471D87112CED}" name="R21" dataDxfId="8"/>
    <tableColumn id="35" xr3:uid="{5BAAD142-7BC7-456B-A7D8-D962AA98DDF2}" name="R22" dataDxfId="7"/>
    <tableColumn id="9" xr3:uid="{0BA84522-51CD-4A41-98E1-B6FE0D66B88C}" name="Total" dataDxfId="6">
      <calculatedColumnFormula array="1">SUM(IFERROR(VALUE(LEFT(Regatas, FIND(" ",Regatas&amp; " ") - 1)), 0))</calculatedColumnFormula>
    </tableColumn>
    <tableColumn id="10" xr3:uid="{513C01D1-4FC1-42D5-9FE9-9E26CCCFB072}" name="Nett" dataDxfId="5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4">
      <calculatedColumnFormula>SMALL(RegatasN,1)</calculatedColumnFormula>
    </tableColumn>
    <tableColumn id="12" xr3:uid="{51484A47-BE5B-422C-9419-1AEBF59679A7}" name="DE2" dataDxfId="3">
      <calculatedColumnFormula>SMALL(RegatasN,2)</calculatedColumnFormula>
    </tableColumn>
    <tableColumn id="13" xr3:uid="{2D6C5AAB-ADEA-4F96-A127-D3143AEABD33}" name="DE3" dataDxfId="2">
      <calculatedColumnFormula>SMALL(RegatasN,3)</calculatedColumnFormula>
    </tableColumn>
    <tableColumn id="20" xr3:uid="{0028F7BD-13F4-4EA3-AEC9-99273C47ACCC}" name="DE4" dataDxfId="1">
      <calculatedColumnFormula array="1">COUNTIF(Regatas,SMALL(Regatas,1))</calculatedColumnFormula>
    </tableColumn>
    <tableColumn id="19" xr3:uid="{9542EB1E-B0E1-488D-8107-F29AA3110398}" name="UR" dataDxfId="0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F41"/>
  <sheetViews>
    <sheetView tabSelected="1" workbookViewId="0">
      <selection activeCell="J11" sqref="J11"/>
    </sheetView>
  </sheetViews>
  <sheetFormatPr defaultRowHeight="15" x14ac:dyDescent="0.25"/>
  <cols>
    <col min="1" max="1" width="5" bestFit="1" customWidth="1"/>
    <col min="2" max="2" width="14.28515625" bestFit="1" customWidth="1"/>
    <col min="3" max="3" width="20.42578125" bestFit="1" customWidth="1"/>
    <col min="4" max="5" width="7.28515625" bestFit="1" customWidth="1"/>
    <col min="6" max="6" width="21.42578125" customWidth="1"/>
    <col min="7" max="7" width="10.855468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92</v>
      </c>
    </row>
    <row r="2" spans="1:6" x14ac:dyDescent="0.25">
      <c r="A2">
        <v>1985</v>
      </c>
      <c r="B2" t="s">
        <v>1941</v>
      </c>
      <c r="C2" t="s">
        <v>61</v>
      </c>
      <c r="D2" t="s">
        <v>23</v>
      </c>
      <c r="E2">
        <v>4064</v>
      </c>
      <c r="F2" t="s">
        <v>1936</v>
      </c>
    </row>
    <row r="3" spans="1:6" x14ac:dyDescent="0.25">
      <c r="A3">
        <v>1889</v>
      </c>
      <c r="B3" t="s">
        <v>1937</v>
      </c>
      <c r="C3" t="s">
        <v>20</v>
      </c>
      <c r="D3" t="s">
        <v>21</v>
      </c>
      <c r="E3">
        <v>4048</v>
      </c>
      <c r="F3" t="s">
        <v>1936</v>
      </c>
    </row>
    <row r="4" spans="1:6" x14ac:dyDescent="0.25">
      <c r="A4">
        <v>1832</v>
      </c>
      <c r="B4" t="s">
        <v>12</v>
      </c>
      <c r="C4" t="s">
        <v>1938</v>
      </c>
      <c r="D4" t="s">
        <v>9</v>
      </c>
      <c r="E4">
        <v>4274</v>
      </c>
      <c r="F4" t="s">
        <v>1936</v>
      </c>
    </row>
    <row r="5" spans="1:6" x14ac:dyDescent="0.25">
      <c r="A5">
        <v>1770</v>
      </c>
      <c r="B5" t="s">
        <v>75</v>
      </c>
      <c r="C5" t="s">
        <v>90</v>
      </c>
      <c r="D5" t="s">
        <v>17</v>
      </c>
      <c r="E5">
        <v>3977</v>
      </c>
      <c r="F5" t="s">
        <v>1936</v>
      </c>
    </row>
    <row r="6" spans="1:6" x14ac:dyDescent="0.25">
      <c r="A6">
        <v>1746</v>
      </c>
      <c r="B6" t="s">
        <v>1934</v>
      </c>
      <c r="C6" t="s">
        <v>1935</v>
      </c>
      <c r="D6" t="s">
        <v>71</v>
      </c>
      <c r="E6">
        <v>4275</v>
      </c>
      <c r="F6" t="s">
        <v>1936</v>
      </c>
    </row>
    <row r="7" spans="1:6" x14ac:dyDescent="0.25">
      <c r="A7">
        <v>1730</v>
      </c>
      <c r="B7" t="s">
        <v>15</v>
      </c>
      <c r="C7" t="s">
        <v>14</v>
      </c>
      <c r="D7" t="s">
        <v>11</v>
      </c>
      <c r="E7">
        <v>3908</v>
      </c>
      <c r="F7" t="s">
        <v>1936</v>
      </c>
    </row>
    <row r="8" spans="1:6" x14ac:dyDescent="0.25">
      <c r="A8">
        <v>1707</v>
      </c>
      <c r="B8" t="s">
        <v>68</v>
      </c>
      <c r="C8" t="s">
        <v>69</v>
      </c>
      <c r="D8" t="s">
        <v>23</v>
      </c>
      <c r="E8">
        <v>4001</v>
      </c>
      <c r="F8" t="s">
        <v>1936</v>
      </c>
    </row>
    <row r="9" spans="1:6" x14ac:dyDescent="0.25">
      <c r="A9">
        <v>1705</v>
      </c>
      <c r="B9" t="s">
        <v>35</v>
      </c>
      <c r="C9" t="s">
        <v>36</v>
      </c>
      <c r="D9" t="s">
        <v>23</v>
      </c>
      <c r="E9">
        <v>4282</v>
      </c>
      <c r="F9" t="s">
        <v>1936</v>
      </c>
    </row>
    <row r="10" spans="1:6" x14ac:dyDescent="0.25">
      <c r="A10">
        <v>1704</v>
      </c>
      <c r="B10" t="s">
        <v>60</v>
      </c>
      <c r="C10" t="s">
        <v>61</v>
      </c>
      <c r="D10" t="s">
        <v>23</v>
      </c>
      <c r="E10">
        <v>4093</v>
      </c>
      <c r="F10" t="s">
        <v>1936</v>
      </c>
    </row>
    <row r="11" spans="1:6" x14ac:dyDescent="0.25">
      <c r="A11">
        <v>1654</v>
      </c>
      <c r="B11" t="s">
        <v>1939</v>
      </c>
      <c r="C11" t="s">
        <v>1940</v>
      </c>
      <c r="D11" t="s">
        <v>39</v>
      </c>
      <c r="E11">
        <v>4183</v>
      </c>
      <c r="F11" t="s">
        <v>1936</v>
      </c>
    </row>
    <row r="12" spans="1:6" x14ac:dyDescent="0.25">
      <c r="A12">
        <v>1633</v>
      </c>
      <c r="B12" t="s">
        <v>37</v>
      </c>
      <c r="C12" t="s">
        <v>38</v>
      </c>
      <c r="D12" t="s">
        <v>39</v>
      </c>
      <c r="E12">
        <v>4261</v>
      </c>
      <c r="F12" t="s">
        <v>1936</v>
      </c>
    </row>
    <row r="13" spans="1:6" x14ac:dyDescent="0.25">
      <c r="A13">
        <v>1629</v>
      </c>
      <c r="B13" t="s">
        <v>50</v>
      </c>
      <c r="C13" t="s">
        <v>51</v>
      </c>
      <c r="D13" t="s">
        <v>39</v>
      </c>
      <c r="E13">
        <v>3832</v>
      </c>
      <c r="F13" t="s">
        <v>1936</v>
      </c>
    </row>
    <row r="14" spans="1:6" x14ac:dyDescent="0.25">
      <c r="A14">
        <v>1626</v>
      </c>
      <c r="B14" t="s">
        <v>73</v>
      </c>
      <c r="C14" t="s">
        <v>74</v>
      </c>
      <c r="D14" t="s">
        <v>26</v>
      </c>
      <c r="E14">
        <v>4195</v>
      </c>
      <c r="F14" t="s">
        <v>1936</v>
      </c>
    </row>
    <row r="15" spans="1:6" x14ac:dyDescent="0.25">
      <c r="A15">
        <v>1609</v>
      </c>
      <c r="B15" t="s">
        <v>56</v>
      </c>
      <c r="C15" t="s">
        <v>57</v>
      </c>
      <c r="D15" t="s">
        <v>7</v>
      </c>
      <c r="E15">
        <v>4245</v>
      </c>
      <c r="F15" t="s">
        <v>1936</v>
      </c>
    </row>
    <row r="16" spans="1:6" x14ac:dyDescent="0.25">
      <c r="A16">
        <v>1601</v>
      </c>
      <c r="B16" t="s">
        <v>42</v>
      </c>
      <c r="C16" t="s">
        <v>43</v>
      </c>
      <c r="D16" t="s">
        <v>21</v>
      </c>
      <c r="E16">
        <v>4210</v>
      </c>
      <c r="F16" t="s">
        <v>1936</v>
      </c>
    </row>
    <row r="17" spans="1:6" x14ac:dyDescent="0.25">
      <c r="A17">
        <v>1598</v>
      </c>
      <c r="B17" t="s">
        <v>1943</v>
      </c>
      <c r="C17" t="s">
        <v>1944</v>
      </c>
      <c r="D17" t="s">
        <v>26</v>
      </c>
      <c r="E17">
        <v>4215</v>
      </c>
      <c r="F17" t="s">
        <v>1936</v>
      </c>
    </row>
    <row r="18" spans="1:6" x14ac:dyDescent="0.25">
      <c r="A18">
        <v>1580</v>
      </c>
      <c r="B18" t="s">
        <v>45</v>
      </c>
      <c r="C18" t="s">
        <v>80</v>
      </c>
      <c r="D18" t="s">
        <v>5</v>
      </c>
      <c r="E18">
        <v>4188</v>
      </c>
      <c r="F18" t="s">
        <v>1936</v>
      </c>
    </row>
    <row r="19" spans="1:6" x14ac:dyDescent="0.25">
      <c r="A19">
        <v>1570</v>
      </c>
      <c r="B19" t="s">
        <v>12</v>
      </c>
      <c r="C19" t="s">
        <v>72</v>
      </c>
      <c r="D19" t="s">
        <v>33</v>
      </c>
      <c r="E19">
        <v>4218</v>
      </c>
      <c r="F19" t="s">
        <v>1936</v>
      </c>
    </row>
    <row r="20" spans="1:6" x14ac:dyDescent="0.25">
      <c r="A20">
        <v>1568</v>
      </c>
      <c r="B20" t="s">
        <v>86</v>
      </c>
      <c r="C20" t="s">
        <v>87</v>
      </c>
      <c r="D20" t="s">
        <v>17</v>
      </c>
      <c r="E20">
        <v>4234</v>
      </c>
      <c r="F20" t="s">
        <v>1936</v>
      </c>
    </row>
    <row r="21" spans="1:6" x14ac:dyDescent="0.25">
      <c r="A21">
        <v>1545</v>
      </c>
      <c r="B21" t="s">
        <v>75</v>
      </c>
      <c r="C21" t="s">
        <v>74</v>
      </c>
      <c r="D21" t="s">
        <v>7</v>
      </c>
      <c r="E21">
        <v>4136</v>
      </c>
      <c r="F21" t="s">
        <v>1936</v>
      </c>
    </row>
    <row r="22" spans="1:6" x14ac:dyDescent="0.25">
      <c r="A22">
        <v>1533</v>
      </c>
      <c r="B22" t="s">
        <v>29</v>
      </c>
      <c r="C22" t="s">
        <v>1945</v>
      </c>
      <c r="D22" t="s">
        <v>10</v>
      </c>
      <c r="E22">
        <v>3903</v>
      </c>
      <c r="F22" t="s">
        <v>1936</v>
      </c>
    </row>
    <row r="23" spans="1:6" x14ac:dyDescent="0.25">
      <c r="A23">
        <v>1522</v>
      </c>
      <c r="B23" t="s">
        <v>52</v>
      </c>
      <c r="C23" t="s">
        <v>53</v>
      </c>
      <c r="D23" t="s">
        <v>9</v>
      </c>
      <c r="E23">
        <v>4100</v>
      </c>
      <c r="F23" t="s">
        <v>1936</v>
      </c>
    </row>
    <row r="24" spans="1:6" x14ac:dyDescent="0.25">
      <c r="A24">
        <v>1498</v>
      </c>
      <c r="B24" t="s">
        <v>45</v>
      </c>
      <c r="C24" t="s">
        <v>46</v>
      </c>
      <c r="D24" t="s">
        <v>33</v>
      </c>
      <c r="E24">
        <v>4280</v>
      </c>
      <c r="F24" t="s">
        <v>1936</v>
      </c>
    </row>
    <row r="25" spans="1:6" x14ac:dyDescent="0.25">
      <c r="A25">
        <v>1497</v>
      </c>
      <c r="B25" t="s">
        <v>1942</v>
      </c>
      <c r="C25" t="s">
        <v>64</v>
      </c>
      <c r="D25" t="s">
        <v>33</v>
      </c>
      <c r="E25">
        <v>4104</v>
      </c>
      <c r="F25" t="s">
        <v>1936</v>
      </c>
    </row>
    <row r="26" spans="1:6" x14ac:dyDescent="0.25">
      <c r="A26">
        <v>1492</v>
      </c>
      <c r="B26" t="s">
        <v>18</v>
      </c>
      <c r="C26" t="s">
        <v>19</v>
      </c>
      <c r="D26" t="s">
        <v>9</v>
      </c>
      <c r="E26">
        <v>4171</v>
      </c>
      <c r="F26" t="s">
        <v>1936</v>
      </c>
    </row>
    <row r="27" spans="1:6" x14ac:dyDescent="0.25">
      <c r="A27">
        <v>1480</v>
      </c>
      <c r="B27" t="s">
        <v>54</v>
      </c>
      <c r="C27" t="s">
        <v>55</v>
      </c>
      <c r="D27" t="s">
        <v>33</v>
      </c>
      <c r="E27">
        <v>4139</v>
      </c>
      <c r="F27" t="s">
        <v>1936</v>
      </c>
    </row>
    <row r="28" spans="1:6" x14ac:dyDescent="0.25">
      <c r="A28">
        <v>1461</v>
      </c>
      <c r="B28" t="s">
        <v>34</v>
      </c>
      <c r="C28" t="s">
        <v>91</v>
      </c>
      <c r="D28" t="s">
        <v>17</v>
      </c>
      <c r="E28">
        <v>4167</v>
      </c>
      <c r="F28" t="s">
        <v>1936</v>
      </c>
    </row>
    <row r="29" spans="1:6" x14ac:dyDescent="0.25">
      <c r="A29">
        <v>1458</v>
      </c>
      <c r="B29" t="s">
        <v>88</v>
      </c>
      <c r="C29" t="s">
        <v>89</v>
      </c>
      <c r="D29" t="s">
        <v>8</v>
      </c>
      <c r="E29">
        <v>3938</v>
      </c>
      <c r="F29" t="s">
        <v>1936</v>
      </c>
    </row>
    <row r="30" spans="1:6" x14ac:dyDescent="0.25">
      <c r="A30">
        <v>1412</v>
      </c>
      <c r="B30" t="s">
        <v>24</v>
      </c>
      <c r="C30" t="s">
        <v>25</v>
      </c>
      <c r="D30" t="s">
        <v>26</v>
      </c>
      <c r="E30">
        <v>4057</v>
      </c>
      <c r="F30" t="s">
        <v>1936</v>
      </c>
    </row>
    <row r="31" spans="1:6" x14ac:dyDescent="0.25">
      <c r="A31">
        <v>1397</v>
      </c>
      <c r="B31" t="s">
        <v>81</v>
      </c>
      <c r="C31" t="s">
        <v>82</v>
      </c>
      <c r="D31" t="s">
        <v>16</v>
      </c>
      <c r="E31">
        <v>3980</v>
      </c>
      <c r="F31" t="s">
        <v>1936</v>
      </c>
    </row>
    <row r="32" spans="1:6" x14ac:dyDescent="0.25">
      <c r="A32">
        <v>1395</v>
      </c>
      <c r="B32" t="s">
        <v>48</v>
      </c>
      <c r="C32" t="s">
        <v>49</v>
      </c>
      <c r="D32" t="s">
        <v>16</v>
      </c>
      <c r="E32">
        <v>4185</v>
      </c>
      <c r="F32" t="s">
        <v>1936</v>
      </c>
    </row>
    <row r="33" spans="1:6" x14ac:dyDescent="0.25">
      <c r="A33">
        <v>1367</v>
      </c>
      <c r="B33" t="s">
        <v>65</v>
      </c>
      <c r="C33" t="s">
        <v>66</v>
      </c>
      <c r="D33" t="s">
        <v>10</v>
      </c>
      <c r="E33">
        <v>4193</v>
      </c>
      <c r="F33" t="s">
        <v>1936</v>
      </c>
    </row>
    <row r="34" spans="1:6" x14ac:dyDescent="0.25">
      <c r="A34">
        <v>1338</v>
      </c>
      <c r="B34" t="s">
        <v>32</v>
      </c>
      <c r="C34" t="s">
        <v>47</v>
      </c>
      <c r="D34" t="s">
        <v>16</v>
      </c>
      <c r="E34">
        <v>4182</v>
      </c>
      <c r="F34" t="s">
        <v>1936</v>
      </c>
    </row>
    <row r="35" spans="1:6" x14ac:dyDescent="0.25">
      <c r="A35">
        <v>1283</v>
      </c>
      <c r="B35" t="s">
        <v>40</v>
      </c>
      <c r="C35" t="s">
        <v>41</v>
      </c>
      <c r="D35" t="s">
        <v>22</v>
      </c>
      <c r="E35">
        <v>4192</v>
      </c>
      <c r="F35" t="s">
        <v>1936</v>
      </c>
    </row>
    <row r="36" spans="1:6" x14ac:dyDescent="0.25">
      <c r="A36">
        <v>1252</v>
      </c>
      <c r="B36" t="s">
        <v>28</v>
      </c>
      <c r="C36" t="s">
        <v>70</v>
      </c>
      <c r="D36" t="s">
        <v>26</v>
      </c>
      <c r="E36">
        <v>4165</v>
      </c>
      <c r="F36" t="s">
        <v>1936</v>
      </c>
    </row>
    <row r="37" spans="1:6" x14ac:dyDescent="0.25">
      <c r="A37">
        <v>1246</v>
      </c>
      <c r="B37" t="s">
        <v>58</v>
      </c>
      <c r="C37" t="s">
        <v>59</v>
      </c>
      <c r="D37" t="s">
        <v>16</v>
      </c>
      <c r="E37">
        <v>4099</v>
      </c>
      <c r="F37" t="s">
        <v>1936</v>
      </c>
    </row>
    <row r="38" spans="1:6" x14ac:dyDescent="0.25">
      <c r="A38">
        <v>1195</v>
      </c>
      <c r="B38" t="s">
        <v>77</v>
      </c>
      <c r="C38" t="s">
        <v>78</v>
      </c>
      <c r="D38" t="s">
        <v>21</v>
      </c>
      <c r="E38">
        <v>4134</v>
      </c>
      <c r="F38" t="s">
        <v>1936</v>
      </c>
    </row>
    <row r="39" spans="1:6" x14ac:dyDescent="0.25">
      <c r="A39">
        <v>1190</v>
      </c>
      <c r="B39" t="s">
        <v>30</v>
      </c>
      <c r="C39" t="s">
        <v>62</v>
      </c>
      <c r="D39" t="s">
        <v>33</v>
      </c>
      <c r="E39">
        <v>4073</v>
      </c>
      <c r="F39" t="s">
        <v>1936</v>
      </c>
    </row>
    <row r="40" spans="1:6" x14ac:dyDescent="0.25">
      <c r="A40">
        <v>1167</v>
      </c>
      <c r="B40" t="s">
        <v>83</v>
      </c>
      <c r="C40" t="s">
        <v>84</v>
      </c>
      <c r="D40" t="s">
        <v>11</v>
      </c>
      <c r="E40">
        <v>4175</v>
      </c>
      <c r="F40" t="s">
        <v>1936</v>
      </c>
    </row>
    <row r="41" spans="1:6" x14ac:dyDescent="0.25">
      <c r="A41">
        <v>1108</v>
      </c>
      <c r="B41" t="s">
        <v>85</v>
      </c>
      <c r="C41" t="s">
        <v>84</v>
      </c>
      <c r="D41" t="s">
        <v>11</v>
      </c>
      <c r="E41">
        <v>4260</v>
      </c>
      <c r="F41" t="s">
        <v>1936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CC6BF-B778-4663-83E1-37617E1D05D4}">
  <sheetPr codeName="Sheet2"/>
  <dimension ref="A1:R232"/>
  <sheetViews>
    <sheetView workbookViewId="0">
      <selection activeCell="S2" sqref="S2"/>
    </sheetView>
  </sheetViews>
  <sheetFormatPr defaultRowHeight="15" x14ac:dyDescent="0.25"/>
  <cols>
    <col min="1" max="1" width="29.28515625" bestFit="1" customWidth="1"/>
    <col min="2" max="2" width="6.5703125" bestFit="1" customWidth="1"/>
    <col min="3" max="3" width="6.85546875" bestFit="1" customWidth="1"/>
    <col min="4" max="4" width="33" bestFit="1" customWidth="1"/>
    <col min="5" max="5" width="16" bestFit="1" customWidth="1"/>
    <col min="6" max="6" width="10.140625" bestFit="1" customWidth="1"/>
    <col min="7" max="16" width="7.140625" bestFit="1" customWidth="1"/>
    <col min="17" max="17" width="7.42578125" bestFit="1" customWidth="1"/>
    <col min="18" max="18" width="6.85546875" customWidth="1"/>
    <col min="19" max="19" width="36" bestFit="1" customWidth="1"/>
    <col min="20" max="21" width="10.7109375" bestFit="1" customWidth="1"/>
    <col min="22" max="22" width="33" bestFit="1" customWidth="1"/>
    <col min="23" max="23" width="16" bestFit="1" customWidth="1"/>
    <col min="24" max="27" width="10.7109375" bestFit="1" customWidth="1"/>
    <col min="28" max="29" width="11.7109375" bestFit="1" customWidth="1"/>
  </cols>
  <sheetData>
    <row r="1" spans="1:18" x14ac:dyDescent="0.25">
      <c r="A1" t="s">
        <v>346</v>
      </c>
      <c r="B1" t="s">
        <v>93</v>
      </c>
      <c r="C1" t="s">
        <v>4</v>
      </c>
      <c r="D1" t="s">
        <v>344</v>
      </c>
      <c r="E1" t="s">
        <v>3</v>
      </c>
      <c r="F1" t="s">
        <v>92</v>
      </c>
      <c r="G1" t="s">
        <v>347</v>
      </c>
      <c r="H1" t="s">
        <v>348</v>
      </c>
      <c r="I1" t="s">
        <v>349</v>
      </c>
      <c r="J1" t="s">
        <v>761</v>
      </c>
      <c r="K1" t="s">
        <v>763</v>
      </c>
      <c r="L1" t="s">
        <v>764</v>
      </c>
      <c r="M1" t="s">
        <v>766</v>
      </c>
      <c r="N1" t="s">
        <v>775</v>
      </c>
      <c r="O1" t="s">
        <v>776</v>
      </c>
      <c r="P1" t="s">
        <v>777</v>
      </c>
      <c r="Q1" t="s">
        <v>350</v>
      </c>
      <c r="R1" t="s">
        <v>351</v>
      </c>
    </row>
    <row r="2" spans="1:18" x14ac:dyDescent="0.25">
      <c r="A2" t="s">
        <v>352</v>
      </c>
      <c r="B2" t="s">
        <v>95</v>
      </c>
      <c r="C2">
        <v>4122</v>
      </c>
      <c r="D2" t="s">
        <v>298</v>
      </c>
      <c r="E2" t="s">
        <v>21</v>
      </c>
      <c r="F2">
        <v>51432202</v>
      </c>
      <c r="G2">
        <v>6</v>
      </c>
      <c r="H2">
        <v>1</v>
      </c>
      <c r="I2">
        <v>3</v>
      </c>
      <c r="J2">
        <v>2</v>
      </c>
      <c r="K2">
        <v>2</v>
      </c>
      <c r="L2">
        <v>1</v>
      </c>
      <c r="M2">
        <v>1</v>
      </c>
      <c r="N2">
        <v>1</v>
      </c>
      <c r="O2">
        <v>1</v>
      </c>
      <c r="P2">
        <v>1</v>
      </c>
      <c r="Q2">
        <v>19</v>
      </c>
      <c r="R2">
        <v>13</v>
      </c>
    </row>
    <row r="3" spans="1:18" x14ac:dyDescent="0.25">
      <c r="A3" t="s">
        <v>353</v>
      </c>
      <c r="B3" t="s">
        <v>95</v>
      </c>
      <c r="C3">
        <v>4011</v>
      </c>
      <c r="D3" t="s">
        <v>260</v>
      </c>
      <c r="E3" t="s">
        <v>7</v>
      </c>
      <c r="F3">
        <v>50416772</v>
      </c>
      <c r="G3">
        <v>6</v>
      </c>
      <c r="H3">
        <v>2</v>
      </c>
      <c r="I3">
        <v>1</v>
      </c>
      <c r="J3">
        <v>1</v>
      </c>
      <c r="K3">
        <v>1</v>
      </c>
      <c r="L3">
        <v>2</v>
      </c>
      <c r="M3">
        <v>1</v>
      </c>
      <c r="N3">
        <v>1</v>
      </c>
      <c r="O3">
        <v>8</v>
      </c>
      <c r="P3">
        <v>1</v>
      </c>
      <c r="Q3">
        <v>24</v>
      </c>
      <c r="R3">
        <v>16</v>
      </c>
    </row>
    <row r="4" spans="1:18" x14ac:dyDescent="0.25">
      <c r="A4" t="s">
        <v>354</v>
      </c>
      <c r="B4" t="s">
        <v>95</v>
      </c>
      <c r="C4">
        <v>4038</v>
      </c>
      <c r="D4" t="s">
        <v>270</v>
      </c>
      <c r="E4" t="s">
        <v>17</v>
      </c>
      <c r="F4">
        <v>50351678</v>
      </c>
      <c r="G4">
        <v>1</v>
      </c>
      <c r="H4">
        <v>2</v>
      </c>
      <c r="I4">
        <v>1</v>
      </c>
      <c r="J4">
        <v>1</v>
      </c>
      <c r="K4">
        <v>1</v>
      </c>
      <c r="L4">
        <v>2</v>
      </c>
      <c r="M4">
        <v>4</v>
      </c>
      <c r="N4">
        <v>4</v>
      </c>
      <c r="O4">
        <v>4</v>
      </c>
      <c r="P4">
        <v>1</v>
      </c>
      <c r="Q4">
        <v>21</v>
      </c>
      <c r="R4">
        <v>17</v>
      </c>
    </row>
    <row r="5" spans="1:18" x14ac:dyDescent="0.25">
      <c r="A5" t="s">
        <v>355</v>
      </c>
      <c r="B5" t="s">
        <v>95</v>
      </c>
      <c r="C5">
        <v>4175</v>
      </c>
      <c r="D5" t="s">
        <v>318</v>
      </c>
      <c r="E5" t="s">
        <v>11</v>
      </c>
      <c r="F5">
        <v>50668849</v>
      </c>
      <c r="G5">
        <v>1</v>
      </c>
      <c r="H5">
        <v>1</v>
      </c>
      <c r="I5">
        <v>4</v>
      </c>
      <c r="J5">
        <v>3</v>
      </c>
      <c r="K5">
        <v>1</v>
      </c>
      <c r="L5">
        <v>4</v>
      </c>
      <c r="M5">
        <v>1</v>
      </c>
      <c r="N5">
        <v>1</v>
      </c>
      <c r="O5">
        <v>2</v>
      </c>
      <c r="P5">
        <v>5</v>
      </c>
      <c r="Q5">
        <v>23</v>
      </c>
      <c r="R5">
        <v>18</v>
      </c>
    </row>
    <row r="6" spans="1:18" x14ac:dyDescent="0.25">
      <c r="A6" t="s">
        <v>356</v>
      </c>
      <c r="B6" t="s">
        <v>95</v>
      </c>
      <c r="C6">
        <v>4101</v>
      </c>
      <c r="D6" t="s">
        <v>207</v>
      </c>
      <c r="E6" t="s">
        <v>26</v>
      </c>
      <c r="F6">
        <v>50434935</v>
      </c>
      <c r="G6">
        <v>2</v>
      </c>
      <c r="H6">
        <v>3</v>
      </c>
      <c r="I6">
        <v>1</v>
      </c>
      <c r="J6">
        <v>2</v>
      </c>
      <c r="K6">
        <v>2</v>
      </c>
      <c r="L6">
        <v>1</v>
      </c>
      <c r="M6">
        <v>4</v>
      </c>
      <c r="N6" t="s">
        <v>433</v>
      </c>
      <c r="O6">
        <v>4</v>
      </c>
      <c r="P6">
        <v>4</v>
      </c>
      <c r="Q6">
        <v>100</v>
      </c>
      <c r="R6">
        <v>23</v>
      </c>
    </row>
    <row r="7" spans="1:18" x14ac:dyDescent="0.25">
      <c r="A7" t="s">
        <v>357</v>
      </c>
      <c r="B7" t="s">
        <v>95</v>
      </c>
      <c r="C7">
        <v>4106</v>
      </c>
      <c r="D7" t="s">
        <v>208</v>
      </c>
      <c r="E7" t="s">
        <v>21</v>
      </c>
      <c r="F7">
        <v>47955823</v>
      </c>
      <c r="G7">
        <v>3</v>
      </c>
      <c r="H7">
        <v>7</v>
      </c>
      <c r="I7">
        <v>2</v>
      </c>
      <c r="J7">
        <v>1</v>
      </c>
      <c r="K7">
        <v>4</v>
      </c>
      <c r="L7">
        <v>2</v>
      </c>
      <c r="M7">
        <v>2</v>
      </c>
      <c r="N7">
        <v>3</v>
      </c>
      <c r="O7">
        <v>10</v>
      </c>
      <c r="P7">
        <v>3</v>
      </c>
      <c r="Q7">
        <v>37</v>
      </c>
      <c r="R7">
        <v>27</v>
      </c>
    </row>
    <row r="8" spans="1:18" x14ac:dyDescent="0.25">
      <c r="A8" t="s">
        <v>358</v>
      </c>
      <c r="B8" t="s">
        <v>95</v>
      </c>
      <c r="C8">
        <v>4209</v>
      </c>
      <c r="D8" t="s">
        <v>337</v>
      </c>
      <c r="E8" t="s">
        <v>11</v>
      </c>
      <c r="F8">
        <v>51049622</v>
      </c>
      <c r="G8">
        <v>4</v>
      </c>
      <c r="H8">
        <v>1</v>
      </c>
      <c r="I8">
        <v>4</v>
      </c>
      <c r="J8">
        <v>2</v>
      </c>
      <c r="K8">
        <v>2</v>
      </c>
      <c r="L8">
        <v>1</v>
      </c>
      <c r="M8">
        <v>4</v>
      </c>
      <c r="N8">
        <v>2</v>
      </c>
      <c r="O8">
        <v>20</v>
      </c>
      <c r="P8">
        <v>9</v>
      </c>
      <c r="Q8">
        <v>49</v>
      </c>
      <c r="R8">
        <v>29</v>
      </c>
    </row>
    <row r="9" spans="1:18" x14ac:dyDescent="0.25">
      <c r="A9" t="s">
        <v>359</v>
      </c>
      <c r="B9" t="s">
        <v>95</v>
      </c>
      <c r="C9">
        <v>4130</v>
      </c>
      <c r="D9" t="s">
        <v>211</v>
      </c>
      <c r="E9" t="s">
        <v>5</v>
      </c>
      <c r="F9">
        <v>50048657</v>
      </c>
      <c r="G9">
        <v>5</v>
      </c>
      <c r="H9">
        <v>4</v>
      </c>
      <c r="I9">
        <v>7</v>
      </c>
      <c r="J9">
        <v>4</v>
      </c>
      <c r="K9">
        <v>3</v>
      </c>
      <c r="L9">
        <v>3</v>
      </c>
      <c r="M9">
        <v>3</v>
      </c>
      <c r="N9">
        <v>2</v>
      </c>
      <c r="O9">
        <v>1</v>
      </c>
      <c r="P9">
        <v>6</v>
      </c>
      <c r="Q9">
        <v>38</v>
      </c>
      <c r="R9">
        <v>31</v>
      </c>
    </row>
    <row r="10" spans="1:18" x14ac:dyDescent="0.25">
      <c r="A10" t="s">
        <v>360</v>
      </c>
      <c r="B10" t="s">
        <v>95</v>
      </c>
      <c r="C10">
        <v>4165</v>
      </c>
      <c r="D10" t="s">
        <v>313</v>
      </c>
      <c r="E10" t="s">
        <v>26</v>
      </c>
      <c r="F10">
        <v>52440028</v>
      </c>
      <c r="G10">
        <v>2</v>
      </c>
      <c r="H10">
        <v>4</v>
      </c>
      <c r="I10">
        <v>2</v>
      </c>
      <c r="J10">
        <v>4</v>
      </c>
      <c r="K10">
        <v>4</v>
      </c>
      <c r="L10">
        <v>5</v>
      </c>
      <c r="M10">
        <v>2</v>
      </c>
      <c r="N10" t="s">
        <v>433</v>
      </c>
      <c r="O10">
        <v>6</v>
      </c>
      <c r="P10">
        <v>5</v>
      </c>
      <c r="Q10">
        <v>111</v>
      </c>
      <c r="R10">
        <v>34</v>
      </c>
    </row>
    <row r="11" spans="1:18" x14ac:dyDescent="0.25">
      <c r="A11" t="s">
        <v>361</v>
      </c>
      <c r="B11" t="s">
        <v>95</v>
      </c>
      <c r="C11">
        <v>4030</v>
      </c>
      <c r="D11" t="s">
        <v>268</v>
      </c>
      <c r="E11" t="s">
        <v>17</v>
      </c>
      <c r="F11">
        <v>51358051</v>
      </c>
      <c r="G11">
        <v>4</v>
      </c>
      <c r="H11">
        <v>4</v>
      </c>
      <c r="I11">
        <v>4</v>
      </c>
      <c r="J11">
        <v>5</v>
      </c>
      <c r="K11">
        <v>6</v>
      </c>
      <c r="L11">
        <v>6</v>
      </c>
      <c r="M11">
        <v>5</v>
      </c>
      <c r="N11">
        <v>7</v>
      </c>
      <c r="O11">
        <v>3</v>
      </c>
      <c r="P11">
        <v>6</v>
      </c>
      <c r="Q11">
        <v>50</v>
      </c>
      <c r="R11">
        <v>43</v>
      </c>
    </row>
    <row r="12" spans="1:18" x14ac:dyDescent="0.25">
      <c r="A12" t="s">
        <v>362</v>
      </c>
      <c r="B12" t="s">
        <v>95</v>
      </c>
      <c r="C12">
        <v>4134</v>
      </c>
      <c r="D12" t="s">
        <v>302</v>
      </c>
      <c r="E12" t="s">
        <v>21</v>
      </c>
      <c r="F12">
        <v>50805416</v>
      </c>
      <c r="G12">
        <v>3</v>
      </c>
      <c r="H12" t="s">
        <v>433</v>
      </c>
      <c r="I12">
        <v>8</v>
      </c>
      <c r="J12">
        <v>6</v>
      </c>
      <c r="K12">
        <v>5</v>
      </c>
      <c r="L12">
        <v>5</v>
      </c>
      <c r="M12">
        <v>5</v>
      </c>
      <c r="N12">
        <v>6</v>
      </c>
      <c r="O12">
        <v>4</v>
      </c>
      <c r="P12">
        <v>2</v>
      </c>
      <c r="Q12">
        <v>121</v>
      </c>
      <c r="R12">
        <v>44</v>
      </c>
    </row>
    <row r="13" spans="1:18" x14ac:dyDescent="0.25">
      <c r="A13" t="s">
        <v>363</v>
      </c>
      <c r="B13" t="s">
        <v>95</v>
      </c>
      <c r="C13">
        <v>3989</v>
      </c>
      <c r="D13" t="s">
        <v>254</v>
      </c>
      <c r="E13" t="s">
        <v>22</v>
      </c>
      <c r="F13">
        <v>50349144</v>
      </c>
      <c r="G13">
        <v>2</v>
      </c>
      <c r="H13">
        <v>5</v>
      </c>
      <c r="I13">
        <v>9</v>
      </c>
      <c r="J13" t="s">
        <v>461</v>
      </c>
      <c r="K13">
        <v>3</v>
      </c>
      <c r="L13">
        <v>3</v>
      </c>
      <c r="M13">
        <v>2</v>
      </c>
      <c r="N13">
        <v>16</v>
      </c>
      <c r="O13">
        <v>5</v>
      </c>
      <c r="P13">
        <v>8</v>
      </c>
      <c r="Q13">
        <v>130</v>
      </c>
      <c r="R13">
        <v>53</v>
      </c>
    </row>
    <row r="14" spans="1:18" x14ac:dyDescent="0.25">
      <c r="A14" t="s">
        <v>364</v>
      </c>
      <c r="B14" t="s">
        <v>95</v>
      </c>
      <c r="C14">
        <v>4182</v>
      </c>
      <c r="D14" t="s">
        <v>321</v>
      </c>
      <c r="E14" t="s">
        <v>16</v>
      </c>
      <c r="F14">
        <v>51336821</v>
      </c>
      <c r="G14">
        <v>4</v>
      </c>
      <c r="H14">
        <v>6</v>
      </c>
      <c r="I14">
        <v>5</v>
      </c>
      <c r="J14">
        <v>8</v>
      </c>
      <c r="K14">
        <v>15</v>
      </c>
      <c r="L14">
        <v>4</v>
      </c>
      <c r="M14">
        <v>5</v>
      </c>
      <c r="N14">
        <v>20</v>
      </c>
      <c r="O14">
        <v>8</v>
      </c>
      <c r="P14">
        <v>2</v>
      </c>
      <c r="Q14">
        <v>77</v>
      </c>
      <c r="R14">
        <v>57</v>
      </c>
    </row>
    <row r="15" spans="1:18" x14ac:dyDescent="0.25">
      <c r="A15" t="s">
        <v>365</v>
      </c>
      <c r="B15" t="s">
        <v>95</v>
      </c>
      <c r="C15">
        <v>4214</v>
      </c>
      <c r="D15" t="s">
        <v>340</v>
      </c>
      <c r="E15" t="s">
        <v>5</v>
      </c>
      <c r="F15">
        <v>51267743</v>
      </c>
      <c r="G15" t="s">
        <v>371</v>
      </c>
      <c r="H15">
        <v>3</v>
      </c>
      <c r="I15">
        <v>15</v>
      </c>
      <c r="J15">
        <v>8</v>
      </c>
      <c r="K15">
        <v>8</v>
      </c>
      <c r="L15">
        <v>10</v>
      </c>
      <c r="M15">
        <v>3</v>
      </c>
      <c r="N15">
        <v>9</v>
      </c>
      <c r="O15">
        <v>7</v>
      </c>
      <c r="P15" t="s">
        <v>433</v>
      </c>
      <c r="Q15">
        <v>144</v>
      </c>
      <c r="R15">
        <v>67</v>
      </c>
    </row>
    <row r="16" spans="1:18" x14ac:dyDescent="0.25">
      <c r="A16" t="s">
        <v>366</v>
      </c>
      <c r="B16" t="s">
        <v>95</v>
      </c>
      <c r="C16">
        <v>4113</v>
      </c>
      <c r="D16" t="s">
        <v>295</v>
      </c>
      <c r="E16" t="s">
        <v>9</v>
      </c>
      <c r="F16">
        <v>50075190</v>
      </c>
      <c r="G16">
        <v>5</v>
      </c>
      <c r="H16">
        <v>5</v>
      </c>
      <c r="I16">
        <v>9</v>
      </c>
      <c r="J16">
        <v>18</v>
      </c>
      <c r="K16">
        <v>11</v>
      </c>
      <c r="L16">
        <v>6</v>
      </c>
      <c r="M16" t="s">
        <v>456</v>
      </c>
      <c r="N16">
        <v>3</v>
      </c>
      <c r="O16">
        <v>2</v>
      </c>
      <c r="P16">
        <v>10</v>
      </c>
      <c r="Q16">
        <v>146</v>
      </c>
      <c r="R16">
        <v>69</v>
      </c>
    </row>
    <row r="17" spans="1:18" x14ac:dyDescent="0.25">
      <c r="A17" t="s">
        <v>367</v>
      </c>
      <c r="B17" t="s">
        <v>95</v>
      </c>
      <c r="C17">
        <v>3889</v>
      </c>
      <c r="D17" t="s">
        <v>239</v>
      </c>
      <c r="E17" t="s">
        <v>104</v>
      </c>
      <c r="F17">
        <v>50155666</v>
      </c>
      <c r="G17">
        <v>3</v>
      </c>
      <c r="H17">
        <v>3</v>
      </c>
      <c r="I17">
        <v>8</v>
      </c>
      <c r="J17">
        <v>20</v>
      </c>
      <c r="K17">
        <v>31</v>
      </c>
      <c r="L17">
        <v>4</v>
      </c>
      <c r="M17">
        <v>8</v>
      </c>
      <c r="N17">
        <v>16</v>
      </c>
      <c r="O17">
        <v>2</v>
      </c>
      <c r="P17">
        <v>12</v>
      </c>
      <c r="Q17">
        <v>107</v>
      </c>
      <c r="R17">
        <v>76</v>
      </c>
    </row>
    <row r="18" spans="1:18" x14ac:dyDescent="0.25">
      <c r="A18" t="s">
        <v>368</v>
      </c>
      <c r="B18" t="s">
        <v>95</v>
      </c>
      <c r="C18">
        <v>3933</v>
      </c>
      <c r="D18" t="s">
        <v>244</v>
      </c>
      <c r="E18" t="s">
        <v>33</v>
      </c>
      <c r="F18">
        <v>50558168</v>
      </c>
      <c r="G18">
        <v>13</v>
      </c>
      <c r="H18">
        <v>19</v>
      </c>
      <c r="I18">
        <v>8</v>
      </c>
      <c r="J18">
        <v>7</v>
      </c>
      <c r="K18">
        <v>7</v>
      </c>
      <c r="L18">
        <v>7</v>
      </c>
      <c r="M18">
        <v>10</v>
      </c>
      <c r="N18">
        <v>13</v>
      </c>
      <c r="O18">
        <v>11</v>
      </c>
      <c r="P18">
        <v>2</v>
      </c>
      <c r="Q18">
        <v>97</v>
      </c>
      <c r="R18">
        <v>78</v>
      </c>
    </row>
    <row r="19" spans="1:18" x14ac:dyDescent="0.25">
      <c r="A19" t="s">
        <v>369</v>
      </c>
      <c r="B19" t="s">
        <v>95</v>
      </c>
      <c r="C19">
        <v>4108</v>
      </c>
      <c r="D19" t="s">
        <v>293</v>
      </c>
      <c r="E19" t="s">
        <v>9</v>
      </c>
      <c r="F19">
        <v>51253143</v>
      </c>
      <c r="G19">
        <v>8</v>
      </c>
      <c r="H19">
        <v>13</v>
      </c>
      <c r="I19">
        <v>10</v>
      </c>
      <c r="J19" t="s">
        <v>461</v>
      </c>
      <c r="K19">
        <v>13</v>
      </c>
      <c r="L19">
        <v>6</v>
      </c>
      <c r="M19">
        <v>13</v>
      </c>
      <c r="N19">
        <v>5</v>
      </c>
      <c r="O19">
        <v>5</v>
      </c>
      <c r="P19">
        <v>8</v>
      </c>
      <c r="Q19">
        <v>158</v>
      </c>
      <c r="R19">
        <v>81</v>
      </c>
    </row>
    <row r="20" spans="1:18" x14ac:dyDescent="0.25">
      <c r="A20" t="s">
        <v>370</v>
      </c>
      <c r="B20" t="s">
        <v>95</v>
      </c>
      <c r="C20">
        <v>4069</v>
      </c>
      <c r="D20" t="s">
        <v>280</v>
      </c>
      <c r="E20" t="s">
        <v>16</v>
      </c>
      <c r="F20">
        <v>50030333</v>
      </c>
      <c r="G20">
        <v>9</v>
      </c>
      <c r="H20">
        <v>2</v>
      </c>
      <c r="I20">
        <v>5</v>
      </c>
      <c r="J20">
        <v>4</v>
      </c>
      <c r="K20">
        <v>12</v>
      </c>
      <c r="L20">
        <v>9</v>
      </c>
      <c r="M20">
        <v>12</v>
      </c>
      <c r="N20">
        <v>15</v>
      </c>
      <c r="O20">
        <v>51</v>
      </c>
      <c r="P20">
        <v>15</v>
      </c>
      <c r="Q20">
        <v>134</v>
      </c>
      <c r="R20">
        <v>83</v>
      </c>
    </row>
    <row r="21" spans="1:18" x14ac:dyDescent="0.25">
      <c r="A21" t="s">
        <v>372</v>
      </c>
      <c r="B21" t="s">
        <v>95</v>
      </c>
      <c r="C21">
        <v>3936</v>
      </c>
      <c r="D21" t="s">
        <v>245</v>
      </c>
      <c r="E21" t="s">
        <v>21</v>
      </c>
      <c r="F21">
        <v>50670497</v>
      </c>
      <c r="G21">
        <v>5</v>
      </c>
      <c r="H21">
        <v>9</v>
      </c>
      <c r="I21">
        <v>5</v>
      </c>
      <c r="J21">
        <v>6</v>
      </c>
      <c r="K21">
        <v>15</v>
      </c>
      <c r="L21">
        <v>19</v>
      </c>
      <c r="M21">
        <v>8</v>
      </c>
      <c r="N21">
        <v>13</v>
      </c>
      <c r="O21">
        <v>9</v>
      </c>
      <c r="P21">
        <v>26</v>
      </c>
      <c r="Q21">
        <v>115</v>
      </c>
      <c r="R21">
        <v>89</v>
      </c>
    </row>
    <row r="22" spans="1:18" x14ac:dyDescent="0.25">
      <c r="A22" t="s">
        <v>373</v>
      </c>
      <c r="B22" t="s">
        <v>95</v>
      </c>
      <c r="C22">
        <v>4057</v>
      </c>
      <c r="D22" t="s">
        <v>277</v>
      </c>
      <c r="E22" t="s">
        <v>26</v>
      </c>
      <c r="F22">
        <v>51572732</v>
      </c>
      <c r="G22">
        <v>10</v>
      </c>
      <c r="H22">
        <v>15</v>
      </c>
      <c r="I22">
        <v>12</v>
      </c>
      <c r="J22">
        <v>10</v>
      </c>
      <c r="K22">
        <v>10</v>
      </c>
      <c r="L22">
        <v>7</v>
      </c>
      <c r="M22">
        <v>14</v>
      </c>
      <c r="N22">
        <v>4</v>
      </c>
      <c r="O22">
        <v>9</v>
      </c>
      <c r="P22">
        <v>21</v>
      </c>
      <c r="Q22">
        <v>112</v>
      </c>
      <c r="R22">
        <v>91</v>
      </c>
    </row>
    <row r="23" spans="1:18" x14ac:dyDescent="0.25">
      <c r="A23" t="s">
        <v>374</v>
      </c>
      <c r="B23" t="s">
        <v>95</v>
      </c>
      <c r="C23">
        <v>4220</v>
      </c>
      <c r="D23" t="s">
        <v>343</v>
      </c>
      <c r="E23" t="s">
        <v>71</v>
      </c>
      <c r="F23">
        <v>50241942</v>
      </c>
      <c r="G23">
        <v>14</v>
      </c>
      <c r="H23">
        <v>6</v>
      </c>
      <c r="I23">
        <v>23</v>
      </c>
      <c r="J23">
        <v>7</v>
      </c>
      <c r="K23">
        <v>6</v>
      </c>
      <c r="L23">
        <v>5</v>
      </c>
      <c r="M23">
        <v>7</v>
      </c>
      <c r="N23">
        <v>2</v>
      </c>
      <c r="O23">
        <v>23</v>
      </c>
      <c r="P23">
        <v>24</v>
      </c>
      <c r="Q23">
        <v>117</v>
      </c>
      <c r="R23">
        <v>93</v>
      </c>
    </row>
    <row r="24" spans="1:18" x14ac:dyDescent="0.25">
      <c r="A24" t="s">
        <v>375</v>
      </c>
      <c r="B24" t="s">
        <v>95</v>
      </c>
      <c r="C24">
        <v>4210</v>
      </c>
      <c r="D24" t="s">
        <v>338</v>
      </c>
      <c r="E24" t="s">
        <v>21</v>
      </c>
      <c r="F24">
        <v>50510057</v>
      </c>
      <c r="G24">
        <v>1</v>
      </c>
      <c r="H24">
        <v>9</v>
      </c>
      <c r="I24">
        <v>7</v>
      </c>
      <c r="J24">
        <v>9</v>
      </c>
      <c r="K24">
        <v>7</v>
      </c>
      <c r="L24">
        <v>15</v>
      </c>
      <c r="M24">
        <v>11</v>
      </c>
      <c r="N24">
        <v>39</v>
      </c>
      <c r="O24">
        <v>29</v>
      </c>
      <c r="P24">
        <v>7</v>
      </c>
      <c r="Q24">
        <v>134</v>
      </c>
      <c r="R24">
        <v>95</v>
      </c>
    </row>
    <row r="25" spans="1:18" x14ac:dyDescent="0.25">
      <c r="A25" t="s">
        <v>376</v>
      </c>
      <c r="B25" t="s">
        <v>95</v>
      </c>
      <c r="C25">
        <v>4119</v>
      </c>
      <c r="D25" t="s">
        <v>297</v>
      </c>
      <c r="E25" t="s">
        <v>21</v>
      </c>
      <c r="F25">
        <v>50418350</v>
      </c>
      <c r="G25">
        <v>15</v>
      </c>
      <c r="H25">
        <v>10</v>
      </c>
      <c r="I25">
        <v>3</v>
      </c>
      <c r="J25">
        <v>13</v>
      </c>
      <c r="K25">
        <v>9</v>
      </c>
      <c r="L25">
        <v>9</v>
      </c>
      <c r="M25">
        <v>11</v>
      </c>
      <c r="N25">
        <v>7</v>
      </c>
      <c r="O25">
        <v>22</v>
      </c>
      <c r="P25">
        <v>22</v>
      </c>
      <c r="Q25">
        <v>121</v>
      </c>
      <c r="R25">
        <v>99</v>
      </c>
    </row>
    <row r="26" spans="1:18" x14ac:dyDescent="0.25">
      <c r="A26" t="s">
        <v>377</v>
      </c>
      <c r="B26" t="s">
        <v>95</v>
      </c>
      <c r="C26">
        <v>4205</v>
      </c>
      <c r="D26" t="s">
        <v>177</v>
      </c>
      <c r="E26" t="s">
        <v>5</v>
      </c>
      <c r="F26">
        <v>52454232</v>
      </c>
      <c r="G26">
        <v>15</v>
      </c>
      <c r="H26">
        <v>12</v>
      </c>
      <c r="I26">
        <v>17</v>
      </c>
      <c r="J26">
        <v>11</v>
      </c>
      <c r="K26">
        <v>9</v>
      </c>
      <c r="L26">
        <v>13</v>
      </c>
      <c r="M26">
        <v>10</v>
      </c>
      <c r="N26">
        <v>3</v>
      </c>
      <c r="O26">
        <v>14</v>
      </c>
      <c r="P26">
        <v>22</v>
      </c>
      <c r="Q26">
        <v>126</v>
      </c>
      <c r="R26">
        <v>104</v>
      </c>
    </row>
    <row r="27" spans="1:18" x14ac:dyDescent="0.25">
      <c r="A27" t="s">
        <v>378</v>
      </c>
      <c r="B27" t="s">
        <v>110</v>
      </c>
      <c r="C27">
        <v>23696</v>
      </c>
      <c r="D27" t="s">
        <v>129</v>
      </c>
      <c r="E27" t="s">
        <v>109</v>
      </c>
      <c r="F27">
        <v>67859888</v>
      </c>
      <c r="G27">
        <v>24</v>
      </c>
      <c r="H27">
        <v>13</v>
      </c>
      <c r="I27">
        <v>6</v>
      </c>
      <c r="J27">
        <v>18</v>
      </c>
      <c r="K27">
        <v>6</v>
      </c>
      <c r="L27">
        <v>16</v>
      </c>
      <c r="M27">
        <v>12</v>
      </c>
      <c r="N27">
        <v>12</v>
      </c>
      <c r="O27">
        <v>6</v>
      </c>
      <c r="P27" t="s">
        <v>433</v>
      </c>
      <c r="Q27">
        <v>190</v>
      </c>
      <c r="R27">
        <v>113</v>
      </c>
    </row>
    <row r="28" spans="1:18" x14ac:dyDescent="0.25">
      <c r="A28" t="s">
        <v>379</v>
      </c>
      <c r="B28" t="s">
        <v>95</v>
      </c>
      <c r="C28">
        <v>4200</v>
      </c>
      <c r="D28" t="s">
        <v>333</v>
      </c>
      <c r="E28" t="s">
        <v>10</v>
      </c>
      <c r="F28">
        <v>50609852</v>
      </c>
      <c r="G28">
        <v>18</v>
      </c>
      <c r="H28">
        <v>7</v>
      </c>
      <c r="I28">
        <v>15</v>
      </c>
      <c r="J28">
        <v>7</v>
      </c>
      <c r="K28">
        <v>12</v>
      </c>
      <c r="L28">
        <v>13</v>
      </c>
      <c r="M28">
        <v>20</v>
      </c>
      <c r="N28">
        <v>29</v>
      </c>
      <c r="O28">
        <v>7</v>
      </c>
      <c r="P28">
        <v>14</v>
      </c>
      <c r="Q28">
        <v>142</v>
      </c>
      <c r="R28">
        <v>113</v>
      </c>
    </row>
    <row r="29" spans="1:18" x14ac:dyDescent="0.25">
      <c r="A29" t="s">
        <v>380</v>
      </c>
      <c r="B29" t="s">
        <v>95</v>
      </c>
      <c r="C29">
        <v>3852</v>
      </c>
      <c r="D29" t="s">
        <v>235</v>
      </c>
      <c r="E29" t="s">
        <v>26</v>
      </c>
      <c r="F29">
        <v>50414789</v>
      </c>
      <c r="G29">
        <v>11</v>
      </c>
      <c r="H29">
        <v>14</v>
      </c>
      <c r="I29">
        <v>14</v>
      </c>
      <c r="J29">
        <v>17</v>
      </c>
      <c r="K29">
        <v>8</v>
      </c>
      <c r="L29">
        <v>14</v>
      </c>
      <c r="M29">
        <v>17</v>
      </c>
      <c r="N29">
        <v>5</v>
      </c>
      <c r="O29">
        <v>37</v>
      </c>
      <c r="P29">
        <v>19</v>
      </c>
      <c r="Q29">
        <v>156</v>
      </c>
      <c r="R29">
        <v>119</v>
      </c>
    </row>
    <row r="30" spans="1:18" x14ac:dyDescent="0.25">
      <c r="A30" t="s">
        <v>381</v>
      </c>
      <c r="B30" t="s">
        <v>95</v>
      </c>
      <c r="C30">
        <v>4148</v>
      </c>
      <c r="D30" t="s">
        <v>309</v>
      </c>
      <c r="E30" t="s">
        <v>26</v>
      </c>
      <c r="F30">
        <v>50681138</v>
      </c>
      <c r="G30">
        <v>9</v>
      </c>
      <c r="H30">
        <v>9</v>
      </c>
      <c r="I30">
        <v>16</v>
      </c>
      <c r="J30">
        <v>6</v>
      </c>
      <c r="K30">
        <v>8</v>
      </c>
      <c r="L30">
        <v>8</v>
      </c>
      <c r="M30">
        <v>9</v>
      </c>
      <c r="N30">
        <v>43</v>
      </c>
      <c r="O30">
        <v>20</v>
      </c>
      <c r="P30">
        <v>34</v>
      </c>
      <c r="Q30">
        <v>162</v>
      </c>
      <c r="R30">
        <v>119</v>
      </c>
    </row>
    <row r="31" spans="1:18" x14ac:dyDescent="0.25">
      <c r="A31" t="s">
        <v>382</v>
      </c>
      <c r="B31" t="s">
        <v>95</v>
      </c>
      <c r="C31">
        <v>4146</v>
      </c>
      <c r="D31" t="s">
        <v>308</v>
      </c>
      <c r="E31" t="s">
        <v>17</v>
      </c>
      <c r="F31">
        <v>51102204</v>
      </c>
      <c r="G31">
        <v>7</v>
      </c>
      <c r="H31">
        <v>10</v>
      </c>
      <c r="I31">
        <v>3</v>
      </c>
      <c r="J31">
        <v>3</v>
      </c>
      <c r="K31">
        <v>3</v>
      </c>
      <c r="L31">
        <v>3</v>
      </c>
      <c r="M31">
        <v>3</v>
      </c>
      <c r="N31" t="s">
        <v>433</v>
      </c>
      <c r="O31">
        <v>16</v>
      </c>
      <c r="P31" t="s">
        <v>433</v>
      </c>
      <c r="Q31">
        <v>202</v>
      </c>
      <c r="R31">
        <v>125</v>
      </c>
    </row>
    <row r="32" spans="1:18" x14ac:dyDescent="0.25">
      <c r="A32" t="s">
        <v>383</v>
      </c>
      <c r="B32" t="s">
        <v>95</v>
      </c>
      <c r="C32">
        <v>4111</v>
      </c>
      <c r="D32" t="s">
        <v>294</v>
      </c>
      <c r="E32" t="s">
        <v>9</v>
      </c>
      <c r="F32">
        <v>50158944</v>
      </c>
      <c r="G32">
        <v>11</v>
      </c>
      <c r="H32">
        <v>8</v>
      </c>
      <c r="I32">
        <v>32</v>
      </c>
      <c r="J32">
        <v>13</v>
      </c>
      <c r="K32">
        <v>27</v>
      </c>
      <c r="L32">
        <v>23</v>
      </c>
      <c r="M32">
        <v>6</v>
      </c>
      <c r="N32">
        <v>17</v>
      </c>
      <c r="O32">
        <v>6</v>
      </c>
      <c r="P32">
        <v>16</v>
      </c>
      <c r="Q32">
        <v>159</v>
      </c>
      <c r="R32">
        <v>127</v>
      </c>
    </row>
    <row r="33" spans="1:18" x14ac:dyDescent="0.25">
      <c r="A33" t="s">
        <v>384</v>
      </c>
      <c r="B33" t="s">
        <v>110</v>
      </c>
      <c r="C33">
        <v>212</v>
      </c>
      <c r="D33" t="s">
        <v>121</v>
      </c>
      <c r="E33" t="s">
        <v>109</v>
      </c>
      <c r="F33">
        <v>50465789</v>
      </c>
      <c r="G33">
        <v>11</v>
      </c>
      <c r="H33">
        <v>6</v>
      </c>
      <c r="I33">
        <v>35</v>
      </c>
      <c r="J33">
        <v>23</v>
      </c>
      <c r="K33">
        <v>31</v>
      </c>
      <c r="L33">
        <v>30</v>
      </c>
      <c r="M33">
        <v>16</v>
      </c>
      <c r="N33">
        <v>4</v>
      </c>
      <c r="O33">
        <v>3</v>
      </c>
      <c r="P33">
        <v>4</v>
      </c>
      <c r="Q33">
        <v>163</v>
      </c>
      <c r="R33">
        <v>128</v>
      </c>
    </row>
    <row r="34" spans="1:18" x14ac:dyDescent="0.25">
      <c r="A34" t="s">
        <v>385</v>
      </c>
      <c r="B34" t="s">
        <v>95</v>
      </c>
      <c r="C34">
        <v>3991</v>
      </c>
      <c r="D34" t="s">
        <v>172</v>
      </c>
      <c r="E34" t="s">
        <v>26</v>
      </c>
      <c r="F34">
        <v>50156147</v>
      </c>
      <c r="G34">
        <v>8</v>
      </c>
      <c r="H34">
        <v>18</v>
      </c>
      <c r="I34">
        <v>11</v>
      </c>
      <c r="J34">
        <v>21</v>
      </c>
      <c r="K34" t="s">
        <v>461</v>
      </c>
      <c r="L34">
        <v>11</v>
      </c>
      <c r="M34">
        <v>7</v>
      </c>
      <c r="N34">
        <v>15</v>
      </c>
      <c r="O34">
        <v>18</v>
      </c>
      <c r="P34">
        <v>20</v>
      </c>
      <c r="Q34">
        <v>206</v>
      </c>
      <c r="R34">
        <v>129</v>
      </c>
    </row>
    <row r="35" spans="1:18" x14ac:dyDescent="0.25">
      <c r="A35" t="s">
        <v>386</v>
      </c>
      <c r="B35" t="s">
        <v>95</v>
      </c>
      <c r="C35">
        <v>4176</v>
      </c>
      <c r="D35" t="s">
        <v>215</v>
      </c>
      <c r="E35" t="s">
        <v>16</v>
      </c>
      <c r="F35">
        <v>51429146</v>
      </c>
      <c r="G35">
        <v>17</v>
      </c>
      <c r="H35">
        <v>18</v>
      </c>
      <c r="I35">
        <v>7</v>
      </c>
      <c r="J35">
        <v>12</v>
      </c>
      <c r="K35">
        <v>20</v>
      </c>
      <c r="L35">
        <v>21</v>
      </c>
      <c r="M35">
        <v>13</v>
      </c>
      <c r="N35">
        <v>9</v>
      </c>
      <c r="O35" t="s">
        <v>442</v>
      </c>
      <c r="P35">
        <v>17</v>
      </c>
      <c r="Q35">
        <v>211</v>
      </c>
      <c r="R35">
        <v>134</v>
      </c>
    </row>
    <row r="36" spans="1:18" x14ac:dyDescent="0.25">
      <c r="A36" t="s">
        <v>387</v>
      </c>
      <c r="B36" t="s">
        <v>95</v>
      </c>
      <c r="C36">
        <v>3986</v>
      </c>
      <c r="D36" t="s">
        <v>253</v>
      </c>
      <c r="E36" t="s">
        <v>31</v>
      </c>
      <c r="F36">
        <v>50149607</v>
      </c>
      <c r="G36">
        <v>21</v>
      </c>
      <c r="H36">
        <v>17</v>
      </c>
      <c r="I36">
        <v>18</v>
      </c>
      <c r="J36">
        <v>8</v>
      </c>
      <c r="K36" t="s">
        <v>461</v>
      </c>
      <c r="L36">
        <v>10</v>
      </c>
      <c r="M36">
        <v>18</v>
      </c>
      <c r="N36">
        <v>6</v>
      </c>
      <c r="O36">
        <v>30</v>
      </c>
      <c r="P36">
        <v>9</v>
      </c>
      <c r="Q36">
        <v>214</v>
      </c>
      <c r="R36">
        <v>137</v>
      </c>
    </row>
    <row r="37" spans="1:18" x14ac:dyDescent="0.25">
      <c r="A37" t="s">
        <v>388</v>
      </c>
      <c r="B37" t="s">
        <v>95</v>
      </c>
      <c r="C37">
        <v>4133</v>
      </c>
      <c r="D37" t="s">
        <v>301</v>
      </c>
      <c r="E37" t="s">
        <v>26</v>
      </c>
      <c r="F37">
        <v>51431844</v>
      </c>
      <c r="G37">
        <v>13</v>
      </c>
      <c r="H37" t="s">
        <v>433</v>
      </c>
      <c r="I37">
        <v>10</v>
      </c>
      <c r="J37">
        <v>28</v>
      </c>
      <c r="K37">
        <v>24</v>
      </c>
      <c r="L37">
        <v>12</v>
      </c>
      <c r="M37">
        <v>15</v>
      </c>
      <c r="N37">
        <v>18</v>
      </c>
      <c r="O37">
        <v>1</v>
      </c>
      <c r="P37">
        <v>18</v>
      </c>
      <c r="Q37">
        <v>216</v>
      </c>
      <c r="R37">
        <v>139</v>
      </c>
    </row>
    <row r="38" spans="1:18" x14ac:dyDescent="0.25">
      <c r="A38" t="s">
        <v>389</v>
      </c>
      <c r="B38" t="s">
        <v>95</v>
      </c>
      <c r="C38">
        <v>4028</v>
      </c>
      <c r="D38" t="s">
        <v>267</v>
      </c>
      <c r="E38" t="s">
        <v>7</v>
      </c>
      <c r="F38">
        <v>51073305</v>
      </c>
      <c r="G38">
        <v>19</v>
      </c>
      <c r="H38">
        <v>16</v>
      </c>
      <c r="I38">
        <v>14</v>
      </c>
      <c r="J38">
        <v>9</v>
      </c>
      <c r="K38">
        <v>14</v>
      </c>
      <c r="L38">
        <v>32</v>
      </c>
      <c r="M38">
        <v>15</v>
      </c>
      <c r="N38">
        <v>24</v>
      </c>
      <c r="O38">
        <v>18</v>
      </c>
      <c r="P38">
        <v>14</v>
      </c>
      <c r="Q38">
        <v>175</v>
      </c>
      <c r="R38">
        <v>143</v>
      </c>
    </row>
    <row r="39" spans="1:18" x14ac:dyDescent="0.25">
      <c r="A39" t="s">
        <v>390</v>
      </c>
      <c r="B39" t="s">
        <v>95</v>
      </c>
      <c r="C39">
        <v>3907</v>
      </c>
      <c r="D39" t="s">
        <v>242</v>
      </c>
      <c r="E39" t="s">
        <v>17</v>
      </c>
      <c r="F39">
        <v>51281055</v>
      </c>
      <c r="G39">
        <v>20</v>
      </c>
      <c r="H39">
        <v>13</v>
      </c>
      <c r="I39">
        <v>31</v>
      </c>
      <c r="J39">
        <v>22</v>
      </c>
      <c r="K39">
        <v>16</v>
      </c>
      <c r="L39">
        <v>24</v>
      </c>
      <c r="M39">
        <v>34</v>
      </c>
      <c r="N39">
        <v>5</v>
      </c>
      <c r="O39">
        <v>3</v>
      </c>
      <c r="P39">
        <v>10</v>
      </c>
      <c r="Q39">
        <v>178</v>
      </c>
      <c r="R39">
        <v>144</v>
      </c>
    </row>
    <row r="40" spans="1:18" x14ac:dyDescent="0.25">
      <c r="A40" t="s">
        <v>391</v>
      </c>
      <c r="B40" t="s">
        <v>108</v>
      </c>
      <c r="C40">
        <v>361</v>
      </c>
      <c r="D40" t="s">
        <v>123</v>
      </c>
      <c r="E40" t="s">
        <v>107</v>
      </c>
      <c r="F40">
        <v>63295993</v>
      </c>
      <c r="G40">
        <v>9</v>
      </c>
      <c r="H40">
        <v>14</v>
      </c>
      <c r="I40">
        <v>6</v>
      </c>
      <c r="J40">
        <v>20</v>
      </c>
      <c r="K40" t="s">
        <v>461</v>
      </c>
      <c r="L40">
        <v>7</v>
      </c>
      <c r="M40">
        <v>6</v>
      </c>
      <c r="N40" t="s">
        <v>433</v>
      </c>
      <c r="O40">
        <v>7</v>
      </c>
      <c r="P40">
        <v>3</v>
      </c>
      <c r="Q40">
        <v>226</v>
      </c>
      <c r="R40">
        <v>149</v>
      </c>
    </row>
    <row r="41" spans="1:18" x14ac:dyDescent="0.25">
      <c r="A41" t="s">
        <v>392</v>
      </c>
      <c r="B41" t="s">
        <v>95</v>
      </c>
      <c r="C41">
        <v>3862</v>
      </c>
      <c r="D41" t="s">
        <v>236</v>
      </c>
      <c r="E41" t="s">
        <v>99</v>
      </c>
      <c r="F41">
        <v>51422775</v>
      </c>
      <c r="G41">
        <v>22</v>
      </c>
      <c r="H41">
        <v>20</v>
      </c>
      <c r="I41">
        <v>11</v>
      </c>
      <c r="J41">
        <v>15</v>
      </c>
      <c r="K41">
        <v>11</v>
      </c>
      <c r="L41">
        <v>33</v>
      </c>
      <c r="M41">
        <v>21</v>
      </c>
      <c r="N41">
        <v>18</v>
      </c>
      <c r="O41">
        <v>16</v>
      </c>
      <c r="P41">
        <v>19</v>
      </c>
      <c r="Q41">
        <v>186</v>
      </c>
      <c r="R41">
        <v>153</v>
      </c>
    </row>
    <row r="42" spans="1:18" x14ac:dyDescent="0.25">
      <c r="A42" t="s">
        <v>393</v>
      </c>
      <c r="B42" t="s">
        <v>95</v>
      </c>
      <c r="C42">
        <v>4059</v>
      </c>
      <c r="D42" t="s">
        <v>278</v>
      </c>
      <c r="E42" t="s">
        <v>9</v>
      </c>
      <c r="F42">
        <v>50417527</v>
      </c>
      <c r="G42">
        <v>20</v>
      </c>
      <c r="H42">
        <v>19</v>
      </c>
      <c r="I42">
        <v>31</v>
      </c>
      <c r="J42">
        <v>18</v>
      </c>
      <c r="K42">
        <v>20</v>
      </c>
      <c r="L42">
        <v>23</v>
      </c>
      <c r="M42">
        <v>14</v>
      </c>
      <c r="N42">
        <v>6</v>
      </c>
      <c r="O42">
        <v>8</v>
      </c>
      <c r="P42">
        <v>27</v>
      </c>
      <c r="Q42">
        <v>186</v>
      </c>
      <c r="R42">
        <v>155</v>
      </c>
    </row>
    <row r="43" spans="1:18" x14ac:dyDescent="0.25">
      <c r="A43" t="s">
        <v>394</v>
      </c>
      <c r="B43" t="s">
        <v>95</v>
      </c>
      <c r="C43">
        <v>4096</v>
      </c>
      <c r="D43" t="s">
        <v>345</v>
      </c>
      <c r="E43" t="s">
        <v>9</v>
      </c>
      <c r="F43">
        <v>51397535</v>
      </c>
      <c r="G43">
        <v>10</v>
      </c>
      <c r="H43">
        <v>24</v>
      </c>
      <c r="I43">
        <v>19</v>
      </c>
      <c r="J43">
        <v>19</v>
      </c>
      <c r="K43">
        <v>19</v>
      </c>
      <c r="L43">
        <v>25</v>
      </c>
      <c r="M43">
        <v>15</v>
      </c>
      <c r="N43">
        <v>11</v>
      </c>
      <c r="O43">
        <v>35</v>
      </c>
      <c r="P43">
        <v>13</v>
      </c>
      <c r="Q43">
        <v>190</v>
      </c>
      <c r="R43">
        <v>155</v>
      </c>
    </row>
    <row r="44" spans="1:18" x14ac:dyDescent="0.25">
      <c r="A44" t="s">
        <v>395</v>
      </c>
      <c r="B44" t="s">
        <v>95</v>
      </c>
      <c r="C44">
        <v>4188</v>
      </c>
      <c r="D44" t="s">
        <v>324</v>
      </c>
      <c r="E44" t="s">
        <v>5</v>
      </c>
      <c r="F44">
        <v>51588663</v>
      </c>
      <c r="G44">
        <v>12</v>
      </c>
      <c r="H44">
        <v>17</v>
      </c>
      <c r="I44">
        <v>57</v>
      </c>
      <c r="J44">
        <v>36</v>
      </c>
      <c r="K44">
        <v>17</v>
      </c>
      <c r="L44">
        <v>18</v>
      </c>
      <c r="M44">
        <v>18</v>
      </c>
      <c r="N44">
        <v>22</v>
      </c>
      <c r="O44">
        <v>5</v>
      </c>
      <c r="P44">
        <v>11</v>
      </c>
      <c r="Q44">
        <v>213</v>
      </c>
      <c r="R44">
        <v>156</v>
      </c>
    </row>
    <row r="45" spans="1:18" x14ac:dyDescent="0.25">
      <c r="A45" t="s">
        <v>396</v>
      </c>
      <c r="B45" t="s">
        <v>95</v>
      </c>
      <c r="C45">
        <v>4092</v>
      </c>
      <c r="D45" t="s">
        <v>175</v>
      </c>
      <c r="E45" t="s">
        <v>104</v>
      </c>
      <c r="F45">
        <v>52676878</v>
      </c>
      <c r="G45">
        <v>18</v>
      </c>
      <c r="H45">
        <v>23</v>
      </c>
      <c r="I45">
        <v>18</v>
      </c>
      <c r="J45">
        <v>31</v>
      </c>
      <c r="K45">
        <v>16</v>
      </c>
      <c r="L45">
        <v>17</v>
      </c>
      <c r="M45">
        <v>31</v>
      </c>
      <c r="N45">
        <v>7</v>
      </c>
      <c r="O45">
        <v>24</v>
      </c>
      <c r="P45">
        <v>4</v>
      </c>
      <c r="Q45">
        <v>189</v>
      </c>
      <c r="R45">
        <v>158</v>
      </c>
    </row>
    <row r="46" spans="1:18" x14ac:dyDescent="0.25">
      <c r="A46" t="s">
        <v>397</v>
      </c>
      <c r="B46" t="s">
        <v>95</v>
      </c>
      <c r="C46">
        <v>4211</v>
      </c>
      <c r="D46" t="s">
        <v>339</v>
      </c>
      <c r="E46" t="s">
        <v>21</v>
      </c>
      <c r="F46">
        <v>50416906</v>
      </c>
      <c r="G46">
        <v>7</v>
      </c>
      <c r="H46" t="s">
        <v>433</v>
      </c>
      <c r="I46">
        <v>2</v>
      </c>
      <c r="J46">
        <v>14</v>
      </c>
      <c r="K46">
        <v>5</v>
      </c>
      <c r="L46">
        <v>13</v>
      </c>
      <c r="M46">
        <v>12</v>
      </c>
      <c r="N46" t="s">
        <v>433</v>
      </c>
      <c r="O46">
        <v>14</v>
      </c>
      <c r="P46">
        <v>16</v>
      </c>
      <c r="Q46">
        <v>237</v>
      </c>
      <c r="R46">
        <v>160</v>
      </c>
    </row>
    <row r="47" spans="1:18" x14ac:dyDescent="0.25">
      <c r="A47" t="s">
        <v>398</v>
      </c>
      <c r="B47" t="s">
        <v>95</v>
      </c>
      <c r="C47">
        <v>4045</v>
      </c>
      <c r="D47" t="s">
        <v>273</v>
      </c>
      <c r="E47" t="s">
        <v>104</v>
      </c>
      <c r="F47">
        <v>50075107</v>
      </c>
      <c r="G47">
        <v>31</v>
      </c>
      <c r="H47">
        <v>33</v>
      </c>
      <c r="I47">
        <v>16</v>
      </c>
      <c r="J47">
        <v>11</v>
      </c>
      <c r="K47">
        <v>4</v>
      </c>
      <c r="L47">
        <v>10</v>
      </c>
      <c r="M47">
        <v>19</v>
      </c>
      <c r="N47">
        <v>10</v>
      </c>
      <c r="O47">
        <v>32</v>
      </c>
      <c r="P47">
        <v>27</v>
      </c>
      <c r="Q47">
        <v>193</v>
      </c>
      <c r="R47">
        <v>160</v>
      </c>
    </row>
    <row r="48" spans="1:18" x14ac:dyDescent="0.25">
      <c r="A48" t="s">
        <v>399</v>
      </c>
      <c r="B48" t="s">
        <v>95</v>
      </c>
      <c r="C48">
        <v>3825</v>
      </c>
      <c r="D48" t="s">
        <v>232</v>
      </c>
      <c r="E48" t="s">
        <v>33</v>
      </c>
      <c r="F48">
        <v>50734365</v>
      </c>
      <c r="G48">
        <v>38</v>
      </c>
      <c r="H48">
        <v>18</v>
      </c>
      <c r="I48">
        <v>12</v>
      </c>
      <c r="J48">
        <v>5</v>
      </c>
      <c r="K48">
        <v>9</v>
      </c>
      <c r="L48">
        <v>14</v>
      </c>
      <c r="M48">
        <v>24</v>
      </c>
      <c r="N48">
        <v>27</v>
      </c>
      <c r="O48">
        <v>38</v>
      </c>
      <c r="P48">
        <v>15</v>
      </c>
      <c r="Q48">
        <v>200</v>
      </c>
      <c r="R48">
        <v>162</v>
      </c>
    </row>
    <row r="49" spans="1:18" x14ac:dyDescent="0.25">
      <c r="A49" t="s">
        <v>400</v>
      </c>
      <c r="B49" t="s">
        <v>95</v>
      </c>
      <c r="C49">
        <v>4126</v>
      </c>
      <c r="D49" t="s">
        <v>299</v>
      </c>
      <c r="E49" t="s">
        <v>26</v>
      </c>
      <c r="F49">
        <v>51125616</v>
      </c>
      <c r="G49">
        <v>28</v>
      </c>
      <c r="H49" t="s">
        <v>442</v>
      </c>
      <c r="I49">
        <v>13</v>
      </c>
      <c r="J49">
        <v>12</v>
      </c>
      <c r="K49">
        <v>12</v>
      </c>
      <c r="L49">
        <v>9</v>
      </c>
      <c r="M49">
        <v>20</v>
      </c>
      <c r="N49">
        <v>14</v>
      </c>
      <c r="O49">
        <v>30</v>
      </c>
      <c r="P49">
        <v>24</v>
      </c>
      <c r="Q49">
        <v>239</v>
      </c>
      <c r="R49">
        <v>162</v>
      </c>
    </row>
    <row r="50" spans="1:18" x14ac:dyDescent="0.25">
      <c r="A50" t="s">
        <v>401</v>
      </c>
      <c r="B50" t="s">
        <v>95</v>
      </c>
      <c r="C50">
        <v>4162</v>
      </c>
      <c r="D50" t="s">
        <v>311</v>
      </c>
      <c r="E50" t="s">
        <v>104</v>
      </c>
      <c r="F50">
        <v>52159528</v>
      </c>
      <c r="G50">
        <v>21</v>
      </c>
      <c r="H50">
        <v>24</v>
      </c>
      <c r="I50">
        <v>43</v>
      </c>
      <c r="J50">
        <v>17</v>
      </c>
      <c r="K50">
        <v>14</v>
      </c>
      <c r="L50">
        <v>29</v>
      </c>
      <c r="M50">
        <v>14</v>
      </c>
      <c r="N50">
        <v>31</v>
      </c>
      <c r="O50">
        <v>9</v>
      </c>
      <c r="P50">
        <v>7</v>
      </c>
      <c r="Q50">
        <v>209</v>
      </c>
      <c r="R50">
        <v>166</v>
      </c>
    </row>
    <row r="51" spans="1:18" x14ac:dyDescent="0.25">
      <c r="A51" t="s">
        <v>402</v>
      </c>
      <c r="B51" t="s">
        <v>95</v>
      </c>
      <c r="C51">
        <v>4001</v>
      </c>
      <c r="D51" t="s">
        <v>259</v>
      </c>
      <c r="E51" t="s">
        <v>23</v>
      </c>
      <c r="F51">
        <v>51167440</v>
      </c>
      <c r="G51">
        <v>14</v>
      </c>
      <c r="H51">
        <v>15</v>
      </c>
      <c r="I51">
        <v>9</v>
      </c>
      <c r="J51">
        <v>10</v>
      </c>
      <c r="K51">
        <v>11</v>
      </c>
      <c r="L51">
        <v>11</v>
      </c>
      <c r="M51">
        <v>7</v>
      </c>
      <c r="N51" t="s">
        <v>433</v>
      </c>
      <c r="O51">
        <v>15</v>
      </c>
      <c r="P51" t="s">
        <v>433</v>
      </c>
      <c r="Q51">
        <v>246</v>
      </c>
      <c r="R51">
        <v>169</v>
      </c>
    </row>
    <row r="52" spans="1:18" x14ac:dyDescent="0.25">
      <c r="A52" t="s">
        <v>403</v>
      </c>
      <c r="B52" t="s">
        <v>95</v>
      </c>
      <c r="C52">
        <v>4179</v>
      </c>
      <c r="D52" t="s">
        <v>320</v>
      </c>
      <c r="E52" t="s">
        <v>5</v>
      </c>
      <c r="F52">
        <v>51125913</v>
      </c>
      <c r="G52">
        <v>8</v>
      </c>
      <c r="H52">
        <v>19</v>
      </c>
      <c r="I52">
        <v>22</v>
      </c>
      <c r="J52">
        <v>5</v>
      </c>
      <c r="K52">
        <v>10</v>
      </c>
      <c r="L52">
        <v>20</v>
      </c>
      <c r="M52">
        <v>32</v>
      </c>
      <c r="N52">
        <v>30</v>
      </c>
      <c r="O52">
        <v>34</v>
      </c>
      <c r="P52">
        <v>25</v>
      </c>
      <c r="Q52">
        <v>205</v>
      </c>
      <c r="R52">
        <v>171</v>
      </c>
    </row>
    <row r="53" spans="1:18" x14ac:dyDescent="0.25">
      <c r="A53" t="s">
        <v>404</v>
      </c>
      <c r="B53" t="s">
        <v>95</v>
      </c>
      <c r="C53">
        <v>4086</v>
      </c>
      <c r="D53" t="s">
        <v>286</v>
      </c>
      <c r="E53" t="s">
        <v>16</v>
      </c>
      <c r="F53">
        <v>50231520</v>
      </c>
      <c r="G53">
        <v>12</v>
      </c>
      <c r="H53">
        <v>26</v>
      </c>
      <c r="I53">
        <v>10</v>
      </c>
      <c r="J53">
        <v>16</v>
      </c>
      <c r="K53">
        <v>14</v>
      </c>
      <c r="L53">
        <v>20</v>
      </c>
      <c r="M53">
        <v>33</v>
      </c>
      <c r="N53">
        <v>17</v>
      </c>
      <c r="O53">
        <v>32</v>
      </c>
      <c r="P53">
        <v>27</v>
      </c>
      <c r="Q53">
        <v>207</v>
      </c>
      <c r="R53">
        <v>174</v>
      </c>
    </row>
    <row r="54" spans="1:18" x14ac:dyDescent="0.25">
      <c r="A54" t="s">
        <v>405</v>
      </c>
      <c r="B54" t="s">
        <v>95</v>
      </c>
      <c r="C54">
        <v>4123</v>
      </c>
      <c r="D54" t="s">
        <v>210</v>
      </c>
      <c r="E54" t="s">
        <v>5</v>
      </c>
      <c r="F54">
        <v>50030847</v>
      </c>
      <c r="G54">
        <v>10</v>
      </c>
      <c r="H54">
        <v>7</v>
      </c>
      <c r="I54">
        <v>6</v>
      </c>
      <c r="J54">
        <v>10</v>
      </c>
      <c r="K54">
        <v>15</v>
      </c>
      <c r="L54">
        <v>8</v>
      </c>
      <c r="M54">
        <v>27</v>
      </c>
      <c r="N54" t="s">
        <v>433</v>
      </c>
      <c r="O54" t="s">
        <v>433</v>
      </c>
      <c r="P54">
        <v>15</v>
      </c>
      <c r="Q54">
        <v>252</v>
      </c>
      <c r="R54">
        <v>175</v>
      </c>
    </row>
    <row r="55" spans="1:18" x14ac:dyDescent="0.25">
      <c r="A55" t="s">
        <v>406</v>
      </c>
      <c r="B55" t="s">
        <v>95</v>
      </c>
      <c r="C55">
        <v>4139</v>
      </c>
      <c r="D55" t="s">
        <v>213</v>
      </c>
      <c r="E55" t="s">
        <v>33</v>
      </c>
      <c r="F55">
        <v>52073632</v>
      </c>
      <c r="G55">
        <v>25</v>
      </c>
      <c r="H55">
        <v>31</v>
      </c>
      <c r="I55">
        <v>24</v>
      </c>
      <c r="J55">
        <v>16</v>
      </c>
      <c r="K55">
        <v>19</v>
      </c>
      <c r="L55">
        <v>26</v>
      </c>
      <c r="M55">
        <v>20</v>
      </c>
      <c r="N55">
        <v>8</v>
      </c>
      <c r="O55">
        <v>35</v>
      </c>
      <c r="P55">
        <v>6</v>
      </c>
      <c r="Q55">
        <v>210</v>
      </c>
      <c r="R55">
        <v>175</v>
      </c>
    </row>
    <row r="56" spans="1:18" x14ac:dyDescent="0.25">
      <c r="A56" t="s">
        <v>407</v>
      </c>
      <c r="B56" t="s">
        <v>95</v>
      </c>
      <c r="C56">
        <v>3892</v>
      </c>
      <c r="D56" t="s">
        <v>240</v>
      </c>
      <c r="E56" t="s">
        <v>7</v>
      </c>
      <c r="F56">
        <v>52672616</v>
      </c>
      <c r="G56">
        <v>20</v>
      </c>
      <c r="H56">
        <v>29</v>
      </c>
      <c r="I56">
        <v>29</v>
      </c>
      <c r="J56">
        <v>12</v>
      </c>
      <c r="K56">
        <v>10</v>
      </c>
      <c r="L56">
        <v>26</v>
      </c>
      <c r="M56">
        <v>19</v>
      </c>
      <c r="N56" t="s">
        <v>433</v>
      </c>
      <c r="O56">
        <v>13</v>
      </c>
      <c r="P56">
        <v>18</v>
      </c>
      <c r="Q56">
        <v>253</v>
      </c>
      <c r="R56">
        <v>176</v>
      </c>
    </row>
    <row r="57" spans="1:18" x14ac:dyDescent="0.25">
      <c r="A57" t="s">
        <v>408</v>
      </c>
      <c r="B57" t="s">
        <v>95</v>
      </c>
      <c r="C57">
        <v>3964</v>
      </c>
      <c r="D57" t="s">
        <v>168</v>
      </c>
      <c r="E57" t="s">
        <v>31</v>
      </c>
      <c r="F57">
        <v>50121353</v>
      </c>
      <c r="G57">
        <v>13</v>
      </c>
      <c r="H57">
        <v>28</v>
      </c>
      <c r="I57">
        <v>17</v>
      </c>
      <c r="J57">
        <v>22</v>
      </c>
      <c r="K57">
        <v>25</v>
      </c>
      <c r="L57">
        <v>14</v>
      </c>
      <c r="M57">
        <v>29</v>
      </c>
      <c r="N57">
        <v>20</v>
      </c>
      <c r="O57">
        <v>25</v>
      </c>
      <c r="P57">
        <v>16</v>
      </c>
      <c r="Q57">
        <v>209</v>
      </c>
      <c r="R57">
        <v>180</v>
      </c>
    </row>
    <row r="58" spans="1:18" x14ac:dyDescent="0.25">
      <c r="A58" t="s">
        <v>409</v>
      </c>
      <c r="B58" t="s">
        <v>95</v>
      </c>
      <c r="C58">
        <v>4192</v>
      </c>
      <c r="D58" t="s">
        <v>328</v>
      </c>
      <c r="E58" t="s">
        <v>22</v>
      </c>
      <c r="F58">
        <v>50671157</v>
      </c>
      <c r="G58">
        <v>12</v>
      </c>
      <c r="H58">
        <v>12</v>
      </c>
      <c r="I58">
        <v>41</v>
      </c>
      <c r="J58">
        <v>19</v>
      </c>
      <c r="K58">
        <v>18</v>
      </c>
      <c r="L58">
        <v>31</v>
      </c>
      <c r="M58">
        <v>21</v>
      </c>
      <c r="N58">
        <v>23</v>
      </c>
      <c r="O58">
        <v>12</v>
      </c>
      <c r="P58">
        <v>40</v>
      </c>
      <c r="Q58">
        <v>229</v>
      </c>
      <c r="R58">
        <v>188</v>
      </c>
    </row>
    <row r="59" spans="1:18" x14ac:dyDescent="0.25">
      <c r="A59" t="s">
        <v>410</v>
      </c>
      <c r="B59" t="s">
        <v>95</v>
      </c>
      <c r="C59">
        <v>3953</v>
      </c>
      <c r="D59" t="s">
        <v>248</v>
      </c>
      <c r="E59" t="s">
        <v>31</v>
      </c>
      <c r="F59">
        <v>50899423</v>
      </c>
      <c r="G59">
        <v>23</v>
      </c>
      <c r="H59">
        <v>20</v>
      </c>
      <c r="I59">
        <v>35</v>
      </c>
      <c r="J59">
        <v>25</v>
      </c>
      <c r="K59">
        <v>17</v>
      </c>
      <c r="L59">
        <v>17</v>
      </c>
      <c r="M59">
        <v>9</v>
      </c>
      <c r="N59">
        <v>30</v>
      </c>
      <c r="O59">
        <v>19</v>
      </c>
      <c r="P59">
        <v>31</v>
      </c>
      <c r="Q59">
        <v>226</v>
      </c>
      <c r="R59">
        <v>191</v>
      </c>
    </row>
    <row r="60" spans="1:18" x14ac:dyDescent="0.25">
      <c r="A60" t="s">
        <v>411</v>
      </c>
      <c r="B60" t="s">
        <v>95</v>
      </c>
      <c r="C60">
        <v>3712</v>
      </c>
      <c r="D60" t="s">
        <v>225</v>
      </c>
      <c r="E60" t="s">
        <v>26</v>
      </c>
      <c r="F60">
        <v>49981664</v>
      </c>
      <c r="G60">
        <v>25</v>
      </c>
      <c r="H60">
        <v>30</v>
      </c>
      <c r="I60" t="s">
        <v>442</v>
      </c>
      <c r="J60">
        <v>23</v>
      </c>
      <c r="K60">
        <v>24</v>
      </c>
      <c r="L60">
        <v>18</v>
      </c>
      <c r="M60">
        <v>9</v>
      </c>
      <c r="N60">
        <v>25</v>
      </c>
      <c r="O60">
        <v>15</v>
      </c>
      <c r="P60">
        <v>28</v>
      </c>
      <c r="Q60">
        <v>274</v>
      </c>
      <c r="R60">
        <v>197</v>
      </c>
    </row>
    <row r="61" spans="1:18" x14ac:dyDescent="0.25">
      <c r="A61" t="s">
        <v>412</v>
      </c>
      <c r="B61" t="s">
        <v>95</v>
      </c>
      <c r="C61">
        <v>3738</v>
      </c>
      <c r="D61" t="s">
        <v>157</v>
      </c>
      <c r="E61" t="s">
        <v>17</v>
      </c>
      <c r="F61">
        <v>52755200</v>
      </c>
      <c r="G61">
        <v>30</v>
      </c>
      <c r="H61">
        <v>21</v>
      </c>
      <c r="I61">
        <v>26</v>
      </c>
      <c r="J61">
        <v>28</v>
      </c>
      <c r="K61">
        <v>19</v>
      </c>
      <c r="L61">
        <v>22</v>
      </c>
      <c r="M61">
        <v>21</v>
      </c>
      <c r="N61">
        <v>29</v>
      </c>
      <c r="O61">
        <v>61</v>
      </c>
      <c r="P61">
        <v>7</v>
      </c>
      <c r="Q61">
        <v>264</v>
      </c>
      <c r="R61">
        <v>203</v>
      </c>
    </row>
    <row r="62" spans="1:18" x14ac:dyDescent="0.25">
      <c r="A62" t="s">
        <v>413</v>
      </c>
      <c r="B62" t="s">
        <v>95</v>
      </c>
      <c r="C62">
        <v>4031</v>
      </c>
      <c r="D62" t="s">
        <v>269</v>
      </c>
      <c r="E62" t="s">
        <v>7</v>
      </c>
      <c r="F62">
        <v>52768606</v>
      </c>
      <c r="G62">
        <v>23</v>
      </c>
      <c r="H62">
        <v>12</v>
      </c>
      <c r="I62">
        <v>27</v>
      </c>
      <c r="J62">
        <v>26</v>
      </c>
      <c r="K62">
        <v>23</v>
      </c>
      <c r="L62">
        <v>21</v>
      </c>
      <c r="M62">
        <v>35</v>
      </c>
      <c r="N62">
        <v>18</v>
      </c>
      <c r="O62">
        <v>21</v>
      </c>
      <c r="P62">
        <v>33</v>
      </c>
      <c r="Q62">
        <v>239</v>
      </c>
      <c r="R62">
        <v>204</v>
      </c>
    </row>
    <row r="63" spans="1:18" x14ac:dyDescent="0.25">
      <c r="A63" t="s">
        <v>414</v>
      </c>
      <c r="B63" t="s">
        <v>95</v>
      </c>
      <c r="C63">
        <v>3996</v>
      </c>
      <c r="D63" t="s">
        <v>257</v>
      </c>
      <c r="E63" t="s">
        <v>8</v>
      </c>
      <c r="F63">
        <v>52366183</v>
      </c>
      <c r="G63">
        <v>16</v>
      </c>
      <c r="H63">
        <v>21</v>
      </c>
      <c r="I63">
        <v>20</v>
      </c>
      <c r="J63">
        <v>38</v>
      </c>
      <c r="K63">
        <v>24</v>
      </c>
      <c r="L63">
        <v>34</v>
      </c>
      <c r="M63">
        <v>29</v>
      </c>
      <c r="N63">
        <v>28</v>
      </c>
      <c r="O63" t="s">
        <v>779</v>
      </c>
      <c r="P63" t="s">
        <v>780</v>
      </c>
      <c r="Q63">
        <v>242</v>
      </c>
      <c r="R63">
        <v>204</v>
      </c>
    </row>
    <row r="64" spans="1:18" x14ac:dyDescent="0.25">
      <c r="A64" t="s">
        <v>415</v>
      </c>
      <c r="B64" t="s">
        <v>95</v>
      </c>
      <c r="C64">
        <v>4203</v>
      </c>
      <c r="D64" t="s">
        <v>334</v>
      </c>
      <c r="E64" t="s">
        <v>7</v>
      </c>
      <c r="F64">
        <v>50740287</v>
      </c>
      <c r="G64">
        <v>17</v>
      </c>
      <c r="H64" t="s">
        <v>442</v>
      </c>
      <c r="I64">
        <v>15</v>
      </c>
      <c r="J64">
        <v>19</v>
      </c>
      <c r="K64">
        <v>18</v>
      </c>
      <c r="L64">
        <v>25</v>
      </c>
      <c r="M64">
        <v>25</v>
      </c>
      <c r="N64">
        <v>36</v>
      </c>
      <c r="O64">
        <v>21</v>
      </c>
      <c r="P64">
        <v>28</v>
      </c>
      <c r="Q64">
        <v>281</v>
      </c>
      <c r="R64">
        <v>204</v>
      </c>
    </row>
    <row r="65" spans="1:18" x14ac:dyDescent="0.25">
      <c r="A65" t="s">
        <v>416</v>
      </c>
      <c r="B65" t="s">
        <v>95</v>
      </c>
      <c r="C65">
        <v>4194</v>
      </c>
      <c r="D65" t="s">
        <v>330</v>
      </c>
      <c r="E65" t="s">
        <v>5</v>
      </c>
      <c r="F65">
        <v>51586146</v>
      </c>
      <c r="G65">
        <v>29</v>
      </c>
      <c r="H65">
        <v>27</v>
      </c>
      <c r="I65">
        <v>26</v>
      </c>
      <c r="J65" t="s">
        <v>461</v>
      </c>
      <c r="K65">
        <v>42</v>
      </c>
      <c r="L65">
        <v>30</v>
      </c>
      <c r="M65">
        <v>23</v>
      </c>
      <c r="N65">
        <v>10</v>
      </c>
      <c r="O65">
        <v>11</v>
      </c>
      <c r="P65">
        <v>10</v>
      </c>
      <c r="Q65">
        <v>285</v>
      </c>
      <c r="R65">
        <v>208</v>
      </c>
    </row>
    <row r="66" spans="1:18" x14ac:dyDescent="0.25">
      <c r="A66" t="s">
        <v>417</v>
      </c>
      <c r="B66" t="s">
        <v>95</v>
      </c>
      <c r="C66">
        <v>4204</v>
      </c>
      <c r="D66" t="s">
        <v>335</v>
      </c>
      <c r="E66" t="s">
        <v>26</v>
      </c>
      <c r="F66">
        <v>52122807</v>
      </c>
      <c r="G66">
        <v>38</v>
      </c>
      <c r="H66">
        <v>30</v>
      </c>
      <c r="I66">
        <v>33</v>
      </c>
      <c r="J66">
        <v>35</v>
      </c>
      <c r="K66">
        <v>30</v>
      </c>
      <c r="L66">
        <v>12</v>
      </c>
      <c r="M66">
        <v>13</v>
      </c>
      <c r="N66">
        <v>8</v>
      </c>
      <c r="O66">
        <v>19</v>
      </c>
      <c r="P66">
        <v>29</v>
      </c>
      <c r="Q66">
        <v>247</v>
      </c>
      <c r="R66">
        <v>209</v>
      </c>
    </row>
    <row r="67" spans="1:18" x14ac:dyDescent="0.25">
      <c r="A67" t="s">
        <v>418</v>
      </c>
      <c r="B67" t="s">
        <v>95</v>
      </c>
      <c r="C67">
        <v>4167</v>
      </c>
      <c r="D67" t="s">
        <v>314</v>
      </c>
      <c r="E67" t="s">
        <v>17</v>
      </c>
      <c r="F67">
        <v>52366875</v>
      </c>
      <c r="G67">
        <v>24</v>
      </c>
      <c r="H67">
        <v>11</v>
      </c>
      <c r="I67">
        <v>11</v>
      </c>
      <c r="J67">
        <v>38</v>
      </c>
      <c r="K67">
        <v>21</v>
      </c>
      <c r="L67">
        <v>37</v>
      </c>
      <c r="M67">
        <v>39</v>
      </c>
      <c r="N67">
        <v>42</v>
      </c>
      <c r="O67">
        <v>17</v>
      </c>
      <c r="P67">
        <v>12</v>
      </c>
      <c r="Q67">
        <v>252</v>
      </c>
      <c r="R67">
        <v>210</v>
      </c>
    </row>
    <row r="68" spans="1:18" x14ac:dyDescent="0.25">
      <c r="A68" t="s">
        <v>419</v>
      </c>
      <c r="B68" t="s">
        <v>95</v>
      </c>
      <c r="C68">
        <v>4073</v>
      </c>
      <c r="D68" t="s">
        <v>174</v>
      </c>
      <c r="E68" t="s">
        <v>33</v>
      </c>
      <c r="F68">
        <v>51270746</v>
      </c>
      <c r="G68">
        <v>6</v>
      </c>
      <c r="H68">
        <v>34</v>
      </c>
      <c r="I68">
        <v>20</v>
      </c>
      <c r="J68">
        <v>17</v>
      </c>
      <c r="K68">
        <v>13</v>
      </c>
      <c r="L68">
        <v>11</v>
      </c>
      <c r="M68">
        <v>16</v>
      </c>
      <c r="N68" t="s">
        <v>433</v>
      </c>
      <c r="O68">
        <v>17</v>
      </c>
      <c r="P68" t="s">
        <v>433</v>
      </c>
      <c r="Q68">
        <v>288</v>
      </c>
      <c r="R68">
        <v>211</v>
      </c>
    </row>
    <row r="69" spans="1:18" x14ac:dyDescent="0.25">
      <c r="A69" t="s">
        <v>420</v>
      </c>
      <c r="B69" t="s">
        <v>95</v>
      </c>
      <c r="C69">
        <v>4218</v>
      </c>
      <c r="D69" t="s">
        <v>341</v>
      </c>
      <c r="E69" t="s">
        <v>33</v>
      </c>
      <c r="F69">
        <v>52085390</v>
      </c>
      <c r="G69">
        <v>25</v>
      </c>
      <c r="H69">
        <v>26</v>
      </c>
      <c r="I69">
        <v>29</v>
      </c>
      <c r="J69">
        <v>28</v>
      </c>
      <c r="K69">
        <v>20</v>
      </c>
      <c r="L69">
        <v>24</v>
      </c>
      <c r="M69">
        <v>6</v>
      </c>
      <c r="N69">
        <v>33</v>
      </c>
      <c r="O69">
        <v>20</v>
      </c>
      <c r="P69">
        <v>37</v>
      </c>
      <c r="Q69">
        <v>248</v>
      </c>
      <c r="R69">
        <v>211</v>
      </c>
    </row>
    <row r="70" spans="1:18" x14ac:dyDescent="0.25">
      <c r="A70" t="s">
        <v>421</v>
      </c>
      <c r="B70" t="s">
        <v>95</v>
      </c>
      <c r="C70">
        <v>4152</v>
      </c>
      <c r="D70" t="s">
        <v>310</v>
      </c>
      <c r="E70" t="s">
        <v>11</v>
      </c>
      <c r="F70">
        <v>52003396</v>
      </c>
      <c r="G70">
        <v>35</v>
      </c>
      <c r="H70">
        <v>28</v>
      </c>
      <c r="I70">
        <v>14</v>
      </c>
      <c r="J70">
        <v>9</v>
      </c>
      <c r="K70">
        <v>38</v>
      </c>
      <c r="L70">
        <v>23</v>
      </c>
      <c r="M70">
        <v>35</v>
      </c>
      <c r="N70">
        <v>9</v>
      </c>
      <c r="O70">
        <v>45</v>
      </c>
      <c r="P70">
        <v>23</v>
      </c>
      <c r="Q70">
        <v>259</v>
      </c>
      <c r="R70">
        <v>214</v>
      </c>
    </row>
    <row r="71" spans="1:18" x14ac:dyDescent="0.25">
      <c r="A71" t="s">
        <v>422</v>
      </c>
      <c r="B71" t="s">
        <v>95</v>
      </c>
      <c r="C71">
        <v>3938</v>
      </c>
      <c r="D71" t="s">
        <v>246</v>
      </c>
      <c r="E71" t="s">
        <v>8</v>
      </c>
      <c r="F71">
        <v>53185733</v>
      </c>
      <c r="G71">
        <v>28</v>
      </c>
      <c r="H71">
        <v>15</v>
      </c>
      <c r="I71">
        <v>38</v>
      </c>
      <c r="J71">
        <v>48</v>
      </c>
      <c r="K71">
        <v>26</v>
      </c>
      <c r="L71">
        <v>34</v>
      </c>
      <c r="M71">
        <v>23</v>
      </c>
      <c r="N71">
        <v>14</v>
      </c>
      <c r="O71" t="s">
        <v>781</v>
      </c>
      <c r="P71" t="s">
        <v>782</v>
      </c>
      <c r="Q71">
        <v>265</v>
      </c>
      <c r="R71">
        <v>217</v>
      </c>
    </row>
    <row r="72" spans="1:18" x14ac:dyDescent="0.25">
      <c r="A72" t="s">
        <v>423</v>
      </c>
      <c r="B72" t="s">
        <v>95</v>
      </c>
      <c r="C72">
        <v>4049</v>
      </c>
      <c r="D72" t="s">
        <v>275</v>
      </c>
      <c r="E72" t="s">
        <v>7</v>
      </c>
      <c r="F72">
        <v>52856304</v>
      </c>
      <c r="G72">
        <v>36</v>
      </c>
      <c r="H72">
        <v>11</v>
      </c>
      <c r="I72">
        <v>28</v>
      </c>
      <c r="J72">
        <v>27</v>
      </c>
      <c r="K72">
        <v>30</v>
      </c>
      <c r="L72">
        <v>20</v>
      </c>
      <c r="M72">
        <v>23</v>
      </c>
      <c r="N72">
        <v>40</v>
      </c>
      <c r="O72">
        <v>10</v>
      </c>
      <c r="P72">
        <v>33</v>
      </c>
      <c r="Q72">
        <v>258</v>
      </c>
      <c r="R72">
        <v>218</v>
      </c>
    </row>
    <row r="73" spans="1:18" x14ac:dyDescent="0.25">
      <c r="A73" t="s">
        <v>424</v>
      </c>
      <c r="B73" t="s">
        <v>95</v>
      </c>
      <c r="C73">
        <v>4172</v>
      </c>
      <c r="D73" t="s">
        <v>316</v>
      </c>
      <c r="E73" t="s">
        <v>103</v>
      </c>
      <c r="F73">
        <v>49825462</v>
      </c>
      <c r="G73">
        <v>32</v>
      </c>
      <c r="H73">
        <v>23</v>
      </c>
      <c r="I73">
        <v>24</v>
      </c>
      <c r="J73">
        <v>16</v>
      </c>
      <c r="K73">
        <v>16</v>
      </c>
      <c r="L73">
        <v>27</v>
      </c>
      <c r="M73">
        <v>26</v>
      </c>
      <c r="N73">
        <v>36</v>
      </c>
      <c r="O73" t="s">
        <v>433</v>
      </c>
      <c r="P73">
        <v>20</v>
      </c>
      <c r="Q73">
        <v>297</v>
      </c>
      <c r="R73">
        <v>220</v>
      </c>
    </row>
    <row r="74" spans="1:18" x14ac:dyDescent="0.25">
      <c r="A74" t="s">
        <v>425</v>
      </c>
      <c r="B74" t="s">
        <v>95</v>
      </c>
      <c r="C74">
        <v>3563</v>
      </c>
      <c r="D74" t="s">
        <v>153</v>
      </c>
      <c r="E74" t="s">
        <v>9</v>
      </c>
      <c r="F74">
        <v>51066390</v>
      </c>
      <c r="G74">
        <v>30</v>
      </c>
      <c r="H74">
        <v>25</v>
      </c>
      <c r="I74">
        <v>24</v>
      </c>
      <c r="J74">
        <v>29</v>
      </c>
      <c r="K74">
        <v>21</v>
      </c>
      <c r="L74">
        <v>15</v>
      </c>
      <c r="M74">
        <v>30</v>
      </c>
      <c r="N74">
        <v>16</v>
      </c>
      <c r="O74">
        <v>59</v>
      </c>
      <c r="P74">
        <v>36</v>
      </c>
      <c r="Q74">
        <v>285</v>
      </c>
      <c r="R74">
        <v>226</v>
      </c>
    </row>
    <row r="75" spans="1:18" x14ac:dyDescent="0.25">
      <c r="A75" t="s">
        <v>426</v>
      </c>
      <c r="B75" t="s">
        <v>95</v>
      </c>
      <c r="C75">
        <v>4193</v>
      </c>
      <c r="D75" t="s">
        <v>329</v>
      </c>
      <c r="E75" t="s">
        <v>10</v>
      </c>
      <c r="F75">
        <v>51261170</v>
      </c>
      <c r="G75">
        <v>21</v>
      </c>
      <c r="H75">
        <v>16</v>
      </c>
      <c r="I75">
        <v>21</v>
      </c>
      <c r="J75">
        <v>20</v>
      </c>
      <c r="K75">
        <v>29</v>
      </c>
      <c r="L75">
        <v>16</v>
      </c>
      <c r="M75">
        <v>24</v>
      </c>
      <c r="N75">
        <v>41</v>
      </c>
      <c r="O75">
        <v>44</v>
      </c>
      <c r="P75">
        <v>38</v>
      </c>
      <c r="Q75">
        <v>270</v>
      </c>
      <c r="R75">
        <v>226</v>
      </c>
    </row>
    <row r="76" spans="1:18" x14ac:dyDescent="0.25">
      <c r="A76" t="s">
        <v>427</v>
      </c>
      <c r="B76" t="s">
        <v>95</v>
      </c>
      <c r="C76">
        <v>3642</v>
      </c>
      <c r="D76" t="s">
        <v>155</v>
      </c>
      <c r="E76" t="s">
        <v>22</v>
      </c>
      <c r="F76">
        <v>50416545</v>
      </c>
      <c r="G76" t="s">
        <v>461</v>
      </c>
      <c r="H76">
        <v>17</v>
      </c>
      <c r="I76">
        <v>19</v>
      </c>
      <c r="J76">
        <v>29</v>
      </c>
      <c r="K76">
        <v>7</v>
      </c>
      <c r="L76">
        <v>29</v>
      </c>
      <c r="M76">
        <v>26</v>
      </c>
      <c r="N76">
        <v>22</v>
      </c>
      <c r="O76">
        <v>60</v>
      </c>
      <c r="P76">
        <v>19</v>
      </c>
      <c r="Q76">
        <v>305</v>
      </c>
      <c r="R76">
        <v>228</v>
      </c>
    </row>
    <row r="77" spans="1:18" x14ac:dyDescent="0.25">
      <c r="A77" t="s">
        <v>428</v>
      </c>
      <c r="B77" t="s">
        <v>95</v>
      </c>
      <c r="C77">
        <v>3962</v>
      </c>
      <c r="D77" t="s">
        <v>167</v>
      </c>
      <c r="E77" t="s">
        <v>16</v>
      </c>
      <c r="F77">
        <v>50580932</v>
      </c>
      <c r="G77">
        <v>26</v>
      </c>
      <c r="H77">
        <v>42</v>
      </c>
      <c r="I77">
        <v>13</v>
      </c>
      <c r="J77">
        <v>15</v>
      </c>
      <c r="K77">
        <v>21</v>
      </c>
      <c r="L77">
        <v>15</v>
      </c>
      <c r="M77">
        <v>49</v>
      </c>
      <c r="N77" t="s">
        <v>433</v>
      </c>
      <c r="O77">
        <v>18</v>
      </c>
      <c r="P77">
        <v>32</v>
      </c>
      <c r="Q77">
        <v>308</v>
      </c>
      <c r="R77">
        <v>231</v>
      </c>
    </row>
    <row r="78" spans="1:18" x14ac:dyDescent="0.25">
      <c r="A78" t="s">
        <v>429</v>
      </c>
      <c r="B78" t="s">
        <v>95</v>
      </c>
      <c r="C78">
        <v>4136</v>
      </c>
      <c r="D78" t="s">
        <v>303</v>
      </c>
      <c r="E78" t="s">
        <v>16</v>
      </c>
      <c r="F78">
        <v>52448420</v>
      </c>
      <c r="G78">
        <v>17</v>
      </c>
      <c r="H78">
        <v>48</v>
      </c>
      <c r="I78">
        <v>22</v>
      </c>
      <c r="J78">
        <v>14</v>
      </c>
      <c r="K78" t="s">
        <v>461</v>
      </c>
      <c r="L78">
        <v>32</v>
      </c>
      <c r="M78">
        <v>28</v>
      </c>
      <c r="N78">
        <v>12</v>
      </c>
      <c r="O78">
        <v>35</v>
      </c>
      <c r="P78">
        <v>26</v>
      </c>
      <c r="Q78">
        <v>311</v>
      </c>
      <c r="R78">
        <v>234</v>
      </c>
    </row>
    <row r="79" spans="1:18" x14ac:dyDescent="0.25">
      <c r="A79" t="s">
        <v>430</v>
      </c>
      <c r="B79" t="s">
        <v>95</v>
      </c>
      <c r="C79">
        <v>4171</v>
      </c>
      <c r="D79" t="s">
        <v>315</v>
      </c>
      <c r="E79" t="s">
        <v>9</v>
      </c>
      <c r="F79">
        <v>51183098</v>
      </c>
      <c r="G79">
        <v>34</v>
      </c>
      <c r="H79" t="s">
        <v>433</v>
      </c>
      <c r="I79" t="s">
        <v>456</v>
      </c>
      <c r="J79">
        <v>3</v>
      </c>
      <c r="K79">
        <v>5</v>
      </c>
      <c r="L79">
        <v>8</v>
      </c>
      <c r="M79">
        <v>27</v>
      </c>
      <c r="N79">
        <v>20</v>
      </c>
      <c r="O79">
        <v>40</v>
      </c>
      <c r="P79">
        <v>24</v>
      </c>
      <c r="Q79">
        <v>315</v>
      </c>
      <c r="R79">
        <v>238</v>
      </c>
    </row>
    <row r="80" spans="1:18" x14ac:dyDescent="0.25">
      <c r="A80" t="s">
        <v>431</v>
      </c>
      <c r="B80" t="s">
        <v>95</v>
      </c>
      <c r="C80">
        <v>4093</v>
      </c>
      <c r="D80" t="s">
        <v>288</v>
      </c>
      <c r="E80" t="s">
        <v>23</v>
      </c>
      <c r="F80">
        <v>52136031</v>
      </c>
      <c r="G80">
        <v>15</v>
      </c>
      <c r="H80" t="s">
        <v>456</v>
      </c>
      <c r="I80">
        <v>13</v>
      </c>
      <c r="J80">
        <v>32</v>
      </c>
      <c r="K80">
        <v>33</v>
      </c>
      <c r="L80">
        <v>33</v>
      </c>
      <c r="M80">
        <v>18</v>
      </c>
      <c r="N80">
        <v>14</v>
      </c>
      <c r="O80" t="s">
        <v>433</v>
      </c>
      <c r="P80">
        <v>8</v>
      </c>
      <c r="Q80">
        <v>320</v>
      </c>
      <c r="R80">
        <v>243</v>
      </c>
    </row>
    <row r="81" spans="1:18" x14ac:dyDescent="0.25">
      <c r="A81" t="s">
        <v>432</v>
      </c>
      <c r="B81" t="s">
        <v>95</v>
      </c>
      <c r="C81">
        <v>4099</v>
      </c>
      <c r="D81" t="s">
        <v>290</v>
      </c>
      <c r="E81" t="s">
        <v>16</v>
      </c>
      <c r="F81">
        <v>52786122</v>
      </c>
      <c r="G81">
        <v>19</v>
      </c>
      <c r="H81">
        <v>11</v>
      </c>
      <c r="I81">
        <v>40</v>
      </c>
      <c r="J81">
        <v>44</v>
      </c>
      <c r="K81">
        <v>38</v>
      </c>
      <c r="L81">
        <v>39</v>
      </c>
      <c r="M81">
        <v>34</v>
      </c>
      <c r="N81">
        <v>26</v>
      </c>
      <c r="O81">
        <v>34</v>
      </c>
      <c r="P81">
        <v>5</v>
      </c>
      <c r="Q81">
        <v>290</v>
      </c>
      <c r="R81">
        <v>246</v>
      </c>
    </row>
    <row r="82" spans="1:18" x14ac:dyDescent="0.25">
      <c r="A82" t="s">
        <v>434</v>
      </c>
      <c r="B82" t="s">
        <v>117</v>
      </c>
      <c r="C82">
        <v>7</v>
      </c>
      <c r="D82" t="s">
        <v>118</v>
      </c>
      <c r="E82" t="s">
        <v>100</v>
      </c>
      <c r="F82">
        <v>7138884</v>
      </c>
      <c r="G82">
        <v>28</v>
      </c>
      <c r="H82">
        <v>8</v>
      </c>
      <c r="I82">
        <v>20</v>
      </c>
      <c r="J82">
        <v>30</v>
      </c>
      <c r="K82">
        <v>17</v>
      </c>
      <c r="L82">
        <v>60</v>
      </c>
      <c r="M82">
        <v>28</v>
      </c>
      <c r="N82">
        <v>25</v>
      </c>
      <c r="O82">
        <v>40</v>
      </c>
      <c r="P82">
        <v>55</v>
      </c>
      <c r="Q82">
        <v>311</v>
      </c>
      <c r="R82">
        <v>251</v>
      </c>
    </row>
    <row r="83" spans="1:18" x14ac:dyDescent="0.25">
      <c r="A83" t="s">
        <v>435</v>
      </c>
      <c r="B83" t="s">
        <v>95</v>
      </c>
      <c r="C83">
        <v>4219</v>
      </c>
      <c r="D83" t="s">
        <v>342</v>
      </c>
      <c r="E83" t="s">
        <v>10</v>
      </c>
      <c r="F83">
        <v>50098931</v>
      </c>
      <c r="G83">
        <v>22</v>
      </c>
      <c r="H83" t="s">
        <v>433</v>
      </c>
      <c r="I83">
        <v>17</v>
      </c>
      <c r="J83">
        <v>14</v>
      </c>
      <c r="K83">
        <v>26</v>
      </c>
      <c r="L83">
        <v>17</v>
      </c>
      <c r="M83">
        <v>22</v>
      </c>
      <c r="N83">
        <v>24</v>
      </c>
      <c r="O83" t="s">
        <v>433</v>
      </c>
      <c r="P83">
        <v>32</v>
      </c>
      <c r="Q83">
        <v>328</v>
      </c>
      <c r="R83">
        <v>251</v>
      </c>
    </row>
    <row r="84" spans="1:18" x14ac:dyDescent="0.25">
      <c r="A84" t="s">
        <v>436</v>
      </c>
      <c r="B84" t="s">
        <v>110</v>
      </c>
      <c r="C84">
        <v>15725</v>
      </c>
      <c r="D84" t="s">
        <v>124</v>
      </c>
      <c r="E84" t="s">
        <v>109</v>
      </c>
      <c r="F84">
        <v>12321454</v>
      </c>
      <c r="G84">
        <v>27</v>
      </c>
      <c r="H84">
        <v>16</v>
      </c>
      <c r="I84">
        <v>23</v>
      </c>
      <c r="J84">
        <v>33</v>
      </c>
      <c r="K84">
        <v>32</v>
      </c>
      <c r="L84">
        <v>48</v>
      </c>
      <c r="M84">
        <v>37</v>
      </c>
      <c r="N84">
        <v>8</v>
      </c>
      <c r="O84">
        <v>51</v>
      </c>
      <c r="P84">
        <v>30</v>
      </c>
      <c r="Q84">
        <v>305</v>
      </c>
      <c r="R84">
        <v>254</v>
      </c>
    </row>
    <row r="85" spans="1:18" x14ac:dyDescent="0.25">
      <c r="A85" t="s">
        <v>437</v>
      </c>
      <c r="B85" t="s">
        <v>95</v>
      </c>
      <c r="C85">
        <v>4022</v>
      </c>
      <c r="D85" t="s">
        <v>264</v>
      </c>
      <c r="E85" t="s">
        <v>21</v>
      </c>
      <c r="F85">
        <v>52768073</v>
      </c>
      <c r="G85">
        <v>33</v>
      </c>
      <c r="H85">
        <v>14</v>
      </c>
      <c r="I85">
        <v>49</v>
      </c>
      <c r="J85">
        <v>15</v>
      </c>
      <c r="K85">
        <v>50</v>
      </c>
      <c r="L85">
        <v>44</v>
      </c>
      <c r="M85">
        <v>41</v>
      </c>
      <c r="N85">
        <v>31</v>
      </c>
      <c r="O85">
        <v>19</v>
      </c>
      <c r="P85">
        <v>11</v>
      </c>
      <c r="Q85">
        <v>307</v>
      </c>
      <c r="R85">
        <v>257</v>
      </c>
    </row>
    <row r="86" spans="1:18" x14ac:dyDescent="0.25">
      <c r="A86" t="s">
        <v>438</v>
      </c>
      <c r="B86" t="s">
        <v>95</v>
      </c>
      <c r="C86">
        <v>4181</v>
      </c>
      <c r="D86" t="s">
        <v>216</v>
      </c>
      <c r="E86" t="s">
        <v>5</v>
      </c>
      <c r="F86">
        <v>52699830</v>
      </c>
      <c r="G86">
        <v>7</v>
      </c>
      <c r="H86">
        <v>27</v>
      </c>
      <c r="I86">
        <v>27</v>
      </c>
      <c r="J86">
        <v>25</v>
      </c>
      <c r="K86">
        <v>23</v>
      </c>
      <c r="L86">
        <v>18</v>
      </c>
      <c r="M86">
        <v>47</v>
      </c>
      <c r="N86" t="s">
        <v>433</v>
      </c>
      <c r="O86">
        <v>12</v>
      </c>
      <c r="P86" t="s">
        <v>433</v>
      </c>
      <c r="Q86">
        <v>340</v>
      </c>
      <c r="R86">
        <v>263</v>
      </c>
    </row>
    <row r="87" spans="1:18" x14ac:dyDescent="0.25">
      <c r="A87" t="s">
        <v>439</v>
      </c>
      <c r="B87" t="s">
        <v>95</v>
      </c>
      <c r="C87">
        <v>3675</v>
      </c>
      <c r="D87" t="s">
        <v>222</v>
      </c>
      <c r="E87" t="s">
        <v>7</v>
      </c>
      <c r="F87">
        <v>53236008</v>
      </c>
      <c r="G87">
        <v>23</v>
      </c>
      <c r="H87">
        <v>8</v>
      </c>
      <c r="I87">
        <v>63</v>
      </c>
      <c r="J87">
        <v>30</v>
      </c>
      <c r="K87">
        <v>30</v>
      </c>
      <c r="L87">
        <v>29</v>
      </c>
      <c r="M87">
        <v>56</v>
      </c>
      <c r="N87">
        <v>26</v>
      </c>
      <c r="O87">
        <v>41</v>
      </c>
      <c r="P87">
        <v>20</v>
      </c>
      <c r="Q87">
        <v>326</v>
      </c>
      <c r="R87">
        <v>263</v>
      </c>
    </row>
    <row r="88" spans="1:18" x14ac:dyDescent="0.25">
      <c r="A88" t="s">
        <v>440</v>
      </c>
      <c r="B88" t="s">
        <v>95</v>
      </c>
      <c r="C88">
        <v>3701</v>
      </c>
      <c r="D88" t="s">
        <v>224</v>
      </c>
      <c r="E88" t="s">
        <v>17</v>
      </c>
      <c r="F88">
        <v>50790994</v>
      </c>
      <c r="G88">
        <v>16</v>
      </c>
      <c r="H88">
        <v>36</v>
      </c>
      <c r="I88">
        <v>18</v>
      </c>
      <c r="J88">
        <v>13</v>
      </c>
      <c r="K88">
        <v>44</v>
      </c>
      <c r="L88">
        <v>32</v>
      </c>
      <c r="M88">
        <v>44</v>
      </c>
      <c r="N88">
        <v>27</v>
      </c>
      <c r="O88">
        <v>34</v>
      </c>
      <c r="P88" t="s">
        <v>433</v>
      </c>
      <c r="Q88">
        <v>341</v>
      </c>
      <c r="R88">
        <v>264</v>
      </c>
    </row>
    <row r="89" spans="1:18" x14ac:dyDescent="0.25">
      <c r="A89" t="s">
        <v>441</v>
      </c>
      <c r="B89" t="s">
        <v>95</v>
      </c>
      <c r="C89">
        <v>3775</v>
      </c>
      <c r="D89" t="s">
        <v>228</v>
      </c>
      <c r="E89" t="s">
        <v>104</v>
      </c>
      <c r="F89">
        <v>50320758</v>
      </c>
      <c r="G89">
        <v>30</v>
      </c>
      <c r="H89">
        <v>33</v>
      </c>
      <c r="I89">
        <v>32</v>
      </c>
      <c r="J89">
        <v>11</v>
      </c>
      <c r="K89">
        <v>22</v>
      </c>
      <c r="L89">
        <v>25</v>
      </c>
      <c r="M89">
        <v>26</v>
      </c>
      <c r="N89">
        <v>52</v>
      </c>
      <c r="O89">
        <v>36</v>
      </c>
      <c r="P89" t="s">
        <v>433</v>
      </c>
      <c r="Q89">
        <v>344</v>
      </c>
      <c r="R89">
        <v>267</v>
      </c>
    </row>
    <row r="90" spans="1:18" x14ac:dyDescent="0.25">
      <c r="A90" t="s">
        <v>443</v>
      </c>
      <c r="B90" t="s">
        <v>95</v>
      </c>
      <c r="C90">
        <v>4089</v>
      </c>
      <c r="D90" t="s">
        <v>287</v>
      </c>
      <c r="E90" t="s">
        <v>67</v>
      </c>
      <c r="F90">
        <v>50436482</v>
      </c>
      <c r="G90">
        <v>35</v>
      </c>
      <c r="H90">
        <v>25</v>
      </c>
      <c r="I90">
        <v>32</v>
      </c>
      <c r="J90">
        <v>48</v>
      </c>
      <c r="K90">
        <v>34</v>
      </c>
      <c r="L90">
        <v>35</v>
      </c>
      <c r="M90">
        <v>39</v>
      </c>
      <c r="N90" t="s">
        <v>433</v>
      </c>
      <c r="O90">
        <v>11</v>
      </c>
      <c r="P90">
        <v>9</v>
      </c>
      <c r="Q90">
        <v>345</v>
      </c>
      <c r="R90">
        <v>268</v>
      </c>
    </row>
    <row r="91" spans="1:18" x14ac:dyDescent="0.25">
      <c r="A91" t="s">
        <v>444</v>
      </c>
      <c r="B91" t="s">
        <v>95</v>
      </c>
      <c r="C91">
        <v>3793</v>
      </c>
      <c r="D91" t="s">
        <v>159</v>
      </c>
      <c r="E91" t="s">
        <v>31</v>
      </c>
      <c r="F91">
        <v>52118147</v>
      </c>
      <c r="G91">
        <v>18</v>
      </c>
      <c r="H91">
        <v>25</v>
      </c>
      <c r="I91">
        <v>27</v>
      </c>
      <c r="J91">
        <v>55</v>
      </c>
      <c r="K91" t="s">
        <v>461</v>
      </c>
      <c r="L91">
        <v>41</v>
      </c>
      <c r="M91">
        <v>17</v>
      </c>
      <c r="N91">
        <v>19</v>
      </c>
      <c r="O91">
        <v>43</v>
      </c>
      <c r="P91">
        <v>23</v>
      </c>
      <c r="Q91">
        <v>345</v>
      </c>
      <c r="R91">
        <v>268</v>
      </c>
    </row>
    <row r="92" spans="1:18" x14ac:dyDescent="0.25">
      <c r="A92" t="s">
        <v>445</v>
      </c>
      <c r="B92" t="s">
        <v>95</v>
      </c>
      <c r="C92">
        <v>3643</v>
      </c>
      <c r="D92" t="s">
        <v>220</v>
      </c>
      <c r="E92" t="s">
        <v>26</v>
      </c>
      <c r="F92">
        <v>50903230</v>
      </c>
      <c r="G92">
        <v>36</v>
      </c>
      <c r="H92">
        <v>24</v>
      </c>
      <c r="I92">
        <v>28</v>
      </c>
      <c r="J92">
        <v>21</v>
      </c>
      <c r="K92">
        <v>25</v>
      </c>
      <c r="L92">
        <v>24</v>
      </c>
      <c r="M92">
        <v>36</v>
      </c>
      <c r="N92">
        <v>28</v>
      </c>
      <c r="O92">
        <v>46</v>
      </c>
      <c r="P92">
        <v>50</v>
      </c>
      <c r="Q92">
        <v>318</v>
      </c>
      <c r="R92">
        <v>268</v>
      </c>
    </row>
    <row r="93" spans="1:18" x14ac:dyDescent="0.25">
      <c r="A93" t="s">
        <v>446</v>
      </c>
      <c r="B93" t="s">
        <v>95</v>
      </c>
      <c r="C93">
        <v>4144</v>
      </c>
      <c r="D93" t="s">
        <v>307</v>
      </c>
      <c r="E93" t="s">
        <v>23</v>
      </c>
      <c r="F93">
        <v>51339867</v>
      </c>
      <c r="G93">
        <v>50</v>
      </c>
      <c r="H93">
        <v>29</v>
      </c>
      <c r="I93">
        <v>25</v>
      </c>
      <c r="J93">
        <v>26</v>
      </c>
      <c r="K93">
        <v>25</v>
      </c>
      <c r="L93">
        <v>43</v>
      </c>
      <c r="M93">
        <v>33</v>
      </c>
      <c r="N93" t="s">
        <v>433</v>
      </c>
      <c r="O93">
        <v>33</v>
      </c>
      <c r="P93">
        <v>13</v>
      </c>
      <c r="Q93">
        <v>354</v>
      </c>
      <c r="R93">
        <v>277</v>
      </c>
    </row>
    <row r="94" spans="1:18" x14ac:dyDescent="0.25">
      <c r="A94" t="s">
        <v>447</v>
      </c>
      <c r="B94" t="s">
        <v>95</v>
      </c>
      <c r="C94">
        <v>3943</v>
      </c>
      <c r="D94" t="s">
        <v>247</v>
      </c>
      <c r="E94" t="s">
        <v>23</v>
      </c>
      <c r="F94">
        <v>50417852</v>
      </c>
      <c r="G94">
        <v>53</v>
      </c>
      <c r="H94">
        <v>20</v>
      </c>
      <c r="I94">
        <v>30</v>
      </c>
      <c r="J94">
        <v>34</v>
      </c>
      <c r="K94">
        <v>47</v>
      </c>
      <c r="L94">
        <v>16</v>
      </c>
      <c r="M94">
        <v>17</v>
      </c>
      <c r="N94">
        <v>27</v>
      </c>
      <c r="O94">
        <v>33</v>
      </c>
      <c r="P94" t="s">
        <v>433</v>
      </c>
      <c r="Q94">
        <v>354</v>
      </c>
      <c r="R94">
        <v>277</v>
      </c>
    </row>
    <row r="95" spans="1:18" x14ac:dyDescent="0.25">
      <c r="A95" t="s">
        <v>448</v>
      </c>
      <c r="B95" t="s">
        <v>95</v>
      </c>
      <c r="C95">
        <v>3649</v>
      </c>
      <c r="D95" t="s">
        <v>221</v>
      </c>
      <c r="E95" t="s">
        <v>26</v>
      </c>
      <c r="F95">
        <v>51121535</v>
      </c>
      <c r="G95">
        <v>19</v>
      </c>
      <c r="H95">
        <v>22</v>
      </c>
      <c r="I95">
        <v>29</v>
      </c>
      <c r="J95">
        <v>24</v>
      </c>
      <c r="K95" t="s">
        <v>442</v>
      </c>
      <c r="L95">
        <v>12</v>
      </c>
      <c r="M95">
        <v>60</v>
      </c>
      <c r="N95">
        <v>39</v>
      </c>
      <c r="O95">
        <v>61</v>
      </c>
      <c r="P95">
        <v>14</v>
      </c>
      <c r="Q95">
        <v>357</v>
      </c>
      <c r="R95">
        <v>280</v>
      </c>
    </row>
    <row r="96" spans="1:18" x14ac:dyDescent="0.25">
      <c r="A96" t="s">
        <v>449</v>
      </c>
      <c r="B96" t="s">
        <v>95</v>
      </c>
      <c r="C96">
        <v>4048</v>
      </c>
      <c r="D96" t="s">
        <v>173</v>
      </c>
      <c r="E96" t="s">
        <v>21</v>
      </c>
      <c r="F96">
        <v>50513181</v>
      </c>
      <c r="G96">
        <v>45</v>
      </c>
      <c r="H96">
        <v>23</v>
      </c>
      <c r="I96">
        <v>63</v>
      </c>
      <c r="J96">
        <v>40</v>
      </c>
      <c r="K96">
        <v>23</v>
      </c>
      <c r="L96">
        <v>21</v>
      </c>
      <c r="M96">
        <v>10</v>
      </c>
      <c r="N96">
        <v>38</v>
      </c>
      <c r="O96">
        <v>22</v>
      </c>
      <c r="P96" t="s">
        <v>433</v>
      </c>
      <c r="Q96">
        <v>362</v>
      </c>
      <c r="R96">
        <v>285</v>
      </c>
    </row>
    <row r="97" spans="1:18" x14ac:dyDescent="0.25">
      <c r="A97" t="s">
        <v>450</v>
      </c>
      <c r="B97" t="s">
        <v>95</v>
      </c>
      <c r="C97">
        <v>4025</v>
      </c>
      <c r="D97" t="s">
        <v>265</v>
      </c>
      <c r="E97" t="s">
        <v>17</v>
      </c>
      <c r="F97">
        <v>52756455</v>
      </c>
      <c r="G97">
        <v>43</v>
      </c>
      <c r="H97">
        <v>32</v>
      </c>
      <c r="I97">
        <v>36</v>
      </c>
      <c r="J97">
        <v>30</v>
      </c>
      <c r="K97">
        <v>43</v>
      </c>
      <c r="L97">
        <v>22</v>
      </c>
      <c r="M97">
        <v>19</v>
      </c>
      <c r="N97">
        <v>21</v>
      </c>
      <c r="O97" t="s">
        <v>433</v>
      </c>
      <c r="P97">
        <v>39</v>
      </c>
      <c r="Q97">
        <v>362</v>
      </c>
      <c r="R97">
        <v>285</v>
      </c>
    </row>
    <row r="98" spans="1:18" x14ac:dyDescent="0.25">
      <c r="A98" t="s">
        <v>451</v>
      </c>
      <c r="B98" t="s">
        <v>95</v>
      </c>
      <c r="C98">
        <v>3471</v>
      </c>
      <c r="D98" t="s">
        <v>151</v>
      </c>
      <c r="E98" t="s">
        <v>22</v>
      </c>
      <c r="F98">
        <v>53586402</v>
      </c>
      <c r="G98">
        <v>35</v>
      </c>
      <c r="H98">
        <v>28</v>
      </c>
      <c r="I98">
        <v>28</v>
      </c>
      <c r="J98">
        <v>34</v>
      </c>
      <c r="K98">
        <v>32</v>
      </c>
      <c r="L98">
        <v>40</v>
      </c>
      <c r="M98">
        <v>43</v>
      </c>
      <c r="N98">
        <v>24</v>
      </c>
      <c r="O98">
        <v>21</v>
      </c>
      <c r="P98">
        <v>45</v>
      </c>
      <c r="Q98">
        <v>330</v>
      </c>
      <c r="R98">
        <v>285</v>
      </c>
    </row>
    <row r="99" spans="1:18" x14ac:dyDescent="0.25">
      <c r="A99" t="s">
        <v>452</v>
      </c>
      <c r="B99" t="s">
        <v>95</v>
      </c>
      <c r="C99">
        <v>4079</v>
      </c>
      <c r="D99" t="s">
        <v>282</v>
      </c>
      <c r="E99" t="s">
        <v>8</v>
      </c>
      <c r="F99">
        <v>50311786</v>
      </c>
      <c r="G99">
        <v>14</v>
      </c>
      <c r="H99">
        <v>34</v>
      </c>
      <c r="I99">
        <v>25</v>
      </c>
      <c r="J99" t="s">
        <v>442</v>
      </c>
      <c r="K99" t="s">
        <v>442</v>
      </c>
      <c r="L99" t="s">
        <v>442</v>
      </c>
      <c r="M99">
        <v>28</v>
      </c>
      <c r="N99">
        <v>11</v>
      </c>
      <c r="O99" t="s">
        <v>780</v>
      </c>
      <c r="P99" t="s">
        <v>783</v>
      </c>
      <c r="Q99">
        <v>373</v>
      </c>
      <c r="R99">
        <v>296</v>
      </c>
    </row>
    <row r="100" spans="1:18" x14ac:dyDescent="0.25">
      <c r="A100" t="s">
        <v>453</v>
      </c>
      <c r="B100" t="s">
        <v>95</v>
      </c>
      <c r="C100">
        <v>3826</v>
      </c>
      <c r="D100" t="s">
        <v>233</v>
      </c>
      <c r="E100" t="s">
        <v>23</v>
      </c>
      <c r="F100">
        <v>50487891</v>
      </c>
      <c r="G100">
        <v>40</v>
      </c>
      <c r="H100">
        <v>10</v>
      </c>
      <c r="I100">
        <v>16</v>
      </c>
      <c r="J100">
        <v>21</v>
      </c>
      <c r="K100">
        <v>27</v>
      </c>
      <c r="L100">
        <v>31</v>
      </c>
      <c r="M100">
        <v>60</v>
      </c>
      <c r="N100" t="s">
        <v>433</v>
      </c>
      <c r="O100">
        <v>53</v>
      </c>
      <c r="P100">
        <v>41</v>
      </c>
      <c r="Q100">
        <v>376</v>
      </c>
      <c r="R100">
        <v>299</v>
      </c>
    </row>
    <row r="101" spans="1:18" x14ac:dyDescent="0.25">
      <c r="A101" t="s">
        <v>454</v>
      </c>
      <c r="B101" t="s">
        <v>95</v>
      </c>
      <c r="C101">
        <v>3248</v>
      </c>
      <c r="D101" t="s">
        <v>148</v>
      </c>
      <c r="E101" t="s">
        <v>11</v>
      </c>
      <c r="F101">
        <v>50390387</v>
      </c>
      <c r="G101">
        <v>33</v>
      </c>
      <c r="H101">
        <v>38</v>
      </c>
      <c r="I101">
        <v>31</v>
      </c>
      <c r="J101">
        <v>39</v>
      </c>
      <c r="K101">
        <v>32</v>
      </c>
      <c r="L101">
        <v>39</v>
      </c>
      <c r="M101">
        <v>47</v>
      </c>
      <c r="N101">
        <v>32</v>
      </c>
      <c r="O101">
        <v>12</v>
      </c>
      <c r="P101">
        <v>48</v>
      </c>
      <c r="Q101">
        <v>351</v>
      </c>
      <c r="R101">
        <v>303</v>
      </c>
    </row>
    <row r="102" spans="1:18" x14ac:dyDescent="0.25">
      <c r="A102" t="s">
        <v>455</v>
      </c>
      <c r="B102" t="s">
        <v>95</v>
      </c>
      <c r="C102">
        <v>3846</v>
      </c>
      <c r="D102" t="s">
        <v>162</v>
      </c>
      <c r="E102" t="s">
        <v>9</v>
      </c>
      <c r="F102">
        <v>50103590</v>
      </c>
      <c r="G102">
        <v>31</v>
      </c>
      <c r="H102">
        <v>33</v>
      </c>
      <c r="I102">
        <v>34</v>
      </c>
      <c r="J102">
        <v>33</v>
      </c>
      <c r="K102">
        <v>27</v>
      </c>
      <c r="L102">
        <v>28</v>
      </c>
      <c r="M102">
        <v>44</v>
      </c>
      <c r="N102">
        <v>50</v>
      </c>
      <c r="O102">
        <v>45</v>
      </c>
      <c r="P102">
        <v>29</v>
      </c>
      <c r="Q102">
        <v>354</v>
      </c>
      <c r="R102">
        <v>304</v>
      </c>
    </row>
    <row r="103" spans="1:18" x14ac:dyDescent="0.25">
      <c r="A103" t="s">
        <v>457</v>
      </c>
      <c r="B103" t="s">
        <v>95</v>
      </c>
      <c r="C103">
        <v>3808</v>
      </c>
      <c r="D103" t="s">
        <v>160</v>
      </c>
      <c r="E103" t="s">
        <v>7</v>
      </c>
      <c r="F103">
        <v>50703202</v>
      </c>
      <c r="G103">
        <v>34</v>
      </c>
      <c r="H103">
        <v>40</v>
      </c>
      <c r="I103">
        <v>30</v>
      </c>
      <c r="J103">
        <v>23</v>
      </c>
      <c r="K103">
        <v>37</v>
      </c>
      <c r="L103">
        <v>41</v>
      </c>
      <c r="M103">
        <v>31</v>
      </c>
      <c r="N103">
        <v>37</v>
      </c>
      <c r="O103">
        <v>62</v>
      </c>
      <c r="P103">
        <v>34</v>
      </c>
      <c r="Q103">
        <v>369</v>
      </c>
      <c r="R103">
        <v>307</v>
      </c>
    </row>
    <row r="104" spans="1:18" x14ac:dyDescent="0.25">
      <c r="A104" t="s">
        <v>458</v>
      </c>
      <c r="B104" t="s">
        <v>95</v>
      </c>
      <c r="C104">
        <v>3823</v>
      </c>
      <c r="D104" t="s">
        <v>186</v>
      </c>
      <c r="E104" t="s">
        <v>9</v>
      </c>
      <c r="F104">
        <v>50435599</v>
      </c>
      <c r="G104">
        <v>33</v>
      </c>
      <c r="H104" t="s">
        <v>433</v>
      </c>
      <c r="I104">
        <v>21</v>
      </c>
      <c r="J104">
        <v>27</v>
      </c>
      <c r="K104">
        <v>13</v>
      </c>
      <c r="L104">
        <v>30</v>
      </c>
      <c r="M104">
        <v>38</v>
      </c>
      <c r="N104" t="s">
        <v>433</v>
      </c>
      <c r="O104">
        <v>26</v>
      </c>
      <c r="P104">
        <v>43</v>
      </c>
      <c r="Q104">
        <v>385</v>
      </c>
      <c r="R104">
        <v>308</v>
      </c>
    </row>
    <row r="105" spans="1:18" x14ac:dyDescent="0.25">
      <c r="A105" t="s">
        <v>459</v>
      </c>
      <c r="B105" t="s">
        <v>95</v>
      </c>
      <c r="C105">
        <v>4026</v>
      </c>
      <c r="D105" t="s">
        <v>266</v>
      </c>
      <c r="E105" t="s">
        <v>39</v>
      </c>
      <c r="F105">
        <v>52762420</v>
      </c>
      <c r="G105">
        <v>31</v>
      </c>
      <c r="H105">
        <v>21</v>
      </c>
      <c r="I105">
        <v>21</v>
      </c>
      <c r="J105" t="s">
        <v>433</v>
      </c>
      <c r="K105">
        <v>41</v>
      </c>
      <c r="L105">
        <v>31</v>
      </c>
      <c r="M105">
        <v>38</v>
      </c>
      <c r="N105">
        <v>19</v>
      </c>
      <c r="O105">
        <v>29</v>
      </c>
      <c r="P105" t="s">
        <v>433</v>
      </c>
      <c r="Q105">
        <v>385</v>
      </c>
      <c r="R105">
        <v>308</v>
      </c>
    </row>
    <row r="106" spans="1:18" x14ac:dyDescent="0.25">
      <c r="A106" t="s">
        <v>460</v>
      </c>
      <c r="B106" t="s">
        <v>95</v>
      </c>
      <c r="C106">
        <v>4160</v>
      </c>
      <c r="D106" t="s">
        <v>214</v>
      </c>
      <c r="E106" t="s">
        <v>10</v>
      </c>
      <c r="F106">
        <v>52725158</v>
      </c>
      <c r="G106">
        <v>37</v>
      </c>
      <c r="H106">
        <v>29</v>
      </c>
      <c r="I106">
        <v>19</v>
      </c>
      <c r="J106">
        <v>37</v>
      </c>
      <c r="K106">
        <v>28</v>
      </c>
      <c r="L106">
        <v>27</v>
      </c>
      <c r="M106">
        <v>46</v>
      </c>
      <c r="N106">
        <v>45</v>
      </c>
      <c r="O106" t="s">
        <v>461</v>
      </c>
      <c r="P106">
        <v>43</v>
      </c>
      <c r="Q106">
        <v>388</v>
      </c>
      <c r="R106">
        <v>311</v>
      </c>
    </row>
    <row r="107" spans="1:18" x14ac:dyDescent="0.25">
      <c r="A107" t="s">
        <v>462</v>
      </c>
      <c r="B107" t="s">
        <v>95</v>
      </c>
      <c r="C107">
        <v>3952</v>
      </c>
      <c r="D107" t="s">
        <v>191</v>
      </c>
      <c r="E107" t="s">
        <v>16</v>
      </c>
      <c r="F107">
        <v>50653896</v>
      </c>
      <c r="G107">
        <v>42</v>
      </c>
      <c r="H107">
        <v>49</v>
      </c>
      <c r="I107">
        <v>45</v>
      </c>
      <c r="J107">
        <v>36</v>
      </c>
      <c r="K107">
        <v>37</v>
      </c>
      <c r="L107">
        <v>28</v>
      </c>
      <c r="M107">
        <v>37</v>
      </c>
      <c r="N107">
        <v>23</v>
      </c>
      <c r="O107">
        <v>39</v>
      </c>
      <c r="P107">
        <v>25</v>
      </c>
      <c r="Q107">
        <v>361</v>
      </c>
      <c r="R107">
        <v>312</v>
      </c>
    </row>
    <row r="108" spans="1:18" x14ac:dyDescent="0.25">
      <c r="A108" t="s">
        <v>463</v>
      </c>
      <c r="B108" t="s">
        <v>95</v>
      </c>
      <c r="C108">
        <v>4135</v>
      </c>
      <c r="D108" t="s">
        <v>212</v>
      </c>
      <c r="E108" t="s">
        <v>23</v>
      </c>
      <c r="F108">
        <v>52192618</v>
      </c>
      <c r="G108" t="s">
        <v>442</v>
      </c>
      <c r="H108">
        <v>5</v>
      </c>
      <c r="I108">
        <v>12</v>
      </c>
      <c r="J108" t="s">
        <v>461</v>
      </c>
      <c r="K108">
        <v>18</v>
      </c>
      <c r="L108">
        <v>26</v>
      </c>
      <c r="M108">
        <v>8</v>
      </c>
      <c r="N108" t="s">
        <v>433</v>
      </c>
      <c r="O108" t="s">
        <v>433</v>
      </c>
      <c r="P108">
        <v>13</v>
      </c>
      <c r="Q108">
        <v>390</v>
      </c>
      <c r="R108">
        <v>313</v>
      </c>
    </row>
    <row r="109" spans="1:18" x14ac:dyDescent="0.25">
      <c r="A109" t="s">
        <v>464</v>
      </c>
      <c r="B109" t="s">
        <v>95</v>
      </c>
      <c r="C109">
        <v>4018</v>
      </c>
      <c r="D109" t="s">
        <v>262</v>
      </c>
      <c r="E109" t="s">
        <v>17</v>
      </c>
      <c r="F109">
        <v>51012774</v>
      </c>
      <c r="G109">
        <v>29</v>
      </c>
      <c r="H109">
        <v>37</v>
      </c>
      <c r="I109">
        <v>47</v>
      </c>
      <c r="J109">
        <v>35</v>
      </c>
      <c r="K109">
        <v>34</v>
      </c>
      <c r="L109">
        <v>38</v>
      </c>
      <c r="M109">
        <v>35</v>
      </c>
      <c r="N109">
        <v>33</v>
      </c>
      <c r="O109">
        <v>26</v>
      </c>
      <c r="P109" t="s">
        <v>433</v>
      </c>
      <c r="Q109">
        <v>391</v>
      </c>
      <c r="R109">
        <v>314</v>
      </c>
    </row>
    <row r="110" spans="1:18" x14ac:dyDescent="0.25">
      <c r="A110" t="s">
        <v>465</v>
      </c>
      <c r="B110" t="s">
        <v>95</v>
      </c>
      <c r="C110">
        <v>4095</v>
      </c>
      <c r="D110" t="s">
        <v>206</v>
      </c>
      <c r="E110" t="s">
        <v>39</v>
      </c>
      <c r="F110">
        <v>50988984</v>
      </c>
      <c r="G110">
        <v>40</v>
      </c>
      <c r="H110">
        <v>47</v>
      </c>
      <c r="I110">
        <v>36</v>
      </c>
      <c r="J110">
        <v>24</v>
      </c>
      <c r="K110">
        <v>36</v>
      </c>
      <c r="L110">
        <v>34</v>
      </c>
      <c r="M110">
        <v>31</v>
      </c>
      <c r="N110">
        <v>34</v>
      </c>
      <c r="O110">
        <v>37</v>
      </c>
      <c r="P110">
        <v>48</v>
      </c>
      <c r="Q110">
        <v>367</v>
      </c>
      <c r="R110">
        <v>319</v>
      </c>
    </row>
    <row r="111" spans="1:18" x14ac:dyDescent="0.25">
      <c r="A111" t="s">
        <v>466</v>
      </c>
      <c r="B111" t="s">
        <v>95</v>
      </c>
      <c r="C111">
        <v>3951</v>
      </c>
      <c r="D111" t="s">
        <v>166</v>
      </c>
      <c r="E111" t="s">
        <v>23</v>
      </c>
      <c r="F111">
        <v>52099166</v>
      </c>
      <c r="G111">
        <v>16</v>
      </c>
      <c r="H111">
        <v>22</v>
      </c>
      <c r="I111">
        <v>22</v>
      </c>
      <c r="J111" t="s">
        <v>442</v>
      </c>
      <c r="K111">
        <v>28</v>
      </c>
      <c r="L111">
        <v>40</v>
      </c>
      <c r="M111">
        <v>11</v>
      </c>
      <c r="N111" t="s">
        <v>433</v>
      </c>
      <c r="O111" t="s">
        <v>433</v>
      </c>
      <c r="P111">
        <v>34</v>
      </c>
      <c r="Q111">
        <v>404</v>
      </c>
      <c r="R111">
        <v>327</v>
      </c>
    </row>
    <row r="112" spans="1:18" x14ac:dyDescent="0.25">
      <c r="A112" t="s">
        <v>467</v>
      </c>
      <c r="B112" t="s">
        <v>95</v>
      </c>
      <c r="C112">
        <v>4042</v>
      </c>
      <c r="D112" t="s">
        <v>272</v>
      </c>
      <c r="E112" t="s">
        <v>11</v>
      </c>
      <c r="F112">
        <v>53218075</v>
      </c>
      <c r="G112">
        <v>38</v>
      </c>
      <c r="H112">
        <v>22</v>
      </c>
      <c r="I112">
        <v>41</v>
      </c>
      <c r="J112">
        <v>39</v>
      </c>
      <c r="K112">
        <v>39</v>
      </c>
      <c r="L112">
        <v>52</v>
      </c>
      <c r="M112">
        <v>27</v>
      </c>
      <c r="N112">
        <v>29</v>
      </c>
      <c r="O112" t="s">
        <v>433</v>
      </c>
      <c r="P112">
        <v>42</v>
      </c>
      <c r="Q112">
        <v>406</v>
      </c>
      <c r="R112">
        <v>329</v>
      </c>
    </row>
    <row r="113" spans="1:18" x14ac:dyDescent="0.25">
      <c r="A113" t="s">
        <v>468</v>
      </c>
      <c r="B113" t="s">
        <v>95</v>
      </c>
      <c r="C113">
        <v>4020</v>
      </c>
      <c r="D113" t="s">
        <v>263</v>
      </c>
      <c r="E113" t="s">
        <v>21</v>
      </c>
      <c r="F113">
        <v>52857832</v>
      </c>
      <c r="G113">
        <v>39</v>
      </c>
      <c r="H113" t="s">
        <v>433</v>
      </c>
      <c r="I113">
        <v>35</v>
      </c>
      <c r="J113">
        <v>31</v>
      </c>
      <c r="K113">
        <v>39</v>
      </c>
      <c r="L113">
        <v>55</v>
      </c>
      <c r="M113">
        <v>41</v>
      </c>
      <c r="N113">
        <v>25</v>
      </c>
      <c r="O113">
        <v>24</v>
      </c>
      <c r="P113">
        <v>40</v>
      </c>
      <c r="Q113">
        <v>406</v>
      </c>
      <c r="R113">
        <v>329</v>
      </c>
    </row>
    <row r="114" spans="1:18" x14ac:dyDescent="0.25">
      <c r="A114" t="s">
        <v>469</v>
      </c>
      <c r="B114" t="s">
        <v>95</v>
      </c>
      <c r="C114">
        <v>3527</v>
      </c>
      <c r="D114" t="s">
        <v>152</v>
      </c>
      <c r="E114" t="s">
        <v>26</v>
      </c>
      <c r="F114">
        <v>52703564</v>
      </c>
      <c r="G114">
        <v>43</v>
      </c>
      <c r="H114">
        <v>31</v>
      </c>
      <c r="I114">
        <v>39</v>
      </c>
      <c r="J114">
        <v>47</v>
      </c>
      <c r="K114">
        <v>43</v>
      </c>
      <c r="L114">
        <v>42</v>
      </c>
      <c r="M114">
        <v>37</v>
      </c>
      <c r="N114">
        <v>26</v>
      </c>
      <c r="O114">
        <v>45</v>
      </c>
      <c r="P114">
        <v>28</v>
      </c>
      <c r="Q114">
        <v>381</v>
      </c>
      <c r="R114">
        <v>334</v>
      </c>
    </row>
    <row r="115" spans="1:18" x14ac:dyDescent="0.25">
      <c r="A115" t="s">
        <v>470</v>
      </c>
      <c r="B115" t="s">
        <v>95</v>
      </c>
      <c r="C115">
        <v>3099</v>
      </c>
      <c r="D115" t="s">
        <v>146</v>
      </c>
      <c r="E115" t="s">
        <v>76</v>
      </c>
      <c r="F115">
        <v>50617785</v>
      </c>
      <c r="G115">
        <v>45</v>
      </c>
      <c r="H115">
        <v>39</v>
      </c>
      <c r="I115">
        <v>37</v>
      </c>
      <c r="J115">
        <v>42</v>
      </c>
      <c r="K115">
        <v>35</v>
      </c>
      <c r="L115">
        <v>57</v>
      </c>
      <c r="M115">
        <v>42</v>
      </c>
      <c r="N115">
        <v>35</v>
      </c>
      <c r="O115">
        <v>27</v>
      </c>
      <c r="P115">
        <v>35</v>
      </c>
      <c r="Q115">
        <v>394</v>
      </c>
      <c r="R115">
        <v>337</v>
      </c>
    </row>
    <row r="116" spans="1:18" x14ac:dyDescent="0.25">
      <c r="A116" t="s">
        <v>471</v>
      </c>
      <c r="B116" t="s">
        <v>95</v>
      </c>
      <c r="C116">
        <v>3828</v>
      </c>
      <c r="D116" t="s">
        <v>234</v>
      </c>
      <c r="E116" t="s">
        <v>11</v>
      </c>
      <c r="F116">
        <v>52909554</v>
      </c>
      <c r="G116">
        <v>39</v>
      </c>
      <c r="H116">
        <v>36</v>
      </c>
      <c r="I116">
        <v>34</v>
      </c>
      <c r="J116">
        <v>55</v>
      </c>
      <c r="K116">
        <v>45</v>
      </c>
      <c r="L116">
        <v>33</v>
      </c>
      <c r="M116">
        <v>44</v>
      </c>
      <c r="N116">
        <v>44</v>
      </c>
      <c r="O116">
        <v>49</v>
      </c>
      <c r="P116">
        <v>17</v>
      </c>
      <c r="Q116">
        <v>396</v>
      </c>
      <c r="R116">
        <v>341</v>
      </c>
    </row>
    <row r="117" spans="1:18" x14ac:dyDescent="0.25">
      <c r="A117" t="s">
        <v>472</v>
      </c>
      <c r="B117" t="s">
        <v>95</v>
      </c>
      <c r="C117">
        <v>4105</v>
      </c>
      <c r="D117" t="s">
        <v>292</v>
      </c>
      <c r="E117" t="s">
        <v>63</v>
      </c>
      <c r="F117">
        <v>50663025</v>
      </c>
      <c r="G117">
        <v>37</v>
      </c>
      <c r="H117">
        <v>46</v>
      </c>
      <c r="I117">
        <v>46</v>
      </c>
      <c r="J117">
        <v>24</v>
      </c>
      <c r="K117">
        <v>52</v>
      </c>
      <c r="L117">
        <v>37</v>
      </c>
      <c r="M117">
        <v>46</v>
      </c>
      <c r="N117" t="s">
        <v>433</v>
      </c>
      <c r="O117">
        <v>27</v>
      </c>
      <c r="P117">
        <v>30</v>
      </c>
      <c r="Q117">
        <v>422</v>
      </c>
      <c r="R117">
        <v>345</v>
      </c>
    </row>
    <row r="118" spans="1:18" x14ac:dyDescent="0.25">
      <c r="A118" t="s">
        <v>473</v>
      </c>
      <c r="B118" t="s">
        <v>95</v>
      </c>
      <c r="C118">
        <v>4142</v>
      </c>
      <c r="D118" t="s">
        <v>306</v>
      </c>
      <c r="E118" t="s">
        <v>17</v>
      </c>
      <c r="F118">
        <v>52875058</v>
      </c>
      <c r="G118">
        <v>32</v>
      </c>
      <c r="H118" t="s">
        <v>433</v>
      </c>
      <c r="I118">
        <v>33</v>
      </c>
      <c r="J118">
        <v>52</v>
      </c>
      <c r="K118">
        <v>55</v>
      </c>
      <c r="L118">
        <v>45</v>
      </c>
      <c r="M118">
        <v>25</v>
      </c>
      <c r="N118">
        <v>21</v>
      </c>
      <c r="O118">
        <v>10</v>
      </c>
      <c r="P118" t="s">
        <v>433</v>
      </c>
      <c r="Q118">
        <v>427</v>
      </c>
      <c r="R118">
        <v>350</v>
      </c>
    </row>
    <row r="119" spans="1:18" x14ac:dyDescent="0.25">
      <c r="A119" t="s">
        <v>474</v>
      </c>
      <c r="B119" t="s">
        <v>95</v>
      </c>
      <c r="C119">
        <v>3818</v>
      </c>
      <c r="D119" t="s">
        <v>231</v>
      </c>
      <c r="E119" t="s">
        <v>16</v>
      </c>
      <c r="F119">
        <v>52834659</v>
      </c>
      <c r="G119">
        <v>29</v>
      </c>
      <c r="H119">
        <v>37</v>
      </c>
      <c r="I119">
        <v>50</v>
      </c>
      <c r="J119">
        <v>26</v>
      </c>
      <c r="K119">
        <v>22</v>
      </c>
      <c r="L119">
        <v>19</v>
      </c>
      <c r="M119">
        <v>36</v>
      </c>
      <c r="N119">
        <v>54</v>
      </c>
      <c r="O119" t="s">
        <v>442</v>
      </c>
      <c r="P119" t="s">
        <v>442</v>
      </c>
      <c r="Q119">
        <v>427</v>
      </c>
      <c r="R119">
        <v>350</v>
      </c>
    </row>
    <row r="120" spans="1:18" x14ac:dyDescent="0.25">
      <c r="A120" t="s">
        <v>475</v>
      </c>
      <c r="B120" t="s">
        <v>95</v>
      </c>
      <c r="C120">
        <v>3832</v>
      </c>
      <c r="D120" t="s">
        <v>161</v>
      </c>
      <c r="E120" t="s">
        <v>39</v>
      </c>
      <c r="F120">
        <v>53956527</v>
      </c>
      <c r="G120">
        <v>48</v>
      </c>
      <c r="H120">
        <v>42</v>
      </c>
      <c r="I120">
        <v>43</v>
      </c>
      <c r="J120">
        <v>22</v>
      </c>
      <c r="K120">
        <v>56</v>
      </c>
      <c r="L120">
        <v>43</v>
      </c>
      <c r="M120">
        <v>40</v>
      </c>
      <c r="N120">
        <v>34</v>
      </c>
      <c r="O120">
        <v>24</v>
      </c>
      <c r="P120">
        <v>57</v>
      </c>
      <c r="Q120">
        <v>409</v>
      </c>
      <c r="R120">
        <v>352</v>
      </c>
    </row>
    <row r="121" spans="1:18" x14ac:dyDescent="0.25">
      <c r="A121" t="s">
        <v>476</v>
      </c>
      <c r="B121" t="s">
        <v>95</v>
      </c>
      <c r="C121">
        <v>4198</v>
      </c>
      <c r="D121" t="s">
        <v>204</v>
      </c>
      <c r="E121" t="s">
        <v>21</v>
      </c>
      <c r="F121">
        <v>53454414</v>
      </c>
      <c r="G121" t="s">
        <v>461</v>
      </c>
      <c r="H121">
        <v>35</v>
      </c>
      <c r="I121">
        <v>47</v>
      </c>
      <c r="J121">
        <v>36</v>
      </c>
      <c r="K121">
        <v>28</v>
      </c>
      <c r="L121">
        <v>35</v>
      </c>
      <c r="M121">
        <v>24</v>
      </c>
      <c r="N121">
        <v>17</v>
      </c>
      <c r="O121">
        <v>54</v>
      </c>
      <c r="P121" t="s">
        <v>433</v>
      </c>
      <c r="Q121">
        <v>430</v>
      </c>
      <c r="R121">
        <v>353</v>
      </c>
    </row>
    <row r="122" spans="1:18" x14ac:dyDescent="0.25">
      <c r="A122" t="s">
        <v>477</v>
      </c>
      <c r="B122" t="s">
        <v>95</v>
      </c>
      <c r="C122">
        <v>4114</v>
      </c>
      <c r="D122" t="s">
        <v>200</v>
      </c>
      <c r="E122" t="s">
        <v>94</v>
      </c>
      <c r="F122">
        <v>50324563</v>
      </c>
      <c r="G122">
        <v>27</v>
      </c>
      <c r="H122">
        <v>32</v>
      </c>
      <c r="I122">
        <v>23</v>
      </c>
      <c r="J122">
        <v>29</v>
      </c>
      <c r="K122" t="s">
        <v>461</v>
      </c>
      <c r="L122">
        <v>19</v>
      </c>
      <c r="M122">
        <v>51</v>
      </c>
      <c r="N122" t="s">
        <v>433</v>
      </c>
      <c r="O122">
        <v>59</v>
      </c>
      <c r="P122">
        <v>42</v>
      </c>
      <c r="Q122">
        <v>436</v>
      </c>
      <c r="R122">
        <v>359</v>
      </c>
    </row>
    <row r="123" spans="1:18" x14ac:dyDescent="0.25">
      <c r="A123" t="s">
        <v>478</v>
      </c>
      <c r="B123" t="s">
        <v>95</v>
      </c>
      <c r="C123">
        <v>4016</v>
      </c>
      <c r="D123" t="s">
        <v>261</v>
      </c>
      <c r="E123" t="s">
        <v>101</v>
      </c>
      <c r="F123">
        <v>52800005</v>
      </c>
      <c r="G123">
        <v>36</v>
      </c>
      <c r="H123">
        <v>53</v>
      </c>
      <c r="I123">
        <v>30</v>
      </c>
      <c r="J123">
        <v>56</v>
      </c>
      <c r="K123">
        <v>36</v>
      </c>
      <c r="L123">
        <v>46</v>
      </c>
      <c r="M123">
        <v>56</v>
      </c>
      <c r="N123">
        <v>36</v>
      </c>
      <c r="O123">
        <v>22</v>
      </c>
      <c r="P123">
        <v>44</v>
      </c>
      <c r="Q123">
        <v>415</v>
      </c>
      <c r="R123">
        <v>359</v>
      </c>
    </row>
    <row r="124" spans="1:18" x14ac:dyDescent="0.25">
      <c r="A124" t="s">
        <v>479</v>
      </c>
      <c r="B124" t="s">
        <v>95</v>
      </c>
      <c r="C124">
        <v>4023</v>
      </c>
      <c r="D124" t="s">
        <v>192</v>
      </c>
      <c r="E124" t="s">
        <v>104</v>
      </c>
      <c r="F124">
        <v>52827491</v>
      </c>
      <c r="G124">
        <v>41</v>
      </c>
      <c r="H124">
        <v>42</v>
      </c>
      <c r="I124">
        <v>40</v>
      </c>
      <c r="J124">
        <v>25</v>
      </c>
      <c r="K124">
        <v>36</v>
      </c>
      <c r="L124" t="s">
        <v>442</v>
      </c>
      <c r="M124">
        <v>59</v>
      </c>
      <c r="N124">
        <v>35</v>
      </c>
      <c r="O124">
        <v>38</v>
      </c>
      <c r="P124">
        <v>45</v>
      </c>
      <c r="Q124">
        <v>438</v>
      </c>
      <c r="R124">
        <v>361</v>
      </c>
    </row>
    <row r="125" spans="1:18" x14ac:dyDescent="0.25">
      <c r="A125" t="s">
        <v>480</v>
      </c>
      <c r="B125" t="s">
        <v>95</v>
      </c>
      <c r="C125">
        <v>3801</v>
      </c>
      <c r="D125" t="s">
        <v>184</v>
      </c>
      <c r="E125" t="s">
        <v>94</v>
      </c>
      <c r="F125">
        <v>51584319</v>
      </c>
      <c r="G125">
        <v>24</v>
      </c>
      <c r="H125">
        <v>38</v>
      </c>
      <c r="I125">
        <v>55</v>
      </c>
      <c r="J125">
        <v>43</v>
      </c>
      <c r="K125">
        <v>42</v>
      </c>
      <c r="L125">
        <v>50</v>
      </c>
      <c r="M125">
        <v>45</v>
      </c>
      <c r="N125" t="s">
        <v>433</v>
      </c>
      <c r="O125">
        <v>13</v>
      </c>
      <c r="P125">
        <v>53</v>
      </c>
      <c r="Q125">
        <v>440</v>
      </c>
      <c r="R125">
        <v>363</v>
      </c>
    </row>
    <row r="126" spans="1:18" x14ac:dyDescent="0.25">
      <c r="A126" t="s">
        <v>481</v>
      </c>
      <c r="B126" t="s">
        <v>95</v>
      </c>
      <c r="C126">
        <v>3908</v>
      </c>
      <c r="D126" t="s">
        <v>165</v>
      </c>
      <c r="E126" t="s">
        <v>11</v>
      </c>
      <c r="F126">
        <v>52698988</v>
      </c>
      <c r="G126" t="s">
        <v>543</v>
      </c>
      <c r="H126">
        <v>56</v>
      </c>
      <c r="I126">
        <v>49</v>
      </c>
      <c r="J126">
        <v>51</v>
      </c>
      <c r="K126">
        <v>46</v>
      </c>
      <c r="L126">
        <v>37</v>
      </c>
      <c r="M126">
        <v>40</v>
      </c>
      <c r="N126">
        <v>33</v>
      </c>
      <c r="O126">
        <v>31</v>
      </c>
      <c r="P126">
        <v>21</v>
      </c>
      <c r="Q126">
        <v>441</v>
      </c>
      <c r="R126">
        <v>364</v>
      </c>
    </row>
    <row r="127" spans="1:18" x14ac:dyDescent="0.25">
      <c r="A127" t="s">
        <v>482</v>
      </c>
      <c r="B127" t="s">
        <v>95</v>
      </c>
      <c r="C127">
        <v>3992</v>
      </c>
      <c r="D127" t="s">
        <v>255</v>
      </c>
      <c r="E127" t="s">
        <v>104</v>
      </c>
      <c r="F127">
        <v>53236907</v>
      </c>
      <c r="G127">
        <v>53</v>
      </c>
      <c r="H127">
        <v>27</v>
      </c>
      <c r="I127">
        <v>44</v>
      </c>
      <c r="J127" t="s">
        <v>442</v>
      </c>
      <c r="K127" t="s">
        <v>442</v>
      </c>
      <c r="L127" t="s">
        <v>442</v>
      </c>
      <c r="M127">
        <v>16</v>
      </c>
      <c r="N127">
        <v>41</v>
      </c>
      <c r="O127">
        <v>28</v>
      </c>
      <c r="P127">
        <v>3</v>
      </c>
      <c r="Q127">
        <v>443</v>
      </c>
      <c r="R127">
        <v>366</v>
      </c>
    </row>
    <row r="128" spans="1:18" x14ac:dyDescent="0.25">
      <c r="A128" t="s">
        <v>483</v>
      </c>
      <c r="B128" t="s">
        <v>95</v>
      </c>
      <c r="C128">
        <v>3819</v>
      </c>
      <c r="D128" t="s">
        <v>185</v>
      </c>
      <c r="E128" t="s">
        <v>23</v>
      </c>
      <c r="F128">
        <v>52977090</v>
      </c>
      <c r="G128">
        <v>66</v>
      </c>
      <c r="H128">
        <v>54</v>
      </c>
      <c r="I128">
        <v>37</v>
      </c>
      <c r="J128">
        <v>40</v>
      </c>
      <c r="K128">
        <v>35</v>
      </c>
      <c r="L128">
        <v>49</v>
      </c>
      <c r="M128">
        <v>55</v>
      </c>
      <c r="N128">
        <v>42</v>
      </c>
      <c r="O128">
        <v>28</v>
      </c>
      <c r="P128">
        <v>33</v>
      </c>
      <c r="Q128">
        <v>439</v>
      </c>
      <c r="R128">
        <v>373</v>
      </c>
    </row>
    <row r="129" spans="1:18" x14ac:dyDescent="0.25">
      <c r="A129" t="s">
        <v>484</v>
      </c>
      <c r="B129" t="s">
        <v>95</v>
      </c>
      <c r="C129">
        <v>3619</v>
      </c>
      <c r="D129" t="s">
        <v>138</v>
      </c>
      <c r="E129" t="s">
        <v>39</v>
      </c>
      <c r="F129">
        <v>50801005</v>
      </c>
      <c r="G129">
        <v>32</v>
      </c>
      <c r="H129">
        <v>46</v>
      </c>
      <c r="I129">
        <v>42</v>
      </c>
      <c r="J129">
        <v>42</v>
      </c>
      <c r="K129">
        <v>34</v>
      </c>
      <c r="L129">
        <v>35</v>
      </c>
      <c r="M129">
        <v>46</v>
      </c>
      <c r="N129">
        <v>43</v>
      </c>
      <c r="O129">
        <v>53</v>
      </c>
      <c r="P129" t="s">
        <v>433</v>
      </c>
      <c r="Q129">
        <v>450</v>
      </c>
      <c r="R129">
        <v>373</v>
      </c>
    </row>
    <row r="130" spans="1:18" x14ac:dyDescent="0.25">
      <c r="A130" t="s">
        <v>485</v>
      </c>
      <c r="B130" t="s">
        <v>95</v>
      </c>
      <c r="C130">
        <v>4100</v>
      </c>
      <c r="D130" t="s">
        <v>291</v>
      </c>
      <c r="E130" t="s">
        <v>9</v>
      </c>
      <c r="F130">
        <v>52613001</v>
      </c>
      <c r="G130">
        <v>52</v>
      </c>
      <c r="H130">
        <v>45</v>
      </c>
      <c r="I130">
        <v>48</v>
      </c>
      <c r="J130">
        <v>32</v>
      </c>
      <c r="K130">
        <v>44</v>
      </c>
      <c r="L130" t="s">
        <v>442</v>
      </c>
      <c r="M130">
        <v>38</v>
      </c>
      <c r="N130">
        <v>51</v>
      </c>
      <c r="O130">
        <v>15</v>
      </c>
      <c r="P130">
        <v>49</v>
      </c>
      <c r="Q130">
        <v>451</v>
      </c>
      <c r="R130">
        <v>374</v>
      </c>
    </row>
    <row r="131" spans="1:18" x14ac:dyDescent="0.25">
      <c r="A131" t="s">
        <v>486</v>
      </c>
      <c r="B131" t="s">
        <v>95</v>
      </c>
      <c r="C131">
        <v>4047</v>
      </c>
      <c r="D131" t="s">
        <v>274</v>
      </c>
      <c r="E131" t="s">
        <v>104</v>
      </c>
      <c r="F131">
        <v>51157369</v>
      </c>
      <c r="G131">
        <v>65</v>
      </c>
      <c r="H131">
        <v>26</v>
      </c>
      <c r="I131" t="s">
        <v>442</v>
      </c>
      <c r="J131">
        <v>37</v>
      </c>
      <c r="K131">
        <v>31</v>
      </c>
      <c r="L131">
        <v>40</v>
      </c>
      <c r="M131">
        <v>67</v>
      </c>
      <c r="N131">
        <v>21</v>
      </c>
      <c r="O131">
        <v>30</v>
      </c>
      <c r="P131">
        <v>61</v>
      </c>
      <c r="Q131">
        <v>455</v>
      </c>
      <c r="R131">
        <v>378</v>
      </c>
    </row>
    <row r="132" spans="1:18" x14ac:dyDescent="0.25">
      <c r="A132" t="s">
        <v>487</v>
      </c>
      <c r="B132" t="s">
        <v>95</v>
      </c>
      <c r="C132">
        <v>3718</v>
      </c>
      <c r="D132" t="s">
        <v>156</v>
      </c>
      <c r="E132" t="s">
        <v>8</v>
      </c>
      <c r="F132">
        <v>51193310</v>
      </c>
      <c r="G132">
        <v>60</v>
      </c>
      <c r="H132">
        <v>32</v>
      </c>
      <c r="I132">
        <v>39</v>
      </c>
      <c r="J132">
        <v>39</v>
      </c>
      <c r="K132">
        <v>47</v>
      </c>
      <c r="L132">
        <v>47</v>
      </c>
      <c r="M132">
        <v>51</v>
      </c>
      <c r="N132">
        <v>61</v>
      </c>
      <c r="O132" t="s">
        <v>784</v>
      </c>
      <c r="P132" t="s">
        <v>785</v>
      </c>
      <c r="Q132">
        <v>441</v>
      </c>
      <c r="R132">
        <v>380</v>
      </c>
    </row>
    <row r="133" spans="1:18" x14ac:dyDescent="0.25">
      <c r="A133" t="s">
        <v>488</v>
      </c>
      <c r="B133" t="s">
        <v>95</v>
      </c>
      <c r="C133">
        <v>4201</v>
      </c>
      <c r="D133" t="s">
        <v>217</v>
      </c>
      <c r="E133" t="s">
        <v>21</v>
      </c>
      <c r="F133">
        <v>53202237</v>
      </c>
      <c r="G133">
        <v>41</v>
      </c>
      <c r="H133">
        <v>53</v>
      </c>
      <c r="I133">
        <v>53</v>
      </c>
      <c r="J133">
        <v>59</v>
      </c>
      <c r="K133">
        <v>59</v>
      </c>
      <c r="L133">
        <v>55</v>
      </c>
      <c r="M133">
        <v>50</v>
      </c>
      <c r="N133">
        <v>23</v>
      </c>
      <c r="O133">
        <v>14</v>
      </c>
      <c r="P133">
        <v>36</v>
      </c>
      <c r="Q133">
        <v>443</v>
      </c>
      <c r="R133">
        <v>384</v>
      </c>
    </row>
    <row r="134" spans="1:18" x14ac:dyDescent="0.25">
      <c r="A134" t="s">
        <v>489</v>
      </c>
      <c r="B134" t="s">
        <v>95</v>
      </c>
      <c r="C134">
        <v>4117</v>
      </c>
      <c r="D134" t="s">
        <v>209</v>
      </c>
      <c r="E134" t="s">
        <v>9</v>
      </c>
      <c r="F134">
        <v>52164372</v>
      </c>
      <c r="G134">
        <v>39</v>
      </c>
      <c r="H134">
        <v>40</v>
      </c>
      <c r="I134" t="s">
        <v>456</v>
      </c>
      <c r="J134">
        <v>33</v>
      </c>
      <c r="K134" t="s">
        <v>461</v>
      </c>
      <c r="L134">
        <v>54</v>
      </c>
      <c r="M134">
        <v>34</v>
      </c>
      <c r="N134">
        <v>40</v>
      </c>
      <c r="O134">
        <v>23</v>
      </c>
      <c r="P134">
        <v>44</v>
      </c>
      <c r="Q134">
        <v>461</v>
      </c>
      <c r="R134">
        <v>384</v>
      </c>
    </row>
    <row r="135" spans="1:18" x14ac:dyDescent="0.25">
      <c r="A135" t="s">
        <v>490</v>
      </c>
      <c r="B135" t="s">
        <v>95</v>
      </c>
      <c r="C135">
        <v>3970</v>
      </c>
      <c r="D135" t="s">
        <v>170</v>
      </c>
      <c r="E135" t="s">
        <v>21</v>
      </c>
      <c r="F135">
        <v>52441977</v>
      </c>
      <c r="G135">
        <v>56</v>
      </c>
      <c r="H135">
        <v>35</v>
      </c>
      <c r="I135">
        <v>42</v>
      </c>
      <c r="J135">
        <v>52</v>
      </c>
      <c r="K135">
        <v>50</v>
      </c>
      <c r="L135">
        <v>41</v>
      </c>
      <c r="M135">
        <v>30</v>
      </c>
      <c r="N135" t="s">
        <v>433</v>
      </c>
      <c r="O135">
        <v>42</v>
      </c>
      <c r="P135">
        <v>38</v>
      </c>
      <c r="Q135">
        <v>463</v>
      </c>
      <c r="R135">
        <v>386</v>
      </c>
    </row>
    <row r="136" spans="1:18" x14ac:dyDescent="0.25">
      <c r="A136" t="s">
        <v>491</v>
      </c>
      <c r="B136" t="s">
        <v>95</v>
      </c>
      <c r="C136">
        <v>4195</v>
      </c>
      <c r="D136" t="s">
        <v>331</v>
      </c>
      <c r="E136" t="s">
        <v>16</v>
      </c>
      <c r="F136">
        <v>54627320</v>
      </c>
      <c r="G136">
        <v>46</v>
      </c>
      <c r="H136" t="s">
        <v>433</v>
      </c>
      <c r="I136">
        <v>44</v>
      </c>
      <c r="J136">
        <v>45</v>
      </c>
      <c r="K136">
        <v>33</v>
      </c>
      <c r="L136">
        <v>44</v>
      </c>
      <c r="M136">
        <v>40</v>
      </c>
      <c r="N136">
        <v>11</v>
      </c>
      <c r="O136">
        <v>48</v>
      </c>
      <c r="P136" t="s">
        <v>433</v>
      </c>
      <c r="Q136">
        <v>465</v>
      </c>
      <c r="R136">
        <v>388</v>
      </c>
    </row>
    <row r="137" spans="1:18" x14ac:dyDescent="0.25">
      <c r="A137" t="s">
        <v>492</v>
      </c>
      <c r="B137" t="s">
        <v>95</v>
      </c>
      <c r="C137">
        <v>3922</v>
      </c>
      <c r="D137" t="s">
        <v>190</v>
      </c>
      <c r="E137" t="s">
        <v>116</v>
      </c>
      <c r="F137">
        <v>50031712</v>
      </c>
      <c r="G137">
        <v>41</v>
      </c>
      <c r="H137">
        <v>45</v>
      </c>
      <c r="I137">
        <v>39</v>
      </c>
      <c r="J137">
        <v>38</v>
      </c>
      <c r="K137">
        <v>26</v>
      </c>
      <c r="L137">
        <v>47</v>
      </c>
      <c r="M137">
        <v>60</v>
      </c>
      <c r="N137">
        <v>63</v>
      </c>
      <c r="O137">
        <v>52</v>
      </c>
      <c r="P137">
        <v>41</v>
      </c>
      <c r="Q137">
        <v>452</v>
      </c>
      <c r="R137">
        <v>389</v>
      </c>
    </row>
    <row r="138" spans="1:18" x14ac:dyDescent="0.25">
      <c r="A138" t="s">
        <v>493</v>
      </c>
      <c r="B138" t="s">
        <v>110</v>
      </c>
      <c r="C138">
        <v>22964</v>
      </c>
      <c r="D138" t="s">
        <v>127</v>
      </c>
      <c r="E138" t="s">
        <v>109</v>
      </c>
      <c r="F138">
        <v>56885745</v>
      </c>
      <c r="G138">
        <v>43</v>
      </c>
      <c r="H138">
        <v>47</v>
      </c>
      <c r="I138">
        <v>59</v>
      </c>
      <c r="J138">
        <v>37</v>
      </c>
      <c r="K138">
        <v>40</v>
      </c>
      <c r="L138">
        <v>43</v>
      </c>
      <c r="M138">
        <v>50</v>
      </c>
      <c r="N138">
        <v>32</v>
      </c>
      <c r="O138">
        <v>39</v>
      </c>
      <c r="P138" t="s">
        <v>433</v>
      </c>
      <c r="Q138">
        <v>467</v>
      </c>
      <c r="R138">
        <v>390</v>
      </c>
    </row>
    <row r="139" spans="1:18" x14ac:dyDescent="0.25">
      <c r="A139" t="s">
        <v>494</v>
      </c>
      <c r="B139" t="s">
        <v>95</v>
      </c>
      <c r="C139">
        <v>4207</v>
      </c>
      <c r="D139" t="s">
        <v>336</v>
      </c>
      <c r="E139" t="s">
        <v>9</v>
      </c>
      <c r="F139">
        <v>50701994</v>
      </c>
      <c r="G139" t="s">
        <v>461</v>
      </c>
      <c r="H139">
        <v>50</v>
      </c>
      <c r="I139">
        <v>34</v>
      </c>
      <c r="J139">
        <v>49</v>
      </c>
      <c r="K139">
        <v>40</v>
      </c>
      <c r="L139">
        <v>22</v>
      </c>
      <c r="M139">
        <v>63</v>
      </c>
      <c r="N139">
        <v>55</v>
      </c>
      <c r="O139">
        <v>41</v>
      </c>
      <c r="P139">
        <v>37</v>
      </c>
      <c r="Q139">
        <v>468</v>
      </c>
      <c r="R139">
        <v>391</v>
      </c>
    </row>
    <row r="140" spans="1:18" x14ac:dyDescent="0.25">
      <c r="A140" t="s">
        <v>495</v>
      </c>
      <c r="B140" t="s">
        <v>110</v>
      </c>
      <c r="C140">
        <v>17696</v>
      </c>
      <c r="D140" t="s">
        <v>125</v>
      </c>
      <c r="E140" t="s">
        <v>109</v>
      </c>
      <c r="F140">
        <v>44353667</v>
      </c>
      <c r="G140">
        <v>60</v>
      </c>
      <c r="H140">
        <v>52</v>
      </c>
      <c r="I140" t="s">
        <v>543</v>
      </c>
      <c r="J140">
        <v>41</v>
      </c>
      <c r="K140">
        <v>41</v>
      </c>
      <c r="L140">
        <v>52</v>
      </c>
      <c r="M140">
        <v>55</v>
      </c>
      <c r="N140">
        <v>13</v>
      </c>
      <c r="O140">
        <v>42</v>
      </c>
      <c r="P140">
        <v>36</v>
      </c>
      <c r="Q140">
        <v>469</v>
      </c>
      <c r="R140">
        <v>392</v>
      </c>
    </row>
    <row r="141" spans="1:18" x14ac:dyDescent="0.25">
      <c r="A141" t="s">
        <v>496</v>
      </c>
      <c r="B141" t="s">
        <v>110</v>
      </c>
      <c r="C141">
        <v>23031</v>
      </c>
      <c r="D141" t="s">
        <v>128</v>
      </c>
      <c r="E141" t="s">
        <v>109</v>
      </c>
      <c r="F141">
        <v>56765778</v>
      </c>
      <c r="G141">
        <v>59</v>
      </c>
      <c r="H141">
        <v>41</v>
      </c>
      <c r="I141">
        <v>42</v>
      </c>
      <c r="J141">
        <v>46</v>
      </c>
      <c r="K141">
        <v>41</v>
      </c>
      <c r="L141">
        <v>53</v>
      </c>
      <c r="M141">
        <v>49</v>
      </c>
      <c r="N141">
        <v>37</v>
      </c>
      <c r="O141">
        <v>25</v>
      </c>
      <c r="P141" t="s">
        <v>433</v>
      </c>
      <c r="Q141">
        <v>470</v>
      </c>
      <c r="R141">
        <v>393</v>
      </c>
    </row>
    <row r="142" spans="1:18" x14ac:dyDescent="0.25">
      <c r="A142" t="s">
        <v>497</v>
      </c>
      <c r="B142" t="s">
        <v>95</v>
      </c>
      <c r="C142">
        <v>3743</v>
      </c>
      <c r="D142" t="s">
        <v>226</v>
      </c>
      <c r="E142" t="s">
        <v>104</v>
      </c>
      <c r="F142">
        <v>52030773</v>
      </c>
      <c r="G142" t="s">
        <v>442</v>
      </c>
      <c r="H142">
        <v>38</v>
      </c>
      <c r="I142">
        <v>41</v>
      </c>
      <c r="J142" t="s">
        <v>461</v>
      </c>
      <c r="K142" t="s">
        <v>442</v>
      </c>
      <c r="L142">
        <v>28</v>
      </c>
      <c r="M142">
        <v>29</v>
      </c>
      <c r="N142">
        <v>10</v>
      </c>
      <c r="O142" t="s">
        <v>433</v>
      </c>
      <c r="P142">
        <v>18</v>
      </c>
      <c r="Q142">
        <v>472</v>
      </c>
      <c r="R142">
        <v>395</v>
      </c>
    </row>
    <row r="143" spans="1:18" x14ac:dyDescent="0.25">
      <c r="A143" t="s">
        <v>498</v>
      </c>
      <c r="B143" t="s">
        <v>95</v>
      </c>
      <c r="C143">
        <v>3995</v>
      </c>
      <c r="D143" t="s">
        <v>256</v>
      </c>
      <c r="E143" t="s">
        <v>5</v>
      </c>
      <c r="F143">
        <v>52861772</v>
      </c>
      <c r="G143">
        <v>26</v>
      </c>
      <c r="H143">
        <v>44</v>
      </c>
      <c r="I143">
        <v>43</v>
      </c>
      <c r="J143">
        <v>52</v>
      </c>
      <c r="K143">
        <v>44</v>
      </c>
      <c r="L143">
        <v>59</v>
      </c>
      <c r="M143">
        <v>42</v>
      </c>
      <c r="N143">
        <v>31</v>
      </c>
      <c r="O143" t="s">
        <v>433</v>
      </c>
      <c r="P143">
        <v>58</v>
      </c>
      <c r="Q143">
        <v>476</v>
      </c>
      <c r="R143">
        <v>399</v>
      </c>
    </row>
    <row r="144" spans="1:18" x14ac:dyDescent="0.25">
      <c r="A144" t="s">
        <v>499</v>
      </c>
      <c r="B144" t="s">
        <v>95</v>
      </c>
      <c r="C144">
        <v>3781</v>
      </c>
      <c r="D144" t="s">
        <v>229</v>
      </c>
      <c r="E144" t="s">
        <v>10</v>
      </c>
      <c r="F144">
        <v>53456040</v>
      </c>
      <c r="G144">
        <v>37</v>
      </c>
      <c r="H144">
        <v>49</v>
      </c>
      <c r="I144">
        <v>52</v>
      </c>
      <c r="J144">
        <v>53</v>
      </c>
      <c r="K144">
        <v>53</v>
      </c>
      <c r="L144">
        <v>38</v>
      </c>
      <c r="M144">
        <v>48</v>
      </c>
      <c r="N144">
        <v>49</v>
      </c>
      <c r="O144">
        <v>40</v>
      </c>
      <c r="P144">
        <v>39</v>
      </c>
      <c r="Q144">
        <v>458</v>
      </c>
      <c r="R144">
        <v>405</v>
      </c>
    </row>
    <row r="145" spans="1:18" x14ac:dyDescent="0.25">
      <c r="A145" t="s">
        <v>500</v>
      </c>
      <c r="B145" t="s">
        <v>95</v>
      </c>
      <c r="C145">
        <v>4184</v>
      </c>
      <c r="D145" t="s">
        <v>322</v>
      </c>
      <c r="E145" t="s">
        <v>5</v>
      </c>
      <c r="F145">
        <v>51582661</v>
      </c>
      <c r="G145">
        <v>46</v>
      </c>
      <c r="H145">
        <v>51</v>
      </c>
      <c r="I145">
        <v>38</v>
      </c>
      <c r="J145">
        <v>44</v>
      </c>
      <c r="K145">
        <v>45</v>
      </c>
      <c r="L145">
        <v>50</v>
      </c>
      <c r="M145">
        <v>53</v>
      </c>
      <c r="N145">
        <v>46</v>
      </c>
      <c r="O145">
        <v>33</v>
      </c>
      <c r="P145">
        <v>56</v>
      </c>
      <c r="Q145">
        <v>462</v>
      </c>
      <c r="R145">
        <v>406</v>
      </c>
    </row>
    <row r="146" spans="1:18" x14ac:dyDescent="0.25">
      <c r="A146" t="s">
        <v>501</v>
      </c>
      <c r="B146" t="s">
        <v>95</v>
      </c>
      <c r="C146">
        <v>3999</v>
      </c>
      <c r="D146" t="s">
        <v>258</v>
      </c>
      <c r="E146" t="s">
        <v>71</v>
      </c>
      <c r="F146">
        <v>54765545</v>
      </c>
      <c r="G146">
        <v>47</v>
      </c>
      <c r="H146">
        <v>44</v>
      </c>
      <c r="I146">
        <v>47</v>
      </c>
      <c r="J146">
        <v>62</v>
      </c>
      <c r="K146">
        <v>37</v>
      </c>
      <c r="L146">
        <v>50</v>
      </c>
      <c r="M146">
        <v>36</v>
      </c>
      <c r="N146">
        <v>47</v>
      </c>
      <c r="O146">
        <v>57</v>
      </c>
      <c r="P146">
        <v>47</v>
      </c>
      <c r="Q146">
        <v>474</v>
      </c>
      <c r="R146">
        <v>412</v>
      </c>
    </row>
    <row r="147" spans="1:18" x14ac:dyDescent="0.25">
      <c r="A147" t="s">
        <v>502</v>
      </c>
      <c r="B147" t="s">
        <v>95</v>
      </c>
      <c r="C147">
        <v>4191</v>
      </c>
      <c r="D147" t="s">
        <v>327</v>
      </c>
      <c r="E147" t="s">
        <v>5</v>
      </c>
      <c r="F147">
        <v>52790163</v>
      </c>
      <c r="G147">
        <v>42</v>
      </c>
      <c r="H147">
        <v>44</v>
      </c>
      <c r="I147">
        <v>33</v>
      </c>
      <c r="J147">
        <v>44</v>
      </c>
      <c r="K147">
        <v>38</v>
      </c>
      <c r="L147">
        <v>47</v>
      </c>
      <c r="M147">
        <v>49</v>
      </c>
      <c r="N147" t="s">
        <v>433</v>
      </c>
      <c r="O147">
        <v>64</v>
      </c>
      <c r="P147">
        <v>54</v>
      </c>
      <c r="Q147">
        <v>492</v>
      </c>
      <c r="R147">
        <v>415</v>
      </c>
    </row>
    <row r="148" spans="1:18" x14ac:dyDescent="0.25">
      <c r="A148" t="s">
        <v>503</v>
      </c>
      <c r="B148" t="s">
        <v>110</v>
      </c>
      <c r="C148">
        <v>118</v>
      </c>
      <c r="D148" t="s">
        <v>120</v>
      </c>
      <c r="E148" t="s">
        <v>109</v>
      </c>
      <c r="F148">
        <v>46546766</v>
      </c>
      <c r="G148">
        <v>45</v>
      </c>
      <c r="H148">
        <v>31</v>
      </c>
      <c r="I148">
        <v>37</v>
      </c>
      <c r="J148" t="s">
        <v>442</v>
      </c>
      <c r="K148" t="s">
        <v>442</v>
      </c>
      <c r="L148">
        <v>27</v>
      </c>
      <c r="M148">
        <v>22</v>
      </c>
      <c r="N148" t="s">
        <v>433</v>
      </c>
      <c r="O148" t="s">
        <v>433</v>
      </c>
      <c r="P148">
        <v>23</v>
      </c>
      <c r="Q148">
        <v>493</v>
      </c>
      <c r="R148">
        <v>416</v>
      </c>
    </row>
    <row r="149" spans="1:18" x14ac:dyDescent="0.25">
      <c r="A149" t="s">
        <v>504</v>
      </c>
      <c r="B149" t="s">
        <v>95</v>
      </c>
      <c r="C149">
        <v>3980</v>
      </c>
      <c r="D149" t="s">
        <v>251</v>
      </c>
      <c r="E149" t="s">
        <v>16</v>
      </c>
      <c r="F149">
        <v>51182364</v>
      </c>
      <c r="G149">
        <v>27</v>
      </c>
      <c r="H149" t="s">
        <v>442</v>
      </c>
      <c r="I149">
        <v>56</v>
      </c>
      <c r="J149">
        <v>27</v>
      </c>
      <c r="K149">
        <v>51</v>
      </c>
      <c r="L149">
        <v>42</v>
      </c>
      <c r="M149">
        <v>42</v>
      </c>
      <c r="N149">
        <v>57</v>
      </c>
      <c r="O149">
        <v>71</v>
      </c>
      <c r="P149">
        <v>45</v>
      </c>
      <c r="Q149">
        <v>495</v>
      </c>
      <c r="R149">
        <v>418</v>
      </c>
    </row>
    <row r="150" spans="1:18" x14ac:dyDescent="0.25">
      <c r="A150" t="s">
        <v>505</v>
      </c>
      <c r="B150" t="s">
        <v>95</v>
      </c>
      <c r="C150">
        <v>3968</v>
      </c>
      <c r="D150" t="s">
        <v>169</v>
      </c>
      <c r="E150" t="s">
        <v>22</v>
      </c>
      <c r="F150">
        <v>52448630</v>
      </c>
      <c r="G150">
        <v>52</v>
      </c>
      <c r="H150" t="s">
        <v>442</v>
      </c>
      <c r="I150" t="s">
        <v>442</v>
      </c>
      <c r="J150">
        <v>54</v>
      </c>
      <c r="K150">
        <v>56</v>
      </c>
      <c r="L150">
        <v>36</v>
      </c>
      <c r="M150">
        <v>45</v>
      </c>
      <c r="N150">
        <v>32</v>
      </c>
      <c r="O150">
        <v>36</v>
      </c>
      <c r="P150">
        <v>31</v>
      </c>
      <c r="Q150">
        <v>496</v>
      </c>
      <c r="R150">
        <v>419</v>
      </c>
    </row>
    <row r="151" spans="1:18" x14ac:dyDescent="0.25">
      <c r="A151" t="s">
        <v>506</v>
      </c>
      <c r="B151" t="s">
        <v>110</v>
      </c>
      <c r="C151">
        <v>348</v>
      </c>
      <c r="D151" t="s">
        <v>122</v>
      </c>
      <c r="E151" t="s">
        <v>109</v>
      </c>
      <c r="F151">
        <v>23454657</v>
      </c>
      <c r="G151">
        <v>52</v>
      </c>
      <c r="H151">
        <v>43</v>
      </c>
      <c r="I151">
        <v>62</v>
      </c>
      <c r="J151" t="s">
        <v>442</v>
      </c>
      <c r="K151">
        <v>55</v>
      </c>
      <c r="L151">
        <v>53</v>
      </c>
      <c r="M151">
        <v>48</v>
      </c>
      <c r="N151">
        <v>15</v>
      </c>
      <c r="O151">
        <v>25</v>
      </c>
      <c r="P151">
        <v>68</v>
      </c>
      <c r="Q151">
        <v>498</v>
      </c>
      <c r="R151">
        <v>421</v>
      </c>
    </row>
    <row r="152" spans="1:18" x14ac:dyDescent="0.25">
      <c r="A152" t="s">
        <v>507</v>
      </c>
      <c r="B152" t="s">
        <v>95</v>
      </c>
      <c r="C152">
        <v>4040</v>
      </c>
      <c r="D152" t="s">
        <v>271</v>
      </c>
      <c r="E152" t="s">
        <v>5</v>
      </c>
      <c r="F152">
        <v>50233618</v>
      </c>
      <c r="G152">
        <v>58</v>
      </c>
      <c r="H152">
        <v>41</v>
      </c>
      <c r="I152">
        <v>26</v>
      </c>
      <c r="J152">
        <v>32</v>
      </c>
      <c r="K152">
        <v>29</v>
      </c>
      <c r="L152">
        <v>49</v>
      </c>
      <c r="M152">
        <v>67</v>
      </c>
      <c r="N152">
        <v>60</v>
      </c>
      <c r="O152" t="s">
        <v>433</v>
      </c>
      <c r="P152">
        <v>62</v>
      </c>
      <c r="Q152">
        <v>501</v>
      </c>
      <c r="R152">
        <v>424</v>
      </c>
    </row>
    <row r="153" spans="1:18" x14ac:dyDescent="0.25">
      <c r="A153" t="s">
        <v>508</v>
      </c>
      <c r="B153" t="s">
        <v>95</v>
      </c>
      <c r="C153">
        <v>4186</v>
      </c>
      <c r="D153" t="s">
        <v>203</v>
      </c>
      <c r="E153" t="s">
        <v>16</v>
      </c>
      <c r="F153">
        <v>50837734</v>
      </c>
      <c r="G153">
        <v>50</v>
      </c>
      <c r="H153">
        <v>49</v>
      </c>
      <c r="I153">
        <v>54</v>
      </c>
      <c r="J153">
        <v>43</v>
      </c>
      <c r="K153">
        <v>45</v>
      </c>
      <c r="L153">
        <v>42</v>
      </c>
      <c r="M153">
        <v>64</v>
      </c>
      <c r="N153">
        <v>48</v>
      </c>
      <c r="O153">
        <v>63</v>
      </c>
      <c r="P153">
        <v>35</v>
      </c>
      <c r="Q153">
        <v>493</v>
      </c>
      <c r="R153">
        <v>429</v>
      </c>
    </row>
    <row r="154" spans="1:18" x14ac:dyDescent="0.25">
      <c r="A154" t="s">
        <v>509</v>
      </c>
      <c r="B154" t="s">
        <v>95</v>
      </c>
      <c r="C154">
        <v>3872</v>
      </c>
      <c r="D154" t="s">
        <v>164</v>
      </c>
      <c r="E154" t="s">
        <v>5</v>
      </c>
      <c r="F154">
        <v>53083955</v>
      </c>
      <c r="G154">
        <v>55</v>
      </c>
      <c r="H154">
        <v>58</v>
      </c>
      <c r="I154">
        <v>67</v>
      </c>
      <c r="J154">
        <v>35</v>
      </c>
      <c r="K154">
        <v>49</v>
      </c>
      <c r="L154">
        <v>51</v>
      </c>
      <c r="M154">
        <v>58</v>
      </c>
      <c r="N154">
        <v>45</v>
      </c>
      <c r="O154">
        <v>29</v>
      </c>
      <c r="P154">
        <v>50</v>
      </c>
      <c r="Q154">
        <v>497</v>
      </c>
      <c r="R154">
        <v>430</v>
      </c>
    </row>
    <row r="155" spans="1:18" x14ac:dyDescent="0.25">
      <c r="A155" t="s">
        <v>510</v>
      </c>
      <c r="B155" t="s">
        <v>95</v>
      </c>
      <c r="C155">
        <v>4046</v>
      </c>
      <c r="D155" t="s">
        <v>193</v>
      </c>
      <c r="E155" t="s">
        <v>97</v>
      </c>
      <c r="F155">
        <v>52650181</v>
      </c>
      <c r="G155">
        <v>46</v>
      </c>
      <c r="H155">
        <v>41</v>
      </c>
      <c r="I155">
        <v>36</v>
      </c>
      <c r="J155">
        <v>46</v>
      </c>
      <c r="K155">
        <v>48</v>
      </c>
      <c r="L155">
        <v>45</v>
      </c>
      <c r="M155">
        <v>69</v>
      </c>
      <c r="N155">
        <v>70</v>
      </c>
      <c r="O155">
        <v>50</v>
      </c>
      <c r="P155">
        <v>51</v>
      </c>
      <c r="Q155">
        <v>502</v>
      </c>
      <c r="R155">
        <v>432</v>
      </c>
    </row>
    <row r="156" spans="1:18" x14ac:dyDescent="0.25">
      <c r="A156" t="s">
        <v>511</v>
      </c>
      <c r="B156" t="s">
        <v>95</v>
      </c>
      <c r="C156">
        <v>4185</v>
      </c>
      <c r="D156" t="s">
        <v>323</v>
      </c>
      <c r="E156" t="s">
        <v>16</v>
      </c>
      <c r="F156">
        <v>53831603</v>
      </c>
      <c r="G156">
        <v>61</v>
      </c>
      <c r="H156">
        <v>65</v>
      </c>
      <c r="I156">
        <v>61</v>
      </c>
      <c r="J156">
        <v>49</v>
      </c>
      <c r="K156">
        <v>42</v>
      </c>
      <c r="L156" t="s">
        <v>442</v>
      </c>
      <c r="M156">
        <v>65</v>
      </c>
      <c r="N156">
        <v>12</v>
      </c>
      <c r="O156">
        <v>66</v>
      </c>
      <c r="P156">
        <v>12</v>
      </c>
      <c r="Q156">
        <v>510</v>
      </c>
      <c r="R156">
        <v>433</v>
      </c>
    </row>
    <row r="157" spans="1:18" x14ac:dyDescent="0.25">
      <c r="A157" t="s">
        <v>512</v>
      </c>
      <c r="B157" t="s">
        <v>95</v>
      </c>
      <c r="C157">
        <v>3123</v>
      </c>
      <c r="D157" t="s">
        <v>147</v>
      </c>
      <c r="E157" t="s">
        <v>105</v>
      </c>
      <c r="F157">
        <v>52619617</v>
      </c>
      <c r="G157">
        <v>26</v>
      </c>
      <c r="H157">
        <v>43</v>
      </c>
      <c r="I157">
        <v>25</v>
      </c>
      <c r="J157" t="s">
        <v>442</v>
      </c>
      <c r="K157" t="s">
        <v>442</v>
      </c>
      <c r="L157" t="s">
        <v>442</v>
      </c>
      <c r="M157">
        <v>32</v>
      </c>
      <c r="N157" t="s">
        <v>433</v>
      </c>
      <c r="O157">
        <v>57</v>
      </c>
      <c r="P157">
        <v>22</v>
      </c>
      <c r="Q157">
        <v>513</v>
      </c>
      <c r="R157">
        <v>436</v>
      </c>
    </row>
    <row r="158" spans="1:18" x14ac:dyDescent="0.25">
      <c r="A158" t="s">
        <v>513</v>
      </c>
      <c r="B158" t="s">
        <v>95</v>
      </c>
      <c r="C158">
        <v>4080</v>
      </c>
      <c r="D158" t="s">
        <v>283</v>
      </c>
      <c r="E158" t="s">
        <v>16</v>
      </c>
      <c r="F158">
        <v>52013789</v>
      </c>
      <c r="G158" t="s">
        <v>442</v>
      </c>
      <c r="H158">
        <v>43</v>
      </c>
      <c r="I158">
        <v>51</v>
      </c>
      <c r="J158">
        <v>47</v>
      </c>
      <c r="K158">
        <v>49</v>
      </c>
      <c r="L158">
        <v>53</v>
      </c>
      <c r="M158">
        <v>53</v>
      </c>
      <c r="N158">
        <v>46</v>
      </c>
      <c r="O158">
        <v>46</v>
      </c>
      <c r="P158">
        <v>51</v>
      </c>
      <c r="Q158">
        <v>516</v>
      </c>
      <c r="R158">
        <v>439</v>
      </c>
    </row>
    <row r="159" spans="1:18" x14ac:dyDescent="0.25">
      <c r="A159" t="s">
        <v>514</v>
      </c>
      <c r="B159" t="s">
        <v>95</v>
      </c>
      <c r="C159">
        <v>4215</v>
      </c>
      <c r="D159" t="s">
        <v>178</v>
      </c>
      <c r="E159" t="s">
        <v>26</v>
      </c>
      <c r="F159">
        <v>50610292</v>
      </c>
      <c r="G159">
        <v>47</v>
      </c>
      <c r="H159">
        <v>30</v>
      </c>
      <c r="I159">
        <v>48</v>
      </c>
      <c r="J159" t="s">
        <v>442</v>
      </c>
      <c r="K159" t="s">
        <v>442</v>
      </c>
      <c r="L159" t="s">
        <v>442</v>
      </c>
      <c r="M159">
        <v>57</v>
      </c>
      <c r="N159">
        <v>19</v>
      </c>
      <c r="O159">
        <v>56</v>
      </c>
      <c r="P159">
        <v>32</v>
      </c>
      <c r="Q159">
        <v>520</v>
      </c>
      <c r="R159">
        <v>443</v>
      </c>
    </row>
    <row r="160" spans="1:18" x14ac:dyDescent="0.25">
      <c r="A160" t="s">
        <v>515</v>
      </c>
      <c r="B160" t="s">
        <v>95</v>
      </c>
      <c r="C160">
        <v>4174</v>
      </c>
      <c r="D160" t="s">
        <v>317</v>
      </c>
      <c r="E160" t="s">
        <v>5</v>
      </c>
      <c r="F160">
        <v>52647669</v>
      </c>
      <c r="G160">
        <v>59</v>
      </c>
      <c r="H160">
        <v>71</v>
      </c>
      <c r="I160">
        <v>49</v>
      </c>
      <c r="J160">
        <v>40</v>
      </c>
      <c r="K160">
        <v>33</v>
      </c>
      <c r="L160">
        <v>62</v>
      </c>
      <c r="M160">
        <v>61</v>
      </c>
      <c r="N160">
        <v>43</v>
      </c>
      <c r="O160">
        <v>36</v>
      </c>
      <c r="P160">
        <v>63</v>
      </c>
      <c r="Q160">
        <v>517</v>
      </c>
      <c r="R160">
        <v>446</v>
      </c>
    </row>
    <row r="161" spans="1:18" x14ac:dyDescent="0.25">
      <c r="A161" t="s">
        <v>516</v>
      </c>
      <c r="B161" t="s">
        <v>95</v>
      </c>
      <c r="C161">
        <v>4177</v>
      </c>
      <c r="D161" t="s">
        <v>319</v>
      </c>
      <c r="E161" t="s">
        <v>11</v>
      </c>
      <c r="F161">
        <v>51344534</v>
      </c>
      <c r="G161">
        <v>42</v>
      </c>
      <c r="H161">
        <v>37</v>
      </c>
      <c r="I161">
        <v>50</v>
      </c>
      <c r="J161">
        <v>50</v>
      </c>
      <c r="K161">
        <v>51</v>
      </c>
      <c r="L161">
        <v>59</v>
      </c>
      <c r="M161">
        <v>70</v>
      </c>
      <c r="N161" t="s">
        <v>433</v>
      </c>
      <c r="O161">
        <v>28</v>
      </c>
      <c r="P161">
        <v>60</v>
      </c>
      <c r="Q161">
        <v>524</v>
      </c>
      <c r="R161">
        <v>447</v>
      </c>
    </row>
    <row r="162" spans="1:18" x14ac:dyDescent="0.25">
      <c r="A162" t="s">
        <v>517</v>
      </c>
      <c r="B162" t="s">
        <v>95</v>
      </c>
      <c r="C162">
        <v>3070</v>
      </c>
      <c r="D162" t="s">
        <v>130</v>
      </c>
      <c r="E162" t="s">
        <v>10</v>
      </c>
      <c r="F162">
        <v>51261261</v>
      </c>
      <c r="G162">
        <v>44</v>
      </c>
      <c r="H162">
        <v>60</v>
      </c>
      <c r="I162">
        <v>46</v>
      </c>
      <c r="J162">
        <v>46</v>
      </c>
      <c r="K162">
        <v>46</v>
      </c>
      <c r="L162">
        <v>54</v>
      </c>
      <c r="M162">
        <v>58</v>
      </c>
      <c r="N162">
        <v>47</v>
      </c>
      <c r="O162">
        <v>60</v>
      </c>
      <c r="P162">
        <v>49</v>
      </c>
      <c r="Q162">
        <v>510</v>
      </c>
      <c r="R162">
        <v>450</v>
      </c>
    </row>
    <row r="163" spans="1:18" x14ac:dyDescent="0.25">
      <c r="A163" t="s">
        <v>518</v>
      </c>
      <c r="B163" t="s">
        <v>95</v>
      </c>
      <c r="C163">
        <v>3114</v>
      </c>
      <c r="D163" t="s">
        <v>131</v>
      </c>
      <c r="E163" t="s">
        <v>26</v>
      </c>
      <c r="F163">
        <v>50306735</v>
      </c>
      <c r="G163">
        <v>62</v>
      </c>
      <c r="H163">
        <v>36</v>
      </c>
      <c r="I163">
        <v>46</v>
      </c>
      <c r="J163" t="s">
        <v>442</v>
      </c>
      <c r="K163" t="s">
        <v>442</v>
      </c>
      <c r="L163" t="s">
        <v>442</v>
      </c>
      <c r="M163">
        <v>52</v>
      </c>
      <c r="N163">
        <v>40</v>
      </c>
      <c r="O163">
        <v>32</v>
      </c>
      <c r="P163">
        <v>29</v>
      </c>
      <c r="Q163">
        <v>528</v>
      </c>
      <c r="R163">
        <v>451</v>
      </c>
    </row>
    <row r="164" spans="1:18" x14ac:dyDescent="0.25">
      <c r="A164" t="s">
        <v>519</v>
      </c>
      <c r="B164" t="s">
        <v>95</v>
      </c>
      <c r="C164">
        <v>3799</v>
      </c>
      <c r="D164" t="s">
        <v>158</v>
      </c>
      <c r="E164" t="s">
        <v>9</v>
      </c>
      <c r="F164">
        <v>51139794</v>
      </c>
      <c r="G164">
        <v>34</v>
      </c>
      <c r="H164">
        <v>39</v>
      </c>
      <c r="I164" t="s">
        <v>461</v>
      </c>
      <c r="J164">
        <v>31</v>
      </c>
      <c r="K164" t="s">
        <v>461</v>
      </c>
      <c r="L164">
        <v>52</v>
      </c>
      <c r="M164">
        <v>51</v>
      </c>
      <c r="N164">
        <v>52</v>
      </c>
      <c r="O164" t="s">
        <v>433</v>
      </c>
      <c r="P164">
        <v>38</v>
      </c>
      <c r="Q164">
        <v>528</v>
      </c>
      <c r="R164">
        <v>451</v>
      </c>
    </row>
    <row r="165" spans="1:18" x14ac:dyDescent="0.25">
      <c r="A165" t="s">
        <v>520</v>
      </c>
      <c r="B165" t="s">
        <v>95</v>
      </c>
      <c r="C165">
        <v>3885</v>
      </c>
      <c r="D165" t="s">
        <v>238</v>
      </c>
      <c r="E165" t="s">
        <v>21</v>
      </c>
      <c r="F165">
        <v>53084239</v>
      </c>
      <c r="G165">
        <v>58</v>
      </c>
      <c r="H165" t="s">
        <v>433</v>
      </c>
      <c r="I165">
        <v>51</v>
      </c>
      <c r="J165">
        <v>34</v>
      </c>
      <c r="K165">
        <v>22</v>
      </c>
      <c r="L165" t="s">
        <v>442</v>
      </c>
      <c r="M165">
        <v>61</v>
      </c>
      <c r="N165">
        <v>64</v>
      </c>
      <c r="O165">
        <v>46</v>
      </c>
      <c r="P165">
        <v>39</v>
      </c>
      <c r="Q165">
        <v>529</v>
      </c>
      <c r="R165">
        <v>452</v>
      </c>
    </row>
    <row r="166" spans="1:18" x14ac:dyDescent="0.25">
      <c r="A166" t="s">
        <v>521</v>
      </c>
      <c r="B166" t="s">
        <v>95</v>
      </c>
      <c r="C166">
        <v>4104</v>
      </c>
      <c r="D166" t="s">
        <v>198</v>
      </c>
      <c r="E166" t="s">
        <v>33</v>
      </c>
      <c r="F166">
        <v>54029308</v>
      </c>
      <c r="G166">
        <v>55</v>
      </c>
      <c r="H166">
        <v>45</v>
      </c>
      <c r="I166">
        <v>52</v>
      </c>
      <c r="J166">
        <v>47</v>
      </c>
      <c r="K166">
        <v>48</v>
      </c>
      <c r="L166">
        <v>36</v>
      </c>
      <c r="M166">
        <v>45</v>
      </c>
      <c r="N166" t="s">
        <v>778</v>
      </c>
      <c r="O166" t="s">
        <v>433</v>
      </c>
      <c r="P166">
        <v>47</v>
      </c>
      <c r="Q166">
        <v>529</v>
      </c>
      <c r="R166">
        <v>452</v>
      </c>
    </row>
    <row r="167" spans="1:18" x14ac:dyDescent="0.25">
      <c r="A167" t="s">
        <v>522</v>
      </c>
      <c r="B167" t="s">
        <v>95</v>
      </c>
      <c r="C167">
        <v>3895</v>
      </c>
      <c r="D167" t="s">
        <v>241</v>
      </c>
      <c r="E167" t="s">
        <v>5</v>
      </c>
      <c r="F167">
        <v>54184438</v>
      </c>
      <c r="G167">
        <v>64</v>
      </c>
      <c r="H167" t="s">
        <v>543</v>
      </c>
      <c r="I167">
        <v>55</v>
      </c>
      <c r="J167">
        <v>62</v>
      </c>
      <c r="K167">
        <v>58</v>
      </c>
      <c r="L167" t="s">
        <v>543</v>
      </c>
      <c r="M167">
        <v>41</v>
      </c>
      <c r="N167">
        <v>22</v>
      </c>
      <c r="O167">
        <v>27</v>
      </c>
      <c r="P167">
        <v>52</v>
      </c>
      <c r="Q167">
        <v>535</v>
      </c>
      <c r="R167">
        <v>458</v>
      </c>
    </row>
    <row r="168" spans="1:18" x14ac:dyDescent="0.25">
      <c r="A168" t="s">
        <v>523</v>
      </c>
      <c r="B168" t="s">
        <v>95</v>
      </c>
      <c r="C168">
        <v>4131</v>
      </c>
      <c r="D168" t="s">
        <v>201</v>
      </c>
      <c r="E168" t="s">
        <v>67</v>
      </c>
      <c r="F168">
        <v>50320674</v>
      </c>
      <c r="G168">
        <v>53</v>
      </c>
      <c r="H168">
        <v>63</v>
      </c>
      <c r="I168">
        <v>53</v>
      </c>
      <c r="J168">
        <v>58</v>
      </c>
      <c r="K168" t="s">
        <v>442</v>
      </c>
      <c r="L168">
        <v>56</v>
      </c>
      <c r="M168">
        <v>32</v>
      </c>
      <c r="N168" t="s">
        <v>433</v>
      </c>
      <c r="O168">
        <v>31</v>
      </c>
      <c r="P168">
        <v>35</v>
      </c>
      <c r="Q168">
        <v>535</v>
      </c>
      <c r="R168">
        <v>458</v>
      </c>
    </row>
    <row r="169" spans="1:18" x14ac:dyDescent="0.25">
      <c r="A169" t="s">
        <v>524</v>
      </c>
      <c r="B169" t="s">
        <v>95</v>
      </c>
      <c r="C169">
        <v>3866</v>
      </c>
      <c r="D169" t="s">
        <v>237</v>
      </c>
      <c r="E169" t="s">
        <v>17</v>
      </c>
      <c r="F169">
        <v>53774618</v>
      </c>
      <c r="G169">
        <v>57</v>
      </c>
      <c r="H169">
        <v>50</v>
      </c>
      <c r="I169">
        <v>58</v>
      </c>
      <c r="J169">
        <v>45</v>
      </c>
      <c r="K169">
        <v>48</v>
      </c>
      <c r="L169">
        <v>58</v>
      </c>
      <c r="M169">
        <v>62</v>
      </c>
      <c r="N169">
        <v>48</v>
      </c>
      <c r="O169">
        <v>47</v>
      </c>
      <c r="P169">
        <v>47</v>
      </c>
      <c r="Q169">
        <v>520</v>
      </c>
      <c r="R169">
        <v>458</v>
      </c>
    </row>
    <row r="170" spans="1:18" x14ac:dyDescent="0.25">
      <c r="A170" t="s">
        <v>525</v>
      </c>
      <c r="B170" t="s">
        <v>95</v>
      </c>
      <c r="C170">
        <v>3868</v>
      </c>
      <c r="D170" t="s">
        <v>163</v>
      </c>
      <c r="E170" t="s">
        <v>5</v>
      </c>
      <c r="F170">
        <v>53761156</v>
      </c>
      <c r="G170">
        <v>49</v>
      </c>
      <c r="H170">
        <v>57</v>
      </c>
      <c r="I170">
        <v>64</v>
      </c>
      <c r="J170">
        <v>56</v>
      </c>
      <c r="K170">
        <v>57</v>
      </c>
      <c r="L170">
        <v>36</v>
      </c>
      <c r="M170">
        <v>57</v>
      </c>
      <c r="N170">
        <v>56</v>
      </c>
      <c r="O170">
        <v>31</v>
      </c>
      <c r="P170">
        <v>68</v>
      </c>
      <c r="Q170">
        <v>531</v>
      </c>
      <c r="R170">
        <v>463</v>
      </c>
    </row>
    <row r="171" spans="1:18" x14ac:dyDescent="0.25">
      <c r="A171" t="s">
        <v>526</v>
      </c>
      <c r="B171" t="s">
        <v>95</v>
      </c>
      <c r="C171">
        <v>4094</v>
      </c>
      <c r="D171" t="s">
        <v>289</v>
      </c>
      <c r="E171" t="s">
        <v>9</v>
      </c>
      <c r="F171">
        <v>52220949</v>
      </c>
      <c r="G171">
        <v>44</v>
      </c>
      <c r="H171">
        <v>34</v>
      </c>
      <c r="I171">
        <v>60</v>
      </c>
      <c r="J171">
        <v>41</v>
      </c>
      <c r="K171" t="s">
        <v>461</v>
      </c>
      <c r="L171">
        <v>48</v>
      </c>
      <c r="M171">
        <v>48</v>
      </c>
      <c r="N171">
        <v>34</v>
      </c>
      <c r="O171" t="s">
        <v>442</v>
      </c>
      <c r="P171" t="s">
        <v>442</v>
      </c>
      <c r="Q171">
        <v>540</v>
      </c>
      <c r="R171">
        <v>463</v>
      </c>
    </row>
    <row r="172" spans="1:18" x14ac:dyDescent="0.25">
      <c r="A172" t="s">
        <v>527</v>
      </c>
      <c r="B172" t="s">
        <v>95</v>
      </c>
      <c r="C172">
        <v>4212</v>
      </c>
      <c r="D172" t="s">
        <v>205</v>
      </c>
      <c r="E172" t="s">
        <v>21</v>
      </c>
      <c r="F172">
        <v>50305090</v>
      </c>
      <c r="G172">
        <v>48</v>
      </c>
      <c r="H172">
        <v>55</v>
      </c>
      <c r="I172" t="s">
        <v>442</v>
      </c>
      <c r="J172">
        <v>50</v>
      </c>
      <c r="K172">
        <v>52</v>
      </c>
      <c r="L172">
        <v>48</v>
      </c>
      <c r="M172">
        <v>63</v>
      </c>
      <c r="N172">
        <v>50</v>
      </c>
      <c r="O172">
        <v>58</v>
      </c>
      <c r="P172">
        <v>43</v>
      </c>
      <c r="Q172">
        <v>544</v>
      </c>
      <c r="R172">
        <v>467</v>
      </c>
    </row>
    <row r="173" spans="1:18" x14ac:dyDescent="0.25">
      <c r="A173" t="s">
        <v>528</v>
      </c>
      <c r="B173" t="s">
        <v>95</v>
      </c>
      <c r="C173">
        <v>3984</v>
      </c>
      <c r="D173" t="s">
        <v>252</v>
      </c>
      <c r="E173" t="s">
        <v>8</v>
      </c>
      <c r="F173">
        <v>50240962</v>
      </c>
      <c r="G173">
        <v>61</v>
      </c>
      <c r="H173" t="s">
        <v>433</v>
      </c>
      <c r="I173">
        <v>48</v>
      </c>
      <c r="J173">
        <v>54</v>
      </c>
      <c r="K173" t="s">
        <v>442</v>
      </c>
      <c r="L173" t="s">
        <v>442</v>
      </c>
      <c r="M173">
        <v>52</v>
      </c>
      <c r="N173">
        <v>42</v>
      </c>
      <c r="O173" t="s">
        <v>786</v>
      </c>
      <c r="P173" t="s">
        <v>787</v>
      </c>
      <c r="Q173">
        <v>553</v>
      </c>
      <c r="R173">
        <v>476</v>
      </c>
    </row>
    <row r="174" spans="1:18" x14ac:dyDescent="0.25">
      <c r="A174" t="s">
        <v>529</v>
      </c>
      <c r="B174" t="s">
        <v>95</v>
      </c>
      <c r="C174">
        <v>3767</v>
      </c>
      <c r="D174" t="s">
        <v>227</v>
      </c>
      <c r="E174" t="s">
        <v>11</v>
      </c>
      <c r="F174">
        <v>52585613</v>
      </c>
      <c r="G174">
        <v>66</v>
      </c>
      <c r="H174">
        <v>68</v>
      </c>
      <c r="I174">
        <v>65</v>
      </c>
      <c r="J174">
        <v>59</v>
      </c>
      <c r="K174">
        <v>54</v>
      </c>
      <c r="L174">
        <v>56</v>
      </c>
      <c r="M174">
        <v>52</v>
      </c>
      <c r="N174">
        <v>44</v>
      </c>
      <c r="O174">
        <v>55</v>
      </c>
      <c r="P174">
        <v>25</v>
      </c>
      <c r="Q174">
        <v>544</v>
      </c>
      <c r="R174">
        <v>476</v>
      </c>
    </row>
    <row r="175" spans="1:18" x14ac:dyDescent="0.25">
      <c r="A175" t="s">
        <v>530</v>
      </c>
      <c r="B175" t="s">
        <v>95</v>
      </c>
      <c r="C175">
        <v>3920</v>
      </c>
      <c r="D175" t="s">
        <v>243</v>
      </c>
      <c r="E175" t="s">
        <v>33</v>
      </c>
      <c r="F175">
        <v>52364453</v>
      </c>
      <c r="G175">
        <v>44</v>
      </c>
      <c r="H175">
        <v>53</v>
      </c>
      <c r="I175">
        <v>59</v>
      </c>
      <c r="J175">
        <v>60</v>
      </c>
      <c r="K175">
        <v>52</v>
      </c>
      <c r="L175">
        <v>49</v>
      </c>
      <c r="M175">
        <v>43</v>
      </c>
      <c r="N175" t="s">
        <v>433</v>
      </c>
      <c r="O175">
        <v>68</v>
      </c>
      <c r="P175">
        <v>49</v>
      </c>
      <c r="Q175">
        <v>554</v>
      </c>
      <c r="R175">
        <v>477</v>
      </c>
    </row>
    <row r="176" spans="1:18" x14ac:dyDescent="0.25">
      <c r="A176" t="s">
        <v>531</v>
      </c>
      <c r="B176" t="s">
        <v>95</v>
      </c>
      <c r="C176">
        <v>3630</v>
      </c>
      <c r="D176" t="s">
        <v>180</v>
      </c>
      <c r="E176" t="s">
        <v>26</v>
      </c>
      <c r="F176">
        <v>56330536</v>
      </c>
      <c r="G176">
        <v>49</v>
      </c>
      <c r="H176">
        <v>35</v>
      </c>
      <c r="I176">
        <v>38</v>
      </c>
      <c r="J176" t="s">
        <v>461</v>
      </c>
      <c r="K176">
        <v>29</v>
      </c>
      <c r="L176">
        <v>39</v>
      </c>
      <c r="M176">
        <v>57</v>
      </c>
      <c r="N176" t="s">
        <v>433</v>
      </c>
      <c r="O176" t="s">
        <v>442</v>
      </c>
      <c r="P176" t="s">
        <v>442</v>
      </c>
      <c r="Q176">
        <v>555</v>
      </c>
      <c r="R176">
        <v>478</v>
      </c>
    </row>
    <row r="177" spans="1:18" x14ac:dyDescent="0.25">
      <c r="A177" t="s">
        <v>532</v>
      </c>
      <c r="B177" t="s">
        <v>95</v>
      </c>
      <c r="C177">
        <v>4083</v>
      </c>
      <c r="D177" t="s">
        <v>285</v>
      </c>
      <c r="E177" t="s">
        <v>31</v>
      </c>
      <c r="F177">
        <v>49902633</v>
      </c>
      <c r="G177">
        <v>65</v>
      </c>
      <c r="H177">
        <v>66</v>
      </c>
      <c r="I177">
        <v>58</v>
      </c>
      <c r="J177">
        <v>45</v>
      </c>
      <c r="K177">
        <v>53</v>
      </c>
      <c r="L177">
        <v>38</v>
      </c>
      <c r="M177">
        <v>63</v>
      </c>
      <c r="N177">
        <v>38</v>
      </c>
      <c r="O177">
        <v>63</v>
      </c>
      <c r="P177">
        <v>59</v>
      </c>
      <c r="Q177">
        <v>548</v>
      </c>
      <c r="R177">
        <v>482</v>
      </c>
    </row>
    <row r="178" spans="1:18" x14ac:dyDescent="0.25">
      <c r="A178" t="s">
        <v>533</v>
      </c>
      <c r="B178" t="s">
        <v>95</v>
      </c>
      <c r="C178">
        <v>4173</v>
      </c>
      <c r="D178" t="s">
        <v>281</v>
      </c>
      <c r="E178" t="s">
        <v>5</v>
      </c>
      <c r="F178">
        <v>52454489</v>
      </c>
      <c r="G178">
        <v>70</v>
      </c>
      <c r="H178">
        <v>47</v>
      </c>
      <c r="I178">
        <v>57</v>
      </c>
      <c r="J178">
        <v>60</v>
      </c>
      <c r="K178">
        <v>51</v>
      </c>
      <c r="L178">
        <v>55</v>
      </c>
      <c r="M178" t="s">
        <v>442</v>
      </c>
      <c r="N178">
        <v>38</v>
      </c>
      <c r="O178" t="s">
        <v>461</v>
      </c>
      <c r="P178">
        <v>31</v>
      </c>
      <c r="Q178">
        <v>563</v>
      </c>
      <c r="R178">
        <v>486</v>
      </c>
    </row>
    <row r="179" spans="1:18" x14ac:dyDescent="0.25">
      <c r="A179" t="s">
        <v>534</v>
      </c>
      <c r="B179" t="s">
        <v>95</v>
      </c>
      <c r="C179">
        <v>3543</v>
      </c>
      <c r="D179" t="s">
        <v>218</v>
      </c>
      <c r="E179" t="s">
        <v>9</v>
      </c>
      <c r="F179">
        <v>52113290</v>
      </c>
      <c r="G179">
        <v>57</v>
      </c>
      <c r="H179">
        <v>61</v>
      </c>
      <c r="I179">
        <v>56</v>
      </c>
      <c r="J179">
        <v>51</v>
      </c>
      <c r="K179">
        <v>59</v>
      </c>
      <c r="L179">
        <v>61</v>
      </c>
      <c r="M179">
        <v>54</v>
      </c>
      <c r="N179">
        <v>66</v>
      </c>
      <c r="O179">
        <v>43</v>
      </c>
      <c r="P179">
        <v>46</v>
      </c>
      <c r="Q179">
        <v>554</v>
      </c>
      <c r="R179">
        <v>488</v>
      </c>
    </row>
    <row r="180" spans="1:18" x14ac:dyDescent="0.25">
      <c r="A180" t="s">
        <v>535</v>
      </c>
      <c r="B180" t="s">
        <v>95</v>
      </c>
      <c r="C180">
        <v>3722</v>
      </c>
      <c r="D180" t="s">
        <v>140</v>
      </c>
      <c r="E180" t="s">
        <v>111</v>
      </c>
      <c r="F180">
        <v>52310735</v>
      </c>
      <c r="G180">
        <v>64</v>
      </c>
      <c r="H180">
        <v>51</v>
      </c>
      <c r="I180">
        <v>55</v>
      </c>
      <c r="J180">
        <v>49</v>
      </c>
      <c r="K180" t="s">
        <v>442</v>
      </c>
      <c r="L180">
        <v>51</v>
      </c>
      <c r="M180">
        <v>53</v>
      </c>
      <c r="N180">
        <v>45</v>
      </c>
      <c r="O180">
        <v>55</v>
      </c>
      <c r="P180">
        <v>65</v>
      </c>
      <c r="Q180">
        <v>565</v>
      </c>
      <c r="R180">
        <v>488</v>
      </c>
    </row>
    <row r="181" spans="1:18" x14ac:dyDescent="0.25">
      <c r="A181" t="s">
        <v>536</v>
      </c>
      <c r="B181" t="s">
        <v>95</v>
      </c>
      <c r="C181">
        <v>3276</v>
      </c>
      <c r="D181" t="s">
        <v>134</v>
      </c>
      <c r="E181" t="s">
        <v>98</v>
      </c>
      <c r="F181">
        <v>51069947</v>
      </c>
      <c r="G181">
        <v>64</v>
      </c>
      <c r="H181">
        <v>58</v>
      </c>
      <c r="I181">
        <v>52</v>
      </c>
      <c r="J181">
        <v>41</v>
      </c>
      <c r="K181">
        <v>39</v>
      </c>
      <c r="L181">
        <v>54</v>
      </c>
      <c r="M181">
        <v>66</v>
      </c>
      <c r="N181">
        <v>72</v>
      </c>
      <c r="O181">
        <v>48</v>
      </c>
      <c r="P181">
        <v>67</v>
      </c>
      <c r="Q181">
        <v>561</v>
      </c>
      <c r="R181">
        <v>489</v>
      </c>
    </row>
    <row r="182" spans="1:18" x14ac:dyDescent="0.25">
      <c r="A182" t="s">
        <v>537</v>
      </c>
      <c r="B182" t="s">
        <v>95</v>
      </c>
      <c r="C182">
        <v>3590</v>
      </c>
      <c r="D182" t="s">
        <v>137</v>
      </c>
      <c r="E182" t="s">
        <v>10</v>
      </c>
      <c r="F182">
        <v>51440730</v>
      </c>
      <c r="G182">
        <v>54</v>
      </c>
      <c r="H182">
        <v>61</v>
      </c>
      <c r="I182">
        <v>50</v>
      </c>
      <c r="J182">
        <v>53</v>
      </c>
      <c r="K182">
        <v>35</v>
      </c>
      <c r="L182">
        <v>44</v>
      </c>
      <c r="M182">
        <v>72</v>
      </c>
      <c r="N182">
        <v>68</v>
      </c>
      <c r="O182">
        <v>65</v>
      </c>
      <c r="P182">
        <v>62</v>
      </c>
      <c r="Q182">
        <v>564</v>
      </c>
      <c r="R182">
        <v>492</v>
      </c>
    </row>
    <row r="183" spans="1:18" x14ac:dyDescent="0.25">
      <c r="A183" t="s">
        <v>538</v>
      </c>
      <c r="B183" t="s">
        <v>95</v>
      </c>
      <c r="C183">
        <v>3903</v>
      </c>
      <c r="D183" t="s">
        <v>188</v>
      </c>
      <c r="E183" t="s">
        <v>10</v>
      </c>
      <c r="F183">
        <v>50901006</v>
      </c>
      <c r="G183">
        <v>56</v>
      </c>
      <c r="H183">
        <v>48</v>
      </c>
      <c r="I183">
        <v>56</v>
      </c>
      <c r="J183">
        <v>57</v>
      </c>
      <c r="K183">
        <v>47</v>
      </c>
      <c r="L183">
        <v>63</v>
      </c>
      <c r="M183">
        <v>66</v>
      </c>
      <c r="N183" t="s">
        <v>433</v>
      </c>
      <c r="O183">
        <v>37</v>
      </c>
      <c r="P183">
        <v>64</v>
      </c>
      <c r="Q183">
        <v>571</v>
      </c>
      <c r="R183">
        <v>494</v>
      </c>
    </row>
    <row r="184" spans="1:18" x14ac:dyDescent="0.25">
      <c r="A184" t="s">
        <v>539</v>
      </c>
      <c r="B184" t="s">
        <v>95</v>
      </c>
      <c r="C184">
        <v>4118</v>
      </c>
      <c r="D184" t="s">
        <v>296</v>
      </c>
      <c r="E184" t="s">
        <v>21</v>
      </c>
      <c r="F184">
        <v>51723975</v>
      </c>
      <c r="G184">
        <v>62</v>
      </c>
      <c r="H184">
        <v>52</v>
      </c>
      <c r="I184">
        <v>65</v>
      </c>
      <c r="J184">
        <v>50</v>
      </c>
      <c r="K184">
        <v>58</v>
      </c>
      <c r="L184">
        <v>59</v>
      </c>
      <c r="M184" t="s">
        <v>442</v>
      </c>
      <c r="N184">
        <v>41</v>
      </c>
      <c r="O184">
        <v>41</v>
      </c>
      <c r="P184">
        <v>66</v>
      </c>
      <c r="Q184">
        <v>571</v>
      </c>
      <c r="R184">
        <v>494</v>
      </c>
    </row>
    <row r="185" spans="1:18" x14ac:dyDescent="0.25">
      <c r="A185" t="s">
        <v>540</v>
      </c>
      <c r="B185" t="s">
        <v>95</v>
      </c>
      <c r="C185">
        <v>3316</v>
      </c>
      <c r="D185" t="s">
        <v>135</v>
      </c>
      <c r="E185" t="s">
        <v>104</v>
      </c>
      <c r="F185">
        <v>54038691</v>
      </c>
      <c r="G185" t="s">
        <v>442</v>
      </c>
      <c r="H185" t="s">
        <v>433</v>
      </c>
      <c r="I185">
        <v>45</v>
      </c>
      <c r="J185" t="s">
        <v>442</v>
      </c>
      <c r="K185" t="s">
        <v>442</v>
      </c>
      <c r="L185" t="s">
        <v>442</v>
      </c>
      <c r="M185">
        <v>22</v>
      </c>
      <c r="N185">
        <v>28</v>
      </c>
      <c r="O185">
        <v>39</v>
      </c>
      <c r="P185">
        <v>54</v>
      </c>
      <c r="Q185">
        <v>573</v>
      </c>
      <c r="R185">
        <v>496</v>
      </c>
    </row>
    <row r="186" spans="1:18" x14ac:dyDescent="0.25">
      <c r="A186" t="s">
        <v>541</v>
      </c>
      <c r="B186" t="s">
        <v>95</v>
      </c>
      <c r="C186">
        <v>4140</v>
      </c>
      <c r="D186" t="s">
        <v>304</v>
      </c>
      <c r="E186" t="s">
        <v>16</v>
      </c>
      <c r="F186">
        <v>52029216</v>
      </c>
      <c r="G186">
        <v>57</v>
      </c>
      <c r="H186">
        <v>60</v>
      </c>
      <c r="I186" t="s">
        <v>442</v>
      </c>
      <c r="J186">
        <v>63</v>
      </c>
      <c r="K186" t="s">
        <v>461</v>
      </c>
      <c r="L186">
        <v>46</v>
      </c>
      <c r="M186">
        <v>43</v>
      </c>
      <c r="N186">
        <v>44</v>
      </c>
      <c r="O186">
        <v>65</v>
      </c>
      <c r="P186">
        <v>42</v>
      </c>
      <c r="Q186">
        <v>574</v>
      </c>
      <c r="R186">
        <v>497</v>
      </c>
    </row>
    <row r="187" spans="1:18" x14ac:dyDescent="0.25">
      <c r="A187" t="s">
        <v>542</v>
      </c>
      <c r="B187" t="s">
        <v>95</v>
      </c>
      <c r="C187">
        <v>4077</v>
      </c>
      <c r="D187" t="s">
        <v>145</v>
      </c>
      <c r="E187" t="s">
        <v>16</v>
      </c>
      <c r="F187">
        <v>50972293</v>
      </c>
      <c r="G187">
        <v>51</v>
      </c>
      <c r="H187">
        <v>52</v>
      </c>
      <c r="I187" t="s">
        <v>442</v>
      </c>
      <c r="J187">
        <v>43</v>
      </c>
      <c r="K187" t="s">
        <v>442</v>
      </c>
      <c r="L187">
        <v>57</v>
      </c>
      <c r="M187">
        <v>68</v>
      </c>
      <c r="N187">
        <v>37</v>
      </c>
      <c r="O187">
        <v>54</v>
      </c>
      <c r="P187">
        <v>63</v>
      </c>
      <c r="Q187">
        <v>579</v>
      </c>
      <c r="R187">
        <v>502</v>
      </c>
    </row>
    <row r="188" spans="1:18" x14ac:dyDescent="0.25">
      <c r="A188" t="s">
        <v>544</v>
      </c>
      <c r="B188" t="s">
        <v>95</v>
      </c>
      <c r="C188">
        <v>3856</v>
      </c>
      <c r="D188" t="s">
        <v>187</v>
      </c>
      <c r="E188" t="s">
        <v>26</v>
      </c>
      <c r="F188">
        <v>51183107</v>
      </c>
      <c r="G188">
        <v>56</v>
      </c>
      <c r="H188">
        <v>55</v>
      </c>
      <c r="I188">
        <v>68</v>
      </c>
      <c r="J188">
        <v>53</v>
      </c>
      <c r="K188">
        <v>46</v>
      </c>
      <c r="L188">
        <v>51</v>
      </c>
      <c r="M188">
        <v>62</v>
      </c>
      <c r="N188">
        <v>53</v>
      </c>
      <c r="O188">
        <v>66</v>
      </c>
      <c r="P188">
        <v>60</v>
      </c>
      <c r="Q188">
        <v>570</v>
      </c>
      <c r="R188">
        <v>502</v>
      </c>
    </row>
    <row r="189" spans="1:18" x14ac:dyDescent="0.25">
      <c r="A189" t="s">
        <v>545</v>
      </c>
      <c r="B189" t="s">
        <v>95</v>
      </c>
      <c r="C189">
        <v>4107</v>
      </c>
      <c r="D189" t="s">
        <v>199</v>
      </c>
      <c r="E189" t="s">
        <v>63</v>
      </c>
      <c r="F189">
        <v>52305556</v>
      </c>
      <c r="G189" t="s">
        <v>543</v>
      </c>
      <c r="H189" t="s">
        <v>442</v>
      </c>
      <c r="I189">
        <v>53</v>
      </c>
      <c r="J189">
        <v>42</v>
      </c>
      <c r="K189" t="s">
        <v>461</v>
      </c>
      <c r="L189">
        <v>58</v>
      </c>
      <c r="M189">
        <v>25</v>
      </c>
      <c r="N189">
        <v>35</v>
      </c>
      <c r="O189" t="s">
        <v>433</v>
      </c>
      <c r="P189">
        <v>59</v>
      </c>
      <c r="Q189">
        <v>580</v>
      </c>
      <c r="R189">
        <v>503</v>
      </c>
    </row>
    <row r="190" spans="1:18" x14ac:dyDescent="0.25">
      <c r="A190" t="s">
        <v>546</v>
      </c>
      <c r="B190" t="s">
        <v>95</v>
      </c>
      <c r="C190">
        <v>4141</v>
      </c>
      <c r="D190" t="s">
        <v>305</v>
      </c>
      <c r="E190" t="s">
        <v>11</v>
      </c>
      <c r="F190">
        <v>53442924</v>
      </c>
      <c r="G190" t="s">
        <v>442</v>
      </c>
      <c r="H190">
        <v>40</v>
      </c>
      <c r="I190" t="s">
        <v>442</v>
      </c>
      <c r="J190">
        <v>54</v>
      </c>
      <c r="K190">
        <v>43</v>
      </c>
      <c r="L190">
        <v>58</v>
      </c>
      <c r="M190">
        <v>59</v>
      </c>
      <c r="N190" t="s">
        <v>433</v>
      </c>
      <c r="O190">
        <v>49</v>
      </c>
      <c r="P190">
        <v>46</v>
      </c>
      <c r="Q190">
        <v>580</v>
      </c>
      <c r="R190">
        <v>503</v>
      </c>
    </row>
    <row r="191" spans="1:18" x14ac:dyDescent="0.25">
      <c r="A191" t="s">
        <v>547</v>
      </c>
      <c r="B191" t="s">
        <v>95</v>
      </c>
      <c r="C191">
        <v>3790</v>
      </c>
      <c r="D191" t="s">
        <v>183</v>
      </c>
      <c r="E191" t="s">
        <v>39</v>
      </c>
      <c r="F191">
        <v>51583086</v>
      </c>
      <c r="G191">
        <v>66</v>
      </c>
      <c r="H191">
        <v>55</v>
      </c>
      <c r="I191" t="s">
        <v>442</v>
      </c>
      <c r="J191">
        <v>57</v>
      </c>
      <c r="K191">
        <v>49</v>
      </c>
      <c r="L191">
        <v>62</v>
      </c>
      <c r="M191">
        <v>71</v>
      </c>
      <c r="N191">
        <v>49</v>
      </c>
      <c r="O191">
        <v>50</v>
      </c>
      <c r="P191">
        <v>46</v>
      </c>
      <c r="Q191">
        <v>582</v>
      </c>
      <c r="R191">
        <v>505</v>
      </c>
    </row>
    <row r="192" spans="1:18" x14ac:dyDescent="0.25">
      <c r="A192" t="s">
        <v>548</v>
      </c>
      <c r="B192" t="s">
        <v>95</v>
      </c>
      <c r="C192">
        <v>4190</v>
      </c>
      <c r="D192" t="s">
        <v>326</v>
      </c>
      <c r="E192" t="s">
        <v>5</v>
      </c>
      <c r="F192">
        <v>51358936</v>
      </c>
      <c r="G192">
        <v>51</v>
      </c>
      <c r="H192">
        <v>56</v>
      </c>
      <c r="I192">
        <v>72</v>
      </c>
      <c r="J192" t="s">
        <v>442</v>
      </c>
      <c r="K192" t="s">
        <v>543</v>
      </c>
      <c r="L192" t="s">
        <v>442</v>
      </c>
      <c r="M192">
        <v>33</v>
      </c>
      <c r="N192">
        <v>39</v>
      </c>
      <c r="O192">
        <v>48</v>
      </c>
      <c r="P192">
        <v>55</v>
      </c>
      <c r="Q192">
        <v>585</v>
      </c>
      <c r="R192">
        <v>508</v>
      </c>
    </row>
    <row r="193" spans="1:18" x14ac:dyDescent="0.25">
      <c r="A193" t="s">
        <v>549</v>
      </c>
      <c r="B193" t="s">
        <v>95</v>
      </c>
      <c r="C193">
        <v>4161</v>
      </c>
      <c r="D193" t="s">
        <v>202</v>
      </c>
      <c r="E193" t="s">
        <v>39</v>
      </c>
      <c r="F193">
        <v>51390049</v>
      </c>
      <c r="G193" t="s">
        <v>543</v>
      </c>
      <c r="H193">
        <v>54</v>
      </c>
      <c r="I193">
        <v>62</v>
      </c>
      <c r="J193">
        <v>58</v>
      </c>
      <c r="K193">
        <v>40</v>
      </c>
      <c r="L193">
        <v>60</v>
      </c>
      <c r="M193">
        <v>68</v>
      </c>
      <c r="N193">
        <v>48</v>
      </c>
      <c r="O193">
        <v>49</v>
      </c>
      <c r="P193">
        <v>72</v>
      </c>
      <c r="Q193">
        <v>588</v>
      </c>
      <c r="R193">
        <v>511</v>
      </c>
    </row>
    <row r="194" spans="1:18" x14ac:dyDescent="0.25">
      <c r="A194" t="s">
        <v>550</v>
      </c>
      <c r="B194" t="s">
        <v>95</v>
      </c>
      <c r="C194">
        <v>4087</v>
      </c>
      <c r="D194" t="s">
        <v>196</v>
      </c>
      <c r="E194" t="s">
        <v>33</v>
      </c>
      <c r="F194">
        <v>52906229</v>
      </c>
      <c r="G194">
        <v>60</v>
      </c>
      <c r="H194">
        <v>63</v>
      </c>
      <c r="I194">
        <v>60</v>
      </c>
      <c r="J194">
        <v>61</v>
      </c>
      <c r="K194">
        <v>54</v>
      </c>
      <c r="L194">
        <v>61</v>
      </c>
      <c r="M194">
        <v>62</v>
      </c>
      <c r="N194">
        <v>49</v>
      </c>
      <c r="O194">
        <v>44</v>
      </c>
      <c r="P194" t="s">
        <v>433</v>
      </c>
      <c r="Q194">
        <v>591</v>
      </c>
      <c r="R194">
        <v>514</v>
      </c>
    </row>
    <row r="195" spans="1:18" x14ac:dyDescent="0.25">
      <c r="A195" t="s">
        <v>551</v>
      </c>
      <c r="B195" t="s">
        <v>95</v>
      </c>
      <c r="C195">
        <v>4098</v>
      </c>
      <c r="D195" t="s">
        <v>197</v>
      </c>
      <c r="E195" t="s">
        <v>67</v>
      </c>
      <c r="F195">
        <v>52958381</v>
      </c>
      <c r="G195">
        <v>48</v>
      </c>
      <c r="H195">
        <v>62</v>
      </c>
      <c r="I195">
        <v>58</v>
      </c>
      <c r="J195">
        <v>55</v>
      </c>
      <c r="K195" t="s">
        <v>442</v>
      </c>
      <c r="L195">
        <v>56</v>
      </c>
      <c r="M195">
        <v>47</v>
      </c>
      <c r="N195">
        <v>53</v>
      </c>
      <c r="O195">
        <v>62</v>
      </c>
      <c r="P195" t="s">
        <v>433</v>
      </c>
      <c r="Q195">
        <v>595</v>
      </c>
      <c r="R195">
        <v>518</v>
      </c>
    </row>
    <row r="196" spans="1:18" x14ac:dyDescent="0.25">
      <c r="A196" t="s">
        <v>552</v>
      </c>
      <c r="B196" t="s">
        <v>110</v>
      </c>
      <c r="C196">
        <v>117</v>
      </c>
      <c r="D196" t="s">
        <v>119</v>
      </c>
      <c r="E196" t="s">
        <v>109</v>
      </c>
      <c r="F196">
        <v>45678678</v>
      </c>
      <c r="G196">
        <v>49</v>
      </c>
      <c r="H196">
        <v>48</v>
      </c>
      <c r="I196" t="s">
        <v>442</v>
      </c>
      <c r="J196" t="s">
        <v>442</v>
      </c>
      <c r="K196" t="s">
        <v>442</v>
      </c>
      <c r="L196" t="s">
        <v>442</v>
      </c>
      <c r="M196">
        <v>30</v>
      </c>
      <c r="N196">
        <v>58</v>
      </c>
      <c r="O196" t="s">
        <v>433</v>
      </c>
      <c r="P196">
        <v>30</v>
      </c>
      <c r="Q196">
        <v>600</v>
      </c>
      <c r="R196">
        <v>523</v>
      </c>
    </row>
    <row r="197" spans="1:18" x14ac:dyDescent="0.25">
      <c r="A197" t="s">
        <v>553</v>
      </c>
      <c r="B197" t="s">
        <v>95</v>
      </c>
      <c r="C197">
        <v>4163</v>
      </c>
      <c r="D197" t="s">
        <v>312</v>
      </c>
      <c r="E197" t="s">
        <v>104</v>
      </c>
      <c r="F197">
        <v>52764604</v>
      </c>
      <c r="G197">
        <v>68</v>
      </c>
      <c r="H197">
        <v>73</v>
      </c>
      <c r="I197">
        <v>71</v>
      </c>
      <c r="J197" t="s">
        <v>442</v>
      </c>
      <c r="K197" t="s">
        <v>442</v>
      </c>
      <c r="L197" t="s">
        <v>442</v>
      </c>
      <c r="M197">
        <v>70</v>
      </c>
      <c r="N197">
        <v>30</v>
      </c>
      <c r="O197">
        <v>38</v>
      </c>
      <c r="P197">
        <v>26</v>
      </c>
      <c r="Q197">
        <v>607</v>
      </c>
      <c r="R197">
        <v>530</v>
      </c>
    </row>
    <row r="198" spans="1:18" x14ac:dyDescent="0.25">
      <c r="A198" t="s">
        <v>554</v>
      </c>
      <c r="B198" t="s">
        <v>95</v>
      </c>
      <c r="C198">
        <v>3462</v>
      </c>
      <c r="D198" t="s">
        <v>150</v>
      </c>
      <c r="E198" t="s">
        <v>11</v>
      </c>
      <c r="F198">
        <v>53820853</v>
      </c>
      <c r="G198">
        <v>65</v>
      </c>
      <c r="H198">
        <v>68</v>
      </c>
      <c r="I198">
        <v>61</v>
      </c>
      <c r="J198">
        <v>61</v>
      </c>
      <c r="K198" t="s">
        <v>442</v>
      </c>
      <c r="L198">
        <v>61</v>
      </c>
      <c r="M198">
        <v>54</v>
      </c>
      <c r="N198" t="s">
        <v>433</v>
      </c>
      <c r="O198">
        <v>44</v>
      </c>
      <c r="P198">
        <v>52</v>
      </c>
      <c r="Q198">
        <v>620</v>
      </c>
      <c r="R198">
        <v>543</v>
      </c>
    </row>
    <row r="199" spans="1:18" x14ac:dyDescent="0.25">
      <c r="A199" t="s">
        <v>555</v>
      </c>
      <c r="B199" t="s">
        <v>95</v>
      </c>
      <c r="C199">
        <v>3976</v>
      </c>
      <c r="D199" t="s">
        <v>249</v>
      </c>
      <c r="E199" t="s">
        <v>10</v>
      </c>
      <c r="F199">
        <v>52908766</v>
      </c>
      <c r="G199">
        <v>54</v>
      </c>
      <c r="H199">
        <v>67</v>
      </c>
      <c r="I199">
        <v>59</v>
      </c>
      <c r="J199">
        <v>48</v>
      </c>
      <c r="K199">
        <v>57</v>
      </c>
      <c r="L199" t="s">
        <v>543</v>
      </c>
      <c r="M199">
        <v>50</v>
      </c>
      <c r="N199" t="s">
        <v>433</v>
      </c>
      <c r="O199">
        <v>56</v>
      </c>
      <c r="P199" t="s">
        <v>433</v>
      </c>
      <c r="Q199">
        <v>622</v>
      </c>
      <c r="R199">
        <v>545</v>
      </c>
    </row>
    <row r="200" spans="1:18" x14ac:dyDescent="0.25">
      <c r="A200" t="s">
        <v>558</v>
      </c>
      <c r="B200" t="s">
        <v>95</v>
      </c>
      <c r="C200">
        <v>4197</v>
      </c>
      <c r="D200" t="s">
        <v>332</v>
      </c>
      <c r="E200" t="s">
        <v>104</v>
      </c>
      <c r="F200">
        <v>51511518</v>
      </c>
      <c r="G200">
        <v>40</v>
      </c>
      <c r="H200">
        <v>72</v>
      </c>
      <c r="I200">
        <v>45</v>
      </c>
      <c r="J200" t="s">
        <v>442</v>
      </c>
      <c r="K200" t="s">
        <v>442</v>
      </c>
      <c r="L200" t="s">
        <v>442</v>
      </c>
      <c r="M200">
        <v>56</v>
      </c>
      <c r="N200">
        <v>47</v>
      </c>
      <c r="O200" t="s">
        <v>433</v>
      </c>
      <c r="P200">
        <v>61</v>
      </c>
      <c r="Q200">
        <v>629</v>
      </c>
      <c r="R200">
        <v>552</v>
      </c>
    </row>
    <row r="201" spans="1:18" x14ac:dyDescent="0.25">
      <c r="A201" t="s">
        <v>559</v>
      </c>
      <c r="B201" t="s">
        <v>95</v>
      </c>
      <c r="C201">
        <v>4071</v>
      </c>
      <c r="D201" t="s">
        <v>194</v>
      </c>
      <c r="E201" t="s">
        <v>102</v>
      </c>
      <c r="F201">
        <v>52703082</v>
      </c>
      <c r="G201" t="s">
        <v>442</v>
      </c>
      <c r="H201">
        <v>69</v>
      </c>
      <c r="I201">
        <v>67</v>
      </c>
      <c r="J201" t="s">
        <v>442</v>
      </c>
      <c r="K201">
        <v>53</v>
      </c>
      <c r="L201">
        <v>45</v>
      </c>
      <c r="M201">
        <v>67</v>
      </c>
      <c r="N201">
        <v>51</v>
      </c>
      <c r="O201">
        <v>51</v>
      </c>
      <c r="P201">
        <v>73</v>
      </c>
      <c r="Q201">
        <v>630</v>
      </c>
      <c r="R201">
        <v>553</v>
      </c>
    </row>
    <row r="202" spans="1:18" x14ac:dyDescent="0.25">
      <c r="A202" t="s">
        <v>560</v>
      </c>
      <c r="B202" t="s">
        <v>95</v>
      </c>
      <c r="C202">
        <v>3987</v>
      </c>
      <c r="D202" t="s">
        <v>171</v>
      </c>
      <c r="E202" t="s">
        <v>99</v>
      </c>
      <c r="F202">
        <v>51369815</v>
      </c>
      <c r="G202">
        <v>47</v>
      </c>
      <c r="H202">
        <v>57</v>
      </c>
      <c r="I202">
        <v>66</v>
      </c>
      <c r="J202">
        <v>51</v>
      </c>
      <c r="K202">
        <v>50</v>
      </c>
      <c r="L202" t="s">
        <v>442</v>
      </c>
      <c r="M202" t="s">
        <v>442</v>
      </c>
      <c r="N202" t="s">
        <v>442</v>
      </c>
      <c r="O202" t="s">
        <v>433</v>
      </c>
      <c r="P202">
        <v>57</v>
      </c>
      <c r="Q202">
        <v>636</v>
      </c>
      <c r="R202">
        <v>559</v>
      </c>
    </row>
    <row r="203" spans="1:18" x14ac:dyDescent="0.25">
      <c r="A203" t="s">
        <v>561</v>
      </c>
      <c r="B203" t="s">
        <v>95</v>
      </c>
      <c r="C203">
        <v>3583</v>
      </c>
      <c r="D203" t="s">
        <v>219</v>
      </c>
      <c r="E203" t="s">
        <v>9</v>
      </c>
      <c r="F203">
        <v>52827436</v>
      </c>
      <c r="G203">
        <v>50</v>
      </c>
      <c r="H203">
        <v>64</v>
      </c>
      <c r="I203">
        <v>54</v>
      </c>
      <c r="J203">
        <v>65</v>
      </c>
      <c r="K203" t="s">
        <v>461</v>
      </c>
      <c r="L203" t="s">
        <v>442</v>
      </c>
      <c r="M203">
        <v>59</v>
      </c>
      <c r="N203" t="s">
        <v>433</v>
      </c>
      <c r="O203">
        <v>67</v>
      </c>
      <c r="P203">
        <v>48</v>
      </c>
      <c r="Q203">
        <v>638</v>
      </c>
      <c r="R203">
        <v>561</v>
      </c>
    </row>
    <row r="204" spans="1:18" x14ac:dyDescent="0.25">
      <c r="A204" t="s">
        <v>562</v>
      </c>
      <c r="B204" t="s">
        <v>95</v>
      </c>
      <c r="C204">
        <v>3688</v>
      </c>
      <c r="D204" t="s">
        <v>223</v>
      </c>
      <c r="E204" t="s">
        <v>26</v>
      </c>
      <c r="F204">
        <v>53242979</v>
      </c>
      <c r="G204">
        <v>61</v>
      </c>
      <c r="H204">
        <v>59</v>
      </c>
      <c r="I204">
        <v>51</v>
      </c>
      <c r="J204" t="s">
        <v>442</v>
      </c>
      <c r="K204" t="s">
        <v>442</v>
      </c>
      <c r="L204" t="s">
        <v>442</v>
      </c>
      <c r="M204">
        <v>55</v>
      </c>
      <c r="N204">
        <v>71</v>
      </c>
      <c r="O204">
        <v>43</v>
      </c>
      <c r="P204">
        <v>70</v>
      </c>
      <c r="Q204">
        <v>641</v>
      </c>
      <c r="R204">
        <v>564</v>
      </c>
    </row>
    <row r="205" spans="1:18" x14ac:dyDescent="0.25">
      <c r="A205" t="s">
        <v>563</v>
      </c>
      <c r="B205" t="s">
        <v>95</v>
      </c>
      <c r="C205">
        <v>3402</v>
      </c>
      <c r="D205" t="s">
        <v>149</v>
      </c>
      <c r="E205" t="s">
        <v>10</v>
      </c>
      <c r="F205">
        <v>50653382</v>
      </c>
      <c r="G205">
        <v>59</v>
      </c>
      <c r="H205">
        <v>39</v>
      </c>
      <c r="I205">
        <v>44</v>
      </c>
      <c r="J205" t="s">
        <v>442</v>
      </c>
      <c r="K205" t="s">
        <v>442</v>
      </c>
      <c r="L205" t="s">
        <v>442</v>
      </c>
      <c r="M205">
        <v>61</v>
      </c>
      <c r="N205" t="s">
        <v>778</v>
      </c>
      <c r="O205" t="s">
        <v>442</v>
      </c>
      <c r="P205">
        <v>56</v>
      </c>
      <c r="Q205">
        <v>644</v>
      </c>
      <c r="R205">
        <v>567</v>
      </c>
    </row>
    <row r="206" spans="1:18" x14ac:dyDescent="0.25">
      <c r="A206" t="s">
        <v>564</v>
      </c>
      <c r="B206" t="s">
        <v>95</v>
      </c>
      <c r="C206">
        <v>3977</v>
      </c>
      <c r="D206" t="s">
        <v>250</v>
      </c>
      <c r="E206" t="s">
        <v>17</v>
      </c>
      <c r="F206">
        <v>51281593</v>
      </c>
      <c r="G206">
        <v>58</v>
      </c>
      <c r="H206" t="s">
        <v>433</v>
      </c>
      <c r="I206" t="s">
        <v>442</v>
      </c>
      <c r="J206" t="s">
        <v>461</v>
      </c>
      <c r="K206">
        <v>54</v>
      </c>
      <c r="L206">
        <v>46</v>
      </c>
      <c r="M206">
        <v>71</v>
      </c>
      <c r="N206" t="s">
        <v>433</v>
      </c>
      <c r="O206" t="s">
        <v>433</v>
      </c>
      <c r="P206">
        <v>41</v>
      </c>
      <c r="Q206">
        <v>655</v>
      </c>
      <c r="R206">
        <v>578</v>
      </c>
    </row>
    <row r="207" spans="1:18" x14ac:dyDescent="0.25">
      <c r="A207" t="s">
        <v>568</v>
      </c>
      <c r="B207" t="s">
        <v>95</v>
      </c>
      <c r="C207">
        <v>3422</v>
      </c>
      <c r="D207" t="s">
        <v>136</v>
      </c>
      <c r="E207" t="s">
        <v>16</v>
      </c>
      <c r="F207">
        <v>50653835</v>
      </c>
      <c r="G207" t="s">
        <v>442</v>
      </c>
      <c r="H207">
        <v>62</v>
      </c>
      <c r="I207">
        <v>57</v>
      </c>
      <c r="J207" t="s">
        <v>442</v>
      </c>
      <c r="K207" t="s">
        <v>442</v>
      </c>
      <c r="L207" t="s">
        <v>442</v>
      </c>
      <c r="M207">
        <v>69</v>
      </c>
      <c r="N207">
        <v>51</v>
      </c>
      <c r="O207">
        <v>69</v>
      </c>
      <c r="P207">
        <v>44</v>
      </c>
      <c r="Q207">
        <v>660</v>
      </c>
      <c r="R207">
        <v>583</v>
      </c>
    </row>
    <row r="208" spans="1:18" x14ac:dyDescent="0.25">
      <c r="A208" t="s">
        <v>569</v>
      </c>
      <c r="B208" t="s">
        <v>95</v>
      </c>
      <c r="C208">
        <v>4189</v>
      </c>
      <c r="D208" t="s">
        <v>325</v>
      </c>
      <c r="E208" t="s">
        <v>103</v>
      </c>
      <c r="F208">
        <v>50805092</v>
      </c>
      <c r="G208">
        <v>62</v>
      </c>
      <c r="H208">
        <v>51</v>
      </c>
      <c r="I208" t="s">
        <v>543</v>
      </c>
      <c r="J208">
        <v>66</v>
      </c>
      <c r="K208" t="s">
        <v>461</v>
      </c>
      <c r="L208">
        <v>57</v>
      </c>
      <c r="M208">
        <v>64</v>
      </c>
      <c r="N208">
        <v>69</v>
      </c>
      <c r="O208" t="s">
        <v>433</v>
      </c>
      <c r="P208">
        <v>65</v>
      </c>
      <c r="Q208">
        <v>665</v>
      </c>
      <c r="R208">
        <v>588</v>
      </c>
    </row>
    <row r="209" spans="1:18" x14ac:dyDescent="0.25">
      <c r="A209" t="s">
        <v>570</v>
      </c>
      <c r="B209" t="s">
        <v>95</v>
      </c>
      <c r="C209">
        <v>3789</v>
      </c>
      <c r="D209" t="s">
        <v>182</v>
      </c>
      <c r="E209" t="s">
        <v>113</v>
      </c>
      <c r="F209">
        <v>51214597</v>
      </c>
      <c r="G209">
        <v>51</v>
      </c>
      <c r="H209">
        <v>64</v>
      </c>
      <c r="I209" t="s">
        <v>442</v>
      </c>
      <c r="J209" t="s">
        <v>543</v>
      </c>
      <c r="K209" t="s">
        <v>442</v>
      </c>
      <c r="L209" t="s">
        <v>442</v>
      </c>
      <c r="M209">
        <v>58</v>
      </c>
      <c r="N209">
        <v>62</v>
      </c>
      <c r="O209">
        <v>69</v>
      </c>
      <c r="P209">
        <v>58</v>
      </c>
      <c r="Q209">
        <v>670</v>
      </c>
      <c r="R209">
        <v>593</v>
      </c>
    </row>
    <row r="210" spans="1:18" x14ac:dyDescent="0.25">
      <c r="A210" t="s">
        <v>571</v>
      </c>
      <c r="B210" t="s">
        <v>95</v>
      </c>
      <c r="C210">
        <v>3132</v>
      </c>
      <c r="D210" t="s">
        <v>132</v>
      </c>
      <c r="E210" t="s">
        <v>106</v>
      </c>
      <c r="F210">
        <v>52133607</v>
      </c>
      <c r="G210" t="s">
        <v>556</v>
      </c>
      <c r="H210" t="s">
        <v>557</v>
      </c>
      <c r="I210" t="s">
        <v>543</v>
      </c>
      <c r="J210" t="s">
        <v>461</v>
      </c>
      <c r="K210" t="s">
        <v>543</v>
      </c>
      <c r="L210">
        <v>60</v>
      </c>
      <c r="M210">
        <v>66</v>
      </c>
      <c r="N210">
        <v>52</v>
      </c>
      <c r="O210">
        <v>68</v>
      </c>
      <c r="P210" t="s">
        <v>433</v>
      </c>
      <c r="Q210">
        <v>670</v>
      </c>
      <c r="R210">
        <v>593</v>
      </c>
    </row>
    <row r="211" spans="1:18" x14ac:dyDescent="0.25">
      <c r="A211" t="s">
        <v>572</v>
      </c>
      <c r="B211" t="s">
        <v>95</v>
      </c>
      <c r="C211">
        <v>3573</v>
      </c>
      <c r="D211" t="s">
        <v>154</v>
      </c>
      <c r="E211" t="s">
        <v>99</v>
      </c>
      <c r="F211">
        <v>51098290</v>
      </c>
      <c r="G211" t="s">
        <v>442</v>
      </c>
      <c r="H211" t="s">
        <v>442</v>
      </c>
      <c r="I211" t="s">
        <v>442</v>
      </c>
      <c r="J211" t="s">
        <v>442</v>
      </c>
      <c r="K211" t="s">
        <v>442</v>
      </c>
      <c r="L211" t="s">
        <v>442</v>
      </c>
      <c r="M211">
        <v>39</v>
      </c>
      <c r="N211" t="s">
        <v>433</v>
      </c>
      <c r="O211">
        <v>47</v>
      </c>
      <c r="P211">
        <v>53</v>
      </c>
      <c r="Q211">
        <v>678</v>
      </c>
      <c r="R211">
        <v>601</v>
      </c>
    </row>
    <row r="212" spans="1:18" x14ac:dyDescent="0.25">
      <c r="A212" t="s">
        <v>573</v>
      </c>
      <c r="B212" t="s">
        <v>95</v>
      </c>
      <c r="C212">
        <v>4081</v>
      </c>
      <c r="D212" t="s">
        <v>284</v>
      </c>
      <c r="E212" t="s">
        <v>16</v>
      </c>
      <c r="F212">
        <v>52013788</v>
      </c>
      <c r="G212">
        <v>54</v>
      </c>
      <c r="H212">
        <v>46</v>
      </c>
      <c r="I212">
        <v>40</v>
      </c>
      <c r="J212" t="s">
        <v>442</v>
      </c>
      <c r="K212" t="s">
        <v>442</v>
      </c>
      <c r="L212" t="s">
        <v>442</v>
      </c>
      <c r="M212" t="s">
        <v>442</v>
      </c>
      <c r="N212" t="s">
        <v>442</v>
      </c>
      <c r="O212" t="s">
        <v>442</v>
      </c>
      <c r="P212" t="s">
        <v>442</v>
      </c>
      <c r="Q212">
        <v>679</v>
      </c>
      <c r="R212">
        <v>602</v>
      </c>
    </row>
    <row r="213" spans="1:18" x14ac:dyDescent="0.25">
      <c r="A213" t="s">
        <v>574</v>
      </c>
      <c r="B213" t="s">
        <v>95</v>
      </c>
      <c r="C213">
        <v>3185</v>
      </c>
      <c r="D213" t="s">
        <v>133</v>
      </c>
      <c r="E213" t="s">
        <v>94</v>
      </c>
      <c r="F213">
        <v>51222406</v>
      </c>
      <c r="G213">
        <v>63</v>
      </c>
      <c r="H213">
        <v>70</v>
      </c>
      <c r="I213">
        <v>70</v>
      </c>
      <c r="J213">
        <v>64</v>
      </c>
      <c r="K213" t="s">
        <v>442</v>
      </c>
      <c r="L213" t="s">
        <v>442</v>
      </c>
      <c r="M213">
        <v>68</v>
      </c>
      <c r="N213">
        <v>67</v>
      </c>
      <c r="O213">
        <v>58</v>
      </c>
      <c r="P213">
        <v>66</v>
      </c>
      <c r="Q213">
        <v>680</v>
      </c>
      <c r="R213">
        <v>603</v>
      </c>
    </row>
    <row r="214" spans="1:18" x14ac:dyDescent="0.25">
      <c r="A214" t="s">
        <v>575</v>
      </c>
      <c r="B214" t="s">
        <v>95</v>
      </c>
      <c r="C214">
        <v>4127</v>
      </c>
      <c r="D214" t="s">
        <v>300</v>
      </c>
      <c r="E214" t="s">
        <v>31</v>
      </c>
      <c r="F214">
        <v>53593354</v>
      </c>
      <c r="G214">
        <v>71</v>
      </c>
      <c r="H214">
        <v>69</v>
      </c>
      <c r="I214" t="s">
        <v>543</v>
      </c>
      <c r="J214" t="s">
        <v>442</v>
      </c>
      <c r="K214" t="s">
        <v>442</v>
      </c>
      <c r="L214" t="s">
        <v>442</v>
      </c>
      <c r="M214">
        <v>65</v>
      </c>
      <c r="N214">
        <v>59</v>
      </c>
      <c r="O214">
        <v>47</v>
      </c>
      <c r="P214">
        <v>70</v>
      </c>
      <c r="Q214">
        <v>689</v>
      </c>
      <c r="R214">
        <v>612</v>
      </c>
    </row>
    <row r="215" spans="1:18" x14ac:dyDescent="0.25">
      <c r="A215" t="s">
        <v>576</v>
      </c>
      <c r="B215" t="s">
        <v>95</v>
      </c>
      <c r="C215">
        <v>3483</v>
      </c>
      <c r="D215" t="s">
        <v>179</v>
      </c>
      <c r="E215" t="s">
        <v>106</v>
      </c>
      <c r="F215">
        <v>51282568</v>
      </c>
      <c r="G215" t="s">
        <v>565</v>
      </c>
      <c r="H215" t="s">
        <v>566</v>
      </c>
      <c r="I215" t="s">
        <v>567</v>
      </c>
      <c r="J215" t="s">
        <v>442</v>
      </c>
      <c r="K215" t="s">
        <v>442</v>
      </c>
      <c r="L215" t="s">
        <v>442</v>
      </c>
      <c r="M215">
        <v>73</v>
      </c>
      <c r="N215" t="s">
        <v>433</v>
      </c>
      <c r="O215">
        <v>52</v>
      </c>
      <c r="P215">
        <v>64</v>
      </c>
      <c r="Q215">
        <v>694</v>
      </c>
      <c r="R215">
        <v>617</v>
      </c>
    </row>
    <row r="216" spans="1:18" x14ac:dyDescent="0.25">
      <c r="A216" t="s">
        <v>577</v>
      </c>
      <c r="B216" t="s">
        <v>95</v>
      </c>
      <c r="C216">
        <v>3711</v>
      </c>
      <c r="D216" t="s">
        <v>181</v>
      </c>
      <c r="E216" t="s">
        <v>67</v>
      </c>
      <c r="F216">
        <v>50704565</v>
      </c>
      <c r="G216" t="s">
        <v>543</v>
      </c>
      <c r="H216" t="s">
        <v>433</v>
      </c>
      <c r="I216">
        <v>54</v>
      </c>
      <c r="J216" t="s">
        <v>442</v>
      </c>
      <c r="K216" t="s">
        <v>442</v>
      </c>
      <c r="L216" t="s">
        <v>442</v>
      </c>
      <c r="M216">
        <v>64</v>
      </c>
      <c r="N216" t="s">
        <v>433</v>
      </c>
      <c r="O216">
        <v>42</v>
      </c>
      <c r="P216">
        <v>74</v>
      </c>
      <c r="Q216">
        <v>696</v>
      </c>
      <c r="R216">
        <v>619</v>
      </c>
    </row>
    <row r="217" spans="1:18" x14ac:dyDescent="0.25">
      <c r="A217" t="s">
        <v>578</v>
      </c>
      <c r="B217" t="s">
        <v>95</v>
      </c>
      <c r="C217">
        <v>3913</v>
      </c>
      <c r="D217" t="s">
        <v>142</v>
      </c>
      <c r="E217" t="s">
        <v>96</v>
      </c>
      <c r="F217">
        <v>51700380</v>
      </c>
      <c r="G217" t="s">
        <v>442</v>
      </c>
      <c r="H217" t="s">
        <v>442</v>
      </c>
      <c r="I217" t="s">
        <v>442</v>
      </c>
      <c r="J217" t="s">
        <v>442</v>
      </c>
      <c r="K217" t="s">
        <v>442</v>
      </c>
      <c r="L217" t="s">
        <v>442</v>
      </c>
      <c r="M217">
        <v>65</v>
      </c>
      <c r="N217">
        <v>50</v>
      </c>
      <c r="O217">
        <v>50</v>
      </c>
      <c r="P217">
        <v>69</v>
      </c>
      <c r="Q217">
        <v>696</v>
      </c>
      <c r="R217">
        <v>619</v>
      </c>
    </row>
    <row r="218" spans="1:18" x14ac:dyDescent="0.25">
      <c r="A218" t="s">
        <v>579</v>
      </c>
      <c r="B218" t="s">
        <v>95</v>
      </c>
      <c r="C218">
        <v>3800</v>
      </c>
      <c r="D218" t="s">
        <v>230</v>
      </c>
      <c r="E218" t="s">
        <v>21</v>
      </c>
      <c r="F218">
        <v>53645984</v>
      </c>
      <c r="G218">
        <v>63</v>
      </c>
      <c r="H218">
        <v>54</v>
      </c>
      <c r="I218" t="s">
        <v>442</v>
      </c>
      <c r="J218" t="s">
        <v>442</v>
      </c>
      <c r="K218" t="s">
        <v>442</v>
      </c>
      <c r="L218" t="s">
        <v>442</v>
      </c>
      <c r="M218">
        <v>54</v>
      </c>
      <c r="N218" t="s">
        <v>433</v>
      </c>
      <c r="O218">
        <v>64</v>
      </c>
      <c r="P218" t="s">
        <v>433</v>
      </c>
      <c r="Q218">
        <v>697</v>
      </c>
      <c r="R218">
        <v>620</v>
      </c>
    </row>
    <row r="219" spans="1:18" x14ac:dyDescent="0.25">
      <c r="A219" t="s">
        <v>580</v>
      </c>
      <c r="B219" t="s">
        <v>95</v>
      </c>
      <c r="C219">
        <v>4055</v>
      </c>
      <c r="D219" t="s">
        <v>276</v>
      </c>
      <c r="E219" t="s">
        <v>8</v>
      </c>
      <c r="F219">
        <v>53477120</v>
      </c>
      <c r="G219">
        <v>69</v>
      </c>
      <c r="H219">
        <v>65</v>
      </c>
      <c r="I219">
        <v>69</v>
      </c>
      <c r="J219" t="s">
        <v>442</v>
      </c>
      <c r="K219" t="s">
        <v>442</v>
      </c>
      <c r="L219" t="s">
        <v>442</v>
      </c>
      <c r="M219">
        <v>71</v>
      </c>
      <c r="N219">
        <v>73</v>
      </c>
      <c r="O219" t="s">
        <v>566</v>
      </c>
      <c r="P219" t="s">
        <v>566</v>
      </c>
      <c r="Q219">
        <v>714</v>
      </c>
      <c r="R219">
        <v>637</v>
      </c>
    </row>
    <row r="220" spans="1:18" x14ac:dyDescent="0.25">
      <c r="A220" t="s">
        <v>581</v>
      </c>
      <c r="B220" t="s">
        <v>95</v>
      </c>
      <c r="C220">
        <v>3958</v>
      </c>
      <c r="D220" t="s">
        <v>144</v>
      </c>
      <c r="E220" t="s">
        <v>26</v>
      </c>
      <c r="F220">
        <v>50580988</v>
      </c>
      <c r="G220">
        <v>67</v>
      </c>
      <c r="H220">
        <v>66</v>
      </c>
      <c r="I220">
        <v>66</v>
      </c>
      <c r="J220" t="s">
        <v>442</v>
      </c>
      <c r="K220" t="s">
        <v>442</v>
      </c>
      <c r="L220" t="s">
        <v>442</v>
      </c>
      <c r="M220">
        <v>73</v>
      </c>
      <c r="N220">
        <v>65</v>
      </c>
      <c r="O220" t="s">
        <v>778</v>
      </c>
      <c r="P220">
        <v>71</v>
      </c>
      <c r="Q220">
        <v>716</v>
      </c>
      <c r="R220">
        <v>639</v>
      </c>
    </row>
    <row r="221" spans="1:18" x14ac:dyDescent="0.25">
      <c r="A221" t="s">
        <v>767</v>
      </c>
      <c r="B221" t="s">
        <v>95</v>
      </c>
      <c r="C221">
        <v>3918</v>
      </c>
      <c r="D221" t="s">
        <v>143</v>
      </c>
      <c r="E221" t="s">
        <v>67</v>
      </c>
      <c r="F221">
        <v>52456716</v>
      </c>
      <c r="G221" t="s">
        <v>442</v>
      </c>
      <c r="H221" t="s">
        <v>442</v>
      </c>
      <c r="I221" t="s">
        <v>442</v>
      </c>
      <c r="J221" t="s">
        <v>442</v>
      </c>
      <c r="K221" t="s">
        <v>442</v>
      </c>
      <c r="L221" t="s">
        <v>442</v>
      </c>
      <c r="M221">
        <v>69</v>
      </c>
      <c r="N221">
        <v>46</v>
      </c>
      <c r="O221" t="s">
        <v>778</v>
      </c>
      <c r="P221">
        <v>69</v>
      </c>
      <c r="Q221">
        <v>723</v>
      </c>
      <c r="R221">
        <v>646</v>
      </c>
    </row>
    <row r="222" spans="1:18" x14ac:dyDescent="0.25">
      <c r="A222" t="s">
        <v>768</v>
      </c>
      <c r="B222" t="s">
        <v>95</v>
      </c>
      <c r="C222">
        <v>4149</v>
      </c>
      <c r="D222" t="s">
        <v>176</v>
      </c>
      <c r="E222" t="s">
        <v>94</v>
      </c>
      <c r="F222">
        <v>51358905</v>
      </c>
      <c r="G222" t="s">
        <v>442</v>
      </c>
      <c r="H222">
        <v>50</v>
      </c>
      <c r="I222">
        <v>60</v>
      </c>
      <c r="J222" t="s">
        <v>442</v>
      </c>
      <c r="K222" t="s">
        <v>442</v>
      </c>
      <c r="L222" t="s">
        <v>442</v>
      </c>
      <c r="M222" t="s">
        <v>442</v>
      </c>
      <c r="N222" t="s">
        <v>442</v>
      </c>
      <c r="O222" t="s">
        <v>442</v>
      </c>
      <c r="P222" t="s">
        <v>442</v>
      </c>
      <c r="Q222">
        <v>726</v>
      </c>
      <c r="R222">
        <v>649</v>
      </c>
    </row>
    <row r="223" spans="1:18" x14ac:dyDescent="0.25">
      <c r="A223" t="s">
        <v>769</v>
      </c>
      <c r="B223" t="s">
        <v>95</v>
      </c>
      <c r="C223">
        <v>3663</v>
      </c>
      <c r="D223" t="s">
        <v>139</v>
      </c>
      <c r="E223" t="s">
        <v>106</v>
      </c>
      <c r="F223">
        <v>51379080</v>
      </c>
      <c r="G223" t="s">
        <v>543</v>
      </c>
      <c r="H223" t="s">
        <v>543</v>
      </c>
      <c r="I223" t="s">
        <v>543</v>
      </c>
      <c r="J223" t="s">
        <v>442</v>
      </c>
      <c r="K223" t="s">
        <v>442</v>
      </c>
      <c r="L223" t="s">
        <v>442</v>
      </c>
      <c r="M223">
        <v>70</v>
      </c>
      <c r="N223" t="s">
        <v>543</v>
      </c>
      <c r="O223">
        <v>70</v>
      </c>
      <c r="P223" t="s">
        <v>433</v>
      </c>
      <c r="Q223">
        <v>756</v>
      </c>
      <c r="R223">
        <v>679</v>
      </c>
    </row>
    <row r="224" spans="1:18" x14ac:dyDescent="0.25">
      <c r="A224" t="s">
        <v>770</v>
      </c>
      <c r="B224" t="s">
        <v>95</v>
      </c>
      <c r="C224">
        <v>3861</v>
      </c>
      <c r="D224" t="s">
        <v>141</v>
      </c>
      <c r="E224" t="s">
        <v>106</v>
      </c>
      <c r="F224">
        <v>53774636</v>
      </c>
      <c r="G224" t="s">
        <v>442</v>
      </c>
      <c r="H224" t="s">
        <v>442</v>
      </c>
      <c r="I224" t="s">
        <v>442</v>
      </c>
      <c r="J224" t="s">
        <v>442</v>
      </c>
      <c r="K224" t="s">
        <v>442</v>
      </c>
      <c r="L224" t="s">
        <v>442</v>
      </c>
      <c r="M224">
        <v>72</v>
      </c>
      <c r="N224" t="s">
        <v>433</v>
      </c>
      <c r="O224">
        <v>72</v>
      </c>
      <c r="P224" t="s">
        <v>433</v>
      </c>
      <c r="Q224">
        <v>760</v>
      </c>
      <c r="R224">
        <v>683</v>
      </c>
    </row>
    <row r="225" spans="1:18" x14ac:dyDescent="0.25">
      <c r="A225" t="s">
        <v>771</v>
      </c>
      <c r="B225" t="s">
        <v>110</v>
      </c>
      <c r="C225">
        <v>17412</v>
      </c>
      <c r="D225" t="s">
        <v>126</v>
      </c>
      <c r="E225" t="s">
        <v>114</v>
      </c>
      <c r="F225" t="s">
        <v>115</v>
      </c>
      <c r="G225" t="s">
        <v>442</v>
      </c>
      <c r="H225" t="s">
        <v>442</v>
      </c>
      <c r="I225" t="s">
        <v>442</v>
      </c>
      <c r="J225" t="s">
        <v>442</v>
      </c>
      <c r="K225" t="s">
        <v>442</v>
      </c>
      <c r="L225" t="s">
        <v>442</v>
      </c>
      <c r="M225" t="s">
        <v>442</v>
      </c>
      <c r="N225" t="s">
        <v>442</v>
      </c>
      <c r="O225" t="s">
        <v>442</v>
      </c>
      <c r="P225" t="s">
        <v>442</v>
      </c>
      <c r="Q225">
        <v>770</v>
      </c>
      <c r="R225">
        <v>693</v>
      </c>
    </row>
    <row r="226" spans="1:18" x14ac:dyDescent="0.25">
      <c r="A226" t="s">
        <v>771</v>
      </c>
      <c r="B226" t="s">
        <v>95</v>
      </c>
      <c r="C226">
        <v>3916</v>
      </c>
      <c r="D226" t="s">
        <v>189</v>
      </c>
      <c r="E226" t="s">
        <v>112</v>
      </c>
      <c r="F226">
        <v>52301585</v>
      </c>
      <c r="G226" t="s">
        <v>442</v>
      </c>
      <c r="H226" t="s">
        <v>442</v>
      </c>
      <c r="I226" t="s">
        <v>442</v>
      </c>
      <c r="J226" t="s">
        <v>442</v>
      </c>
      <c r="K226" t="s">
        <v>442</v>
      </c>
      <c r="L226" t="s">
        <v>442</v>
      </c>
      <c r="M226" t="s">
        <v>442</v>
      </c>
      <c r="N226" t="s">
        <v>442</v>
      </c>
      <c r="O226" t="s">
        <v>442</v>
      </c>
      <c r="P226" t="s">
        <v>442</v>
      </c>
      <c r="Q226">
        <v>770</v>
      </c>
      <c r="R226">
        <v>693</v>
      </c>
    </row>
    <row r="227" spans="1:18" x14ac:dyDescent="0.25">
      <c r="A227" t="s">
        <v>771</v>
      </c>
      <c r="B227" t="s">
        <v>95</v>
      </c>
      <c r="C227">
        <v>4061</v>
      </c>
      <c r="D227" t="s">
        <v>279</v>
      </c>
      <c r="E227" t="s">
        <v>104</v>
      </c>
      <c r="F227">
        <v>50235461</v>
      </c>
      <c r="G227" t="s">
        <v>442</v>
      </c>
      <c r="H227" t="s">
        <v>442</v>
      </c>
      <c r="I227" t="s">
        <v>442</v>
      </c>
      <c r="J227" t="s">
        <v>442</v>
      </c>
      <c r="K227" t="s">
        <v>442</v>
      </c>
      <c r="L227" t="s">
        <v>442</v>
      </c>
      <c r="M227" t="s">
        <v>442</v>
      </c>
      <c r="N227" t="s">
        <v>442</v>
      </c>
      <c r="O227" t="s">
        <v>442</v>
      </c>
      <c r="P227" t="s">
        <v>442</v>
      </c>
      <c r="Q227">
        <v>770</v>
      </c>
      <c r="R227">
        <v>693</v>
      </c>
    </row>
    <row r="228" spans="1:18" x14ac:dyDescent="0.25">
      <c r="A228" t="s">
        <v>771</v>
      </c>
      <c r="B228" t="s">
        <v>95</v>
      </c>
      <c r="C228">
        <v>4082</v>
      </c>
      <c r="D228" t="s">
        <v>195</v>
      </c>
      <c r="E228" t="s">
        <v>21</v>
      </c>
      <c r="F228">
        <v>51123601</v>
      </c>
      <c r="G228" t="s">
        <v>442</v>
      </c>
      <c r="H228" t="s">
        <v>442</v>
      </c>
      <c r="I228" t="s">
        <v>442</v>
      </c>
      <c r="J228" t="s">
        <v>442</v>
      </c>
      <c r="K228" t="s">
        <v>442</v>
      </c>
      <c r="L228" t="s">
        <v>442</v>
      </c>
      <c r="M228" t="s">
        <v>442</v>
      </c>
      <c r="N228" t="s">
        <v>442</v>
      </c>
      <c r="O228" t="s">
        <v>442</v>
      </c>
      <c r="P228" t="s">
        <v>442</v>
      </c>
      <c r="Q228">
        <v>770</v>
      </c>
      <c r="R228">
        <v>693</v>
      </c>
    </row>
    <row r="231" spans="1:18" x14ac:dyDescent="0.25">
      <c r="A231" t="s">
        <v>582</v>
      </c>
    </row>
    <row r="232" spans="1:18" x14ac:dyDescent="0.25">
      <c r="A232" t="s">
        <v>583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D2CA0-37C9-4B46-8E0C-CE6F1FFB8707}">
  <sheetPr codeName="Sheet4"/>
  <dimension ref="A1:N211"/>
  <sheetViews>
    <sheetView workbookViewId="0">
      <selection activeCell="G24" sqref="G24"/>
    </sheetView>
  </sheetViews>
  <sheetFormatPr defaultRowHeight="15" x14ac:dyDescent="0.25"/>
  <cols>
    <col min="1" max="1" width="31.42578125" bestFit="1" customWidth="1"/>
    <col min="2" max="2" width="6.85546875" bestFit="1" customWidth="1"/>
    <col min="3" max="3" width="7.28515625" bestFit="1" customWidth="1"/>
    <col min="4" max="4" width="32.85546875" bestFit="1" customWidth="1"/>
    <col min="5" max="5" width="39.140625" bestFit="1" customWidth="1"/>
    <col min="6" max="6" width="9" bestFit="1" customWidth="1"/>
    <col min="7" max="12" width="7.28515625" bestFit="1" customWidth="1"/>
    <col min="13" max="13" width="7.7109375" bestFit="1" customWidth="1"/>
    <col min="14" max="14" width="7.28515625" bestFit="1" customWidth="1"/>
    <col min="15" max="21" width="7.140625" bestFit="1" customWidth="1"/>
    <col min="22" max="22" width="7.42578125" bestFit="1" customWidth="1"/>
    <col min="23" max="23" width="6.85546875" bestFit="1" customWidth="1"/>
  </cols>
  <sheetData>
    <row r="1" spans="1:14" x14ac:dyDescent="0.25">
      <c r="A1" t="s">
        <v>346</v>
      </c>
      <c r="B1" t="s">
        <v>93</v>
      </c>
      <c r="C1" t="s">
        <v>4</v>
      </c>
      <c r="D1" t="s">
        <v>344</v>
      </c>
      <c r="E1" t="s">
        <v>3</v>
      </c>
      <c r="F1" t="s">
        <v>92</v>
      </c>
      <c r="G1" t="s">
        <v>347</v>
      </c>
      <c r="H1" t="s">
        <v>348</v>
      </c>
      <c r="I1" t="s">
        <v>349</v>
      </c>
      <c r="J1" t="s">
        <v>761</v>
      </c>
      <c r="K1" t="s">
        <v>763</v>
      </c>
      <c r="L1" t="s">
        <v>764</v>
      </c>
      <c r="M1" t="s">
        <v>350</v>
      </c>
      <c r="N1" t="s">
        <v>351</v>
      </c>
    </row>
    <row r="2" spans="1:14" x14ac:dyDescent="0.25">
      <c r="A2" t="s">
        <v>352</v>
      </c>
      <c r="B2" t="s">
        <v>95</v>
      </c>
      <c r="C2">
        <v>4011</v>
      </c>
      <c r="D2" t="s">
        <v>795</v>
      </c>
      <c r="E2" t="s">
        <v>796</v>
      </c>
      <c r="F2">
        <v>50416772</v>
      </c>
      <c r="G2">
        <v>2</v>
      </c>
      <c r="H2">
        <v>9</v>
      </c>
      <c r="I2">
        <v>2</v>
      </c>
      <c r="J2">
        <v>2</v>
      </c>
      <c r="K2">
        <v>3</v>
      </c>
      <c r="L2">
        <v>1</v>
      </c>
      <c r="M2">
        <v>19</v>
      </c>
      <c r="N2">
        <v>19</v>
      </c>
    </row>
    <row r="3" spans="1:14" x14ac:dyDescent="0.25">
      <c r="A3" t="s">
        <v>353</v>
      </c>
      <c r="B3" t="s">
        <v>95</v>
      </c>
      <c r="C3">
        <v>4106</v>
      </c>
      <c r="D3" t="s">
        <v>806</v>
      </c>
      <c r="E3" t="s">
        <v>792</v>
      </c>
      <c r="F3">
        <v>47955823</v>
      </c>
      <c r="G3">
        <v>3</v>
      </c>
      <c r="H3">
        <v>2</v>
      </c>
      <c r="I3">
        <v>1</v>
      </c>
      <c r="J3">
        <v>1</v>
      </c>
      <c r="K3">
        <v>4</v>
      </c>
      <c r="L3">
        <v>9</v>
      </c>
      <c r="M3">
        <v>20</v>
      </c>
      <c r="N3">
        <v>20</v>
      </c>
    </row>
    <row r="4" spans="1:14" x14ac:dyDescent="0.25">
      <c r="A4" t="s">
        <v>354</v>
      </c>
      <c r="B4" t="s">
        <v>95</v>
      </c>
      <c r="C4">
        <v>4101</v>
      </c>
      <c r="D4" t="s">
        <v>809</v>
      </c>
      <c r="E4" t="s">
        <v>804</v>
      </c>
      <c r="F4">
        <v>50434935</v>
      </c>
      <c r="G4">
        <v>5</v>
      </c>
      <c r="H4">
        <v>9</v>
      </c>
      <c r="I4">
        <v>3</v>
      </c>
      <c r="J4">
        <v>2</v>
      </c>
      <c r="K4">
        <v>1</v>
      </c>
      <c r="L4">
        <v>2</v>
      </c>
      <c r="M4">
        <v>22</v>
      </c>
      <c r="N4">
        <v>22</v>
      </c>
    </row>
    <row r="5" spans="1:14" x14ac:dyDescent="0.25">
      <c r="A5" t="s">
        <v>355</v>
      </c>
      <c r="B5" t="s">
        <v>95</v>
      </c>
      <c r="C5">
        <v>4038</v>
      </c>
      <c r="D5" t="s">
        <v>816</v>
      </c>
      <c r="E5" t="s">
        <v>790</v>
      </c>
      <c r="F5">
        <v>50351678</v>
      </c>
      <c r="G5">
        <v>6</v>
      </c>
      <c r="H5">
        <v>2</v>
      </c>
      <c r="I5">
        <v>7</v>
      </c>
      <c r="J5">
        <v>6</v>
      </c>
      <c r="K5">
        <v>1</v>
      </c>
      <c r="L5">
        <v>1</v>
      </c>
      <c r="M5">
        <v>23</v>
      </c>
      <c r="N5">
        <v>23</v>
      </c>
    </row>
    <row r="6" spans="1:14" x14ac:dyDescent="0.25">
      <c r="A6" t="s">
        <v>356</v>
      </c>
      <c r="B6" t="s">
        <v>95</v>
      </c>
      <c r="C6">
        <v>4113</v>
      </c>
      <c r="D6" t="s">
        <v>827</v>
      </c>
      <c r="E6" t="s">
        <v>828</v>
      </c>
      <c r="F6">
        <v>50075190</v>
      </c>
      <c r="G6">
        <v>9</v>
      </c>
      <c r="H6">
        <v>1</v>
      </c>
      <c r="I6">
        <v>1</v>
      </c>
      <c r="J6">
        <v>4</v>
      </c>
      <c r="K6">
        <v>7</v>
      </c>
      <c r="L6">
        <v>10</v>
      </c>
      <c r="M6">
        <v>32</v>
      </c>
      <c r="N6">
        <v>32</v>
      </c>
    </row>
    <row r="7" spans="1:14" x14ac:dyDescent="0.25">
      <c r="A7" t="s">
        <v>357</v>
      </c>
      <c r="B7" t="s">
        <v>95</v>
      </c>
      <c r="C7">
        <v>4175</v>
      </c>
      <c r="D7" t="s">
        <v>841</v>
      </c>
      <c r="E7" t="s">
        <v>811</v>
      </c>
      <c r="F7">
        <v>50668849</v>
      </c>
      <c r="G7">
        <v>13</v>
      </c>
      <c r="H7">
        <v>8</v>
      </c>
      <c r="I7">
        <v>2</v>
      </c>
      <c r="J7">
        <v>1</v>
      </c>
      <c r="K7">
        <v>8</v>
      </c>
      <c r="L7">
        <v>3</v>
      </c>
      <c r="M7">
        <v>35</v>
      </c>
      <c r="N7">
        <v>35</v>
      </c>
    </row>
    <row r="8" spans="1:14" x14ac:dyDescent="0.25">
      <c r="A8" t="s">
        <v>358</v>
      </c>
      <c r="B8" t="s">
        <v>95</v>
      </c>
      <c r="C8">
        <v>4165</v>
      </c>
      <c r="D8" t="s">
        <v>803</v>
      </c>
      <c r="E8" t="s">
        <v>804</v>
      </c>
      <c r="F8">
        <v>52440028</v>
      </c>
      <c r="G8">
        <v>3</v>
      </c>
      <c r="H8">
        <v>3</v>
      </c>
      <c r="I8">
        <v>10</v>
      </c>
      <c r="J8">
        <v>1</v>
      </c>
      <c r="K8">
        <v>6</v>
      </c>
      <c r="L8">
        <v>13</v>
      </c>
      <c r="M8">
        <v>36</v>
      </c>
      <c r="N8">
        <v>36</v>
      </c>
    </row>
    <row r="9" spans="1:14" x14ac:dyDescent="0.25">
      <c r="A9" t="s">
        <v>359</v>
      </c>
      <c r="B9" t="s">
        <v>95</v>
      </c>
      <c r="C9">
        <v>4130</v>
      </c>
      <c r="D9" t="s">
        <v>798</v>
      </c>
      <c r="E9" t="s">
        <v>794</v>
      </c>
      <c r="F9">
        <v>50048657</v>
      </c>
      <c r="G9">
        <v>2</v>
      </c>
      <c r="H9">
        <v>5</v>
      </c>
      <c r="I9">
        <v>4</v>
      </c>
      <c r="J9">
        <v>3</v>
      </c>
      <c r="K9">
        <v>12</v>
      </c>
      <c r="L9">
        <v>13</v>
      </c>
      <c r="M9">
        <v>39</v>
      </c>
      <c r="N9">
        <v>39</v>
      </c>
    </row>
    <row r="10" spans="1:14" x14ac:dyDescent="0.25">
      <c r="A10" t="s">
        <v>360</v>
      </c>
      <c r="B10" t="s">
        <v>95</v>
      </c>
      <c r="C10">
        <v>4209</v>
      </c>
      <c r="D10" t="s">
        <v>810</v>
      </c>
      <c r="E10" t="s">
        <v>811</v>
      </c>
      <c r="F10">
        <v>51049622</v>
      </c>
      <c r="G10">
        <v>4</v>
      </c>
      <c r="H10">
        <v>3</v>
      </c>
      <c r="I10">
        <v>23</v>
      </c>
      <c r="J10">
        <v>14</v>
      </c>
      <c r="K10">
        <v>2</v>
      </c>
      <c r="L10">
        <v>1</v>
      </c>
      <c r="M10">
        <v>47</v>
      </c>
      <c r="N10">
        <v>47</v>
      </c>
    </row>
    <row r="11" spans="1:14" x14ac:dyDescent="0.25">
      <c r="A11" t="s">
        <v>361</v>
      </c>
      <c r="B11" t="s">
        <v>95</v>
      </c>
      <c r="C11">
        <v>4146</v>
      </c>
      <c r="D11" t="s">
        <v>821</v>
      </c>
      <c r="E11" t="s">
        <v>790</v>
      </c>
      <c r="F11">
        <v>51102204</v>
      </c>
      <c r="G11">
        <v>8</v>
      </c>
      <c r="H11">
        <v>6</v>
      </c>
      <c r="I11">
        <v>19</v>
      </c>
      <c r="J11">
        <v>5</v>
      </c>
      <c r="K11">
        <v>4</v>
      </c>
      <c r="L11">
        <v>6</v>
      </c>
      <c r="M11">
        <v>48</v>
      </c>
      <c r="N11">
        <v>48</v>
      </c>
    </row>
    <row r="12" spans="1:14" x14ac:dyDescent="0.25">
      <c r="A12" t="s">
        <v>362</v>
      </c>
      <c r="B12" t="s">
        <v>95</v>
      </c>
      <c r="C12">
        <v>3933</v>
      </c>
      <c r="D12" t="s">
        <v>820</v>
      </c>
      <c r="E12" t="s">
        <v>814</v>
      </c>
      <c r="F12">
        <v>50558168</v>
      </c>
      <c r="G12">
        <v>8</v>
      </c>
      <c r="H12">
        <v>11</v>
      </c>
      <c r="I12">
        <v>6</v>
      </c>
      <c r="J12">
        <v>11</v>
      </c>
      <c r="K12">
        <v>8</v>
      </c>
      <c r="L12">
        <v>14</v>
      </c>
      <c r="M12">
        <v>58</v>
      </c>
      <c r="N12">
        <v>58</v>
      </c>
    </row>
    <row r="13" spans="1:14" x14ac:dyDescent="0.25">
      <c r="A13" t="s">
        <v>363</v>
      </c>
      <c r="B13" t="s">
        <v>95</v>
      </c>
      <c r="C13">
        <v>4182</v>
      </c>
      <c r="D13" t="s">
        <v>815</v>
      </c>
      <c r="E13" t="s">
        <v>802</v>
      </c>
      <c r="F13">
        <v>51336821</v>
      </c>
      <c r="G13">
        <v>5</v>
      </c>
      <c r="H13">
        <v>12</v>
      </c>
      <c r="I13">
        <v>6</v>
      </c>
      <c r="J13">
        <v>18</v>
      </c>
      <c r="K13">
        <v>17</v>
      </c>
      <c r="L13">
        <v>4</v>
      </c>
      <c r="M13">
        <v>62</v>
      </c>
      <c r="N13">
        <v>62</v>
      </c>
    </row>
    <row r="14" spans="1:14" x14ac:dyDescent="0.25">
      <c r="A14" t="s">
        <v>364</v>
      </c>
      <c r="B14" t="s">
        <v>95</v>
      </c>
      <c r="C14">
        <v>4030</v>
      </c>
      <c r="D14" t="s">
        <v>885</v>
      </c>
      <c r="E14" t="s">
        <v>790</v>
      </c>
      <c r="F14">
        <v>51358051</v>
      </c>
      <c r="G14">
        <v>25</v>
      </c>
      <c r="H14">
        <v>6</v>
      </c>
      <c r="I14">
        <v>8</v>
      </c>
      <c r="J14">
        <v>14</v>
      </c>
      <c r="K14">
        <v>3</v>
      </c>
      <c r="L14">
        <v>7</v>
      </c>
      <c r="M14">
        <v>63</v>
      </c>
      <c r="N14">
        <v>63</v>
      </c>
    </row>
    <row r="15" spans="1:14" x14ac:dyDescent="0.25">
      <c r="A15" t="s">
        <v>365</v>
      </c>
      <c r="B15" t="s">
        <v>95</v>
      </c>
      <c r="C15">
        <v>4135</v>
      </c>
      <c r="D15" t="s">
        <v>858</v>
      </c>
      <c r="E15" t="s">
        <v>859</v>
      </c>
      <c r="F15">
        <v>52192618</v>
      </c>
      <c r="G15">
        <v>18</v>
      </c>
      <c r="H15">
        <v>7</v>
      </c>
      <c r="I15">
        <v>15</v>
      </c>
      <c r="J15">
        <v>7</v>
      </c>
      <c r="K15">
        <v>9</v>
      </c>
      <c r="L15">
        <v>13</v>
      </c>
      <c r="M15">
        <v>69</v>
      </c>
      <c r="N15">
        <v>69</v>
      </c>
    </row>
    <row r="16" spans="1:14" x14ac:dyDescent="0.25">
      <c r="A16" t="s">
        <v>366</v>
      </c>
      <c r="B16" t="s">
        <v>95</v>
      </c>
      <c r="C16">
        <v>4200</v>
      </c>
      <c r="D16" t="s">
        <v>825</v>
      </c>
      <c r="E16" t="s">
        <v>826</v>
      </c>
      <c r="F16">
        <v>50609852</v>
      </c>
      <c r="G16">
        <v>8</v>
      </c>
      <c r="H16">
        <v>5</v>
      </c>
      <c r="I16">
        <v>16</v>
      </c>
      <c r="J16">
        <v>28</v>
      </c>
      <c r="K16">
        <v>7</v>
      </c>
      <c r="L16">
        <v>10</v>
      </c>
      <c r="M16">
        <v>74</v>
      </c>
      <c r="N16">
        <v>74</v>
      </c>
    </row>
    <row r="17" spans="1:14" x14ac:dyDescent="0.25">
      <c r="A17" t="s">
        <v>367</v>
      </c>
      <c r="B17" t="s">
        <v>95</v>
      </c>
      <c r="C17">
        <v>4122</v>
      </c>
      <c r="D17" t="s">
        <v>791</v>
      </c>
      <c r="E17" t="s">
        <v>792</v>
      </c>
      <c r="F17">
        <v>51432202</v>
      </c>
      <c r="G17">
        <v>1</v>
      </c>
      <c r="H17">
        <v>1</v>
      </c>
      <c r="I17">
        <v>1</v>
      </c>
      <c r="J17">
        <v>2</v>
      </c>
      <c r="K17" t="s">
        <v>1033</v>
      </c>
      <c r="L17">
        <v>3</v>
      </c>
      <c r="M17">
        <v>78</v>
      </c>
      <c r="N17">
        <v>78</v>
      </c>
    </row>
    <row r="18" spans="1:14" x14ac:dyDescent="0.25">
      <c r="A18" t="s">
        <v>368</v>
      </c>
      <c r="B18" t="s">
        <v>95</v>
      </c>
      <c r="C18">
        <v>3936</v>
      </c>
      <c r="D18" t="s">
        <v>839</v>
      </c>
      <c r="E18" t="s">
        <v>792</v>
      </c>
      <c r="F18">
        <v>50670497</v>
      </c>
      <c r="G18">
        <v>12</v>
      </c>
      <c r="H18">
        <v>27</v>
      </c>
      <c r="I18">
        <v>4</v>
      </c>
      <c r="J18">
        <v>5</v>
      </c>
      <c r="K18">
        <v>12</v>
      </c>
      <c r="L18">
        <v>19</v>
      </c>
      <c r="M18">
        <v>79</v>
      </c>
      <c r="N18">
        <v>79</v>
      </c>
    </row>
    <row r="19" spans="1:14" x14ac:dyDescent="0.25">
      <c r="A19" t="s">
        <v>369</v>
      </c>
      <c r="B19" t="s">
        <v>95</v>
      </c>
      <c r="C19">
        <v>4220</v>
      </c>
      <c r="D19" t="s">
        <v>889</v>
      </c>
      <c r="E19" t="s">
        <v>890</v>
      </c>
      <c r="F19">
        <v>50241942</v>
      </c>
      <c r="G19">
        <v>26</v>
      </c>
      <c r="H19">
        <v>7</v>
      </c>
      <c r="I19">
        <v>19</v>
      </c>
      <c r="J19">
        <v>8</v>
      </c>
      <c r="K19">
        <v>5</v>
      </c>
      <c r="L19">
        <v>15</v>
      </c>
      <c r="M19">
        <v>80</v>
      </c>
      <c r="N19">
        <v>80</v>
      </c>
    </row>
    <row r="20" spans="1:14" x14ac:dyDescent="0.25">
      <c r="A20" t="s">
        <v>370</v>
      </c>
      <c r="B20" t="s">
        <v>95</v>
      </c>
      <c r="C20">
        <v>4096</v>
      </c>
      <c r="D20" t="s">
        <v>909</v>
      </c>
      <c r="E20" t="s">
        <v>828</v>
      </c>
      <c r="F20">
        <v>51397535</v>
      </c>
      <c r="G20">
        <v>32</v>
      </c>
      <c r="H20">
        <v>9</v>
      </c>
      <c r="I20">
        <v>5</v>
      </c>
      <c r="J20">
        <v>15</v>
      </c>
      <c r="K20">
        <v>11</v>
      </c>
      <c r="L20">
        <v>11</v>
      </c>
      <c r="M20">
        <v>83</v>
      </c>
      <c r="N20">
        <v>83</v>
      </c>
    </row>
    <row r="21" spans="1:14" x14ac:dyDescent="0.25">
      <c r="A21" t="s">
        <v>372</v>
      </c>
      <c r="B21" t="s">
        <v>95</v>
      </c>
      <c r="C21">
        <v>4108</v>
      </c>
      <c r="D21" t="s">
        <v>832</v>
      </c>
      <c r="E21" t="s">
        <v>828</v>
      </c>
      <c r="F21">
        <v>51253143</v>
      </c>
      <c r="G21">
        <v>11</v>
      </c>
      <c r="H21">
        <v>4</v>
      </c>
      <c r="I21">
        <v>12</v>
      </c>
      <c r="J21">
        <v>8</v>
      </c>
      <c r="K21">
        <v>42</v>
      </c>
      <c r="L21">
        <v>11</v>
      </c>
      <c r="M21">
        <v>88</v>
      </c>
      <c r="N21">
        <v>88</v>
      </c>
    </row>
    <row r="22" spans="1:14" x14ac:dyDescent="0.25">
      <c r="A22" t="s">
        <v>373</v>
      </c>
      <c r="B22" t="s">
        <v>95</v>
      </c>
      <c r="C22">
        <v>3964</v>
      </c>
      <c r="D22" t="s">
        <v>927</v>
      </c>
      <c r="E22" t="s">
        <v>838</v>
      </c>
      <c r="F22">
        <v>50121353</v>
      </c>
      <c r="G22">
        <v>38</v>
      </c>
      <c r="H22">
        <v>10</v>
      </c>
      <c r="I22">
        <v>2</v>
      </c>
      <c r="J22">
        <v>22</v>
      </c>
      <c r="K22">
        <v>6</v>
      </c>
      <c r="L22">
        <v>12</v>
      </c>
      <c r="M22">
        <v>90</v>
      </c>
      <c r="N22">
        <v>90</v>
      </c>
    </row>
    <row r="23" spans="1:14" x14ac:dyDescent="0.25">
      <c r="A23" t="s">
        <v>374</v>
      </c>
      <c r="B23" t="s">
        <v>95</v>
      </c>
      <c r="C23">
        <v>4133</v>
      </c>
      <c r="D23" t="s">
        <v>875</v>
      </c>
      <c r="E23" t="s">
        <v>804</v>
      </c>
      <c r="F23">
        <v>51431844</v>
      </c>
      <c r="G23">
        <v>22</v>
      </c>
      <c r="H23">
        <v>1</v>
      </c>
      <c r="I23">
        <v>11</v>
      </c>
      <c r="J23">
        <v>6</v>
      </c>
      <c r="K23">
        <v>31</v>
      </c>
      <c r="L23">
        <v>23</v>
      </c>
      <c r="M23">
        <v>94</v>
      </c>
      <c r="N23">
        <v>94</v>
      </c>
    </row>
    <row r="24" spans="1:14" x14ac:dyDescent="0.25">
      <c r="A24" t="s">
        <v>375</v>
      </c>
      <c r="B24" t="s">
        <v>95</v>
      </c>
      <c r="C24">
        <v>3818</v>
      </c>
      <c r="D24" t="s">
        <v>819</v>
      </c>
      <c r="E24" t="s">
        <v>802</v>
      </c>
      <c r="F24">
        <v>52834659</v>
      </c>
      <c r="G24">
        <v>7</v>
      </c>
      <c r="H24">
        <v>6</v>
      </c>
      <c r="I24">
        <v>36</v>
      </c>
      <c r="J24">
        <v>15</v>
      </c>
      <c r="K24">
        <v>10</v>
      </c>
      <c r="L24">
        <v>20</v>
      </c>
      <c r="M24">
        <v>94</v>
      </c>
      <c r="N24">
        <v>94</v>
      </c>
    </row>
    <row r="25" spans="1:14" x14ac:dyDescent="0.25">
      <c r="A25" t="s">
        <v>376</v>
      </c>
      <c r="B25" t="s">
        <v>95</v>
      </c>
      <c r="C25">
        <v>4059</v>
      </c>
      <c r="D25" t="s">
        <v>895</v>
      </c>
      <c r="E25" t="s">
        <v>828</v>
      </c>
      <c r="F25">
        <v>50417527</v>
      </c>
      <c r="G25">
        <v>28</v>
      </c>
      <c r="H25">
        <v>25</v>
      </c>
      <c r="I25">
        <v>17</v>
      </c>
      <c r="J25">
        <v>7</v>
      </c>
      <c r="K25">
        <v>9</v>
      </c>
      <c r="L25">
        <v>9</v>
      </c>
      <c r="M25">
        <v>95</v>
      </c>
      <c r="N25">
        <v>95</v>
      </c>
    </row>
    <row r="26" spans="1:14" x14ac:dyDescent="0.25">
      <c r="A26" t="s">
        <v>377</v>
      </c>
      <c r="B26" t="s">
        <v>95</v>
      </c>
      <c r="C26">
        <v>4148</v>
      </c>
      <c r="D26" t="s">
        <v>913</v>
      </c>
      <c r="E26" t="s">
        <v>804</v>
      </c>
      <c r="F26">
        <v>50681138</v>
      </c>
      <c r="G26">
        <v>33</v>
      </c>
      <c r="H26">
        <v>18</v>
      </c>
      <c r="I26">
        <v>29</v>
      </c>
      <c r="J26">
        <v>11</v>
      </c>
      <c r="K26">
        <v>5</v>
      </c>
      <c r="L26">
        <v>2</v>
      </c>
      <c r="M26">
        <v>98</v>
      </c>
      <c r="N26">
        <v>98</v>
      </c>
    </row>
    <row r="27" spans="1:14" x14ac:dyDescent="0.25">
      <c r="A27" t="s">
        <v>378</v>
      </c>
      <c r="B27" t="s">
        <v>95</v>
      </c>
      <c r="C27">
        <v>4181</v>
      </c>
      <c r="D27" t="s">
        <v>881</v>
      </c>
      <c r="E27" t="s">
        <v>794</v>
      </c>
      <c r="F27">
        <v>52699830</v>
      </c>
      <c r="G27">
        <v>24</v>
      </c>
      <c r="H27">
        <v>20</v>
      </c>
      <c r="I27">
        <v>10</v>
      </c>
      <c r="J27">
        <v>17</v>
      </c>
      <c r="K27">
        <v>23</v>
      </c>
      <c r="L27">
        <v>4</v>
      </c>
      <c r="M27">
        <v>98</v>
      </c>
      <c r="N27">
        <v>98</v>
      </c>
    </row>
    <row r="28" spans="1:14" x14ac:dyDescent="0.25">
      <c r="A28" t="s">
        <v>379</v>
      </c>
      <c r="B28" t="s">
        <v>95</v>
      </c>
      <c r="C28">
        <v>3889</v>
      </c>
      <c r="D28" t="s">
        <v>948</v>
      </c>
      <c r="E28" t="s">
        <v>800</v>
      </c>
      <c r="F28">
        <v>50155666</v>
      </c>
      <c r="G28">
        <v>52</v>
      </c>
      <c r="H28">
        <v>2</v>
      </c>
      <c r="I28">
        <v>19</v>
      </c>
      <c r="J28">
        <v>3</v>
      </c>
      <c r="K28">
        <v>2</v>
      </c>
      <c r="L28">
        <v>24</v>
      </c>
      <c r="M28">
        <v>102</v>
      </c>
      <c r="N28">
        <v>102</v>
      </c>
    </row>
    <row r="29" spans="1:14" x14ac:dyDescent="0.25">
      <c r="A29" t="s">
        <v>380</v>
      </c>
      <c r="B29" t="s">
        <v>95</v>
      </c>
      <c r="C29">
        <v>4204</v>
      </c>
      <c r="D29" t="s">
        <v>896</v>
      </c>
      <c r="E29" t="s">
        <v>804</v>
      </c>
      <c r="F29">
        <v>52122807</v>
      </c>
      <c r="G29">
        <v>27</v>
      </c>
      <c r="H29">
        <v>16</v>
      </c>
      <c r="I29">
        <v>27</v>
      </c>
      <c r="J29">
        <v>10</v>
      </c>
      <c r="K29">
        <v>16</v>
      </c>
      <c r="L29">
        <v>7</v>
      </c>
      <c r="M29">
        <v>103</v>
      </c>
      <c r="N29">
        <v>103</v>
      </c>
    </row>
    <row r="30" spans="1:14" x14ac:dyDescent="0.25">
      <c r="A30" t="s">
        <v>381</v>
      </c>
      <c r="B30" t="s">
        <v>95</v>
      </c>
      <c r="C30">
        <v>4214</v>
      </c>
      <c r="D30" t="s">
        <v>793</v>
      </c>
      <c r="E30" t="s">
        <v>794</v>
      </c>
      <c r="F30">
        <v>51267743</v>
      </c>
      <c r="G30">
        <v>1</v>
      </c>
      <c r="H30">
        <v>4</v>
      </c>
      <c r="I30">
        <v>9</v>
      </c>
      <c r="J30" t="s">
        <v>1025</v>
      </c>
      <c r="K30">
        <v>15</v>
      </c>
      <c r="L30">
        <v>6</v>
      </c>
      <c r="M30">
        <v>105</v>
      </c>
      <c r="N30">
        <v>105</v>
      </c>
    </row>
    <row r="31" spans="1:14" x14ac:dyDescent="0.25">
      <c r="A31" t="s">
        <v>382</v>
      </c>
      <c r="B31" t="s">
        <v>95</v>
      </c>
      <c r="C31">
        <v>4134</v>
      </c>
      <c r="D31" t="s">
        <v>818</v>
      </c>
      <c r="E31" t="s">
        <v>792</v>
      </c>
      <c r="F31">
        <v>50805416</v>
      </c>
      <c r="G31">
        <v>6</v>
      </c>
      <c r="H31" t="s">
        <v>1028</v>
      </c>
      <c r="I31">
        <v>12</v>
      </c>
      <c r="J31">
        <v>14</v>
      </c>
      <c r="K31">
        <v>2</v>
      </c>
      <c r="L31">
        <v>2</v>
      </c>
      <c r="M31">
        <v>106</v>
      </c>
      <c r="N31">
        <v>106</v>
      </c>
    </row>
    <row r="32" spans="1:14" x14ac:dyDescent="0.25">
      <c r="A32" t="s">
        <v>383</v>
      </c>
      <c r="B32" t="s">
        <v>95</v>
      </c>
      <c r="C32">
        <v>4142</v>
      </c>
      <c r="D32" t="s">
        <v>842</v>
      </c>
      <c r="E32" t="s">
        <v>790</v>
      </c>
      <c r="F32">
        <v>52875058</v>
      </c>
      <c r="G32">
        <v>14</v>
      </c>
      <c r="H32">
        <v>18</v>
      </c>
      <c r="I32">
        <v>4</v>
      </c>
      <c r="J32">
        <v>31</v>
      </c>
      <c r="K32">
        <v>22</v>
      </c>
      <c r="L32">
        <v>17</v>
      </c>
      <c r="M32">
        <v>106</v>
      </c>
      <c r="N32">
        <v>106</v>
      </c>
    </row>
    <row r="33" spans="1:14" x14ac:dyDescent="0.25">
      <c r="A33" t="s">
        <v>384</v>
      </c>
      <c r="B33" t="s">
        <v>95</v>
      </c>
      <c r="C33">
        <v>4194</v>
      </c>
      <c r="D33" t="s">
        <v>939</v>
      </c>
      <c r="E33" t="s">
        <v>794</v>
      </c>
      <c r="F33">
        <v>51586146</v>
      </c>
      <c r="G33">
        <v>43</v>
      </c>
      <c r="H33">
        <v>8</v>
      </c>
      <c r="I33">
        <v>21</v>
      </c>
      <c r="J33">
        <v>28</v>
      </c>
      <c r="K33">
        <v>6</v>
      </c>
      <c r="L33">
        <v>4</v>
      </c>
      <c r="M33">
        <v>110</v>
      </c>
      <c r="N33">
        <v>110</v>
      </c>
    </row>
    <row r="34" spans="1:14" x14ac:dyDescent="0.25">
      <c r="A34" t="s">
        <v>385</v>
      </c>
      <c r="B34" t="s">
        <v>95</v>
      </c>
      <c r="C34">
        <v>4093</v>
      </c>
      <c r="D34" t="s">
        <v>1009</v>
      </c>
      <c r="E34" t="s">
        <v>859</v>
      </c>
      <c r="F34">
        <v>52136031</v>
      </c>
      <c r="G34">
        <v>10</v>
      </c>
      <c r="H34">
        <v>17</v>
      </c>
      <c r="I34">
        <v>14</v>
      </c>
      <c r="J34">
        <v>20</v>
      </c>
      <c r="K34">
        <v>22</v>
      </c>
      <c r="L34">
        <v>27</v>
      </c>
      <c r="M34">
        <v>110</v>
      </c>
      <c r="N34">
        <v>110</v>
      </c>
    </row>
    <row r="35" spans="1:14" x14ac:dyDescent="0.25">
      <c r="A35" t="s">
        <v>386</v>
      </c>
      <c r="B35" t="s">
        <v>95</v>
      </c>
      <c r="C35">
        <v>4001</v>
      </c>
      <c r="D35" t="s">
        <v>914</v>
      </c>
      <c r="E35" t="s">
        <v>859</v>
      </c>
      <c r="F35">
        <v>51167440</v>
      </c>
      <c r="G35">
        <v>34</v>
      </c>
      <c r="H35">
        <v>16</v>
      </c>
      <c r="I35">
        <v>31</v>
      </c>
      <c r="J35">
        <v>10</v>
      </c>
      <c r="K35">
        <v>16</v>
      </c>
      <c r="L35">
        <v>5</v>
      </c>
      <c r="M35">
        <v>112</v>
      </c>
      <c r="N35">
        <v>112</v>
      </c>
    </row>
    <row r="36" spans="1:14" x14ac:dyDescent="0.25">
      <c r="A36" t="s">
        <v>387</v>
      </c>
      <c r="B36" t="s">
        <v>95</v>
      </c>
      <c r="C36">
        <v>3907</v>
      </c>
      <c r="D36" t="s">
        <v>789</v>
      </c>
      <c r="E36" t="s">
        <v>790</v>
      </c>
      <c r="F36">
        <v>51281055</v>
      </c>
      <c r="G36">
        <v>1</v>
      </c>
      <c r="H36">
        <v>28</v>
      </c>
      <c r="I36">
        <v>22</v>
      </c>
      <c r="J36">
        <v>22</v>
      </c>
      <c r="K36">
        <v>10</v>
      </c>
      <c r="L36">
        <v>36</v>
      </c>
      <c r="M36">
        <v>119</v>
      </c>
      <c r="N36">
        <v>119</v>
      </c>
    </row>
    <row r="37" spans="1:14" x14ac:dyDescent="0.25">
      <c r="A37" t="s">
        <v>388</v>
      </c>
      <c r="B37" t="s">
        <v>95</v>
      </c>
      <c r="C37">
        <v>3862</v>
      </c>
      <c r="D37" t="s">
        <v>904</v>
      </c>
      <c r="E37" t="s">
        <v>905</v>
      </c>
      <c r="F37">
        <v>51422775</v>
      </c>
      <c r="G37">
        <v>31</v>
      </c>
      <c r="H37">
        <v>11</v>
      </c>
      <c r="I37">
        <v>6</v>
      </c>
      <c r="J37">
        <v>33</v>
      </c>
      <c r="K37">
        <v>11</v>
      </c>
      <c r="L37">
        <v>28</v>
      </c>
      <c r="M37">
        <v>120</v>
      </c>
      <c r="N37">
        <v>120</v>
      </c>
    </row>
    <row r="38" spans="1:14" x14ac:dyDescent="0.25">
      <c r="A38" t="s">
        <v>389</v>
      </c>
      <c r="B38" t="s">
        <v>95</v>
      </c>
      <c r="C38">
        <v>3953</v>
      </c>
      <c r="D38" t="s">
        <v>837</v>
      </c>
      <c r="E38" t="s">
        <v>838</v>
      </c>
      <c r="F38">
        <v>50899423</v>
      </c>
      <c r="G38">
        <v>12</v>
      </c>
      <c r="H38">
        <v>18</v>
      </c>
      <c r="I38">
        <v>26</v>
      </c>
      <c r="J38">
        <v>20</v>
      </c>
      <c r="K38">
        <v>14</v>
      </c>
      <c r="L38">
        <v>30</v>
      </c>
      <c r="M38">
        <v>120</v>
      </c>
      <c r="N38">
        <v>120</v>
      </c>
    </row>
    <row r="39" spans="1:14" x14ac:dyDescent="0.25">
      <c r="A39" t="s">
        <v>390</v>
      </c>
      <c r="B39" t="s">
        <v>95</v>
      </c>
      <c r="C39">
        <v>4126</v>
      </c>
      <c r="D39" t="s">
        <v>869</v>
      </c>
      <c r="E39" t="s">
        <v>804</v>
      </c>
      <c r="F39">
        <v>51125616</v>
      </c>
      <c r="G39">
        <v>19</v>
      </c>
      <c r="H39">
        <v>3</v>
      </c>
      <c r="I39">
        <v>13</v>
      </c>
      <c r="J39" t="s">
        <v>1027</v>
      </c>
      <c r="K39">
        <v>13</v>
      </c>
      <c r="L39">
        <v>3</v>
      </c>
      <c r="M39">
        <v>121</v>
      </c>
      <c r="N39">
        <v>121</v>
      </c>
    </row>
    <row r="40" spans="1:14" x14ac:dyDescent="0.25">
      <c r="A40" t="s">
        <v>391</v>
      </c>
      <c r="B40" t="s">
        <v>95</v>
      </c>
      <c r="C40">
        <v>3996</v>
      </c>
      <c r="D40" t="s">
        <v>807</v>
      </c>
      <c r="E40" t="s">
        <v>808</v>
      </c>
      <c r="F40">
        <v>52366183</v>
      </c>
      <c r="G40">
        <v>4</v>
      </c>
      <c r="H40">
        <v>20</v>
      </c>
      <c r="I40">
        <v>23</v>
      </c>
      <c r="J40">
        <v>30</v>
      </c>
      <c r="K40">
        <v>18</v>
      </c>
      <c r="L40">
        <v>27</v>
      </c>
      <c r="M40">
        <v>122</v>
      </c>
      <c r="N40">
        <v>122</v>
      </c>
    </row>
    <row r="41" spans="1:14" x14ac:dyDescent="0.25">
      <c r="A41" t="s">
        <v>392</v>
      </c>
      <c r="B41" t="s">
        <v>95</v>
      </c>
      <c r="C41">
        <v>3642</v>
      </c>
      <c r="D41" t="s">
        <v>878</v>
      </c>
      <c r="E41" t="s">
        <v>823</v>
      </c>
      <c r="F41">
        <v>50416545</v>
      </c>
      <c r="G41">
        <v>23</v>
      </c>
      <c r="H41">
        <v>29</v>
      </c>
      <c r="I41">
        <v>14</v>
      </c>
      <c r="J41">
        <v>41</v>
      </c>
      <c r="K41">
        <v>8</v>
      </c>
      <c r="L41">
        <v>8</v>
      </c>
      <c r="M41">
        <v>123</v>
      </c>
      <c r="N41">
        <v>123</v>
      </c>
    </row>
    <row r="42" spans="1:14" x14ac:dyDescent="0.25">
      <c r="A42" t="s">
        <v>393</v>
      </c>
      <c r="B42" t="s">
        <v>95</v>
      </c>
      <c r="C42">
        <v>3825</v>
      </c>
      <c r="D42" t="s">
        <v>873</v>
      </c>
      <c r="E42" t="s">
        <v>814</v>
      </c>
      <c r="F42">
        <v>50734365</v>
      </c>
      <c r="G42">
        <v>21</v>
      </c>
      <c r="H42">
        <v>31</v>
      </c>
      <c r="I42">
        <v>23</v>
      </c>
      <c r="J42">
        <v>31</v>
      </c>
      <c r="K42">
        <v>9</v>
      </c>
      <c r="L42">
        <v>8</v>
      </c>
      <c r="M42">
        <v>123</v>
      </c>
      <c r="N42">
        <v>123</v>
      </c>
    </row>
    <row r="43" spans="1:14" x14ac:dyDescent="0.25">
      <c r="A43" t="s">
        <v>394</v>
      </c>
      <c r="B43" t="s">
        <v>845</v>
      </c>
      <c r="C43">
        <v>381</v>
      </c>
      <c r="D43" t="s">
        <v>921</v>
      </c>
      <c r="E43" t="s">
        <v>862</v>
      </c>
      <c r="F43">
        <v>22232940</v>
      </c>
      <c r="G43">
        <v>36</v>
      </c>
      <c r="H43">
        <v>4</v>
      </c>
      <c r="I43">
        <v>13</v>
      </c>
      <c r="J43">
        <v>3</v>
      </c>
      <c r="K43">
        <v>1</v>
      </c>
      <c r="L43" t="s">
        <v>1033</v>
      </c>
      <c r="M43">
        <v>127</v>
      </c>
      <c r="N43">
        <v>127</v>
      </c>
    </row>
    <row r="44" spans="1:14" x14ac:dyDescent="0.25">
      <c r="A44" t="s">
        <v>395</v>
      </c>
      <c r="B44" t="s">
        <v>95</v>
      </c>
      <c r="C44">
        <v>4092</v>
      </c>
      <c r="D44" t="s">
        <v>799</v>
      </c>
      <c r="E44" t="s">
        <v>800</v>
      </c>
      <c r="F44">
        <v>52676878</v>
      </c>
      <c r="G44" t="s">
        <v>1027</v>
      </c>
      <c r="H44">
        <v>15</v>
      </c>
      <c r="I44">
        <v>9</v>
      </c>
      <c r="J44">
        <v>4</v>
      </c>
      <c r="K44">
        <v>17</v>
      </c>
      <c r="L44">
        <v>15</v>
      </c>
      <c r="M44">
        <v>130</v>
      </c>
      <c r="N44">
        <v>130</v>
      </c>
    </row>
    <row r="45" spans="1:14" x14ac:dyDescent="0.25">
      <c r="A45" t="s">
        <v>396</v>
      </c>
      <c r="B45" t="s">
        <v>95</v>
      </c>
      <c r="C45">
        <v>3852</v>
      </c>
      <c r="D45" t="s">
        <v>934</v>
      </c>
      <c r="E45" t="s">
        <v>804</v>
      </c>
      <c r="F45">
        <v>50414789</v>
      </c>
      <c r="G45">
        <v>41</v>
      </c>
      <c r="H45">
        <v>19</v>
      </c>
      <c r="I45">
        <v>26</v>
      </c>
      <c r="J45">
        <v>17</v>
      </c>
      <c r="K45">
        <v>22</v>
      </c>
      <c r="L45">
        <v>5</v>
      </c>
      <c r="M45">
        <v>130</v>
      </c>
      <c r="N45">
        <v>130</v>
      </c>
    </row>
    <row r="46" spans="1:14" x14ac:dyDescent="0.25">
      <c r="A46" t="s">
        <v>397</v>
      </c>
      <c r="B46" t="s">
        <v>95</v>
      </c>
      <c r="C46">
        <v>3938</v>
      </c>
      <c r="D46" t="s">
        <v>855</v>
      </c>
      <c r="E46" t="s">
        <v>808</v>
      </c>
      <c r="F46">
        <v>53185733</v>
      </c>
      <c r="G46">
        <v>17</v>
      </c>
      <c r="H46">
        <v>13</v>
      </c>
      <c r="I46">
        <v>27</v>
      </c>
      <c r="J46">
        <v>25</v>
      </c>
      <c r="K46">
        <v>25</v>
      </c>
      <c r="L46">
        <v>26</v>
      </c>
      <c r="M46">
        <v>133</v>
      </c>
      <c r="N46">
        <v>133</v>
      </c>
    </row>
    <row r="47" spans="1:14" x14ac:dyDescent="0.25">
      <c r="A47" t="s">
        <v>398</v>
      </c>
      <c r="B47" t="s">
        <v>95</v>
      </c>
      <c r="C47">
        <v>4185</v>
      </c>
      <c r="D47" t="s">
        <v>801</v>
      </c>
      <c r="E47" t="s">
        <v>802</v>
      </c>
      <c r="F47">
        <v>53831603</v>
      </c>
      <c r="G47">
        <v>3</v>
      </c>
      <c r="H47">
        <v>53</v>
      </c>
      <c r="I47">
        <v>17</v>
      </c>
      <c r="J47">
        <v>23</v>
      </c>
      <c r="K47">
        <v>16</v>
      </c>
      <c r="L47">
        <v>22</v>
      </c>
      <c r="M47">
        <v>134</v>
      </c>
      <c r="N47">
        <v>134</v>
      </c>
    </row>
    <row r="48" spans="1:14" x14ac:dyDescent="0.25">
      <c r="A48" t="s">
        <v>399</v>
      </c>
      <c r="B48" t="s">
        <v>95</v>
      </c>
      <c r="C48">
        <v>4193</v>
      </c>
      <c r="D48" t="s">
        <v>932</v>
      </c>
      <c r="E48" t="s">
        <v>826</v>
      </c>
      <c r="F48">
        <v>51261170</v>
      </c>
      <c r="G48">
        <v>40</v>
      </c>
      <c r="H48">
        <v>24</v>
      </c>
      <c r="I48">
        <v>20</v>
      </c>
      <c r="J48">
        <v>10</v>
      </c>
      <c r="K48">
        <v>26</v>
      </c>
      <c r="L48">
        <v>14</v>
      </c>
      <c r="M48">
        <v>134</v>
      </c>
      <c r="N48">
        <v>134</v>
      </c>
    </row>
    <row r="49" spans="1:14" x14ac:dyDescent="0.25">
      <c r="A49" t="s">
        <v>400</v>
      </c>
      <c r="B49" t="s">
        <v>95</v>
      </c>
      <c r="C49">
        <v>4171</v>
      </c>
      <c r="D49" t="s">
        <v>953</v>
      </c>
      <c r="E49" t="s">
        <v>828</v>
      </c>
      <c r="F49">
        <v>51183098</v>
      </c>
      <c r="G49">
        <v>56</v>
      </c>
      <c r="H49">
        <v>21</v>
      </c>
      <c r="I49">
        <v>11</v>
      </c>
      <c r="J49">
        <v>29</v>
      </c>
      <c r="K49">
        <v>10</v>
      </c>
      <c r="L49">
        <v>8</v>
      </c>
      <c r="M49">
        <v>135</v>
      </c>
      <c r="N49">
        <v>135</v>
      </c>
    </row>
    <row r="50" spans="1:14" x14ac:dyDescent="0.25">
      <c r="A50" t="s">
        <v>401</v>
      </c>
      <c r="B50" t="s">
        <v>95</v>
      </c>
      <c r="C50">
        <v>4210</v>
      </c>
      <c r="D50" t="s">
        <v>868</v>
      </c>
      <c r="E50" t="s">
        <v>792</v>
      </c>
      <c r="F50">
        <v>50510057</v>
      </c>
      <c r="G50">
        <v>20</v>
      </c>
      <c r="H50" t="s">
        <v>1025</v>
      </c>
      <c r="I50">
        <v>7</v>
      </c>
      <c r="J50">
        <v>12</v>
      </c>
      <c r="K50">
        <v>5</v>
      </c>
      <c r="L50">
        <v>25</v>
      </c>
      <c r="M50">
        <v>139</v>
      </c>
      <c r="N50">
        <v>139</v>
      </c>
    </row>
    <row r="51" spans="1:14" x14ac:dyDescent="0.25">
      <c r="A51" t="s">
        <v>402</v>
      </c>
      <c r="B51" t="s">
        <v>95</v>
      </c>
      <c r="C51">
        <v>3892</v>
      </c>
      <c r="D51" t="s">
        <v>872</v>
      </c>
      <c r="E51" t="s">
        <v>796</v>
      </c>
      <c r="F51">
        <v>52672616</v>
      </c>
      <c r="G51">
        <v>20</v>
      </c>
      <c r="H51">
        <v>30</v>
      </c>
      <c r="I51">
        <v>42</v>
      </c>
      <c r="J51">
        <v>12</v>
      </c>
      <c r="K51">
        <v>24</v>
      </c>
      <c r="L51">
        <v>11</v>
      </c>
      <c r="M51">
        <v>139</v>
      </c>
      <c r="N51">
        <v>139</v>
      </c>
    </row>
    <row r="52" spans="1:14" x14ac:dyDescent="0.25">
      <c r="A52" t="s">
        <v>403</v>
      </c>
      <c r="B52" t="s">
        <v>95</v>
      </c>
      <c r="C52">
        <v>4139</v>
      </c>
      <c r="D52" t="s">
        <v>834</v>
      </c>
      <c r="E52" t="s">
        <v>814</v>
      </c>
      <c r="F52">
        <v>52073632</v>
      </c>
      <c r="G52">
        <v>11</v>
      </c>
      <c r="H52">
        <v>5</v>
      </c>
      <c r="I52">
        <v>32</v>
      </c>
      <c r="J52">
        <v>36</v>
      </c>
      <c r="K52">
        <v>42</v>
      </c>
      <c r="L52">
        <v>16</v>
      </c>
      <c r="M52">
        <v>142</v>
      </c>
      <c r="N52">
        <v>142</v>
      </c>
    </row>
    <row r="53" spans="1:14" x14ac:dyDescent="0.25">
      <c r="A53" t="s">
        <v>404</v>
      </c>
      <c r="B53" t="s">
        <v>95</v>
      </c>
      <c r="C53">
        <v>4028</v>
      </c>
      <c r="D53" t="s">
        <v>1003</v>
      </c>
      <c r="E53" t="s">
        <v>796</v>
      </c>
      <c r="F53">
        <v>51073305</v>
      </c>
      <c r="G53" t="s">
        <v>1025</v>
      </c>
      <c r="H53">
        <v>8</v>
      </c>
      <c r="I53">
        <v>21</v>
      </c>
      <c r="J53">
        <v>16</v>
      </c>
      <c r="K53">
        <v>18</v>
      </c>
      <c r="L53">
        <v>9</v>
      </c>
      <c r="M53">
        <v>142</v>
      </c>
      <c r="N53">
        <v>142</v>
      </c>
    </row>
    <row r="54" spans="1:14" x14ac:dyDescent="0.25">
      <c r="A54" t="s">
        <v>405</v>
      </c>
      <c r="B54" t="s">
        <v>95</v>
      </c>
      <c r="C54">
        <v>3712</v>
      </c>
      <c r="D54" t="s">
        <v>994</v>
      </c>
      <c r="E54" t="s">
        <v>804</v>
      </c>
      <c r="F54">
        <v>49981664</v>
      </c>
      <c r="G54" t="s">
        <v>1025</v>
      </c>
      <c r="H54">
        <v>16</v>
      </c>
      <c r="I54">
        <v>5</v>
      </c>
      <c r="J54">
        <v>13</v>
      </c>
      <c r="K54">
        <v>25</v>
      </c>
      <c r="L54">
        <v>14</v>
      </c>
      <c r="M54">
        <v>143</v>
      </c>
      <c r="N54">
        <v>143</v>
      </c>
    </row>
    <row r="55" spans="1:14" x14ac:dyDescent="0.25">
      <c r="A55" t="s">
        <v>406</v>
      </c>
      <c r="B55" t="s">
        <v>95</v>
      </c>
      <c r="C55">
        <v>3991</v>
      </c>
      <c r="D55" t="s">
        <v>851</v>
      </c>
      <c r="E55" t="s">
        <v>804</v>
      </c>
      <c r="F55">
        <v>50156147</v>
      </c>
      <c r="G55">
        <v>15</v>
      </c>
      <c r="H55">
        <v>21</v>
      </c>
      <c r="I55">
        <v>13</v>
      </c>
      <c r="J55" t="s">
        <v>1028</v>
      </c>
      <c r="K55">
        <v>4</v>
      </c>
      <c r="L55">
        <v>22</v>
      </c>
      <c r="M55">
        <v>145</v>
      </c>
      <c r="N55">
        <v>145</v>
      </c>
    </row>
    <row r="56" spans="1:14" x14ac:dyDescent="0.25">
      <c r="A56" t="s">
        <v>407</v>
      </c>
      <c r="B56" t="s">
        <v>95</v>
      </c>
      <c r="C56">
        <v>4069</v>
      </c>
      <c r="D56" t="s">
        <v>1008</v>
      </c>
      <c r="E56" t="s">
        <v>802</v>
      </c>
      <c r="F56">
        <v>50030333</v>
      </c>
      <c r="G56" t="s">
        <v>1025</v>
      </c>
      <c r="H56">
        <v>13</v>
      </c>
      <c r="I56">
        <v>15</v>
      </c>
      <c r="J56">
        <v>23</v>
      </c>
      <c r="K56">
        <v>3</v>
      </c>
      <c r="L56">
        <v>23</v>
      </c>
      <c r="M56">
        <v>147</v>
      </c>
      <c r="N56">
        <v>147</v>
      </c>
    </row>
    <row r="57" spans="1:14" x14ac:dyDescent="0.25">
      <c r="A57" t="s">
        <v>408</v>
      </c>
      <c r="B57" t="s">
        <v>95</v>
      </c>
      <c r="C57">
        <v>4123</v>
      </c>
      <c r="D57" t="s">
        <v>922</v>
      </c>
      <c r="E57" t="s">
        <v>794</v>
      </c>
      <c r="F57">
        <v>50030847</v>
      </c>
      <c r="G57">
        <v>36</v>
      </c>
      <c r="H57">
        <v>12</v>
      </c>
      <c r="I57">
        <v>8</v>
      </c>
      <c r="J57">
        <v>9</v>
      </c>
      <c r="K57">
        <v>12</v>
      </c>
      <c r="L57" t="s">
        <v>1033</v>
      </c>
      <c r="M57">
        <v>147</v>
      </c>
      <c r="N57">
        <v>147</v>
      </c>
    </row>
    <row r="58" spans="1:14" x14ac:dyDescent="0.25">
      <c r="A58" t="s">
        <v>409</v>
      </c>
      <c r="B58" t="s">
        <v>95</v>
      </c>
      <c r="C58">
        <v>4086</v>
      </c>
      <c r="D58" t="s">
        <v>836</v>
      </c>
      <c r="E58" t="s">
        <v>802</v>
      </c>
      <c r="F58">
        <v>50231520</v>
      </c>
      <c r="G58" t="s">
        <v>1027</v>
      </c>
      <c r="H58">
        <v>29</v>
      </c>
      <c r="I58">
        <v>7</v>
      </c>
      <c r="J58">
        <v>7</v>
      </c>
      <c r="K58">
        <v>18</v>
      </c>
      <c r="L58">
        <v>17</v>
      </c>
      <c r="M58">
        <v>148</v>
      </c>
      <c r="N58">
        <v>148</v>
      </c>
    </row>
    <row r="59" spans="1:14" x14ac:dyDescent="0.25">
      <c r="A59" t="s">
        <v>410</v>
      </c>
      <c r="B59" t="s">
        <v>95</v>
      </c>
      <c r="C59">
        <v>4218</v>
      </c>
      <c r="D59" t="s">
        <v>813</v>
      </c>
      <c r="E59" t="s">
        <v>814</v>
      </c>
      <c r="F59">
        <v>52085390</v>
      </c>
      <c r="G59">
        <v>6</v>
      </c>
      <c r="H59">
        <v>28</v>
      </c>
      <c r="I59">
        <v>33</v>
      </c>
      <c r="J59">
        <v>44</v>
      </c>
      <c r="K59">
        <v>24</v>
      </c>
      <c r="L59">
        <v>15</v>
      </c>
      <c r="M59">
        <v>150</v>
      </c>
      <c r="N59">
        <v>150</v>
      </c>
    </row>
    <row r="60" spans="1:14" x14ac:dyDescent="0.25">
      <c r="A60" t="s">
        <v>411</v>
      </c>
      <c r="B60" t="s">
        <v>95</v>
      </c>
      <c r="C60">
        <v>4042</v>
      </c>
      <c r="D60" t="s">
        <v>1004</v>
      </c>
      <c r="E60" t="s">
        <v>811</v>
      </c>
      <c r="F60">
        <v>53218075</v>
      </c>
      <c r="G60">
        <v>31</v>
      </c>
      <c r="H60">
        <v>7</v>
      </c>
      <c r="I60">
        <v>31</v>
      </c>
      <c r="J60">
        <v>41</v>
      </c>
      <c r="K60">
        <v>23</v>
      </c>
      <c r="L60">
        <v>19</v>
      </c>
      <c r="M60">
        <v>152</v>
      </c>
      <c r="N60">
        <v>152</v>
      </c>
    </row>
    <row r="61" spans="1:14" x14ac:dyDescent="0.25">
      <c r="A61" t="s">
        <v>412</v>
      </c>
      <c r="B61" t="s">
        <v>95</v>
      </c>
      <c r="C61">
        <v>4211</v>
      </c>
      <c r="D61" t="s">
        <v>805</v>
      </c>
      <c r="E61" t="s">
        <v>792</v>
      </c>
      <c r="F61">
        <v>50416906</v>
      </c>
      <c r="G61">
        <v>4</v>
      </c>
      <c r="H61">
        <v>12</v>
      </c>
      <c r="I61">
        <v>36</v>
      </c>
      <c r="J61">
        <v>12</v>
      </c>
      <c r="K61" t="s">
        <v>1033</v>
      </c>
      <c r="L61">
        <v>21</v>
      </c>
      <c r="M61">
        <v>155</v>
      </c>
      <c r="N61">
        <v>155</v>
      </c>
    </row>
    <row r="62" spans="1:14" x14ac:dyDescent="0.25">
      <c r="A62" t="s">
        <v>413</v>
      </c>
      <c r="B62" t="s">
        <v>95</v>
      </c>
      <c r="C62">
        <v>3986</v>
      </c>
      <c r="D62" t="s">
        <v>908</v>
      </c>
      <c r="E62" t="s">
        <v>838</v>
      </c>
      <c r="F62">
        <v>50149607</v>
      </c>
      <c r="G62">
        <v>32</v>
      </c>
      <c r="H62">
        <v>14</v>
      </c>
      <c r="I62" t="s">
        <v>1027</v>
      </c>
      <c r="J62">
        <v>18</v>
      </c>
      <c r="K62">
        <v>11</v>
      </c>
      <c r="L62">
        <v>12</v>
      </c>
      <c r="M62">
        <v>157</v>
      </c>
      <c r="N62">
        <v>157</v>
      </c>
    </row>
    <row r="63" spans="1:14" x14ac:dyDescent="0.25">
      <c r="A63" t="s">
        <v>414</v>
      </c>
      <c r="B63" t="s">
        <v>845</v>
      </c>
      <c r="C63">
        <v>305</v>
      </c>
      <c r="D63" t="s">
        <v>884</v>
      </c>
      <c r="E63" t="s">
        <v>862</v>
      </c>
      <c r="F63">
        <v>24107876</v>
      </c>
      <c r="G63">
        <v>24</v>
      </c>
      <c r="H63">
        <v>42</v>
      </c>
      <c r="I63">
        <v>16</v>
      </c>
      <c r="J63">
        <v>38</v>
      </c>
      <c r="K63">
        <v>19</v>
      </c>
      <c r="L63">
        <v>18</v>
      </c>
      <c r="M63">
        <v>157</v>
      </c>
      <c r="N63">
        <v>157</v>
      </c>
    </row>
    <row r="64" spans="1:14" x14ac:dyDescent="0.25">
      <c r="A64" t="s">
        <v>415</v>
      </c>
      <c r="B64" t="s">
        <v>95</v>
      </c>
      <c r="C64">
        <v>4089</v>
      </c>
      <c r="D64" t="s">
        <v>886</v>
      </c>
      <c r="E64" t="s">
        <v>887</v>
      </c>
      <c r="F64">
        <v>50436482</v>
      </c>
      <c r="G64">
        <v>25</v>
      </c>
      <c r="H64">
        <v>19</v>
      </c>
      <c r="I64">
        <v>9</v>
      </c>
      <c r="J64" t="s">
        <v>1028</v>
      </c>
      <c r="K64">
        <v>17</v>
      </c>
      <c r="L64">
        <v>20</v>
      </c>
      <c r="M64">
        <v>160</v>
      </c>
      <c r="N64">
        <v>160</v>
      </c>
    </row>
    <row r="65" spans="1:14" x14ac:dyDescent="0.25">
      <c r="A65" t="s">
        <v>416</v>
      </c>
      <c r="B65" t="s">
        <v>95</v>
      </c>
      <c r="C65">
        <v>4018</v>
      </c>
      <c r="D65" t="s">
        <v>915</v>
      </c>
      <c r="E65" t="s">
        <v>790</v>
      </c>
      <c r="F65">
        <v>51012774</v>
      </c>
      <c r="G65">
        <v>34</v>
      </c>
      <c r="H65">
        <v>45</v>
      </c>
      <c r="I65">
        <v>35</v>
      </c>
      <c r="J65">
        <v>9</v>
      </c>
      <c r="K65">
        <v>19</v>
      </c>
      <c r="L65">
        <v>18</v>
      </c>
      <c r="M65">
        <v>160</v>
      </c>
      <c r="N65">
        <v>160</v>
      </c>
    </row>
    <row r="66" spans="1:14" x14ac:dyDescent="0.25">
      <c r="A66" t="s">
        <v>417</v>
      </c>
      <c r="B66" t="s">
        <v>95</v>
      </c>
      <c r="C66">
        <v>3781</v>
      </c>
      <c r="D66" t="s">
        <v>897</v>
      </c>
      <c r="E66" t="s">
        <v>826</v>
      </c>
      <c r="F66">
        <v>53456040</v>
      </c>
      <c r="G66">
        <v>28</v>
      </c>
      <c r="H66">
        <v>34</v>
      </c>
      <c r="I66">
        <v>27</v>
      </c>
      <c r="J66">
        <v>4</v>
      </c>
      <c r="K66">
        <v>20</v>
      </c>
      <c r="L66">
        <v>49</v>
      </c>
      <c r="M66">
        <v>162</v>
      </c>
      <c r="N66">
        <v>162</v>
      </c>
    </row>
    <row r="67" spans="1:14" x14ac:dyDescent="0.25">
      <c r="A67" t="s">
        <v>418</v>
      </c>
      <c r="B67" t="s">
        <v>95</v>
      </c>
      <c r="C67">
        <v>4049</v>
      </c>
      <c r="D67" t="s">
        <v>938</v>
      </c>
      <c r="E67" t="s">
        <v>796</v>
      </c>
      <c r="F67">
        <v>52856304</v>
      </c>
      <c r="G67">
        <v>43</v>
      </c>
      <c r="H67">
        <v>10</v>
      </c>
      <c r="I67">
        <v>37</v>
      </c>
      <c r="J67">
        <v>20</v>
      </c>
      <c r="K67">
        <v>21</v>
      </c>
      <c r="L67">
        <v>32</v>
      </c>
      <c r="M67">
        <v>163</v>
      </c>
      <c r="N67">
        <v>163</v>
      </c>
    </row>
    <row r="68" spans="1:14" x14ac:dyDescent="0.25">
      <c r="A68" t="s">
        <v>419</v>
      </c>
      <c r="B68" t="s">
        <v>95</v>
      </c>
      <c r="C68">
        <v>4192</v>
      </c>
      <c r="D68" t="s">
        <v>822</v>
      </c>
      <c r="E68" t="s">
        <v>823</v>
      </c>
      <c r="F68">
        <v>50671157</v>
      </c>
      <c r="G68">
        <v>7</v>
      </c>
      <c r="H68">
        <v>31</v>
      </c>
      <c r="I68">
        <v>5</v>
      </c>
      <c r="J68">
        <v>24</v>
      </c>
      <c r="K68">
        <v>28</v>
      </c>
      <c r="L68" t="s">
        <v>1033</v>
      </c>
      <c r="M68">
        <v>165</v>
      </c>
      <c r="N68">
        <v>165</v>
      </c>
    </row>
    <row r="69" spans="1:14" x14ac:dyDescent="0.25">
      <c r="A69" t="s">
        <v>420</v>
      </c>
      <c r="B69" t="s">
        <v>95</v>
      </c>
      <c r="C69">
        <v>4219</v>
      </c>
      <c r="D69" t="s">
        <v>931</v>
      </c>
      <c r="E69" t="s">
        <v>826</v>
      </c>
      <c r="F69">
        <v>50098931</v>
      </c>
      <c r="G69">
        <v>39</v>
      </c>
      <c r="H69">
        <v>32</v>
      </c>
      <c r="I69">
        <v>39</v>
      </c>
      <c r="J69">
        <v>17</v>
      </c>
      <c r="K69">
        <v>33</v>
      </c>
      <c r="L69">
        <v>5</v>
      </c>
      <c r="M69">
        <v>165</v>
      </c>
      <c r="N69">
        <v>165</v>
      </c>
    </row>
    <row r="70" spans="1:14" x14ac:dyDescent="0.25">
      <c r="A70" t="s">
        <v>421</v>
      </c>
      <c r="B70" t="s">
        <v>95</v>
      </c>
      <c r="C70">
        <v>4136</v>
      </c>
      <c r="D70" t="s">
        <v>942</v>
      </c>
      <c r="E70" t="s">
        <v>802</v>
      </c>
      <c r="F70">
        <v>52448420</v>
      </c>
      <c r="G70">
        <v>46</v>
      </c>
      <c r="H70">
        <v>35</v>
      </c>
      <c r="I70">
        <v>20</v>
      </c>
      <c r="J70">
        <v>31</v>
      </c>
      <c r="K70">
        <v>15</v>
      </c>
      <c r="L70">
        <v>21</v>
      </c>
      <c r="M70">
        <v>168</v>
      </c>
      <c r="N70">
        <v>168</v>
      </c>
    </row>
    <row r="71" spans="1:14" x14ac:dyDescent="0.25">
      <c r="A71" t="s">
        <v>422</v>
      </c>
      <c r="B71" t="s">
        <v>95</v>
      </c>
      <c r="C71">
        <v>4179</v>
      </c>
      <c r="D71" t="s">
        <v>892</v>
      </c>
      <c r="E71" t="s">
        <v>794</v>
      </c>
      <c r="F71">
        <v>51125913</v>
      </c>
      <c r="G71">
        <v>27</v>
      </c>
      <c r="H71">
        <v>23</v>
      </c>
      <c r="I71">
        <v>30</v>
      </c>
      <c r="J71">
        <v>37</v>
      </c>
      <c r="K71">
        <v>25</v>
      </c>
      <c r="L71">
        <v>26</v>
      </c>
      <c r="M71">
        <v>168</v>
      </c>
      <c r="N71">
        <v>168</v>
      </c>
    </row>
    <row r="72" spans="1:14" x14ac:dyDescent="0.25">
      <c r="A72" t="s">
        <v>423</v>
      </c>
      <c r="B72" t="s">
        <v>95</v>
      </c>
      <c r="C72">
        <v>4203</v>
      </c>
      <c r="D72" t="s">
        <v>882</v>
      </c>
      <c r="E72" t="s">
        <v>796</v>
      </c>
      <c r="F72">
        <v>50740287</v>
      </c>
      <c r="G72">
        <v>24</v>
      </c>
      <c r="H72">
        <v>37</v>
      </c>
      <c r="I72">
        <v>33</v>
      </c>
      <c r="J72">
        <v>22</v>
      </c>
      <c r="K72">
        <v>28</v>
      </c>
      <c r="L72">
        <v>26</v>
      </c>
      <c r="M72">
        <v>170</v>
      </c>
      <c r="N72">
        <v>170</v>
      </c>
    </row>
    <row r="73" spans="1:14" x14ac:dyDescent="0.25">
      <c r="A73" t="s">
        <v>424</v>
      </c>
      <c r="B73" t="s">
        <v>95</v>
      </c>
      <c r="C73">
        <v>4045</v>
      </c>
      <c r="D73" t="s">
        <v>935</v>
      </c>
      <c r="E73" t="s">
        <v>800</v>
      </c>
      <c r="F73">
        <v>50075107</v>
      </c>
      <c r="G73">
        <v>41</v>
      </c>
      <c r="H73">
        <v>15</v>
      </c>
      <c r="I73">
        <v>11</v>
      </c>
      <c r="J73">
        <v>21</v>
      </c>
      <c r="K73">
        <v>13</v>
      </c>
      <c r="L73" t="s">
        <v>1029</v>
      </c>
      <c r="M73">
        <v>171</v>
      </c>
      <c r="N73">
        <v>171</v>
      </c>
    </row>
    <row r="74" spans="1:14" x14ac:dyDescent="0.25">
      <c r="A74" t="s">
        <v>425</v>
      </c>
      <c r="B74" t="s">
        <v>95</v>
      </c>
      <c r="C74">
        <v>4152</v>
      </c>
      <c r="D74" t="s">
        <v>880</v>
      </c>
      <c r="E74" t="s">
        <v>811</v>
      </c>
      <c r="F74">
        <v>52003396</v>
      </c>
      <c r="G74">
        <v>22</v>
      </c>
      <c r="H74">
        <v>46</v>
      </c>
      <c r="I74">
        <v>28</v>
      </c>
      <c r="J74">
        <v>24</v>
      </c>
      <c r="K74">
        <v>26</v>
      </c>
      <c r="L74">
        <v>25</v>
      </c>
      <c r="M74">
        <v>171</v>
      </c>
      <c r="N74">
        <v>171</v>
      </c>
    </row>
    <row r="75" spans="1:14" x14ac:dyDescent="0.25">
      <c r="A75" t="s">
        <v>426</v>
      </c>
      <c r="B75" t="s">
        <v>95</v>
      </c>
      <c r="C75">
        <v>4119</v>
      </c>
      <c r="D75" t="s">
        <v>894</v>
      </c>
      <c r="E75" t="s">
        <v>792</v>
      </c>
      <c r="F75">
        <v>50418350</v>
      </c>
      <c r="G75">
        <v>27</v>
      </c>
      <c r="H75">
        <v>11</v>
      </c>
      <c r="I75">
        <v>29</v>
      </c>
      <c r="J75">
        <v>19</v>
      </c>
      <c r="K75">
        <v>19</v>
      </c>
      <c r="L75" t="s">
        <v>1033</v>
      </c>
      <c r="M75">
        <v>175</v>
      </c>
      <c r="N75">
        <v>175</v>
      </c>
    </row>
    <row r="76" spans="1:14" x14ac:dyDescent="0.25">
      <c r="A76" t="s">
        <v>427</v>
      </c>
      <c r="B76" t="s">
        <v>95</v>
      </c>
      <c r="C76">
        <v>4172</v>
      </c>
      <c r="D76" t="s">
        <v>891</v>
      </c>
      <c r="E76" t="s">
        <v>828</v>
      </c>
      <c r="F76">
        <v>49825462</v>
      </c>
      <c r="G76">
        <v>26</v>
      </c>
      <c r="H76">
        <v>30</v>
      </c>
      <c r="I76">
        <v>25</v>
      </c>
      <c r="J76">
        <v>5</v>
      </c>
      <c r="K76" t="s">
        <v>1029</v>
      </c>
      <c r="L76">
        <v>21</v>
      </c>
      <c r="M76">
        <v>177</v>
      </c>
      <c r="N76">
        <v>177</v>
      </c>
    </row>
    <row r="77" spans="1:14" x14ac:dyDescent="0.25">
      <c r="A77" t="s">
        <v>428</v>
      </c>
      <c r="B77" t="s">
        <v>95</v>
      </c>
      <c r="C77">
        <v>4198</v>
      </c>
      <c r="D77" t="s">
        <v>850</v>
      </c>
      <c r="E77" t="s">
        <v>792</v>
      </c>
      <c r="F77">
        <v>53454414</v>
      </c>
      <c r="G77">
        <v>14</v>
      </c>
      <c r="H77">
        <v>41</v>
      </c>
      <c r="I77">
        <v>18</v>
      </c>
      <c r="J77">
        <v>19</v>
      </c>
      <c r="K77">
        <v>50</v>
      </c>
      <c r="L77">
        <v>35</v>
      </c>
      <c r="M77">
        <v>177</v>
      </c>
      <c r="N77">
        <v>177</v>
      </c>
    </row>
    <row r="78" spans="1:14" x14ac:dyDescent="0.25">
      <c r="A78" t="s">
        <v>429</v>
      </c>
      <c r="B78" t="s">
        <v>95</v>
      </c>
      <c r="C78">
        <v>3743</v>
      </c>
      <c r="D78" t="s">
        <v>995</v>
      </c>
      <c r="E78" t="s">
        <v>800</v>
      </c>
      <c r="F78">
        <v>52030773</v>
      </c>
      <c r="G78" t="s">
        <v>1026</v>
      </c>
      <c r="H78">
        <v>14</v>
      </c>
      <c r="I78">
        <v>12</v>
      </c>
      <c r="J78">
        <v>28</v>
      </c>
      <c r="K78">
        <v>34</v>
      </c>
      <c r="L78">
        <v>20</v>
      </c>
      <c r="M78">
        <v>178</v>
      </c>
      <c r="N78">
        <v>178</v>
      </c>
    </row>
    <row r="79" spans="1:14" x14ac:dyDescent="0.25">
      <c r="A79" t="s">
        <v>430</v>
      </c>
      <c r="B79" t="s">
        <v>95</v>
      </c>
      <c r="C79">
        <v>3823</v>
      </c>
      <c r="D79" t="s">
        <v>928</v>
      </c>
      <c r="E79" t="s">
        <v>828</v>
      </c>
      <c r="F79">
        <v>50435599</v>
      </c>
      <c r="G79">
        <v>38</v>
      </c>
      <c r="H79">
        <v>27</v>
      </c>
      <c r="I79">
        <v>28</v>
      </c>
      <c r="J79">
        <v>27</v>
      </c>
      <c r="K79">
        <v>40</v>
      </c>
      <c r="L79">
        <v>18</v>
      </c>
      <c r="M79">
        <v>178</v>
      </c>
      <c r="N79">
        <v>178</v>
      </c>
    </row>
    <row r="80" spans="1:14" x14ac:dyDescent="0.25">
      <c r="A80" t="s">
        <v>431</v>
      </c>
      <c r="B80" t="s">
        <v>95</v>
      </c>
      <c r="C80">
        <v>3984</v>
      </c>
      <c r="D80" t="s">
        <v>876</v>
      </c>
      <c r="E80" t="s">
        <v>808</v>
      </c>
      <c r="F80">
        <v>50240962</v>
      </c>
      <c r="G80">
        <v>21</v>
      </c>
      <c r="H80">
        <v>39</v>
      </c>
      <c r="I80">
        <v>38</v>
      </c>
      <c r="J80">
        <v>19</v>
      </c>
      <c r="K80">
        <v>30</v>
      </c>
      <c r="L80">
        <v>35</v>
      </c>
      <c r="M80">
        <v>182</v>
      </c>
      <c r="N80">
        <v>182</v>
      </c>
    </row>
    <row r="81" spans="1:14" x14ac:dyDescent="0.25">
      <c r="A81" t="s">
        <v>432</v>
      </c>
      <c r="B81" t="s">
        <v>95</v>
      </c>
      <c r="C81">
        <v>4205</v>
      </c>
      <c r="D81" t="s">
        <v>1023</v>
      </c>
      <c r="E81" t="s">
        <v>794</v>
      </c>
      <c r="F81">
        <v>52454232</v>
      </c>
      <c r="G81" t="s">
        <v>1027</v>
      </c>
      <c r="H81">
        <v>13</v>
      </c>
      <c r="I81">
        <v>3</v>
      </c>
      <c r="J81">
        <v>16</v>
      </c>
      <c r="K81" t="s">
        <v>1025</v>
      </c>
      <c r="L81">
        <v>12</v>
      </c>
      <c r="M81">
        <v>184</v>
      </c>
      <c r="N81">
        <v>184</v>
      </c>
    </row>
    <row r="82" spans="1:14" x14ac:dyDescent="0.25">
      <c r="A82" t="s">
        <v>434</v>
      </c>
      <c r="B82" t="s">
        <v>95</v>
      </c>
      <c r="C82">
        <v>4176</v>
      </c>
      <c r="D82" t="s">
        <v>867</v>
      </c>
      <c r="E82" t="s">
        <v>802</v>
      </c>
      <c r="F82">
        <v>51429146</v>
      </c>
      <c r="G82">
        <v>18</v>
      </c>
      <c r="H82">
        <v>38</v>
      </c>
      <c r="I82">
        <v>15</v>
      </c>
      <c r="J82">
        <v>15</v>
      </c>
      <c r="K82">
        <v>28</v>
      </c>
      <c r="L82" t="s">
        <v>1033</v>
      </c>
      <c r="M82">
        <v>184</v>
      </c>
      <c r="N82">
        <v>184</v>
      </c>
    </row>
    <row r="83" spans="1:14" x14ac:dyDescent="0.25">
      <c r="A83" t="s">
        <v>435</v>
      </c>
      <c r="B83" t="s">
        <v>95</v>
      </c>
      <c r="C83">
        <v>4073</v>
      </c>
      <c r="D83" t="s">
        <v>817</v>
      </c>
      <c r="E83" t="s">
        <v>814</v>
      </c>
      <c r="F83">
        <v>51270746</v>
      </c>
      <c r="G83">
        <v>7</v>
      </c>
      <c r="H83">
        <v>49</v>
      </c>
      <c r="I83">
        <v>18</v>
      </c>
      <c r="J83">
        <v>36</v>
      </c>
      <c r="K83">
        <v>33</v>
      </c>
      <c r="L83">
        <v>43</v>
      </c>
      <c r="M83">
        <v>186</v>
      </c>
      <c r="N83">
        <v>186</v>
      </c>
    </row>
    <row r="84" spans="1:14" x14ac:dyDescent="0.25">
      <c r="A84" t="s">
        <v>436</v>
      </c>
      <c r="B84" t="s">
        <v>845</v>
      </c>
      <c r="C84">
        <v>292</v>
      </c>
      <c r="D84" t="s">
        <v>863</v>
      </c>
      <c r="E84" t="s">
        <v>862</v>
      </c>
      <c r="F84">
        <v>24606381</v>
      </c>
      <c r="G84">
        <v>19</v>
      </c>
      <c r="H84">
        <v>33</v>
      </c>
      <c r="I84">
        <v>42</v>
      </c>
      <c r="J84">
        <v>33</v>
      </c>
      <c r="K84">
        <v>37</v>
      </c>
      <c r="L84">
        <v>22</v>
      </c>
      <c r="M84">
        <v>186</v>
      </c>
      <c r="N84">
        <v>186</v>
      </c>
    </row>
    <row r="85" spans="1:14" x14ac:dyDescent="0.25">
      <c r="A85" t="s">
        <v>437</v>
      </c>
      <c r="B85" t="s">
        <v>95</v>
      </c>
      <c r="C85">
        <v>4061</v>
      </c>
      <c r="D85" t="s">
        <v>835</v>
      </c>
      <c r="E85" t="s">
        <v>800</v>
      </c>
      <c r="F85">
        <v>50235461</v>
      </c>
      <c r="G85">
        <v>12</v>
      </c>
      <c r="H85">
        <v>25</v>
      </c>
      <c r="I85">
        <v>3</v>
      </c>
      <c r="J85">
        <v>36</v>
      </c>
      <c r="K85" t="s">
        <v>1033</v>
      </c>
      <c r="L85">
        <v>44</v>
      </c>
      <c r="M85">
        <v>190</v>
      </c>
      <c r="N85">
        <v>190</v>
      </c>
    </row>
    <row r="86" spans="1:14" x14ac:dyDescent="0.25">
      <c r="A86" t="s">
        <v>438</v>
      </c>
      <c r="B86" t="s">
        <v>845</v>
      </c>
      <c r="C86">
        <v>347</v>
      </c>
      <c r="D86" t="s">
        <v>846</v>
      </c>
      <c r="E86" t="s">
        <v>847</v>
      </c>
      <c r="F86">
        <v>24022031</v>
      </c>
      <c r="G86">
        <v>14</v>
      </c>
      <c r="H86">
        <v>22</v>
      </c>
      <c r="I86">
        <v>40</v>
      </c>
      <c r="J86">
        <v>8</v>
      </c>
      <c r="K86" t="s">
        <v>1033</v>
      </c>
      <c r="L86">
        <v>37</v>
      </c>
      <c r="M86">
        <v>191</v>
      </c>
      <c r="N86">
        <v>191</v>
      </c>
    </row>
    <row r="87" spans="1:14" x14ac:dyDescent="0.25">
      <c r="A87" t="s">
        <v>439</v>
      </c>
      <c r="B87" t="s">
        <v>95</v>
      </c>
      <c r="C87">
        <v>4020</v>
      </c>
      <c r="D87" t="s">
        <v>899</v>
      </c>
      <c r="E87" t="s">
        <v>792</v>
      </c>
      <c r="F87">
        <v>52857832</v>
      </c>
      <c r="G87">
        <v>29</v>
      </c>
      <c r="H87">
        <v>20</v>
      </c>
      <c r="I87">
        <v>41</v>
      </c>
      <c r="J87">
        <v>26</v>
      </c>
      <c r="K87">
        <v>44</v>
      </c>
      <c r="L87">
        <v>31</v>
      </c>
      <c r="M87">
        <v>191</v>
      </c>
      <c r="N87">
        <v>191</v>
      </c>
    </row>
    <row r="88" spans="1:14" x14ac:dyDescent="0.25">
      <c r="A88" t="s">
        <v>440</v>
      </c>
      <c r="B88" t="s">
        <v>95</v>
      </c>
      <c r="C88">
        <v>3738</v>
      </c>
      <c r="D88" t="s">
        <v>797</v>
      </c>
      <c r="E88" t="s">
        <v>790</v>
      </c>
      <c r="F88">
        <v>52755200</v>
      </c>
      <c r="G88">
        <v>2</v>
      </c>
      <c r="H88">
        <v>50</v>
      </c>
      <c r="I88" t="s">
        <v>1033</v>
      </c>
      <c r="J88">
        <v>34</v>
      </c>
      <c r="K88">
        <v>14</v>
      </c>
      <c r="L88">
        <v>23</v>
      </c>
      <c r="M88">
        <v>193</v>
      </c>
      <c r="N88">
        <v>193</v>
      </c>
    </row>
    <row r="89" spans="1:14" x14ac:dyDescent="0.25">
      <c r="A89" t="s">
        <v>441</v>
      </c>
      <c r="B89" t="s">
        <v>95</v>
      </c>
      <c r="C89">
        <v>3099</v>
      </c>
      <c r="D89" t="s">
        <v>843</v>
      </c>
      <c r="E89" t="s">
        <v>844</v>
      </c>
      <c r="F89">
        <v>50617785</v>
      </c>
      <c r="G89">
        <v>13</v>
      </c>
      <c r="H89">
        <v>26</v>
      </c>
      <c r="I89">
        <v>43</v>
      </c>
      <c r="J89">
        <v>41</v>
      </c>
      <c r="K89">
        <v>45</v>
      </c>
      <c r="L89">
        <v>25</v>
      </c>
      <c r="M89">
        <v>193</v>
      </c>
      <c r="N89">
        <v>193</v>
      </c>
    </row>
    <row r="90" spans="1:14" x14ac:dyDescent="0.25">
      <c r="A90" t="s">
        <v>443</v>
      </c>
      <c r="B90" t="s">
        <v>95</v>
      </c>
      <c r="C90">
        <v>4201</v>
      </c>
      <c r="D90" t="s">
        <v>833</v>
      </c>
      <c r="E90" t="s">
        <v>792</v>
      </c>
      <c r="F90">
        <v>53202237</v>
      </c>
      <c r="G90">
        <v>11</v>
      </c>
      <c r="H90">
        <v>29</v>
      </c>
      <c r="I90">
        <v>20</v>
      </c>
      <c r="J90">
        <v>18</v>
      </c>
      <c r="K90" t="s">
        <v>1033</v>
      </c>
      <c r="L90">
        <v>46</v>
      </c>
      <c r="M90">
        <v>194</v>
      </c>
      <c r="N90">
        <v>194</v>
      </c>
    </row>
    <row r="91" spans="1:14" x14ac:dyDescent="0.25">
      <c r="A91" t="s">
        <v>444</v>
      </c>
      <c r="B91" t="s">
        <v>95</v>
      </c>
      <c r="C91">
        <v>3951</v>
      </c>
      <c r="D91" t="s">
        <v>903</v>
      </c>
      <c r="E91" t="s">
        <v>859</v>
      </c>
      <c r="F91">
        <v>52099166</v>
      </c>
      <c r="G91">
        <v>30</v>
      </c>
      <c r="H91">
        <v>19</v>
      </c>
      <c r="I91">
        <v>44</v>
      </c>
      <c r="J91">
        <v>13</v>
      </c>
      <c r="K91">
        <v>20</v>
      </c>
      <c r="L91" t="s">
        <v>1033</v>
      </c>
      <c r="M91">
        <v>196</v>
      </c>
      <c r="N91">
        <v>196</v>
      </c>
    </row>
    <row r="92" spans="1:14" x14ac:dyDescent="0.25">
      <c r="A92" t="s">
        <v>445</v>
      </c>
      <c r="B92" t="s">
        <v>95</v>
      </c>
      <c r="C92">
        <v>4099</v>
      </c>
      <c r="D92" t="s">
        <v>923</v>
      </c>
      <c r="E92" t="s">
        <v>802</v>
      </c>
      <c r="F92">
        <v>52786122</v>
      </c>
      <c r="G92">
        <v>37</v>
      </c>
      <c r="H92">
        <v>15</v>
      </c>
      <c r="I92">
        <v>25</v>
      </c>
      <c r="J92">
        <v>32</v>
      </c>
      <c r="K92">
        <v>21</v>
      </c>
      <c r="L92" t="s">
        <v>1033</v>
      </c>
      <c r="M92">
        <v>200</v>
      </c>
      <c r="N92">
        <v>200</v>
      </c>
    </row>
    <row r="93" spans="1:14" x14ac:dyDescent="0.25">
      <c r="A93" t="s">
        <v>446</v>
      </c>
      <c r="B93" t="s">
        <v>95</v>
      </c>
      <c r="C93">
        <v>4215</v>
      </c>
      <c r="D93" t="s">
        <v>918</v>
      </c>
      <c r="E93" t="s">
        <v>804</v>
      </c>
      <c r="F93">
        <v>50610292</v>
      </c>
      <c r="G93">
        <v>35</v>
      </c>
      <c r="H93">
        <v>17</v>
      </c>
      <c r="I93">
        <v>46</v>
      </c>
      <c r="J93">
        <v>35</v>
      </c>
      <c r="K93">
        <v>52</v>
      </c>
      <c r="L93">
        <v>17</v>
      </c>
      <c r="M93">
        <v>202</v>
      </c>
      <c r="N93">
        <v>202</v>
      </c>
    </row>
    <row r="94" spans="1:14" x14ac:dyDescent="0.25">
      <c r="A94" t="s">
        <v>447</v>
      </c>
      <c r="B94" t="s">
        <v>95</v>
      </c>
      <c r="C94">
        <v>3989</v>
      </c>
      <c r="D94" t="s">
        <v>1001</v>
      </c>
      <c r="E94" t="s">
        <v>823</v>
      </c>
      <c r="F94">
        <v>50349144</v>
      </c>
      <c r="G94" t="s">
        <v>1028</v>
      </c>
      <c r="H94">
        <v>10</v>
      </c>
      <c r="I94">
        <v>17</v>
      </c>
      <c r="J94" t="s">
        <v>1039</v>
      </c>
      <c r="K94" t="s">
        <v>1033</v>
      </c>
      <c r="L94">
        <v>6</v>
      </c>
      <c r="M94" t="s">
        <v>1038</v>
      </c>
      <c r="N94" t="s">
        <v>1038</v>
      </c>
    </row>
    <row r="95" spans="1:14" x14ac:dyDescent="0.25">
      <c r="A95" t="s">
        <v>448</v>
      </c>
      <c r="B95" t="s">
        <v>95</v>
      </c>
      <c r="C95">
        <v>4207</v>
      </c>
      <c r="D95" t="s">
        <v>1024</v>
      </c>
      <c r="E95" t="s">
        <v>828</v>
      </c>
      <c r="F95">
        <v>50701994</v>
      </c>
      <c r="G95" t="s">
        <v>1025</v>
      </c>
      <c r="H95" t="s">
        <v>1033</v>
      </c>
      <c r="I95">
        <v>8</v>
      </c>
      <c r="J95">
        <v>43</v>
      </c>
      <c r="K95">
        <v>7</v>
      </c>
      <c r="L95">
        <v>10</v>
      </c>
      <c r="M95">
        <v>208</v>
      </c>
      <c r="N95">
        <v>208</v>
      </c>
    </row>
    <row r="96" spans="1:14" x14ac:dyDescent="0.25">
      <c r="A96" t="s">
        <v>449</v>
      </c>
      <c r="B96" t="s">
        <v>95</v>
      </c>
      <c r="C96">
        <v>3793</v>
      </c>
      <c r="D96" t="s">
        <v>840</v>
      </c>
      <c r="E96" t="s">
        <v>838</v>
      </c>
      <c r="F96">
        <v>52118147</v>
      </c>
      <c r="G96">
        <v>13</v>
      </c>
      <c r="H96">
        <v>30</v>
      </c>
      <c r="I96">
        <v>28</v>
      </c>
      <c r="J96">
        <v>25</v>
      </c>
      <c r="K96" t="s">
        <v>1033</v>
      </c>
      <c r="L96">
        <v>42</v>
      </c>
      <c r="M96">
        <v>208</v>
      </c>
      <c r="N96">
        <v>208</v>
      </c>
    </row>
    <row r="97" spans="1:14" x14ac:dyDescent="0.25">
      <c r="A97" t="s">
        <v>450</v>
      </c>
      <c r="B97" t="s">
        <v>95</v>
      </c>
      <c r="C97">
        <v>4144</v>
      </c>
      <c r="D97" t="s">
        <v>1018</v>
      </c>
      <c r="E97" t="s">
        <v>859</v>
      </c>
      <c r="F97">
        <v>51339867</v>
      </c>
      <c r="G97" t="s">
        <v>1028</v>
      </c>
      <c r="H97">
        <v>14</v>
      </c>
      <c r="I97">
        <v>43</v>
      </c>
      <c r="J97">
        <v>24</v>
      </c>
      <c r="K97">
        <v>27</v>
      </c>
      <c r="L97">
        <v>31</v>
      </c>
      <c r="M97">
        <v>209</v>
      </c>
      <c r="N97">
        <v>209</v>
      </c>
    </row>
    <row r="98" spans="1:14" x14ac:dyDescent="0.25">
      <c r="A98" t="s">
        <v>451</v>
      </c>
      <c r="B98" t="s">
        <v>95</v>
      </c>
      <c r="C98">
        <v>3675</v>
      </c>
      <c r="D98" t="s">
        <v>992</v>
      </c>
      <c r="E98" t="s">
        <v>796</v>
      </c>
      <c r="F98">
        <v>53236008</v>
      </c>
      <c r="G98" t="s">
        <v>1027</v>
      </c>
      <c r="H98">
        <v>42</v>
      </c>
      <c r="I98">
        <v>29</v>
      </c>
      <c r="J98">
        <v>26</v>
      </c>
      <c r="K98">
        <v>27</v>
      </c>
      <c r="L98">
        <v>16</v>
      </c>
      <c r="M98">
        <v>210</v>
      </c>
      <c r="N98">
        <v>210</v>
      </c>
    </row>
    <row r="99" spans="1:14" x14ac:dyDescent="0.25">
      <c r="A99" t="s">
        <v>452</v>
      </c>
      <c r="B99" t="s">
        <v>95</v>
      </c>
      <c r="C99">
        <v>3828</v>
      </c>
      <c r="D99" t="s">
        <v>879</v>
      </c>
      <c r="E99" t="s">
        <v>811</v>
      </c>
      <c r="F99">
        <v>52909554</v>
      </c>
      <c r="G99">
        <v>23</v>
      </c>
      <c r="H99">
        <v>50</v>
      </c>
      <c r="I99">
        <v>40</v>
      </c>
      <c r="J99">
        <v>32</v>
      </c>
      <c r="K99">
        <v>35</v>
      </c>
      <c r="L99">
        <v>30</v>
      </c>
      <c r="M99">
        <v>210</v>
      </c>
      <c r="N99">
        <v>210</v>
      </c>
    </row>
    <row r="100" spans="1:14" x14ac:dyDescent="0.25">
      <c r="A100" t="s">
        <v>453</v>
      </c>
      <c r="B100" t="s">
        <v>95</v>
      </c>
      <c r="C100">
        <v>4083</v>
      </c>
      <c r="D100" t="s">
        <v>949</v>
      </c>
      <c r="E100" t="s">
        <v>838</v>
      </c>
      <c r="F100">
        <v>49902633</v>
      </c>
      <c r="G100">
        <v>53</v>
      </c>
      <c r="H100">
        <v>49</v>
      </c>
      <c r="I100">
        <v>39</v>
      </c>
      <c r="J100">
        <v>26</v>
      </c>
      <c r="K100">
        <v>13</v>
      </c>
      <c r="L100">
        <v>32</v>
      </c>
      <c r="M100">
        <v>212</v>
      </c>
      <c r="N100">
        <v>212</v>
      </c>
    </row>
    <row r="101" spans="1:14" x14ac:dyDescent="0.25">
      <c r="A101" t="s">
        <v>454</v>
      </c>
      <c r="B101" t="s">
        <v>95</v>
      </c>
      <c r="C101">
        <v>3832</v>
      </c>
      <c r="D101" t="s">
        <v>870</v>
      </c>
      <c r="E101" t="s">
        <v>871</v>
      </c>
      <c r="F101">
        <v>53956527</v>
      </c>
      <c r="G101">
        <v>20</v>
      </c>
      <c r="H101">
        <v>35</v>
      </c>
      <c r="I101">
        <v>50</v>
      </c>
      <c r="J101">
        <v>43</v>
      </c>
      <c r="K101">
        <v>35</v>
      </c>
      <c r="L101">
        <v>30</v>
      </c>
      <c r="M101">
        <v>213</v>
      </c>
      <c r="N101">
        <v>213</v>
      </c>
    </row>
    <row r="102" spans="1:14" x14ac:dyDescent="0.25">
      <c r="A102" t="s">
        <v>455</v>
      </c>
      <c r="B102" t="s">
        <v>95</v>
      </c>
      <c r="C102">
        <v>4174</v>
      </c>
      <c r="D102" t="s">
        <v>874</v>
      </c>
      <c r="E102" t="s">
        <v>794</v>
      </c>
      <c r="F102">
        <v>52647669</v>
      </c>
      <c r="G102">
        <v>21</v>
      </c>
      <c r="H102">
        <v>40</v>
      </c>
      <c r="I102">
        <v>32</v>
      </c>
      <c r="J102">
        <v>13</v>
      </c>
      <c r="K102" t="s">
        <v>1033</v>
      </c>
      <c r="L102">
        <v>39</v>
      </c>
      <c r="M102">
        <v>215</v>
      </c>
      <c r="N102">
        <v>215</v>
      </c>
    </row>
    <row r="103" spans="1:14" x14ac:dyDescent="0.25">
      <c r="A103" t="s">
        <v>457</v>
      </c>
      <c r="B103" t="s">
        <v>95</v>
      </c>
      <c r="C103">
        <v>4167</v>
      </c>
      <c r="D103" t="s">
        <v>900</v>
      </c>
      <c r="E103" t="s">
        <v>790</v>
      </c>
      <c r="F103">
        <v>52366875</v>
      </c>
      <c r="G103">
        <v>28</v>
      </c>
      <c r="H103">
        <v>24</v>
      </c>
      <c r="I103" t="s">
        <v>1033</v>
      </c>
      <c r="J103">
        <v>9</v>
      </c>
      <c r="K103">
        <v>15</v>
      </c>
      <c r="L103" t="s">
        <v>1033</v>
      </c>
      <c r="M103">
        <v>216</v>
      </c>
      <c r="N103">
        <v>216</v>
      </c>
    </row>
    <row r="104" spans="1:14" x14ac:dyDescent="0.25">
      <c r="A104" t="s">
        <v>458</v>
      </c>
      <c r="B104" t="s">
        <v>95</v>
      </c>
      <c r="C104">
        <v>3114</v>
      </c>
      <c r="D104" t="s">
        <v>933</v>
      </c>
      <c r="E104" t="s">
        <v>804</v>
      </c>
      <c r="F104">
        <v>50306735</v>
      </c>
      <c r="G104">
        <v>40</v>
      </c>
      <c r="H104">
        <v>17</v>
      </c>
      <c r="I104">
        <v>45</v>
      </c>
      <c r="J104">
        <v>16</v>
      </c>
      <c r="K104">
        <v>31</v>
      </c>
      <c r="L104" t="s">
        <v>1033</v>
      </c>
      <c r="M104">
        <v>219</v>
      </c>
      <c r="N104">
        <v>219</v>
      </c>
    </row>
    <row r="105" spans="1:14" x14ac:dyDescent="0.25">
      <c r="A105" t="s">
        <v>459</v>
      </c>
      <c r="B105" t="s">
        <v>864</v>
      </c>
      <c r="C105">
        <v>23</v>
      </c>
      <c r="D105" t="s">
        <v>865</v>
      </c>
      <c r="E105" t="s">
        <v>866</v>
      </c>
      <c r="F105">
        <v>53259747</v>
      </c>
      <c r="G105">
        <v>19</v>
      </c>
      <c r="H105">
        <v>42</v>
      </c>
      <c r="I105">
        <v>46</v>
      </c>
      <c r="J105">
        <v>37</v>
      </c>
      <c r="K105">
        <v>46</v>
      </c>
      <c r="L105">
        <v>34</v>
      </c>
      <c r="M105">
        <v>224</v>
      </c>
      <c r="N105">
        <v>224</v>
      </c>
    </row>
    <row r="106" spans="1:14" x14ac:dyDescent="0.25">
      <c r="A106" t="s">
        <v>460</v>
      </c>
      <c r="B106" t="s">
        <v>95</v>
      </c>
      <c r="C106">
        <v>4111</v>
      </c>
      <c r="D106" t="s">
        <v>1013</v>
      </c>
      <c r="E106" t="s">
        <v>828</v>
      </c>
      <c r="F106">
        <v>50158944</v>
      </c>
      <c r="G106" t="s">
        <v>1028</v>
      </c>
      <c r="H106">
        <v>22</v>
      </c>
      <c r="I106">
        <v>10</v>
      </c>
      <c r="J106">
        <v>21</v>
      </c>
      <c r="K106" t="s">
        <v>1033</v>
      </c>
      <c r="L106">
        <v>32</v>
      </c>
      <c r="M106">
        <v>225</v>
      </c>
      <c r="N106">
        <v>225</v>
      </c>
    </row>
    <row r="107" spans="1:14" x14ac:dyDescent="0.25">
      <c r="A107" t="s">
        <v>462</v>
      </c>
      <c r="B107" t="s">
        <v>95</v>
      </c>
      <c r="C107">
        <v>3968</v>
      </c>
      <c r="D107" t="s">
        <v>830</v>
      </c>
      <c r="E107" t="s">
        <v>823</v>
      </c>
      <c r="F107">
        <v>52448630</v>
      </c>
      <c r="G107">
        <v>10</v>
      </c>
      <c r="H107">
        <v>28</v>
      </c>
      <c r="I107">
        <v>38</v>
      </c>
      <c r="J107">
        <v>49</v>
      </c>
      <c r="K107">
        <v>32</v>
      </c>
      <c r="L107" t="s">
        <v>1033</v>
      </c>
      <c r="M107">
        <v>227</v>
      </c>
      <c r="N107">
        <v>227</v>
      </c>
    </row>
    <row r="108" spans="1:14" x14ac:dyDescent="0.25">
      <c r="A108" t="s">
        <v>463</v>
      </c>
      <c r="B108" t="s">
        <v>95</v>
      </c>
      <c r="C108">
        <v>3962</v>
      </c>
      <c r="D108" t="s">
        <v>854</v>
      </c>
      <c r="E108" t="s">
        <v>802</v>
      </c>
      <c r="F108">
        <v>50580932</v>
      </c>
      <c r="G108">
        <v>15</v>
      </c>
      <c r="H108">
        <v>56</v>
      </c>
      <c r="I108">
        <v>14</v>
      </c>
      <c r="J108">
        <v>42</v>
      </c>
      <c r="K108">
        <v>30</v>
      </c>
      <c r="L108" t="s">
        <v>1026</v>
      </c>
      <c r="M108">
        <v>227</v>
      </c>
      <c r="N108">
        <v>227</v>
      </c>
    </row>
    <row r="109" spans="1:14" x14ac:dyDescent="0.25">
      <c r="A109" t="s">
        <v>464</v>
      </c>
      <c r="B109" t="s">
        <v>95</v>
      </c>
      <c r="C109">
        <v>3943</v>
      </c>
      <c r="D109" t="s">
        <v>926</v>
      </c>
      <c r="E109" t="s">
        <v>859</v>
      </c>
      <c r="F109">
        <v>50417852</v>
      </c>
      <c r="G109">
        <v>38</v>
      </c>
      <c r="H109">
        <v>49</v>
      </c>
      <c r="I109">
        <v>41</v>
      </c>
      <c r="J109">
        <v>48</v>
      </c>
      <c r="K109">
        <v>21</v>
      </c>
      <c r="L109">
        <v>33</v>
      </c>
      <c r="M109">
        <v>230</v>
      </c>
      <c r="N109">
        <v>230</v>
      </c>
    </row>
    <row r="110" spans="1:14" x14ac:dyDescent="0.25">
      <c r="A110" t="s">
        <v>465</v>
      </c>
      <c r="B110" t="s">
        <v>95</v>
      </c>
      <c r="C110">
        <v>3999</v>
      </c>
      <c r="D110" t="s">
        <v>912</v>
      </c>
      <c r="E110" t="s">
        <v>890</v>
      </c>
      <c r="F110">
        <v>54765545</v>
      </c>
      <c r="G110">
        <v>33</v>
      </c>
      <c r="H110">
        <v>50</v>
      </c>
      <c r="I110">
        <v>24</v>
      </c>
      <c r="J110">
        <v>45</v>
      </c>
      <c r="K110">
        <v>38</v>
      </c>
      <c r="L110">
        <v>40</v>
      </c>
      <c r="M110">
        <v>230</v>
      </c>
      <c r="N110">
        <v>230</v>
      </c>
    </row>
    <row r="111" spans="1:14" x14ac:dyDescent="0.25">
      <c r="A111" t="s">
        <v>466</v>
      </c>
      <c r="B111" t="s">
        <v>95</v>
      </c>
      <c r="C111">
        <v>4031</v>
      </c>
      <c r="D111" t="s">
        <v>917</v>
      </c>
      <c r="E111" t="s">
        <v>796</v>
      </c>
      <c r="F111">
        <v>52768606</v>
      </c>
      <c r="G111">
        <v>35</v>
      </c>
      <c r="H111">
        <v>24</v>
      </c>
      <c r="I111">
        <v>34</v>
      </c>
      <c r="J111">
        <v>27</v>
      </c>
      <c r="K111" t="s">
        <v>1033</v>
      </c>
      <c r="L111">
        <v>41</v>
      </c>
      <c r="M111">
        <v>231</v>
      </c>
      <c r="N111">
        <v>231</v>
      </c>
    </row>
    <row r="112" spans="1:14" x14ac:dyDescent="0.25">
      <c r="A112" t="s">
        <v>467</v>
      </c>
      <c r="B112" t="s">
        <v>95</v>
      </c>
      <c r="C112">
        <v>4177</v>
      </c>
      <c r="D112" t="s">
        <v>941</v>
      </c>
      <c r="E112" t="s">
        <v>811</v>
      </c>
      <c r="F112">
        <v>51344534</v>
      </c>
      <c r="G112">
        <v>45</v>
      </c>
      <c r="H112">
        <v>33</v>
      </c>
      <c r="I112">
        <v>40</v>
      </c>
      <c r="J112">
        <v>53</v>
      </c>
      <c r="K112">
        <v>35</v>
      </c>
      <c r="L112">
        <v>27</v>
      </c>
      <c r="M112">
        <v>233</v>
      </c>
      <c r="N112">
        <v>233</v>
      </c>
    </row>
    <row r="113" spans="1:14" x14ac:dyDescent="0.25">
      <c r="A113" t="s">
        <v>468</v>
      </c>
      <c r="B113" t="s">
        <v>95</v>
      </c>
      <c r="C113">
        <v>3527</v>
      </c>
      <c r="D113" t="s">
        <v>947</v>
      </c>
      <c r="E113" t="s">
        <v>804</v>
      </c>
      <c r="F113">
        <v>52703564</v>
      </c>
      <c r="G113">
        <v>51</v>
      </c>
      <c r="H113">
        <v>25</v>
      </c>
      <c r="I113">
        <v>30</v>
      </c>
      <c r="J113">
        <v>39</v>
      </c>
      <c r="K113">
        <v>51</v>
      </c>
      <c r="L113">
        <v>38</v>
      </c>
      <c r="M113">
        <v>234</v>
      </c>
      <c r="N113">
        <v>234</v>
      </c>
    </row>
    <row r="114" spans="1:14" x14ac:dyDescent="0.25">
      <c r="A114" t="s">
        <v>469</v>
      </c>
      <c r="B114" t="s">
        <v>95</v>
      </c>
      <c r="C114">
        <v>3872</v>
      </c>
      <c r="D114" t="s">
        <v>856</v>
      </c>
      <c r="E114" t="s">
        <v>794</v>
      </c>
      <c r="F114">
        <v>53083955</v>
      </c>
      <c r="G114">
        <v>17</v>
      </c>
      <c r="H114">
        <v>22</v>
      </c>
      <c r="I114">
        <v>30</v>
      </c>
      <c r="J114">
        <v>42</v>
      </c>
      <c r="K114">
        <v>55</v>
      </c>
      <c r="L114" t="s">
        <v>1033</v>
      </c>
      <c r="M114">
        <v>236</v>
      </c>
      <c r="N114">
        <v>236</v>
      </c>
    </row>
    <row r="115" spans="1:14" x14ac:dyDescent="0.25">
      <c r="A115" t="s">
        <v>470</v>
      </c>
      <c r="B115" t="s">
        <v>95</v>
      </c>
      <c r="C115">
        <v>4195</v>
      </c>
      <c r="D115" t="s">
        <v>860</v>
      </c>
      <c r="E115" t="s">
        <v>802</v>
      </c>
      <c r="F115">
        <v>54627320</v>
      </c>
      <c r="G115">
        <v>17</v>
      </c>
      <c r="H115">
        <v>32</v>
      </c>
      <c r="I115">
        <v>46</v>
      </c>
      <c r="J115">
        <v>34</v>
      </c>
      <c r="K115">
        <v>37</v>
      </c>
      <c r="L115" t="s">
        <v>1033</v>
      </c>
      <c r="M115">
        <v>236</v>
      </c>
      <c r="N115">
        <v>236</v>
      </c>
    </row>
    <row r="116" spans="1:14" x14ac:dyDescent="0.25">
      <c r="A116" t="s">
        <v>471</v>
      </c>
      <c r="B116" t="s">
        <v>95</v>
      </c>
      <c r="C116">
        <v>3573</v>
      </c>
      <c r="D116" t="s">
        <v>911</v>
      </c>
      <c r="E116" t="s">
        <v>905</v>
      </c>
      <c r="F116">
        <v>51098290</v>
      </c>
      <c r="G116">
        <v>33</v>
      </c>
      <c r="H116">
        <v>23</v>
      </c>
      <c r="I116">
        <v>54</v>
      </c>
      <c r="J116">
        <v>32</v>
      </c>
      <c r="K116">
        <v>36</v>
      </c>
      <c r="L116">
        <v>58</v>
      </c>
      <c r="M116">
        <v>236</v>
      </c>
      <c r="N116">
        <v>236</v>
      </c>
    </row>
    <row r="117" spans="1:14" x14ac:dyDescent="0.25">
      <c r="A117" t="s">
        <v>472</v>
      </c>
      <c r="B117" t="s">
        <v>845</v>
      </c>
      <c r="C117">
        <v>239</v>
      </c>
      <c r="D117" t="s">
        <v>861</v>
      </c>
      <c r="E117" t="s">
        <v>862</v>
      </c>
      <c r="F117">
        <v>24606401</v>
      </c>
      <c r="G117">
        <v>18</v>
      </c>
      <c r="H117">
        <v>38</v>
      </c>
      <c r="I117">
        <v>35</v>
      </c>
      <c r="J117">
        <v>48</v>
      </c>
      <c r="K117">
        <v>55</v>
      </c>
      <c r="L117">
        <v>45</v>
      </c>
      <c r="M117">
        <v>239</v>
      </c>
      <c r="N117">
        <v>239</v>
      </c>
    </row>
    <row r="118" spans="1:14" x14ac:dyDescent="0.25">
      <c r="A118" t="s">
        <v>473</v>
      </c>
      <c r="B118" t="s">
        <v>95</v>
      </c>
      <c r="C118">
        <v>4025</v>
      </c>
      <c r="D118" t="s">
        <v>829</v>
      </c>
      <c r="E118" t="s">
        <v>790</v>
      </c>
      <c r="F118">
        <v>52756455</v>
      </c>
      <c r="G118">
        <v>10</v>
      </c>
      <c r="H118">
        <v>60</v>
      </c>
      <c r="I118" t="s">
        <v>1033</v>
      </c>
      <c r="J118">
        <v>6</v>
      </c>
      <c r="K118" t="s">
        <v>1033</v>
      </c>
      <c r="L118">
        <v>24</v>
      </c>
      <c r="M118">
        <v>240</v>
      </c>
      <c r="N118">
        <v>240</v>
      </c>
    </row>
    <row r="119" spans="1:14" x14ac:dyDescent="0.25">
      <c r="A119" t="s">
        <v>474</v>
      </c>
      <c r="B119" t="s">
        <v>95</v>
      </c>
      <c r="C119">
        <v>3316</v>
      </c>
      <c r="D119" t="s">
        <v>901</v>
      </c>
      <c r="E119" t="s">
        <v>800</v>
      </c>
      <c r="F119">
        <v>54038691</v>
      </c>
      <c r="G119">
        <v>30</v>
      </c>
      <c r="H119">
        <v>48</v>
      </c>
      <c r="I119">
        <v>55</v>
      </c>
      <c r="J119">
        <v>29</v>
      </c>
      <c r="K119">
        <v>37</v>
      </c>
      <c r="L119">
        <v>44</v>
      </c>
      <c r="M119">
        <v>243</v>
      </c>
      <c r="N119">
        <v>243</v>
      </c>
    </row>
    <row r="120" spans="1:14" x14ac:dyDescent="0.25">
      <c r="A120" t="s">
        <v>475</v>
      </c>
      <c r="B120" t="s">
        <v>95</v>
      </c>
      <c r="C120">
        <v>3649</v>
      </c>
      <c r="D120" t="s">
        <v>940</v>
      </c>
      <c r="E120" t="s">
        <v>804</v>
      </c>
      <c r="F120">
        <v>51121535</v>
      </c>
      <c r="G120">
        <v>44</v>
      </c>
      <c r="H120">
        <v>31</v>
      </c>
      <c r="I120">
        <v>22</v>
      </c>
      <c r="J120">
        <v>11</v>
      </c>
      <c r="K120" t="s">
        <v>1026</v>
      </c>
      <c r="L120" t="s">
        <v>1033</v>
      </c>
      <c r="M120">
        <v>248</v>
      </c>
      <c r="N120">
        <v>248</v>
      </c>
    </row>
    <row r="121" spans="1:14" x14ac:dyDescent="0.25">
      <c r="A121" t="s">
        <v>476</v>
      </c>
      <c r="B121" t="s">
        <v>95</v>
      </c>
      <c r="C121">
        <v>3248</v>
      </c>
      <c r="D121" t="s">
        <v>925</v>
      </c>
      <c r="E121" t="s">
        <v>811</v>
      </c>
      <c r="F121">
        <v>50390387</v>
      </c>
      <c r="G121">
        <v>37</v>
      </c>
      <c r="H121">
        <v>47</v>
      </c>
      <c r="I121">
        <v>39</v>
      </c>
      <c r="J121">
        <v>55</v>
      </c>
      <c r="K121">
        <v>29</v>
      </c>
      <c r="L121">
        <v>42</v>
      </c>
      <c r="M121">
        <v>249</v>
      </c>
      <c r="N121">
        <v>249</v>
      </c>
    </row>
    <row r="122" spans="1:14" x14ac:dyDescent="0.25">
      <c r="A122" t="s">
        <v>477</v>
      </c>
      <c r="B122" t="s">
        <v>95</v>
      </c>
      <c r="C122">
        <v>4047</v>
      </c>
      <c r="D122" t="s">
        <v>1005</v>
      </c>
      <c r="E122" t="s">
        <v>800</v>
      </c>
      <c r="F122">
        <v>51157369</v>
      </c>
      <c r="G122" t="s">
        <v>1025</v>
      </c>
      <c r="H122">
        <v>35</v>
      </c>
      <c r="I122">
        <v>58</v>
      </c>
      <c r="J122">
        <v>48</v>
      </c>
      <c r="K122">
        <v>23</v>
      </c>
      <c r="L122">
        <v>19</v>
      </c>
      <c r="M122">
        <v>253</v>
      </c>
      <c r="N122">
        <v>253</v>
      </c>
    </row>
    <row r="123" spans="1:14" x14ac:dyDescent="0.25">
      <c r="A123" t="s">
        <v>478</v>
      </c>
      <c r="B123" t="s">
        <v>95</v>
      </c>
      <c r="C123">
        <v>3070</v>
      </c>
      <c r="D123" t="s">
        <v>945</v>
      </c>
      <c r="E123" t="s">
        <v>826</v>
      </c>
      <c r="F123">
        <v>51261261</v>
      </c>
      <c r="G123">
        <v>49</v>
      </c>
      <c r="H123">
        <v>61</v>
      </c>
      <c r="I123">
        <v>57</v>
      </c>
      <c r="J123">
        <v>51</v>
      </c>
      <c r="K123">
        <v>14</v>
      </c>
      <c r="L123">
        <v>24</v>
      </c>
      <c r="M123">
        <v>256</v>
      </c>
      <c r="N123">
        <v>256</v>
      </c>
    </row>
    <row r="124" spans="1:14" x14ac:dyDescent="0.25">
      <c r="A124" t="s">
        <v>479</v>
      </c>
      <c r="B124" t="s">
        <v>95</v>
      </c>
      <c r="C124">
        <v>4048</v>
      </c>
      <c r="D124" t="s">
        <v>1006</v>
      </c>
      <c r="E124" t="s">
        <v>792</v>
      </c>
      <c r="F124">
        <v>50513181</v>
      </c>
      <c r="G124" t="s">
        <v>1026</v>
      </c>
      <c r="H124">
        <v>21</v>
      </c>
      <c r="I124">
        <v>38</v>
      </c>
      <c r="J124">
        <v>23</v>
      </c>
      <c r="K124">
        <v>34</v>
      </c>
      <c r="L124" t="s">
        <v>1033</v>
      </c>
      <c r="M124">
        <v>256</v>
      </c>
      <c r="N124">
        <v>256</v>
      </c>
    </row>
    <row r="125" spans="1:14" x14ac:dyDescent="0.25">
      <c r="A125" t="s">
        <v>480</v>
      </c>
      <c r="B125" t="s">
        <v>95</v>
      </c>
      <c r="C125">
        <v>4023</v>
      </c>
      <c r="D125" t="s">
        <v>958</v>
      </c>
      <c r="E125" t="s">
        <v>800</v>
      </c>
      <c r="F125">
        <v>52827491</v>
      </c>
      <c r="G125" t="s">
        <v>1025</v>
      </c>
      <c r="H125">
        <v>43</v>
      </c>
      <c r="I125">
        <v>42</v>
      </c>
      <c r="J125">
        <v>43</v>
      </c>
      <c r="K125">
        <v>29</v>
      </c>
      <c r="L125">
        <v>29</v>
      </c>
      <c r="M125">
        <v>256</v>
      </c>
      <c r="N125">
        <v>256</v>
      </c>
    </row>
    <row r="126" spans="1:14" x14ac:dyDescent="0.25">
      <c r="A126" t="s">
        <v>481</v>
      </c>
      <c r="B126" t="s">
        <v>95</v>
      </c>
      <c r="C126">
        <v>4100</v>
      </c>
      <c r="D126" t="s">
        <v>929</v>
      </c>
      <c r="E126" t="s">
        <v>828</v>
      </c>
      <c r="F126">
        <v>52613001</v>
      </c>
      <c r="G126">
        <v>39</v>
      </c>
      <c r="H126">
        <v>36</v>
      </c>
      <c r="I126">
        <v>34</v>
      </c>
      <c r="J126">
        <v>30</v>
      </c>
      <c r="K126" t="s">
        <v>1033</v>
      </c>
      <c r="L126">
        <v>47</v>
      </c>
      <c r="M126">
        <v>256</v>
      </c>
      <c r="N126">
        <v>256</v>
      </c>
    </row>
    <row r="127" spans="1:14" x14ac:dyDescent="0.25">
      <c r="A127" t="s">
        <v>482</v>
      </c>
      <c r="B127" t="s">
        <v>95</v>
      </c>
      <c r="C127">
        <v>3688</v>
      </c>
      <c r="D127" t="s">
        <v>831</v>
      </c>
      <c r="E127" t="s">
        <v>804</v>
      </c>
      <c r="F127">
        <v>53242979</v>
      </c>
      <c r="G127">
        <v>9</v>
      </c>
      <c r="H127">
        <v>56</v>
      </c>
      <c r="I127">
        <v>48</v>
      </c>
      <c r="J127">
        <v>53</v>
      </c>
      <c r="K127">
        <v>51</v>
      </c>
      <c r="L127">
        <v>40</v>
      </c>
      <c r="M127">
        <v>257</v>
      </c>
      <c r="N127">
        <v>257</v>
      </c>
    </row>
    <row r="128" spans="1:14" x14ac:dyDescent="0.25">
      <c r="A128" t="s">
        <v>483</v>
      </c>
      <c r="B128" t="s">
        <v>95</v>
      </c>
      <c r="C128">
        <v>4026</v>
      </c>
      <c r="D128" t="s">
        <v>1002</v>
      </c>
      <c r="E128" t="s">
        <v>871</v>
      </c>
      <c r="F128">
        <v>52762420</v>
      </c>
      <c r="G128" t="s">
        <v>1025</v>
      </c>
      <c r="H128">
        <v>34</v>
      </c>
      <c r="I128">
        <v>44</v>
      </c>
      <c r="J128" t="s">
        <v>1028</v>
      </c>
      <c r="K128">
        <v>24</v>
      </c>
      <c r="L128">
        <v>16</v>
      </c>
      <c r="M128">
        <v>258</v>
      </c>
      <c r="N128">
        <v>258</v>
      </c>
    </row>
    <row r="129" spans="1:14" x14ac:dyDescent="0.25">
      <c r="A129" t="s">
        <v>484</v>
      </c>
      <c r="B129" t="s">
        <v>95</v>
      </c>
      <c r="C129">
        <v>3563</v>
      </c>
      <c r="D129" t="s">
        <v>991</v>
      </c>
      <c r="E129" t="s">
        <v>828</v>
      </c>
      <c r="F129">
        <v>51066390</v>
      </c>
      <c r="G129" t="s">
        <v>1026</v>
      </c>
      <c r="H129">
        <v>26</v>
      </c>
      <c r="I129">
        <v>22</v>
      </c>
      <c r="J129">
        <v>40</v>
      </c>
      <c r="K129">
        <v>30</v>
      </c>
      <c r="L129" t="s">
        <v>1033</v>
      </c>
      <c r="M129">
        <v>258</v>
      </c>
      <c r="N129">
        <v>258</v>
      </c>
    </row>
    <row r="130" spans="1:14" x14ac:dyDescent="0.25">
      <c r="A130" t="s">
        <v>485</v>
      </c>
      <c r="B130" t="s">
        <v>95</v>
      </c>
      <c r="C130">
        <v>3846</v>
      </c>
      <c r="D130" t="s">
        <v>919</v>
      </c>
      <c r="E130" t="s">
        <v>828</v>
      </c>
      <c r="F130">
        <v>50103590</v>
      </c>
      <c r="G130">
        <v>35</v>
      </c>
      <c r="H130">
        <v>51</v>
      </c>
      <c r="I130">
        <v>47</v>
      </c>
      <c r="J130">
        <v>47</v>
      </c>
      <c r="K130">
        <v>44</v>
      </c>
      <c r="L130">
        <v>37</v>
      </c>
      <c r="M130">
        <v>261</v>
      </c>
      <c r="N130">
        <v>261</v>
      </c>
    </row>
    <row r="131" spans="1:14" x14ac:dyDescent="0.25">
      <c r="A131" t="s">
        <v>486</v>
      </c>
      <c r="B131" t="s">
        <v>95</v>
      </c>
      <c r="C131">
        <v>3866</v>
      </c>
      <c r="D131" t="s">
        <v>930</v>
      </c>
      <c r="E131" t="s">
        <v>790</v>
      </c>
      <c r="F131">
        <v>53774618</v>
      </c>
      <c r="G131">
        <v>39</v>
      </c>
      <c r="H131">
        <v>26</v>
      </c>
      <c r="I131">
        <v>53</v>
      </c>
      <c r="J131">
        <v>39</v>
      </c>
      <c r="K131">
        <v>36</v>
      </c>
      <c r="L131" t="s">
        <v>1033</v>
      </c>
      <c r="M131">
        <v>263</v>
      </c>
      <c r="N131">
        <v>263</v>
      </c>
    </row>
    <row r="132" spans="1:14" x14ac:dyDescent="0.25">
      <c r="A132" t="s">
        <v>487</v>
      </c>
      <c r="B132" t="s">
        <v>95</v>
      </c>
      <c r="C132">
        <v>4118</v>
      </c>
      <c r="D132" t="s">
        <v>852</v>
      </c>
      <c r="E132" t="s">
        <v>792</v>
      </c>
      <c r="F132">
        <v>51723975</v>
      </c>
      <c r="G132">
        <v>16</v>
      </c>
      <c r="H132">
        <v>52</v>
      </c>
      <c r="I132">
        <v>37</v>
      </c>
      <c r="J132">
        <v>39</v>
      </c>
      <c r="K132" t="s">
        <v>1033</v>
      </c>
      <c r="L132">
        <v>51</v>
      </c>
      <c r="M132">
        <v>265</v>
      </c>
      <c r="N132">
        <v>265</v>
      </c>
    </row>
    <row r="133" spans="1:14" x14ac:dyDescent="0.25">
      <c r="A133" t="s">
        <v>488</v>
      </c>
      <c r="B133" t="s">
        <v>95</v>
      </c>
      <c r="C133">
        <v>4022</v>
      </c>
      <c r="D133" t="s">
        <v>888</v>
      </c>
      <c r="E133" t="s">
        <v>792</v>
      </c>
      <c r="F133">
        <v>52768073</v>
      </c>
      <c r="G133">
        <v>25</v>
      </c>
      <c r="H133">
        <v>23</v>
      </c>
      <c r="I133">
        <v>37</v>
      </c>
      <c r="J133" t="s">
        <v>1025</v>
      </c>
      <c r="K133">
        <v>41</v>
      </c>
      <c r="L133" t="s">
        <v>1033</v>
      </c>
      <c r="M133">
        <v>266</v>
      </c>
      <c r="N133">
        <v>266</v>
      </c>
    </row>
    <row r="134" spans="1:14" x14ac:dyDescent="0.25">
      <c r="A134" t="s">
        <v>489</v>
      </c>
      <c r="B134" t="s">
        <v>95</v>
      </c>
      <c r="C134">
        <v>3988</v>
      </c>
      <c r="D134" t="s">
        <v>916</v>
      </c>
      <c r="E134" t="s">
        <v>814</v>
      </c>
      <c r="F134">
        <v>52693854</v>
      </c>
      <c r="G134">
        <v>34</v>
      </c>
      <c r="H134">
        <v>47</v>
      </c>
      <c r="I134">
        <v>55</v>
      </c>
      <c r="J134">
        <v>33</v>
      </c>
      <c r="K134">
        <v>27</v>
      </c>
      <c r="L134" t="s">
        <v>1033</v>
      </c>
      <c r="M134">
        <v>266</v>
      </c>
      <c r="N134">
        <v>266</v>
      </c>
    </row>
    <row r="135" spans="1:14" x14ac:dyDescent="0.25">
      <c r="A135" t="s">
        <v>490</v>
      </c>
      <c r="B135" t="s">
        <v>845</v>
      </c>
      <c r="C135">
        <v>338</v>
      </c>
      <c r="D135" t="s">
        <v>902</v>
      </c>
      <c r="E135" t="s">
        <v>847</v>
      </c>
      <c r="F135">
        <v>23590189</v>
      </c>
      <c r="G135">
        <v>29</v>
      </c>
      <c r="H135" t="s">
        <v>1027</v>
      </c>
      <c r="I135">
        <v>50</v>
      </c>
      <c r="J135">
        <v>21</v>
      </c>
      <c r="K135">
        <v>59</v>
      </c>
      <c r="L135">
        <v>39</v>
      </c>
      <c r="M135">
        <v>268</v>
      </c>
      <c r="N135">
        <v>268</v>
      </c>
    </row>
    <row r="136" spans="1:14" x14ac:dyDescent="0.25">
      <c r="A136" t="s">
        <v>491</v>
      </c>
      <c r="B136" t="s">
        <v>95</v>
      </c>
      <c r="C136">
        <v>4191</v>
      </c>
      <c r="D136" t="s">
        <v>1021</v>
      </c>
      <c r="E136" t="s">
        <v>794</v>
      </c>
      <c r="F136">
        <v>52790163</v>
      </c>
      <c r="G136" t="s">
        <v>1025</v>
      </c>
      <c r="H136">
        <v>51</v>
      </c>
      <c r="I136">
        <v>33</v>
      </c>
      <c r="J136">
        <v>38</v>
      </c>
      <c r="K136">
        <v>33</v>
      </c>
      <c r="L136">
        <v>48</v>
      </c>
      <c r="M136">
        <v>273</v>
      </c>
      <c r="N136">
        <v>273</v>
      </c>
    </row>
    <row r="137" spans="1:14" x14ac:dyDescent="0.25">
      <c r="A137" t="s">
        <v>492</v>
      </c>
      <c r="B137" t="s">
        <v>95</v>
      </c>
      <c r="C137">
        <v>3800</v>
      </c>
      <c r="D137" t="s">
        <v>883</v>
      </c>
      <c r="E137" t="s">
        <v>792</v>
      </c>
      <c r="F137">
        <v>53645984</v>
      </c>
      <c r="G137">
        <v>23</v>
      </c>
      <c r="H137">
        <v>52</v>
      </c>
      <c r="I137">
        <v>52</v>
      </c>
      <c r="J137">
        <v>55</v>
      </c>
      <c r="K137">
        <v>54</v>
      </c>
      <c r="L137">
        <v>38</v>
      </c>
      <c r="M137">
        <v>274</v>
      </c>
      <c r="N137">
        <v>274</v>
      </c>
    </row>
    <row r="138" spans="1:14" x14ac:dyDescent="0.25">
      <c r="A138" t="s">
        <v>493</v>
      </c>
      <c r="B138" t="s">
        <v>95</v>
      </c>
      <c r="C138">
        <v>4188</v>
      </c>
      <c r="D138" t="s">
        <v>893</v>
      </c>
      <c r="E138" t="s">
        <v>794</v>
      </c>
      <c r="F138">
        <v>51588663</v>
      </c>
      <c r="G138">
        <v>26</v>
      </c>
      <c r="H138">
        <v>48</v>
      </c>
      <c r="I138">
        <v>24</v>
      </c>
      <c r="J138" t="s">
        <v>1029</v>
      </c>
      <c r="K138" t="s">
        <v>1033</v>
      </c>
      <c r="L138">
        <v>36</v>
      </c>
      <c r="M138">
        <v>274</v>
      </c>
      <c r="N138">
        <v>274</v>
      </c>
    </row>
    <row r="139" spans="1:14" x14ac:dyDescent="0.25">
      <c r="A139" t="s">
        <v>494</v>
      </c>
      <c r="B139" t="s">
        <v>95</v>
      </c>
      <c r="C139">
        <v>4222</v>
      </c>
      <c r="D139" t="s">
        <v>1022</v>
      </c>
      <c r="E139" t="s">
        <v>849</v>
      </c>
      <c r="F139">
        <v>52800005</v>
      </c>
      <c r="G139" t="s">
        <v>1025</v>
      </c>
      <c r="H139" t="s">
        <v>1028</v>
      </c>
      <c r="I139">
        <v>24</v>
      </c>
      <c r="J139">
        <v>54</v>
      </c>
      <c r="K139">
        <v>26</v>
      </c>
      <c r="L139">
        <v>31</v>
      </c>
      <c r="M139">
        <v>275</v>
      </c>
      <c r="N139">
        <v>275</v>
      </c>
    </row>
    <row r="140" spans="1:14" x14ac:dyDescent="0.25">
      <c r="A140" t="s">
        <v>495</v>
      </c>
      <c r="B140" t="s">
        <v>95</v>
      </c>
      <c r="C140">
        <v>3583</v>
      </c>
      <c r="D140" t="s">
        <v>910</v>
      </c>
      <c r="E140" t="s">
        <v>828</v>
      </c>
      <c r="F140">
        <v>52827436</v>
      </c>
      <c r="G140">
        <v>32</v>
      </c>
      <c r="H140">
        <v>41</v>
      </c>
      <c r="I140">
        <v>59</v>
      </c>
      <c r="J140">
        <v>40</v>
      </c>
      <c r="K140">
        <v>54</v>
      </c>
      <c r="L140">
        <v>49</v>
      </c>
      <c r="M140">
        <v>275</v>
      </c>
      <c r="N140">
        <v>275</v>
      </c>
    </row>
    <row r="141" spans="1:14" x14ac:dyDescent="0.25">
      <c r="A141" t="s">
        <v>496</v>
      </c>
      <c r="B141" t="s">
        <v>95</v>
      </c>
      <c r="C141">
        <v>3619</v>
      </c>
      <c r="D141" t="s">
        <v>972</v>
      </c>
      <c r="E141" t="s">
        <v>973</v>
      </c>
      <c r="F141">
        <v>50801005</v>
      </c>
      <c r="G141" t="s">
        <v>1025</v>
      </c>
      <c r="H141">
        <v>32</v>
      </c>
      <c r="I141">
        <v>18</v>
      </c>
      <c r="J141">
        <v>46</v>
      </c>
      <c r="K141">
        <v>41</v>
      </c>
      <c r="L141" t="s">
        <v>1033</v>
      </c>
      <c r="M141">
        <v>277</v>
      </c>
      <c r="N141">
        <v>277</v>
      </c>
    </row>
    <row r="142" spans="1:14" x14ac:dyDescent="0.25">
      <c r="A142" t="s">
        <v>497</v>
      </c>
      <c r="B142" t="s">
        <v>95</v>
      </c>
      <c r="C142">
        <v>4105</v>
      </c>
      <c r="D142" t="s">
        <v>1012</v>
      </c>
      <c r="E142" t="s">
        <v>112</v>
      </c>
      <c r="F142">
        <v>50663025</v>
      </c>
      <c r="G142" t="s">
        <v>1025</v>
      </c>
      <c r="H142">
        <v>27</v>
      </c>
      <c r="I142">
        <v>47</v>
      </c>
      <c r="J142">
        <v>30</v>
      </c>
      <c r="K142">
        <v>44</v>
      </c>
      <c r="L142">
        <v>33</v>
      </c>
      <c r="M142">
        <v>277</v>
      </c>
      <c r="N142">
        <v>277</v>
      </c>
    </row>
    <row r="143" spans="1:14" x14ac:dyDescent="0.25">
      <c r="A143" t="s">
        <v>498</v>
      </c>
      <c r="B143" t="s">
        <v>95</v>
      </c>
      <c r="C143">
        <v>3775</v>
      </c>
      <c r="D143" t="s">
        <v>996</v>
      </c>
      <c r="E143" t="s">
        <v>800</v>
      </c>
      <c r="F143">
        <v>50320758</v>
      </c>
      <c r="G143" t="s">
        <v>1025</v>
      </c>
      <c r="H143">
        <v>43</v>
      </c>
      <c r="I143">
        <v>21</v>
      </c>
      <c r="J143">
        <v>34</v>
      </c>
      <c r="K143" t="s">
        <v>1033</v>
      </c>
      <c r="L143">
        <v>40</v>
      </c>
      <c r="M143">
        <v>278</v>
      </c>
      <c r="N143">
        <v>278</v>
      </c>
    </row>
    <row r="144" spans="1:14" x14ac:dyDescent="0.25">
      <c r="A144" t="s">
        <v>499</v>
      </c>
      <c r="B144" t="s">
        <v>95</v>
      </c>
      <c r="C144">
        <v>4131</v>
      </c>
      <c r="D144" t="s">
        <v>952</v>
      </c>
      <c r="E144" t="s">
        <v>887</v>
      </c>
      <c r="F144">
        <v>50320674</v>
      </c>
      <c r="G144">
        <v>55</v>
      </c>
      <c r="H144">
        <v>43</v>
      </c>
      <c r="I144" t="s">
        <v>1033</v>
      </c>
      <c r="J144">
        <v>52</v>
      </c>
      <c r="K144">
        <v>29</v>
      </c>
      <c r="L144">
        <v>29</v>
      </c>
      <c r="M144">
        <v>278</v>
      </c>
      <c r="N144">
        <v>278</v>
      </c>
    </row>
    <row r="145" spans="1:14" x14ac:dyDescent="0.25">
      <c r="A145" t="s">
        <v>500</v>
      </c>
      <c r="B145" t="s">
        <v>95</v>
      </c>
      <c r="C145">
        <v>4223</v>
      </c>
      <c r="D145" t="s">
        <v>848</v>
      </c>
      <c r="E145" t="s">
        <v>849</v>
      </c>
      <c r="F145">
        <v>53799215</v>
      </c>
      <c r="G145">
        <v>15</v>
      </c>
      <c r="H145">
        <v>44</v>
      </c>
      <c r="I145">
        <v>50</v>
      </c>
      <c r="J145">
        <v>46</v>
      </c>
      <c r="K145">
        <v>56</v>
      </c>
      <c r="L145" t="s">
        <v>1026</v>
      </c>
      <c r="M145">
        <v>281</v>
      </c>
      <c r="N145">
        <v>281</v>
      </c>
    </row>
    <row r="146" spans="1:14" x14ac:dyDescent="0.25">
      <c r="A146" t="s">
        <v>501</v>
      </c>
      <c r="B146" t="s">
        <v>95</v>
      </c>
      <c r="C146">
        <v>3987</v>
      </c>
      <c r="D146" t="s">
        <v>1000</v>
      </c>
      <c r="E146" t="s">
        <v>905</v>
      </c>
      <c r="F146">
        <v>51369815</v>
      </c>
      <c r="G146" t="s">
        <v>1025</v>
      </c>
      <c r="H146">
        <v>33</v>
      </c>
      <c r="I146">
        <v>45</v>
      </c>
      <c r="J146">
        <v>52</v>
      </c>
      <c r="K146">
        <v>45</v>
      </c>
      <c r="L146">
        <v>37</v>
      </c>
      <c r="M146">
        <v>282</v>
      </c>
      <c r="N146">
        <v>282</v>
      </c>
    </row>
    <row r="147" spans="1:14" x14ac:dyDescent="0.25">
      <c r="A147" t="s">
        <v>502</v>
      </c>
      <c r="B147" t="s">
        <v>95</v>
      </c>
      <c r="C147">
        <v>3630</v>
      </c>
      <c r="D147" t="s">
        <v>974</v>
      </c>
      <c r="E147" t="s">
        <v>804</v>
      </c>
      <c r="F147">
        <v>51330536</v>
      </c>
      <c r="G147" t="s">
        <v>1025</v>
      </c>
      <c r="H147">
        <v>57</v>
      </c>
      <c r="I147">
        <v>32</v>
      </c>
      <c r="J147" t="s">
        <v>1028</v>
      </c>
      <c r="K147">
        <v>20</v>
      </c>
      <c r="L147">
        <v>34</v>
      </c>
      <c r="M147">
        <v>283</v>
      </c>
      <c r="N147">
        <v>283</v>
      </c>
    </row>
    <row r="148" spans="1:14" x14ac:dyDescent="0.25">
      <c r="A148" t="s">
        <v>503</v>
      </c>
      <c r="B148" t="s">
        <v>95</v>
      </c>
      <c r="C148">
        <v>3722</v>
      </c>
      <c r="D148" t="s">
        <v>937</v>
      </c>
      <c r="E148" t="s">
        <v>112</v>
      </c>
      <c r="F148">
        <v>52310735</v>
      </c>
      <c r="G148">
        <v>42</v>
      </c>
      <c r="H148">
        <v>45</v>
      </c>
      <c r="I148">
        <v>58</v>
      </c>
      <c r="J148">
        <v>25</v>
      </c>
      <c r="K148" t="s">
        <v>1033</v>
      </c>
      <c r="L148">
        <v>43</v>
      </c>
      <c r="M148">
        <v>283</v>
      </c>
      <c r="N148">
        <v>283</v>
      </c>
    </row>
    <row r="149" spans="1:14" x14ac:dyDescent="0.25">
      <c r="A149" t="s">
        <v>504</v>
      </c>
      <c r="B149" t="s">
        <v>95</v>
      </c>
      <c r="C149">
        <v>3970</v>
      </c>
      <c r="D149" t="s">
        <v>986</v>
      </c>
      <c r="E149" t="s">
        <v>792</v>
      </c>
      <c r="F149">
        <v>52441977</v>
      </c>
      <c r="G149" t="s">
        <v>1025</v>
      </c>
      <c r="H149" t="s">
        <v>1028</v>
      </c>
      <c r="I149">
        <v>51</v>
      </c>
      <c r="J149">
        <v>50</v>
      </c>
      <c r="K149">
        <v>38</v>
      </c>
      <c r="L149">
        <v>7</v>
      </c>
      <c r="M149">
        <v>286</v>
      </c>
      <c r="N149">
        <v>286</v>
      </c>
    </row>
    <row r="150" spans="1:14" x14ac:dyDescent="0.25">
      <c r="A150" t="s">
        <v>505</v>
      </c>
      <c r="B150" t="s">
        <v>95</v>
      </c>
      <c r="C150">
        <v>3513</v>
      </c>
      <c r="D150" t="s">
        <v>967</v>
      </c>
      <c r="E150" t="s">
        <v>968</v>
      </c>
      <c r="F150">
        <v>53825401</v>
      </c>
      <c r="G150" t="s">
        <v>1025</v>
      </c>
      <c r="H150">
        <v>38</v>
      </c>
      <c r="I150">
        <v>31</v>
      </c>
      <c r="J150">
        <v>49</v>
      </c>
      <c r="K150" t="s">
        <v>1033</v>
      </c>
      <c r="L150">
        <v>29</v>
      </c>
      <c r="M150">
        <v>287</v>
      </c>
      <c r="N150">
        <v>287</v>
      </c>
    </row>
    <row r="151" spans="1:14" x14ac:dyDescent="0.25">
      <c r="A151" t="s">
        <v>506</v>
      </c>
      <c r="B151" t="s">
        <v>95</v>
      </c>
      <c r="C151">
        <v>3903</v>
      </c>
      <c r="D151" t="s">
        <v>943</v>
      </c>
      <c r="E151" t="s">
        <v>826</v>
      </c>
      <c r="F151">
        <v>50901006</v>
      </c>
      <c r="G151">
        <v>47</v>
      </c>
      <c r="H151">
        <v>34</v>
      </c>
      <c r="I151">
        <v>49</v>
      </c>
      <c r="J151" t="s">
        <v>1026</v>
      </c>
      <c r="K151">
        <v>38</v>
      </c>
      <c r="L151">
        <v>50</v>
      </c>
      <c r="M151">
        <v>288</v>
      </c>
      <c r="N151">
        <v>288</v>
      </c>
    </row>
    <row r="152" spans="1:14" x14ac:dyDescent="0.25">
      <c r="A152" t="s">
        <v>507</v>
      </c>
      <c r="B152" t="s">
        <v>95</v>
      </c>
      <c r="C152">
        <v>4197</v>
      </c>
      <c r="D152" t="s">
        <v>824</v>
      </c>
      <c r="E152" t="s">
        <v>800</v>
      </c>
      <c r="F152">
        <v>51511518</v>
      </c>
      <c r="G152">
        <v>9</v>
      </c>
      <c r="H152">
        <v>47</v>
      </c>
      <c r="I152">
        <v>47</v>
      </c>
      <c r="J152" t="s">
        <v>1028</v>
      </c>
      <c r="K152">
        <v>48</v>
      </c>
      <c r="L152" t="s">
        <v>1033</v>
      </c>
      <c r="M152">
        <v>291</v>
      </c>
      <c r="N152">
        <v>291</v>
      </c>
    </row>
    <row r="153" spans="1:14" x14ac:dyDescent="0.25">
      <c r="A153" t="s">
        <v>508</v>
      </c>
      <c r="B153" t="s">
        <v>95</v>
      </c>
      <c r="C153">
        <v>4141</v>
      </c>
      <c r="D153" t="s">
        <v>1017</v>
      </c>
      <c r="E153" t="s">
        <v>811</v>
      </c>
      <c r="F153">
        <v>53442924</v>
      </c>
      <c r="G153" t="s">
        <v>1025</v>
      </c>
      <c r="H153">
        <v>40</v>
      </c>
      <c r="I153">
        <v>51</v>
      </c>
      <c r="J153">
        <v>56</v>
      </c>
      <c r="K153">
        <v>39</v>
      </c>
      <c r="L153">
        <v>35</v>
      </c>
      <c r="M153">
        <v>291</v>
      </c>
      <c r="N153">
        <v>291</v>
      </c>
    </row>
    <row r="154" spans="1:14" x14ac:dyDescent="0.25">
      <c r="A154" t="s">
        <v>509</v>
      </c>
      <c r="B154" t="s">
        <v>95</v>
      </c>
      <c r="C154">
        <v>4095</v>
      </c>
      <c r="D154" t="s">
        <v>1010</v>
      </c>
      <c r="E154" t="s">
        <v>871</v>
      </c>
      <c r="F154">
        <v>50988984</v>
      </c>
      <c r="G154" t="s">
        <v>1025</v>
      </c>
      <c r="H154">
        <v>53</v>
      </c>
      <c r="I154">
        <v>52</v>
      </c>
      <c r="J154">
        <v>52</v>
      </c>
      <c r="K154">
        <v>31</v>
      </c>
      <c r="L154">
        <v>34</v>
      </c>
      <c r="M154">
        <v>292</v>
      </c>
      <c r="N154">
        <v>292</v>
      </c>
    </row>
    <row r="155" spans="1:14" x14ac:dyDescent="0.25">
      <c r="A155" t="s">
        <v>510</v>
      </c>
      <c r="B155" t="s">
        <v>95</v>
      </c>
      <c r="C155">
        <v>4040</v>
      </c>
      <c r="D155" t="s">
        <v>954</v>
      </c>
      <c r="E155" t="s">
        <v>794</v>
      </c>
      <c r="F155">
        <v>50233618</v>
      </c>
      <c r="G155">
        <v>57</v>
      </c>
      <c r="H155">
        <v>44</v>
      </c>
      <c r="I155">
        <v>35</v>
      </c>
      <c r="J155">
        <v>45</v>
      </c>
      <c r="K155">
        <v>43</v>
      </c>
      <c r="L155" t="s">
        <v>1033</v>
      </c>
      <c r="M155">
        <v>294</v>
      </c>
      <c r="N155">
        <v>294</v>
      </c>
    </row>
    <row r="156" spans="1:14" x14ac:dyDescent="0.25">
      <c r="A156" t="s">
        <v>511</v>
      </c>
      <c r="B156" t="s">
        <v>95</v>
      </c>
      <c r="C156">
        <v>3908</v>
      </c>
      <c r="D156" t="s">
        <v>985</v>
      </c>
      <c r="E156" t="s">
        <v>811</v>
      </c>
      <c r="F156">
        <v>52698988</v>
      </c>
      <c r="G156" t="s">
        <v>1025</v>
      </c>
      <c r="H156">
        <v>39</v>
      </c>
      <c r="I156">
        <v>60</v>
      </c>
      <c r="J156">
        <v>40</v>
      </c>
      <c r="K156">
        <v>32</v>
      </c>
      <c r="L156">
        <v>54</v>
      </c>
      <c r="M156">
        <v>295</v>
      </c>
      <c r="N156">
        <v>295</v>
      </c>
    </row>
    <row r="157" spans="1:14" x14ac:dyDescent="0.25">
      <c r="A157" t="s">
        <v>512</v>
      </c>
      <c r="B157" t="s">
        <v>95</v>
      </c>
      <c r="C157">
        <v>3992</v>
      </c>
      <c r="D157" t="s">
        <v>857</v>
      </c>
      <c r="E157" t="s">
        <v>800</v>
      </c>
      <c r="F157">
        <v>53236907</v>
      </c>
      <c r="G157">
        <v>16</v>
      </c>
      <c r="H157">
        <v>55</v>
      </c>
      <c r="I157">
        <v>41</v>
      </c>
      <c r="J157" t="s">
        <v>1028</v>
      </c>
      <c r="K157" t="s">
        <v>1033</v>
      </c>
      <c r="L157">
        <v>45</v>
      </c>
      <c r="M157">
        <v>297</v>
      </c>
      <c r="N157">
        <v>297</v>
      </c>
    </row>
    <row r="158" spans="1:14" x14ac:dyDescent="0.25">
      <c r="A158" t="s">
        <v>513</v>
      </c>
      <c r="B158" t="s">
        <v>95</v>
      </c>
      <c r="C158">
        <v>3958</v>
      </c>
      <c r="D158" t="s">
        <v>983</v>
      </c>
      <c r="E158" t="s">
        <v>804</v>
      </c>
      <c r="F158">
        <v>50580988</v>
      </c>
      <c r="G158" t="s">
        <v>1025</v>
      </c>
      <c r="H158">
        <v>61</v>
      </c>
      <c r="I158">
        <v>63</v>
      </c>
      <c r="J158">
        <v>27</v>
      </c>
      <c r="K158">
        <v>36</v>
      </c>
      <c r="L158">
        <v>41</v>
      </c>
      <c r="M158">
        <v>298</v>
      </c>
      <c r="N158">
        <v>298</v>
      </c>
    </row>
    <row r="159" spans="1:14" x14ac:dyDescent="0.25">
      <c r="A159" t="s">
        <v>514</v>
      </c>
      <c r="B159" t="s">
        <v>95</v>
      </c>
      <c r="C159">
        <v>3826</v>
      </c>
      <c r="D159" t="s">
        <v>998</v>
      </c>
      <c r="E159" t="s">
        <v>859</v>
      </c>
      <c r="F159">
        <v>50487891</v>
      </c>
      <c r="G159" t="s">
        <v>1025</v>
      </c>
      <c r="H159">
        <v>36</v>
      </c>
      <c r="I159">
        <v>52</v>
      </c>
      <c r="J159">
        <v>42</v>
      </c>
      <c r="K159" t="s">
        <v>1033</v>
      </c>
      <c r="L159">
        <v>28</v>
      </c>
      <c r="M159">
        <v>298</v>
      </c>
      <c r="N159">
        <v>298</v>
      </c>
    </row>
    <row r="160" spans="1:14" x14ac:dyDescent="0.25">
      <c r="A160" t="s">
        <v>515</v>
      </c>
      <c r="B160" t="s">
        <v>95</v>
      </c>
      <c r="C160">
        <v>3543</v>
      </c>
      <c r="D160" t="s">
        <v>946</v>
      </c>
      <c r="E160" t="s">
        <v>828</v>
      </c>
      <c r="F160">
        <v>52113290</v>
      </c>
      <c r="G160">
        <v>50</v>
      </c>
      <c r="H160">
        <v>54</v>
      </c>
      <c r="I160">
        <v>60</v>
      </c>
      <c r="J160">
        <v>47</v>
      </c>
      <c r="K160">
        <v>43</v>
      </c>
      <c r="L160">
        <v>47</v>
      </c>
      <c r="M160">
        <v>301</v>
      </c>
      <c r="N160">
        <v>301</v>
      </c>
    </row>
    <row r="161" spans="1:14" x14ac:dyDescent="0.25">
      <c r="A161" t="s">
        <v>516</v>
      </c>
      <c r="B161" t="s">
        <v>95</v>
      </c>
      <c r="C161">
        <v>4184</v>
      </c>
      <c r="D161" t="s">
        <v>1019</v>
      </c>
      <c r="E161" t="s">
        <v>794</v>
      </c>
      <c r="F161">
        <v>51582661</v>
      </c>
      <c r="G161" t="s">
        <v>1029</v>
      </c>
      <c r="H161">
        <v>46</v>
      </c>
      <c r="I161">
        <v>49</v>
      </c>
      <c r="J161" t="s">
        <v>1026</v>
      </c>
      <c r="K161">
        <v>39</v>
      </c>
      <c r="L161">
        <v>28</v>
      </c>
      <c r="M161">
        <v>302</v>
      </c>
      <c r="N161">
        <v>302</v>
      </c>
    </row>
    <row r="162" spans="1:14" x14ac:dyDescent="0.25">
      <c r="A162" t="s">
        <v>517</v>
      </c>
      <c r="B162" t="s">
        <v>95</v>
      </c>
      <c r="C162">
        <v>3643</v>
      </c>
      <c r="D162" t="s">
        <v>812</v>
      </c>
      <c r="E162" t="s">
        <v>804</v>
      </c>
      <c r="F162">
        <v>50903230</v>
      </c>
      <c r="G162">
        <v>5</v>
      </c>
      <c r="H162">
        <v>40</v>
      </c>
      <c r="I162">
        <v>48</v>
      </c>
      <c r="J162" t="s">
        <v>1028</v>
      </c>
      <c r="K162" t="s">
        <v>1026</v>
      </c>
      <c r="L162" t="s">
        <v>1026</v>
      </c>
      <c r="M162">
        <v>303</v>
      </c>
      <c r="N162">
        <v>303</v>
      </c>
    </row>
    <row r="163" spans="1:14" x14ac:dyDescent="0.25">
      <c r="A163" t="s">
        <v>518</v>
      </c>
      <c r="B163" t="s">
        <v>95</v>
      </c>
      <c r="C163">
        <v>4162</v>
      </c>
      <c r="D163" t="s">
        <v>906</v>
      </c>
      <c r="E163" t="s">
        <v>800</v>
      </c>
      <c r="F163">
        <v>52159528</v>
      </c>
      <c r="G163">
        <v>31</v>
      </c>
      <c r="H163">
        <v>37</v>
      </c>
      <c r="I163">
        <v>26</v>
      </c>
      <c r="J163" t="s">
        <v>1026</v>
      </c>
      <c r="K163" t="s">
        <v>1033</v>
      </c>
      <c r="L163" t="s">
        <v>1033</v>
      </c>
      <c r="M163">
        <v>304</v>
      </c>
      <c r="N163">
        <v>304</v>
      </c>
    </row>
    <row r="164" spans="1:14" x14ac:dyDescent="0.25">
      <c r="A164" t="s">
        <v>519</v>
      </c>
      <c r="B164" t="s">
        <v>95</v>
      </c>
      <c r="C164">
        <v>4087</v>
      </c>
      <c r="D164" t="s">
        <v>877</v>
      </c>
      <c r="E164" t="s">
        <v>814</v>
      </c>
      <c r="F164">
        <v>52906229</v>
      </c>
      <c r="G164">
        <v>22</v>
      </c>
      <c r="H164">
        <v>39</v>
      </c>
      <c r="I164">
        <v>61</v>
      </c>
      <c r="J164">
        <v>57</v>
      </c>
      <c r="K164">
        <v>56</v>
      </c>
      <c r="L164" t="s">
        <v>1033</v>
      </c>
      <c r="M164">
        <v>305</v>
      </c>
      <c r="N164">
        <v>305</v>
      </c>
    </row>
    <row r="165" spans="1:14" x14ac:dyDescent="0.25">
      <c r="A165" t="s">
        <v>520</v>
      </c>
      <c r="B165" t="s">
        <v>95</v>
      </c>
      <c r="C165">
        <v>3819</v>
      </c>
      <c r="D165" t="s">
        <v>1034</v>
      </c>
      <c r="E165" t="s">
        <v>859</v>
      </c>
      <c r="G165" t="s">
        <v>1025</v>
      </c>
      <c r="H165">
        <v>56</v>
      </c>
      <c r="I165">
        <v>45</v>
      </c>
      <c r="J165">
        <v>45</v>
      </c>
      <c r="K165">
        <v>34</v>
      </c>
      <c r="L165">
        <v>57</v>
      </c>
      <c r="M165">
        <v>307</v>
      </c>
      <c r="N165">
        <v>307</v>
      </c>
    </row>
    <row r="166" spans="1:14" x14ac:dyDescent="0.25">
      <c r="A166" t="s">
        <v>521</v>
      </c>
      <c r="B166" t="s">
        <v>95</v>
      </c>
      <c r="C166">
        <v>4190</v>
      </c>
      <c r="D166" t="s">
        <v>964</v>
      </c>
      <c r="E166" t="s">
        <v>794</v>
      </c>
      <c r="F166">
        <v>51356938</v>
      </c>
      <c r="G166" t="s">
        <v>1025</v>
      </c>
      <c r="H166">
        <v>52</v>
      </c>
      <c r="I166">
        <v>64</v>
      </c>
      <c r="J166">
        <v>38</v>
      </c>
      <c r="K166">
        <v>49</v>
      </c>
      <c r="L166">
        <v>36</v>
      </c>
      <c r="M166">
        <v>309</v>
      </c>
      <c r="N166">
        <v>309</v>
      </c>
    </row>
    <row r="167" spans="1:14" x14ac:dyDescent="0.25">
      <c r="A167" t="s">
        <v>522</v>
      </c>
      <c r="B167" t="s">
        <v>95</v>
      </c>
      <c r="C167">
        <v>3895</v>
      </c>
      <c r="D167" t="s">
        <v>920</v>
      </c>
      <c r="E167" t="s">
        <v>794</v>
      </c>
      <c r="F167">
        <v>54184438</v>
      </c>
      <c r="G167">
        <v>36</v>
      </c>
      <c r="H167">
        <v>62</v>
      </c>
      <c r="I167">
        <v>59</v>
      </c>
      <c r="J167">
        <v>49</v>
      </c>
      <c r="K167">
        <v>53</v>
      </c>
      <c r="L167">
        <v>50</v>
      </c>
      <c r="M167">
        <v>309</v>
      </c>
      <c r="N167">
        <v>309</v>
      </c>
    </row>
    <row r="168" spans="1:14" x14ac:dyDescent="0.25">
      <c r="A168" t="s">
        <v>523</v>
      </c>
      <c r="B168" t="s">
        <v>95</v>
      </c>
      <c r="C168">
        <v>4104</v>
      </c>
      <c r="D168" t="s">
        <v>853</v>
      </c>
      <c r="E168" t="s">
        <v>814</v>
      </c>
      <c r="F168">
        <v>54029308</v>
      </c>
      <c r="G168">
        <v>16</v>
      </c>
      <c r="H168">
        <v>41</v>
      </c>
      <c r="I168">
        <v>43</v>
      </c>
      <c r="J168" t="s">
        <v>1026</v>
      </c>
      <c r="K168" t="s">
        <v>1026</v>
      </c>
      <c r="L168" t="s">
        <v>1026</v>
      </c>
      <c r="M168">
        <v>310</v>
      </c>
      <c r="N168">
        <v>310</v>
      </c>
    </row>
    <row r="169" spans="1:14" x14ac:dyDescent="0.25">
      <c r="A169" t="s">
        <v>524</v>
      </c>
      <c r="B169" t="s">
        <v>95</v>
      </c>
      <c r="C169">
        <v>3920</v>
      </c>
      <c r="D169" t="s">
        <v>936</v>
      </c>
      <c r="E169" t="s">
        <v>814</v>
      </c>
      <c r="F169">
        <v>52364453</v>
      </c>
      <c r="G169">
        <v>42</v>
      </c>
      <c r="H169">
        <v>58</v>
      </c>
      <c r="I169">
        <v>53</v>
      </c>
      <c r="J169" t="s">
        <v>1026</v>
      </c>
      <c r="K169">
        <v>47</v>
      </c>
      <c r="L169">
        <v>41</v>
      </c>
      <c r="M169">
        <v>311</v>
      </c>
      <c r="N169">
        <v>311</v>
      </c>
    </row>
    <row r="170" spans="1:14" x14ac:dyDescent="0.25">
      <c r="A170" t="s">
        <v>525</v>
      </c>
      <c r="B170" t="s">
        <v>95</v>
      </c>
      <c r="C170">
        <v>4055</v>
      </c>
      <c r="D170" t="s">
        <v>907</v>
      </c>
      <c r="E170" t="s">
        <v>808</v>
      </c>
      <c r="F170">
        <v>53477120</v>
      </c>
      <c r="G170">
        <v>30</v>
      </c>
      <c r="H170" t="s">
        <v>1026</v>
      </c>
      <c r="I170">
        <v>51</v>
      </c>
      <c r="J170">
        <v>61</v>
      </c>
      <c r="K170">
        <v>57</v>
      </c>
      <c r="L170">
        <v>43</v>
      </c>
      <c r="M170">
        <v>312</v>
      </c>
      <c r="N170">
        <v>312</v>
      </c>
    </row>
    <row r="171" spans="1:14" x14ac:dyDescent="0.25">
      <c r="A171" t="s">
        <v>526</v>
      </c>
      <c r="B171" t="s">
        <v>95</v>
      </c>
      <c r="C171">
        <v>3327</v>
      </c>
      <c r="D171" t="s">
        <v>898</v>
      </c>
      <c r="E171" t="s">
        <v>111</v>
      </c>
      <c r="F171">
        <v>53090658</v>
      </c>
      <c r="G171">
        <v>29</v>
      </c>
      <c r="H171">
        <v>57</v>
      </c>
      <c r="I171">
        <v>55</v>
      </c>
      <c r="J171">
        <v>44</v>
      </c>
      <c r="K171">
        <v>60</v>
      </c>
      <c r="L171" t="s">
        <v>1033</v>
      </c>
      <c r="M171">
        <v>315</v>
      </c>
      <c r="N171">
        <v>315</v>
      </c>
    </row>
    <row r="172" spans="1:14" x14ac:dyDescent="0.25">
      <c r="A172" t="s">
        <v>527</v>
      </c>
      <c r="B172" t="s">
        <v>95</v>
      </c>
      <c r="C172">
        <v>3790</v>
      </c>
      <c r="D172" t="s">
        <v>978</v>
      </c>
      <c r="E172" t="s">
        <v>871</v>
      </c>
      <c r="F172">
        <v>51583086</v>
      </c>
      <c r="G172" t="s">
        <v>1025</v>
      </c>
      <c r="H172">
        <v>48</v>
      </c>
      <c r="I172">
        <v>57</v>
      </c>
      <c r="J172" t="s">
        <v>1028</v>
      </c>
      <c r="K172">
        <v>32</v>
      </c>
      <c r="L172">
        <v>39</v>
      </c>
      <c r="M172">
        <v>316</v>
      </c>
      <c r="N172">
        <v>316</v>
      </c>
    </row>
    <row r="173" spans="1:14" x14ac:dyDescent="0.25">
      <c r="A173" t="s">
        <v>528</v>
      </c>
      <c r="B173" t="s">
        <v>95</v>
      </c>
      <c r="C173">
        <v>3916</v>
      </c>
      <c r="D173" t="s">
        <v>980</v>
      </c>
      <c r="E173" t="s">
        <v>112</v>
      </c>
      <c r="F173">
        <v>52301585</v>
      </c>
      <c r="G173" t="s">
        <v>1027</v>
      </c>
      <c r="H173">
        <v>54</v>
      </c>
      <c r="I173">
        <v>56</v>
      </c>
      <c r="J173">
        <v>29</v>
      </c>
      <c r="K173" t="s">
        <v>1029</v>
      </c>
      <c r="L173">
        <v>38</v>
      </c>
      <c r="M173">
        <v>317</v>
      </c>
      <c r="N173">
        <v>317</v>
      </c>
    </row>
    <row r="174" spans="1:14" x14ac:dyDescent="0.25">
      <c r="A174" t="s">
        <v>529</v>
      </c>
      <c r="B174" t="s">
        <v>95</v>
      </c>
      <c r="C174">
        <v>3471</v>
      </c>
      <c r="D174" t="s">
        <v>990</v>
      </c>
      <c r="E174" t="s">
        <v>823</v>
      </c>
      <c r="F174">
        <v>53586402</v>
      </c>
      <c r="G174" t="s">
        <v>1027</v>
      </c>
      <c r="H174" t="s">
        <v>1029</v>
      </c>
      <c r="I174">
        <v>16</v>
      </c>
      <c r="J174" t="s">
        <v>1029</v>
      </c>
      <c r="K174">
        <v>47</v>
      </c>
      <c r="L174">
        <v>48</v>
      </c>
      <c r="M174">
        <v>321</v>
      </c>
      <c r="N174">
        <v>321</v>
      </c>
    </row>
    <row r="175" spans="1:14" x14ac:dyDescent="0.25">
      <c r="A175" t="s">
        <v>530</v>
      </c>
      <c r="B175" t="s">
        <v>95</v>
      </c>
      <c r="C175">
        <v>4160</v>
      </c>
      <c r="D175" t="s">
        <v>924</v>
      </c>
      <c r="E175" t="s">
        <v>826</v>
      </c>
      <c r="F175">
        <v>52725158</v>
      </c>
      <c r="G175">
        <v>37</v>
      </c>
      <c r="H175">
        <v>60</v>
      </c>
      <c r="I175">
        <v>54</v>
      </c>
      <c r="J175">
        <v>35</v>
      </c>
      <c r="K175" t="s">
        <v>1033</v>
      </c>
      <c r="L175" t="s">
        <v>1033</v>
      </c>
      <c r="M175">
        <v>326</v>
      </c>
      <c r="N175">
        <v>326</v>
      </c>
    </row>
    <row r="176" spans="1:14" x14ac:dyDescent="0.25">
      <c r="A176" t="s">
        <v>531</v>
      </c>
      <c r="B176" t="s">
        <v>95</v>
      </c>
      <c r="C176">
        <v>3402</v>
      </c>
      <c r="D176" t="s">
        <v>989</v>
      </c>
      <c r="E176" t="s">
        <v>826</v>
      </c>
      <c r="F176">
        <v>50653382</v>
      </c>
      <c r="G176" t="s">
        <v>1025</v>
      </c>
      <c r="H176" t="s">
        <v>1026</v>
      </c>
      <c r="I176" t="s">
        <v>1026</v>
      </c>
      <c r="J176">
        <v>35</v>
      </c>
      <c r="K176">
        <v>49</v>
      </c>
      <c r="L176">
        <v>33</v>
      </c>
      <c r="M176">
        <v>327</v>
      </c>
      <c r="N176">
        <v>327</v>
      </c>
    </row>
    <row r="177" spans="1:14" x14ac:dyDescent="0.25">
      <c r="A177" t="s">
        <v>532</v>
      </c>
      <c r="B177" t="s">
        <v>95</v>
      </c>
      <c r="C177">
        <v>4163</v>
      </c>
      <c r="D177" t="s">
        <v>1014</v>
      </c>
      <c r="E177" t="s">
        <v>800</v>
      </c>
      <c r="F177">
        <v>52764604</v>
      </c>
      <c r="G177" t="s">
        <v>1025</v>
      </c>
      <c r="H177">
        <v>53</v>
      </c>
      <c r="I177">
        <v>61</v>
      </c>
      <c r="J177">
        <v>47</v>
      </c>
      <c r="K177">
        <v>39</v>
      </c>
      <c r="L177">
        <v>59</v>
      </c>
      <c r="M177">
        <v>329</v>
      </c>
      <c r="N177">
        <v>329</v>
      </c>
    </row>
    <row r="178" spans="1:14" x14ac:dyDescent="0.25">
      <c r="A178" t="s">
        <v>533</v>
      </c>
      <c r="B178" t="s">
        <v>95</v>
      </c>
      <c r="C178">
        <v>4189</v>
      </c>
      <c r="D178" t="s">
        <v>1020</v>
      </c>
      <c r="E178" t="s">
        <v>828</v>
      </c>
      <c r="F178">
        <v>50805092</v>
      </c>
      <c r="G178" t="s">
        <v>1025</v>
      </c>
      <c r="H178">
        <v>51</v>
      </c>
      <c r="I178">
        <v>62</v>
      </c>
      <c r="J178">
        <v>50</v>
      </c>
      <c r="K178">
        <v>52</v>
      </c>
      <c r="L178">
        <v>46</v>
      </c>
      <c r="M178">
        <v>331</v>
      </c>
      <c r="N178">
        <v>331</v>
      </c>
    </row>
    <row r="179" spans="1:14" x14ac:dyDescent="0.25">
      <c r="A179" t="s">
        <v>534</v>
      </c>
      <c r="B179" t="s">
        <v>95</v>
      </c>
      <c r="C179">
        <v>4183</v>
      </c>
      <c r="D179" t="s">
        <v>963</v>
      </c>
      <c r="E179" t="s">
        <v>871</v>
      </c>
      <c r="F179">
        <v>53583314</v>
      </c>
      <c r="G179" t="s">
        <v>1025</v>
      </c>
      <c r="H179">
        <v>46</v>
      </c>
      <c r="I179">
        <v>56</v>
      </c>
      <c r="J179" t="s">
        <v>1028</v>
      </c>
      <c r="K179">
        <v>40</v>
      </c>
      <c r="L179">
        <v>51</v>
      </c>
      <c r="M179">
        <v>333</v>
      </c>
      <c r="N179">
        <v>333</v>
      </c>
    </row>
    <row r="180" spans="1:14" x14ac:dyDescent="0.25">
      <c r="A180" t="s">
        <v>535</v>
      </c>
      <c r="B180" t="s">
        <v>95</v>
      </c>
      <c r="C180">
        <v>3980</v>
      </c>
      <c r="D180" t="s">
        <v>956</v>
      </c>
      <c r="E180" t="s">
        <v>802</v>
      </c>
      <c r="F180">
        <v>51182364</v>
      </c>
      <c r="G180">
        <v>59</v>
      </c>
      <c r="H180">
        <v>57</v>
      </c>
      <c r="I180">
        <v>53</v>
      </c>
      <c r="J180">
        <v>62</v>
      </c>
      <c r="K180">
        <v>61</v>
      </c>
      <c r="L180">
        <v>44</v>
      </c>
      <c r="M180">
        <v>336</v>
      </c>
      <c r="N180">
        <v>336</v>
      </c>
    </row>
    <row r="181" spans="1:14" x14ac:dyDescent="0.25">
      <c r="A181" t="s">
        <v>536</v>
      </c>
      <c r="B181" t="s">
        <v>95</v>
      </c>
      <c r="C181">
        <v>4158</v>
      </c>
      <c r="D181" t="s">
        <v>950</v>
      </c>
      <c r="E181" t="s">
        <v>951</v>
      </c>
      <c r="F181">
        <v>52069861</v>
      </c>
      <c r="G181">
        <v>54</v>
      </c>
      <c r="H181">
        <v>58</v>
      </c>
      <c r="I181">
        <v>54</v>
      </c>
      <c r="J181">
        <v>50</v>
      </c>
      <c r="K181" t="s">
        <v>1033</v>
      </c>
      <c r="L181">
        <v>52</v>
      </c>
      <c r="M181">
        <v>338</v>
      </c>
      <c r="N181">
        <v>338</v>
      </c>
    </row>
    <row r="182" spans="1:14" x14ac:dyDescent="0.25">
      <c r="A182" t="s">
        <v>537</v>
      </c>
      <c r="B182" t="s">
        <v>95</v>
      </c>
      <c r="C182">
        <v>3885</v>
      </c>
      <c r="D182" t="s">
        <v>984</v>
      </c>
      <c r="E182" t="s">
        <v>792</v>
      </c>
      <c r="F182">
        <v>53084239</v>
      </c>
      <c r="G182" t="s">
        <v>1025</v>
      </c>
      <c r="H182">
        <v>44</v>
      </c>
      <c r="I182">
        <v>58</v>
      </c>
      <c r="J182">
        <v>60</v>
      </c>
      <c r="K182" t="s">
        <v>1033</v>
      </c>
      <c r="L182">
        <v>42</v>
      </c>
      <c r="M182">
        <v>344</v>
      </c>
      <c r="N182">
        <v>344</v>
      </c>
    </row>
    <row r="183" spans="1:14" x14ac:dyDescent="0.25">
      <c r="A183" t="s">
        <v>538</v>
      </c>
      <c r="B183" t="s">
        <v>95</v>
      </c>
      <c r="C183">
        <v>4164</v>
      </c>
      <c r="D183" t="s">
        <v>962</v>
      </c>
      <c r="E183" t="s">
        <v>800</v>
      </c>
      <c r="F183">
        <v>51069680</v>
      </c>
      <c r="G183" t="s">
        <v>1025</v>
      </c>
      <c r="H183">
        <v>54</v>
      </c>
      <c r="I183">
        <v>62</v>
      </c>
      <c r="J183">
        <v>51</v>
      </c>
      <c r="K183">
        <v>57</v>
      </c>
      <c r="L183">
        <v>53</v>
      </c>
      <c r="M183">
        <v>347</v>
      </c>
      <c r="N183">
        <v>347</v>
      </c>
    </row>
    <row r="184" spans="1:14" x14ac:dyDescent="0.25">
      <c r="A184" t="s">
        <v>539</v>
      </c>
      <c r="B184" t="s">
        <v>95</v>
      </c>
      <c r="C184">
        <v>4094</v>
      </c>
      <c r="D184" t="s">
        <v>955</v>
      </c>
      <c r="E184" t="s">
        <v>828</v>
      </c>
      <c r="F184">
        <v>52220949</v>
      </c>
      <c r="G184">
        <v>58</v>
      </c>
      <c r="H184">
        <v>37</v>
      </c>
      <c r="I184">
        <v>44</v>
      </c>
      <c r="J184" t="s">
        <v>1026</v>
      </c>
      <c r="K184" t="s">
        <v>1026</v>
      </c>
      <c r="L184" t="s">
        <v>1026</v>
      </c>
      <c r="M184">
        <v>349</v>
      </c>
      <c r="N184">
        <v>349</v>
      </c>
    </row>
    <row r="185" spans="1:14" x14ac:dyDescent="0.25">
      <c r="A185" t="s">
        <v>540</v>
      </c>
      <c r="B185" t="s">
        <v>95</v>
      </c>
      <c r="C185">
        <v>3711</v>
      </c>
      <c r="D185" t="s">
        <v>944</v>
      </c>
      <c r="E185" t="s">
        <v>887</v>
      </c>
      <c r="F185">
        <v>50704565</v>
      </c>
      <c r="G185">
        <v>48</v>
      </c>
      <c r="H185">
        <v>64</v>
      </c>
      <c r="I185">
        <v>56</v>
      </c>
      <c r="J185">
        <v>56</v>
      </c>
      <c r="K185" t="s">
        <v>1029</v>
      </c>
      <c r="L185">
        <v>55</v>
      </c>
      <c r="M185">
        <v>349</v>
      </c>
      <c r="N185">
        <v>349</v>
      </c>
    </row>
    <row r="186" spans="1:14" x14ac:dyDescent="0.25">
      <c r="A186" t="s">
        <v>541</v>
      </c>
      <c r="B186" t="s">
        <v>95</v>
      </c>
      <c r="C186">
        <v>3701</v>
      </c>
      <c r="D186" t="s">
        <v>993</v>
      </c>
      <c r="E186" t="s">
        <v>790</v>
      </c>
      <c r="F186">
        <v>50790994</v>
      </c>
      <c r="G186" t="s">
        <v>1025</v>
      </c>
      <c r="H186">
        <v>45</v>
      </c>
      <c r="I186">
        <v>25</v>
      </c>
      <c r="J186" t="s">
        <v>1028</v>
      </c>
      <c r="K186" t="s">
        <v>1026</v>
      </c>
      <c r="L186" t="s">
        <v>1026</v>
      </c>
      <c r="M186">
        <v>350</v>
      </c>
      <c r="N186">
        <v>350</v>
      </c>
    </row>
    <row r="187" spans="1:14" x14ac:dyDescent="0.25">
      <c r="A187" t="s">
        <v>542</v>
      </c>
      <c r="B187" t="s">
        <v>95</v>
      </c>
      <c r="C187">
        <v>3123</v>
      </c>
      <c r="D187" t="s">
        <v>988</v>
      </c>
      <c r="E187" t="s">
        <v>968</v>
      </c>
      <c r="F187">
        <v>52619617</v>
      </c>
      <c r="G187" t="s">
        <v>1025</v>
      </c>
      <c r="H187">
        <v>36</v>
      </c>
      <c r="I187">
        <v>34</v>
      </c>
      <c r="J187" t="s">
        <v>1028</v>
      </c>
      <c r="K187" t="s">
        <v>1033</v>
      </c>
      <c r="L187" t="s">
        <v>1033</v>
      </c>
      <c r="M187">
        <v>350</v>
      </c>
      <c r="N187">
        <v>350</v>
      </c>
    </row>
    <row r="188" spans="1:14" x14ac:dyDescent="0.25">
      <c r="A188" t="s">
        <v>544</v>
      </c>
      <c r="B188" t="s">
        <v>95</v>
      </c>
      <c r="C188">
        <v>3856</v>
      </c>
      <c r="D188" t="s">
        <v>979</v>
      </c>
      <c r="E188" t="s">
        <v>804</v>
      </c>
      <c r="F188">
        <v>51183107</v>
      </c>
      <c r="G188" t="s">
        <v>1026</v>
      </c>
      <c r="H188">
        <v>62</v>
      </c>
      <c r="I188" t="s">
        <v>1026</v>
      </c>
      <c r="J188">
        <v>53</v>
      </c>
      <c r="K188">
        <v>46</v>
      </c>
      <c r="L188">
        <v>52</v>
      </c>
      <c r="M188">
        <v>353</v>
      </c>
      <c r="N188">
        <v>353</v>
      </c>
    </row>
    <row r="189" spans="1:14" x14ac:dyDescent="0.25">
      <c r="A189" t="s">
        <v>545</v>
      </c>
      <c r="B189" t="s">
        <v>95</v>
      </c>
      <c r="C189">
        <v>3966</v>
      </c>
      <c r="D189" t="s">
        <v>957</v>
      </c>
      <c r="E189" t="s">
        <v>814</v>
      </c>
      <c r="F189">
        <v>54621343</v>
      </c>
      <c r="G189">
        <v>60</v>
      </c>
      <c r="H189">
        <v>63</v>
      </c>
      <c r="I189">
        <v>61</v>
      </c>
      <c r="J189">
        <v>46</v>
      </c>
      <c r="K189" t="s">
        <v>1029</v>
      </c>
      <c r="L189">
        <v>53</v>
      </c>
      <c r="M189">
        <v>353</v>
      </c>
      <c r="N189">
        <v>353</v>
      </c>
    </row>
    <row r="190" spans="1:14" x14ac:dyDescent="0.25">
      <c r="A190" t="s">
        <v>546</v>
      </c>
      <c r="B190" t="s">
        <v>95</v>
      </c>
      <c r="C190">
        <v>4173</v>
      </c>
      <c r="D190" t="s">
        <v>1015</v>
      </c>
      <c r="E190" t="s">
        <v>794</v>
      </c>
      <c r="F190">
        <v>52454489</v>
      </c>
      <c r="G190" t="s">
        <v>1025</v>
      </c>
      <c r="H190" t="s">
        <v>1028</v>
      </c>
      <c r="I190">
        <v>36</v>
      </c>
      <c r="J190">
        <v>44</v>
      </c>
      <c r="K190" t="s">
        <v>1033</v>
      </c>
      <c r="L190" t="s">
        <v>1033</v>
      </c>
      <c r="M190">
        <v>360</v>
      </c>
      <c r="N190">
        <v>360</v>
      </c>
    </row>
    <row r="191" spans="1:14" x14ac:dyDescent="0.25">
      <c r="A191" t="s">
        <v>547</v>
      </c>
      <c r="B191" t="s">
        <v>95</v>
      </c>
      <c r="C191">
        <v>789</v>
      </c>
      <c r="D191" t="s">
        <v>971</v>
      </c>
      <c r="E191" t="s">
        <v>111</v>
      </c>
      <c r="F191">
        <v>51077049</v>
      </c>
      <c r="G191" t="s">
        <v>1025</v>
      </c>
      <c r="H191">
        <v>55</v>
      </c>
      <c r="I191">
        <v>57</v>
      </c>
      <c r="J191">
        <v>59</v>
      </c>
      <c r="K191">
        <v>50</v>
      </c>
      <c r="L191" t="s">
        <v>1026</v>
      </c>
      <c r="M191">
        <v>361</v>
      </c>
      <c r="N191">
        <v>361</v>
      </c>
    </row>
    <row r="192" spans="1:14" x14ac:dyDescent="0.25">
      <c r="A192" t="s">
        <v>548</v>
      </c>
      <c r="B192" t="s">
        <v>95</v>
      </c>
      <c r="C192">
        <v>4212</v>
      </c>
      <c r="D192" t="s">
        <v>965</v>
      </c>
      <c r="E192" t="s">
        <v>792</v>
      </c>
      <c r="F192">
        <v>50305090</v>
      </c>
      <c r="G192" t="s">
        <v>1026</v>
      </c>
      <c r="H192">
        <v>59</v>
      </c>
      <c r="I192">
        <v>59</v>
      </c>
      <c r="J192">
        <v>51</v>
      </c>
      <c r="K192" t="s">
        <v>1033</v>
      </c>
      <c r="L192">
        <v>56</v>
      </c>
      <c r="M192">
        <v>365</v>
      </c>
      <c r="N192">
        <v>365</v>
      </c>
    </row>
    <row r="193" spans="1:14" x14ac:dyDescent="0.25">
      <c r="A193" t="s">
        <v>549</v>
      </c>
      <c r="B193" t="s">
        <v>95</v>
      </c>
      <c r="C193">
        <v>3734</v>
      </c>
      <c r="D193" t="s">
        <v>975</v>
      </c>
      <c r="E193" t="s">
        <v>976</v>
      </c>
      <c r="F193">
        <v>54602290</v>
      </c>
      <c r="G193" t="s">
        <v>1025</v>
      </c>
      <c r="H193" t="s">
        <v>1033</v>
      </c>
      <c r="I193">
        <v>48</v>
      </c>
      <c r="J193">
        <v>54</v>
      </c>
      <c r="K193">
        <v>58</v>
      </c>
      <c r="L193" t="s">
        <v>1026</v>
      </c>
      <c r="M193">
        <v>370</v>
      </c>
      <c r="N193">
        <v>370</v>
      </c>
    </row>
    <row r="194" spans="1:14" x14ac:dyDescent="0.25">
      <c r="A194" t="s">
        <v>550</v>
      </c>
      <c r="B194" t="s">
        <v>95</v>
      </c>
      <c r="C194">
        <v>4127</v>
      </c>
      <c r="D194" t="s">
        <v>1016</v>
      </c>
      <c r="E194" t="s">
        <v>838</v>
      </c>
      <c r="F194">
        <v>53593354</v>
      </c>
      <c r="G194" t="s">
        <v>1025</v>
      </c>
      <c r="H194">
        <v>59</v>
      </c>
      <c r="I194">
        <v>60</v>
      </c>
      <c r="J194">
        <v>54</v>
      </c>
      <c r="K194">
        <v>58</v>
      </c>
      <c r="L194" t="s">
        <v>1033</v>
      </c>
      <c r="M194">
        <v>371</v>
      </c>
      <c r="N194">
        <v>371</v>
      </c>
    </row>
    <row r="195" spans="1:14" x14ac:dyDescent="0.25">
      <c r="A195" t="s">
        <v>551</v>
      </c>
      <c r="B195" t="s">
        <v>95</v>
      </c>
      <c r="C195">
        <v>3935</v>
      </c>
      <c r="D195" t="s">
        <v>982</v>
      </c>
      <c r="E195" t="s">
        <v>849</v>
      </c>
      <c r="F195">
        <v>51505113</v>
      </c>
      <c r="G195" t="s">
        <v>1025</v>
      </c>
      <c r="H195" t="s">
        <v>1028</v>
      </c>
      <c r="I195">
        <v>49</v>
      </c>
      <c r="J195" t="s">
        <v>1028</v>
      </c>
      <c r="K195">
        <v>48</v>
      </c>
      <c r="L195" t="s">
        <v>1027</v>
      </c>
      <c r="M195">
        <v>377</v>
      </c>
      <c r="N195">
        <v>377</v>
      </c>
    </row>
    <row r="196" spans="1:14" x14ac:dyDescent="0.25">
      <c r="A196" t="s">
        <v>552</v>
      </c>
      <c r="B196" t="s">
        <v>95</v>
      </c>
      <c r="C196">
        <v>3976</v>
      </c>
      <c r="D196" t="s">
        <v>987</v>
      </c>
      <c r="E196" t="s">
        <v>826</v>
      </c>
      <c r="F196">
        <v>52908766</v>
      </c>
      <c r="G196" t="s">
        <v>1026</v>
      </c>
      <c r="H196" t="s">
        <v>1026</v>
      </c>
      <c r="I196" t="s">
        <v>1026</v>
      </c>
      <c r="J196" t="s">
        <v>1026</v>
      </c>
      <c r="K196">
        <v>40</v>
      </c>
      <c r="L196" t="s">
        <v>1026</v>
      </c>
      <c r="M196">
        <v>390</v>
      </c>
      <c r="N196">
        <v>390</v>
      </c>
    </row>
    <row r="197" spans="1:14" x14ac:dyDescent="0.25">
      <c r="A197" t="s">
        <v>553</v>
      </c>
      <c r="B197" t="s">
        <v>95</v>
      </c>
      <c r="C197">
        <v>4161</v>
      </c>
      <c r="D197" t="s">
        <v>961</v>
      </c>
      <c r="E197" t="s">
        <v>871</v>
      </c>
      <c r="F197">
        <v>51390049</v>
      </c>
      <c r="G197" t="s">
        <v>1026</v>
      </c>
      <c r="H197" t="s">
        <v>1026</v>
      </c>
      <c r="I197" t="s">
        <v>1026</v>
      </c>
      <c r="J197">
        <v>58</v>
      </c>
      <c r="K197">
        <v>53</v>
      </c>
      <c r="L197" t="s">
        <v>1026</v>
      </c>
      <c r="M197">
        <v>391</v>
      </c>
      <c r="N197">
        <v>391</v>
      </c>
    </row>
    <row r="198" spans="1:14" x14ac:dyDescent="0.25">
      <c r="A198" t="s">
        <v>554</v>
      </c>
      <c r="B198" t="s">
        <v>95</v>
      </c>
      <c r="C198">
        <v>3918</v>
      </c>
      <c r="D198" t="s">
        <v>981</v>
      </c>
      <c r="E198" t="s">
        <v>887</v>
      </c>
      <c r="F198">
        <v>52456716</v>
      </c>
      <c r="G198" t="s">
        <v>1025</v>
      </c>
      <c r="H198">
        <v>55</v>
      </c>
      <c r="I198">
        <v>64</v>
      </c>
      <c r="J198" t="s">
        <v>1026</v>
      </c>
      <c r="K198" t="s">
        <v>1026</v>
      </c>
      <c r="L198" t="s">
        <v>1026</v>
      </c>
      <c r="M198">
        <v>399</v>
      </c>
      <c r="N198">
        <v>399</v>
      </c>
    </row>
    <row r="199" spans="1:14" x14ac:dyDescent="0.25">
      <c r="A199" t="s">
        <v>555</v>
      </c>
      <c r="B199" t="s">
        <v>95</v>
      </c>
      <c r="C199">
        <v>4115</v>
      </c>
      <c r="D199" t="s">
        <v>960</v>
      </c>
      <c r="E199" t="s">
        <v>828</v>
      </c>
      <c r="F199">
        <v>52951933</v>
      </c>
      <c r="G199" t="s">
        <v>1025</v>
      </c>
      <c r="H199">
        <v>58</v>
      </c>
      <c r="I199">
        <v>63</v>
      </c>
      <c r="J199" t="s">
        <v>1026</v>
      </c>
      <c r="K199" t="s">
        <v>1026</v>
      </c>
      <c r="L199" t="s">
        <v>1026</v>
      </c>
      <c r="M199">
        <v>401</v>
      </c>
      <c r="N199">
        <v>401</v>
      </c>
    </row>
    <row r="200" spans="1:14" x14ac:dyDescent="0.25">
      <c r="A200" t="s">
        <v>558</v>
      </c>
      <c r="B200" t="s">
        <v>95</v>
      </c>
      <c r="C200">
        <v>4107</v>
      </c>
      <c r="D200" t="s">
        <v>959</v>
      </c>
      <c r="E200" t="s">
        <v>112</v>
      </c>
      <c r="F200">
        <v>52305556</v>
      </c>
      <c r="G200" t="s">
        <v>1026</v>
      </c>
      <c r="H200" t="s">
        <v>1026</v>
      </c>
      <c r="I200" t="s">
        <v>1026</v>
      </c>
      <c r="J200" t="s">
        <v>1026</v>
      </c>
      <c r="K200" t="s">
        <v>1026</v>
      </c>
      <c r="L200" t="s">
        <v>1026</v>
      </c>
      <c r="M200">
        <v>420</v>
      </c>
      <c r="N200">
        <v>420</v>
      </c>
    </row>
    <row r="201" spans="1:14" x14ac:dyDescent="0.25">
      <c r="A201" t="s">
        <v>558</v>
      </c>
      <c r="B201" t="s">
        <v>95</v>
      </c>
      <c r="C201">
        <v>22684</v>
      </c>
      <c r="D201" t="s">
        <v>966</v>
      </c>
      <c r="E201" t="s">
        <v>828</v>
      </c>
      <c r="F201">
        <v>51400212</v>
      </c>
      <c r="G201" t="s">
        <v>1027</v>
      </c>
      <c r="H201" t="s">
        <v>1027</v>
      </c>
      <c r="I201" t="s">
        <v>1027</v>
      </c>
      <c r="J201" t="s">
        <v>1026</v>
      </c>
      <c r="K201" t="s">
        <v>1026</v>
      </c>
      <c r="L201" t="s">
        <v>1026</v>
      </c>
      <c r="M201">
        <v>420</v>
      </c>
      <c r="N201">
        <v>420</v>
      </c>
    </row>
    <row r="202" spans="1:14" x14ac:dyDescent="0.25">
      <c r="A202" t="s">
        <v>558</v>
      </c>
      <c r="B202" t="s">
        <v>95</v>
      </c>
      <c r="C202">
        <v>36363</v>
      </c>
      <c r="D202" t="s">
        <v>969</v>
      </c>
      <c r="E202" t="s">
        <v>970</v>
      </c>
      <c r="F202">
        <v>2029292</v>
      </c>
      <c r="G202" t="s">
        <v>1026</v>
      </c>
      <c r="H202" t="s">
        <v>1026</v>
      </c>
      <c r="I202" t="s">
        <v>1026</v>
      </c>
      <c r="J202" t="s">
        <v>1026</v>
      </c>
      <c r="K202" t="s">
        <v>1026</v>
      </c>
      <c r="L202" t="s">
        <v>1026</v>
      </c>
      <c r="M202">
        <v>420</v>
      </c>
      <c r="N202">
        <v>420</v>
      </c>
    </row>
    <row r="203" spans="1:14" x14ac:dyDescent="0.25">
      <c r="A203" t="s">
        <v>558</v>
      </c>
      <c r="B203" t="s">
        <v>95</v>
      </c>
      <c r="C203">
        <v>3789</v>
      </c>
      <c r="D203" t="s">
        <v>977</v>
      </c>
      <c r="E203" t="s">
        <v>112</v>
      </c>
      <c r="F203">
        <v>51377058</v>
      </c>
      <c r="G203" t="s">
        <v>1026</v>
      </c>
      <c r="H203" t="s">
        <v>1026</v>
      </c>
      <c r="I203" t="s">
        <v>1026</v>
      </c>
      <c r="J203" t="s">
        <v>1026</v>
      </c>
      <c r="K203" t="s">
        <v>1026</v>
      </c>
      <c r="L203" t="s">
        <v>1026</v>
      </c>
      <c r="M203">
        <v>420</v>
      </c>
      <c r="N203">
        <v>420</v>
      </c>
    </row>
    <row r="204" spans="1:14" x14ac:dyDescent="0.25">
      <c r="A204" t="s">
        <v>558</v>
      </c>
      <c r="B204" t="s">
        <v>95</v>
      </c>
      <c r="C204">
        <v>3799</v>
      </c>
      <c r="D204" t="s">
        <v>997</v>
      </c>
      <c r="E204" t="s">
        <v>828</v>
      </c>
      <c r="F204">
        <v>51139794</v>
      </c>
      <c r="G204" t="s">
        <v>1025</v>
      </c>
      <c r="H204" t="s">
        <v>1026</v>
      </c>
      <c r="I204" t="s">
        <v>1026</v>
      </c>
      <c r="J204" t="s">
        <v>1026</v>
      </c>
      <c r="K204" t="s">
        <v>1026</v>
      </c>
      <c r="L204" t="s">
        <v>1026</v>
      </c>
      <c r="M204">
        <v>420</v>
      </c>
      <c r="N204">
        <v>420</v>
      </c>
    </row>
    <row r="205" spans="1:14" x14ac:dyDescent="0.25">
      <c r="A205" t="s">
        <v>558</v>
      </c>
      <c r="B205" t="s">
        <v>95</v>
      </c>
      <c r="C205">
        <v>4117</v>
      </c>
      <c r="D205" t="s">
        <v>1011</v>
      </c>
      <c r="E205" t="s">
        <v>828</v>
      </c>
      <c r="F205">
        <v>52164372</v>
      </c>
      <c r="G205" t="s">
        <v>1026</v>
      </c>
      <c r="H205" t="s">
        <v>1026</v>
      </c>
      <c r="I205" t="s">
        <v>1026</v>
      </c>
      <c r="J205" t="s">
        <v>1026</v>
      </c>
      <c r="K205" t="s">
        <v>1026</v>
      </c>
      <c r="L205" t="s">
        <v>1026</v>
      </c>
      <c r="M205">
        <v>420</v>
      </c>
      <c r="N205">
        <v>420</v>
      </c>
    </row>
    <row r="206" spans="1:14" x14ac:dyDescent="0.25">
      <c r="A206" t="s">
        <v>558</v>
      </c>
      <c r="B206" t="s">
        <v>95</v>
      </c>
      <c r="C206">
        <v>4057</v>
      </c>
      <c r="D206" t="s">
        <v>1007</v>
      </c>
      <c r="E206" t="s">
        <v>804</v>
      </c>
      <c r="F206">
        <v>51572732</v>
      </c>
      <c r="G206" t="s">
        <v>1026</v>
      </c>
      <c r="H206" t="s">
        <v>1026</v>
      </c>
      <c r="I206" t="s">
        <v>1026</v>
      </c>
      <c r="J206" t="s">
        <v>1026</v>
      </c>
      <c r="K206" t="s">
        <v>1026</v>
      </c>
      <c r="L206" t="s">
        <v>1026</v>
      </c>
      <c r="M206">
        <v>420</v>
      </c>
      <c r="N206">
        <v>420</v>
      </c>
    </row>
    <row r="207" spans="1:14" x14ac:dyDescent="0.25">
      <c r="A207" t="s">
        <v>558</v>
      </c>
      <c r="B207" t="s">
        <v>95</v>
      </c>
      <c r="C207">
        <v>3977</v>
      </c>
      <c r="D207" t="s">
        <v>999</v>
      </c>
      <c r="E207" t="s">
        <v>790</v>
      </c>
      <c r="F207">
        <v>51281593</v>
      </c>
      <c r="G207" t="s">
        <v>1026</v>
      </c>
      <c r="H207" t="s">
        <v>1026</v>
      </c>
      <c r="I207" t="s">
        <v>1026</v>
      </c>
      <c r="J207" t="s">
        <v>1026</v>
      </c>
      <c r="K207" t="s">
        <v>1026</v>
      </c>
      <c r="L207" t="s">
        <v>1026</v>
      </c>
      <c r="M207">
        <v>420</v>
      </c>
      <c r="N207">
        <v>420</v>
      </c>
    </row>
    <row r="210" spans="1:1" x14ac:dyDescent="0.25">
      <c r="A210" t="s">
        <v>582</v>
      </c>
    </row>
    <row r="211" spans="1:1" x14ac:dyDescent="0.25">
      <c r="A211" t="s">
        <v>583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A7D0-1A93-48BA-9238-6075C2D683E6}">
  <sheetPr codeName="Sheet6"/>
  <dimension ref="A1:L264"/>
  <sheetViews>
    <sheetView workbookViewId="0">
      <selection activeCell="P25" sqref="P25"/>
    </sheetView>
  </sheetViews>
  <sheetFormatPr defaultRowHeight="15" x14ac:dyDescent="0.25"/>
  <cols>
    <col min="1" max="1" width="5.5703125" bestFit="1" customWidth="1"/>
    <col min="2" max="2" width="8.5703125" bestFit="1" customWidth="1"/>
    <col min="3" max="3" width="31.85546875" bestFit="1" customWidth="1"/>
    <col min="4" max="4" width="11.85546875" bestFit="1" customWidth="1"/>
    <col min="5" max="5" width="15.140625" bestFit="1" customWidth="1"/>
    <col min="6" max="11" width="7.140625" bestFit="1" customWidth="1"/>
    <col min="12" max="12" width="7.7109375" bestFit="1" customWidth="1"/>
  </cols>
  <sheetData>
    <row r="1" spans="1:12" x14ac:dyDescent="0.25">
      <c r="A1" t="s">
        <v>1677</v>
      </c>
      <c r="B1" t="s">
        <v>1040</v>
      </c>
      <c r="C1" t="s">
        <v>1041</v>
      </c>
      <c r="D1" t="s">
        <v>1042</v>
      </c>
      <c r="E1" t="s">
        <v>1043</v>
      </c>
      <c r="F1" t="s">
        <v>1044</v>
      </c>
      <c r="G1" t="s">
        <v>1054</v>
      </c>
      <c r="H1" t="s">
        <v>1059</v>
      </c>
      <c r="I1" t="s">
        <v>1069</v>
      </c>
      <c r="J1" t="s">
        <v>1078</v>
      </c>
      <c r="K1" t="s">
        <v>1085</v>
      </c>
      <c r="L1" t="s">
        <v>350</v>
      </c>
    </row>
    <row r="2" spans="1:12" x14ac:dyDescent="0.25">
      <c r="A2" t="s">
        <v>1044</v>
      </c>
      <c r="B2" t="s">
        <v>1236</v>
      </c>
      <c r="C2" t="s">
        <v>1237</v>
      </c>
      <c r="D2" t="s">
        <v>1047</v>
      </c>
      <c r="E2" t="s">
        <v>1077</v>
      </c>
      <c r="F2" t="s">
        <v>1233</v>
      </c>
      <c r="G2" t="s">
        <v>1044</v>
      </c>
      <c r="H2" t="s">
        <v>1044</v>
      </c>
      <c r="I2" t="s">
        <v>1044</v>
      </c>
      <c r="J2" t="s">
        <v>1044</v>
      </c>
      <c r="K2" t="s">
        <v>1044</v>
      </c>
      <c r="L2" t="s">
        <v>1078</v>
      </c>
    </row>
    <row r="3" spans="1:12" x14ac:dyDescent="0.25">
      <c r="A3" t="s">
        <v>1054</v>
      </c>
      <c r="B3" t="s">
        <v>1075</v>
      </c>
      <c r="C3" t="s">
        <v>1076</v>
      </c>
      <c r="D3" t="s">
        <v>1047</v>
      </c>
      <c r="E3" t="s">
        <v>1077</v>
      </c>
      <c r="F3" t="s">
        <v>1078</v>
      </c>
      <c r="G3" t="s">
        <v>1069</v>
      </c>
      <c r="H3" t="s">
        <v>1054</v>
      </c>
      <c r="I3" t="s">
        <v>1078</v>
      </c>
      <c r="J3" t="s">
        <v>1054</v>
      </c>
      <c r="K3" t="s">
        <v>1054</v>
      </c>
      <c r="L3" t="s">
        <v>1154</v>
      </c>
    </row>
    <row r="4" spans="1:12" x14ac:dyDescent="0.25">
      <c r="A4" t="s">
        <v>1059</v>
      </c>
      <c r="B4" t="s">
        <v>1072</v>
      </c>
      <c r="C4" t="s">
        <v>1073</v>
      </c>
      <c r="D4" t="s">
        <v>1047</v>
      </c>
      <c r="E4" t="s">
        <v>1074</v>
      </c>
      <c r="F4" t="s">
        <v>1069</v>
      </c>
      <c r="G4" t="s">
        <v>1085</v>
      </c>
      <c r="H4" t="s">
        <v>1059</v>
      </c>
      <c r="I4" t="s">
        <v>1054</v>
      </c>
      <c r="J4" t="s">
        <v>1059</v>
      </c>
      <c r="K4" t="s">
        <v>1668</v>
      </c>
      <c r="L4" t="s">
        <v>1175</v>
      </c>
    </row>
    <row r="5" spans="1:12" x14ac:dyDescent="0.25">
      <c r="A5" t="s">
        <v>1069</v>
      </c>
      <c r="B5" t="s">
        <v>1091</v>
      </c>
      <c r="C5" t="s">
        <v>1092</v>
      </c>
      <c r="D5" t="s">
        <v>1047</v>
      </c>
      <c r="E5" t="s">
        <v>17</v>
      </c>
      <c r="F5" t="s">
        <v>1093</v>
      </c>
      <c r="G5" t="s">
        <v>1078</v>
      </c>
      <c r="H5" t="s">
        <v>1668</v>
      </c>
      <c r="I5" t="s">
        <v>1059</v>
      </c>
      <c r="J5" t="s">
        <v>1054</v>
      </c>
      <c r="K5" t="s">
        <v>1059</v>
      </c>
      <c r="L5" t="s">
        <v>1191</v>
      </c>
    </row>
    <row r="6" spans="1:12" x14ac:dyDescent="0.25">
      <c r="A6" t="s">
        <v>1078</v>
      </c>
      <c r="B6" t="s">
        <v>1123</v>
      </c>
      <c r="C6" t="s">
        <v>1124</v>
      </c>
      <c r="D6" t="s">
        <v>1047</v>
      </c>
      <c r="E6" t="s">
        <v>1077</v>
      </c>
      <c r="F6" t="s">
        <v>1125</v>
      </c>
      <c r="G6" t="s">
        <v>1078</v>
      </c>
      <c r="H6" t="s">
        <v>1668</v>
      </c>
      <c r="I6" t="s">
        <v>1054</v>
      </c>
      <c r="J6" t="s">
        <v>1044</v>
      </c>
      <c r="K6" t="s">
        <v>1054</v>
      </c>
      <c r="L6" t="s">
        <v>1198</v>
      </c>
    </row>
    <row r="7" spans="1:12" x14ac:dyDescent="0.25">
      <c r="A7" t="s">
        <v>1085</v>
      </c>
      <c r="B7" t="s">
        <v>1055</v>
      </c>
      <c r="C7" t="s">
        <v>1056</v>
      </c>
      <c r="D7" t="s">
        <v>1047</v>
      </c>
      <c r="E7" t="s">
        <v>26</v>
      </c>
      <c r="F7" t="s">
        <v>1054</v>
      </c>
      <c r="G7" t="s">
        <v>1054</v>
      </c>
      <c r="H7" t="s">
        <v>1125</v>
      </c>
      <c r="I7" t="s">
        <v>1147</v>
      </c>
      <c r="J7" t="s">
        <v>1093</v>
      </c>
      <c r="K7" t="s">
        <v>1044</v>
      </c>
      <c r="L7" t="s">
        <v>1212</v>
      </c>
    </row>
    <row r="8" spans="1:12" x14ac:dyDescent="0.25">
      <c r="A8" t="s">
        <v>1093</v>
      </c>
      <c r="B8" t="s">
        <v>1062</v>
      </c>
      <c r="C8" t="s">
        <v>1063</v>
      </c>
      <c r="D8" t="s">
        <v>1064</v>
      </c>
      <c r="E8" t="s">
        <v>1065</v>
      </c>
      <c r="F8" t="s">
        <v>1059</v>
      </c>
      <c r="G8" t="s">
        <v>1059</v>
      </c>
      <c r="H8" t="s">
        <v>1154</v>
      </c>
      <c r="I8" t="s">
        <v>1044</v>
      </c>
      <c r="J8" t="s">
        <v>1109</v>
      </c>
      <c r="K8" t="s">
        <v>1100</v>
      </c>
      <c r="L8" t="s">
        <v>1219</v>
      </c>
    </row>
    <row r="9" spans="1:12" x14ac:dyDescent="0.25">
      <c r="A9" t="s">
        <v>1100</v>
      </c>
      <c r="B9" t="s">
        <v>1070</v>
      </c>
      <c r="C9" t="s">
        <v>1071</v>
      </c>
      <c r="D9" t="s">
        <v>1047</v>
      </c>
      <c r="E9" t="s">
        <v>104</v>
      </c>
      <c r="F9" t="s">
        <v>1069</v>
      </c>
      <c r="G9" t="s">
        <v>1054</v>
      </c>
      <c r="H9" t="s">
        <v>1322</v>
      </c>
      <c r="I9" t="s">
        <v>1085</v>
      </c>
      <c r="J9" t="s">
        <v>1069</v>
      </c>
      <c r="K9" t="s">
        <v>1117</v>
      </c>
      <c r="L9" t="s">
        <v>1233</v>
      </c>
    </row>
    <row r="10" spans="1:12" x14ac:dyDescent="0.25">
      <c r="A10" t="s">
        <v>1109</v>
      </c>
      <c r="B10" t="s">
        <v>1088</v>
      </c>
      <c r="C10" t="s">
        <v>1089</v>
      </c>
      <c r="D10" t="s">
        <v>1064</v>
      </c>
      <c r="E10" t="s">
        <v>1090</v>
      </c>
      <c r="F10" t="s">
        <v>1085</v>
      </c>
      <c r="G10" t="s">
        <v>1117</v>
      </c>
      <c r="H10" t="s">
        <v>1044</v>
      </c>
      <c r="I10" t="s">
        <v>1100</v>
      </c>
      <c r="J10" t="s">
        <v>1078</v>
      </c>
      <c r="K10" t="s">
        <v>1233</v>
      </c>
      <c r="L10" t="s">
        <v>1261</v>
      </c>
    </row>
    <row r="11" spans="1:12" x14ac:dyDescent="0.25">
      <c r="A11" t="s">
        <v>1117</v>
      </c>
      <c r="B11" t="s">
        <v>1048</v>
      </c>
      <c r="C11" t="s">
        <v>1049</v>
      </c>
      <c r="D11" t="s">
        <v>1047</v>
      </c>
      <c r="E11" t="s">
        <v>26</v>
      </c>
      <c r="F11" t="s">
        <v>1044</v>
      </c>
      <c r="G11" t="s">
        <v>1044</v>
      </c>
      <c r="H11" t="s">
        <v>1668</v>
      </c>
      <c r="I11" t="s">
        <v>1044</v>
      </c>
      <c r="J11" t="s">
        <v>1191</v>
      </c>
      <c r="K11" t="s">
        <v>1141</v>
      </c>
      <c r="L11" t="s">
        <v>1304</v>
      </c>
    </row>
    <row r="12" spans="1:12" x14ac:dyDescent="0.25">
      <c r="A12" t="s">
        <v>1125</v>
      </c>
      <c r="B12" t="s">
        <v>1135</v>
      </c>
      <c r="C12" t="s">
        <v>1678</v>
      </c>
      <c r="D12" t="s">
        <v>1047</v>
      </c>
      <c r="E12" t="s">
        <v>23</v>
      </c>
      <c r="F12" t="s">
        <v>1134</v>
      </c>
      <c r="G12" t="s">
        <v>1044</v>
      </c>
      <c r="H12" t="s">
        <v>1069</v>
      </c>
      <c r="I12" t="s">
        <v>1183</v>
      </c>
      <c r="J12" t="s">
        <v>1175</v>
      </c>
      <c r="K12" t="s">
        <v>1069</v>
      </c>
      <c r="L12" t="s">
        <v>1329</v>
      </c>
    </row>
    <row r="13" spans="1:12" x14ac:dyDescent="0.25">
      <c r="A13" t="s">
        <v>1134</v>
      </c>
      <c r="B13" t="s">
        <v>1057</v>
      </c>
      <c r="C13" t="s">
        <v>1058</v>
      </c>
      <c r="D13" t="s">
        <v>1047</v>
      </c>
      <c r="E13" t="s">
        <v>104</v>
      </c>
      <c r="F13" t="s">
        <v>1059</v>
      </c>
      <c r="G13" t="s">
        <v>1059</v>
      </c>
      <c r="H13" t="s">
        <v>1134</v>
      </c>
      <c r="I13" t="s">
        <v>1168</v>
      </c>
      <c r="J13" t="s">
        <v>1134</v>
      </c>
      <c r="K13" t="s">
        <v>1154</v>
      </c>
      <c r="L13" t="s">
        <v>1368</v>
      </c>
    </row>
    <row r="14" spans="1:12" x14ac:dyDescent="0.25">
      <c r="A14" t="s">
        <v>1141</v>
      </c>
      <c r="B14" t="s">
        <v>1050</v>
      </c>
      <c r="C14" t="s">
        <v>1051</v>
      </c>
      <c r="D14" t="s">
        <v>1047</v>
      </c>
      <c r="E14" t="s">
        <v>1052</v>
      </c>
      <c r="F14" t="s">
        <v>1044</v>
      </c>
      <c r="G14" t="s">
        <v>1233</v>
      </c>
      <c r="H14" t="s">
        <v>1059</v>
      </c>
      <c r="I14" t="s">
        <v>1154</v>
      </c>
      <c r="J14" t="s">
        <v>1044</v>
      </c>
      <c r="K14" t="s">
        <v>1433</v>
      </c>
      <c r="L14" t="s">
        <v>1375</v>
      </c>
    </row>
    <row r="15" spans="1:12" x14ac:dyDescent="0.25">
      <c r="A15" t="s">
        <v>1147</v>
      </c>
      <c r="B15" t="s">
        <v>1104</v>
      </c>
      <c r="C15" t="s">
        <v>1105</v>
      </c>
      <c r="D15" t="s">
        <v>1047</v>
      </c>
      <c r="E15" t="s">
        <v>1077</v>
      </c>
      <c r="F15" t="s">
        <v>1100</v>
      </c>
      <c r="G15" t="s">
        <v>1254</v>
      </c>
      <c r="H15" t="s">
        <v>1044</v>
      </c>
      <c r="I15" t="s">
        <v>1505</v>
      </c>
      <c r="J15" t="s">
        <v>1069</v>
      </c>
      <c r="K15" t="s">
        <v>1078</v>
      </c>
      <c r="L15" t="s">
        <v>1383</v>
      </c>
    </row>
    <row r="16" spans="1:12" x14ac:dyDescent="0.25">
      <c r="A16" t="s">
        <v>1154</v>
      </c>
      <c r="B16" t="s">
        <v>1118</v>
      </c>
      <c r="C16" t="s">
        <v>1119</v>
      </c>
      <c r="D16" t="s">
        <v>1047</v>
      </c>
      <c r="E16" t="s">
        <v>26</v>
      </c>
      <c r="F16" t="s">
        <v>1117</v>
      </c>
      <c r="G16" t="s">
        <v>1134</v>
      </c>
      <c r="H16" t="s">
        <v>1668</v>
      </c>
      <c r="I16" t="s">
        <v>1054</v>
      </c>
      <c r="J16" t="s">
        <v>1154</v>
      </c>
      <c r="K16" t="s">
        <v>1109</v>
      </c>
      <c r="L16" t="s">
        <v>1390</v>
      </c>
    </row>
    <row r="17" spans="1:12" x14ac:dyDescent="0.25">
      <c r="A17" t="s">
        <v>1161</v>
      </c>
      <c r="B17" t="s">
        <v>1060</v>
      </c>
      <c r="C17" t="s">
        <v>1061</v>
      </c>
      <c r="D17" t="s">
        <v>1047</v>
      </c>
      <c r="E17" t="s">
        <v>26</v>
      </c>
      <c r="F17" t="s">
        <v>1059</v>
      </c>
      <c r="G17" t="s">
        <v>1495</v>
      </c>
      <c r="H17" t="s">
        <v>1069</v>
      </c>
      <c r="I17" t="s">
        <v>1059</v>
      </c>
      <c r="J17" t="s">
        <v>1085</v>
      </c>
      <c r="K17" t="s">
        <v>1304</v>
      </c>
      <c r="L17" t="s">
        <v>1418</v>
      </c>
    </row>
    <row r="18" spans="1:12" x14ac:dyDescent="0.25">
      <c r="A18" t="s">
        <v>1168</v>
      </c>
      <c r="B18" t="s">
        <v>1662</v>
      </c>
      <c r="C18" t="s">
        <v>1663</v>
      </c>
      <c r="D18" t="s">
        <v>1047</v>
      </c>
      <c r="E18" t="s">
        <v>21</v>
      </c>
      <c r="F18" t="s">
        <v>1668</v>
      </c>
      <c r="G18" t="s">
        <v>1125</v>
      </c>
      <c r="H18" t="s">
        <v>1059</v>
      </c>
      <c r="I18" t="s">
        <v>1069</v>
      </c>
      <c r="J18" t="s">
        <v>1100</v>
      </c>
      <c r="K18" t="s">
        <v>1233</v>
      </c>
      <c r="L18" t="s">
        <v>1418</v>
      </c>
    </row>
    <row r="19" spans="1:12" x14ac:dyDescent="0.25">
      <c r="A19" t="s">
        <v>1175</v>
      </c>
      <c r="B19" t="s">
        <v>1676</v>
      </c>
      <c r="C19" t="s">
        <v>1511</v>
      </c>
      <c r="D19" t="s">
        <v>1047</v>
      </c>
      <c r="E19" t="s">
        <v>17</v>
      </c>
      <c r="F19" t="s">
        <v>1510</v>
      </c>
      <c r="G19" t="s">
        <v>1134</v>
      </c>
      <c r="H19" t="s">
        <v>1183</v>
      </c>
      <c r="I19" t="s">
        <v>1908</v>
      </c>
      <c r="J19" t="s">
        <v>1078</v>
      </c>
      <c r="K19" t="s">
        <v>1078</v>
      </c>
      <c r="L19" t="s">
        <v>1418</v>
      </c>
    </row>
    <row r="20" spans="1:12" x14ac:dyDescent="0.25">
      <c r="A20" t="s">
        <v>1183</v>
      </c>
      <c r="B20" t="s">
        <v>1142</v>
      </c>
      <c r="C20" t="s">
        <v>1143</v>
      </c>
      <c r="D20" t="s">
        <v>1047</v>
      </c>
      <c r="E20" t="s">
        <v>26</v>
      </c>
      <c r="F20" t="s">
        <v>1141</v>
      </c>
      <c r="G20" t="s">
        <v>1093</v>
      </c>
      <c r="H20" t="s">
        <v>1147</v>
      </c>
      <c r="I20" t="s">
        <v>1125</v>
      </c>
      <c r="J20" t="s">
        <v>1183</v>
      </c>
      <c r="K20" t="s">
        <v>1125</v>
      </c>
      <c r="L20" t="s">
        <v>1448</v>
      </c>
    </row>
    <row r="21" spans="1:12" x14ac:dyDescent="0.25">
      <c r="A21" t="s">
        <v>1191</v>
      </c>
      <c r="B21" t="s">
        <v>1066</v>
      </c>
      <c r="C21" t="s">
        <v>1067</v>
      </c>
      <c r="D21" t="s">
        <v>1064</v>
      </c>
      <c r="E21" t="s">
        <v>1068</v>
      </c>
      <c r="F21" t="s">
        <v>1069</v>
      </c>
      <c r="G21" t="s">
        <v>1161</v>
      </c>
      <c r="H21" t="s">
        <v>1054</v>
      </c>
      <c r="I21" t="s">
        <v>1268</v>
      </c>
      <c r="J21" t="s">
        <v>1117</v>
      </c>
      <c r="K21" t="s">
        <v>1668</v>
      </c>
      <c r="L21" t="s">
        <v>1490</v>
      </c>
    </row>
    <row r="22" spans="1:12" x14ac:dyDescent="0.25">
      <c r="A22" t="s">
        <v>1198</v>
      </c>
      <c r="B22" t="s">
        <v>1181</v>
      </c>
      <c r="C22" t="s">
        <v>1182</v>
      </c>
      <c r="D22" t="s">
        <v>1047</v>
      </c>
      <c r="E22" t="s">
        <v>17</v>
      </c>
      <c r="F22" t="s">
        <v>1183</v>
      </c>
      <c r="G22" t="s">
        <v>1205</v>
      </c>
      <c r="H22" t="s">
        <v>1093</v>
      </c>
      <c r="I22" t="s">
        <v>1134</v>
      </c>
      <c r="J22" t="s">
        <v>1093</v>
      </c>
      <c r="K22" t="s">
        <v>1175</v>
      </c>
      <c r="L22" t="s">
        <v>1490</v>
      </c>
    </row>
    <row r="23" spans="1:12" x14ac:dyDescent="0.25">
      <c r="A23" t="s">
        <v>1205</v>
      </c>
      <c r="B23" t="s">
        <v>1150</v>
      </c>
      <c r="C23" t="s">
        <v>1151</v>
      </c>
      <c r="D23" t="s">
        <v>1047</v>
      </c>
      <c r="E23" t="s">
        <v>9</v>
      </c>
      <c r="F23" t="s">
        <v>1147</v>
      </c>
      <c r="G23" t="s">
        <v>1147</v>
      </c>
      <c r="H23" t="s">
        <v>1198</v>
      </c>
      <c r="I23" t="s">
        <v>1154</v>
      </c>
      <c r="J23" t="s">
        <v>1670</v>
      </c>
      <c r="K23" t="s">
        <v>1069</v>
      </c>
      <c r="L23" t="s">
        <v>1514</v>
      </c>
    </row>
    <row r="24" spans="1:12" x14ac:dyDescent="0.25">
      <c r="A24" t="s">
        <v>1212</v>
      </c>
      <c r="B24" t="s">
        <v>1096</v>
      </c>
      <c r="C24" t="s">
        <v>1097</v>
      </c>
      <c r="D24" t="s">
        <v>1047</v>
      </c>
      <c r="E24" t="s">
        <v>11</v>
      </c>
      <c r="F24" t="s">
        <v>1093</v>
      </c>
      <c r="G24" t="s">
        <v>1469</v>
      </c>
      <c r="H24" t="s">
        <v>1085</v>
      </c>
      <c r="I24" t="s">
        <v>1161</v>
      </c>
      <c r="J24" t="s">
        <v>1226</v>
      </c>
      <c r="K24" t="s">
        <v>1147</v>
      </c>
      <c r="L24" t="s">
        <v>1514</v>
      </c>
    </row>
    <row r="25" spans="1:12" x14ac:dyDescent="0.25">
      <c r="A25" t="s">
        <v>1219</v>
      </c>
      <c r="B25" t="s">
        <v>1625</v>
      </c>
      <c r="C25" t="s">
        <v>1626</v>
      </c>
      <c r="D25" t="s">
        <v>1047</v>
      </c>
      <c r="E25" t="s">
        <v>17</v>
      </c>
      <c r="F25" t="s">
        <v>1669</v>
      </c>
      <c r="G25" t="s">
        <v>1085</v>
      </c>
      <c r="H25" t="s">
        <v>1141</v>
      </c>
      <c r="I25" t="s">
        <v>1125</v>
      </c>
      <c r="J25" t="s">
        <v>1198</v>
      </c>
      <c r="K25" t="s">
        <v>1168</v>
      </c>
      <c r="L25" t="s">
        <v>1514</v>
      </c>
    </row>
    <row r="26" spans="1:12" x14ac:dyDescent="0.25">
      <c r="A26" t="s">
        <v>1226</v>
      </c>
      <c r="B26" t="s">
        <v>1206</v>
      </c>
      <c r="C26" t="s">
        <v>1207</v>
      </c>
      <c r="D26" t="s">
        <v>1047</v>
      </c>
      <c r="E26" t="s">
        <v>16</v>
      </c>
      <c r="F26" t="s">
        <v>1205</v>
      </c>
      <c r="G26" t="s">
        <v>1154</v>
      </c>
      <c r="H26" t="s">
        <v>1054</v>
      </c>
      <c r="I26" t="s">
        <v>1205</v>
      </c>
      <c r="J26" t="s">
        <v>1390</v>
      </c>
      <c r="K26" t="s">
        <v>1109</v>
      </c>
      <c r="L26" t="s">
        <v>1524</v>
      </c>
    </row>
    <row r="27" spans="1:12" x14ac:dyDescent="0.25">
      <c r="A27" t="s">
        <v>1233</v>
      </c>
      <c r="B27" t="s">
        <v>1222</v>
      </c>
      <c r="C27" t="s">
        <v>1223</v>
      </c>
      <c r="D27" t="s">
        <v>1064</v>
      </c>
      <c r="E27" t="s">
        <v>1131</v>
      </c>
      <c r="F27" t="s">
        <v>1219</v>
      </c>
      <c r="G27" t="s">
        <v>1147</v>
      </c>
      <c r="H27" t="s">
        <v>1849</v>
      </c>
      <c r="I27" t="s">
        <v>1117</v>
      </c>
      <c r="J27" t="s">
        <v>1109</v>
      </c>
      <c r="K27" t="s">
        <v>1175</v>
      </c>
      <c r="L27" t="s">
        <v>1524</v>
      </c>
    </row>
    <row r="28" spans="1:12" x14ac:dyDescent="0.25">
      <c r="A28" t="s">
        <v>1240</v>
      </c>
      <c r="B28" t="s">
        <v>1257</v>
      </c>
      <c r="C28" t="s">
        <v>1258</v>
      </c>
      <c r="D28" t="s">
        <v>1047</v>
      </c>
      <c r="E28" t="s">
        <v>8</v>
      </c>
      <c r="F28" t="s">
        <v>1254</v>
      </c>
      <c r="G28" t="s">
        <v>1175</v>
      </c>
      <c r="H28" t="s">
        <v>1069</v>
      </c>
      <c r="I28" t="s">
        <v>1322</v>
      </c>
      <c r="J28" t="s">
        <v>1093</v>
      </c>
      <c r="K28" t="s">
        <v>1141</v>
      </c>
      <c r="L28" t="s">
        <v>1529</v>
      </c>
    </row>
    <row r="29" spans="1:12" x14ac:dyDescent="0.25">
      <c r="A29" t="s">
        <v>1247</v>
      </c>
      <c r="B29" t="s">
        <v>1588</v>
      </c>
      <c r="C29" t="s">
        <v>1589</v>
      </c>
      <c r="D29" t="s">
        <v>1047</v>
      </c>
      <c r="E29" t="s">
        <v>21</v>
      </c>
      <c r="F29" t="s">
        <v>1668</v>
      </c>
      <c r="G29" t="s">
        <v>1069</v>
      </c>
      <c r="H29" t="s">
        <v>1233</v>
      </c>
      <c r="I29" t="s">
        <v>1069</v>
      </c>
      <c r="J29" t="s">
        <v>1191</v>
      </c>
      <c r="K29" t="s">
        <v>1183</v>
      </c>
      <c r="L29" t="s">
        <v>1538</v>
      </c>
    </row>
    <row r="30" spans="1:12" x14ac:dyDescent="0.25">
      <c r="A30" t="s">
        <v>1254</v>
      </c>
      <c r="B30" t="s">
        <v>1199</v>
      </c>
      <c r="C30" t="s">
        <v>1200</v>
      </c>
      <c r="D30" t="s">
        <v>1047</v>
      </c>
      <c r="E30" t="s">
        <v>21</v>
      </c>
      <c r="F30" t="s">
        <v>1198</v>
      </c>
      <c r="G30" t="s">
        <v>1191</v>
      </c>
      <c r="H30" t="s">
        <v>1117</v>
      </c>
      <c r="I30" t="s">
        <v>1275</v>
      </c>
      <c r="J30" t="s">
        <v>1175</v>
      </c>
      <c r="K30" t="s">
        <v>1069</v>
      </c>
      <c r="L30" t="s">
        <v>1538</v>
      </c>
    </row>
    <row r="31" spans="1:12" x14ac:dyDescent="0.25">
      <c r="A31" t="s">
        <v>1261</v>
      </c>
      <c r="B31" t="s">
        <v>1208</v>
      </c>
      <c r="C31" t="s">
        <v>1209</v>
      </c>
      <c r="D31" t="s">
        <v>1047</v>
      </c>
      <c r="E31" t="s">
        <v>17</v>
      </c>
      <c r="F31" t="s">
        <v>1205</v>
      </c>
      <c r="G31" t="s">
        <v>1100</v>
      </c>
      <c r="H31" t="s">
        <v>1668</v>
      </c>
      <c r="I31" t="s">
        <v>1078</v>
      </c>
      <c r="J31" t="s">
        <v>1168</v>
      </c>
      <c r="K31" t="s">
        <v>1198</v>
      </c>
      <c r="L31" t="s">
        <v>1538</v>
      </c>
    </row>
    <row r="32" spans="1:12" x14ac:dyDescent="0.25">
      <c r="A32" t="s">
        <v>1268</v>
      </c>
      <c r="B32" t="s">
        <v>1079</v>
      </c>
      <c r="C32" t="s">
        <v>1080</v>
      </c>
      <c r="D32" t="s">
        <v>1047</v>
      </c>
      <c r="E32" t="s">
        <v>33</v>
      </c>
      <c r="F32" t="s">
        <v>1078</v>
      </c>
      <c r="G32" t="s">
        <v>1403</v>
      </c>
      <c r="H32" t="s">
        <v>1212</v>
      </c>
      <c r="I32" t="s">
        <v>1254</v>
      </c>
      <c r="J32" t="s">
        <v>1125</v>
      </c>
      <c r="K32" t="s">
        <v>1085</v>
      </c>
      <c r="L32" t="s">
        <v>1542</v>
      </c>
    </row>
    <row r="33" spans="1:12" x14ac:dyDescent="0.25">
      <c r="A33" t="s">
        <v>1275</v>
      </c>
      <c r="B33" t="s">
        <v>1231</v>
      </c>
      <c r="C33" t="s">
        <v>1232</v>
      </c>
      <c r="D33" t="s">
        <v>1122</v>
      </c>
      <c r="E33" t="s">
        <v>21</v>
      </c>
      <c r="F33" t="s">
        <v>1233</v>
      </c>
      <c r="G33" t="s">
        <v>1141</v>
      </c>
      <c r="H33" t="s">
        <v>1485</v>
      </c>
      <c r="I33" t="s">
        <v>1904</v>
      </c>
      <c r="J33" t="s">
        <v>1134</v>
      </c>
      <c r="K33" t="s">
        <v>1117</v>
      </c>
      <c r="L33" t="s">
        <v>1542</v>
      </c>
    </row>
    <row r="34" spans="1:12" x14ac:dyDescent="0.25">
      <c r="A34" t="s">
        <v>1282</v>
      </c>
      <c r="B34" t="s">
        <v>1132</v>
      </c>
      <c r="C34" t="s">
        <v>1133</v>
      </c>
      <c r="D34" t="s">
        <v>1047</v>
      </c>
      <c r="E34" t="s">
        <v>104</v>
      </c>
      <c r="F34" t="s">
        <v>1134</v>
      </c>
      <c r="G34" t="s">
        <v>1109</v>
      </c>
      <c r="H34" t="s">
        <v>1175</v>
      </c>
      <c r="I34" t="s">
        <v>1383</v>
      </c>
      <c r="J34" t="s">
        <v>1282</v>
      </c>
      <c r="K34" t="s">
        <v>1078</v>
      </c>
      <c r="L34" t="s">
        <v>1557</v>
      </c>
    </row>
    <row r="35" spans="1:12" x14ac:dyDescent="0.25">
      <c r="A35" t="s">
        <v>1289</v>
      </c>
      <c r="B35" t="s">
        <v>1213</v>
      </c>
      <c r="C35" t="s">
        <v>1214</v>
      </c>
      <c r="D35" t="s">
        <v>1064</v>
      </c>
      <c r="E35" t="s">
        <v>1103</v>
      </c>
      <c r="F35" t="s">
        <v>1212</v>
      </c>
      <c r="G35" t="s">
        <v>1141</v>
      </c>
      <c r="H35" t="s">
        <v>1329</v>
      </c>
      <c r="I35" t="s">
        <v>1117</v>
      </c>
      <c r="J35" t="s">
        <v>1141</v>
      </c>
      <c r="K35" t="s">
        <v>1175</v>
      </c>
      <c r="L35" t="s">
        <v>1557</v>
      </c>
    </row>
    <row r="36" spans="1:12" x14ac:dyDescent="0.25">
      <c r="A36" t="s">
        <v>1296</v>
      </c>
      <c r="B36" t="s">
        <v>1173</v>
      </c>
      <c r="C36" t="s">
        <v>1174</v>
      </c>
      <c r="D36" t="s">
        <v>1047</v>
      </c>
      <c r="E36" t="s">
        <v>9</v>
      </c>
      <c r="F36" t="s">
        <v>1175</v>
      </c>
      <c r="G36" t="s">
        <v>1175</v>
      </c>
      <c r="H36" t="s">
        <v>1226</v>
      </c>
      <c r="I36" t="s">
        <v>1147</v>
      </c>
      <c r="J36" t="s">
        <v>1212</v>
      </c>
      <c r="K36" t="s">
        <v>1085</v>
      </c>
      <c r="L36" t="s">
        <v>1566</v>
      </c>
    </row>
    <row r="37" spans="1:12" x14ac:dyDescent="0.25">
      <c r="A37" t="s">
        <v>1304</v>
      </c>
      <c r="B37" t="s">
        <v>1210</v>
      </c>
      <c r="C37" t="s">
        <v>1211</v>
      </c>
      <c r="D37" t="s">
        <v>1047</v>
      </c>
      <c r="E37" t="s">
        <v>1052</v>
      </c>
      <c r="F37" t="s">
        <v>1212</v>
      </c>
      <c r="G37" t="s">
        <v>1154</v>
      </c>
      <c r="H37" t="s">
        <v>1668</v>
      </c>
      <c r="I37" t="s">
        <v>1175</v>
      </c>
      <c r="J37" t="s">
        <v>1100</v>
      </c>
      <c r="K37" t="s">
        <v>1154</v>
      </c>
      <c r="L37" t="s">
        <v>1566</v>
      </c>
    </row>
    <row r="38" spans="1:12" x14ac:dyDescent="0.25">
      <c r="A38" t="s">
        <v>1311</v>
      </c>
      <c r="B38" t="s">
        <v>1276</v>
      </c>
      <c r="C38" t="s">
        <v>1277</v>
      </c>
      <c r="D38" t="s">
        <v>1064</v>
      </c>
      <c r="E38" t="s">
        <v>1190</v>
      </c>
      <c r="F38" t="s">
        <v>1275</v>
      </c>
      <c r="G38" t="s">
        <v>1161</v>
      </c>
      <c r="H38" t="s">
        <v>1117</v>
      </c>
      <c r="I38" t="s">
        <v>1354</v>
      </c>
      <c r="J38" t="s">
        <v>1161</v>
      </c>
      <c r="K38" t="s">
        <v>1093</v>
      </c>
      <c r="L38" t="s">
        <v>1574</v>
      </c>
    </row>
    <row r="39" spans="1:12" x14ac:dyDescent="0.25">
      <c r="A39" t="s">
        <v>1322</v>
      </c>
      <c r="B39" t="s">
        <v>1139</v>
      </c>
      <c r="C39" t="s">
        <v>1140</v>
      </c>
      <c r="D39" t="s">
        <v>1047</v>
      </c>
      <c r="E39" t="s">
        <v>11</v>
      </c>
      <c r="F39" t="s">
        <v>1141</v>
      </c>
      <c r="G39" t="s">
        <v>1198</v>
      </c>
      <c r="H39" t="s">
        <v>1100</v>
      </c>
      <c r="I39" t="s">
        <v>1100</v>
      </c>
      <c r="J39" t="s">
        <v>1275</v>
      </c>
      <c r="K39" t="s">
        <v>1282</v>
      </c>
      <c r="L39" t="s">
        <v>1577</v>
      </c>
    </row>
    <row r="40" spans="1:12" x14ac:dyDescent="0.25">
      <c r="A40" t="s">
        <v>1329</v>
      </c>
      <c r="B40" t="s">
        <v>1113</v>
      </c>
      <c r="C40" t="s">
        <v>1114</v>
      </c>
      <c r="D40" t="s">
        <v>1047</v>
      </c>
      <c r="E40" t="s">
        <v>26</v>
      </c>
      <c r="F40" t="s">
        <v>1666</v>
      </c>
      <c r="G40" t="s">
        <v>1261</v>
      </c>
      <c r="H40" t="s">
        <v>1085</v>
      </c>
      <c r="I40" t="s">
        <v>1141</v>
      </c>
      <c r="J40" t="s">
        <v>1226</v>
      </c>
      <c r="K40" t="s">
        <v>1425</v>
      </c>
      <c r="L40" t="s">
        <v>1679</v>
      </c>
    </row>
    <row r="41" spans="1:12" x14ac:dyDescent="0.25">
      <c r="A41" t="s">
        <v>1336</v>
      </c>
      <c r="B41" t="s">
        <v>1215</v>
      </c>
      <c r="C41" t="s">
        <v>1216</v>
      </c>
      <c r="D41" t="s">
        <v>1047</v>
      </c>
      <c r="E41" t="s">
        <v>5</v>
      </c>
      <c r="F41" t="s">
        <v>1212</v>
      </c>
      <c r="G41" t="s">
        <v>1059</v>
      </c>
      <c r="H41" t="s">
        <v>1668</v>
      </c>
      <c r="I41" t="s">
        <v>1289</v>
      </c>
      <c r="J41" t="s">
        <v>1085</v>
      </c>
      <c r="K41" t="s">
        <v>1191</v>
      </c>
      <c r="L41" t="s">
        <v>1681</v>
      </c>
    </row>
    <row r="42" spans="1:12" x14ac:dyDescent="0.25">
      <c r="A42" t="s">
        <v>1343</v>
      </c>
      <c r="B42" t="s">
        <v>1184</v>
      </c>
      <c r="C42" t="s">
        <v>1185</v>
      </c>
      <c r="D42" t="s">
        <v>1047</v>
      </c>
      <c r="E42" t="s">
        <v>1052</v>
      </c>
      <c r="F42" t="s">
        <v>1183</v>
      </c>
      <c r="G42" t="s">
        <v>1109</v>
      </c>
      <c r="H42" t="s">
        <v>1247</v>
      </c>
      <c r="I42" t="s">
        <v>1282</v>
      </c>
      <c r="J42" t="s">
        <v>1154</v>
      </c>
      <c r="K42" t="s">
        <v>1168</v>
      </c>
      <c r="L42" t="s">
        <v>1682</v>
      </c>
    </row>
    <row r="43" spans="1:12" x14ac:dyDescent="0.25">
      <c r="A43" t="s">
        <v>1349</v>
      </c>
      <c r="B43" t="s">
        <v>1252</v>
      </c>
      <c r="C43" t="s">
        <v>1253</v>
      </c>
      <c r="D43" t="s">
        <v>1047</v>
      </c>
      <c r="E43" t="s">
        <v>63</v>
      </c>
      <c r="F43" t="s">
        <v>1254</v>
      </c>
      <c r="G43" t="s">
        <v>1198</v>
      </c>
      <c r="H43" t="s">
        <v>1100</v>
      </c>
      <c r="I43" t="s">
        <v>1425</v>
      </c>
      <c r="J43" t="s">
        <v>1247</v>
      </c>
      <c r="K43" t="s">
        <v>1059</v>
      </c>
      <c r="L43" t="s">
        <v>1683</v>
      </c>
    </row>
    <row r="44" spans="1:12" x14ac:dyDescent="0.25">
      <c r="A44" t="s">
        <v>1354</v>
      </c>
      <c r="B44" t="s">
        <v>1672</v>
      </c>
      <c r="C44" t="s">
        <v>1053</v>
      </c>
      <c r="D44" t="s">
        <v>1047</v>
      </c>
      <c r="E44" t="s">
        <v>16</v>
      </c>
      <c r="F44" t="s">
        <v>1054</v>
      </c>
      <c r="G44" t="s">
        <v>1093</v>
      </c>
      <c r="H44" t="s">
        <v>1668</v>
      </c>
      <c r="I44" t="s">
        <v>1161</v>
      </c>
      <c r="J44" t="s">
        <v>1261</v>
      </c>
      <c r="K44" t="s">
        <v>1296</v>
      </c>
      <c r="L44" t="s">
        <v>1684</v>
      </c>
    </row>
    <row r="45" spans="1:12" x14ac:dyDescent="0.25">
      <c r="A45" t="s">
        <v>1361</v>
      </c>
      <c r="B45" t="s">
        <v>1201</v>
      </c>
      <c r="C45" t="s">
        <v>1202</v>
      </c>
      <c r="D45" t="s">
        <v>1047</v>
      </c>
      <c r="E45" t="s">
        <v>23</v>
      </c>
      <c r="F45" t="s">
        <v>1198</v>
      </c>
      <c r="G45" t="s">
        <v>1100</v>
      </c>
      <c r="H45" t="s">
        <v>1296</v>
      </c>
      <c r="I45" t="s">
        <v>1219</v>
      </c>
      <c r="J45" t="s">
        <v>1085</v>
      </c>
      <c r="K45" t="s">
        <v>1268</v>
      </c>
      <c r="L45" t="s">
        <v>1684</v>
      </c>
    </row>
    <row r="46" spans="1:12" x14ac:dyDescent="0.25">
      <c r="A46" t="s">
        <v>1368</v>
      </c>
      <c r="B46" t="s">
        <v>1285</v>
      </c>
      <c r="C46" t="s">
        <v>1286</v>
      </c>
      <c r="D46" t="s">
        <v>1047</v>
      </c>
      <c r="E46" t="s">
        <v>5</v>
      </c>
      <c r="F46" t="s">
        <v>1282</v>
      </c>
      <c r="G46" t="s">
        <v>1268</v>
      </c>
      <c r="H46" t="s">
        <v>1134</v>
      </c>
      <c r="I46" t="s">
        <v>1480</v>
      </c>
      <c r="J46" t="s">
        <v>1069</v>
      </c>
      <c r="K46" t="s">
        <v>1125</v>
      </c>
      <c r="L46" t="s">
        <v>1685</v>
      </c>
    </row>
    <row r="47" spans="1:12" x14ac:dyDescent="0.25">
      <c r="A47" t="s">
        <v>1375</v>
      </c>
      <c r="B47" t="s">
        <v>1166</v>
      </c>
      <c r="C47" t="s">
        <v>1167</v>
      </c>
      <c r="D47" t="s">
        <v>1047</v>
      </c>
      <c r="E47" t="s">
        <v>5</v>
      </c>
      <c r="F47" t="s">
        <v>1168</v>
      </c>
      <c r="G47" t="s">
        <v>1261</v>
      </c>
      <c r="H47" t="s">
        <v>1085</v>
      </c>
      <c r="I47" t="s">
        <v>1205</v>
      </c>
      <c r="J47" t="s">
        <v>1233</v>
      </c>
      <c r="K47" t="s">
        <v>1191</v>
      </c>
      <c r="L47" t="s">
        <v>1685</v>
      </c>
    </row>
    <row r="48" spans="1:12" x14ac:dyDescent="0.25">
      <c r="A48" t="s">
        <v>1383</v>
      </c>
      <c r="B48" t="s">
        <v>1098</v>
      </c>
      <c r="C48" t="s">
        <v>1099</v>
      </c>
      <c r="D48" t="s">
        <v>1047</v>
      </c>
      <c r="E48" t="s">
        <v>10</v>
      </c>
      <c r="F48" t="s">
        <v>1100</v>
      </c>
      <c r="G48" t="s">
        <v>1078</v>
      </c>
      <c r="H48" t="s">
        <v>1078</v>
      </c>
      <c r="I48" t="s">
        <v>1403</v>
      </c>
      <c r="J48" t="s">
        <v>1247</v>
      </c>
      <c r="K48" t="s">
        <v>1375</v>
      </c>
      <c r="L48" t="s">
        <v>1686</v>
      </c>
    </row>
    <row r="49" spans="1:12" x14ac:dyDescent="0.25">
      <c r="A49" t="s">
        <v>1390</v>
      </c>
      <c r="B49" t="s">
        <v>1656</v>
      </c>
      <c r="C49" t="s">
        <v>1657</v>
      </c>
      <c r="D49" t="s">
        <v>1047</v>
      </c>
      <c r="E49" t="s">
        <v>5</v>
      </c>
      <c r="F49" t="s">
        <v>1668</v>
      </c>
      <c r="G49" t="s">
        <v>1205</v>
      </c>
      <c r="H49" t="s">
        <v>1147</v>
      </c>
      <c r="I49" t="s">
        <v>1254</v>
      </c>
      <c r="J49" t="s">
        <v>1240</v>
      </c>
      <c r="K49" t="s">
        <v>1044</v>
      </c>
      <c r="L49" t="s">
        <v>1687</v>
      </c>
    </row>
    <row r="50" spans="1:12" x14ac:dyDescent="0.25">
      <c r="A50" t="s">
        <v>1397</v>
      </c>
      <c r="B50" t="s">
        <v>1110</v>
      </c>
      <c r="C50" t="s">
        <v>1111</v>
      </c>
      <c r="D50" t="s">
        <v>1047</v>
      </c>
      <c r="E50" t="s">
        <v>22</v>
      </c>
      <c r="F50" t="s">
        <v>1109</v>
      </c>
      <c r="G50" t="s">
        <v>1852</v>
      </c>
      <c r="H50" t="s">
        <v>1418</v>
      </c>
      <c r="I50" t="s">
        <v>1093</v>
      </c>
      <c r="J50" t="s">
        <v>1100</v>
      </c>
      <c r="K50" t="s">
        <v>1168</v>
      </c>
      <c r="L50" t="s">
        <v>1687</v>
      </c>
    </row>
    <row r="51" spans="1:12" x14ac:dyDescent="0.25">
      <c r="A51" t="s">
        <v>1403</v>
      </c>
      <c r="B51" t="s">
        <v>1458</v>
      </c>
      <c r="C51" t="s">
        <v>1459</v>
      </c>
      <c r="D51" t="s">
        <v>1047</v>
      </c>
      <c r="E51" t="s">
        <v>5</v>
      </c>
      <c r="F51" t="s">
        <v>1455</v>
      </c>
      <c r="G51" t="s">
        <v>1161</v>
      </c>
      <c r="H51" t="s">
        <v>1109</v>
      </c>
      <c r="I51" t="s">
        <v>1233</v>
      </c>
      <c r="J51" t="s">
        <v>1168</v>
      </c>
      <c r="K51" t="s">
        <v>1226</v>
      </c>
      <c r="L51" t="s">
        <v>1687</v>
      </c>
    </row>
    <row r="52" spans="1:12" x14ac:dyDescent="0.25">
      <c r="A52" t="s">
        <v>1409</v>
      </c>
      <c r="B52" t="s">
        <v>1604</v>
      </c>
      <c r="C52" t="s">
        <v>1605</v>
      </c>
      <c r="D52" t="s">
        <v>1047</v>
      </c>
      <c r="E52" t="s">
        <v>104</v>
      </c>
      <c r="F52" t="s">
        <v>1668</v>
      </c>
      <c r="G52" t="s">
        <v>1168</v>
      </c>
      <c r="H52" t="s">
        <v>1368</v>
      </c>
      <c r="I52" t="s">
        <v>1141</v>
      </c>
      <c r="J52" t="s">
        <v>1125</v>
      </c>
      <c r="K52" t="s">
        <v>1100</v>
      </c>
      <c r="L52" t="s">
        <v>1688</v>
      </c>
    </row>
    <row r="53" spans="1:12" x14ac:dyDescent="0.25">
      <c r="A53" t="s">
        <v>1418</v>
      </c>
      <c r="B53" t="s">
        <v>1673</v>
      </c>
      <c r="C53" t="s">
        <v>1112</v>
      </c>
      <c r="D53" t="s">
        <v>1047</v>
      </c>
      <c r="E53" t="s">
        <v>26</v>
      </c>
      <c r="F53" t="s">
        <v>1109</v>
      </c>
      <c r="G53" t="s">
        <v>1141</v>
      </c>
      <c r="H53" t="s">
        <v>1329</v>
      </c>
      <c r="I53" t="s">
        <v>1168</v>
      </c>
      <c r="J53" t="s">
        <v>1668</v>
      </c>
      <c r="K53" t="s">
        <v>1161</v>
      </c>
      <c r="L53" t="s">
        <v>1688</v>
      </c>
    </row>
    <row r="54" spans="1:12" x14ac:dyDescent="0.25">
      <c r="A54" t="s">
        <v>1425</v>
      </c>
      <c r="B54" t="s">
        <v>1115</v>
      </c>
      <c r="C54" t="s">
        <v>1116</v>
      </c>
      <c r="D54" t="s">
        <v>1047</v>
      </c>
      <c r="E54" t="s">
        <v>26</v>
      </c>
      <c r="F54" t="s">
        <v>1117</v>
      </c>
      <c r="G54" t="s">
        <v>1505</v>
      </c>
      <c r="H54" t="s">
        <v>1289</v>
      </c>
      <c r="I54" t="s">
        <v>1219</v>
      </c>
      <c r="J54" t="s">
        <v>1175</v>
      </c>
      <c r="K54" t="s">
        <v>1134</v>
      </c>
      <c r="L54" t="s">
        <v>1692</v>
      </c>
    </row>
    <row r="55" spans="1:12" x14ac:dyDescent="0.25">
      <c r="A55" t="s">
        <v>1433</v>
      </c>
      <c r="B55" t="s">
        <v>1176</v>
      </c>
      <c r="C55" t="s">
        <v>1177</v>
      </c>
      <c r="D55" t="s">
        <v>1064</v>
      </c>
      <c r="E55" t="s">
        <v>1178</v>
      </c>
      <c r="F55" t="s">
        <v>1175</v>
      </c>
      <c r="G55" t="s">
        <v>1850</v>
      </c>
      <c r="H55" t="s">
        <v>1254</v>
      </c>
      <c r="I55" t="s">
        <v>1069</v>
      </c>
      <c r="J55" t="s">
        <v>1329</v>
      </c>
      <c r="K55" t="s">
        <v>1668</v>
      </c>
      <c r="L55" t="s">
        <v>1698</v>
      </c>
    </row>
    <row r="56" spans="1:12" x14ac:dyDescent="0.25">
      <c r="A56" t="s">
        <v>1440</v>
      </c>
      <c r="B56" t="s">
        <v>1438</v>
      </c>
      <c r="C56" t="s">
        <v>1439</v>
      </c>
      <c r="D56" t="s">
        <v>1047</v>
      </c>
      <c r="E56" t="s">
        <v>9</v>
      </c>
      <c r="F56" t="s">
        <v>1440</v>
      </c>
      <c r="G56" t="s">
        <v>1852</v>
      </c>
      <c r="H56" t="s">
        <v>1093</v>
      </c>
      <c r="I56" t="s">
        <v>1093</v>
      </c>
      <c r="J56" t="s">
        <v>1134</v>
      </c>
      <c r="K56" t="s">
        <v>1212</v>
      </c>
      <c r="L56" t="s">
        <v>1698</v>
      </c>
    </row>
    <row r="57" spans="1:12" x14ac:dyDescent="0.25">
      <c r="A57" t="s">
        <v>1448</v>
      </c>
      <c r="B57" t="s">
        <v>1192</v>
      </c>
      <c r="C57" t="s">
        <v>1193</v>
      </c>
      <c r="D57" t="s">
        <v>1047</v>
      </c>
      <c r="E57" t="s">
        <v>21</v>
      </c>
      <c r="F57" t="s">
        <v>1191</v>
      </c>
      <c r="G57" t="s">
        <v>1329</v>
      </c>
      <c r="H57" t="s">
        <v>1282</v>
      </c>
      <c r="I57" t="s">
        <v>1198</v>
      </c>
      <c r="J57" t="s">
        <v>1125</v>
      </c>
      <c r="K57" t="s">
        <v>1198</v>
      </c>
      <c r="L57" t="s">
        <v>1700</v>
      </c>
    </row>
    <row r="58" spans="1:12" x14ac:dyDescent="0.25">
      <c r="A58" t="s">
        <v>1455</v>
      </c>
      <c r="B58" t="s">
        <v>1590</v>
      </c>
      <c r="C58" t="s">
        <v>1591</v>
      </c>
      <c r="D58" t="s">
        <v>1064</v>
      </c>
      <c r="E58" t="s">
        <v>1103</v>
      </c>
      <c r="F58" t="s">
        <v>1668</v>
      </c>
      <c r="G58" t="s">
        <v>1054</v>
      </c>
      <c r="H58" t="s">
        <v>1668</v>
      </c>
      <c r="I58" t="s">
        <v>1085</v>
      </c>
      <c r="J58" t="s">
        <v>1059</v>
      </c>
      <c r="K58" t="s">
        <v>1093</v>
      </c>
      <c r="L58" t="s">
        <v>1701</v>
      </c>
    </row>
    <row r="59" spans="1:12" x14ac:dyDescent="0.25">
      <c r="A59" t="s">
        <v>1462</v>
      </c>
      <c r="B59" t="s">
        <v>1224</v>
      </c>
      <c r="C59" t="s">
        <v>1225</v>
      </c>
      <c r="D59" t="s">
        <v>1064</v>
      </c>
      <c r="E59" t="s">
        <v>1146</v>
      </c>
      <c r="F59" t="s">
        <v>1226</v>
      </c>
      <c r="G59" t="s">
        <v>1289</v>
      </c>
      <c r="H59" t="s">
        <v>1336</v>
      </c>
      <c r="I59" t="s">
        <v>1085</v>
      </c>
      <c r="J59" t="s">
        <v>1304</v>
      </c>
      <c r="K59" t="s">
        <v>1085</v>
      </c>
      <c r="L59" t="s">
        <v>1701</v>
      </c>
    </row>
    <row r="60" spans="1:12" x14ac:dyDescent="0.25">
      <c r="A60" t="s">
        <v>1469</v>
      </c>
      <c r="B60" t="s">
        <v>1262</v>
      </c>
      <c r="C60" t="s">
        <v>1263</v>
      </c>
      <c r="D60" t="s">
        <v>1047</v>
      </c>
      <c r="E60" t="s">
        <v>10</v>
      </c>
      <c r="F60" t="s">
        <v>1261</v>
      </c>
      <c r="G60" t="s">
        <v>1069</v>
      </c>
      <c r="H60" t="s">
        <v>1147</v>
      </c>
      <c r="I60" t="s">
        <v>1354</v>
      </c>
      <c r="J60" t="s">
        <v>1168</v>
      </c>
      <c r="K60" t="s">
        <v>1418</v>
      </c>
      <c r="L60" t="s">
        <v>1702</v>
      </c>
    </row>
    <row r="61" spans="1:12" x14ac:dyDescent="0.25">
      <c r="A61" t="s">
        <v>1476</v>
      </c>
      <c r="B61" t="s">
        <v>1086</v>
      </c>
      <c r="C61" t="s">
        <v>1087</v>
      </c>
      <c r="D61" t="s">
        <v>1047</v>
      </c>
      <c r="E61" t="s">
        <v>33</v>
      </c>
      <c r="F61" t="s">
        <v>1085</v>
      </c>
      <c r="G61" t="s">
        <v>1397</v>
      </c>
      <c r="H61" t="s">
        <v>1100</v>
      </c>
      <c r="I61" t="s">
        <v>1368</v>
      </c>
      <c r="J61" t="s">
        <v>1141</v>
      </c>
      <c r="K61" t="s">
        <v>1322</v>
      </c>
      <c r="L61" t="s">
        <v>1704</v>
      </c>
    </row>
    <row r="62" spans="1:12" x14ac:dyDescent="0.25">
      <c r="A62" t="s">
        <v>1480</v>
      </c>
      <c r="B62" t="s">
        <v>1273</v>
      </c>
      <c r="C62" t="s">
        <v>1274</v>
      </c>
      <c r="D62" t="s">
        <v>1047</v>
      </c>
      <c r="E62" t="s">
        <v>6</v>
      </c>
      <c r="F62" t="s">
        <v>1275</v>
      </c>
      <c r="G62" t="s">
        <v>1168</v>
      </c>
      <c r="H62" t="s">
        <v>1226</v>
      </c>
      <c r="I62" t="s">
        <v>1349</v>
      </c>
      <c r="J62" t="s">
        <v>1254</v>
      </c>
      <c r="K62" t="s">
        <v>1109</v>
      </c>
      <c r="L62" t="s">
        <v>1706</v>
      </c>
    </row>
    <row r="63" spans="1:12" x14ac:dyDescent="0.25">
      <c r="A63" t="s">
        <v>1485</v>
      </c>
      <c r="B63" t="s">
        <v>1203</v>
      </c>
      <c r="C63" t="s">
        <v>1204</v>
      </c>
      <c r="D63" t="s">
        <v>1047</v>
      </c>
      <c r="E63" t="s">
        <v>9</v>
      </c>
      <c r="F63" t="s">
        <v>1205</v>
      </c>
      <c r="G63" t="s">
        <v>1247</v>
      </c>
      <c r="H63" t="s">
        <v>1219</v>
      </c>
      <c r="I63" t="s">
        <v>1282</v>
      </c>
      <c r="J63" t="s">
        <v>1205</v>
      </c>
      <c r="K63" t="s">
        <v>1191</v>
      </c>
      <c r="L63" t="s">
        <v>1710</v>
      </c>
    </row>
    <row r="64" spans="1:12" x14ac:dyDescent="0.25">
      <c r="A64" t="s">
        <v>1490</v>
      </c>
      <c r="B64" t="s">
        <v>1426</v>
      </c>
      <c r="C64" t="s">
        <v>1427</v>
      </c>
      <c r="D64" t="s">
        <v>1047</v>
      </c>
      <c r="E64" t="s">
        <v>8</v>
      </c>
      <c r="F64" t="s">
        <v>1425</v>
      </c>
      <c r="G64" t="s">
        <v>1100</v>
      </c>
      <c r="H64" t="s">
        <v>1668</v>
      </c>
      <c r="I64" t="s">
        <v>1175</v>
      </c>
      <c r="J64" t="s">
        <v>1233</v>
      </c>
      <c r="K64" t="s">
        <v>1154</v>
      </c>
      <c r="L64" t="s">
        <v>1714</v>
      </c>
    </row>
    <row r="65" spans="1:12" x14ac:dyDescent="0.25">
      <c r="A65" t="s">
        <v>1495</v>
      </c>
      <c r="B65" t="s">
        <v>1159</v>
      </c>
      <c r="C65" t="s">
        <v>1160</v>
      </c>
      <c r="D65" t="s">
        <v>1047</v>
      </c>
      <c r="E65" t="s">
        <v>33</v>
      </c>
      <c r="F65" t="s">
        <v>1161</v>
      </c>
      <c r="G65" t="s">
        <v>1125</v>
      </c>
      <c r="H65" t="s">
        <v>1397</v>
      </c>
      <c r="I65" t="s">
        <v>1296</v>
      </c>
      <c r="J65" t="s">
        <v>1109</v>
      </c>
      <c r="K65" t="s">
        <v>1668</v>
      </c>
      <c r="L65" t="s">
        <v>1714</v>
      </c>
    </row>
    <row r="66" spans="1:12" x14ac:dyDescent="0.25">
      <c r="A66" t="s">
        <v>1500</v>
      </c>
      <c r="B66" t="s">
        <v>1453</v>
      </c>
      <c r="C66" t="s">
        <v>1454</v>
      </c>
      <c r="D66" t="s">
        <v>1047</v>
      </c>
      <c r="E66" t="s">
        <v>26</v>
      </c>
      <c r="F66" t="s">
        <v>1455</v>
      </c>
      <c r="G66" t="s">
        <v>1857</v>
      </c>
      <c r="H66" t="s">
        <v>1134</v>
      </c>
      <c r="I66" t="s">
        <v>1361</v>
      </c>
      <c r="J66" t="s">
        <v>1147</v>
      </c>
      <c r="K66" t="s">
        <v>1117</v>
      </c>
      <c r="L66" t="s">
        <v>1714</v>
      </c>
    </row>
    <row r="67" spans="1:12" x14ac:dyDescent="0.25">
      <c r="A67" t="s">
        <v>1505</v>
      </c>
      <c r="B67" t="s">
        <v>1144</v>
      </c>
      <c r="C67" t="s">
        <v>1145</v>
      </c>
      <c r="D67" t="s">
        <v>1064</v>
      </c>
      <c r="E67" t="s">
        <v>1146</v>
      </c>
      <c r="F67" t="s">
        <v>1147</v>
      </c>
      <c r="G67" t="s">
        <v>1275</v>
      </c>
      <c r="H67" t="s">
        <v>1168</v>
      </c>
      <c r="I67" t="s">
        <v>1409</v>
      </c>
      <c r="J67" t="s">
        <v>1219</v>
      </c>
      <c r="K67" t="s">
        <v>1282</v>
      </c>
      <c r="L67" t="s">
        <v>1714</v>
      </c>
    </row>
    <row r="68" spans="1:12" x14ac:dyDescent="0.25">
      <c r="A68" t="s">
        <v>1510</v>
      </c>
      <c r="B68" t="s">
        <v>1255</v>
      </c>
      <c r="C68" t="s">
        <v>1256</v>
      </c>
      <c r="D68" t="s">
        <v>1047</v>
      </c>
      <c r="E68" t="s">
        <v>17</v>
      </c>
      <c r="F68" t="s">
        <v>1254</v>
      </c>
      <c r="G68" t="s">
        <v>1219</v>
      </c>
      <c r="H68" t="s">
        <v>1668</v>
      </c>
      <c r="I68" t="s">
        <v>1226</v>
      </c>
      <c r="J68" t="s">
        <v>1268</v>
      </c>
      <c r="K68" t="s">
        <v>1141</v>
      </c>
      <c r="L68" t="s">
        <v>1716</v>
      </c>
    </row>
    <row r="69" spans="1:12" x14ac:dyDescent="0.25">
      <c r="A69" t="s">
        <v>1514</v>
      </c>
      <c r="B69" t="s">
        <v>1436</v>
      </c>
      <c r="C69" t="s">
        <v>1437</v>
      </c>
      <c r="D69" t="s">
        <v>1064</v>
      </c>
      <c r="E69" t="s">
        <v>1131</v>
      </c>
      <c r="F69" t="s">
        <v>1433</v>
      </c>
      <c r="G69" t="s">
        <v>1336</v>
      </c>
      <c r="H69" t="s">
        <v>1161</v>
      </c>
      <c r="I69" t="s">
        <v>1226</v>
      </c>
      <c r="J69" t="s">
        <v>1336</v>
      </c>
      <c r="K69" t="s">
        <v>1059</v>
      </c>
      <c r="L69" t="s">
        <v>1718</v>
      </c>
    </row>
    <row r="70" spans="1:12" x14ac:dyDescent="0.25">
      <c r="A70" t="s">
        <v>1519</v>
      </c>
      <c r="B70" t="s">
        <v>1045</v>
      </c>
      <c r="C70" t="s">
        <v>1046</v>
      </c>
      <c r="D70" t="s">
        <v>1047</v>
      </c>
      <c r="E70" t="s">
        <v>7</v>
      </c>
      <c r="F70" t="s">
        <v>1044</v>
      </c>
      <c r="G70" t="s">
        <v>1254</v>
      </c>
      <c r="H70" t="s">
        <v>1390</v>
      </c>
      <c r="I70" t="s">
        <v>1175</v>
      </c>
      <c r="J70" t="s">
        <v>1361</v>
      </c>
      <c r="K70" t="s">
        <v>1282</v>
      </c>
      <c r="L70" t="s">
        <v>1719</v>
      </c>
    </row>
    <row r="71" spans="1:12" x14ac:dyDescent="0.25">
      <c r="A71" t="s">
        <v>1524</v>
      </c>
      <c r="B71" t="s">
        <v>1594</v>
      </c>
      <c r="C71" t="s">
        <v>1595</v>
      </c>
      <c r="D71" t="s">
        <v>1047</v>
      </c>
      <c r="E71" t="s">
        <v>22</v>
      </c>
      <c r="F71" t="s">
        <v>1668</v>
      </c>
      <c r="G71" t="s">
        <v>1134</v>
      </c>
      <c r="H71" t="s">
        <v>1670</v>
      </c>
      <c r="I71" t="s">
        <v>1059</v>
      </c>
      <c r="J71" t="s">
        <v>1183</v>
      </c>
      <c r="K71" t="s">
        <v>1054</v>
      </c>
      <c r="L71" t="s">
        <v>1719</v>
      </c>
    </row>
    <row r="72" spans="1:12" x14ac:dyDescent="0.25">
      <c r="A72" t="s">
        <v>1529</v>
      </c>
      <c r="B72" t="s">
        <v>1341</v>
      </c>
      <c r="C72" t="s">
        <v>1342</v>
      </c>
      <c r="D72" t="s">
        <v>1047</v>
      </c>
      <c r="E72" t="s">
        <v>67</v>
      </c>
      <c r="F72" t="s">
        <v>1343</v>
      </c>
      <c r="G72" t="s">
        <v>1304</v>
      </c>
      <c r="H72" t="s">
        <v>1219</v>
      </c>
      <c r="I72" t="s">
        <v>1109</v>
      </c>
      <c r="J72" t="s">
        <v>1161</v>
      </c>
      <c r="K72" t="s">
        <v>1375</v>
      </c>
      <c r="L72" t="s">
        <v>1720</v>
      </c>
    </row>
    <row r="73" spans="1:12" x14ac:dyDescent="0.25">
      <c r="A73" t="s">
        <v>1405</v>
      </c>
      <c r="B73" t="s">
        <v>1162</v>
      </c>
      <c r="C73" t="s">
        <v>1163</v>
      </c>
      <c r="D73" t="s">
        <v>1047</v>
      </c>
      <c r="E73" t="s">
        <v>16</v>
      </c>
      <c r="F73" t="s">
        <v>1161</v>
      </c>
      <c r="G73" t="s">
        <v>1117</v>
      </c>
      <c r="H73" t="s">
        <v>1361</v>
      </c>
      <c r="I73" t="s">
        <v>1433</v>
      </c>
      <c r="J73" t="s">
        <v>1349</v>
      </c>
      <c r="K73" t="s">
        <v>1147</v>
      </c>
      <c r="L73" t="s">
        <v>1720</v>
      </c>
    </row>
    <row r="74" spans="1:12" x14ac:dyDescent="0.25">
      <c r="A74" t="s">
        <v>1538</v>
      </c>
      <c r="B74" t="s">
        <v>1280</v>
      </c>
      <c r="C74" t="s">
        <v>1281</v>
      </c>
      <c r="D74" t="s">
        <v>1047</v>
      </c>
      <c r="E74" t="s">
        <v>71</v>
      </c>
      <c r="F74" t="s">
        <v>1282</v>
      </c>
      <c r="G74" t="s">
        <v>1289</v>
      </c>
      <c r="H74" t="s">
        <v>1668</v>
      </c>
      <c r="I74" t="s">
        <v>1247</v>
      </c>
      <c r="J74" t="s">
        <v>1161</v>
      </c>
      <c r="K74" t="s">
        <v>1161</v>
      </c>
      <c r="L74" t="s">
        <v>1721</v>
      </c>
    </row>
    <row r="75" spans="1:12" x14ac:dyDescent="0.25">
      <c r="A75" t="s">
        <v>1542</v>
      </c>
      <c r="B75" t="s">
        <v>1393</v>
      </c>
      <c r="C75" t="s">
        <v>1394</v>
      </c>
      <c r="D75" t="s">
        <v>1047</v>
      </c>
      <c r="E75" t="s">
        <v>33</v>
      </c>
      <c r="F75" t="s">
        <v>1390</v>
      </c>
      <c r="G75" t="s">
        <v>1368</v>
      </c>
      <c r="H75" t="s">
        <v>1109</v>
      </c>
      <c r="I75" t="s">
        <v>1134</v>
      </c>
      <c r="J75" t="s">
        <v>1191</v>
      </c>
      <c r="K75" t="s">
        <v>1349</v>
      </c>
      <c r="L75" t="s">
        <v>1722</v>
      </c>
    </row>
    <row r="76" spans="1:12" x14ac:dyDescent="0.25">
      <c r="A76" t="s">
        <v>1547</v>
      </c>
      <c r="B76" t="s">
        <v>1217</v>
      </c>
      <c r="C76" t="s">
        <v>1218</v>
      </c>
      <c r="D76" t="s">
        <v>1047</v>
      </c>
      <c r="E76" t="s">
        <v>16</v>
      </c>
      <c r="F76" t="s">
        <v>1219</v>
      </c>
      <c r="G76" t="s">
        <v>1254</v>
      </c>
      <c r="H76" t="s">
        <v>1161</v>
      </c>
      <c r="I76" t="s">
        <v>1375</v>
      </c>
      <c r="J76" t="s">
        <v>1147</v>
      </c>
      <c r="K76" t="s">
        <v>1668</v>
      </c>
      <c r="L76" t="s">
        <v>1723</v>
      </c>
    </row>
    <row r="77" spans="1:12" x14ac:dyDescent="0.25">
      <c r="A77" t="s">
        <v>1552</v>
      </c>
      <c r="B77" t="s">
        <v>1194</v>
      </c>
      <c r="C77" t="s">
        <v>1195</v>
      </c>
      <c r="D77" t="s">
        <v>1047</v>
      </c>
      <c r="E77" t="s">
        <v>11</v>
      </c>
      <c r="F77" t="s">
        <v>1191</v>
      </c>
      <c r="G77" t="s">
        <v>1275</v>
      </c>
      <c r="H77" t="s">
        <v>1141</v>
      </c>
      <c r="I77" t="s">
        <v>1240</v>
      </c>
      <c r="J77" t="s">
        <v>1322</v>
      </c>
      <c r="K77" t="s">
        <v>1462</v>
      </c>
      <c r="L77" t="s">
        <v>1569</v>
      </c>
    </row>
    <row r="78" spans="1:12" x14ac:dyDescent="0.25">
      <c r="A78" t="s">
        <v>1557</v>
      </c>
      <c r="B78" t="s">
        <v>1648</v>
      </c>
      <c r="C78" t="s">
        <v>1649</v>
      </c>
      <c r="D78" t="s">
        <v>1047</v>
      </c>
      <c r="E78" t="s">
        <v>1077</v>
      </c>
      <c r="F78" t="s">
        <v>1668</v>
      </c>
      <c r="G78" t="s">
        <v>1343</v>
      </c>
      <c r="H78" t="s">
        <v>1233</v>
      </c>
      <c r="I78" t="s">
        <v>1100</v>
      </c>
      <c r="J78" t="s">
        <v>1205</v>
      </c>
      <c r="K78" t="s">
        <v>1304</v>
      </c>
      <c r="L78" t="s">
        <v>1726</v>
      </c>
    </row>
    <row r="79" spans="1:12" x14ac:dyDescent="0.25">
      <c r="A79" t="s">
        <v>1561</v>
      </c>
      <c r="B79" t="s">
        <v>1106</v>
      </c>
      <c r="C79" t="s">
        <v>1107</v>
      </c>
      <c r="D79" t="s">
        <v>1108</v>
      </c>
      <c r="E79" t="s">
        <v>21</v>
      </c>
      <c r="F79" t="s">
        <v>1109</v>
      </c>
      <c r="G79" t="s">
        <v>1268</v>
      </c>
      <c r="H79" t="s">
        <v>1433</v>
      </c>
      <c r="I79" t="s">
        <v>1191</v>
      </c>
      <c r="J79" t="s">
        <v>1375</v>
      </c>
      <c r="K79" t="s">
        <v>1254</v>
      </c>
      <c r="L79" t="s">
        <v>1728</v>
      </c>
    </row>
    <row r="80" spans="1:12" x14ac:dyDescent="0.25">
      <c r="A80" t="s">
        <v>1566</v>
      </c>
      <c r="B80" t="s">
        <v>1350</v>
      </c>
      <c r="C80" t="s">
        <v>1351</v>
      </c>
      <c r="D80" t="s">
        <v>1047</v>
      </c>
      <c r="E80" t="s">
        <v>31</v>
      </c>
      <c r="F80" t="s">
        <v>1349</v>
      </c>
      <c r="G80" t="s">
        <v>1296</v>
      </c>
      <c r="H80" t="s">
        <v>1168</v>
      </c>
      <c r="I80" t="s">
        <v>1433</v>
      </c>
      <c r="J80" t="s">
        <v>1154</v>
      </c>
      <c r="K80" t="s">
        <v>1233</v>
      </c>
      <c r="L80" t="s">
        <v>1728</v>
      </c>
    </row>
    <row r="81" spans="1:12" x14ac:dyDescent="0.25">
      <c r="A81" t="s">
        <v>1571</v>
      </c>
      <c r="B81" t="s">
        <v>1481</v>
      </c>
      <c r="C81" t="s">
        <v>1482</v>
      </c>
      <c r="D81" t="s">
        <v>1047</v>
      </c>
      <c r="E81" t="s">
        <v>7</v>
      </c>
      <c r="F81" t="s">
        <v>1480</v>
      </c>
      <c r="G81" t="s">
        <v>1247</v>
      </c>
      <c r="H81" t="s">
        <v>1247</v>
      </c>
      <c r="I81" t="s">
        <v>1240</v>
      </c>
      <c r="J81" t="s">
        <v>1212</v>
      </c>
      <c r="K81" t="s">
        <v>1254</v>
      </c>
      <c r="L81" t="s">
        <v>1728</v>
      </c>
    </row>
    <row r="82" spans="1:12" x14ac:dyDescent="0.25">
      <c r="A82" t="s">
        <v>1574</v>
      </c>
      <c r="B82" t="s">
        <v>1675</v>
      </c>
      <c r="C82" t="s">
        <v>1608</v>
      </c>
      <c r="D82" t="s">
        <v>1047</v>
      </c>
      <c r="E82" t="s">
        <v>9</v>
      </c>
      <c r="F82" t="s">
        <v>1858</v>
      </c>
      <c r="G82" t="s">
        <v>1375</v>
      </c>
      <c r="H82" t="s">
        <v>1191</v>
      </c>
      <c r="I82" t="s">
        <v>1261</v>
      </c>
      <c r="J82" t="s">
        <v>1247</v>
      </c>
      <c r="K82" t="s">
        <v>1147</v>
      </c>
      <c r="L82" t="s">
        <v>1729</v>
      </c>
    </row>
    <row r="83" spans="1:12" x14ac:dyDescent="0.25">
      <c r="A83" t="s">
        <v>1577</v>
      </c>
      <c r="B83" t="s">
        <v>1126</v>
      </c>
      <c r="C83" t="s">
        <v>1127</v>
      </c>
      <c r="D83" t="s">
        <v>1128</v>
      </c>
      <c r="E83" t="s">
        <v>33</v>
      </c>
      <c r="F83" t="s">
        <v>1125</v>
      </c>
      <c r="G83" t="s">
        <v>1109</v>
      </c>
      <c r="H83" t="s">
        <v>1668</v>
      </c>
      <c r="I83" t="s">
        <v>1212</v>
      </c>
      <c r="J83" t="s">
        <v>1668</v>
      </c>
      <c r="K83" t="s">
        <v>1093</v>
      </c>
      <c r="L83" t="s">
        <v>1730</v>
      </c>
    </row>
    <row r="84" spans="1:12" x14ac:dyDescent="0.25">
      <c r="A84" t="s">
        <v>1581</v>
      </c>
      <c r="B84" t="s">
        <v>1345</v>
      </c>
      <c r="C84" t="s">
        <v>1346</v>
      </c>
      <c r="D84" t="s">
        <v>1047</v>
      </c>
      <c r="E84" t="s">
        <v>10</v>
      </c>
      <c r="F84" t="s">
        <v>1343</v>
      </c>
      <c r="G84" t="s">
        <v>1268</v>
      </c>
      <c r="H84" t="s">
        <v>1268</v>
      </c>
      <c r="I84" t="s">
        <v>1275</v>
      </c>
      <c r="J84" t="s">
        <v>1205</v>
      </c>
      <c r="K84" t="s">
        <v>1212</v>
      </c>
      <c r="L84" t="s">
        <v>1730</v>
      </c>
    </row>
    <row r="85" spans="1:12" x14ac:dyDescent="0.25">
      <c r="A85" t="s">
        <v>1679</v>
      </c>
      <c r="B85" t="s">
        <v>1302</v>
      </c>
      <c r="C85" t="s">
        <v>1303</v>
      </c>
      <c r="D85" t="s">
        <v>1047</v>
      </c>
      <c r="E85" t="s">
        <v>7</v>
      </c>
      <c r="F85" t="s">
        <v>1311</v>
      </c>
      <c r="G85" t="s">
        <v>1247</v>
      </c>
      <c r="H85" t="s">
        <v>1154</v>
      </c>
      <c r="I85" t="s">
        <v>1261</v>
      </c>
      <c r="J85" t="s">
        <v>1368</v>
      </c>
      <c r="K85" t="s">
        <v>1261</v>
      </c>
      <c r="L85" t="s">
        <v>1731</v>
      </c>
    </row>
    <row r="86" spans="1:12" x14ac:dyDescent="0.25">
      <c r="A86" t="s">
        <v>1680</v>
      </c>
      <c r="B86" t="s">
        <v>1081</v>
      </c>
      <c r="C86" t="s">
        <v>1082</v>
      </c>
      <c r="D86" t="s">
        <v>1047</v>
      </c>
      <c r="E86" t="s">
        <v>22</v>
      </c>
      <c r="F86" t="s">
        <v>1078</v>
      </c>
      <c r="G86" t="s">
        <v>1233</v>
      </c>
      <c r="H86" t="s">
        <v>1500</v>
      </c>
      <c r="I86" t="s">
        <v>1109</v>
      </c>
      <c r="J86" t="s">
        <v>1670</v>
      </c>
      <c r="K86" t="s">
        <v>1322</v>
      </c>
      <c r="L86" t="s">
        <v>1735</v>
      </c>
    </row>
    <row r="87" spans="1:12" x14ac:dyDescent="0.25">
      <c r="A87" t="s">
        <v>1681</v>
      </c>
      <c r="B87" t="s">
        <v>1366</v>
      </c>
      <c r="C87" t="s">
        <v>1367</v>
      </c>
      <c r="D87" t="s">
        <v>1047</v>
      </c>
      <c r="E87" t="s">
        <v>5</v>
      </c>
      <c r="F87" t="s">
        <v>1368</v>
      </c>
      <c r="G87" t="s">
        <v>1212</v>
      </c>
      <c r="H87" t="s">
        <v>1161</v>
      </c>
      <c r="I87" t="s">
        <v>1161</v>
      </c>
      <c r="J87" t="s">
        <v>1354</v>
      </c>
      <c r="K87" t="s">
        <v>1409</v>
      </c>
      <c r="L87" t="s">
        <v>1735</v>
      </c>
    </row>
    <row r="88" spans="1:12" x14ac:dyDescent="0.25">
      <c r="A88" t="s">
        <v>1176</v>
      </c>
      <c r="B88" t="s">
        <v>1094</v>
      </c>
      <c r="C88" t="s">
        <v>1095</v>
      </c>
      <c r="D88" t="s">
        <v>1047</v>
      </c>
      <c r="E88" t="s">
        <v>104</v>
      </c>
      <c r="F88" t="s">
        <v>1093</v>
      </c>
      <c r="G88" t="s">
        <v>1289</v>
      </c>
      <c r="H88" t="s">
        <v>1425</v>
      </c>
      <c r="I88" t="s">
        <v>1247</v>
      </c>
      <c r="J88" t="s">
        <v>1668</v>
      </c>
      <c r="K88" t="s">
        <v>1205</v>
      </c>
      <c r="L88" t="s">
        <v>1736</v>
      </c>
    </row>
    <row r="89" spans="1:12" x14ac:dyDescent="0.25">
      <c r="A89" t="s">
        <v>1682</v>
      </c>
      <c r="B89" t="s">
        <v>1621</v>
      </c>
      <c r="C89" t="s">
        <v>1622</v>
      </c>
      <c r="D89" t="s">
        <v>1122</v>
      </c>
      <c r="E89" t="s">
        <v>94</v>
      </c>
      <c r="F89" t="s">
        <v>1668</v>
      </c>
      <c r="G89" t="s">
        <v>1226</v>
      </c>
      <c r="H89" t="s">
        <v>1205</v>
      </c>
      <c r="I89" t="s">
        <v>1425</v>
      </c>
      <c r="J89" t="s">
        <v>1117</v>
      </c>
      <c r="K89" t="s">
        <v>1311</v>
      </c>
      <c r="L89" t="s">
        <v>1739</v>
      </c>
    </row>
    <row r="90" spans="1:12" x14ac:dyDescent="0.25">
      <c r="A90" t="s">
        <v>1683</v>
      </c>
      <c r="B90" t="s">
        <v>1169</v>
      </c>
      <c r="C90" t="s">
        <v>1170</v>
      </c>
      <c r="D90" t="s">
        <v>1108</v>
      </c>
      <c r="E90" t="s">
        <v>39</v>
      </c>
      <c r="F90" t="s">
        <v>1168</v>
      </c>
      <c r="G90" t="s">
        <v>1311</v>
      </c>
      <c r="H90" t="s">
        <v>1668</v>
      </c>
      <c r="I90" t="s">
        <v>1147</v>
      </c>
      <c r="J90" t="s">
        <v>1383</v>
      </c>
      <c r="K90" t="s">
        <v>1275</v>
      </c>
      <c r="L90" t="s">
        <v>1739</v>
      </c>
    </row>
    <row r="91" spans="1:12" x14ac:dyDescent="0.25">
      <c r="A91" t="s">
        <v>1684</v>
      </c>
      <c r="B91" t="s">
        <v>1171</v>
      </c>
      <c r="C91" t="s">
        <v>1172</v>
      </c>
      <c r="D91" t="s">
        <v>1047</v>
      </c>
      <c r="E91" t="s">
        <v>33</v>
      </c>
      <c r="F91" t="s">
        <v>1168</v>
      </c>
      <c r="G91" t="s">
        <v>1240</v>
      </c>
      <c r="H91" t="s">
        <v>1383</v>
      </c>
      <c r="I91" t="s">
        <v>1448</v>
      </c>
      <c r="J91" t="s">
        <v>1198</v>
      </c>
      <c r="K91" t="s">
        <v>1311</v>
      </c>
      <c r="L91" t="s">
        <v>1741</v>
      </c>
    </row>
    <row r="92" spans="1:12" x14ac:dyDescent="0.25">
      <c r="A92" t="s">
        <v>1685</v>
      </c>
      <c r="B92" t="s">
        <v>1148</v>
      </c>
      <c r="C92" t="s">
        <v>1149</v>
      </c>
      <c r="D92" t="s">
        <v>1047</v>
      </c>
      <c r="E92" t="s">
        <v>11</v>
      </c>
      <c r="F92" t="s">
        <v>1147</v>
      </c>
      <c r="G92" t="s">
        <v>1383</v>
      </c>
      <c r="H92" t="s">
        <v>1205</v>
      </c>
      <c r="I92" t="s">
        <v>1282</v>
      </c>
      <c r="J92" t="s">
        <v>1425</v>
      </c>
      <c r="K92" t="s">
        <v>1296</v>
      </c>
      <c r="L92" t="s">
        <v>1743</v>
      </c>
    </row>
    <row r="93" spans="1:12" x14ac:dyDescent="0.25">
      <c r="A93" t="s">
        <v>1686</v>
      </c>
      <c r="B93" t="s">
        <v>1266</v>
      </c>
      <c r="C93" t="s">
        <v>1267</v>
      </c>
      <c r="D93" t="s">
        <v>1047</v>
      </c>
      <c r="E93" t="s">
        <v>31</v>
      </c>
      <c r="F93" t="s">
        <v>1268</v>
      </c>
      <c r="G93" t="s">
        <v>1212</v>
      </c>
      <c r="H93" t="s">
        <v>1668</v>
      </c>
      <c r="I93" t="s">
        <v>1849</v>
      </c>
      <c r="J93" t="s">
        <v>1433</v>
      </c>
      <c r="K93" t="s">
        <v>1219</v>
      </c>
      <c r="L93" t="s">
        <v>1743</v>
      </c>
    </row>
    <row r="94" spans="1:12" x14ac:dyDescent="0.25">
      <c r="A94" t="s">
        <v>1687</v>
      </c>
      <c r="B94" t="s">
        <v>1243</v>
      </c>
      <c r="C94" t="s">
        <v>1244</v>
      </c>
      <c r="D94" t="s">
        <v>1128</v>
      </c>
      <c r="E94" t="s">
        <v>27</v>
      </c>
      <c r="F94" t="s">
        <v>1240</v>
      </c>
      <c r="G94" t="s">
        <v>1154</v>
      </c>
      <c r="H94" t="s">
        <v>1191</v>
      </c>
      <c r="I94" t="s">
        <v>1343</v>
      </c>
      <c r="J94" t="s">
        <v>1397</v>
      </c>
      <c r="K94" t="s">
        <v>1668</v>
      </c>
      <c r="L94" t="s">
        <v>1744</v>
      </c>
    </row>
    <row r="95" spans="1:12" x14ac:dyDescent="0.25">
      <c r="A95" t="s">
        <v>1688</v>
      </c>
      <c r="B95" t="s">
        <v>1234</v>
      </c>
      <c r="C95" t="s">
        <v>1235</v>
      </c>
      <c r="D95" t="s">
        <v>1064</v>
      </c>
      <c r="E95" t="s">
        <v>1103</v>
      </c>
      <c r="F95" t="s">
        <v>1233</v>
      </c>
      <c r="G95" t="s">
        <v>1183</v>
      </c>
      <c r="H95" t="s">
        <v>1375</v>
      </c>
      <c r="I95" t="s">
        <v>1909</v>
      </c>
      <c r="J95" t="s">
        <v>1349</v>
      </c>
      <c r="K95" t="s">
        <v>1361</v>
      </c>
      <c r="L95" t="s">
        <v>1744</v>
      </c>
    </row>
    <row r="96" spans="1:12" x14ac:dyDescent="0.25">
      <c r="A96" t="s">
        <v>1689</v>
      </c>
      <c r="B96" t="s">
        <v>1391</v>
      </c>
      <c r="C96" t="s">
        <v>1392</v>
      </c>
      <c r="D96" t="s">
        <v>1047</v>
      </c>
      <c r="E96" t="s">
        <v>5</v>
      </c>
      <c r="F96" t="s">
        <v>1390</v>
      </c>
      <c r="G96" t="s">
        <v>1093</v>
      </c>
      <c r="H96" t="s">
        <v>1254</v>
      </c>
      <c r="I96" t="s">
        <v>1289</v>
      </c>
      <c r="J96" t="s">
        <v>1343</v>
      </c>
      <c r="K96" t="s">
        <v>1349</v>
      </c>
      <c r="L96" t="s">
        <v>1745</v>
      </c>
    </row>
    <row r="97" spans="1:12" x14ac:dyDescent="0.25">
      <c r="A97" t="s">
        <v>1690</v>
      </c>
      <c r="B97" t="s">
        <v>1305</v>
      </c>
      <c r="C97" t="s">
        <v>1306</v>
      </c>
      <c r="D97" t="s">
        <v>1128</v>
      </c>
      <c r="E97" t="s">
        <v>104</v>
      </c>
      <c r="F97" t="s">
        <v>1304</v>
      </c>
      <c r="G97" t="s">
        <v>1275</v>
      </c>
      <c r="H97" t="s">
        <v>1261</v>
      </c>
      <c r="I97" t="s">
        <v>1361</v>
      </c>
      <c r="J97" t="s">
        <v>1375</v>
      </c>
      <c r="K97" t="s">
        <v>1125</v>
      </c>
      <c r="L97" t="s">
        <v>1745</v>
      </c>
    </row>
    <row r="98" spans="1:12" x14ac:dyDescent="0.25">
      <c r="A98" t="s">
        <v>1691</v>
      </c>
      <c r="B98" t="s">
        <v>1129</v>
      </c>
      <c r="C98" t="s">
        <v>1130</v>
      </c>
      <c r="D98" t="s">
        <v>1064</v>
      </c>
      <c r="E98" t="s">
        <v>1131</v>
      </c>
      <c r="F98" t="s">
        <v>1125</v>
      </c>
      <c r="G98" t="s">
        <v>1322</v>
      </c>
      <c r="H98" t="s">
        <v>1409</v>
      </c>
      <c r="I98" t="s">
        <v>1311</v>
      </c>
      <c r="J98" t="s">
        <v>1336</v>
      </c>
      <c r="K98" t="s">
        <v>1247</v>
      </c>
      <c r="L98" t="s">
        <v>1746</v>
      </c>
    </row>
    <row r="99" spans="1:12" x14ac:dyDescent="0.25">
      <c r="A99" t="s">
        <v>1692</v>
      </c>
      <c r="B99" t="s">
        <v>1596</v>
      </c>
      <c r="C99" t="s">
        <v>1597</v>
      </c>
      <c r="D99" t="s">
        <v>1047</v>
      </c>
      <c r="E99" t="s">
        <v>5</v>
      </c>
      <c r="F99" t="s">
        <v>1668</v>
      </c>
      <c r="G99" t="s">
        <v>1240</v>
      </c>
      <c r="H99" t="s">
        <v>1390</v>
      </c>
      <c r="I99" t="s">
        <v>1219</v>
      </c>
      <c r="J99" t="s">
        <v>1304</v>
      </c>
      <c r="K99" t="s">
        <v>1183</v>
      </c>
      <c r="L99" t="s">
        <v>1746</v>
      </c>
    </row>
    <row r="100" spans="1:12" x14ac:dyDescent="0.25">
      <c r="A100" t="s">
        <v>1693</v>
      </c>
      <c r="B100" t="s">
        <v>1307</v>
      </c>
      <c r="C100" t="s">
        <v>1308</v>
      </c>
      <c r="D100" t="s">
        <v>1047</v>
      </c>
      <c r="E100" t="s">
        <v>39</v>
      </c>
      <c r="F100" t="s">
        <v>1304</v>
      </c>
      <c r="G100" t="s">
        <v>1117</v>
      </c>
      <c r="H100" t="s">
        <v>1403</v>
      </c>
      <c r="I100" t="s">
        <v>1383</v>
      </c>
      <c r="J100" t="s">
        <v>1141</v>
      </c>
      <c r="K100" t="s">
        <v>1668</v>
      </c>
      <c r="L100" t="s">
        <v>1748</v>
      </c>
    </row>
    <row r="101" spans="1:12" x14ac:dyDescent="0.25">
      <c r="A101" t="s">
        <v>1694</v>
      </c>
      <c r="B101" t="s">
        <v>1616</v>
      </c>
      <c r="C101" t="s">
        <v>1617</v>
      </c>
      <c r="D101" t="s">
        <v>1047</v>
      </c>
      <c r="E101" t="s">
        <v>9</v>
      </c>
      <c r="F101" t="s">
        <v>1668</v>
      </c>
      <c r="G101" t="s">
        <v>1542</v>
      </c>
      <c r="H101" t="s">
        <v>1109</v>
      </c>
      <c r="I101" t="s">
        <v>1134</v>
      </c>
      <c r="J101" t="s">
        <v>1304</v>
      </c>
      <c r="K101" t="s">
        <v>1240</v>
      </c>
      <c r="L101" t="s">
        <v>1750</v>
      </c>
    </row>
    <row r="102" spans="1:12" x14ac:dyDescent="0.25">
      <c r="A102" t="s">
        <v>1695</v>
      </c>
      <c r="B102" t="s">
        <v>1477</v>
      </c>
      <c r="C102" t="s">
        <v>1478</v>
      </c>
      <c r="D102" t="s">
        <v>1047</v>
      </c>
      <c r="E102" t="s">
        <v>17</v>
      </c>
      <c r="F102" t="s">
        <v>1476</v>
      </c>
      <c r="G102" t="s">
        <v>1226</v>
      </c>
      <c r="H102" t="s">
        <v>1668</v>
      </c>
      <c r="I102" t="s">
        <v>1117</v>
      </c>
      <c r="J102" t="s">
        <v>1418</v>
      </c>
      <c r="K102" t="s">
        <v>1134</v>
      </c>
      <c r="L102" t="s">
        <v>1751</v>
      </c>
    </row>
    <row r="103" spans="1:12" x14ac:dyDescent="0.25">
      <c r="A103" t="s">
        <v>1696</v>
      </c>
      <c r="B103" t="s">
        <v>1152</v>
      </c>
      <c r="C103" t="s">
        <v>1153</v>
      </c>
      <c r="D103" t="s">
        <v>1047</v>
      </c>
      <c r="E103" t="s">
        <v>7</v>
      </c>
      <c r="F103" t="s">
        <v>1154</v>
      </c>
      <c r="G103" t="s">
        <v>1304</v>
      </c>
      <c r="H103" t="s">
        <v>1247</v>
      </c>
      <c r="I103" t="s">
        <v>1336</v>
      </c>
      <c r="J103" t="s">
        <v>1469</v>
      </c>
      <c r="K103" t="s">
        <v>1354</v>
      </c>
      <c r="L103" t="s">
        <v>1754</v>
      </c>
    </row>
    <row r="104" spans="1:12" x14ac:dyDescent="0.25">
      <c r="A104" t="s">
        <v>1697</v>
      </c>
      <c r="B104" t="s">
        <v>1196</v>
      </c>
      <c r="C104" t="s">
        <v>1197</v>
      </c>
      <c r="D104" t="s">
        <v>1064</v>
      </c>
      <c r="E104" t="s">
        <v>1065</v>
      </c>
      <c r="F104" t="s">
        <v>1198</v>
      </c>
      <c r="G104" t="s">
        <v>1125</v>
      </c>
      <c r="H104" t="s">
        <v>1668</v>
      </c>
      <c r="I104" t="s">
        <v>1191</v>
      </c>
      <c r="J104" t="s">
        <v>1668</v>
      </c>
      <c r="K104" t="s">
        <v>1205</v>
      </c>
      <c r="L104" t="s">
        <v>1755</v>
      </c>
    </row>
    <row r="105" spans="1:12" x14ac:dyDescent="0.25">
      <c r="A105" t="s">
        <v>1698</v>
      </c>
      <c r="B105" t="s">
        <v>1598</v>
      </c>
      <c r="C105" t="s">
        <v>1599</v>
      </c>
      <c r="D105" t="s">
        <v>1047</v>
      </c>
      <c r="E105" t="s">
        <v>26</v>
      </c>
      <c r="F105" t="s">
        <v>1668</v>
      </c>
      <c r="G105" t="s">
        <v>1397</v>
      </c>
      <c r="H105" t="s">
        <v>1375</v>
      </c>
      <c r="I105" t="s">
        <v>1198</v>
      </c>
      <c r="J105" t="s">
        <v>1147</v>
      </c>
      <c r="K105" t="s">
        <v>1289</v>
      </c>
      <c r="L105" t="s">
        <v>1756</v>
      </c>
    </row>
    <row r="106" spans="1:12" x14ac:dyDescent="0.25">
      <c r="A106" t="s">
        <v>1699</v>
      </c>
      <c r="B106" t="s">
        <v>1292</v>
      </c>
      <c r="C106" t="s">
        <v>1293</v>
      </c>
      <c r="D106" t="s">
        <v>1047</v>
      </c>
      <c r="E106" t="s">
        <v>9</v>
      </c>
      <c r="F106" t="s">
        <v>1289</v>
      </c>
      <c r="G106" t="s">
        <v>1433</v>
      </c>
      <c r="H106" t="s">
        <v>1205</v>
      </c>
      <c r="I106" t="s">
        <v>1261</v>
      </c>
      <c r="J106" t="s">
        <v>1322</v>
      </c>
      <c r="K106" t="s">
        <v>1349</v>
      </c>
      <c r="L106" t="s">
        <v>1758</v>
      </c>
    </row>
    <row r="107" spans="1:12" x14ac:dyDescent="0.25">
      <c r="A107" t="s">
        <v>1700</v>
      </c>
      <c r="B107" t="s">
        <v>1399</v>
      </c>
      <c r="C107" t="s">
        <v>1400</v>
      </c>
      <c r="D107" t="s">
        <v>1122</v>
      </c>
      <c r="E107" t="s">
        <v>26</v>
      </c>
      <c r="F107" t="s">
        <v>1397</v>
      </c>
      <c r="G107" t="s">
        <v>1191</v>
      </c>
      <c r="H107" t="s">
        <v>1282</v>
      </c>
      <c r="I107" t="s">
        <v>1514</v>
      </c>
      <c r="J107" t="s">
        <v>1240</v>
      </c>
      <c r="K107" t="s">
        <v>1329</v>
      </c>
      <c r="L107" t="s">
        <v>1760</v>
      </c>
    </row>
    <row r="108" spans="1:12" x14ac:dyDescent="0.25">
      <c r="A108" t="s">
        <v>1701</v>
      </c>
      <c r="B108" t="s">
        <v>1472</v>
      </c>
      <c r="C108" t="s">
        <v>1473</v>
      </c>
      <c r="D108" t="s">
        <v>1047</v>
      </c>
      <c r="E108" t="s">
        <v>7</v>
      </c>
      <c r="F108" t="s">
        <v>1469</v>
      </c>
      <c r="G108" t="s">
        <v>1490</v>
      </c>
      <c r="H108" t="s">
        <v>1191</v>
      </c>
      <c r="I108" t="s">
        <v>1093</v>
      </c>
      <c r="J108" t="s">
        <v>1670</v>
      </c>
      <c r="K108" t="s">
        <v>1198</v>
      </c>
      <c r="L108" t="s">
        <v>1762</v>
      </c>
    </row>
    <row r="109" spans="1:12" x14ac:dyDescent="0.25">
      <c r="A109" t="s">
        <v>1702</v>
      </c>
      <c r="B109" t="s">
        <v>1441</v>
      </c>
      <c r="C109" t="s">
        <v>1442</v>
      </c>
      <c r="D109" t="s">
        <v>1064</v>
      </c>
      <c r="E109" t="s">
        <v>1103</v>
      </c>
      <c r="F109" t="s">
        <v>1440</v>
      </c>
      <c r="G109" t="s">
        <v>1668</v>
      </c>
      <c r="H109" t="s">
        <v>1282</v>
      </c>
      <c r="I109" t="s">
        <v>1154</v>
      </c>
      <c r="J109" t="s">
        <v>1282</v>
      </c>
      <c r="K109" t="s">
        <v>1304</v>
      </c>
      <c r="L109" t="s">
        <v>1764</v>
      </c>
    </row>
    <row r="110" spans="1:12" x14ac:dyDescent="0.25">
      <c r="A110" t="s">
        <v>1703</v>
      </c>
      <c r="B110" t="s">
        <v>1627</v>
      </c>
      <c r="C110" t="s">
        <v>1628</v>
      </c>
      <c r="D110" t="s">
        <v>1047</v>
      </c>
      <c r="E110" t="s">
        <v>26</v>
      </c>
      <c r="F110" t="s">
        <v>1668</v>
      </c>
      <c r="G110" t="s">
        <v>1282</v>
      </c>
      <c r="H110" t="s">
        <v>1296</v>
      </c>
      <c r="I110" t="s">
        <v>1368</v>
      </c>
      <c r="J110" t="s">
        <v>1198</v>
      </c>
      <c r="K110" t="s">
        <v>1322</v>
      </c>
      <c r="L110" t="s">
        <v>1764</v>
      </c>
    </row>
    <row r="111" spans="1:12" x14ac:dyDescent="0.25">
      <c r="A111" t="s">
        <v>1704</v>
      </c>
      <c r="B111" t="s">
        <v>1369</v>
      </c>
      <c r="C111" t="s">
        <v>1370</v>
      </c>
      <c r="D111" t="s">
        <v>1064</v>
      </c>
      <c r="E111" t="s">
        <v>1131</v>
      </c>
      <c r="F111" t="s">
        <v>1375</v>
      </c>
      <c r="G111" t="s">
        <v>1383</v>
      </c>
      <c r="H111" t="s">
        <v>1175</v>
      </c>
      <c r="I111" t="s">
        <v>1212</v>
      </c>
      <c r="J111" t="s">
        <v>1329</v>
      </c>
      <c r="K111" t="s">
        <v>1425</v>
      </c>
      <c r="L111" t="s">
        <v>1765</v>
      </c>
    </row>
    <row r="112" spans="1:12" x14ac:dyDescent="0.25">
      <c r="A112" t="s">
        <v>1705</v>
      </c>
      <c r="B112" t="s">
        <v>1451</v>
      </c>
      <c r="C112" t="s">
        <v>1452</v>
      </c>
      <c r="D112" t="s">
        <v>1047</v>
      </c>
      <c r="E112" t="s">
        <v>5</v>
      </c>
      <c r="F112" t="s">
        <v>1448</v>
      </c>
      <c r="G112" t="s">
        <v>1322</v>
      </c>
      <c r="H112" t="s">
        <v>1168</v>
      </c>
      <c r="I112" t="s">
        <v>1191</v>
      </c>
      <c r="J112" t="s">
        <v>1390</v>
      </c>
      <c r="K112" t="s">
        <v>1409</v>
      </c>
      <c r="L112" t="s">
        <v>1766</v>
      </c>
    </row>
    <row r="113" spans="1:12" x14ac:dyDescent="0.25">
      <c r="A113" t="s">
        <v>1706</v>
      </c>
      <c r="B113" t="s">
        <v>1646</v>
      </c>
      <c r="C113" t="s">
        <v>1647</v>
      </c>
      <c r="D113" t="s">
        <v>1047</v>
      </c>
      <c r="E113" t="s">
        <v>23</v>
      </c>
      <c r="F113" t="s">
        <v>1668</v>
      </c>
      <c r="G113" t="s">
        <v>1183</v>
      </c>
      <c r="H113" t="s">
        <v>1078</v>
      </c>
      <c r="I113" t="s">
        <v>1418</v>
      </c>
      <c r="J113" t="s">
        <v>1440</v>
      </c>
      <c r="K113" t="s">
        <v>1361</v>
      </c>
      <c r="L113" t="s">
        <v>1767</v>
      </c>
    </row>
    <row r="114" spans="1:12" x14ac:dyDescent="0.25">
      <c r="A114" t="s">
        <v>1707</v>
      </c>
      <c r="B114" t="s">
        <v>1250</v>
      </c>
      <c r="C114" t="s">
        <v>1251</v>
      </c>
      <c r="D114" t="s">
        <v>1047</v>
      </c>
      <c r="E114" t="s">
        <v>16</v>
      </c>
      <c r="F114" t="s">
        <v>1247</v>
      </c>
      <c r="G114" t="s">
        <v>1500</v>
      </c>
      <c r="H114" t="s">
        <v>1322</v>
      </c>
      <c r="I114" t="s">
        <v>1247</v>
      </c>
      <c r="J114" t="s">
        <v>1668</v>
      </c>
      <c r="K114" t="s">
        <v>1161</v>
      </c>
      <c r="L114" t="s">
        <v>1767</v>
      </c>
    </row>
    <row r="115" spans="1:12" x14ac:dyDescent="0.25">
      <c r="A115" t="s">
        <v>1708</v>
      </c>
      <c r="B115" t="s">
        <v>1186</v>
      </c>
      <c r="C115" t="s">
        <v>1187</v>
      </c>
      <c r="D115" t="s">
        <v>1047</v>
      </c>
      <c r="E115" t="s">
        <v>16</v>
      </c>
      <c r="F115" t="s">
        <v>1183</v>
      </c>
      <c r="G115" t="s">
        <v>1368</v>
      </c>
      <c r="H115" t="s">
        <v>1668</v>
      </c>
      <c r="I115" t="s">
        <v>1343</v>
      </c>
      <c r="J115" t="s">
        <v>1212</v>
      </c>
      <c r="K115" t="s">
        <v>1383</v>
      </c>
      <c r="L115" t="s">
        <v>1767</v>
      </c>
    </row>
    <row r="116" spans="1:12" x14ac:dyDescent="0.25">
      <c r="A116" t="s">
        <v>1709</v>
      </c>
      <c r="B116" t="s">
        <v>1278</v>
      </c>
      <c r="C116" t="s">
        <v>1279</v>
      </c>
      <c r="D116" t="s">
        <v>1047</v>
      </c>
      <c r="E116" t="s">
        <v>8</v>
      </c>
      <c r="F116" t="s">
        <v>1275</v>
      </c>
      <c r="G116" t="s">
        <v>1547</v>
      </c>
      <c r="H116" t="s">
        <v>1343</v>
      </c>
      <c r="I116" t="s">
        <v>1361</v>
      </c>
      <c r="J116" t="s">
        <v>1383</v>
      </c>
      <c r="K116" t="s">
        <v>1134</v>
      </c>
      <c r="L116" t="s">
        <v>1768</v>
      </c>
    </row>
    <row r="117" spans="1:12" x14ac:dyDescent="0.25">
      <c r="A117" t="s">
        <v>1710</v>
      </c>
      <c r="B117" t="s">
        <v>1364</v>
      </c>
      <c r="C117" t="s">
        <v>1365</v>
      </c>
      <c r="D117" t="s">
        <v>1047</v>
      </c>
      <c r="E117" t="s">
        <v>22</v>
      </c>
      <c r="F117" t="s">
        <v>1361</v>
      </c>
      <c r="G117" t="s">
        <v>1469</v>
      </c>
      <c r="H117" t="s">
        <v>1125</v>
      </c>
      <c r="I117" t="s">
        <v>1168</v>
      </c>
      <c r="J117" t="s">
        <v>1397</v>
      </c>
      <c r="K117" t="s">
        <v>1476</v>
      </c>
      <c r="L117" t="s">
        <v>1772</v>
      </c>
    </row>
    <row r="118" spans="1:12" x14ac:dyDescent="0.25">
      <c r="A118" t="s">
        <v>1711</v>
      </c>
      <c r="B118" t="s">
        <v>1378</v>
      </c>
      <c r="C118" t="s">
        <v>1379</v>
      </c>
      <c r="D118" t="s">
        <v>1064</v>
      </c>
      <c r="E118" t="s">
        <v>1065</v>
      </c>
      <c r="F118" t="s">
        <v>1375</v>
      </c>
      <c r="G118" t="s">
        <v>1490</v>
      </c>
      <c r="H118" t="s">
        <v>1304</v>
      </c>
      <c r="I118" t="s">
        <v>1349</v>
      </c>
      <c r="J118" t="s">
        <v>1282</v>
      </c>
      <c r="K118" t="s">
        <v>1212</v>
      </c>
      <c r="L118" t="s">
        <v>1772</v>
      </c>
    </row>
    <row r="119" spans="1:12" x14ac:dyDescent="0.25">
      <c r="A119" t="s">
        <v>1712</v>
      </c>
      <c r="B119" t="s">
        <v>1401</v>
      </c>
      <c r="C119" t="s">
        <v>1402</v>
      </c>
      <c r="D119" t="s">
        <v>1047</v>
      </c>
      <c r="E119" t="s">
        <v>9</v>
      </c>
      <c r="F119" t="s">
        <v>1403</v>
      </c>
      <c r="G119" t="s">
        <v>1349</v>
      </c>
      <c r="H119" t="s">
        <v>1175</v>
      </c>
      <c r="I119" t="s">
        <v>1233</v>
      </c>
      <c r="J119" t="s">
        <v>1668</v>
      </c>
      <c r="K119" t="s">
        <v>1368</v>
      </c>
      <c r="L119" t="s">
        <v>1773</v>
      </c>
    </row>
    <row r="120" spans="1:12" x14ac:dyDescent="0.25">
      <c r="A120" t="s">
        <v>1713</v>
      </c>
      <c r="B120" t="s">
        <v>1238</v>
      </c>
      <c r="C120" t="s">
        <v>1239</v>
      </c>
      <c r="D120" t="s">
        <v>1047</v>
      </c>
      <c r="E120" t="s">
        <v>5</v>
      </c>
      <c r="F120" t="s">
        <v>1240</v>
      </c>
      <c r="G120" t="s">
        <v>1480</v>
      </c>
      <c r="H120" t="s">
        <v>1183</v>
      </c>
      <c r="I120" t="s">
        <v>1397</v>
      </c>
      <c r="J120" t="s">
        <v>1669</v>
      </c>
      <c r="K120" t="s">
        <v>1226</v>
      </c>
      <c r="L120" t="s">
        <v>1773</v>
      </c>
    </row>
    <row r="121" spans="1:12" x14ac:dyDescent="0.25">
      <c r="A121" t="s">
        <v>1714</v>
      </c>
      <c r="B121" t="s">
        <v>1164</v>
      </c>
      <c r="C121" t="s">
        <v>1165</v>
      </c>
      <c r="D121" t="s">
        <v>1047</v>
      </c>
      <c r="E121" t="s">
        <v>33</v>
      </c>
      <c r="F121" t="s">
        <v>1161</v>
      </c>
      <c r="G121" t="s">
        <v>1500</v>
      </c>
      <c r="H121" t="s">
        <v>1397</v>
      </c>
      <c r="I121" t="s">
        <v>1141</v>
      </c>
      <c r="J121" t="s">
        <v>1448</v>
      </c>
      <c r="K121" t="s">
        <v>1390</v>
      </c>
      <c r="L121" t="s">
        <v>1774</v>
      </c>
    </row>
    <row r="122" spans="1:12" x14ac:dyDescent="0.25">
      <c r="A122" t="s">
        <v>1715</v>
      </c>
      <c r="B122" t="s">
        <v>1179</v>
      </c>
      <c r="C122" t="s">
        <v>1180</v>
      </c>
      <c r="D122" t="s">
        <v>1122</v>
      </c>
      <c r="E122" t="s">
        <v>63</v>
      </c>
      <c r="F122" t="s">
        <v>1175</v>
      </c>
      <c r="G122" t="s">
        <v>1343</v>
      </c>
      <c r="H122" t="s">
        <v>1304</v>
      </c>
      <c r="I122" t="s">
        <v>1397</v>
      </c>
      <c r="J122" t="s">
        <v>1668</v>
      </c>
      <c r="K122" t="s">
        <v>1329</v>
      </c>
      <c r="L122" t="s">
        <v>1775</v>
      </c>
    </row>
    <row r="123" spans="1:12" x14ac:dyDescent="0.25">
      <c r="A123" t="s">
        <v>1716</v>
      </c>
      <c r="B123" t="s">
        <v>1229</v>
      </c>
      <c r="C123" t="s">
        <v>1230</v>
      </c>
      <c r="D123" t="s">
        <v>1047</v>
      </c>
      <c r="E123" t="s">
        <v>9</v>
      </c>
      <c r="F123" t="s">
        <v>1226</v>
      </c>
      <c r="G123" t="s">
        <v>1852</v>
      </c>
      <c r="H123" t="s">
        <v>1349</v>
      </c>
      <c r="I123" t="s">
        <v>1183</v>
      </c>
      <c r="J123" t="s">
        <v>1311</v>
      </c>
      <c r="K123" t="s">
        <v>1476</v>
      </c>
      <c r="L123" t="s">
        <v>1775</v>
      </c>
    </row>
    <row r="124" spans="1:12" x14ac:dyDescent="0.25">
      <c r="A124" t="s">
        <v>1717</v>
      </c>
      <c r="B124" t="s">
        <v>1380</v>
      </c>
      <c r="C124" t="s">
        <v>1381</v>
      </c>
      <c r="D124" t="s">
        <v>1064</v>
      </c>
      <c r="E124" t="s">
        <v>1382</v>
      </c>
      <c r="F124" t="s">
        <v>1383</v>
      </c>
      <c r="G124" t="s">
        <v>1205</v>
      </c>
      <c r="H124" t="s">
        <v>1212</v>
      </c>
      <c r="I124" t="s">
        <v>1668</v>
      </c>
      <c r="J124" t="s">
        <v>1059</v>
      </c>
      <c r="K124" t="s">
        <v>1668</v>
      </c>
      <c r="L124" t="s">
        <v>1776</v>
      </c>
    </row>
    <row r="125" spans="1:12" x14ac:dyDescent="0.25">
      <c r="A125" t="s">
        <v>1718</v>
      </c>
      <c r="B125" t="s">
        <v>1120</v>
      </c>
      <c r="C125" t="s">
        <v>1121</v>
      </c>
      <c r="D125" t="s">
        <v>1122</v>
      </c>
      <c r="E125" t="s">
        <v>23</v>
      </c>
      <c r="F125" t="s">
        <v>1117</v>
      </c>
      <c r="G125" t="s">
        <v>1425</v>
      </c>
      <c r="H125" t="s">
        <v>1440</v>
      </c>
      <c r="I125" t="s">
        <v>1375</v>
      </c>
      <c r="J125" t="s">
        <v>1219</v>
      </c>
      <c r="K125" t="s">
        <v>1418</v>
      </c>
      <c r="L125" t="s">
        <v>1777</v>
      </c>
    </row>
    <row r="126" spans="1:12" x14ac:dyDescent="0.25">
      <c r="A126" t="s">
        <v>1719</v>
      </c>
      <c r="B126" t="s">
        <v>1290</v>
      </c>
      <c r="C126" t="s">
        <v>1291</v>
      </c>
      <c r="D126" t="s">
        <v>1047</v>
      </c>
      <c r="E126" t="s">
        <v>11</v>
      </c>
      <c r="F126" t="s">
        <v>1289</v>
      </c>
      <c r="G126" t="s">
        <v>1462</v>
      </c>
      <c r="H126" t="s">
        <v>1275</v>
      </c>
      <c r="I126" t="s">
        <v>1349</v>
      </c>
      <c r="J126" t="s">
        <v>1510</v>
      </c>
      <c r="K126" t="s">
        <v>1183</v>
      </c>
      <c r="L126" t="s">
        <v>1777</v>
      </c>
    </row>
    <row r="127" spans="1:12" x14ac:dyDescent="0.25">
      <c r="A127" t="s">
        <v>1720</v>
      </c>
      <c r="B127" t="s">
        <v>1248</v>
      </c>
      <c r="C127" t="s">
        <v>1249</v>
      </c>
      <c r="D127" t="s">
        <v>1047</v>
      </c>
      <c r="E127" t="s">
        <v>23</v>
      </c>
      <c r="F127" t="s">
        <v>1247</v>
      </c>
      <c r="G127" t="s">
        <v>1191</v>
      </c>
      <c r="H127" t="s">
        <v>1440</v>
      </c>
      <c r="I127" t="s">
        <v>1510</v>
      </c>
      <c r="J127" t="s">
        <v>1296</v>
      </c>
      <c r="K127" t="s">
        <v>1383</v>
      </c>
      <c r="L127" t="s">
        <v>1777</v>
      </c>
    </row>
    <row r="128" spans="1:12" x14ac:dyDescent="0.25">
      <c r="A128" t="s">
        <v>1721</v>
      </c>
      <c r="B128" t="s">
        <v>1227</v>
      </c>
      <c r="C128" t="s">
        <v>1228</v>
      </c>
      <c r="D128" t="s">
        <v>1047</v>
      </c>
      <c r="E128" t="s">
        <v>21</v>
      </c>
      <c r="F128" t="s">
        <v>1226</v>
      </c>
      <c r="G128" t="s">
        <v>1175</v>
      </c>
      <c r="H128" t="s">
        <v>1425</v>
      </c>
      <c r="I128" t="s">
        <v>1390</v>
      </c>
      <c r="J128" t="s">
        <v>1462</v>
      </c>
      <c r="K128" t="s">
        <v>1361</v>
      </c>
      <c r="L128" t="s">
        <v>1780</v>
      </c>
    </row>
    <row r="129" spans="1:12" x14ac:dyDescent="0.25">
      <c r="A129" t="s">
        <v>1722</v>
      </c>
      <c r="B129" t="s">
        <v>1371</v>
      </c>
      <c r="C129" t="s">
        <v>1372</v>
      </c>
      <c r="D129" t="s">
        <v>1047</v>
      </c>
      <c r="E129" t="s">
        <v>16</v>
      </c>
      <c r="F129" t="s">
        <v>1368</v>
      </c>
      <c r="G129" t="s">
        <v>1354</v>
      </c>
      <c r="H129" t="s">
        <v>1289</v>
      </c>
      <c r="I129" t="s">
        <v>1240</v>
      </c>
      <c r="J129" t="s">
        <v>1495</v>
      </c>
      <c r="K129" t="s">
        <v>1329</v>
      </c>
      <c r="L129" t="s">
        <v>1780</v>
      </c>
    </row>
    <row r="130" spans="1:12" x14ac:dyDescent="0.25">
      <c r="A130" t="s">
        <v>1723</v>
      </c>
      <c r="B130" t="s">
        <v>1434</v>
      </c>
      <c r="C130" t="s">
        <v>1435</v>
      </c>
      <c r="D130" t="s">
        <v>1047</v>
      </c>
      <c r="E130" t="s">
        <v>31</v>
      </c>
      <c r="F130" t="s">
        <v>1433</v>
      </c>
      <c r="G130" t="s">
        <v>1240</v>
      </c>
      <c r="H130" t="s">
        <v>1397</v>
      </c>
      <c r="I130" t="s">
        <v>1668</v>
      </c>
      <c r="J130" t="s">
        <v>1078</v>
      </c>
      <c r="K130" t="s">
        <v>1433</v>
      </c>
      <c r="L130" t="s">
        <v>1781</v>
      </c>
    </row>
    <row r="131" spans="1:12" x14ac:dyDescent="0.25">
      <c r="A131" t="s">
        <v>1569</v>
      </c>
      <c r="B131" t="s">
        <v>1188</v>
      </c>
      <c r="C131" t="s">
        <v>1189</v>
      </c>
      <c r="D131" t="s">
        <v>1064</v>
      </c>
      <c r="E131" t="s">
        <v>1190</v>
      </c>
      <c r="F131" t="s">
        <v>1191</v>
      </c>
      <c r="G131" t="s">
        <v>1480</v>
      </c>
      <c r="H131" t="s">
        <v>1240</v>
      </c>
      <c r="I131" t="s">
        <v>1336</v>
      </c>
      <c r="J131" t="s">
        <v>1668</v>
      </c>
      <c r="K131" t="s">
        <v>1354</v>
      </c>
      <c r="L131" t="s">
        <v>1783</v>
      </c>
    </row>
    <row r="132" spans="1:12" x14ac:dyDescent="0.25">
      <c r="A132" t="s">
        <v>1724</v>
      </c>
      <c r="B132" t="s">
        <v>1155</v>
      </c>
      <c r="C132" t="s">
        <v>1156</v>
      </c>
      <c r="D132" t="s">
        <v>1047</v>
      </c>
      <c r="E132" t="s">
        <v>1138</v>
      </c>
      <c r="F132" t="s">
        <v>1154</v>
      </c>
      <c r="G132" t="s">
        <v>1462</v>
      </c>
      <c r="H132" t="s">
        <v>1375</v>
      </c>
      <c r="I132" t="s">
        <v>1403</v>
      </c>
      <c r="J132" t="s">
        <v>1668</v>
      </c>
      <c r="K132" t="s">
        <v>1219</v>
      </c>
      <c r="L132" t="s">
        <v>1785</v>
      </c>
    </row>
    <row r="133" spans="1:12" x14ac:dyDescent="0.25">
      <c r="A133" t="s">
        <v>1725</v>
      </c>
      <c r="B133" t="s">
        <v>1136</v>
      </c>
      <c r="C133" t="s">
        <v>1137</v>
      </c>
      <c r="D133" t="s">
        <v>1128</v>
      </c>
      <c r="E133" t="s">
        <v>1138</v>
      </c>
      <c r="F133" t="s">
        <v>1134</v>
      </c>
      <c r="G133" t="s">
        <v>1519</v>
      </c>
      <c r="H133" t="s">
        <v>1336</v>
      </c>
      <c r="I133" t="s">
        <v>1329</v>
      </c>
      <c r="J133" t="s">
        <v>1668</v>
      </c>
      <c r="K133" t="s">
        <v>1289</v>
      </c>
      <c r="L133" t="s">
        <v>1786</v>
      </c>
    </row>
    <row r="134" spans="1:12" x14ac:dyDescent="0.25">
      <c r="A134" t="s">
        <v>1726</v>
      </c>
      <c r="B134" t="s">
        <v>1460</v>
      </c>
      <c r="C134" t="s">
        <v>1461</v>
      </c>
      <c r="D134" t="s">
        <v>1047</v>
      </c>
      <c r="E134" t="s">
        <v>104</v>
      </c>
      <c r="F134" t="s">
        <v>1462</v>
      </c>
      <c r="G134" t="s">
        <v>1440</v>
      </c>
      <c r="H134" t="s">
        <v>1275</v>
      </c>
      <c r="I134" t="s">
        <v>1183</v>
      </c>
      <c r="J134" t="s">
        <v>1261</v>
      </c>
      <c r="K134" t="s">
        <v>1669</v>
      </c>
      <c r="L134" t="s">
        <v>1786</v>
      </c>
    </row>
    <row r="135" spans="1:12" x14ac:dyDescent="0.25">
      <c r="A135" t="s">
        <v>1727</v>
      </c>
      <c r="B135" t="s">
        <v>1316</v>
      </c>
      <c r="C135" t="s">
        <v>1317</v>
      </c>
      <c r="D135" t="s">
        <v>1064</v>
      </c>
      <c r="E135" t="s">
        <v>1146</v>
      </c>
      <c r="F135" t="s">
        <v>1667</v>
      </c>
      <c r="G135" t="s">
        <v>1311</v>
      </c>
      <c r="H135" t="s">
        <v>1268</v>
      </c>
      <c r="I135" t="s">
        <v>1296</v>
      </c>
      <c r="J135" t="s">
        <v>1476</v>
      </c>
      <c r="K135" t="s">
        <v>1440</v>
      </c>
      <c r="L135" t="s">
        <v>1787</v>
      </c>
    </row>
    <row r="136" spans="1:12" x14ac:dyDescent="0.25">
      <c r="A136" t="s">
        <v>1728</v>
      </c>
      <c r="B136" t="s">
        <v>1101</v>
      </c>
      <c r="C136" t="s">
        <v>1102</v>
      </c>
      <c r="D136" t="s">
        <v>1064</v>
      </c>
      <c r="E136" t="s">
        <v>1103</v>
      </c>
      <c r="F136" t="s">
        <v>1100</v>
      </c>
      <c r="G136" t="s">
        <v>1440</v>
      </c>
      <c r="H136" t="s">
        <v>1448</v>
      </c>
      <c r="I136" t="s">
        <v>1383</v>
      </c>
      <c r="J136" t="s">
        <v>1261</v>
      </c>
      <c r="K136" t="s">
        <v>1485</v>
      </c>
      <c r="L136" t="s">
        <v>1788</v>
      </c>
    </row>
    <row r="137" spans="1:12" x14ac:dyDescent="0.25">
      <c r="A137" t="s">
        <v>1449</v>
      </c>
      <c r="B137" t="s">
        <v>1271</v>
      </c>
      <c r="C137" t="s">
        <v>1272</v>
      </c>
      <c r="D137" t="s">
        <v>1047</v>
      </c>
      <c r="E137" t="s">
        <v>33</v>
      </c>
      <c r="F137" t="s">
        <v>1268</v>
      </c>
      <c r="G137" t="s">
        <v>1375</v>
      </c>
      <c r="H137" t="s">
        <v>1296</v>
      </c>
      <c r="I137" t="s">
        <v>1469</v>
      </c>
      <c r="J137" t="s">
        <v>1254</v>
      </c>
      <c r="K137" t="s">
        <v>1440</v>
      </c>
      <c r="L137" t="s">
        <v>1788</v>
      </c>
    </row>
    <row r="138" spans="1:12" x14ac:dyDescent="0.25">
      <c r="A138" t="s">
        <v>1729</v>
      </c>
      <c r="B138" t="s">
        <v>1309</v>
      </c>
      <c r="C138" t="s">
        <v>1310</v>
      </c>
      <c r="D138" t="s">
        <v>1122</v>
      </c>
      <c r="E138" t="s">
        <v>39</v>
      </c>
      <c r="F138" t="s">
        <v>1311</v>
      </c>
      <c r="G138" t="s">
        <v>1418</v>
      </c>
      <c r="H138" t="s">
        <v>1349</v>
      </c>
      <c r="I138" t="s">
        <v>1268</v>
      </c>
      <c r="J138" t="s">
        <v>1425</v>
      </c>
      <c r="K138" t="s">
        <v>1289</v>
      </c>
      <c r="L138" t="s">
        <v>1788</v>
      </c>
    </row>
    <row r="139" spans="1:12" x14ac:dyDescent="0.25">
      <c r="A139" t="s">
        <v>1540</v>
      </c>
      <c r="B139" t="s">
        <v>1312</v>
      </c>
      <c r="C139" t="s">
        <v>1313</v>
      </c>
      <c r="D139" t="s">
        <v>1314</v>
      </c>
      <c r="E139" t="s">
        <v>1315</v>
      </c>
      <c r="F139" t="s">
        <v>1311</v>
      </c>
      <c r="G139" t="s">
        <v>1433</v>
      </c>
      <c r="H139" t="s">
        <v>1311</v>
      </c>
      <c r="I139" t="s">
        <v>1329</v>
      </c>
      <c r="J139" t="s">
        <v>1268</v>
      </c>
      <c r="K139" t="s">
        <v>1668</v>
      </c>
      <c r="L139" t="s">
        <v>1790</v>
      </c>
    </row>
    <row r="140" spans="1:12" x14ac:dyDescent="0.25">
      <c r="A140" t="s">
        <v>1730</v>
      </c>
      <c r="B140" t="s">
        <v>1283</v>
      </c>
      <c r="C140" t="s">
        <v>1284</v>
      </c>
      <c r="D140" t="s">
        <v>1047</v>
      </c>
      <c r="E140" t="s">
        <v>31</v>
      </c>
      <c r="F140" t="s">
        <v>1282</v>
      </c>
      <c r="G140" t="s">
        <v>1455</v>
      </c>
      <c r="H140" t="s">
        <v>1668</v>
      </c>
      <c r="I140" t="s">
        <v>1304</v>
      </c>
      <c r="J140" t="s">
        <v>1311</v>
      </c>
      <c r="K140" t="s">
        <v>1296</v>
      </c>
      <c r="L140" t="s">
        <v>1790</v>
      </c>
    </row>
    <row r="141" spans="1:12" x14ac:dyDescent="0.25">
      <c r="A141" t="s">
        <v>1731</v>
      </c>
      <c r="B141" t="s">
        <v>1287</v>
      </c>
      <c r="C141" t="s">
        <v>1288</v>
      </c>
      <c r="D141" t="s">
        <v>1064</v>
      </c>
      <c r="E141" t="s">
        <v>1146</v>
      </c>
      <c r="F141" t="s">
        <v>1289</v>
      </c>
      <c r="G141" t="s">
        <v>1418</v>
      </c>
      <c r="H141" t="s">
        <v>1198</v>
      </c>
      <c r="I141" t="s">
        <v>1542</v>
      </c>
      <c r="J141" t="s">
        <v>1403</v>
      </c>
      <c r="K141" t="s">
        <v>1375</v>
      </c>
      <c r="L141" t="s">
        <v>1795</v>
      </c>
    </row>
    <row r="142" spans="1:12" x14ac:dyDescent="0.25">
      <c r="A142" t="s">
        <v>1732</v>
      </c>
      <c r="B142" t="s">
        <v>1269</v>
      </c>
      <c r="C142" t="s">
        <v>1270</v>
      </c>
      <c r="D142" t="s">
        <v>1122</v>
      </c>
      <c r="E142" t="s">
        <v>9</v>
      </c>
      <c r="F142" t="s">
        <v>1268</v>
      </c>
      <c r="G142" t="s">
        <v>1403</v>
      </c>
      <c r="H142" t="s">
        <v>1343</v>
      </c>
      <c r="I142" t="s">
        <v>1268</v>
      </c>
      <c r="J142" t="s">
        <v>1480</v>
      </c>
      <c r="K142" t="s">
        <v>1403</v>
      </c>
      <c r="L142" t="s">
        <v>1795</v>
      </c>
    </row>
    <row r="143" spans="1:12" x14ac:dyDescent="0.25">
      <c r="A143" t="s">
        <v>1733</v>
      </c>
      <c r="B143" t="s">
        <v>1362</v>
      </c>
      <c r="C143" t="s">
        <v>1363</v>
      </c>
      <c r="D143" t="s">
        <v>1108</v>
      </c>
      <c r="E143" t="s">
        <v>5</v>
      </c>
      <c r="F143" t="s">
        <v>1368</v>
      </c>
      <c r="G143" t="s">
        <v>1490</v>
      </c>
      <c r="H143" t="s">
        <v>1354</v>
      </c>
      <c r="I143" t="s">
        <v>1561</v>
      </c>
      <c r="J143" t="s">
        <v>1275</v>
      </c>
      <c r="K143" t="s">
        <v>1205</v>
      </c>
      <c r="L143" t="s">
        <v>1797</v>
      </c>
    </row>
    <row r="144" spans="1:12" x14ac:dyDescent="0.25">
      <c r="A144" t="s">
        <v>1735</v>
      </c>
      <c r="B144" t="s">
        <v>1355</v>
      </c>
      <c r="C144" t="s">
        <v>1356</v>
      </c>
      <c r="D144" t="s">
        <v>1122</v>
      </c>
      <c r="E144" t="s">
        <v>22</v>
      </c>
      <c r="F144" t="s">
        <v>1354</v>
      </c>
      <c r="G144" t="s">
        <v>1519</v>
      </c>
      <c r="H144" t="s">
        <v>1462</v>
      </c>
      <c r="I144" t="s">
        <v>1440</v>
      </c>
      <c r="J144" t="s">
        <v>1233</v>
      </c>
      <c r="K144" t="s">
        <v>1219</v>
      </c>
      <c r="L144" t="s">
        <v>1798</v>
      </c>
    </row>
    <row r="145" spans="1:12" x14ac:dyDescent="0.25">
      <c r="A145" t="s">
        <v>1736</v>
      </c>
      <c r="B145" t="s">
        <v>1474</v>
      </c>
      <c r="C145" t="s">
        <v>1475</v>
      </c>
      <c r="D145" t="s">
        <v>1047</v>
      </c>
      <c r="E145" t="s">
        <v>21</v>
      </c>
      <c r="F145" t="s">
        <v>1476</v>
      </c>
      <c r="G145" t="s">
        <v>1198</v>
      </c>
      <c r="H145" t="s">
        <v>1433</v>
      </c>
      <c r="I145" t="s">
        <v>1212</v>
      </c>
      <c r="J145" t="s">
        <v>1670</v>
      </c>
      <c r="K145" t="s">
        <v>1397</v>
      </c>
      <c r="L145" t="s">
        <v>1799</v>
      </c>
    </row>
    <row r="146" spans="1:12" x14ac:dyDescent="0.25">
      <c r="A146" t="s">
        <v>1737</v>
      </c>
      <c r="B146" t="s">
        <v>1294</v>
      </c>
      <c r="C146" t="s">
        <v>1295</v>
      </c>
      <c r="D146" t="s">
        <v>1047</v>
      </c>
      <c r="E146" t="s">
        <v>21</v>
      </c>
      <c r="F146" t="s">
        <v>1296</v>
      </c>
      <c r="G146" t="s">
        <v>1852</v>
      </c>
      <c r="H146" t="s">
        <v>1409</v>
      </c>
      <c r="I146" t="s">
        <v>1455</v>
      </c>
      <c r="J146" t="s">
        <v>1322</v>
      </c>
      <c r="K146" t="s">
        <v>1240</v>
      </c>
      <c r="L146" t="s">
        <v>1800</v>
      </c>
    </row>
    <row r="147" spans="1:12" x14ac:dyDescent="0.25">
      <c r="A147" t="s">
        <v>1738</v>
      </c>
      <c r="B147" t="s">
        <v>1245</v>
      </c>
      <c r="C147" t="s">
        <v>1246</v>
      </c>
      <c r="D147" t="s">
        <v>1122</v>
      </c>
      <c r="E147" t="s">
        <v>67</v>
      </c>
      <c r="F147" t="s">
        <v>1247</v>
      </c>
      <c r="G147" t="s">
        <v>1510</v>
      </c>
      <c r="H147" t="s">
        <v>1361</v>
      </c>
      <c r="I147" t="s">
        <v>1480</v>
      </c>
      <c r="J147" t="s">
        <v>1219</v>
      </c>
      <c r="K147" t="s">
        <v>1425</v>
      </c>
      <c r="L147" t="s">
        <v>1802</v>
      </c>
    </row>
    <row r="148" spans="1:12" x14ac:dyDescent="0.25">
      <c r="A148" t="s">
        <v>1739</v>
      </c>
      <c r="B148" t="s">
        <v>1327</v>
      </c>
      <c r="C148" t="s">
        <v>1328</v>
      </c>
      <c r="D148" t="s">
        <v>1047</v>
      </c>
      <c r="E148" t="s">
        <v>17</v>
      </c>
      <c r="F148" t="s">
        <v>1329</v>
      </c>
      <c r="G148" t="s">
        <v>1448</v>
      </c>
      <c r="H148" t="s">
        <v>1668</v>
      </c>
      <c r="I148" t="s">
        <v>1485</v>
      </c>
      <c r="J148" t="s">
        <v>1226</v>
      </c>
      <c r="K148" t="s">
        <v>1247</v>
      </c>
      <c r="L148" t="s">
        <v>1802</v>
      </c>
    </row>
    <row r="149" spans="1:12" x14ac:dyDescent="0.25">
      <c r="A149" t="s">
        <v>1740</v>
      </c>
      <c r="B149" t="s">
        <v>1332</v>
      </c>
      <c r="C149" t="s">
        <v>1333</v>
      </c>
      <c r="D149" t="s">
        <v>1064</v>
      </c>
      <c r="E149" t="s">
        <v>1190</v>
      </c>
      <c r="F149" t="s">
        <v>1336</v>
      </c>
      <c r="G149" t="s">
        <v>1425</v>
      </c>
      <c r="H149" t="s">
        <v>1469</v>
      </c>
      <c r="I149" t="s">
        <v>1397</v>
      </c>
      <c r="J149" t="s">
        <v>1117</v>
      </c>
      <c r="K149" t="s">
        <v>1524</v>
      </c>
      <c r="L149" t="s">
        <v>1803</v>
      </c>
    </row>
    <row r="150" spans="1:12" x14ac:dyDescent="0.25">
      <c r="A150" t="s">
        <v>1741</v>
      </c>
      <c r="B150" t="s">
        <v>1161</v>
      </c>
      <c r="C150" t="s">
        <v>1323</v>
      </c>
      <c r="D150" t="s">
        <v>1064</v>
      </c>
      <c r="E150" t="s">
        <v>1324</v>
      </c>
      <c r="F150" t="s">
        <v>1322</v>
      </c>
      <c r="G150" t="s">
        <v>1383</v>
      </c>
      <c r="H150" t="s">
        <v>1668</v>
      </c>
      <c r="I150" t="s">
        <v>1476</v>
      </c>
      <c r="J150" t="s">
        <v>1183</v>
      </c>
      <c r="K150" t="s">
        <v>1383</v>
      </c>
      <c r="L150" t="s">
        <v>1803</v>
      </c>
    </row>
    <row r="151" spans="1:12" x14ac:dyDescent="0.25">
      <c r="A151" t="s">
        <v>1742</v>
      </c>
      <c r="B151" t="s">
        <v>1467</v>
      </c>
      <c r="C151" t="s">
        <v>1468</v>
      </c>
      <c r="D151" t="s">
        <v>1047</v>
      </c>
      <c r="E151" t="s">
        <v>21</v>
      </c>
      <c r="F151" t="s">
        <v>1469</v>
      </c>
      <c r="G151" t="s">
        <v>1409</v>
      </c>
      <c r="H151" t="s">
        <v>1183</v>
      </c>
      <c r="I151" t="s">
        <v>1354</v>
      </c>
      <c r="J151" t="s">
        <v>1409</v>
      </c>
      <c r="K151" t="s">
        <v>1390</v>
      </c>
      <c r="L151" t="s">
        <v>1804</v>
      </c>
    </row>
    <row r="152" spans="1:12" x14ac:dyDescent="0.25">
      <c r="A152" t="s">
        <v>1743</v>
      </c>
      <c r="B152" t="s">
        <v>1428</v>
      </c>
      <c r="C152" t="s">
        <v>1429</v>
      </c>
      <c r="D152" t="s">
        <v>1047</v>
      </c>
      <c r="E152" t="s">
        <v>5</v>
      </c>
      <c r="F152" t="s">
        <v>1425</v>
      </c>
      <c r="G152" t="s">
        <v>1476</v>
      </c>
      <c r="H152" t="s">
        <v>1354</v>
      </c>
      <c r="I152" t="s">
        <v>1455</v>
      </c>
      <c r="J152" t="s">
        <v>1289</v>
      </c>
      <c r="K152" t="s">
        <v>1226</v>
      </c>
      <c r="L152" t="s">
        <v>1804</v>
      </c>
    </row>
    <row r="153" spans="1:12" x14ac:dyDescent="0.25">
      <c r="A153" t="s">
        <v>1744</v>
      </c>
      <c r="B153" t="s">
        <v>1633</v>
      </c>
      <c r="C153" t="s">
        <v>1634</v>
      </c>
      <c r="D153" t="s">
        <v>1047</v>
      </c>
      <c r="E153" t="s">
        <v>23</v>
      </c>
      <c r="F153" t="s">
        <v>1668</v>
      </c>
      <c r="G153" t="s">
        <v>1219</v>
      </c>
      <c r="H153" t="s">
        <v>1233</v>
      </c>
      <c r="I153" t="s">
        <v>1254</v>
      </c>
      <c r="J153" t="s">
        <v>1668</v>
      </c>
      <c r="K153" t="s">
        <v>1368</v>
      </c>
      <c r="L153" t="s">
        <v>1188</v>
      </c>
    </row>
    <row r="154" spans="1:12" x14ac:dyDescent="0.25">
      <c r="A154" t="s">
        <v>1745</v>
      </c>
      <c r="B154" t="s">
        <v>1220</v>
      </c>
      <c r="C154" t="s">
        <v>1221</v>
      </c>
      <c r="D154" t="s">
        <v>1047</v>
      </c>
      <c r="E154" t="s">
        <v>16</v>
      </c>
      <c r="F154" t="s">
        <v>1219</v>
      </c>
      <c r="G154" t="s">
        <v>1349</v>
      </c>
      <c r="H154" t="s">
        <v>1668</v>
      </c>
      <c r="I154" t="s">
        <v>1226</v>
      </c>
      <c r="J154" t="s">
        <v>1289</v>
      </c>
      <c r="K154" t="s">
        <v>1668</v>
      </c>
      <c r="L154" t="s">
        <v>1805</v>
      </c>
    </row>
    <row r="155" spans="1:12" x14ac:dyDescent="0.25">
      <c r="A155" t="s">
        <v>1746</v>
      </c>
      <c r="B155" t="s">
        <v>1631</v>
      </c>
      <c r="C155" t="s">
        <v>1632</v>
      </c>
      <c r="D155" t="s">
        <v>1108</v>
      </c>
      <c r="E155" t="s">
        <v>104</v>
      </c>
      <c r="F155" t="s">
        <v>1668</v>
      </c>
      <c r="G155" t="s">
        <v>1147</v>
      </c>
      <c r="H155" t="s">
        <v>1329</v>
      </c>
      <c r="I155" t="s">
        <v>1343</v>
      </c>
      <c r="J155" t="s">
        <v>1668</v>
      </c>
      <c r="K155" t="s">
        <v>1275</v>
      </c>
      <c r="L155" t="s">
        <v>1806</v>
      </c>
    </row>
    <row r="156" spans="1:12" x14ac:dyDescent="0.25">
      <c r="A156" t="s">
        <v>1747</v>
      </c>
      <c r="B156" t="s">
        <v>1512</v>
      </c>
      <c r="C156" t="s">
        <v>1513</v>
      </c>
      <c r="D156" t="s">
        <v>1122</v>
      </c>
      <c r="E156" t="s">
        <v>10</v>
      </c>
      <c r="F156" t="s">
        <v>1505</v>
      </c>
      <c r="G156" t="s">
        <v>1361</v>
      </c>
      <c r="H156" t="s">
        <v>1154</v>
      </c>
      <c r="I156" t="s">
        <v>1418</v>
      </c>
      <c r="J156" t="s">
        <v>1368</v>
      </c>
      <c r="K156" t="s">
        <v>1469</v>
      </c>
      <c r="L156" t="s">
        <v>1806</v>
      </c>
    </row>
    <row r="157" spans="1:12" x14ac:dyDescent="0.25">
      <c r="A157" t="s">
        <v>1748</v>
      </c>
      <c r="B157" t="s">
        <v>1259</v>
      </c>
      <c r="C157" t="s">
        <v>1260</v>
      </c>
      <c r="D157" t="s">
        <v>1047</v>
      </c>
      <c r="E157" t="s">
        <v>23</v>
      </c>
      <c r="F157" t="s">
        <v>1261</v>
      </c>
      <c r="G157" t="s">
        <v>1405</v>
      </c>
      <c r="H157" t="s">
        <v>1289</v>
      </c>
      <c r="I157" t="s">
        <v>1571</v>
      </c>
      <c r="J157" t="s">
        <v>1354</v>
      </c>
      <c r="K157" t="s">
        <v>1311</v>
      </c>
      <c r="L157" t="s">
        <v>1807</v>
      </c>
    </row>
    <row r="158" spans="1:12" x14ac:dyDescent="0.25">
      <c r="A158" t="s">
        <v>1749</v>
      </c>
      <c r="B158" t="s">
        <v>1488</v>
      </c>
      <c r="C158" t="s">
        <v>1489</v>
      </c>
      <c r="D158" t="s">
        <v>1047</v>
      </c>
      <c r="E158" t="s">
        <v>11</v>
      </c>
      <c r="F158" t="s">
        <v>1490</v>
      </c>
      <c r="G158" t="s">
        <v>1296</v>
      </c>
      <c r="H158" t="s">
        <v>1495</v>
      </c>
      <c r="I158" t="s">
        <v>1329</v>
      </c>
      <c r="J158" t="s">
        <v>1336</v>
      </c>
      <c r="K158" t="s">
        <v>1336</v>
      </c>
      <c r="L158" t="s">
        <v>1808</v>
      </c>
    </row>
    <row r="159" spans="1:12" x14ac:dyDescent="0.25">
      <c r="A159" t="s">
        <v>1750</v>
      </c>
      <c r="B159" t="s">
        <v>1325</v>
      </c>
      <c r="C159" t="s">
        <v>1326</v>
      </c>
      <c r="D159" t="s">
        <v>1047</v>
      </c>
      <c r="E159" t="s">
        <v>104</v>
      </c>
      <c r="F159" t="s">
        <v>1329</v>
      </c>
      <c r="G159" t="s">
        <v>1851</v>
      </c>
      <c r="H159" t="s">
        <v>1093</v>
      </c>
      <c r="I159" t="s">
        <v>1409</v>
      </c>
      <c r="J159" t="s">
        <v>1668</v>
      </c>
      <c r="K159" t="s">
        <v>1668</v>
      </c>
      <c r="L159" t="s">
        <v>1811</v>
      </c>
    </row>
    <row r="160" spans="1:12" x14ac:dyDescent="0.25">
      <c r="A160" t="s">
        <v>1751</v>
      </c>
      <c r="B160" t="s">
        <v>1241</v>
      </c>
      <c r="C160" t="s">
        <v>1242</v>
      </c>
      <c r="D160" t="s">
        <v>1122</v>
      </c>
      <c r="E160" t="s">
        <v>67</v>
      </c>
      <c r="F160" t="s">
        <v>1240</v>
      </c>
      <c r="G160" t="s">
        <v>1183</v>
      </c>
      <c r="H160" t="s">
        <v>1529</v>
      </c>
      <c r="I160" t="s">
        <v>1405</v>
      </c>
      <c r="J160" t="s">
        <v>1485</v>
      </c>
      <c r="K160" t="s">
        <v>1343</v>
      </c>
      <c r="L160" t="s">
        <v>1811</v>
      </c>
    </row>
    <row r="161" spans="1:12" x14ac:dyDescent="0.25">
      <c r="A161" t="s">
        <v>1752</v>
      </c>
      <c r="B161" t="s">
        <v>1463</v>
      </c>
      <c r="C161" t="s">
        <v>1464</v>
      </c>
      <c r="D161" t="s">
        <v>1047</v>
      </c>
      <c r="E161" t="s">
        <v>5</v>
      </c>
      <c r="F161" t="s">
        <v>1462</v>
      </c>
      <c r="G161" t="s">
        <v>1433</v>
      </c>
      <c r="H161" t="s">
        <v>1254</v>
      </c>
      <c r="I161" t="s">
        <v>1505</v>
      </c>
      <c r="J161" t="s">
        <v>1275</v>
      </c>
      <c r="K161" t="s">
        <v>1397</v>
      </c>
      <c r="L161" t="s">
        <v>1813</v>
      </c>
    </row>
    <row r="162" spans="1:12" x14ac:dyDescent="0.25">
      <c r="A162" t="s">
        <v>1753</v>
      </c>
      <c r="B162" t="s">
        <v>1654</v>
      </c>
      <c r="C162" t="s">
        <v>1655</v>
      </c>
      <c r="D162" t="s">
        <v>1047</v>
      </c>
      <c r="E162" t="s">
        <v>17</v>
      </c>
      <c r="F162" t="s">
        <v>1668</v>
      </c>
      <c r="G162" t="s">
        <v>1219</v>
      </c>
      <c r="H162" t="s">
        <v>1361</v>
      </c>
      <c r="I162" t="s">
        <v>1440</v>
      </c>
      <c r="J162" t="s">
        <v>1354</v>
      </c>
      <c r="K162" t="s">
        <v>1455</v>
      </c>
      <c r="L162" t="s">
        <v>1814</v>
      </c>
    </row>
    <row r="163" spans="1:12" x14ac:dyDescent="0.25">
      <c r="A163" t="s">
        <v>1754</v>
      </c>
      <c r="B163" t="s">
        <v>1297</v>
      </c>
      <c r="C163" t="s">
        <v>1298</v>
      </c>
      <c r="D163" t="s">
        <v>1122</v>
      </c>
      <c r="E163" t="s">
        <v>96</v>
      </c>
      <c r="F163" t="s">
        <v>1296</v>
      </c>
      <c r="G163" t="s">
        <v>1322</v>
      </c>
      <c r="H163" t="s">
        <v>1403</v>
      </c>
      <c r="I163" t="s">
        <v>1311</v>
      </c>
      <c r="J163" t="s">
        <v>1505</v>
      </c>
      <c r="K163" t="s">
        <v>1854</v>
      </c>
      <c r="L163" t="s">
        <v>1817</v>
      </c>
    </row>
    <row r="164" spans="1:12" x14ac:dyDescent="0.25">
      <c r="A164" t="s">
        <v>1755</v>
      </c>
      <c r="B164" t="s">
        <v>1538</v>
      </c>
      <c r="C164" t="s">
        <v>1613</v>
      </c>
      <c r="D164" t="s">
        <v>1064</v>
      </c>
      <c r="E164" t="s">
        <v>1382</v>
      </c>
      <c r="F164" t="s">
        <v>1668</v>
      </c>
      <c r="G164" t="s">
        <v>1212</v>
      </c>
      <c r="H164" t="s">
        <v>1141</v>
      </c>
      <c r="I164" t="s">
        <v>1529</v>
      </c>
      <c r="J164" t="s">
        <v>1289</v>
      </c>
      <c r="K164" t="s">
        <v>1668</v>
      </c>
      <c r="L164" t="s">
        <v>1821</v>
      </c>
    </row>
    <row r="165" spans="1:12" x14ac:dyDescent="0.25">
      <c r="A165" t="s">
        <v>1756</v>
      </c>
      <c r="B165" t="s">
        <v>1320</v>
      </c>
      <c r="C165" t="s">
        <v>1321</v>
      </c>
      <c r="D165" t="s">
        <v>1314</v>
      </c>
      <c r="E165" t="s">
        <v>1103</v>
      </c>
      <c r="F165" t="s">
        <v>1322</v>
      </c>
      <c r="G165" t="s">
        <v>1403</v>
      </c>
      <c r="H165" t="s">
        <v>1240</v>
      </c>
      <c r="I165" t="s">
        <v>1233</v>
      </c>
      <c r="J165" t="s">
        <v>1668</v>
      </c>
      <c r="K165" t="s">
        <v>1668</v>
      </c>
      <c r="L165" t="s">
        <v>1821</v>
      </c>
    </row>
    <row r="166" spans="1:12" x14ac:dyDescent="0.25">
      <c r="A166" t="s">
        <v>1757</v>
      </c>
      <c r="B166" t="s">
        <v>1264</v>
      </c>
      <c r="C166" t="s">
        <v>1265</v>
      </c>
      <c r="D166" t="s">
        <v>1047</v>
      </c>
      <c r="E166" t="s">
        <v>16</v>
      </c>
      <c r="F166" t="s">
        <v>1261</v>
      </c>
      <c r="G166" t="s">
        <v>1343</v>
      </c>
      <c r="H166" t="s">
        <v>1668</v>
      </c>
      <c r="I166" t="s">
        <v>1440</v>
      </c>
      <c r="J166" t="s">
        <v>1368</v>
      </c>
      <c r="K166" t="s">
        <v>1469</v>
      </c>
      <c r="L166" t="s">
        <v>1821</v>
      </c>
    </row>
    <row r="167" spans="1:12" x14ac:dyDescent="0.25">
      <c r="A167" t="s">
        <v>1758</v>
      </c>
      <c r="B167" t="s">
        <v>1483</v>
      </c>
      <c r="C167" t="s">
        <v>1484</v>
      </c>
      <c r="D167" t="s">
        <v>1047</v>
      </c>
      <c r="E167" t="s">
        <v>104</v>
      </c>
      <c r="F167" t="s">
        <v>1485</v>
      </c>
      <c r="G167" t="s">
        <v>1448</v>
      </c>
      <c r="H167" t="s">
        <v>1462</v>
      </c>
      <c r="I167" t="s">
        <v>1296</v>
      </c>
      <c r="J167" t="s">
        <v>1403</v>
      </c>
      <c r="K167" t="s">
        <v>1268</v>
      </c>
      <c r="L167" t="s">
        <v>1821</v>
      </c>
    </row>
    <row r="168" spans="1:12" x14ac:dyDescent="0.25">
      <c r="A168" t="s">
        <v>1759</v>
      </c>
      <c r="B168" t="s">
        <v>1384</v>
      </c>
      <c r="C168" t="s">
        <v>1385</v>
      </c>
      <c r="D168" t="s">
        <v>1047</v>
      </c>
      <c r="E168" t="s">
        <v>9</v>
      </c>
      <c r="F168" t="s">
        <v>1383</v>
      </c>
      <c r="G168" t="s">
        <v>1485</v>
      </c>
      <c r="H168" t="s">
        <v>1390</v>
      </c>
      <c r="I168" t="s">
        <v>1403</v>
      </c>
      <c r="J168" t="s">
        <v>1433</v>
      </c>
      <c r="K168" t="s">
        <v>1268</v>
      </c>
      <c r="L168" t="s">
        <v>1821</v>
      </c>
    </row>
    <row r="169" spans="1:12" x14ac:dyDescent="0.25">
      <c r="A169" t="s">
        <v>1760</v>
      </c>
      <c r="B169" t="s">
        <v>1412</v>
      </c>
      <c r="C169" t="s">
        <v>1413</v>
      </c>
      <c r="D169" t="s">
        <v>1064</v>
      </c>
      <c r="E169" t="s">
        <v>1146</v>
      </c>
      <c r="F169" t="s">
        <v>1409</v>
      </c>
      <c r="G169" t="s">
        <v>1524</v>
      </c>
      <c r="H169" t="s">
        <v>1261</v>
      </c>
      <c r="I169" t="s">
        <v>1433</v>
      </c>
      <c r="J169" t="s">
        <v>1329</v>
      </c>
      <c r="K169" t="s">
        <v>1455</v>
      </c>
      <c r="L169" t="s">
        <v>1822</v>
      </c>
    </row>
    <row r="170" spans="1:12" x14ac:dyDescent="0.25">
      <c r="A170" t="s">
        <v>1761</v>
      </c>
      <c r="B170" t="s">
        <v>1611</v>
      </c>
      <c r="C170" t="s">
        <v>1612</v>
      </c>
      <c r="D170" t="s">
        <v>1108</v>
      </c>
      <c r="E170" t="s">
        <v>5</v>
      </c>
      <c r="F170" t="s">
        <v>1668</v>
      </c>
      <c r="G170" t="s">
        <v>1296</v>
      </c>
      <c r="H170" t="s">
        <v>1261</v>
      </c>
      <c r="I170" t="s">
        <v>1500</v>
      </c>
      <c r="J170" t="s">
        <v>1361</v>
      </c>
      <c r="K170" t="s">
        <v>1485</v>
      </c>
      <c r="L170" t="s">
        <v>1828</v>
      </c>
    </row>
    <row r="171" spans="1:12" x14ac:dyDescent="0.25">
      <c r="A171" t="s">
        <v>1762</v>
      </c>
      <c r="B171" t="s">
        <v>1660</v>
      </c>
      <c r="C171" t="s">
        <v>1661</v>
      </c>
      <c r="D171" t="s">
        <v>1047</v>
      </c>
      <c r="E171" t="s">
        <v>10</v>
      </c>
      <c r="F171" t="s">
        <v>1668</v>
      </c>
      <c r="G171" t="s">
        <v>1368</v>
      </c>
      <c r="H171" t="s">
        <v>1349</v>
      </c>
      <c r="I171" t="s">
        <v>1304</v>
      </c>
      <c r="J171" t="s">
        <v>1668</v>
      </c>
      <c r="K171" t="s">
        <v>1240</v>
      </c>
      <c r="L171" t="s">
        <v>1831</v>
      </c>
    </row>
    <row r="172" spans="1:12" x14ac:dyDescent="0.25">
      <c r="A172" t="s">
        <v>1763</v>
      </c>
      <c r="B172" t="s">
        <v>1407</v>
      </c>
      <c r="C172" t="s">
        <v>1408</v>
      </c>
      <c r="D172" t="s">
        <v>1122</v>
      </c>
      <c r="E172" t="s">
        <v>16</v>
      </c>
      <c r="F172" t="s">
        <v>1418</v>
      </c>
      <c r="G172" t="s">
        <v>1519</v>
      </c>
      <c r="H172" t="s">
        <v>1219</v>
      </c>
      <c r="I172" t="s">
        <v>1455</v>
      </c>
      <c r="J172" t="s">
        <v>1383</v>
      </c>
      <c r="K172" t="s">
        <v>1480</v>
      </c>
      <c r="L172" t="s">
        <v>1833</v>
      </c>
    </row>
    <row r="173" spans="1:12" x14ac:dyDescent="0.25">
      <c r="A173" t="s">
        <v>1764</v>
      </c>
      <c r="B173" t="s">
        <v>1405</v>
      </c>
      <c r="C173" t="s">
        <v>1406</v>
      </c>
      <c r="D173" t="s">
        <v>1064</v>
      </c>
      <c r="E173" t="s">
        <v>1382</v>
      </c>
      <c r="F173" t="s">
        <v>1409</v>
      </c>
      <c r="G173" t="s">
        <v>1336</v>
      </c>
      <c r="H173" t="s">
        <v>1226</v>
      </c>
      <c r="I173" t="s">
        <v>1469</v>
      </c>
      <c r="J173" t="s">
        <v>1519</v>
      </c>
      <c r="K173" t="s">
        <v>1510</v>
      </c>
      <c r="L173" t="s">
        <v>1834</v>
      </c>
    </row>
    <row r="174" spans="1:12" x14ac:dyDescent="0.25">
      <c r="A174" t="s">
        <v>1765</v>
      </c>
      <c r="B174" t="s">
        <v>1357</v>
      </c>
      <c r="C174" t="s">
        <v>1358</v>
      </c>
      <c r="D174" t="s">
        <v>1047</v>
      </c>
      <c r="E174" t="s">
        <v>26</v>
      </c>
      <c r="F174" t="s">
        <v>1361</v>
      </c>
      <c r="G174" t="s">
        <v>1349</v>
      </c>
      <c r="H174" t="s">
        <v>1336</v>
      </c>
      <c r="I174" t="s">
        <v>1490</v>
      </c>
      <c r="J174" t="s">
        <v>1425</v>
      </c>
      <c r="K174" t="s">
        <v>1500</v>
      </c>
      <c r="L174" t="s">
        <v>1834</v>
      </c>
    </row>
    <row r="175" spans="1:12" x14ac:dyDescent="0.25">
      <c r="A175" t="s">
        <v>1766</v>
      </c>
      <c r="B175" t="s">
        <v>1352</v>
      </c>
      <c r="C175" t="s">
        <v>1353</v>
      </c>
      <c r="D175" t="s">
        <v>1108</v>
      </c>
      <c r="E175" t="s">
        <v>71</v>
      </c>
      <c r="F175" t="s">
        <v>1354</v>
      </c>
      <c r="G175" t="s">
        <v>1852</v>
      </c>
      <c r="H175" t="s">
        <v>1490</v>
      </c>
      <c r="I175" t="s">
        <v>1304</v>
      </c>
      <c r="J175" t="s">
        <v>1418</v>
      </c>
      <c r="K175" t="s">
        <v>1397</v>
      </c>
      <c r="L175" t="s">
        <v>1835</v>
      </c>
    </row>
    <row r="176" spans="1:12" x14ac:dyDescent="0.25">
      <c r="A176" t="s">
        <v>1767</v>
      </c>
      <c r="B176" t="s">
        <v>1398</v>
      </c>
      <c r="C176" t="s">
        <v>1825</v>
      </c>
      <c r="D176" t="s">
        <v>1122</v>
      </c>
      <c r="E176" t="s">
        <v>67</v>
      </c>
      <c r="F176" t="s">
        <v>1397</v>
      </c>
      <c r="G176" t="s">
        <v>1557</v>
      </c>
      <c r="H176" t="s">
        <v>1668</v>
      </c>
      <c r="I176" t="s">
        <v>1336</v>
      </c>
      <c r="J176" t="s">
        <v>1296</v>
      </c>
      <c r="K176" t="s">
        <v>1354</v>
      </c>
      <c r="L176" t="s">
        <v>1836</v>
      </c>
    </row>
    <row r="177" spans="1:12" x14ac:dyDescent="0.25">
      <c r="A177" t="s">
        <v>1768</v>
      </c>
      <c r="B177" t="s">
        <v>1388</v>
      </c>
      <c r="C177" t="s">
        <v>1389</v>
      </c>
      <c r="D177" t="s">
        <v>1108</v>
      </c>
      <c r="E177" t="s">
        <v>17</v>
      </c>
      <c r="F177" t="s">
        <v>1397</v>
      </c>
      <c r="G177" t="s">
        <v>1485</v>
      </c>
      <c r="H177" t="s">
        <v>1480</v>
      </c>
      <c r="I177" t="s">
        <v>1322</v>
      </c>
      <c r="J177" t="s">
        <v>1296</v>
      </c>
      <c r="K177" t="s">
        <v>1514</v>
      </c>
      <c r="L177" t="s">
        <v>1837</v>
      </c>
    </row>
    <row r="178" spans="1:12" x14ac:dyDescent="0.25">
      <c r="A178" t="s">
        <v>1769</v>
      </c>
      <c r="B178" t="s">
        <v>1639</v>
      </c>
      <c r="C178" t="s">
        <v>1640</v>
      </c>
      <c r="D178" t="s">
        <v>1047</v>
      </c>
      <c r="E178" t="s">
        <v>21</v>
      </c>
      <c r="F178" t="s">
        <v>1668</v>
      </c>
      <c r="G178" t="s">
        <v>1409</v>
      </c>
      <c r="H178" t="s">
        <v>1455</v>
      </c>
      <c r="I178" t="s">
        <v>1462</v>
      </c>
      <c r="J178" t="s">
        <v>1390</v>
      </c>
      <c r="K178" t="s">
        <v>1275</v>
      </c>
      <c r="L178" t="s">
        <v>1838</v>
      </c>
    </row>
    <row r="179" spans="1:12" x14ac:dyDescent="0.25">
      <c r="A179" t="s">
        <v>1770</v>
      </c>
      <c r="B179" t="s">
        <v>1658</v>
      </c>
      <c r="C179" t="s">
        <v>1659</v>
      </c>
      <c r="D179" t="s">
        <v>1047</v>
      </c>
      <c r="E179" t="s">
        <v>11</v>
      </c>
      <c r="F179" t="s">
        <v>1668</v>
      </c>
      <c r="G179" t="s">
        <v>1476</v>
      </c>
      <c r="H179" t="s">
        <v>1383</v>
      </c>
      <c r="I179" t="s">
        <v>1500</v>
      </c>
      <c r="J179" t="s">
        <v>1268</v>
      </c>
      <c r="K179" t="s">
        <v>1368</v>
      </c>
      <c r="L179" t="s">
        <v>1840</v>
      </c>
    </row>
    <row r="180" spans="1:12" x14ac:dyDescent="0.25">
      <c r="A180" t="s">
        <v>1771</v>
      </c>
      <c r="B180" t="s">
        <v>1157</v>
      </c>
      <c r="C180" t="s">
        <v>1158</v>
      </c>
      <c r="D180" t="s">
        <v>1047</v>
      </c>
      <c r="E180" t="s">
        <v>22</v>
      </c>
      <c r="F180" t="s">
        <v>1154</v>
      </c>
      <c r="G180" t="s">
        <v>1304</v>
      </c>
      <c r="H180" t="s">
        <v>1212</v>
      </c>
      <c r="I180" t="s">
        <v>1669</v>
      </c>
      <c r="J180" t="s">
        <v>1669</v>
      </c>
      <c r="K180" t="s">
        <v>1668</v>
      </c>
      <c r="L180" t="s">
        <v>1844</v>
      </c>
    </row>
    <row r="181" spans="1:12" x14ac:dyDescent="0.25">
      <c r="A181" t="s">
        <v>1772</v>
      </c>
      <c r="B181" t="s">
        <v>1373</v>
      </c>
      <c r="C181" t="s">
        <v>1374</v>
      </c>
      <c r="D181" t="s">
        <v>1122</v>
      </c>
      <c r="E181" t="s">
        <v>63</v>
      </c>
      <c r="F181" t="s">
        <v>1383</v>
      </c>
      <c r="G181" t="s">
        <v>1547</v>
      </c>
      <c r="H181" t="s">
        <v>1510</v>
      </c>
      <c r="I181" t="s">
        <v>1311</v>
      </c>
      <c r="J181" t="s">
        <v>1480</v>
      </c>
      <c r="K181" t="s">
        <v>1336</v>
      </c>
      <c r="L181" t="s">
        <v>1844</v>
      </c>
    </row>
    <row r="182" spans="1:12" x14ac:dyDescent="0.25">
      <c r="A182" t="s">
        <v>1773</v>
      </c>
      <c r="B182" t="s">
        <v>1493</v>
      </c>
      <c r="C182" t="s">
        <v>1494</v>
      </c>
      <c r="D182" t="s">
        <v>1047</v>
      </c>
      <c r="E182" t="s">
        <v>9</v>
      </c>
      <c r="F182" t="s">
        <v>1495</v>
      </c>
      <c r="G182" t="s">
        <v>1547</v>
      </c>
      <c r="H182" t="s">
        <v>1322</v>
      </c>
      <c r="I182" t="s">
        <v>1368</v>
      </c>
      <c r="J182" t="s">
        <v>1418</v>
      </c>
      <c r="K182" t="s">
        <v>1433</v>
      </c>
      <c r="L182" t="s">
        <v>1845</v>
      </c>
    </row>
    <row r="183" spans="1:12" x14ac:dyDescent="0.25">
      <c r="A183" t="s">
        <v>1774</v>
      </c>
      <c r="B183" t="s">
        <v>1490</v>
      </c>
      <c r="C183" t="s">
        <v>1572</v>
      </c>
      <c r="D183" t="s">
        <v>1064</v>
      </c>
      <c r="E183" t="s">
        <v>1573</v>
      </c>
      <c r="F183" t="s">
        <v>1566</v>
      </c>
      <c r="G183" t="s">
        <v>1329</v>
      </c>
      <c r="H183" t="s">
        <v>1510</v>
      </c>
      <c r="I183" t="s">
        <v>1390</v>
      </c>
      <c r="J183" t="s">
        <v>1462</v>
      </c>
      <c r="K183" t="s">
        <v>1343</v>
      </c>
      <c r="L183" t="s">
        <v>1845</v>
      </c>
    </row>
    <row r="184" spans="1:12" x14ac:dyDescent="0.25">
      <c r="A184" t="s">
        <v>1775</v>
      </c>
      <c r="B184" t="s">
        <v>1664</v>
      </c>
      <c r="C184" t="s">
        <v>1665</v>
      </c>
      <c r="D184" t="s">
        <v>1047</v>
      </c>
      <c r="E184" t="s">
        <v>5</v>
      </c>
      <c r="F184" t="s">
        <v>1668</v>
      </c>
      <c r="G184" t="s">
        <v>1495</v>
      </c>
      <c r="H184" t="s">
        <v>1418</v>
      </c>
      <c r="I184" t="s">
        <v>1409</v>
      </c>
      <c r="J184" t="s">
        <v>1254</v>
      </c>
      <c r="K184" t="s">
        <v>1490</v>
      </c>
      <c r="L184" t="s">
        <v>1901</v>
      </c>
    </row>
    <row r="185" spans="1:12" x14ac:dyDescent="0.25">
      <c r="A185" t="s">
        <v>1776</v>
      </c>
      <c r="B185" t="s">
        <v>1359</v>
      </c>
      <c r="C185" t="s">
        <v>1360</v>
      </c>
      <c r="D185" t="s">
        <v>1047</v>
      </c>
      <c r="E185" t="s">
        <v>21</v>
      </c>
      <c r="F185" t="s">
        <v>1361</v>
      </c>
      <c r="G185" t="s">
        <v>1282</v>
      </c>
      <c r="H185" t="s">
        <v>1078</v>
      </c>
      <c r="I185" t="s">
        <v>1669</v>
      </c>
      <c r="J185" t="s">
        <v>1669</v>
      </c>
      <c r="K185" t="s">
        <v>1669</v>
      </c>
      <c r="L185" t="s">
        <v>1860</v>
      </c>
    </row>
    <row r="186" spans="1:12" x14ac:dyDescent="0.25">
      <c r="A186" t="s">
        <v>1777</v>
      </c>
      <c r="B186" t="s">
        <v>1414</v>
      </c>
      <c r="C186" t="s">
        <v>1415</v>
      </c>
      <c r="D186" t="s">
        <v>1047</v>
      </c>
      <c r="E186" t="s">
        <v>10</v>
      </c>
      <c r="F186" t="s">
        <v>1409</v>
      </c>
      <c r="G186" t="s">
        <v>1168</v>
      </c>
      <c r="H186" t="s">
        <v>1668</v>
      </c>
      <c r="I186" t="s">
        <v>1561</v>
      </c>
      <c r="J186" t="s">
        <v>1240</v>
      </c>
      <c r="K186" t="s">
        <v>1668</v>
      </c>
      <c r="L186" t="s">
        <v>1339</v>
      </c>
    </row>
    <row r="187" spans="1:12" x14ac:dyDescent="0.25">
      <c r="A187" t="s">
        <v>1778</v>
      </c>
      <c r="B187" t="s">
        <v>1449</v>
      </c>
      <c r="C187" t="s">
        <v>1450</v>
      </c>
      <c r="D187" t="s">
        <v>1064</v>
      </c>
      <c r="E187" t="s">
        <v>1382</v>
      </c>
      <c r="F187" t="s">
        <v>1448</v>
      </c>
      <c r="G187" t="s">
        <v>1233</v>
      </c>
      <c r="H187" t="s">
        <v>1668</v>
      </c>
      <c r="I187" t="s">
        <v>1485</v>
      </c>
      <c r="J187" t="s">
        <v>1668</v>
      </c>
      <c r="K187" t="s">
        <v>1254</v>
      </c>
      <c r="L187" t="s">
        <v>1339</v>
      </c>
    </row>
    <row r="188" spans="1:12" x14ac:dyDescent="0.25">
      <c r="A188" t="s">
        <v>1779</v>
      </c>
      <c r="B188" t="s">
        <v>1641</v>
      </c>
      <c r="C188" t="s">
        <v>1642</v>
      </c>
      <c r="D188" t="s">
        <v>1047</v>
      </c>
      <c r="E188" t="s">
        <v>7</v>
      </c>
      <c r="F188" t="s">
        <v>1668</v>
      </c>
      <c r="G188" t="s">
        <v>1361</v>
      </c>
      <c r="H188" t="s">
        <v>1311</v>
      </c>
      <c r="I188" t="s">
        <v>1322</v>
      </c>
      <c r="J188" t="s">
        <v>1440</v>
      </c>
      <c r="K188" t="s">
        <v>1668</v>
      </c>
      <c r="L188" t="s">
        <v>1862</v>
      </c>
    </row>
    <row r="189" spans="1:12" x14ac:dyDescent="0.25">
      <c r="A189" t="s">
        <v>1780</v>
      </c>
      <c r="B189" t="s">
        <v>1532</v>
      </c>
      <c r="C189" t="s">
        <v>1533</v>
      </c>
      <c r="D189" t="s">
        <v>1122</v>
      </c>
      <c r="E189" t="s">
        <v>1301</v>
      </c>
      <c r="F189" t="s">
        <v>1524</v>
      </c>
      <c r="G189" t="s">
        <v>1354</v>
      </c>
      <c r="H189" t="s">
        <v>1409</v>
      </c>
      <c r="I189" t="s">
        <v>1529</v>
      </c>
      <c r="J189" t="s">
        <v>1343</v>
      </c>
      <c r="K189" t="s">
        <v>1462</v>
      </c>
      <c r="L189" t="s">
        <v>1862</v>
      </c>
    </row>
    <row r="190" spans="1:12" x14ac:dyDescent="0.25">
      <c r="A190" t="s">
        <v>1781</v>
      </c>
      <c r="B190" t="s">
        <v>1376</v>
      </c>
      <c r="C190" t="s">
        <v>1377</v>
      </c>
      <c r="D190" t="s">
        <v>1122</v>
      </c>
      <c r="E190" t="s">
        <v>16</v>
      </c>
      <c r="F190" t="s">
        <v>1375</v>
      </c>
      <c r="G190" t="s">
        <v>1405</v>
      </c>
      <c r="H190" t="s">
        <v>1433</v>
      </c>
      <c r="I190" t="s">
        <v>1490</v>
      </c>
      <c r="J190" t="s">
        <v>1343</v>
      </c>
      <c r="K190" t="s">
        <v>1480</v>
      </c>
      <c r="L190" t="s">
        <v>1910</v>
      </c>
    </row>
    <row r="191" spans="1:12" x14ac:dyDescent="0.25">
      <c r="A191" t="s">
        <v>1782</v>
      </c>
      <c r="B191" t="s">
        <v>1501</v>
      </c>
      <c r="C191" t="s">
        <v>1502</v>
      </c>
      <c r="D191" t="s">
        <v>1122</v>
      </c>
      <c r="E191" t="s">
        <v>26</v>
      </c>
      <c r="F191" t="s">
        <v>1500</v>
      </c>
      <c r="G191" t="s">
        <v>1282</v>
      </c>
      <c r="H191" t="s">
        <v>1448</v>
      </c>
      <c r="I191" t="s">
        <v>1462</v>
      </c>
      <c r="J191" t="s">
        <v>1440</v>
      </c>
      <c r="K191" t="s">
        <v>1495</v>
      </c>
      <c r="L191" t="s">
        <v>1863</v>
      </c>
    </row>
    <row r="192" spans="1:12" x14ac:dyDescent="0.25">
      <c r="A192" t="s">
        <v>1783</v>
      </c>
      <c r="B192" t="s">
        <v>1629</v>
      </c>
      <c r="C192" t="s">
        <v>1630</v>
      </c>
      <c r="D192" t="s">
        <v>1047</v>
      </c>
      <c r="E192" t="s">
        <v>104</v>
      </c>
      <c r="F192" t="s">
        <v>1668</v>
      </c>
      <c r="G192" t="s">
        <v>1852</v>
      </c>
      <c r="H192" t="s">
        <v>1668</v>
      </c>
      <c r="I192" t="s">
        <v>1476</v>
      </c>
      <c r="J192" t="s">
        <v>1054</v>
      </c>
      <c r="K192" t="s">
        <v>1261</v>
      </c>
      <c r="L192" t="s">
        <v>1911</v>
      </c>
    </row>
    <row r="193" spans="1:12" x14ac:dyDescent="0.25">
      <c r="A193" t="s">
        <v>1784</v>
      </c>
      <c r="B193" t="s">
        <v>1410</v>
      </c>
      <c r="C193" t="s">
        <v>1411</v>
      </c>
      <c r="D193" t="s">
        <v>1122</v>
      </c>
      <c r="E193" t="s">
        <v>26</v>
      </c>
      <c r="F193" t="s">
        <v>1859</v>
      </c>
      <c r="G193" t="s">
        <v>1354</v>
      </c>
      <c r="H193" t="s">
        <v>1403</v>
      </c>
      <c r="I193" t="s">
        <v>1485</v>
      </c>
      <c r="J193" t="s">
        <v>1495</v>
      </c>
      <c r="K193" t="s">
        <v>1854</v>
      </c>
      <c r="L193" t="s">
        <v>1912</v>
      </c>
    </row>
    <row r="194" spans="1:12" x14ac:dyDescent="0.25">
      <c r="A194" t="s">
        <v>1785</v>
      </c>
      <c r="B194" t="s">
        <v>1515</v>
      </c>
      <c r="C194" t="s">
        <v>1516</v>
      </c>
      <c r="D194" t="s">
        <v>1047</v>
      </c>
      <c r="E194" t="s">
        <v>26</v>
      </c>
      <c r="F194" t="s">
        <v>1514</v>
      </c>
      <c r="G194" t="s">
        <v>1390</v>
      </c>
      <c r="H194" t="s">
        <v>1268</v>
      </c>
      <c r="I194" t="s">
        <v>1552</v>
      </c>
      <c r="J194" t="s">
        <v>1409</v>
      </c>
      <c r="K194" t="s">
        <v>1854</v>
      </c>
      <c r="L194" t="s">
        <v>1864</v>
      </c>
    </row>
    <row r="195" spans="1:12" x14ac:dyDescent="0.25">
      <c r="A195" t="s">
        <v>1786</v>
      </c>
      <c r="B195" t="s">
        <v>1567</v>
      </c>
      <c r="C195" t="s">
        <v>1568</v>
      </c>
      <c r="D195" t="s">
        <v>1122</v>
      </c>
      <c r="E195" t="s">
        <v>67</v>
      </c>
      <c r="F195" t="s">
        <v>1557</v>
      </c>
      <c r="G195" t="s">
        <v>1409</v>
      </c>
      <c r="H195" t="s">
        <v>1668</v>
      </c>
      <c r="I195" t="s">
        <v>1390</v>
      </c>
      <c r="J195" t="s">
        <v>1397</v>
      </c>
      <c r="K195" t="s">
        <v>1418</v>
      </c>
      <c r="L195" t="s">
        <v>1865</v>
      </c>
    </row>
    <row r="196" spans="1:12" x14ac:dyDescent="0.25">
      <c r="A196" t="s">
        <v>1787</v>
      </c>
      <c r="B196" t="s">
        <v>1643</v>
      </c>
      <c r="C196" t="s">
        <v>1644</v>
      </c>
      <c r="D196" t="s">
        <v>1108</v>
      </c>
      <c r="E196" t="s">
        <v>1645</v>
      </c>
      <c r="F196" t="s">
        <v>1668</v>
      </c>
      <c r="G196" t="s">
        <v>1853</v>
      </c>
      <c r="H196" t="s">
        <v>1125</v>
      </c>
      <c r="I196" t="s">
        <v>1205</v>
      </c>
      <c r="J196" t="s">
        <v>1668</v>
      </c>
      <c r="K196" t="s">
        <v>1668</v>
      </c>
      <c r="L196" t="s">
        <v>1866</v>
      </c>
    </row>
    <row r="197" spans="1:12" x14ac:dyDescent="0.25">
      <c r="A197" t="s">
        <v>1788</v>
      </c>
      <c r="B197" t="s">
        <v>1083</v>
      </c>
      <c r="C197" t="s">
        <v>1084</v>
      </c>
      <c r="D197" t="s">
        <v>1047</v>
      </c>
      <c r="E197" t="s">
        <v>9</v>
      </c>
      <c r="F197" t="s">
        <v>1085</v>
      </c>
      <c r="G197" t="s">
        <v>1311</v>
      </c>
      <c r="H197" t="s">
        <v>1469</v>
      </c>
      <c r="I197" t="s">
        <v>1669</v>
      </c>
      <c r="J197" t="s">
        <v>1669</v>
      </c>
      <c r="K197" t="s">
        <v>1668</v>
      </c>
      <c r="L197" t="s">
        <v>1867</v>
      </c>
    </row>
    <row r="198" spans="1:12" x14ac:dyDescent="0.25">
      <c r="A198" t="s">
        <v>1789</v>
      </c>
      <c r="B198" t="s">
        <v>1602</v>
      </c>
      <c r="C198" t="s">
        <v>1603</v>
      </c>
      <c r="D198" t="s">
        <v>1122</v>
      </c>
      <c r="E198" t="s">
        <v>21</v>
      </c>
      <c r="F198" t="s">
        <v>1668</v>
      </c>
      <c r="G198" t="s">
        <v>1469</v>
      </c>
      <c r="H198" t="s">
        <v>1198</v>
      </c>
      <c r="I198" t="s">
        <v>1574</v>
      </c>
      <c r="J198" t="s">
        <v>1529</v>
      </c>
      <c r="K198" t="s">
        <v>1390</v>
      </c>
      <c r="L198" t="s">
        <v>1867</v>
      </c>
    </row>
    <row r="199" spans="1:12" x14ac:dyDescent="0.25">
      <c r="A199" t="s">
        <v>1790</v>
      </c>
      <c r="B199" t="s">
        <v>1734</v>
      </c>
      <c r="C199" t="s">
        <v>1344</v>
      </c>
      <c r="D199" t="s">
        <v>1122</v>
      </c>
      <c r="E199" t="s">
        <v>21</v>
      </c>
      <c r="F199" t="s">
        <v>1349</v>
      </c>
      <c r="G199" t="s">
        <v>1524</v>
      </c>
      <c r="H199" t="s">
        <v>1275</v>
      </c>
      <c r="I199" t="s">
        <v>1547</v>
      </c>
      <c r="J199" t="s">
        <v>1542</v>
      </c>
      <c r="K199" t="s">
        <v>1495</v>
      </c>
      <c r="L199" t="s">
        <v>1913</v>
      </c>
    </row>
    <row r="200" spans="1:12" x14ac:dyDescent="0.25">
      <c r="A200" t="s">
        <v>1791</v>
      </c>
      <c r="B200" t="s">
        <v>1125</v>
      </c>
      <c r="C200" t="s">
        <v>1479</v>
      </c>
      <c r="D200" t="s">
        <v>1064</v>
      </c>
      <c r="E200" t="s">
        <v>1382</v>
      </c>
      <c r="F200" t="s">
        <v>1480</v>
      </c>
      <c r="G200" t="s">
        <v>1668</v>
      </c>
      <c r="H200" t="s">
        <v>1668</v>
      </c>
      <c r="I200" t="s">
        <v>1538</v>
      </c>
      <c r="J200" t="s">
        <v>1455</v>
      </c>
      <c r="K200" t="s">
        <v>1100</v>
      </c>
      <c r="L200" t="s">
        <v>1914</v>
      </c>
    </row>
    <row r="201" spans="1:12" x14ac:dyDescent="0.25">
      <c r="A201" t="s">
        <v>1792</v>
      </c>
      <c r="B201" t="s">
        <v>1404</v>
      </c>
      <c r="C201" t="s">
        <v>1869</v>
      </c>
      <c r="D201" t="s">
        <v>1047</v>
      </c>
      <c r="E201" t="s">
        <v>6</v>
      </c>
      <c r="F201" t="s">
        <v>1403</v>
      </c>
      <c r="G201" t="s">
        <v>1425</v>
      </c>
      <c r="H201" t="s">
        <v>1668</v>
      </c>
      <c r="I201" t="s">
        <v>1275</v>
      </c>
      <c r="J201" t="s">
        <v>1500</v>
      </c>
      <c r="K201" t="s">
        <v>1668</v>
      </c>
      <c r="L201" t="s">
        <v>1868</v>
      </c>
    </row>
    <row r="202" spans="1:12" x14ac:dyDescent="0.25">
      <c r="A202" t="s">
        <v>1793</v>
      </c>
      <c r="B202" t="s">
        <v>1545</v>
      </c>
      <c r="C202" t="s">
        <v>1546</v>
      </c>
      <c r="D202" t="s">
        <v>1314</v>
      </c>
      <c r="E202" t="s">
        <v>1146</v>
      </c>
      <c r="F202" t="s">
        <v>1538</v>
      </c>
      <c r="G202" t="s">
        <v>1571</v>
      </c>
      <c r="H202" t="s">
        <v>1480</v>
      </c>
      <c r="I202" t="s">
        <v>1289</v>
      </c>
      <c r="J202" t="s">
        <v>1505</v>
      </c>
      <c r="K202" t="s">
        <v>1448</v>
      </c>
      <c r="L202" t="s">
        <v>1870</v>
      </c>
    </row>
    <row r="203" spans="1:12" x14ac:dyDescent="0.25">
      <c r="A203" t="s">
        <v>1794</v>
      </c>
      <c r="B203" t="s">
        <v>1582</v>
      </c>
      <c r="C203" t="s">
        <v>1583</v>
      </c>
      <c r="D203" t="s">
        <v>1047</v>
      </c>
      <c r="E203" t="s">
        <v>10</v>
      </c>
      <c r="F203" t="s">
        <v>1668</v>
      </c>
      <c r="G203" t="s">
        <v>1390</v>
      </c>
      <c r="H203" t="s">
        <v>1668</v>
      </c>
      <c r="I203" t="s">
        <v>1524</v>
      </c>
      <c r="J203" t="s">
        <v>1455</v>
      </c>
      <c r="K203" t="s">
        <v>1261</v>
      </c>
      <c r="L203" t="s">
        <v>1871</v>
      </c>
    </row>
    <row r="204" spans="1:12" x14ac:dyDescent="0.25">
      <c r="A204" t="s">
        <v>1795</v>
      </c>
      <c r="B204" t="s">
        <v>1674</v>
      </c>
      <c r="C204" t="s">
        <v>1558</v>
      </c>
      <c r="D204" t="s">
        <v>1047</v>
      </c>
      <c r="E204" t="s">
        <v>27</v>
      </c>
      <c r="F204" t="s">
        <v>1547</v>
      </c>
      <c r="G204" t="s">
        <v>1375</v>
      </c>
      <c r="H204" t="s">
        <v>1514</v>
      </c>
      <c r="I204" t="s">
        <v>1519</v>
      </c>
      <c r="J204" t="s">
        <v>1311</v>
      </c>
      <c r="K204" t="s">
        <v>1668</v>
      </c>
      <c r="L204" t="s">
        <v>1915</v>
      </c>
    </row>
    <row r="205" spans="1:12" x14ac:dyDescent="0.25">
      <c r="A205" t="s">
        <v>1796</v>
      </c>
      <c r="B205" t="s">
        <v>1421</v>
      </c>
      <c r="C205" t="s">
        <v>1422</v>
      </c>
      <c r="D205" t="s">
        <v>1314</v>
      </c>
      <c r="E205" t="s">
        <v>1103</v>
      </c>
      <c r="F205" t="s">
        <v>1425</v>
      </c>
      <c r="G205" t="s">
        <v>1418</v>
      </c>
      <c r="H205" t="s">
        <v>1519</v>
      </c>
      <c r="I205" t="s">
        <v>1552</v>
      </c>
      <c r="J205" t="s">
        <v>1495</v>
      </c>
      <c r="K205" t="s">
        <v>1462</v>
      </c>
      <c r="L205" t="s">
        <v>1916</v>
      </c>
    </row>
    <row r="206" spans="1:12" x14ac:dyDescent="0.25">
      <c r="A206" t="s">
        <v>1797</v>
      </c>
      <c r="B206" t="s">
        <v>1330</v>
      </c>
      <c r="C206" t="s">
        <v>1331</v>
      </c>
      <c r="D206" t="s">
        <v>1047</v>
      </c>
      <c r="E206" t="s">
        <v>6</v>
      </c>
      <c r="F206" t="s">
        <v>1329</v>
      </c>
      <c r="G206" t="s">
        <v>1542</v>
      </c>
      <c r="H206" t="s">
        <v>1455</v>
      </c>
      <c r="I206" t="s">
        <v>1571</v>
      </c>
      <c r="J206" t="s">
        <v>1514</v>
      </c>
      <c r="K206" t="s">
        <v>1469</v>
      </c>
      <c r="L206" t="s">
        <v>1872</v>
      </c>
    </row>
    <row r="207" spans="1:12" x14ac:dyDescent="0.25">
      <c r="A207" t="s">
        <v>1798</v>
      </c>
      <c r="B207" t="s">
        <v>1419</v>
      </c>
      <c r="C207" t="s">
        <v>1420</v>
      </c>
      <c r="D207" t="s">
        <v>1122</v>
      </c>
      <c r="E207" t="s">
        <v>26</v>
      </c>
      <c r="F207" t="s">
        <v>1418</v>
      </c>
      <c r="G207" t="s">
        <v>1514</v>
      </c>
      <c r="H207" t="s">
        <v>1668</v>
      </c>
      <c r="I207" t="s">
        <v>1476</v>
      </c>
      <c r="J207" t="s">
        <v>1485</v>
      </c>
      <c r="K207" t="s">
        <v>1448</v>
      </c>
      <c r="L207" t="s">
        <v>1873</v>
      </c>
    </row>
    <row r="208" spans="1:12" x14ac:dyDescent="0.25">
      <c r="A208" t="s">
        <v>1799</v>
      </c>
      <c r="B208" t="s">
        <v>1522</v>
      </c>
      <c r="C208" t="s">
        <v>1523</v>
      </c>
      <c r="D208" t="s">
        <v>1047</v>
      </c>
      <c r="E208" t="s">
        <v>5</v>
      </c>
      <c r="F208" t="s">
        <v>1514</v>
      </c>
      <c r="G208" t="s">
        <v>1261</v>
      </c>
      <c r="H208" t="s">
        <v>1668</v>
      </c>
      <c r="I208" t="s">
        <v>1529</v>
      </c>
      <c r="J208" t="s">
        <v>1349</v>
      </c>
      <c r="K208" t="s">
        <v>1854</v>
      </c>
      <c r="L208" t="s">
        <v>1917</v>
      </c>
    </row>
    <row r="209" spans="1:12" x14ac:dyDescent="0.25">
      <c r="A209" t="s">
        <v>1800</v>
      </c>
      <c r="B209" t="s">
        <v>1650</v>
      </c>
      <c r="C209" t="s">
        <v>1651</v>
      </c>
      <c r="D209" t="s">
        <v>1064</v>
      </c>
      <c r="E209" t="s">
        <v>1190</v>
      </c>
      <c r="F209" t="s">
        <v>1668</v>
      </c>
      <c r="G209" t="s">
        <v>1538</v>
      </c>
      <c r="H209" t="s">
        <v>1354</v>
      </c>
      <c r="I209" t="s">
        <v>1448</v>
      </c>
      <c r="J209" t="s">
        <v>1469</v>
      </c>
      <c r="K209" t="s">
        <v>1519</v>
      </c>
      <c r="L209" t="s">
        <v>1917</v>
      </c>
    </row>
    <row r="210" spans="1:12" x14ac:dyDescent="0.25">
      <c r="A210" t="s">
        <v>1801</v>
      </c>
      <c r="B210" t="s">
        <v>1527</v>
      </c>
      <c r="C210" t="s">
        <v>1528</v>
      </c>
      <c r="D210" t="s">
        <v>1047</v>
      </c>
      <c r="E210" t="s">
        <v>31</v>
      </c>
      <c r="F210" t="s">
        <v>1519</v>
      </c>
      <c r="G210" t="s">
        <v>1440</v>
      </c>
      <c r="H210" t="s">
        <v>1425</v>
      </c>
      <c r="I210" t="s">
        <v>1547</v>
      </c>
      <c r="J210" t="s">
        <v>1668</v>
      </c>
      <c r="K210" t="s">
        <v>1403</v>
      </c>
      <c r="L210" t="s">
        <v>1874</v>
      </c>
    </row>
    <row r="211" spans="1:12" x14ac:dyDescent="0.25">
      <c r="A211" t="s">
        <v>1802</v>
      </c>
      <c r="B211" t="s">
        <v>1334</v>
      </c>
      <c r="C211" t="s">
        <v>1335</v>
      </c>
      <c r="D211" t="s">
        <v>1047</v>
      </c>
      <c r="E211" t="s">
        <v>39</v>
      </c>
      <c r="F211" t="s">
        <v>1336</v>
      </c>
      <c r="G211" t="s">
        <v>1390</v>
      </c>
      <c r="H211" t="s">
        <v>1311</v>
      </c>
      <c r="I211" t="s">
        <v>1669</v>
      </c>
      <c r="J211" t="s">
        <v>1669</v>
      </c>
      <c r="K211" t="s">
        <v>1669</v>
      </c>
      <c r="L211" t="s">
        <v>1875</v>
      </c>
    </row>
    <row r="212" spans="1:12" x14ac:dyDescent="0.25">
      <c r="A212" t="s">
        <v>1803</v>
      </c>
      <c r="B212" t="s">
        <v>1575</v>
      </c>
      <c r="C212" t="s">
        <v>1576</v>
      </c>
      <c r="D212" t="s">
        <v>1064</v>
      </c>
      <c r="E212" t="s">
        <v>1382</v>
      </c>
      <c r="F212" t="s">
        <v>1571</v>
      </c>
      <c r="G212" t="s">
        <v>1480</v>
      </c>
      <c r="H212" t="s">
        <v>1405</v>
      </c>
      <c r="I212" t="s">
        <v>1538</v>
      </c>
      <c r="J212" t="s">
        <v>1448</v>
      </c>
      <c r="K212" t="s">
        <v>1343</v>
      </c>
      <c r="L212" t="s">
        <v>1875</v>
      </c>
    </row>
    <row r="213" spans="1:12" x14ac:dyDescent="0.25">
      <c r="A213" t="s">
        <v>1804</v>
      </c>
      <c r="B213" t="s">
        <v>1503</v>
      </c>
      <c r="C213" t="s">
        <v>1504</v>
      </c>
      <c r="D213" t="s">
        <v>1047</v>
      </c>
      <c r="E213" t="s">
        <v>9</v>
      </c>
      <c r="F213" t="s">
        <v>1505</v>
      </c>
      <c r="G213" t="s">
        <v>1538</v>
      </c>
      <c r="H213" t="s">
        <v>1485</v>
      </c>
      <c r="I213" t="s">
        <v>1425</v>
      </c>
      <c r="J213" t="s">
        <v>1448</v>
      </c>
      <c r="K213" t="s">
        <v>1505</v>
      </c>
      <c r="L213" t="s">
        <v>1875</v>
      </c>
    </row>
    <row r="214" spans="1:12" x14ac:dyDescent="0.25">
      <c r="A214" t="s">
        <v>1188</v>
      </c>
      <c r="B214" t="s">
        <v>1536</v>
      </c>
      <c r="C214" t="s">
        <v>1537</v>
      </c>
      <c r="D214" t="s">
        <v>1122</v>
      </c>
      <c r="E214" t="s">
        <v>16</v>
      </c>
      <c r="F214" t="s">
        <v>1405</v>
      </c>
      <c r="G214" t="s">
        <v>1552</v>
      </c>
      <c r="H214" t="s">
        <v>1343</v>
      </c>
      <c r="I214" t="s">
        <v>1514</v>
      </c>
      <c r="J214" t="s">
        <v>1510</v>
      </c>
      <c r="K214" t="s">
        <v>1448</v>
      </c>
      <c r="L214" t="s">
        <v>1876</v>
      </c>
    </row>
    <row r="215" spans="1:12" x14ac:dyDescent="0.25">
      <c r="A215" t="s">
        <v>1805</v>
      </c>
      <c r="B215" t="s">
        <v>1491</v>
      </c>
      <c r="C215" t="s">
        <v>1492</v>
      </c>
      <c r="D215" t="s">
        <v>1064</v>
      </c>
      <c r="E215" t="s">
        <v>1190</v>
      </c>
      <c r="F215" t="s">
        <v>1490</v>
      </c>
      <c r="G215" t="s">
        <v>1476</v>
      </c>
      <c r="H215" t="s">
        <v>1448</v>
      </c>
      <c r="I215" t="s">
        <v>1561</v>
      </c>
      <c r="J215" t="s">
        <v>1500</v>
      </c>
      <c r="K215" t="s">
        <v>1476</v>
      </c>
      <c r="L215" t="s">
        <v>1876</v>
      </c>
    </row>
    <row r="216" spans="1:12" x14ac:dyDescent="0.25">
      <c r="A216" t="s">
        <v>1806</v>
      </c>
      <c r="B216" t="s">
        <v>1318</v>
      </c>
      <c r="C216" t="s">
        <v>1319</v>
      </c>
      <c r="D216" t="s">
        <v>1122</v>
      </c>
      <c r="E216" t="s">
        <v>16</v>
      </c>
      <c r="F216" t="s">
        <v>1322</v>
      </c>
      <c r="G216" t="s">
        <v>1510</v>
      </c>
      <c r="H216" t="s">
        <v>1500</v>
      </c>
      <c r="I216" t="s">
        <v>1514</v>
      </c>
      <c r="J216" t="s">
        <v>1668</v>
      </c>
      <c r="K216" t="s">
        <v>1510</v>
      </c>
      <c r="L216" t="s">
        <v>1877</v>
      </c>
    </row>
    <row r="217" spans="1:12" x14ac:dyDescent="0.25">
      <c r="A217" t="s">
        <v>1807</v>
      </c>
      <c r="B217" t="s">
        <v>1446</v>
      </c>
      <c r="C217" t="s">
        <v>1447</v>
      </c>
      <c r="D217" t="s">
        <v>1047</v>
      </c>
      <c r="E217" t="s">
        <v>9</v>
      </c>
      <c r="F217" t="s">
        <v>1448</v>
      </c>
      <c r="G217" t="s">
        <v>1581</v>
      </c>
      <c r="H217" t="s">
        <v>1495</v>
      </c>
      <c r="I217" t="s">
        <v>1542</v>
      </c>
      <c r="J217" t="s">
        <v>1375</v>
      </c>
      <c r="K217" t="s">
        <v>1505</v>
      </c>
      <c r="L217" t="s">
        <v>1878</v>
      </c>
    </row>
    <row r="218" spans="1:12" x14ac:dyDescent="0.25">
      <c r="A218" t="s">
        <v>1808</v>
      </c>
      <c r="B218" t="s">
        <v>1553</v>
      </c>
      <c r="C218" t="s">
        <v>1554</v>
      </c>
      <c r="D218" t="s">
        <v>1064</v>
      </c>
      <c r="E218" t="s">
        <v>1146</v>
      </c>
      <c r="F218" t="s">
        <v>1542</v>
      </c>
      <c r="G218" t="s">
        <v>1668</v>
      </c>
      <c r="H218" t="s">
        <v>1418</v>
      </c>
      <c r="I218" t="s">
        <v>1505</v>
      </c>
      <c r="J218" t="s">
        <v>1476</v>
      </c>
      <c r="K218" t="s">
        <v>1440</v>
      </c>
      <c r="L218" t="s">
        <v>1879</v>
      </c>
    </row>
    <row r="219" spans="1:12" x14ac:dyDescent="0.25">
      <c r="A219" t="s">
        <v>1809</v>
      </c>
      <c r="B219" t="s">
        <v>1339</v>
      </c>
      <c r="C219" t="s">
        <v>1340</v>
      </c>
      <c r="D219" t="s">
        <v>1064</v>
      </c>
      <c r="E219" t="s">
        <v>1190</v>
      </c>
      <c r="F219" t="s">
        <v>1336</v>
      </c>
      <c r="G219" t="s">
        <v>1495</v>
      </c>
      <c r="H219" t="s">
        <v>1668</v>
      </c>
      <c r="I219" t="s">
        <v>1552</v>
      </c>
      <c r="J219" t="s">
        <v>1668</v>
      </c>
      <c r="K219" t="s">
        <v>1336</v>
      </c>
      <c r="L219" t="s">
        <v>1880</v>
      </c>
    </row>
    <row r="220" spans="1:12" x14ac:dyDescent="0.25">
      <c r="A220" t="s">
        <v>1810</v>
      </c>
      <c r="B220" t="s">
        <v>1423</v>
      </c>
      <c r="C220" t="s">
        <v>1424</v>
      </c>
      <c r="D220" t="s">
        <v>1047</v>
      </c>
      <c r="E220" t="s">
        <v>104</v>
      </c>
      <c r="F220" t="s">
        <v>1433</v>
      </c>
      <c r="G220" t="s">
        <v>1529</v>
      </c>
      <c r="H220" t="s">
        <v>1462</v>
      </c>
      <c r="I220" t="s">
        <v>1574</v>
      </c>
      <c r="J220" t="s">
        <v>1476</v>
      </c>
      <c r="K220" t="s">
        <v>1505</v>
      </c>
      <c r="L220" t="s">
        <v>1880</v>
      </c>
    </row>
    <row r="221" spans="1:12" x14ac:dyDescent="0.25">
      <c r="A221" t="s">
        <v>1811</v>
      </c>
      <c r="B221" t="s">
        <v>1534</v>
      </c>
      <c r="C221" t="s">
        <v>1535</v>
      </c>
      <c r="D221" t="s">
        <v>1122</v>
      </c>
      <c r="E221" t="s">
        <v>21</v>
      </c>
      <c r="F221" t="s">
        <v>1529</v>
      </c>
      <c r="G221" t="s">
        <v>1485</v>
      </c>
      <c r="H221" t="s">
        <v>1368</v>
      </c>
      <c r="I221" t="s">
        <v>1405</v>
      </c>
      <c r="J221" t="s">
        <v>1538</v>
      </c>
      <c r="K221" t="s">
        <v>1490</v>
      </c>
      <c r="L221" t="s">
        <v>1881</v>
      </c>
    </row>
    <row r="222" spans="1:12" x14ac:dyDescent="0.25">
      <c r="A222" t="s">
        <v>1812</v>
      </c>
      <c r="B222" t="s">
        <v>1578</v>
      </c>
      <c r="C222" t="s">
        <v>1579</v>
      </c>
      <c r="D222" t="s">
        <v>1122</v>
      </c>
      <c r="E222" t="s">
        <v>1580</v>
      </c>
      <c r="F222" t="s">
        <v>1574</v>
      </c>
      <c r="G222" t="s">
        <v>1455</v>
      </c>
      <c r="H222" t="s">
        <v>1668</v>
      </c>
      <c r="I222" t="s">
        <v>1375</v>
      </c>
      <c r="J222" t="s">
        <v>1361</v>
      </c>
      <c r="K222" t="s">
        <v>1854</v>
      </c>
      <c r="L222" t="s">
        <v>1918</v>
      </c>
    </row>
    <row r="223" spans="1:12" x14ac:dyDescent="0.25">
      <c r="A223" t="s">
        <v>1813</v>
      </c>
      <c r="B223" t="s">
        <v>1416</v>
      </c>
      <c r="C223" t="s">
        <v>1417</v>
      </c>
      <c r="D223" t="s">
        <v>1064</v>
      </c>
      <c r="E223" t="s">
        <v>1190</v>
      </c>
      <c r="F223" t="s">
        <v>1418</v>
      </c>
      <c r="G223" t="s">
        <v>1561</v>
      </c>
      <c r="H223" t="s">
        <v>1519</v>
      </c>
      <c r="I223" t="s">
        <v>1574</v>
      </c>
      <c r="J223" t="s">
        <v>1409</v>
      </c>
      <c r="K223" t="s">
        <v>1524</v>
      </c>
      <c r="L223" t="s">
        <v>1882</v>
      </c>
    </row>
    <row r="224" spans="1:12" x14ac:dyDescent="0.25">
      <c r="A224" t="s">
        <v>1814</v>
      </c>
      <c r="B224" t="s">
        <v>1540</v>
      </c>
      <c r="C224" t="s">
        <v>1541</v>
      </c>
      <c r="D224" t="s">
        <v>1064</v>
      </c>
      <c r="E224" t="s">
        <v>1382</v>
      </c>
      <c r="F224" t="s">
        <v>1405</v>
      </c>
      <c r="G224" t="s">
        <v>1405</v>
      </c>
      <c r="H224" t="s">
        <v>1668</v>
      </c>
      <c r="I224" t="s">
        <v>1571</v>
      </c>
      <c r="J224" t="s">
        <v>1524</v>
      </c>
      <c r="K224" t="s">
        <v>1247</v>
      </c>
      <c r="L224" t="s">
        <v>1919</v>
      </c>
    </row>
    <row r="225" spans="1:12" x14ac:dyDescent="0.25">
      <c r="A225" t="s">
        <v>1815</v>
      </c>
      <c r="B225" t="s">
        <v>1520</v>
      </c>
      <c r="C225" t="s">
        <v>1521</v>
      </c>
      <c r="D225" t="s">
        <v>1122</v>
      </c>
      <c r="E225" t="s">
        <v>1445</v>
      </c>
      <c r="F225" t="s">
        <v>1519</v>
      </c>
      <c r="G225" t="s">
        <v>1500</v>
      </c>
      <c r="H225" t="s">
        <v>1476</v>
      </c>
      <c r="I225" t="s">
        <v>1480</v>
      </c>
      <c r="J225" t="s">
        <v>1510</v>
      </c>
      <c r="K225" t="s">
        <v>1854</v>
      </c>
      <c r="L225" t="s">
        <v>1919</v>
      </c>
    </row>
    <row r="226" spans="1:12" x14ac:dyDescent="0.25">
      <c r="A226" t="s">
        <v>1816</v>
      </c>
      <c r="B226" t="s">
        <v>1299</v>
      </c>
      <c r="C226" t="s">
        <v>1300</v>
      </c>
      <c r="D226" t="s">
        <v>1122</v>
      </c>
      <c r="E226" t="s">
        <v>1301</v>
      </c>
      <c r="F226" t="s">
        <v>1296</v>
      </c>
      <c r="G226" t="s">
        <v>1455</v>
      </c>
      <c r="H226" t="s">
        <v>1405</v>
      </c>
      <c r="I226" t="s">
        <v>1669</v>
      </c>
      <c r="J226" t="s">
        <v>1524</v>
      </c>
      <c r="K226" t="s">
        <v>1668</v>
      </c>
      <c r="L226" t="s">
        <v>1920</v>
      </c>
    </row>
    <row r="227" spans="1:12" x14ac:dyDescent="0.25">
      <c r="A227" t="s">
        <v>1817</v>
      </c>
      <c r="B227" t="s">
        <v>1486</v>
      </c>
      <c r="C227" t="s">
        <v>1487</v>
      </c>
      <c r="D227" t="s">
        <v>1047</v>
      </c>
      <c r="E227" t="s">
        <v>63</v>
      </c>
      <c r="F227" t="s">
        <v>1485</v>
      </c>
      <c r="G227" t="s">
        <v>1552</v>
      </c>
      <c r="H227" t="s">
        <v>1368</v>
      </c>
      <c r="I227" t="s">
        <v>1418</v>
      </c>
      <c r="J227" t="s">
        <v>1668</v>
      </c>
      <c r="K227" t="s">
        <v>1668</v>
      </c>
      <c r="L227" t="s">
        <v>1883</v>
      </c>
    </row>
    <row r="228" spans="1:12" x14ac:dyDescent="0.25">
      <c r="A228" t="s">
        <v>1818</v>
      </c>
      <c r="B228" t="s">
        <v>1395</v>
      </c>
      <c r="C228" t="s">
        <v>1396</v>
      </c>
      <c r="D228" t="s">
        <v>1122</v>
      </c>
      <c r="E228" t="s">
        <v>67</v>
      </c>
      <c r="F228" t="s">
        <v>1403</v>
      </c>
      <c r="G228" t="s">
        <v>1538</v>
      </c>
      <c r="H228" t="s">
        <v>1490</v>
      </c>
      <c r="I228" t="s">
        <v>1510</v>
      </c>
      <c r="J228" t="s">
        <v>1405</v>
      </c>
      <c r="K228" t="s">
        <v>1668</v>
      </c>
      <c r="L228" t="s">
        <v>1332</v>
      </c>
    </row>
    <row r="229" spans="1:12" x14ac:dyDescent="0.25">
      <c r="A229" t="s">
        <v>1819</v>
      </c>
      <c r="B229" t="s">
        <v>1517</v>
      </c>
      <c r="C229" t="s">
        <v>1518</v>
      </c>
      <c r="D229" t="s">
        <v>1122</v>
      </c>
      <c r="E229" t="s">
        <v>104</v>
      </c>
      <c r="F229" t="s">
        <v>1510</v>
      </c>
      <c r="G229" t="s">
        <v>1510</v>
      </c>
      <c r="H229" t="s">
        <v>1440</v>
      </c>
      <c r="I229" t="s">
        <v>1547</v>
      </c>
      <c r="J229" t="s">
        <v>1405</v>
      </c>
      <c r="K229" t="s">
        <v>1500</v>
      </c>
      <c r="L229" t="s">
        <v>1884</v>
      </c>
    </row>
    <row r="230" spans="1:12" x14ac:dyDescent="0.25">
      <c r="A230" t="s">
        <v>1820</v>
      </c>
      <c r="B230" t="s">
        <v>1386</v>
      </c>
      <c r="C230" t="s">
        <v>1387</v>
      </c>
      <c r="D230" t="s">
        <v>1122</v>
      </c>
      <c r="E230" t="s">
        <v>27</v>
      </c>
      <c r="F230" t="s">
        <v>1390</v>
      </c>
      <c r="G230" t="s">
        <v>1448</v>
      </c>
      <c r="H230" t="s">
        <v>1668</v>
      </c>
      <c r="I230" t="s">
        <v>1405</v>
      </c>
      <c r="J230" t="s">
        <v>1485</v>
      </c>
      <c r="K230" t="s">
        <v>1668</v>
      </c>
      <c r="L230" t="s">
        <v>1885</v>
      </c>
    </row>
    <row r="231" spans="1:12" x14ac:dyDescent="0.25">
      <c r="A231" t="s">
        <v>1821</v>
      </c>
      <c r="B231" t="s">
        <v>1543</v>
      </c>
      <c r="C231" t="s">
        <v>1544</v>
      </c>
      <c r="D231" t="s">
        <v>1122</v>
      </c>
      <c r="E231" t="s">
        <v>39</v>
      </c>
      <c r="F231" t="s">
        <v>1538</v>
      </c>
      <c r="G231" t="s">
        <v>1529</v>
      </c>
      <c r="H231" t="s">
        <v>1668</v>
      </c>
      <c r="I231" t="s">
        <v>1524</v>
      </c>
      <c r="J231" t="s">
        <v>1490</v>
      </c>
      <c r="K231" t="s">
        <v>1403</v>
      </c>
      <c r="L231" t="s">
        <v>1885</v>
      </c>
    </row>
    <row r="232" spans="1:12" x14ac:dyDescent="0.25">
      <c r="A232" t="s">
        <v>1822</v>
      </c>
      <c r="B232" t="s">
        <v>1430</v>
      </c>
      <c r="C232" t="s">
        <v>1431</v>
      </c>
      <c r="D232" t="s">
        <v>1122</v>
      </c>
      <c r="E232" t="s">
        <v>1432</v>
      </c>
      <c r="F232" t="s">
        <v>1440</v>
      </c>
      <c r="G232" t="s">
        <v>1561</v>
      </c>
      <c r="H232" t="s">
        <v>1304</v>
      </c>
      <c r="I232" t="s">
        <v>1577</v>
      </c>
      <c r="J232" t="s">
        <v>1557</v>
      </c>
      <c r="K232" t="s">
        <v>1668</v>
      </c>
      <c r="L232" t="s">
        <v>1886</v>
      </c>
    </row>
    <row r="233" spans="1:12" x14ac:dyDescent="0.25">
      <c r="A233" t="s">
        <v>1823</v>
      </c>
      <c r="B233" t="s">
        <v>1506</v>
      </c>
      <c r="C233" t="s">
        <v>1507</v>
      </c>
      <c r="D233" t="s">
        <v>1122</v>
      </c>
      <c r="E233" t="s">
        <v>26</v>
      </c>
      <c r="F233" t="s">
        <v>1500</v>
      </c>
      <c r="G233" t="s">
        <v>1529</v>
      </c>
      <c r="H233" t="s">
        <v>1455</v>
      </c>
      <c r="I233" t="s">
        <v>1538</v>
      </c>
      <c r="J233" t="s">
        <v>1514</v>
      </c>
      <c r="K233" t="s">
        <v>1854</v>
      </c>
      <c r="L233" t="s">
        <v>1921</v>
      </c>
    </row>
    <row r="234" spans="1:12" x14ac:dyDescent="0.25">
      <c r="A234" t="s">
        <v>1824</v>
      </c>
      <c r="B234" t="s">
        <v>1525</v>
      </c>
      <c r="C234" t="s">
        <v>1526</v>
      </c>
      <c r="D234" t="s">
        <v>1047</v>
      </c>
      <c r="E234" t="s">
        <v>5</v>
      </c>
      <c r="F234" t="s">
        <v>1524</v>
      </c>
      <c r="G234" t="s">
        <v>1505</v>
      </c>
      <c r="H234" t="s">
        <v>1505</v>
      </c>
      <c r="I234" t="s">
        <v>1577</v>
      </c>
      <c r="J234" t="s">
        <v>1514</v>
      </c>
      <c r="K234" t="s">
        <v>1500</v>
      </c>
      <c r="L234" t="s">
        <v>1887</v>
      </c>
    </row>
    <row r="235" spans="1:12" x14ac:dyDescent="0.25">
      <c r="A235" t="s">
        <v>1826</v>
      </c>
      <c r="B235" t="s">
        <v>1347</v>
      </c>
      <c r="C235" t="s">
        <v>1348</v>
      </c>
      <c r="D235" t="s">
        <v>1128</v>
      </c>
      <c r="E235" t="s">
        <v>21</v>
      </c>
      <c r="F235" t="s">
        <v>1349</v>
      </c>
      <c r="G235" t="s">
        <v>1566</v>
      </c>
      <c r="H235" t="s">
        <v>1669</v>
      </c>
      <c r="I235" t="s">
        <v>1490</v>
      </c>
      <c r="J235" t="s">
        <v>1668</v>
      </c>
      <c r="K235" t="s">
        <v>1490</v>
      </c>
      <c r="L235" t="s">
        <v>1888</v>
      </c>
    </row>
    <row r="236" spans="1:12" x14ac:dyDescent="0.25">
      <c r="A236" t="s">
        <v>1827</v>
      </c>
      <c r="B236" t="s">
        <v>1569</v>
      </c>
      <c r="C236" t="s">
        <v>1570</v>
      </c>
      <c r="D236" t="s">
        <v>1314</v>
      </c>
      <c r="E236" t="s">
        <v>1382</v>
      </c>
      <c r="F236" t="s">
        <v>1561</v>
      </c>
      <c r="G236" t="s">
        <v>1514</v>
      </c>
      <c r="H236" t="s">
        <v>1538</v>
      </c>
      <c r="I236" t="s">
        <v>1462</v>
      </c>
      <c r="J236" t="s">
        <v>1469</v>
      </c>
      <c r="K236" t="s">
        <v>1668</v>
      </c>
      <c r="L236" t="s">
        <v>1888</v>
      </c>
    </row>
    <row r="237" spans="1:12" x14ac:dyDescent="0.25">
      <c r="A237" t="s">
        <v>1828</v>
      </c>
      <c r="B237" t="s">
        <v>1465</v>
      </c>
      <c r="C237" t="s">
        <v>1466</v>
      </c>
      <c r="D237" t="s">
        <v>1122</v>
      </c>
      <c r="E237" t="s">
        <v>1432</v>
      </c>
      <c r="F237" t="s">
        <v>1462</v>
      </c>
      <c r="G237" t="s">
        <v>1571</v>
      </c>
      <c r="H237" t="s">
        <v>1514</v>
      </c>
      <c r="I237" t="s">
        <v>1680</v>
      </c>
      <c r="J237" t="s">
        <v>1505</v>
      </c>
      <c r="K237" t="s">
        <v>1495</v>
      </c>
      <c r="L237" t="s">
        <v>1888</v>
      </c>
    </row>
    <row r="238" spans="1:12" x14ac:dyDescent="0.25">
      <c r="A238" t="s">
        <v>1829</v>
      </c>
      <c r="B238" t="s">
        <v>1635</v>
      </c>
      <c r="C238" t="s">
        <v>1636</v>
      </c>
      <c r="D238" t="s">
        <v>1064</v>
      </c>
      <c r="E238" t="s">
        <v>1146</v>
      </c>
      <c r="F238" t="s">
        <v>1668</v>
      </c>
      <c r="G238" t="s">
        <v>1505</v>
      </c>
      <c r="H238" t="s">
        <v>1505</v>
      </c>
      <c r="I238" t="s">
        <v>1448</v>
      </c>
      <c r="J238" t="s">
        <v>1668</v>
      </c>
      <c r="K238" t="s">
        <v>1485</v>
      </c>
      <c r="L238" t="s">
        <v>1922</v>
      </c>
    </row>
    <row r="239" spans="1:12" x14ac:dyDescent="0.25">
      <c r="A239" t="s">
        <v>1830</v>
      </c>
      <c r="B239" t="s">
        <v>1550</v>
      </c>
      <c r="C239" t="s">
        <v>1551</v>
      </c>
      <c r="D239" t="s">
        <v>1122</v>
      </c>
      <c r="E239" t="s">
        <v>9</v>
      </c>
      <c r="F239" t="s">
        <v>1542</v>
      </c>
      <c r="G239" t="s">
        <v>1557</v>
      </c>
      <c r="H239" t="s">
        <v>1669</v>
      </c>
      <c r="I239" t="s">
        <v>1679</v>
      </c>
      <c r="J239" t="s">
        <v>1403</v>
      </c>
      <c r="K239" t="s">
        <v>1455</v>
      </c>
      <c r="L239" t="s">
        <v>1923</v>
      </c>
    </row>
    <row r="240" spans="1:12" x14ac:dyDescent="0.25">
      <c r="A240" t="s">
        <v>1831</v>
      </c>
      <c r="B240" t="s">
        <v>1337</v>
      </c>
      <c r="C240" t="s">
        <v>1338</v>
      </c>
      <c r="D240" t="s">
        <v>1064</v>
      </c>
      <c r="E240" t="s">
        <v>1103</v>
      </c>
      <c r="F240" t="s">
        <v>1343</v>
      </c>
      <c r="G240" t="s">
        <v>1552</v>
      </c>
      <c r="H240" t="s">
        <v>1668</v>
      </c>
      <c r="I240" t="s">
        <v>1557</v>
      </c>
      <c r="J240" t="s">
        <v>1480</v>
      </c>
      <c r="K240" t="s">
        <v>1668</v>
      </c>
      <c r="L240" t="s">
        <v>1924</v>
      </c>
    </row>
    <row r="241" spans="1:12" x14ac:dyDescent="0.25">
      <c r="A241" t="s">
        <v>1832</v>
      </c>
      <c r="B241" t="s">
        <v>1443</v>
      </c>
      <c r="C241" t="s">
        <v>1444</v>
      </c>
      <c r="D241" t="s">
        <v>1122</v>
      </c>
      <c r="E241" t="s">
        <v>1445</v>
      </c>
      <c r="F241" t="s">
        <v>1670</v>
      </c>
      <c r="G241" t="s">
        <v>1670</v>
      </c>
      <c r="H241" t="s">
        <v>1240</v>
      </c>
      <c r="I241" t="s">
        <v>1566</v>
      </c>
      <c r="J241" t="s">
        <v>1490</v>
      </c>
      <c r="K241" t="s">
        <v>1668</v>
      </c>
      <c r="L241" t="s">
        <v>1925</v>
      </c>
    </row>
    <row r="242" spans="1:12" x14ac:dyDescent="0.25">
      <c r="A242" t="s">
        <v>1833</v>
      </c>
      <c r="B242" t="s">
        <v>1564</v>
      </c>
      <c r="C242" t="s">
        <v>1565</v>
      </c>
      <c r="D242" t="s">
        <v>1122</v>
      </c>
      <c r="E242" t="s">
        <v>10</v>
      </c>
      <c r="F242" t="s">
        <v>1557</v>
      </c>
      <c r="G242" t="s">
        <v>1566</v>
      </c>
      <c r="H242" t="s">
        <v>1383</v>
      </c>
      <c r="I242" t="s">
        <v>1557</v>
      </c>
      <c r="J242" t="s">
        <v>1519</v>
      </c>
      <c r="K242" t="s">
        <v>1668</v>
      </c>
      <c r="L242" t="s">
        <v>1926</v>
      </c>
    </row>
    <row r="243" spans="1:12" x14ac:dyDescent="0.25">
      <c r="A243" t="s">
        <v>1834</v>
      </c>
      <c r="B243" t="s">
        <v>1652</v>
      </c>
      <c r="C243" t="s">
        <v>1653</v>
      </c>
      <c r="D243" t="s">
        <v>1047</v>
      </c>
      <c r="E243" t="s">
        <v>21</v>
      </c>
      <c r="F243" t="s">
        <v>1668</v>
      </c>
      <c r="G243" t="s">
        <v>1514</v>
      </c>
      <c r="H243" t="s">
        <v>1476</v>
      </c>
      <c r="I243" t="s">
        <v>1542</v>
      </c>
      <c r="J243" t="s">
        <v>1462</v>
      </c>
      <c r="K243" t="s">
        <v>1668</v>
      </c>
      <c r="L243" t="s">
        <v>1926</v>
      </c>
    </row>
    <row r="244" spans="1:12" x14ac:dyDescent="0.25">
      <c r="A244" t="s">
        <v>1835</v>
      </c>
      <c r="B244" t="s">
        <v>1555</v>
      </c>
      <c r="C244" t="s">
        <v>1556</v>
      </c>
      <c r="D244" t="s">
        <v>1064</v>
      </c>
      <c r="E244" t="s">
        <v>1178</v>
      </c>
      <c r="F244" t="s">
        <v>1547</v>
      </c>
      <c r="G244" t="s">
        <v>1561</v>
      </c>
      <c r="H244" t="s">
        <v>1469</v>
      </c>
      <c r="I244" t="s">
        <v>1519</v>
      </c>
      <c r="J244" t="s">
        <v>1552</v>
      </c>
      <c r="K244" t="s">
        <v>1529</v>
      </c>
      <c r="L244" t="s">
        <v>1889</v>
      </c>
    </row>
    <row r="245" spans="1:12" x14ac:dyDescent="0.25">
      <c r="A245" t="s">
        <v>1836</v>
      </c>
      <c r="B245" t="s">
        <v>1530</v>
      </c>
      <c r="C245" t="s">
        <v>1531</v>
      </c>
      <c r="D245" t="s">
        <v>1122</v>
      </c>
      <c r="E245" t="s">
        <v>67</v>
      </c>
      <c r="F245" t="s">
        <v>1669</v>
      </c>
      <c r="G245" t="s">
        <v>1397</v>
      </c>
      <c r="H245" t="s">
        <v>1480</v>
      </c>
      <c r="I245" t="s">
        <v>1495</v>
      </c>
      <c r="J245" t="s">
        <v>1668</v>
      </c>
      <c r="K245" t="s">
        <v>1669</v>
      </c>
      <c r="L245" t="s">
        <v>1890</v>
      </c>
    </row>
    <row r="246" spans="1:12" x14ac:dyDescent="0.25">
      <c r="A246" t="s">
        <v>1837</v>
      </c>
      <c r="B246" t="s">
        <v>1548</v>
      </c>
      <c r="C246" t="s">
        <v>1549</v>
      </c>
      <c r="D246" t="s">
        <v>1122</v>
      </c>
      <c r="E246" t="s">
        <v>1301</v>
      </c>
      <c r="F246" t="s">
        <v>1670</v>
      </c>
      <c r="G246" t="s">
        <v>1361</v>
      </c>
      <c r="H246" t="s">
        <v>1669</v>
      </c>
      <c r="I246" t="s">
        <v>1495</v>
      </c>
      <c r="J246" t="s">
        <v>1668</v>
      </c>
      <c r="K246" t="s">
        <v>1514</v>
      </c>
      <c r="L246" t="s">
        <v>1891</v>
      </c>
    </row>
    <row r="247" spans="1:12" x14ac:dyDescent="0.25">
      <c r="A247" t="s">
        <v>1838</v>
      </c>
      <c r="B247" t="s">
        <v>1562</v>
      </c>
      <c r="C247" t="s">
        <v>1563</v>
      </c>
      <c r="D247" t="s">
        <v>1064</v>
      </c>
      <c r="E247" t="s">
        <v>1103</v>
      </c>
      <c r="F247" t="s">
        <v>1552</v>
      </c>
      <c r="G247" t="s">
        <v>1524</v>
      </c>
      <c r="H247" t="s">
        <v>1476</v>
      </c>
      <c r="I247" t="s">
        <v>1495</v>
      </c>
      <c r="J247" t="s">
        <v>1668</v>
      </c>
      <c r="K247" t="s">
        <v>1854</v>
      </c>
      <c r="L247" t="s">
        <v>1892</v>
      </c>
    </row>
    <row r="248" spans="1:12" x14ac:dyDescent="0.25">
      <c r="A248" t="s">
        <v>1839</v>
      </c>
      <c r="B248" t="s">
        <v>1618</v>
      </c>
      <c r="C248" t="s">
        <v>1619</v>
      </c>
      <c r="D248" t="s">
        <v>1122</v>
      </c>
      <c r="E248" t="s">
        <v>1620</v>
      </c>
      <c r="F248" t="s">
        <v>1476</v>
      </c>
      <c r="G248" t="s">
        <v>1679</v>
      </c>
      <c r="H248" t="s">
        <v>1854</v>
      </c>
      <c r="I248" t="s">
        <v>1469</v>
      </c>
      <c r="J248" t="s">
        <v>1668</v>
      </c>
      <c r="K248" t="s">
        <v>1529</v>
      </c>
      <c r="L248" t="s">
        <v>1893</v>
      </c>
    </row>
    <row r="249" spans="1:12" x14ac:dyDescent="0.25">
      <c r="A249" t="s">
        <v>1840</v>
      </c>
      <c r="B249" t="s">
        <v>1600</v>
      </c>
      <c r="C249" t="s">
        <v>1601</v>
      </c>
      <c r="D249" t="s">
        <v>1122</v>
      </c>
      <c r="E249" t="s">
        <v>104</v>
      </c>
      <c r="F249" t="s">
        <v>1668</v>
      </c>
      <c r="G249" t="s">
        <v>1336</v>
      </c>
      <c r="H249" t="s">
        <v>1668</v>
      </c>
      <c r="I249" t="s">
        <v>1566</v>
      </c>
      <c r="J249" t="s">
        <v>1529</v>
      </c>
      <c r="K249" t="s">
        <v>1668</v>
      </c>
      <c r="L249" t="s">
        <v>1894</v>
      </c>
    </row>
    <row r="250" spans="1:12" x14ac:dyDescent="0.25">
      <c r="A250" t="s">
        <v>1841</v>
      </c>
      <c r="B250" t="s">
        <v>1614</v>
      </c>
      <c r="C250" t="s">
        <v>1615</v>
      </c>
      <c r="D250" t="s">
        <v>1122</v>
      </c>
      <c r="E250" t="s">
        <v>1301</v>
      </c>
      <c r="F250" t="s">
        <v>1670</v>
      </c>
      <c r="G250" t="s">
        <v>1669</v>
      </c>
      <c r="H250" t="s">
        <v>1669</v>
      </c>
      <c r="I250" t="s">
        <v>1581</v>
      </c>
      <c r="J250" t="s">
        <v>1455</v>
      </c>
      <c r="K250" t="s">
        <v>1409</v>
      </c>
      <c r="L250" t="s">
        <v>1895</v>
      </c>
    </row>
    <row r="251" spans="1:12" x14ac:dyDescent="0.25">
      <c r="A251" t="s">
        <v>1842</v>
      </c>
      <c r="B251" t="s">
        <v>1559</v>
      </c>
      <c r="C251" t="s">
        <v>1560</v>
      </c>
      <c r="D251" t="s">
        <v>1047</v>
      </c>
      <c r="E251" t="s">
        <v>16</v>
      </c>
      <c r="F251" t="s">
        <v>1552</v>
      </c>
      <c r="G251" t="s">
        <v>1574</v>
      </c>
      <c r="H251" t="s">
        <v>1542</v>
      </c>
      <c r="I251" t="s">
        <v>1557</v>
      </c>
      <c r="J251" t="s">
        <v>1490</v>
      </c>
      <c r="K251" t="s">
        <v>1668</v>
      </c>
      <c r="L251" t="s">
        <v>1927</v>
      </c>
    </row>
    <row r="252" spans="1:12" x14ac:dyDescent="0.25">
      <c r="A252" t="s">
        <v>1843</v>
      </c>
      <c r="B252" t="s">
        <v>1496</v>
      </c>
      <c r="C252" t="s">
        <v>1497</v>
      </c>
      <c r="D252" t="s">
        <v>1122</v>
      </c>
      <c r="E252" t="s">
        <v>1445</v>
      </c>
      <c r="F252" t="s">
        <v>1670</v>
      </c>
      <c r="G252" t="s">
        <v>1670</v>
      </c>
      <c r="H252" t="s">
        <v>1668</v>
      </c>
      <c r="I252" t="s">
        <v>1566</v>
      </c>
      <c r="J252" t="s">
        <v>1433</v>
      </c>
      <c r="K252" t="s">
        <v>1480</v>
      </c>
      <c r="L252" t="s">
        <v>1928</v>
      </c>
    </row>
    <row r="253" spans="1:12" x14ac:dyDescent="0.25">
      <c r="A253" t="s">
        <v>1844</v>
      </c>
      <c r="B253" t="s">
        <v>1623</v>
      </c>
      <c r="C253" t="s">
        <v>1624</v>
      </c>
      <c r="D253" t="s">
        <v>1122</v>
      </c>
      <c r="E253" t="s">
        <v>94</v>
      </c>
      <c r="F253" t="s">
        <v>1669</v>
      </c>
      <c r="G253" t="s">
        <v>1571</v>
      </c>
      <c r="H253" t="s">
        <v>1524</v>
      </c>
      <c r="I253" t="s">
        <v>1524</v>
      </c>
      <c r="J253" t="s">
        <v>1519</v>
      </c>
      <c r="K253" t="s">
        <v>1854</v>
      </c>
      <c r="L253" t="s">
        <v>1929</v>
      </c>
    </row>
    <row r="254" spans="1:12" x14ac:dyDescent="0.25">
      <c r="A254" t="s">
        <v>1845</v>
      </c>
      <c r="B254" t="s">
        <v>1456</v>
      </c>
      <c r="C254" t="s">
        <v>1457</v>
      </c>
      <c r="D254" t="s">
        <v>1122</v>
      </c>
      <c r="E254" t="s">
        <v>21</v>
      </c>
      <c r="F254" t="s">
        <v>1455</v>
      </c>
      <c r="G254" t="s">
        <v>1566</v>
      </c>
      <c r="H254" t="s">
        <v>1529</v>
      </c>
      <c r="I254" t="s">
        <v>1669</v>
      </c>
      <c r="J254" t="s">
        <v>1669</v>
      </c>
      <c r="K254" t="s">
        <v>1668</v>
      </c>
      <c r="L254" t="s">
        <v>1896</v>
      </c>
    </row>
    <row r="255" spans="1:12" x14ac:dyDescent="0.25">
      <c r="A255" t="s">
        <v>1846</v>
      </c>
      <c r="B255" t="s">
        <v>1606</v>
      </c>
      <c r="C255" t="s">
        <v>1607</v>
      </c>
      <c r="D255" t="s">
        <v>1064</v>
      </c>
      <c r="E255" t="s">
        <v>1382</v>
      </c>
      <c r="F255" t="s">
        <v>1668</v>
      </c>
      <c r="G255" t="s">
        <v>1669</v>
      </c>
      <c r="H255" t="s">
        <v>1669</v>
      </c>
      <c r="I255" t="s">
        <v>1500</v>
      </c>
      <c r="J255" t="s">
        <v>1547</v>
      </c>
      <c r="K255" t="s">
        <v>1519</v>
      </c>
      <c r="L255" t="s">
        <v>1930</v>
      </c>
    </row>
    <row r="256" spans="1:12" x14ac:dyDescent="0.25">
      <c r="A256" t="s">
        <v>1847</v>
      </c>
      <c r="B256" t="s">
        <v>1584</v>
      </c>
      <c r="C256" t="s">
        <v>1585</v>
      </c>
      <c r="D256" t="s">
        <v>1122</v>
      </c>
      <c r="E256" t="s">
        <v>21</v>
      </c>
      <c r="F256" t="s">
        <v>1668</v>
      </c>
      <c r="G256" t="s">
        <v>1577</v>
      </c>
      <c r="H256" t="s">
        <v>1524</v>
      </c>
      <c r="I256" t="s">
        <v>1581</v>
      </c>
      <c r="J256" t="s">
        <v>1500</v>
      </c>
      <c r="K256" t="s">
        <v>1854</v>
      </c>
      <c r="L256" t="s">
        <v>1931</v>
      </c>
    </row>
    <row r="257" spans="1:12" x14ac:dyDescent="0.25">
      <c r="A257" t="s">
        <v>1848</v>
      </c>
      <c r="B257" t="s">
        <v>1498</v>
      </c>
      <c r="C257" t="s">
        <v>1499</v>
      </c>
      <c r="D257" t="s">
        <v>1122</v>
      </c>
      <c r="E257" t="s">
        <v>96</v>
      </c>
      <c r="F257" t="s">
        <v>1495</v>
      </c>
      <c r="G257" t="s">
        <v>1542</v>
      </c>
      <c r="H257" t="s">
        <v>1668</v>
      </c>
      <c r="I257" t="s">
        <v>1669</v>
      </c>
      <c r="J257" t="s">
        <v>1669</v>
      </c>
      <c r="K257" t="s">
        <v>1668</v>
      </c>
      <c r="L257" t="s">
        <v>1897</v>
      </c>
    </row>
    <row r="258" spans="1:12" x14ac:dyDescent="0.25">
      <c r="A258" t="s">
        <v>1898</v>
      </c>
      <c r="B258" t="s">
        <v>1470</v>
      </c>
      <c r="C258" t="s">
        <v>1471</v>
      </c>
      <c r="D258" t="s">
        <v>1122</v>
      </c>
      <c r="E258" t="s">
        <v>39</v>
      </c>
      <c r="F258" t="s">
        <v>1469</v>
      </c>
      <c r="G258" t="s">
        <v>1574</v>
      </c>
      <c r="H258" t="s">
        <v>1668</v>
      </c>
      <c r="I258" t="s">
        <v>1669</v>
      </c>
      <c r="J258" t="s">
        <v>1669</v>
      </c>
      <c r="K258" t="s">
        <v>1669</v>
      </c>
      <c r="L258" t="s">
        <v>1899</v>
      </c>
    </row>
    <row r="259" spans="1:12" x14ac:dyDescent="0.25">
      <c r="A259" t="s">
        <v>1900</v>
      </c>
      <c r="B259" t="s">
        <v>1508</v>
      </c>
      <c r="C259" t="s">
        <v>1509</v>
      </c>
      <c r="D259" t="s">
        <v>1122</v>
      </c>
      <c r="E259" t="s">
        <v>1445</v>
      </c>
      <c r="F259" t="s">
        <v>1670</v>
      </c>
      <c r="G259" t="s">
        <v>1670</v>
      </c>
      <c r="H259" t="s">
        <v>1668</v>
      </c>
      <c r="I259" t="s">
        <v>1510</v>
      </c>
      <c r="J259" t="s">
        <v>1538</v>
      </c>
      <c r="K259" t="s">
        <v>1668</v>
      </c>
      <c r="L259" t="s">
        <v>1899</v>
      </c>
    </row>
    <row r="260" spans="1:12" x14ac:dyDescent="0.25">
      <c r="A260" t="s">
        <v>1901</v>
      </c>
      <c r="B260" t="s">
        <v>1674</v>
      </c>
      <c r="C260" t="s">
        <v>1539</v>
      </c>
      <c r="D260" t="s">
        <v>1064</v>
      </c>
      <c r="E260" t="s">
        <v>1065</v>
      </c>
      <c r="F260" t="s">
        <v>1529</v>
      </c>
      <c r="G260" t="s">
        <v>1668</v>
      </c>
      <c r="H260" t="s">
        <v>1668</v>
      </c>
      <c r="I260" t="s">
        <v>1519</v>
      </c>
      <c r="J260" t="s">
        <v>1668</v>
      </c>
      <c r="K260" t="s">
        <v>1668</v>
      </c>
      <c r="L260" t="s">
        <v>1899</v>
      </c>
    </row>
    <row r="261" spans="1:12" x14ac:dyDescent="0.25">
      <c r="A261" t="s">
        <v>1860</v>
      </c>
      <c r="B261" t="s">
        <v>1592</v>
      </c>
      <c r="C261" t="s">
        <v>1593</v>
      </c>
      <c r="D261" t="s">
        <v>1122</v>
      </c>
      <c r="E261" t="s">
        <v>9</v>
      </c>
      <c r="F261" t="s">
        <v>1670</v>
      </c>
      <c r="G261" t="s">
        <v>1557</v>
      </c>
      <c r="H261" t="s">
        <v>1670</v>
      </c>
      <c r="I261" t="s">
        <v>1669</v>
      </c>
      <c r="J261" t="s">
        <v>1669</v>
      </c>
      <c r="K261" t="s">
        <v>1669</v>
      </c>
      <c r="L261" t="s">
        <v>1902</v>
      </c>
    </row>
    <row r="262" spans="1:12" x14ac:dyDescent="0.25">
      <c r="A262" t="s">
        <v>1861</v>
      </c>
      <c r="B262" t="s">
        <v>1586</v>
      </c>
      <c r="C262" t="s">
        <v>1587</v>
      </c>
      <c r="D262" t="s">
        <v>1064</v>
      </c>
      <c r="E262" t="s">
        <v>1178</v>
      </c>
      <c r="F262" t="s">
        <v>1669</v>
      </c>
      <c r="G262" t="s">
        <v>1669</v>
      </c>
      <c r="H262" t="s">
        <v>1669</v>
      </c>
      <c r="I262" t="s">
        <v>1669</v>
      </c>
      <c r="J262" t="s">
        <v>1669</v>
      </c>
      <c r="K262" t="s">
        <v>1669</v>
      </c>
      <c r="L262" t="s">
        <v>1903</v>
      </c>
    </row>
    <row r="263" spans="1:12" x14ac:dyDescent="0.25">
      <c r="A263" t="s">
        <v>1861</v>
      </c>
      <c r="B263" t="s">
        <v>1637</v>
      </c>
      <c r="C263" t="s">
        <v>1638</v>
      </c>
      <c r="D263" t="s">
        <v>1314</v>
      </c>
      <c r="E263" t="s">
        <v>1146</v>
      </c>
      <c r="F263" t="s">
        <v>1669</v>
      </c>
      <c r="G263" t="s">
        <v>1669</v>
      </c>
      <c r="H263" t="s">
        <v>1669</v>
      </c>
      <c r="I263" t="s">
        <v>1669</v>
      </c>
      <c r="J263" t="s">
        <v>1669</v>
      </c>
      <c r="K263" t="s">
        <v>1669</v>
      </c>
      <c r="L263" t="s">
        <v>1903</v>
      </c>
    </row>
    <row r="264" spans="1:12" x14ac:dyDescent="0.25">
      <c r="A264" t="s">
        <v>1861</v>
      </c>
      <c r="B264" t="s">
        <v>1609</v>
      </c>
      <c r="C264" t="s">
        <v>1610</v>
      </c>
      <c r="D264" t="s">
        <v>1064</v>
      </c>
      <c r="E264" t="s">
        <v>1103</v>
      </c>
      <c r="F264" t="s">
        <v>1669</v>
      </c>
      <c r="G264" t="s">
        <v>1669</v>
      </c>
      <c r="H264" t="s">
        <v>1669</v>
      </c>
      <c r="I264" t="s">
        <v>1669</v>
      </c>
      <c r="J264" t="s">
        <v>1669</v>
      </c>
      <c r="K264" t="s">
        <v>1668</v>
      </c>
      <c r="L264" t="s">
        <v>1903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E2B8-B164-4290-BDAD-224FCFC4F6A3}">
  <sheetPr codeName="Sheet3">
    <pageSetUpPr fitToPage="1"/>
  </sheetPr>
  <dimension ref="A2:AL176"/>
  <sheetViews>
    <sheetView topLeftCell="B1" workbookViewId="0">
      <selection activeCell="B4" sqref="B4:AC4"/>
    </sheetView>
  </sheetViews>
  <sheetFormatPr defaultRowHeight="15" x14ac:dyDescent="0.25"/>
  <cols>
    <col min="1" max="1" width="10.28515625" customWidth="1"/>
    <col min="2" max="2" width="6.42578125" style="5" customWidth="1"/>
    <col min="3" max="3" width="8.85546875" style="5"/>
    <col min="4" max="4" width="39.42578125" customWidth="1"/>
    <col min="5" max="5" width="19.5703125" customWidth="1"/>
    <col min="6" max="27" width="8.7109375" customWidth="1"/>
    <col min="28" max="29" width="6.28515625" style="8" customWidth="1"/>
    <col min="30" max="32" width="3.140625" style="6" customWidth="1"/>
    <col min="33" max="33" width="3.140625" style="5" customWidth="1"/>
    <col min="34" max="34" width="3.140625" style="6" customWidth="1"/>
    <col min="35" max="35" width="5.7109375" customWidth="1"/>
  </cols>
  <sheetData>
    <row r="2" spans="1:38" ht="23.25" x14ac:dyDescent="0.25">
      <c r="A2" s="3"/>
      <c r="B2" s="14" t="s">
        <v>1933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"/>
    </row>
    <row r="4" spans="1:38" ht="15.75" x14ac:dyDescent="0.25">
      <c r="A4" s="4"/>
      <c r="B4" s="15" t="s">
        <v>1932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2"/>
    </row>
    <row r="6" spans="1:38" x14ac:dyDescent="0.25">
      <c r="A6" t="s">
        <v>92</v>
      </c>
      <c r="B6" s="10" t="s">
        <v>758</v>
      </c>
      <c r="C6" s="5" t="s">
        <v>4</v>
      </c>
      <c r="D6" t="s">
        <v>344</v>
      </c>
      <c r="E6" t="s">
        <v>3</v>
      </c>
      <c r="F6" s="6" t="s">
        <v>347</v>
      </c>
      <c r="G6" s="6" t="s">
        <v>348</v>
      </c>
      <c r="H6" s="6" t="s">
        <v>349</v>
      </c>
      <c r="I6" s="6" t="s">
        <v>761</v>
      </c>
      <c r="J6" s="6" t="s">
        <v>763</v>
      </c>
      <c r="K6" s="6" t="s">
        <v>764</v>
      </c>
      <c r="L6" s="6" t="s">
        <v>766</v>
      </c>
      <c r="M6" s="6" t="s">
        <v>775</v>
      </c>
      <c r="N6" s="6" t="s">
        <v>776</v>
      </c>
      <c r="O6" s="6" t="s">
        <v>777</v>
      </c>
      <c r="P6" s="6" t="s">
        <v>1030</v>
      </c>
      <c r="Q6" s="6" t="s">
        <v>1031</v>
      </c>
      <c r="R6" s="6" t="s">
        <v>1032</v>
      </c>
      <c r="S6" s="6" t="s">
        <v>1035</v>
      </c>
      <c r="T6" s="6" t="s">
        <v>1036</v>
      </c>
      <c r="U6" s="6" t="s">
        <v>1037</v>
      </c>
      <c r="V6" s="6" t="s">
        <v>1671</v>
      </c>
      <c r="W6" s="6" t="s">
        <v>1855</v>
      </c>
      <c r="X6" s="6" t="s">
        <v>1856</v>
      </c>
      <c r="Y6" s="6" t="s">
        <v>1905</v>
      </c>
      <c r="Z6" s="6" t="s">
        <v>1906</v>
      </c>
      <c r="AA6" s="6" t="s">
        <v>1907</v>
      </c>
      <c r="AB6" s="8" t="s">
        <v>350</v>
      </c>
      <c r="AC6" s="9" t="s">
        <v>351</v>
      </c>
      <c r="AD6" s="6" t="s">
        <v>755</v>
      </c>
      <c r="AE6" s="6" t="s">
        <v>756</v>
      </c>
      <c r="AF6" s="6" t="s">
        <v>757</v>
      </c>
      <c r="AG6" s="5" t="s">
        <v>773</v>
      </c>
      <c r="AH6" s="6" t="s">
        <v>772</v>
      </c>
      <c r="AJ6" s="7" t="s">
        <v>754</v>
      </c>
    </row>
    <row r="7" spans="1:38" x14ac:dyDescent="0.25">
      <c r="A7">
        <v>51432202</v>
      </c>
      <c r="B7" s="10">
        <f>ROW()-ROW(Selectivo[[#Headers],[Pos]])</f>
        <v>1</v>
      </c>
      <c r="C7" s="5">
        <v>4122</v>
      </c>
      <c r="D7" t="s">
        <v>731</v>
      </c>
      <c r="E7" t="s">
        <v>21</v>
      </c>
      <c r="F7" s="12">
        <f>IFERROR(_xlfn.XLOOKUP(Selectivo[[#This Row],[DNI]],_SIY[DNI],_SIY[R1]),"78 DNC")</f>
        <v>6</v>
      </c>
      <c r="G7" s="13">
        <f>IFERROR(_xlfn.XLOOKUP(Selectivo[[#This Row],[DNI]],_SIY[DNI],_SIY[R2]),"78 DNC")</f>
        <v>1</v>
      </c>
      <c r="H7" s="13">
        <f>IFERROR(_xlfn.XLOOKUP(Selectivo[[#This Row],[DNI]],_SIY[DNI],_SIY[R3]),"78 DNC")</f>
        <v>3</v>
      </c>
      <c r="I7" s="13">
        <f>IFERROR(_xlfn.XLOOKUP(Selectivo[[#This Row],[DNI]],_SIY[DNI],_SIY[R4]),"78 DNC")</f>
        <v>2</v>
      </c>
      <c r="J7" s="13">
        <f>IFERROR(_xlfn.XLOOKUP(Selectivo[[#This Row],[DNI]],_SIY[DNI],_SIY[R5]),"78 DNC")</f>
        <v>2</v>
      </c>
      <c r="K7" s="13">
        <f>IFERROR(_xlfn.XLOOKUP(Selectivo[[#This Row],[DNI]],_SIY[DNI],_SIY[R6]),"78 DNC")</f>
        <v>1</v>
      </c>
      <c r="L7" s="13">
        <f>IFERROR(_xlfn.XLOOKUP(Selectivo[[#This Row],[DNI]],_SIY[DNI],_SIY[R7]),"78 DNC")</f>
        <v>1</v>
      </c>
      <c r="M7" s="13">
        <f>IFERROR(_xlfn.XLOOKUP(Selectivo[[#This Row],[DNI]],_SIY[DNI],_SIY[R8]),"78 DNC")</f>
        <v>1</v>
      </c>
      <c r="N7" s="13">
        <f>IFERROR(_xlfn.XLOOKUP(Selectivo[[#This Row],[DNI]],_SIY[DNI],_SIY[R9]),"78 DNC")</f>
        <v>1</v>
      </c>
      <c r="O7" s="13">
        <f>IFERROR(_xlfn.XLOOKUP(Selectivo[[#This Row],[DNI]],_SIY[DNI],_SIY[R10]),"78 DNC")</f>
        <v>1</v>
      </c>
      <c r="P7" s="13">
        <f>IFERROR(_xlfn.XLOOKUP(Selectivo[[#This Row],[DNI]],_VF2025[DNI],_VF2025[R1]),"70 DNC")</f>
        <v>1</v>
      </c>
      <c r="Q7" s="13">
        <f>IFERROR(_xlfn.XLOOKUP(Selectivo[[#This Row],[DNI]],_VF2025[DNI],_VF2025[R2]),"70 DNC")</f>
        <v>1</v>
      </c>
      <c r="R7" s="13">
        <f>IFERROR(_xlfn.XLOOKUP(Selectivo[[#This Row],[DNI]],_VF2025[DNI],_VF2025[R3]),"70 DNC")</f>
        <v>1</v>
      </c>
      <c r="S7" s="13">
        <f>IFERROR(_xlfn.XLOOKUP(Selectivo[[#This Row],[DNI]],_VF2025[DNI],_VF2025[R4]),"70 DNC")</f>
        <v>2</v>
      </c>
      <c r="T7" s="12" t="str">
        <f>IFERROR(_xlfn.XLOOKUP(Selectivo[[#This Row],[DNI]],_VF2025[DNI],_VF2025[R5]),"70 DNC")</f>
        <v>70 BFD</v>
      </c>
      <c r="U7" s="13">
        <f>IFERROR(_xlfn.XLOOKUP(Selectivo[[#This Row],[DNI]],_VF2025[DNI],_VF2025[R6]),"70 DNC")</f>
        <v>3</v>
      </c>
      <c r="V7" s="12" t="str" cm="1">
        <f t="array" ref="V7">IFERROR(_xlfn.XLOOKUP(Selectivo[[#This Row],[Vela]],_xlfn.NUMBERVALUE(SIL25v2[Sail '#]),SIL25v2[1]),"90 DNC")</f>
        <v>26</v>
      </c>
      <c r="W7" s="13" t="str" cm="1">
        <f t="array" ref="W7">IFERROR(_xlfn.XLOOKUP(Selectivo[[#This Row],[Vela]],_xlfn.NUMBERVALUE(SIL25v2[Sail '#]),SIL25v2[2]),"90 DNC")</f>
        <v>1</v>
      </c>
      <c r="X7" s="13" t="str" cm="1">
        <f t="array" ref="X7">IFERROR(_xlfn.XLOOKUP(Selectivo[[#This Row],[Vela]],_xlfn.NUMBERVALUE(SIL25v2[Sail '#]),SIL25v2[3]),"90 DNC")</f>
        <v>1</v>
      </c>
      <c r="Y7" s="13" t="str" cm="1">
        <f t="array" ref="Y7">IFERROR(_xlfn.XLOOKUP(Selectivo[[#This Row],[Vela]],_xlfn.NUMBERVALUE(SIL25v2[Sail '#]),SIL25v2[4]),"90 DNC")</f>
        <v>1</v>
      </c>
      <c r="Z7" s="13" t="str" cm="1">
        <f t="array" ref="Z7">IFERROR(_xlfn.XLOOKUP(Selectivo[[#This Row],[Vela]],_xlfn.NUMBERVALUE(SIL25v2[Sail '#]),SIL25v2[5]),"90 DNC")</f>
        <v>1</v>
      </c>
      <c r="AA7" s="13" t="str" cm="1">
        <f t="array" ref="AA7">IFERROR(_xlfn.XLOOKUP(Selectivo[[#This Row],[Vela]],_xlfn.NUMBERVALUE(SIL25v2[Sail '#]),SIL25v2[6]),"90 DNC")</f>
        <v>1</v>
      </c>
      <c r="AB7" s="8" cm="1">
        <f t="array" ref="AB7">SUM(IFERROR(VALUE(LEFT(Regatas, FIND(" ",Regatas&amp; " ") - 1)), 0))</f>
        <v>128</v>
      </c>
      <c r="AC7" s="9" cm="1">
        <f t="array" ref="AC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</v>
      </c>
      <c r="AD7" s="6">
        <f>SMALL(RegatasN,1)</f>
        <v>1</v>
      </c>
      <c r="AE7" s="6">
        <f>SMALL(RegatasN,2)</f>
        <v>1</v>
      </c>
      <c r="AF7" s="6">
        <f>SMALL(RegatasN,3)</f>
        <v>1</v>
      </c>
      <c r="AG7" s="5" cm="1">
        <f t="array" ref="AG7">COUNTIF(Regatas,SMALL(Regatas,1))</f>
        <v>14</v>
      </c>
      <c r="AH7" s="6" cm="1">
        <f t="array" ref="AH7">VALUE(LEFT(INDEX(Selectivo[#This Row],,MATCH(Selectivo[[#Headers],[Total]],Selectivo[#Headers],0)-1),SEARCH(" ",INDEX(Selectivo[#This Row],,MATCH(Selectivo[[#Headers],[Total]],Selectivo[#Headers],0)-1)&amp;" ")-1))</f>
        <v>1</v>
      </c>
      <c r="AJ7" s="11">
        <v>3</v>
      </c>
      <c r="AL7" t="s">
        <v>759</v>
      </c>
    </row>
    <row r="8" spans="1:38" x14ac:dyDescent="0.25">
      <c r="A8">
        <v>50416772</v>
      </c>
      <c r="B8" s="10">
        <f>ROW()-ROW(Selectivo[[#Headers],[Pos]])</f>
        <v>2</v>
      </c>
      <c r="C8" s="5">
        <v>4011</v>
      </c>
      <c r="D8" t="s">
        <v>744</v>
      </c>
      <c r="E8" t="s">
        <v>7</v>
      </c>
      <c r="F8" s="12">
        <f>IFERROR(_xlfn.XLOOKUP(Selectivo[[#This Row],[DNI]],_SIY[DNI],_SIY[R1]),"78 DNC")</f>
        <v>6</v>
      </c>
      <c r="G8" s="13">
        <f>IFERROR(_xlfn.XLOOKUP(Selectivo[[#This Row],[DNI]],_SIY[DNI],_SIY[R2]),"78 DNC")</f>
        <v>2</v>
      </c>
      <c r="H8" s="13">
        <f>IFERROR(_xlfn.XLOOKUP(Selectivo[[#This Row],[DNI]],_SIY[DNI],_SIY[R3]),"78 DNC")</f>
        <v>1</v>
      </c>
      <c r="I8" s="13">
        <f>IFERROR(_xlfn.XLOOKUP(Selectivo[[#This Row],[DNI]],_SIY[DNI],_SIY[R4]),"78 DNC")</f>
        <v>1</v>
      </c>
      <c r="J8" s="13">
        <f>IFERROR(_xlfn.XLOOKUP(Selectivo[[#This Row],[DNI]],_SIY[DNI],_SIY[R5]),"78 DNC")</f>
        <v>1</v>
      </c>
      <c r="K8" s="13">
        <f>IFERROR(_xlfn.XLOOKUP(Selectivo[[#This Row],[DNI]],_SIY[DNI],_SIY[R6]),"78 DNC")</f>
        <v>2</v>
      </c>
      <c r="L8" s="13">
        <f>IFERROR(_xlfn.XLOOKUP(Selectivo[[#This Row],[DNI]],_SIY[DNI],_SIY[R7]),"78 DNC")</f>
        <v>1</v>
      </c>
      <c r="M8" s="13">
        <f>IFERROR(_xlfn.XLOOKUP(Selectivo[[#This Row],[DNI]],_SIY[DNI],_SIY[R8]),"78 DNC")</f>
        <v>1</v>
      </c>
      <c r="N8" s="12">
        <f>IFERROR(_xlfn.XLOOKUP(Selectivo[[#This Row],[DNI]],_SIY[DNI],_SIY[R9]),"78 DNC")</f>
        <v>8</v>
      </c>
      <c r="O8" s="13">
        <f>IFERROR(_xlfn.XLOOKUP(Selectivo[[#This Row],[DNI]],_SIY[DNI],_SIY[R10]),"78 DNC")</f>
        <v>1</v>
      </c>
      <c r="P8" s="13">
        <f>IFERROR(_xlfn.XLOOKUP(Selectivo[[#This Row],[DNI]],_VF2025[DNI],_VF2025[R1]),"70 DNC")</f>
        <v>2</v>
      </c>
      <c r="Q8" s="12">
        <f>IFERROR(_xlfn.XLOOKUP(Selectivo[[#This Row],[DNI]],_VF2025[DNI],_VF2025[R2]),"70 DNC")</f>
        <v>9</v>
      </c>
      <c r="R8" s="13">
        <f>IFERROR(_xlfn.XLOOKUP(Selectivo[[#This Row],[DNI]],_VF2025[DNI],_VF2025[R3]),"70 DNC")</f>
        <v>2</v>
      </c>
      <c r="S8" s="13">
        <f>IFERROR(_xlfn.XLOOKUP(Selectivo[[#This Row],[DNI]],_VF2025[DNI],_VF2025[R4]),"70 DNC")</f>
        <v>2</v>
      </c>
      <c r="T8" s="13">
        <f>IFERROR(_xlfn.XLOOKUP(Selectivo[[#This Row],[DNI]],_VF2025[DNI],_VF2025[R5]),"70 DNC")</f>
        <v>3</v>
      </c>
      <c r="U8" s="13">
        <f>IFERROR(_xlfn.XLOOKUP(Selectivo[[#This Row],[DNI]],_VF2025[DNI],_VF2025[R6]),"70 DNC")</f>
        <v>1</v>
      </c>
      <c r="V8" s="13" t="str" cm="1">
        <f t="array" ref="V8">IFERROR(_xlfn.XLOOKUP(Selectivo[[#This Row],[Vela]],_xlfn.NUMBERVALUE(SIL25v2[Sail '#]),SIL25v2[1]),"90 DNC")</f>
        <v>5</v>
      </c>
      <c r="W8" s="13" t="str" cm="1">
        <f t="array" ref="W8">IFERROR(_xlfn.XLOOKUP(Selectivo[[#This Row],[Vela]],_xlfn.NUMBERVALUE(SIL25v2[Sail '#]),SIL25v2[2]),"90 DNC")</f>
        <v>4</v>
      </c>
      <c r="X8" s="13" t="str" cm="1">
        <f t="array" ref="X8">IFERROR(_xlfn.XLOOKUP(Selectivo[[#This Row],[Vela]],_xlfn.NUMBERVALUE(SIL25v2[Sail '#]),SIL25v2[3]),"90 DNC")</f>
        <v>2</v>
      </c>
      <c r="Y8" s="13" t="str" cm="1">
        <f t="array" ref="Y8">IFERROR(_xlfn.XLOOKUP(Selectivo[[#This Row],[Vela]],_xlfn.NUMBERVALUE(SIL25v2[Sail '#]),SIL25v2[4]),"90 DNC")</f>
        <v>5</v>
      </c>
      <c r="Z8" s="13" t="str" cm="1">
        <f t="array" ref="Z8">IFERROR(_xlfn.XLOOKUP(Selectivo[[#This Row],[Vela]],_xlfn.NUMBERVALUE(SIL25v2[Sail '#]),SIL25v2[5]),"90 DNC")</f>
        <v>2</v>
      </c>
      <c r="AA8" s="13" t="str" cm="1">
        <f t="array" ref="AA8">IFERROR(_xlfn.XLOOKUP(Selectivo[[#This Row],[Vela]],_xlfn.NUMBERVALUE(SIL25v2[Sail '#]),SIL25v2[6]),"90 DNC")</f>
        <v>2</v>
      </c>
      <c r="AB8" s="8" cm="1">
        <f t="array" ref="AB8">SUM(IFERROR(VALUE(LEFT(Regatas, FIND(" ",Regatas&amp; " ") - 1)), 0))</f>
        <v>63</v>
      </c>
      <c r="AC8" s="9" cm="1">
        <f t="array" ref="AC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</v>
      </c>
      <c r="AD8" s="6">
        <f>SMALL(RegatasN,1)</f>
        <v>1</v>
      </c>
      <c r="AE8" s="6">
        <f>SMALL(RegatasN,2)</f>
        <v>1</v>
      </c>
      <c r="AF8" s="6">
        <f>SMALL(RegatasN,3)</f>
        <v>1</v>
      </c>
      <c r="AG8" s="5" cm="1">
        <f t="array" ref="AG8">COUNTIF(Regatas,SMALL(Regatas,1))</f>
        <v>7</v>
      </c>
      <c r="AH8" s="6" cm="1">
        <f t="array" ref="AH8">VALUE(LEFT(INDEX(Selectivo[#This Row],,MATCH(Selectivo[[#Headers],[Total]],Selectivo[#Headers],0)-1),SEARCH(" ",INDEX(Selectivo[#This Row],,MATCH(Selectivo[[#Headers],[Total]],Selectivo[#Headers],0)-1)&amp;" ")-1))</f>
        <v>2</v>
      </c>
      <c r="AL8" t="s">
        <v>760</v>
      </c>
    </row>
    <row r="9" spans="1:38" x14ac:dyDescent="0.25">
      <c r="A9">
        <v>50351678</v>
      </c>
      <c r="B9" s="10">
        <f>ROW()-ROW(Selectivo[[#Headers],[Pos]])</f>
        <v>3</v>
      </c>
      <c r="C9" s="5">
        <v>4038</v>
      </c>
      <c r="D9" t="s">
        <v>708</v>
      </c>
      <c r="E9" t="s">
        <v>17</v>
      </c>
      <c r="F9" s="13">
        <f>IFERROR(_xlfn.XLOOKUP(Selectivo[[#This Row],[DNI]],_SIY[DNI],_SIY[R1]),"78 DNC")</f>
        <v>1</v>
      </c>
      <c r="G9" s="13">
        <f>IFERROR(_xlfn.XLOOKUP(Selectivo[[#This Row],[DNI]],_SIY[DNI],_SIY[R2]),"78 DNC")</f>
        <v>2</v>
      </c>
      <c r="H9" s="13">
        <f>IFERROR(_xlfn.XLOOKUP(Selectivo[[#This Row],[DNI]],_SIY[DNI],_SIY[R3]),"78 DNC")</f>
        <v>1</v>
      </c>
      <c r="I9" s="13">
        <f>IFERROR(_xlfn.XLOOKUP(Selectivo[[#This Row],[DNI]],_SIY[DNI],_SIY[R4]),"78 DNC")</f>
        <v>1</v>
      </c>
      <c r="J9" s="13">
        <f>IFERROR(_xlfn.XLOOKUP(Selectivo[[#This Row],[DNI]],_SIY[DNI],_SIY[R5]),"78 DNC")</f>
        <v>1</v>
      </c>
      <c r="K9" s="13">
        <f>IFERROR(_xlfn.XLOOKUP(Selectivo[[#This Row],[DNI]],_SIY[DNI],_SIY[R6]),"78 DNC")</f>
        <v>2</v>
      </c>
      <c r="L9" s="13">
        <f>IFERROR(_xlfn.XLOOKUP(Selectivo[[#This Row],[DNI]],_SIY[DNI],_SIY[R7]),"78 DNC")</f>
        <v>4</v>
      </c>
      <c r="M9" s="13">
        <f>IFERROR(_xlfn.XLOOKUP(Selectivo[[#This Row],[DNI]],_SIY[DNI],_SIY[R8]),"78 DNC")</f>
        <v>4</v>
      </c>
      <c r="N9" s="13">
        <f>IFERROR(_xlfn.XLOOKUP(Selectivo[[#This Row],[DNI]],_SIY[DNI],_SIY[R9]),"78 DNC")</f>
        <v>4</v>
      </c>
      <c r="O9" s="13">
        <f>IFERROR(_xlfn.XLOOKUP(Selectivo[[#This Row],[DNI]],_SIY[DNI],_SIY[R10]),"78 DNC")</f>
        <v>1</v>
      </c>
      <c r="P9" s="13">
        <f>IFERROR(_xlfn.XLOOKUP(Selectivo[[#This Row],[DNI]],_VF2025[DNI],_VF2025[R1]),"70 DNC")</f>
        <v>6</v>
      </c>
      <c r="Q9" s="13">
        <f>IFERROR(_xlfn.XLOOKUP(Selectivo[[#This Row],[DNI]],_VF2025[DNI],_VF2025[R2]),"70 DNC")</f>
        <v>2</v>
      </c>
      <c r="R9" s="12">
        <f>IFERROR(_xlfn.XLOOKUP(Selectivo[[#This Row],[DNI]],_VF2025[DNI],_VF2025[R3]),"70 DNC")</f>
        <v>7</v>
      </c>
      <c r="S9" s="13">
        <f>IFERROR(_xlfn.XLOOKUP(Selectivo[[#This Row],[DNI]],_VF2025[DNI],_VF2025[R4]),"70 DNC")</f>
        <v>6</v>
      </c>
      <c r="T9" s="13">
        <f>IFERROR(_xlfn.XLOOKUP(Selectivo[[#This Row],[DNI]],_VF2025[DNI],_VF2025[R5]),"70 DNC")</f>
        <v>1</v>
      </c>
      <c r="U9" s="13">
        <f>IFERROR(_xlfn.XLOOKUP(Selectivo[[#This Row],[DNI]],_VF2025[DNI],_VF2025[R6]),"70 DNC")</f>
        <v>1</v>
      </c>
      <c r="V9" s="12" t="str" cm="1">
        <f t="array" ref="V9">IFERROR(_xlfn.XLOOKUP(Selectivo[[#This Row],[Vela]],_xlfn.NUMBERVALUE(SIL25v2[Sail '#]),SIL25v2[1]),"90 DNC")</f>
        <v>11</v>
      </c>
      <c r="W9" s="13" t="str" cm="1">
        <f t="array" ref="W9">IFERROR(_xlfn.XLOOKUP(Selectivo[[#This Row],[Vela]],_xlfn.NUMBERVALUE(SIL25v2[Sail '#]),SIL25v2[2]),"90 DNC")</f>
        <v>5</v>
      </c>
      <c r="X9" s="12" t="str" cm="1">
        <f t="array" ref="X9">IFERROR(_xlfn.XLOOKUP(Selectivo[[#This Row],[Vela]],_xlfn.NUMBERVALUE(SIL25v2[Sail '#]),SIL25v2[3]),"90 DNC")</f>
        <v>89 BFD</v>
      </c>
      <c r="Y9" s="13" t="str" cm="1">
        <f t="array" ref="Y9">IFERROR(_xlfn.XLOOKUP(Selectivo[[#This Row],[Vela]],_xlfn.NUMBERVALUE(SIL25v2[Sail '#]),SIL25v2[4]),"90 DNC")</f>
        <v>2</v>
      </c>
      <c r="Z9" s="13" t="str" cm="1">
        <f t="array" ref="Z9">IFERROR(_xlfn.XLOOKUP(Selectivo[[#This Row],[Vela]],_xlfn.NUMBERVALUE(SIL25v2[Sail '#]),SIL25v2[5]),"90 DNC")</f>
        <v>1</v>
      </c>
      <c r="AA9" s="13" t="str" cm="1">
        <f t="array" ref="AA9">IFERROR(_xlfn.XLOOKUP(Selectivo[[#This Row],[Vela]],_xlfn.NUMBERVALUE(SIL25v2[Sail '#]),SIL25v2[6]),"90 DNC")</f>
        <v>2</v>
      </c>
      <c r="AB9" s="8" cm="1">
        <f t="array" ref="AB9">SUM(IFERROR(VALUE(LEFT(Regatas, FIND(" ",Regatas&amp; " ") - 1)), 0))</f>
        <v>154</v>
      </c>
      <c r="AC9" s="9" cm="1">
        <f t="array" ref="AC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</v>
      </c>
      <c r="AD9" s="6">
        <f>SMALL(RegatasN,1)</f>
        <v>1</v>
      </c>
      <c r="AE9" s="6">
        <f>SMALL(RegatasN,2)</f>
        <v>1</v>
      </c>
      <c r="AF9" s="6">
        <f>SMALL(RegatasN,3)</f>
        <v>1</v>
      </c>
      <c r="AG9" s="5" cm="1">
        <f t="array" ref="AG9">COUNTIF(Regatas,SMALL(Regatas,1))</f>
        <v>8</v>
      </c>
      <c r="AH9" s="6" cm="1">
        <f t="array" ref="AH9">VALUE(LEFT(INDEX(Selectivo[#This Row],,MATCH(Selectivo[[#Headers],[Total]],Selectivo[#Headers],0)-1),SEARCH(" ",INDEX(Selectivo[#This Row],,MATCH(Selectivo[[#Headers],[Total]],Selectivo[#Headers],0)-1)&amp;" ")-1))</f>
        <v>2</v>
      </c>
      <c r="AL9" t="s">
        <v>762</v>
      </c>
    </row>
    <row r="10" spans="1:38" x14ac:dyDescent="0.25">
      <c r="A10">
        <v>47955823</v>
      </c>
      <c r="B10" s="10">
        <f>ROW()-ROW(Selectivo[[#Headers],[Pos]])</f>
        <v>4</v>
      </c>
      <c r="C10" s="5">
        <v>4106</v>
      </c>
      <c r="D10" t="s">
        <v>749</v>
      </c>
      <c r="E10" t="s">
        <v>21</v>
      </c>
      <c r="F10" s="13">
        <f>IFERROR(_xlfn.XLOOKUP(Selectivo[[#This Row],[DNI]],_SIY[DNI],_SIY[R1]),"78 DNC")</f>
        <v>3</v>
      </c>
      <c r="G10" s="13">
        <f>IFERROR(_xlfn.XLOOKUP(Selectivo[[#This Row],[DNI]],_SIY[DNI],_SIY[R2]),"78 DNC")</f>
        <v>7</v>
      </c>
      <c r="H10" s="13">
        <f>IFERROR(_xlfn.XLOOKUP(Selectivo[[#This Row],[DNI]],_SIY[DNI],_SIY[R3]),"78 DNC")</f>
        <v>2</v>
      </c>
      <c r="I10" s="13">
        <f>IFERROR(_xlfn.XLOOKUP(Selectivo[[#This Row],[DNI]],_SIY[DNI],_SIY[R4]),"78 DNC")</f>
        <v>1</v>
      </c>
      <c r="J10" s="13">
        <f>IFERROR(_xlfn.XLOOKUP(Selectivo[[#This Row],[DNI]],_SIY[DNI],_SIY[R5]),"78 DNC")</f>
        <v>4</v>
      </c>
      <c r="K10" s="13">
        <f>IFERROR(_xlfn.XLOOKUP(Selectivo[[#This Row],[DNI]],_SIY[DNI],_SIY[R6]),"78 DNC")</f>
        <v>2</v>
      </c>
      <c r="L10" s="13">
        <f>IFERROR(_xlfn.XLOOKUP(Selectivo[[#This Row],[DNI]],_SIY[DNI],_SIY[R7]),"78 DNC")</f>
        <v>2</v>
      </c>
      <c r="M10" s="13">
        <f>IFERROR(_xlfn.XLOOKUP(Selectivo[[#This Row],[DNI]],_SIY[DNI],_SIY[R8]),"78 DNC")</f>
        <v>3</v>
      </c>
      <c r="N10" s="13">
        <f>IFERROR(_xlfn.XLOOKUP(Selectivo[[#This Row],[DNI]],_SIY[DNI],_SIY[R9]),"78 DNC")</f>
        <v>10</v>
      </c>
      <c r="O10" s="13">
        <f>IFERROR(_xlfn.XLOOKUP(Selectivo[[#This Row],[DNI]],_SIY[DNI],_SIY[R10]),"78 DNC")</f>
        <v>3</v>
      </c>
      <c r="P10" s="13">
        <f>IFERROR(_xlfn.XLOOKUP(Selectivo[[#This Row],[DNI]],_VF2025[DNI],_VF2025[R1]),"70 DNC")</f>
        <v>3</v>
      </c>
      <c r="Q10" s="13">
        <f>IFERROR(_xlfn.XLOOKUP(Selectivo[[#This Row],[DNI]],_VF2025[DNI],_VF2025[R2]),"70 DNC")</f>
        <v>2</v>
      </c>
      <c r="R10" s="13">
        <f>IFERROR(_xlfn.XLOOKUP(Selectivo[[#This Row],[DNI]],_VF2025[DNI],_VF2025[R3]),"70 DNC")</f>
        <v>1</v>
      </c>
      <c r="S10" s="13">
        <f>IFERROR(_xlfn.XLOOKUP(Selectivo[[#This Row],[DNI]],_VF2025[DNI],_VF2025[R4]),"70 DNC")</f>
        <v>1</v>
      </c>
      <c r="T10" s="13">
        <f>IFERROR(_xlfn.XLOOKUP(Selectivo[[#This Row],[DNI]],_VF2025[DNI],_VF2025[R5]),"70 DNC")</f>
        <v>4</v>
      </c>
      <c r="U10" s="13">
        <f>IFERROR(_xlfn.XLOOKUP(Selectivo[[#This Row],[DNI]],_VF2025[DNI],_VF2025[R6]),"70 DNC")</f>
        <v>9</v>
      </c>
      <c r="V10" s="13" t="str" cm="1">
        <f t="array" ref="V10">IFERROR(_xlfn.XLOOKUP(Selectivo[[#This Row],[Vela]],_xlfn.NUMBERVALUE(SIL25v2[Sail '#]),SIL25v2[1]),"90 DNC")</f>
        <v>1</v>
      </c>
      <c r="W10" s="12" t="str" cm="1">
        <f t="array" ref="W10">IFERROR(_xlfn.XLOOKUP(Selectivo[[#This Row],[Vela]],_xlfn.NUMBERVALUE(SIL25v2[Sail '#]),SIL25v2[2]),"90 DNC")</f>
        <v>26</v>
      </c>
      <c r="X10" s="13" t="str" cm="1">
        <f t="array" ref="X10">IFERROR(_xlfn.XLOOKUP(Selectivo[[#This Row],[Vela]],_xlfn.NUMBERVALUE(SIL25v2[Sail '#]),SIL25v2[3]),"90 DNC")</f>
        <v>3</v>
      </c>
      <c r="Y10" s="12" t="str" cm="1">
        <f t="array" ref="Y10">IFERROR(_xlfn.XLOOKUP(Selectivo[[#This Row],[Vela]],_xlfn.NUMBERVALUE(SIL25v2[Sail '#]),SIL25v2[4]),"90 DNC")</f>
        <v>15</v>
      </c>
      <c r="Z10" s="13" t="str" cm="1">
        <f t="array" ref="Z10">IFERROR(_xlfn.XLOOKUP(Selectivo[[#This Row],[Vela]],_xlfn.NUMBERVALUE(SIL25v2[Sail '#]),SIL25v2[5]),"90 DNC")</f>
        <v>1</v>
      </c>
      <c r="AA10" s="12" t="str" cm="1">
        <f t="array" ref="AA10">IFERROR(_xlfn.XLOOKUP(Selectivo[[#This Row],[Vela]],_xlfn.NUMBERVALUE(SIL25v2[Sail '#]),SIL25v2[6]),"90 DNC")</f>
        <v>54</v>
      </c>
      <c r="AB10" s="8" cm="1">
        <f t="array" ref="AB10">SUM(IFERROR(VALUE(LEFT(Regatas, FIND(" ",Regatas&amp; " ") - 1)), 0))</f>
        <v>157</v>
      </c>
      <c r="AC10" s="9" cm="1">
        <f t="array" ref="AC1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</v>
      </c>
      <c r="AD10" s="6">
        <f>SMALL(RegatasN,1)</f>
        <v>1</v>
      </c>
      <c r="AE10" s="6">
        <f>SMALL(RegatasN,2)</f>
        <v>1</v>
      </c>
      <c r="AF10" s="6">
        <f>SMALL(RegatasN,3)</f>
        <v>1</v>
      </c>
      <c r="AG10" s="5" cm="1">
        <f t="array" ref="AG10">COUNTIF(Regatas,SMALL(Regatas,1))</f>
        <v>5</v>
      </c>
      <c r="AH10" s="6" cm="1">
        <f t="array" ref="AH10">VALUE(LEFT(INDEX(Selectivo[#This Row],,MATCH(Selectivo[[#Headers],[Total]],Selectivo[#Headers],0)-1),SEARCH(" ",INDEX(Selectivo[#This Row],,MATCH(Selectivo[[#Headers],[Total]],Selectivo[#Headers],0)-1)&amp;" ")-1))</f>
        <v>54</v>
      </c>
      <c r="AL10" t="s">
        <v>765</v>
      </c>
    </row>
    <row r="11" spans="1:38" x14ac:dyDescent="0.25">
      <c r="A11">
        <v>50668849</v>
      </c>
      <c r="B11" s="10">
        <f>ROW()-ROW(Selectivo[[#Headers],[Pos]])</f>
        <v>5</v>
      </c>
      <c r="C11" s="5">
        <v>4175</v>
      </c>
      <c r="D11" t="s">
        <v>743</v>
      </c>
      <c r="E11" t="s">
        <v>11</v>
      </c>
      <c r="F11" s="13">
        <f>IFERROR(_xlfn.XLOOKUP(Selectivo[[#This Row],[DNI]],_SIY[DNI],_SIY[R1]),"78 DNC")</f>
        <v>1</v>
      </c>
      <c r="G11" s="13">
        <f>IFERROR(_xlfn.XLOOKUP(Selectivo[[#This Row],[DNI]],_SIY[DNI],_SIY[R2]),"78 DNC")</f>
        <v>1</v>
      </c>
      <c r="H11" s="13">
        <f>IFERROR(_xlfn.XLOOKUP(Selectivo[[#This Row],[DNI]],_SIY[DNI],_SIY[R3]),"78 DNC")</f>
        <v>4</v>
      </c>
      <c r="I11" s="13">
        <f>IFERROR(_xlfn.XLOOKUP(Selectivo[[#This Row],[DNI]],_SIY[DNI],_SIY[R4]),"78 DNC")</f>
        <v>3</v>
      </c>
      <c r="J11" s="13">
        <f>IFERROR(_xlfn.XLOOKUP(Selectivo[[#This Row],[DNI]],_SIY[DNI],_SIY[R5]),"78 DNC")</f>
        <v>1</v>
      </c>
      <c r="K11" s="13">
        <f>IFERROR(_xlfn.XLOOKUP(Selectivo[[#This Row],[DNI]],_SIY[DNI],_SIY[R6]),"78 DNC")</f>
        <v>4</v>
      </c>
      <c r="L11" s="13">
        <f>IFERROR(_xlfn.XLOOKUP(Selectivo[[#This Row],[DNI]],_SIY[DNI],_SIY[R7]),"78 DNC")</f>
        <v>1</v>
      </c>
      <c r="M11" s="13">
        <f>IFERROR(_xlfn.XLOOKUP(Selectivo[[#This Row],[DNI]],_SIY[DNI],_SIY[R8]),"78 DNC")</f>
        <v>1</v>
      </c>
      <c r="N11" s="13">
        <f>IFERROR(_xlfn.XLOOKUP(Selectivo[[#This Row],[DNI]],_SIY[DNI],_SIY[R9]),"78 DNC")</f>
        <v>2</v>
      </c>
      <c r="O11" s="13">
        <f>IFERROR(_xlfn.XLOOKUP(Selectivo[[#This Row],[DNI]],_SIY[DNI],_SIY[R10]),"78 DNC")</f>
        <v>5</v>
      </c>
      <c r="P11" s="12">
        <f>IFERROR(_xlfn.XLOOKUP(Selectivo[[#This Row],[DNI]],_VF2025[DNI],_VF2025[R1]),"70 DNC")</f>
        <v>13</v>
      </c>
      <c r="Q11" s="13">
        <f>IFERROR(_xlfn.XLOOKUP(Selectivo[[#This Row],[DNI]],_VF2025[DNI],_VF2025[R2]),"70 DNC")</f>
        <v>8</v>
      </c>
      <c r="R11" s="13">
        <f>IFERROR(_xlfn.XLOOKUP(Selectivo[[#This Row],[DNI]],_VF2025[DNI],_VF2025[R3]),"70 DNC")</f>
        <v>2</v>
      </c>
      <c r="S11" s="13">
        <f>IFERROR(_xlfn.XLOOKUP(Selectivo[[#This Row],[DNI]],_VF2025[DNI],_VF2025[R4]),"70 DNC")</f>
        <v>1</v>
      </c>
      <c r="T11" s="13">
        <f>IFERROR(_xlfn.XLOOKUP(Selectivo[[#This Row],[DNI]],_VF2025[DNI],_VF2025[R5]),"70 DNC")</f>
        <v>8</v>
      </c>
      <c r="U11" s="13">
        <f>IFERROR(_xlfn.XLOOKUP(Selectivo[[#This Row],[DNI]],_VF2025[DNI],_VF2025[R6]),"70 DNC")</f>
        <v>3</v>
      </c>
      <c r="V11" s="13" t="str" cm="1">
        <f t="array" ref="V11">IFERROR(_xlfn.XLOOKUP(Selectivo[[#This Row],[Vela]],_xlfn.NUMBERVALUE(SIL25v2[Sail '#]),SIL25v2[1]),"90 DNC")</f>
        <v>8</v>
      </c>
      <c r="W11" s="12" t="str" cm="1">
        <f t="array" ref="W11">IFERROR(_xlfn.XLOOKUP(Selectivo[[#This Row],[Vela]],_xlfn.NUMBERVALUE(SIL25v2[Sail '#]),SIL25v2[2]),"90 DNC")</f>
        <v>29</v>
      </c>
      <c r="X11" s="13" t="str" cm="1">
        <f t="array" ref="X11">IFERROR(_xlfn.XLOOKUP(Selectivo[[#This Row],[Vela]],_xlfn.NUMBERVALUE(SIL25v2[Sail '#]),SIL25v2[3]),"90 DNC")</f>
        <v>1</v>
      </c>
      <c r="Y11" s="12" t="str" cm="1">
        <f t="array" ref="Y11">IFERROR(_xlfn.XLOOKUP(Selectivo[[#This Row],[Vela]],_xlfn.NUMBERVALUE(SIL25v2[Sail '#]),SIL25v2[4]),"90 DNC")</f>
        <v>66</v>
      </c>
      <c r="Z11" s="13" t="str" cm="1">
        <f t="array" ref="Z11">IFERROR(_xlfn.XLOOKUP(Selectivo[[#This Row],[Vela]],_xlfn.NUMBERVALUE(SIL25v2[Sail '#]),SIL25v2[5]),"90 DNC")</f>
        <v>4</v>
      </c>
      <c r="AA11" s="13" t="str" cm="1">
        <f t="array" ref="AA11">IFERROR(_xlfn.XLOOKUP(Selectivo[[#This Row],[Vela]],_xlfn.NUMBERVALUE(SIL25v2[Sail '#]),SIL25v2[6]),"90 DNC")</f>
        <v>5</v>
      </c>
      <c r="AB11" s="8" cm="1">
        <f t="array" ref="AB11">SUM(IFERROR(VALUE(LEFT(Regatas, FIND(" ",Regatas&amp; " ") - 1)), 0))</f>
        <v>171</v>
      </c>
      <c r="AC11" s="9" cm="1">
        <f t="array" ref="AC1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63</v>
      </c>
      <c r="AD11" s="6">
        <f>SMALL(RegatasN,1)</f>
        <v>1</v>
      </c>
      <c r="AE11" s="6">
        <f>SMALL(RegatasN,2)</f>
        <v>1</v>
      </c>
      <c r="AF11" s="6">
        <f>SMALL(RegatasN,3)</f>
        <v>1</v>
      </c>
      <c r="AG11" s="5" cm="1">
        <f t="array" ref="AG11">COUNTIF(Regatas,SMALL(Regatas,1))</f>
        <v>7</v>
      </c>
      <c r="AH11" s="6" cm="1">
        <f t="array" ref="AH11">VALUE(LEFT(INDEX(Selectivo[#This Row],,MATCH(Selectivo[[#Headers],[Total]],Selectivo[#Headers],0)-1),SEARCH(" ",INDEX(Selectivo[#This Row],,MATCH(Selectivo[[#Headers],[Total]],Selectivo[#Headers],0)-1)&amp;" ")-1))</f>
        <v>5</v>
      </c>
    </row>
    <row r="12" spans="1:38" x14ac:dyDescent="0.25">
      <c r="A12">
        <v>50048657</v>
      </c>
      <c r="B12" s="10">
        <f>ROW()-ROW(Selectivo[[#Headers],[Pos]])</f>
        <v>6</v>
      </c>
      <c r="C12" s="5">
        <v>4130</v>
      </c>
      <c r="D12" t="s">
        <v>752</v>
      </c>
      <c r="E12" t="s">
        <v>5</v>
      </c>
      <c r="F12" s="13">
        <f>IFERROR(_xlfn.XLOOKUP(Selectivo[[#This Row],[DNI]],_SIY[DNI],_SIY[R1]),"78 DNC")</f>
        <v>5</v>
      </c>
      <c r="G12" s="13">
        <f>IFERROR(_xlfn.XLOOKUP(Selectivo[[#This Row],[DNI]],_SIY[DNI],_SIY[R2]),"78 DNC")</f>
        <v>4</v>
      </c>
      <c r="H12" s="13">
        <f>IFERROR(_xlfn.XLOOKUP(Selectivo[[#This Row],[DNI]],_SIY[DNI],_SIY[R3]),"78 DNC")</f>
        <v>7</v>
      </c>
      <c r="I12" s="13">
        <f>IFERROR(_xlfn.XLOOKUP(Selectivo[[#This Row],[DNI]],_SIY[DNI],_SIY[R4]),"78 DNC")</f>
        <v>4</v>
      </c>
      <c r="J12" s="13">
        <f>IFERROR(_xlfn.XLOOKUP(Selectivo[[#This Row],[DNI]],_SIY[DNI],_SIY[R5]),"78 DNC")</f>
        <v>3</v>
      </c>
      <c r="K12" s="13">
        <f>IFERROR(_xlfn.XLOOKUP(Selectivo[[#This Row],[DNI]],_SIY[DNI],_SIY[R6]),"78 DNC")</f>
        <v>3</v>
      </c>
      <c r="L12" s="13">
        <f>IFERROR(_xlfn.XLOOKUP(Selectivo[[#This Row],[DNI]],_SIY[DNI],_SIY[R7]),"78 DNC")</f>
        <v>3</v>
      </c>
      <c r="M12" s="13">
        <f>IFERROR(_xlfn.XLOOKUP(Selectivo[[#This Row],[DNI]],_SIY[DNI],_SIY[R8]),"78 DNC")</f>
        <v>2</v>
      </c>
      <c r="N12" s="13">
        <f>IFERROR(_xlfn.XLOOKUP(Selectivo[[#This Row],[DNI]],_SIY[DNI],_SIY[R9]),"78 DNC")</f>
        <v>1</v>
      </c>
      <c r="O12" s="13">
        <f>IFERROR(_xlfn.XLOOKUP(Selectivo[[#This Row],[DNI]],_SIY[DNI],_SIY[R10]),"78 DNC")</f>
        <v>6</v>
      </c>
      <c r="P12" s="13">
        <f>IFERROR(_xlfn.XLOOKUP(Selectivo[[#This Row],[DNI]],_VF2025[DNI],_VF2025[R1]),"70 DNC")</f>
        <v>2</v>
      </c>
      <c r="Q12" s="13">
        <f>IFERROR(_xlfn.XLOOKUP(Selectivo[[#This Row],[DNI]],_VF2025[DNI],_VF2025[R2]),"70 DNC")</f>
        <v>5</v>
      </c>
      <c r="R12" s="13">
        <f>IFERROR(_xlfn.XLOOKUP(Selectivo[[#This Row],[DNI]],_VF2025[DNI],_VF2025[R3]),"70 DNC")</f>
        <v>4</v>
      </c>
      <c r="S12" s="13">
        <f>IFERROR(_xlfn.XLOOKUP(Selectivo[[#This Row],[DNI]],_VF2025[DNI],_VF2025[R4]),"70 DNC")</f>
        <v>3</v>
      </c>
      <c r="T12" s="12">
        <f>IFERROR(_xlfn.XLOOKUP(Selectivo[[#This Row],[DNI]],_VF2025[DNI],_VF2025[R5]),"70 DNC")</f>
        <v>12</v>
      </c>
      <c r="U12" s="12">
        <f>IFERROR(_xlfn.XLOOKUP(Selectivo[[#This Row],[DNI]],_VF2025[DNI],_VF2025[R6]),"70 DNC")</f>
        <v>13</v>
      </c>
      <c r="V12" s="13" t="str" cm="1">
        <f t="array" ref="V12">IFERROR(_xlfn.XLOOKUP(Selectivo[[#This Row],[Vela]],_xlfn.NUMBERVALUE(SIL25v2[Sail '#]),SIL25v2[1]),"90 DNC")</f>
        <v>4</v>
      </c>
      <c r="W12" s="13" t="str" cm="1">
        <f t="array" ref="W12">IFERROR(_xlfn.XLOOKUP(Selectivo[[#This Row],[Vela]],_xlfn.NUMBERVALUE(SIL25v2[Sail '#]),SIL25v2[2]),"90 DNC")</f>
        <v>6</v>
      </c>
      <c r="X12" s="13" t="str" cm="1">
        <f t="array" ref="X12">IFERROR(_xlfn.XLOOKUP(Selectivo[[#This Row],[Vela]],_xlfn.NUMBERVALUE(SIL25v2[Sail '#]),SIL25v2[3]),"90 DNC")</f>
        <v>3</v>
      </c>
      <c r="Y12" s="13" t="str" cm="1">
        <f t="array" ref="Y12">IFERROR(_xlfn.XLOOKUP(Selectivo[[#This Row],[Vela]],_xlfn.NUMBERVALUE(SIL25v2[Sail '#]),SIL25v2[4]),"90 DNC")</f>
        <v>2</v>
      </c>
      <c r="Z12" s="13" t="str" cm="1">
        <f t="array" ref="Z12">IFERROR(_xlfn.XLOOKUP(Selectivo[[#This Row],[Vela]],_xlfn.NUMBERVALUE(SIL25v2[Sail '#]),SIL25v2[5]),"90 DNC")</f>
        <v>3</v>
      </c>
      <c r="AA12" s="12" t="str" cm="1">
        <f t="array" ref="AA12">IFERROR(_xlfn.XLOOKUP(Selectivo[[#This Row],[Vela]],_xlfn.NUMBERVALUE(SIL25v2[Sail '#]),SIL25v2[6]),"90 DNC")</f>
        <v>89 BFD</v>
      </c>
      <c r="AB12" s="8" cm="1">
        <f t="array" ref="AB12">SUM(IFERROR(VALUE(LEFT(Regatas, FIND(" ",Regatas&amp; " ") - 1)), 0))</f>
        <v>184</v>
      </c>
      <c r="AC12" s="9" cm="1">
        <f t="array" ref="AC1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70</v>
      </c>
      <c r="AD12" s="6">
        <f>SMALL(RegatasN,1)</f>
        <v>1</v>
      </c>
      <c r="AE12" s="6">
        <f>SMALL(RegatasN,2)</f>
        <v>2</v>
      </c>
      <c r="AF12" s="6">
        <f>SMALL(RegatasN,3)</f>
        <v>2</v>
      </c>
      <c r="AG12" s="5" cm="1">
        <f t="array" ref="AG12">COUNTIF(Regatas,SMALL(Regatas,1))</f>
        <v>1</v>
      </c>
      <c r="AH12" s="6" cm="1">
        <f t="array" ref="AH12">VALUE(LEFT(INDEX(Selectivo[#This Row],,MATCH(Selectivo[[#Headers],[Total]],Selectivo[#Headers],0)-1),SEARCH(" ",INDEX(Selectivo[#This Row],,MATCH(Selectivo[[#Headers],[Total]],Selectivo[#Headers],0)-1)&amp;" ")-1))</f>
        <v>89</v>
      </c>
      <c r="AL12" t="s">
        <v>774</v>
      </c>
    </row>
    <row r="13" spans="1:38" x14ac:dyDescent="0.25">
      <c r="A13">
        <v>52440028</v>
      </c>
      <c r="B13" s="10">
        <f>ROW()-ROW(Selectivo[[#Headers],[Pos]])</f>
        <v>7</v>
      </c>
      <c r="C13" s="5">
        <v>4165</v>
      </c>
      <c r="D13" t="s">
        <v>728</v>
      </c>
      <c r="E13" t="s">
        <v>26</v>
      </c>
      <c r="F13" s="13">
        <f>IFERROR(_xlfn.XLOOKUP(Selectivo[[#This Row],[DNI]],_SIY[DNI],_SIY[R1]),"78 DNC")</f>
        <v>2</v>
      </c>
      <c r="G13" s="13">
        <f>IFERROR(_xlfn.XLOOKUP(Selectivo[[#This Row],[DNI]],_SIY[DNI],_SIY[R2]),"78 DNC")</f>
        <v>4</v>
      </c>
      <c r="H13" s="13">
        <f>IFERROR(_xlfn.XLOOKUP(Selectivo[[#This Row],[DNI]],_SIY[DNI],_SIY[R3]),"78 DNC")</f>
        <v>2</v>
      </c>
      <c r="I13" s="13">
        <f>IFERROR(_xlfn.XLOOKUP(Selectivo[[#This Row],[DNI]],_SIY[DNI],_SIY[R4]),"78 DNC")</f>
        <v>4</v>
      </c>
      <c r="J13" s="13">
        <f>IFERROR(_xlfn.XLOOKUP(Selectivo[[#This Row],[DNI]],_SIY[DNI],_SIY[R5]),"78 DNC")</f>
        <v>4</v>
      </c>
      <c r="K13" s="13">
        <f>IFERROR(_xlfn.XLOOKUP(Selectivo[[#This Row],[DNI]],_SIY[DNI],_SIY[R6]),"78 DNC")</f>
        <v>5</v>
      </c>
      <c r="L13" s="13">
        <f>IFERROR(_xlfn.XLOOKUP(Selectivo[[#This Row],[DNI]],_SIY[DNI],_SIY[R7]),"78 DNC")</f>
        <v>2</v>
      </c>
      <c r="M13" s="12" t="str">
        <f>IFERROR(_xlfn.XLOOKUP(Selectivo[[#This Row],[DNI]],_SIY[DNI],_SIY[R8]),"78 DNC")</f>
        <v>77 BFD</v>
      </c>
      <c r="N13" s="13">
        <f>IFERROR(_xlfn.XLOOKUP(Selectivo[[#This Row],[DNI]],_SIY[DNI],_SIY[R9]),"78 DNC")</f>
        <v>6</v>
      </c>
      <c r="O13" s="13">
        <f>IFERROR(_xlfn.XLOOKUP(Selectivo[[#This Row],[DNI]],_SIY[DNI],_SIY[R10]),"78 DNC")</f>
        <v>5</v>
      </c>
      <c r="P13" s="13">
        <f>IFERROR(_xlfn.XLOOKUP(Selectivo[[#This Row],[DNI]],_VF2025[DNI],_VF2025[R1]),"70 DNC")</f>
        <v>3</v>
      </c>
      <c r="Q13" s="13">
        <f>IFERROR(_xlfn.XLOOKUP(Selectivo[[#This Row],[DNI]],_VF2025[DNI],_VF2025[R2]),"70 DNC")</f>
        <v>3</v>
      </c>
      <c r="R13" s="13">
        <f>IFERROR(_xlfn.XLOOKUP(Selectivo[[#This Row],[DNI]],_VF2025[DNI],_VF2025[R3]),"70 DNC")</f>
        <v>10</v>
      </c>
      <c r="S13" s="13">
        <f>IFERROR(_xlfn.XLOOKUP(Selectivo[[#This Row],[DNI]],_VF2025[DNI],_VF2025[R4]),"70 DNC")</f>
        <v>1</v>
      </c>
      <c r="T13" s="13">
        <f>IFERROR(_xlfn.XLOOKUP(Selectivo[[#This Row],[DNI]],_VF2025[DNI],_VF2025[R5]),"70 DNC")</f>
        <v>6</v>
      </c>
      <c r="U13" s="13">
        <f>IFERROR(_xlfn.XLOOKUP(Selectivo[[#This Row],[DNI]],_VF2025[DNI],_VF2025[R6]),"70 DNC")</f>
        <v>13</v>
      </c>
      <c r="V13" s="13" t="str" cm="1">
        <f t="array" ref="V13">IFERROR(_xlfn.XLOOKUP(Selectivo[[#This Row],[Vela]],_xlfn.NUMBERVALUE(SIL25v2[Sail '#]),SIL25v2[1]),"90 DNC")</f>
        <v>1</v>
      </c>
      <c r="W13" s="13" t="str" cm="1">
        <f t="array" ref="W13">IFERROR(_xlfn.XLOOKUP(Selectivo[[#This Row],[Vela]],_xlfn.NUMBERVALUE(SIL25v2[Sail '#]),SIL25v2[2]),"90 DNC")</f>
        <v>1</v>
      </c>
      <c r="X13" s="12" t="str" cm="1">
        <f t="array" ref="X13">IFERROR(_xlfn.XLOOKUP(Selectivo[[#This Row],[Vela]],_xlfn.NUMBERVALUE(SIL25v2[Sail '#]),SIL25v2[3]),"90 DNC")</f>
        <v>89 BFD</v>
      </c>
      <c r="Y13" s="13" t="str" cm="1">
        <f t="array" ref="Y13">IFERROR(_xlfn.XLOOKUP(Selectivo[[#This Row],[Vela]],_xlfn.NUMBERVALUE(SIL25v2[Sail '#]),SIL25v2[4]),"90 DNC")</f>
        <v>1</v>
      </c>
      <c r="Z13" s="12" t="str" cm="1">
        <f t="array" ref="Z13">IFERROR(_xlfn.XLOOKUP(Selectivo[[#This Row],[Vela]],_xlfn.NUMBERVALUE(SIL25v2[Sail '#]),SIL25v2[5]),"90 DNC")</f>
        <v>20</v>
      </c>
      <c r="AA13" s="13" t="str" cm="1">
        <f t="array" ref="AA13">IFERROR(_xlfn.XLOOKUP(Selectivo[[#This Row],[Vela]],_xlfn.NUMBERVALUE(SIL25v2[Sail '#]),SIL25v2[6]),"90 DNC")</f>
        <v>13</v>
      </c>
      <c r="AB13" s="8" cm="1">
        <f t="array" ref="AB13">SUM(IFERROR(VALUE(LEFT(Regatas, FIND(" ",Regatas&amp; " ") - 1)), 0))</f>
        <v>272</v>
      </c>
      <c r="AC13" s="9" cm="1">
        <f t="array" ref="AC1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</v>
      </c>
      <c r="AD13" s="6">
        <f>SMALL(RegatasN,1)</f>
        <v>1</v>
      </c>
      <c r="AE13" s="6">
        <f>SMALL(RegatasN,2)</f>
        <v>1</v>
      </c>
      <c r="AF13" s="6">
        <f>SMALL(RegatasN,3)</f>
        <v>1</v>
      </c>
      <c r="AG13" s="5" cm="1">
        <f t="array" ref="AG13">COUNTIF(Regatas,SMALL(Regatas,1))</f>
        <v>4</v>
      </c>
      <c r="AH13" s="6" cm="1">
        <f t="array" ref="AH13">VALUE(LEFT(INDEX(Selectivo[#This Row],,MATCH(Selectivo[[#Headers],[Total]],Selectivo[#Headers],0)-1),SEARCH(" ",INDEX(Selectivo[#This Row],,MATCH(Selectivo[[#Headers],[Total]],Selectivo[#Headers],0)-1)&amp;" ")-1))</f>
        <v>13</v>
      </c>
      <c r="AL13" t="s">
        <v>788</v>
      </c>
    </row>
    <row r="14" spans="1:38" x14ac:dyDescent="0.25">
      <c r="A14">
        <v>51049622</v>
      </c>
      <c r="B14" s="10">
        <f>ROW()-ROW(Selectivo[[#Headers],[Pos]])</f>
        <v>8</v>
      </c>
      <c r="C14" s="5">
        <v>4209</v>
      </c>
      <c r="D14" t="s">
        <v>750</v>
      </c>
      <c r="E14" t="s">
        <v>11</v>
      </c>
      <c r="F14" s="13">
        <f>IFERROR(_xlfn.XLOOKUP(Selectivo[[#This Row],[DNI]],_SIY[DNI],_SIY[R1]),"78 DNC")</f>
        <v>4</v>
      </c>
      <c r="G14" s="13">
        <f>IFERROR(_xlfn.XLOOKUP(Selectivo[[#This Row],[DNI]],_SIY[DNI],_SIY[R2]),"78 DNC")</f>
        <v>1</v>
      </c>
      <c r="H14" s="13">
        <f>IFERROR(_xlfn.XLOOKUP(Selectivo[[#This Row],[DNI]],_SIY[DNI],_SIY[R3]),"78 DNC")</f>
        <v>4</v>
      </c>
      <c r="I14" s="13">
        <f>IFERROR(_xlfn.XLOOKUP(Selectivo[[#This Row],[DNI]],_SIY[DNI],_SIY[R4]),"78 DNC")</f>
        <v>2</v>
      </c>
      <c r="J14" s="13">
        <f>IFERROR(_xlfn.XLOOKUP(Selectivo[[#This Row],[DNI]],_SIY[DNI],_SIY[R5]),"78 DNC")</f>
        <v>2</v>
      </c>
      <c r="K14" s="13">
        <f>IFERROR(_xlfn.XLOOKUP(Selectivo[[#This Row],[DNI]],_SIY[DNI],_SIY[R6]),"78 DNC")</f>
        <v>1</v>
      </c>
      <c r="L14" s="13">
        <f>IFERROR(_xlfn.XLOOKUP(Selectivo[[#This Row],[DNI]],_SIY[DNI],_SIY[R7]),"78 DNC")</f>
        <v>4</v>
      </c>
      <c r="M14" s="13">
        <f>IFERROR(_xlfn.XLOOKUP(Selectivo[[#This Row],[DNI]],_SIY[DNI],_SIY[R8]),"78 DNC")</f>
        <v>2</v>
      </c>
      <c r="N14" s="13">
        <f>IFERROR(_xlfn.XLOOKUP(Selectivo[[#This Row],[DNI]],_SIY[DNI],_SIY[R9]),"78 DNC")</f>
        <v>20</v>
      </c>
      <c r="O14" s="13">
        <f>IFERROR(_xlfn.XLOOKUP(Selectivo[[#This Row],[DNI]],_SIY[DNI],_SIY[R10]),"78 DNC")</f>
        <v>9</v>
      </c>
      <c r="P14" s="13">
        <f>IFERROR(_xlfn.XLOOKUP(Selectivo[[#This Row],[DNI]],_VF2025[DNI],_VF2025[R1]),"70 DNC")</f>
        <v>4</v>
      </c>
      <c r="Q14" s="13">
        <f>IFERROR(_xlfn.XLOOKUP(Selectivo[[#This Row],[DNI]],_VF2025[DNI],_VF2025[R2]),"70 DNC")</f>
        <v>3</v>
      </c>
      <c r="R14" s="12">
        <f>IFERROR(_xlfn.XLOOKUP(Selectivo[[#This Row],[DNI]],_VF2025[DNI],_VF2025[R3]),"70 DNC")</f>
        <v>23</v>
      </c>
      <c r="S14" s="13">
        <f>IFERROR(_xlfn.XLOOKUP(Selectivo[[#This Row],[DNI]],_VF2025[DNI],_VF2025[R4]),"70 DNC")</f>
        <v>14</v>
      </c>
      <c r="T14" s="13">
        <f>IFERROR(_xlfn.XLOOKUP(Selectivo[[#This Row],[DNI]],_VF2025[DNI],_VF2025[R5]),"70 DNC")</f>
        <v>2</v>
      </c>
      <c r="U14" s="13">
        <f>IFERROR(_xlfn.XLOOKUP(Selectivo[[#This Row],[DNI]],_VF2025[DNI],_VF2025[R6]),"70 DNC")</f>
        <v>1</v>
      </c>
      <c r="V14" s="12" t="str" cm="1">
        <f t="array" ref="V14">IFERROR(_xlfn.XLOOKUP(Selectivo[[#This Row],[Vela]],_xlfn.NUMBERVALUE(SIL25v2[Sail '#]),SIL25v2[1]),"90 DNC")</f>
        <v>23</v>
      </c>
      <c r="W14" s="13" t="str" cm="1">
        <f t="array" ref="W14">IFERROR(_xlfn.XLOOKUP(Selectivo[[#This Row],[Vela]],_xlfn.NUMBERVALUE(SIL25v2[Sail '#]),SIL25v2[2]),"90 DNC")</f>
        <v>15</v>
      </c>
      <c r="X14" s="12" t="str" cm="1">
        <f t="array" ref="X14">IFERROR(_xlfn.XLOOKUP(Selectivo[[#This Row],[Vela]],_xlfn.NUMBERVALUE(SIL25v2[Sail '#]),SIL25v2[3]),"90 DNC")</f>
        <v>89 BFD</v>
      </c>
      <c r="Y14" s="13" t="str" cm="1">
        <f t="array" ref="Y14">IFERROR(_xlfn.XLOOKUP(Selectivo[[#This Row],[Vela]],_xlfn.NUMBERVALUE(SIL25v2[Sail '#]),SIL25v2[4]),"90 DNC")</f>
        <v>18</v>
      </c>
      <c r="Z14" s="13" t="str" cm="1">
        <f t="array" ref="Z14">IFERROR(_xlfn.XLOOKUP(Selectivo[[#This Row],[Vela]],_xlfn.NUMBERVALUE(SIL25v2[Sail '#]),SIL25v2[5]),"90 DNC")</f>
        <v>8</v>
      </c>
      <c r="AA14" s="13" t="str" cm="1">
        <f t="array" ref="AA14">IFERROR(_xlfn.XLOOKUP(Selectivo[[#This Row],[Vela]],_xlfn.NUMBERVALUE(SIL25v2[Sail '#]),SIL25v2[6]),"90 DNC")</f>
        <v>15</v>
      </c>
      <c r="AB14" s="8" cm="1">
        <f t="array" ref="AB14">SUM(IFERROR(VALUE(LEFT(Regatas, FIND(" ",Regatas&amp; " ") - 1)), 0))</f>
        <v>264</v>
      </c>
      <c r="AC14" s="9" cm="1">
        <f t="array" ref="AC1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129</v>
      </c>
      <c r="AD14" s="6">
        <f>SMALL(RegatasN,1)</f>
        <v>1</v>
      </c>
      <c r="AE14" s="6">
        <f>SMALL(RegatasN,2)</f>
        <v>1</v>
      </c>
      <c r="AF14" s="6">
        <f>SMALL(RegatasN,3)</f>
        <v>1</v>
      </c>
      <c r="AG14" s="5" cm="1">
        <f t="array" ref="AG14">COUNTIF(Regatas,SMALL(Regatas,1))</f>
        <v>3</v>
      </c>
      <c r="AH14" s="6" cm="1">
        <f t="array" ref="AH14">VALUE(LEFT(INDEX(Selectivo[#This Row],,MATCH(Selectivo[[#Headers],[Total]],Selectivo[#Headers],0)-1),SEARCH(" ",INDEX(Selectivo[#This Row],,MATCH(Selectivo[[#Headers],[Total]],Selectivo[#Headers],0)-1)&amp;" ")-1))</f>
        <v>15</v>
      </c>
    </row>
    <row r="15" spans="1:38" x14ac:dyDescent="0.25">
      <c r="A15">
        <v>50434935</v>
      </c>
      <c r="B15" s="10">
        <f>ROW()-ROW(Selectivo[[#Headers],[Pos]])</f>
        <v>9</v>
      </c>
      <c r="C15" s="5">
        <v>4101</v>
      </c>
      <c r="D15" t="s">
        <v>746</v>
      </c>
      <c r="E15" t="s">
        <v>26</v>
      </c>
      <c r="F15" s="13">
        <f>IFERROR(_xlfn.XLOOKUP(Selectivo[[#This Row],[DNI]],_SIY[DNI],_SIY[R1]),"78 DNC")</f>
        <v>2</v>
      </c>
      <c r="G15" s="13">
        <f>IFERROR(_xlfn.XLOOKUP(Selectivo[[#This Row],[DNI]],_SIY[DNI],_SIY[R2]),"78 DNC")</f>
        <v>3</v>
      </c>
      <c r="H15" s="13">
        <f>IFERROR(_xlfn.XLOOKUP(Selectivo[[#This Row],[DNI]],_SIY[DNI],_SIY[R3]),"78 DNC")</f>
        <v>1</v>
      </c>
      <c r="I15" s="13">
        <f>IFERROR(_xlfn.XLOOKUP(Selectivo[[#This Row],[DNI]],_SIY[DNI],_SIY[R4]),"78 DNC")</f>
        <v>2</v>
      </c>
      <c r="J15" s="13">
        <f>IFERROR(_xlfn.XLOOKUP(Selectivo[[#This Row],[DNI]],_SIY[DNI],_SIY[R5]),"78 DNC")</f>
        <v>2</v>
      </c>
      <c r="K15" s="13">
        <f>IFERROR(_xlfn.XLOOKUP(Selectivo[[#This Row],[DNI]],_SIY[DNI],_SIY[R6]),"78 DNC")</f>
        <v>1</v>
      </c>
      <c r="L15" s="13">
        <f>IFERROR(_xlfn.XLOOKUP(Selectivo[[#This Row],[DNI]],_SIY[DNI],_SIY[R7]),"78 DNC")</f>
        <v>4</v>
      </c>
      <c r="M15" s="12" t="str">
        <f>IFERROR(_xlfn.XLOOKUP(Selectivo[[#This Row],[DNI]],_SIY[DNI],_SIY[R8]),"78 DNC")</f>
        <v>77 BFD</v>
      </c>
      <c r="N15" s="13">
        <f>IFERROR(_xlfn.XLOOKUP(Selectivo[[#This Row],[DNI]],_SIY[DNI],_SIY[R9]),"78 DNC")</f>
        <v>4</v>
      </c>
      <c r="O15" s="13">
        <f>IFERROR(_xlfn.XLOOKUP(Selectivo[[#This Row],[DNI]],_SIY[DNI],_SIY[R10]),"78 DNC")</f>
        <v>4</v>
      </c>
      <c r="P15" s="13">
        <f>IFERROR(_xlfn.XLOOKUP(Selectivo[[#This Row],[DNI]],_VF2025[DNI],_VF2025[R1]),"70 DNC")</f>
        <v>5</v>
      </c>
      <c r="Q15" s="13">
        <f>IFERROR(_xlfn.XLOOKUP(Selectivo[[#This Row],[DNI]],_VF2025[DNI],_VF2025[R2]),"70 DNC")</f>
        <v>9</v>
      </c>
      <c r="R15" s="13">
        <f>IFERROR(_xlfn.XLOOKUP(Selectivo[[#This Row],[DNI]],_VF2025[DNI],_VF2025[R3]),"70 DNC")</f>
        <v>3</v>
      </c>
      <c r="S15" s="13">
        <f>IFERROR(_xlfn.XLOOKUP(Selectivo[[#This Row],[DNI]],_VF2025[DNI],_VF2025[R4]),"70 DNC")</f>
        <v>2</v>
      </c>
      <c r="T15" s="13">
        <f>IFERROR(_xlfn.XLOOKUP(Selectivo[[#This Row],[DNI]],_VF2025[DNI],_VF2025[R5]),"70 DNC")</f>
        <v>1</v>
      </c>
      <c r="U15" s="13">
        <f>IFERROR(_xlfn.XLOOKUP(Selectivo[[#This Row],[DNI]],_VF2025[DNI],_VF2025[R6]),"70 DNC")</f>
        <v>2</v>
      </c>
      <c r="V15" s="12" t="str" cm="1">
        <f t="array" ref="V15">IFERROR(_xlfn.XLOOKUP(Selectivo[[#This Row],[Vela]],_xlfn.NUMBERVALUE(SIL25v2[Sail '#]),SIL25v2[1]),"90 DNC")</f>
        <v>89 BFD</v>
      </c>
      <c r="W15" s="12" t="str" cm="1">
        <f t="array" ref="W15">IFERROR(_xlfn.XLOOKUP(Selectivo[[#This Row],[Vela]],_xlfn.NUMBERVALUE(SIL25v2[Sail '#]),SIL25v2[2]),"90 DNC")</f>
        <v>41</v>
      </c>
      <c r="X15" s="13" t="str" cm="1">
        <f t="array" ref="X15">IFERROR(_xlfn.XLOOKUP(Selectivo[[#This Row],[Vela]],_xlfn.NUMBERVALUE(SIL25v2[Sail '#]),SIL25v2[3]),"90 DNC")</f>
        <v>26</v>
      </c>
      <c r="Y15" s="13" t="str" cm="1">
        <f t="array" ref="Y15">IFERROR(_xlfn.XLOOKUP(Selectivo[[#This Row],[Vela]],_xlfn.NUMBERVALUE(SIL25v2[Sail '#]),SIL25v2[4]),"90 DNC")</f>
        <v>8</v>
      </c>
      <c r="Z15" s="13" t="str" cm="1">
        <f t="array" ref="Z15">IFERROR(_xlfn.XLOOKUP(Selectivo[[#This Row],[Vela]],_xlfn.NUMBERVALUE(SIL25v2[Sail '#]),SIL25v2[5]),"90 DNC")</f>
        <v>22</v>
      </c>
      <c r="AA15" s="13" t="str" cm="1">
        <f t="array" ref="AA15">IFERROR(_xlfn.XLOOKUP(Selectivo[[#This Row],[Vela]],_xlfn.NUMBERVALUE(SIL25v2[Sail '#]),SIL25v2[6]),"90 DNC")</f>
        <v>36</v>
      </c>
      <c r="AB15" s="8" cm="1">
        <f t="array" ref="AB15">SUM(IFERROR(VALUE(LEFT(Regatas, FIND(" ",Regatas&amp; " ") - 1)), 0))</f>
        <v>344</v>
      </c>
      <c r="AC15" s="9" cm="1">
        <f t="array" ref="AC1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137</v>
      </c>
      <c r="AD15" s="6">
        <f>SMALL(RegatasN,1)</f>
        <v>1</v>
      </c>
      <c r="AE15" s="6">
        <f>SMALL(RegatasN,2)</f>
        <v>1</v>
      </c>
      <c r="AF15" s="6">
        <f>SMALL(RegatasN,3)</f>
        <v>1</v>
      </c>
      <c r="AG15" s="5" cm="1">
        <f t="array" ref="AG15">COUNTIF(Regatas,SMALL(Regatas,1))</f>
        <v>3</v>
      </c>
      <c r="AH15" s="6" cm="1">
        <f t="array" ref="AH15">VALUE(LEFT(INDEX(Selectivo[#This Row],,MATCH(Selectivo[[#Headers],[Total]],Selectivo[#Headers],0)-1),SEARCH(" ",INDEX(Selectivo[#This Row],,MATCH(Selectivo[[#Headers],[Total]],Selectivo[#Headers],0)-1)&amp;" ")-1))</f>
        <v>36</v>
      </c>
    </row>
    <row r="16" spans="1:38" x14ac:dyDescent="0.25">
      <c r="A16">
        <v>51358051</v>
      </c>
      <c r="B16" s="10">
        <f>ROW()-ROW(Selectivo[[#Headers],[Pos]])</f>
        <v>10</v>
      </c>
      <c r="C16" s="5">
        <v>4030</v>
      </c>
      <c r="D16" t="s">
        <v>732</v>
      </c>
      <c r="E16" t="s">
        <v>17</v>
      </c>
      <c r="F16" s="13">
        <f>IFERROR(_xlfn.XLOOKUP(Selectivo[[#This Row],[DNI]],_SIY[DNI],_SIY[R1]),"78 DNC")</f>
        <v>4</v>
      </c>
      <c r="G16" s="13">
        <f>IFERROR(_xlfn.XLOOKUP(Selectivo[[#This Row],[DNI]],_SIY[DNI],_SIY[R2]),"78 DNC")</f>
        <v>4</v>
      </c>
      <c r="H16" s="13">
        <f>IFERROR(_xlfn.XLOOKUP(Selectivo[[#This Row],[DNI]],_SIY[DNI],_SIY[R3]),"78 DNC")</f>
        <v>4</v>
      </c>
      <c r="I16" s="13">
        <f>IFERROR(_xlfn.XLOOKUP(Selectivo[[#This Row],[DNI]],_SIY[DNI],_SIY[R4]),"78 DNC")</f>
        <v>5</v>
      </c>
      <c r="J16" s="13">
        <f>IFERROR(_xlfn.XLOOKUP(Selectivo[[#This Row],[DNI]],_SIY[DNI],_SIY[R5]),"78 DNC")</f>
        <v>6</v>
      </c>
      <c r="K16" s="13">
        <f>IFERROR(_xlfn.XLOOKUP(Selectivo[[#This Row],[DNI]],_SIY[DNI],_SIY[R6]),"78 DNC")</f>
        <v>6</v>
      </c>
      <c r="L16" s="13">
        <f>IFERROR(_xlfn.XLOOKUP(Selectivo[[#This Row],[DNI]],_SIY[DNI],_SIY[R7]),"78 DNC")</f>
        <v>5</v>
      </c>
      <c r="M16" s="13">
        <f>IFERROR(_xlfn.XLOOKUP(Selectivo[[#This Row],[DNI]],_SIY[DNI],_SIY[R8]),"78 DNC")</f>
        <v>7</v>
      </c>
      <c r="N16" s="13">
        <f>IFERROR(_xlfn.XLOOKUP(Selectivo[[#This Row],[DNI]],_SIY[DNI],_SIY[R9]),"78 DNC")</f>
        <v>3</v>
      </c>
      <c r="O16" s="13">
        <f>IFERROR(_xlfn.XLOOKUP(Selectivo[[#This Row],[DNI]],_SIY[DNI],_SIY[R10]),"78 DNC")</f>
        <v>6</v>
      </c>
      <c r="P16" s="12">
        <f>IFERROR(_xlfn.XLOOKUP(Selectivo[[#This Row],[DNI]],_VF2025[DNI],_VF2025[R1]),"70 DNC")</f>
        <v>25</v>
      </c>
      <c r="Q16" s="13">
        <f>IFERROR(_xlfn.XLOOKUP(Selectivo[[#This Row],[DNI]],_VF2025[DNI],_VF2025[R2]),"70 DNC")</f>
        <v>6</v>
      </c>
      <c r="R16" s="13">
        <f>IFERROR(_xlfn.XLOOKUP(Selectivo[[#This Row],[DNI]],_VF2025[DNI],_VF2025[R3]),"70 DNC")</f>
        <v>8</v>
      </c>
      <c r="S16" s="13">
        <f>IFERROR(_xlfn.XLOOKUP(Selectivo[[#This Row],[DNI]],_VF2025[DNI],_VF2025[R4]),"70 DNC")</f>
        <v>14</v>
      </c>
      <c r="T16" s="13">
        <f>IFERROR(_xlfn.XLOOKUP(Selectivo[[#This Row],[DNI]],_VF2025[DNI],_VF2025[R5]),"70 DNC")</f>
        <v>3</v>
      </c>
      <c r="U16" s="13">
        <f>IFERROR(_xlfn.XLOOKUP(Selectivo[[#This Row],[DNI]],_VF2025[DNI],_VF2025[R6]),"70 DNC")</f>
        <v>7</v>
      </c>
      <c r="V16" s="13" t="str" cm="1">
        <f t="array" ref="V16">IFERROR(_xlfn.XLOOKUP(Selectivo[[#This Row],[Vela]],_xlfn.NUMBERVALUE(SIL25v2[Sail '#]),SIL25v2[1]),"90 DNC")</f>
        <v>19</v>
      </c>
      <c r="W16" s="13" t="str" cm="1">
        <f t="array" ref="W16">IFERROR(_xlfn.XLOOKUP(Selectivo[[#This Row],[Vela]],_xlfn.NUMBERVALUE(SIL25v2[Sail '#]),SIL25v2[2]),"90 DNC")</f>
        <v>9</v>
      </c>
      <c r="X16" s="12" t="str" cm="1">
        <f t="array" ref="X16">IFERROR(_xlfn.XLOOKUP(Selectivo[[#This Row],[Vela]],_xlfn.NUMBERVALUE(SIL25v2[Sail '#]),SIL25v2[3]),"90 DNC")</f>
        <v>28</v>
      </c>
      <c r="Y16" s="12" t="str" cm="1">
        <f t="array" ref="Y16">IFERROR(_xlfn.XLOOKUP(Selectivo[[#This Row],[Vela]],_xlfn.NUMBERVALUE(SIL25v2[Sail '#]),SIL25v2[4]),"90 DNC")</f>
        <v>33</v>
      </c>
      <c r="Z16" s="13" t="str" cm="1">
        <f t="array" ref="Z16">IFERROR(_xlfn.XLOOKUP(Selectivo[[#This Row],[Vela]],_xlfn.NUMBERVALUE(SIL25v2[Sail '#]),SIL25v2[5]),"90 DNC")</f>
        <v>15</v>
      </c>
      <c r="AA16" s="13" t="str" cm="1">
        <f t="array" ref="AA16">IFERROR(_xlfn.XLOOKUP(Selectivo[[#This Row],[Vela]],_xlfn.NUMBERVALUE(SIL25v2[Sail '#]),SIL25v2[6]),"90 DNC")</f>
        <v>17</v>
      </c>
      <c r="AB16" s="8" cm="1">
        <f t="array" ref="AB16">SUM(IFERROR(VALUE(LEFT(Regatas, FIND(" ",Regatas&amp; " ") - 1)), 0))</f>
        <v>234</v>
      </c>
      <c r="AC16" s="9" cm="1">
        <f t="array" ref="AC1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148</v>
      </c>
      <c r="AD16" s="6">
        <f>SMALL(RegatasN,1)</f>
        <v>3</v>
      </c>
      <c r="AE16" s="6">
        <f>SMALL(RegatasN,2)</f>
        <v>3</v>
      </c>
      <c r="AF16" s="6">
        <f>SMALL(RegatasN,3)</f>
        <v>4</v>
      </c>
      <c r="AG16" s="5" cm="1">
        <f t="array" ref="AG16">COUNTIF(Regatas,SMALL(Regatas,1))</f>
        <v>2</v>
      </c>
      <c r="AH16" s="6" cm="1">
        <f t="array" ref="AH16">VALUE(LEFT(INDEX(Selectivo[#This Row],,MATCH(Selectivo[[#Headers],[Total]],Selectivo[#Headers],0)-1),SEARCH(" ",INDEX(Selectivo[#This Row],,MATCH(Selectivo[[#Headers],[Total]],Selectivo[#Headers],0)-1)&amp;" ")-1))</f>
        <v>17</v>
      </c>
    </row>
    <row r="17" spans="1:34" x14ac:dyDescent="0.25">
      <c r="A17">
        <v>50075190</v>
      </c>
      <c r="B17" s="10">
        <f>ROW()-ROW(Selectivo[[#Headers],[Pos]])</f>
        <v>11</v>
      </c>
      <c r="C17" s="5">
        <v>4113</v>
      </c>
      <c r="D17" t="s">
        <v>714</v>
      </c>
      <c r="E17" t="s">
        <v>9</v>
      </c>
      <c r="F17" s="13">
        <f>IFERROR(_xlfn.XLOOKUP(Selectivo[[#This Row],[DNI]],_SIY[DNI],_SIY[R1]),"78 DNC")</f>
        <v>5</v>
      </c>
      <c r="G17" s="13">
        <f>IFERROR(_xlfn.XLOOKUP(Selectivo[[#This Row],[DNI]],_SIY[DNI],_SIY[R2]),"78 DNC")</f>
        <v>5</v>
      </c>
      <c r="H17" s="13">
        <f>IFERROR(_xlfn.XLOOKUP(Selectivo[[#This Row],[DNI]],_SIY[DNI],_SIY[R3]),"78 DNC")</f>
        <v>9</v>
      </c>
      <c r="I17" s="13">
        <f>IFERROR(_xlfn.XLOOKUP(Selectivo[[#This Row],[DNI]],_SIY[DNI],_SIY[R4]),"78 DNC")</f>
        <v>18</v>
      </c>
      <c r="J17" s="13">
        <f>IFERROR(_xlfn.XLOOKUP(Selectivo[[#This Row],[DNI]],_SIY[DNI],_SIY[R5]),"78 DNC")</f>
        <v>11</v>
      </c>
      <c r="K17" s="13">
        <f>IFERROR(_xlfn.XLOOKUP(Selectivo[[#This Row],[DNI]],_SIY[DNI],_SIY[R6]),"78 DNC")</f>
        <v>6</v>
      </c>
      <c r="L17" s="12" t="str">
        <f>IFERROR(_xlfn.XLOOKUP(Selectivo[[#This Row],[DNI]],_SIY[DNI],_SIY[R7]),"78 DNC")</f>
        <v>77 DSQ</v>
      </c>
      <c r="M17" s="13">
        <f>IFERROR(_xlfn.XLOOKUP(Selectivo[[#This Row],[DNI]],_SIY[DNI],_SIY[R8]),"78 DNC")</f>
        <v>3</v>
      </c>
      <c r="N17" s="13">
        <f>IFERROR(_xlfn.XLOOKUP(Selectivo[[#This Row],[DNI]],_SIY[DNI],_SIY[R9]),"78 DNC")</f>
        <v>2</v>
      </c>
      <c r="O17" s="13">
        <f>IFERROR(_xlfn.XLOOKUP(Selectivo[[#This Row],[DNI]],_SIY[DNI],_SIY[R10]),"78 DNC")</f>
        <v>10</v>
      </c>
      <c r="P17" s="13">
        <f>IFERROR(_xlfn.XLOOKUP(Selectivo[[#This Row],[DNI]],_VF2025[DNI],_VF2025[R1]),"70 DNC")</f>
        <v>9</v>
      </c>
      <c r="Q17" s="13">
        <f>IFERROR(_xlfn.XLOOKUP(Selectivo[[#This Row],[DNI]],_VF2025[DNI],_VF2025[R2]),"70 DNC")</f>
        <v>1</v>
      </c>
      <c r="R17" s="13">
        <f>IFERROR(_xlfn.XLOOKUP(Selectivo[[#This Row],[DNI]],_VF2025[DNI],_VF2025[R3]),"70 DNC")</f>
        <v>1</v>
      </c>
      <c r="S17" s="13">
        <f>IFERROR(_xlfn.XLOOKUP(Selectivo[[#This Row],[DNI]],_VF2025[DNI],_VF2025[R4]),"70 DNC")</f>
        <v>4</v>
      </c>
      <c r="T17" s="13">
        <f>IFERROR(_xlfn.XLOOKUP(Selectivo[[#This Row],[DNI]],_VF2025[DNI],_VF2025[R5]),"70 DNC")</f>
        <v>7</v>
      </c>
      <c r="U17" s="13">
        <f>IFERROR(_xlfn.XLOOKUP(Selectivo[[#This Row],[DNI]],_VF2025[DNI],_VF2025[R6]),"70 DNC")</f>
        <v>10</v>
      </c>
      <c r="V17" s="13" t="str" cm="1">
        <f t="array" ref="V17">IFERROR(_xlfn.XLOOKUP(Selectivo[[#This Row],[Vela]],_xlfn.NUMBERVALUE(SIL25v2[Sail '#]),SIL25v2[1]),"90 DNC")</f>
        <v>18</v>
      </c>
      <c r="W17" s="13" t="str" cm="1">
        <f t="array" ref="W17">IFERROR(_xlfn.XLOOKUP(Selectivo[[#This Row],[Vela]],_xlfn.NUMBERVALUE(SIL25v2[Sail '#]),SIL25v2[2]),"90 DNC")</f>
        <v>18</v>
      </c>
      <c r="X17" s="12" t="str" cm="1">
        <f t="array" ref="X17">IFERROR(_xlfn.XLOOKUP(Selectivo[[#This Row],[Vela]],_xlfn.NUMBERVALUE(SIL25v2[Sail '#]),SIL25v2[3]),"90 DNC")</f>
        <v>25</v>
      </c>
      <c r="Y17" s="13" t="str" cm="1">
        <f t="array" ref="Y17">IFERROR(_xlfn.XLOOKUP(Selectivo[[#This Row],[Vela]],_xlfn.NUMBERVALUE(SIL25v2[Sail '#]),SIL25v2[4]),"90 DNC")</f>
        <v>14</v>
      </c>
      <c r="Z17" s="12" t="str" cm="1">
        <f t="array" ref="Z17">IFERROR(_xlfn.XLOOKUP(Selectivo[[#This Row],[Vela]],_xlfn.NUMBERVALUE(SIL25v2[Sail '#]),SIL25v2[5]),"90 DNC")</f>
        <v>23</v>
      </c>
      <c r="AA17" s="13" t="str" cm="1">
        <f t="array" ref="AA17">IFERROR(_xlfn.XLOOKUP(Selectivo[[#This Row],[Vela]],_xlfn.NUMBERVALUE(SIL25v2[Sail '#]),SIL25v2[6]),"90 DNC")</f>
        <v>6</v>
      </c>
      <c r="AB17" s="8" cm="1">
        <f t="array" ref="AB17">SUM(IFERROR(VALUE(LEFT(Regatas, FIND(" ",Regatas&amp; " ") - 1)), 0))</f>
        <v>282</v>
      </c>
      <c r="AC17" s="9" cm="1">
        <f t="array" ref="AC1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157</v>
      </c>
      <c r="AD17" s="6">
        <f>SMALL(RegatasN,1)</f>
        <v>1</v>
      </c>
      <c r="AE17" s="6">
        <f>SMALL(RegatasN,2)</f>
        <v>1</v>
      </c>
      <c r="AF17" s="6">
        <f>SMALL(RegatasN,3)</f>
        <v>2</v>
      </c>
      <c r="AG17" s="5" cm="1">
        <f t="array" ref="AG17">COUNTIF(Regatas,SMALL(Regatas,1))</f>
        <v>2</v>
      </c>
      <c r="AH17" s="6" cm="1">
        <f t="array" ref="AH17">VALUE(LEFT(INDEX(Selectivo[#This Row],,MATCH(Selectivo[[#Headers],[Total]],Selectivo[#Headers],0)-1),SEARCH(" ",INDEX(Selectivo[#This Row],,MATCH(Selectivo[[#Headers],[Total]],Selectivo[#Headers],0)-1)&amp;" ")-1))</f>
        <v>6</v>
      </c>
    </row>
    <row r="18" spans="1:34" x14ac:dyDescent="0.25">
      <c r="A18">
        <v>51102204</v>
      </c>
      <c r="B18" s="10">
        <f>ROW()-ROW(Selectivo[[#Headers],[Pos]])</f>
        <v>12</v>
      </c>
      <c r="C18" s="5">
        <v>4146</v>
      </c>
      <c r="D18" t="s">
        <v>705</v>
      </c>
      <c r="E18" t="s">
        <v>17</v>
      </c>
      <c r="F18" s="13">
        <f>IFERROR(_xlfn.XLOOKUP(Selectivo[[#This Row],[DNI]],_SIY[DNI],_SIY[R1]),"78 DNC")</f>
        <v>7</v>
      </c>
      <c r="G18" s="13">
        <f>IFERROR(_xlfn.XLOOKUP(Selectivo[[#This Row],[DNI]],_SIY[DNI],_SIY[R2]),"78 DNC")</f>
        <v>10</v>
      </c>
      <c r="H18" s="13">
        <f>IFERROR(_xlfn.XLOOKUP(Selectivo[[#This Row],[DNI]],_SIY[DNI],_SIY[R3]),"78 DNC")</f>
        <v>3</v>
      </c>
      <c r="I18" s="13">
        <f>IFERROR(_xlfn.XLOOKUP(Selectivo[[#This Row],[DNI]],_SIY[DNI],_SIY[R4]),"78 DNC")</f>
        <v>3</v>
      </c>
      <c r="J18" s="13">
        <f>IFERROR(_xlfn.XLOOKUP(Selectivo[[#This Row],[DNI]],_SIY[DNI],_SIY[R5]),"78 DNC")</f>
        <v>3</v>
      </c>
      <c r="K18" s="13">
        <f>IFERROR(_xlfn.XLOOKUP(Selectivo[[#This Row],[DNI]],_SIY[DNI],_SIY[R6]),"78 DNC")</f>
        <v>3</v>
      </c>
      <c r="L18" s="13">
        <f>IFERROR(_xlfn.XLOOKUP(Selectivo[[#This Row],[DNI]],_SIY[DNI],_SIY[R7]),"78 DNC")</f>
        <v>3</v>
      </c>
      <c r="M18" s="12" t="str">
        <f>IFERROR(_xlfn.XLOOKUP(Selectivo[[#This Row],[DNI]],_SIY[DNI],_SIY[R8]),"78 DNC")</f>
        <v>77 BFD</v>
      </c>
      <c r="N18" s="13">
        <f>IFERROR(_xlfn.XLOOKUP(Selectivo[[#This Row],[DNI]],_SIY[DNI],_SIY[R9]),"78 DNC")</f>
        <v>16</v>
      </c>
      <c r="O18" s="12" t="str">
        <f>IFERROR(_xlfn.XLOOKUP(Selectivo[[#This Row],[DNI]],_SIY[DNI],_SIY[R10]),"78 DNC")</f>
        <v>77 BFD</v>
      </c>
      <c r="P18" s="13">
        <f>IFERROR(_xlfn.XLOOKUP(Selectivo[[#This Row],[DNI]],_VF2025[DNI],_VF2025[R1]),"70 DNC")</f>
        <v>8</v>
      </c>
      <c r="Q18" s="13">
        <f>IFERROR(_xlfn.XLOOKUP(Selectivo[[#This Row],[DNI]],_VF2025[DNI],_VF2025[R2]),"70 DNC")</f>
        <v>6</v>
      </c>
      <c r="R18" s="13">
        <f>IFERROR(_xlfn.XLOOKUP(Selectivo[[#This Row],[DNI]],_VF2025[DNI],_VF2025[R3]),"70 DNC")</f>
        <v>19</v>
      </c>
      <c r="S18" s="13">
        <f>IFERROR(_xlfn.XLOOKUP(Selectivo[[#This Row],[DNI]],_VF2025[DNI],_VF2025[R4]),"70 DNC")</f>
        <v>5</v>
      </c>
      <c r="T18" s="13">
        <f>IFERROR(_xlfn.XLOOKUP(Selectivo[[#This Row],[DNI]],_VF2025[DNI],_VF2025[R5]),"70 DNC")</f>
        <v>4</v>
      </c>
      <c r="U18" s="13">
        <f>IFERROR(_xlfn.XLOOKUP(Selectivo[[#This Row],[DNI]],_VF2025[DNI],_VF2025[R6]),"70 DNC")</f>
        <v>6</v>
      </c>
      <c r="V18" s="12" t="str" cm="1">
        <f t="array" ref="V18">IFERROR(_xlfn.XLOOKUP(Selectivo[[#This Row],[Vela]],_xlfn.NUMBERVALUE(SIL25v2[Sail '#]),SIL25v2[1]),"90 DNC")</f>
        <v>89 DNS</v>
      </c>
      <c r="W18" s="13" t="str" cm="1">
        <f t="array" ref="W18">IFERROR(_xlfn.XLOOKUP(Selectivo[[#This Row],[Vela]],_xlfn.NUMBERVALUE(SIL25v2[Sail '#]),SIL25v2[2]),"90 DNC")</f>
        <v>6</v>
      </c>
      <c r="X18" s="13" t="str" cm="1">
        <f t="array" ref="X18">IFERROR(_xlfn.XLOOKUP(Selectivo[[#This Row],[Vela]],_xlfn.NUMBERVALUE(SIL25v2[Sail '#]),SIL25v2[3]),"90 DNC")</f>
        <v>13</v>
      </c>
      <c r="Y18" s="13" t="str" cm="1">
        <f t="array" ref="Y18">IFERROR(_xlfn.XLOOKUP(Selectivo[[#This Row],[Vela]],_xlfn.NUMBERVALUE(SIL25v2[Sail '#]),SIL25v2[4]),"90 DNC")</f>
        <v>11</v>
      </c>
      <c r="Z18" s="13" t="str" cm="1">
        <f t="array" ref="Z18">IFERROR(_xlfn.XLOOKUP(Selectivo[[#This Row],[Vela]],_xlfn.NUMBERVALUE(SIL25v2[Sail '#]),SIL25v2[5]),"90 DNC")</f>
        <v>21</v>
      </c>
      <c r="AA18" s="13" t="str" cm="1">
        <f t="array" ref="AA18">IFERROR(_xlfn.XLOOKUP(Selectivo[[#This Row],[Vela]],_xlfn.NUMBERVALUE(SIL25v2[Sail '#]),SIL25v2[6]),"90 DNC")</f>
        <v>17</v>
      </c>
      <c r="AB18" s="8" cm="1">
        <f t="array" ref="AB18">SUM(IFERROR(VALUE(LEFT(Regatas, FIND(" ",Regatas&amp; " ") - 1)), 0))</f>
        <v>407</v>
      </c>
      <c r="AC18" s="9" cm="1">
        <f t="array" ref="AC1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164</v>
      </c>
      <c r="AD18" s="6">
        <f>SMALL(RegatasN,1)</f>
        <v>3</v>
      </c>
      <c r="AE18" s="6">
        <f>SMALL(RegatasN,2)</f>
        <v>3</v>
      </c>
      <c r="AF18" s="6">
        <f>SMALL(RegatasN,3)</f>
        <v>3</v>
      </c>
      <c r="AG18" s="5" cm="1">
        <f t="array" ref="AG18">COUNTIF(Regatas,SMALL(Regatas,1))</f>
        <v>5</v>
      </c>
      <c r="AH18" s="6" cm="1">
        <f t="array" ref="AH18">VALUE(LEFT(INDEX(Selectivo[#This Row],,MATCH(Selectivo[[#Headers],[Total]],Selectivo[#Headers],0)-1),SEARCH(" ",INDEX(Selectivo[#This Row],,MATCH(Selectivo[[#Headers],[Total]],Selectivo[#Headers],0)-1)&amp;" ")-1))</f>
        <v>17</v>
      </c>
    </row>
    <row r="19" spans="1:34" x14ac:dyDescent="0.25">
      <c r="A19">
        <v>51336821</v>
      </c>
      <c r="B19" s="10">
        <f>ROW()-ROW(Selectivo[[#Headers],[Pos]])</f>
        <v>13</v>
      </c>
      <c r="C19" s="5">
        <v>4182</v>
      </c>
      <c r="D19" t="s">
        <v>710</v>
      </c>
      <c r="E19" t="s">
        <v>16</v>
      </c>
      <c r="F19" s="13">
        <f>IFERROR(_xlfn.XLOOKUP(Selectivo[[#This Row],[DNI]],_SIY[DNI],_SIY[R1]),"78 DNC")</f>
        <v>4</v>
      </c>
      <c r="G19" s="13">
        <f>IFERROR(_xlfn.XLOOKUP(Selectivo[[#This Row],[DNI]],_SIY[DNI],_SIY[R2]),"78 DNC")</f>
        <v>6</v>
      </c>
      <c r="H19" s="13">
        <f>IFERROR(_xlfn.XLOOKUP(Selectivo[[#This Row],[DNI]],_SIY[DNI],_SIY[R3]),"78 DNC")</f>
        <v>5</v>
      </c>
      <c r="I19" s="13">
        <f>IFERROR(_xlfn.XLOOKUP(Selectivo[[#This Row],[DNI]],_SIY[DNI],_SIY[R4]),"78 DNC")</f>
        <v>8</v>
      </c>
      <c r="J19" s="13">
        <f>IFERROR(_xlfn.XLOOKUP(Selectivo[[#This Row],[DNI]],_SIY[DNI],_SIY[R5]),"78 DNC")</f>
        <v>15</v>
      </c>
      <c r="K19" s="13">
        <f>IFERROR(_xlfn.XLOOKUP(Selectivo[[#This Row],[DNI]],_SIY[DNI],_SIY[R6]),"78 DNC")</f>
        <v>4</v>
      </c>
      <c r="L19" s="13">
        <f>IFERROR(_xlfn.XLOOKUP(Selectivo[[#This Row],[DNI]],_SIY[DNI],_SIY[R7]),"78 DNC")</f>
        <v>5</v>
      </c>
      <c r="M19" s="13">
        <f>IFERROR(_xlfn.XLOOKUP(Selectivo[[#This Row],[DNI]],_SIY[DNI],_SIY[R8]),"78 DNC")</f>
        <v>20</v>
      </c>
      <c r="N19" s="13">
        <f>IFERROR(_xlfn.XLOOKUP(Selectivo[[#This Row],[DNI]],_SIY[DNI],_SIY[R9]),"78 DNC")</f>
        <v>8</v>
      </c>
      <c r="O19" s="13">
        <f>IFERROR(_xlfn.XLOOKUP(Selectivo[[#This Row],[DNI]],_SIY[DNI],_SIY[R10]),"78 DNC")</f>
        <v>2</v>
      </c>
      <c r="P19" s="13">
        <f>IFERROR(_xlfn.XLOOKUP(Selectivo[[#This Row],[DNI]],_VF2025[DNI],_VF2025[R1]),"70 DNC")</f>
        <v>5</v>
      </c>
      <c r="Q19" s="13">
        <f>IFERROR(_xlfn.XLOOKUP(Selectivo[[#This Row],[DNI]],_VF2025[DNI],_VF2025[R2]),"70 DNC")</f>
        <v>12</v>
      </c>
      <c r="R19" s="13">
        <f>IFERROR(_xlfn.XLOOKUP(Selectivo[[#This Row],[DNI]],_VF2025[DNI],_VF2025[R3]),"70 DNC")</f>
        <v>6</v>
      </c>
      <c r="S19" s="13">
        <f>IFERROR(_xlfn.XLOOKUP(Selectivo[[#This Row],[DNI]],_VF2025[DNI],_VF2025[R4]),"70 DNC")</f>
        <v>18</v>
      </c>
      <c r="T19" s="13">
        <f>IFERROR(_xlfn.XLOOKUP(Selectivo[[#This Row],[DNI]],_VF2025[DNI],_VF2025[R5]),"70 DNC")</f>
        <v>17</v>
      </c>
      <c r="U19" s="13">
        <f>IFERROR(_xlfn.XLOOKUP(Selectivo[[#This Row],[DNI]],_VF2025[DNI],_VF2025[R6]),"70 DNC")</f>
        <v>4</v>
      </c>
      <c r="V19" s="12" t="str" cm="1">
        <f t="array" ref="V19">IFERROR(_xlfn.XLOOKUP(Selectivo[[#This Row],[Vela]],_xlfn.NUMBERVALUE(SIL25v2[Sail '#]),SIL25v2[1]),"90 DNC")</f>
        <v>22</v>
      </c>
      <c r="W19" s="13" t="str" cm="1">
        <f t="array" ref="W19">IFERROR(_xlfn.XLOOKUP(Selectivo[[#This Row],[Vela]],_xlfn.NUMBERVALUE(SIL25v2[Sail '#]),SIL25v2[2]),"90 DNC")</f>
        <v>15</v>
      </c>
      <c r="X19" s="13" t="str" cm="1">
        <f t="array" ref="X19">IFERROR(_xlfn.XLOOKUP(Selectivo[[#This Row],[Vela]],_xlfn.NUMBERVALUE(SIL25v2[Sail '#]),SIL25v2[3]),"90 DNC")</f>
        <v>2</v>
      </c>
      <c r="Y19" s="12" t="str" cm="1">
        <f t="array" ref="Y19">IFERROR(_xlfn.XLOOKUP(Selectivo[[#This Row],[Vela]],_xlfn.NUMBERVALUE(SIL25v2[Sail '#]),SIL25v2[4]),"90 DNC")</f>
        <v>22</v>
      </c>
      <c r="Z19" s="12" t="str" cm="1">
        <f t="array" ref="Z19">IFERROR(_xlfn.XLOOKUP(Selectivo[[#This Row],[Vela]],_xlfn.NUMBERVALUE(SIL25v2[Sail '#]),SIL25v2[5]),"90 DNC")</f>
        <v>48</v>
      </c>
      <c r="AA19" s="13" t="str" cm="1">
        <f t="array" ref="AA19">IFERROR(_xlfn.XLOOKUP(Selectivo[[#This Row],[Vela]],_xlfn.NUMBERVALUE(SIL25v2[Sail '#]),SIL25v2[6]),"90 DNC")</f>
        <v>9</v>
      </c>
      <c r="AB19" s="8" cm="1">
        <f t="array" ref="AB19">SUM(IFERROR(VALUE(LEFT(Regatas, FIND(" ",Regatas&amp; " ") - 1)), 0))</f>
        <v>257</v>
      </c>
      <c r="AC19" s="9" cm="1">
        <f t="array" ref="AC1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165</v>
      </c>
      <c r="AD19" s="6">
        <f>SMALL(RegatasN,1)</f>
        <v>2</v>
      </c>
      <c r="AE19" s="6">
        <f>SMALL(RegatasN,2)</f>
        <v>2</v>
      </c>
      <c r="AF19" s="6">
        <f>SMALL(RegatasN,3)</f>
        <v>4</v>
      </c>
      <c r="AG19" s="5" cm="1">
        <f t="array" ref="AG19">COUNTIF(Regatas,SMALL(Regatas,1))</f>
        <v>2</v>
      </c>
      <c r="AH19" s="6" cm="1">
        <f t="array" ref="AH19">VALUE(LEFT(INDEX(Selectivo[#This Row],,MATCH(Selectivo[[#Headers],[Total]],Selectivo[#Headers],0)-1),SEARCH(" ",INDEX(Selectivo[#This Row],,MATCH(Selectivo[[#Headers],[Total]],Selectivo[#Headers],0)-1)&amp;" ")-1))</f>
        <v>9</v>
      </c>
    </row>
    <row r="20" spans="1:34" x14ac:dyDescent="0.25">
      <c r="A20">
        <v>50558168</v>
      </c>
      <c r="B20" s="10">
        <f>ROW()-ROW(Selectivo[[#Headers],[Pos]])</f>
        <v>14</v>
      </c>
      <c r="C20" s="5">
        <v>3933</v>
      </c>
      <c r="D20" t="s">
        <v>718</v>
      </c>
      <c r="E20" t="s">
        <v>33</v>
      </c>
      <c r="F20" s="13">
        <f>IFERROR(_xlfn.XLOOKUP(Selectivo[[#This Row],[DNI]],_SIY[DNI],_SIY[R1]),"78 DNC")</f>
        <v>13</v>
      </c>
      <c r="G20" s="13">
        <f>IFERROR(_xlfn.XLOOKUP(Selectivo[[#This Row],[DNI]],_SIY[DNI],_SIY[R2]),"78 DNC")</f>
        <v>19</v>
      </c>
      <c r="H20" s="13">
        <f>IFERROR(_xlfn.XLOOKUP(Selectivo[[#This Row],[DNI]],_SIY[DNI],_SIY[R3]),"78 DNC")</f>
        <v>8</v>
      </c>
      <c r="I20" s="13">
        <f>IFERROR(_xlfn.XLOOKUP(Selectivo[[#This Row],[DNI]],_SIY[DNI],_SIY[R4]),"78 DNC")</f>
        <v>7</v>
      </c>
      <c r="J20" s="13">
        <f>IFERROR(_xlfn.XLOOKUP(Selectivo[[#This Row],[DNI]],_SIY[DNI],_SIY[R5]),"78 DNC")</f>
        <v>7</v>
      </c>
      <c r="K20" s="13">
        <f>IFERROR(_xlfn.XLOOKUP(Selectivo[[#This Row],[DNI]],_SIY[DNI],_SIY[R6]),"78 DNC")</f>
        <v>7</v>
      </c>
      <c r="L20" s="13">
        <f>IFERROR(_xlfn.XLOOKUP(Selectivo[[#This Row],[DNI]],_SIY[DNI],_SIY[R7]),"78 DNC")</f>
        <v>10</v>
      </c>
      <c r="M20" s="13">
        <f>IFERROR(_xlfn.XLOOKUP(Selectivo[[#This Row],[DNI]],_SIY[DNI],_SIY[R8]),"78 DNC")</f>
        <v>13</v>
      </c>
      <c r="N20" s="13">
        <f>IFERROR(_xlfn.XLOOKUP(Selectivo[[#This Row],[DNI]],_SIY[DNI],_SIY[R9]),"78 DNC")</f>
        <v>11</v>
      </c>
      <c r="O20" s="13">
        <f>IFERROR(_xlfn.XLOOKUP(Selectivo[[#This Row],[DNI]],_SIY[DNI],_SIY[R10]),"78 DNC")</f>
        <v>2</v>
      </c>
      <c r="P20" s="13">
        <f>IFERROR(_xlfn.XLOOKUP(Selectivo[[#This Row],[DNI]],_VF2025[DNI],_VF2025[R1]),"70 DNC")</f>
        <v>8</v>
      </c>
      <c r="Q20" s="13">
        <f>IFERROR(_xlfn.XLOOKUP(Selectivo[[#This Row],[DNI]],_VF2025[DNI],_VF2025[R2]),"70 DNC")</f>
        <v>11</v>
      </c>
      <c r="R20" s="13">
        <f>IFERROR(_xlfn.XLOOKUP(Selectivo[[#This Row],[DNI]],_VF2025[DNI],_VF2025[R3]),"70 DNC")</f>
        <v>6</v>
      </c>
      <c r="S20" s="13">
        <f>IFERROR(_xlfn.XLOOKUP(Selectivo[[#This Row],[DNI]],_VF2025[DNI],_VF2025[R4]),"70 DNC")</f>
        <v>11</v>
      </c>
      <c r="T20" s="13">
        <f>IFERROR(_xlfn.XLOOKUP(Selectivo[[#This Row],[DNI]],_VF2025[DNI],_VF2025[R5]),"70 DNC")</f>
        <v>8</v>
      </c>
      <c r="U20" s="13">
        <f>IFERROR(_xlfn.XLOOKUP(Selectivo[[#This Row],[DNI]],_VF2025[DNI],_VF2025[R6]),"70 DNC")</f>
        <v>14</v>
      </c>
      <c r="V20" s="13" t="str" cm="1">
        <f t="array" ref="V20">IFERROR(_xlfn.XLOOKUP(Selectivo[[#This Row],[Vela]],_xlfn.NUMBERVALUE(SIL25v2[Sail '#]),SIL25v2[1]),"90 DNC")</f>
        <v>5</v>
      </c>
      <c r="W20" s="12" t="str" cm="1">
        <f t="array" ref="W20">IFERROR(_xlfn.XLOOKUP(Selectivo[[#This Row],[Vela]],_xlfn.NUMBERVALUE(SIL25v2[Sail '#]),SIL25v2[2]),"90 DNC")</f>
        <v>50</v>
      </c>
      <c r="X20" s="12" t="str" cm="1">
        <f t="array" ref="X20">IFERROR(_xlfn.XLOOKUP(Selectivo[[#This Row],[Vela]],_xlfn.NUMBERVALUE(SIL25v2[Sail '#]),SIL25v2[3]),"90 DNC")</f>
        <v>23</v>
      </c>
      <c r="Y20" s="12" t="str" cm="1">
        <f t="array" ref="Y20">IFERROR(_xlfn.XLOOKUP(Selectivo[[#This Row],[Vela]],_xlfn.NUMBERVALUE(SIL25v2[Sail '#]),SIL25v2[4]),"90 DNC")</f>
        <v>29</v>
      </c>
      <c r="Z20" s="13" t="str" cm="1">
        <f t="array" ref="Z20">IFERROR(_xlfn.XLOOKUP(Selectivo[[#This Row],[Vela]],_xlfn.NUMBERVALUE(SIL25v2[Sail '#]),SIL25v2[5]),"90 DNC")</f>
        <v>11</v>
      </c>
      <c r="AA20" s="13" t="str" cm="1">
        <f t="array" ref="AA20">IFERROR(_xlfn.XLOOKUP(Selectivo[[#This Row],[Vela]],_xlfn.NUMBERVALUE(SIL25v2[Sail '#]),SIL25v2[6]),"90 DNC")</f>
        <v>6</v>
      </c>
      <c r="AB20" s="8" cm="1">
        <f t="array" ref="AB20">SUM(IFERROR(VALUE(LEFT(Regatas, FIND(" ",Regatas&amp; " ") - 1)), 0))</f>
        <v>279</v>
      </c>
      <c r="AC20" s="9" cm="1">
        <f t="array" ref="AC2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177</v>
      </c>
      <c r="AD20" s="6">
        <f>SMALL(RegatasN,1)</f>
        <v>2</v>
      </c>
      <c r="AE20" s="6">
        <f>SMALL(RegatasN,2)</f>
        <v>5</v>
      </c>
      <c r="AF20" s="6">
        <f>SMALL(RegatasN,3)</f>
        <v>6</v>
      </c>
      <c r="AG20" s="5" cm="1">
        <f t="array" ref="AG20">COUNTIF(Regatas,SMALL(Regatas,1))</f>
        <v>1</v>
      </c>
      <c r="AH20" s="6" cm="1">
        <f t="array" ref="AH20">VALUE(LEFT(INDEX(Selectivo[#This Row],,MATCH(Selectivo[[#Headers],[Total]],Selectivo[#Headers],0)-1),SEARCH(" ",INDEX(Selectivo[#This Row],,MATCH(Selectivo[[#Headers],[Total]],Selectivo[#Headers],0)-1)&amp;" ")-1))</f>
        <v>6</v>
      </c>
    </row>
    <row r="21" spans="1:34" x14ac:dyDescent="0.25">
      <c r="A21">
        <v>50805416</v>
      </c>
      <c r="B21" s="10">
        <f>ROW()-ROW(Selectivo[[#Headers],[Pos]])</f>
        <v>15</v>
      </c>
      <c r="C21" s="5">
        <v>4134</v>
      </c>
      <c r="D21" t="s">
        <v>734</v>
      </c>
      <c r="E21" t="s">
        <v>21</v>
      </c>
      <c r="F21" s="13">
        <f>IFERROR(_xlfn.XLOOKUP(Selectivo[[#This Row],[DNI]],_SIY[DNI],_SIY[R1]),"78 DNC")</f>
        <v>3</v>
      </c>
      <c r="G21" s="12" t="str">
        <f>IFERROR(_xlfn.XLOOKUP(Selectivo[[#This Row],[DNI]],_SIY[DNI],_SIY[R2]),"78 DNC")</f>
        <v>77 BFD</v>
      </c>
      <c r="H21" s="13">
        <f>IFERROR(_xlfn.XLOOKUP(Selectivo[[#This Row],[DNI]],_SIY[DNI],_SIY[R3]),"78 DNC")</f>
        <v>8</v>
      </c>
      <c r="I21" s="13">
        <f>IFERROR(_xlfn.XLOOKUP(Selectivo[[#This Row],[DNI]],_SIY[DNI],_SIY[R4]),"78 DNC")</f>
        <v>6</v>
      </c>
      <c r="J21" s="13">
        <f>IFERROR(_xlfn.XLOOKUP(Selectivo[[#This Row],[DNI]],_SIY[DNI],_SIY[R5]),"78 DNC")</f>
        <v>5</v>
      </c>
      <c r="K21" s="13">
        <f>IFERROR(_xlfn.XLOOKUP(Selectivo[[#This Row],[DNI]],_SIY[DNI],_SIY[R6]),"78 DNC")</f>
        <v>5</v>
      </c>
      <c r="L21" s="13">
        <f>IFERROR(_xlfn.XLOOKUP(Selectivo[[#This Row],[DNI]],_SIY[DNI],_SIY[R7]),"78 DNC")</f>
        <v>5</v>
      </c>
      <c r="M21" s="13">
        <f>IFERROR(_xlfn.XLOOKUP(Selectivo[[#This Row],[DNI]],_SIY[DNI],_SIY[R8]),"78 DNC")</f>
        <v>6</v>
      </c>
      <c r="N21" s="13">
        <f>IFERROR(_xlfn.XLOOKUP(Selectivo[[#This Row],[DNI]],_SIY[DNI],_SIY[R9]),"78 DNC")</f>
        <v>4</v>
      </c>
      <c r="O21" s="13">
        <f>IFERROR(_xlfn.XLOOKUP(Selectivo[[#This Row],[DNI]],_SIY[DNI],_SIY[R10]),"78 DNC")</f>
        <v>2</v>
      </c>
      <c r="P21" s="13">
        <f>IFERROR(_xlfn.XLOOKUP(Selectivo[[#This Row],[DNI]],_VF2025[DNI],_VF2025[R1]),"70 DNC")</f>
        <v>6</v>
      </c>
      <c r="Q21" s="12" t="str">
        <f>IFERROR(_xlfn.XLOOKUP(Selectivo[[#This Row],[DNI]],_VF2025[DNI],_VF2025[R2]),"70 DNC")</f>
        <v>70 UFD</v>
      </c>
      <c r="R21" s="13">
        <f>IFERROR(_xlfn.XLOOKUP(Selectivo[[#This Row],[DNI]],_VF2025[DNI],_VF2025[R3]),"70 DNC")</f>
        <v>12</v>
      </c>
      <c r="S21" s="13">
        <f>IFERROR(_xlfn.XLOOKUP(Selectivo[[#This Row],[DNI]],_VF2025[DNI],_VF2025[R4]),"70 DNC")</f>
        <v>14</v>
      </c>
      <c r="T21" s="13">
        <f>IFERROR(_xlfn.XLOOKUP(Selectivo[[#This Row],[DNI]],_VF2025[DNI],_VF2025[R5]),"70 DNC")</f>
        <v>2</v>
      </c>
      <c r="U21" s="13">
        <f>IFERROR(_xlfn.XLOOKUP(Selectivo[[#This Row],[DNI]],_VF2025[DNI],_VF2025[R6]),"70 DNC")</f>
        <v>2</v>
      </c>
      <c r="V21" s="13" t="str" cm="1">
        <f t="array" ref="V21">IFERROR(_xlfn.XLOOKUP(Selectivo[[#This Row],[Vela]],_xlfn.NUMBERVALUE(SIL25v2[Sail '#]),SIL25v2[1]),"90 DNC")</f>
        <v>20</v>
      </c>
      <c r="W21" s="12" t="str" cm="1">
        <f t="array" ref="W21">IFERROR(_xlfn.XLOOKUP(Selectivo[[#This Row],[Vela]],_xlfn.NUMBERVALUE(SIL25v2[Sail '#]),SIL25v2[2]),"90 DNC")</f>
        <v>39</v>
      </c>
      <c r="X21" s="13" t="str" cm="1">
        <f t="array" ref="X21">IFERROR(_xlfn.XLOOKUP(Selectivo[[#This Row],[Vela]],_xlfn.NUMBERVALUE(SIL25v2[Sail '#]),SIL25v2[3]),"90 DNC")</f>
        <v>33</v>
      </c>
      <c r="Y21" s="13" t="str" cm="1">
        <f t="array" ref="Y21">IFERROR(_xlfn.XLOOKUP(Selectivo[[#This Row],[Vela]],_xlfn.NUMBERVALUE(SIL25v2[Sail '#]),SIL25v2[4]),"90 DNC")</f>
        <v>21</v>
      </c>
      <c r="Z21" s="13" t="str" cm="1">
        <f t="array" ref="Z21">IFERROR(_xlfn.XLOOKUP(Selectivo[[#This Row],[Vela]],_xlfn.NUMBERVALUE(SIL25v2[Sail '#]),SIL25v2[5]),"90 DNC")</f>
        <v>11</v>
      </c>
      <c r="AA21" s="13" t="str" cm="1">
        <f t="array" ref="AA21">IFERROR(_xlfn.XLOOKUP(Selectivo[[#This Row],[Vela]],_xlfn.NUMBERVALUE(SIL25v2[Sail '#]),SIL25v2[6]),"90 DNC")</f>
        <v>21</v>
      </c>
      <c r="AB21" s="8" cm="1">
        <f t="array" ref="AB21">SUM(IFERROR(VALUE(LEFT(Regatas, FIND(" ",Regatas&amp; " ") - 1)), 0))</f>
        <v>372</v>
      </c>
      <c r="AC21" s="9" cm="1">
        <f t="array" ref="AC2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186</v>
      </c>
      <c r="AD21" s="6">
        <f>SMALL(RegatasN,1)</f>
        <v>2</v>
      </c>
      <c r="AE21" s="6">
        <f>SMALL(RegatasN,2)</f>
        <v>2</v>
      </c>
      <c r="AF21" s="6">
        <f>SMALL(RegatasN,3)</f>
        <v>2</v>
      </c>
      <c r="AG21" s="5" cm="1">
        <f t="array" ref="AG21">COUNTIF(Regatas,SMALL(Regatas,1))</f>
        <v>3</v>
      </c>
      <c r="AH21" s="6" cm="1">
        <f t="array" ref="AH21">VALUE(LEFT(INDEX(Selectivo[#This Row],,MATCH(Selectivo[[#Headers],[Total]],Selectivo[#Headers],0)-1),SEARCH(" ",INDEX(Selectivo[#This Row],,MATCH(Selectivo[[#Headers],[Total]],Selectivo[#Headers],0)-1)&amp;" ")-1))</f>
        <v>21</v>
      </c>
    </row>
    <row r="22" spans="1:34" x14ac:dyDescent="0.25">
      <c r="A22">
        <v>51267743</v>
      </c>
      <c r="B22" s="10">
        <f>ROW()-ROW(Selectivo[[#Headers],[Pos]])</f>
        <v>16</v>
      </c>
      <c r="C22" s="5">
        <v>4214</v>
      </c>
      <c r="D22" t="s">
        <v>673</v>
      </c>
      <c r="E22" t="s">
        <v>5</v>
      </c>
      <c r="F22" s="13" t="str">
        <f>IFERROR(_xlfn.XLOOKUP(Selectivo[[#This Row],[DNI]],_SIY[DNI],_SIY[R1]),"78 DNC")</f>
        <v>4 RDG</v>
      </c>
      <c r="G22" s="13">
        <f>IFERROR(_xlfn.XLOOKUP(Selectivo[[#This Row],[DNI]],_SIY[DNI],_SIY[R2]),"78 DNC")</f>
        <v>3</v>
      </c>
      <c r="H22" s="13">
        <f>IFERROR(_xlfn.XLOOKUP(Selectivo[[#This Row],[DNI]],_SIY[DNI],_SIY[R3]),"78 DNC")</f>
        <v>15</v>
      </c>
      <c r="I22" s="13">
        <f>IFERROR(_xlfn.XLOOKUP(Selectivo[[#This Row],[DNI]],_SIY[DNI],_SIY[R4]),"78 DNC")</f>
        <v>8</v>
      </c>
      <c r="J22" s="13">
        <f>IFERROR(_xlfn.XLOOKUP(Selectivo[[#This Row],[DNI]],_SIY[DNI],_SIY[R5]),"78 DNC")</f>
        <v>8</v>
      </c>
      <c r="K22" s="13">
        <f>IFERROR(_xlfn.XLOOKUP(Selectivo[[#This Row],[DNI]],_SIY[DNI],_SIY[R6]),"78 DNC")</f>
        <v>10</v>
      </c>
      <c r="L22" s="13">
        <f>IFERROR(_xlfn.XLOOKUP(Selectivo[[#This Row],[DNI]],_SIY[DNI],_SIY[R7]),"78 DNC")</f>
        <v>3</v>
      </c>
      <c r="M22" s="13">
        <f>IFERROR(_xlfn.XLOOKUP(Selectivo[[#This Row],[DNI]],_SIY[DNI],_SIY[R8]),"78 DNC")</f>
        <v>9</v>
      </c>
      <c r="N22" s="13">
        <f>IFERROR(_xlfn.XLOOKUP(Selectivo[[#This Row],[DNI]],_SIY[DNI],_SIY[R9]),"78 DNC")</f>
        <v>7</v>
      </c>
      <c r="O22" s="12" t="str">
        <f>IFERROR(_xlfn.XLOOKUP(Selectivo[[#This Row],[DNI]],_SIY[DNI],_SIY[R10]),"78 DNC")</f>
        <v>77 BFD</v>
      </c>
      <c r="P22" s="13">
        <f>IFERROR(_xlfn.XLOOKUP(Selectivo[[#This Row],[DNI]],_VF2025[DNI],_VF2025[R1]),"70 DNC")</f>
        <v>1</v>
      </c>
      <c r="Q22" s="13">
        <f>IFERROR(_xlfn.XLOOKUP(Selectivo[[#This Row],[DNI]],_VF2025[DNI],_VF2025[R2]),"70 DNC")</f>
        <v>4</v>
      </c>
      <c r="R22" s="13">
        <f>IFERROR(_xlfn.XLOOKUP(Selectivo[[#This Row],[DNI]],_VF2025[DNI],_VF2025[R3]),"70 DNC")</f>
        <v>9</v>
      </c>
      <c r="S22" s="12" t="str">
        <f>IFERROR(_xlfn.XLOOKUP(Selectivo[[#This Row],[DNI]],_VF2025[DNI],_VF2025[R4]),"70 DNC")</f>
        <v>70 DNF</v>
      </c>
      <c r="T22" s="13">
        <f>IFERROR(_xlfn.XLOOKUP(Selectivo[[#This Row],[DNI]],_VF2025[DNI],_VF2025[R5]),"70 DNC")</f>
        <v>15</v>
      </c>
      <c r="U22" s="13">
        <f>IFERROR(_xlfn.XLOOKUP(Selectivo[[#This Row],[DNI]],_VF2025[DNI],_VF2025[R6]),"70 DNC")</f>
        <v>6</v>
      </c>
      <c r="V22" s="13" t="str" cm="1">
        <f t="array" ref="V22">IFERROR(_xlfn.XLOOKUP(Selectivo[[#This Row],[Vela]],_xlfn.NUMBERVALUE(SIL25v2[Sail '#]),SIL25v2[1]),"90 DNC")</f>
        <v>23</v>
      </c>
      <c r="W22" s="13" t="str" cm="1">
        <f t="array" ref="W22">IFERROR(_xlfn.XLOOKUP(Selectivo[[#This Row],[Vela]],_xlfn.NUMBERVALUE(SIL25v2[Sail '#]),SIL25v2[2]),"90 DNC")</f>
        <v>3</v>
      </c>
      <c r="X22" s="12" t="str" cm="1">
        <f t="array" ref="X22">IFERROR(_xlfn.XLOOKUP(Selectivo[[#This Row],[Vela]],_xlfn.NUMBERVALUE(SIL25v2[Sail '#]),SIL25v2[3]),"90 DNC")</f>
        <v>89 BFD</v>
      </c>
      <c r="Y22" s="13" t="str" cm="1">
        <f t="array" ref="Y22">IFERROR(_xlfn.XLOOKUP(Selectivo[[#This Row],[Vela]],_xlfn.NUMBERVALUE(SIL25v2[Sail '#]),SIL25v2[4]),"90 DNC")</f>
        <v>34</v>
      </c>
      <c r="Z22" s="13" t="str" cm="1">
        <f t="array" ref="Z22">IFERROR(_xlfn.XLOOKUP(Selectivo[[#This Row],[Vela]],_xlfn.NUMBERVALUE(SIL25v2[Sail '#]),SIL25v2[5]),"90 DNC")</f>
        <v>6</v>
      </c>
      <c r="AA22" s="13" t="str" cm="1">
        <f t="array" ref="AA22">IFERROR(_xlfn.XLOOKUP(Selectivo[[#This Row],[Vela]],_xlfn.NUMBERVALUE(SIL25v2[Sail '#]),SIL25v2[6]),"90 DNC")</f>
        <v>20</v>
      </c>
      <c r="AB22" s="8" cm="1">
        <f t="array" ref="AB22">SUM(IFERROR(VALUE(LEFT(Regatas, FIND(" ",Regatas&amp; " ") - 1)), 0))</f>
        <v>424</v>
      </c>
      <c r="AC22" s="9" cm="1">
        <f t="array" ref="AC2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188</v>
      </c>
      <c r="AD22" s="6">
        <f>SMALL(RegatasN,1)</f>
        <v>1</v>
      </c>
      <c r="AE22" s="6">
        <f>SMALL(RegatasN,2)</f>
        <v>3</v>
      </c>
      <c r="AF22" s="6">
        <f>SMALL(RegatasN,3)</f>
        <v>3</v>
      </c>
      <c r="AG22" s="5" cm="1">
        <f t="array" ref="AG22">COUNTIF(Regatas,SMALL(Regatas,1))</f>
        <v>1</v>
      </c>
      <c r="AH22" s="6" cm="1">
        <f t="array" ref="AH22">VALUE(LEFT(INDEX(Selectivo[#This Row],,MATCH(Selectivo[[#Headers],[Total]],Selectivo[#Headers],0)-1),SEARCH(" ",INDEX(Selectivo[#This Row],,MATCH(Selectivo[[#Headers],[Total]],Selectivo[#Headers],0)-1)&amp;" ")-1))</f>
        <v>20</v>
      </c>
    </row>
    <row r="23" spans="1:34" x14ac:dyDescent="0.25">
      <c r="A23">
        <v>50670497</v>
      </c>
      <c r="B23" s="10">
        <f>ROW()-ROW(Selectivo[[#Headers],[Pos]])</f>
        <v>17</v>
      </c>
      <c r="C23" s="5">
        <v>3936</v>
      </c>
      <c r="D23" t="s">
        <v>721</v>
      </c>
      <c r="E23" t="s">
        <v>21</v>
      </c>
      <c r="F23" s="13">
        <f>IFERROR(_xlfn.XLOOKUP(Selectivo[[#This Row],[DNI]],_SIY[DNI],_SIY[R1]),"78 DNC")</f>
        <v>5</v>
      </c>
      <c r="G23" s="13">
        <f>IFERROR(_xlfn.XLOOKUP(Selectivo[[#This Row],[DNI]],_SIY[DNI],_SIY[R2]),"78 DNC")</f>
        <v>9</v>
      </c>
      <c r="H23" s="13">
        <f>IFERROR(_xlfn.XLOOKUP(Selectivo[[#This Row],[DNI]],_SIY[DNI],_SIY[R3]),"78 DNC")</f>
        <v>5</v>
      </c>
      <c r="I23" s="13">
        <f>IFERROR(_xlfn.XLOOKUP(Selectivo[[#This Row],[DNI]],_SIY[DNI],_SIY[R4]),"78 DNC")</f>
        <v>6</v>
      </c>
      <c r="J23" s="13">
        <f>IFERROR(_xlfn.XLOOKUP(Selectivo[[#This Row],[DNI]],_SIY[DNI],_SIY[R5]),"78 DNC")</f>
        <v>15</v>
      </c>
      <c r="K23" s="13">
        <f>IFERROR(_xlfn.XLOOKUP(Selectivo[[#This Row],[DNI]],_SIY[DNI],_SIY[R6]),"78 DNC")</f>
        <v>19</v>
      </c>
      <c r="L23" s="13">
        <f>IFERROR(_xlfn.XLOOKUP(Selectivo[[#This Row],[DNI]],_SIY[DNI],_SIY[R7]),"78 DNC")</f>
        <v>8</v>
      </c>
      <c r="M23" s="13">
        <f>IFERROR(_xlfn.XLOOKUP(Selectivo[[#This Row],[DNI]],_SIY[DNI],_SIY[R8]),"78 DNC")</f>
        <v>13</v>
      </c>
      <c r="N23" s="13">
        <f>IFERROR(_xlfn.XLOOKUP(Selectivo[[#This Row],[DNI]],_SIY[DNI],_SIY[R9]),"78 DNC")</f>
        <v>9</v>
      </c>
      <c r="O23" s="12">
        <f>IFERROR(_xlfn.XLOOKUP(Selectivo[[#This Row],[DNI]],_SIY[DNI],_SIY[R10]),"78 DNC")</f>
        <v>26</v>
      </c>
      <c r="P23" s="13">
        <f>IFERROR(_xlfn.XLOOKUP(Selectivo[[#This Row],[DNI]],_VF2025[DNI],_VF2025[R1]),"70 DNC")</f>
        <v>12</v>
      </c>
      <c r="Q23" s="12">
        <f>IFERROR(_xlfn.XLOOKUP(Selectivo[[#This Row],[DNI]],_VF2025[DNI],_VF2025[R2]),"70 DNC")</f>
        <v>27</v>
      </c>
      <c r="R23" s="13">
        <f>IFERROR(_xlfn.XLOOKUP(Selectivo[[#This Row],[DNI]],_VF2025[DNI],_VF2025[R3]),"70 DNC")</f>
        <v>4</v>
      </c>
      <c r="S23" s="13">
        <f>IFERROR(_xlfn.XLOOKUP(Selectivo[[#This Row],[DNI]],_VF2025[DNI],_VF2025[R4]),"70 DNC")</f>
        <v>5</v>
      </c>
      <c r="T23" s="13">
        <f>IFERROR(_xlfn.XLOOKUP(Selectivo[[#This Row],[DNI]],_VF2025[DNI],_VF2025[R5]),"70 DNC")</f>
        <v>12</v>
      </c>
      <c r="U23" s="13">
        <f>IFERROR(_xlfn.XLOOKUP(Selectivo[[#This Row],[DNI]],_VF2025[DNI],_VF2025[R6]),"70 DNC")</f>
        <v>19</v>
      </c>
      <c r="V23" s="12" t="str" cm="1">
        <f t="array" ref="V23">IFERROR(_xlfn.XLOOKUP(Selectivo[[#This Row],[Vela]],_xlfn.NUMBERVALUE(SIL25v2[Sail '#]),SIL25v2[1]),"90 DNC")</f>
        <v>89 BFD</v>
      </c>
      <c r="W23" s="13" t="str" cm="1">
        <f t="array" ref="W23">IFERROR(_xlfn.XLOOKUP(Selectivo[[#This Row],[Vela]],_xlfn.NUMBERVALUE(SIL25v2[Sail '#]),SIL25v2[2]),"90 DNC")</f>
        <v>11</v>
      </c>
      <c r="X23" s="13" t="str" cm="1">
        <f t="array" ref="X23">IFERROR(_xlfn.XLOOKUP(Selectivo[[#This Row],[Vela]],_xlfn.NUMBERVALUE(SIL25v2[Sail '#]),SIL25v2[3]),"90 DNC")</f>
        <v>3</v>
      </c>
      <c r="Y23" s="13" t="str" cm="1">
        <f t="array" ref="Y23">IFERROR(_xlfn.XLOOKUP(Selectivo[[#This Row],[Vela]],_xlfn.NUMBERVALUE(SIL25v2[Sail '#]),SIL25v2[4]),"90 DNC")</f>
        <v>4</v>
      </c>
      <c r="Z23" s="13" t="str" cm="1">
        <f t="array" ref="Z23">IFERROR(_xlfn.XLOOKUP(Selectivo[[#This Row],[Vela]],_xlfn.NUMBERVALUE(SIL25v2[Sail '#]),SIL25v2[5]),"90 DNC")</f>
        <v>8</v>
      </c>
      <c r="AA23" s="13" t="str" cm="1">
        <f t="array" ref="AA23">IFERROR(_xlfn.XLOOKUP(Selectivo[[#This Row],[Vela]],_xlfn.NUMBERVALUE(SIL25v2[Sail '#]),SIL25v2[6]),"90 DNC")</f>
        <v>26</v>
      </c>
      <c r="AB23" s="8" cm="1">
        <f t="array" ref="AB23">SUM(IFERROR(VALUE(LEFT(Regatas, FIND(" ",Regatas&amp; " ") - 1)), 0))</f>
        <v>335</v>
      </c>
      <c r="AC23" s="9" cm="1">
        <f t="array" ref="AC2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193</v>
      </c>
      <c r="AD23" s="6">
        <f>SMALL(RegatasN,1)</f>
        <v>3</v>
      </c>
      <c r="AE23" s="6">
        <f>SMALL(RegatasN,2)</f>
        <v>4</v>
      </c>
      <c r="AF23" s="6">
        <f>SMALL(RegatasN,3)</f>
        <v>4</v>
      </c>
      <c r="AG23" s="5" cm="1">
        <f t="array" ref="AG23">COUNTIF(Regatas,SMALL(Regatas,1))</f>
        <v>2</v>
      </c>
      <c r="AH23" s="6" cm="1">
        <f t="array" ref="AH23">VALUE(LEFT(INDEX(Selectivo[#This Row],,MATCH(Selectivo[[#Headers],[Total]],Selectivo[#Headers],0)-1),SEARCH(" ",INDEX(Selectivo[#This Row],,MATCH(Selectivo[[#Headers],[Total]],Selectivo[#Headers],0)-1)&amp;" ")-1))</f>
        <v>26</v>
      </c>
    </row>
    <row r="24" spans="1:34" x14ac:dyDescent="0.25">
      <c r="A24">
        <v>50155666</v>
      </c>
      <c r="B24" s="10">
        <f>ROW()-ROW(Selectivo[[#Headers],[Pos]])</f>
        <v>18</v>
      </c>
      <c r="C24" s="5">
        <v>3889</v>
      </c>
      <c r="D24" t="s">
        <v>748</v>
      </c>
      <c r="E24" t="s">
        <v>13</v>
      </c>
      <c r="F24" s="13">
        <f>IFERROR(_xlfn.XLOOKUP(Selectivo[[#This Row],[DNI]],_SIY[DNI],_SIY[R1]),"78 DNC")</f>
        <v>3</v>
      </c>
      <c r="G24" s="13">
        <f>IFERROR(_xlfn.XLOOKUP(Selectivo[[#This Row],[DNI]],_SIY[DNI],_SIY[R2]),"78 DNC")</f>
        <v>3</v>
      </c>
      <c r="H24" s="13">
        <f>IFERROR(_xlfn.XLOOKUP(Selectivo[[#This Row],[DNI]],_SIY[DNI],_SIY[R3]),"78 DNC")</f>
        <v>8</v>
      </c>
      <c r="I24" s="13">
        <f>IFERROR(_xlfn.XLOOKUP(Selectivo[[#This Row],[DNI]],_SIY[DNI],_SIY[R4]),"78 DNC")</f>
        <v>20</v>
      </c>
      <c r="J24" s="13">
        <f>IFERROR(_xlfn.XLOOKUP(Selectivo[[#This Row],[DNI]],_SIY[DNI],_SIY[R5]),"78 DNC")</f>
        <v>31</v>
      </c>
      <c r="K24" s="13">
        <f>IFERROR(_xlfn.XLOOKUP(Selectivo[[#This Row],[DNI]],_SIY[DNI],_SIY[R6]),"78 DNC")</f>
        <v>4</v>
      </c>
      <c r="L24" s="13">
        <f>IFERROR(_xlfn.XLOOKUP(Selectivo[[#This Row],[DNI]],_SIY[DNI],_SIY[R7]),"78 DNC")</f>
        <v>8</v>
      </c>
      <c r="M24" s="13">
        <f>IFERROR(_xlfn.XLOOKUP(Selectivo[[#This Row],[DNI]],_SIY[DNI],_SIY[R8]),"78 DNC")</f>
        <v>16</v>
      </c>
      <c r="N24" s="13">
        <f>IFERROR(_xlfn.XLOOKUP(Selectivo[[#This Row],[DNI]],_SIY[DNI],_SIY[R9]),"78 DNC")</f>
        <v>2</v>
      </c>
      <c r="O24" s="13">
        <f>IFERROR(_xlfn.XLOOKUP(Selectivo[[#This Row],[DNI]],_SIY[DNI],_SIY[R10]),"78 DNC")</f>
        <v>12</v>
      </c>
      <c r="P24" s="12">
        <f>IFERROR(_xlfn.XLOOKUP(Selectivo[[#This Row],[DNI]],_VF2025[DNI],_VF2025[R1]),"70 DNC")</f>
        <v>52</v>
      </c>
      <c r="Q24" s="13">
        <f>IFERROR(_xlfn.XLOOKUP(Selectivo[[#This Row],[DNI]],_VF2025[DNI],_VF2025[R2]),"70 DNC")</f>
        <v>2</v>
      </c>
      <c r="R24" s="13">
        <f>IFERROR(_xlfn.XLOOKUP(Selectivo[[#This Row],[DNI]],_VF2025[DNI],_VF2025[R3]),"70 DNC")</f>
        <v>19</v>
      </c>
      <c r="S24" s="13">
        <f>IFERROR(_xlfn.XLOOKUP(Selectivo[[#This Row],[DNI]],_VF2025[DNI],_VF2025[R4]),"70 DNC")</f>
        <v>3</v>
      </c>
      <c r="T24" s="13">
        <f>IFERROR(_xlfn.XLOOKUP(Selectivo[[#This Row],[DNI]],_VF2025[DNI],_VF2025[R5]),"70 DNC")</f>
        <v>2</v>
      </c>
      <c r="U24" s="13">
        <f>IFERROR(_xlfn.XLOOKUP(Selectivo[[#This Row],[DNI]],_VF2025[DNI],_VF2025[R6]),"70 DNC")</f>
        <v>24</v>
      </c>
      <c r="V24" s="13" t="str" cm="1">
        <f t="array" ref="V24">IFERROR(_xlfn.XLOOKUP(Selectivo[[#This Row],[Vela]],_xlfn.NUMBERVALUE(SIL25v2[Sail '#]),SIL25v2[1]),"90 DNC")</f>
        <v>12</v>
      </c>
      <c r="W24" s="13" t="str" cm="1">
        <f t="array" ref="W24">IFERROR(_xlfn.XLOOKUP(Selectivo[[#This Row],[Vela]],_xlfn.NUMBERVALUE(SIL25v2[Sail '#]),SIL25v2[2]),"90 DNC")</f>
        <v>9</v>
      </c>
      <c r="X24" s="13" t="str" cm="1">
        <f t="array" ref="X24">IFERROR(_xlfn.XLOOKUP(Selectivo[[#This Row],[Vela]],_xlfn.NUMBERVALUE(SIL25v2[Sail '#]),SIL25v2[3]),"90 DNC")</f>
        <v>18</v>
      </c>
      <c r="Y24" s="12" t="str" cm="1">
        <f t="array" ref="Y24">IFERROR(_xlfn.XLOOKUP(Selectivo[[#This Row],[Vela]],_xlfn.NUMBERVALUE(SIL25v2[Sail '#]),SIL25v2[4]),"90 DNC")</f>
        <v>47</v>
      </c>
      <c r="Z24" s="12" t="str" cm="1">
        <f t="array" ref="Z24">IFERROR(_xlfn.XLOOKUP(Selectivo[[#This Row],[Vela]],_xlfn.NUMBERVALUE(SIL25v2[Sail '#]),SIL25v2[5]),"90 DNC")</f>
        <v>33</v>
      </c>
      <c r="AA24" s="13" t="str" cm="1">
        <f t="array" ref="AA24">IFERROR(_xlfn.XLOOKUP(Selectivo[[#This Row],[Vela]],_xlfn.NUMBERVALUE(SIL25v2[Sail '#]),SIL25v2[6]),"90 DNC")</f>
        <v>5</v>
      </c>
      <c r="AB24" s="8" cm="1">
        <f t="array" ref="AB24">SUM(IFERROR(VALUE(LEFT(Regatas, FIND(" ",Regatas&amp; " ") - 1)), 0))</f>
        <v>333</v>
      </c>
      <c r="AC24" s="9" cm="1">
        <f t="array" ref="AC2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24" s="6">
        <f>SMALL(RegatasN,1)</f>
        <v>2</v>
      </c>
      <c r="AE24" s="6">
        <f>SMALL(RegatasN,2)</f>
        <v>2</v>
      </c>
      <c r="AF24" s="6">
        <f>SMALL(RegatasN,3)</f>
        <v>2</v>
      </c>
      <c r="AG24" s="5" cm="1">
        <f t="array" ref="AG24">COUNTIF(Regatas,SMALL(Regatas,1))</f>
        <v>3</v>
      </c>
      <c r="AH24" s="6" cm="1">
        <f t="array" ref="AH24">VALUE(LEFT(INDEX(Selectivo[#This Row],,MATCH(Selectivo[[#Headers],[Total]],Selectivo[#Headers],0)-1),SEARCH(" ",INDEX(Selectivo[#This Row],,MATCH(Selectivo[[#Headers],[Total]],Selectivo[#Headers],0)-1)&amp;" ")-1))</f>
        <v>5</v>
      </c>
    </row>
    <row r="25" spans="1:34" x14ac:dyDescent="0.25">
      <c r="A25">
        <v>50609852</v>
      </c>
      <c r="B25" s="10">
        <f>ROW()-ROW(Selectivo[[#Headers],[Pos]])</f>
        <v>19</v>
      </c>
      <c r="C25" s="5">
        <v>4200</v>
      </c>
      <c r="D25" t="s">
        <v>735</v>
      </c>
      <c r="E25" t="s">
        <v>10</v>
      </c>
      <c r="F25" s="13">
        <f>IFERROR(_xlfn.XLOOKUP(Selectivo[[#This Row],[DNI]],_SIY[DNI],_SIY[R1]),"78 DNC")</f>
        <v>18</v>
      </c>
      <c r="G25" s="13">
        <f>IFERROR(_xlfn.XLOOKUP(Selectivo[[#This Row],[DNI]],_SIY[DNI],_SIY[R2]),"78 DNC")</f>
        <v>7</v>
      </c>
      <c r="H25" s="13">
        <f>IFERROR(_xlfn.XLOOKUP(Selectivo[[#This Row],[DNI]],_SIY[DNI],_SIY[R3]),"78 DNC")</f>
        <v>15</v>
      </c>
      <c r="I25" s="13">
        <f>IFERROR(_xlfn.XLOOKUP(Selectivo[[#This Row],[DNI]],_SIY[DNI],_SIY[R4]),"78 DNC")</f>
        <v>7</v>
      </c>
      <c r="J25" s="13">
        <f>IFERROR(_xlfn.XLOOKUP(Selectivo[[#This Row],[DNI]],_SIY[DNI],_SIY[R5]),"78 DNC")</f>
        <v>12</v>
      </c>
      <c r="K25" s="13">
        <f>IFERROR(_xlfn.XLOOKUP(Selectivo[[#This Row],[DNI]],_SIY[DNI],_SIY[R6]),"78 DNC")</f>
        <v>13</v>
      </c>
      <c r="L25" s="13">
        <f>IFERROR(_xlfn.XLOOKUP(Selectivo[[#This Row],[DNI]],_SIY[DNI],_SIY[R7]),"78 DNC")</f>
        <v>20</v>
      </c>
      <c r="M25" s="12">
        <f>IFERROR(_xlfn.XLOOKUP(Selectivo[[#This Row],[DNI]],_SIY[DNI],_SIY[R8]),"78 DNC")</f>
        <v>29</v>
      </c>
      <c r="N25" s="13">
        <f>IFERROR(_xlfn.XLOOKUP(Selectivo[[#This Row],[DNI]],_SIY[DNI],_SIY[R9]),"78 DNC")</f>
        <v>7</v>
      </c>
      <c r="O25" s="13">
        <f>IFERROR(_xlfn.XLOOKUP(Selectivo[[#This Row],[DNI]],_SIY[DNI],_SIY[R10]),"78 DNC")</f>
        <v>14</v>
      </c>
      <c r="P25" s="13">
        <f>IFERROR(_xlfn.XLOOKUP(Selectivo[[#This Row],[DNI]],_VF2025[DNI],_VF2025[R1]),"70 DNC")</f>
        <v>8</v>
      </c>
      <c r="Q25" s="13">
        <f>IFERROR(_xlfn.XLOOKUP(Selectivo[[#This Row],[DNI]],_VF2025[DNI],_VF2025[R2]),"70 DNC")</f>
        <v>5</v>
      </c>
      <c r="R25" s="13">
        <f>IFERROR(_xlfn.XLOOKUP(Selectivo[[#This Row],[DNI]],_VF2025[DNI],_VF2025[R3]),"70 DNC")</f>
        <v>16</v>
      </c>
      <c r="S25" s="13">
        <f>IFERROR(_xlfn.XLOOKUP(Selectivo[[#This Row],[DNI]],_VF2025[DNI],_VF2025[R4]),"70 DNC")</f>
        <v>28</v>
      </c>
      <c r="T25" s="13">
        <f>IFERROR(_xlfn.XLOOKUP(Selectivo[[#This Row],[DNI]],_VF2025[DNI],_VF2025[R5]),"70 DNC")</f>
        <v>7</v>
      </c>
      <c r="U25" s="13">
        <f>IFERROR(_xlfn.XLOOKUP(Selectivo[[#This Row],[DNI]],_VF2025[DNI],_VF2025[R6]),"70 DNC")</f>
        <v>10</v>
      </c>
      <c r="V25" s="13" t="str" cm="1">
        <f t="array" ref="V25">IFERROR(_xlfn.XLOOKUP(Selectivo[[#This Row],[Vela]],_xlfn.NUMBERVALUE(SIL25v2[Sail '#]),SIL25v2[1]),"90 DNC")</f>
        <v>8</v>
      </c>
      <c r="W25" s="13" t="str" cm="1">
        <f t="array" ref="W25">IFERROR(_xlfn.XLOOKUP(Selectivo[[#This Row],[Vela]],_xlfn.NUMBERVALUE(SIL25v2[Sail '#]),SIL25v2[2]),"90 DNC")</f>
        <v>5</v>
      </c>
      <c r="X25" s="13" t="str" cm="1">
        <f t="array" ref="X25">IFERROR(_xlfn.XLOOKUP(Selectivo[[#This Row],[Vela]],_xlfn.NUMBERVALUE(SIL25v2[Sail '#]),SIL25v2[3]),"90 DNC")</f>
        <v>5</v>
      </c>
      <c r="Y25" s="12" t="str" cm="1">
        <f t="array" ref="Y25">IFERROR(_xlfn.XLOOKUP(Selectivo[[#This Row],[Vela]],_xlfn.NUMBERVALUE(SIL25v2[Sail '#]),SIL25v2[4]),"90 DNC")</f>
        <v>50</v>
      </c>
      <c r="Z25" s="13" t="str" cm="1">
        <f t="array" ref="Z25">IFERROR(_xlfn.XLOOKUP(Selectivo[[#This Row],[Vela]],_xlfn.NUMBERVALUE(SIL25v2[Sail '#]),SIL25v2[5]),"90 DNC")</f>
        <v>28</v>
      </c>
      <c r="AA25" s="12" t="str" cm="1">
        <f t="array" ref="AA25">IFERROR(_xlfn.XLOOKUP(Selectivo[[#This Row],[Vela]],_xlfn.NUMBERVALUE(SIL25v2[Sail '#]),SIL25v2[6]),"90 DNC")</f>
        <v>46</v>
      </c>
      <c r="AB25" s="8" cm="1">
        <f t="array" ref="AB25">SUM(IFERROR(VALUE(LEFT(Regatas, FIND(" ",Regatas&amp; " ") - 1)), 0))</f>
        <v>358</v>
      </c>
      <c r="AC25" s="9" cm="1">
        <f t="array" ref="AC2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233</v>
      </c>
      <c r="AD25" s="6">
        <f>SMALL(RegatasN,1)</f>
        <v>5</v>
      </c>
      <c r="AE25" s="6">
        <f>SMALL(RegatasN,2)</f>
        <v>5</v>
      </c>
      <c r="AF25" s="6">
        <f>SMALL(RegatasN,3)</f>
        <v>5</v>
      </c>
      <c r="AG25" s="5" cm="1">
        <f t="array" ref="AG25">COUNTIF(Regatas,SMALL(Regatas,1))</f>
        <v>3</v>
      </c>
      <c r="AH25" s="6" cm="1">
        <f t="array" ref="AH25">VALUE(LEFT(INDEX(Selectivo[#This Row],,MATCH(Selectivo[[#Headers],[Total]],Selectivo[#Headers],0)-1),SEARCH(" ",INDEX(Selectivo[#This Row],,MATCH(Selectivo[[#Headers],[Total]],Selectivo[#Headers],0)-1)&amp;" ")-1))</f>
        <v>46</v>
      </c>
    </row>
    <row r="26" spans="1:34" x14ac:dyDescent="0.25">
      <c r="A26">
        <v>52676878</v>
      </c>
      <c r="B26" s="10">
        <f>ROW()-ROW(Selectivo[[#Headers],[Pos]])</f>
        <v>20</v>
      </c>
      <c r="C26" s="5">
        <v>4092</v>
      </c>
      <c r="D26" t="s">
        <v>717</v>
      </c>
      <c r="E26" t="s">
        <v>13</v>
      </c>
      <c r="F26" s="13">
        <f>IFERROR(_xlfn.XLOOKUP(Selectivo[[#This Row],[DNI]],_SIY[DNI],_SIY[R1]),"78 DNC")</f>
        <v>18</v>
      </c>
      <c r="G26" s="13">
        <f>IFERROR(_xlfn.XLOOKUP(Selectivo[[#This Row],[DNI]],_SIY[DNI],_SIY[R2]),"78 DNC")</f>
        <v>23</v>
      </c>
      <c r="H26" s="13">
        <f>IFERROR(_xlfn.XLOOKUP(Selectivo[[#This Row],[DNI]],_SIY[DNI],_SIY[R3]),"78 DNC")</f>
        <v>18</v>
      </c>
      <c r="I26" s="12">
        <f>IFERROR(_xlfn.XLOOKUP(Selectivo[[#This Row],[DNI]],_SIY[DNI],_SIY[R4]),"78 DNC")</f>
        <v>31</v>
      </c>
      <c r="J26" s="13">
        <f>IFERROR(_xlfn.XLOOKUP(Selectivo[[#This Row],[DNI]],_SIY[DNI],_SIY[R5]),"78 DNC")</f>
        <v>16</v>
      </c>
      <c r="K26" s="13">
        <f>IFERROR(_xlfn.XLOOKUP(Selectivo[[#This Row],[DNI]],_SIY[DNI],_SIY[R6]),"78 DNC")</f>
        <v>17</v>
      </c>
      <c r="L26" s="12">
        <f>IFERROR(_xlfn.XLOOKUP(Selectivo[[#This Row],[DNI]],_SIY[DNI],_SIY[R7]),"78 DNC")</f>
        <v>31</v>
      </c>
      <c r="M26" s="13">
        <f>IFERROR(_xlfn.XLOOKUP(Selectivo[[#This Row],[DNI]],_SIY[DNI],_SIY[R8]),"78 DNC")</f>
        <v>7</v>
      </c>
      <c r="N26" s="13">
        <f>IFERROR(_xlfn.XLOOKUP(Selectivo[[#This Row],[DNI]],_SIY[DNI],_SIY[R9]),"78 DNC")</f>
        <v>24</v>
      </c>
      <c r="O26" s="13">
        <f>IFERROR(_xlfn.XLOOKUP(Selectivo[[#This Row],[DNI]],_SIY[DNI],_SIY[R10]),"78 DNC")</f>
        <v>4</v>
      </c>
      <c r="P26" s="12" t="str">
        <f>IFERROR(_xlfn.XLOOKUP(Selectivo[[#This Row],[DNI]],_VF2025[DNI],_VF2025[R1]),"70 DNC")</f>
        <v>70 DSQ</v>
      </c>
      <c r="Q26" s="13">
        <f>IFERROR(_xlfn.XLOOKUP(Selectivo[[#This Row],[DNI]],_VF2025[DNI],_VF2025[R2]),"70 DNC")</f>
        <v>15</v>
      </c>
      <c r="R26" s="13">
        <f>IFERROR(_xlfn.XLOOKUP(Selectivo[[#This Row],[DNI]],_VF2025[DNI],_VF2025[R3]),"70 DNC")</f>
        <v>9</v>
      </c>
      <c r="S26" s="13">
        <f>IFERROR(_xlfn.XLOOKUP(Selectivo[[#This Row],[DNI]],_VF2025[DNI],_VF2025[R4]),"70 DNC")</f>
        <v>4</v>
      </c>
      <c r="T26" s="13">
        <f>IFERROR(_xlfn.XLOOKUP(Selectivo[[#This Row],[DNI]],_VF2025[DNI],_VF2025[R5]),"70 DNC")</f>
        <v>17</v>
      </c>
      <c r="U26" s="13">
        <f>IFERROR(_xlfn.XLOOKUP(Selectivo[[#This Row],[DNI]],_VF2025[DNI],_VF2025[R6]),"70 DNC")</f>
        <v>15</v>
      </c>
      <c r="V26" s="13" t="str" cm="1">
        <f t="array" ref="V26">IFERROR(_xlfn.XLOOKUP(Selectivo[[#This Row],[Vela]],_xlfn.NUMBERVALUE(SIL25v2[Sail '#]),SIL25v2[1]),"90 DNC")</f>
        <v>3</v>
      </c>
      <c r="W26" s="13" t="str" cm="1">
        <f t="array" ref="W26">IFERROR(_xlfn.XLOOKUP(Selectivo[[#This Row],[Vela]],_xlfn.NUMBERVALUE(SIL25v2[Sail '#]),SIL25v2[2]),"90 DNC")</f>
        <v>3</v>
      </c>
      <c r="X26" s="13" t="str" cm="1">
        <f t="array" ref="X26">IFERROR(_xlfn.XLOOKUP(Selectivo[[#This Row],[Vela]],_xlfn.NUMBERVALUE(SIL25v2[Sail '#]),SIL25v2[3]),"90 DNC")</f>
        <v>12</v>
      </c>
      <c r="Y26" s="13" t="str" cm="1">
        <f t="array" ref="Y26">IFERROR(_xlfn.XLOOKUP(Selectivo[[#This Row],[Vela]],_xlfn.NUMBERVALUE(SIL25v2[Sail '#]),SIL25v2[4]),"90 DNC")</f>
        <v>17</v>
      </c>
      <c r="Z26" s="13" t="str" cm="1">
        <f t="array" ref="Z26">IFERROR(_xlfn.XLOOKUP(Selectivo[[#This Row],[Vela]],_xlfn.NUMBERVALUE(SIL25v2[Sail '#]),SIL25v2[5]),"90 DNC")</f>
        <v>12</v>
      </c>
      <c r="AA26" s="13" t="str" cm="1">
        <f t="array" ref="AA26">IFERROR(_xlfn.XLOOKUP(Selectivo[[#This Row],[Vela]],_xlfn.NUMBERVALUE(SIL25v2[Sail '#]),SIL25v2[6]),"90 DNC")</f>
        <v>15</v>
      </c>
      <c r="AB26" s="8" cm="1">
        <f t="array" ref="AB26">SUM(IFERROR(VALUE(LEFT(Regatas, FIND(" ",Regatas&amp; " ") - 1)), 0))</f>
        <v>381</v>
      </c>
      <c r="AC26" s="9" cm="1">
        <f t="array" ref="AC2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249</v>
      </c>
      <c r="AD26" s="6">
        <f>SMALL(RegatasN,1)</f>
        <v>3</v>
      </c>
      <c r="AE26" s="6">
        <f>SMALL(RegatasN,2)</f>
        <v>3</v>
      </c>
      <c r="AF26" s="6">
        <f>SMALL(RegatasN,3)</f>
        <v>4</v>
      </c>
      <c r="AG26" s="5" cm="1">
        <f t="array" ref="AG26">COUNTIF(Regatas,SMALL(Regatas,1))</f>
        <v>2</v>
      </c>
      <c r="AH26" s="6" cm="1">
        <f t="array" ref="AH26">VALUE(LEFT(INDEX(Selectivo[#This Row],,MATCH(Selectivo[[#Headers],[Total]],Selectivo[#Headers],0)-1),SEARCH(" ",INDEX(Selectivo[#This Row],,MATCH(Selectivo[[#Headers],[Total]],Selectivo[#Headers],0)-1)&amp;" ")-1))</f>
        <v>15</v>
      </c>
    </row>
    <row r="27" spans="1:34" x14ac:dyDescent="0.25">
      <c r="A27">
        <v>51431844</v>
      </c>
      <c r="B27" s="10">
        <f>ROW()-ROW(Selectivo[[#Headers],[Pos]])</f>
        <v>21</v>
      </c>
      <c r="C27" s="5">
        <v>4133</v>
      </c>
      <c r="D27" t="s">
        <v>651</v>
      </c>
      <c r="E27" t="s">
        <v>26</v>
      </c>
      <c r="F27" s="13">
        <f>IFERROR(_xlfn.XLOOKUP(Selectivo[[#This Row],[DNI]],_SIY[DNI],_SIY[R1]),"78 DNC")</f>
        <v>13</v>
      </c>
      <c r="G27" s="12" t="str">
        <f>IFERROR(_xlfn.XLOOKUP(Selectivo[[#This Row],[DNI]],_SIY[DNI],_SIY[R2]),"78 DNC")</f>
        <v>77 BFD</v>
      </c>
      <c r="H27" s="13">
        <f>IFERROR(_xlfn.XLOOKUP(Selectivo[[#This Row],[DNI]],_SIY[DNI],_SIY[R3]),"78 DNC")</f>
        <v>10</v>
      </c>
      <c r="I27" s="13">
        <f>IFERROR(_xlfn.XLOOKUP(Selectivo[[#This Row],[DNI]],_SIY[DNI],_SIY[R4]),"78 DNC")</f>
        <v>28</v>
      </c>
      <c r="J27" s="13">
        <f>IFERROR(_xlfn.XLOOKUP(Selectivo[[#This Row],[DNI]],_SIY[DNI],_SIY[R5]),"78 DNC")</f>
        <v>24</v>
      </c>
      <c r="K27" s="13">
        <f>IFERROR(_xlfn.XLOOKUP(Selectivo[[#This Row],[DNI]],_SIY[DNI],_SIY[R6]),"78 DNC")</f>
        <v>12</v>
      </c>
      <c r="L27" s="13">
        <f>IFERROR(_xlfn.XLOOKUP(Selectivo[[#This Row],[DNI]],_SIY[DNI],_SIY[R7]),"78 DNC")</f>
        <v>15</v>
      </c>
      <c r="M27" s="13">
        <f>IFERROR(_xlfn.XLOOKUP(Selectivo[[#This Row],[DNI]],_SIY[DNI],_SIY[R8]),"78 DNC")</f>
        <v>18</v>
      </c>
      <c r="N27" s="13">
        <f>IFERROR(_xlfn.XLOOKUP(Selectivo[[#This Row],[DNI]],_SIY[DNI],_SIY[R9]),"78 DNC")</f>
        <v>1</v>
      </c>
      <c r="O27" s="13">
        <f>IFERROR(_xlfn.XLOOKUP(Selectivo[[#This Row],[DNI]],_SIY[DNI],_SIY[R10]),"78 DNC")</f>
        <v>18</v>
      </c>
      <c r="P27" s="13">
        <f>IFERROR(_xlfn.XLOOKUP(Selectivo[[#This Row],[DNI]],_VF2025[DNI],_VF2025[R1]),"70 DNC")</f>
        <v>22</v>
      </c>
      <c r="Q27" s="13">
        <f>IFERROR(_xlfn.XLOOKUP(Selectivo[[#This Row],[DNI]],_VF2025[DNI],_VF2025[R2]),"70 DNC")</f>
        <v>1</v>
      </c>
      <c r="R27" s="13">
        <f>IFERROR(_xlfn.XLOOKUP(Selectivo[[#This Row],[DNI]],_VF2025[DNI],_VF2025[R3]),"70 DNC")</f>
        <v>11</v>
      </c>
      <c r="S27" s="13">
        <f>IFERROR(_xlfn.XLOOKUP(Selectivo[[#This Row],[DNI]],_VF2025[DNI],_VF2025[R4]),"70 DNC")</f>
        <v>6</v>
      </c>
      <c r="T27" s="12">
        <f>IFERROR(_xlfn.XLOOKUP(Selectivo[[#This Row],[DNI]],_VF2025[DNI],_VF2025[R5]),"70 DNC")</f>
        <v>31</v>
      </c>
      <c r="U27" s="13">
        <f>IFERROR(_xlfn.XLOOKUP(Selectivo[[#This Row],[DNI]],_VF2025[DNI],_VF2025[R6]),"70 DNC")</f>
        <v>23</v>
      </c>
      <c r="V27" s="13" t="str" cm="1">
        <f t="array" ref="V27">IFERROR(_xlfn.XLOOKUP(Selectivo[[#This Row],[Vela]],_xlfn.NUMBERVALUE(SIL25v2[Sail '#]),SIL25v2[1]),"90 DNC")</f>
        <v>10</v>
      </c>
      <c r="W27" s="13" t="str" cm="1">
        <f t="array" ref="W27">IFERROR(_xlfn.XLOOKUP(Selectivo[[#This Row],[Vela]],_xlfn.NUMBERVALUE(SIL25v2[Sail '#]),SIL25v2[2]),"90 DNC")</f>
        <v>12</v>
      </c>
      <c r="X27" s="12" t="str" cm="1">
        <f t="array" ref="X27">IFERROR(_xlfn.XLOOKUP(Selectivo[[#This Row],[Vela]],_xlfn.NUMBERVALUE(SIL25v2[Sail '#]),SIL25v2[3]),"90 DNC")</f>
        <v>89 BFD</v>
      </c>
      <c r="Y27" s="13" t="str" cm="1">
        <f t="array" ref="Y27">IFERROR(_xlfn.XLOOKUP(Selectivo[[#This Row],[Vela]],_xlfn.NUMBERVALUE(SIL25v2[Sail '#]),SIL25v2[4]),"90 DNC")</f>
        <v>2</v>
      </c>
      <c r="Z27" s="13" t="str" cm="1">
        <f t="array" ref="Z27">IFERROR(_xlfn.XLOOKUP(Selectivo[[#This Row],[Vela]],_xlfn.NUMBERVALUE(SIL25v2[Sail '#]),SIL25v2[5]),"90 DNC")</f>
        <v>15</v>
      </c>
      <c r="AA27" s="13" t="str" cm="1">
        <f t="array" ref="AA27">IFERROR(_xlfn.XLOOKUP(Selectivo[[#This Row],[Vela]],_xlfn.NUMBERVALUE(SIL25v2[Sail '#]),SIL25v2[6]),"90 DNC")</f>
        <v>9</v>
      </c>
      <c r="AB27" s="8" cm="1">
        <f t="array" ref="AB27">SUM(IFERROR(VALUE(LEFT(Regatas, FIND(" ",Regatas&amp; " ") - 1)), 0))</f>
        <v>447</v>
      </c>
      <c r="AC27" s="9" cm="1">
        <f t="array" ref="AC2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250</v>
      </c>
      <c r="AD27" s="6">
        <f>SMALL(RegatasN,1)</f>
        <v>1</v>
      </c>
      <c r="AE27" s="6">
        <f>SMALL(RegatasN,2)</f>
        <v>1</v>
      </c>
      <c r="AF27" s="6">
        <f>SMALL(RegatasN,3)</f>
        <v>2</v>
      </c>
      <c r="AG27" s="5" cm="1">
        <f t="array" ref="AG27">COUNTIF(Regatas,SMALL(Regatas,1))</f>
        <v>2</v>
      </c>
      <c r="AH27" s="6" cm="1">
        <f t="array" ref="AH27">VALUE(LEFT(INDEX(Selectivo[#This Row],,MATCH(Selectivo[[#Headers],[Total]],Selectivo[#Headers],0)-1),SEARCH(" ",INDEX(Selectivo[#This Row],,MATCH(Selectivo[[#Headers],[Total]],Selectivo[#Headers],0)-1)&amp;" ")-1))</f>
        <v>9</v>
      </c>
    </row>
    <row r="28" spans="1:34" x14ac:dyDescent="0.25">
      <c r="A28">
        <v>50241942</v>
      </c>
      <c r="B28" s="10">
        <f>ROW()-ROW(Selectivo[[#Headers],[Pos]])</f>
        <v>22</v>
      </c>
      <c r="C28" s="5">
        <v>4220</v>
      </c>
      <c r="D28" t="s">
        <v>747</v>
      </c>
      <c r="E28" t="s">
        <v>71</v>
      </c>
      <c r="F28" s="13">
        <f>IFERROR(_xlfn.XLOOKUP(Selectivo[[#This Row],[DNI]],_SIY[DNI],_SIY[R1]),"78 DNC")</f>
        <v>14</v>
      </c>
      <c r="G28" s="13">
        <f>IFERROR(_xlfn.XLOOKUP(Selectivo[[#This Row],[DNI]],_SIY[DNI],_SIY[R2]),"78 DNC")</f>
        <v>6</v>
      </c>
      <c r="H28" s="13">
        <f>IFERROR(_xlfn.XLOOKUP(Selectivo[[#This Row],[DNI]],_SIY[DNI],_SIY[R3]),"78 DNC")</f>
        <v>23</v>
      </c>
      <c r="I28" s="13">
        <f>IFERROR(_xlfn.XLOOKUP(Selectivo[[#This Row],[DNI]],_SIY[DNI],_SIY[R4]),"78 DNC")</f>
        <v>7</v>
      </c>
      <c r="J28" s="13">
        <f>IFERROR(_xlfn.XLOOKUP(Selectivo[[#This Row],[DNI]],_SIY[DNI],_SIY[R5]),"78 DNC")</f>
        <v>6</v>
      </c>
      <c r="K28" s="13">
        <f>IFERROR(_xlfn.XLOOKUP(Selectivo[[#This Row],[DNI]],_SIY[DNI],_SIY[R6]),"78 DNC")</f>
        <v>5</v>
      </c>
      <c r="L28" s="13">
        <f>IFERROR(_xlfn.XLOOKUP(Selectivo[[#This Row],[DNI]],_SIY[DNI],_SIY[R7]),"78 DNC")</f>
        <v>7</v>
      </c>
      <c r="M28" s="13">
        <f>IFERROR(_xlfn.XLOOKUP(Selectivo[[#This Row],[DNI]],_SIY[DNI],_SIY[R8]),"78 DNC")</f>
        <v>2</v>
      </c>
      <c r="N28" s="13">
        <f>IFERROR(_xlfn.XLOOKUP(Selectivo[[#This Row],[DNI]],_SIY[DNI],_SIY[R9]),"78 DNC")</f>
        <v>23</v>
      </c>
      <c r="O28" s="13">
        <f>IFERROR(_xlfn.XLOOKUP(Selectivo[[#This Row],[DNI]],_SIY[DNI],_SIY[R10]),"78 DNC")</f>
        <v>24</v>
      </c>
      <c r="P28" s="13">
        <f>IFERROR(_xlfn.XLOOKUP(Selectivo[[#This Row],[DNI]],_VF2025[DNI],_VF2025[R1]),"70 DNC")</f>
        <v>26</v>
      </c>
      <c r="Q28" s="13">
        <f>IFERROR(_xlfn.XLOOKUP(Selectivo[[#This Row],[DNI]],_VF2025[DNI],_VF2025[R2]),"70 DNC")</f>
        <v>7</v>
      </c>
      <c r="R28" s="13">
        <f>IFERROR(_xlfn.XLOOKUP(Selectivo[[#This Row],[DNI]],_VF2025[DNI],_VF2025[R3]),"70 DNC")</f>
        <v>19</v>
      </c>
      <c r="S28" s="13">
        <f>IFERROR(_xlfn.XLOOKUP(Selectivo[[#This Row],[DNI]],_VF2025[DNI],_VF2025[R4]),"70 DNC")</f>
        <v>8</v>
      </c>
      <c r="T28" s="13">
        <f>IFERROR(_xlfn.XLOOKUP(Selectivo[[#This Row],[DNI]],_VF2025[DNI],_VF2025[R5]),"70 DNC")</f>
        <v>5</v>
      </c>
      <c r="U28" s="13">
        <f>IFERROR(_xlfn.XLOOKUP(Selectivo[[#This Row],[DNI]],_VF2025[DNI],_VF2025[R6]),"70 DNC")</f>
        <v>15</v>
      </c>
      <c r="V28" s="12" t="str" cm="1">
        <f t="array" ref="V28">IFERROR(_xlfn.XLOOKUP(Selectivo[[#This Row],[Vela]],_xlfn.NUMBERVALUE(SIL25v2[Sail '#]),SIL25v2[1]),"90 DNC")</f>
        <v>33</v>
      </c>
      <c r="W28" s="12" t="str" cm="1">
        <f t="array" ref="W28">IFERROR(_xlfn.XLOOKUP(Selectivo[[#This Row],[Vela]],_xlfn.NUMBERVALUE(SIL25v2[Sail '#]),SIL25v2[2]),"90 DNC")</f>
        <v>34</v>
      </c>
      <c r="X28" s="12" t="str" cm="1">
        <f t="array" ref="X28">IFERROR(_xlfn.XLOOKUP(Selectivo[[#This Row],[Vela]],_xlfn.NUMBERVALUE(SIL25v2[Sail '#]),SIL25v2[3]),"90 DNC")</f>
        <v>89 BFD</v>
      </c>
      <c r="Y28" s="13" t="str" cm="1">
        <f t="array" ref="Y28">IFERROR(_xlfn.XLOOKUP(Selectivo[[#This Row],[Vela]],_xlfn.NUMBERVALUE(SIL25v2[Sail '#]),SIL25v2[4]),"90 DNC")</f>
        <v>28</v>
      </c>
      <c r="Z28" s="13" t="str" cm="1">
        <f t="array" ref="Z28">IFERROR(_xlfn.XLOOKUP(Selectivo[[#This Row],[Vela]],_xlfn.NUMBERVALUE(SIL25v2[Sail '#]),SIL25v2[5]),"90 DNC")</f>
        <v>16</v>
      </c>
      <c r="AA28" s="13" t="str" cm="1">
        <f t="array" ref="AA28">IFERROR(_xlfn.XLOOKUP(Selectivo[[#This Row],[Vela]],_xlfn.NUMBERVALUE(SIL25v2[Sail '#]),SIL25v2[6]),"90 DNC")</f>
        <v>16</v>
      </c>
      <c r="AB28" s="8" cm="1">
        <f t="array" ref="AB28">SUM(IFERROR(VALUE(LEFT(Regatas, FIND(" ",Regatas&amp; " ") - 1)), 0))</f>
        <v>413</v>
      </c>
      <c r="AC28" s="9" cm="1">
        <f t="array" ref="AC2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257</v>
      </c>
      <c r="AD28" s="6">
        <f>SMALL(RegatasN,1)</f>
        <v>2</v>
      </c>
      <c r="AE28" s="6">
        <f>SMALL(RegatasN,2)</f>
        <v>5</v>
      </c>
      <c r="AF28" s="6">
        <f>SMALL(RegatasN,3)</f>
        <v>5</v>
      </c>
      <c r="AG28" s="5" cm="1">
        <f t="array" ref="AG28">COUNTIF(Regatas,SMALL(Regatas,1))</f>
        <v>1</v>
      </c>
      <c r="AH28" s="6" cm="1">
        <f t="array" ref="AH28">VALUE(LEFT(INDEX(Selectivo[#This Row],,MATCH(Selectivo[[#Headers],[Total]],Selectivo[#Headers],0)-1),SEARCH(" ",INDEX(Selectivo[#This Row],,MATCH(Selectivo[[#Headers],[Total]],Selectivo[#Headers],0)-1)&amp;" ")-1))</f>
        <v>16</v>
      </c>
    </row>
    <row r="29" spans="1:34" x14ac:dyDescent="0.25">
      <c r="A29">
        <v>51125616</v>
      </c>
      <c r="B29" s="10">
        <f>ROW()-ROW(Selectivo[[#Headers],[Pos]])</f>
        <v>23</v>
      </c>
      <c r="C29" s="5">
        <v>4126</v>
      </c>
      <c r="D29" t="s">
        <v>652</v>
      </c>
      <c r="E29" t="s">
        <v>26</v>
      </c>
      <c r="F29" s="13">
        <f>IFERROR(_xlfn.XLOOKUP(Selectivo[[#This Row],[DNI]],_SIY[DNI],_SIY[R1]),"78 DNC")</f>
        <v>28</v>
      </c>
      <c r="G29" s="12" t="str">
        <f>IFERROR(_xlfn.XLOOKUP(Selectivo[[#This Row],[DNI]],_SIY[DNI],_SIY[R2]),"78 DNC")</f>
        <v>77 DNC</v>
      </c>
      <c r="H29" s="13">
        <f>IFERROR(_xlfn.XLOOKUP(Selectivo[[#This Row],[DNI]],_SIY[DNI],_SIY[R3]),"78 DNC")</f>
        <v>13</v>
      </c>
      <c r="I29" s="13">
        <f>IFERROR(_xlfn.XLOOKUP(Selectivo[[#This Row],[DNI]],_SIY[DNI],_SIY[R4]),"78 DNC")</f>
        <v>12</v>
      </c>
      <c r="J29" s="13">
        <f>IFERROR(_xlfn.XLOOKUP(Selectivo[[#This Row],[DNI]],_SIY[DNI],_SIY[R5]),"78 DNC")</f>
        <v>12</v>
      </c>
      <c r="K29" s="13">
        <f>IFERROR(_xlfn.XLOOKUP(Selectivo[[#This Row],[DNI]],_SIY[DNI],_SIY[R6]),"78 DNC")</f>
        <v>9</v>
      </c>
      <c r="L29" s="13">
        <f>IFERROR(_xlfn.XLOOKUP(Selectivo[[#This Row],[DNI]],_SIY[DNI],_SIY[R7]),"78 DNC")</f>
        <v>20</v>
      </c>
      <c r="M29" s="13">
        <f>IFERROR(_xlfn.XLOOKUP(Selectivo[[#This Row],[DNI]],_SIY[DNI],_SIY[R8]),"78 DNC")</f>
        <v>14</v>
      </c>
      <c r="N29" s="12">
        <f>IFERROR(_xlfn.XLOOKUP(Selectivo[[#This Row],[DNI]],_SIY[DNI],_SIY[R9]),"78 DNC")</f>
        <v>30</v>
      </c>
      <c r="O29" s="13">
        <f>IFERROR(_xlfn.XLOOKUP(Selectivo[[#This Row],[DNI]],_SIY[DNI],_SIY[R10]),"78 DNC")</f>
        <v>24</v>
      </c>
      <c r="P29" s="13">
        <f>IFERROR(_xlfn.XLOOKUP(Selectivo[[#This Row],[DNI]],_VF2025[DNI],_VF2025[R1]),"70 DNC")</f>
        <v>19</v>
      </c>
      <c r="Q29" s="13">
        <f>IFERROR(_xlfn.XLOOKUP(Selectivo[[#This Row],[DNI]],_VF2025[DNI],_VF2025[R2]),"70 DNC")</f>
        <v>3</v>
      </c>
      <c r="R29" s="13">
        <f>IFERROR(_xlfn.XLOOKUP(Selectivo[[#This Row],[DNI]],_VF2025[DNI],_VF2025[R3]),"70 DNC")</f>
        <v>13</v>
      </c>
      <c r="S29" s="12" t="str">
        <f>IFERROR(_xlfn.XLOOKUP(Selectivo[[#This Row],[DNI]],_VF2025[DNI],_VF2025[R4]),"70 DNC")</f>
        <v>70 DSQ</v>
      </c>
      <c r="T29" s="13">
        <f>IFERROR(_xlfn.XLOOKUP(Selectivo[[#This Row],[DNI]],_VF2025[DNI],_VF2025[R5]),"70 DNC")</f>
        <v>13</v>
      </c>
      <c r="U29" s="13">
        <f>IFERROR(_xlfn.XLOOKUP(Selectivo[[#This Row],[DNI]],_VF2025[DNI],_VF2025[R6]),"70 DNC")</f>
        <v>3</v>
      </c>
      <c r="V29" s="13" t="str" cm="1">
        <f t="array" ref="V29">IFERROR(_xlfn.XLOOKUP(Selectivo[[#This Row],[Vela]],_xlfn.NUMBERVALUE(SIL25v2[Sail '#]),SIL25v2[1]),"90 DNC")</f>
        <v>13</v>
      </c>
      <c r="W29" s="13" t="str" cm="1">
        <f t="array" ref="W29">IFERROR(_xlfn.XLOOKUP(Selectivo[[#This Row],[Vela]],_xlfn.NUMBERVALUE(SIL25v2[Sail '#]),SIL25v2[2]),"90 DNC")</f>
        <v>7</v>
      </c>
      <c r="X29" s="13" t="str" cm="1">
        <f t="array" ref="X29">IFERROR(_xlfn.XLOOKUP(Selectivo[[#This Row],[Vela]],_xlfn.NUMBERVALUE(SIL25v2[Sail '#]),SIL25v2[3]),"90 DNC")</f>
        <v>14</v>
      </c>
      <c r="Y29" s="13" t="str" cm="1">
        <f t="array" ref="Y29">IFERROR(_xlfn.XLOOKUP(Selectivo[[#This Row],[Vela]],_xlfn.NUMBERVALUE(SIL25v2[Sail '#]),SIL25v2[4]),"90 DNC")</f>
        <v>11</v>
      </c>
      <c r="Z29" s="13" t="str" cm="1">
        <f t="array" ref="Z29">IFERROR(_xlfn.XLOOKUP(Selectivo[[#This Row],[Vela]],_xlfn.NUMBERVALUE(SIL25v2[Sail '#]),SIL25v2[5]),"90 DNC")</f>
        <v>19</v>
      </c>
      <c r="AA29" s="13" t="str" cm="1">
        <f t="array" ref="AA29">IFERROR(_xlfn.XLOOKUP(Selectivo[[#This Row],[Vela]],_xlfn.NUMBERVALUE(SIL25v2[Sail '#]),SIL25v2[6]),"90 DNC")</f>
        <v>11</v>
      </c>
      <c r="AB29" s="8" cm="1">
        <f t="array" ref="AB29">SUM(IFERROR(VALUE(LEFT(Regatas, FIND(" ",Regatas&amp; " ") - 1)), 0))</f>
        <v>435</v>
      </c>
      <c r="AC29" s="9" cm="1">
        <f t="array" ref="AC2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258</v>
      </c>
      <c r="AD29" s="6">
        <f>SMALL(RegatasN,1)</f>
        <v>3</v>
      </c>
      <c r="AE29" s="6">
        <f>SMALL(RegatasN,2)</f>
        <v>3</v>
      </c>
      <c r="AF29" s="6">
        <f>SMALL(RegatasN,3)</f>
        <v>7</v>
      </c>
      <c r="AG29" s="5" cm="1">
        <f t="array" ref="AG29">COUNTIF(Regatas,SMALL(Regatas,1))</f>
        <v>2</v>
      </c>
      <c r="AH29" s="6" cm="1">
        <f t="array" ref="AH29">VALUE(LEFT(INDEX(Selectivo[#This Row],,MATCH(Selectivo[[#Headers],[Total]],Selectivo[#Headers],0)-1),SEARCH(" ",INDEX(Selectivo[#This Row],,MATCH(Selectivo[[#Headers],[Total]],Selectivo[#Headers],0)-1)&amp;" ")-1))</f>
        <v>11</v>
      </c>
    </row>
    <row r="30" spans="1:34" x14ac:dyDescent="0.25">
      <c r="A30">
        <v>52454232</v>
      </c>
      <c r="B30" s="10">
        <f>ROW()-ROW(Selectivo[[#Headers],[Pos]])</f>
        <v>24</v>
      </c>
      <c r="C30" s="5">
        <v>4205</v>
      </c>
      <c r="D30" t="s">
        <v>685</v>
      </c>
      <c r="E30" t="s">
        <v>5</v>
      </c>
      <c r="F30" s="13">
        <f>IFERROR(_xlfn.XLOOKUP(Selectivo[[#This Row],[DNI]],_SIY[DNI],_SIY[R1]),"78 DNC")</f>
        <v>15</v>
      </c>
      <c r="G30" s="13">
        <f>IFERROR(_xlfn.XLOOKUP(Selectivo[[#This Row],[DNI]],_SIY[DNI],_SIY[R2]),"78 DNC")</f>
        <v>12</v>
      </c>
      <c r="H30" s="13">
        <f>IFERROR(_xlfn.XLOOKUP(Selectivo[[#This Row],[DNI]],_SIY[DNI],_SIY[R3]),"78 DNC")</f>
        <v>17</v>
      </c>
      <c r="I30" s="13">
        <f>IFERROR(_xlfn.XLOOKUP(Selectivo[[#This Row],[DNI]],_SIY[DNI],_SIY[R4]),"78 DNC")</f>
        <v>11</v>
      </c>
      <c r="J30" s="13">
        <f>IFERROR(_xlfn.XLOOKUP(Selectivo[[#This Row],[DNI]],_SIY[DNI],_SIY[R5]),"78 DNC")</f>
        <v>9</v>
      </c>
      <c r="K30" s="13">
        <f>IFERROR(_xlfn.XLOOKUP(Selectivo[[#This Row],[DNI]],_SIY[DNI],_SIY[R6]),"78 DNC")</f>
        <v>13</v>
      </c>
      <c r="L30" s="13">
        <f>IFERROR(_xlfn.XLOOKUP(Selectivo[[#This Row],[DNI]],_SIY[DNI],_SIY[R7]),"78 DNC")</f>
        <v>10</v>
      </c>
      <c r="M30" s="13">
        <f>IFERROR(_xlfn.XLOOKUP(Selectivo[[#This Row],[DNI]],_SIY[DNI],_SIY[R8]),"78 DNC")</f>
        <v>3</v>
      </c>
      <c r="N30" s="13">
        <f>IFERROR(_xlfn.XLOOKUP(Selectivo[[#This Row],[DNI]],_SIY[DNI],_SIY[R9]),"78 DNC")</f>
        <v>14</v>
      </c>
      <c r="O30" s="13">
        <f>IFERROR(_xlfn.XLOOKUP(Selectivo[[#This Row],[DNI]],_SIY[DNI],_SIY[R10]),"78 DNC")</f>
        <v>22</v>
      </c>
      <c r="P30" s="12" t="str">
        <f>IFERROR(_xlfn.XLOOKUP(Selectivo[[#This Row],[DNI]],_VF2025[DNI],_VF2025[R1]),"70 DNC")</f>
        <v>70 DSQ</v>
      </c>
      <c r="Q30" s="13">
        <f>IFERROR(_xlfn.XLOOKUP(Selectivo[[#This Row],[DNI]],_VF2025[DNI],_VF2025[R2]),"70 DNC")</f>
        <v>13</v>
      </c>
      <c r="R30" s="13">
        <f>IFERROR(_xlfn.XLOOKUP(Selectivo[[#This Row],[DNI]],_VF2025[DNI],_VF2025[R3]),"70 DNC")</f>
        <v>3</v>
      </c>
      <c r="S30" s="13">
        <f>IFERROR(_xlfn.XLOOKUP(Selectivo[[#This Row],[DNI]],_VF2025[DNI],_VF2025[R4]),"70 DNC")</f>
        <v>16</v>
      </c>
      <c r="T30" s="12" t="str">
        <f>IFERROR(_xlfn.XLOOKUP(Selectivo[[#This Row],[DNI]],_VF2025[DNI],_VF2025[R5]),"70 DNC")</f>
        <v>70 DNF</v>
      </c>
      <c r="U30" s="13">
        <f>IFERROR(_xlfn.XLOOKUP(Selectivo[[#This Row],[DNI]],_VF2025[DNI],_VF2025[R6]),"70 DNC")</f>
        <v>12</v>
      </c>
      <c r="V30" s="12" t="str" cm="1">
        <f t="array" ref="V30">IFERROR(_xlfn.XLOOKUP(Selectivo[[#This Row],[Vela]],_xlfn.NUMBERVALUE(SIL25v2[Sail '#]),SIL25v2[1]),"90 DNC")</f>
        <v>89 BFD</v>
      </c>
      <c r="W30" s="13" t="str" cm="1">
        <f t="array" ref="W30">IFERROR(_xlfn.XLOOKUP(Selectivo[[#This Row],[Vela]],_xlfn.NUMBERVALUE(SIL25v2[Sail '#]),SIL25v2[2]),"90 DNC")</f>
        <v>22</v>
      </c>
      <c r="X30" s="13" t="str" cm="1">
        <f t="array" ref="X30">IFERROR(_xlfn.XLOOKUP(Selectivo[[#This Row],[Vela]],_xlfn.NUMBERVALUE(SIL25v2[Sail '#]),SIL25v2[3]),"90 DNC")</f>
        <v>14</v>
      </c>
      <c r="Y30" s="13" t="str" cm="1">
        <f t="array" ref="Y30">IFERROR(_xlfn.XLOOKUP(Selectivo[[#This Row],[Vela]],_xlfn.NUMBERVALUE(SIL25v2[Sail '#]),SIL25v2[4]),"90 DNC")</f>
        <v>29</v>
      </c>
      <c r="Z30" s="13" t="str" cm="1">
        <f t="array" ref="Z30">IFERROR(_xlfn.XLOOKUP(Selectivo[[#This Row],[Vela]],_xlfn.NUMBERVALUE(SIL25v2[Sail '#]),SIL25v2[5]),"90 DNC")</f>
        <v>27</v>
      </c>
      <c r="AA30" s="13" t="str" cm="1">
        <f t="array" ref="AA30">IFERROR(_xlfn.XLOOKUP(Selectivo[[#This Row],[Vela]],_xlfn.NUMBERVALUE(SIL25v2[Sail '#]),SIL25v2[6]),"90 DNC")</f>
        <v>1</v>
      </c>
      <c r="AB30" s="8" cm="1">
        <f t="array" ref="AB30">SUM(IFERROR(VALUE(LEFT(Regatas, FIND(" ",Regatas&amp; " ") - 1)), 0))</f>
        <v>492</v>
      </c>
      <c r="AC30" s="9" cm="1">
        <f t="array" ref="AC3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263</v>
      </c>
      <c r="AD30" s="6">
        <f>SMALL(RegatasN,1)</f>
        <v>1</v>
      </c>
      <c r="AE30" s="6">
        <f>SMALL(RegatasN,2)</f>
        <v>3</v>
      </c>
      <c r="AF30" s="6">
        <f>SMALL(RegatasN,3)</f>
        <v>3</v>
      </c>
      <c r="AG30" s="5" cm="1">
        <f t="array" ref="AG30">COUNTIF(Regatas,SMALL(Regatas,1))</f>
        <v>2</v>
      </c>
      <c r="AH30" s="6" cm="1">
        <f t="array" ref="AH30">VALUE(LEFT(INDEX(Selectivo[#This Row],,MATCH(Selectivo[[#Headers],[Total]],Selectivo[#Headers],0)-1),SEARCH(" ",INDEX(Selectivo[#This Row],,MATCH(Selectivo[[#Headers],[Total]],Selectivo[#Headers],0)-1)&amp;" ")-1))</f>
        <v>1</v>
      </c>
    </row>
    <row r="31" spans="1:34" x14ac:dyDescent="0.25">
      <c r="A31">
        <v>50416906</v>
      </c>
      <c r="B31" s="10">
        <f>ROW()-ROW(Selectivo[[#Headers],[Pos]])</f>
        <v>25</v>
      </c>
      <c r="C31" s="5">
        <v>4211</v>
      </c>
      <c r="D31" t="s">
        <v>676</v>
      </c>
      <c r="E31" t="s">
        <v>21</v>
      </c>
      <c r="F31" s="13">
        <f>IFERROR(_xlfn.XLOOKUP(Selectivo[[#This Row],[DNI]],_SIY[DNI],_SIY[R1]),"78 DNC")</f>
        <v>7</v>
      </c>
      <c r="G31" s="12" t="str">
        <f>IFERROR(_xlfn.XLOOKUP(Selectivo[[#This Row],[DNI]],_SIY[DNI],_SIY[R2]),"78 DNC")</f>
        <v>77 BFD</v>
      </c>
      <c r="H31" s="13">
        <f>IFERROR(_xlfn.XLOOKUP(Selectivo[[#This Row],[DNI]],_SIY[DNI],_SIY[R3]),"78 DNC")</f>
        <v>2</v>
      </c>
      <c r="I31" s="13">
        <f>IFERROR(_xlfn.XLOOKUP(Selectivo[[#This Row],[DNI]],_SIY[DNI],_SIY[R4]),"78 DNC")</f>
        <v>14</v>
      </c>
      <c r="J31" s="13">
        <f>IFERROR(_xlfn.XLOOKUP(Selectivo[[#This Row],[DNI]],_SIY[DNI],_SIY[R5]),"78 DNC")</f>
        <v>5</v>
      </c>
      <c r="K31" s="13">
        <f>IFERROR(_xlfn.XLOOKUP(Selectivo[[#This Row],[DNI]],_SIY[DNI],_SIY[R6]),"78 DNC")</f>
        <v>13</v>
      </c>
      <c r="L31" s="13">
        <f>IFERROR(_xlfn.XLOOKUP(Selectivo[[#This Row],[DNI]],_SIY[DNI],_SIY[R7]),"78 DNC")</f>
        <v>12</v>
      </c>
      <c r="M31" s="12" t="str">
        <f>IFERROR(_xlfn.XLOOKUP(Selectivo[[#This Row],[DNI]],_SIY[DNI],_SIY[R8]),"78 DNC")</f>
        <v>77 BFD</v>
      </c>
      <c r="N31" s="13">
        <f>IFERROR(_xlfn.XLOOKUP(Selectivo[[#This Row],[DNI]],_SIY[DNI],_SIY[R9]),"78 DNC")</f>
        <v>14</v>
      </c>
      <c r="O31" s="13">
        <f>IFERROR(_xlfn.XLOOKUP(Selectivo[[#This Row],[DNI]],_SIY[DNI],_SIY[R10]),"78 DNC")</f>
        <v>16</v>
      </c>
      <c r="P31" s="13">
        <f>IFERROR(_xlfn.XLOOKUP(Selectivo[[#This Row],[DNI]],_VF2025[DNI],_VF2025[R1]),"70 DNC")</f>
        <v>4</v>
      </c>
      <c r="Q31" s="13">
        <f>IFERROR(_xlfn.XLOOKUP(Selectivo[[#This Row],[DNI]],_VF2025[DNI],_VF2025[R2]),"70 DNC")</f>
        <v>12</v>
      </c>
      <c r="R31" s="13">
        <f>IFERROR(_xlfn.XLOOKUP(Selectivo[[#This Row],[DNI]],_VF2025[DNI],_VF2025[R3]),"70 DNC")</f>
        <v>36</v>
      </c>
      <c r="S31" s="13">
        <f>IFERROR(_xlfn.XLOOKUP(Selectivo[[#This Row],[DNI]],_VF2025[DNI],_VF2025[R4]),"70 DNC")</f>
        <v>12</v>
      </c>
      <c r="T31" s="12" t="str">
        <f>IFERROR(_xlfn.XLOOKUP(Selectivo[[#This Row],[DNI]],_VF2025[DNI],_VF2025[R5]),"70 DNC")</f>
        <v>70 BFD</v>
      </c>
      <c r="U31" s="13">
        <f>IFERROR(_xlfn.XLOOKUP(Selectivo[[#This Row],[DNI]],_VF2025[DNI],_VF2025[R6]),"70 DNC")</f>
        <v>21</v>
      </c>
      <c r="V31" s="13" t="str" cm="1">
        <f t="array" ref="V31">IFERROR(_xlfn.XLOOKUP(Selectivo[[#This Row],[Vela]],_xlfn.NUMBERVALUE(SIL25v2[Sail '#]),SIL25v2[1]),"90 DNC")</f>
        <v>21</v>
      </c>
      <c r="W31" s="13" t="str" cm="1">
        <f t="array" ref="W31">IFERROR(_xlfn.XLOOKUP(Selectivo[[#This Row],[Vela]],_xlfn.NUMBERVALUE(SIL25v2[Sail '#]),SIL25v2[2]),"90 DNC")</f>
        <v>20</v>
      </c>
      <c r="X31" s="13" t="str" cm="1">
        <f t="array" ref="X31">IFERROR(_xlfn.XLOOKUP(Selectivo[[#This Row],[Vela]],_xlfn.NUMBERVALUE(SIL25v2[Sail '#]),SIL25v2[3]),"90 DNC")</f>
        <v>10</v>
      </c>
      <c r="Y31" s="13" t="str" cm="1">
        <f t="array" ref="Y31">IFERROR(_xlfn.XLOOKUP(Selectivo[[#This Row],[Vela]],_xlfn.NUMBERVALUE(SIL25v2[Sail '#]),SIL25v2[4]),"90 DNC")</f>
        <v>32</v>
      </c>
      <c r="Z31" s="13" t="str" cm="1">
        <f t="array" ref="Z31">IFERROR(_xlfn.XLOOKUP(Selectivo[[#This Row],[Vela]],_xlfn.NUMBERVALUE(SIL25v2[Sail '#]),SIL25v2[5]),"90 DNC")</f>
        <v>18</v>
      </c>
      <c r="AA31" s="13" t="str" cm="1">
        <f t="array" ref="AA31">IFERROR(_xlfn.XLOOKUP(Selectivo[[#This Row],[Vela]],_xlfn.NUMBERVALUE(SIL25v2[Sail '#]),SIL25v2[6]),"90 DNC")</f>
        <v>4</v>
      </c>
      <c r="AB31" s="8" cm="1">
        <f t="array" ref="AB31">SUM(IFERROR(VALUE(LEFT(Regatas, FIND(" ",Regatas&amp; " ") - 1)), 0))</f>
        <v>497</v>
      </c>
      <c r="AC31" s="9" cm="1">
        <f t="array" ref="AC3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273</v>
      </c>
      <c r="AD31" s="6">
        <f>SMALL(RegatasN,1)</f>
        <v>2</v>
      </c>
      <c r="AE31" s="6">
        <f>SMALL(RegatasN,2)</f>
        <v>4</v>
      </c>
      <c r="AF31" s="6">
        <f>SMALL(RegatasN,3)</f>
        <v>4</v>
      </c>
      <c r="AG31" s="5" cm="1">
        <f t="array" ref="AG31">COUNTIF(Regatas,SMALL(Regatas,1))</f>
        <v>1</v>
      </c>
      <c r="AH31" s="6" cm="1">
        <f t="array" ref="AH31">VALUE(LEFT(INDEX(Selectivo[#This Row],,MATCH(Selectivo[[#Headers],[Total]],Selectivo[#Headers],0)-1),SEARCH(" ",INDEX(Selectivo[#This Row],,MATCH(Selectivo[[#Headers],[Total]],Selectivo[#Headers],0)-1)&amp;" ")-1))</f>
        <v>4</v>
      </c>
    </row>
    <row r="32" spans="1:34" x14ac:dyDescent="0.25">
      <c r="A32">
        <v>49981664</v>
      </c>
      <c r="B32" s="10">
        <f>ROW()-ROW(Selectivo[[#Headers],[Pos]])</f>
        <v>26</v>
      </c>
      <c r="C32" s="5">
        <v>3712</v>
      </c>
      <c r="D32" t="s">
        <v>642</v>
      </c>
      <c r="E32" t="s">
        <v>26</v>
      </c>
      <c r="F32" s="13">
        <f>IFERROR(_xlfn.XLOOKUP(Selectivo[[#This Row],[DNI]],_SIY[DNI],_SIY[R1]),"78 DNC")</f>
        <v>25</v>
      </c>
      <c r="G32" s="12">
        <f>IFERROR(_xlfn.XLOOKUP(Selectivo[[#This Row],[DNI]],_SIY[DNI],_SIY[R2]),"78 DNC")</f>
        <v>30</v>
      </c>
      <c r="H32" s="12" t="str">
        <f>IFERROR(_xlfn.XLOOKUP(Selectivo[[#This Row],[DNI]],_SIY[DNI],_SIY[R3]),"78 DNC")</f>
        <v>77 DNC</v>
      </c>
      <c r="I32" s="13">
        <f>IFERROR(_xlfn.XLOOKUP(Selectivo[[#This Row],[DNI]],_SIY[DNI],_SIY[R4]),"78 DNC")</f>
        <v>23</v>
      </c>
      <c r="J32" s="13">
        <f>IFERROR(_xlfn.XLOOKUP(Selectivo[[#This Row],[DNI]],_SIY[DNI],_SIY[R5]),"78 DNC")</f>
        <v>24</v>
      </c>
      <c r="K32" s="13">
        <f>IFERROR(_xlfn.XLOOKUP(Selectivo[[#This Row],[DNI]],_SIY[DNI],_SIY[R6]),"78 DNC")</f>
        <v>18</v>
      </c>
      <c r="L32" s="13">
        <f>IFERROR(_xlfn.XLOOKUP(Selectivo[[#This Row],[DNI]],_SIY[DNI],_SIY[R7]),"78 DNC")</f>
        <v>9</v>
      </c>
      <c r="M32" s="13">
        <f>IFERROR(_xlfn.XLOOKUP(Selectivo[[#This Row],[DNI]],_SIY[DNI],_SIY[R8]),"78 DNC")</f>
        <v>25</v>
      </c>
      <c r="N32" s="13">
        <f>IFERROR(_xlfn.XLOOKUP(Selectivo[[#This Row],[DNI]],_SIY[DNI],_SIY[R9]),"78 DNC")</f>
        <v>15</v>
      </c>
      <c r="O32" s="13">
        <f>IFERROR(_xlfn.XLOOKUP(Selectivo[[#This Row],[DNI]],_SIY[DNI],_SIY[R10]),"78 DNC")</f>
        <v>28</v>
      </c>
      <c r="P32" s="12" t="str">
        <f>IFERROR(_xlfn.XLOOKUP(Selectivo[[#This Row],[DNI]],_VF2025[DNI],_VF2025[R1]),"70 DNC")</f>
        <v>70 DNF</v>
      </c>
      <c r="Q32" s="13">
        <f>IFERROR(_xlfn.XLOOKUP(Selectivo[[#This Row],[DNI]],_VF2025[DNI],_VF2025[R2]),"70 DNC")</f>
        <v>16</v>
      </c>
      <c r="R32" s="13">
        <f>IFERROR(_xlfn.XLOOKUP(Selectivo[[#This Row],[DNI]],_VF2025[DNI],_VF2025[R3]),"70 DNC")</f>
        <v>5</v>
      </c>
      <c r="S32" s="13">
        <f>IFERROR(_xlfn.XLOOKUP(Selectivo[[#This Row],[DNI]],_VF2025[DNI],_VF2025[R4]),"70 DNC")</f>
        <v>13</v>
      </c>
      <c r="T32" s="13">
        <f>IFERROR(_xlfn.XLOOKUP(Selectivo[[#This Row],[DNI]],_VF2025[DNI],_VF2025[R5]),"70 DNC")</f>
        <v>25</v>
      </c>
      <c r="U32" s="13">
        <f>IFERROR(_xlfn.XLOOKUP(Selectivo[[#This Row],[DNI]],_VF2025[DNI],_VF2025[R6]),"70 DNC")</f>
        <v>14</v>
      </c>
      <c r="V32" s="13" t="str" cm="1">
        <f t="array" ref="V32">IFERROR(_xlfn.XLOOKUP(Selectivo[[#This Row],[Vela]],_xlfn.NUMBERVALUE(SIL25v2[Sail '#]),SIL25v2[1]),"90 DNC")</f>
        <v>2</v>
      </c>
      <c r="W32" s="13" t="str" cm="1">
        <f t="array" ref="W32">IFERROR(_xlfn.XLOOKUP(Selectivo[[#This Row],[Vela]],_xlfn.NUMBERVALUE(SIL25v2[Sail '#]),SIL25v2[2]),"90 DNC")</f>
        <v>2</v>
      </c>
      <c r="X32" s="13" t="str" cm="1">
        <f t="array" ref="X32">IFERROR(_xlfn.XLOOKUP(Selectivo[[#This Row],[Vela]],_xlfn.NUMBERVALUE(SIL25v2[Sail '#]),SIL25v2[3]),"90 DNC")</f>
        <v>11</v>
      </c>
      <c r="Y32" s="13" t="str" cm="1">
        <f t="array" ref="Y32">IFERROR(_xlfn.XLOOKUP(Selectivo[[#This Row],[Vela]],_xlfn.NUMBERVALUE(SIL25v2[Sail '#]),SIL25v2[4]),"90 DNC")</f>
        <v>14</v>
      </c>
      <c r="Z32" s="13" t="str" cm="1">
        <f t="array" ref="Z32">IFERROR(_xlfn.XLOOKUP(Selectivo[[#This Row],[Vela]],_xlfn.NUMBERVALUE(SIL25v2[Sail '#]),SIL25v2[5]),"90 DNC")</f>
        <v>7</v>
      </c>
      <c r="AA32" s="13" t="str" cm="1">
        <f t="array" ref="AA32">IFERROR(_xlfn.XLOOKUP(Selectivo[[#This Row],[Vela]],_xlfn.NUMBERVALUE(SIL25v2[Sail '#]),SIL25v2[6]),"90 DNC")</f>
        <v>1</v>
      </c>
      <c r="AB32" s="8" cm="1">
        <f t="array" ref="AB32">SUM(IFERROR(VALUE(LEFT(Regatas, FIND(" ",Regatas&amp; " ") - 1)), 0))</f>
        <v>454</v>
      </c>
      <c r="AC32" s="9" cm="1">
        <f t="array" ref="AC3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277</v>
      </c>
      <c r="AD32" s="6">
        <f>SMALL(RegatasN,1)</f>
        <v>1</v>
      </c>
      <c r="AE32" s="6">
        <f>SMALL(RegatasN,2)</f>
        <v>2</v>
      </c>
      <c r="AF32" s="6">
        <f>SMALL(RegatasN,3)</f>
        <v>2</v>
      </c>
      <c r="AG32" s="5" cm="1">
        <f t="array" ref="AG32">COUNTIF(Regatas,SMALL(Regatas,1))</f>
        <v>1</v>
      </c>
      <c r="AH32" s="6" cm="1">
        <f t="array" ref="AH32">VALUE(LEFT(INDEX(Selectivo[#This Row],,MATCH(Selectivo[[#Headers],[Total]],Selectivo[#Headers],0)-1),SEARCH(" ",INDEX(Selectivo[#This Row],,MATCH(Selectivo[[#Headers],[Total]],Selectivo[#Headers],0)-1)&amp;" ")-1))</f>
        <v>1</v>
      </c>
    </row>
    <row r="33" spans="1:34" x14ac:dyDescent="0.25">
      <c r="A33">
        <v>50681138</v>
      </c>
      <c r="B33" s="10">
        <f>ROW()-ROW(Selectivo[[#Headers],[Pos]])</f>
        <v>27</v>
      </c>
      <c r="C33" s="5">
        <v>4148</v>
      </c>
      <c r="D33" t="s">
        <v>733</v>
      </c>
      <c r="E33" t="s">
        <v>26</v>
      </c>
      <c r="F33" s="13">
        <f>IFERROR(_xlfn.XLOOKUP(Selectivo[[#This Row],[DNI]],_SIY[DNI],_SIY[R1]),"78 DNC")</f>
        <v>9</v>
      </c>
      <c r="G33" s="13">
        <f>IFERROR(_xlfn.XLOOKUP(Selectivo[[#This Row],[DNI]],_SIY[DNI],_SIY[R2]),"78 DNC")</f>
        <v>9</v>
      </c>
      <c r="H33" s="13">
        <f>IFERROR(_xlfn.XLOOKUP(Selectivo[[#This Row],[DNI]],_SIY[DNI],_SIY[R3]),"78 DNC")</f>
        <v>16</v>
      </c>
      <c r="I33" s="13">
        <f>IFERROR(_xlfn.XLOOKUP(Selectivo[[#This Row],[DNI]],_SIY[DNI],_SIY[R4]),"78 DNC")</f>
        <v>6</v>
      </c>
      <c r="J33" s="13">
        <f>IFERROR(_xlfn.XLOOKUP(Selectivo[[#This Row],[DNI]],_SIY[DNI],_SIY[R5]),"78 DNC")</f>
        <v>8</v>
      </c>
      <c r="K33" s="13">
        <f>IFERROR(_xlfn.XLOOKUP(Selectivo[[#This Row],[DNI]],_SIY[DNI],_SIY[R6]),"78 DNC")</f>
        <v>8</v>
      </c>
      <c r="L33" s="13">
        <f>IFERROR(_xlfn.XLOOKUP(Selectivo[[#This Row],[DNI]],_SIY[DNI],_SIY[R7]),"78 DNC")</f>
        <v>9</v>
      </c>
      <c r="M33" s="12">
        <f>IFERROR(_xlfn.XLOOKUP(Selectivo[[#This Row],[DNI]],_SIY[DNI],_SIY[R8]),"78 DNC")</f>
        <v>43</v>
      </c>
      <c r="N33" s="13">
        <f>IFERROR(_xlfn.XLOOKUP(Selectivo[[#This Row],[DNI]],_SIY[DNI],_SIY[R9]),"78 DNC")</f>
        <v>20</v>
      </c>
      <c r="O33" s="12">
        <f>IFERROR(_xlfn.XLOOKUP(Selectivo[[#This Row],[DNI]],_SIY[DNI],_SIY[R10]),"78 DNC")</f>
        <v>34</v>
      </c>
      <c r="P33" s="13">
        <f>IFERROR(_xlfn.XLOOKUP(Selectivo[[#This Row],[DNI]],_VF2025[DNI],_VF2025[R1]),"70 DNC")</f>
        <v>33</v>
      </c>
      <c r="Q33" s="13">
        <f>IFERROR(_xlfn.XLOOKUP(Selectivo[[#This Row],[DNI]],_VF2025[DNI],_VF2025[R2]),"70 DNC")</f>
        <v>18</v>
      </c>
      <c r="R33" s="13">
        <f>IFERROR(_xlfn.XLOOKUP(Selectivo[[#This Row],[DNI]],_VF2025[DNI],_VF2025[R3]),"70 DNC")</f>
        <v>29</v>
      </c>
      <c r="S33" s="13">
        <f>IFERROR(_xlfn.XLOOKUP(Selectivo[[#This Row],[DNI]],_VF2025[DNI],_VF2025[R4]),"70 DNC")</f>
        <v>11</v>
      </c>
      <c r="T33" s="13">
        <f>IFERROR(_xlfn.XLOOKUP(Selectivo[[#This Row],[DNI]],_VF2025[DNI],_VF2025[R5]),"70 DNC")</f>
        <v>5</v>
      </c>
      <c r="U33" s="13">
        <f>IFERROR(_xlfn.XLOOKUP(Selectivo[[#This Row],[DNI]],_VF2025[DNI],_VF2025[R6]),"70 DNC")</f>
        <v>2</v>
      </c>
      <c r="V33" s="13" t="str" cm="1">
        <f t="array" ref="V33">IFERROR(_xlfn.XLOOKUP(Selectivo[[#This Row],[Vela]],_xlfn.NUMBERVALUE(SIL25v2[Sail '#]),SIL25v2[1]),"90 DNC")</f>
        <v>10</v>
      </c>
      <c r="W33" s="12" t="str" cm="1">
        <f t="array" ref="W33">IFERROR(_xlfn.XLOOKUP(Selectivo[[#This Row],[Vela]],_xlfn.NUMBERVALUE(SIL25v2[Sail '#]),SIL25v2[2]),"90 DNC")</f>
        <v>66</v>
      </c>
      <c r="X33" s="13" t="str" cm="1">
        <f t="array" ref="X33">IFERROR(_xlfn.XLOOKUP(Selectivo[[#This Row],[Vela]],_xlfn.NUMBERVALUE(SIL25v2[Sail '#]),SIL25v2[3]),"90 DNC")</f>
        <v>34</v>
      </c>
      <c r="Y33" s="13" t="str" cm="1">
        <f t="array" ref="Y33">IFERROR(_xlfn.XLOOKUP(Selectivo[[#This Row],[Vela]],_xlfn.NUMBERVALUE(SIL25v2[Sail '#]),SIL25v2[4]),"90 DNC")</f>
        <v>24</v>
      </c>
      <c r="Z33" s="13" t="str" cm="1">
        <f t="array" ref="Z33">IFERROR(_xlfn.XLOOKUP(Selectivo[[#This Row],[Vela]],_xlfn.NUMBERVALUE(SIL25v2[Sail '#]),SIL25v2[5]),"90 DNC")</f>
        <v>18</v>
      </c>
      <c r="AA33" s="13" t="str" cm="1">
        <f t="array" ref="AA33">IFERROR(_xlfn.XLOOKUP(Selectivo[[#This Row],[Vela]],_xlfn.NUMBERVALUE(SIL25v2[Sail '#]),SIL25v2[6]),"90 DNC")</f>
        <v>12</v>
      </c>
      <c r="AB33" s="8" cm="1">
        <f t="array" ref="AB33">SUM(IFERROR(VALUE(LEFT(Regatas, FIND(" ",Regatas&amp; " ") - 1)), 0))</f>
        <v>424</v>
      </c>
      <c r="AC33" s="9" cm="1">
        <f t="array" ref="AC3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281</v>
      </c>
      <c r="AD33" s="6">
        <f>SMALL(RegatasN,1)</f>
        <v>2</v>
      </c>
      <c r="AE33" s="6">
        <f>SMALL(RegatasN,2)</f>
        <v>5</v>
      </c>
      <c r="AF33" s="6">
        <f>SMALL(RegatasN,3)</f>
        <v>6</v>
      </c>
      <c r="AG33" s="5" cm="1">
        <f t="array" ref="AG33">COUNTIF(Regatas,SMALL(Regatas,1))</f>
        <v>1</v>
      </c>
      <c r="AH33" s="6" cm="1">
        <f t="array" ref="AH33">VALUE(LEFT(INDEX(Selectivo[#This Row],,MATCH(Selectivo[[#Headers],[Total]],Selectivo[#Headers],0)-1),SEARCH(" ",INDEX(Selectivo[#This Row],,MATCH(Selectivo[[#Headers],[Total]],Selectivo[#Headers],0)-1)&amp;" ")-1))</f>
        <v>12</v>
      </c>
    </row>
    <row r="34" spans="1:34" x14ac:dyDescent="0.25">
      <c r="A34">
        <v>50030333</v>
      </c>
      <c r="B34" s="10">
        <f>ROW()-ROW(Selectivo[[#Headers],[Pos]])</f>
        <v>28</v>
      </c>
      <c r="C34" s="5">
        <v>4069</v>
      </c>
      <c r="D34" t="s">
        <v>671</v>
      </c>
      <c r="E34" t="s">
        <v>16</v>
      </c>
      <c r="F34" s="13">
        <f>IFERROR(_xlfn.XLOOKUP(Selectivo[[#This Row],[DNI]],_SIY[DNI],_SIY[R1]),"78 DNC")</f>
        <v>9</v>
      </c>
      <c r="G34" s="13">
        <f>IFERROR(_xlfn.XLOOKUP(Selectivo[[#This Row],[DNI]],_SIY[DNI],_SIY[R2]),"78 DNC")</f>
        <v>2</v>
      </c>
      <c r="H34" s="13">
        <f>IFERROR(_xlfn.XLOOKUP(Selectivo[[#This Row],[DNI]],_SIY[DNI],_SIY[R3]),"78 DNC")</f>
        <v>5</v>
      </c>
      <c r="I34" s="13">
        <f>IFERROR(_xlfn.XLOOKUP(Selectivo[[#This Row],[DNI]],_SIY[DNI],_SIY[R4]),"78 DNC")</f>
        <v>4</v>
      </c>
      <c r="J34" s="13">
        <f>IFERROR(_xlfn.XLOOKUP(Selectivo[[#This Row],[DNI]],_SIY[DNI],_SIY[R5]),"78 DNC")</f>
        <v>12</v>
      </c>
      <c r="K34" s="13">
        <f>IFERROR(_xlfn.XLOOKUP(Selectivo[[#This Row],[DNI]],_SIY[DNI],_SIY[R6]),"78 DNC")</f>
        <v>9</v>
      </c>
      <c r="L34" s="13">
        <f>IFERROR(_xlfn.XLOOKUP(Selectivo[[#This Row],[DNI]],_SIY[DNI],_SIY[R7]),"78 DNC")</f>
        <v>12</v>
      </c>
      <c r="M34" s="13">
        <f>IFERROR(_xlfn.XLOOKUP(Selectivo[[#This Row],[DNI]],_SIY[DNI],_SIY[R8]),"78 DNC")</f>
        <v>15</v>
      </c>
      <c r="N34" s="12">
        <f>IFERROR(_xlfn.XLOOKUP(Selectivo[[#This Row],[DNI]],_SIY[DNI],_SIY[R9]),"78 DNC")</f>
        <v>51</v>
      </c>
      <c r="O34" s="13">
        <f>IFERROR(_xlfn.XLOOKUP(Selectivo[[#This Row],[DNI]],_SIY[DNI],_SIY[R10]),"78 DNC")</f>
        <v>15</v>
      </c>
      <c r="P34" s="12" t="str">
        <f>IFERROR(_xlfn.XLOOKUP(Selectivo[[#This Row],[DNI]],_VF2025[DNI],_VF2025[R1]),"70 DNC")</f>
        <v>70 DNF</v>
      </c>
      <c r="Q34" s="13">
        <f>IFERROR(_xlfn.XLOOKUP(Selectivo[[#This Row],[DNI]],_VF2025[DNI],_VF2025[R2]),"70 DNC")</f>
        <v>13</v>
      </c>
      <c r="R34" s="13">
        <f>IFERROR(_xlfn.XLOOKUP(Selectivo[[#This Row],[DNI]],_VF2025[DNI],_VF2025[R3]),"70 DNC")</f>
        <v>15</v>
      </c>
      <c r="S34" s="13">
        <f>IFERROR(_xlfn.XLOOKUP(Selectivo[[#This Row],[DNI]],_VF2025[DNI],_VF2025[R4]),"70 DNC")</f>
        <v>23</v>
      </c>
      <c r="T34" s="13">
        <f>IFERROR(_xlfn.XLOOKUP(Selectivo[[#This Row],[DNI]],_VF2025[DNI],_VF2025[R5]),"70 DNC")</f>
        <v>3</v>
      </c>
      <c r="U34" s="13">
        <f>IFERROR(_xlfn.XLOOKUP(Selectivo[[#This Row],[DNI]],_VF2025[DNI],_VF2025[R6]),"70 DNC")</f>
        <v>23</v>
      </c>
      <c r="V34" s="13" t="str" cm="1">
        <f t="array" ref="V34">IFERROR(_xlfn.XLOOKUP(Selectivo[[#This Row],[Vela]],_xlfn.NUMBERVALUE(SIL25v2[Sail '#]),SIL25v2[1]),"90 DNC")</f>
        <v>24</v>
      </c>
      <c r="W34" s="13" t="str" cm="1">
        <f t="array" ref="W34">IFERROR(_xlfn.XLOOKUP(Selectivo[[#This Row],[Vela]],_xlfn.NUMBERVALUE(SIL25v2[Sail '#]),SIL25v2[2]),"90 DNC")</f>
        <v>29</v>
      </c>
      <c r="X34" s="13" t="str" cm="1">
        <f t="array" ref="X34">IFERROR(_xlfn.XLOOKUP(Selectivo[[#This Row],[Vela]],_xlfn.NUMBERVALUE(SIL25v2[Sail '#]),SIL25v2[3]),"90 DNC")</f>
        <v>16</v>
      </c>
      <c r="Y34" s="13" t="str" cm="1">
        <f t="array" ref="Y34">IFERROR(_xlfn.XLOOKUP(Selectivo[[#This Row],[Vela]],_xlfn.NUMBERVALUE(SIL25v2[Sail '#]),SIL25v2[4]),"90 DNC")</f>
        <v>46</v>
      </c>
      <c r="Z34" s="13" t="str" cm="1">
        <f t="array" ref="Z34">IFERROR(_xlfn.XLOOKUP(Selectivo[[#This Row],[Vela]],_xlfn.NUMBERVALUE(SIL25v2[Sail '#]),SIL25v2[5]),"90 DNC")</f>
        <v>14</v>
      </c>
      <c r="AA34" s="12" t="str" cm="1">
        <f t="array" ref="AA34">IFERROR(_xlfn.XLOOKUP(Selectivo[[#This Row],[Vela]],_xlfn.NUMBERVALUE(SIL25v2[Sail '#]),SIL25v2[6]),"90 DNC")</f>
        <v>89 BFD</v>
      </c>
      <c r="AB34" s="8" cm="1">
        <f t="array" ref="AB34">SUM(IFERROR(VALUE(LEFT(Regatas, FIND(" ",Regatas&amp; " ") - 1)), 0))</f>
        <v>499</v>
      </c>
      <c r="AC34" s="9" cm="1">
        <f t="array" ref="AC3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289</v>
      </c>
      <c r="AD34" s="6">
        <f>SMALL(RegatasN,1)</f>
        <v>2</v>
      </c>
      <c r="AE34" s="6">
        <f>SMALL(RegatasN,2)</f>
        <v>3</v>
      </c>
      <c r="AF34" s="6">
        <f>SMALL(RegatasN,3)</f>
        <v>4</v>
      </c>
      <c r="AG34" s="5" cm="1">
        <f t="array" ref="AG34">COUNTIF(Regatas,SMALL(Regatas,1))</f>
        <v>1</v>
      </c>
      <c r="AH34" s="6" cm="1">
        <f t="array" ref="AH34">VALUE(LEFT(INDEX(Selectivo[#This Row],,MATCH(Selectivo[[#Headers],[Total]],Selectivo[#Headers],0)-1),SEARCH(" ",INDEX(Selectivo[#This Row],,MATCH(Selectivo[[#Headers],[Total]],Selectivo[#Headers],0)-1)&amp;" ")-1))</f>
        <v>89</v>
      </c>
    </row>
    <row r="35" spans="1:34" x14ac:dyDescent="0.25">
      <c r="A35">
        <v>50417527</v>
      </c>
      <c r="B35" s="10">
        <f>ROW()-ROW(Selectivo[[#Headers],[Pos]])</f>
        <v>29</v>
      </c>
      <c r="C35" s="5">
        <v>4059</v>
      </c>
      <c r="D35" t="s">
        <v>719</v>
      </c>
      <c r="E35" t="s">
        <v>9</v>
      </c>
      <c r="F35" s="13">
        <f>IFERROR(_xlfn.XLOOKUP(Selectivo[[#This Row],[DNI]],_SIY[DNI],_SIY[R1]),"78 DNC")</f>
        <v>20</v>
      </c>
      <c r="G35" s="13">
        <f>IFERROR(_xlfn.XLOOKUP(Selectivo[[#This Row],[DNI]],_SIY[DNI],_SIY[R2]),"78 DNC")</f>
        <v>19</v>
      </c>
      <c r="H35" s="12">
        <f>IFERROR(_xlfn.XLOOKUP(Selectivo[[#This Row],[DNI]],_SIY[DNI],_SIY[R3]),"78 DNC")</f>
        <v>31</v>
      </c>
      <c r="I35" s="13">
        <f>IFERROR(_xlfn.XLOOKUP(Selectivo[[#This Row],[DNI]],_SIY[DNI],_SIY[R4]),"78 DNC")</f>
        <v>18</v>
      </c>
      <c r="J35" s="13">
        <f>IFERROR(_xlfn.XLOOKUP(Selectivo[[#This Row],[DNI]],_SIY[DNI],_SIY[R5]),"78 DNC")</f>
        <v>20</v>
      </c>
      <c r="K35" s="13">
        <f>IFERROR(_xlfn.XLOOKUP(Selectivo[[#This Row],[DNI]],_SIY[DNI],_SIY[R6]),"78 DNC")</f>
        <v>23</v>
      </c>
      <c r="L35" s="13">
        <f>IFERROR(_xlfn.XLOOKUP(Selectivo[[#This Row],[DNI]],_SIY[DNI],_SIY[R7]),"78 DNC")</f>
        <v>14</v>
      </c>
      <c r="M35" s="13">
        <f>IFERROR(_xlfn.XLOOKUP(Selectivo[[#This Row],[DNI]],_SIY[DNI],_SIY[R8]),"78 DNC")</f>
        <v>6</v>
      </c>
      <c r="N35" s="13">
        <f>IFERROR(_xlfn.XLOOKUP(Selectivo[[#This Row],[DNI]],_SIY[DNI],_SIY[R9]),"78 DNC")</f>
        <v>8</v>
      </c>
      <c r="O35" s="13">
        <f>IFERROR(_xlfn.XLOOKUP(Selectivo[[#This Row],[DNI]],_SIY[DNI],_SIY[R10]),"78 DNC")</f>
        <v>27</v>
      </c>
      <c r="P35" s="13">
        <f>IFERROR(_xlfn.XLOOKUP(Selectivo[[#This Row],[DNI]],_VF2025[DNI],_VF2025[R1]),"70 DNC")</f>
        <v>28</v>
      </c>
      <c r="Q35" s="13">
        <f>IFERROR(_xlfn.XLOOKUP(Selectivo[[#This Row],[DNI]],_VF2025[DNI],_VF2025[R2]),"70 DNC")</f>
        <v>25</v>
      </c>
      <c r="R35" s="13">
        <f>IFERROR(_xlfn.XLOOKUP(Selectivo[[#This Row],[DNI]],_VF2025[DNI],_VF2025[R3]),"70 DNC")</f>
        <v>17</v>
      </c>
      <c r="S35" s="13">
        <f>IFERROR(_xlfn.XLOOKUP(Selectivo[[#This Row],[DNI]],_VF2025[DNI],_VF2025[R4]),"70 DNC")</f>
        <v>7</v>
      </c>
      <c r="T35" s="13">
        <f>IFERROR(_xlfn.XLOOKUP(Selectivo[[#This Row],[DNI]],_VF2025[DNI],_VF2025[R5]),"70 DNC")</f>
        <v>9</v>
      </c>
      <c r="U35" s="13">
        <f>IFERROR(_xlfn.XLOOKUP(Selectivo[[#This Row],[DNI]],_VF2025[DNI],_VF2025[R6]),"70 DNC")</f>
        <v>9</v>
      </c>
      <c r="V35" s="12" t="str" cm="1">
        <f t="array" ref="V35">IFERROR(_xlfn.XLOOKUP(Selectivo[[#This Row],[Vela]],_xlfn.NUMBERVALUE(SIL25v2[Sail '#]),SIL25v2[1]),"90 DNC")</f>
        <v>55</v>
      </c>
      <c r="W35" s="12" t="str" cm="1">
        <f t="array" ref="W35">IFERROR(_xlfn.XLOOKUP(Selectivo[[#This Row],[Vela]],_xlfn.NUMBERVALUE(SIL25v2[Sail '#]),SIL25v2[2]),"90 DNC")</f>
        <v>89 UFD</v>
      </c>
      <c r="X35" s="13" t="str" cm="1">
        <f t="array" ref="X35">IFERROR(_xlfn.XLOOKUP(Selectivo[[#This Row],[Vela]],_xlfn.NUMBERVALUE(SIL25v2[Sail '#]),SIL25v2[3]),"90 DNC")</f>
        <v>7</v>
      </c>
      <c r="Y35" s="13" t="str" cm="1">
        <f t="array" ref="Y35">IFERROR(_xlfn.XLOOKUP(Selectivo[[#This Row],[Vela]],_xlfn.NUMBERVALUE(SIL25v2[Sail '#]),SIL25v2[4]),"90 DNC")</f>
        <v>7</v>
      </c>
      <c r="Z35" s="13" t="str" cm="1">
        <f t="array" ref="Z35">IFERROR(_xlfn.XLOOKUP(Selectivo[[#This Row],[Vela]],_xlfn.NUMBERVALUE(SIL25v2[Sail '#]),SIL25v2[5]),"90 DNC")</f>
        <v>12</v>
      </c>
      <c r="AA35" s="13" t="str" cm="1">
        <f t="array" ref="AA35">IFERROR(_xlfn.XLOOKUP(Selectivo[[#This Row],[Vela]],_xlfn.NUMBERVALUE(SIL25v2[Sail '#]),SIL25v2[6]),"90 DNC")</f>
        <v>23</v>
      </c>
      <c r="AB35" s="8" cm="1">
        <f t="array" ref="AB35">SUM(IFERROR(VALUE(LEFT(Regatas, FIND(" ",Regatas&amp; " ") - 1)), 0))</f>
        <v>474</v>
      </c>
      <c r="AC35" s="9" cm="1">
        <f t="array" ref="AC3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299</v>
      </c>
      <c r="AD35" s="6">
        <f>SMALL(RegatasN,1)</f>
        <v>6</v>
      </c>
      <c r="AE35" s="6">
        <f>SMALL(RegatasN,2)</f>
        <v>7</v>
      </c>
      <c r="AF35" s="6">
        <f>SMALL(RegatasN,3)</f>
        <v>7</v>
      </c>
      <c r="AG35" s="5" cm="1">
        <f t="array" ref="AG35">COUNTIF(Regatas,SMALL(Regatas,1))</f>
        <v>1</v>
      </c>
      <c r="AH35" s="6" cm="1">
        <f t="array" ref="AH35">VALUE(LEFT(INDEX(Selectivo[#This Row],,MATCH(Selectivo[[#Headers],[Total]],Selectivo[#Headers],0)-1),SEARCH(" ",INDEX(Selectivo[#This Row],,MATCH(Selectivo[[#Headers],[Total]],Selectivo[#Headers],0)-1)&amp;" ")-1))</f>
        <v>23</v>
      </c>
    </row>
    <row r="36" spans="1:34" x14ac:dyDescent="0.25">
      <c r="A36">
        <v>51281055</v>
      </c>
      <c r="B36" s="10">
        <f>ROW()-ROW(Selectivo[[#Headers],[Pos]])</f>
        <v>30</v>
      </c>
      <c r="C36" s="5">
        <v>3907</v>
      </c>
      <c r="D36" t="s">
        <v>688</v>
      </c>
      <c r="E36" t="s">
        <v>79</v>
      </c>
      <c r="F36" s="13">
        <f>IFERROR(_xlfn.XLOOKUP(Selectivo[[#This Row],[DNI]],_SIY[DNI],_SIY[R1]),"78 DNC")</f>
        <v>20</v>
      </c>
      <c r="G36" s="13">
        <f>IFERROR(_xlfn.XLOOKUP(Selectivo[[#This Row],[DNI]],_SIY[DNI],_SIY[R2]),"78 DNC")</f>
        <v>13</v>
      </c>
      <c r="H36" s="13">
        <f>IFERROR(_xlfn.XLOOKUP(Selectivo[[#This Row],[DNI]],_SIY[DNI],_SIY[R3]),"78 DNC")</f>
        <v>31</v>
      </c>
      <c r="I36" s="13">
        <f>IFERROR(_xlfn.XLOOKUP(Selectivo[[#This Row],[DNI]],_SIY[DNI],_SIY[R4]),"78 DNC")</f>
        <v>22</v>
      </c>
      <c r="J36" s="13">
        <f>IFERROR(_xlfn.XLOOKUP(Selectivo[[#This Row],[DNI]],_SIY[DNI],_SIY[R5]),"78 DNC")</f>
        <v>16</v>
      </c>
      <c r="K36" s="13">
        <f>IFERROR(_xlfn.XLOOKUP(Selectivo[[#This Row],[DNI]],_SIY[DNI],_SIY[R6]),"78 DNC")</f>
        <v>24</v>
      </c>
      <c r="L36" s="12">
        <f>IFERROR(_xlfn.XLOOKUP(Selectivo[[#This Row],[DNI]],_SIY[DNI],_SIY[R7]),"78 DNC")</f>
        <v>34</v>
      </c>
      <c r="M36" s="13">
        <f>IFERROR(_xlfn.XLOOKUP(Selectivo[[#This Row],[DNI]],_SIY[DNI],_SIY[R8]),"78 DNC")</f>
        <v>5</v>
      </c>
      <c r="N36" s="13">
        <f>IFERROR(_xlfn.XLOOKUP(Selectivo[[#This Row],[DNI]],_SIY[DNI],_SIY[R9]),"78 DNC")</f>
        <v>3</v>
      </c>
      <c r="O36" s="13">
        <f>IFERROR(_xlfn.XLOOKUP(Selectivo[[#This Row],[DNI]],_SIY[DNI],_SIY[R10]),"78 DNC")</f>
        <v>10</v>
      </c>
      <c r="P36" s="13">
        <f>IFERROR(_xlfn.XLOOKUP(Selectivo[[#This Row],[DNI]],_VF2025[DNI],_VF2025[R1]),"70 DNC")</f>
        <v>1</v>
      </c>
      <c r="Q36" s="13">
        <f>IFERROR(_xlfn.XLOOKUP(Selectivo[[#This Row],[DNI]],_VF2025[DNI],_VF2025[R2]),"70 DNC")</f>
        <v>28</v>
      </c>
      <c r="R36" s="13">
        <f>IFERROR(_xlfn.XLOOKUP(Selectivo[[#This Row],[DNI]],_VF2025[DNI],_VF2025[R3]),"70 DNC")</f>
        <v>22</v>
      </c>
      <c r="S36" s="13">
        <f>IFERROR(_xlfn.XLOOKUP(Selectivo[[#This Row],[DNI]],_VF2025[DNI],_VF2025[R4]),"70 DNC")</f>
        <v>22</v>
      </c>
      <c r="T36" s="13">
        <f>IFERROR(_xlfn.XLOOKUP(Selectivo[[#This Row],[DNI]],_VF2025[DNI],_VF2025[R5]),"70 DNC")</f>
        <v>10</v>
      </c>
      <c r="U36" s="12">
        <f>IFERROR(_xlfn.XLOOKUP(Selectivo[[#This Row],[DNI]],_VF2025[DNI],_VF2025[R6]),"70 DNC")</f>
        <v>36</v>
      </c>
      <c r="V36" s="13" t="str" cm="1">
        <f t="array" ref="V36">IFERROR(_xlfn.XLOOKUP(Selectivo[[#This Row],[Vela]],_xlfn.NUMBERVALUE(SIL25v2[Sail '#]),SIL25v2[1]),"90 DNC")</f>
        <v>22</v>
      </c>
      <c r="W36" s="13" t="str" cm="1">
        <f t="array" ref="W36">IFERROR(_xlfn.XLOOKUP(Selectivo[[#This Row],[Vela]],_xlfn.NUMBERVALUE(SIL25v2[Sail '#]),SIL25v2[2]),"90 DNC")</f>
        <v>8</v>
      </c>
      <c r="X36" s="12" t="str" cm="1">
        <f t="array" ref="X36">IFERROR(_xlfn.XLOOKUP(Selectivo[[#This Row],[Vela]],_xlfn.NUMBERVALUE(SIL25v2[Sail '#]),SIL25v2[3]),"90 DNC")</f>
        <v>89 BFD</v>
      </c>
      <c r="Y36" s="13" t="str" cm="1">
        <f t="array" ref="Y36">IFERROR(_xlfn.XLOOKUP(Selectivo[[#This Row],[Vela]],_xlfn.NUMBERVALUE(SIL25v2[Sail '#]),SIL25v2[4]),"90 DNC")</f>
        <v>5</v>
      </c>
      <c r="Z36" s="13" t="str" cm="1">
        <f t="array" ref="Z36">IFERROR(_xlfn.XLOOKUP(Selectivo[[#This Row],[Vela]],_xlfn.NUMBERVALUE(SIL25v2[Sail '#]),SIL25v2[5]),"90 DNC")</f>
        <v>17</v>
      </c>
      <c r="AA36" s="13" t="str" cm="1">
        <f t="array" ref="AA36">IFERROR(_xlfn.XLOOKUP(Selectivo[[#This Row],[Vela]],_xlfn.NUMBERVALUE(SIL25v2[Sail '#]),SIL25v2[6]),"90 DNC")</f>
        <v>21</v>
      </c>
      <c r="AB36" s="8" cm="1">
        <f t="array" ref="AB36">SUM(IFERROR(VALUE(LEFT(Regatas, FIND(" ",Regatas&amp; " ") - 1)), 0))</f>
        <v>459</v>
      </c>
      <c r="AC36" s="9" cm="1">
        <f t="array" ref="AC3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300</v>
      </c>
      <c r="AD36" s="6">
        <f>SMALL(RegatasN,1)</f>
        <v>1</v>
      </c>
      <c r="AE36" s="6">
        <f>SMALL(RegatasN,2)</f>
        <v>3</v>
      </c>
      <c r="AF36" s="6">
        <f>SMALL(RegatasN,3)</f>
        <v>5</v>
      </c>
      <c r="AG36" s="5" cm="1">
        <f t="array" ref="AG36">COUNTIF(Regatas,SMALL(Regatas,1))</f>
        <v>1</v>
      </c>
      <c r="AH36" s="6" cm="1">
        <f t="array" ref="AH36">VALUE(LEFT(INDEX(Selectivo[#This Row],,MATCH(Selectivo[[#Headers],[Total]],Selectivo[#Headers],0)-1),SEARCH(" ",INDEX(Selectivo[#This Row],,MATCH(Selectivo[[#Headers],[Total]],Selectivo[#Headers],0)-1)&amp;" ")-1))</f>
        <v>21</v>
      </c>
    </row>
    <row r="37" spans="1:34" x14ac:dyDescent="0.25">
      <c r="A37">
        <v>51253143</v>
      </c>
      <c r="B37" s="10">
        <f>ROW()-ROW(Selectivo[[#Headers],[Pos]])</f>
        <v>31</v>
      </c>
      <c r="C37" s="5">
        <v>4108</v>
      </c>
      <c r="D37" t="s">
        <v>700</v>
      </c>
      <c r="E37" t="s">
        <v>9</v>
      </c>
      <c r="F37" s="13">
        <f>IFERROR(_xlfn.XLOOKUP(Selectivo[[#This Row],[DNI]],_SIY[DNI],_SIY[R1]),"78 DNC")</f>
        <v>8</v>
      </c>
      <c r="G37" s="13">
        <f>IFERROR(_xlfn.XLOOKUP(Selectivo[[#This Row],[DNI]],_SIY[DNI],_SIY[R2]),"78 DNC")</f>
        <v>13</v>
      </c>
      <c r="H37" s="13">
        <f>IFERROR(_xlfn.XLOOKUP(Selectivo[[#This Row],[DNI]],_SIY[DNI],_SIY[R3]),"78 DNC")</f>
        <v>10</v>
      </c>
      <c r="I37" s="12" t="str">
        <f>IFERROR(_xlfn.XLOOKUP(Selectivo[[#This Row],[DNI]],_SIY[DNI],_SIY[R4]),"78 DNC")</f>
        <v>77 UFD</v>
      </c>
      <c r="J37" s="13">
        <f>IFERROR(_xlfn.XLOOKUP(Selectivo[[#This Row],[DNI]],_SIY[DNI],_SIY[R5]),"78 DNC")</f>
        <v>13</v>
      </c>
      <c r="K37" s="13">
        <f>IFERROR(_xlfn.XLOOKUP(Selectivo[[#This Row],[DNI]],_SIY[DNI],_SIY[R6]),"78 DNC")</f>
        <v>6</v>
      </c>
      <c r="L37" s="13">
        <f>IFERROR(_xlfn.XLOOKUP(Selectivo[[#This Row],[DNI]],_SIY[DNI],_SIY[R7]),"78 DNC")</f>
        <v>13</v>
      </c>
      <c r="M37" s="13">
        <f>IFERROR(_xlfn.XLOOKUP(Selectivo[[#This Row],[DNI]],_SIY[DNI],_SIY[R8]),"78 DNC")</f>
        <v>5</v>
      </c>
      <c r="N37" s="13">
        <f>IFERROR(_xlfn.XLOOKUP(Selectivo[[#This Row],[DNI]],_SIY[DNI],_SIY[R9]),"78 DNC")</f>
        <v>5</v>
      </c>
      <c r="O37" s="13">
        <f>IFERROR(_xlfn.XLOOKUP(Selectivo[[#This Row],[DNI]],_SIY[DNI],_SIY[R10]),"78 DNC")</f>
        <v>8</v>
      </c>
      <c r="P37" s="13">
        <f>IFERROR(_xlfn.XLOOKUP(Selectivo[[#This Row],[DNI]],_VF2025[DNI],_VF2025[R1]),"70 DNC")</f>
        <v>11</v>
      </c>
      <c r="Q37" s="13">
        <f>IFERROR(_xlfn.XLOOKUP(Selectivo[[#This Row],[DNI]],_VF2025[DNI],_VF2025[R2]),"70 DNC")</f>
        <v>4</v>
      </c>
      <c r="R37" s="13">
        <f>IFERROR(_xlfn.XLOOKUP(Selectivo[[#This Row],[DNI]],_VF2025[DNI],_VF2025[R3]),"70 DNC")</f>
        <v>12</v>
      </c>
      <c r="S37" s="13">
        <f>IFERROR(_xlfn.XLOOKUP(Selectivo[[#This Row],[DNI]],_VF2025[DNI],_VF2025[R4]),"70 DNC")</f>
        <v>8</v>
      </c>
      <c r="T37" s="13">
        <f>IFERROR(_xlfn.XLOOKUP(Selectivo[[#This Row],[DNI]],_VF2025[DNI],_VF2025[R5]),"70 DNC")</f>
        <v>42</v>
      </c>
      <c r="U37" s="13">
        <f>IFERROR(_xlfn.XLOOKUP(Selectivo[[#This Row],[DNI]],_VF2025[DNI],_VF2025[R6]),"70 DNC")</f>
        <v>11</v>
      </c>
      <c r="V37" s="12" t="str" cm="1">
        <f t="array" ref="V37">IFERROR(_xlfn.XLOOKUP(Selectivo[[#This Row],[Vela]],_xlfn.NUMBERVALUE(SIL25v2[Sail '#]),SIL25v2[1]),"90 DNC")</f>
        <v>50</v>
      </c>
      <c r="W37" s="13" t="str" cm="1">
        <f t="array" ref="W37">IFERROR(_xlfn.XLOOKUP(Selectivo[[#This Row],[Vela]],_xlfn.NUMBERVALUE(SIL25v2[Sail '#]),SIL25v2[2]),"90 DNC")</f>
        <v>42</v>
      </c>
      <c r="X37" s="13" t="str" cm="1">
        <f t="array" ref="X37">IFERROR(_xlfn.XLOOKUP(Selectivo[[#This Row],[Vela]],_xlfn.NUMBERVALUE(SIL25v2[Sail '#]),SIL25v2[3]),"90 DNC")</f>
        <v>18</v>
      </c>
      <c r="Y37" s="13" t="str" cm="1">
        <f t="array" ref="Y37">IFERROR(_xlfn.XLOOKUP(Selectivo[[#This Row],[Vela]],_xlfn.NUMBERVALUE(SIL25v2[Sail '#]),SIL25v2[4]),"90 DNC")</f>
        <v>26</v>
      </c>
      <c r="Z37" s="12" t="str" cm="1">
        <f t="array" ref="Z37">IFERROR(_xlfn.XLOOKUP(Selectivo[[#This Row],[Vela]],_xlfn.NUMBERVALUE(SIL25v2[Sail '#]),SIL25v2[5]),"90 DNC")</f>
        <v>89 BFD</v>
      </c>
      <c r="AA37" s="13" t="str" cm="1">
        <f t="array" ref="AA37">IFERROR(_xlfn.XLOOKUP(Selectivo[[#This Row],[Vela]],_xlfn.NUMBERVALUE(SIL25v2[Sail '#]),SIL25v2[6]),"90 DNC")</f>
        <v>45</v>
      </c>
      <c r="AB37" s="8" cm="1">
        <f t="array" ref="AB37">SUM(IFERROR(VALUE(LEFT(Regatas, FIND(" ",Regatas&amp; " ") - 1)), 0))</f>
        <v>516</v>
      </c>
      <c r="AC37" s="9" cm="1">
        <f t="array" ref="AC3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300</v>
      </c>
      <c r="AD37" s="6">
        <f>SMALL(RegatasN,1)</f>
        <v>4</v>
      </c>
      <c r="AE37" s="6">
        <f>SMALL(RegatasN,2)</f>
        <v>5</v>
      </c>
      <c r="AF37" s="6">
        <f>SMALL(RegatasN,3)</f>
        <v>5</v>
      </c>
      <c r="AG37" s="5" cm="1">
        <f t="array" ref="AG37">COUNTIF(Regatas,SMALL(Regatas,1))</f>
        <v>1</v>
      </c>
      <c r="AH37" s="6" cm="1">
        <f t="array" ref="AH37">VALUE(LEFT(INDEX(Selectivo[#This Row],,MATCH(Selectivo[[#Headers],[Total]],Selectivo[#Headers],0)-1),SEARCH(" ",INDEX(Selectivo[#This Row],,MATCH(Selectivo[[#Headers],[Total]],Selectivo[#Headers],0)-1)&amp;" ")-1))</f>
        <v>45</v>
      </c>
    </row>
    <row r="38" spans="1:34" x14ac:dyDescent="0.25">
      <c r="A38">
        <v>52136031</v>
      </c>
      <c r="B38" s="10">
        <f>ROW()-ROW(Selectivo[[#Headers],[Pos]])</f>
        <v>32</v>
      </c>
      <c r="C38" s="5">
        <v>4093</v>
      </c>
      <c r="D38" t="s">
        <v>618</v>
      </c>
      <c r="E38" t="s">
        <v>23</v>
      </c>
      <c r="F38" s="13">
        <f>IFERROR(_xlfn.XLOOKUP(Selectivo[[#This Row],[DNI]],_SIY[DNI],_SIY[R1]),"78 DNC")</f>
        <v>15</v>
      </c>
      <c r="G38" s="12" t="str">
        <f>IFERROR(_xlfn.XLOOKUP(Selectivo[[#This Row],[DNI]],_SIY[DNI],_SIY[R2]),"78 DNC")</f>
        <v>77 DSQ</v>
      </c>
      <c r="H38" s="13">
        <f>IFERROR(_xlfn.XLOOKUP(Selectivo[[#This Row],[DNI]],_SIY[DNI],_SIY[R3]),"78 DNC")</f>
        <v>13</v>
      </c>
      <c r="I38" s="13">
        <f>IFERROR(_xlfn.XLOOKUP(Selectivo[[#This Row],[DNI]],_SIY[DNI],_SIY[R4]),"78 DNC")</f>
        <v>32</v>
      </c>
      <c r="J38" s="12">
        <f>IFERROR(_xlfn.XLOOKUP(Selectivo[[#This Row],[DNI]],_SIY[DNI],_SIY[R5]),"78 DNC")</f>
        <v>33</v>
      </c>
      <c r="K38" s="13">
        <f>IFERROR(_xlfn.XLOOKUP(Selectivo[[#This Row],[DNI]],_SIY[DNI],_SIY[R6]),"78 DNC")</f>
        <v>33</v>
      </c>
      <c r="L38" s="13">
        <f>IFERROR(_xlfn.XLOOKUP(Selectivo[[#This Row],[DNI]],_SIY[DNI],_SIY[R7]),"78 DNC")</f>
        <v>18</v>
      </c>
      <c r="M38" s="13">
        <f>IFERROR(_xlfn.XLOOKUP(Selectivo[[#This Row],[DNI]],_SIY[DNI],_SIY[R8]),"78 DNC")</f>
        <v>14</v>
      </c>
      <c r="N38" s="12" t="str">
        <f>IFERROR(_xlfn.XLOOKUP(Selectivo[[#This Row],[DNI]],_SIY[DNI],_SIY[R9]),"78 DNC")</f>
        <v>77 BFD</v>
      </c>
      <c r="O38" s="13">
        <f>IFERROR(_xlfn.XLOOKUP(Selectivo[[#This Row],[DNI]],_SIY[DNI],_SIY[R10]),"78 DNC")</f>
        <v>8</v>
      </c>
      <c r="P38" s="13">
        <f>IFERROR(_xlfn.XLOOKUP(Selectivo[[#This Row],[DNI]],_VF2025[DNI],_VF2025[R1]),"70 DNC")</f>
        <v>10</v>
      </c>
      <c r="Q38" s="13">
        <f>IFERROR(_xlfn.XLOOKUP(Selectivo[[#This Row],[DNI]],_VF2025[DNI],_VF2025[R2]),"70 DNC")</f>
        <v>17</v>
      </c>
      <c r="R38" s="13">
        <f>IFERROR(_xlfn.XLOOKUP(Selectivo[[#This Row],[DNI]],_VF2025[DNI],_VF2025[R3]),"70 DNC")</f>
        <v>14</v>
      </c>
      <c r="S38" s="13">
        <f>IFERROR(_xlfn.XLOOKUP(Selectivo[[#This Row],[DNI]],_VF2025[DNI],_VF2025[R4]),"70 DNC")</f>
        <v>20</v>
      </c>
      <c r="T38" s="13">
        <f>IFERROR(_xlfn.XLOOKUP(Selectivo[[#This Row],[DNI]],_VF2025[DNI],_VF2025[R5]),"70 DNC")</f>
        <v>22</v>
      </c>
      <c r="U38" s="13">
        <f>IFERROR(_xlfn.XLOOKUP(Selectivo[[#This Row],[DNI]],_VF2025[DNI],_VF2025[R6]),"70 DNC")</f>
        <v>27</v>
      </c>
      <c r="V38" s="13" t="str" cm="1">
        <f t="array" ref="V38">IFERROR(_xlfn.XLOOKUP(Selectivo[[#This Row],[Vela]],_xlfn.NUMBERVALUE(SIL25v2[Sail '#]),SIL25v2[1]),"90 DNC")</f>
        <v>12</v>
      </c>
      <c r="W38" s="13" t="str" cm="1">
        <f t="array" ref="W38">IFERROR(_xlfn.XLOOKUP(Selectivo[[#This Row],[Vela]],_xlfn.NUMBERVALUE(SIL25v2[Sail '#]),SIL25v2[2]),"90 DNC")</f>
        <v>1</v>
      </c>
      <c r="X38" s="13" t="str" cm="1">
        <f t="array" ref="X38">IFERROR(_xlfn.XLOOKUP(Selectivo[[#This Row],[Vela]],_xlfn.NUMBERVALUE(SIL25v2[Sail '#]),SIL25v2[3]),"90 DNC")</f>
        <v>4</v>
      </c>
      <c r="Y38" s="13" t="str" cm="1">
        <f t="array" ref="Y38">IFERROR(_xlfn.XLOOKUP(Selectivo[[#This Row],[Vela]],_xlfn.NUMBERVALUE(SIL25v2[Sail '#]),SIL25v2[4]),"90 DNC")</f>
        <v>19</v>
      </c>
      <c r="Z38" s="13" t="str" cm="1">
        <f t="array" ref="Z38">IFERROR(_xlfn.XLOOKUP(Selectivo[[#This Row],[Vela]],_xlfn.NUMBERVALUE(SIL25v2[Sail '#]),SIL25v2[5]),"90 DNC")</f>
        <v>18</v>
      </c>
      <c r="AA38" s="13" t="str" cm="1">
        <f t="array" ref="AA38">IFERROR(_xlfn.XLOOKUP(Selectivo[[#This Row],[Vela]],_xlfn.NUMBERVALUE(SIL25v2[Sail '#]),SIL25v2[6]),"90 DNC")</f>
        <v>4</v>
      </c>
      <c r="AB38" s="8" cm="1">
        <f t="array" ref="AB38">SUM(IFERROR(VALUE(LEFT(Regatas, FIND(" ",Regatas&amp; " ") - 1)), 0))</f>
        <v>488</v>
      </c>
      <c r="AC38" s="9" cm="1">
        <f t="array" ref="AC3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301</v>
      </c>
      <c r="AD38" s="6">
        <f>SMALL(RegatasN,1)</f>
        <v>1</v>
      </c>
      <c r="AE38" s="6">
        <f>SMALL(RegatasN,2)</f>
        <v>4</v>
      </c>
      <c r="AF38" s="6">
        <f>SMALL(RegatasN,3)</f>
        <v>4</v>
      </c>
      <c r="AG38" s="5" cm="1">
        <f t="array" ref="AG38">COUNTIF(Regatas,SMALL(Regatas,1))</f>
        <v>1</v>
      </c>
      <c r="AH38" s="6" cm="1">
        <f t="array" ref="AH38">VALUE(LEFT(INDEX(Selectivo[#This Row],,MATCH(Selectivo[[#Headers],[Total]],Selectivo[#Headers],0)-1),SEARCH(" ",INDEX(Selectivo[#This Row],,MATCH(Selectivo[[#Headers],[Total]],Selectivo[#Headers],0)-1)&amp;" ")-1))</f>
        <v>4</v>
      </c>
    </row>
    <row r="39" spans="1:34" x14ac:dyDescent="0.25">
      <c r="A39">
        <v>50158944</v>
      </c>
      <c r="B39" s="10">
        <f>ROW()-ROW(Selectivo[[#Headers],[Pos]])</f>
        <v>33</v>
      </c>
      <c r="C39" s="5">
        <v>4111</v>
      </c>
      <c r="D39" t="s">
        <v>679</v>
      </c>
      <c r="E39" t="s">
        <v>9</v>
      </c>
      <c r="F39" s="13">
        <f>IFERROR(_xlfn.XLOOKUP(Selectivo[[#This Row],[DNI]],_SIY[DNI],_SIY[R1]),"78 DNC")</f>
        <v>11</v>
      </c>
      <c r="G39" s="13">
        <f>IFERROR(_xlfn.XLOOKUP(Selectivo[[#This Row],[DNI]],_SIY[DNI],_SIY[R2]),"78 DNC")</f>
        <v>8</v>
      </c>
      <c r="H39" s="13">
        <f>IFERROR(_xlfn.XLOOKUP(Selectivo[[#This Row],[DNI]],_SIY[DNI],_SIY[R3]),"78 DNC")</f>
        <v>32</v>
      </c>
      <c r="I39" s="13">
        <f>IFERROR(_xlfn.XLOOKUP(Selectivo[[#This Row],[DNI]],_SIY[DNI],_SIY[R4]),"78 DNC")</f>
        <v>13</v>
      </c>
      <c r="J39" s="13">
        <f>IFERROR(_xlfn.XLOOKUP(Selectivo[[#This Row],[DNI]],_SIY[DNI],_SIY[R5]),"78 DNC")</f>
        <v>27</v>
      </c>
      <c r="K39" s="13">
        <f>IFERROR(_xlfn.XLOOKUP(Selectivo[[#This Row],[DNI]],_SIY[DNI],_SIY[R6]),"78 DNC")</f>
        <v>23</v>
      </c>
      <c r="L39" s="13">
        <f>IFERROR(_xlfn.XLOOKUP(Selectivo[[#This Row],[DNI]],_SIY[DNI],_SIY[R7]),"78 DNC")</f>
        <v>6</v>
      </c>
      <c r="M39" s="13">
        <f>IFERROR(_xlfn.XLOOKUP(Selectivo[[#This Row],[DNI]],_SIY[DNI],_SIY[R8]),"78 DNC")</f>
        <v>17</v>
      </c>
      <c r="N39" s="13">
        <f>IFERROR(_xlfn.XLOOKUP(Selectivo[[#This Row],[DNI]],_SIY[DNI],_SIY[R9]),"78 DNC")</f>
        <v>6</v>
      </c>
      <c r="O39" s="13">
        <f>IFERROR(_xlfn.XLOOKUP(Selectivo[[#This Row],[DNI]],_SIY[DNI],_SIY[R10]),"78 DNC")</f>
        <v>16</v>
      </c>
      <c r="P39" s="12" t="str">
        <f>IFERROR(_xlfn.XLOOKUP(Selectivo[[#This Row],[DNI]],_VF2025[DNI],_VF2025[R1]),"70 DNC")</f>
        <v>70 UFD</v>
      </c>
      <c r="Q39" s="13">
        <f>IFERROR(_xlfn.XLOOKUP(Selectivo[[#This Row],[DNI]],_VF2025[DNI],_VF2025[R2]),"70 DNC")</f>
        <v>22</v>
      </c>
      <c r="R39" s="13">
        <f>IFERROR(_xlfn.XLOOKUP(Selectivo[[#This Row],[DNI]],_VF2025[DNI],_VF2025[R3]),"70 DNC")</f>
        <v>10</v>
      </c>
      <c r="S39" s="13">
        <f>IFERROR(_xlfn.XLOOKUP(Selectivo[[#This Row],[DNI]],_VF2025[DNI],_VF2025[R4]),"70 DNC")</f>
        <v>21</v>
      </c>
      <c r="T39" s="12" t="str">
        <f>IFERROR(_xlfn.XLOOKUP(Selectivo[[#This Row],[DNI]],_VF2025[DNI],_VF2025[R5]),"70 DNC")</f>
        <v>70 BFD</v>
      </c>
      <c r="U39" s="13">
        <f>IFERROR(_xlfn.XLOOKUP(Selectivo[[#This Row],[DNI]],_VF2025[DNI],_VF2025[R6]),"70 DNC")</f>
        <v>32</v>
      </c>
      <c r="V39" s="13" t="str" cm="1">
        <f t="array" ref="V39">IFERROR(_xlfn.XLOOKUP(Selectivo[[#This Row],[Vela]],_xlfn.NUMBERVALUE(SIL25v2[Sail '#]),SIL25v2[1]),"90 DNC")</f>
        <v>14</v>
      </c>
      <c r="W39" s="13" t="str" cm="1">
        <f t="array" ref="W39">IFERROR(_xlfn.XLOOKUP(Selectivo[[#This Row],[Vela]],_xlfn.NUMBERVALUE(SIL25v2[Sail '#]),SIL25v2[2]),"90 DNC")</f>
        <v>14</v>
      </c>
      <c r="X39" s="13" t="str" cm="1">
        <f t="array" ref="X39">IFERROR(_xlfn.XLOOKUP(Selectivo[[#This Row],[Vela]],_xlfn.NUMBERVALUE(SIL25v2[Sail '#]),SIL25v2[3]),"90 DNC")</f>
        <v>21</v>
      </c>
      <c r="Y39" s="13" t="str" cm="1">
        <f t="array" ref="Y39">IFERROR(_xlfn.XLOOKUP(Selectivo[[#This Row],[Vela]],_xlfn.NUMBERVALUE(SIL25v2[Sail '#]),SIL25v2[4]),"90 DNC")</f>
        <v>15</v>
      </c>
      <c r="Z39" s="12" t="str" cm="1">
        <f t="array" ref="Z39">IFERROR(_xlfn.XLOOKUP(Selectivo[[#This Row],[Vela]],_xlfn.NUMBERVALUE(SIL25v2[Sail '#]),SIL25v2[5]),"90 DNC")</f>
        <v>89 DSQ</v>
      </c>
      <c r="AA39" s="13" t="str" cm="1">
        <f t="array" ref="AA39">IFERROR(_xlfn.XLOOKUP(Selectivo[[#This Row],[Vela]],_xlfn.NUMBERVALUE(SIL25v2[Sail '#]),SIL25v2[6]),"90 DNC")</f>
        <v>4</v>
      </c>
      <c r="AB39" s="8" cm="1">
        <f t="array" ref="AB39">SUM(IFERROR(VALUE(LEFT(Regatas, FIND(" ",Regatas&amp; " ") - 1)), 0))</f>
        <v>541</v>
      </c>
      <c r="AC39" s="9" cm="1">
        <f t="array" ref="AC3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312</v>
      </c>
      <c r="AD39" s="6">
        <f>SMALL(RegatasN,1)</f>
        <v>4</v>
      </c>
      <c r="AE39" s="6">
        <f>SMALL(RegatasN,2)</f>
        <v>6</v>
      </c>
      <c r="AF39" s="6">
        <f>SMALL(RegatasN,3)</f>
        <v>6</v>
      </c>
      <c r="AG39" s="5" cm="1">
        <f t="array" ref="AG39">COUNTIF(Regatas,SMALL(Regatas,1))</f>
        <v>2</v>
      </c>
      <c r="AH39" s="6" cm="1">
        <f t="array" ref="AH39">VALUE(LEFT(INDEX(Selectivo[#This Row],,MATCH(Selectivo[[#Headers],[Total]],Selectivo[#Headers],0)-1),SEARCH(" ",INDEX(Selectivo[#This Row],,MATCH(Selectivo[[#Headers],[Total]],Selectivo[#Headers],0)-1)&amp;" ")-1))</f>
        <v>4</v>
      </c>
    </row>
    <row r="40" spans="1:34" x14ac:dyDescent="0.25">
      <c r="A40">
        <v>50414789</v>
      </c>
      <c r="B40" s="10">
        <f>ROW()-ROW(Selectivo[[#Headers],[Pos]])</f>
        <v>34</v>
      </c>
      <c r="C40" s="5">
        <v>3852</v>
      </c>
      <c r="D40" t="s">
        <v>723</v>
      </c>
      <c r="E40" t="s">
        <v>26</v>
      </c>
      <c r="F40" s="13">
        <f>IFERROR(_xlfn.XLOOKUP(Selectivo[[#This Row],[DNI]],_SIY[DNI],_SIY[R1]),"78 DNC")</f>
        <v>11</v>
      </c>
      <c r="G40" s="13">
        <f>IFERROR(_xlfn.XLOOKUP(Selectivo[[#This Row],[DNI]],_SIY[DNI],_SIY[R2]),"78 DNC")</f>
        <v>14</v>
      </c>
      <c r="H40" s="13">
        <f>IFERROR(_xlfn.XLOOKUP(Selectivo[[#This Row],[DNI]],_SIY[DNI],_SIY[R3]),"78 DNC")</f>
        <v>14</v>
      </c>
      <c r="I40" s="13">
        <f>IFERROR(_xlfn.XLOOKUP(Selectivo[[#This Row],[DNI]],_SIY[DNI],_SIY[R4]),"78 DNC")</f>
        <v>17</v>
      </c>
      <c r="J40" s="13">
        <f>IFERROR(_xlfn.XLOOKUP(Selectivo[[#This Row],[DNI]],_SIY[DNI],_SIY[R5]),"78 DNC")</f>
        <v>8</v>
      </c>
      <c r="K40" s="13">
        <f>IFERROR(_xlfn.XLOOKUP(Selectivo[[#This Row],[DNI]],_SIY[DNI],_SIY[R6]),"78 DNC")</f>
        <v>14</v>
      </c>
      <c r="L40" s="13">
        <f>IFERROR(_xlfn.XLOOKUP(Selectivo[[#This Row],[DNI]],_SIY[DNI],_SIY[R7]),"78 DNC")</f>
        <v>17</v>
      </c>
      <c r="M40" s="13">
        <f>IFERROR(_xlfn.XLOOKUP(Selectivo[[#This Row],[DNI]],_SIY[DNI],_SIY[R8]),"78 DNC")</f>
        <v>5</v>
      </c>
      <c r="N40" s="13">
        <f>IFERROR(_xlfn.XLOOKUP(Selectivo[[#This Row],[DNI]],_SIY[DNI],_SIY[R9]),"78 DNC")</f>
        <v>37</v>
      </c>
      <c r="O40" s="13">
        <f>IFERROR(_xlfn.XLOOKUP(Selectivo[[#This Row],[DNI]],_SIY[DNI],_SIY[R10]),"78 DNC")</f>
        <v>19</v>
      </c>
      <c r="P40" s="12">
        <f>IFERROR(_xlfn.XLOOKUP(Selectivo[[#This Row],[DNI]],_VF2025[DNI],_VF2025[R1]),"70 DNC")</f>
        <v>41</v>
      </c>
      <c r="Q40" s="13">
        <f>IFERROR(_xlfn.XLOOKUP(Selectivo[[#This Row],[DNI]],_VF2025[DNI],_VF2025[R2]),"70 DNC")</f>
        <v>19</v>
      </c>
      <c r="R40" s="13">
        <f>IFERROR(_xlfn.XLOOKUP(Selectivo[[#This Row],[DNI]],_VF2025[DNI],_VF2025[R3]),"70 DNC")</f>
        <v>26</v>
      </c>
      <c r="S40" s="13">
        <f>IFERROR(_xlfn.XLOOKUP(Selectivo[[#This Row],[DNI]],_VF2025[DNI],_VF2025[R4]),"70 DNC")</f>
        <v>17</v>
      </c>
      <c r="T40" s="13">
        <f>IFERROR(_xlfn.XLOOKUP(Selectivo[[#This Row],[DNI]],_VF2025[DNI],_VF2025[R5]),"70 DNC")</f>
        <v>22</v>
      </c>
      <c r="U40" s="13">
        <f>IFERROR(_xlfn.XLOOKUP(Selectivo[[#This Row],[DNI]],_VF2025[DNI],_VF2025[R6]),"70 DNC")</f>
        <v>5</v>
      </c>
      <c r="V40" s="12" t="str" cm="1">
        <f t="array" ref="V40">IFERROR(_xlfn.XLOOKUP(Selectivo[[#This Row],[Vela]],_xlfn.NUMBERVALUE(SIL25v2[Sail '#]),SIL25v2[1]),"90 DNC")</f>
        <v>57</v>
      </c>
      <c r="W40" s="13" t="str" cm="1">
        <f t="array" ref="W40">IFERROR(_xlfn.XLOOKUP(Selectivo[[#This Row],[Vela]],_xlfn.NUMBERVALUE(SIL25v2[Sail '#]),SIL25v2[2]),"90 DNC")</f>
        <v>40 DPI</v>
      </c>
      <c r="X40" s="13" t="str" cm="1">
        <f t="array" ref="X40">IFERROR(_xlfn.XLOOKUP(Selectivo[[#This Row],[Vela]],_xlfn.NUMBERVALUE(SIL25v2[Sail '#]),SIL25v2[3]),"90 DNC")</f>
        <v>12</v>
      </c>
      <c r="Y40" s="12" t="str" cm="1">
        <f t="array" ref="Y40">IFERROR(_xlfn.XLOOKUP(Selectivo[[#This Row],[Vela]],_xlfn.NUMBERVALUE(SIL25v2[Sail '#]),SIL25v2[4]),"90 DNC")</f>
        <v>44</v>
      </c>
      <c r="Z40" s="13" t="str" cm="1">
        <f t="array" ref="Z40">IFERROR(_xlfn.XLOOKUP(Selectivo[[#This Row],[Vela]],_xlfn.NUMBERVALUE(SIL25v2[Sail '#]),SIL25v2[5]),"90 DNC")</f>
        <v>14</v>
      </c>
      <c r="AA40" s="13" t="str" cm="1">
        <f t="array" ref="AA40">IFERROR(_xlfn.XLOOKUP(Selectivo[[#This Row],[Vela]],_xlfn.NUMBERVALUE(SIL25v2[Sail '#]),SIL25v2[6]),"90 DNC")</f>
        <v>10</v>
      </c>
      <c r="AB40" s="8" cm="1">
        <f t="array" ref="AB40">SUM(IFERROR(VALUE(LEFT(Regatas, FIND(" ",Regatas&amp; " ") - 1)), 0))</f>
        <v>463</v>
      </c>
      <c r="AC40" s="9" cm="1">
        <f t="array" ref="AC4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321</v>
      </c>
      <c r="AD40" s="6">
        <f>SMALL(RegatasN,1)</f>
        <v>5</v>
      </c>
      <c r="AE40" s="6">
        <f>SMALL(RegatasN,2)</f>
        <v>5</v>
      </c>
      <c r="AF40" s="6">
        <f>SMALL(RegatasN,3)</f>
        <v>8</v>
      </c>
      <c r="AG40" s="5" cm="1">
        <f t="array" ref="AG40">COUNTIF(Regatas,SMALL(Regatas,1))</f>
        <v>2</v>
      </c>
      <c r="AH40" s="6" cm="1">
        <f t="array" ref="AH40">VALUE(LEFT(INDEX(Selectivo[#This Row],,MATCH(Selectivo[[#Headers],[Total]],Selectivo[#Headers],0)-1),SEARCH(" ",INDEX(Selectivo[#This Row],,MATCH(Selectivo[[#Headers],[Total]],Selectivo[#Headers],0)-1)&amp;" ")-1))</f>
        <v>10</v>
      </c>
    </row>
    <row r="41" spans="1:34" x14ac:dyDescent="0.25">
      <c r="A41">
        <v>51397535</v>
      </c>
      <c r="B41" s="10">
        <f>ROW()-ROW(Selectivo[[#Headers],[Pos]])</f>
        <v>35</v>
      </c>
      <c r="C41" s="5">
        <v>4096</v>
      </c>
      <c r="D41" t="s">
        <v>692</v>
      </c>
      <c r="E41" t="s">
        <v>9</v>
      </c>
      <c r="F41" s="13">
        <f>IFERROR(_xlfn.XLOOKUP(Selectivo[[#This Row],[DNI]],_SIY[DNI],_SIY[R1]),"78 DNC")</f>
        <v>10</v>
      </c>
      <c r="G41" s="13">
        <f>IFERROR(_xlfn.XLOOKUP(Selectivo[[#This Row],[DNI]],_SIY[DNI],_SIY[R2]),"78 DNC")</f>
        <v>24</v>
      </c>
      <c r="H41" s="13">
        <f>IFERROR(_xlfn.XLOOKUP(Selectivo[[#This Row],[DNI]],_SIY[DNI],_SIY[R3]),"78 DNC")</f>
        <v>19</v>
      </c>
      <c r="I41" s="13">
        <f>IFERROR(_xlfn.XLOOKUP(Selectivo[[#This Row],[DNI]],_SIY[DNI],_SIY[R4]),"78 DNC")</f>
        <v>19</v>
      </c>
      <c r="J41" s="13">
        <f>IFERROR(_xlfn.XLOOKUP(Selectivo[[#This Row],[DNI]],_SIY[DNI],_SIY[R5]),"78 DNC")</f>
        <v>19</v>
      </c>
      <c r="K41" s="13">
        <f>IFERROR(_xlfn.XLOOKUP(Selectivo[[#This Row],[DNI]],_SIY[DNI],_SIY[R6]),"78 DNC")</f>
        <v>25</v>
      </c>
      <c r="L41" s="13">
        <f>IFERROR(_xlfn.XLOOKUP(Selectivo[[#This Row],[DNI]],_SIY[DNI],_SIY[R7]),"78 DNC")</f>
        <v>15</v>
      </c>
      <c r="M41" s="13">
        <f>IFERROR(_xlfn.XLOOKUP(Selectivo[[#This Row],[DNI]],_SIY[DNI],_SIY[R8]),"78 DNC")</f>
        <v>11</v>
      </c>
      <c r="N41" s="12">
        <f>IFERROR(_xlfn.XLOOKUP(Selectivo[[#This Row],[DNI]],_SIY[DNI],_SIY[R9]),"78 DNC")</f>
        <v>35</v>
      </c>
      <c r="O41" s="13">
        <f>IFERROR(_xlfn.XLOOKUP(Selectivo[[#This Row],[DNI]],_SIY[DNI],_SIY[R10]),"78 DNC")</f>
        <v>13</v>
      </c>
      <c r="P41" s="12">
        <f>IFERROR(_xlfn.XLOOKUP(Selectivo[[#This Row],[DNI]],_VF2025[DNI],_VF2025[R1]),"70 DNC")</f>
        <v>32</v>
      </c>
      <c r="Q41" s="13">
        <f>IFERROR(_xlfn.XLOOKUP(Selectivo[[#This Row],[DNI]],_VF2025[DNI],_VF2025[R2]),"70 DNC")</f>
        <v>9</v>
      </c>
      <c r="R41" s="13">
        <f>IFERROR(_xlfn.XLOOKUP(Selectivo[[#This Row],[DNI]],_VF2025[DNI],_VF2025[R3]),"70 DNC")</f>
        <v>5</v>
      </c>
      <c r="S41" s="13">
        <f>IFERROR(_xlfn.XLOOKUP(Selectivo[[#This Row],[DNI]],_VF2025[DNI],_VF2025[R4]),"70 DNC")</f>
        <v>15</v>
      </c>
      <c r="T41" s="13">
        <f>IFERROR(_xlfn.XLOOKUP(Selectivo[[#This Row],[DNI]],_VF2025[DNI],_VF2025[R5]),"70 DNC")</f>
        <v>11</v>
      </c>
      <c r="U41" s="13">
        <f>IFERROR(_xlfn.XLOOKUP(Selectivo[[#This Row],[DNI]],_VF2025[DNI],_VF2025[R6]),"70 DNC")</f>
        <v>11</v>
      </c>
      <c r="V41" s="13" t="str" cm="1">
        <f t="array" ref="V41">IFERROR(_xlfn.XLOOKUP(Selectivo[[#This Row],[Vela]],_xlfn.NUMBERVALUE(SIL25v2[Sail '#]),SIL25v2[1]),"90 DNC")</f>
        <v>22</v>
      </c>
      <c r="W41" s="13" t="str" cm="1">
        <f t="array" ref="W41">IFERROR(_xlfn.XLOOKUP(Selectivo[[#This Row],[Vela]],_xlfn.NUMBERVALUE(SIL25v2[Sail '#]),SIL25v2[2]),"90 DNC")</f>
        <v>28</v>
      </c>
      <c r="X41" s="13" t="str" cm="1">
        <f t="array" ref="X41">IFERROR(_xlfn.XLOOKUP(Selectivo[[#This Row],[Vela]],_xlfn.NUMBERVALUE(SIL25v2[Sail '#]),SIL25v2[3]),"90 DNC")</f>
        <v>24</v>
      </c>
      <c r="Y41" s="12" t="str" cm="1">
        <f t="array" ref="Y41">IFERROR(_xlfn.XLOOKUP(Selectivo[[#This Row],[Vela]],_xlfn.NUMBERVALUE(SIL25v2[Sail '#]),SIL25v2[4]),"90 DNC")</f>
        <v>33</v>
      </c>
      <c r="Z41" s="13" t="str" cm="1">
        <f t="array" ref="Z41">IFERROR(_xlfn.XLOOKUP(Selectivo[[#This Row],[Vela]],_xlfn.NUMBERVALUE(SIL25v2[Sail '#]),SIL25v2[5]),"90 DNC")</f>
        <v>22</v>
      </c>
      <c r="AA41" s="13" t="str" cm="1">
        <f t="array" ref="AA41">IFERROR(_xlfn.XLOOKUP(Selectivo[[#This Row],[Vela]],_xlfn.NUMBERVALUE(SIL25v2[Sail '#]),SIL25v2[6]),"90 DNC")</f>
        <v>20</v>
      </c>
      <c r="AB41" s="8" cm="1">
        <f t="array" ref="AB41">SUM(IFERROR(VALUE(LEFT(Regatas, FIND(" ",Regatas&amp; " ") - 1)), 0))</f>
        <v>422</v>
      </c>
      <c r="AC41" s="9" cm="1">
        <f t="array" ref="AC4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322</v>
      </c>
      <c r="AD41" s="6">
        <f>SMALL(RegatasN,1)</f>
        <v>5</v>
      </c>
      <c r="AE41" s="6">
        <f>SMALL(RegatasN,2)</f>
        <v>9</v>
      </c>
      <c r="AF41" s="6">
        <f>SMALL(RegatasN,3)</f>
        <v>10</v>
      </c>
      <c r="AG41" s="5" cm="1">
        <f t="array" ref="AG41">COUNTIF(Regatas,SMALL(Regatas,1))</f>
        <v>1</v>
      </c>
      <c r="AH41" s="6" cm="1">
        <f t="array" ref="AH41">VALUE(LEFT(INDEX(Selectivo[#This Row],,MATCH(Selectivo[[#Headers],[Total]],Selectivo[#Headers],0)-1),SEARCH(" ",INDEX(Selectivo[#This Row],,MATCH(Selectivo[[#Headers],[Total]],Selectivo[#Headers],0)-1)&amp;" ")-1))</f>
        <v>20</v>
      </c>
    </row>
    <row r="42" spans="1:34" x14ac:dyDescent="0.25">
      <c r="A42">
        <v>50231520</v>
      </c>
      <c r="B42" s="10">
        <f>ROW()-ROW(Selectivo[[#Headers],[Pos]])</f>
        <v>36</v>
      </c>
      <c r="C42" s="5">
        <v>4086</v>
      </c>
      <c r="D42" t="s">
        <v>698</v>
      </c>
      <c r="E42" t="s">
        <v>16</v>
      </c>
      <c r="F42" s="13">
        <f>IFERROR(_xlfn.XLOOKUP(Selectivo[[#This Row],[DNI]],_SIY[DNI],_SIY[R1]),"78 DNC")</f>
        <v>12</v>
      </c>
      <c r="G42" s="13">
        <f>IFERROR(_xlfn.XLOOKUP(Selectivo[[#This Row],[DNI]],_SIY[DNI],_SIY[R2]),"78 DNC")</f>
        <v>26</v>
      </c>
      <c r="H42" s="13">
        <f>IFERROR(_xlfn.XLOOKUP(Selectivo[[#This Row],[DNI]],_SIY[DNI],_SIY[R3]),"78 DNC")</f>
        <v>10</v>
      </c>
      <c r="I42" s="13">
        <f>IFERROR(_xlfn.XLOOKUP(Selectivo[[#This Row],[DNI]],_SIY[DNI],_SIY[R4]),"78 DNC")</f>
        <v>16</v>
      </c>
      <c r="J42" s="13">
        <f>IFERROR(_xlfn.XLOOKUP(Selectivo[[#This Row],[DNI]],_SIY[DNI],_SIY[R5]),"78 DNC")</f>
        <v>14</v>
      </c>
      <c r="K42" s="13">
        <f>IFERROR(_xlfn.XLOOKUP(Selectivo[[#This Row],[DNI]],_SIY[DNI],_SIY[R6]),"78 DNC")</f>
        <v>20</v>
      </c>
      <c r="L42" s="13">
        <f>IFERROR(_xlfn.XLOOKUP(Selectivo[[#This Row],[DNI]],_SIY[DNI],_SIY[R7]),"78 DNC")</f>
        <v>33</v>
      </c>
      <c r="M42" s="13">
        <f>IFERROR(_xlfn.XLOOKUP(Selectivo[[#This Row],[DNI]],_SIY[DNI],_SIY[R8]),"78 DNC")</f>
        <v>17</v>
      </c>
      <c r="N42" s="13">
        <f>IFERROR(_xlfn.XLOOKUP(Selectivo[[#This Row],[DNI]],_SIY[DNI],_SIY[R9]),"78 DNC")</f>
        <v>32</v>
      </c>
      <c r="O42" s="13">
        <f>IFERROR(_xlfn.XLOOKUP(Selectivo[[#This Row],[DNI]],_SIY[DNI],_SIY[R10]),"78 DNC")</f>
        <v>27</v>
      </c>
      <c r="P42" s="12" t="str">
        <f>IFERROR(_xlfn.XLOOKUP(Selectivo[[#This Row],[DNI]],_VF2025[DNI],_VF2025[R1]),"70 DNC")</f>
        <v>70 DSQ</v>
      </c>
      <c r="Q42" s="13">
        <f>IFERROR(_xlfn.XLOOKUP(Selectivo[[#This Row],[DNI]],_VF2025[DNI],_VF2025[R2]),"70 DNC")</f>
        <v>29</v>
      </c>
      <c r="R42" s="13">
        <f>IFERROR(_xlfn.XLOOKUP(Selectivo[[#This Row],[DNI]],_VF2025[DNI],_VF2025[R3]),"70 DNC")</f>
        <v>7</v>
      </c>
      <c r="S42" s="13">
        <f>IFERROR(_xlfn.XLOOKUP(Selectivo[[#This Row],[DNI]],_VF2025[DNI],_VF2025[R4]),"70 DNC")</f>
        <v>7</v>
      </c>
      <c r="T42" s="13">
        <f>IFERROR(_xlfn.XLOOKUP(Selectivo[[#This Row],[DNI]],_VF2025[DNI],_VF2025[R5]),"70 DNC")</f>
        <v>18</v>
      </c>
      <c r="U42" s="13">
        <f>IFERROR(_xlfn.XLOOKUP(Selectivo[[#This Row],[DNI]],_VF2025[DNI],_VF2025[R6]),"70 DNC")</f>
        <v>17</v>
      </c>
      <c r="V42" s="13" t="str" cm="1">
        <f t="array" ref="V42">IFERROR(_xlfn.XLOOKUP(Selectivo[[#This Row],[Vela]],_xlfn.NUMBERVALUE(SIL25v2[Sail '#]),SIL25v2[1]),"90 DNC")</f>
        <v>2</v>
      </c>
      <c r="W42" s="13" t="str" cm="1">
        <f t="array" ref="W42">IFERROR(_xlfn.XLOOKUP(Selectivo[[#This Row],[Vela]],_xlfn.NUMBERVALUE(SIL25v2[Sail '#]),SIL25v2[2]),"90 DNC")</f>
        <v>7</v>
      </c>
      <c r="X42" s="12" t="str" cm="1">
        <f t="array" ref="X42">IFERROR(_xlfn.XLOOKUP(Selectivo[[#This Row],[Vela]],_xlfn.NUMBERVALUE(SIL25v2[Sail '#]),SIL25v2[3]),"90 DNC")</f>
        <v>89 BFD</v>
      </c>
      <c r="Y42" s="13" t="str" cm="1">
        <f t="array" ref="Y42">IFERROR(_xlfn.XLOOKUP(Selectivo[[#This Row],[Vela]],_xlfn.NUMBERVALUE(SIL25v2[Sail '#]),SIL25v2[4]),"90 DNC")</f>
        <v>16</v>
      </c>
      <c r="Z42" s="13" t="str" cm="1">
        <f t="array" ref="Z42">IFERROR(_xlfn.XLOOKUP(Selectivo[[#This Row],[Vela]],_xlfn.NUMBERVALUE(SIL25v2[Sail '#]),SIL25v2[5]),"90 DNC")</f>
        <v>30</v>
      </c>
      <c r="AA42" s="12" t="str" cm="1">
        <f t="array" ref="AA42">IFERROR(_xlfn.XLOOKUP(Selectivo[[#This Row],[Vela]],_xlfn.NUMBERVALUE(SIL25v2[Sail '#]),SIL25v2[6]),"90 DNC")</f>
        <v>35</v>
      </c>
      <c r="AB42" s="8" cm="1">
        <f t="array" ref="AB42">SUM(IFERROR(VALUE(LEFT(Regatas, FIND(" ",Regatas&amp; " ") - 1)), 0))</f>
        <v>534</v>
      </c>
      <c r="AC42" s="9" cm="1">
        <f t="array" ref="AC4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340</v>
      </c>
      <c r="AD42" s="6">
        <f>SMALL(RegatasN,1)</f>
        <v>2</v>
      </c>
      <c r="AE42" s="6">
        <f>SMALL(RegatasN,2)</f>
        <v>7</v>
      </c>
      <c r="AF42" s="6">
        <f>SMALL(RegatasN,3)</f>
        <v>7</v>
      </c>
      <c r="AG42" s="5" cm="1">
        <f t="array" ref="AG42">COUNTIF(Regatas,SMALL(Regatas,1))</f>
        <v>3</v>
      </c>
      <c r="AH42" s="6" cm="1">
        <f t="array" ref="AH42">VALUE(LEFT(INDEX(Selectivo[#This Row],,MATCH(Selectivo[[#Headers],[Total]],Selectivo[#Headers],0)-1),SEARCH(" ",INDEX(Selectivo[#This Row],,MATCH(Selectivo[[#Headers],[Total]],Selectivo[#Headers],0)-1)&amp;" ")-1))</f>
        <v>35</v>
      </c>
    </row>
    <row r="43" spans="1:34" x14ac:dyDescent="0.25">
      <c r="A43">
        <v>51422775</v>
      </c>
      <c r="B43" s="10">
        <f>ROW()-ROW(Selectivo[[#Headers],[Pos]])</f>
        <v>37</v>
      </c>
      <c r="C43" s="5">
        <v>3862</v>
      </c>
      <c r="D43" t="s">
        <v>693</v>
      </c>
      <c r="E43" t="s">
        <v>6</v>
      </c>
      <c r="F43" s="13">
        <f>IFERROR(_xlfn.XLOOKUP(Selectivo[[#This Row],[DNI]],_SIY[DNI],_SIY[R1]),"78 DNC")</f>
        <v>22</v>
      </c>
      <c r="G43" s="13">
        <f>IFERROR(_xlfn.XLOOKUP(Selectivo[[#This Row],[DNI]],_SIY[DNI],_SIY[R2]),"78 DNC")</f>
        <v>20</v>
      </c>
      <c r="H43" s="13">
        <f>IFERROR(_xlfn.XLOOKUP(Selectivo[[#This Row],[DNI]],_SIY[DNI],_SIY[R3]),"78 DNC")</f>
        <v>11</v>
      </c>
      <c r="I43" s="13">
        <f>IFERROR(_xlfn.XLOOKUP(Selectivo[[#This Row],[DNI]],_SIY[DNI],_SIY[R4]),"78 DNC")</f>
        <v>15</v>
      </c>
      <c r="J43" s="13">
        <f>IFERROR(_xlfn.XLOOKUP(Selectivo[[#This Row],[DNI]],_SIY[DNI],_SIY[R5]),"78 DNC")</f>
        <v>11</v>
      </c>
      <c r="K43" s="12">
        <f>IFERROR(_xlfn.XLOOKUP(Selectivo[[#This Row],[DNI]],_SIY[DNI],_SIY[R6]),"78 DNC")</f>
        <v>33</v>
      </c>
      <c r="L43" s="13">
        <f>IFERROR(_xlfn.XLOOKUP(Selectivo[[#This Row],[DNI]],_SIY[DNI],_SIY[R7]),"78 DNC")</f>
        <v>21</v>
      </c>
      <c r="M43" s="13">
        <f>IFERROR(_xlfn.XLOOKUP(Selectivo[[#This Row],[DNI]],_SIY[DNI],_SIY[R8]),"78 DNC")</f>
        <v>18</v>
      </c>
      <c r="N43" s="13">
        <f>IFERROR(_xlfn.XLOOKUP(Selectivo[[#This Row],[DNI]],_SIY[DNI],_SIY[R9]),"78 DNC")</f>
        <v>16</v>
      </c>
      <c r="O43" s="13">
        <f>IFERROR(_xlfn.XLOOKUP(Selectivo[[#This Row],[DNI]],_SIY[DNI],_SIY[R10]),"78 DNC")</f>
        <v>19</v>
      </c>
      <c r="P43" s="13">
        <f>IFERROR(_xlfn.XLOOKUP(Selectivo[[#This Row],[DNI]],_VF2025[DNI],_VF2025[R1]),"70 DNC")</f>
        <v>31</v>
      </c>
      <c r="Q43" s="13">
        <f>IFERROR(_xlfn.XLOOKUP(Selectivo[[#This Row],[DNI]],_VF2025[DNI],_VF2025[R2]),"70 DNC")</f>
        <v>11</v>
      </c>
      <c r="R43" s="13">
        <f>IFERROR(_xlfn.XLOOKUP(Selectivo[[#This Row],[DNI]],_VF2025[DNI],_VF2025[R3]),"70 DNC")</f>
        <v>6</v>
      </c>
      <c r="S43" s="12">
        <f>IFERROR(_xlfn.XLOOKUP(Selectivo[[#This Row],[DNI]],_VF2025[DNI],_VF2025[R4]),"70 DNC")</f>
        <v>33</v>
      </c>
      <c r="T43" s="13">
        <f>IFERROR(_xlfn.XLOOKUP(Selectivo[[#This Row],[DNI]],_VF2025[DNI],_VF2025[R5]),"70 DNC")</f>
        <v>11</v>
      </c>
      <c r="U43" s="13">
        <f>IFERROR(_xlfn.XLOOKUP(Selectivo[[#This Row],[DNI]],_VF2025[DNI],_VF2025[R6]),"70 DNC")</f>
        <v>28</v>
      </c>
      <c r="V43" s="13" t="str" cm="1">
        <f t="array" ref="V43">IFERROR(_xlfn.XLOOKUP(Selectivo[[#This Row],[Vela]],_xlfn.NUMBERVALUE(SIL25v2[Sail '#]),SIL25v2[1]),"90 DNC")</f>
        <v>32</v>
      </c>
      <c r="W43" s="13" t="str" cm="1">
        <f t="array" ref="W43">IFERROR(_xlfn.XLOOKUP(Selectivo[[#This Row],[Vela]],_xlfn.NUMBERVALUE(SIL25v2[Sail '#]),SIL25v2[2]),"90 DNC")</f>
        <v>17</v>
      </c>
      <c r="X43" s="13" t="str" cm="1">
        <f t="array" ref="X43">IFERROR(_xlfn.XLOOKUP(Selectivo[[#This Row],[Vela]],_xlfn.NUMBERVALUE(SIL25v2[Sail '#]),SIL25v2[3]),"90 DNC")</f>
        <v>25</v>
      </c>
      <c r="Y43" s="12" t="str" cm="1">
        <f t="array" ref="Y43">IFERROR(_xlfn.XLOOKUP(Selectivo[[#This Row],[Vela]],_xlfn.NUMBERVALUE(SIL25v2[Sail '#]),SIL25v2[4]),"90 DNC")</f>
        <v>42</v>
      </c>
      <c r="Z43" s="13" t="str" cm="1">
        <f t="array" ref="Z43">IFERROR(_xlfn.XLOOKUP(Selectivo[[#This Row],[Vela]],_xlfn.NUMBERVALUE(SIL25v2[Sail '#]),SIL25v2[5]),"90 DNC")</f>
        <v>29</v>
      </c>
      <c r="AA43" s="13" t="str" cm="1">
        <f t="array" ref="AA43">IFERROR(_xlfn.XLOOKUP(Selectivo[[#This Row],[Vela]],_xlfn.NUMBERVALUE(SIL25v2[Sail '#]),SIL25v2[6]),"90 DNC")</f>
        <v>9</v>
      </c>
      <c r="AB43" s="8" cm="1">
        <f t="array" ref="AB43">SUM(IFERROR(VALUE(LEFT(Regatas, FIND(" ",Regatas&amp; " ") - 1)), 0))</f>
        <v>460</v>
      </c>
      <c r="AC43" s="9" cm="1">
        <f t="array" ref="AC4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352</v>
      </c>
      <c r="AD43" s="6">
        <f>SMALL(RegatasN,1)</f>
        <v>6</v>
      </c>
      <c r="AE43" s="6">
        <f>SMALL(RegatasN,2)</f>
        <v>9</v>
      </c>
      <c r="AF43" s="6">
        <f>SMALL(RegatasN,3)</f>
        <v>11</v>
      </c>
      <c r="AG43" s="5" cm="1">
        <f t="array" ref="AG43">COUNTIF(Regatas,SMALL(Regatas,1))</f>
        <v>1</v>
      </c>
      <c r="AH43" s="6" cm="1">
        <f t="array" ref="AH43">VALUE(LEFT(INDEX(Selectivo[#This Row],,MATCH(Selectivo[[#Headers],[Total]],Selectivo[#Headers],0)-1),SEARCH(" ",INDEX(Selectivo[#This Row],,MATCH(Selectivo[[#Headers],[Total]],Selectivo[#Headers],0)-1)&amp;" ")-1))</f>
        <v>9</v>
      </c>
    </row>
    <row r="44" spans="1:34" x14ac:dyDescent="0.25">
      <c r="A44">
        <v>52192618</v>
      </c>
      <c r="B44" s="10">
        <f>ROW()-ROW(Selectivo[[#Headers],[Pos]])</f>
        <v>38</v>
      </c>
      <c r="C44" s="5">
        <v>4135</v>
      </c>
      <c r="D44" t="s">
        <v>617</v>
      </c>
      <c r="E44" t="s">
        <v>23</v>
      </c>
      <c r="F44" s="12" t="str">
        <f>IFERROR(_xlfn.XLOOKUP(Selectivo[[#This Row],[DNI]],_SIY[DNI],_SIY[R1]),"78 DNC")</f>
        <v>77 DNC</v>
      </c>
      <c r="G44" s="13">
        <f>IFERROR(_xlfn.XLOOKUP(Selectivo[[#This Row],[DNI]],_SIY[DNI],_SIY[R2]),"78 DNC")</f>
        <v>5</v>
      </c>
      <c r="H44" s="13">
        <f>IFERROR(_xlfn.XLOOKUP(Selectivo[[#This Row],[DNI]],_SIY[DNI],_SIY[R3]),"78 DNC")</f>
        <v>12</v>
      </c>
      <c r="I44" s="12" t="str">
        <f>IFERROR(_xlfn.XLOOKUP(Selectivo[[#This Row],[DNI]],_SIY[DNI],_SIY[R4]),"78 DNC")</f>
        <v>77 UFD</v>
      </c>
      <c r="J44" s="13">
        <f>IFERROR(_xlfn.XLOOKUP(Selectivo[[#This Row],[DNI]],_SIY[DNI],_SIY[R5]),"78 DNC")</f>
        <v>18</v>
      </c>
      <c r="K44" s="13">
        <f>IFERROR(_xlfn.XLOOKUP(Selectivo[[#This Row],[DNI]],_SIY[DNI],_SIY[R6]),"78 DNC")</f>
        <v>26</v>
      </c>
      <c r="L44" s="13">
        <f>IFERROR(_xlfn.XLOOKUP(Selectivo[[#This Row],[DNI]],_SIY[DNI],_SIY[R7]),"78 DNC")</f>
        <v>8</v>
      </c>
      <c r="M44" s="12" t="str">
        <f>IFERROR(_xlfn.XLOOKUP(Selectivo[[#This Row],[DNI]],_SIY[DNI],_SIY[R8]),"78 DNC")</f>
        <v>77 BFD</v>
      </c>
      <c r="N44" s="13" t="str">
        <f>IFERROR(_xlfn.XLOOKUP(Selectivo[[#This Row],[DNI]],_SIY[DNI],_SIY[R9]),"78 DNC")</f>
        <v>77 BFD</v>
      </c>
      <c r="O44" s="13">
        <f>IFERROR(_xlfn.XLOOKUP(Selectivo[[#This Row],[DNI]],_SIY[DNI],_SIY[R10]),"78 DNC")</f>
        <v>13</v>
      </c>
      <c r="P44" s="13">
        <f>IFERROR(_xlfn.XLOOKUP(Selectivo[[#This Row],[DNI]],_VF2025[DNI],_VF2025[R1]),"70 DNC")</f>
        <v>18</v>
      </c>
      <c r="Q44" s="13">
        <f>IFERROR(_xlfn.XLOOKUP(Selectivo[[#This Row],[DNI]],_VF2025[DNI],_VF2025[R2]),"70 DNC")</f>
        <v>7</v>
      </c>
      <c r="R44" s="13">
        <f>IFERROR(_xlfn.XLOOKUP(Selectivo[[#This Row],[DNI]],_VF2025[DNI],_VF2025[R3]),"70 DNC")</f>
        <v>15</v>
      </c>
      <c r="S44" s="13">
        <f>IFERROR(_xlfn.XLOOKUP(Selectivo[[#This Row],[DNI]],_VF2025[DNI],_VF2025[R4]),"70 DNC")</f>
        <v>7</v>
      </c>
      <c r="T44" s="13">
        <f>IFERROR(_xlfn.XLOOKUP(Selectivo[[#This Row],[DNI]],_VF2025[DNI],_VF2025[R5]),"70 DNC")</f>
        <v>9</v>
      </c>
      <c r="U44" s="13">
        <f>IFERROR(_xlfn.XLOOKUP(Selectivo[[#This Row],[DNI]],_VF2025[DNI],_VF2025[R6]),"70 DNC")</f>
        <v>13</v>
      </c>
      <c r="V44" s="13" t="str" cm="1">
        <f t="array" ref="V44">IFERROR(_xlfn.XLOOKUP(Selectivo[[#This Row],[Vela]],_xlfn.NUMBERVALUE(SIL25v2[Sail '#]),SIL25v2[1]),"90 DNC")</f>
        <v>21</v>
      </c>
      <c r="W44" s="13" t="str" cm="1">
        <f t="array" ref="W44">IFERROR(_xlfn.XLOOKUP(Selectivo[[#This Row],[Vela]],_xlfn.NUMBERVALUE(SIL25v2[Sail '#]),SIL25v2[2]),"90 DNC")</f>
        <v>8</v>
      </c>
      <c r="X44" s="13" t="str" cm="1">
        <f t="array" ref="X44">IFERROR(_xlfn.XLOOKUP(Selectivo[[#This Row],[Vela]],_xlfn.NUMBERVALUE(SIL25v2[Sail '#]),SIL25v2[3]),"90 DNC")</f>
        <v>35</v>
      </c>
      <c r="Y44" s="13" t="str" cm="1">
        <f t="array" ref="Y44">IFERROR(_xlfn.XLOOKUP(Selectivo[[#This Row],[Vela]],_xlfn.NUMBERVALUE(SIL25v2[Sail '#]),SIL25v2[4]),"90 DNC")</f>
        <v>24</v>
      </c>
      <c r="Z44" s="13" t="str" cm="1">
        <f t="array" ref="Z44">IFERROR(_xlfn.XLOOKUP(Selectivo[[#This Row],[Vela]],_xlfn.NUMBERVALUE(SIL25v2[Sail '#]),SIL25v2[5]),"90 DNC")</f>
        <v>6</v>
      </c>
      <c r="AA44" s="13" t="str" cm="1">
        <f t="array" ref="AA44">IFERROR(_xlfn.XLOOKUP(Selectivo[[#This Row],[Vela]],_xlfn.NUMBERVALUE(SIL25v2[Sail '#]),SIL25v2[6]),"90 DNC")</f>
        <v>31</v>
      </c>
      <c r="AB44" s="8" cm="1">
        <f t="array" ref="AB44">SUM(IFERROR(VALUE(LEFT(Regatas, FIND(" ",Regatas&amp; " ") - 1)), 0))</f>
        <v>584</v>
      </c>
      <c r="AC44" s="9" cm="1">
        <f t="array" ref="AC4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353</v>
      </c>
      <c r="AD44" s="6">
        <f>SMALL(RegatasN,1)</f>
        <v>5</v>
      </c>
      <c r="AE44" s="6">
        <f>SMALL(RegatasN,2)</f>
        <v>6</v>
      </c>
      <c r="AF44" s="6">
        <f>SMALL(RegatasN,3)</f>
        <v>7</v>
      </c>
      <c r="AG44" s="5" cm="1">
        <f t="array" ref="AG44">COUNTIF(Regatas,SMALL(Regatas,1))</f>
        <v>1</v>
      </c>
      <c r="AH44" s="6" cm="1">
        <f t="array" ref="AH44">VALUE(LEFT(INDEX(Selectivo[#This Row],,MATCH(Selectivo[[#Headers],[Total]],Selectivo[#Headers],0)-1),SEARCH(" ",INDEX(Selectivo[#This Row],,MATCH(Selectivo[[#Headers],[Total]],Selectivo[#Headers],0)-1)&amp;" ")-1))</f>
        <v>31</v>
      </c>
    </row>
    <row r="45" spans="1:34" x14ac:dyDescent="0.25">
      <c r="A45">
        <v>50510057</v>
      </c>
      <c r="B45" s="10">
        <f>ROW()-ROW(Selectivo[[#Headers],[Pos]])</f>
        <v>39</v>
      </c>
      <c r="C45" s="5">
        <v>4210</v>
      </c>
      <c r="D45" t="s">
        <v>727</v>
      </c>
      <c r="E45" t="s">
        <v>21</v>
      </c>
      <c r="F45" s="13">
        <f>IFERROR(_xlfn.XLOOKUP(Selectivo[[#This Row],[DNI]],_SIY[DNI],_SIY[R1]),"78 DNC")</f>
        <v>1</v>
      </c>
      <c r="G45" s="13">
        <f>IFERROR(_xlfn.XLOOKUP(Selectivo[[#This Row],[DNI]],_SIY[DNI],_SIY[R2]),"78 DNC")</f>
        <v>9</v>
      </c>
      <c r="H45" s="13">
        <f>IFERROR(_xlfn.XLOOKUP(Selectivo[[#This Row],[DNI]],_SIY[DNI],_SIY[R3]),"78 DNC")</f>
        <v>7</v>
      </c>
      <c r="I45" s="13">
        <f>IFERROR(_xlfn.XLOOKUP(Selectivo[[#This Row],[DNI]],_SIY[DNI],_SIY[R4]),"78 DNC")</f>
        <v>9</v>
      </c>
      <c r="J45" s="13">
        <f>IFERROR(_xlfn.XLOOKUP(Selectivo[[#This Row],[DNI]],_SIY[DNI],_SIY[R5]),"78 DNC")</f>
        <v>7</v>
      </c>
      <c r="K45" s="13">
        <f>IFERROR(_xlfn.XLOOKUP(Selectivo[[#This Row],[DNI]],_SIY[DNI],_SIY[R6]),"78 DNC")</f>
        <v>15</v>
      </c>
      <c r="L45" s="13">
        <f>IFERROR(_xlfn.XLOOKUP(Selectivo[[#This Row],[DNI]],_SIY[DNI],_SIY[R7]),"78 DNC")</f>
        <v>11</v>
      </c>
      <c r="M45" s="13">
        <f>IFERROR(_xlfn.XLOOKUP(Selectivo[[#This Row],[DNI]],_SIY[DNI],_SIY[R8]),"78 DNC")</f>
        <v>39</v>
      </c>
      <c r="N45" s="13">
        <f>IFERROR(_xlfn.XLOOKUP(Selectivo[[#This Row],[DNI]],_SIY[DNI],_SIY[R9]),"78 DNC")</f>
        <v>29</v>
      </c>
      <c r="O45" s="13">
        <f>IFERROR(_xlfn.XLOOKUP(Selectivo[[#This Row],[DNI]],_SIY[DNI],_SIY[R10]),"78 DNC")</f>
        <v>7</v>
      </c>
      <c r="P45" s="13">
        <f>IFERROR(_xlfn.XLOOKUP(Selectivo[[#This Row],[DNI]],_VF2025[DNI],_VF2025[R1]),"70 DNC")</f>
        <v>20</v>
      </c>
      <c r="Q45" s="12" t="str">
        <f>IFERROR(_xlfn.XLOOKUP(Selectivo[[#This Row],[DNI]],_VF2025[DNI],_VF2025[R2]),"70 DNC")</f>
        <v>70 DNF</v>
      </c>
      <c r="R45" s="13">
        <f>IFERROR(_xlfn.XLOOKUP(Selectivo[[#This Row],[DNI]],_VF2025[DNI],_VF2025[R3]),"70 DNC")</f>
        <v>7</v>
      </c>
      <c r="S45" s="13">
        <f>IFERROR(_xlfn.XLOOKUP(Selectivo[[#This Row],[DNI]],_VF2025[DNI],_VF2025[R4]),"70 DNC")</f>
        <v>12</v>
      </c>
      <c r="T45" s="13">
        <f>IFERROR(_xlfn.XLOOKUP(Selectivo[[#This Row],[DNI]],_VF2025[DNI],_VF2025[R5]),"70 DNC")</f>
        <v>5</v>
      </c>
      <c r="U45" s="13">
        <f>IFERROR(_xlfn.XLOOKUP(Selectivo[[#This Row],[DNI]],_VF2025[DNI],_VF2025[R6]),"70 DNC")</f>
        <v>25</v>
      </c>
      <c r="V45" s="13" t="str" cm="1">
        <f t="array" ref="V45">IFERROR(_xlfn.XLOOKUP(Selectivo[[#This Row],[Vela]],_xlfn.NUMBERVALUE(SIL25v2[Sail '#]),SIL25v2[1]),"90 DNC")</f>
        <v>35</v>
      </c>
      <c r="W45" s="12" t="str" cm="1">
        <f t="array" ref="W45">IFERROR(_xlfn.XLOOKUP(Selectivo[[#This Row],[Vela]],_xlfn.NUMBERVALUE(SIL25v2[Sail '#]),SIL25v2[2]),"90 DNC")</f>
        <v>89 UFD</v>
      </c>
      <c r="X45" s="13" t="str" cm="1">
        <f t="array" ref="X45">IFERROR(_xlfn.XLOOKUP(Selectivo[[#This Row],[Vela]],_xlfn.NUMBERVALUE(SIL25v2[Sail '#]),SIL25v2[3]),"90 DNC")</f>
        <v>51</v>
      </c>
      <c r="Y45" s="12" t="str" cm="1">
        <f t="array" ref="Y45">IFERROR(_xlfn.XLOOKUP(Selectivo[[#This Row],[Vela]],_xlfn.NUMBERVALUE(SIL25v2[Sail '#]),SIL25v2[4]),"90 DNC")</f>
        <v>57</v>
      </c>
      <c r="Z45" s="13" t="str" cm="1">
        <f t="array" ref="Z45">IFERROR(_xlfn.XLOOKUP(Selectivo[[#This Row],[Vela]],_xlfn.NUMBERVALUE(SIL25v2[Sail '#]),SIL25v2[5]),"90 DNC")</f>
        <v>38</v>
      </c>
      <c r="AA45" s="13" t="str" cm="1">
        <f t="array" ref="AA45">IFERROR(_xlfn.XLOOKUP(Selectivo[[#This Row],[Vela]],_xlfn.NUMBERVALUE(SIL25v2[Sail '#]),SIL25v2[6]),"90 DNC")</f>
        <v>27</v>
      </c>
      <c r="AB45" s="8" cm="1">
        <f t="array" ref="AB45">SUM(IFERROR(VALUE(LEFT(Regatas, FIND(" ",Regatas&amp; " ") - 1)), 0))</f>
        <v>570</v>
      </c>
      <c r="AC45" s="9" cm="1">
        <f t="array" ref="AC4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354</v>
      </c>
      <c r="AD45" s="6">
        <f>SMALL(RegatasN,1)</f>
        <v>1</v>
      </c>
      <c r="AE45" s="6">
        <f>SMALL(RegatasN,2)</f>
        <v>5</v>
      </c>
      <c r="AF45" s="6">
        <f>SMALL(RegatasN,3)</f>
        <v>7</v>
      </c>
      <c r="AG45" s="5" cm="1">
        <f t="array" ref="AG45">COUNTIF(Regatas,SMALL(Regatas,1))</f>
        <v>1</v>
      </c>
      <c r="AH45" s="6" cm="1">
        <f t="array" ref="AH45">VALUE(LEFT(INDEX(Selectivo[#This Row],,MATCH(Selectivo[[#Headers],[Total]],Selectivo[#Headers],0)-1),SEARCH(" ",INDEX(Selectivo[#This Row],,MATCH(Selectivo[[#Headers],[Total]],Selectivo[#Headers],0)-1)&amp;" ")-1))</f>
        <v>27</v>
      </c>
    </row>
    <row r="46" spans="1:34" x14ac:dyDescent="0.25">
      <c r="A46">
        <v>52699830</v>
      </c>
      <c r="B46" s="10">
        <f>ROW()-ROW(Selectivo[[#Headers],[Pos]])</f>
        <v>40</v>
      </c>
      <c r="C46" s="5">
        <v>4181</v>
      </c>
      <c r="D46" t="s">
        <v>668</v>
      </c>
      <c r="E46" t="s">
        <v>5</v>
      </c>
      <c r="F46" s="13">
        <f>IFERROR(_xlfn.XLOOKUP(Selectivo[[#This Row],[DNI]],_SIY[DNI],_SIY[R1]),"78 DNC")</f>
        <v>7</v>
      </c>
      <c r="G46" s="13">
        <f>IFERROR(_xlfn.XLOOKUP(Selectivo[[#This Row],[DNI]],_SIY[DNI],_SIY[R2]),"78 DNC")</f>
        <v>27</v>
      </c>
      <c r="H46" s="13">
        <f>IFERROR(_xlfn.XLOOKUP(Selectivo[[#This Row],[DNI]],_SIY[DNI],_SIY[R3]),"78 DNC")</f>
        <v>27</v>
      </c>
      <c r="I46" s="13">
        <f>IFERROR(_xlfn.XLOOKUP(Selectivo[[#This Row],[DNI]],_SIY[DNI],_SIY[R4]),"78 DNC")</f>
        <v>25</v>
      </c>
      <c r="J46" s="13">
        <f>IFERROR(_xlfn.XLOOKUP(Selectivo[[#This Row],[DNI]],_SIY[DNI],_SIY[R5]),"78 DNC")</f>
        <v>23</v>
      </c>
      <c r="K46" s="13">
        <f>IFERROR(_xlfn.XLOOKUP(Selectivo[[#This Row],[DNI]],_SIY[DNI],_SIY[R6]),"78 DNC")</f>
        <v>18</v>
      </c>
      <c r="L46" s="12">
        <f>IFERROR(_xlfn.XLOOKUP(Selectivo[[#This Row],[DNI]],_SIY[DNI],_SIY[R7]),"78 DNC")</f>
        <v>47</v>
      </c>
      <c r="M46" s="12" t="str">
        <f>IFERROR(_xlfn.XLOOKUP(Selectivo[[#This Row],[DNI]],_SIY[DNI],_SIY[R8]),"78 DNC")</f>
        <v>77 BFD</v>
      </c>
      <c r="N46" s="13">
        <f>IFERROR(_xlfn.XLOOKUP(Selectivo[[#This Row],[DNI]],_SIY[DNI],_SIY[R9]),"78 DNC")</f>
        <v>12</v>
      </c>
      <c r="O46" s="12" t="str">
        <f>IFERROR(_xlfn.XLOOKUP(Selectivo[[#This Row],[DNI]],_SIY[DNI],_SIY[R10]),"78 DNC")</f>
        <v>77 BFD</v>
      </c>
      <c r="P46" s="13">
        <f>IFERROR(_xlfn.XLOOKUP(Selectivo[[#This Row],[DNI]],_VF2025[DNI],_VF2025[R1]),"70 DNC")</f>
        <v>24</v>
      </c>
      <c r="Q46" s="13">
        <f>IFERROR(_xlfn.XLOOKUP(Selectivo[[#This Row],[DNI]],_VF2025[DNI],_VF2025[R2]),"70 DNC")</f>
        <v>20</v>
      </c>
      <c r="R46" s="13">
        <f>IFERROR(_xlfn.XLOOKUP(Selectivo[[#This Row],[DNI]],_VF2025[DNI],_VF2025[R3]),"70 DNC")</f>
        <v>10</v>
      </c>
      <c r="S46" s="13">
        <f>IFERROR(_xlfn.XLOOKUP(Selectivo[[#This Row],[DNI]],_VF2025[DNI],_VF2025[R4]),"70 DNC")</f>
        <v>17</v>
      </c>
      <c r="T46" s="13">
        <f>IFERROR(_xlfn.XLOOKUP(Selectivo[[#This Row],[DNI]],_VF2025[DNI],_VF2025[R5]),"70 DNC")</f>
        <v>23</v>
      </c>
      <c r="U46" s="13">
        <f>IFERROR(_xlfn.XLOOKUP(Selectivo[[#This Row],[DNI]],_VF2025[DNI],_VF2025[R6]),"70 DNC")</f>
        <v>4</v>
      </c>
      <c r="V46" s="13" t="str" cm="1">
        <f t="array" ref="V46">IFERROR(_xlfn.XLOOKUP(Selectivo[[#This Row],[Vela]],_xlfn.NUMBERVALUE(SIL25v2[Sail '#]),SIL25v2[1]),"90 DNC")</f>
        <v>17</v>
      </c>
      <c r="W46" s="13" t="str" cm="1">
        <f t="array" ref="W46">IFERROR(_xlfn.XLOOKUP(Selectivo[[#This Row],[Vela]],_xlfn.NUMBERVALUE(SIL25v2[Sail '#]),SIL25v2[2]),"90 DNC")</f>
        <v>30</v>
      </c>
      <c r="X46" s="13" t="str" cm="1">
        <f t="array" ref="X46">IFERROR(_xlfn.XLOOKUP(Selectivo[[#This Row],[Vela]],_xlfn.NUMBERVALUE(SIL25v2[Sail '#]),SIL25v2[3]),"90 DNC")</f>
        <v>6</v>
      </c>
      <c r="Y46" s="13" t="str" cm="1">
        <f t="array" ref="Y46">IFERROR(_xlfn.XLOOKUP(Selectivo[[#This Row],[Vela]],_xlfn.NUMBERVALUE(SIL25v2[Sail '#]),SIL25v2[4]),"90 DNC")</f>
        <v>22</v>
      </c>
      <c r="Z46" s="13" t="str" cm="1">
        <f t="array" ref="Z46">IFERROR(_xlfn.XLOOKUP(Selectivo[[#This Row],[Vela]],_xlfn.NUMBERVALUE(SIL25v2[Sail '#]),SIL25v2[5]),"90 DNC")</f>
        <v>26</v>
      </c>
      <c r="AA46" s="13" t="str" cm="1">
        <f t="array" ref="AA46">IFERROR(_xlfn.XLOOKUP(Selectivo[[#This Row],[Vela]],_xlfn.NUMBERVALUE(SIL25v2[Sail '#]),SIL25v2[6]),"90 DNC")</f>
        <v>20</v>
      </c>
      <c r="AB46" s="8" cm="1">
        <f t="array" ref="AB46">SUM(IFERROR(VALUE(LEFT(Regatas, FIND(" ",Regatas&amp; " ") - 1)), 0))</f>
        <v>559</v>
      </c>
      <c r="AC46" s="9" cm="1">
        <f t="array" ref="AC4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358</v>
      </c>
      <c r="AD46" s="6">
        <f>SMALL(RegatasN,1)</f>
        <v>4</v>
      </c>
      <c r="AE46" s="6">
        <f>SMALL(RegatasN,2)</f>
        <v>6</v>
      </c>
      <c r="AF46" s="6">
        <f>SMALL(RegatasN,3)</f>
        <v>7</v>
      </c>
      <c r="AG46" s="5" cm="1">
        <f t="array" ref="AG46">COUNTIF(Regatas,SMALL(Regatas,1))</f>
        <v>1</v>
      </c>
      <c r="AH46" s="6" cm="1">
        <f t="array" ref="AH46">VALUE(LEFT(INDEX(Selectivo[#This Row],,MATCH(Selectivo[[#Headers],[Total]],Selectivo[#Headers],0)-1),SEARCH(" ",INDEX(Selectivo[#This Row],,MATCH(Selectivo[[#Headers],[Total]],Selectivo[#Headers],0)-1)&amp;" ")-1))</f>
        <v>20</v>
      </c>
    </row>
    <row r="47" spans="1:34" x14ac:dyDescent="0.25">
      <c r="A47">
        <v>50671157</v>
      </c>
      <c r="B47" s="10">
        <f>ROW()-ROW(Selectivo[[#Headers],[Pos]])</f>
        <v>41</v>
      </c>
      <c r="C47" s="5">
        <v>4192</v>
      </c>
      <c r="D47" t="s">
        <v>722</v>
      </c>
      <c r="E47" t="s">
        <v>22</v>
      </c>
      <c r="F47" s="13">
        <f>IFERROR(_xlfn.XLOOKUP(Selectivo[[#This Row],[DNI]],_SIY[DNI],_SIY[R1]),"78 DNC")</f>
        <v>12</v>
      </c>
      <c r="G47" s="13">
        <f>IFERROR(_xlfn.XLOOKUP(Selectivo[[#This Row],[DNI]],_SIY[DNI],_SIY[R2]),"78 DNC")</f>
        <v>12</v>
      </c>
      <c r="H47" s="13">
        <f>IFERROR(_xlfn.XLOOKUP(Selectivo[[#This Row],[DNI]],_SIY[DNI],_SIY[R3]),"78 DNC")</f>
        <v>41</v>
      </c>
      <c r="I47" s="13">
        <f>IFERROR(_xlfn.XLOOKUP(Selectivo[[#This Row],[DNI]],_SIY[DNI],_SIY[R4]),"78 DNC")</f>
        <v>19</v>
      </c>
      <c r="J47" s="13">
        <f>IFERROR(_xlfn.XLOOKUP(Selectivo[[#This Row],[DNI]],_SIY[DNI],_SIY[R5]),"78 DNC")</f>
        <v>18</v>
      </c>
      <c r="K47" s="13">
        <f>IFERROR(_xlfn.XLOOKUP(Selectivo[[#This Row],[DNI]],_SIY[DNI],_SIY[R6]),"78 DNC")</f>
        <v>31</v>
      </c>
      <c r="L47" s="13">
        <f>IFERROR(_xlfn.XLOOKUP(Selectivo[[#This Row],[DNI]],_SIY[DNI],_SIY[R7]),"78 DNC")</f>
        <v>21</v>
      </c>
      <c r="M47" s="13">
        <f>IFERROR(_xlfn.XLOOKUP(Selectivo[[#This Row],[DNI]],_SIY[DNI],_SIY[R8]),"78 DNC")</f>
        <v>23</v>
      </c>
      <c r="N47" s="13">
        <f>IFERROR(_xlfn.XLOOKUP(Selectivo[[#This Row],[DNI]],_SIY[DNI],_SIY[R9]),"78 DNC")</f>
        <v>12</v>
      </c>
      <c r="O47" s="13">
        <f>IFERROR(_xlfn.XLOOKUP(Selectivo[[#This Row],[DNI]],_SIY[DNI],_SIY[R10]),"78 DNC")</f>
        <v>40</v>
      </c>
      <c r="P47" s="13">
        <f>IFERROR(_xlfn.XLOOKUP(Selectivo[[#This Row],[DNI]],_VF2025[DNI],_VF2025[R1]),"70 DNC")</f>
        <v>7</v>
      </c>
      <c r="Q47" s="13">
        <f>IFERROR(_xlfn.XLOOKUP(Selectivo[[#This Row],[DNI]],_VF2025[DNI],_VF2025[R2]),"70 DNC")</f>
        <v>31</v>
      </c>
      <c r="R47" s="13">
        <f>IFERROR(_xlfn.XLOOKUP(Selectivo[[#This Row],[DNI]],_VF2025[DNI],_VF2025[R3]),"70 DNC")</f>
        <v>5</v>
      </c>
      <c r="S47" s="13">
        <f>IFERROR(_xlfn.XLOOKUP(Selectivo[[#This Row],[DNI]],_VF2025[DNI],_VF2025[R4]),"70 DNC")</f>
        <v>24</v>
      </c>
      <c r="T47" s="13">
        <f>IFERROR(_xlfn.XLOOKUP(Selectivo[[#This Row],[DNI]],_VF2025[DNI],_VF2025[R5]),"70 DNC")</f>
        <v>28</v>
      </c>
      <c r="U47" s="12" t="str">
        <f>IFERROR(_xlfn.XLOOKUP(Selectivo[[#This Row],[DNI]],_VF2025[DNI],_VF2025[R6]),"70 DNC")</f>
        <v>70 BFD</v>
      </c>
      <c r="V47" s="12" t="str" cm="1">
        <f t="array" ref="V47">IFERROR(_xlfn.XLOOKUP(Selectivo[[#This Row],[Vela]],_xlfn.NUMBERVALUE(SIL25v2[Sail '#]),SIL25v2[1]),"90 DNC")</f>
        <v>89 BFD</v>
      </c>
      <c r="W47" s="13" t="str" cm="1">
        <f t="array" ref="W47">IFERROR(_xlfn.XLOOKUP(Selectivo[[#This Row],[Vela]],_xlfn.NUMBERVALUE(SIL25v2[Sail '#]),SIL25v2[2]),"90 DNC")</f>
        <v>12</v>
      </c>
      <c r="X47" s="12" t="str" cm="1">
        <f t="array" ref="X47">IFERROR(_xlfn.XLOOKUP(Selectivo[[#This Row],[Vela]],_xlfn.NUMBERVALUE(SIL25v2[Sail '#]),SIL25v2[3]),"90 DNC")</f>
        <v>89 DSQ</v>
      </c>
      <c r="Y47" s="13" t="str" cm="1">
        <f t="array" ref="Y47">IFERROR(_xlfn.XLOOKUP(Selectivo[[#This Row],[Vela]],_xlfn.NUMBERVALUE(SIL25v2[Sail '#]),SIL25v2[4]),"90 DNC")</f>
        <v>3</v>
      </c>
      <c r="Z47" s="13" t="str" cm="1">
        <f t="array" ref="Z47">IFERROR(_xlfn.XLOOKUP(Selectivo[[#This Row],[Vela]],_xlfn.NUMBERVALUE(SIL25v2[Sail '#]),SIL25v2[5]),"90 DNC")</f>
        <v>19</v>
      </c>
      <c r="AA47" s="13" t="str" cm="1">
        <f t="array" ref="AA47">IFERROR(_xlfn.XLOOKUP(Selectivo[[#This Row],[Vela]],_xlfn.NUMBERVALUE(SIL25v2[Sail '#]),SIL25v2[6]),"90 DNC")</f>
        <v>2</v>
      </c>
      <c r="AB47" s="8" cm="1">
        <f t="array" ref="AB47">SUM(IFERROR(VALUE(LEFT(Regatas, FIND(" ",Regatas&amp; " ") - 1)), 0))</f>
        <v>608</v>
      </c>
      <c r="AC47" s="9" cm="1">
        <f t="array" ref="AC4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360</v>
      </c>
      <c r="AD47" s="6">
        <f>SMALL(RegatasN,1)</f>
        <v>2</v>
      </c>
      <c r="AE47" s="6">
        <f>SMALL(RegatasN,2)</f>
        <v>3</v>
      </c>
      <c r="AF47" s="6">
        <f>SMALL(RegatasN,3)</f>
        <v>5</v>
      </c>
      <c r="AG47" s="5" cm="1">
        <f t="array" ref="AG47">COUNTIF(Regatas,SMALL(Regatas,1))</f>
        <v>1</v>
      </c>
      <c r="AH47" s="6" cm="1">
        <f t="array" ref="AH47">VALUE(LEFT(INDEX(Selectivo[#This Row],,MATCH(Selectivo[[#Headers],[Total]],Selectivo[#Headers],0)-1),SEARCH(" ",INDEX(Selectivo[#This Row],,MATCH(Selectivo[[#Headers],[Total]],Selectivo[#Headers],0)-1)&amp;" ")-1))</f>
        <v>2</v>
      </c>
    </row>
    <row r="48" spans="1:34" x14ac:dyDescent="0.25">
      <c r="A48">
        <v>50418350</v>
      </c>
      <c r="B48" s="10">
        <f>ROW()-ROW(Selectivo[[#Headers],[Pos]])</f>
        <v>42</v>
      </c>
      <c r="C48" s="5">
        <v>4119</v>
      </c>
      <c r="D48" t="s">
        <v>605</v>
      </c>
      <c r="E48" t="s">
        <v>21</v>
      </c>
      <c r="F48" s="13">
        <f>IFERROR(_xlfn.XLOOKUP(Selectivo[[#This Row],[DNI]],_SIY[DNI],_SIY[R1]),"78 DNC")</f>
        <v>15</v>
      </c>
      <c r="G48" s="13">
        <f>IFERROR(_xlfn.XLOOKUP(Selectivo[[#This Row],[DNI]],_SIY[DNI],_SIY[R2]),"78 DNC")</f>
        <v>10</v>
      </c>
      <c r="H48" s="13">
        <f>IFERROR(_xlfn.XLOOKUP(Selectivo[[#This Row],[DNI]],_SIY[DNI],_SIY[R3]),"78 DNC")</f>
        <v>3</v>
      </c>
      <c r="I48" s="13">
        <f>IFERROR(_xlfn.XLOOKUP(Selectivo[[#This Row],[DNI]],_SIY[DNI],_SIY[R4]),"78 DNC")</f>
        <v>13</v>
      </c>
      <c r="J48" s="13">
        <f>IFERROR(_xlfn.XLOOKUP(Selectivo[[#This Row],[DNI]],_SIY[DNI],_SIY[R5]),"78 DNC")</f>
        <v>9</v>
      </c>
      <c r="K48" s="13">
        <f>IFERROR(_xlfn.XLOOKUP(Selectivo[[#This Row],[DNI]],_SIY[DNI],_SIY[R6]),"78 DNC")</f>
        <v>9</v>
      </c>
      <c r="L48" s="13">
        <f>IFERROR(_xlfn.XLOOKUP(Selectivo[[#This Row],[DNI]],_SIY[DNI],_SIY[R7]),"78 DNC")</f>
        <v>11</v>
      </c>
      <c r="M48" s="13">
        <f>IFERROR(_xlfn.XLOOKUP(Selectivo[[#This Row],[DNI]],_SIY[DNI],_SIY[R8]),"78 DNC")</f>
        <v>7</v>
      </c>
      <c r="N48" s="13">
        <f>IFERROR(_xlfn.XLOOKUP(Selectivo[[#This Row],[DNI]],_SIY[DNI],_SIY[R9]),"78 DNC")</f>
        <v>22</v>
      </c>
      <c r="O48" s="13">
        <f>IFERROR(_xlfn.XLOOKUP(Selectivo[[#This Row],[DNI]],_SIY[DNI],_SIY[R10]),"78 DNC")</f>
        <v>22</v>
      </c>
      <c r="P48" s="13">
        <f>IFERROR(_xlfn.XLOOKUP(Selectivo[[#This Row],[DNI]],_VF2025[DNI],_VF2025[R1]),"70 DNC")</f>
        <v>27</v>
      </c>
      <c r="Q48" s="13">
        <f>IFERROR(_xlfn.XLOOKUP(Selectivo[[#This Row],[DNI]],_VF2025[DNI],_VF2025[R2]),"70 DNC")</f>
        <v>11</v>
      </c>
      <c r="R48" s="13">
        <f>IFERROR(_xlfn.XLOOKUP(Selectivo[[#This Row],[DNI]],_VF2025[DNI],_VF2025[R3]),"70 DNC")</f>
        <v>29</v>
      </c>
      <c r="S48" s="13">
        <f>IFERROR(_xlfn.XLOOKUP(Selectivo[[#This Row],[DNI]],_VF2025[DNI],_VF2025[R4]),"70 DNC")</f>
        <v>19</v>
      </c>
      <c r="T48" s="13">
        <f>IFERROR(_xlfn.XLOOKUP(Selectivo[[#This Row],[DNI]],_VF2025[DNI],_VF2025[R5]),"70 DNC")</f>
        <v>19</v>
      </c>
      <c r="U48" s="12" t="str">
        <f>IFERROR(_xlfn.XLOOKUP(Selectivo[[#This Row],[DNI]],_VF2025[DNI],_VF2025[R6]),"70 DNC")</f>
        <v>70 BFD</v>
      </c>
      <c r="V48" s="13" t="str" cm="1">
        <f t="array" ref="V48">IFERROR(_xlfn.XLOOKUP(Selectivo[[#This Row],[Vela]],_xlfn.NUMBERVALUE(SIL25v2[Sail '#]),SIL25v2[1]),"90 DNC")</f>
        <v>25</v>
      </c>
      <c r="W48" s="13" t="str" cm="1">
        <f t="array" ref="W48">IFERROR(_xlfn.XLOOKUP(Selectivo[[#This Row],[Vela]],_xlfn.NUMBERVALUE(SIL25v2[Sail '#]),SIL25v2[2]),"90 DNC")</f>
        <v>18</v>
      </c>
      <c r="X48" s="12" t="str" cm="1">
        <f t="array" ref="X48">IFERROR(_xlfn.XLOOKUP(Selectivo[[#This Row],[Vela]],_xlfn.NUMBERVALUE(SIL25v2[Sail '#]),SIL25v2[3]),"90 DNC")</f>
        <v>53</v>
      </c>
      <c r="Y48" s="13" t="str" cm="1">
        <f t="array" ref="Y48">IFERROR(_xlfn.XLOOKUP(Selectivo[[#This Row],[Vela]],_xlfn.NUMBERVALUE(SIL25v2[Sail '#]),SIL25v2[4]),"90 DNC")</f>
        <v>48</v>
      </c>
      <c r="Z48" s="12" t="str" cm="1">
        <f t="array" ref="Z48">IFERROR(_xlfn.XLOOKUP(Selectivo[[#This Row],[Vela]],_xlfn.NUMBERVALUE(SIL25v2[Sail '#]),SIL25v2[5]),"90 DNC")</f>
        <v>58</v>
      </c>
      <c r="AA48" s="13" t="str" cm="1">
        <f t="array" ref="AA48">IFERROR(_xlfn.XLOOKUP(Selectivo[[#This Row],[Vela]],_xlfn.NUMBERVALUE(SIL25v2[Sail '#]),SIL25v2[6]),"90 DNC")</f>
        <v>44</v>
      </c>
      <c r="AB48" s="8" cm="1">
        <f t="array" ref="AB48">SUM(IFERROR(VALUE(LEFT(Regatas, FIND(" ",Regatas&amp; " ") - 1)), 0))</f>
        <v>542</v>
      </c>
      <c r="AC48" s="9" cm="1">
        <f t="array" ref="AC4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361</v>
      </c>
      <c r="AD48" s="6">
        <f>SMALL(RegatasN,1)</f>
        <v>3</v>
      </c>
      <c r="AE48" s="6">
        <f>SMALL(RegatasN,2)</f>
        <v>7</v>
      </c>
      <c r="AF48" s="6">
        <f>SMALL(RegatasN,3)</f>
        <v>9</v>
      </c>
      <c r="AG48" s="5" cm="1">
        <f t="array" ref="AG48">COUNTIF(Regatas,SMALL(Regatas,1))</f>
        <v>1</v>
      </c>
      <c r="AH48" s="6" cm="1">
        <f t="array" ref="AH48">VALUE(LEFT(INDEX(Selectivo[#This Row],,MATCH(Selectivo[[#Headers],[Total]],Selectivo[#Headers],0)-1),SEARCH(" ",INDEX(Selectivo[#This Row],,MATCH(Selectivo[[#Headers],[Total]],Selectivo[#Headers],0)-1)&amp;" ")-1))</f>
        <v>44</v>
      </c>
    </row>
    <row r="49" spans="1:34" x14ac:dyDescent="0.25">
      <c r="A49">
        <v>52122807</v>
      </c>
      <c r="B49" s="10">
        <f>ROW()-ROW(Selectivo[[#Headers],[Pos]])</f>
        <v>43</v>
      </c>
      <c r="C49" s="5">
        <v>4204</v>
      </c>
      <c r="D49" t="s">
        <v>709</v>
      </c>
      <c r="E49" t="s">
        <v>26</v>
      </c>
      <c r="F49" s="12">
        <f>IFERROR(_xlfn.XLOOKUP(Selectivo[[#This Row],[DNI]],_SIY[DNI],_SIY[R1]),"78 DNC")</f>
        <v>38</v>
      </c>
      <c r="G49" s="13">
        <f>IFERROR(_xlfn.XLOOKUP(Selectivo[[#This Row],[DNI]],_SIY[DNI],_SIY[R2]),"78 DNC")</f>
        <v>30</v>
      </c>
      <c r="H49" s="13">
        <f>IFERROR(_xlfn.XLOOKUP(Selectivo[[#This Row],[DNI]],_SIY[DNI],_SIY[R3]),"78 DNC")</f>
        <v>33</v>
      </c>
      <c r="I49" s="12">
        <f>IFERROR(_xlfn.XLOOKUP(Selectivo[[#This Row],[DNI]],_SIY[DNI],_SIY[R4]),"78 DNC")</f>
        <v>35</v>
      </c>
      <c r="J49" s="13">
        <f>IFERROR(_xlfn.XLOOKUP(Selectivo[[#This Row],[DNI]],_SIY[DNI],_SIY[R5]),"78 DNC")</f>
        <v>30</v>
      </c>
      <c r="K49" s="13">
        <f>IFERROR(_xlfn.XLOOKUP(Selectivo[[#This Row],[DNI]],_SIY[DNI],_SIY[R6]),"78 DNC")</f>
        <v>12</v>
      </c>
      <c r="L49" s="13">
        <f>IFERROR(_xlfn.XLOOKUP(Selectivo[[#This Row],[DNI]],_SIY[DNI],_SIY[R7]),"78 DNC")</f>
        <v>13</v>
      </c>
      <c r="M49" s="13">
        <f>IFERROR(_xlfn.XLOOKUP(Selectivo[[#This Row],[DNI]],_SIY[DNI],_SIY[R8]),"78 DNC")</f>
        <v>8</v>
      </c>
      <c r="N49" s="13">
        <f>IFERROR(_xlfn.XLOOKUP(Selectivo[[#This Row],[DNI]],_SIY[DNI],_SIY[R9]),"78 DNC")</f>
        <v>19</v>
      </c>
      <c r="O49" s="13">
        <f>IFERROR(_xlfn.XLOOKUP(Selectivo[[#This Row],[DNI]],_SIY[DNI],_SIY[R10]),"78 DNC")</f>
        <v>29</v>
      </c>
      <c r="P49" s="13">
        <f>IFERROR(_xlfn.XLOOKUP(Selectivo[[#This Row],[DNI]],_VF2025[DNI],_VF2025[R1]),"70 DNC")</f>
        <v>27</v>
      </c>
      <c r="Q49" s="13">
        <f>IFERROR(_xlfn.XLOOKUP(Selectivo[[#This Row],[DNI]],_VF2025[DNI],_VF2025[R2]),"70 DNC")</f>
        <v>16</v>
      </c>
      <c r="R49" s="13">
        <f>IFERROR(_xlfn.XLOOKUP(Selectivo[[#This Row],[DNI]],_VF2025[DNI],_VF2025[R3]),"70 DNC")</f>
        <v>27</v>
      </c>
      <c r="S49" s="13">
        <f>IFERROR(_xlfn.XLOOKUP(Selectivo[[#This Row],[DNI]],_VF2025[DNI],_VF2025[R4]),"70 DNC")</f>
        <v>10</v>
      </c>
      <c r="T49" s="13">
        <f>IFERROR(_xlfn.XLOOKUP(Selectivo[[#This Row],[DNI]],_VF2025[DNI],_VF2025[R5]),"70 DNC")</f>
        <v>16</v>
      </c>
      <c r="U49" s="13">
        <f>IFERROR(_xlfn.XLOOKUP(Selectivo[[#This Row],[DNI]],_VF2025[DNI],_VF2025[R6]),"70 DNC")</f>
        <v>7</v>
      </c>
      <c r="V49" s="13" t="str" cm="1">
        <f t="array" ref="V49">IFERROR(_xlfn.XLOOKUP(Selectivo[[#This Row],[Vela]],_xlfn.NUMBERVALUE(SIL25v2[Sail '#]),SIL25v2[1]),"90 DNC")</f>
        <v>10 DPI</v>
      </c>
      <c r="W49" s="13" t="str" cm="1">
        <f t="array" ref="W49">IFERROR(_xlfn.XLOOKUP(Selectivo[[#This Row],[Vela]],_xlfn.NUMBERVALUE(SIL25v2[Sail '#]),SIL25v2[2]),"90 DNC")</f>
        <v>30</v>
      </c>
      <c r="X49" s="13" t="str" cm="1">
        <f t="array" ref="X49">IFERROR(_xlfn.XLOOKUP(Selectivo[[#This Row],[Vela]],_xlfn.NUMBERVALUE(SIL25v2[Sail '#]),SIL25v2[3]),"90 DNC")</f>
        <v>6</v>
      </c>
      <c r="Y49" s="13" t="str" cm="1">
        <f t="array" ref="Y49">IFERROR(_xlfn.XLOOKUP(Selectivo[[#This Row],[Vela]],_xlfn.NUMBERVALUE(SIL25v2[Sail '#]),SIL25v2[4]),"90 DNC")</f>
        <v>13</v>
      </c>
      <c r="Z49" s="13" t="str" cm="1">
        <f t="array" ref="Z49">IFERROR(_xlfn.XLOOKUP(Selectivo[[#This Row],[Vela]],_xlfn.NUMBERVALUE(SIL25v2[Sail '#]),SIL25v2[5]),"90 DNC")</f>
        <v>25</v>
      </c>
      <c r="AA49" s="12" t="str" cm="1">
        <f t="array" ref="AA49">IFERROR(_xlfn.XLOOKUP(Selectivo[[#This Row],[Vela]],_xlfn.NUMBERVALUE(SIL25v2[Sail '#]),SIL25v2[6]),"90 DNC")</f>
        <v>53</v>
      </c>
      <c r="AB49" s="8" cm="1">
        <f t="array" ref="AB49">SUM(IFERROR(VALUE(LEFT(Regatas, FIND(" ",Regatas&amp; " ") - 1)), 0))</f>
        <v>487</v>
      </c>
      <c r="AC49" s="9" cm="1">
        <f t="array" ref="AC4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361</v>
      </c>
      <c r="AD49" s="6">
        <f>SMALL(RegatasN,1)</f>
        <v>6</v>
      </c>
      <c r="AE49" s="6">
        <f>SMALL(RegatasN,2)</f>
        <v>7</v>
      </c>
      <c r="AF49" s="6">
        <f>SMALL(RegatasN,3)</f>
        <v>8</v>
      </c>
      <c r="AG49" s="5" cm="1">
        <f t="array" ref="AG49">COUNTIF(Regatas,SMALL(Regatas,1))</f>
        <v>1</v>
      </c>
      <c r="AH49" s="6" cm="1">
        <f t="array" ref="AH49">VALUE(LEFT(INDEX(Selectivo[#This Row],,MATCH(Selectivo[[#Headers],[Total]],Selectivo[#Headers],0)-1),SEARCH(" ",INDEX(Selectivo[#This Row],,MATCH(Selectivo[[#Headers],[Total]],Selectivo[#Headers],0)-1)&amp;" ")-1))</f>
        <v>53</v>
      </c>
    </row>
    <row r="50" spans="1:34" x14ac:dyDescent="0.25">
      <c r="A50">
        <v>50156147</v>
      </c>
      <c r="B50" s="10">
        <f>ROW()-ROW(Selectivo[[#Headers],[Pos]])</f>
        <v>44</v>
      </c>
      <c r="C50" s="5">
        <v>3991</v>
      </c>
      <c r="D50" t="s">
        <v>741</v>
      </c>
      <c r="E50" t="s">
        <v>26</v>
      </c>
      <c r="F50" s="13">
        <f>IFERROR(_xlfn.XLOOKUP(Selectivo[[#This Row],[DNI]],_SIY[DNI],_SIY[R1]),"78 DNC")</f>
        <v>8</v>
      </c>
      <c r="G50" s="13">
        <f>IFERROR(_xlfn.XLOOKUP(Selectivo[[#This Row],[DNI]],_SIY[DNI],_SIY[R2]),"78 DNC")</f>
        <v>18</v>
      </c>
      <c r="H50" s="13">
        <f>IFERROR(_xlfn.XLOOKUP(Selectivo[[#This Row],[DNI]],_SIY[DNI],_SIY[R3]),"78 DNC")</f>
        <v>11</v>
      </c>
      <c r="I50" s="13">
        <f>IFERROR(_xlfn.XLOOKUP(Selectivo[[#This Row],[DNI]],_SIY[DNI],_SIY[R4]),"78 DNC")</f>
        <v>21</v>
      </c>
      <c r="J50" s="12" t="str">
        <f>IFERROR(_xlfn.XLOOKUP(Selectivo[[#This Row],[DNI]],_SIY[DNI],_SIY[R5]),"78 DNC")</f>
        <v>77 UFD</v>
      </c>
      <c r="K50" s="13">
        <f>IFERROR(_xlfn.XLOOKUP(Selectivo[[#This Row],[DNI]],_SIY[DNI],_SIY[R6]),"78 DNC")</f>
        <v>11</v>
      </c>
      <c r="L50" s="13">
        <f>IFERROR(_xlfn.XLOOKUP(Selectivo[[#This Row],[DNI]],_SIY[DNI],_SIY[R7]),"78 DNC")</f>
        <v>7</v>
      </c>
      <c r="M50" s="13">
        <f>IFERROR(_xlfn.XLOOKUP(Selectivo[[#This Row],[DNI]],_SIY[DNI],_SIY[R8]),"78 DNC")</f>
        <v>15</v>
      </c>
      <c r="N50" s="13">
        <f>IFERROR(_xlfn.XLOOKUP(Selectivo[[#This Row],[DNI]],_SIY[DNI],_SIY[R9]),"78 DNC")</f>
        <v>18</v>
      </c>
      <c r="O50" s="13">
        <f>IFERROR(_xlfn.XLOOKUP(Selectivo[[#This Row],[DNI]],_SIY[DNI],_SIY[R10]),"78 DNC")</f>
        <v>20</v>
      </c>
      <c r="P50" s="13">
        <f>IFERROR(_xlfn.XLOOKUP(Selectivo[[#This Row],[DNI]],_VF2025[DNI],_VF2025[R1]),"70 DNC")</f>
        <v>15</v>
      </c>
      <c r="Q50" s="13">
        <f>IFERROR(_xlfn.XLOOKUP(Selectivo[[#This Row],[DNI]],_VF2025[DNI],_VF2025[R2]),"70 DNC")</f>
        <v>21</v>
      </c>
      <c r="R50" s="13">
        <f>IFERROR(_xlfn.XLOOKUP(Selectivo[[#This Row],[DNI]],_VF2025[DNI],_VF2025[R3]),"70 DNC")</f>
        <v>13</v>
      </c>
      <c r="S50" s="12" t="str">
        <f>IFERROR(_xlfn.XLOOKUP(Selectivo[[#This Row],[DNI]],_VF2025[DNI],_VF2025[R4]),"70 DNC")</f>
        <v>70 UFD</v>
      </c>
      <c r="T50" s="13">
        <f>IFERROR(_xlfn.XLOOKUP(Selectivo[[#This Row],[DNI]],_VF2025[DNI],_VF2025[R5]),"70 DNC")</f>
        <v>4</v>
      </c>
      <c r="U50" s="13">
        <f>IFERROR(_xlfn.XLOOKUP(Selectivo[[#This Row],[DNI]],_VF2025[DNI],_VF2025[R6]),"70 DNC")</f>
        <v>22</v>
      </c>
      <c r="V50" s="12" t="str" cm="1">
        <f t="array" ref="V50">IFERROR(_xlfn.XLOOKUP(Selectivo[[#This Row],[Vela]],_xlfn.NUMBERVALUE(SIL25v2[Sail '#]),SIL25v2[1]),"90 DNC")</f>
        <v>89 BFD</v>
      </c>
      <c r="W50" s="13" t="str" cm="1">
        <f t="array" ref="W50">IFERROR(_xlfn.XLOOKUP(Selectivo[[#This Row],[Vela]],_xlfn.NUMBERVALUE(SIL25v2[Sail '#]),SIL25v2[2]),"90 DNC")</f>
        <v>49</v>
      </c>
      <c r="X50" s="13" t="str" cm="1">
        <f t="array" ref="X50">IFERROR(_xlfn.XLOOKUP(Selectivo[[#This Row],[Vela]],_xlfn.NUMBERVALUE(SIL25v2[Sail '#]),SIL25v2[3]),"90 DNC")</f>
        <v>46</v>
      </c>
      <c r="Y50" s="13" t="str" cm="1">
        <f t="array" ref="Y50">IFERROR(_xlfn.XLOOKUP(Selectivo[[#This Row],[Vela]],_xlfn.NUMBERVALUE(SIL25v2[Sail '#]),SIL25v2[4]),"90 DNC")</f>
        <v>21</v>
      </c>
      <c r="Z50" s="13" t="str" cm="1">
        <f t="array" ref="Z50">IFERROR(_xlfn.XLOOKUP(Selectivo[[#This Row],[Vela]],_xlfn.NUMBERVALUE(SIL25v2[Sail '#]),SIL25v2[5]),"90 DNC")</f>
        <v>14</v>
      </c>
      <c r="AA50" s="13" t="str" cm="1">
        <f t="array" ref="AA50">IFERROR(_xlfn.XLOOKUP(Selectivo[[#This Row],[Vela]],_xlfn.NUMBERVALUE(SIL25v2[Sail '#]),SIL25v2[6]),"90 DNC")</f>
        <v>34</v>
      </c>
      <c r="AB50" s="8" cm="1">
        <f t="array" ref="AB50">SUM(IFERROR(VALUE(LEFT(Regatas, FIND(" ",Regatas&amp; " ") - 1)), 0))</f>
        <v>604</v>
      </c>
      <c r="AC50" s="9" cm="1">
        <f t="array" ref="AC5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368</v>
      </c>
      <c r="AD50" s="6">
        <f>SMALL(RegatasN,1)</f>
        <v>4</v>
      </c>
      <c r="AE50" s="6">
        <f>SMALL(RegatasN,2)</f>
        <v>7</v>
      </c>
      <c r="AF50" s="6">
        <f>SMALL(RegatasN,3)</f>
        <v>8</v>
      </c>
      <c r="AG50" s="5" cm="1">
        <f t="array" ref="AG50">COUNTIF(Regatas,SMALL(Regatas,1))</f>
        <v>1</v>
      </c>
      <c r="AH50" s="6" cm="1">
        <f t="array" ref="AH50">VALUE(LEFT(INDEX(Selectivo[#This Row],,MATCH(Selectivo[[#Headers],[Total]],Selectivo[#Headers],0)-1),SEARCH(" ",INDEX(Selectivo[#This Row],,MATCH(Selectivo[[#Headers],[Total]],Selectivo[#Headers],0)-1)&amp;" ")-1))</f>
        <v>34</v>
      </c>
    </row>
    <row r="51" spans="1:34" x14ac:dyDescent="0.25">
      <c r="A51">
        <v>50030847</v>
      </c>
      <c r="B51" s="10">
        <f>ROW()-ROW(Selectivo[[#Headers],[Pos]])</f>
        <v>45</v>
      </c>
      <c r="C51" s="5">
        <v>4123</v>
      </c>
      <c r="D51" t="s">
        <v>696</v>
      </c>
      <c r="E51" t="s">
        <v>5</v>
      </c>
      <c r="F51" s="13">
        <f>IFERROR(_xlfn.XLOOKUP(Selectivo[[#This Row],[DNI]],_SIY[DNI],_SIY[R1]),"78 DNC")</f>
        <v>10</v>
      </c>
      <c r="G51" s="13">
        <f>IFERROR(_xlfn.XLOOKUP(Selectivo[[#This Row],[DNI]],_SIY[DNI],_SIY[R2]),"78 DNC")</f>
        <v>7</v>
      </c>
      <c r="H51" s="13">
        <f>IFERROR(_xlfn.XLOOKUP(Selectivo[[#This Row],[DNI]],_SIY[DNI],_SIY[R3]),"78 DNC")</f>
        <v>6</v>
      </c>
      <c r="I51" s="13">
        <f>IFERROR(_xlfn.XLOOKUP(Selectivo[[#This Row],[DNI]],_SIY[DNI],_SIY[R4]),"78 DNC")</f>
        <v>10</v>
      </c>
      <c r="J51" s="13">
        <f>IFERROR(_xlfn.XLOOKUP(Selectivo[[#This Row],[DNI]],_SIY[DNI],_SIY[R5]),"78 DNC")</f>
        <v>15</v>
      </c>
      <c r="K51" s="13">
        <f>IFERROR(_xlfn.XLOOKUP(Selectivo[[#This Row],[DNI]],_SIY[DNI],_SIY[R6]),"78 DNC")</f>
        <v>8</v>
      </c>
      <c r="L51" s="13">
        <f>IFERROR(_xlfn.XLOOKUP(Selectivo[[#This Row],[DNI]],_SIY[DNI],_SIY[R7]),"78 DNC")</f>
        <v>27</v>
      </c>
      <c r="M51" s="12" t="str">
        <f>IFERROR(_xlfn.XLOOKUP(Selectivo[[#This Row],[DNI]],_SIY[DNI],_SIY[R8]),"78 DNC")</f>
        <v>77 BFD</v>
      </c>
      <c r="N51" s="12" t="str">
        <f>IFERROR(_xlfn.XLOOKUP(Selectivo[[#This Row],[DNI]],_SIY[DNI],_SIY[R9]),"78 DNC")</f>
        <v>77 BFD</v>
      </c>
      <c r="O51" s="13">
        <f>IFERROR(_xlfn.XLOOKUP(Selectivo[[#This Row],[DNI]],_SIY[DNI],_SIY[R10]),"78 DNC")</f>
        <v>15</v>
      </c>
      <c r="P51" s="13">
        <f>IFERROR(_xlfn.XLOOKUP(Selectivo[[#This Row],[DNI]],_VF2025[DNI],_VF2025[R1]),"70 DNC")</f>
        <v>36</v>
      </c>
      <c r="Q51" s="13">
        <f>IFERROR(_xlfn.XLOOKUP(Selectivo[[#This Row],[DNI]],_VF2025[DNI],_VF2025[R2]),"70 DNC")</f>
        <v>12</v>
      </c>
      <c r="R51" s="13">
        <f>IFERROR(_xlfn.XLOOKUP(Selectivo[[#This Row],[DNI]],_VF2025[DNI],_VF2025[R3]),"70 DNC")</f>
        <v>8</v>
      </c>
      <c r="S51" s="13">
        <f>IFERROR(_xlfn.XLOOKUP(Selectivo[[#This Row],[DNI]],_VF2025[DNI],_VF2025[R4]),"70 DNC")</f>
        <v>9</v>
      </c>
      <c r="T51" s="13">
        <f>IFERROR(_xlfn.XLOOKUP(Selectivo[[#This Row],[DNI]],_VF2025[DNI],_VF2025[R5]),"70 DNC")</f>
        <v>12</v>
      </c>
      <c r="U51" s="12" t="str">
        <f>IFERROR(_xlfn.XLOOKUP(Selectivo[[#This Row],[DNI]],_VF2025[DNI],_VF2025[R6]),"70 DNC")</f>
        <v>70 BFD</v>
      </c>
      <c r="V51" s="13" t="str" cm="1">
        <f t="array" ref="V51">IFERROR(_xlfn.XLOOKUP(Selectivo[[#This Row],[Vela]],_xlfn.NUMBERVALUE(SIL25v2[Sail '#]),SIL25v2[1]),"90 DNC")</f>
        <v>45</v>
      </c>
      <c r="W51" s="13" t="str" cm="1">
        <f t="array" ref="W51">IFERROR(_xlfn.XLOOKUP(Selectivo[[#This Row],[Vela]],_xlfn.NUMBERVALUE(SIL25v2[Sail '#]),SIL25v2[2]),"90 DNC")</f>
        <v>23</v>
      </c>
      <c r="X51" s="13" t="str" cm="1">
        <f t="array" ref="X51">IFERROR(_xlfn.XLOOKUP(Selectivo[[#This Row],[Vela]],_xlfn.NUMBERVALUE(SIL25v2[Sail '#]),SIL25v2[3]),"90 DNC")</f>
        <v>16</v>
      </c>
      <c r="Y51" s="13" t="str" cm="1">
        <f t="array" ref="Y51">IFERROR(_xlfn.XLOOKUP(Selectivo[[#This Row],[Vela]],_xlfn.NUMBERVALUE(SIL25v2[Sail '#]),SIL25v2[4]),"90 DNC")</f>
        <v>16</v>
      </c>
      <c r="Z51" s="13" t="str" cm="1">
        <f t="array" ref="Z51">IFERROR(_xlfn.XLOOKUP(Selectivo[[#This Row],[Vela]],_xlfn.NUMBERVALUE(SIL25v2[Sail '#]),SIL25v2[5]),"90 DNC")</f>
        <v>43</v>
      </c>
      <c r="AA51" s="13" t="str" cm="1">
        <f t="array" ref="AA51">IFERROR(_xlfn.XLOOKUP(Selectivo[[#This Row],[Vela]],_xlfn.NUMBERVALUE(SIL25v2[Sail '#]),SIL25v2[6]),"90 DNC")</f>
        <v>51</v>
      </c>
      <c r="AB51" s="8" cm="1">
        <f t="array" ref="AB51">SUM(IFERROR(VALUE(LEFT(Regatas, FIND(" ",Regatas&amp; " ") - 1)), 0))</f>
        <v>593</v>
      </c>
      <c r="AC51" s="9" cm="1">
        <f t="array" ref="AC5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369</v>
      </c>
      <c r="AD51" s="6">
        <f>SMALL(RegatasN,1)</f>
        <v>6</v>
      </c>
      <c r="AE51" s="6">
        <f>SMALL(RegatasN,2)</f>
        <v>7</v>
      </c>
      <c r="AF51" s="6">
        <f>SMALL(RegatasN,3)</f>
        <v>8</v>
      </c>
      <c r="AG51" s="5" cm="1">
        <f t="array" ref="AG51">COUNTIF(Regatas,SMALL(Regatas,1))</f>
        <v>1</v>
      </c>
      <c r="AH51" s="6" cm="1">
        <f t="array" ref="AH51">VALUE(LEFT(INDEX(Selectivo[#This Row],,MATCH(Selectivo[[#Headers],[Total]],Selectivo[#Headers],0)-1),SEARCH(" ",INDEX(Selectivo[#This Row],,MATCH(Selectivo[[#Headers],[Total]],Selectivo[#Headers],0)-1)&amp;" ")-1))</f>
        <v>51</v>
      </c>
    </row>
    <row r="52" spans="1:34" x14ac:dyDescent="0.25">
      <c r="A52">
        <v>52366875</v>
      </c>
      <c r="B52" s="10">
        <f>ROW()-ROW(Selectivo[[#Headers],[Pos]])</f>
        <v>46</v>
      </c>
      <c r="C52" s="5">
        <v>4167</v>
      </c>
      <c r="D52" t="s">
        <v>687</v>
      </c>
      <c r="E52" t="s">
        <v>17</v>
      </c>
      <c r="F52" s="13">
        <f>IFERROR(_xlfn.XLOOKUP(Selectivo[[#This Row],[DNI]],_SIY[DNI],_SIY[R1]),"78 DNC")</f>
        <v>24</v>
      </c>
      <c r="G52" s="13">
        <f>IFERROR(_xlfn.XLOOKUP(Selectivo[[#This Row],[DNI]],_SIY[DNI],_SIY[R2]),"78 DNC")</f>
        <v>11</v>
      </c>
      <c r="H52" s="13">
        <f>IFERROR(_xlfn.XLOOKUP(Selectivo[[#This Row],[DNI]],_SIY[DNI],_SIY[R3]),"78 DNC")</f>
        <v>11</v>
      </c>
      <c r="I52" s="13">
        <f>IFERROR(_xlfn.XLOOKUP(Selectivo[[#This Row],[DNI]],_SIY[DNI],_SIY[R4]),"78 DNC")</f>
        <v>38</v>
      </c>
      <c r="J52" s="13">
        <f>IFERROR(_xlfn.XLOOKUP(Selectivo[[#This Row],[DNI]],_SIY[DNI],_SIY[R5]),"78 DNC")</f>
        <v>21</v>
      </c>
      <c r="K52" s="13">
        <f>IFERROR(_xlfn.XLOOKUP(Selectivo[[#This Row],[DNI]],_SIY[DNI],_SIY[R6]),"78 DNC")</f>
        <v>37</v>
      </c>
      <c r="L52" s="13">
        <f>IFERROR(_xlfn.XLOOKUP(Selectivo[[#This Row],[DNI]],_SIY[DNI],_SIY[R7]),"78 DNC")</f>
        <v>39</v>
      </c>
      <c r="M52" s="12">
        <f>IFERROR(_xlfn.XLOOKUP(Selectivo[[#This Row],[DNI]],_SIY[DNI],_SIY[R8]),"78 DNC")</f>
        <v>42</v>
      </c>
      <c r="N52" s="13">
        <f>IFERROR(_xlfn.XLOOKUP(Selectivo[[#This Row],[DNI]],_SIY[DNI],_SIY[R9]),"78 DNC")</f>
        <v>17</v>
      </c>
      <c r="O52" s="13">
        <f>IFERROR(_xlfn.XLOOKUP(Selectivo[[#This Row],[DNI]],_SIY[DNI],_SIY[R10]),"78 DNC")</f>
        <v>12</v>
      </c>
      <c r="P52" s="13">
        <f>IFERROR(_xlfn.XLOOKUP(Selectivo[[#This Row],[DNI]],_VF2025[DNI],_VF2025[R1]),"70 DNC")</f>
        <v>28</v>
      </c>
      <c r="Q52" s="13">
        <f>IFERROR(_xlfn.XLOOKUP(Selectivo[[#This Row],[DNI]],_VF2025[DNI],_VF2025[R2]),"70 DNC")</f>
        <v>24</v>
      </c>
      <c r="R52" s="12" t="str">
        <f>IFERROR(_xlfn.XLOOKUP(Selectivo[[#This Row],[DNI]],_VF2025[DNI],_VF2025[R3]),"70 DNC")</f>
        <v>70 BFD</v>
      </c>
      <c r="S52" s="13">
        <f>IFERROR(_xlfn.XLOOKUP(Selectivo[[#This Row],[DNI]],_VF2025[DNI],_VF2025[R4]),"70 DNC")</f>
        <v>9</v>
      </c>
      <c r="T52" s="13">
        <f>IFERROR(_xlfn.XLOOKUP(Selectivo[[#This Row],[DNI]],_VF2025[DNI],_VF2025[R5]),"70 DNC")</f>
        <v>15</v>
      </c>
      <c r="U52" s="12" t="str">
        <f>IFERROR(_xlfn.XLOOKUP(Selectivo[[#This Row],[DNI]],_VF2025[DNI],_VF2025[R6]),"70 DNC")</f>
        <v>70 BFD</v>
      </c>
      <c r="V52" s="13" t="str" cm="1">
        <f t="array" ref="V52">IFERROR(_xlfn.XLOOKUP(Selectivo[[#This Row],[Vela]],_xlfn.NUMBERVALUE(SIL25v2[Sail '#]),SIL25v2[1]),"90 DNC")</f>
        <v>19</v>
      </c>
      <c r="W52" s="13" t="str" cm="1">
        <f t="array" ref="W52">IFERROR(_xlfn.XLOOKUP(Selectivo[[#This Row],[Vela]],_xlfn.NUMBERVALUE(SIL25v2[Sail '#]),SIL25v2[2]),"90 DNC")</f>
        <v>22</v>
      </c>
      <c r="X52" s="13" t="str" cm="1">
        <f t="array" ref="X52">IFERROR(_xlfn.XLOOKUP(Selectivo[[#This Row],[Vela]],_xlfn.NUMBERVALUE(SIL25v2[Sail '#]),SIL25v2[3]),"90 DNC")</f>
        <v>7</v>
      </c>
      <c r="Y52" s="13" t="str" cm="1">
        <f t="array" ref="Y52">IFERROR(_xlfn.XLOOKUP(Selectivo[[#This Row],[Vela]],_xlfn.NUMBERVALUE(SIL25v2[Sail '#]),SIL25v2[4]),"90 DNC")</f>
        <v>12</v>
      </c>
      <c r="Z52" s="13" t="str" cm="1">
        <f t="array" ref="Z52">IFERROR(_xlfn.XLOOKUP(Selectivo[[#This Row],[Vela]],_xlfn.NUMBERVALUE(SIL25v2[Sail '#]),SIL25v2[5]),"90 DNC")</f>
        <v>7</v>
      </c>
      <c r="AA52" s="13" t="str" cm="1">
        <f t="array" ref="AA52">IFERROR(_xlfn.XLOOKUP(Selectivo[[#This Row],[Vela]],_xlfn.NUMBERVALUE(SIL25v2[Sail '#]),SIL25v2[6]),"90 DNC")</f>
        <v>18</v>
      </c>
      <c r="AB52" s="8" cm="1">
        <f t="array" ref="AB52">SUM(IFERROR(VALUE(LEFT(Regatas, FIND(" ",Regatas&amp; " ") - 1)), 0))</f>
        <v>553</v>
      </c>
      <c r="AC52" s="9" cm="1">
        <f t="array" ref="AC5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371</v>
      </c>
      <c r="AD52" s="6">
        <f>SMALL(RegatasN,1)</f>
        <v>7</v>
      </c>
      <c r="AE52" s="6">
        <f>SMALL(RegatasN,2)</f>
        <v>7</v>
      </c>
      <c r="AF52" s="6">
        <f>SMALL(RegatasN,3)</f>
        <v>9</v>
      </c>
      <c r="AG52" s="5" cm="1">
        <f t="array" ref="AG52">COUNTIF(Regatas,SMALL(Regatas,1))</f>
        <v>1</v>
      </c>
      <c r="AH52" s="6" cm="1">
        <f t="array" ref="AH52">VALUE(LEFT(INDEX(Selectivo[#This Row],,MATCH(Selectivo[[#Headers],[Total]],Selectivo[#Headers],0)-1),SEARCH(" ",INDEX(Selectivo[#This Row],,MATCH(Selectivo[[#Headers],[Total]],Selectivo[#Headers],0)-1)&amp;" ")-1))</f>
        <v>18</v>
      </c>
    </row>
    <row r="53" spans="1:34" x14ac:dyDescent="0.25">
      <c r="A53">
        <v>52755200</v>
      </c>
      <c r="B53" s="10">
        <f>ROW()-ROW(Selectivo[[#Headers],[Pos]])</f>
        <v>47</v>
      </c>
      <c r="C53" s="5">
        <v>3738</v>
      </c>
      <c r="D53" t="s">
        <v>655</v>
      </c>
      <c r="E53" t="s">
        <v>17</v>
      </c>
      <c r="F53" s="13">
        <f>IFERROR(_xlfn.XLOOKUP(Selectivo[[#This Row],[DNI]],_SIY[DNI],_SIY[R1]),"78 DNC")</f>
        <v>30</v>
      </c>
      <c r="G53" s="13">
        <f>IFERROR(_xlfn.XLOOKUP(Selectivo[[#This Row],[DNI]],_SIY[DNI],_SIY[R2]),"78 DNC")</f>
        <v>21</v>
      </c>
      <c r="H53" s="13">
        <f>IFERROR(_xlfn.XLOOKUP(Selectivo[[#This Row],[DNI]],_SIY[DNI],_SIY[R3]),"78 DNC")</f>
        <v>26</v>
      </c>
      <c r="I53" s="13">
        <f>IFERROR(_xlfn.XLOOKUP(Selectivo[[#This Row],[DNI]],_SIY[DNI],_SIY[R4]),"78 DNC")</f>
        <v>28</v>
      </c>
      <c r="J53" s="13">
        <f>IFERROR(_xlfn.XLOOKUP(Selectivo[[#This Row],[DNI]],_SIY[DNI],_SIY[R5]),"78 DNC")</f>
        <v>19</v>
      </c>
      <c r="K53" s="13">
        <f>IFERROR(_xlfn.XLOOKUP(Selectivo[[#This Row],[DNI]],_SIY[DNI],_SIY[R6]),"78 DNC")</f>
        <v>22</v>
      </c>
      <c r="L53" s="13">
        <f>IFERROR(_xlfn.XLOOKUP(Selectivo[[#This Row],[DNI]],_SIY[DNI],_SIY[R7]),"78 DNC")</f>
        <v>21</v>
      </c>
      <c r="M53" s="13">
        <f>IFERROR(_xlfn.XLOOKUP(Selectivo[[#This Row],[DNI]],_SIY[DNI],_SIY[R8]),"78 DNC")</f>
        <v>29</v>
      </c>
      <c r="N53" s="12">
        <f>IFERROR(_xlfn.XLOOKUP(Selectivo[[#This Row],[DNI]],_SIY[DNI],_SIY[R9]),"78 DNC")</f>
        <v>61</v>
      </c>
      <c r="O53" s="13">
        <f>IFERROR(_xlfn.XLOOKUP(Selectivo[[#This Row],[DNI]],_SIY[DNI],_SIY[R10]),"78 DNC")</f>
        <v>7</v>
      </c>
      <c r="P53" s="13">
        <f>IFERROR(_xlfn.XLOOKUP(Selectivo[[#This Row],[DNI]],_VF2025[DNI],_VF2025[R1]),"70 DNC")</f>
        <v>2</v>
      </c>
      <c r="Q53" s="13">
        <f>IFERROR(_xlfn.XLOOKUP(Selectivo[[#This Row],[DNI]],_VF2025[DNI],_VF2025[R2]),"70 DNC")</f>
        <v>50</v>
      </c>
      <c r="R53" s="12" t="str">
        <f>IFERROR(_xlfn.XLOOKUP(Selectivo[[#This Row],[DNI]],_VF2025[DNI],_VF2025[R3]),"70 DNC")</f>
        <v>70 BFD</v>
      </c>
      <c r="S53" s="13">
        <f>IFERROR(_xlfn.XLOOKUP(Selectivo[[#This Row],[DNI]],_VF2025[DNI],_VF2025[R4]),"70 DNC")</f>
        <v>34</v>
      </c>
      <c r="T53" s="13">
        <f>IFERROR(_xlfn.XLOOKUP(Selectivo[[#This Row],[DNI]],_VF2025[DNI],_VF2025[R5]),"70 DNC")</f>
        <v>14</v>
      </c>
      <c r="U53" s="13">
        <f>IFERROR(_xlfn.XLOOKUP(Selectivo[[#This Row],[DNI]],_VF2025[DNI],_VF2025[R6]),"70 DNC")</f>
        <v>23</v>
      </c>
      <c r="V53" s="12" t="str" cm="1">
        <f t="array" ref="V53">IFERROR(_xlfn.XLOOKUP(Selectivo[[#This Row],[Vela]],_xlfn.NUMBERVALUE(SIL25v2[Sail '#]),SIL25v2[1]),"90 DNC")</f>
        <v>67</v>
      </c>
      <c r="W53" s="13" t="str" cm="1">
        <f t="array" ref="W53">IFERROR(_xlfn.XLOOKUP(Selectivo[[#This Row],[Vela]],_xlfn.NUMBERVALUE(SIL25v2[Sail '#]),SIL25v2[2]),"90 DNC")</f>
        <v>12</v>
      </c>
      <c r="X53" s="13" t="str" cm="1">
        <f t="array" ref="X53">IFERROR(_xlfn.XLOOKUP(Selectivo[[#This Row],[Vela]],_xlfn.NUMBERVALUE(SIL25v2[Sail '#]),SIL25v2[3]),"90 DNC")</f>
        <v>19</v>
      </c>
      <c r="Y53" s="13" t="str" cm="1">
        <f t="array" ref="Y53">IFERROR(_xlfn.XLOOKUP(Selectivo[[#This Row],[Vela]],_xlfn.NUMBERVALUE(SIL25v2[Sail '#]),SIL25v2[4]),"90 DNC")</f>
        <v>11 DPI</v>
      </c>
      <c r="Z53" s="13" t="str" cm="1">
        <f t="array" ref="Z53">IFERROR(_xlfn.XLOOKUP(Selectivo[[#This Row],[Vela]],_xlfn.NUMBERVALUE(SIL25v2[Sail '#]),SIL25v2[5]),"90 DNC")</f>
        <v>5</v>
      </c>
      <c r="AA53" s="13" t="str" cm="1">
        <f t="array" ref="AA53">IFERROR(_xlfn.XLOOKUP(Selectivo[[#This Row],[Vela]],_xlfn.NUMBERVALUE(SIL25v2[Sail '#]),SIL25v2[6]),"90 DNC")</f>
        <v>5</v>
      </c>
      <c r="AB53" s="8" cm="1">
        <f t="array" ref="AB53">SUM(IFERROR(VALUE(LEFT(Regatas, FIND(" ",Regatas&amp; " ") - 1)), 0))</f>
        <v>576</v>
      </c>
      <c r="AC53" s="9" cm="1">
        <f t="array" ref="AC5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378</v>
      </c>
      <c r="AD53" s="6">
        <f>SMALL(RegatasN,1)</f>
        <v>2</v>
      </c>
      <c r="AE53" s="6">
        <f>SMALL(RegatasN,2)</f>
        <v>5</v>
      </c>
      <c r="AF53" s="6">
        <f>SMALL(RegatasN,3)</f>
        <v>5</v>
      </c>
      <c r="AG53" s="5" cm="1">
        <f t="array" ref="AG53">COUNTIF(Regatas,SMALL(Regatas,1))</f>
        <v>1</v>
      </c>
      <c r="AH53" s="6" cm="1">
        <f t="array" ref="AH53">VALUE(LEFT(INDEX(Selectivo[#This Row],,MATCH(Selectivo[[#Headers],[Total]],Selectivo[#Headers],0)-1),SEARCH(" ",INDEX(Selectivo[#This Row],,MATCH(Selectivo[[#Headers],[Total]],Selectivo[#Headers],0)-1)&amp;" ")-1))</f>
        <v>5</v>
      </c>
    </row>
    <row r="54" spans="1:34" x14ac:dyDescent="0.25">
      <c r="A54">
        <v>51167440</v>
      </c>
      <c r="B54" s="10">
        <f>ROW()-ROW(Selectivo[[#Headers],[Pos]])</f>
        <v>48</v>
      </c>
      <c r="C54" s="5">
        <v>4001</v>
      </c>
      <c r="D54" t="s">
        <v>615</v>
      </c>
      <c r="E54" t="s">
        <v>23</v>
      </c>
      <c r="F54" s="13">
        <f>IFERROR(_xlfn.XLOOKUP(Selectivo[[#This Row],[DNI]],_SIY[DNI],_SIY[R1]),"78 DNC")</f>
        <v>14</v>
      </c>
      <c r="G54" s="13">
        <f>IFERROR(_xlfn.XLOOKUP(Selectivo[[#This Row],[DNI]],_SIY[DNI],_SIY[R2]),"78 DNC")</f>
        <v>15</v>
      </c>
      <c r="H54" s="13">
        <f>IFERROR(_xlfn.XLOOKUP(Selectivo[[#This Row],[DNI]],_SIY[DNI],_SIY[R3]),"78 DNC")</f>
        <v>9</v>
      </c>
      <c r="I54" s="13">
        <f>IFERROR(_xlfn.XLOOKUP(Selectivo[[#This Row],[DNI]],_SIY[DNI],_SIY[R4]),"78 DNC")</f>
        <v>10</v>
      </c>
      <c r="J54" s="13">
        <f>IFERROR(_xlfn.XLOOKUP(Selectivo[[#This Row],[DNI]],_SIY[DNI],_SIY[R5]),"78 DNC")</f>
        <v>11</v>
      </c>
      <c r="K54" s="13">
        <f>IFERROR(_xlfn.XLOOKUP(Selectivo[[#This Row],[DNI]],_SIY[DNI],_SIY[R6]),"78 DNC")</f>
        <v>11</v>
      </c>
      <c r="L54" s="13">
        <f>IFERROR(_xlfn.XLOOKUP(Selectivo[[#This Row],[DNI]],_SIY[DNI],_SIY[R7]),"78 DNC")</f>
        <v>7</v>
      </c>
      <c r="M54" s="12" t="str">
        <f>IFERROR(_xlfn.XLOOKUP(Selectivo[[#This Row],[DNI]],_SIY[DNI],_SIY[R8]),"78 DNC")</f>
        <v>77 BFD</v>
      </c>
      <c r="N54" s="13">
        <f>IFERROR(_xlfn.XLOOKUP(Selectivo[[#This Row],[DNI]],_SIY[DNI],_SIY[R9]),"78 DNC")</f>
        <v>15</v>
      </c>
      <c r="O54" s="12" t="str">
        <f>IFERROR(_xlfn.XLOOKUP(Selectivo[[#This Row],[DNI]],_SIY[DNI],_SIY[R10]),"78 DNC")</f>
        <v>77 BFD</v>
      </c>
      <c r="P54" s="13">
        <f>IFERROR(_xlfn.XLOOKUP(Selectivo[[#This Row],[DNI]],_VF2025[DNI],_VF2025[R1]),"70 DNC")</f>
        <v>34</v>
      </c>
      <c r="Q54" s="13">
        <f>IFERROR(_xlfn.XLOOKUP(Selectivo[[#This Row],[DNI]],_VF2025[DNI],_VF2025[R2]),"70 DNC")</f>
        <v>16</v>
      </c>
      <c r="R54" s="13">
        <f>IFERROR(_xlfn.XLOOKUP(Selectivo[[#This Row],[DNI]],_VF2025[DNI],_VF2025[R3]),"70 DNC")</f>
        <v>31</v>
      </c>
      <c r="S54" s="13">
        <f>IFERROR(_xlfn.XLOOKUP(Selectivo[[#This Row],[DNI]],_VF2025[DNI],_VF2025[R4]),"70 DNC")</f>
        <v>10</v>
      </c>
      <c r="T54" s="13">
        <f>IFERROR(_xlfn.XLOOKUP(Selectivo[[#This Row],[DNI]],_VF2025[DNI],_VF2025[R5]),"70 DNC")</f>
        <v>16</v>
      </c>
      <c r="U54" s="13">
        <f>IFERROR(_xlfn.XLOOKUP(Selectivo[[#This Row],[DNI]],_VF2025[DNI],_VF2025[R6]),"70 DNC")</f>
        <v>5</v>
      </c>
      <c r="V54" s="12" t="str" cm="1">
        <f t="array" ref="V54">IFERROR(_xlfn.XLOOKUP(Selectivo[[#This Row],[Vela]],_xlfn.NUMBERVALUE(SIL25v2[Sail '#]),SIL25v2[1]),"90 DNC")</f>
        <v>89 BFD</v>
      </c>
      <c r="W54" s="13" t="str" cm="1">
        <f t="array" ref="W54">IFERROR(_xlfn.XLOOKUP(Selectivo[[#This Row],[Vela]],_xlfn.NUMBERVALUE(SIL25v2[Sail '#]),SIL25v2[2]),"90 DNC")</f>
        <v>19</v>
      </c>
      <c r="X54" s="13" t="str" cm="1">
        <f t="array" ref="X54">IFERROR(_xlfn.XLOOKUP(Selectivo[[#This Row],[Vela]],_xlfn.NUMBERVALUE(SIL25v2[Sail '#]),SIL25v2[3]),"90 DNC")</f>
        <v>5</v>
      </c>
      <c r="Y54" s="13" t="str" cm="1">
        <f t="array" ref="Y54">IFERROR(_xlfn.XLOOKUP(Selectivo[[#This Row],[Vela]],_xlfn.NUMBERVALUE(SIL25v2[Sail '#]),SIL25v2[4]),"90 DNC")</f>
        <v>52</v>
      </c>
      <c r="Z54" s="13" t="str" cm="1">
        <f t="array" ref="Z54">IFERROR(_xlfn.XLOOKUP(Selectivo[[#This Row],[Vela]],_xlfn.NUMBERVALUE(SIL25v2[Sail '#]),SIL25v2[5]),"90 DNC")</f>
        <v>55</v>
      </c>
      <c r="AA54" s="13" t="str" cm="1">
        <f t="array" ref="AA54">IFERROR(_xlfn.XLOOKUP(Selectivo[[#This Row],[Vela]],_xlfn.NUMBERVALUE(SIL25v2[Sail '#]),SIL25v2[6]),"90 DNC")</f>
        <v>44</v>
      </c>
      <c r="AB54" s="8" cm="1">
        <f t="array" ref="AB54">SUM(IFERROR(VALUE(LEFT(Regatas, FIND(" ",Regatas&amp; " ") - 1)), 0))</f>
        <v>622</v>
      </c>
      <c r="AC54" s="9" cm="1">
        <f t="array" ref="AC5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379</v>
      </c>
      <c r="AD54" s="6">
        <f>SMALL(RegatasN,1)</f>
        <v>5</v>
      </c>
      <c r="AE54" s="6">
        <f>SMALL(RegatasN,2)</f>
        <v>5</v>
      </c>
      <c r="AF54" s="6">
        <f>SMALL(RegatasN,3)</f>
        <v>7</v>
      </c>
      <c r="AG54" s="5" cm="1">
        <f t="array" ref="AG54">COUNTIF(Regatas,SMALL(Regatas,1))</f>
        <v>2</v>
      </c>
      <c r="AH54" s="6" cm="1">
        <f t="array" ref="AH54">VALUE(LEFT(INDEX(Selectivo[#This Row],,MATCH(Selectivo[[#Headers],[Total]],Selectivo[#Headers],0)-1),SEARCH(" ",INDEX(Selectivo[#This Row],,MATCH(Selectivo[[#Headers],[Total]],Selectivo[#Headers],0)-1)&amp;" ")-1))</f>
        <v>44</v>
      </c>
    </row>
    <row r="55" spans="1:34" x14ac:dyDescent="0.25">
      <c r="A55">
        <v>50121353</v>
      </c>
      <c r="B55" s="10">
        <f>ROW()-ROW(Selectivo[[#Headers],[Pos]])</f>
        <v>49</v>
      </c>
      <c r="C55" s="5">
        <v>3964</v>
      </c>
      <c r="D55" t="s">
        <v>704</v>
      </c>
      <c r="E55" t="s">
        <v>31</v>
      </c>
      <c r="F55" s="13">
        <f>IFERROR(_xlfn.XLOOKUP(Selectivo[[#This Row],[DNI]],_SIY[DNI],_SIY[R1]),"78 DNC")</f>
        <v>13</v>
      </c>
      <c r="G55" s="13">
        <f>IFERROR(_xlfn.XLOOKUP(Selectivo[[#This Row],[DNI]],_SIY[DNI],_SIY[R2]),"78 DNC")</f>
        <v>28</v>
      </c>
      <c r="H55" s="13">
        <f>IFERROR(_xlfn.XLOOKUP(Selectivo[[#This Row],[DNI]],_SIY[DNI],_SIY[R3]),"78 DNC")</f>
        <v>17</v>
      </c>
      <c r="I55" s="13">
        <f>IFERROR(_xlfn.XLOOKUP(Selectivo[[#This Row],[DNI]],_SIY[DNI],_SIY[R4]),"78 DNC")</f>
        <v>22</v>
      </c>
      <c r="J55" s="13">
        <f>IFERROR(_xlfn.XLOOKUP(Selectivo[[#This Row],[DNI]],_SIY[DNI],_SIY[R5]),"78 DNC")</f>
        <v>25</v>
      </c>
      <c r="K55" s="13">
        <f>IFERROR(_xlfn.XLOOKUP(Selectivo[[#This Row],[DNI]],_SIY[DNI],_SIY[R6]),"78 DNC")</f>
        <v>14</v>
      </c>
      <c r="L55" s="13">
        <f>IFERROR(_xlfn.XLOOKUP(Selectivo[[#This Row],[DNI]],_SIY[DNI],_SIY[R7]),"78 DNC")</f>
        <v>29</v>
      </c>
      <c r="M55" s="13">
        <f>IFERROR(_xlfn.XLOOKUP(Selectivo[[#This Row],[DNI]],_SIY[DNI],_SIY[R8]),"78 DNC")</f>
        <v>20</v>
      </c>
      <c r="N55" s="13">
        <f>IFERROR(_xlfn.XLOOKUP(Selectivo[[#This Row],[DNI]],_SIY[DNI],_SIY[R9]),"78 DNC")</f>
        <v>25</v>
      </c>
      <c r="O55" s="13">
        <f>IFERROR(_xlfn.XLOOKUP(Selectivo[[#This Row],[DNI]],_SIY[DNI],_SIY[R10]),"78 DNC")</f>
        <v>16</v>
      </c>
      <c r="P55" s="13">
        <f>IFERROR(_xlfn.XLOOKUP(Selectivo[[#This Row],[DNI]],_VF2025[DNI],_VF2025[R1]),"70 DNC")</f>
        <v>38</v>
      </c>
      <c r="Q55" s="13">
        <f>IFERROR(_xlfn.XLOOKUP(Selectivo[[#This Row],[DNI]],_VF2025[DNI],_VF2025[R2]),"70 DNC")</f>
        <v>10</v>
      </c>
      <c r="R55" s="13">
        <f>IFERROR(_xlfn.XLOOKUP(Selectivo[[#This Row],[DNI]],_VF2025[DNI],_VF2025[R3]),"70 DNC")</f>
        <v>2</v>
      </c>
      <c r="S55" s="13">
        <f>IFERROR(_xlfn.XLOOKUP(Selectivo[[#This Row],[DNI]],_VF2025[DNI],_VF2025[R4]),"70 DNC")</f>
        <v>22</v>
      </c>
      <c r="T55" s="13">
        <f>IFERROR(_xlfn.XLOOKUP(Selectivo[[#This Row],[DNI]],_VF2025[DNI],_VF2025[R5]),"70 DNC")</f>
        <v>6</v>
      </c>
      <c r="U55" s="13">
        <f>IFERROR(_xlfn.XLOOKUP(Selectivo[[#This Row],[DNI]],_VF2025[DNI],_VF2025[R6]),"70 DNC")</f>
        <v>12</v>
      </c>
      <c r="V55" s="12" t="str" cm="1">
        <f t="array" ref="V55">IFERROR(_xlfn.XLOOKUP(Selectivo[[#This Row],[Vela]],_xlfn.NUMBERVALUE(SIL25v2[Sail '#]),SIL25v2[1]),"90 DNC")</f>
        <v>54</v>
      </c>
      <c r="W55" s="13" t="str" cm="1">
        <f t="array" ref="W55">IFERROR(_xlfn.XLOOKUP(Selectivo[[#This Row],[Vela]],_xlfn.NUMBERVALUE(SIL25v2[Sail '#]),SIL25v2[2]),"90 DNC")</f>
        <v>27</v>
      </c>
      <c r="X55" s="13" t="str" cm="1">
        <f t="array" ref="X55">IFERROR(_xlfn.XLOOKUP(Selectivo[[#This Row],[Vela]],_xlfn.NUMBERVALUE(SIL25v2[Sail '#]),SIL25v2[3]),"90 DNC")</f>
        <v>49</v>
      </c>
      <c r="Y55" s="12" t="str" cm="1">
        <f t="array" ref="Y55">IFERROR(_xlfn.XLOOKUP(Selectivo[[#This Row],[Vela]],_xlfn.NUMBERVALUE(SIL25v2[Sail '#]),SIL25v2[4]),"90 DNC")</f>
        <v>89 BFD</v>
      </c>
      <c r="Z55" s="13" t="str" cm="1">
        <f t="array" ref="Z55">IFERROR(_xlfn.XLOOKUP(Selectivo[[#This Row],[Vela]],_xlfn.NUMBERVALUE(SIL25v2[Sail '#]),SIL25v2[5]),"90 DNC")</f>
        <v>5</v>
      </c>
      <c r="AA55" s="12" t="str" cm="1">
        <f t="array" ref="AA55">IFERROR(_xlfn.XLOOKUP(Selectivo[[#This Row],[Vela]],_xlfn.NUMBERVALUE(SIL25v2[Sail '#]),SIL25v2[6]),"90 DNC")</f>
        <v>54</v>
      </c>
      <c r="AB55" s="8" cm="1">
        <f t="array" ref="AB55">SUM(IFERROR(VALUE(LEFT(Regatas, FIND(" ",Regatas&amp; " ") - 1)), 0))</f>
        <v>577</v>
      </c>
      <c r="AC55" s="9" cm="1">
        <f t="array" ref="AC5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380</v>
      </c>
      <c r="AD55" s="6">
        <f>SMALL(RegatasN,1)</f>
        <v>2</v>
      </c>
      <c r="AE55" s="6">
        <f>SMALL(RegatasN,2)</f>
        <v>5</v>
      </c>
      <c r="AF55" s="6">
        <f>SMALL(RegatasN,3)</f>
        <v>6</v>
      </c>
      <c r="AG55" s="5" cm="1">
        <f t="array" ref="AG55">COUNTIF(Regatas,SMALL(Regatas,1))</f>
        <v>1</v>
      </c>
      <c r="AH55" s="6" cm="1">
        <f t="array" ref="AH55">VALUE(LEFT(INDEX(Selectivo[#This Row],,MATCH(Selectivo[[#Headers],[Total]],Selectivo[#Headers],0)-1),SEARCH(" ",INDEX(Selectivo[#This Row],,MATCH(Selectivo[[#Headers],[Total]],Selectivo[#Headers],0)-1)&amp;" ")-1))</f>
        <v>54</v>
      </c>
    </row>
    <row r="56" spans="1:34" x14ac:dyDescent="0.25">
      <c r="A56">
        <v>53185733</v>
      </c>
      <c r="B56" s="10">
        <f>ROW()-ROW(Selectivo[[#Headers],[Pos]])</f>
        <v>50</v>
      </c>
      <c r="C56" s="5">
        <v>3938</v>
      </c>
      <c r="D56" t="s">
        <v>689</v>
      </c>
      <c r="E56" t="s">
        <v>8</v>
      </c>
      <c r="F56" s="13">
        <f>IFERROR(_xlfn.XLOOKUP(Selectivo[[#This Row],[DNI]],_SIY[DNI],_SIY[R1]),"78 DNC")</f>
        <v>28</v>
      </c>
      <c r="G56" s="13">
        <f>IFERROR(_xlfn.XLOOKUP(Selectivo[[#This Row],[DNI]],_SIY[DNI],_SIY[R2]),"78 DNC")</f>
        <v>15</v>
      </c>
      <c r="H56" s="12">
        <f>IFERROR(_xlfn.XLOOKUP(Selectivo[[#This Row],[DNI]],_SIY[DNI],_SIY[R3]),"78 DNC")</f>
        <v>38</v>
      </c>
      <c r="I56" s="12">
        <f>IFERROR(_xlfn.XLOOKUP(Selectivo[[#This Row],[DNI]],_SIY[DNI],_SIY[R4]),"78 DNC")</f>
        <v>48</v>
      </c>
      <c r="J56" s="13">
        <f>IFERROR(_xlfn.XLOOKUP(Selectivo[[#This Row],[DNI]],_SIY[DNI],_SIY[R5]),"78 DNC")</f>
        <v>26</v>
      </c>
      <c r="K56" s="13">
        <f>IFERROR(_xlfn.XLOOKUP(Selectivo[[#This Row],[DNI]],_SIY[DNI],_SIY[R6]),"78 DNC")</f>
        <v>34</v>
      </c>
      <c r="L56" s="13">
        <f>IFERROR(_xlfn.XLOOKUP(Selectivo[[#This Row],[DNI]],_SIY[DNI],_SIY[R7]),"78 DNC")</f>
        <v>23</v>
      </c>
      <c r="M56" s="13">
        <f>IFERROR(_xlfn.XLOOKUP(Selectivo[[#This Row],[DNI]],_SIY[DNI],_SIY[R8]),"78 DNC")</f>
        <v>14</v>
      </c>
      <c r="N56" s="13" t="str">
        <f>IFERROR(_xlfn.XLOOKUP(Selectivo[[#This Row],[DNI]],_SIY[DNI],_SIY[R9]),"78 DNC")</f>
        <v>17 SP1</v>
      </c>
      <c r="O56" s="13" t="str">
        <f>IFERROR(_xlfn.XLOOKUP(Selectivo[[#This Row],[DNI]],_SIY[DNI],_SIY[R10]),"78 DNC")</f>
        <v>22 SP1</v>
      </c>
      <c r="P56" s="13">
        <f>IFERROR(_xlfn.XLOOKUP(Selectivo[[#This Row],[DNI]],_VF2025[DNI],_VF2025[R1]),"70 DNC")</f>
        <v>17</v>
      </c>
      <c r="Q56" s="13">
        <f>IFERROR(_xlfn.XLOOKUP(Selectivo[[#This Row],[DNI]],_VF2025[DNI],_VF2025[R2]),"70 DNC")</f>
        <v>13</v>
      </c>
      <c r="R56" s="13">
        <f>IFERROR(_xlfn.XLOOKUP(Selectivo[[#This Row],[DNI]],_VF2025[DNI],_VF2025[R3]),"70 DNC")</f>
        <v>27</v>
      </c>
      <c r="S56" s="13">
        <f>IFERROR(_xlfn.XLOOKUP(Selectivo[[#This Row],[DNI]],_VF2025[DNI],_VF2025[R4]),"70 DNC")</f>
        <v>25</v>
      </c>
      <c r="T56" s="13">
        <f>IFERROR(_xlfn.XLOOKUP(Selectivo[[#This Row],[DNI]],_VF2025[DNI],_VF2025[R5]),"70 DNC")</f>
        <v>25</v>
      </c>
      <c r="U56" s="13">
        <f>IFERROR(_xlfn.XLOOKUP(Selectivo[[#This Row],[DNI]],_VF2025[DNI],_VF2025[R6]),"70 DNC")</f>
        <v>26</v>
      </c>
      <c r="V56" s="13" t="str" cm="1">
        <f t="array" ref="V56">IFERROR(_xlfn.XLOOKUP(Selectivo[[#This Row],[Vela]],_xlfn.NUMBERVALUE(SIL25v2[Sail '#]),SIL25v2[1]),"90 DNC")</f>
        <v>29</v>
      </c>
      <c r="W56" s="13" t="str" cm="1">
        <f t="array" ref="W56">IFERROR(_xlfn.XLOOKUP(Selectivo[[#This Row],[Vela]],_xlfn.NUMBERVALUE(SIL25v2[Sail '#]),SIL25v2[2]),"90 DNC")</f>
        <v>18</v>
      </c>
      <c r="X56" s="13" t="str" cm="1">
        <f t="array" ref="X56">IFERROR(_xlfn.XLOOKUP(Selectivo[[#This Row],[Vela]],_xlfn.NUMBERVALUE(SIL25v2[Sail '#]),SIL25v2[3]),"90 DNC")</f>
        <v>4</v>
      </c>
      <c r="Y56" s="12" t="str" cm="1">
        <f t="array" ref="Y56">IFERROR(_xlfn.XLOOKUP(Selectivo[[#This Row],[Vela]],_xlfn.NUMBERVALUE(SIL25v2[Sail '#]),SIL25v2[4]),"90 DNC")</f>
        <v>38</v>
      </c>
      <c r="Z56" s="13" t="str" cm="1">
        <f t="array" ref="Z56">IFERROR(_xlfn.XLOOKUP(Selectivo[[#This Row],[Vela]],_xlfn.NUMBERVALUE(SIL25v2[Sail '#]),SIL25v2[5]),"90 DNC")</f>
        <v>7</v>
      </c>
      <c r="AA56" s="13" t="str" cm="1">
        <f t="array" ref="AA56">IFERROR(_xlfn.XLOOKUP(Selectivo[[#This Row],[Vela]],_xlfn.NUMBERVALUE(SIL25v2[Sail '#]),SIL25v2[6]),"90 DNC")</f>
        <v>13</v>
      </c>
      <c r="AB56" s="8" cm="1">
        <f t="array" ref="AB56">SUM(IFERROR(VALUE(LEFT(Regatas, FIND(" ",Regatas&amp; " ") - 1)), 0))</f>
        <v>507</v>
      </c>
      <c r="AC56" s="9" cm="1">
        <f t="array" ref="AC5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383</v>
      </c>
      <c r="AD56" s="6">
        <f>SMALL(RegatasN,1)</f>
        <v>4</v>
      </c>
      <c r="AE56" s="6">
        <f>SMALL(RegatasN,2)</f>
        <v>7</v>
      </c>
      <c r="AF56" s="6">
        <f>SMALL(RegatasN,3)</f>
        <v>13</v>
      </c>
      <c r="AG56" s="5" cm="1">
        <f t="array" ref="AG56">COUNTIF(Regatas,SMALL(Regatas,1))</f>
        <v>2</v>
      </c>
      <c r="AH56" s="6" cm="1">
        <f t="array" ref="AH56">VALUE(LEFT(INDEX(Selectivo[#This Row],,MATCH(Selectivo[[#Headers],[Total]],Selectivo[#Headers],0)-1),SEARCH(" ",INDEX(Selectivo[#This Row],,MATCH(Selectivo[[#Headers],[Total]],Selectivo[#Headers],0)-1)&amp;" ")-1))</f>
        <v>13</v>
      </c>
    </row>
    <row r="57" spans="1:34" x14ac:dyDescent="0.25">
      <c r="A57">
        <v>52366183</v>
      </c>
      <c r="B57" s="10">
        <f>ROW()-ROW(Selectivo[[#Headers],[Pos]])</f>
        <v>51</v>
      </c>
      <c r="C57" s="5">
        <v>3996</v>
      </c>
      <c r="D57" t="s">
        <v>680</v>
      </c>
      <c r="E57" t="s">
        <v>8</v>
      </c>
      <c r="F57" s="13">
        <f>IFERROR(_xlfn.XLOOKUP(Selectivo[[#This Row],[DNI]],_SIY[DNI],_SIY[R1]),"78 DNC")</f>
        <v>16</v>
      </c>
      <c r="G57" s="13">
        <f>IFERROR(_xlfn.XLOOKUP(Selectivo[[#This Row],[DNI]],_SIY[DNI],_SIY[R2]),"78 DNC")</f>
        <v>21</v>
      </c>
      <c r="H57" s="13">
        <f>IFERROR(_xlfn.XLOOKUP(Selectivo[[#This Row],[DNI]],_SIY[DNI],_SIY[R3]),"78 DNC")</f>
        <v>20</v>
      </c>
      <c r="I57" s="12">
        <f>IFERROR(_xlfn.XLOOKUP(Selectivo[[#This Row],[DNI]],_SIY[DNI],_SIY[R4]),"78 DNC")</f>
        <v>38</v>
      </c>
      <c r="J57" s="13">
        <f>IFERROR(_xlfn.XLOOKUP(Selectivo[[#This Row],[DNI]],_SIY[DNI],_SIY[R5]),"78 DNC")</f>
        <v>24</v>
      </c>
      <c r="K57" s="13">
        <f>IFERROR(_xlfn.XLOOKUP(Selectivo[[#This Row],[DNI]],_SIY[DNI],_SIY[R6]),"78 DNC")</f>
        <v>34</v>
      </c>
      <c r="L57" s="13">
        <f>IFERROR(_xlfn.XLOOKUP(Selectivo[[#This Row],[DNI]],_SIY[DNI],_SIY[R7]),"78 DNC")</f>
        <v>29</v>
      </c>
      <c r="M57" s="13">
        <f>IFERROR(_xlfn.XLOOKUP(Selectivo[[#This Row],[DNI]],_SIY[DNI],_SIY[R8]),"78 DNC")</f>
        <v>28</v>
      </c>
      <c r="N57" s="13" t="str">
        <f>IFERROR(_xlfn.XLOOKUP(Selectivo[[#This Row],[DNI]],_SIY[DNI],_SIY[R9]),"78 DNC")</f>
        <v>14 SP1</v>
      </c>
      <c r="O57" s="13" t="str">
        <f>IFERROR(_xlfn.XLOOKUP(Selectivo[[#This Row],[DNI]],_SIY[DNI],_SIY[R10]),"78 DNC")</f>
        <v>18 SP1</v>
      </c>
      <c r="P57" s="13">
        <f>IFERROR(_xlfn.XLOOKUP(Selectivo[[#This Row],[DNI]],_VF2025[DNI],_VF2025[R1]),"70 DNC")</f>
        <v>4</v>
      </c>
      <c r="Q57" s="13">
        <f>IFERROR(_xlfn.XLOOKUP(Selectivo[[#This Row],[DNI]],_VF2025[DNI],_VF2025[R2]),"70 DNC")</f>
        <v>20</v>
      </c>
      <c r="R57" s="13">
        <f>IFERROR(_xlfn.XLOOKUP(Selectivo[[#This Row],[DNI]],_VF2025[DNI],_VF2025[R3]),"70 DNC")</f>
        <v>23</v>
      </c>
      <c r="S57" s="13">
        <f>IFERROR(_xlfn.XLOOKUP(Selectivo[[#This Row],[DNI]],_VF2025[DNI],_VF2025[R4]),"70 DNC")</f>
        <v>30</v>
      </c>
      <c r="T57" s="13">
        <f>IFERROR(_xlfn.XLOOKUP(Selectivo[[#This Row],[DNI]],_VF2025[DNI],_VF2025[R5]),"70 DNC")</f>
        <v>18</v>
      </c>
      <c r="U57" s="13">
        <f>IFERROR(_xlfn.XLOOKUP(Selectivo[[#This Row],[DNI]],_VF2025[DNI],_VF2025[R6]),"70 DNC")</f>
        <v>27</v>
      </c>
      <c r="V57" s="13" t="str" cm="1">
        <f t="array" ref="V57">IFERROR(_xlfn.XLOOKUP(Selectivo[[#This Row],[Vela]],_xlfn.NUMBERVALUE(SIL25v2[Sail '#]),SIL25v2[1]),"90 DNC")</f>
        <v>6</v>
      </c>
      <c r="W57" s="12" t="str" cm="1">
        <f t="array" ref="W57">IFERROR(_xlfn.XLOOKUP(Selectivo[[#This Row],[Vela]],_xlfn.NUMBERVALUE(SIL25v2[Sail '#]),SIL25v2[2]),"90 DNC")</f>
        <v>49</v>
      </c>
      <c r="X57" s="13" t="str" cm="1">
        <f t="array" ref="X57">IFERROR(_xlfn.XLOOKUP(Selectivo[[#This Row],[Vela]],_xlfn.NUMBERVALUE(SIL25v2[Sail '#]),SIL25v2[3]),"90 DNC")</f>
        <v>8</v>
      </c>
      <c r="Y57" s="12" t="str" cm="1">
        <f t="array" ref="Y57">IFERROR(_xlfn.XLOOKUP(Selectivo[[#This Row],[Vela]],_xlfn.NUMBERVALUE(SIL25v2[Sail '#]),SIL25v2[4]),"90 DNC")</f>
        <v>45</v>
      </c>
      <c r="Z57" s="13" t="str" cm="1">
        <f t="array" ref="Z57">IFERROR(_xlfn.XLOOKUP(Selectivo[[#This Row],[Vela]],_xlfn.NUMBERVALUE(SIL25v2[Sail '#]),SIL25v2[5]),"90 DNC")</f>
        <v>13</v>
      </c>
      <c r="AA57" s="13" t="str" cm="1">
        <f t="array" ref="AA57">IFERROR(_xlfn.XLOOKUP(Selectivo[[#This Row],[Vela]],_xlfn.NUMBERVALUE(SIL25v2[Sail '#]),SIL25v2[6]),"90 DNC")</f>
        <v>38</v>
      </c>
      <c r="AB57" s="8" cm="1">
        <f t="array" ref="AB57">SUM(IFERROR(VALUE(LEFT(Regatas, FIND(" ",Regatas&amp; " ") - 1)), 0))</f>
        <v>523</v>
      </c>
      <c r="AC57" s="9" cm="1">
        <f t="array" ref="AC5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391</v>
      </c>
      <c r="AD57" s="6">
        <f>SMALL(RegatasN,1)</f>
        <v>4</v>
      </c>
      <c r="AE57" s="6">
        <f>SMALL(RegatasN,2)</f>
        <v>6</v>
      </c>
      <c r="AF57" s="6">
        <f>SMALL(RegatasN,3)</f>
        <v>8</v>
      </c>
      <c r="AG57" s="5" cm="1">
        <f t="array" ref="AG57">COUNTIF(Regatas,SMALL(Regatas,1))</f>
        <v>1</v>
      </c>
      <c r="AH57" s="6" cm="1">
        <f t="array" ref="AH57">VALUE(LEFT(INDEX(Selectivo[#This Row],,MATCH(Selectivo[[#Headers],[Total]],Selectivo[#Headers],0)-1),SEARCH(" ",INDEX(Selectivo[#This Row],,MATCH(Selectivo[[#Headers],[Total]],Selectivo[#Headers],0)-1)&amp;" ")-1))</f>
        <v>38</v>
      </c>
    </row>
    <row r="58" spans="1:34" x14ac:dyDescent="0.25">
      <c r="A58">
        <v>52073632</v>
      </c>
      <c r="B58" s="10">
        <f>ROW()-ROW(Selectivo[[#Headers],[Pos]])</f>
        <v>52</v>
      </c>
      <c r="C58" s="5">
        <v>4139</v>
      </c>
      <c r="D58" t="s">
        <v>684</v>
      </c>
      <c r="E58" t="s">
        <v>33</v>
      </c>
      <c r="F58" s="13">
        <f>IFERROR(_xlfn.XLOOKUP(Selectivo[[#This Row],[DNI]],_SIY[DNI],_SIY[R1]),"78 DNC")</f>
        <v>25</v>
      </c>
      <c r="G58" s="13">
        <f>IFERROR(_xlfn.XLOOKUP(Selectivo[[#This Row],[DNI]],_SIY[DNI],_SIY[R2]),"78 DNC")</f>
        <v>31</v>
      </c>
      <c r="H58" s="13">
        <f>IFERROR(_xlfn.XLOOKUP(Selectivo[[#This Row],[DNI]],_SIY[DNI],_SIY[R3]),"78 DNC")</f>
        <v>24</v>
      </c>
      <c r="I58" s="13">
        <f>IFERROR(_xlfn.XLOOKUP(Selectivo[[#This Row],[DNI]],_SIY[DNI],_SIY[R4]),"78 DNC")</f>
        <v>16</v>
      </c>
      <c r="J58" s="13">
        <f>IFERROR(_xlfn.XLOOKUP(Selectivo[[#This Row],[DNI]],_SIY[DNI],_SIY[R5]),"78 DNC")</f>
        <v>19</v>
      </c>
      <c r="K58" s="13">
        <f>IFERROR(_xlfn.XLOOKUP(Selectivo[[#This Row],[DNI]],_SIY[DNI],_SIY[R6]),"78 DNC")</f>
        <v>26</v>
      </c>
      <c r="L58" s="13">
        <f>IFERROR(_xlfn.XLOOKUP(Selectivo[[#This Row],[DNI]],_SIY[DNI],_SIY[R7]),"78 DNC")</f>
        <v>20</v>
      </c>
      <c r="M58" s="13">
        <f>IFERROR(_xlfn.XLOOKUP(Selectivo[[#This Row],[DNI]],_SIY[DNI],_SIY[R8]),"78 DNC")</f>
        <v>8</v>
      </c>
      <c r="N58" s="13">
        <f>IFERROR(_xlfn.XLOOKUP(Selectivo[[#This Row],[DNI]],_SIY[DNI],_SIY[R9]),"78 DNC")</f>
        <v>35</v>
      </c>
      <c r="O58" s="13">
        <f>IFERROR(_xlfn.XLOOKUP(Selectivo[[#This Row],[DNI]],_SIY[DNI],_SIY[R10]),"78 DNC")</f>
        <v>6</v>
      </c>
      <c r="P58" s="13">
        <f>IFERROR(_xlfn.XLOOKUP(Selectivo[[#This Row],[DNI]],_VF2025[DNI],_VF2025[R1]),"70 DNC")</f>
        <v>11</v>
      </c>
      <c r="Q58" s="13">
        <f>IFERROR(_xlfn.XLOOKUP(Selectivo[[#This Row],[DNI]],_VF2025[DNI],_VF2025[R2]),"70 DNC")</f>
        <v>5</v>
      </c>
      <c r="R58" s="13">
        <f>IFERROR(_xlfn.XLOOKUP(Selectivo[[#This Row],[DNI]],_VF2025[DNI],_VF2025[R3]),"70 DNC")</f>
        <v>32</v>
      </c>
      <c r="S58" s="13">
        <f>IFERROR(_xlfn.XLOOKUP(Selectivo[[#This Row],[DNI]],_VF2025[DNI],_VF2025[R4]),"70 DNC")</f>
        <v>36</v>
      </c>
      <c r="T58" s="12">
        <f>IFERROR(_xlfn.XLOOKUP(Selectivo[[#This Row],[DNI]],_VF2025[DNI],_VF2025[R5]),"70 DNC")</f>
        <v>42</v>
      </c>
      <c r="U58" s="13">
        <f>IFERROR(_xlfn.XLOOKUP(Selectivo[[#This Row],[DNI]],_VF2025[DNI],_VF2025[R6]),"70 DNC")</f>
        <v>16</v>
      </c>
      <c r="V58" s="12" t="str" cm="1">
        <f t="array" ref="V58">IFERROR(_xlfn.XLOOKUP(Selectivo[[#This Row],[Vela]],_xlfn.NUMBERVALUE(SIL25v2[Sail '#]),SIL25v2[1]),"90 DNC")</f>
        <v>48</v>
      </c>
      <c r="W58" s="12" t="str" cm="1">
        <f t="array" ref="W58">IFERROR(_xlfn.XLOOKUP(Selectivo[[#This Row],[Vela]],_xlfn.NUMBERVALUE(SIL25v2[Sail '#]),SIL25v2[2]),"90 DNC")</f>
        <v>45</v>
      </c>
      <c r="X58" s="13" t="str" cm="1">
        <f t="array" ref="X58">IFERROR(_xlfn.XLOOKUP(Selectivo[[#This Row],[Vela]],_xlfn.NUMBERVALUE(SIL25v2[Sail '#]),SIL25v2[3]),"90 DNC")</f>
        <v>9</v>
      </c>
      <c r="Y58" s="13" t="str" cm="1">
        <f t="array" ref="Y58">IFERROR(_xlfn.XLOOKUP(Selectivo[[#This Row],[Vela]],_xlfn.NUMBERVALUE(SIL25v2[Sail '#]),SIL25v2[4]),"90 DNC")</f>
        <v>12</v>
      </c>
      <c r="Z58" s="13" t="str" cm="1">
        <f t="array" ref="Z58">IFERROR(_xlfn.XLOOKUP(Selectivo[[#This Row],[Vela]],_xlfn.NUMBERVALUE(SIL25v2[Sail '#]),SIL25v2[5]),"90 DNC")</f>
        <v>20</v>
      </c>
      <c r="AA58" s="13" t="str" cm="1">
        <f t="array" ref="AA58">IFERROR(_xlfn.XLOOKUP(Selectivo[[#This Row],[Vela]],_xlfn.NUMBERVALUE(SIL25v2[Sail '#]),SIL25v2[6]),"90 DNC")</f>
        <v>42</v>
      </c>
      <c r="AB58" s="8" cm="1">
        <f t="array" ref="AB58">SUM(IFERROR(VALUE(LEFT(Regatas, FIND(" ",Regatas&amp; " ") - 1)), 0))</f>
        <v>528</v>
      </c>
      <c r="AC58" s="9" cm="1">
        <f t="array" ref="AC5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393</v>
      </c>
      <c r="AD58" s="6">
        <f>SMALL(RegatasN,1)</f>
        <v>5</v>
      </c>
      <c r="AE58" s="6">
        <f>SMALL(RegatasN,2)</f>
        <v>6</v>
      </c>
      <c r="AF58" s="6">
        <f>SMALL(RegatasN,3)</f>
        <v>8</v>
      </c>
      <c r="AG58" s="5" cm="1">
        <f t="array" ref="AG58">COUNTIF(Regatas,SMALL(Regatas,1))</f>
        <v>1</v>
      </c>
      <c r="AH58" s="6" cm="1">
        <f t="array" ref="AH58">VALUE(LEFT(INDEX(Selectivo[#This Row],,MATCH(Selectivo[[#Headers],[Total]],Selectivo[#Headers],0)-1),SEARCH(" ",INDEX(Selectivo[#This Row],,MATCH(Selectivo[[#Headers],[Total]],Selectivo[#Headers],0)-1)&amp;" ")-1))</f>
        <v>42</v>
      </c>
    </row>
    <row r="59" spans="1:34" x14ac:dyDescent="0.25">
      <c r="A59">
        <v>52875058</v>
      </c>
      <c r="B59" s="10">
        <f>ROW()-ROW(Selectivo[[#Headers],[Pos]])</f>
        <v>53</v>
      </c>
      <c r="C59" s="5">
        <v>4142</v>
      </c>
      <c r="D59" t="s">
        <v>601</v>
      </c>
      <c r="E59" t="s">
        <v>17</v>
      </c>
      <c r="F59" s="13">
        <f>IFERROR(_xlfn.XLOOKUP(Selectivo[[#This Row],[DNI]],_SIY[DNI],_SIY[R1]),"78 DNC")</f>
        <v>32</v>
      </c>
      <c r="G59" s="12" t="str">
        <f>IFERROR(_xlfn.XLOOKUP(Selectivo[[#This Row],[DNI]],_SIY[DNI],_SIY[R2]),"78 DNC")</f>
        <v>77 BFD</v>
      </c>
      <c r="H59" s="13">
        <f>IFERROR(_xlfn.XLOOKUP(Selectivo[[#This Row],[DNI]],_SIY[DNI],_SIY[R3]),"78 DNC")</f>
        <v>33</v>
      </c>
      <c r="I59" s="13">
        <f>IFERROR(_xlfn.XLOOKUP(Selectivo[[#This Row],[DNI]],_SIY[DNI],_SIY[R4]),"78 DNC")</f>
        <v>52</v>
      </c>
      <c r="J59" s="13">
        <f>IFERROR(_xlfn.XLOOKUP(Selectivo[[#This Row],[DNI]],_SIY[DNI],_SIY[R5]),"78 DNC")</f>
        <v>55</v>
      </c>
      <c r="K59" s="13">
        <f>IFERROR(_xlfn.XLOOKUP(Selectivo[[#This Row],[DNI]],_SIY[DNI],_SIY[R6]),"78 DNC")</f>
        <v>45</v>
      </c>
      <c r="L59" s="13">
        <f>IFERROR(_xlfn.XLOOKUP(Selectivo[[#This Row],[DNI]],_SIY[DNI],_SIY[R7]),"78 DNC")</f>
        <v>25</v>
      </c>
      <c r="M59" s="13">
        <f>IFERROR(_xlfn.XLOOKUP(Selectivo[[#This Row],[DNI]],_SIY[DNI],_SIY[R8]),"78 DNC")</f>
        <v>21</v>
      </c>
      <c r="N59" s="13">
        <f>IFERROR(_xlfn.XLOOKUP(Selectivo[[#This Row],[DNI]],_SIY[DNI],_SIY[R9]),"78 DNC")</f>
        <v>10</v>
      </c>
      <c r="O59" s="12" t="str">
        <f>IFERROR(_xlfn.XLOOKUP(Selectivo[[#This Row],[DNI]],_SIY[DNI],_SIY[R10]),"78 DNC")</f>
        <v>77 BFD</v>
      </c>
      <c r="P59" s="13">
        <f>IFERROR(_xlfn.XLOOKUP(Selectivo[[#This Row],[DNI]],_VF2025[DNI],_VF2025[R1]),"70 DNC")</f>
        <v>14</v>
      </c>
      <c r="Q59" s="13">
        <f>IFERROR(_xlfn.XLOOKUP(Selectivo[[#This Row],[DNI]],_VF2025[DNI],_VF2025[R2]),"70 DNC")</f>
        <v>18</v>
      </c>
      <c r="R59" s="13">
        <f>IFERROR(_xlfn.XLOOKUP(Selectivo[[#This Row],[DNI]],_VF2025[DNI],_VF2025[R3]),"70 DNC")</f>
        <v>4</v>
      </c>
      <c r="S59" s="13">
        <f>IFERROR(_xlfn.XLOOKUP(Selectivo[[#This Row],[DNI]],_VF2025[DNI],_VF2025[R4]),"70 DNC")</f>
        <v>31</v>
      </c>
      <c r="T59" s="13">
        <f>IFERROR(_xlfn.XLOOKUP(Selectivo[[#This Row],[DNI]],_VF2025[DNI],_VF2025[R5]),"70 DNC")</f>
        <v>22</v>
      </c>
      <c r="U59" s="13">
        <f>IFERROR(_xlfn.XLOOKUP(Selectivo[[#This Row],[DNI]],_VF2025[DNI],_VF2025[R6]),"70 DNC")</f>
        <v>17</v>
      </c>
      <c r="V59" s="13" t="str" cm="1">
        <f t="array" ref="V59">IFERROR(_xlfn.XLOOKUP(Selectivo[[#This Row],[Vela]],_xlfn.NUMBERVALUE(SIL25v2[Sail '#]),SIL25v2[1]),"90 DNC")</f>
        <v>7</v>
      </c>
      <c r="W59" s="13" t="str" cm="1">
        <f t="array" ref="W59">IFERROR(_xlfn.XLOOKUP(Selectivo[[#This Row],[Vela]],_xlfn.NUMBERVALUE(SIL25v2[Sail '#]),SIL25v2[2]),"90 DNC")</f>
        <v>5</v>
      </c>
      <c r="X59" s="12" t="str" cm="1">
        <f t="array" ref="X59">IFERROR(_xlfn.XLOOKUP(Selectivo[[#This Row],[Vela]],_xlfn.NUMBERVALUE(SIL25v2[Sail '#]),SIL25v2[3]),"90 DNC")</f>
        <v>89 BFD</v>
      </c>
      <c r="Y59" s="13" t="str" cm="1">
        <f t="array" ref="Y59">IFERROR(_xlfn.XLOOKUP(Selectivo[[#This Row],[Vela]],_xlfn.NUMBERVALUE(SIL25v2[Sail '#]),SIL25v2[4]),"90 DNC")</f>
        <v>3</v>
      </c>
      <c r="Z59" s="13" t="str" cm="1">
        <f t="array" ref="Z59">IFERROR(_xlfn.XLOOKUP(Selectivo[[#This Row],[Vela]],_xlfn.NUMBERVALUE(SIL25v2[Sail '#]),SIL25v2[5]),"90 DNC")</f>
        <v>2</v>
      </c>
      <c r="AA59" s="13" t="str" cm="1">
        <f t="array" ref="AA59">IFERROR(_xlfn.XLOOKUP(Selectivo[[#This Row],[Vela]],_xlfn.NUMBERVALUE(SIL25v2[Sail '#]),SIL25v2[6]),"90 DNC")</f>
        <v>3</v>
      </c>
      <c r="AB59" s="8" cm="1">
        <f t="array" ref="AB59">SUM(IFERROR(VALUE(LEFT(Regatas, FIND(" ",Regatas&amp; " ") - 1)), 0))</f>
        <v>642</v>
      </c>
      <c r="AC59" s="9" cm="1">
        <f t="array" ref="AC5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399</v>
      </c>
      <c r="AD59" s="6">
        <f>SMALL(RegatasN,1)</f>
        <v>2</v>
      </c>
      <c r="AE59" s="6">
        <f>SMALL(RegatasN,2)</f>
        <v>3</v>
      </c>
      <c r="AF59" s="6">
        <f>SMALL(RegatasN,3)</f>
        <v>3</v>
      </c>
      <c r="AG59" s="5" cm="1">
        <f t="array" ref="AG59">COUNTIF(Regatas,SMALL(Regatas,1))</f>
        <v>1</v>
      </c>
      <c r="AH59" s="6" cm="1">
        <f t="array" ref="AH59">VALUE(LEFT(INDEX(Selectivo[#This Row],,MATCH(Selectivo[[#Headers],[Total]],Selectivo[#Headers],0)-1),SEARCH(" ",INDEX(Selectivo[#This Row],,MATCH(Selectivo[[#Headers],[Total]],Selectivo[#Headers],0)-1)&amp;" ")-1))</f>
        <v>3</v>
      </c>
    </row>
    <row r="60" spans="1:34" x14ac:dyDescent="0.25">
      <c r="A60">
        <v>50734365</v>
      </c>
      <c r="B60" s="10">
        <f>ROW()-ROW(Selectivo[[#Headers],[Pos]])</f>
        <v>54</v>
      </c>
      <c r="C60" s="5">
        <v>3825</v>
      </c>
      <c r="D60" t="s">
        <v>738</v>
      </c>
      <c r="E60" t="s">
        <v>33</v>
      </c>
      <c r="F60" s="13">
        <f>IFERROR(_xlfn.XLOOKUP(Selectivo[[#This Row],[DNI]],_SIY[DNI],_SIY[R1]),"78 DNC")</f>
        <v>38</v>
      </c>
      <c r="G60" s="13">
        <f>IFERROR(_xlfn.XLOOKUP(Selectivo[[#This Row],[DNI]],_SIY[DNI],_SIY[R2]),"78 DNC")</f>
        <v>18</v>
      </c>
      <c r="H60" s="13">
        <f>IFERROR(_xlfn.XLOOKUP(Selectivo[[#This Row],[DNI]],_SIY[DNI],_SIY[R3]),"78 DNC")</f>
        <v>12</v>
      </c>
      <c r="I60" s="13">
        <f>IFERROR(_xlfn.XLOOKUP(Selectivo[[#This Row],[DNI]],_SIY[DNI],_SIY[R4]),"78 DNC")</f>
        <v>5</v>
      </c>
      <c r="J60" s="13">
        <f>IFERROR(_xlfn.XLOOKUP(Selectivo[[#This Row],[DNI]],_SIY[DNI],_SIY[R5]),"78 DNC")</f>
        <v>9</v>
      </c>
      <c r="K60" s="13">
        <f>IFERROR(_xlfn.XLOOKUP(Selectivo[[#This Row],[DNI]],_SIY[DNI],_SIY[R6]),"78 DNC")</f>
        <v>14</v>
      </c>
      <c r="L60" s="13">
        <f>IFERROR(_xlfn.XLOOKUP(Selectivo[[#This Row],[DNI]],_SIY[DNI],_SIY[R7]),"78 DNC")</f>
        <v>24</v>
      </c>
      <c r="M60" s="13">
        <f>IFERROR(_xlfn.XLOOKUP(Selectivo[[#This Row],[DNI]],_SIY[DNI],_SIY[R8]),"78 DNC")</f>
        <v>27</v>
      </c>
      <c r="N60" s="13">
        <f>IFERROR(_xlfn.XLOOKUP(Selectivo[[#This Row],[DNI]],_SIY[DNI],_SIY[R9]),"78 DNC")</f>
        <v>38</v>
      </c>
      <c r="O60" s="13">
        <f>IFERROR(_xlfn.XLOOKUP(Selectivo[[#This Row],[DNI]],_SIY[DNI],_SIY[R10]),"78 DNC")</f>
        <v>15</v>
      </c>
      <c r="P60" s="13">
        <f>IFERROR(_xlfn.XLOOKUP(Selectivo[[#This Row],[DNI]],_VF2025[DNI],_VF2025[R1]),"70 DNC")</f>
        <v>21</v>
      </c>
      <c r="Q60" s="13">
        <f>IFERROR(_xlfn.XLOOKUP(Selectivo[[#This Row],[DNI]],_VF2025[DNI],_VF2025[R2]),"70 DNC")</f>
        <v>31</v>
      </c>
      <c r="R60" s="13">
        <f>IFERROR(_xlfn.XLOOKUP(Selectivo[[#This Row],[DNI]],_VF2025[DNI],_VF2025[R3]),"70 DNC")</f>
        <v>23</v>
      </c>
      <c r="S60" s="13">
        <f>IFERROR(_xlfn.XLOOKUP(Selectivo[[#This Row],[DNI]],_VF2025[DNI],_VF2025[R4]),"70 DNC")</f>
        <v>31</v>
      </c>
      <c r="T60" s="13">
        <f>IFERROR(_xlfn.XLOOKUP(Selectivo[[#This Row],[DNI]],_VF2025[DNI],_VF2025[R5]),"70 DNC")</f>
        <v>9</v>
      </c>
      <c r="U60" s="13">
        <f>IFERROR(_xlfn.XLOOKUP(Selectivo[[#This Row],[DNI]],_VF2025[DNI],_VF2025[R6]),"70 DNC")</f>
        <v>8</v>
      </c>
      <c r="V60" s="13" t="str" cm="1">
        <f t="array" ref="V60">IFERROR(_xlfn.XLOOKUP(Selectivo[[#This Row],[Vela]],_xlfn.NUMBERVALUE(SIL25v2[Sail '#]),SIL25v2[1]),"90 DNC")</f>
        <v>16</v>
      </c>
      <c r="W60" s="12" t="str" cm="1">
        <f t="array" ref="W60">IFERROR(_xlfn.XLOOKUP(Selectivo[[#This Row],[Vela]],_xlfn.NUMBERVALUE(SIL25v2[Sail '#]),SIL25v2[2]),"90 DNC")</f>
        <v>65</v>
      </c>
      <c r="X60" s="12" t="str" cm="1">
        <f t="array" ref="X60">IFERROR(_xlfn.XLOOKUP(Selectivo[[#This Row],[Vela]],_xlfn.NUMBERVALUE(SIL25v2[Sail '#]),SIL25v2[3]),"90 DNC")</f>
        <v>49</v>
      </c>
      <c r="Y60" s="13" t="str" cm="1">
        <f t="array" ref="Y60">IFERROR(_xlfn.XLOOKUP(Selectivo[[#This Row],[Vela]],_xlfn.NUMBERVALUE(SIL25v2[Sail '#]),SIL25v2[4]),"90 DNC")</f>
        <v>13</v>
      </c>
      <c r="Z60" s="12" t="str" cm="1">
        <f t="array" ref="Z60">IFERROR(_xlfn.XLOOKUP(Selectivo[[#This Row],[Vela]],_xlfn.NUMBERVALUE(SIL25v2[Sail '#]),SIL25v2[5]),"90 DNC")</f>
        <v>56</v>
      </c>
      <c r="AA60" s="13" t="str" cm="1">
        <f t="array" ref="AA60">IFERROR(_xlfn.XLOOKUP(Selectivo[[#This Row],[Vela]],_xlfn.NUMBERVALUE(SIL25v2[Sail '#]),SIL25v2[6]),"90 DNC")</f>
        <v>48</v>
      </c>
      <c r="AB60" s="8" cm="1">
        <f t="array" ref="AB60">SUM(IFERROR(VALUE(LEFT(Regatas, FIND(" ",Regatas&amp; " ") - 1)), 0))</f>
        <v>570</v>
      </c>
      <c r="AC60" s="9" cm="1">
        <f t="array" ref="AC6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400</v>
      </c>
      <c r="AD60" s="6">
        <f>SMALL(RegatasN,1)</f>
        <v>5</v>
      </c>
      <c r="AE60" s="6">
        <f>SMALL(RegatasN,2)</f>
        <v>8</v>
      </c>
      <c r="AF60" s="6">
        <f>SMALL(RegatasN,3)</f>
        <v>9</v>
      </c>
      <c r="AG60" s="5" cm="1">
        <f t="array" ref="AG60">COUNTIF(Regatas,SMALL(Regatas,1))</f>
        <v>1</v>
      </c>
      <c r="AH60" s="6" cm="1">
        <f t="array" ref="AH60">VALUE(LEFT(INDEX(Selectivo[#This Row],,MATCH(Selectivo[[#Headers],[Total]],Selectivo[#Headers],0)-1),SEARCH(" ",INDEX(Selectivo[#This Row],,MATCH(Selectivo[[#Headers],[Total]],Selectivo[#Headers],0)-1)&amp;" ")-1))</f>
        <v>48</v>
      </c>
    </row>
    <row r="61" spans="1:34" x14ac:dyDescent="0.25">
      <c r="A61">
        <v>50235461</v>
      </c>
      <c r="B61" s="10">
        <f>ROW()-ROW(Selectivo[[#Headers],[Pos]])</f>
        <v>55</v>
      </c>
      <c r="C61" s="5">
        <v>4061</v>
      </c>
      <c r="D61" t="s">
        <v>716</v>
      </c>
      <c r="E61" t="s">
        <v>13</v>
      </c>
      <c r="F61" s="13" t="str" cm="1">
        <f t="array" ref="F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G61" s="13" t="str" cm="1">
        <f t="array" ref="G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H61" s="13" t="str" cm="1">
        <f t="array" ref="H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I61" s="13" t="str" cm="1">
        <f t="array" ref="I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J61" s="13" t="str" cm="1">
        <f t="array" ref="J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K61" s="13" t="str" cm="1">
        <f t="array" ref="K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L61" s="13" t="str" cm="1">
        <f t="array" ref="L61">ROUND(SUM(IFERROR(VALUE(LEFT(Selectivo[[#This Row],[R11]:[R22]], FIND(" ", Selectivo[[#This Row],[R11]:[R22]] &amp; " ")-1)), 0))/COUNT(VALUE(LEFT(Selectivo[[#This Row],[R11]:[R22]], FIND(" ", Selectivo[[#This Row],[R11]:[R22]] &amp; " ")-1))),1)&amp;" RDG"</f>
        <v>21,2 RDG</v>
      </c>
      <c r="M61" s="12" t="str">
        <f>IFERROR(_xlfn.XLOOKUP(Selectivo[[#This Row],[DNI]],_SIY[DNI],_SIY[R8]),"78 DNC")</f>
        <v>77 DNC</v>
      </c>
      <c r="N61" s="12" t="str">
        <f>IFERROR(_xlfn.XLOOKUP(Selectivo[[#This Row],[DNI]],_SIY[DNI],_SIY[R9]),"78 DNC")</f>
        <v>77 DNC</v>
      </c>
      <c r="O61" s="12" t="str">
        <f>IFERROR(_xlfn.XLOOKUP(Selectivo[[#This Row],[DNI]],_SIY[DNI],_SIY[R10]),"78 DNC")</f>
        <v>77 DNC</v>
      </c>
      <c r="P61" s="13">
        <f>IFERROR(_xlfn.XLOOKUP(Selectivo[[#This Row],[DNI]],_VF2025[DNI],_VF2025[R1]),"70 DNC")</f>
        <v>12</v>
      </c>
      <c r="Q61" s="13">
        <f>IFERROR(_xlfn.XLOOKUP(Selectivo[[#This Row],[DNI]],_VF2025[DNI],_VF2025[R2]),"70 DNC")</f>
        <v>25</v>
      </c>
      <c r="R61" s="13">
        <f>IFERROR(_xlfn.XLOOKUP(Selectivo[[#This Row],[DNI]],_VF2025[DNI],_VF2025[R3]),"70 DNC")</f>
        <v>3</v>
      </c>
      <c r="S61" s="13">
        <f>IFERROR(_xlfn.XLOOKUP(Selectivo[[#This Row],[DNI]],_VF2025[DNI],_VF2025[R4]),"70 DNC")</f>
        <v>36</v>
      </c>
      <c r="T61" s="13" t="str">
        <f>IFERROR(_xlfn.XLOOKUP(Selectivo[[#This Row],[DNI]],_VF2025[DNI],_VF2025[R5]),"70 DNC")</f>
        <v>70 BFD</v>
      </c>
      <c r="U61" s="13">
        <f>IFERROR(_xlfn.XLOOKUP(Selectivo[[#This Row],[DNI]],_VF2025[DNI],_VF2025[R6]),"70 DNC")</f>
        <v>44</v>
      </c>
      <c r="V61" s="13" t="str" cm="1">
        <f t="array" ref="V61">IFERROR(_xlfn.XLOOKUP(Selectivo[[#This Row],[Vela]],_xlfn.NUMBERVALUE(SIL25v2[Sail '#]),SIL25v2[1]),"90 DNC")</f>
        <v>4</v>
      </c>
      <c r="W61" s="13" t="str" cm="1">
        <f t="array" ref="W61">IFERROR(_xlfn.XLOOKUP(Selectivo[[#This Row],[Vela]],_xlfn.NUMBERVALUE(SIL25v2[Sail '#]),SIL25v2[2]),"90 DNC")</f>
        <v>2</v>
      </c>
      <c r="X61" s="13" t="str" cm="1">
        <f t="array" ref="X61">IFERROR(_xlfn.XLOOKUP(Selectivo[[#This Row],[Vela]],_xlfn.NUMBERVALUE(SIL25v2[Sail '#]),SIL25v2[3]),"90 DNC")</f>
        <v>38</v>
      </c>
      <c r="Y61" s="13" t="str" cm="1">
        <f t="array" ref="Y61">IFERROR(_xlfn.XLOOKUP(Selectivo[[#This Row],[Vela]],_xlfn.NUMBERVALUE(SIL25v2[Sail '#]),SIL25v2[4]),"90 DNC")</f>
        <v>6</v>
      </c>
      <c r="Z61" s="13" t="str" cm="1">
        <f t="array" ref="Z61">IFERROR(_xlfn.XLOOKUP(Selectivo[[#This Row],[Vela]],_xlfn.NUMBERVALUE(SIL25v2[Sail '#]),SIL25v2[5]),"90 DNC")</f>
        <v>4</v>
      </c>
      <c r="AA61" s="13" t="str" cm="1">
        <f t="array" ref="AA61">IFERROR(_xlfn.XLOOKUP(Selectivo[[#This Row],[Vela]],_xlfn.NUMBERVALUE(SIL25v2[Sail '#]),SIL25v2[6]),"90 DNC")</f>
        <v>10</v>
      </c>
      <c r="AB61" s="8" cm="1">
        <f t="array" ref="AB61">SUM(IFERROR(VALUE(LEFT(Regatas, FIND(" ",Regatas&amp; " ") - 1)), 0))</f>
        <v>633.4</v>
      </c>
      <c r="AC61" s="9" cm="1">
        <f t="array" ref="AC6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402.4</v>
      </c>
      <c r="AD61" s="6">
        <f>SMALL(RegatasN,1)</f>
        <v>2</v>
      </c>
      <c r="AE61" s="6">
        <f>SMALL(RegatasN,2)</f>
        <v>3</v>
      </c>
      <c r="AF61" s="6">
        <f>SMALL(RegatasN,3)</f>
        <v>4</v>
      </c>
      <c r="AG61" s="5" cm="1">
        <f t="array" ref="AG61">COUNTIF(Regatas,SMALL(Regatas,1))</f>
        <v>1</v>
      </c>
      <c r="AH61" s="6" cm="1">
        <f t="array" ref="AH61">VALUE(LEFT(INDEX(Selectivo[#This Row],,MATCH(Selectivo[[#Headers],[Total]],Selectivo[#Headers],0)-1),SEARCH(" ",INDEX(Selectivo[#This Row],,MATCH(Selectivo[[#Headers],[Total]],Selectivo[#Headers],0)-1)&amp;" ")-1))</f>
        <v>10</v>
      </c>
    </row>
    <row r="62" spans="1:34" x14ac:dyDescent="0.25">
      <c r="A62">
        <v>50899423</v>
      </c>
      <c r="B62" s="10">
        <f>ROW()-ROW(Selectivo[[#Headers],[Pos]])</f>
        <v>56</v>
      </c>
      <c r="C62" s="5">
        <v>3953</v>
      </c>
      <c r="D62" t="s">
        <v>753</v>
      </c>
      <c r="E62" t="s">
        <v>31</v>
      </c>
      <c r="F62" s="13">
        <f>IFERROR(_xlfn.XLOOKUP(Selectivo[[#This Row],[DNI]],_SIY[DNI],_SIY[R1]),"78 DNC")</f>
        <v>23</v>
      </c>
      <c r="G62" s="13">
        <f>IFERROR(_xlfn.XLOOKUP(Selectivo[[#This Row],[DNI]],_SIY[DNI],_SIY[R2]),"78 DNC")</f>
        <v>20</v>
      </c>
      <c r="H62" s="12">
        <f>IFERROR(_xlfn.XLOOKUP(Selectivo[[#This Row],[DNI]],_SIY[DNI],_SIY[R3]),"78 DNC")</f>
        <v>35</v>
      </c>
      <c r="I62" s="13">
        <f>IFERROR(_xlfn.XLOOKUP(Selectivo[[#This Row],[DNI]],_SIY[DNI],_SIY[R4]),"78 DNC")</f>
        <v>25</v>
      </c>
      <c r="J62" s="13">
        <f>IFERROR(_xlfn.XLOOKUP(Selectivo[[#This Row],[DNI]],_SIY[DNI],_SIY[R5]),"78 DNC")</f>
        <v>17</v>
      </c>
      <c r="K62" s="13">
        <f>IFERROR(_xlfn.XLOOKUP(Selectivo[[#This Row],[DNI]],_SIY[DNI],_SIY[R6]),"78 DNC")</f>
        <v>17</v>
      </c>
      <c r="L62" s="13">
        <f>IFERROR(_xlfn.XLOOKUP(Selectivo[[#This Row],[DNI]],_SIY[DNI],_SIY[R7]),"78 DNC")</f>
        <v>9</v>
      </c>
      <c r="M62" s="13">
        <f>IFERROR(_xlfn.XLOOKUP(Selectivo[[#This Row],[DNI]],_SIY[DNI],_SIY[R8]),"78 DNC")</f>
        <v>30</v>
      </c>
      <c r="N62" s="13">
        <f>IFERROR(_xlfn.XLOOKUP(Selectivo[[#This Row],[DNI]],_SIY[DNI],_SIY[R9]),"78 DNC")</f>
        <v>19</v>
      </c>
      <c r="O62" s="13">
        <f>IFERROR(_xlfn.XLOOKUP(Selectivo[[#This Row],[DNI]],_SIY[DNI],_SIY[R10]),"78 DNC")</f>
        <v>31</v>
      </c>
      <c r="P62" s="13">
        <f>IFERROR(_xlfn.XLOOKUP(Selectivo[[#This Row],[DNI]],_VF2025[DNI],_VF2025[R1]),"70 DNC")</f>
        <v>12</v>
      </c>
      <c r="Q62" s="13">
        <f>IFERROR(_xlfn.XLOOKUP(Selectivo[[#This Row],[DNI]],_VF2025[DNI],_VF2025[R2]),"70 DNC")</f>
        <v>18</v>
      </c>
      <c r="R62" s="13">
        <f>IFERROR(_xlfn.XLOOKUP(Selectivo[[#This Row],[DNI]],_VF2025[DNI],_VF2025[R3]),"70 DNC")</f>
        <v>26</v>
      </c>
      <c r="S62" s="13">
        <f>IFERROR(_xlfn.XLOOKUP(Selectivo[[#This Row],[DNI]],_VF2025[DNI],_VF2025[R4]),"70 DNC")</f>
        <v>20</v>
      </c>
      <c r="T62" s="13">
        <f>IFERROR(_xlfn.XLOOKUP(Selectivo[[#This Row],[DNI]],_VF2025[DNI],_VF2025[R5]),"70 DNC")</f>
        <v>14</v>
      </c>
      <c r="U62" s="13">
        <f>IFERROR(_xlfn.XLOOKUP(Selectivo[[#This Row],[DNI]],_VF2025[DNI],_VF2025[R6]),"70 DNC")</f>
        <v>30</v>
      </c>
      <c r="V62" s="13" t="str" cm="1">
        <f t="array" ref="V62">IFERROR(_xlfn.XLOOKUP(Selectivo[[#This Row],[Vela]],_xlfn.NUMBERVALUE(SIL25v2[Sail '#]),SIL25v2[1]),"90 DNC")</f>
        <v>31</v>
      </c>
      <c r="W62" s="13" t="str" cm="1">
        <f t="array" ref="W62">IFERROR(_xlfn.XLOOKUP(Selectivo[[#This Row],[Vela]],_xlfn.NUMBERVALUE(SIL25v2[Sail '#]),SIL25v2[2]),"90 DNC")</f>
        <v>23</v>
      </c>
      <c r="X62" s="12" t="str" cm="1">
        <f t="array" ref="X62">IFERROR(_xlfn.XLOOKUP(Selectivo[[#This Row],[Vela]],_xlfn.NUMBERVALUE(SIL25v2[Sail '#]),SIL25v2[3]),"90 DNC")</f>
        <v>89 BFD</v>
      </c>
      <c r="Y62" s="13" t="str" cm="1">
        <f t="array" ref="Y62">IFERROR(_xlfn.XLOOKUP(Selectivo[[#This Row],[Vela]],_xlfn.NUMBERVALUE(SIL25v2[Sail '#]),SIL25v2[4]),"90 DNC")</f>
        <v>19 DPI</v>
      </c>
      <c r="Z62" s="12" t="str" cm="1">
        <f t="array" ref="Z62">IFERROR(_xlfn.XLOOKUP(Selectivo[[#This Row],[Vela]],_xlfn.NUMBERVALUE(SIL25v2[Sail '#]),SIL25v2[5]),"90 DNC")</f>
        <v>54</v>
      </c>
      <c r="AA62" s="13" t="str" cm="1">
        <f t="array" ref="AA62">IFERROR(_xlfn.XLOOKUP(Selectivo[[#This Row],[Vela]],_xlfn.NUMBERVALUE(SIL25v2[Sail '#]),SIL25v2[6]),"90 DNC")</f>
        <v>24</v>
      </c>
      <c r="AB62" s="8" cm="1">
        <f t="array" ref="AB62">SUM(IFERROR(VALUE(LEFT(Regatas, FIND(" ",Regatas&amp; " ") - 1)), 0))</f>
        <v>586</v>
      </c>
      <c r="AC62" s="9" cm="1">
        <f t="array" ref="AC6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408</v>
      </c>
      <c r="AD62" s="6">
        <f>SMALL(RegatasN,1)</f>
        <v>9</v>
      </c>
      <c r="AE62" s="6">
        <f>SMALL(RegatasN,2)</f>
        <v>12</v>
      </c>
      <c r="AF62" s="6">
        <f>SMALL(RegatasN,3)</f>
        <v>14</v>
      </c>
      <c r="AG62" s="5" cm="1">
        <f t="array" ref="AG62">COUNTIF(Regatas,SMALL(Regatas,1))</f>
        <v>1</v>
      </c>
      <c r="AH62" s="6" cm="1">
        <f t="array" ref="AH62">VALUE(LEFT(INDEX(Selectivo[#This Row],,MATCH(Selectivo[[#Headers],[Total]],Selectivo[#Headers],0)-1),SEARCH(" ",INDEX(Selectivo[#This Row],,MATCH(Selectivo[[#Headers],[Total]],Selectivo[#Headers],0)-1)&amp;" ")-1))</f>
        <v>24</v>
      </c>
    </row>
    <row r="63" spans="1:34" x14ac:dyDescent="0.25">
      <c r="A63">
        <v>52672616</v>
      </c>
      <c r="B63" s="10">
        <f>ROW()-ROW(Selectivo[[#Headers],[Pos]])</f>
        <v>57</v>
      </c>
      <c r="C63" s="5">
        <v>3892</v>
      </c>
      <c r="D63" t="s">
        <v>641</v>
      </c>
      <c r="E63" t="s">
        <v>7</v>
      </c>
      <c r="F63" s="13">
        <f>IFERROR(_xlfn.XLOOKUP(Selectivo[[#This Row],[DNI]],_SIY[DNI],_SIY[R1]),"78 DNC")</f>
        <v>20</v>
      </c>
      <c r="G63" s="13">
        <f>IFERROR(_xlfn.XLOOKUP(Selectivo[[#This Row],[DNI]],_SIY[DNI],_SIY[R2]),"78 DNC")</f>
        <v>29</v>
      </c>
      <c r="H63" s="13">
        <f>IFERROR(_xlfn.XLOOKUP(Selectivo[[#This Row],[DNI]],_SIY[DNI],_SIY[R3]),"78 DNC")</f>
        <v>29</v>
      </c>
      <c r="I63" s="13">
        <f>IFERROR(_xlfn.XLOOKUP(Selectivo[[#This Row],[DNI]],_SIY[DNI],_SIY[R4]),"78 DNC")</f>
        <v>12</v>
      </c>
      <c r="J63" s="13">
        <f>IFERROR(_xlfn.XLOOKUP(Selectivo[[#This Row],[DNI]],_SIY[DNI],_SIY[R5]),"78 DNC")</f>
        <v>10</v>
      </c>
      <c r="K63" s="13">
        <f>IFERROR(_xlfn.XLOOKUP(Selectivo[[#This Row],[DNI]],_SIY[DNI],_SIY[R6]),"78 DNC")</f>
        <v>26</v>
      </c>
      <c r="L63" s="13">
        <f>IFERROR(_xlfn.XLOOKUP(Selectivo[[#This Row],[DNI]],_SIY[DNI],_SIY[R7]),"78 DNC")</f>
        <v>19</v>
      </c>
      <c r="M63" s="12" t="str">
        <f>IFERROR(_xlfn.XLOOKUP(Selectivo[[#This Row],[DNI]],_SIY[DNI],_SIY[R8]),"78 DNC")</f>
        <v>77 BFD</v>
      </c>
      <c r="N63" s="13">
        <f>IFERROR(_xlfn.XLOOKUP(Selectivo[[#This Row],[DNI]],_SIY[DNI],_SIY[R9]),"78 DNC")</f>
        <v>13</v>
      </c>
      <c r="O63" s="13">
        <f>IFERROR(_xlfn.XLOOKUP(Selectivo[[#This Row],[DNI]],_SIY[DNI],_SIY[R10]),"78 DNC")</f>
        <v>18</v>
      </c>
      <c r="P63" s="13">
        <f>IFERROR(_xlfn.XLOOKUP(Selectivo[[#This Row],[DNI]],_VF2025[DNI],_VF2025[R1]),"70 DNC")</f>
        <v>20</v>
      </c>
      <c r="Q63" s="13">
        <f>IFERROR(_xlfn.XLOOKUP(Selectivo[[#This Row],[DNI]],_VF2025[DNI],_VF2025[R2]),"70 DNC")</f>
        <v>30</v>
      </c>
      <c r="R63" s="12">
        <f>IFERROR(_xlfn.XLOOKUP(Selectivo[[#This Row],[DNI]],_VF2025[DNI],_VF2025[R3]),"70 DNC")</f>
        <v>42</v>
      </c>
      <c r="S63" s="13">
        <f>IFERROR(_xlfn.XLOOKUP(Selectivo[[#This Row],[DNI]],_VF2025[DNI],_VF2025[R4]),"70 DNC")</f>
        <v>12</v>
      </c>
      <c r="T63" s="13">
        <f>IFERROR(_xlfn.XLOOKUP(Selectivo[[#This Row],[DNI]],_VF2025[DNI],_VF2025[R5]),"70 DNC")</f>
        <v>24</v>
      </c>
      <c r="U63" s="13">
        <f>IFERROR(_xlfn.XLOOKUP(Selectivo[[#This Row],[DNI]],_VF2025[DNI],_VF2025[R6]),"70 DNC")</f>
        <v>11</v>
      </c>
      <c r="V63" s="12" t="str" cm="1">
        <f t="array" ref="V63">IFERROR(_xlfn.XLOOKUP(Selectivo[[#This Row],[Vela]],_xlfn.NUMBERVALUE(SIL25v2[Sail '#]),SIL25v2[1]),"90 DNC")</f>
        <v>61</v>
      </c>
      <c r="W63" s="13" t="str" cm="1">
        <f t="array" ref="W63">IFERROR(_xlfn.XLOOKUP(Selectivo[[#This Row],[Vela]],_xlfn.NUMBERVALUE(SIL25v2[Sail '#]),SIL25v2[2]),"90 DNC")</f>
        <v>28</v>
      </c>
      <c r="X63" s="13" t="str" cm="1">
        <f t="array" ref="X63">IFERROR(_xlfn.XLOOKUP(Selectivo[[#This Row],[Vela]],_xlfn.NUMBERVALUE(SIL25v2[Sail '#]),SIL25v2[3]),"90 DNC")</f>
        <v>28</v>
      </c>
      <c r="Y63" s="13" t="str" cm="1">
        <f t="array" ref="Y63">IFERROR(_xlfn.XLOOKUP(Selectivo[[#This Row],[Vela]],_xlfn.NUMBERVALUE(SIL25v2[Sail '#]),SIL25v2[4]),"90 DNC")</f>
        <v>27</v>
      </c>
      <c r="Z63" s="13" t="str" cm="1">
        <f t="array" ref="Z63">IFERROR(_xlfn.XLOOKUP(Selectivo[[#This Row],[Vela]],_xlfn.NUMBERVALUE(SIL25v2[Sail '#]),SIL25v2[5]),"90 DNC")</f>
        <v>23</v>
      </c>
      <c r="AA63" s="13" t="str" cm="1">
        <f t="array" ref="AA63">IFERROR(_xlfn.XLOOKUP(Selectivo[[#This Row],[Vela]],_xlfn.NUMBERVALUE(SIL25v2[Sail '#]),SIL25v2[6]),"90 DNC")</f>
        <v>29</v>
      </c>
      <c r="AB63" s="8" cm="1">
        <f t="array" ref="AB63">SUM(IFERROR(VALUE(LEFT(Regatas, FIND(" ",Regatas&amp; " ") - 1)), 0))</f>
        <v>588</v>
      </c>
      <c r="AC63" s="9" cm="1">
        <f t="array" ref="AC6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408</v>
      </c>
      <c r="AD63" s="6">
        <f>SMALL(RegatasN,1)</f>
        <v>10</v>
      </c>
      <c r="AE63" s="6">
        <f>SMALL(RegatasN,2)</f>
        <v>11</v>
      </c>
      <c r="AF63" s="6">
        <f>SMALL(RegatasN,3)</f>
        <v>12</v>
      </c>
      <c r="AG63" s="5" cm="1">
        <f t="array" ref="AG63">COUNTIF(Regatas,SMALL(Regatas,1))</f>
        <v>1</v>
      </c>
      <c r="AH63" s="6" cm="1">
        <f t="array" ref="AH63">VALUE(LEFT(INDEX(Selectivo[#This Row],,MATCH(Selectivo[[#Headers],[Total]],Selectivo[#Headers],0)-1),SEARCH(" ",INDEX(Selectivo[#This Row],,MATCH(Selectivo[[#Headers],[Total]],Selectivo[#Headers],0)-1)&amp;" ")-1))</f>
        <v>29</v>
      </c>
    </row>
    <row r="64" spans="1:34" x14ac:dyDescent="0.25">
      <c r="A64">
        <v>50349144</v>
      </c>
      <c r="B64" s="10">
        <f>ROW()-ROW(Selectivo[[#Headers],[Pos]])</f>
        <v>58</v>
      </c>
      <c r="C64" s="5">
        <v>3989</v>
      </c>
      <c r="D64" t="s">
        <v>745</v>
      </c>
      <c r="E64" t="s">
        <v>22</v>
      </c>
      <c r="F64" s="13">
        <f>IFERROR(_xlfn.XLOOKUP(Selectivo[[#This Row],[DNI]],_SIY[DNI],_SIY[R1]),"78 DNC")</f>
        <v>2</v>
      </c>
      <c r="G64" s="13">
        <f>IFERROR(_xlfn.XLOOKUP(Selectivo[[#This Row],[DNI]],_SIY[DNI],_SIY[R2]),"78 DNC")</f>
        <v>5</v>
      </c>
      <c r="H64" s="13">
        <f>IFERROR(_xlfn.XLOOKUP(Selectivo[[#This Row],[DNI]],_SIY[DNI],_SIY[R3]),"78 DNC")</f>
        <v>9</v>
      </c>
      <c r="I64" s="13" t="str">
        <f>IFERROR(_xlfn.XLOOKUP(Selectivo[[#This Row],[DNI]],_SIY[DNI],_SIY[R4]),"78 DNC")</f>
        <v>77 UFD</v>
      </c>
      <c r="J64" s="13">
        <f>IFERROR(_xlfn.XLOOKUP(Selectivo[[#This Row],[DNI]],_SIY[DNI],_SIY[R5]),"78 DNC")</f>
        <v>3</v>
      </c>
      <c r="K64" s="13">
        <f>IFERROR(_xlfn.XLOOKUP(Selectivo[[#This Row],[DNI]],_SIY[DNI],_SIY[R6]),"78 DNC")</f>
        <v>3</v>
      </c>
      <c r="L64" s="13">
        <f>IFERROR(_xlfn.XLOOKUP(Selectivo[[#This Row],[DNI]],_SIY[DNI],_SIY[R7]),"78 DNC")</f>
        <v>2</v>
      </c>
      <c r="M64" s="13">
        <f>IFERROR(_xlfn.XLOOKUP(Selectivo[[#This Row],[DNI]],_SIY[DNI],_SIY[R8]),"78 DNC")</f>
        <v>16</v>
      </c>
      <c r="N64" s="13">
        <f>IFERROR(_xlfn.XLOOKUP(Selectivo[[#This Row],[DNI]],_SIY[DNI],_SIY[R9]),"78 DNC")</f>
        <v>5</v>
      </c>
      <c r="O64" s="13">
        <f>IFERROR(_xlfn.XLOOKUP(Selectivo[[#This Row],[DNI]],_SIY[DNI],_SIY[R10]),"78 DNC")</f>
        <v>8</v>
      </c>
      <c r="P64" s="13" t="str">
        <f>IFERROR(_xlfn.XLOOKUP(Selectivo[[#This Row],[DNI]],_VF2025[DNI],_VF2025[R1]),"70 DNC")</f>
        <v>70 UFD</v>
      </c>
      <c r="Q64" s="13">
        <f>IFERROR(_xlfn.XLOOKUP(Selectivo[[#This Row],[DNI]],_VF2025[DNI],_VF2025[R2]),"70 DNC")</f>
        <v>10</v>
      </c>
      <c r="R64" s="13">
        <f>IFERROR(_xlfn.XLOOKUP(Selectivo[[#This Row],[DNI]],_VF2025[DNI],_VF2025[R3]),"70 DNC")</f>
        <v>17</v>
      </c>
      <c r="S64" s="13" t="str">
        <f>IFERROR(_xlfn.XLOOKUP(Selectivo[[#This Row],[DNI]],_VF2025[DNI],_VF2025[R4]),"70 DNC")</f>
        <v>35 RDG</v>
      </c>
      <c r="T64" s="13" t="str">
        <f>IFERROR(_xlfn.XLOOKUP(Selectivo[[#This Row],[DNI]],_VF2025[DNI],_VF2025[R5]),"70 DNC")</f>
        <v>70 BFD</v>
      </c>
      <c r="U64" s="13">
        <f>IFERROR(_xlfn.XLOOKUP(Selectivo[[#This Row],[DNI]],_VF2025[DNI],_VF2025[R6]),"70 DNC")</f>
        <v>6</v>
      </c>
      <c r="V64" s="13" t="str" cm="1">
        <f t="array" ref="V64">IFERROR(_xlfn.XLOOKUP(Selectivo[[#This Row],[Vela]],_xlfn.NUMBERVALUE(SIL25v2[Sail '#]),SIL25v2[1]),"90 DNC")</f>
        <v>15</v>
      </c>
      <c r="W64" s="13" t="str" cm="1">
        <f t="array" ref="W64">IFERROR(_xlfn.XLOOKUP(Selectivo[[#This Row],[Vela]],_xlfn.NUMBERVALUE(SIL25v2[Sail '#]),SIL25v2[2]),"90 DNC")</f>
        <v>36</v>
      </c>
      <c r="X64" s="13" t="str" cm="1">
        <f t="array" ref="X64">IFERROR(_xlfn.XLOOKUP(Selectivo[[#This Row],[Vela]],_xlfn.NUMBERVALUE(SIL25v2[Sail '#]),SIL25v2[3]),"90 DNC")</f>
        <v>23</v>
      </c>
      <c r="Y64" s="12" t="str" cm="1">
        <f t="array" ref="Y64">IFERROR(_xlfn.XLOOKUP(Selectivo[[#This Row],[Vela]],_xlfn.NUMBERVALUE(SIL25v2[Sail '#]),SIL25v2[4]),"90 DNC")</f>
        <v>89 DNS</v>
      </c>
      <c r="Z64" s="12" t="str" cm="1">
        <f t="array" ref="Z64">IFERROR(_xlfn.XLOOKUP(Selectivo[[#This Row],[Vela]],_xlfn.NUMBERVALUE(SIL25v2[Sail '#]),SIL25v2[5]),"90 DNC")</f>
        <v>89 DNS</v>
      </c>
      <c r="AA64" s="12" t="str" cm="1">
        <f t="array" ref="AA64">IFERROR(_xlfn.XLOOKUP(Selectivo[[#This Row],[Vela]],_xlfn.NUMBERVALUE(SIL25v2[Sail '#]),SIL25v2[6]),"90 DNC")</f>
        <v>89 BFD</v>
      </c>
      <c r="AB64" s="8" cm="1">
        <f t="array" ref="AB64">SUM(IFERROR(VALUE(LEFT(Regatas, FIND(" ",Regatas&amp; " ") - 1)), 0))</f>
        <v>679</v>
      </c>
      <c r="AC64" s="9" cm="1">
        <f t="array" ref="AC6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412</v>
      </c>
      <c r="AD64" s="6">
        <f>SMALL(RegatasN,1)</f>
        <v>2</v>
      </c>
      <c r="AE64" s="6">
        <f>SMALL(RegatasN,2)</f>
        <v>2</v>
      </c>
      <c r="AF64" s="6">
        <f>SMALL(RegatasN,3)</f>
        <v>3</v>
      </c>
      <c r="AG64" s="5" cm="1">
        <f t="array" ref="AG64">COUNTIF(Regatas,SMALL(Regatas,1))</f>
        <v>2</v>
      </c>
      <c r="AH64" s="6" cm="1">
        <f t="array" ref="AH64">VALUE(LEFT(INDEX(Selectivo[#This Row],,MATCH(Selectivo[[#Headers],[Total]],Selectivo[#Headers],0)-1),SEARCH(" ",INDEX(Selectivo[#This Row],,MATCH(Selectivo[[#Headers],[Total]],Selectivo[#Headers],0)-1)&amp;" ")-1))</f>
        <v>89</v>
      </c>
    </row>
    <row r="65" spans="1:34" x14ac:dyDescent="0.25">
      <c r="A65">
        <v>52003396</v>
      </c>
      <c r="B65" s="10">
        <f>ROW()-ROW(Selectivo[[#Headers],[Pos]])</f>
        <v>59</v>
      </c>
      <c r="C65" s="5">
        <v>4152</v>
      </c>
      <c r="D65" t="s">
        <v>585</v>
      </c>
      <c r="E65" t="s">
        <v>11</v>
      </c>
      <c r="F65" s="13">
        <f>IFERROR(_xlfn.XLOOKUP(Selectivo[[#This Row],[DNI]],_SIY[DNI],_SIY[R1]),"78 DNC")</f>
        <v>35</v>
      </c>
      <c r="G65" s="13">
        <f>IFERROR(_xlfn.XLOOKUP(Selectivo[[#This Row],[DNI]],_SIY[DNI],_SIY[R2]),"78 DNC")</f>
        <v>28</v>
      </c>
      <c r="H65" s="13">
        <f>IFERROR(_xlfn.XLOOKUP(Selectivo[[#This Row],[DNI]],_SIY[DNI],_SIY[R3]),"78 DNC")</f>
        <v>14</v>
      </c>
      <c r="I65" s="13">
        <f>IFERROR(_xlfn.XLOOKUP(Selectivo[[#This Row],[DNI]],_SIY[DNI],_SIY[R4]),"78 DNC")</f>
        <v>9</v>
      </c>
      <c r="J65" s="12">
        <f>IFERROR(_xlfn.XLOOKUP(Selectivo[[#This Row],[DNI]],_SIY[DNI],_SIY[R5]),"78 DNC")</f>
        <v>38</v>
      </c>
      <c r="K65" s="13">
        <f>IFERROR(_xlfn.XLOOKUP(Selectivo[[#This Row],[DNI]],_SIY[DNI],_SIY[R6]),"78 DNC")</f>
        <v>23</v>
      </c>
      <c r="L65" s="13">
        <f>IFERROR(_xlfn.XLOOKUP(Selectivo[[#This Row],[DNI]],_SIY[DNI],_SIY[R7]),"78 DNC")</f>
        <v>35</v>
      </c>
      <c r="M65" s="13">
        <f>IFERROR(_xlfn.XLOOKUP(Selectivo[[#This Row],[DNI]],_SIY[DNI],_SIY[R8]),"78 DNC")</f>
        <v>9</v>
      </c>
      <c r="N65" s="12">
        <f>IFERROR(_xlfn.XLOOKUP(Selectivo[[#This Row],[DNI]],_SIY[DNI],_SIY[R9]),"78 DNC")</f>
        <v>45</v>
      </c>
      <c r="O65" s="13">
        <f>IFERROR(_xlfn.XLOOKUP(Selectivo[[#This Row],[DNI]],_SIY[DNI],_SIY[R10]),"78 DNC")</f>
        <v>23</v>
      </c>
      <c r="P65" s="13">
        <f>IFERROR(_xlfn.XLOOKUP(Selectivo[[#This Row],[DNI]],_VF2025[DNI],_VF2025[R1]),"70 DNC")</f>
        <v>22</v>
      </c>
      <c r="Q65" s="12">
        <f>IFERROR(_xlfn.XLOOKUP(Selectivo[[#This Row],[DNI]],_VF2025[DNI],_VF2025[R2]),"70 DNC")</f>
        <v>46</v>
      </c>
      <c r="R65" s="13">
        <f>IFERROR(_xlfn.XLOOKUP(Selectivo[[#This Row],[DNI]],_VF2025[DNI],_VF2025[R3]),"70 DNC")</f>
        <v>28</v>
      </c>
      <c r="S65" s="13">
        <f>IFERROR(_xlfn.XLOOKUP(Selectivo[[#This Row],[DNI]],_VF2025[DNI],_VF2025[R4]),"70 DNC")</f>
        <v>24</v>
      </c>
      <c r="T65" s="13">
        <f>IFERROR(_xlfn.XLOOKUP(Selectivo[[#This Row],[DNI]],_VF2025[DNI],_VF2025[R5]),"70 DNC")</f>
        <v>26</v>
      </c>
      <c r="U65" s="13">
        <f>IFERROR(_xlfn.XLOOKUP(Selectivo[[#This Row],[DNI]],_VF2025[DNI],_VF2025[R6]),"70 DNC")</f>
        <v>25</v>
      </c>
      <c r="V65" s="13" t="str" cm="1">
        <f t="array" ref="V65">IFERROR(_xlfn.XLOOKUP(Selectivo[[#This Row],[Vela]],_xlfn.NUMBERVALUE(SIL25v2[Sail '#]),SIL25v2[1]),"90 DNC")</f>
        <v>13</v>
      </c>
      <c r="W65" s="13" t="str" cm="1">
        <f t="array" ref="W65">IFERROR(_xlfn.XLOOKUP(Selectivo[[#This Row],[Vela]],_xlfn.NUMBERVALUE(SIL25v2[Sail '#]),SIL25v2[2]),"90 DNC")</f>
        <v>21</v>
      </c>
      <c r="X65" s="13" t="str" cm="1">
        <f t="array" ref="X65">IFERROR(_xlfn.XLOOKUP(Selectivo[[#This Row],[Vela]],_xlfn.NUMBERVALUE(SIL25v2[Sail '#]),SIL25v2[3]),"90 DNC")</f>
        <v>8</v>
      </c>
      <c r="Y65" s="13" t="str" cm="1">
        <f t="array" ref="Y65">IFERROR(_xlfn.XLOOKUP(Selectivo[[#This Row],[Vela]],_xlfn.NUMBERVALUE(SIL25v2[Sail '#]),SIL25v2[4]),"90 DNC")</f>
        <v>8</v>
      </c>
      <c r="Z65" s="13" t="str" cm="1">
        <f t="array" ref="Z65">IFERROR(_xlfn.XLOOKUP(Selectivo[[#This Row],[Vela]],_xlfn.NUMBERVALUE(SIL25v2[Sail '#]),SIL25v2[5]),"90 DNC")</f>
        <v>32</v>
      </c>
      <c r="AA65" s="13" t="str" cm="1">
        <f t="array" ref="AA65">IFERROR(_xlfn.XLOOKUP(Selectivo[[#This Row],[Vela]],_xlfn.NUMBERVALUE(SIL25v2[Sail '#]),SIL25v2[6]),"90 DNC")</f>
        <v>33</v>
      </c>
      <c r="AB65" s="8" cm="1">
        <f t="array" ref="AB65">SUM(IFERROR(VALUE(LEFT(Regatas, FIND(" ",Regatas&amp; " ") - 1)), 0))</f>
        <v>545</v>
      </c>
      <c r="AC65" s="9" cm="1">
        <f t="array" ref="AC6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416</v>
      </c>
      <c r="AD65" s="6">
        <f>SMALL(RegatasN,1)</f>
        <v>8</v>
      </c>
      <c r="AE65" s="6">
        <f>SMALL(RegatasN,2)</f>
        <v>8</v>
      </c>
      <c r="AF65" s="6">
        <f>SMALL(RegatasN,3)</f>
        <v>9</v>
      </c>
      <c r="AG65" s="5" cm="1">
        <f t="array" ref="AG65">COUNTIF(Regatas,SMALL(Regatas,1))</f>
        <v>2</v>
      </c>
      <c r="AH65" s="6" cm="1">
        <f t="array" ref="AH65">VALUE(LEFT(INDEX(Selectivo[#This Row],,MATCH(Selectivo[[#Headers],[Total]],Selectivo[#Headers],0)-1),SEARCH(" ",INDEX(Selectivo[#This Row],,MATCH(Selectivo[[#Headers],[Total]],Selectivo[#Headers],0)-1)&amp;" ")-1))</f>
        <v>33</v>
      </c>
    </row>
    <row r="66" spans="1:34" x14ac:dyDescent="0.25">
      <c r="A66">
        <v>51073305</v>
      </c>
      <c r="B66" s="10">
        <f>ROW()-ROW(Selectivo[[#Headers],[Pos]])</f>
        <v>60</v>
      </c>
      <c r="C66" s="5">
        <v>4028</v>
      </c>
      <c r="D66" t="s">
        <v>686</v>
      </c>
      <c r="E66" t="s">
        <v>7</v>
      </c>
      <c r="F66" s="13">
        <f>IFERROR(_xlfn.XLOOKUP(Selectivo[[#This Row],[DNI]],_SIY[DNI],_SIY[R1]),"78 DNC")</f>
        <v>19</v>
      </c>
      <c r="G66" s="13">
        <f>IFERROR(_xlfn.XLOOKUP(Selectivo[[#This Row],[DNI]],_SIY[DNI],_SIY[R2]),"78 DNC")</f>
        <v>16</v>
      </c>
      <c r="H66" s="13">
        <f>IFERROR(_xlfn.XLOOKUP(Selectivo[[#This Row],[DNI]],_SIY[DNI],_SIY[R3]),"78 DNC")</f>
        <v>14</v>
      </c>
      <c r="I66" s="13">
        <f>IFERROR(_xlfn.XLOOKUP(Selectivo[[#This Row],[DNI]],_SIY[DNI],_SIY[R4]),"78 DNC")</f>
        <v>9</v>
      </c>
      <c r="J66" s="13">
        <f>IFERROR(_xlfn.XLOOKUP(Selectivo[[#This Row],[DNI]],_SIY[DNI],_SIY[R5]),"78 DNC")</f>
        <v>14</v>
      </c>
      <c r="K66" s="13">
        <f>IFERROR(_xlfn.XLOOKUP(Selectivo[[#This Row],[DNI]],_SIY[DNI],_SIY[R6]),"78 DNC")</f>
        <v>32</v>
      </c>
      <c r="L66" s="13">
        <f>IFERROR(_xlfn.XLOOKUP(Selectivo[[#This Row],[DNI]],_SIY[DNI],_SIY[R7]),"78 DNC")</f>
        <v>15</v>
      </c>
      <c r="M66" s="13">
        <f>IFERROR(_xlfn.XLOOKUP(Selectivo[[#This Row],[DNI]],_SIY[DNI],_SIY[R8]),"78 DNC")</f>
        <v>24</v>
      </c>
      <c r="N66" s="13">
        <f>IFERROR(_xlfn.XLOOKUP(Selectivo[[#This Row],[DNI]],_SIY[DNI],_SIY[R9]),"78 DNC")</f>
        <v>18</v>
      </c>
      <c r="O66" s="13">
        <f>IFERROR(_xlfn.XLOOKUP(Selectivo[[#This Row],[DNI]],_SIY[DNI],_SIY[R10]),"78 DNC")</f>
        <v>14</v>
      </c>
      <c r="P66" s="12" t="str">
        <f>IFERROR(_xlfn.XLOOKUP(Selectivo[[#This Row],[DNI]],_VF2025[DNI],_VF2025[R1]),"70 DNC")</f>
        <v>70 DNF</v>
      </c>
      <c r="Q66" s="13">
        <f>IFERROR(_xlfn.XLOOKUP(Selectivo[[#This Row],[DNI]],_VF2025[DNI],_VF2025[R2]),"70 DNC")</f>
        <v>8</v>
      </c>
      <c r="R66" s="13">
        <f>IFERROR(_xlfn.XLOOKUP(Selectivo[[#This Row],[DNI]],_VF2025[DNI],_VF2025[R3]),"70 DNC")</f>
        <v>21</v>
      </c>
      <c r="S66" s="13">
        <f>IFERROR(_xlfn.XLOOKUP(Selectivo[[#This Row],[DNI]],_VF2025[DNI],_VF2025[R4]),"70 DNC")</f>
        <v>16</v>
      </c>
      <c r="T66" s="13">
        <f>IFERROR(_xlfn.XLOOKUP(Selectivo[[#This Row],[DNI]],_VF2025[DNI],_VF2025[R5]),"70 DNC")</f>
        <v>18</v>
      </c>
      <c r="U66" s="13">
        <f>IFERROR(_xlfn.XLOOKUP(Selectivo[[#This Row],[DNI]],_VF2025[DNI],_VF2025[R6]),"70 DNC")</f>
        <v>9</v>
      </c>
      <c r="V66" s="12" t="str" cm="1">
        <f t="array" ref="V66">IFERROR(_xlfn.XLOOKUP(Selectivo[[#This Row],[Vela]],_xlfn.NUMBERVALUE(SIL25v2[Sail '#]),SIL25v2[1]),"90 DNC")</f>
        <v>89 BFD</v>
      </c>
      <c r="W66" s="13" t="str" cm="1">
        <f t="array" ref="W66">IFERROR(_xlfn.XLOOKUP(Selectivo[[#This Row],[Vela]],_xlfn.NUMBERVALUE(SIL25v2[Sail '#]),SIL25v2[2]),"90 DNC")</f>
        <v>44</v>
      </c>
      <c r="X66" s="13" t="str" cm="1">
        <f t="array" ref="X66">IFERROR(_xlfn.XLOOKUP(Selectivo[[#This Row],[Vela]],_xlfn.NUMBERVALUE(SIL25v2[Sail '#]),SIL25v2[3]),"90 DNC")</f>
        <v>37</v>
      </c>
      <c r="Y66" s="13" t="str" cm="1">
        <f t="array" ref="Y66">IFERROR(_xlfn.XLOOKUP(Selectivo[[#This Row],[Vela]],_xlfn.NUMBERVALUE(SIL25v2[Sail '#]),SIL25v2[4]),"90 DNC")</f>
        <v>38</v>
      </c>
      <c r="Z66" s="13" t="str" cm="1">
        <f t="array" ref="Z66">IFERROR(_xlfn.XLOOKUP(Selectivo[[#This Row],[Vela]],_xlfn.NUMBERVALUE(SIL25v2[Sail '#]),SIL25v2[5]),"90 DNC")</f>
        <v>55</v>
      </c>
      <c r="AA66" s="12" t="str" cm="1">
        <f t="array" ref="AA66">IFERROR(_xlfn.XLOOKUP(Selectivo[[#This Row],[Vela]],_xlfn.NUMBERVALUE(SIL25v2[Sail '#]),SIL25v2[6]),"90 DNC")</f>
        <v>89 BFD</v>
      </c>
      <c r="AB66" s="8" cm="1">
        <f t="array" ref="AB66">SUM(IFERROR(VALUE(LEFT(Regatas, FIND(" ",Regatas&amp; " ") - 1)), 0))</f>
        <v>669</v>
      </c>
      <c r="AC66" s="9" cm="1">
        <f t="array" ref="AC6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421</v>
      </c>
      <c r="AD66" s="6">
        <f>SMALL(RegatasN,1)</f>
        <v>8</v>
      </c>
      <c r="AE66" s="6">
        <f>SMALL(RegatasN,2)</f>
        <v>9</v>
      </c>
      <c r="AF66" s="6">
        <f>SMALL(RegatasN,3)</f>
        <v>9</v>
      </c>
      <c r="AG66" s="5" cm="1">
        <f t="array" ref="AG66">COUNTIF(Regatas,SMALL(Regatas,1))</f>
        <v>1</v>
      </c>
      <c r="AH66" s="6" cm="1">
        <f t="array" ref="AH66">VALUE(LEFT(INDEX(Selectivo[#This Row],,MATCH(Selectivo[[#Headers],[Total]],Selectivo[#Headers],0)-1),SEARCH(" ",INDEX(Selectivo[#This Row],,MATCH(Selectivo[[#Headers],[Total]],Selectivo[#Headers],0)-1)&amp;" ")-1))</f>
        <v>89</v>
      </c>
    </row>
    <row r="67" spans="1:34" x14ac:dyDescent="0.25">
      <c r="A67">
        <v>50149607</v>
      </c>
      <c r="B67" s="10">
        <f>ROW()-ROW(Selectivo[[#Headers],[Pos]])</f>
        <v>61</v>
      </c>
      <c r="C67" s="5">
        <v>3986</v>
      </c>
      <c r="D67" t="s">
        <v>736</v>
      </c>
      <c r="E67" t="s">
        <v>31</v>
      </c>
      <c r="F67" s="13">
        <f>IFERROR(_xlfn.XLOOKUP(Selectivo[[#This Row],[DNI]],_SIY[DNI],_SIY[R1]),"78 DNC")</f>
        <v>21</v>
      </c>
      <c r="G67" s="13">
        <f>IFERROR(_xlfn.XLOOKUP(Selectivo[[#This Row],[DNI]],_SIY[DNI],_SIY[R2]),"78 DNC")</f>
        <v>17</v>
      </c>
      <c r="H67" s="13">
        <f>IFERROR(_xlfn.XLOOKUP(Selectivo[[#This Row],[DNI]],_SIY[DNI],_SIY[R3]),"78 DNC")</f>
        <v>18</v>
      </c>
      <c r="I67" s="13">
        <f>IFERROR(_xlfn.XLOOKUP(Selectivo[[#This Row],[DNI]],_SIY[DNI],_SIY[R4]),"78 DNC")</f>
        <v>8</v>
      </c>
      <c r="J67" s="12" t="str">
        <f>IFERROR(_xlfn.XLOOKUP(Selectivo[[#This Row],[DNI]],_SIY[DNI],_SIY[R5]),"78 DNC")</f>
        <v>77 UFD</v>
      </c>
      <c r="K67" s="13">
        <f>IFERROR(_xlfn.XLOOKUP(Selectivo[[#This Row],[DNI]],_SIY[DNI],_SIY[R6]),"78 DNC")</f>
        <v>10</v>
      </c>
      <c r="L67" s="13">
        <f>IFERROR(_xlfn.XLOOKUP(Selectivo[[#This Row],[DNI]],_SIY[DNI],_SIY[R7]),"78 DNC")</f>
        <v>18</v>
      </c>
      <c r="M67" s="13">
        <f>IFERROR(_xlfn.XLOOKUP(Selectivo[[#This Row],[DNI]],_SIY[DNI],_SIY[R8]),"78 DNC")</f>
        <v>6</v>
      </c>
      <c r="N67" s="13">
        <f>IFERROR(_xlfn.XLOOKUP(Selectivo[[#This Row],[DNI]],_SIY[DNI],_SIY[R9]),"78 DNC")</f>
        <v>30</v>
      </c>
      <c r="O67" s="13">
        <f>IFERROR(_xlfn.XLOOKUP(Selectivo[[#This Row],[DNI]],_SIY[DNI],_SIY[R10]),"78 DNC")</f>
        <v>9</v>
      </c>
      <c r="P67" s="13">
        <f>IFERROR(_xlfn.XLOOKUP(Selectivo[[#This Row],[DNI]],_VF2025[DNI],_VF2025[R1]),"70 DNC")</f>
        <v>32</v>
      </c>
      <c r="Q67" s="13">
        <f>IFERROR(_xlfn.XLOOKUP(Selectivo[[#This Row],[DNI]],_VF2025[DNI],_VF2025[R2]),"70 DNC")</f>
        <v>14</v>
      </c>
      <c r="R67" s="12" t="str">
        <f>IFERROR(_xlfn.XLOOKUP(Selectivo[[#This Row],[DNI]],_VF2025[DNI],_VF2025[R3]),"70 DNC")</f>
        <v>70 DSQ</v>
      </c>
      <c r="S67" s="13">
        <f>IFERROR(_xlfn.XLOOKUP(Selectivo[[#This Row],[DNI]],_VF2025[DNI],_VF2025[R4]),"70 DNC")</f>
        <v>18</v>
      </c>
      <c r="T67" s="13">
        <f>IFERROR(_xlfn.XLOOKUP(Selectivo[[#This Row],[DNI]],_VF2025[DNI],_VF2025[R5]),"70 DNC")</f>
        <v>11</v>
      </c>
      <c r="U67" s="13">
        <f>IFERROR(_xlfn.XLOOKUP(Selectivo[[#This Row],[DNI]],_VF2025[DNI],_VF2025[R6]),"70 DNC")</f>
        <v>12</v>
      </c>
      <c r="V67" s="13" t="str" cm="1">
        <f t="array" ref="V67">IFERROR(_xlfn.XLOOKUP(Selectivo[[#This Row],[Vela]],_xlfn.NUMBERVALUE(SIL25v2[Sail '#]),SIL25v2[1]),"90 DNC")</f>
        <v>33</v>
      </c>
      <c r="W67" s="13" t="str" cm="1">
        <f t="array" ref="W67">IFERROR(_xlfn.XLOOKUP(Selectivo[[#This Row],[Vela]],_xlfn.NUMBERVALUE(SIL25v2[Sail '#]),SIL25v2[2]),"90 DNC")</f>
        <v>57</v>
      </c>
      <c r="X67" s="12" t="str" cm="1">
        <f t="array" ref="X67">IFERROR(_xlfn.XLOOKUP(Selectivo[[#This Row],[Vela]],_xlfn.NUMBERVALUE(SIL25v2[Sail '#]),SIL25v2[3]),"90 DNC")</f>
        <v>89 BFD</v>
      </c>
      <c r="Y67" s="13" t="str" cm="1">
        <f t="array" ref="Y67">IFERROR(_xlfn.XLOOKUP(Selectivo[[#This Row],[Vela]],_xlfn.NUMBERVALUE(SIL25v2[Sail '#]),SIL25v2[4]),"90 DNC")</f>
        <v>36</v>
      </c>
      <c r="Z67" s="13" t="str" cm="1">
        <f t="array" ref="Z67">IFERROR(_xlfn.XLOOKUP(Selectivo[[#This Row],[Vela]],_xlfn.NUMBERVALUE(SIL25v2[Sail '#]),SIL25v2[5]),"90 DNC")</f>
        <v>37</v>
      </c>
      <c r="AA67" s="13" t="str" cm="1">
        <f t="array" ref="AA67">IFERROR(_xlfn.XLOOKUP(Selectivo[[#This Row],[Vela]],_xlfn.NUMBERVALUE(SIL25v2[Sail '#]),SIL25v2[6]),"90 DNC")</f>
        <v>35</v>
      </c>
      <c r="AB67" s="8" cm="1">
        <f t="array" ref="AB67">SUM(IFERROR(VALUE(LEFT(Regatas, FIND(" ",Regatas&amp; " ") - 1)), 0))</f>
        <v>658</v>
      </c>
      <c r="AC67" s="9" cm="1">
        <f t="array" ref="AC6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422</v>
      </c>
      <c r="AD67" s="6">
        <f>SMALL(RegatasN,1)</f>
        <v>6</v>
      </c>
      <c r="AE67" s="6">
        <f>SMALL(RegatasN,2)</f>
        <v>8</v>
      </c>
      <c r="AF67" s="6">
        <f>SMALL(RegatasN,3)</f>
        <v>9</v>
      </c>
      <c r="AG67" s="5" cm="1">
        <f t="array" ref="AG67">COUNTIF(Regatas,SMALL(Regatas,1))</f>
        <v>1</v>
      </c>
      <c r="AH67" s="6" cm="1">
        <f t="array" ref="AH67">VALUE(LEFT(INDEX(Selectivo[#This Row],,MATCH(Selectivo[[#Headers],[Total]],Selectivo[#Headers],0)-1),SEARCH(" ",INDEX(Selectivo[#This Row],,MATCH(Selectivo[[#Headers],[Total]],Selectivo[#Headers],0)-1)&amp;" ")-1))</f>
        <v>35</v>
      </c>
    </row>
    <row r="68" spans="1:34" x14ac:dyDescent="0.25">
      <c r="A68">
        <v>51429146</v>
      </c>
      <c r="B68" s="10">
        <f>ROW()-ROW(Selectivo[[#Headers],[Pos]])</f>
        <v>62</v>
      </c>
      <c r="C68" s="5">
        <v>4176</v>
      </c>
      <c r="D68" t="s">
        <v>739</v>
      </c>
      <c r="E68" t="s">
        <v>16</v>
      </c>
      <c r="F68" s="13">
        <f>IFERROR(_xlfn.XLOOKUP(Selectivo[[#This Row],[DNI]],_SIY[DNI],_SIY[R1]),"78 DNC")</f>
        <v>17</v>
      </c>
      <c r="G68" s="13">
        <f>IFERROR(_xlfn.XLOOKUP(Selectivo[[#This Row],[DNI]],_SIY[DNI],_SIY[R2]),"78 DNC")</f>
        <v>18</v>
      </c>
      <c r="H68" s="13">
        <f>IFERROR(_xlfn.XLOOKUP(Selectivo[[#This Row],[DNI]],_SIY[DNI],_SIY[R3]),"78 DNC")</f>
        <v>7</v>
      </c>
      <c r="I68" s="13">
        <f>IFERROR(_xlfn.XLOOKUP(Selectivo[[#This Row],[DNI]],_SIY[DNI],_SIY[R4]),"78 DNC")</f>
        <v>12</v>
      </c>
      <c r="J68" s="13">
        <f>IFERROR(_xlfn.XLOOKUP(Selectivo[[#This Row],[DNI]],_SIY[DNI],_SIY[R5]),"78 DNC")</f>
        <v>20</v>
      </c>
      <c r="K68" s="13">
        <f>IFERROR(_xlfn.XLOOKUP(Selectivo[[#This Row],[DNI]],_SIY[DNI],_SIY[R6]),"78 DNC")</f>
        <v>21</v>
      </c>
      <c r="L68" s="13">
        <f>IFERROR(_xlfn.XLOOKUP(Selectivo[[#This Row],[DNI]],_SIY[DNI],_SIY[R7]),"78 DNC")</f>
        <v>13</v>
      </c>
      <c r="M68" s="13">
        <f>IFERROR(_xlfn.XLOOKUP(Selectivo[[#This Row],[DNI]],_SIY[DNI],_SIY[R8]),"78 DNC")</f>
        <v>9</v>
      </c>
      <c r="N68" s="12" t="str">
        <f>IFERROR(_xlfn.XLOOKUP(Selectivo[[#This Row],[DNI]],_SIY[DNI],_SIY[R9]),"78 DNC")</f>
        <v>77 DNC</v>
      </c>
      <c r="O68" s="13">
        <f>IFERROR(_xlfn.XLOOKUP(Selectivo[[#This Row],[DNI]],_SIY[DNI],_SIY[R10]),"78 DNC")</f>
        <v>17</v>
      </c>
      <c r="P68" s="13">
        <f>IFERROR(_xlfn.XLOOKUP(Selectivo[[#This Row],[DNI]],_VF2025[DNI],_VF2025[R1]),"70 DNC")</f>
        <v>18</v>
      </c>
      <c r="Q68" s="13">
        <f>IFERROR(_xlfn.XLOOKUP(Selectivo[[#This Row],[DNI]],_VF2025[DNI],_VF2025[R2]),"70 DNC")</f>
        <v>38</v>
      </c>
      <c r="R68" s="13">
        <f>IFERROR(_xlfn.XLOOKUP(Selectivo[[#This Row],[DNI]],_VF2025[DNI],_VF2025[R3]),"70 DNC")</f>
        <v>15</v>
      </c>
      <c r="S68" s="13">
        <f>IFERROR(_xlfn.XLOOKUP(Selectivo[[#This Row],[DNI]],_VF2025[DNI],_VF2025[R4]),"70 DNC")</f>
        <v>15</v>
      </c>
      <c r="T68" s="13">
        <f>IFERROR(_xlfn.XLOOKUP(Selectivo[[#This Row],[DNI]],_VF2025[DNI],_VF2025[R5]),"70 DNC")</f>
        <v>28</v>
      </c>
      <c r="U68" s="12" t="str">
        <f>IFERROR(_xlfn.XLOOKUP(Selectivo[[#This Row],[DNI]],_VF2025[DNI],_VF2025[R6]),"70 DNC")</f>
        <v>70 BFD</v>
      </c>
      <c r="V68" s="13" t="str" cm="1">
        <f t="array" ref="V68">IFERROR(_xlfn.XLOOKUP(Selectivo[[#This Row],[Vela]],_xlfn.NUMBERVALUE(SIL25v2[Sail '#]),SIL25v2[1]),"90 DNC")</f>
        <v>28</v>
      </c>
      <c r="W68" s="13" t="str" cm="1">
        <f t="array" ref="W68">IFERROR(_xlfn.XLOOKUP(Selectivo[[#This Row],[Vela]],_xlfn.NUMBERVALUE(SIL25v2[Sail '#]),SIL25v2[2]),"90 DNC")</f>
        <v>65</v>
      </c>
      <c r="X68" s="13" t="str" cm="1">
        <f t="array" ref="X68">IFERROR(_xlfn.XLOOKUP(Selectivo[[#This Row],[Vela]],_xlfn.NUMBERVALUE(SIL25v2[Sail '#]),SIL25v2[3]),"90 DNC")</f>
        <v>38</v>
      </c>
      <c r="Y68" s="13" t="str" cm="1">
        <f t="array" ref="Y68">IFERROR(_xlfn.XLOOKUP(Selectivo[[#This Row],[Vela]],_xlfn.NUMBERVALUE(SIL25v2[Sail '#]),SIL25v2[4]),"90 DNC")</f>
        <v>28</v>
      </c>
      <c r="Z68" s="12" t="str" cm="1">
        <f t="array" ref="Z68">IFERROR(_xlfn.XLOOKUP(Selectivo[[#This Row],[Vela]],_xlfn.NUMBERVALUE(SIL25v2[Sail '#]),SIL25v2[5]),"90 DNC")</f>
        <v>89 BFD</v>
      </c>
      <c r="AA68" s="13" t="str" cm="1">
        <f t="array" ref="AA68">IFERROR(_xlfn.XLOOKUP(Selectivo[[#This Row],[Vela]],_xlfn.NUMBERVALUE(SIL25v2[Sail '#]),SIL25v2[6]),"90 DNC")</f>
        <v>16</v>
      </c>
      <c r="AB68" s="8" cm="1">
        <f t="array" ref="AB68">SUM(IFERROR(VALUE(LEFT(Regatas, FIND(" ",Regatas&amp; " ") - 1)), 0))</f>
        <v>659</v>
      </c>
      <c r="AC68" s="9" cm="1">
        <f t="array" ref="AC6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423</v>
      </c>
      <c r="AD68" s="6">
        <f>SMALL(RegatasN,1)</f>
        <v>7</v>
      </c>
      <c r="AE68" s="6">
        <f>SMALL(RegatasN,2)</f>
        <v>9</v>
      </c>
      <c r="AF68" s="6">
        <f>SMALL(RegatasN,3)</f>
        <v>12</v>
      </c>
      <c r="AG68" s="5" cm="1">
        <f t="array" ref="AG68">COUNTIF(Regatas,SMALL(Regatas,1))</f>
        <v>1</v>
      </c>
      <c r="AH68" s="6" cm="1">
        <f t="array" ref="AH68">VALUE(LEFT(INDEX(Selectivo[#This Row],,MATCH(Selectivo[[#Headers],[Total]],Selectivo[#Headers],0)-1),SEARCH(" ",INDEX(Selectivo[#This Row],,MATCH(Selectivo[[#Headers],[Total]],Selectivo[#Headers],0)-1)&amp;" ")-1))</f>
        <v>16</v>
      </c>
    </row>
    <row r="69" spans="1:34" x14ac:dyDescent="0.25">
      <c r="A69">
        <v>51572732</v>
      </c>
      <c r="B69" s="10">
        <f>ROW()-ROW(Selectivo[[#Headers],[Pos]])</f>
        <v>63</v>
      </c>
      <c r="C69" s="5">
        <v>4057</v>
      </c>
      <c r="D69" t="s">
        <v>697</v>
      </c>
      <c r="E69" t="s">
        <v>26</v>
      </c>
      <c r="F69" s="13">
        <f>IFERROR(_xlfn.XLOOKUP(Selectivo[[#This Row],[DNI]],_SIY[DNI],_SIY[R1]),"78 DNC")</f>
        <v>10</v>
      </c>
      <c r="G69" s="13">
        <f>IFERROR(_xlfn.XLOOKUP(Selectivo[[#This Row],[DNI]],_SIY[DNI],_SIY[R2]),"78 DNC")</f>
        <v>15</v>
      </c>
      <c r="H69" s="13">
        <f>IFERROR(_xlfn.XLOOKUP(Selectivo[[#This Row],[DNI]],_SIY[DNI],_SIY[R3]),"78 DNC")</f>
        <v>12</v>
      </c>
      <c r="I69" s="13">
        <f>IFERROR(_xlfn.XLOOKUP(Selectivo[[#This Row],[DNI]],_SIY[DNI],_SIY[R4]),"78 DNC")</f>
        <v>10</v>
      </c>
      <c r="J69" s="13">
        <f>IFERROR(_xlfn.XLOOKUP(Selectivo[[#This Row],[DNI]],_SIY[DNI],_SIY[R5]),"78 DNC")</f>
        <v>10</v>
      </c>
      <c r="K69" s="13">
        <f>IFERROR(_xlfn.XLOOKUP(Selectivo[[#This Row],[DNI]],_SIY[DNI],_SIY[R6]),"78 DNC")</f>
        <v>7</v>
      </c>
      <c r="L69" s="13">
        <f>IFERROR(_xlfn.XLOOKUP(Selectivo[[#This Row],[DNI]],_SIY[DNI],_SIY[R7]),"78 DNC")</f>
        <v>14</v>
      </c>
      <c r="M69" s="13">
        <f>IFERROR(_xlfn.XLOOKUP(Selectivo[[#This Row],[DNI]],_SIY[DNI],_SIY[R8]),"78 DNC")</f>
        <v>4</v>
      </c>
      <c r="N69" s="13">
        <f>IFERROR(_xlfn.XLOOKUP(Selectivo[[#This Row],[DNI]],_SIY[DNI],_SIY[R9]),"78 DNC")</f>
        <v>9</v>
      </c>
      <c r="O69" s="13">
        <f>IFERROR(_xlfn.XLOOKUP(Selectivo[[#This Row],[DNI]],_SIY[DNI],_SIY[R10]),"78 DNC")</f>
        <v>21</v>
      </c>
      <c r="P69" s="12" t="str">
        <f>IFERROR(_xlfn.XLOOKUP(Selectivo[[#This Row],[DNI]],_VF2025[DNI],_VF2025[R1]),"70 DNC")</f>
        <v>70 DNC</v>
      </c>
      <c r="Q69" s="12" t="str">
        <f>IFERROR(_xlfn.XLOOKUP(Selectivo[[#This Row],[DNI]],_VF2025[DNI],_VF2025[R2]),"70 DNC")</f>
        <v>70 DNC</v>
      </c>
      <c r="R69" s="12" t="str">
        <f>IFERROR(_xlfn.XLOOKUP(Selectivo[[#This Row],[DNI]],_VF2025[DNI],_VF2025[R3]),"70 DNC")</f>
        <v>70 DNC</v>
      </c>
      <c r="S69" s="13" t="str">
        <f>IFERROR(_xlfn.XLOOKUP(Selectivo[[#This Row],[DNI]],_VF2025[DNI],_VF2025[R4]),"70 DNC")</f>
        <v>70 DNC</v>
      </c>
      <c r="T69" s="13" t="str">
        <f>IFERROR(_xlfn.XLOOKUP(Selectivo[[#This Row],[DNI]],_VF2025[DNI],_VF2025[R5]),"70 DNC")</f>
        <v>70 DNC</v>
      </c>
      <c r="U69" s="13" t="str">
        <f>IFERROR(_xlfn.XLOOKUP(Selectivo[[#This Row],[DNI]],_VF2025[DNI],_VF2025[R6]),"70 DNC")</f>
        <v>70 DNC</v>
      </c>
      <c r="V69" s="13" t="str" cm="1">
        <f t="array" ref="V69">IFERROR(_xlfn.XLOOKUP(Selectivo[[#This Row],[Vela]],_xlfn.NUMBERVALUE(SIL25v2[Sail '#]),SIL25v2[1]),"90 DNC")</f>
        <v>3</v>
      </c>
      <c r="W69" s="13" t="str" cm="1">
        <f t="array" ref="W69">IFERROR(_xlfn.XLOOKUP(Selectivo[[#This Row],[Vela]],_xlfn.NUMBERVALUE(SIL25v2[Sail '#]),SIL25v2[2]),"90 DNC")</f>
        <v>64</v>
      </c>
      <c r="X69" s="13" t="str" cm="1">
        <f t="array" ref="X69">IFERROR(_xlfn.XLOOKUP(Selectivo[[#This Row],[Vela]],_xlfn.NUMBERVALUE(SIL25v2[Sail '#]),SIL25v2[3]),"90 DNC")</f>
        <v>4</v>
      </c>
      <c r="Y69" s="13" t="str" cm="1">
        <f t="array" ref="Y69">IFERROR(_xlfn.XLOOKUP(Selectivo[[#This Row],[Vela]],_xlfn.NUMBERVALUE(SIL25v2[Sail '#]),SIL25v2[4]),"90 DNC")</f>
        <v>3</v>
      </c>
      <c r="Z69" s="13" t="str" cm="1">
        <f t="array" ref="Z69">IFERROR(_xlfn.XLOOKUP(Selectivo[[#This Row],[Vela]],_xlfn.NUMBERVALUE(SIL25v2[Sail '#]),SIL25v2[5]),"90 DNC")</f>
        <v>6</v>
      </c>
      <c r="AA69" s="13" t="str" cm="1">
        <f t="array" ref="AA69">IFERROR(_xlfn.XLOOKUP(Selectivo[[#This Row],[Vela]],_xlfn.NUMBERVALUE(SIL25v2[Sail '#]),SIL25v2[6]),"90 DNC")</f>
        <v>36</v>
      </c>
      <c r="AB69" s="8" cm="1">
        <f t="array" ref="AB69">SUM(IFERROR(VALUE(LEFT(Regatas, FIND(" ",Regatas&amp; " ") - 1)), 0))</f>
        <v>648</v>
      </c>
      <c r="AC69" s="9" cm="1">
        <f t="array" ref="AC6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438</v>
      </c>
      <c r="AD69" s="6">
        <f>SMALL(RegatasN,1)</f>
        <v>3</v>
      </c>
      <c r="AE69" s="6">
        <f>SMALL(RegatasN,2)</f>
        <v>3</v>
      </c>
      <c r="AF69" s="6">
        <f>SMALL(RegatasN,3)</f>
        <v>4</v>
      </c>
      <c r="AG69" s="5" cm="1">
        <f t="array" ref="AG69">COUNTIF(Regatas,SMALL(Regatas,1))</f>
        <v>2</v>
      </c>
      <c r="AH69" s="6" cm="1">
        <f t="array" ref="AH69">VALUE(LEFT(INDEX(Selectivo[#This Row],,MATCH(Selectivo[[#Headers],[Total]],Selectivo[#Headers],0)-1),SEARCH(" ",INDEX(Selectivo[#This Row],,MATCH(Selectivo[[#Headers],[Total]],Selectivo[#Headers],0)-1)&amp;" ")-1))</f>
        <v>36</v>
      </c>
    </row>
    <row r="70" spans="1:34" x14ac:dyDescent="0.25">
      <c r="A70">
        <v>51270746</v>
      </c>
      <c r="B70" s="10">
        <f>ROW()-ROW(Selectivo[[#Headers],[Pos]])</f>
        <v>64</v>
      </c>
      <c r="C70" s="5">
        <v>4073</v>
      </c>
      <c r="D70" t="s">
        <v>737</v>
      </c>
      <c r="E70" t="s">
        <v>33</v>
      </c>
      <c r="F70" s="13">
        <f>IFERROR(_xlfn.XLOOKUP(Selectivo[[#This Row],[DNI]],_SIY[DNI],_SIY[R1]),"78 DNC")</f>
        <v>6</v>
      </c>
      <c r="G70" s="13">
        <f>IFERROR(_xlfn.XLOOKUP(Selectivo[[#This Row],[DNI]],_SIY[DNI],_SIY[R2]),"78 DNC")</f>
        <v>34</v>
      </c>
      <c r="H70" s="13">
        <f>IFERROR(_xlfn.XLOOKUP(Selectivo[[#This Row],[DNI]],_SIY[DNI],_SIY[R3]),"78 DNC")</f>
        <v>20</v>
      </c>
      <c r="I70" s="13">
        <f>IFERROR(_xlfn.XLOOKUP(Selectivo[[#This Row],[DNI]],_SIY[DNI],_SIY[R4]),"78 DNC")</f>
        <v>17</v>
      </c>
      <c r="J70" s="13">
        <f>IFERROR(_xlfn.XLOOKUP(Selectivo[[#This Row],[DNI]],_SIY[DNI],_SIY[R5]),"78 DNC")</f>
        <v>13</v>
      </c>
      <c r="K70" s="13">
        <f>IFERROR(_xlfn.XLOOKUP(Selectivo[[#This Row],[DNI]],_SIY[DNI],_SIY[R6]),"78 DNC")</f>
        <v>11</v>
      </c>
      <c r="L70" s="13">
        <f>IFERROR(_xlfn.XLOOKUP(Selectivo[[#This Row],[DNI]],_SIY[DNI],_SIY[R7]),"78 DNC")</f>
        <v>16</v>
      </c>
      <c r="M70" s="12" t="str">
        <f>IFERROR(_xlfn.XLOOKUP(Selectivo[[#This Row],[DNI]],_SIY[DNI],_SIY[R8]),"78 DNC")</f>
        <v>77 BFD</v>
      </c>
      <c r="N70" s="13">
        <f>IFERROR(_xlfn.XLOOKUP(Selectivo[[#This Row],[DNI]],_SIY[DNI],_SIY[R9]),"78 DNC")</f>
        <v>17</v>
      </c>
      <c r="O70" s="12" t="str">
        <f>IFERROR(_xlfn.XLOOKUP(Selectivo[[#This Row],[DNI]],_SIY[DNI],_SIY[R10]),"78 DNC")</f>
        <v>77 BFD</v>
      </c>
      <c r="P70" s="13">
        <f>IFERROR(_xlfn.XLOOKUP(Selectivo[[#This Row],[DNI]],_VF2025[DNI],_VF2025[R1]),"70 DNC")</f>
        <v>7</v>
      </c>
      <c r="Q70" s="13">
        <f>IFERROR(_xlfn.XLOOKUP(Selectivo[[#This Row],[DNI]],_VF2025[DNI],_VF2025[R2]),"70 DNC")</f>
        <v>49</v>
      </c>
      <c r="R70" s="13">
        <f>IFERROR(_xlfn.XLOOKUP(Selectivo[[#This Row],[DNI]],_VF2025[DNI],_VF2025[R3]),"70 DNC")</f>
        <v>18</v>
      </c>
      <c r="S70" s="13">
        <f>IFERROR(_xlfn.XLOOKUP(Selectivo[[#This Row],[DNI]],_VF2025[DNI],_VF2025[R4]),"70 DNC")</f>
        <v>36</v>
      </c>
      <c r="T70" s="13">
        <f>IFERROR(_xlfn.XLOOKUP(Selectivo[[#This Row],[DNI]],_VF2025[DNI],_VF2025[R5]),"70 DNC")</f>
        <v>33</v>
      </c>
      <c r="U70" s="13">
        <f>IFERROR(_xlfn.XLOOKUP(Selectivo[[#This Row],[DNI]],_VF2025[DNI],_VF2025[R6]),"70 DNC")</f>
        <v>43</v>
      </c>
      <c r="V70" s="13" t="str" cm="1">
        <f t="array" ref="V70">IFERROR(_xlfn.XLOOKUP(Selectivo[[#This Row],[Vela]],_xlfn.NUMBERVALUE(SIL25v2[Sail '#]),SIL25v2[1]),"90 DNC")</f>
        <v>16</v>
      </c>
      <c r="W70" s="13" t="str" cm="1">
        <f t="array" ref="W70">IFERROR(_xlfn.XLOOKUP(Selectivo[[#This Row],[Vela]],_xlfn.NUMBERVALUE(SIL25v2[Sail '#]),SIL25v2[2]),"90 DNC")</f>
        <v>11</v>
      </c>
      <c r="X70" s="13" t="str" cm="1">
        <f t="array" ref="X70">IFERROR(_xlfn.XLOOKUP(Selectivo[[#This Row],[Vela]],_xlfn.NUMBERVALUE(SIL25v2[Sail '#]),SIL25v2[3]),"90 DNC")</f>
        <v>49</v>
      </c>
      <c r="Y70" s="13" t="str" cm="1">
        <f t="array" ref="Y70">IFERROR(_xlfn.XLOOKUP(Selectivo[[#This Row],[Vela]],_xlfn.NUMBERVALUE(SIL25v2[Sail '#]),SIL25v2[4]),"90 DNC")</f>
        <v>35</v>
      </c>
      <c r="Z70" s="13" t="str" cm="1">
        <f t="array" ref="Z70">IFERROR(_xlfn.XLOOKUP(Selectivo[[#This Row],[Vela]],_xlfn.NUMBERVALUE(SIL25v2[Sail '#]),SIL25v2[5]),"90 DNC")</f>
        <v>9</v>
      </c>
      <c r="AA70" s="12" t="str" cm="1">
        <f t="array" ref="AA70">IFERROR(_xlfn.XLOOKUP(Selectivo[[#This Row],[Vela]],_xlfn.NUMBERVALUE(SIL25v2[Sail '#]),SIL25v2[6]),"90 DNC")</f>
        <v>89 BFD</v>
      </c>
      <c r="AB70" s="8" cm="1">
        <f t="array" ref="AB70">SUM(IFERROR(VALUE(LEFT(Regatas, FIND(" ",Regatas&amp; " ") - 1)), 0))</f>
        <v>683</v>
      </c>
      <c r="AC70" s="9" cm="1">
        <f t="array" ref="AC7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440</v>
      </c>
      <c r="AD70" s="6">
        <f>SMALL(RegatasN,1)</f>
        <v>6</v>
      </c>
      <c r="AE70" s="6">
        <f>SMALL(RegatasN,2)</f>
        <v>7</v>
      </c>
      <c r="AF70" s="6">
        <f>SMALL(RegatasN,3)</f>
        <v>9</v>
      </c>
      <c r="AG70" s="5" cm="1">
        <f t="array" ref="AG70">COUNTIF(Regatas,SMALL(Regatas,1))</f>
        <v>1</v>
      </c>
      <c r="AH70" s="6" cm="1">
        <f t="array" ref="AH70">VALUE(LEFT(INDEX(Selectivo[#This Row],,MATCH(Selectivo[[#Headers],[Total]],Selectivo[#Headers],0)-1),SEARCH(" ",INDEX(Selectivo[#This Row],,MATCH(Selectivo[[#Headers],[Total]],Selectivo[#Headers],0)-1)&amp;" ")-1))</f>
        <v>89</v>
      </c>
    </row>
    <row r="71" spans="1:34" x14ac:dyDescent="0.25">
      <c r="A71">
        <v>51586146</v>
      </c>
      <c r="B71" s="10">
        <f>ROW()-ROW(Selectivo[[#Headers],[Pos]])</f>
        <v>65</v>
      </c>
      <c r="C71" s="5">
        <v>4194</v>
      </c>
      <c r="D71" t="s">
        <v>729</v>
      </c>
      <c r="E71" t="s">
        <v>5</v>
      </c>
      <c r="F71" s="13">
        <f>IFERROR(_xlfn.XLOOKUP(Selectivo[[#This Row],[DNI]],_SIY[DNI],_SIY[R1]),"78 DNC")</f>
        <v>29</v>
      </c>
      <c r="G71" s="13">
        <f>IFERROR(_xlfn.XLOOKUP(Selectivo[[#This Row],[DNI]],_SIY[DNI],_SIY[R2]),"78 DNC")</f>
        <v>27</v>
      </c>
      <c r="H71" s="13">
        <f>IFERROR(_xlfn.XLOOKUP(Selectivo[[#This Row],[DNI]],_SIY[DNI],_SIY[R3]),"78 DNC")</f>
        <v>26</v>
      </c>
      <c r="I71" s="12" t="str">
        <f>IFERROR(_xlfn.XLOOKUP(Selectivo[[#This Row],[DNI]],_SIY[DNI],_SIY[R4]),"78 DNC")</f>
        <v>77 UFD</v>
      </c>
      <c r="J71" s="13">
        <f>IFERROR(_xlfn.XLOOKUP(Selectivo[[#This Row],[DNI]],_SIY[DNI],_SIY[R5]),"78 DNC")</f>
        <v>42</v>
      </c>
      <c r="K71" s="13">
        <f>IFERROR(_xlfn.XLOOKUP(Selectivo[[#This Row],[DNI]],_SIY[DNI],_SIY[R6]),"78 DNC")</f>
        <v>30</v>
      </c>
      <c r="L71" s="13">
        <f>IFERROR(_xlfn.XLOOKUP(Selectivo[[#This Row],[DNI]],_SIY[DNI],_SIY[R7]),"78 DNC")</f>
        <v>23</v>
      </c>
      <c r="M71" s="13">
        <f>IFERROR(_xlfn.XLOOKUP(Selectivo[[#This Row],[DNI]],_SIY[DNI],_SIY[R8]),"78 DNC")</f>
        <v>10</v>
      </c>
      <c r="N71" s="13">
        <f>IFERROR(_xlfn.XLOOKUP(Selectivo[[#This Row],[DNI]],_SIY[DNI],_SIY[R9]),"78 DNC")</f>
        <v>11</v>
      </c>
      <c r="O71" s="13">
        <f>IFERROR(_xlfn.XLOOKUP(Selectivo[[#This Row],[DNI]],_SIY[DNI],_SIY[R10]),"78 DNC")</f>
        <v>10</v>
      </c>
      <c r="P71" s="13">
        <f>IFERROR(_xlfn.XLOOKUP(Selectivo[[#This Row],[DNI]],_VF2025[DNI],_VF2025[R1]),"70 DNC")</f>
        <v>43</v>
      </c>
      <c r="Q71" s="13">
        <f>IFERROR(_xlfn.XLOOKUP(Selectivo[[#This Row],[DNI]],_VF2025[DNI],_VF2025[R2]),"70 DNC")</f>
        <v>8</v>
      </c>
      <c r="R71" s="13">
        <f>IFERROR(_xlfn.XLOOKUP(Selectivo[[#This Row],[DNI]],_VF2025[DNI],_VF2025[R3]),"70 DNC")</f>
        <v>21</v>
      </c>
      <c r="S71" s="13">
        <f>IFERROR(_xlfn.XLOOKUP(Selectivo[[#This Row],[DNI]],_VF2025[DNI],_VF2025[R4]),"70 DNC")</f>
        <v>28</v>
      </c>
      <c r="T71" s="13">
        <f>IFERROR(_xlfn.XLOOKUP(Selectivo[[#This Row],[DNI]],_VF2025[DNI],_VF2025[R5]),"70 DNC")</f>
        <v>6</v>
      </c>
      <c r="U71" s="13">
        <f>IFERROR(_xlfn.XLOOKUP(Selectivo[[#This Row],[DNI]],_VF2025[DNI],_VF2025[R6]),"70 DNC")</f>
        <v>4</v>
      </c>
      <c r="V71" s="12" t="str" cm="1">
        <f t="array" ref="V71">IFERROR(_xlfn.XLOOKUP(Selectivo[[#This Row],[Vela]],_xlfn.NUMBERVALUE(SIL25v2[Sail '#]),SIL25v2[1]),"90 DNC")</f>
        <v>56</v>
      </c>
      <c r="W71" s="13" t="str" cm="1">
        <f t="array" ref="W71">IFERROR(_xlfn.XLOOKUP(Selectivo[[#This Row],[Vela]],_xlfn.NUMBERVALUE(SIL25v2[Sail '#]),SIL25v2[2]),"90 DNC")</f>
        <v>38</v>
      </c>
      <c r="X71" s="13" t="str" cm="1">
        <f t="array" ref="X71">IFERROR(_xlfn.XLOOKUP(Selectivo[[#This Row],[Vela]],_xlfn.NUMBERVALUE(SIL25v2[Sail '#]),SIL25v2[3]),"90 DNC")</f>
        <v>17</v>
      </c>
      <c r="Y71" s="13" t="str" cm="1">
        <f t="array" ref="Y71">IFERROR(_xlfn.XLOOKUP(Selectivo[[#This Row],[Vela]],_xlfn.NUMBERVALUE(SIL25v2[Sail '#]),SIL25v2[4]),"90 DNC")</f>
        <v>20</v>
      </c>
      <c r="Z71" s="13" t="str" cm="1">
        <f t="array" ref="Z71">IFERROR(_xlfn.XLOOKUP(Selectivo[[#This Row],[Vela]],_xlfn.NUMBERVALUE(SIL25v2[Sail '#]),SIL25v2[5]),"90 DNC")</f>
        <v>48</v>
      </c>
      <c r="AA71" s="12" t="str" cm="1">
        <f t="array" ref="AA71">IFERROR(_xlfn.XLOOKUP(Selectivo[[#This Row],[Vela]],_xlfn.NUMBERVALUE(SIL25v2[Sail '#]),SIL25v2[6]),"90 DNC")</f>
        <v>51</v>
      </c>
      <c r="AB71" s="8" cm="1">
        <f t="array" ref="AB71">SUM(IFERROR(VALUE(LEFT(Regatas, FIND(" ",Regatas&amp; " ") - 1)), 0))</f>
        <v>625</v>
      </c>
      <c r="AC71" s="9" cm="1">
        <f t="array" ref="AC7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441</v>
      </c>
      <c r="AD71" s="6">
        <f>SMALL(RegatasN,1)</f>
        <v>4</v>
      </c>
      <c r="AE71" s="6">
        <f>SMALL(RegatasN,2)</f>
        <v>6</v>
      </c>
      <c r="AF71" s="6">
        <f>SMALL(RegatasN,3)</f>
        <v>8</v>
      </c>
      <c r="AG71" s="5" cm="1">
        <f t="array" ref="AG71">COUNTIF(Regatas,SMALL(Regatas,1))</f>
        <v>1</v>
      </c>
      <c r="AH71" s="6" cm="1">
        <f t="array" ref="AH71">VALUE(LEFT(INDEX(Selectivo[#This Row],,MATCH(Selectivo[[#Headers],[Total]],Selectivo[#Headers],0)-1),SEARCH(" ",INDEX(Selectivo[#This Row],,MATCH(Selectivo[[#Headers],[Total]],Selectivo[#Headers],0)-1)&amp;" ")-1))</f>
        <v>51</v>
      </c>
    </row>
    <row r="72" spans="1:34" x14ac:dyDescent="0.25">
      <c r="A72">
        <v>51125913</v>
      </c>
      <c r="B72" s="10">
        <f>ROW()-ROW(Selectivo[[#Headers],[Pos]])</f>
        <v>66</v>
      </c>
      <c r="C72" s="5">
        <v>4179</v>
      </c>
      <c r="D72" t="s">
        <v>675</v>
      </c>
      <c r="E72" t="s">
        <v>5</v>
      </c>
      <c r="F72" s="13">
        <f>IFERROR(_xlfn.XLOOKUP(Selectivo[[#This Row],[DNI]],_SIY[DNI],_SIY[R1]),"78 DNC")</f>
        <v>8</v>
      </c>
      <c r="G72" s="13">
        <f>IFERROR(_xlfn.XLOOKUP(Selectivo[[#This Row],[DNI]],_SIY[DNI],_SIY[R2]),"78 DNC")</f>
        <v>19</v>
      </c>
      <c r="H72" s="13">
        <f>IFERROR(_xlfn.XLOOKUP(Selectivo[[#This Row],[DNI]],_SIY[DNI],_SIY[R3]),"78 DNC")</f>
        <v>22</v>
      </c>
      <c r="I72" s="13">
        <f>IFERROR(_xlfn.XLOOKUP(Selectivo[[#This Row],[DNI]],_SIY[DNI],_SIY[R4]),"78 DNC")</f>
        <v>5</v>
      </c>
      <c r="J72" s="13">
        <f>IFERROR(_xlfn.XLOOKUP(Selectivo[[#This Row],[DNI]],_SIY[DNI],_SIY[R5]),"78 DNC")</f>
        <v>10</v>
      </c>
      <c r="K72" s="13">
        <f>IFERROR(_xlfn.XLOOKUP(Selectivo[[#This Row],[DNI]],_SIY[DNI],_SIY[R6]),"78 DNC")</f>
        <v>20</v>
      </c>
      <c r="L72" s="13">
        <f>IFERROR(_xlfn.XLOOKUP(Selectivo[[#This Row],[DNI]],_SIY[DNI],_SIY[R7]),"78 DNC")</f>
        <v>32</v>
      </c>
      <c r="M72" s="13">
        <f>IFERROR(_xlfn.XLOOKUP(Selectivo[[#This Row],[DNI]],_SIY[DNI],_SIY[R8]),"78 DNC")</f>
        <v>30</v>
      </c>
      <c r="N72" s="13">
        <f>IFERROR(_xlfn.XLOOKUP(Selectivo[[#This Row],[DNI]],_SIY[DNI],_SIY[R9]),"78 DNC")</f>
        <v>34</v>
      </c>
      <c r="O72" s="13">
        <f>IFERROR(_xlfn.XLOOKUP(Selectivo[[#This Row],[DNI]],_SIY[DNI],_SIY[R10]),"78 DNC")</f>
        <v>25</v>
      </c>
      <c r="P72" s="13">
        <f>IFERROR(_xlfn.XLOOKUP(Selectivo[[#This Row],[DNI]],_VF2025[DNI],_VF2025[R1]),"70 DNC")</f>
        <v>27</v>
      </c>
      <c r="Q72" s="13">
        <f>IFERROR(_xlfn.XLOOKUP(Selectivo[[#This Row],[DNI]],_VF2025[DNI],_VF2025[R2]),"70 DNC")</f>
        <v>23</v>
      </c>
      <c r="R72" s="13">
        <f>IFERROR(_xlfn.XLOOKUP(Selectivo[[#This Row],[DNI]],_VF2025[DNI],_VF2025[R3]),"70 DNC")</f>
        <v>30</v>
      </c>
      <c r="S72" s="13">
        <f>IFERROR(_xlfn.XLOOKUP(Selectivo[[#This Row],[DNI]],_VF2025[DNI],_VF2025[R4]),"70 DNC")</f>
        <v>37</v>
      </c>
      <c r="T72" s="13">
        <f>IFERROR(_xlfn.XLOOKUP(Selectivo[[#This Row],[DNI]],_VF2025[DNI],_VF2025[R5]),"70 DNC")</f>
        <v>25</v>
      </c>
      <c r="U72" s="13">
        <f>IFERROR(_xlfn.XLOOKUP(Selectivo[[#This Row],[DNI]],_VF2025[DNI],_VF2025[R6]),"70 DNC")</f>
        <v>26</v>
      </c>
      <c r="V72" s="13" t="str" cm="1">
        <f t="array" ref="V72">IFERROR(_xlfn.XLOOKUP(Selectivo[[#This Row],[Vela]],_xlfn.NUMBERVALUE(SIL25v2[Sail '#]),SIL25v2[1]),"90 DNC")</f>
        <v>27</v>
      </c>
      <c r="W72" s="12" t="str" cm="1">
        <f t="array" ref="W72">IFERROR(_xlfn.XLOOKUP(Selectivo[[#This Row],[Vela]],_xlfn.NUMBERVALUE(SIL25v2[Sail '#]),SIL25v2[2]),"90 DNC")</f>
        <v>61</v>
      </c>
      <c r="X72" s="13" t="str" cm="1">
        <f t="array" ref="X72">IFERROR(_xlfn.XLOOKUP(Selectivo[[#This Row],[Vela]],_xlfn.NUMBERVALUE(SIL25v2[Sail '#]),SIL25v2[3]),"90 DNC")</f>
        <v>19</v>
      </c>
      <c r="Y72" s="12" t="str" cm="1">
        <f t="array" ref="Y72">IFERROR(_xlfn.XLOOKUP(Selectivo[[#This Row],[Vela]],_xlfn.NUMBERVALUE(SIL25v2[Sail '#]),SIL25v2[4]),"90 DNC")</f>
        <v>49</v>
      </c>
      <c r="Z72" s="12" t="str" cm="1">
        <f t="array" ref="Z72">IFERROR(_xlfn.XLOOKUP(Selectivo[[#This Row],[Vela]],_xlfn.NUMBERVALUE(SIL25v2[Sail '#]),SIL25v2[5]),"90 DNC")</f>
        <v>89 DNS</v>
      </c>
      <c r="AA72" s="13" t="str" cm="1">
        <f t="array" ref="AA72">IFERROR(_xlfn.XLOOKUP(Selectivo[[#This Row],[Vela]],_xlfn.NUMBERVALUE(SIL25v2[Sail '#]),SIL25v2[6]),"90 DNC")</f>
        <v>25</v>
      </c>
      <c r="AB72" s="8" cm="1">
        <f t="array" ref="AB72">SUM(IFERROR(VALUE(LEFT(Regatas, FIND(" ",Regatas&amp; " ") - 1)), 0))</f>
        <v>643</v>
      </c>
      <c r="AC72" s="9" cm="1">
        <f t="array" ref="AC7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444</v>
      </c>
      <c r="AD72" s="6">
        <f>SMALL(RegatasN,1)</f>
        <v>5</v>
      </c>
      <c r="AE72" s="6">
        <f>SMALL(RegatasN,2)</f>
        <v>8</v>
      </c>
      <c r="AF72" s="6">
        <f>SMALL(RegatasN,3)</f>
        <v>10</v>
      </c>
      <c r="AG72" s="5" cm="1">
        <f t="array" ref="AG72">COUNTIF(Regatas,SMALL(Regatas,1))</f>
        <v>1</v>
      </c>
      <c r="AH72" s="6" cm="1">
        <f t="array" ref="AH72">VALUE(LEFT(INDEX(Selectivo[#This Row],,MATCH(Selectivo[[#Headers],[Total]],Selectivo[#Headers],0)-1),SEARCH(" ",INDEX(Selectivo[#This Row],,MATCH(Selectivo[[#Headers],[Total]],Selectivo[#Headers],0)-1)&amp;" ")-1))</f>
        <v>25</v>
      </c>
    </row>
    <row r="73" spans="1:34" x14ac:dyDescent="0.25">
      <c r="A73">
        <v>50075107</v>
      </c>
      <c r="B73" s="10">
        <f>ROW()-ROW(Selectivo[[#Headers],[Pos]])</f>
        <v>67</v>
      </c>
      <c r="C73" s="5">
        <v>4045</v>
      </c>
      <c r="D73" t="s">
        <v>715</v>
      </c>
      <c r="E73" t="s">
        <v>13</v>
      </c>
      <c r="F73" s="13">
        <f>IFERROR(_xlfn.XLOOKUP(Selectivo[[#This Row],[DNI]],_SIY[DNI],_SIY[R1]),"78 DNC")</f>
        <v>31</v>
      </c>
      <c r="G73" s="13">
        <f>IFERROR(_xlfn.XLOOKUP(Selectivo[[#This Row],[DNI]],_SIY[DNI],_SIY[R2]),"78 DNC")</f>
        <v>33</v>
      </c>
      <c r="H73" s="13">
        <f>IFERROR(_xlfn.XLOOKUP(Selectivo[[#This Row],[DNI]],_SIY[DNI],_SIY[R3]),"78 DNC")</f>
        <v>16</v>
      </c>
      <c r="I73" s="13">
        <f>IFERROR(_xlfn.XLOOKUP(Selectivo[[#This Row],[DNI]],_SIY[DNI],_SIY[R4]),"78 DNC")</f>
        <v>11</v>
      </c>
      <c r="J73" s="13">
        <f>IFERROR(_xlfn.XLOOKUP(Selectivo[[#This Row],[DNI]],_SIY[DNI],_SIY[R5]),"78 DNC")</f>
        <v>4</v>
      </c>
      <c r="K73" s="13">
        <f>IFERROR(_xlfn.XLOOKUP(Selectivo[[#This Row],[DNI]],_SIY[DNI],_SIY[R6]),"78 DNC")</f>
        <v>10</v>
      </c>
      <c r="L73" s="13">
        <f>IFERROR(_xlfn.XLOOKUP(Selectivo[[#This Row],[DNI]],_SIY[DNI],_SIY[R7]),"78 DNC")</f>
        <v>19</v>
      </c>
      <c r="M73" s="13">
        <f>IFERROR(_xlfn.XLOOKUP(Selectivo[[#This Row],[DNI]],_SIY[DNI],_SIY[R8]),"78 DNC")</f>
        <v>10</v>
      </c>
      <c r="N73" s="13">
        <f>IFERROR(_xlfn.XLOOKUP(Selectivo[[#This Row],[DNI]],_SIY[DNI],_SIY[R9]),"78 DNC")</f>
        <v>32</v>
      </c>
      <c r="O73" s="13">
        <f>IFERROR(_xlfn.XLOOKUP(Selectivo[[#This Row],[DNI]],_SIY[DNI],_SIY[R10]),"78 DNC")</f>
        <v>27</v>
      </c>
      <c r="P73" s="13">
        <f>IFERROR(_xlfn.XLOOKUP(Selectivo[[#This Row],[DNI]],_VF2025[DNI],_VF2025[R1]),"70 DNC")</f>
        <v>41</v>
      </c>
      <c r="Q73" s="13">
        <f>IFERROR(_xlfn.XLOOKUP(Selectivo[[#This Row],[DNI]],_VF2025[DNI],_VF2025[R2]),"70 DNC")</f>
        <v>15</v>
      </c>
      <c r="R73" s="13">
        <f>IFERROR(_xlfn.XLOOKUP(Selectivo[[#This Row],[DNI]],_VF2025[DNI],_VF2025[R3]),"70 DNC")</f>
        <v>11</v>
      </c>
      <c r="S73" s="13">
        <f>IFERROR(_xlfn.XLOOKUP(Selectivo[[#This Row],[DNI]],_VF2025[DNI],_VF2025[R4]),"70 DNC")</f>
        <v>21</v>
      </c>
      <c r="T73" s="13">
        <f>IFERROR(_xlfn.XLOOKUP(Selectivo[[#This Row],[DNI]],_VF2025[DNI],_VF2025[R5]),"70 DNC")</f>
        <v>13</v>
      </c>
      <c r="U73" s="13" t="str">
        <f>IFERROR(_xlfn.XLOOKUP(Selectivo[[#This Row],[DNI]],_VF2025[DNI],_VF2025[R6]),"70 DNC")</f>
        <v>70 DNE</v>
      </c>
      <c r="V73" s="12" t="str" cm="1">
        <f t="array" ref="V73">IFERROR(_xlfn.XLOOKUP(Selectivo[[#This Row],[Vela]],_xlfn.NUMBERVALUE(SIL25v2[Sail '#]),SIL25v2[1]),"90 DNC")</f>
        <v>58</v>
      </c>
      <c r="W73" s="12" t="str" cm="1">
        <f t="array" ref="W73">IFERROR(_xlfn.XLOOKUP(Selectivo[[#This Row],[Vela]],_xlfn.NUMBERVALUE(SIL25v2[Sail '#]),SIL25v2[2]),"90 DNC")</f>
        <v>55</v>
      </c>
      <c r="X73" s="13" t="str" cm="1">
        <f t="array" ref="X73">IFERROR(_xlfn.XLOOKUP(Selectivo[[#This Row],[Vela]],_xlfn.NUMBERVALUE(SIL25v2[Sail '#]),SIL25v2[3]),"90 DNC")</f>
        <v>32</v>
      </c>
      <c r="Y73" s="13" t="str" cm="1">
        <f t="array" ref="Y73">IFERROR(_xlfn.XLOOKUP(Selectivo[[#This Row],[Vela]],_xlfn.NUMBERVALUE(SIL25v2[Sail '#]),SIL25v2[4]),"90 DNC")</f>
        <v>19</v>
      </c>
      <c r="Z73" s="13" t="str" cm="1">
        <f t="array" ref="Z73">IFERROR(_xlfn.XLOOKUP(Selectivo[[#This Row],[Vela]],_xlfn.NUMBERVALUE(SIL25v2[Sail '#]),SIL25v2[5]),"90 DNC")</f>
        <v>30</v>
      </c>
      <c r="AA73" s="12" t="str" cm="1">
        <f t="array" ref="AA73">IFERROR(_xlfn.XLOOKUP(Selectivo[[#This Row],[Vela]],_xlfn.NUMBERVALUE(SIL25v2[Sail '#]),SIL25v2[6]),"90 DNC")</f>
        <v>89 DNS</v>
      </c>
      <c r="AB73" s="8" cm="1">
        <f t="array" ref="AB73">SUM(IFERROR(VALUE(LEFT(Regatas, FIND(" ",Regatas&amp; " ") - 1)), 0))</f>
        <v>647</v>
      </c>
      <c r="AC73" s="9" cm="1">
        <f t="array" ref="AC7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445</v>
      </c>
      <c r="AD73" s="6">
        <f>SMALL(RegatasN,1)</f>
        <v>4</v>
      </c>
      <c r="AE73" s="6">
        <f>SMALL(RegatasN,2)</f>
        <v>10</v>
      </c>
      <c r="AF73" s="6">
        <f>SMALL(RegatasN,3)</f>
        <v>10</v>
      </c>
      <c r="AG73" s="5" cm="1">
        <f t="array" ref="AG73">COUNTIF(Regatas,SMALL(Regatas,1))</f>
        <v>1</v>
      </c>
      <c r="AH73" s="6" cm="1">
        <f t="array" ref="AH73">VALUE(LEFT(INDEX(Selectivo[#This Row],,MATCH(Selectivo[[#Headers],[Total]],Selectivo[#Headers],0)-1),SEARCH(" ",INDEX(Selectivo[#This Row],,MATCH(Selectivo[[#Headers],[Total]],Selectivo[#Headers],0)-1)&amp;" ")-1))</f>
        <v>89</v>
      </c>
    </row>
    <row r="74" spans="1:34" x14ac:dyDescent="0.25">
      <c r="A74">
        <v>51588663</v>
      </c>
      <c r="B74" s="10">
        <f>ROW()-ROW(Selectivo[[#Headers],[Pos]])</f>
        <v>68</v>
      </c>
      <c r="C74" s="5">
        <v>4188</v>
      </c>
      <c r="D74" t="s">
        <v>649</v>
      </c>
      <c r="E74" t="s">
        <v>5</v>
      </c>
      <c r="F74" s="13">
        <f>IFERROR(_xlfn.XLOOKUP(Selectivo[[#This Row],[DNI]],_SIY[DNI],_SIY[R1]),"78 DNC")</f>
        <v>12</v>
      </c>
      <c r="G74" s="13">
        <f>IFERROR(_xlfn.XLOOKUP(Selectivo[[#This Row],[DNI]],_SIY[DNI],_SIY[R2]),"78 DNC")</f>
        <v>17</v>
      </c>
      <c r="H74" s="12">
        <f>IFERROR(_xlfn.XLOOKUP(Selectivo[[#This Row],[DNI]],_SIY[DNI],_SIY[R3]),"78 DNC")</f>
        <v>57</v>
      </c>
      <c r="I74" s="13">
        <f>IFERROR(_xlfn.XLOOKUP(Selectivo[[#This Row],[DNI]],_SIY[DNI],_SIY[R4]),"78 DNC")</f>
        <v>36</v>
      </c>
      <c r="J74" s="13">
        <f>IFERROR(_xlfn.XLOOKUP(Selectivo[[#This Row],[DNI]],_SIY[DNI],_SIY[R5]),"78 DNC")</f>
        <v>17</v>
      </c>
      <c r="K74" s="13">
        <f>IFERROR(_xlfn.XLOOKUP(Selectivo[[#This Row],[DNI]],_SIY[DNI],_SIY[R6]),"78 DNC")</f>
        <v>18</v>
      </c>
      <c r="L74" s="13">
        <f>IFERROR(_xlfn.XLOOKUP(Selectivo[[#This Row],[DNI]],_SIY[DNI],_SIY[R7]),"78 DNC")</f>
        <v>18</v>
      </c>
      <c r="M74" s="13">
        <f>IFERROR(_xlfn.XLOOKUP(Selectivo[[#This Row],[DNI]],_SIY[DNI],_SIY[R8]),"78 DNC")</f>
        <v>22</v>
      </c>
      <c r="N74" s="13">
        <f>IFERROR(_xlfn.XLOOKUP(Selectivo[[#This Row],[DNI]],_SIY[DNI],_SIY[R9]),"78 DNC")</f>
        <v>5</v>
      </c>
      <c r="O74" s="13">
        <f>IFERROR(_xlfn.XLOOKUP(Selectivo[[#This Row],[DNI]],_SIY[DNI],_SIY[R10]),"78 DNC")</f>
        <v>11</v>
      </c>
      <c r="P74" s="13">
        <f>IFERROR(_xlfn.XLOOKUP(Selectivo[[#This Row],[DNI]],_VF2025[DNI],_VF2025[R1]),"70 DNC")</f>
        <v>26</v>
      </c>
      <c r="Q74" s="13">
        <f>IFERROR(_xlfn.XLOOKUP(Selectivo[[#This Row],[DNI]],_VF2025[DNI],_VF2025[R2]),"70 DNC")</f>
        <v>48</v>
      </c>
      <c r="R74" s="13">
        <f>IFERROR(_xlfn.XLOOKUP(Selectivo[[#This Row],[DNI]],_VF2025[DNI],_VF2025[R3]),"70 DNC")</f>
        <v>24</v>
      </c>
      <c r="S74" s="13" t="str">
        <f>IFERROR(_xlfn.XLOOKUP(Selectivo[[#This Row],[DNI]],_VF2025[DNI],_VF2025[R4]),"70 DNC")</f>
        <v>70 DNE</v>
      </c>
      <c r="T74" s="12" t="str">
        <f>IFERROR(_xlfn.XLOOKUP(Selectivo[[#This Row],[DNI]],_VF2025[DNI],_VF2025[R5]),"70 DNC")</f>
        <v>70 BFD</v>
      </c>
      <c r="U74" s="13">
        <f>IFERROR(_xlfn.XLOOKUP(Selectivo[[#This Row],[DNI]],_VF2025[DNI],_VF2025[R6]),"70 DNC")</f>
        <v>36</v>
      </c>
      <c r="V74" s="13" t="str" cm="1">
        <f t="array" ref="V74">IFERROR(_xlfn.XLOOKUP(Selectivo[[#This Row],[Vela]],_xlfn.NUMBERVALUE(SIL25v2[Sail '#]),SIL25v2[1]),"90 DNC")</f>
        <v>33</v>
      </c>
      <c r="W74" s="13" t="str" cm="1">
        <f t="array" ref="W74">IFERROR(_xlfn.XLOOKUP(Selectivo[[#This Row],[Vela]],_xlfn.NUMBERVALUE(SIL25v2[Sail '#]),SIL25v2[2]),"90 DNC")</f>
        <v>31</v>
      </c>
      <c r="X74" s="13" t="str" cm="1">
        <f t="array" ref="X74">IFERROR(_xlfn.XLOOKUP(Selectivo[[#This Row],[Vela]],_xlfn.NUMBERVALUE(SIL25v2[Sail '#]),SIL25v2[3]),"90 DNC")</f>
        <v>12</v>
      </c>
      <c r="Y74" s="12" t="str" cm="1">
        <f t="array" ref="Y74">IFERROR(_xlfn.XLOOKUP(Selectivo[[#This Row],[Vela]],_xlfn.NUMBERVALUE(SIL25v2[Sail '#]),SIL25v2[4]),"90 DNC")</f>
        <v>61</v>
      </c>
      <c r="Z74" s="13" t="str" cm="1">
        <f t="array" ref="Z74">IFERROR(_xlfn.XLOOKUP(Selectivo[[#This Row],[Vela]],_xlfn.NUMBERVALUE(SIL25v2[Sail '#]),SIL25v2[5]),"90 DNC")</f>
        <v>4</v>
      </c>
      <c r="AA74" s="13" t="str" cm="1">
        <f t="array" ref="AA74">IFERROR(_xlfn.XLOOKUP(Selectivo[[#This Row],[Vela]],_xlfn.NUMBERVALUE(SIL25v2[Sail '#]),SIL25v2[6]),"90 DNC")</f>
        <v>11</v>
      </c>
      <c r="AB74" s="8" cm="1">
        <f t="array" ref="AB74">SUM(IFERROR(VALUE(LEFT(Regatas, FIND(" ",Regatas&amp; " ") - 1)), 0))</f>
        <v>639</v>
      </c>
      <c r="AC74" s="9" cm="1">
        <f t="array" ref="AC7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451</v>
      </c>
      <c r="AD74" s="6">
        <f>SMALL(RegatasN,1)</f>
        <v>4</v>
      </c>
      <c r="AE74" s="6">
        <f>SMALL(RegatasN,2)</f>
        <v>5</v>
      </c>
      <c r="AF74" s="6">
        <f>SMALL(RegatasN,3)</f>
        <v>11</v>
      </c>
      <c r="AG74" s="5" cm="1">
        <f t="array" ref="AG74">COUNTIF(Regatas,SMALL(Regatas,1))</f>
        <v>1</v>
      </c>
      <c r="AH74" s="6" cm="1">
        <f t="array" ref="AH74">VALUE(LEFT(INDEX(Selectivo[#This Row],,MATCH(Selectivo[[#Headers],[Total]],Selectivo[#Headers],0)-1),SEARCH(" ",INDEX(Selectivo[#This Row],,MATCH(Selectivo[[#Headers],[Total]],Selectivo[#Headers],0)-1)&amp;" ")-1))</f>
        <v>11</v>
      </c>
    </row>
    <row r="75" spans="1:34" x14ac:dyDescent="0.25">
      <c r="A75">
        <v>52085390</v>
      </c>
      <c r="B75" s="10">
        <f>ROW()-ROW(Selectivo[[#Headers],[Pos]])</f>
        <v>69</v>
      </c>
      <c r="C75" s="5">
        <v>4218</v>
      </c>
      <c r="D75" t="s">
        <v>654</v>
      </c>
      <c r="E75" t="s">
        <v>33</v>
      </c>
      <c r="F75" s="13">
        <f>IFERROR(_xlfn.XLOOKUP(Selectivo[[#This Row],[DNI]],_SIY[DNI],_SIY[R1]),"78 DNC")</f>
        <v>25</v>
      </c>
      <c r="G75" s="13">
        <f>IFERROR(_xlfn.XLOOKUP(Selectivo[[#This Row],[DNI]],_SIY[DNI],_SIY[R2]),"78 DNC")</f>
        <v>26</v>
      </c>
      <c r="H75" s="13">
        <f>IFERROR(_xlfn.XLOOKUP(Selectivo[[#This Row],[DNI]],_SIY[DNI],_SIY[R3]),"78 DNC")</f>
        <v>29</v>
      </c>
      <c r="I75" s="13">
        <f>IFERROR(_xlfn.XLOOKUP(Selectivo[[#This Row],[DNI]],_SIY[DNI],_SIY[R4]),"78 DNC")</f>
        <v>28</v>
      </c>
      <c r="J75" s="13">
        <f>IFERROR(_xlfn.XLOOKUP(Selectivo[[#This Row],[DNI]],_SIY[DNI],_SIY[R5]),"78 DNC")</f>
        <v>20</v>
      </c>
      <c r="K75" s="13">
        <f>IFERROR(_xlfn.XLOOKUP(Selectivo[[#This Row],[DNI]],_SIY[DNI],_SIY[R6]),"78 DNC")</f>
        <v>24</v>
      </c>
      <c r="L75" s="13">
        <f>IFERROR(_xlfn.XLOOKUP(Selectivo[[#This Row],[DNI]],_SIY[DNI],_SIY[R7]),"78 DNC")</f>
        <v>6</v>
      </c>
      <c r="M75" s="13">
        <f>IFERROR(_xlfn.XLOOKUP(Selectivo[[#This Row],[DNI]],_SIY[DNI],_SIY[R8]),"78 DNC")</f>
        <v>33</v>
      </c>
      <c r="N75" s="13">
        <f>IFERROR(_xlfn.XLOOKUP(Selectivo[[#This Row],[DNI]],_SIY[DNI],_SIY[R9]),"78 DNC")</f>
        <v>20</v>
      </c>
      <c r="O75" s="13">
        <f>IFERROR(_xlfn.XLOOKUP(Selectivo[[#This Row],[DNI]],_SIY[DNI],_SIY[R10]),"78 DNC")</f>
        <v>37</v>
      </c>
      <c r="P75" s="13">
        <f>IFERROR(_xlfn.XLOOKUP(Selectivo[[#This Row],[DNI]],_VF2025[DNI],_VF2025[R1]),"70 DNC")</f>
        <v>6</v>
      </c>
      <c r="Q75" s="13">
        <f>IFERROR(_xlfn.XLOOKUP(Selectivo[[#This Row],[DNI]],_VF2025[DNI],_VF2025[R2]),"70 DNC")</f>
        <v>28</v>
      </c>
      <c r="R75" s="13">
        <f>IFERROR(_xlfn.XLOOKUP(Selectivo[[#This Row],[DNI]],_VF2025[DNI],_VF2025[R3]),"70 DNC")</f>
        <v>33</v>
      </c>
      <c r="S75" s="12">
        <f>IFERROR(_xlfn.XLOOKUP(Selectivo[[#This Row],[DNI]],_VF2025[DNI],_VF2025[R4]),"70 DNC")</f>
        <v>44</v>
      </c>
      <c r="T75" s="13">
        <f>IFERROR(_xlfn.XLOOKUP(Selectivo[[#This Row],[DNI]],_VF2025[DNI],_VF2025[R5]),"70 DNC")</f>
        <v>24</v>
      </c>
      <c r="U75" s="13">
        <f>IFERROR(_xlfn.XLOOKUP(Selectivo[[#This Row],[DNI]],_VF2025[DNI],_VF2025[R6]),"70 DNC")</f>
        <v>15</v>
      </c>
      <c r="V75" s="13" t="str" cm="1">
        <f t="array" ref="V75">IFERROR(_xlfn.XLOOKUP(Selectivo[[#This Row],[Vela]],_xlfn.NUMBERVALUE(SIL25v2[Sail '#]),SIL25v2[1]),"90 DNC")</f>
        <v>17</v>
      </c>
      <c r="W75" s="13" t="str" cm="1">
        <f t="array" ref="W75">IFERROR(_xlfn.XLOOKUP(Selectivo[[#This Row],[Vela]],_xlfn.NUMBERVALUE(SIL25v2[Sail '#]),SIL25v2[2]),"90 DNC")</f>
        <v>27</v>
      </c>
      <c r="X75" s="12" t="str" cm="1">
        <f t="array" ref="X75">IFERROR(_xlfn.XLOOKUP(Selectivo[[#This Row],[Vela]],_xlfn.NUMBERVALUE(SIL25v2[Sail '#]),SIL25v2[3]),"90 DNC")</f>
        <v>47</v>
      </c>
      <c r="Y75" s="12" t="str" cm="1">
        <f t="array" ref="Y75">IFERROR(_xlfn.XLOOKUP(Selectivo[[#This Row],[Vela]],_xlfn.NUMBERVALUE(SIL25v2[Sail '#]),SIL25v2[4]),"90 DNC")</f>
        <v>56</v>
      </c>
      <c r="Z75" s="13" t="str" cm="1">
        <f t="array" ref="Z75">IFERROR(_xlfn.XLOOKUP(Selectivo[[#This Row],[Vela]],_xlfn.NUMBERVALUE(SIL25v2[Sail '#]),SIL25v2[5]),"90 DNC")</f>
        <v>21</v>
      </c>
      <c r="AA75" s="13" t="str" cm="1">
        <f t="array" ref="AA75">IFERROR(_xlfn.XLOOKUP(Selectivo[[#This Row],[Vela]],_xlfn.NUMBERVALUE(SIL25v2[Sail '#]),SIL25v2[6]),"90 DNC")</f>
        <v>37</v>
      </c>
      <c r="AB75" s="8" cm="1">
        <f t="array" ref="AB75">SUM(IFERROR(VALUE(LEFT(Regatas, FIND(" ",Regatas&amp; " ") - 1)), 0))</f>
        <v>603</v>
      </c>
      <c r="AC75" s="9" cm="1">
        <f t="array" ref="AC7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456</v>
      </c>
      <c r="AD75" s="6">
        <f>SMALL(RegatasN,1)</f>
        <v>6</v>
      </c>
      <c r="AE75" s="6">
        <f>SMALL(RegatasN,2)</f>
        <v>6</v>
      </c>
      <c r="AF75" s="6">
        <f>SMALL(RegatasN,3)</f>
        <v>15</v>
      </c>
      <c r="AG75" s="5" cm="1">
        <f t="array" ref="AG75">COUNTIF(Regatas,SMALL(Regatas,1))</f>
        <v>2</v>
      </c>
      <c r="AH75" s="6" cm="1">
        <f t="array" ref="AH75">VALUE(LEFT(INDEX(Selectivo[#This Row],,MATCH(Selectivo[[#Headers],[Total]],Selectivo[#Headers],0)-1),SEARCH(" ",INDEX(Selectivo[#This Row],,MATCH(Selectivo[[#Headers],[Total]],Selectivo[#Headers],0)-1)&amp;" ")-1))</f>
        <v>37</v>
      </c>
    </row>
    <row r="76" spans="1:34" x14ac:dyDescent="0.25">
      <c r="A76">
        <v>51261170</v>
      </c>
      <c r="B76" s="10">
        <f>ROW()-ROW(Selectivo[[#Headers],[Pos]])</f>
        <v>70</v>
      </c>
      <c r="C76" s="5">
        <v>4193</v>
      </c>
      <c r="D76" t="s">
        <v>706</v>
      </c>
      <c r="E76" t="s">
        <v>10</v>
      </c>
      <c r="F76" s="13">
        <f>IFERROR(_xlfn.XLOOKUP(Selectivo[[#This Row],[DNI]],_SIY[DNI],_SIY[R1]),"78 DNC")</f>
        <v>21</v>
      </c>
      <c r="G76" s="13">
        <f>IFERROR(_xlfn.XLOOKUP(Selectivo[[#This Row],[DNI]],_SIY[DNI],_SIY[R2]),"78 DNC")</f>
        <v>16</v>
      </c>
      <c r="H76" s="13">
        <f>IFERROR(_xlfn.XLOOKUP(Selectivo[[#This Row],[DNI]],_SIY[DNI],_SIY[R3]),"78 DNC")</f>
        <v>21</v>
      </c>
      <c r="I76" s="13">
        <f>IFERROR(_xlfn.XLOOKUP(Selectivo[[#This Row],[DNI]],_SIY[DNI],_SIY[R4]),"78 DNC")</f>
        <v>20</v>
      </c>
      <c r="J76" s="13">
        <f>IFERROR(_xlfn.XLOOKUP(Selectivo[[#This Row],[DNI]],_SIY[DNI],_SIY[R5]),"78 DNC")</f>
        <v>29</v>
      </c>
      <c r="K76" s="13">
        <f>IFERROR(_xlfn.XLOOKUP(Selectivo[[#This Row],[DNI]],_SIY[DNI],_SIY[R6]),"78 DNC")</f>
        <v>16</v>
      </c>
      <c r="L76" s="13">
        <f>IFERROR(_xlfn.XLOOKUP(Selectivo[[#This Row],[DNI]],_SIY[DNI],_SIY[R7]),"78 DNC")</f>
        <v>24</v>
      </c>
      <c r="M76" s="12">
        <f>IFERROR(_xlfn.XLOOKUP(Selectivo[[#This Row],[DNI]],_SIY[DNI],_SIY[R8]),"78 DNC")</f>
        <v>41</v>
      </c>
      <c r="N76" s="12">
        <f>IFERROR(_xlfn.XLOOKUP(Selectivo[[#This Row],[DNI]],_SIY[DNI],_SIY[R9]),"78 DNC")</f>
        <v>44</v>
      </c>
      <c r="O76" s="13">
        <f>IFERROR(_xlfn.XLOOKUP(Selectivo[[#This Row],[DNI]],_SIY[DNI],_SIY[R10]),"78 DNC")</f>
        <v>38</v>
      </c>
      <c r="P76" s="13">
        <f>IFERROR(_xlfn.XLOOKUP(Selectivo[[#This Row],[DNI]],_VF2025[DNI],_VF2025[R1]),"70 DNC")</f>
        <v>40</v>
      </c>
      <c r="Q76" s="13">
        <f>IFERROR(_xlfn.XLOOKUP(Selectivo[[#This Row],[DNI]],_VF2025[DNI],_VF2025[R2]),"70 DNC")</f>
        <v>24</v>
      </c>
      <c r="R76" s="13">
        <f>IFERROR(_xlfn.XLOOKUP(Selectivo[[#This Row],[DNI]],_VF2025[DNI],_VF2025[R3]),"70 DNC")</f>
        <v>20</v>
      </c>
      <c r="S76" s="13">
        <f>IFERROR(_xlfn.XLOOKUP(Selectivo[[#This Row],[DNI]],_VF2025[DNI],_VF2025[R4]),"70 DNC")</f>
        <v>10</v>
      </c>
      <c r="T76" s="13">
        <f>IFERROR(_xlfn.XLOOKUP(Selectivo[[#This Row],[DNI]],_VF2025[DNI],_VF2025[R5]),"70 DNC")</f>
        <v>26</v>
      </c>
      <c r="U76" s="13">
        <f>IFERROR(_xlfn.XLOOKUP(Selectivo[[#This Row],[DNI]],_VF2025[DNI],_VF2025[R6]),"70 DNC")</f>
        <v>14</v>
      </c>
      <c r="V76" s="12" t="str" cm="1">
        <f t="array" ref="V76">IFERROR(_xlfn.XLOOKUP(Selectivo[[#This Row],[Vela]],_xlfn.NUMBERVALUE(SIL25v2[Sail '#]),SIL25v2[1]),"90 DNC")</f>
        <v>41</v>
      </c>
      <c r="W76" s="13" t="str" cm="1">
        <f t="array" ref="W76">IFERROR(_xlfn.XLOOKUP(Selectivo[[#This Row],[Vela]],_xlfn.NUMBERVALUE(SIL25v2[Sail '#]),SIL25v2[2]),"90 DNC")</f>
        <v>31</v>
      </c>
      <c r="X76" s="13" t="str" cm="1">
        <f t="array" ref="X76">IFERROR(_xlfn.XLOOKUP(Selectivo[[#This Row],[Vela]],_xlfn.NUMBERVALUE(SIL25v2[Sail '#]),SIL25v2[3]),"90 DNC")</f>
        <v>31</v>
      </c>
      <c r="Y76" s="13" t="str" cm="1">
        <f t="array" ref="Y76">IFERROR(_xlfn.XLOOKUP(Selectivo[[#This Row],[Vela]],_xlfn.NUMBERVALUE(SIL25v2[Sail '#]),SIL25v2[4]),"90 DNC")</f>
        <v>32</v>
      </c>
      <c r="Z76" s="13" t="str" cm="1">
        <f t="array" ref="Z76">IFERROR(_xlfn.XLOOKUP(Selectivo[[#This Row],[Vela]],_xlfn.NUMBERVALUE(SIL25v2[Sail '#]),SIL25v2[5]),"90 DNC")</f>
        <v>22</v>
      </c>
      <c r="AA76" s="13" t="str" cm="1">
        <f t="array" ref="AA76">IFERROR(_xlfn.XLOOKUP(Selectivo[[#This Row],[Vela]],_xlfn.NUMBERVALUE(SIL25v2[Sail '#]),SIL25v2[6]),"90 DNC")</f>
        <v>23</v>
      </c>
      <c r="AB76" s="8" cm="1">
        <f t="array" ref="AB76">SUM(IFERROR(VALUE(LEFT(Regatas, FIND(" ",Regatas&amp; " ") - 1)), 0))</f>
        <v>584</v>
      </c>
      <c r="AC76" s="9" cm="1">
        <f t="array" ref="AC7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458</v>
      </c>
      <c r="AD76" s="6">
        <f>SMALL(RegatasN,1)</f>
        <v>10</v>
      </c>
      <c r="AE76" s="6">
        <f>SMALL(RegatasN,2)</f>
        <v>14</v>
      </c>
      <c r="AF76" s="6">
        <f>SMALL(RegatasN,3)</f>
        <v>16</v>
      </c>
      <c r="AG76" s="5" cm="1">
        <f t="array" ref="AG76">COUNTIF(Regatas,SMALL(Regatas,1))</f>
        <v>1</v>
      </c>
      <c r="AH76" s="6" cm="1">
        <f t="array" ref="AH76">VALUE(LEFT(INDEX(Selectivo[#This Row],,MATCH(Selectivo[[#Headers],[Total]],Selectivo[#Headers],0)-1),SEARCH(" ",INDEX(Selectivo[#This Row],,MATCH(Selectivo[[#Headers],[Total]],Selectivo[#Headers],0)-1)&amp;" ")-1))</f>
        <v>23</v>
      </c>
    </row>
    <row r="77" spans="1:34" x14ac:dyDescent="0.25">
      <c r="A77">
        <v>52856304</v>
      </c>
      <c r="B77" s="10">
        <f>ROW()-ROW(Selectivo[[#Headers],[Pos]])</f>
        <v>71</v>
      </c>
      <c r="C77" s="5">
        <v>4049</v>
      </c>
      <c r="D77" t="s">
        <v>662</v>
      </c>
      <c r="E77" t="s">
        <v>7</v>
      </c>
      <c r="F77" s="13">
        <f>IFERROR(_xlfn.XLOOKUP(Selectivo[[#This Row],[DNI]],_SIY[DNI],_SIY[R1]),"78 DNC")</f>
        <v>36</v>
      </c>
      <c r="G77" s="13">
        <f>IFERROR(_xlfn.XLOOKUP(Selectivo[[#This Row],[DNI]],_SIY[DNI],_SIY[R2]),"78 DNC")</f>
        <v>11</v>
      </c>
      <c r="H77" s="13">
        <f>IFERROR(_xlfn.XLOOKUP(Selectivo[[#This Row],[DNI]],_SIY[DNI],_SIY[R3]),"78 DNC")</f>
        <v>28</v>
      </c>
      <c r="I77" s="13">
        <f>IFERROR(_xlfn.XLOOKUP(Selectivo[[#This Row],[DNI]],_SIY[DNI],_SIY[R4]),"78 DNC")</f>
        <v>27</v>
      </c>
      <c r="J77" s="13">
        <f>IFERROR(_xlfn.XLOOKUP(Selectivo[[#This Row],[DNI]],_SIY[DNI],_SIY[R5]),"78 DNC")</f>
        <v>30</v>
      </c>
      <c r="K77" s="13">
        <f>IFERROR(_xlfn.XLOOKUP(Selectivo[[#This Row],[DNI]],_SIY[DNI],_SIY[R6]),"78 DNC")</f>
        <v>20</v>
      </c>
      <c r="L77" s="13">
        <f>IFERROR(_xlfn.XLOOKUP(Selectivo[[#This Row],[DNI]],_SIY[DNI],_SIY[R7]),"78 DNC")</f>
        <v>23</v>
      </c>
      <c r="M77" s="13">
        <f>IFERROR(_xlfn.XLOOKUP(Selectivo[[#This Row],[DNI]],_SIY[DNI],_SIY[R8]),"78 DNC")</f>
        <v>40</v>
      </c>
      <c r="N77" s="13">
        <f>IFERROR(_xlfn.XLOOKUP(Selectivo[[#This Row],[DNI]],_SIY[DNI],_SIY[R9]),"78 DNC")</f>
        <v>10</v>
      </c>
      <c r="O77" s="13">
        <f>IFERROR(_xlfn.XLOOKUP(Selectivo[[#This Row],[DNI]],_SIY[DNI],_SIY[R10]),"78 DNC")</f>
        <v>33</v>
      </c>
      <c r="P77" s="12">
        <f>IFERROR(_xlfn.XLOOKUP(Selectivo[[#This Row],[DNI]],_VF2025[DNI],_VF2025[R1]),"70 DNC")</f>
        <v>43</v>
      </c>
      <c r="Q77" s="13">
        <f>IFERROR(_xlfn.XLOOKUP(Selectivo[[#This Row],[DNI]],_VF2025[DNI],_VF2025[R2]),"70 DNC")</f>
        <v>10</v>
      </c>
      <c r="R77" s="13">
        <f>IFERROR(_xlfn.XLOOKUP(Selectivo[[#This Row],[DNI]],_VF2025[DNI],_VF2025[R3]),"70 DNC")</f>
        <v>37</v>
      </c>
      <c r="S77" s="13">
        <f>IFERROR(_xlfn.XLOOKUP(Selectivo[[#This Row],[DNI]],_VF2025[DNI],_VF2025[R4]),"70 DNC")</f>
        <v>20</v>
      </c>
      <c r="T77" s="13">
        <f>IFERROR(_xlfn.XLOOKUP(Selectivo[[#This Row],[DNI]],_VF2025[DNI],_VF2025[R5]),"70 DNC")</f>
        <v>21</v>
      </c>
      <c r="U77" s="13">
        <f>IFERROR(_xlfn.XLOOKUP(Selectivo[[#This Row],[DNI]],_VF2025[DNI],_VF2025[R6]),"70 DNC")</f>
        <v>32</v>
      </c>
      <c r="V77" s="13" t="str" cm="1">
        <f t="array" ref="V77">IFERROR(_xlfn.XLOOKUP(Selectivo[[#This Row],[Vela]],_xlfn.NUMBERVALUE(SIL25v2[Sail '#]),SIL25v2[1]),"90 DNC")</f>
        <v>1</v>
      </c>
      <c r="W77" s="13" t="str" cm="1">
        <f t="array" ref="W77">IFERROR(_xlfn.XLOOKUP(Selectivo[[#This Row],[Vela]],_xlfn.NUMBERVALUE(SIL25v2[Sail '#]),SIL25v2[2]),"90 DNC")</f>
        <v>29</v>
      </c>
      <c r="X77" s="12" t="str" cm="1">
        <f t="array" ref="X77">IFERROR(_xlfn.XLOOKUP(Selectivo[[#This Row],[Vela]],_xlfn.NUMBERVALUE(SIL25v2[Sail '#]),SIL25v2[3]),"90 DNC")</f>
        <v>48</v>
      </c>
      <c r="Y77" s="13" t="str" cm="1">
        <f t="array" ref="Y77">IFERROR(_xlfn.XLOOKUP(Selectivo[[#This Row],[Vela]],_xlfn.NUMBERVALUE(SIL25v2[Sail '#]),SIL25v2[4]),"90 DNC")</f>
        <v>18</v>
      </c>
      <c r="Z77" s="12" t="str" cm="1">
        <f t="array" ref="Z77">IFERROR(_xlfn.XLOOKUP(Selectivo[[#This Row],[Vela]],_xlfn.NUMBERVALUE(SIL25v2[Sail '#]),SIL25v2[5]),"90 DNC")</f>
        <v>44</v>
      </c>
      <c r="AA77" s="13" t="str" cm="1">
        <f t="array" ref="AA77">IFERROR(_xlfn.XLOOKUP(Selectivo[[#This Row],[Vela]],_xlfn.NUMBERVALUE(SIL25v2[Sail '#]),SIL25v2[6]),"90 DNC")</f>
        <v>33</v>
      </c>
      <c r="AB77" s="8" cm="1">
        <f t="array" ref="AB77">SUM(IFERROR(VALUE(LEFT(Regatas, FIND(" ",Regatas&amp; " ") - 1)), 0))</f>
        <v>594</v>
      </c>
      <c r="AC77" s="9" cm="1">
        <f t="array" ref="AC7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459</v>
      </c>
      <c r="AD77" s="6">
        <f>SMALL(RegatasN,1)</f>
        <v>1</v>
      </c>
      <c r="AE77" s="6">
        <f>SMALL(RegatasN,2)</f>
        <v>10</v>
      </c>
      <c r="AF77" s="6">
        <f>SMALL(RegatasN,3)</f>
        <v>10</v>
      </c>
      <c r="AG77" s="5" cm="1">
        <f t="array" ref="AG77">COUNTIF(Regatas,SMALL(Regatas,1))</f>
        <v>2</v>
      </c>
      <c r="AH77" s="6" cm="1">
        <f t="array" ref="AH77">VALUE(LEFT(INDEX(Selectivo[#This Row],,MATCH(Selectivo[[#Headers],[Total]],Selectivo[#Headers],0)-1),SEARCH(" ",INDEX(Selectivo[#This Row],,MATCH(Selectivo[[#Headers],[Total]],Selectivo[#Headers],0)-1)&amp;" ")-1))</f>
        <v>33</v>
      </c>
    </row>
    <row r="78" spans="1:34" x14ac:dyDescent="0.25">
      <c r="A78">
        <v>52834659</v>
      </c>
      <c r="B78" s="10">
        <f>ROW()-ROW(Selectivo[[#Headers],[Pos]])</f>
        <v>72</v>
      </c>
      <c r="C78" s="5">
        <v>3818</v>
      </c>
      <c r="D78" t="s">
        <v>663</v>
      </c>
      <c r="E78" t="s">
        <v>5</v>
      </c>
      <c r="F78" s="13">
        <f>IFERROR(_xlfn.XLOOKUP(Selectivo[[#This Row],[DNI]],_SIY[DNI],_SIY[R1]),"78 DNC")</f>
        <v>29</v>
      </c>
      <c r="G78" s="13">
        <f>IFERROR(_xlfn.XLOOKUP(Selectivo[[#This Row],[DNI]],_SIY[DNI],_SIY[R2]),"78 DNC")</f>
        <v>37</v>
      </c>
      <c r="H78" s="13">
        <f>IFERROR(_xlfn.XLOOKUP(Selectivo[[#This Row],[DNI]],_SIY[DNI],_SIY[R3]),"78 DNC")</f>
        <v>50</v>
      </c>
      <c r="I78" s="13">
        <f>IFERROR(_xlfn.XLOOKUP(Selectivo[[#This Row],[DNI]],_SIY[DNI],_SIY[R4]),"78 DNC")</f>
        <v>26</v>
      </c>
      <c r="J78" s="13">
        <f>IFERROR(_xlfn.XLOOKUP(Selectivo[[#This Row],[DNI]],_SIY[DNI],_SIY[R5]),"78 DNC")</f>
        <v>22</v>
      </c>
      <c r="K78" s="13">
        <f>IFERROR(_xlfn.XLOOKUP(Selectivo[[#This Row],[DNI]],_SIY[DNI],_SIY[R6]),"78 DNC")</f>
        <v>19</v>
      </c>
      <c r="L78" s="13">
        <f>IFERROR(_xlfn.XLOOKUP(Selectivo[[#This Row],[DNI]],_SIY[DNI],_SIY[R7]),"78 DNC")</f>
        <v>36</v>
      </c>
      <c r="M78" s="13">
        <f>IFERROR(_xlfn.XLOOKUP(Selectivo[[#This Row],[DNI]],_SIY[DNI],_SIY[R8]),"78 DNC")</f>
        <v>54</v>
      </c>
      <c r="N78" s="12" t="str">
        <f>IFERROR(_xlfn.XLOOKUP(Selectivo[[#This Row],[DNI]],_SIY[DNI],_SIY[R9]),"78 DNC")</f>
        <v>77 DNC</v>
      </c>
      <c r="O78" s="12" t="str">
        <f>IFERROR(_xlfn.XLOOKUP(Selectivo[[#This Row],[DNI]],_SIY[DNI],_SIY[R10]),"78 DNC")</f>
        <v>77 DNC</v>
      </c>
      <c r="P78" s="13">
        <f>IFERROR(_xlfn.XLOOKUP(Selectivo[[#This Row],[DNI]],_VF2025[DNI],_VF2025[R1]),"70 DNC")</f>
        <v>7</v>
      </c>
      <c r="Q78" s="13">
        <f>IFERROR(_xlfn.XLOOKUP(Selectivo[[#This Row],[DNI]],_VF2025[DNI],_VF2025[R2]),"70 DNC")</f>
        <v>6</v>
      </c>
      <c r="R78" s="13">
        <f>IFERROR(_xlfn.XLOOKUP(Selectivo[[#This Row],[DNI]],_VF2025[DNI],_VF2025[R3]),"70 DNC")</f>
        <v>36</v>
      </c>
      <c r="S78" s="13">
        <f>IFERROR(_xlfn.XLOOKUP(Selectivo[[#This Row],[DNI]],_VF2025[DNI],_VF2025[R4]),"70 DNC")</f>
        <v>15</v>
      </c>
      <c r="T78" s="13">
        <f>IFERROR(_xlfn.XLOOKUP(Selectivo[[#This Row],[DNI]],_VF2025[DNI],_VF2025[R5]),"70 DNC")</f>
        <v>10</v>
      </c>
      <c r="U78" s="13">
        <f>IFERROR(_xlfn.XLOOKUP(Selectivo[[#This Row],[DNI]],_VF2025[DNI],_VF2025[R6]),"70 DNC")</f>
        <v>20</v>
      </c>
      <c r="V78" s="12" t="str" cm="1">
        <f t="array" ref="V78">IFERROR(_xlfn.XLOOKUP(Selectivo[[#This Row],[Vela]],_xlfn.NUMBERVALUE(SIL25v2[Sail '#]),SIL25v2[1]),"90 DNC")</f>
        <v>57</v>
      </c>
      <c r="W78" s="13" t="str" cm="1">
        <f t="array" ref="W78">IFERROR(_xlfn.XLOOKUP(Selectivo[[#This Row],[Vela]],_xlfn.NUMBERVALUE(SIL25v2[Sail '#]),SIL25v2[2]),"90 DNC")</f>
        <v>16</v>
      </c>
      <c r="X78" s="13" t="str" cm="1">
        <f t="array" ref="X78">IFERROR(_xlfn.XLOOKUP(Selectivo[[#This Row],[Vela]],_xlfn.NUMBERVALUE(SIL25v2[Sail '#]),SIL25v2[3]),"90 DNC")</f>
        <v>9</v>
      </c>
      <c r="Y78" s="13" t="str" cm="1">
        <f t="array" ref="Y78">IFERROR(_xlfn.XLOOKUP(Selectivo[[#This Row],[Vela]],_xlfn.NUMBERVALUE(SIL25v2[Sail '#]),SIL25v2[4]),"90 DNC")</f>
        <v>26</v>
      </c>
      <c r="Z78" s="13" t="str" cm="1">
        <f t="array" ref="Z78">IFERROR(_xlfn.XLOOKUP(Selectivo[[#This Row],[Vela]],_xlfn.NUMBERVALUE(SIL25v2[Sail '#]),SIL25v2[5]),"90 DNC")</f>
        <v>17</v>
      </c>
      <c r="AA78" s="13" t="str" cm="1">
        <f t="array" ref="AA78">IFERROR(_xlfn.XLOOKUP(Selectivo[[#This Row],[Vela]],_xlfn.NUMBERVALUE(SIL25v2[Sail '#]),SIL25v2[6]),"90 DNC")</f>
        <v>25</v>
      </c>
      <c r="AB78" s="8" cm="1">
        <f t="array" ref="AB78">SUM(IFERROR(VALUE(LEFT(Regatas, FIND(" ",Regatas&amp; " ") - 1)), 0))</f>
        <v>671</v>
      </c>
      <c r="AC78" s="9" cm="1">
        <f t="array" ref="AC7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460</v>
      </c>
      <c r="AD78" s="6">
        <f>SMALL(RegatasN,1)</f>
        <v>6</v>
      </c>
      <c r="AE78" s="6">
        <f>SMALL(RegatasN,2)</f>
        <v>7</v>
      </c>
      <c r="AF78" s="6">
        <f>SMALL(RegatasN,3)</f>
        <v>9</v>
      </c>
      <c r="AG78" s="5" cm="1">
        <f t="array" ref="AG78">COUNTIF(Regatas,SMALL(Regatas,1))</f>
        <v>1</v>
      </c>
      <c r="AH78" s="6" cm="1">
        <f t="array" ref="AH78">VALUE(LEFT(INDEX(Selectivo[#This Row],,MATCH(Selectivo[[#Headers],[Total]],Selectivo[#Headers],0)-1),SEARCH(" ",INDEX(Selectivo[#This Row],,MATCH(Selectivo[[#Headers],[Total]],Selectivo[#Headers],0)-1)&amp;" ")-1))</f>
        <v>25</v>
      </c>
    </row>
    <row r="79" spans="1:34" x14ac:dyDescent="0.25">
      <c r="A79">
        <v>52159528</v>
      </c>
      <c r="B79" s="10">
        <f>ROW()-ROW(Selectivo[[#Headers],[Pos]])</f>
        <v>73</v>
      </c>
      <c r="C79" s="5">
        <v>4162</v>
      </c>
      <c r="D79" t="s">
        <v>674</v>
      </c>
      <c r="E79" t="s">
        <v>13</v>
      </c>
      <c r="F79" s="13">
        <f>IFERROR(_xlfn.XLOOKUP(Selectivo[[#This Row],[DNI]],_SIY[DNI],_SIY[R1]),"78 DNC")</f>
        <v>21</v>
      </c>
      <c r="G79" s="13">
        <f>IFERROR(_xlfn.XLOOKUP(Selectivo[[#This Row],[DNI]],_SIY[DNI],_SIY[R2]),"78 DNC")</f>
        <v>24</v>
      </c>
      <c r="H79" s="13">
        <f>IFERROR(_xlfn.XLOOKUP(Selectivo[[#This Row],[DNI]],_SIY[DNI],_SIY[R3]),"78 DNC")</f>
        <v>43</v>
      </c>
      <c r="I79" s="13">
        <f>IFERROR(_xlfn.XLOOKUP(Selectivo[[#This Row],[DNI]],_SIY[DNI],_SIY[R4]),"78 DNC")</f>
        <v>17</v>
      </c>
      <c r="J79" s="13">
        <f>IFERROR(_xlfn.XLOOKUP(Selectivo[[#This Row],[DNI]],_SIY[DNI],_SIY[R5]),"78 DNC")</f>
        <v>14</v>
      </c>
      <c r="K79" s="13">
        <f>IFERROR(_xlfn.XLOOKUP(Selectivo[[#This Row],[DNI]],_SIY[DNI],_SIY[R6]),"78 DNC")</f>
        <v>29</v>
      </c>
      <c r="L79" s="13">
        <f>IFERROR(_xlfn.XLOOKUP(Selectivo[[#This Row],[DNI]],_SIY[DNI],_SIY[R7]),"78 DNC")</f>
        <v>14</v>
      </c>
      <c r="M79" s="13">
        <f>IFERROR(_xlfn.XLOOKUP(Selectivo[[#This Row],[DNI]],_SIY[DNI],_SIY[R8]),"78 DNC")</f>
        <v>31</v>
      </c>
      <c r="N79" s="13">
        <f>IFERROR(_xlfn.XLOOKUP(Selectivo[[#This Row],[DNI]],_SIY[DNI],_SIY[R9]),"78 DNC")</f>
        <v>9</v>
      </c>
      <c r="O79" s="13">
        <f>IFERROR(_xlfn.XLOOKUP(Selectivo[[#This Row],[DNI]],_SIY[DNI],_SIY[R10]),"78 DNC")</f>
        <v>7</v>
      </c>
      <c r="P79" s="13">
        <f>IFERROR(_xlfn.XLOOKUP(Selectivo[[#This Row],[DNI]],_VF2025[DNI],_VF2025[R1]),"70 DNC")</f>
        <v>31</v>
      </c>
      <c r="Q79" s="13">
        <f>IFERROR(_xlfn.XLOOKUP(Selectivo[[#This Row],[DNI]],_VF2025[DNI],_VF2025[R2]),"70 DNC")</f>
        <v>37</v>
      </c>
      <c r="R79" s="13">
        <f>IFERROR(_xlfn.XLOOKUP(Selectivo[[#This Row],[DNI]],_VF2025[DNI],_VF2025[R3]),"70 DNC")</f>
        <v>26</v>
      </c>
      <c r="S79" s="12" t="str">
        <f>IFERROR(_xlfn.XLOOKUP(Selectivo[[#This Row],[DNI]],_VF2025[DNI],_VF2025[R4]),"70 DNC")</f>
        <v>70 DNC</v>
      </c>
      <c r="T79" s="12" t="str">
        <f>IFERROR(_xlfn.XLOOKUP(Selectivo[[#This Row],[DNI]],_VF2025[DNI],_VF2025[R5]),"70 DNC")</f>
        <v>70 BFD</v>
      </c>
      <c r="U79" s="13" t="str">
        <f>IFERROR(_xlfn.XLOOKUP(Selectivo[[#This Row],[DNI]],_VF2025[DNI],_VF2025[R6]),"70 DNC")</f>
        <v>70 BFD</v>
      </c>
      <c r="V79" s="12" t="str" cm="1">
        <f t="array" ref="V79">IFERROR(_xlfn.XLOOKUP(Selectivo[[#This Row],[Vela]],_xlfn.NUMBERVALUE(SIL25v2[Sail '#]),SIL25v2[1]),"90 DNC")</f>
        <v>89 BFD</v>
      </c>
      <c r="W79" s="13" t="str" cm="1">
        <f t="array" ref="W79">IFERROR(_xlfn.XLOOKUP(Selectivo[[#This Row],[Vela]],_xlfn.NUMBERVALUE(SIL25v2[Sail '#]),SIL25v2[2]),"90 DNC")</f>
        <v>17</v>
      </c>
      <c r="X79" s="13" t="str" cm="1">
        <f t="array" ref="X79">IFERROR(_xlfn.XLOOKUP(Selectivo[[#This Row],[Vela]],_xlfn.NUMBERVALUE(SIL25v2[Sail '#]),SIL25v2[3]),"90 DNC")</f>
        <v>45</v>
      </c>
      <c r="Y79" s="13" t="str" cm="1">
        <f t="array" ref="Y79">IFERROR(_xlfn.XLOOKUP(Selectivo[[#This Row],[Vela]],_xlfn.NUMBERVALUE(SIL25v2[Sail '#]),SIL25v2[4]),"90 DNC")</f>
        <v>13</v>
      </c>
      <c r="Z79" s="13" t="str" cm="1">
        <f t="array" ref="Z79">IFERROR(_xlfn.XLOOKUP(Selectivo[[#This Row],[Vela]],_xlfn.NUMBERVALUE(SIL25v2[Sail '#]),SIL25v2[5]),"90 DNC")</f>
        <v>11</v>
      </c>
      <c r="AA79" s="13" t="str" cm="1">
        <f t="array" ref="AA79">IFERROR(_xlfn.XLOOKUP(Selectivo[[#This Row],[Vela]],_xlfn.NUMBERVALUE(SIL25v2[Sail '#]),SIL25v2[6]),"90 DNC")</f>
        <v>8</v>
      </c>
      <c r="AB79" s="8" cm="1">
        <f t="array" ref="AB79">SUM(IFERROR(VALUE(LEFT(Regatas, FIND(" ",Regatas&amp; " ") - 1)), 0))</f>
        <v>696</v>
      </c>
      <c r="AC79" s="9" cm="1">
        <f t="array" ref="AC7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467</v>
      </c>
      <c r="AD79" s="6">
        <f>SMALL(RegatasN,1)</f>
        <v>7</v>
      </c>
      <c r="AE79" s="6">
        <f>SMALL(RegatasN,2)</f>
        <v>8</v>
      </c>
      <c r="AF79" s="6">
        <f>SMALL(RegatasN,3)</f>
        <v>9</v>
      </c>
      <c r="AG79" s="5" cm="1">
        <f t="array" ref="AG79">COUNTIF(Regatas,SMALL(Regatas,1))</f>
        <v>1</v>
      </c>
      <c r="AH79" s="6" cm="1">
        <f t="array" ref="AH79">VALUE(LEFT(INDEX(Selectivo[#This Row],,MATCH(Selectivo[[#Headers],[Total]],Selectivo[#Headers],0)-1),SEARCH(" ",INDEX(Selectivo[#This Row],,MATCH(Selectivo[[#Headers],[Total]],Selectivo[#Headers],0)-1)&amp;" ")-1))</f>
        <v>8</v>
      </c>
    </row>
    <row r="80" spans="1:34" x14ac:dyDescent="0.25">
      <c r="A80">
        <v>50416545</v>
      </c>
      <c r="B80" s="10">
        <f>ROW()-ROW(Selectivo[[#Headers],[Pos]])</f>
        <v>74</v>
      </c>
      <c r="C80" s="5">
        <v>3642</v>
      </c>
      <c r="D80" t="s">
        <v>726</v>
      </c>
      <c r="E80" t="s">
        <v>22</v>
      </c>
      <c r="F80" s="12" t="str">
        <f>IFERROR(_xlfn.XLOOKUP(Selectivo[[#This Row],[DNI]],_SIY[DNI],_SIY[R1]),"78 DNC")</f>
        <v>77 UFD</v>
      </c>
      <c r="G80" s="13">
        <f>IFERROR(_xlfn.XLOOKUP(Selectivo[[#This Row],[DNI]],_SIY[DNI],_SIY[R2]),"78 DNC")</f>
        <v>17</v>
      </c>
      <c r="H80" s="13">
        <f>IFERROR(_xlfn.XLOOKUP(Selectivo[[#This Row],[DNI]],_SIY[DNI],_SIY[R3]),"78 DNC")</f>
        <v>19</v>
      </c>
      <c r="I80" s="13">
        <f>IFERROR(_xlfn.XLOOKUP(Selectivo[[#This Row],[DNI]],_SIY[DNI],_SIY[R4]),"78 DNC")</f>
        <v>29</v>
      </c>
      <c r="J80" s="13">
        <f>IFERROR(_xlfn.XLOOKUP(Selectivo[[#This Row],[DNI]],_SIY[DNI],_SIY[R5]),"78 DNC")</f>
        <v>7</v>
      </c>
      <c r="K80" s="13">
        <f>IFERROR(_xlfn.XLOOKUP(Selectivo[[#This Row],[DNI]],_SIY[DNI],_SIY[R6]),"78 DNC")</f>
        <v>29</v>
      </c>
      <c r="L80" s="13">
        <f>IFERROR(_xlfn.XLOOKUP(Selectivo[[#This Row],[DNI]],_SIY[DNI],_SIY[R7]),"78 DNC")</f>
        <v>26</v>
      </c>
      <c r="M80" s="13">
        <f>IFERROR(_xlfn.XLOOKUP(Selectivo[[#This Row],[DNI]],_SIY[DNI],_SIY[R8]),"78 DNC")</f>
        <v>22</v>
      </c>
      <c r="N80" s="12">
        <f>IFERROR(_xlfn.XLOOKUP(Selectivo[[#This Row],[DNI]],_SIY[DNI],_SIY[R9]),"78 DNC")</f>
        <v>60</v>
      </c>
      <c r="O80" s="13">
        <f>IFERROR(_xlfn.XLOOKUP(Selectivo[[#This Row],[DNI]],_SIY[DNI],_SIY[R10]),"78 DNC")</f>
        <v>19</v>
      </c>
      <c r="P80" s="13">
        <f>IFERROR(_xlfn.XLOOKUP(Selectivo[[#This Row],[DNI]],_VF2025[DNI],_VF2025[R1]),"70 DNC")</f>
        <v>23</v>
      </c>
      <c r="Q80" s="13">
        <f>IFERROR(_xlfn.XLOOKUP(Selectivo[[#This Row],[DNI]],_VF2025[DNI],_VF2025[R2]),"70 DNC")</f>
        <v>29</v>
      </c>
      <c r="R80" s="13">
        <f>IFERROR(_xlfn.XLOOKUP(Selectivo[[#This Row],[DNI]],_VF2025[DNI],_VF2025[R3]),"70 DNC")</f>
        <v>14</v>
      </c>
      <c r="S80" s="13">
        <f>IFERROR(_xlfn.XLOOKUP(Selectivo[[#This Row],[DNI]],_VF2025[DNI],_VF2025[R4]),"70 DNC")</f>
        <v>41</v>
      </c>
      <c r="T80" s="13">
        <f>IFERROR(_xlfn.XLOOKUP(Selectivo[[#This Row],[DNI]],_VF2025[DNI],_VF2025[R5]),"70 DNC")</f>
        <v>8</v>
      </c>
      <c r="U80" s="13">
        <f>IFERROR(_xlfn.XLOOKUP(Selectivo[[#This Row],[DNI]],_VF2025[DNI],_VF2025[R6]),"70 DNC")</f>
        <v>8</v>
      </c>
      <c r="V80" s="13" t="str" cm="1">
        <f t="array" ref="V80">IFERROR(_xlfn.XLOOKUP(Selectivo[[#This Row],[Vela]],_xlfn.NUMBERVALUE(SIL25v2[Sail '#]),SIL25v2[1]),"90 DNC")</f>
        <v>44</v>
      </c>
      <c r="W80" s="13" t="str" cm="1">
        <f t="array" ref="W80">IFERROR(_xlfn.XLOOKUP(Selectivo[[#This Row],[Vela]],_xlfn.NUMBERVALUE(SIL25v2[Sail '#]),SIL25v2[2]),"90 DNC")</f>
        <v>59</v>
      </c>
      <c r="X80" s="13" t="str" cm="1">
        <f t="array" ref="X80">IFERROR(_xlfn.XLOOKUP(Selectivo[[#This Row],[Vela]],_xlfn.NUMBERVALUE(SIL25v2[Sail '#]),SIL25v2[3]),"90 DNC")</f>
        <v>11</v>
      </c>
      <c r="Y80" s="13" t="str" cm="1">
        <f t="array" ref="Y80">IFERROR(_xlfn.XLOOKUP(Selectivo[[#This Row],[Vela]],_xlfn.NUMBERVALUE(SIL25v2[Sail '#]),SIL25v2[4]),"90 DNC")</f>
        <v>17</v>
      </c>
      <c r="Z80" s="13" t="str" cm="1">
        <f t="array" ref="Z80">IFERROR(_xlfn.XLOOKUP(Selectivo[[#This Row],[Vela]],_xlfn.NUMBERVALUE(SIL25v2[Sail '#]),SIL25v2[5]),"90 DNC")</f>
        <v>49</v>
      </c>
      <c r="AA80" s="12" t="str" cm="1">
        <f t="array" ref="AA80">IFERROR(_xlfn.XLOOKUP(Selectivo[[#This Row],[Vela]],_xlfn.NUMBERVALUE(SIL25v2[Sail '#]),SIL25v2[6]),"90 DNC")</f>
        <v>60</v>
      </c>
      <c r="AB80" s="8" cm="1">
        <f t="array" ref="AB80">SUM(IFERROR(VALUE(LEFT(Regatas, FIND(" ",Regatas&amp; " ") - 1)), 0))</f>
        <v>668</v>
      </c>
      <c r="AC80" s="9" cm="1">
        <f t="array" ref="AC8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471</v>
      </c>
      <c r="AD80" s="6">
        <f>SMALL(RegatasN,1)</f>
        <v>7</v>
      </c>
      <c r="AE80" s="6">
        <f>SMALL(RegatasN,2)</f>
        <v>8</v>
      </c>
      <c r="AF80" s="6">
        <f>SMALL(RegatasN,3)</f>
        <v>8</v>
      </c>
      <c r="AG80" s="5" cm="1">
        <f t="array" ref="AG80">COUNTIF(Regatas,SMALL(Regatas,1))</f>
        <v>1</v>
      </c>
      <c r="AH80" s="6" cm="1">
        <f t="array" ref="AH80">VALUE(LEFT(INDEX(Selectivo[#This Row],,MATCH(Selectivo[[#Headers],[Total]],Selectivo[#Headers],0)-1),SEARCH(" ",INDEX(Selectivo[#This Row],,MATCH(Selectivo[[#Headers],[Total]],Selectivo[#Headers],0)-1)&amp;" ")-1))</f>
        <v>60</v>
      </c>
    </row>
    <row r="81" spans="1:34" x14ac:dyDescent="0.25">
      <c r="A81">
        <v>50436482</v>
      </c>
      <c r="B81" s="10">
        <f>ROW()-ROW(Selectivo[[#Headers],[Pos]])</f>
        <v>75</v>
      </c>
      <c r="C81" s="5">
        <v>4089</v>
      </c>
      <c r="D81" t="s">
        <v>595</v>
      </c>
      <c r="E81" t="s">
        <v>67</v>
      </c>
      <c r="F81" s="13">
        <f>IFERROR(_xlfn.XLOOKUP(Selectivo[[#This Row],[DNI]],_SIY[DNI],_SIY[R1]),"78 DNC")</f>
        <v>35</v>
      </c>
      <c r="G81" s="13">
        <f>IFERROR(_xlfn.XLOOKUP(Selectivo[[#This Row],[DNI]],_SIY[DNI],_SIY[R2]),"78 DNC")</f>
        <v>25</v>
      </c>
      <c r="H81" s="13">
        <f>IFERROR(_xlfn.XLOOKUP(Selectivo[[#This Row],[DNI]],_SIY[DNI],_SIY[R3]),"78 DNC")</f>
        <v>32</v>
      </c>
      <c r="I81" s="12">
        <f>IFERROR(_xlfn.XLOOKUP(Selectivo[[#This Row],[DNI]],_SIY[DNI],_SIY[R4]),"78 DNC")</f>
        <v>48</v>
      </c>
      <c r="J81" s="13">
        <f>IFERROR(_xlfn.XLOOKUP(Selectivo[[#This Row],[DNI]],_SIY[DNI],_SIY[R5]),"78 DNC")</f>
        <v>34</v>
      </c>
      <c r="K81" s="13">
        <f>IFERROR(_xlfn.XLOOKUP(Selectivo[[#This Row],[DNI]],_SIY[DNI],_SIY[R6]),"78 DNC")</f>
        <v>35</v>
      </c>
      <c r="L81" s="13">
        <f>IFERROR(_xlfn.XLOOKUP(Selectivo[[#This Row],[DNI]],_SIY[DNI],_SIY[R7]),"78 DNC")</f>
        <v>39</v>
      </c>
      <c r="M81" s="12" t="str">
        <f>IFERROR(_xlfn.XLOOKUP(Selectivo[[#This Row],[DNI]],_SIY[DNI],_SIY[R8]),"78 DNC")</f>
        <v>77 BFD</v>
      </c>
      <c r="N81" s="13">
        <f>IFERROR(_xlfn.XLOOKUP(Selectivo[[#This Row],[DNI]],_SIY[DNI],_SIY[R9]),"78 DNC")</f>
        <v>11</v>
      </c>
      <c r="O81" s="13">
        <f>IFERROR(_xlfn.XLOOKUP(Selectivo[[#This Row],[DNI]],_SIY[DNI],_SIY[R10]),"78 DNC")</f>
        <v>9</v>
      </c>
      <c r="P81" s="13">
        <f>IFERROR(_xlfn.XLOOKUP(Selectivo[[#This Row],[DNI]],_VF2025[DNI],_VF2025[R1]),"70 DNC")</f>
        <v>25</v>
      </c>
      <c r="Q81" s="13">
        <f>IFERROR(_xlfn.XLOOKUP(Selectivo[[#This Row],[DNI]],_VF2025[DNI],_VF2025[R2]),"70 DNC")</f>
        <v>19</v>
      </c>
      <c r="R81" s="13">
        <f>IFERROR(_xlfn.XLOOKUP(Selectivo[[#This Row],[DNI]],_VF2025[DNI],_VF2025[R3]),"70 DNC")</f>
        <v>9</v>
      </c>
      <c r="S81" s="12" t="str">
        <f>IFERROR(_xlfn.XLOOKUP(Selectivo[[#This Row],[DNI]],_VF2025[DNI],_VF2025[R4]),"70 DNC")</f>
        <v>70 UFD</v>
      </c>
      <c r="T81" s="13">
        <f>IFERROR(_xlfn.XLOOKUP(Selectivo[[#This Row],[DNI]],_VF2025[DNI],_VF2025[R5]),"70 DNC")</f>
        <v>17</v>
      </c>
      <c r="U81" s="13">
        <f>IFERROR(_xlfn.XLOOKUP(Selectivo[[#This Row],[DNI]],_VF2025[DNI],_VF2025[R6]),"70 DNC")</f>
        <v>20</v>
      </c>
      <c r="V81" s="13" t="str" cm="1">
        <f t="array" ref="V81">IFERROR(_xlfn.XLOOKUP(Selectivo[[#This Row],[Vela]],_xlfn.NUMBERVALUE(SIL25v2[Sail '#]),SIL25v2[1]),"90 DNC")</f>
        <v>41</v>
      </c>
      <c r="W81" s="13" t="str" cm="1">
        <f t="array" ref="W81">IFERROR(_xlfn.XLOOKUP(Selectivo[[#This Row],[Vela]],_xlfn.NUMBERVALUE(SIL25v2[Sail '#]),SIL25v2[2]),"90 DNC")</f>
        <v>36</v>
      </c>
      <c r="X81" s="13" t="str" cm="1">
        <f t="array" ref="X81">IFERROR(_xlfn.XLOOKUP(Selectivo[[#This Row],[Vela]],_xlfn.NUMBERVALUE(SIL25v2[Sail '#]),SIL25v2[3]),"90 DNC")</f>
        <v>24</v>
      </c>
      <c r="Y81" s="13" t="str" cm="1">
        <f t="array" ref="Y81">IFERROR(_xlfn.XLOOKUP(Selectivo[[#This Row],[Vela]],_xlfn.NUMBERVALUE(SIL25v2[Sail '#]),SIL25v2[4]),"90 DNC")</f>
        <v>9</v>
      </c>
      <c r="Z81" s="13" t="str" cm="1">
        <f t="array" ref="Z81">IFERROR(_xlfn.XLOOKUP(Selectivo[[#This Row],[Vela]],_xlfn.NUMBERVALUE(SIL25v2[Sail '#]),SIL25v2[5]),"90 DNC")</f>
        <v>16</v>
      </c>
      <c r="AA81" s="13" t="str" cm="1">
        <f t="array" ref="AA81">IFERROR(_xlfn.XLOOKUP(Selectivo[[#This Row],[Vela]],_xlfn.NUMBERVALUE(SIL25v2[Sail '#]),SIL25v2[6]),"90 DNC")</f>
        <v>46</v>
      </c>
      <c r="AB81" s="8" cm="1">
        <f t="array" ref="AB81">SUM(IFERROR(VALUE(LEFT(Regatas, FIND(" ",Regatas&amp; " ") - 1)), 0))</f>
        <v>677</v>
      </c>
      <c r="AC81" s="9" cm="1">
        <f t="array" ref="AC8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482</v>
      </c>
      <c r="AD81" s="6">
        <f>SMALL(RegatasN,1)</f>
        <v>9</v>
      </c>
      <c r="AE81" s="6">
        <f>SMALL(RegatasN,2)</f>
        <v>9</v>
      </c>
      <c r="AF81" s="6">
        <f>SMALL(RegatasN,3)</f>
        <v>9</v>
      </c>
      <c r="AG81" s="5" cm="1">
        <f t="array" ref="AG81">COUNTIF(Regatas,SMALL(Regatas,1))</f>
        <v>3</v>
      </c>
      <c r="AH81" s="6" cm="1">
        <f t="array" ref="AH81">VALUE(LEFT(INDEX(Selectivo[#This Row],,MATCH(Selectivo[[#Headers],[Total]],Selectivo[#Headers],0)-1),SEARCH(" ",INDEX(Selectivo[#This Row],,MATCH(Selectivo[[#Headers],[Total]],Selectivo[#Headers],0)-1)&amp;" ")-1))</f>
        <v>46</v>
      </c>
    </row>
    <row r="82" spans="1:34" x14ac:dyDescent="0.25">
      <c r="A82">
        <v>50740287</v>
      </c>
      <c r="B82" s="10">
        <f>ROW()-ROW(Selectivo[[#Headers],[Pos]])</f>
        <v>76</v>
      </c>
      <c r="C82" s="5">
        <v>4203</v>
      </c>
      <c r="D82" t="s">
        <v>588</v>
      </c>
      <c r="E82" t="s">
        <v>7</v>
      </c>
      <c r="F82" s="13">
        <f>IFERROR(_xlfn.XLOOKUP(Selectivo[[#This Row],[DNI]],_SIY[DNI],_SIY[R1]),"78 DNC")</f>
        <v>17</v>
      </c>
      <c r="G82" s="12" t="str">
        <f>IFERROR(_xlfn.XLOOKUP(Selectivo[[#This Row],[DNI]],_SIY[DNI],_SIY[R2]),"78 DNC")</f>
        <v>77 DNC</v>
      </c>
      <c r="H82" s="13">
        <f>IFERROR(_xlfn.XLOOKUP(Selectivo[[#This Row],[DNI]],_SIY[DNI],_SIY[R3]),"78 DNC")</f>
        <v>15</v>
      </c>
      <c r="I82" s="13">
        <f>IFERROR(_xlfn.XLOOKUP(Selectivo[[#This Row],[DNI]],_SIY[DNI],_SIY[R4]),"78 DNC")</f>
        <v>19</v>
      </c>
      <c r="J82" s="13">
        <f>IFERROR(_xlfn.XLOOKUP(Selectivo[[#This Row],[DNI]],_SIY[DNI],_SIY[R5]),"78 DNC")</f>
        <v>18</v>
      </c>
      <c r="K82" s="13">
        <f>IFERROR(_xlfn.XLOOKUP(Selectivo[[#This Row],[DNI]],_SIY[DNI],_SIY[R6]),"78 DNC")</f>
        <v>25</v>
      </c>
      <c r="L82" s="13">
        <f>IFERROR(_xlfn.XLOOKUP(Selectivo[[#This Row],[DNI]],_SIY[DNI],_SIY[R7]),"78 DNC")</f>
        <v>25</v>
      </c>
      <c r="M82" s="13">
        <f>IFERROR(_xlfn.XLOOKUP(Selectivo[[#This Row],[DNI]],_SIY[DNI],_SIY[R8]),"78 DNC")</f>
        <v>36</v>
      </c>
      <c r="N82" s="13">
        <f>IFERROR(_xlfn.XLOOKUP(Selectivo[[#This Row],[DNI]],_SIY[DNI],_SIY[R9]),"78 DNC")</f>
        <v>21</v>
      </c>
      <c r="O82" s="13">
        <f>IFERROR(_xlfn.XLOOKUP(Selectivo[[#This Row],[DNI]],_SIY[DNI],_SIY[R10]),"78 DNC")</f>
        <v>28</v>
      </c>
      <c r="P82" s="13">
        <f>IFERROR(_xlfn.XLOOKUP(Selectivo[[#This Row],[DNI]],_VF2025[DNI],_VF2025[R1]),"70 DNC")</f>
        <v>24</v>
      </c>
      <c r="Q82" s="13">
        <f>IFERROR(_xlfn.XLOOKUP(Selectivo[[#This Row],[DNI]],_VF2025[DNI],_VF2025[R2]),"70 DNC")</f>
        <v>37</v>
      </c>
      <c r="R82" s="13">
        <f>IFERROR(_xlfn.XLOOKUP(Selectivo[[#This Row],[DNI]],_VF2025[DNI],_VF2025[R3]),"70 DNC")</f>
        <v>33</v>
      </c>
      <c r="S82" s="13">
        <f>IFERROR(_xlfn.XLOOKUP(Selectivo[[#This Row],[DNI]],_VF2025[DNI],_VF2025[R4]),"70 DNC")</f>
        <v>22</v>
      </c>
      <c r="T82" s="13">
        <f>IFERROR(_xlfn.XLOOKUP(Selectivo[[#This Row],[DNI]],_VF2025[DNI],_VF2025[R5]),"70 DNC")</f>
        <v>28</v>
      </c>
      <c r="U82" s="13">
        <f>IFERROR(_xlfn.XLOOKUP(Selectivo[[#This Row],[DNI]],_VF2025[DNI],_VF2025[R6]),"70 DNC")</f>
        <v>26</v>
      </c>
      <c r="V82" s="13" t="str" cm="1">
        <f t="array" ref="V82">IFERROR(_xlfn.XLOOKUP(Selectivo[[#This Row],[Vela]],_xlfn.NUMBERVALUE(SIL25v2[Sail '#]),SIL25v2[1]),"90 DNC")</f>
        <v>15</v>
      </c>
      <c r="W82" s="13" t="str" cm="1">
        <f t="array" ref="W82">IFERROR(_xlfn.XLOOKUP(Selectivo[[#This Row],[Vela]],_xlfn.NUMBERVALUE(SIL25v2[Sail '#]),SIL25v2[2]),"90 DNC")</f>
        <v>36</v>
      </c>
      <c r="X82" s="13" t="str" cm="1">
        <f t="array" ref="X82">IFERROR(_xlfn.XLOOKUP(Selectivo[[#This Row],[Vela]],_xlfn.NUMBERVALUE(SIL25v2[Sail '#]),SIL25v2[3]),"90 DNC")</f>
        <v>28</v>
      </c>
      <c r="Y82" s="13" t="str" cm="1">
        <f t="array" ref="Y82">IFERROR(_xlfn.XLOOKUP(Selectivo[[#This Row],[Vela]],_xlfn.NUMBERVALUE(SIL25v2[Sail '#]),SIL25v2[4]),"90 DNC")</f>
        <v>40</v>
      </c>
      <c r="Z82" s="12" t="str" cm="1">
        <f t="array" ref="Z82">IFERROR(_xlfn.XLOOKUP(Selectivo[[#This Row],[Vela]],_xlfn.NUMBERVALUE(SIL25v2[Sail '#]),SIL25v2[5]),"90 DNC")</f>
        <v>59</v>
      </c>
      <c r="AA82" s="12" t="str" cm="1">
        <f t="array" ref="AA82">IFERROR(_xlfn.XLOOKUP(Selectivo[[#This Row],[Vela]],_xlfn.NUMBERVALUE(SIL25v2[Sail '#]),SIL25v2[6]),"90 DNC")</f>
        <v>43</v>
      </c>
      <c r="AB82" s="8" cm="1">
        <f t="array" ref="AB82">SUM(IFERROR(VALUE(LEFT(Regatas, FIND(" ",Regatas&amp; " ") - 1)), 0))</f>
        <v>672</v>
      </c>
      <c r="AC82" s="9" cm="1">
        <f t="array" ref="AC8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493</v>
      </c>
      <c r="AD82" s="6">
        <f>SMALL(RegatasN,1)</f>
        <v>15</v>
      </c>
      <c r="AE82" s="6">
        <f>SMALL(RegatasN,2)</f>
        <v>15</v>
      </c>
      <c r="AF82" s="6">
        <f>SMALL(RegatasN,3)</f>
        <v>17</v>
      </c>
      <c r="AG82" s="5" cm="1">
        <f t="array" ref="AG82">COUNTIF(Regatas,SMALL(Regatas,1))</f>
        <v>2</v>
      </c>
      <c r="AH82" s="6" cm="1">
        <f t="array" ref="AH82">VALUE(LEFT(INDEX(Selectivo[#This Row],,MATCH(Selectivo[[#Headers],[Total]],Selectivo[#Headers],0)-1),SEARCH(" ",INDEX(Selectivo[#This Row],,MATCH(Selectivo[[#Headers],[Total]],Selectivo[#Headers],0)-1)&amp;" ")-1))</f>
        <v>43</v>
      </c>
    </row>
    <row r="83" spans="1:34" x14ac:dyDescent="0.25">
      <c r="A83">
        <v>53218075</v>
      </c>
      <c r="B83" s="10">
        <f>ROW()-ROW(Selectivo[[#Headers],[Pos]])</f>
        <v>77</v>
      </c>
      <c r="C83" s="5">
        <v>4042</v>
      </c>
      <c r="D83" t="s">
        <v>740</v>
      </c>
      <c r="E83" t="s">
        <v>11</v>
      </c>
      <c r="F83" s="13">
        <f>IFERROR(_xlfn.XLOOKUP(Selectivo[[#This Row],[DNI]],_SIY[DNI],_SIY[R1]),"78 DNC")</f>
        <v>38</v>
      </c>
      <c r="G83" s="13">
        <f>IFERROR(_xlfn.XLOOKUP(Selectivo[[#This Row],[DNI]],_SIY[DNI],_SIY[R2]),"78 DNC")</f>
        <v>22</v>
      </c>
      <c r="H83" s="13">
        <f>IFERROR(_xlfn.XLOOKUP(Selectivo[[#This Row],[DNI]],_SIY[DNI],_SIY[R3]),"78 DNC")</f>
        <v>41</v>
      </c>
      <c r="I83" s="13">
        <f>IFERROR(_xlfn.XLOOKUP(Selectivo[[#This Row],[DNI]],_SIY[DNI],_SIY[R4]),"78 DNC")</f>
        <v>39</v>
      </c>
      <c r="J83" s="13">
        <f>IFERROR(_xlfn.XLOOKUP(Selectivo[[#This Row],[DNI]],_SIY[DNI],_SIY[R5]),"78 DNC")</f>
        <v>39</v>
      </c>
      <c r="K83" s="12">
        <f>IFERROR(_xlfn.XLOOKUP(Selectivo[[#This Row],[DNI]],_SIY[DNI],_SIY[R6]),"78 DNC")</f>
        <v>52</v>
      </c>
      <c r="L83" s="13">
        <f>IFERROR(_xlfn.XLOOKUP(Selectivo[[#This Row],[DNI]],_SIY[DNI],_SIY[R7]),"78 DNC")</f>
        <v>27</v>
      </c>
      <c r="M83" s="13">
        <f>IFERROR(_xlfn.XLOOKUP(Selectivo[[#This Row],[DNI]],_SIY[DNI],_SIY[R8]),"78 DNC")</f>
        <v>29</v>
      </c>
      <c r="N83" s="12" t="str">
        <f>IFERROR(_xlfn.XLOOKUP(Selectivo[[#This Row],[DNI]],_SIY[DNI],_SIY[R9]),"78 DNC")</f>
        <v>77 BFD</v>
      </c>
      <c r="O83" s="13">
        <f>IFERROR(_xlfn.XLOOKUP(Selectivo[[#This Row],[DNI]],_SIY[DNI],_SIY[R10]),"78 DNC")</f>
        <v>42</v>
      </c>
      <c r="P83" s="13">
        <f>IFERROR(_xlfn.XLOOKUP(Selectivo[[#This Row],[DNI]],_VF2025[DNI],_VF2025[R1]),"70 DNC")</f>
        <v>31</v>
      </c>
      <c r="Q83" s="13">
        <f>IFERROR(_xlfn.XLOOKUP(Selectivo[[#This Row],[DNI]],_VF2025[DNI],_VF2025[R2]),"70 DNC")</f>
        <v>7</v>
      </c>
      <c r="R83" s="13">
        <f>IFERROR(_xlfn.XLOOKUP(Selectivo[[#This Row],[DNI]],_VF2025[DNI],_VF2025[R3]),"70 DNC")</f>
        <v>31</v>
      </c>
      <c r="S83" s="13">
        <f>IFERROR(_xlfn.XLOOKUP(Selectivo[[#This Row],[DNI]],_VF2025[DNI],_VF2025[R4]),"70 DNC")</f>
        <v>41</v>
      </c>
      <c r="T83" s="13">
        <f>IFERROR(_xlfn.XLOOKUP(Selectivo[[#This Row],[DNI]],_VF2025[DNI],_VF2025[R5]),"70 DNC")</f>
        <v>23</v>
      </c>
      <c r="U83" s="13">
        <f>IFERROR(_xlfn.XLOOKUP(Selectivo[[#This Row],[DNI]],_VF2025[DNI],_VF2025[R6]),"70 DNC")</f>
        <v>19</v>
      </c>
      <c r="V83" s="13" t="str" cm="1">
        <f t="array" ref="V83">IFERROR(_xlfn.XLOOKUP(Selectivo[[#This Row],[Vela]],_xlfn.NUMBERVALUE(SIL25v2[Sail '#]),SIL25v2[1]),"90 DNC")</f>
        <v>7</v>
      </c>
      <c r="W83" s="12" t="str" cm="1">
        <f t="array" ref="W83">IFERROR(_xlfn.XLOOKUP(Selectivo[[#This Row],[Vela]],_xlfn.NUMBERVALUE(SIL25v2[Sail '#]),SIL25v2[2]),"90 DNC")</f>
        <v>59</v>
      </c>
      <c r="X83" s="13" t="str" cm="1">
        <f t="array" ref="X83">IFERROR(_xlfn.XLOOKUP(Selectivo[[#This Row],[Vela]],_xlfn.NUMBERVALUE(SIL25v2[Sail '#]),SIL25v2[3]),"90 DNC")</f>
        <v>6</v>
      </c>
      <c r="Y83" s="13" t="str" cm="1">
        <f t="array" ref="Y83">IFERROR(_xlfn.XLOOKUP(Selectivo[[#This Row],[Vela]],_xlfn.NUMBERVALUE(SIL25v2[Sail '#]),SIL25v2[4]),"90 DNC")</f>
        <v>16</v>
      </c>
      <c r="Z83" s="13" t="str" cm="1">
        <f t="array" ref="Z83">IFERROR(_xlfn.XLOOKUP(Selectivo[[#This Row],[Vela]],_xlfn.NUMBERVALUE(SIL25v2[Sail '#]),SIL25v2[5]),"90 DNC")</f>
        <v>25</v>
      </c>
      <c r="AA83" s="13" t="str" cm="1">
        <f t="array" ref="AA83">IFERROR(_xlfn.XLOOKUP(Selectivo[[#This Row],[Vela]],_xlfn.NUMBERVALUE(SIL25v2[Sail '#]),SIL25v2[6]),"90 DNC")</f>
        <v>14</v>
      </c>
      <c r="AB83" s="8" cm="1">
        <f t="array" ref="AB83">SUM(IFERROR(VALUE(LEFT(Regatas, FIND(" ",Regatas&amp; " ") - 1)), 0))</f>
        <v>685</v>
      </c>
      <c r="AC83" s="9" cm="1">
        <f t="array" ref="AC8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497</v>
      </c>
      <c r="AD83" s="6">
        <f>SMALL(RegatasN,1)</f>
        <v>6</v>
      </c>
      <c r="AE83" s="6">
        <f>SMALL(RegatasN,2)</f>
        <v>7</v>
      </c>
      <c r="AF83" s="6">
        <f>SMALL(RegatasN,3)</f>
        <v>7</v>
      </c>
      <c r="AG83" s="5" cm="1">
        <f t="array" ref="AG83">COUNTIF(Regatas,SMALL(Regatas,1))</f>
        <v>2</v>
      </c>
      <c r="AH83" s="6" cm="1">
        <f t="array" ref="AH83">VALUE(LEFT(INDEX(Selectivo[#This Row],,MATCH(Selectivo[[#Headers],[Total]],Selectivo[#Headers],0)-1),SEARCH(" ",INDEX(Selectivo[#This Row],,MATCH(Selectivo[[#Headers],[Total]],Selectivo[#Headers],0)-1)&amp;" ")-1))</f>
        <v>14</v>
      </c>
    </row>
    <row r="84" spans="1:34" x14ac:dyDescent="0.25">
      <c r="A84">
        <v>52768606</v>
      </c>
      <c r="B84" s="10">
        <f>ROW()-ROW(Selectivo[[#Headers],[Pos]])</f>
        <v>78</v>
      </c>
      <c r="C84" s="5">
        <v>4031</v>
      </c>
      <c r="D84" t="s">
        <v>713</v>
      </c>
      <c r="E84" t="s">
        <v>7</v>
      </c>
      <c r="F84" s="13">
        <f>IFERROR(_xlfn.XLOOKUP(Selectivo[[#This Row],[DNI]],_SIY[DNI],_SIY[R1]),"78 DNC")</f>
        <v>23</v>
      </c>
      <c r="G84" s="13">
        <f>IFERROR(_xlfn.XLOOKUP(Selectivo[[#This Row],[DNI]],_SIY[DNI],_SIY[R2]),"78 DNC")</f>
        <v>12</v>
      </c>
      <c r="H84" s="13">
        <f>IFERROR(_xlfn.XLOOKUP(Selectivo[[#This Row],[DNI]],_SIY[DNI],_SIY[R3]),"78 DNC")</f>
        <v>27</v>
      </c>
      <c r="I84" s="13">
        <f>IFERROR(_xlfn.XLOOKUP(Selectivo[[#This Row],[DNI]],_SIY[DNI],_SIY[R4]),"78 DNC")</f>
        <v>26</v>
      </c>
      <c r="J84" s="13">
        <f>IFERROR(_xlfn.XLOOKUP(Selectivo[[#This Row],[DNI]],_SIY[DNI],_SIY[R5]),"78 DNC")</f>
        <v>23</v>
      </c>
      <c r="K84" s="13">
        <f>IFERROR(_xlfn.XLOOKUP(Selectivo[[#This Row],[DNI]],_SIY[DNI],_SIY[R6]),"78 DNC")</f>
        <v>21</v>
      </c>
      <c r="L84" s="13">
        <f>IFERROR(_xlfn.XLOOKUP(Selectivo[[#This Row],[DNI]],_SIY[DNI],_SIY[R7]),"78 DNC")</f>
        <v>35</v>
      </c>
      <c r="M84" s="13">
        <f>IFERROR(_xlfn.XLOOKUP(Selectivo[[#This Row],[DNI]],_SIY[DNI],_SIY[R8]),"78 DNC")</f>
        <v>18</v>
      </c>
      <c r="N84" s="13">
        <f>IFERROR(_xlfn.XLOOKUP(Selectivo[[#This Row],[DNI]],_SIY[DNI],_SIY[R9]),"78 DNC")</f>
        <v>21</v>
      </c>
      <c r="O84" s="13">
        <f>IFERROR(_xlfn.XLOOKUP(Selectivo[[#This Row],[DNI]],_SIY[DNI],_SIY[R10]),"78 DNC")</f>
        <v>33</v>
      </c>
      <c r="P84" s="13">
        <f>IFERROR(_xlfn.XLOOKUP(Selectivo[[#This Row],[DNI]],_VF2025[DNI],_VF2025[R1]),"70 DNC")</f>
        <v>35</v>
      </c>
      <c r="Q84" s="13">
        <f>IFERROR(_xlfn.XLOOKUP(Selectivo[[#This Row],[DNI]],_VF2025[DNI],_VF2025[R2]),"70 DNC")</f>
        <v>24</v>
      </c>
      <c r="R84" s="13">
        <f>IFERROR(_xlfn.XLOOKUP(Selectivo[[#This Row],[DNI]],_VF2025[DNI],_VF2025[R3]),"70 DNC")</f>
        <v>34</v>
      </c>
      <c r="S84" s="13">
        <f>IFERROR(_xlfn.XLOOKUP(Selectivo[[#This Row],[DNI]],_VF2025[DNI],_VF2025[R4]),"70 DNC")</f>
        <v>27</v>
      </c>
      <c r="T84" s="12" t="str">
        <f>IFERROR(_xlfn.XLOOKUP(Selectivo[[#This Row],[DNI]],_VF2025[DNI],_VF2025[R5]),"70 DNC")</f>
        <v>70 BFD</v>
      </c>
      <c r="U84" s="13">
        <f>IFERROR(_xlfn.XLOOKUP(Selectivo[[#This Row],[DNI]],_VF2025[DNI],_VF2025[R6]),"70 DNC")</f>
        <v>41</v>
      </c>
      <c r="V84" s="13" t="str" cm="1">
        <f t="array" ref="V84">IFERROR(_xlfn.XLOOKUP(Selectivo[[#This Row],[Vela]],_xlfn.NUMBERVALUE(SIL25v2[Sail '#]),SIL25v2[1]),"90 DNC")</f>
        <v>59</v>
      </c>
      <c r="W84" s="12" t="str" cm="1">
        <f t="array" ref="W84">IFERROR(_xlfn.XLOOKUP(Selectivo[[#This Row],[Vela]],_xlfn.NUMBERVALUE(SIL25v2[Sail '#]),SIL25v2[2]),"90 DNC")</f>
        <v>63</v>
      </c>
      <c r="X84" s="13" t="str" cm="1">
        <f t="array" ref="X84">IFERROR(_xlfn.XLOOKUP(Selectivo[[#This Row],[Vela]],_xlfn.NUMBERVALUE(SIL25v2[Sail '#]),SIL25v2[3]),"90 DNC")</f>
        <v>20</v>
      </c>
      <c r="Y84" s="13" t="str" cm="1">
        <f t="array" ref="Y84">IFERROR(_xlfn.XLOOKUP(Selectivo[[#This Row],[Vela]],_xlfn.NUMBERVALUE(SIL25v2[Sail '#]),SIL25v2[4]),"90 DNC")</f>
        <v>7</v>
      </c>
      <c r="Z84" s="12" t="str" cm="1">
        <f t="array" ref="Z84">IFERROR(_xlfn.XLOOKUP(Selectivo[[#This Row],[Vela]],_xlfn.NUMBERVALUE(SIL25v2[Sail '#]),SIL25v2[5]),"90 DNC")</f>
        <v>89 DSQ</v>
      </c>
      <c r="AA84" s="13" t="str" cm="1">
        <f t="array" ref="AA84">IFERROR(_xlfn.XLOOKUP(Selectivo[[#This Row],[Vela]],_xlfn.NUMBERVALUE(SIL25v2[Sail '#]),SIL25v2[6]),"90 DNC")</f>
        <v>21</v>
      </c>
      <c r="AB84" s="8" cm="1">
        <f t="array" ref="AB84">SUM(IFERROR(VALUE(LEFT(Regatas, FIND(" ",Regatas&amp; " ") - 1)), 0))</f>
        <v>729</v>
      </c>
      <c r="AC84" s="9" cm="1">
        <f t="array" ref="AC8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507</v>
      </c>
      <c r="AD84" s="6">
        <f>SMALL(RegatasN,1)</f>
        <v>7</v>
      </c>
      <c r="AE84" s="6">
        <f>SMALL(RegatasN,2)</f>
        <v>12</v>
      </c>
      <c r="AF84" s="6">
        <f>SMALL(RegatasN,3)</f>
        <v>18</v>
      </c>
      <c r="AG84" s="5" cm="1">
        <f t="array" ref="AG84">COUNTIF(Regatas,SMALL(Regatas,1))</f>
        <v>1</v>
      </c>
      <c r="AH84" s="6" cm="1">
        <f t="array" ref="AH84">VALUE(LEFT(INDEX(Selectivo[#This Row],,MATCH(Selectivo[[#Headers],[Total]],Selectivo[#Headers],0)-1),SEARCH(" ",INDEX(Selectivo[#This Row],,MATCH(Selectivo[[#Headers],[Total]],Selectivo[#Headers],0)-1)&amp;" ")-1))</f>
        <v>21</v>
      </c>
    </row>
    <row r="85" spans="1:34" x14ac:dyDescent="0.25">
      <c r="A85">
        <v>49825462</v>
      </c>
      <c r="B85" s="10">
        <f>ROW()-ROW(Selectivo[[#Headers],[Pos]])</f>
        <v>79</v>
      </c>
      <c r="C85" s="5">
        <v>4172</v>
      </c>
      <c r="D85" t="s">
        <v>682</v>
      </c>
      <c r="E85" t="s">
        <v>9</v>
      </c>
      <c r="F85" s="13">
        <f>IFERROR(_xlfn.XLOOKUP(Selectivo[[#This Row],[DNI]],_SIY[DNI],_SIY[R1]),"78 DNC")</f>
        <v>32</v>
      </c>
      <c r="G85" s="13">
        <f>IFERROR(_xlfn.XLOOKUP(Selectivo[[#This Row],[DNI]],_SIY[DNI],_SIY[R2]),"78 DNC")</f>
        <v>23</v>
      </c>
      <c r="H85" s="13">
        <f>IFERROR(_xlfn.XLOOKUP(Selectivo[[#This Row],[DNI]],_SIY[DNI],_SIY[R3]),"78 DNC")</f>
        <v>24</v>
      </c>
      <c r="I85" s="13">
        <f>IFERROR(_xlfn.XLOOKUP(Selectivo[[#This Row],[DNI]],_SIY[DNI],_SIY[R4]),"78 DNC")</f>
        <v>16</v>
      </c>
      <c r="J85" s="13">
        <f>IFERROR(_xlfn.XLOOKUP(Selectivo[[#This Row],[DNI]],_SIY[DNI],_SIY[R5]),"78 DNC")</f>
        <v>16</v>
      </c>
      <c r="K85" s="13">
        <f>IFERROR(_xlfn.XLOOKUP(Selectivo[[#This Row],[DNI]],_SIY[DNI],_SIY[R6]),"78 DNC")</f>
        <v>27</v>
      </c>
      <c r="L85" s="13">
        <f>IFERROR(_xlfn.XLOOKUP(Selectivo[[#This Row],[DNI]],_SIY[DNI],_SIY[R7]),"78 DNC")</f>
        <v>26</v>
      </c>
      <c r="M85" s="13">
        <f>IFERROR(_xlfn.XLOOKUP(Selectivo[[#This Row],[DNI]],_SIY[DNI],_SIY[R8]),"78 DNC")</f>
        <v>36</v>
      </c>
      <c r="N85" s="12" t="str">
        <f>IFERROR(_xlfn.XLOOKUP(Selectivo[[#This Row],[DNI]],_SIY[DNI],_SIY[R9]),"78 DNC")</f>
        <v>77 BFD</v>
      </c>
      <c r="O85" s="13">
        <f>IFERROR(_xlfn.XLOOKUP(Selectivo[[#This Row],[DNI]],_SIY[DNI],_SIY[R10]),"78 DNC")</f>
        <v>20</v>
      </c>
      <c r="P85" s="13">
        <f>IFERROR(_xlfn.XLOOKUP(Selectivo[[#This Row],[DNI]],_VF2025[DNI],_VF2025[R1]),"70 DNC")</f>
        <v>26</v>
      </c>
      <c r="Q85" s="13">
        <f>IFERROR(_xlfn.XLOOKUP(Selectivo[[#This Row],[DNI]],_VF2025[DNI],_VF2025[R2]),"70 DNC")</f>
        <v>30</v>
      </c>
      <c r="R85" s="13">
        <f>IFERROR(_xlfn.XLOOKUP(Selectivo[[#This Row],[DNI]],_VF2025[DNI],_VF2025[R3]),"70 DNC")</f>
        <v>25</v>
      </c>
      <c r="S85" s="13">
        <f>IFERROR(_xlfn.XLOOKUP(Selectivo[[#This Row],[DNI]],_VF2025[DNI],_VF2025[R4]),"70 DNC")</f>
        <v>5</v>
      </c>
      <c r="T85" s="13" t="str">
        <f>IFERROR(_xlfn.XLOOKUP(Selectivo[[#This Row],[DNI]],_VF2025[DNI],_VF2025[R5]),"70 DNC")</f>
        <v>70 DNE</v>
      </c>
      <c r="U85" s="13">
        <f>IFERROR(_xlfn.XLOOKUP(Selectivo[[#This Row],[DNI]],_VF2025[DNI],_VF2025[R6]),"70 DNC")</f>
        <v>21</v>
      </c>
      <c r="V85" s="13" t="str" cm="1">
        <f t="array" ref="V85">IFERROR(_xlfn.XLOOKUP(Selectivo[[#This Row],[Vela]],_xlfn.NUMBERVALUE(SIL25v2[Sail '#]),SIL25v2[1]),"90 DNC")</f>
        <v>34</v>
      </c>
      <c r="W85" s="12" t="str" cm="1">
        <f t="array" ref="W85">IFERROR(_xlfn.XLOOKUP(Selectivo[[#This Row],[Vela]],_xlfn.NUMBERVALUE(SIL25v2[Sail '#]),SIL25v2[2]),"90 DNC")</f>
        <v>54</v>
      </c>
      <c r="X85" s="13" t="str" cm="1">
        <f t="array" ref="X85">IFERROR(_xlfn.XLOOKUP(Selectivo[[#This Row],[Vela]],_xlfn.NUMBERVALUE(SIL25v2[Sail '#]),SIL25v2[3]),"90 DNC")</f>
        <v>22</v>
      </c>
      <c r="Y85" s="13" t="str" cm="1">
        <f t="array" ref="Y85">IFERROR(_xlfn.XLOOKUP(Selectivo[[#This Row],[Vela]],_xlfn.NUMBERVALUE(SIL25v2[Sail '#]),SIL25v2[4]),"90 DNC")</f>
        <v>30</v>
      </c>
      <c r="Z85" s="13" t="str" cm="1">
        <f t="array" ref="Z85">IFERROR(_xlfn.XLOOKUP(Selectivo[[#This Row],[Vela]],_xlfn.NUMBERVALUE(SIL25v2[Sail '#]),SIL25v2[5]),"90 DNC")</f>
        <v>38</v>
      </c>
      <c r="AA85" s="12" t="str" cm="1">
        <f t="array" ref="AA85">IFERROR(_xlfn.XLOOKUP(Selectivo[[#This Row],[Vela]],_xlfn.NUMBERVALUE(SIL25v2[Sail '#]),SIL25v2[6]),"90 DNC")</f>
        <v>42</v>
      </c>
      <c r="AB85" s="8" cm="1">
        <f t="array" ref="AB85">SUM(IFERROR(VALUE(LEFT(Regatas, FIND(" ",Regatas&amp; " ") - 1)), 0))</f>
        <v>694</v>
      </c>
      <c r="AC85" s="9" cm="1">
        <f t="array" ref="AC8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521</v>
      </c>
      <c r="AD85" s="6">
        <f>SMALL(RegatasN,1)</f>
        <v>5</v>
      </c>
      <c r="AE85" s="6">
        <f>SMALL(RegatasN,2)</f>
        <v>16</v>
      </c>
      <c r="AF85" s="6">
        <f>SMALL(RegatasN,3)</f>
        <v>16</v>
      </c>
      <c r="AG85" s="5" cm="1">
        <f t="array" ref="AG85">COUNTIF(Regatas,SMALL(Regatas,1))</f>
        <v>1</v>
      </c>
      <c r="AH85" s="6" cm="1">
        <f t="array" ref="AH85">VALUE(LEFT(INDEX(Selectivo[#This Row],,MATCH(Selectivo[[#Headers],[Total]],Selectivo[#Headers],0)-1),SEARCH(" ",INDEX(Selectivo[#This Row],,MATCH(Selectivo[[#Headers],[Total]],Selectivo[#Headers],0)-1)&amp;" ")-1))</f>
        <v>42</v>
      </c>
    </row>
    <row r="86" spans="1:34" x14ac:dyDescent="0.25">
      <c r="A86">
        <v>53236008</v>
      </c>
      <c r="B86" s="10">
        <f>ROW()-ROW(Selectivo[[#Headers],[Pos]])</f>
        <v>80</v>
      </c>
      <c r="C86" s="5">
        <v>3675</v>
      </c>
      <c r="D86" t="s">
        <v>596</v>
      </c>
      <c r="E86" t="s">
        <v>7</v>
      </c>
      <c r="F86" s="13">
        <f>IFERROR(_xlfn.XLOOKUP(Selectivo[[#This Row],[DNI]],_SIY[DNI],_SIY[R1]),"78 DNC")</f>
        <v>23</v>
      </c>
      <c r="G86" s="13">
        <f>IFERROR(_xlfn.XLOOKUP(Selectivo[[#This Row],[DNI]],_SIY[DNI],_SIY[R2]),"78 DNC")</f>
        <v>8</v>
      </c>
      <c r="H86" s="12">
        <f>IFERROR(_xlfn.XLOOKUP(Selectivo[[#This Row],[DNI]],_SIY[DNI],_SIY[R3]),"78 DNC")</f>
        <v>63</v>
      </c>
      <c r="I86" s="13">
        <f>IFERROR(_xlfn.XLOOKUP(Selectivo[[#This Row],[DNI]],_SIY[DNI],_SIY[R4]),"78 DNC")</f>
        <v>30</v>
      </c>
      <c r="J86" s="13">
        <f>IFERROR(_xlfn.XLOOKUP(Selectivo[[#This Row],[DNI]],_SIY[DNI],_SIY[R5]),"78 DNC")</f>
        <v>30</v>
      </c>
      <c r="K86" s="13">
        <f>IFERROR(_xlfn.XLOOKUP(Selectivo[[#This Row],[DNI]],_SIY[DNI],_SIY[R6]),"78 DNC")</f>
        <v>29</v>
      </c>
      <c r="L86" s="12">
        <f>IFERROR(_xlfn.XLOOKUP(Selectivo[[#This Row],[DNI]],_SIY[DNI],_SIY[R7]),"78 DNC")</f>
        <v>56</v>
      </c>
      <c r="M86" s="13">
        <f>IFERROR(_xlfn.XLOOKUP(Selectivo[[#This Row],[DNI]],_SIY[DNI],_SIY[R8]),"78 DNC")</f>
        <v>26</v>
      </c>
      <c r="N86" s="13">
        <f>IFERROR(_xlfn.XLOOKUP(Selectivo[[#This Row],[DNI]],_SIY[DNI],_SIY[R9]),"78 DNC")</f>
        <v>41</v>
      </c>
      <c r="O86" s="13">
        <f>IFERROR(_xlfn.XLOOKUP(Selectivo[[#This Row],[DNI]],_SIY[DNI],_SIY[R10]),"78 DNC")</f>
        <v>20</v>
      </c>
      <c r="P86" s="12" t="str">
        <f>IFERROR(_xlfn.XLOOKUP(Selectivo[[#This Row],[DNI]],_VF2025[DNI],_VF2025[R1]),"70 DNC")</f>
        <v>70 DSQ</v>
      </c>
      <c r="Q86" s="13">
        <f>IFERROR(_xlfn.XLOOKUP(Selectivo[[#This Row],[DNI]],_VF2025[DNI],_VF2025[R2]),"70 DNC")</f>
        <v>42</v>
      </c>
      <c r="R86" s="13">
        <f>IFERROR(_xlfn.XLOOKUP(Selectivo[[#This Row],[DNI]],_VF2025[DNI],_VF2025[R3]),"70 DNC")</f>
        <v>29</v>
      </c>
      <c r="S86" s="13">
        <f>IFERROR(_xlfn.XLOOKUP(Selectivo[[#This Row],[DNI]],_VF2025[DNI],_VF2025[R4]),"70 DNC")</f>
        <v>26</v>
      </c>
      <c r="T86" s="13">
        <f>IFERROR(_xlfn.XLOOKUP(Selectivo[[#This Row],[DNI]],_VF2025[DNI],_VF2025[R5]),"70 DNC")</f>
        <v>27</v>
      </c>
      <c r="U86" s="13">
        <f>IFERROR(_xlfn.XLOOKUP(Selectivo[[#This Row],[DNI]],_VF2025[DNI],_VF2025[R6]),"70 DNC")</f>
        <v>16</v>
      </c>
      <c r="V86" s="13" t="str" cm="1">
        <f t="array" ref="V86">IFERROR(_xlfn.XLOOKUP(Selectivo[[#This Row],[Vela]],_xlfn.NUMBERVALUE(SIL25v2[Sail '#]),SIL25v2[1]),"90 DNC")</f>
        <v>37</v>
      </c>
      <c r="W86" s="13" t="str" cm="1">
        <f t="array" ref="W86">IFERROR(_xlfn.XLOOKUP(Selectivo[[#This Row],[Vela]],_xlfn.NUMBERVALUE(SIL25v2[Sail '#]),SIL25v2[2]),"90 DNC")</f>
        <v>28</v>
      </c>
      <c r="X86" s="13" t="str" cm="1">
        <f t="array" ref="X86">IFERROR(_xlfn.XLOOKUP(Selectivo[[#This Row],[Vela]],_xlfn.NUMBERVALUE(SIL25v2[Sail '#]),SIL25v2[3]),"90 DNC")</f>
        <v>15</v>
      </c>
      <c r="Y86" s="13" t="str" cm="1">
        <f t="array" ref="Y86">IFERROR(_xlfn.XLOOKUP(Selectivo[[#This Row],[Vela]],_xlfn.NUMBERVALUE(SIL25v2[Sail '#]),SIL25v2[4]),"90 DNC")</f>
        <v>30</v>
      </c>
      <c r="Z86" s="13" t="str" cm="1">
        <f t="array" ref="Z86">IFERROR(_xlfn.XLOOKUP(Selectivo[[#This Row],[Vela]],_xlfn.NUMBERVALUE(SIL25v2[Sail '#]),SIL25v2[5]),"90 DNC")</f>
        <v>45</v>
      </c>
      <c r="AA86" s="13" t="str" cm="1">
        <f t="array" ref="AA86">IFERROR(_xlfn.XLOOKUP(Selectivo[[#This Row],[Vela]],_xlfn.NUMBERVALUE(SIL25v2[Sail '#]),SIL25v2[6]),"90 DNC")</f>
        <v>30</v>
      </c>
      <c r="AB86" s="8" cm="1">
        <f t="array" ref="AB86">SUM(IFERROR(VALUE(LEFT(Regatas, FIND(" ",Regatas&amp; " ") - 1)), 0))</f>
        <v>721</v>
      </c>
      <c r="AC86" s="9" cm="1">
        <f t="array" ref="AC8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532</v>
      </c>
      <c r="AD86" s="6">
        <f>SMALL(RegatasN,1)</f>
        <v>8</v>
      </c>
      <c r="AE86" s="6">
        <f>SMALL(RegatasN,2)</f>
        <v>15</v>
      </c>
      <c r="AF86" s="6">
        <f>SMALL(RegatasN,3)</f>
        <v>16</v>
      </c>
      <c r="AG86" s="5" cm="1">
        <f t="array" ref="AG86">COUNTIF(Regatas,SMALL(Regatas,1))</f>
        <v>1</v>
      </c>
      <c r="AH86" s="6" cm="1">
        <f t="array" ref="AH86">VALUE(LEFT(INDEX(Selectivo[#This Row],,MATCH(Selectivo[[#Headers],[Total]],Selectivo[#Headers],0)-1),SEARCH(" ",INDEX(Selectivo[#This Row],,MATCH(Selectivo[[#Headers],[Total]],Selectivo[#Headers],0)-1)&amp;" ")-1))</f>
        <v>30</v>
      </c>
    </row>
    <row r="87" spans="1:34" x14ac:dyDescent="0.25">
      <c r="A87">
        <v>52118147</v>
      </c>
      <c r="B87" s="10">
        <f>ROW()-ROW(Selectivo[[#Headers],[Pos]])</f>
        <v>81</v>
      </c>
      <c r="C87" s="5">
        <v>3793</v>
      </c>
      <c r="D87" t="s">
        <v>612</v>
      </c>
      <c r="E87" t="s">
        <v>31</v>
      </c>
      <c r="F87" s="13">
        <f>IFERROR(_xlfn.XLOOKUP(Selectivo[[#This Row],[DNI]],_SIY[DNI],_SIY[R1]),"78 DNC")</f>
        <v>18</v>
      </c>
      <c r="G87" s="13">
        <f>IFERROR(_xlfn.XLOOKUP(Selectivo[[#This Row],[DNI]],_SIY[DNI],_SIY[R2]),"78 DNC")</f>
        <v>25</v>
      </c>
      <c r="H87" s="13">
        <f>IFERROR(_xlfn.XLOOKUP(Selectivo[[#This Row],[DNI]],_SIY[DNI],_SIY[R3]),"78 DNC")</f>
        <v>27</v>
      </c>
      <c r="I87" s="12">
        <f>IFERROR(_xlfn.XLOOKUP(Selectivo[[#This Row],[DNI]],_SIY[DNI],_SIY[R4]),"78 DNC")</f>
        <v>55</v>
      </c>
      <c r="J87" s="12" t="str">
        <f>IFERROR(_xlfn.XLOOKUP(Selectivo[[#This Row],[DNI]],_SIY[DNI],_SIY[R5]),"78 DNC")</f>
        <v>77 UFD</v>
      </c>
      <c r="K87" s="13">
        <f>IFERROR(_xlfn.XLOOKUP(Selectivo[[#This Row],[DNI]],_SIY[DNI],_SIY[R6]),"78 DNC")</f>
        <v>41</v>
      </c>
      <c r="L87" s="13">
        <f>IFERROR(_xlfn.XLOOKUP(Selectivo[[#This Row],[DNI]],_SIY[DNI],_SIY[R7]),"78 DNC")</f>
        <v>17</v>
      </c>
      <c r="M87" s="13">
        <f>IFERROR(_xlfn.XLOOKUP(Selectivo[[#This Row],[DNI]],_SIY[DNI],_SIY[R8]),"78 DNC")</f>
        <v>19</v>
      </c>
      <c r="N87" s="13">
        <f>IFERROR(_xlfn.XLOOKUP(Selectivo[[#This Row],[DNI]],_SIY[DNI],_SIY[R9]),"78 DNC")</f>
        <v>43</v>
      </c>
      <c r="O87" s="13">
        <f>IFERROR(_xlfn.XLOOKUP(Selectivo[[#This Row],[DNI]],_SIY[DNI],_SIY[R10]),"78 DNC")</f>
        <v>23</v>
      </c>
      <c r="P87" s="13">
        <f>IFERROR(_xlfn.XLOOKUP(Selectivo[[#This Row],[DNI]],_VF2025[DNI],_VF2025[R1]),"70 DNC")</f>
        <v>13</v>
      </c>
      <c r="Q87" s="13">
        <f>IFERROR(_xlfn.XLOOKUP(Selectivo[[#This Row],[DNI]],_VF2025[DNI],_VF2025[R2]),"70 DNC")</f>
        <v>30</v>
      </c>
      <c r="R87" s="13">
        <f>IFERROR(_xlfn.XLOOKUP(Selectivo[[#This Row],[DNI]],_VF2025[DNI],_VF2025[R3]),"70 DNC")</f>
        <v>28</v>
      </c>
      <c r="S87" s="13">
        <f>IFERROR(_xlfn.XLOOKUP(Selectivo[[#This Row],[DNI]],_VF2025[DNI],_VF2025[R4]),"70 DNC")</f>
        <v>25</v>
      </c>
      <c r="T87" s="12" t="str">
        <f>IFERROR(_xlfn.XLOOKUP(Selectivo[[#This Row],[DNI]],_VF2025[DNI],_VF2025[R5]),"70 DNC")</f>
        <v>70 BFD</v>
      </c>
      <c r="U87" s="13">
        <f>IFERROR(_xlfn.XLOOKUP(Selectivo[[#This Row],[DNI]],_VF2025[DNI],_VF2025[R6]),"70 DNC")</f>
        <v>42</v>
      </c>
      <c r="V87" s="13" t="str" cm="1">
        <f t="array" ref="V87">IFERROR(_xlfn.XLOOKUP(Selectivo[[#This Row],[Vela]],_xlfn.NUMBERVALUE(SIL25v2[Sail '#]),SIL25v2[1]),"90 DNC")</f>
        <v>42</v>
      </c>
      <c r="W87" s="13" t="str" cm="1">
        <f t="array" ref="W87">IFERROR(_xlfn.XLOOKUP(Selectivo[[#This Row],[Vela]],_xlfn.NUMBERVALUE(SIL25v2[Sail '#]),SIL25v2[2]),"90 DNC")</f>
        <v>35</v>
      </c>
      <c r="X87" s="13" t="str" cm="1">
        <f t="array" ref="X87">IFERROR(_xlfn.XLOOKUP(Selectivo[[#This Row],[Vela]],_xlfn.NUMBERVALUE(SIL25v2[Sail '#]),SIL25v2[3]),"90 DNC")</f>
        <v>17</v>
      </c>
      <c r="Y87" s="13" t="str" cm="1">
        <f t="array" ref="Y87">IFERROR(_xlfn.XLOOKUP(Selectivo[[#This Row],[Vela]],_xlfn.NUMBERVALUE(SIL25v2[Sail '#]),SIL25v2[4]),"90 DNC")</f>
        <v>54</v>
      </c>
      <c r="Z87" s="13" t="str" cm="1">
        <f t="array" ref="Z87">IFERROR(_xlfn.XLOOKUP(Selectivo[[#This Row],[Vela]],_xlfn.NUMBERVALUE(SIL25v2[Sail '#]),SIL25v2[5]),"90 DNC")</f>
        <v>15</v>
      </c>
      <c r="AA87" s="13" t="str" cm="1">
        <f t="array" ref="AA87">IFERROR(_xlfn.XLOOKUP(Selectivo[[#This Row],[Vela]],_xlfn.NUMBERVALUE(SIL25v2[Sail '#]),SIL25v2[6]),"90 DNC")</f>
        <v>26</v>
      </c>
      <c r="AB87" s="8" cm="1">
        <f t="array" ref="AB87">SUM(IFERROR(VALUE(LEFT(Regatas, FIND(" ",Regatas&amp; " ") - 1)), 0))</f>
        <v>742</v>
      </c>
      <c r="AC87" s="9" cm="1">
        <f t="array" ref="AC8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540</v>
      </c>
      <c r="AD87" s="6">
        <f>SMALL(RegatasN,1)</f>
        <v>13</v>
      </c>
      <c r="AE87" s="6">
        <f>SMALL(RegatasN,2)</f>
        <v>15</v>
      </c>
      <c r="AF87" s="6">
        <f>SMALL(RegatasN,3)</f>
        <v>17</v>
      </c>
      <c r="AG87" s="5" cm="1">
        <f t="array" ref="AG87">COUNTIF(Regatas,SMALL(Regatas,1))</f>
        <v>1</v>
      </c>
      <c r="AH87" s="6" cm="1">
        <f t="array" ref="AH87">VALUE(LEFT(INDEX(Selectivo[#This Row],,MATCH(Selectivo[[#Headers],[Total]],Selectivo[#Headers],0)-1),SEARCH(" ",INDEX(Selectivo[#This Row],,MATCH(Selectivo[[#Headers],[Total]],Selectivo[#Headers],0)-1)&amp;" ")-1))</f>
        <v>26</v>
      </c>
    </row>
    <row r="88" spans="1:34" x14ac:dyDescent="0.25">
      <c r="A88">
        <v>52786122</v>
      </c>
      <c r="B88" s="10">
        <f>ROW()-ROW(Selectivo[[#Headers],[Pos]])</f>
        <v>82</v>
      </c>
      <c r="C88" s="5">
        <v>4099</v>
      </c>
      <c r="D88" t="s">
        <v>730</v>
      </c>
      <c r="E88" t="s">
        <v>16</v>
      </c>
      <c r="F88" s="13">
        <f>IFERROR(_xlfn.XLOOKUP(Selectivo[[#This Row],[DNI]],_SIY[DNI],_SIY[R1]),"78 DNC")</f>
        <v>19</v>
      </c>
      <c r="G88" s="13">
        <f>IFERROR(_xlfn.XLOOKUP(Selectivo[[#This Row],[DNI]],_SIY[DNI],_SIY[R2]),"78 DNC")</f>
        <v>11</v>
      </c>
      <c r="H88" s="13">
        <f>IFERROR(_xlfn.XLOOKUP(Selectivo[[#This Row],[DNI]],_SIY[DNI],_SIY[R3]),"78 DNC")</f>
        <v>40</v>
      </c>
      <c r="I88" s="13">
        <f>IFERROR(_xlfn.XLOOKUP(Selectivo[[#This Row],[DNI]],_SIY[DNI],_SIY[R4]),"78 DNC")</f>
        <v>44</v>
      </c>
      <c r="J88" s="13">
        <f>IFERROR(_xlfn.XLOOKUP(Selectivo[[#This Row],[DNI]],_SIY[DNI],_SIY[R5]),"78 DNC")</f>
        <v>38</v>
      </c>
      <c r="K88" s="13">
        <f>IFERROR(_xlfn.XLOOKUP(Selectivo[[#This Row],[DNI]],_SIY[DNI],_SIY[R6]),"78 DNC")</f>
        <v>39</v>
      </c>
      <c r="L88" s="13">
        <f>IFERROR(_xlfn.XLOOKUP(Selectivo[[#This Row],[DNI]],_SIY[DNI],_SIY[R7]),"78 DNC")</f>
        <v>34</v>
      </c>
      <c r="M88" s="13">
        <f>IFERROR(_xlfn.XLOOKUP(Selectivo[[#This Row],[DNI]],_SIY[DNI],_SIY[R8]),"78 DNC")</f>
        <v>26</v>
      </c>
      <c r="N88" s="13">
        <f>IFERROR(_xlfn.XLOOKUP(Selectivo[[#This Row],[DNI]],_SIY[DNI],_SIY[R9]),"78 DNC")</f>
        <v>34</v>
      </c>
      <c r="O88" s="13">
        <f>IFERROR(_xlfn.XLOOKUP(Selectivo[[#This Row],[DNI]],_SIY[DNI],_SIY[R10]),"78 DNC")</f>
        <v>5</v>
      </c>
      <c r="P88" s="13">
        <f>IFERROR(_xlfn.XLOOKUP(Selectivo[[#This Row],[DNI]],_VF2025[DNI],_VF2025[R1]),"70 DNC")</f>
        <v>37</v>
      </c>
      <c r="Q88" s="13">
        <f>IFERROR(_xlfn.XLOOKUP(Selectivo[[#This Row],[DNI]],_VF2025[DNI],_VF2025[R2]),"70 DNC")</f>
        <v>15</v>
      </c>
      <c r="R88" s="13">
        <f>IFERROR(_xlfn.XLOOKUP(Selectivo[[#This Row],[DNI]],_VF2025[DNI],_VF2025[R3]),"70 DNC")</f>
        <v>25</v>
      </c>
      <c r="S88" s="13">
        <f>IFERROR(_xlfn.XLOOKUP(Selectivo[[#This Row],[DNI]],_VF2025[DNI],_VF2025[R4]),"70 DNC")</f>
        <v>32</v>
      </c>
      <c r="T88" s="13">
        <f>IFERROR(_xlfn.XLOOKUP(Selectivo[[#This Row],[DNI]],_VF2025[DNI],_VF2025[R5]),"70 DNC")</f>
        <v>21</v>
      </c>
      <c r="U88" s="12" t="str">
        <f>IFERROR(_xlfn.XLOOKUP(Selectivo[[#This Row],[DNI]],_VF2025[DNI],_VF2025[R6]),"70 DNC")</f>
        <v>70 BFD</v>
      </c>
      <c r="V88" s="13" t="str" cm="1">
        <f t="array" ref="V88">IFERROR(_xlfn.XLOOKUP(Selectivo[[#This Row],[Vela]],_xlfn.NUMBERVALUE(SIL25v2[Sail '#]),SIL25v2[1]),"90 DNC")</f>
        <v>19</v>
      </c>
      <c r="W88" s="13" t="str" cm="1">
        <f t="array" ref="W88">IFERROR(_xlfn.XLOOKUP(Selectivo[[#This Row],[Vela]],_xlfn.NUMBERVALUE(SIL25v2[Sail '#]),SIL25v2[2]),"90 DNC")</f>
        <v>45</v>
      </c>
      <c r="X88" s="12" t="str" cm="1">
        <f t="array" ref="X88">IFERROR(_xlfn.XLOOKUP(Selectivo[[#This Row],[Vela]],_xlfn.NUMBERVALUE(SIL25v2[Sail '#]),SIL25v2[3]),"90 DNC")</f>
        <v>89 BFD</v>
      </c>
      <c r="Y88" s="13" t="str" cm="1">
        <f t="array" ref="Y88">IFERROR(_xlfn.XLOOKUP(Selectivo[[#This Row],[Vela]],_xlfn.NUMBERVALUE(SIL25v2[Sail '#]),SIL25v2[4]),"90 DNC")</f>
        <v>41</v>
      </c>
      <c r="Z88" s="13" t="str" cm="1">
        <f t="array" ref="Z88">IFERROR(_xlfn.XLOOKUP(Selectivo[[#This Row],[Vela]],_xlfn.NUMBERVALUE(SIL25v2[Sail '#]),SIL25v2[5]),"90 DNC")</f>
        <v>23</v>
      </c>
      <c r="AA88" s="12" t="str" cm="1">
        <f t="array" ref="AA88">IFERROR(_xlfn.XLOOKUP(Selectivo[[#This Row],[Vela]],_xlfn.NUMBERVALUE(SIL25v2[Sail '#]),SIL25v2[6]),"90 DNC")</f>
        <v>47</v>
      </c>
      <c r="AB88" s="8" cm="1">
        <f t="array" ref="AB88">SUM(IFERROR(VALUE(LEFT(Regatas, FIND(" ",Regatas&amp; " ") - 1)), 0))</f>
        <v>754</v>
      </c>
      <c r="AC88" s="9" cm="1">
        <f t="array" ref="AC8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548</v>
      </c>
      <c r="AD88" s="6">
        <f>SMALL(RegatasN,1)</f>
        <v>5</v>
      </c>
      <c r="AE88" s="6">
        <f>SMALL(RegatasN,2)</f>
        <v>11</v>
      </c>
      <c r="AF88" s="6">
        <f>SMALL(RegatasN,3)</f>
        <v>15</v>
      </c>
      <c r="AG88" s="5" cm="1">
        <f t="array" ref="AG88">COUNTIF(Regatas,SMALL(Regatas,1))</f>
        <v>1</v>
      </c>
      <c r="AH88" s="6" cm="1">
        <f t="array" ref="AH88">VALUE(LEFT(INDEX(Selectivo[#This Row],,MATCH(Selectivo[[#Headers],[Total]],Selectivo[#Headers],0)-1),SEARCH(" ",INDEX(Selectivo[#This Row],,MATCH(Selectivo[[#Headers],[Total]],Selectivo[#Headers],0)-1)&amp;" ")-1))</f>
        <v>47</v>
      </c>
    </row>
    <row r="89" spans="1:34" x14ac:dyDescent="0.25">
      <c r="A89">
        <v>51183098</v>
      </c>
      <c r="B89" s="10">
        <f>ROW()-ROW(Selectivo[[#Headers],[Pos]])</f>
        <v>83</v>
      </c>
      <c r="C89" s="5">
        <v>4171</v>
      </c>
      <c r="D89" t="s">
        <v>681</v>
      </c>
      <c r="E89" t="s">
        <v>9</v>
      </c>
      <c r="F89" s="13">
        <f>IFERROR(_xlfn.XLOOKUP(Selectivo[[#This Row],[DNI]],_SIY[DNI],_SIY[R1]),"78 DNC")</f>
        <v>34</v>
      </c>
      <c r="G89" s="12" t="str">
        <f>IFERROR(_xlfn.XLOOKUP(Selectivo[[#This Row],[DNI]],_SIY[DNI],_SIY[R2]),"78 DNC")</f>
        <v>77 BFD</v>
      </c>
      <c r="H89" s="12" t="str">
        <f>IFERROR(_xlfn.XLOOKUP(Selectivo[[#This Row],[DNI]],_SIY[DNI],_SIY[R3]),"78 DNC")</f>
        <v>77 DSQ</v>
      </c>
      <c r="I89" s="13">
        <f>IFERROR(_xlfn.XLOOKUP(Selectivo[[#This Row],[DNI]],_SIY[DNI],_SIY[R4]),"78 DNC")</f>
        <v>3</v>
      </c>
      <c r="J89" s="13">
        <f>IFERROR(_xlfn.XLOOKUP(Selectivo[[#This Row],[DNI]],_SIY[DNI],_SIY[R5]),"78 DNC")</f>
        <v>5</v>
      </c>
      <c r="K89" s="13">
        <f>IFERROR(_xlfn.XLOOKUP(Selectivo[[#This Row],[DNI]],_SIY[DNI],_SIY[R6]),"78 DNC")</f>
        <v>8</v>
      </c>
      <c r="L89" s="13">
        <f>IFERROR(_xlfn.XLOOKUP(Selectivo[[#This Row],[DNI]],_SIY[DNI],_SIY[R7]),"78 DNC")</f>
        <v>27</v>
      </c>
      <c r="M89" s="13">
        <f>IFERROR(_xlfn.XLOOKUP(Selectivo[[#This Row],[DNI]],_SIY[DNI],_SIY[R8]),"78 DNC")</f>
        <v>20</v>
      </c>
      <c r="N89" s="13">
        <f>IFERROR(_xlfn.XLOOKUP(Selectivo[[#This Row],[DNI]],_SIY[DNI],_SIY[R9]),"78 DNC")</f>
        <v>40</v>
      </c>
      <c r="O89" s="13">
        <f>IFERROR(_xlfn.XLOOKUP(Selectivo[[#This Row],[DNI]],_SIY[DNI],_SIY[R10]),"78 DNC")</f>
        <v>24</v>
      </c>
      <c r="P89" s="13">
        <f>IFERROR(_xlfn.XLOOKUP(Selectivo[[#This Row],[DNI]],_VF2025[DNI],_VF2025[R1]),"70 DNC")</f>
        <v>56</v>
      </c>
      <c r="Q89" s="13">
        <f>IFERROR(_xlfn.XLOOKUP(Selectivo[[#This Row],[DNI]],_VF2025[DNI],_VF2025[R2]),"70 DNC")</f>
        <v>21</v>
      </c>
      <c r="R89" s="13">
        <f>IFERROR(_xlfn.XLOOKUP(Selectivo[[#This Row],[DNI]],_VF2025[DNI],_VF2025[R3]),"70 DNC")</f>
        <v>11</v>
      </c>
      <c r="S89" s="13">
        <f>IFERROR(_xlfn.XLOOKUP(Selectivo[[#This Row],[DNI]],_VF2025[DNI],_VF2025[R4]),"70 DNC")</f>
        <v>29</v>
      </c>
      <c r="T89" s="13">
        <f>IFERROR(_xlfn.XLOOKUP(Selectivo[[#This Row],[DNI]],_VF2025[DNI],_VF2025[R5]),"70 DNC")</f>
        <v>10</v>
      </c>
      <c r="U89" s="13">
        <f>IFERROR(_xlfn.XLOOKUP(Selectivo[[#This Row],[DNI]],_VF2025[DNI],_VF2025[R6]),"70 DNC")</f>
        <v>8</v>
      </c>
      <c r="V89" s="13" t="str" cm="1">
        <f t="array" ref="V89">IFERROR(_xlfn.XLOOKUP(Selectivo[[#This Row],[Vela]],_xlfn.NUMBERVALUE(SIL25v2[Sail '#]),SIL25v2[1]),"90 DNC")</f>
        <v>64</v>
      </c>
      <c r="W89" s="12" t="str" cm="1">
        <f t="array" ref="W89">IFERROR(_xlfn.XLOOKUP(Selectivo[[#This Row],[Vela]],_xlfn.NUMBERVALUE(SIL25v2[Sail '#]),SIL25v2[2]),"90 DNC")</f>
        <v>75</v>
      </c>
      <c r="X89" s="13" t="str" cm="1">
        <f t="array" ref="X89">IFERROR(_xlfn.XLOOKUP(Selectivo[[#This Row],[Vela]],_xlfn.NUMBERVALUE(SIL25v2[Sail '#]),SIL25v2[3]),"90 DNC")</f>
        <v>38</v>
      </c>
      <c r="Y89" s="13" t="str" cm="1">
        <f t="array" ref="Y89">IFERROR(_xlfn.XLOOKUP(Selectivo[[#This Row],[Vela]],_xlfn.NUMBERVALUE(SIL25v2[Sail '#]),SIL25v2[4]),"90 DNC")</f>
        <v>45</v>
      </c>
      <c r="Z89" s="13" t="str" cm="1">
        <f t="array" ref="Z89">IFERROR(_xlfn.XLOOKUP(Selectivo[[#This Row],[Vela]],_xlfn.NUMBERVALUE(SIL25v2[Sail '#]),SIL25v2[5]),"90 DNC")</f>
        <v>52</v>
      </c>
      <c r="AA89" s="13" t="str" cm="1">
        <f t="array" ref="AA89">IFERROR(_xlfn.XLOOKUP(Selectivo[[#This Row],[Vela]],_xlfn.NUMBERVALUE(SIL25v2[Sail '#]),SIL25v2[6]),"90 DNC")</f>
        <v>54</v>
      </c>
      <c r="AB89" s="8" cm="1">
        <f t="array" ref="AB89">SUM(IFERROR(VALUE(LEFT(Regatas, FIND(" ",Regatas&amp; " ") - 1)), 0))</f>
        <v>778</v>
      </c>
      <c r="AC89" s="9" cm="1">
        <f t="array" ref="AC8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549</v>
      </c>
      <c r="AD89" s="6">
        <f>SMALL(RegatasN,1)</f>
        <v>3</v>
      </c>
      <c r="AE89" s="6">
        <f>SMALL(RegatasN,2)</f>
        <v>5</v>
      </c>
      <c r="AF89" s="6">
        <f>SMALL(RegatasN,3)</f>
        <v>8</v>
      </c>
      <c r="AG89" s="5" cm="1">
        <f t="array" ref="AG89">COUNTIF(Regatas,SMALL(Regatas,1))</f>
        <v>1</v>
      </c>
      <c r="AH89" s="6" cm="1">
        <f t="array" ref="AH89">VALUE(LEFT(INDEX(Selectivo[#This Row],,MATCH(Selectivo[[#Headers],[Total]],Selectivo[#Headers],0)-1),SEARCH(" ",INDEX(Selectivo[#This Row],,MATCH(Selectivo[[#Headers],[Total]],Selectivo[#Headers],0)-1)&amp;" ")-1))</f>
        <v>54</v>
      </c>
    </row>
    <row r="90" spans="1:34" x14ac:dyDescent="0.25">
      <c r="A90">
        <v>51121535</v>
      </c>
      <c r="B90" s="10">
        <f>ROW()-ROW(Selectivo[[#Headers],[Pos]])</f>
        <v>84</v>
      </c>
      <c r="C90" s="5">
        <v>3649</v>
      </c>
      <c r="D90" t="s">
        <v>724</v>
      </c>
      <c r="E90" t="s">
        <v>26</v>
      </c>
      <c r="F90" s="13">
        <f>IFERROR(_xlfn.XLOOKUP(Selectivo[[#This Row],[DNI]],_SIY[DNI],_SIY[R1]),"78 DNC")</f>
        <v>19</v>
      </c>
      <c r="G90" s="13">
        <f>IFERROR(_xlfn.XLOOKUP(Selectivo[[#This Row],[DNI]],_SIY[DNI],_SIY[R2]),"78 DNC")</f>
        <v>22</v>
      </c>
      <c r="H90" s="13">
        <f>IFERROR(_xlfn.XLOOKUP(Selectivo[[#This Row],[DNI]],_SIY[DNI],_SIY[R3]),"78 DNC")</f>
        <v>29</v>
      </c>
      <c r="I90" s="13">
        <f>IFERROR(_xlfn.XLOOKUP(Selectivo[[#This Row],[DNI]],_SIY[DNI],_SIY[R4]),"78 DNC")</f>
        <v>24</v>
      </c>
      <c r="J90" s="12" t="str">
        <f>IFERROR(_xlfn.XLOOKUP(Selectivo[[#This Row],[DNI]],_SIY[DNI],_SIY[R5]),"78 DNC")</f>
        <v>77 DNC</v>
      </c>
      <c r="K90" s="13">
        <f>IFERROR(_xlfn.XLOOKUP(Selectivo[[#This Row],[DNI]],_SIY[DNI],_SIY[R6]),"78 DNC")</f>
        <v>12</v>
      </c>
      <c r="L90" s="13">
        <f>IFERROR(_xlfn.XLOOKUP(Selectivo[[#This Row],[DNI]],_SIY[DNI],_SIY[R7]),"78 DNC")</f>
        <v>60</v>
      </c>
      <c r="M90" s="13">
        <f>IFERROR(_xlfn.XLOOKUP(Selectivo[[#This Row],[DNI]],_SIY[DNI],_SIY[R8]),"78 DNC")</f>
        <v>39</v>
      </c>
      <c r="N90" s="13">
        <f>IFERROR(_xlfn.XLOOKUP(Selectivo[[#This Row],[DNI]],_SIY[DNI],_SIY[R9]),"78 DNC")</f>
        <v>61</v>
      </c>
      <c r="O90" s="13">
        <f>IFERROR(_xlfn.XLOOKUP(Selectivo[[#This Row],[DNI]],_SIY[DNI],_SIY[R10]),"78 DNC")</f>
        <v>14</v>
      </c>
      <c r="P90" s="13">
        <f>IFERROR(_xlfn.XLOOKUP(Selectivo[[#This Row],[DNI]],_VF2025[DNI],_VF2025[R1]),"70 DNC")</f>
        <v>44</v>
      </c>
      <c r="Q90" s="13">
        <f>IFERROR(_xlfn.XLOOKUP(Selectivo[[#This Row],[DNI]],_VF2025[DNI],_VF2025[R2]),"70 DNC")</f>
        <v>31</v>
      </c>
      <c r="R90" s="13">
        <f>IFERROR(_xlfn.XLOOKUP(Selectivo[[#This Row],[DNI]],_VF2025[DNI],_VF2025[R3]),"70 DNC")</f>
        <v>22</v>
      </c>
      <c r="S90" s="13">
        <f>IFERROR(_xlfn.XLOOKUP(Selectivo[[#This Row],[DNI]],_VF2025[DNI],_VF2025[R4]),"70 DNC")</f>
        <v>11</v>
      </c>
      <c r="T90" s="12" t="str">
        <f>IFERROR(_xlfn.XLOOKUP(Selectivo[[#This Row],[DNI]],_VF2025[DNI],_VF2025[R5]),"70 DNC")</f>
        <v>70 DNC</v>
      </c>
      <c r="U90" s="13" t="str">
        <f>IFERROR(_xlfn.XLOOKUP(Selectivo[[#This Row],[DNI]],_VF2025[DNI],_VF2025[R6]),"70 DNC")</f>
        <v>70 BFD</v>
      </c>
      <c r="V90" s="13" t="str" cm="1">
        <f t="array" ref="V90">IFERROR(_xlfn.XLOOKUP(Selectivo[[#This Row],[Vela]],_xlfn.NUMBERVALUE(SIL25v2[Sail '#]),SIL25v2[1]),"90 DNC")</f>
        <v>9</v>
      </c>
      <c r="W90" s="13" t="str" cm="1">
        <f t="array" ref="W90">IFERROR(_xlfn.XLOOKUP(Selectivo[[#This Row],[Vela]],_xlfn.NUMBERVALUE(SIL25v2[Sail '#]),SIL25v2[2]),"90 DNC")</f>
        <v>13</v>
      </c>
      <c r="X90" s="13" t="str" cm="1">
        <f t="array" ref="X90">IFERROR(_xlfn.XLOOKUP(Selectivo[[#This Row],[Vela]],_xlfn.NUMBERVALUE(SIL25v2[Sail '#]),SIL25v2[3]),"90 DNC")</f>
        <v>39</v>
      </c>
      <c r="Y90" s="13" t="str" cm="1">
        <f t="array" ref="Y90">IFERROR(_xlfn.XLOOKUP(Selectivo[[#This Row],[Vela]],_xlfn.NUMBERVALUE(SIL25v2[Sail '#]),SIL25v2[4]),"90 DNC")</f>
        <v>17</v>
      </c>
      <c r="Z90" s="12" t="str" cm="1">
        <f t="array" ref="Z90">IFERROR(_xlfn.XLOOKUP(Selectivo[[#This Row],[Vela]],_xlfn.NUMBERVALUE(SIL25v2[Sail '#]),SIL25v2[5]),"90 DNC")</f>
        <v>89 BFD</v>
      </c>
      <c r="AA90" s="13" t="str" cm="1">
        <f t="array" ref="AA90">IFERROR(_xlfn.XLOOKUP(Selectivo[[#This Row],[Vela]],_xlfn.NUMBERVALUE(SIL25v2[Sail '#]),SIL25v2[6]),"90 DNC")</f>
        <v>16</v>
      </c>
      <c r="AB90" s="8" cm="1">
        <f t="array" ref="AB90">SUM(IFERROR(VALUE(LEFT(Regatas, FIND(" ",Regatas&amp; " ") - 1)), 0))</f>
        <v>788</v>
      </c>
      <c r="AC90" s="9" cm="1">
        <f t="array" ref="AC9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552</v>
      </c>
      <c r="AD90" s="6">
        <f>SMALL(RegatasN,1)</f>
        <v>9</v>
      </c>
      <c r="AE90" s="6">
        <f>SMALL(RegatasN,2)</f>
        <v>11</v>
      </c>
      <c r="AF90" s="6">
        <f>SMALL(RegatasN,3)</f>
        <v>12</v>
      </c>
      <c r="AG90" s="5" cm="1">
        <f t="array" ref="AG90">COUNTIF(Regatas,SMALL(Regatas,1))</f>
        <v>1</v>
      </c>
      <c r="AH90" s="6" cm="1">
        <f t="array" ref="AH90">VALUE(LEFT(INDEX(Selectivo[#This Row],,MATCH(Selectivo[[#Headers],[Total]],Selectivo[#Headers],0)-1),SEARCH(" ",INDEX(Selectivo[#This Row],,MATCH(Selectivo[[#Headers],[Total]],Selectivo[#Headers],0)-1)&amp;" ")-1))</f>
        <v>16</v>
      </c>
    </row>
    <row r="91" spans="1:34" x14ac:dyDescent="0.25">
      <c r="A91">
        <v>50098931</v>
      </c>
      <c r="B91" s="10">
        <f>ROW()-ROW(Selectivo[[#Headers],[Pos]])</f>
        <v>85</v>
      </c>
      <c r="C91" s="5">
        <v>4219</v>
      </c>
      <c r="D91" t="s">
        <v>664</v>
      </c>
      <c r="E91" t="s">
        <v>10</v>
      </c>
      <c r="F91" s="13">
        <f>IFERROR(_xlfn.XLOOKUP(Selectivo[[#This Row],[DNI]],_SIY[DNI],_SIY[R1]),"78 DNC")</f>
        <v>22</v>
      </c>
      <c r="G91" s="12" t="str">
        <f>IFERROR(_xlfn.XLOOKUP(Selectivo[[#This Row],[DNI]],_SIY[DNI],_SIY[R2]),"78 DNC")</f>
        <v>77 BFD</v>
      </c>
      <c r="H91" s="13">
        <f>IFERROR(_xlfn.XLOOKUP(Selectivo[[#This Row],[DNI]],_SIY[DNI],_SIY[R3]),"78 DNC")</f>
        <v>17</v>
      </c>
      <c r="I91" s="13">
        <f>IFERROR(_xlfn.XLOOKUP(Selectivo[[#This Row],[DNI]],_SIY[DNI],_SIY[R4]),"78 DNC")</f>
        <v>14</v>
      </c>
      <c r="J91" s="13">
        <f>IFERROR(_xlfn.XLOOKUP(Selectivo[[#This Row],[DNI]],_SIY[DNI],_SIY[R5]),"78 DNC")</f>
        <v>26</v>
      </c>
      <c r="K91" s="13">
        <f>IFERROR(_xlfn.XLOOKUP(Selectivo[[#This Row],[DNI]],_SIY[DNI],_SIY[R6]),"78 DNC")</f>
        <v>17</v>
      </c>
      <c r="L91" s="13">
        <f>IFERROR(_xlfn.XLOOKUP(Selectivo[[#This Row],[DNI]],_SIY[DNI],_SIY[R7]),"78 DNC")</f>
        <v>22</v>
      </c>
      <c r="M91" s="13">
        <f>IFERROR(_xlfn.XLOOKUP(Selectivo[[#This Row],[DNI]],_SIY[DNI],_SIY[R8]),"78 DNC")</f>
        <v>24</v>
      </c>
      <c r="N91" s="13" t="str">
        <f>IFERROR(_xlfn.XLOOKUP(Selectivo[[#This Row],[DNI]],_SIY[DNI],_SIY[R9]),"78 DNC")</f>
        <v>77 BFD</v>
      </c>
      <c r="O91" s="13">
        <f>IFERROR(_xlfn.XLOOKUP(Selectivo[[#This Row],[DNI]],_SIY[DNI],_SIY[R10]),"78 DNC")</f>
        <v>32</v>
      </c>
      <c r="P91" s="13">
        <f>IFERROR(_xlfn.XLOOKUP(Selectivo[[#This Row],[DNI]],_VF2025[DNI],_VF2025[R1]),"70 DNC")</f>
        <v>39</v>
      </c>
      <c r="Q91" s="13">
        <f>IFERROR(_xlfn.XLOOKUP(Selectivo[[#This Row],[DNI]],_VF2025[DNI],_VF2025[R2]),"70 DNC")</f>
        <v>32</v>
      </c>
      <c r="R91" s="13">
        <f>IFERROR(_xlfn.XLOOKUP(Selectivo[[#This Row],[DNI]],_VF2025[DNI],_VF2025[R3]),"70 DNC")</f>
        <v>39</v>
      </c>
      <c r="S91" s="13">
        <f>IFERROR(_xlfn.XLOOKUP(Selectivo[[#This Row],[DNI]],_VF2025[DNI],_VF2025[R4]),"70 DNC")</f>
        <v>17</v>
      </c>
      <c r="T91" s="13">
        <f>IFERROR(_xlfn.XLOOKUP(Selectivo[[#This Row],[DNI]],_VF2025[DNI],_VF2025[R5]),"70 DNC")</f>
        <v>33</v>
      </c>
      <c r="U91" s="13">
        <f>IFERROR(_xlfn.XLOOKUP(Selectivo[[#This Row],[DNI]],_VF2025[DNI],_VF2025[R6]),"70 DNC")</f>
        <v>5</v>
      </c>
      <c r="V91" s="12" t="str" cm="1">
        <f t="array" ref="V91">IFERROR(_xlfn.XLOOKUP(Selectivo[[#This Row],[Vela]],_xlfn.NUMBERVALUE(SIL25v2[Sail '#]),SIL25v2[1]),"90 DNC")</f>
        <v>89 BFD</v>
      </c>
      <c r="W91" s="13" t="str" cm="1">
        <f t="array" ref="W91">IFERROR(_xlfn.XLOOKUP(Selectivo[[#This Row],[Vela]],_xlfn.NUMBERVALUE(SIL25v2[Sail '#]),SIL25v2[2]),"90 DNC")</f>
        <v>45</v>
      </c>
      <c r="X91" s="13" t="str" cm="1">
        <f t="array" ref="X91">IFERROR(_xlfn.XLOOKUP(Selectivo[[#This Row],[Vela]],_xlfn.NUMBERVALUE(SIL25v2[Sail '#]),SIL25v2[3]),"90 DNC")</f>
        <v>42</v>
      </c>
      <c r="Y91" s="13" t="str" cm="1">
        <f t="array" ref="Y91">IFERROR(_xlfn.XLOOKUP(Selectivo[[#This Row],[Vela]],_xlfn.NUMBERVALUE(SIL25v2[Sail '#]),SIL25v2[4]),"90 DNC")</f>
        <v>36</v>
      </c>
      <c r="Z91" s="12" t="str" cm="1">
        <f t="array" ref="Z91">IFERROR(_xlfn.XLOOKUP(Selectivo[[#This Row],[Vela]],_xlfn.NUMBERVALUE(SIL25v2[Sail '#]),SIL25v2[5]),"90 DNC")</f>
        <v>89 BFD</v>
      </c>
      <c r="AA91" s="13" t="str" cm="1">
        <f t="array" ref="AA91">IFERROR(_xlfn.XLOOKUP(Selectivo[[#This Row],[Vela]],_xlfn.NUMBERVALUE(SIL25v2[Sail '#]),SIL25v2[6]),"90 DNC")</f>
        <v>27</v>
      </c>
      <c r="AB91" s="8" cm="1">
        <f t="array" ref="AB91">SUM(IFERROR(VALUE(LEFT(Regatas, FIND(" ",Regatas&amp; " ") - 1)), 0))</f>
        <v>821</v>
      </c>
      <c r="AC91" s="9" cm="1">
        <f t="array" ref="AC9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566</v>
      </c>
      <c r="AD91" s="6">
        <f>SMALL(RegatasN,1)</f>
        <v>5</v>
      </c>
      <c r="AE91" s="6">
        <f>SMALL(RegatasN,2)</f>
        <v>14</v>
      </c>
      <c r="AF91" s="6">
        <f>SMALL(RegatasN,3)</f>
        <v>17</v>
      </c>
      <c r="AG91" s="5" cm="1">
        <f t="array" ref="AG91">COUNTIF(Regatas,SMALL(Regatas,1))</f>
        <v>1</v>
      </c>
      <c r="AH91" s="6" cm="1">
        <f t="array" ref="AH91">VALUE(LEFT(INDEX(Selectivo[#This Row],,MATCH(Selectivo[[#Headers],[Total]],Selectivo[#Headers],0)-1),SEARCH(" ",INDEX(Selectivo[#This Row],,MATCH(Selectivo[[#Headers],[Total]],Selectivo[#Headers],0)-1)&amp;" ")-1))</f>
        <v>27</v>
      </c>
    </row>
    <row r="92" spans="1:34" x14ac:dyDescent="0.25">
      <c r="A92">
        <v>51012774</v>
      </c>
      <c r="B92" s="10">
        <f>ROW()-ROW(Selectivo[[#Headers],[Pos]])</f>
        <v>86</v>
      </c>
      <c r="C92" s="5">
        <v>4018</v>
      </c>
      <c r="D92" t="s">
        <v>656</v>
      </c>
      <c r="E92" t="s">
        <v>8</v>
      </c>
      <c r="F92" s="13">
        <f>IFERROR(_xlfn.XLOOKUP(Selectivo[[#This Row],[DNI]],_SIY[DNI],_SIY[R1]),"78 DNC")</f>
        <v>29</v>
      </c>
      <c r="G92" s="13">
        <f>IFERROR(_xlfn.XLOOKUP(Selectivo[[#This Row],[DNI]],_SIY[DNI],_SIY[R2]),"78 DNC")</f>
        <v>37</v>
      </c>
      <c r="H92" s="13">
        <f>IFERROR(_xlfn.XLOOKUP(Selectivo[[#This Row],[DNI]],_SIY[DNI],_SIY[R3]),"78 DNC")</f>
        <v>47</v>
      </c>
      <c r="I92" s="13">
        <f>IFERROR(_xlfn.XLOOKUP(Selectivo[[#This Row],[DNI]],_SIY[DNI],_SIY[R4]),"78 DNC")</f>
        <v>35</v>
      </c>
      <c r="J92" s="13">
        <f>IFERROR(_xlfn.XLOOKUP(Selectivo[[#This Row],[DNI]],_SIY[DNI],_SIY[R5]),"78 DNC")</f>
        <v>34</v>
      </c>
      <c r="K92" s="13">
        <f>IFERROR(_xlfn.XLOOKUP(Selectivo[[#This Row],[DNI]],_SIY[DNI],_SIY[R6]),"78 DNC")</f>
        <v>38</v>
      </c>
      <c r="L92" s="13">
        <f>IFERROR(_xlfn.XLOOKUP(Selectivo[[#This Row],[DNI]],_SIY[DNI],_SIY[R7]),"78 DNC")</f>
        <v>35</v>
      </c>
      <c r="M92" s="13">
        <f>IFERROR(_xlfn.XLOOKUP(Selectivo[[#This Row],[DNI]],_SIY[DNI],_SIY[R8]),"78 DNC")</f>
        <v>33</v>
      </c>
      <c r="N92" s="13">
        <f>IFERROR(_xlfn.XLOOKUP(Selectivo[[#This Row],[DNI]],_SIY[DNI],_SIY[R9]),"78 DNC")</f>
        <v>26</v>
      </c>
      <c r="O92" s="12" t="str">
        <f>IFERROR(_xlfn.XLOOKUP(Selectivo[[#This Row],[DNI]],_SIY[DNI],_SIY[R10]),"78 DNC")</f>
        <v>77 BFD</v>
      </c>
      <c r="P92" s="13">
        <f>IFERROR(_xlfn.XLOOKUP(Selectivo[[#This Row],[DNI]],_VF2025[DNI],_VF2025[R1]),"70 DNC")</f>
        <v>34</v>
      </c>
      <c r="Q92" s="13">
        <f>IFERROR(_xlfn.XLOOKUP(Selectivo[[#This Row],[DNI]],_VF2025[DNI],_VF2025[R2]),"70 DNC")</f>
        <v>45</v>
      </c>
      <c r="R92" s="13">
        <f>IFERROR(_xlfn.XLOOKUP(Selectivo[[#This Row],[DNI]],_VF2025[DNI],_VF2025[R3]),"70 DNC")</f>
        <v>35</v>
      </c>
      <c r="S92" s="13">
        <f>IFERROR(_xlfn.XLOOKUP(Selectivo[[#This Row],[DNI]],_VF2025[DNI],_VF2025[R4]),"70 DNC")</f>
        <v>9</v>
      </c>
      <c r="T92" s="13">
        <f>IFERROR(_xlfn.XLOOKUP(Selectivo[[#This Row],[DNI]],_VF2025[DNI],_VF2025[R5]),"70 DNC")</f>
        <v>19</v>
      </c>
      <c r="U92" s="13">
        <f>IFERROR(_xlfn.XLOOKUP(Selectivo[[#This Row],[DNI]],_VF2025[DNI],_VF2025[R6]),"70 DNC")</f>
        <v>18</v>
      </c>
      <c r="V92" s="12" t="str" cm="1">
        <f t="array" ref="V92">IFERROR(_xlfn.XLOOKUP(Selectivo[[#This Row],[Vela]],_xlfn.NUMBERVALUE(SIL25v2[Sail '#]),SIL25v2[1]),"90 DNC")</f>
        <v>60</v>
      </c>
      <c r="W92" s="13" t="str" cm="1">
        <f t="array" ref="W92">IFERROR(_xlfn.XLOOKUP(Selectivo[[#This Row],[Vela]],_xlfn.NUMBERVALUE(SIL25v2[Sail '#]),SIL25v2[2]),"90 DNC")</f>
        <v>25</v>
      </c>
      <c r="X92" s="12" t="str" cm="1">
        <f t="array" ref="X92">IFERROR(_xlfn.XLOOKUP(Selectivo[[#This Row],[Vela]],_xlfn.NUMBERVALUE(SIL25v2[Sail '#]),SIL25v2[3]),"90 DNC")</f>
        <v>89 BFD</v>
      </c>
      <c r="Y92" s="13" t="str" cm="1">
        <f t="array" ref="Y92">IFERROR(_xlfn.XLOOKUP(Selectivo[[#This Row],[Vela]],_xlfn.NUMBERVALUE(SIL25v2[Sail '#]),SIL25v2[4]),"90 DNC")</f>
        <v>10</v>
      </c>
      <c r="Z92" s="13" t="str" cm="1">
        <f t="array" ref="Z92">IFERROR(_xlfn.XLOOKUP(Selectivo[[#This Row],[Vela]],_xlfn.NUMBERVALUE(SIL25v2[Sail '#]),SIL25v2[5]),"90 DNC")</f>
        <v>52</v>
      </c>
      <c r="AA92" s="13" t="str" cm="1">
        <f t="array" ref="AA92">IFERROR(_xlfn.XLOOKUP(Selectivo[[#This Row],[Vela]],_xlfn.NUMBERVALUE(SIL25v2[Sail '#]),SIL25v2[6]),"90 DNC")</f>
        <v>12</v>
      </c>
      <c r="AB92" s="8" cm="1">
        <f t="array" ref="AB92">SUM(IFERROR(VALUE(LEFT(Regatas, FIND(" ",Regatas&amp; " ") - 1)), 0))</f>
        <v>799</v>
      </c>
      <c r="AC92" s="9" cm="1">
        <f t="array" ref="AC9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573</v>
      </c>
      <c r="AD92" s="6">
        <f>SMALL(RegatasN,1)</f>
        <v>9</v>
      </c>
      <c r="AE92" s="6">
        <f>SMALL(RegatasN,2)</f>
        <v>10</v>
      </c>
      <c r="AF92" s="6">
        <f>SMALL(RegatasN,3)</f>
        <v>12</v>
      </c>
      <c r="AG92" s="5" cm="1">
        <f t="array" ref="AG92">COUNTIF(Regatas,SMALL(Regatas,1))</f>
        <v>1</v>
      </c>
      <c r="AH92" s="6" cm="1">
        <f t="array" ref="AH92">VALUE(LEFT(INDEX(Selectivo[#This Row],,MATCH(Selectivo[[#Headers],[Total]],Selectivo[#Headers],0)-1),SEARCH(" ",INDEX(Selectivo[#This Row],,MATCH(Selectivo[[#Headers],[Total]],Selectivo[#Headers],0)-1)&amp;" ")-1))</f>
        <v>12</v>
      </c>
    </row>
    <row r="93" spans="1:34" x14ac:dyDescent="0.25">
      <c r="A93">
        <v>52448420</v>
      </c>
      <c r="B93" s="10">
        <f>ROW()-ROW(Selectivo[[#Headers],[Pos]])</f>
        <v>87</v>
      </c>
      <c r="C93" s="5">
        <v>4136</v>
      </c>
      <c r="D93" t="s">
        <v>660</v>
      </c>
      <c r="E93" t="s">
        <v>16</v>
      </c>
      <c r="F93" s="13">
        <f>IFERROR(_xlfn.XLOOKUP(Selectivo[[#This Row],[DNI]],_SIY[DNI],_SIY[R1]),"78 DNC")</f>
        <v>17</v>
      </c>
      <c r="G93" s="13">
        <f>IFERROR(_xlfn.XLOOKUP(Selectivo[[#This Row],[DNI]],_SIY[DNI],_SIY[R2]),"78 DNC")</f>
        <v>48</v>
      </c>
      <c r="H93" s="13">
        <f>IFERROR(_xlfn.XLOOKUP(Selectivo[[#This Row],[DNI]],_SIY[DNI],_SIY[R3]),"78 DNC")</f>
        <v>22</v>
      </c>
      <c r="I93" s="13">
        <f>IFERROR(_xlfn.XLOOKUP(Selectivo[[#This Row],[DNI]],_SIY[DNI],_SIY[R4]),"78 DNC")</f>
        <v>14</v>
      </c>
      <c r="J93" s="12" t="str">
        <f>IFERROR(_xlfn.XLOOKUP(Selectivo[[#This Row],[DNI]],_SIY[DNI],_SIY[R5]),"78 DNC")</f>
        <v>77 UFD</v>
      </c>
      <c r="K93" s="13">
        <f>IFERROR(_xlfn.XLOOKUP(Selectivo[[#This Row],[DNI]],_SIY[DNI],_SIY[R6]),"78 DNC")</f>
        <v>32</v>
      </c>
      <c r="L93" s="13">
        <f>IFERROR(_xlfn.XLOOKUP(Selectivo[[#This Row],[DNI]],_SIY[DNI],_SIY[R7]),"78 DNC")</f>
        <v>28</v>
      </c>
      <c r="M93" s="13">
        <f>IFERROR(_xlfn.XLOOKUP(Selectivo[[#This Row],[DNI]],_SIY[DNI],_SIY[R8]),"78 DNC")</f>
        <v>12</v>
      </c>
      <c r="N93" s="13">
        <f>IFERROR(_xlfn.XLOOKUP(Selectivo[[#This Row],[DNI]],_SIY[DNI],_SIY[R9]),"78 DNC")</f>
        <v>35</v>
      </c>
      <c r="O93" s="13">
        <f>IFERROR(_xlfn.XLOOKUP(Selectivo[[#This Row],[DNI]],_SIY[DNI],_SIY[R10]),"78 DNC")</f>
        <v>26</v>
      </c>
      <c r="P93" s="13">
        <f>IFERROR(_xlfn.XLOOKUP(Selectivo[[#This Row],[DNI]],_VF2025[DNI],_VF2025[R1]),"70 DNC")</f>
        <v>46</v>
      </c>
      <c r="Q93" s="13">
        <f>IFERROR(_xlfn.XLOOKUP(Selectivo[[#This Row],[DNI]],_VF2025[DNI],_VF2025[R2]),"70 DNC")</f>
        <v>35</v>
      </c>
      <c r="R93" s="13">
        <f>IFERROR(_xlfn.XLOOKUP(Selectivo[[#This Row],[DNI]],_VF2025[DNI],_VF2025[R3]),"70 DNC")</f>
        <v>20</v>
      </c>
      <c r="S93" s="13">
        <f>IFERROR(_xlfn.XLOOKUP(Selectivo[[#This Row],[DNI]],_VF2025[DNI],_VF2025[R4]),"70 DNC")</f>
        <v>31</v>
      </c>
      <c r="T93" s="13">
        <f>IFERROR(_xlfn.XLOOKUP(Selectivo[[#This Row],[DNI]],_VF2025[DNI],_VF2025[R5]),"70 DNC")</f>
        <v>15</v>
      </c>
      <c r="U93" s="13">
        <f>IFERROR(_xlfn.XLOOKUP(Selectivo[[#This Row],[DNI]],_VF2025[DNI],_VF2025[R6]),"70 DNC")</f>
        <v>21</v>
      </c>
      <c r="V93" s="13" t="str" cm="1">
        <f t="array" ref="V93">IFERROR(_xlfn.XLOOKUP(Selectivo[[#This Row],[Vela]],_xlfn.NUMBERVALUE(SIL25v2[Sail '#]),SIL25v2[1]),"90 DNC")</f>
        <v>30</v>
      </c>
      <c r="W93" s="13" t="str" cm="1">
        <f t="array" ref="W93">IFERROR(_xlfn.XLOOKUP(Selectivo[[#This Row],[Vela]],_xlfn.NUMBERVALUE(SIL25v2[Sail '#]),SIL25v2[2]),"90 DNC")</f>
        <v>41</v>
      </c>
      <c r="X93" s="12" t="str" cm="1">
        <f t="array" ref="X93">IFERROR(_xlfn.XLOOKUP(Selectivo[[#This Row],[Vela]],_xlfn.NUMBERVALUE(SIL25v2[Sail '#]),SIL25v2[3]),"90 DNC")</f>
        <v>89 BFD</v>
      </c>
      <c r="Y93" s="13" t="str" cm="1">
        <f t="array" ref="Y93">IFERROR(_xlfn.XLOOKUP(Selectivo[[#This Row],[Vela]],_xlfn.NUMBERVALUE(SIL25v2[Sail '#]),SIL25v2[4]),"90 DNC")</f>
        <v>55</v>
      </c>
      <c r="Z93" s="13" t="str" cm="1">
        <f t="array" ref="Z93">IFERROR(_xlfn.XLOOKUP(Selectivo[[#This Row],[Vela]],_xlfn.NUMBERVALUE(SIL25v2[Sail '#]),SIL25v2[5]),"90 DNC")</f>
        <v>45</v>
      </c>
      <c r="AA93" s="12" t="str" cm="1">
        <f t="array" ref="AA93">IFERROR(_xlfn.XLOOKUP(Selectivo[[#This Row],[Vela]],_xlfn.NUMBERVALUE(SIL25v2[Sail '#]),SIL25v2[6]),"90 DNC")</f>
        <v>59</v>
      </c>
      <c r="AB93" s="8" cm="1">
        <f t="array" ref="AB93">SUM(IFERROR(VALUE(LEFT(Regatas, FIND(" ",Regatas&amp; " ") - 1)), 0))</f>
        <v>798</v>
      </c>
      <c r="AC93" s="9" cm="1">
        <f t="array" ref="AC9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573</v>
      </c>
      <c r="AD93" s="6">
        <f>SMALL(RegatasN,1)</f>
        <v>12</v>
      </c>
      <c r="AE93" s="6">
        <f>SMALL(RegatasN,2)</f>
        <v>14</v>
      </c>
      <c r="AF93" s="6">
        <f>SMALL(RegatasN,3)</f>
        <v>15</v>
      </c>
      <c r="AG93" s="5" cm="1">
        <f t="array" ref="AG93">COUNTIF(Regatas,SMALL(Regatas,1))</f>
        <v>1</v>
      </c>
      <c r="AH93" s="6" cm="1">
        <f t="array" ref="AH93">VALUE(LEFT(INDEX(Selectivo[#This Row],,MATCH(Selectivo[[#Headers],[Total]],Selectivo[#Headers],0)-1),SEARCH(" ",INDEX(Selectivo[#This Row],,MATCH(Selectivo[[#Headers],[Total]],Selectivo[#Headers],0)-1)&amp;" ")-1))</f>
        <v>59</v>
      </c>
    </row>
    <row r="94" spans="1:34" x14ac:dyDescent="0.25">
      <c r="A94">
        <v>50617785</v>
      </c>
      <c r="B94" s="10">
        <f>ROW()-ROW(Selectivo[[#Headers],[Pos]])</f>
        <v>88</v>
      </c>
      <c r="C94" s="5">
        <v>3099</v>
      </c>
      <c r="D94" t="s">
        <v>623</v>
      </c>
      <c r="E94" t="s">
        <v>76</v>
      </c>
      <c r="F94" s="12">
        <f>IFERROR(_xlfn.XLOOKUP(Selectivo[[#This Row],[DNI]],_SIY[DNI],_SIY[R1]),"78 DNC")</f>
        <v>45</v>
      </c>
      <c r="G94" s="13">
        <f>IFERROR(_xlfn.XLOOKUP(Selectivo[[#This Row],[DNI]],_SIY[DNI],_SIY[R2]),"78 DNC")</f>
        <v>39</v>
      </c>
      <c r="H94" s="13">
        <f>IFERROR(_xlfn.XLOOKUP(Selectivo[[#This Row],[DNI]],_SIY[DNI],_SIY[R3]),"78 DNC")</f>
        <v>37</v>
      </c>
      <c r="I94" s="13">
        <f>IFERROR(_xlfn.XLOOKUP(Selectivo[[#This Row],[DNI]],_SIY[DNI],_SIY[R4]),"78 DNC")</f>
        <v>42</v>
      </c>
      <c r="J94" s="13">
        <f>IFERROR(_xlfn.XLOOKUP(Selectivo[[#This Row],[DNI]],_SIY[DNI],_SIY[R5]),"78 DNC")</f>
        <v>35</v>
      </c>
      <c r="K94" s="12">
        <f>IFERROR(_xlfn.XLOOKUP(Selectivo[[#This Row],[DNI]],_SIY[DNI],_SIY[R6]),"78 DNC")</f>
        <v>57</v>
      </c>
      <c r="L94" s="13">
        <f>IFERROR(_xlfn.XLOOKUP(Selectivo[[#This Row],[DNI]],_SIY[DNI],_SIY[R7]),"78 DNC")</f>
        <v>42</v>
      </c>
      <c r="M94" s="13">
        <f>IFERROR(_xlfn.XLOOKUP(Selectivo[[#This Row],[DNI]],_SIY[DNI],_SIY[R8]),"78 DNC")</f>
        <v>35</v>
      </c>
      <c r="N94" s="13">
        <f>IFERROR(_xlfn.XLOOKUP(Selectivo[[#This Row],[DNI]],_SIY[DNI],_SIY[R9]),"78 DNC")</f>
        <v>27</v>
      </c>
      <c r="O94" s="13">
        <f>IFERROR(_xlfn.XLOOKUP(Selectivo[[#This Row],[DNI]],_SIY[DNI],_SIY[R10]),"78 DNC")</f>
        <v>35</v>
      </c>
      <c r="P94" s="13">
        <f>IFERROR(_xlfn.XLOOKUP(Selectivo[[#This Row],[DNI]],_VF2025[DNI],_VF2025[R1]),"70 DNC")</f>
        <v>13</v>
      </c>
      <c r="Q94" s="13">
        <f>IFERROR(_xlfn.XLOOKUP(Selectivo[[#This Row],[DNI]],_VF2025[DNI],_VF2025[R2]),"70 DNC")</f>
        <v>26</v>
      </c>
      <c r="R94" s="13">
        <f>IFERROR(_xlfn.XLOOKUP(Selectivo[[#This Row],[DNI]],_VF2025[DNI],_VF2025[R3]),"70 DNC")</f>
        <v>43</v>
      </c>
      <c r="S94" s="13">
        <f>IFERROR(_xlfn.XLOOKUP(Selectivo[[#This Row],[DNI]],_VF2025[DNI],_VF2025[R4]),"70 DNC")</f>
        <v>41</v>
      </c>
      <c r="T94" s="13">
        <f>IFERROR(_xlfn.XLOOKUP(Selectivo[[#This Row],[DNI]],_VF2025[DNI],_VF2025[R5]),"70 DNC")</f>
        <v>45</v>
      </c>
      <c r="U94" s="13">
        <f>IFERROR(_xlfn.XLOOKUP(Selectivo[[#This Row],[DNI]],_VF2025[DNI],_VF2025[R6]),"70 DNC")</f>
        <v>25</v>
      </c>
      <c r="V94" s="13" t="str" cm="1">
        <f t="array" ref="V94">IFERROR(_xlfn.XLOOKUP(Selectivo[[#This Row],[Vela]],_xlfn.NUMBERVALUE(SIL25v2[Sail '#]),SIL25v2[1]),"90 DNC")</f>
        <v>29</v>
      </c>
      <c r="W94" s="13" t="str" cm="1">
        <f t="array" ref="W94">IFERROR(_xlfn.XLOOKUP(Selectivo[[#This Row],[Vela]],_xlfn.NUMBERVALUE(SIL25v2[Sail '#]),SIL25v2[2]),"90 DNC")</f>
        <v>21</v>
      </c>
      <c r="X94" s="13" t="str" cm="1">
        <f t="array" ref="X94">IFERROR(_xlfn.XLOOKUP(Selectivo[[#This Row],[Vela]],_xlfn.NUMBERVALUE(SIL25v2[Sail '#]),SIL25v2[3]),"90 DNC")</f>
        <v>8</v>
      </c>
      <c r="Y94" s="12" t="str" cm="1">
        <f t="array" ref="Y94">IFERROR(_xlfn.XLOOKUP(Selectivo[[#This Row],[Vela]],_xlfn.NUMBERVALUE(SIL25v2[Sail '#]),SIL25v2[4]),"90 DNC")</f>
        <v>53</v>
      </c>
      <c r="Z94" s="13" t="str" cm="1">
        <f t="array" ref="Z94">IFERROR(_xlfn.XLOOKUP(Selectivo[[#This Row],[Vela]],_xlfn.NUMBERVALUE(SIL25v2[Sail '#]),SIL25v2[5]),"90 DNC")</f>
        <v>28</v>
      </c>
      <c r="AA94" s="13" t="str" cm="1">
        <f t="array" ref="AA94">IFERROR(_xlfn.XLOOKUP(Selectivo[[#This Row],[Vela]],_xlfn.NUMBERVALUE(SIL25v2[Sail '#]),SIL25v2[6]),"90 DNC")</f>
        <v>3</v>
      </c>
      <c r="AB94" s="8" cm="1">
        <f t="array" ref="AB94">SUM(IFERROR(VALUE(LEFT(Regatas, FIND(" ",Regatas&amp; " ") - 1)), 0))</f>
        <v>729</v>
      </c>
      <c r="AC94" s="9" cm="1">
        <f t="array" ref="AC9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574</v>
      </c>
      <c r="AD94" s="6">
        <f>SMALL(RegatasN,1)</f>
        <v>3</v>
      </c>
      <c r="AE94" s="6">
        <f>SMALL(RegatasN,2)</f>
        <v>8</v>
      </c>
      <c r="AF94" s="6">
        <f>SMALL(RegatasN,3)</f>
        <v>13</v>
      </c>
      <c r="AG94" s="5" cm="1">
        <f t="array" ref="AG94">COUNTIF(Regatas,SMALL(Regatas,1))</f>
        <v>1</v>
      </c>
      <c r="AH94" s="6" cm="1">
        <f t="array" ref="AH94">VALUE(LEFT(INDEX(Selectivo[#This Row],,MATCH(Selectivo[[#Headers],[Total]],Selectivo[#Headers],0)-1),SEARCH(" ",INDEX(Selectivo[#This Row],,MATCH(Selectivo[[#Headers],[Total]],Selectivo[#Headers],0)-1)&amp;" ")-1))</f>
        <v>3</v>
      </c>
    </row>
    <row r="95" spans="1:34" x14ac:dyDescent="0.25">
      <c r="A95">
        <v>52756455</v>
      </c>
      <c r="B95" s="10">
        <f>ROW()-ROW(Selectivo[[#Headers],[Pos]])</f>
        <v>89</v>
      </c>
      <c r="C95" s="5">
        <v>4025</v>
      </c>
      <c r="D95" t="s">
        <v>631</v>
      </c>
      <c r="E95" t="s">
        <v>17</v>
      </c>
      <c r="F95" s="13">
        <f>IFERROR(_xlfn.XLOOKUP(Selectivo[[#This Row],[DNI]],_SIY[DNI],_SIY[R1]),"78 DNC")</f>
        <v>43</v>
      </c>
      <c r="G95" s="13">
        <f>IFERROR(_xlfn.XLOOKUP(Selectivo[[#This Row],[DNI]],_SIY[DNI],_SIY[R2]),"78 DNC")</f>
        <v>32</v>
      </c>
      <c r="H95" s="13">
        <f>IFERROR(_xlfn.XLOOKUP(Selectivo[[#This Row],[DNI]],_SIY[DNI],_SIY[R3]),"78 DNC")</f>
        <v>36</v>
      </c>
      <c r="I95" s="13">
        <f>IFERROR(_xlfn.XLOOKUP(Selectivo[[#This Row],[DNI]],_SIY[DNI],_SIY[R4]),"78 DNC")</f>
        <v>30</v>
      </c>
      <c r="J95" s="13">
        <f>IFERROR(_xlfn.XLOOKUP(Selectivo[[#This Row],[DNI]],_SIY[DNI],_SIY[R5]),"78 DNC")</f>
        <v>43</v>
      </c>
      <c r="K95" s="13">
        <f>IFERROR(_xlfn.XLOOKUP(Selectivo[[#This Row],[DNI]],_SIY[DNI],_SIY[R6]),"78 DNC")</f>
        <v>22</v>
      </c>
      <c r="L95" s="13">
        <f>IFERROR(_xlfn.XLOOKUP(Selectivo[[#This Row],[DNI]],_SIY[DNI],_SIY[R7]),"78 DNC")</f>
        <v>19</v>
      </c>
      <c r="M95" s="13">
        <f>IFERROR(_xlfn.XLOOKUP(Selectivo[[#This Row],[DNI]],_SIY[DNI],_SIY[R8]),"78 DNC")</f>
        <v>21</v>
      </c>
      <c r="N95" s="12" t="str">
        <f>IFERROR(_xlfn.XLOOKUP(Selectivo[[#This Row],[DNI]],_SIY[DNI],_SIY[R9]),"78 DNC")</f>
        <v>77 BFD</v>
      </c>
      <c r="O95" s="13">
        <f>IFERROR(_xlfn.XLOOKUP(Selectivo[[#This Row],[DNI]],_SIY[DNI],_SIY[R10]),"78 DNC")</f>
        <v>39</v>
      </c>
      <c r="P95" s="13">
        <f>IFERROR(_xlfn.XLOOKUP(Selectivo[[#This Row],[DNI]],_VF2025[DNI],_VF2025[R1]),"70 DNC")</f>
        <v>10</v>
      </c>
      <c r="Q95" s="13">
        <f>IFERROR(_xlfn.XLOOKUP(Selectivo[[#This Row],[DNI]],_VF2025[DNI],_VF2025[R2]),"70 DNC")</f>
        <v>60</v>
      </c>
      <c r="R95" s="12" t="str">
        <f>IFERROR(_xlfn.XLOOKUP(Selectivo[[#This Row],[DNI]],_VF2025[DNI],_VF2025[R3]),"70 DNC")</f>
        <v>70 BFD</v>
      </c>
      <c r="S95" s="13">
        <f>IFERROR(_xlfn.XLOOKUP(Selectivo[[#This Row],[DNI]],_VF2025[DNI],_VF2025[R4]),"70 DNC")</f>
        <v>6</v>
      </c>
      <c r="T95" s="13" t="str">
        <f>IFERROR(_xlfn.XLOOKUP(Selectivo[[#This Row],[DNI]],_VF2025[DNI],_VF2025[R5]),"70 DNC")</f>
        <v>70 BFD</v>
      </c>
      <c r="U95" s="13">
        <f>IFERROR(_xlfn.XLOOKUP(Selectivo[[#This Row],[DNI]],_VF2025[DNI],_VF2025[R6]),"70 DNC")</f>
        <v>24</v>
      </c>
      <c r="V95" s="13" t="str" cm="1">
        <f t="array" ref="V95">IFERROR(_xlfn.XLOOKUP(Selectivo[[#This Row],[Vela]],_xlfn.NUMBERVALUE(SIL25v2[Sail '#]),SIL25v2[1]),"90 DNC")</f>
        <v>29</v>
      </c>
      <c r="W95" s="13" t="str" cm="1">
        <f t="array" ref="W95">IFERROR(_xlfn.XLOOKUP(Selectivo[[#This Row],[Vela]],_xlfn.NUMBERVALUE(SIL25v2[Sail '#]),SIL25v2[2]),"90 DNC")</f>
        <v>24</v>
      </c>
      <c r="X95" s="12" t="str" cm="1">
        <f t="array" ref="X95">IFERROR(_xlfn.XLOOKUP(Selectivo[[#This Row],[Vela]],_xlfn.NUMBERVALUE(SIL25v2[Sail '#]),SIL25v2[3]),"90 DNC")</f>
        <v>89 BFD</v>
      </c>
      <c r="Y95" s="13" t="str" cm="1">
        <f t="array" ref="Y95">IFERROR(_xlfn.XLOOKUP(Selectivo[[#This Row],[Vela]],_xlfn.NUMBERVALUE(SIL25v2[Sail '#]),SIL25v2[4]),"90 DNC")</f>
        <v>25</v>
      </c>
      <c r="Z95" s="13" t="str" cm="1">
        <f t="array" ref="Z95">IFERROR(_xlfn.XLOOKUP(Selectivo[[#This Row],[Vela]],_xlfn.NUMBERVALUE(SIL25v2[Sail '#]),SIL25v2[5]),"90 DNC")</f>
        <v>31</v>
      </c>
      <c r="AA95" s="13" t="str" cm="1">
        <f t="array" ref="AA95">IFERROR(_xlfn.XLOOKUP(Selectivo[[#This Row],[Vela]],_xlfn.NUMBERVALUE(SIL25v2[Sail '#]),SIL25v2[6]),"90 DNC")</f>
        <v>13</v>
      </c>
      <c r="AB95" s="8" cm="1">
        <f t="array" ref="AB95">SUM(IFERROR(VALUE(LEFT(Regatas, FIND(" ",Regatas&amp; " ") - 1)), 0))</f>
        <v>813</v>
      </c>
      <c r="AC95" s="9" cm="1">
        <f t="array" ref="AC9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577</v>
      </c>
      <c r="AD95" s="6">
        <f>SMALL(RegatasN,1)</f>
        <v>6</v>
      </c>
      <c r="AE95" s="6">
        <f>SMALL(RegatasN,2)</f>
        <v>10</v>
      </c>
      <c r="AF95" s="6">
        <f>SMALL(RegatasN,3)</f>
        <v>13</v>
      </c>
      <c r="AG95" s="5" cm="1">
        <f t="array" ref="AG95">COUNTIF(Regatas,SMALL(Regatas,1))</f>
        <v>1</v>
      </c>
      <c r="AH95" s="6" cm="1">
        <f t="array" ref="AH95">VALUE(LEFT(INDEX(Selectivo[#This Row],,MATCH(Selectivo[[#Headers],[Total]],Selectivo[#Headers],0)-1),SEARCH(" ",INDEX(Selectivo[#This Row],,MATCH(Selectivo[[#Headers],[Total]],Selectivo[#Headers],0)-1)&amp;" ")-1))</f>
        <v>13</v>
      </c>
    </row>
    <row r="96" spans="1:34" x14ac:dyDescent="0.25">
      <c r="A96">
        <v>53202237</v>
      </c>
      <c r="B96" s="10">
        <f>ROW()-ROW(Selectivo[[#Headers],[Pos]])</f>
        <v>90</v>
      </c>
      <c r="C96" s="5">
        <v>4201</v>
      </c>
      <c r="D96" t="s">
        <v>589</v>
      </c>
      <c r="E96" t="s">
        <v>21</v>
      </c>
      <c r="F96" s="13">
        <f>IFERROR(_xlfn.XLOOKUP(Selectivo[[#This Row],[DNI]],_SIY[DNI],_SIY[R1]),"78 DNC")</f>
        <v>41</v>
      </c>
      <c r="G96" s="13">
        <f>IFERROR(_xlfn.XLOOKUP(Selectivo[[#This Row],[DNI]],_SIY[DNI],_SIY[R2]),"78 DNC")</f>
        <v>53</v>
      </c>
      <c r="H96" s="13">
        <f>IFERROR(_xlfn.XLOOKUP(Selectivo[[#This Row],[DNI]],_SIY[DNI],_SIY[R3]),"78 DNC")</f>
        <v>53</v>
      </c>
      <c r="I96" s="12">
        <f>IFERROR(_xlfn.XLOOKUP(Selectivo[[#This Row],[DNI]],_SIY[DNI],_SIY[R4]),"78 DNC")</f>
        <v>59</v>
      </c>
      <c r="J96" s="13">
        <f>IFERROR(_xlfn.XLOOKUP(Selectivo[[#This Row],[DNI]],_SIY[DNI],_SIY[R5]),"78 DNC")</f>
        <v>59</v>
      </c>
      <c r="K96" s="13">
        <f>IFERROR(_xlfn.XLOOKUP(Selectivo[[#This Row],[DNI]],_SIY[DNI],_SIY[R6]),"78 DNC")</f>
        <v>55</v>
      </c>
      <c r="L96" s="13">
        <f>IFERROR(_xlfn.XLOOKUP(Selectivo[[#This Row],[DNI]],_SIY[DNI],_SIY[R7]),"78 DNC")</f>
        <v>50</v>
      </c>
      <c r="M96" s="13">
        <f>IFERROR(_xlfn.XLOOKUP(Selectivo[[#This Row],[DNI]],_SIY[DNI],_SIY[R8]),"78 DNC")</f>
        <v>23</v>
      </c>
      <c r="N96" s="13">
        <f>IFERROR(_xlfn.XLOOKUP(Selectivo[[#This Row],[DNI]],_SIY[DNI],_SIY[R9]),"78 DNC")</f>
        <v>14</v>
      </c>
      <c r="O96" s="13">
        <f>IFERROR(_xlfn.XLOOKUP(Selectivo[[#This Row],[DNI]],_SIY[DNI],_SIY[R10]),"78 DNC")</f>
        <v>36</v>
      </c>
      <c r="P96" s="13">
        <f>IFERROR(_xlfn.XLOOKUP(Selectivo[[#This Row],[DNI]],_VF2025[DNI],_VF2025[R1]),"70 DNC")</f>
        <v>11</v>
      </c>
      <c r="Q96" s="13">
        <f>IFERROR(_xlfn.XLOOKUP(Selectivo[[#This Row],[DNI]],_VF2025[DNI],_VF2025[R2]),"70 DNC")</f>
        <v>29</v>
      </c>
      <c r="R96" s="13">
        <f>IFERROR(_xlfn.XLOOKUP(Selectivo[[#This Row],[DNI]],_VF2025[DNI],_VF2025[R3]),"70 DNC")</f>
        <v>20</v>
      </c>
      <c r="S96" s="13">
        <f>IFERROR(_xlfn.XLOOKUP(Selectivo[[#This Row],[DNI]],_VF2025[DNI],_VF2025[R4]),"70 DNC")</f>
        <v>18</v>
      </c>
      <c r="T96" s="12" t="str">
        <f>IFERROR(_xlfn.XLOOKUP(Selectivo[[#This Row],[DNI]],_VF2025[DNI],_VF2025[R5]),"70 DNC")</f>
        <v>70 BFD</v>
      </c>
      <c r="U96" s="13">
        <f>IFERROR(_xlfn.XLOOKUP(Selectivo[[#This Row],[DNI]],_VF2025[DNI],_VF2025[R6]),"70 DNC")</f>
        <v>46</v>
      </c>
      <c r="V96" s="12" t="str" cm="1">
        <f t="array" ref="V96">IFERROR(_xlfn.XLOOKUP(Selectivo[[#This Row],[Vela]],_xlfn.NUMBERVALUE(SIL25v2[Sail '#]),SIL25v2[1]),"90 DNC")</f>
        <v>89 BFD</v>
      </c>
      <c r="W96" s="13" t="str" cm="1">
        <f t="array" ref="W96">IFERROR(_xlfn.XLOOKUP(Selectivo[[#This Row],[Vela]],_xlfn.NUMBERVALUE(SIL25v2[Sail '#]),SIL25v2[2]),"90 DNC")</f>
        <v>4</v>
      </c>
      <c r="X96" s="13" t="str" cm="1">
        <f t="array" ref="X96">IFERROR(_xlfn.XLOOKUP(Selectivo[[#This Row],[Vela]],_xlfn.NUMBERVALUE(SIL25v2[Sail '#]),SIL25v2[3]),"90 DNC")</f>
        <v>26</v>
      </c>
      <c r="Y96" s="13" t="str" cm="1">
        <f t="array" ref="Y96">IFERROR(_xlfn.XLOOKUP(Selectivo[[#This Row],[Vela]],_xlfn.NUMBERVALUE(SIL25v2[Sail '#]),SIL25v2[4]),"90 DNC")</f>
        <v>4</v>
      </c>
      <c r="Z96" s="13" t="str" cm="1">
        <f t="array" ref="Z96">IFERROR(_xlfn.XLOOKUP(Selectivo[[#This Row],[Vela]],_xlfn.NUMBERVALUE(SIL25v2[Sail '#]),SIL25v2[5]),"90 DNC")</f>
        <v>20</v>
      </c>
      <c r="AA96" s="13" t="str" cm="1">
        <f t="array" ref="AA96">IFERROR(_xlfn.XLOOKUP(Selectivo[[#This Row],[Vela]],_xlfn.NUMBERVALUE(SIL25v2[Sail '#]),SIL25v2[6]),"90 DNC")</f>
        <v>19</v>
      </c>
      <c r="AB96" s="8" cm="1">
        <f t="array" ref="AB96">SUM(IFERROR(VALUE(LEFT(Regatas, FIND(" ",Regatas&amp; " ") - 1)), 0))</f>
        <v>799</v>
      </c>
      <c r="AC96" s="9" cm="1">
        <f t="array" ref="AC9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581</v>
      </c>
      <c r="AD96" s="6">
        <f>SMALL(RegatasN,1)</f>
        <v>4</v>
      </c>
      <c r="AE96" s="6">
        <f>SMALL(RegatasN,2)</f>
        <v>4</v>
      </c>
      <c r="AF96" s="6">
        <f>SMALL(RegatasN,3)</f>
        <v>11</v>
      </c>
      <c r="AG96" s="5" cm="1">
        <f t="array" ref="AG96">COUNTIF(Regatas,SMALL(Regatas,1))</f>
        <v>1</v>
      </c>
      <c r="AH96" s="6" cm="1">
        <f t="array" ref="AH96">VALUE(LEFT(INDEX(Selectivo[#This Row],,MATCH(Selectivo[[#Headers],[Total]],Selectivo[#Headers],0)-1),SEARCH(" ",INDEX(Selectivo[#This Row],,MATCH(Selectivo[[#Headers],[Total]],Selectivo[#Headers],0)-1)&amp;" ")-1))</f>
        <v>19</v>
      </c>
    </row>
    <row r="97" spans="1:34" x14ac:dyDescent="0.25">
      <c r="A97">
        <v>50580932</v>
      </c>
      <c r="B97" s="10">
        <f>ROW()-ROW(Selectivo[[#Headers],[Pos]])</f>
        <v>91</v>
      </c>
      <c r="C97" s="5">
        <v>3962</v>
      </c>
      <c r="D97" t="s">
        <v>691</v>
      </c>
      <c r="E97" t="s">
        <v>5</v>
      </c>
      <c r="F97" s="13">
        <f>IFERROR(_xlfn.XLOOKUP(Selectivo[[#This Row],[DNI]],_SIY[DNI],_SIY[R1]),"78 DNC")</f>
        <v>26</v>
      </c>
      <c r="G97" s="13">
        <f>IFERROR(_xlfn.XLOOKUP(Selectivo[[#This Row],[DNI]],_SIY[DNI],_SIY[R2]),"78 DNC")</f>
        <v>42</v>
      </c>
      <c r="H97" s="13">
        <f>IFERROR(_xlfn.XLOOKUP(Selectivo[[#This Row],[DNI]],_SIY[DNI],_SIY[R3]),"78 DNC")</f>
        <v>13</v>
      </c>
      <c r="I97" s="13">
        <f>IFERROR(_xlfn.XLOOKUP(Selectivo[[#This Row],[DNI]],_SIY[DNI],_SIY[R4]),"78 DNC")</f>
        <v>15</v>
      </c>
      <c r="J97" s="13">
        <f>IFERROR(_xlfn.XLOOKUP(Selectivo[[#This Row],[DNI]],_SIY[DNI],_SIY[R5]),"78 DNC")</f>
        <v>21</v>
      </c>
      <c r="K97" s="13">
        <f>IFERROR(_xlfn.XLOOKUP(Selectivo[[#This Row],[DNI]],_SIY[DNI],_SIY[R6]),"78 DNC")</f>
        <v>15</v>
      </c>
      <c r="L97" s="13">
        <f>IFERROR(_xlfn.XLOOKUP(Selectivo[[#This Row],[DNI]],_SIY[DNI],_SIY[R7]),"78 DNC")</f>
        <v>49</v>
      </c>
      <c r="M97" s="12" t="str">
        <f>IFERROR(_xlfn.XLOOKUP(Selectivo[[#This Row],[DNI]],_SIY[DNI],_SIY[R8]),"78 DNC")</f>
        <v>77 BFD</v>
      </c>
      <c r="N97" s="13">
        <f>IFERROR(_xlfn.XLOOKUP(Selectivo[[#This Row],[DNI]],_SIY[DNI],_SIY[R9]),"78 DNC")</f>
        <v>18</v>
      </c>
      <c r="O97" s="13">
        <f>IFERROR(_xlfn.XLOOKUP(Selectivo[[#This Row],[DNI]],_SIY[DNI],_SIY[R10]),"78 DNC")</f>
        <v>32</v>
      </c>
      <c r="P97" s="13">
        <f>IFERROR(_xlfn.XLOOKUP(Selectivo[[#This Row],[DNI]],_VF2025[DNI],_VF2025[R1]),"70 DNC")</f>
        <v>15</v>
      </c>
      <c r="Q97" s="13">
        <f>IFERROR(_xlfn.XLOOKUP(Selectivo[[#This Row],[DNI]],_VF2025[DNI],_VF2025[R2]),"70 DNC")</f>
        <v>56</v>
      </c>
      <c r="R97" s="13">
        <f>IFERROR(_xlfn.XLOOKUP(Selectivo[[#This Row],[DNI]],_VF2025[DNI],_VF2025[R3]),"70 DNC")</f>
        <v>14</v>
      </c>
      <c r="S97" s="13">
        <f>IFERROR(_xlfn.XLOOKUP(Selectivo[[#This Row],[DNI]],_VF2025[DNI],_VF2025[R4]),"70 DNC")</f>
        <v>42</v>
      </c>
      <c r="T97" s="13">
        <f>IFERROR(_xlfn.XLOOKUP(Selectivo[[#This Row],[DNI]],_VF2025[DNI],_VF2025[R5]),"70 DNC")</f>
        <v>30</v>
      </c>
      <c r="U97" s="13" t="str">
        <f>IFERROR(_xlfn.XLOOKUP(Selectivo[[#This Row],[DNI]],_VF2025[DNI],_VF2025[R6]),"70 DNC")</f>
        <v>70 DNC</v>
      </c>
      <c r="V97" s="13" t="str" cm="1">
        <f t="array" ref="V97">IFERROR(_xlfn.XLOOKUP(Selectivo[[#This Row],[Vela]],_xlfn.NUMBERVALUE(SIL25v2[Sail '#]),SIL25v2[1]),"90 DNC")</f>
        <v>24</v>
      </c>
      <c r="W97" s="13" t="str" cm="1">
        <f t="array" ref="W97">IFERROR(_xlfn.XLOOKUP(Selectivo[[#This Row],[Vela]],_xlfn.NUMBERVALUE(SIL25v2[Sail '#]),SIL25v2[2]),"90 DNC")</f>
        <v>42</v>
      </c>
      <c r="X97" s="12" t="str" cm="1">
        <f t="array" ref="X97">IFERROR(_xlfn.XLOOKUP(Selectivo[[#This Row],[Vela]],_xlfn.NUMBERVALUE(SIL25v2[Sail '#]),SIL25v2[3]),"90 DNC")</f>
        <v>89 BFD</v>
      </c>
      <c r="Y97" s="13" t="str" cm="1">
        <f t="array" ref="Y97">IFERROR(_xlfn.XLOOKUP(Selectivo[[#This Row],[Vela]],_xlfn.NUMBERVALUE(SIL25v2[Sail '#]),SIL25v2[4]),"90 DNC")</f>
        <v>25</v>
      </c>
      <c r="Z97" s="13" t="str" cm="1">
        <f t="array" ref="Z97">IFERROR(_xlfn.XLOOKUP(Selectivo[[#This Row],[Vela]],_xlfn.NUMBERVALUE(SIL25v2[Sail '#]),SIL25v2[5]),"90 DNC")</f>
        <v>34</v>
      </c>
      <c r="AA97" s="12" t="str" cm="1">
        <f t="array" ref="AA97">IFERROR(_xlfn.XLOOKUP(Selectivo[[#This Row],[Vela]],_xlfn.NUMBERVALUE(SIL25v2[Sail '#]),SIL25v2[6]),"90 DNC")</f>
        <v>89 BFD</v>
      </c>
      <c r="AB97" s="8" cm="1">
        <f t="array" ref="AB97">SUM(IFERROR(VALUE(LEFT(Regatas, FIND(" ",Regatas&amp; " ") - 1)), 0))</f>
        <v>838</v>
      </c>
      <c r="AC97" s="9" cm="1">
        <f t="array" ref="AC9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583</v>
      </c>
      <c r="AD97" s="6">
        <f>SMALL(RegatasN,1)</f>
        <v>13</v>
      </c>
      <c r="AE97" s="6">
        <f>SMALL(RegatasN,2)</f>
        <v>14</v>
      </c>
      <c r="AF97" s="6">
        <f>SMALL(RegatasN,3)</f>
        <v>15</v>
      </c>
      <c r="AG97" s="5" cm="1">
        <f t="array" ref="AG97">COUNTIF(Regatas,SMALL(Regatas,1))</f>
        <v>1</v>
      </c>
      <c r="AH97" s="6" cm="1">
        <f t="array" ref="AH97">VALUE(LEFT(INDEX(Selectivo[#This Row],,MATCH(Selectivo[[#Headers],[Total]],Selectivo[#Headers],0)-1),SEARCH(" ",INDEX(Selectivo[#This Row],,MATCH(Selectivo[[#Headers],[Total]],Selectivo[#Headers],0)-1)&amp;" ")-1))</f>
        <v>89</v>
      </c>
    </row>
    <row r="98" spans="1:34" x14ac:dyDescent="0.25">
      <c r="A98">
        <v>51066390</v>
      </c>
      <c r="B98" s="10">
        <f>ROW()-ROW(Selectivo[[#Headers],[Pos]])</f>
        <v>92</v>
      </c>
      <c r="C98" s="5">
        <v>3563</v>
      </c>
      <c r="D98" t="s">
        <v>699</v>
      </c>
      <c r="E98" t="s">
        <v>9</v>
      </c>
      <c r="F98" s="13">
        <f>IFERROR(_xlfn.XLOOKUP(Selectivo[[#This Row],[DNI]],_SIY[DNI],_SIY[R1]),"78 DNC")</f>
        <v>30</v>
      </c>
      <c r="G98" s="13">
        <f>IFERROR(_xlfn.XLOOKUP(Selectivo[[#This Row],[DNI]],_SIY[DNI],_SIY[R2]),"78 DNC")</f>
        <v>25</v>
      </c>
      <c r="H98" s="13">
        <f>IFERROR(_xlfn.XLOOKUP(Selectivo[[#This Row],[DNI]],_SIY[DNI],_SIY[R3]),"78 DNC")</f>
        <v>24</v>
      </c>
      <c r="I98" s="13">
        <f>IFERROR(_xlfn.XLOOKUP(Selectivo[[#This Row],[DNI]],_SIY[DNI],_SIY[R4]),"78 DNC")</f>
        <v>29</v>
      </c>
      <c r="J98" s="13">
        <f>IFERROR(_xlfn.XLOOKUP(Selectivo[[#This Row],[DNI]],_SIY[DNI],_SIY[R5]),"78 DNC")</f>
        <v>21</v>
      </c>
      <c r="K98" s="13">
        <f>IFERROR(_xlfn.XLOOKUP(Selectivo[[#This Row],[DNI]],_SIY[DNI],_SIY[R6]),"78 DNC")</f>
        <v>15</v>
      </c>
      <c r="L98" s="13">
        <f>IFERROR(_xlfn.XLOOKUP(Selectivo[[#This Row],[DNI]],_SIY[DNI],_SIY[R7]),"78 DNC")</f>
        <v>30</v>
      </c>
      <c r="M98" s="13">
        <f>IFERROR(_xlfn.XLOOKUP(Selectivo[[#This Row],[DNI]],_SIY[DNI],_SIY[R8]),"78 DNC")</f>
        <v>16</v>
      </c>
      <c r="N98" s="13">
        <f>IFERROR(_xlfn.XLOOKUP(Selectivo[[#This Row],[DNI]],_SIY[DNI],_SIY[R9]),"78 DNC")</f>
        <v>59</v>
      </c>
      <c r="O98" s="13">
        <f>IFERROR(_xlfn.XLOOKUP(Selectivo[[#This Row],[DNI]],_SIY[DNI],_SIY[R10]),"78 DNC")</f>
        <v>36</v>
      </c>
      <c r="P98" s="12" t="str">
        <f>IFERROR(_xlfn.XLOOKUP(Selectivo[[#This Row],[DNI]],_VF2025[DNI],_VF2025[R1]),"70 DNC")</f>
        <v>70 DNC</v>
      </c>
      <c r="Q98" s="13">
        <f>IFERROR(_xlfn.XLOOKUP(Selectivo[[#This Row],[DNI]],_VF2025[DNI],_VF2025[R2]),"70 DNC")</f>
        <v>26</v>
      </c>
      <c r="R98" s="13">
        <f>IFERROR(_xlfn.XLOOKUP(Selectivo[[#This Row],[DNI]],_VF2025[DNI],_VF2025[R3]),"70 DNC")</f>
        <v>22</v>
      </c>
      <c r="S98" s="13">
        <f>IFERROR(_xlfn.XLOOKUP(Selectivo[[#This Row],[DNI]],_VF2025[DNI],_VF2025[R4]),"70 DNC")</f>
        <v>40</v>
      </c>
      <c r="T98" s="13">
        <f>IFERROR(_xlfn.XLOOKUP(Selectivo[[#This Row],[DNI]],_VF2025[DNI],_VF2025[R5]),"70 DNC")</f>
        <v>30</v>
      </c>
      <c r="U98" s="12" t="str">
        <f>IFERROR(_xlfn.XLOOKUP(Selectivo[[#This Row],[DNI]],_VF2025[DNI],_VF2025[R6]),"70 DNC")</f>
        <v>70 BFD</v>
      </c>
      <c r="V98" s="13" t="str" cm="1">
        <f t="array" ref="V98">IFERROR(_xlfn.XLOOKUP(Selectivo[[#This Row],[Vela]],_xlfn.NUMBERVALUE(SIL25v2[Sail '#]),SIL25v2[1]),"90 DNC")</f>
        <v>25</v>
      </c>
      <c r="W98" s="12" t="str" cm="1">
        <f t="array" ref="W98">IFERROR(_xlfn.XLOOKUP(Selectivo[[#This Row],[Vela]],_xlfn.NUMBERVALUE(SIL25v2[Sail '#]),SIL25v2[2]),"90 DNC")</f>
        <v>89 UFD</v>
      </c>
      <c r="X98" s="13" t="str" cm="1">
        <f t="array" ref="X98">IFERROR(_xlfn.XLOOKUP(Selectivo[[#This Row],[Vela]],_xlfn.NUMBERVALUE(SIL25v2[Sail '#]),SIL25v2[3]),"90 DNC")</f>
        <v>42</v>
      </c>
      <c r="Y98" s="13" t="str" cm="1">
        <f t="array" ref="Y98">IFERROR(_xlfn.XLOOKUP(Selectivo[[#This Row],[Vela]],_xlfn.NUMBERVALUE(SIL25v2[Sail '#]),SIL25v2[4]),"90 DNC")</f>
        <v>19</v>
      </c>
      <c r="Z98" s="13" t="str" cm="1">
        <f t="array" ref="Z98">IFERROR(_xlfn.XLOOKUP(Selectivo[[#This Row],[Vela]],_xlfn.NUMBERVALUE(SIL25v2[Sail '#]),SIL25v2[5]),"90 DNC")</f>
        <v>37</v>
      </c>
      <c r="AA98" s="13" t="str" cm="1">
        <f t="array" ref="AA98">IFERROR(_xlfn.XLOOKUP(Selectivo[[#This Row],[Vela]],_xlfn.NUMBERVALUE(SIL25v2[Sail '#]),SIL25v2[6]),"90 DNC")</f>
        <v>60</v>
      </c>
      <c r="AB98" s="8" cm="1">
        <f t="array" ref="AB98">SUM(IFERROR(VALUE(LEFT(Regatas, FIND(" ",Regatas&amp; " ") - 1)), 0))</f>
        <v>815</v>
      </c>
      <c r="AC98" s="9" cm="1">
        <f t="array" ref="AC9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586</v>
      </c>
      <c r="AD98" s="6">
        <f>SMALL(RegatasN,1)</f>
        <v>15</v>
      </c>
      <c r="AE98" s="6">
        <f>SMALL(RegatasN,2)</f>
        <v>16</v>
      </c>
      <c r="AF98" s="6">
        <f>SMALL(RegatasN,3)</f>
        <v>19</v>
      </c>
      <c r="AG98" s="5" cm="1">
        <f t="array" ref="AG98">COUNTIF(Regatas,SMALL(Regatas,1))</f>
        <v>1</v>
      </c>
      <c r="AH98" s="6" cm="1">
        <f t="array" ref="AH98">VALUE(LEFT(INDEX(Selectivo[#This Row],,MATCH(Selectivo[[#Headers],[Total]],Selectivo[#Headers],0)-1),SEARCH(" ",INDEX(Selectivo[#This Row],,MATCH(Selectivo[[#Headers],[Total]],Selectivo[#Headers],0)-1)&amp;" ")-1))</f>
        <v>60</v>
      </c>
    </row>
    <row r="99" spans="1:34" x14ac:dyDescent="0.25">
      <c r="A99">
        <v>51339867</v>
      </c>
      <c r="B99" s="10">
        <f>ROW()-ROW(Selectivo[[#Headers],[Pos]])</f>
        <v>93</v>
      </c>
      <c r="C99" s="5">
        <v>4144</v>
      </c>
      <c r="D99" t="s">
        <v>586</v>
      </c>
      <c r="E99" t="s">
        <v>23</v>
      </c>
      <c r="F99" s="13">
        <f>IFERROR(_xlfn.XLOOKUP(Selectivo[[#This Row],[DNI]],_SIY[DNI],_SIY[R1]),"78 DNC")</f>
        <v>50</v>
      </c>
      <c r="G99" s="13">
        <f>IFERROR(_xlfn.XLOOKUP(Selectivo[[#This Row],[DNI]],_SIY[DNI],_SIY[R2]),"78 DNC")</f>
        <v>29</v>
      </c>
      <c r="H99" s="13">
        <f>IFERROR(_xlfn.XLOOKUP(Selectivo[[#This Row],[DNI]],_SIY[DNI],_SIY[R3]),"78 DNC")</f>
        <v>25</v>
      </c>
      <c r="I99" s="13">
        <f>IFERROR(_xlfn.XLOOKUP(Selectivo[[#This Row],[DNI]],_SIY[DNI],_SIY[R4]),"78 DNC")</f>
        <v>26</v>
      </c>
      <c r="J99" s="13">
        <f>IFERROR(_xlfn.XLOOKUP(Selectivo[[#This Row],[DNI]],_SIY[DNI],_SIY[R5]),"78 DNC")</f>
        <v>25</v>
      </c>
      <c r="K99" s="13">
        <f>IFERROR(_xlfn.XLOOKUP(Selectivo[[#This Row],[DNI]],_SIY[DNI],_SIY[R6]),"78 DNC")</f>
        <v>43</v>
      </c>
      <c r="L99" s="13">
        <f>IFERROR(_xlfn.XLOOKUP(Selectivo[[#This Row],[DNI]],_SIY[DNI],_SIY[R7]),"78 DNC")</f>
        <v>33</v>
      </c>
      <c r="M99" s="12" t="str">
        <f>IFERROR(_xlfn.XLOOKUP(Selectivo[[#This Row],[DNI]],_SIY[DNI],_SIY[R8]),"78 DNC")</f>
        <v>77 BFD</v>
      </c>
      <c r="N99" s="13">
        <f>IFERROR(_xlfn.XLOOKUP(Selectivo[[#This Row],[DNI]],_SIY[DNI],_SIY[R9]),"78 DNC")</f>
        <v>33</v>
      </c>
      <c r="O99" s="13">
        <f>IFERROR(_xlfn.XLOOKUP(Selectivo[[#This Row],[DNI]],_SIY[DNI],_SIY[R10]),"78 DNC")</f>
        <v>13</v>
      </c>
      <c r="P99" s="13" t="str">
        <f>IFERROR(_xlfn.XLOOKUP(Selectivo[[#This Row],[DNI]],_VF2025[DNI],_VF2025[R1]),"70 DNC")</f>
        <v>70 UFD</v>
      </c>
      <c r="Q99" s="13">
        <f>IFERROR(_xlfn.XLOOKUP(Selectivo[[#This Row],[DNI]],_VF2025[DNI],_VF2025[R2]),"70 DNC")</f>
        <v>14</v>
      </c>
      <c r="R99" s="13">
        <f>IFERROR(_xlfn.XLOOKUP(Selectivo[[#This Row],[DNI]],_VF2025[DNI],_VF2025[R3]),"70 DNC")</f>
        <v>43</v>
      </c>
      <c r="S99" s="13">
        <f>IFERROR(_xlfn.XLOOKUP(Selectivo[[#This Row],[DNI]],_VF2025[DNI],_VF2025[R4]),"70 DNC")</f>
        <v>24</v>
      </c>
      <c r="T99" s="13">
        <f>IFERROR(_xlfn.XLOOKUP(Selectivo[[#This Row],[DNI]],_VF2025[DNI],_VF2025[R5]),"70 DNC")</f>
        <v>27</v>
      </c>
      <c r="U99" s="13">
        <f>IFERROR(_xlfn.XLOOKUP(Selectivo[[#This Row],[DNI]],_VF2025[DNI],_VF2025[R6]),"70 DNC")</f>
        <v>31</v>
      </c>
      <c r="V99" s="12" t="str" cm="1">
        <f t="array" ref="V99">IFERROR(_xlfn.XLOOKUP(Selectivo[[#This Row],[Vela]],_xlfn.NUMBERVALUE(SIL25v2[Sail '#]),SIL25v2[1]),"90 DNC")</f>
        <v>89 BFD</v>
      </c>
      <c r="W99" s="13" t="str" cm="1">
        <f t="array" ref="W99">IFERROR(_xlfn.XLOOKUP(Selectivo[[#This Row],[Vela]],_xlfn.NUMBERVALUE(SIL25v2[Sail '#]),SIL25v2[2]),"90 DNC")</f>
        <v>24</v>
      </c>
      <c r="X99" s="13" t="str" cm="1">
        <f t="array" ref="X99">IFERROR(_xlfn.XLOOKUP(Selectivo[[#This Row],[Vela]],_xlfn.NUMBERVALUE(SIL25v2[Sail '#]),SIL25v2[3]),"90 DNC")</f>
        <v>26</v>
      </c>
      <c r="Y99" s="13" t="str" cm="1">
        <f t="array" ref="Y99">IFERROR(_xlfn.XLOOKUP(Selectivo[[#This Row],[Vela]],_xlfn.NUMBERVALUE(SIL25v2[Sail '#]),SIL25v2[4]),"90 DNC")</f>
        <v>29</v>
      </c>
      <c r="Z99" s="12" t="str" cm="1">
        <f t="array" ref="Z99">IFERROR(_xlfn.XLOOKUP(Selectivo[[#This Row],[Vela]],_xlfn.NUMBERVALUE(SIL25v2[Sail '#]),SIL25v2[5]),"90 DNC")</f>
        <v>89 BFD</v>
      </c>
      <c r="AA99" s="13" t="str" cm="1">
        <f t="array" ref="AA99">IFERROR(_xlfn.XLOOKUP(Selectivo[[#This Row],[Vela]],_xlfn.NUMBERVALUE(SIL25v2[Sail '#]),SIL25v2[6]),"90 DNC")</f>
        <v>45</v>
      </c>
      <c r="AB99" s="8" cm="1">
        <f t="array" ref="AB99">SUM(IFERROR(VALUE(LEFT(Regatas, FIND(" ",Regatas&amp; " ") - 1)), 0))</f>
        <v>865</v>
      </c>
      <c r="AC99" s="9" cm="1">
        <f t="array" ref="AC9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610</v>
      </c>
      <c r="AD99" s="6">
        <f>SMALL(RegatasN,1)</f>
        <v>13</v>
      </c>
      <c r="AE99" s="6">
        <f>SMALL(RegatasN,2)</f>
        <v>14</v>
      </c>
      <c r="AF99" s="6">
        <f>SMALL(RegatasN,3)</f>
        <v>24</v>
      </c>
      <c r="AG99" s="5" cm="1">
        <f t="array" ref="AG99">COUNTIF(Regatas,SMALL(Regatas,1))</f>
        <v>1</v>
      </c>
      <c r="AH99" s="6" cm="1">
        <f t="array" ref="AH99">VALUE(LEFT(INDEX(Selectivo[#This Row],,MATCH(Selectivo[[#Headers],[Total]],Selectivo[#Headers],0)-1),SEARCH(" ",INDEX(Selectivo[#This Row],,MATCH(Selectivo[[#Headers],[Total]],Selectivo[#Headers],0)-1)&amp;" ")-1))</f>
        <v>45</v>
      </c>
    </row>
    <row r="100" spans="1:34" x14ac:dyDescent="0.25">
      <c r="A100">
        <v>53831603</v>
      </c>
      <c r="B100" s="10">
        <f>ROW()-ROW(Selectivo[[#Headers],[Pos]])</f>
        <v>94</v>
      </c>
      <c r="C100" s="5">
        <v>4185</v>
      </c>
      <c r="D100" t="s">
        <v>703</v>
      </c>
      <c r="E100" t="s">
        <v>16</v>
      </c>
      <c r="F100" s="13">
        <f>IFERROR(_xlfn.XLOOKUP(Selectivo[[#This Row],[DNI]],_SIY[DNI],_SIY[R1]),"78 DNC")</f>
        <v>61</v>
      </c>
      <c r="G100" s="12">
        <f>IFERROR(_xlfn.XLOOKUP(Selectivo[[#This Row],[DNI]],_SIY[DNI],_SIY[R2]),"78 DNC")</f>
        <v>65</v>
      </c>
      <c r="H100" s="13">
        <f>IFERROR(_xlfn.XLOOKUP(Selectivo[[#This Row],[DNI]],_SIY[DNI],_SIY[R3]),"78 DNC")</f>
        <v>61</v>
      </c>
      <c r="I100" s="13">
        <f>IFERROR(_xlfn.XLOOKUP(Selectivo[[#This Row],[DNI]],_SIY[DNI],_SIY[R4]),"78 DNC")</f>
        <v>49</v>
      </c>
      <c r="J100" s="13">
        <f>IFERROR(_xlfn.XLOOKUP(Selectivo[[#This Row],[DNI]],_SIY[DNI],_SIY[R5]),"78 DNC")</f>
        <v>42</v>
      </c>
      <c r="K100" s="12" t="str">
        <f>IFERROR(_xlfn.XLOOKUP(Selectivo[[#This Row],[DNI]],_SIY[DNI],_SIY[R6]),"78 DNC")</f>
        <v>77 DNC</v>
      </c>
      <c r="L100" s="13">
        <f>IFERROR(_xlfn.XLOOKUP(Selectivo[[#This Row],[DNI]],_SIY[DNI],_SIY[R7]),"78 DNC")</f>
        <v>65</v>
      </c>
      <c r="M100" s="13">
        <f>IFERROR(_xlfn.XLOOKUP(Selectivo[[#This Row],[DNI]],_SIY[DNI],_SIY[R8]),"78 DNC")</f>
        <v>12</v>
      </c>
      <c r="N100" s="12">
        <f>IFERROR(_xlfn.XLOOKUP(Selectivo[[#This Row],[DNI]],_SIY[DNI],_SIY[R9]),"78 DNC")</f>
        <v>66</v>
      </c>
      <c r="O100" s="13">
        <f>IFERROR(_xlfn.XLOOKUP(Selectivo[[#This Row],[DNI]],_SIY[DNI],_SIY[R10]),"78 DNC")</f>
        <v>12</v>
      </c>
      <c r="P100" s="13">
        <f>IFERROR(_xlfn.XLOOKUP(Selectivo[[#This Row],[DNI]],_VF2025[DNI],_VF2025[R1]),"70 DNC")</f>
        <v>3</v>
      </c>
      <c r="Q100" s="13">
        <f>IFERROR(_xlfn.XLOOKUP(Selectivo[[#This Row],[DNI]],_VF2025[DNI],_VF2025[R2]),"70 DNC")</f>
        <v>53</v>
      </c>
      <c r="R100" s="13">
        <f>IFERROR(_xlfn.XLOOKUP(Selectivo[[#This Row],[DNI]],_VF2025[DNI],_VF2025[R3]),"70 DNC")</f>
        <v>17</v>
      </c>
      <c r="S100" s="13">
        <f>IFERROR(_xlfn.XLOOKUP(Selectivo[[#This Row],[DNI]],_VF2025[DNI],_VF2025[R4]),"70 DNC")</f>
        <v>23</v>
      </c>
      <c r="T100" s="13">
        <f>IFERROR(_xlfn.XLOOKUP(Selectivo[[#This Row],[DNI]],_VF2025[DNI],_VF2025[R5]),"70 DNC")</f>
        <v>16</v>
      </c>
      <c r="U100" s="13">
        <f>IFERROR(_xlfn.XLOOKUP(Selectivo[[#This Row],[DNI]],_VF2025[DNI],_VF2025[R6]),"70 DNC")</f>
        <v>22</v>
      </c>
      <c r="V100" s="13" t="str" cm="1">
        <f t="array" ref="V100">IFERROR(_xlfn.XLOOKUP(Selectivo[[#This Row],[Vela]],_xlfn.NUMBERVALUE(SIL25v2[Sail '#]),SIL25v2[1]),"90 DNC")</f>
        <v>16</v>
      </c>
      <c r="W100" s="13" t="str" cm="1">
        <f t="array" ref="W100">IFERROR(_xlfn.XLOOKUP(Selectivo[[#This Row],[Vela]],_xlfn.NUMBERVALUE(SIL25v2[Sail '#]),SIL25v2[2]),"90 DNC")</f>
        <v>10</v>
      </c>
      <c r="X100" s="13" t="str" cm="1">
        <f t="array" ref="X100">IFERROR(_xlfn.XLOOKUP(Selectivo[[#This Row],[Vela]],_xlfn.NUMBERVALUE(SIL25v2[Sail '#]),SIL25v2[3]),"90 DNC")</f>
        <v>44</v>
      </c>
      <c r="Y100" s="13" t="str" cm="1">
        <f t="array" ref="Y100">IFERROR(_xlfn.XLOOKUP(Selectivo[[#This Row],[Vela]],_xlfn.NUMBERVALUE(SIL25v2[Sail '#]),SIL25v2[4]),"90 DNC")</f>
        <v>54</v>
      </c>
      <c r="Z100" s="13" t="str" cm="1">
        <f t="array" ref="Z100">IFERROR(_xlfn.XLOOKUP(Selectivo[[#This Row],[Vela]],_xlfn.NUMBERVALUE(SIL25v2[Sail '#]),SIL25v2[5]),"90 DNC")</f>
        <v>42</v>
      </c>
      <c r="AA100" s="13" t="str" cm="1">
        <f t="array" ref="AA100">IFERROR(_xlfn.XLOOKUP(Selectivo[[#This Row],[Vela]],_xlfn.NUMBERVALUE(SIL25v2[Sail '#]),SIL25v2[6]),"90 DNC")</f>
        <v>14</v>
      </c>
      <c r="AB100" s="8" cm="1">
        <f t="array" ref="AB100">SUM(IFERROR(VALUE(LEFT(Regatas, FIND(" ",Regatas&amp; " ") - 1)), 0))</f>
        <v>824</v>
      </c>
      <c r="AC100" s="9" cm="1">
        <f t="array" ref="AC10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616</v>
      </c>
      <c r="AD100" s="6">
        <f>SMALL(RegatasN,1)</f>
        <v>3</v>
      </c>
      <c r="AE100" s="6">
        <f>SMALL(RegatasN,2)</f>
        <v>10</v>
      </c>
      <c r="AF100" s="6">
        <f>SMALL(RegatasN,3)</f>
        <v>12</v>
      </c>
      <c r="AG100" s="5" cm="1">
        <f t="array" ref="AG100">COUNTIF(Regatas,SMALL(Regatas,1))</f>
        <v>1</v>
      </c>
      <c r="AH100" s="6" cm="1">
        <f t="array" ref="AH100">VALUE(LEFT(INDEX(Selectivo[#This Row],,MATCH(Selectivo[[#Headers],[Total]],Selectivo[#Headers],0)-1),SEARCH(" ",INDEX(Selectivo[#This Row],,MATCH(Selectivo[[#Headers],[Total]],Selectivo[#Headers],0)-1)&amp;" ")-1))</f>
        <v>14</v>
      </c>
    </row>
    <row r="101" spans="1:34" x14ac:dyDescent="0.25">
      <c r="A101">
        <v>52099166</v>
      </c>
      <c r="B101" s="10">
        <f>ROW()-ROW(Selectivo[[#Headers],[Pos]])</f>
        <v>95</v>
      </c>
      <c r="C101" s="5">
        <v>3951</v>
      </c>
      <c r="D101" t="s">
        <v>614</v>
      </c>
      <c r="E101" t="s">
        <v>23</v>
      </c>
      <c r="F101" s="13">
        <f>IFERROR(_xlfn.XLOOKUP(Selectivo[[#This Row],[DNI]],_SIY[DNI],_SIY[R1]),"78 DNC")</f>
        <v>16</v>
      </c>
      <c r="G101" s="13">
        <f>IFERROR(_xlfn.XLOOKUP(Selectivo[[#This Row],[DNI]],_SIY[DNI],_SIY[R2]),"78 DNC")</f>
        <v>22</v>
      </c>
      <c r="H101" s="13">
        <f>IFERROR(_xlfn.XLOOKUP(Selectivo[[#This Row],[DNI]],_SIY[DNI],_SIY[R3]),"78 DNC")</f>
        <v>22</v>
      </c>
      <c r="I101" s="12" t="str">
        <f>IFERROR(_xlfn.XLOOKUP(Selectivo[[#This Row],[DNI]],_SIY[DNI],_SIY[R4]),"78 DNC")</f>
        <v>77 DNC</v>
      </c>
      <c r="J101" s="13">
        <f>IFERROR(_xlfn.XLOOKUP(Selectivo[[#This Row],[DNI]],_SIY[DNI],_SIY[R5]),"78 DNC")</f>
        <v>28</v>
      </c>
      <c r="K101" s="13">
        <f>IFERROR(_xlfn.XLOOKUP(Selectivo[[#This Row],[DNI]],_SIY[DNI],_SIY[R6]),"78 DNC")</f>
        <v>40</v>
      </c>
      <c r="L101" s="13">
        <f>IFERROR(_xlfn.XLOOKUP(Selectivo[[#This Row],[DNI]],_SIY[DNI],_SIY[R7]),"78 DNC")</f>
        <v>11</v>
      </c>
      <c r="M101" s="12" t="str">
        <f>IFERROR(_xlfn.XLOOKUP(Selectivo[[#This Row],[DNI]],_SIY[DNI],_SIY[R8]),"78 DNC")</f>
        <v>77 BFD</v>
      </c>
      <c r="N101" s="12" t="str">
        <f>IFERROR(_xlfn.XLOOKUP(Selectivo[[#This Row],[DNI]],_SIY[DNI],_SIY[R9]),"78 DNC")</f>
        <v>77 BFD</v>
      </c>
      <c r="O101" s="13">
        <f>IFERROR(_xlfn.XLOOKUP(Selectivo[[#This Row],[DNI]],_SIY[DNI],_SIY[R10]),"78 DNC")</f>
        <v>34</v>
      </c>
      <c r="P101" s="13">
        <f>IFERROR(_xlfn.XLOOKUP(Selectivo[[#This Row],[DNI]],_VF2025[DNI],_VF2025[R1]),"70 DNC")</f>
        <v>30</v>
      </c>
      <c r="Q101" s="13">
        <f>IFERROR(_xlfn.XLOOKUP(Selectivo[[#This Row],[DNI]],_VF2025[DNI],_VF2025[R2]),"70 DNC")</f>
        <v>19</v>
      </c>
      <c r="R101" s="13">
        <f>IFERROR(_xlfn.XLOOKUP(Selectivo[[#This Row],[DNI]],_VF2025[DNI],_VF2025[R3]),"70 DNC")</f>
        <v>44</v>
      </c>
      <c r="S101" s="13">
        <f>IFERROR(_xlfn.XLOOKUP(Selectivo[[#This Row],[DNI]],_VF2025[DNI],_VF2025[R4]),"70 DNC")</f>
        <v>13</v>
      </c>
      <c r="T101" s="13">
        <f>IFERROR(_xlfn.XLOOKUP(Selectivo[[#This Row],[DNI]],_VF2025[DNI],_VF2025[R5]),"70 DNC")</f>
        <v>20</v>
      </c>
      <c r="U101" s="13" t="str">
        <f>IFERROR(_xlfn.XLOOKUP(Selectivo[[#This Row],[DNI]],_VF2025[DNI],_VF2025[R6]),"70 DNC")</f>
        <v>70 BFD</v>
      </c>
      <c r="V101" s="13" t="str" cm="1">
        <f t="array" ref="V101">IFERROR(_xlfn.XLOOKUP(Selectivo[[#This Row],[Vela]],_xlfn.NUMBERVALUE(SIL25v2[Sail '#]),SIL25v2[1]),"90 DNC")</f>
        <v>28</v>
      </c>
      <c r="W101" s="13" t="str" cm="1">
        <f t="array" ref="W101">IFERROR(_xlfn.XLOOKUP(Selectivo[[#This Row],[Vela]],_xlfn.NUMBERVALUE(SIL25v2[Sail '#]),SIL25v2[2]),"90 DNC")</f>
        <v>20</v>
      </c>
      <c r="X101" s="13" t="str" cm="1">
        <f t="array" ref="X101">IFERROR(_xlfn.XLOOKUP(Selectivo[[#This Row],[Vela]],_xlfn.NUMBERVALUE(SIL25v2[Sail '#]),SIL25v2[3]),"90 DNC")</f>
        <v>55</v>
      </c>
      <c r="Y101" s="13" t="str" cm="1">
        <f t="array" ref="Y101">IFERROR(_xlfn.XLOOKUP(Selectivo[[#This Row],[Vela]],_xlfn.NUMBERVALUE(SIL25v2[Sail '#]),SIL25v2[4]),"90 DNC")</f>
        <v>67</v>
      </c>
      <c r="Z101" s="13" t="str" cm="1">
        <f t="array" ref="Z101">IFERROR(_xlfn.XLOOKUP(Selectivo[[#This Row],[Vela]],_xlfn.NUMBERVALUE(SIL25v2[Sail '#]),SIL25v2[5]),"90 DNC")</f>
        <v>35</v>
      </c>
      <c r="AA101" s="13" t="str" cm="1">
        <f t="array" ref="AA101">IFERROR(_xlfn.XLOOKUP(Selectivo[[#This Row],[Vela]],_xlfn.NUMBERVALUE(SIL25v2[Sail '#]),SIL25v2[6]),"90 DNC")</f>
        <v>47</v>
      </c>
      <c r="AB101" s="8" cm="1">
        <f t="array" ref="AB101">SUM(IFERROR(VALUE(LEFT(Regatas, FIND(" ",Regatas&amp; " ") - 1)), 0))</f>
        <v>852</v>
      </c>
      <c r="AC101" s="9" cm="1">
        <f t="array" ref="AC10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621</v>
      </c>
      <c r="AD101" s="6">
        <f>SMALL(RegatasN,1)</f>
        <v>11</v>
      </c>
      <c r="AE101" s="6">
        <f>SMALL(RegatasN,2)</f>
        <v>13</v>
      </c>
      <c r="AF101" s="6">
        <f>SMALL(RegatasN,3)</f>
        <v>16</v>
      </c>
      <c r="AG101" s="5" cm="1">
        <f t="array" ref="AG101">COUNTIF(Regatas,SMALL(Regatas,1))</f>
        <v>1</v>
      </c>
      <c r="AH101" s="6" cm="1">
        <f t="array" ref="AH101">VALUE(LEFT(INDEX(Selectivo[#This Row],,MATCH(Selectivo[[#Headers],[Total]],Selectivo[#Headers],0)-1),SEARCH(" ",INDEX(Selectivo[#This Row],,MATCH(Selectivo[[#Headers],[Total]],Selectivo[#Headers],0)-1)&amp;" ")-1))</f>
        <v>47</v>
      </c>
    </row>
    <row r="102" spans="1:34" x14ac:dyDescent="0.25">
      <c r="A102">
        <v>53456040</v>
      </c>
      <c r="B102" s="10">
        <f>ROW()-ROW(Selectivo[[#Headers],[Pos]])</f>
        <v>96</v>
      </c>
      <c r="C102" s="5">
        <v>3781</v>
      </c>
      <c r="D102" t="s">
        <v>627</v>
      </c>
      <c r="E102" t="s">
        <v>10</v>
      </c>
      <c r="F102" s="13">
        <f>IFERROR(_xlfn.XLOOKUP(Selectivo[[#This Row],[DNI]],_SIY[DNI],_SIY[R1]),"78 DNC")</f>
        <v>37</v>
      </c>
      <c r="G102" s="13">
        <f>IFERROR(_xlfn.XLOOKUP(Selectivo[[#This Row],[DNI]],_SIY[DNI],_SIY[R2]),"78 DNC")</f>
        <v>49</v>
      </c>
      <c r="H102" s="12">
        <f>IFERROR(_xlfn.XLOOKUP(Selectivo[[#This Row],[DNI]],_SIY[DNI],_SIY[R3]),"78 DNC")</f>
        <v>52</v>
      </c>
      <c r="I102" s="12">
        <f>IFERROR(_xlfn.XLOOKUP(Selectivo[[#This Row],[DNI]],_SIY[DNI],_SIY[R4]),"78 DNC")</f>
        <v>53</v>
      </c>
      <c r="J102" s="12">
        <f>IFERROR(_xlfn.XLOOKUP(Selectivo[[#This Row],[DNI]],_SIY[DNI],_SIY[R5]),"78 DNC")</f>
        <v>53</v>
      </c>
      <c r="K102" s="13">
        <f>IFERROR(_xlfn.XLOOKUP(Selectivo[[#This Row],[DNI]],_SIY[DNI],_SIY[R6]),"78 DNC")</f>
        <v>38</v>
      </c>
      <c r="L102" s="13">
        <f>IFERROR(_xlfn.XLOOKUP(Selectivo[[#This Row],[DNI]],_SIY[DNI],_SIY[R7]),"78 DNC")</f>
        <v>48</v>
      </c>
      <c r="M102" s="13">
        <f>IFERROR(_xlfn.XLOOKUP(Selectivo[[#This Row],[DNI]],_SIY[DNI],_SIY[R8]),"78 DNC")</f>
        <v>49</v>
      </c>
      <c r="N102" s="13">
        <f>IFERROR(_xlfn.XLOOKUP(Selectivo[[#This Row],[DNI]],_SIY[DNI],_SIY[R9]),"78 DNC")</f>
        <v>40</v>
      </c>
      <c r="O102" s="13">
        <f>IFERROR(_xlfn.XLOOKUP(Selectivo[[#This Row],[DNI]],_SIY[DNI],_SIY[R10]),"78 DNC")</f>
        <v>39</v>
      </c>
      <c r="P102" s="13">
        <f>IFERROR(_xlfn.XLOOKUP(Selectivo[[#This Row],[DNI]],_VF2025[DNI],_VF2025[R1]),"70 DNC")</f>
        <v>28</v>
      </c>
      <c r="Q102" s="13">
        <f>IFERROR(_xlfn.XLOOKUP(Selectivo[[#This Row],[DNI]],_VF2025[DNI],_VF2025[R2]),"70 DNC")</f>
        <v>34</v>
      </c>
      <c r="R102" s="13">
        <f>IFERROR(_xlfn.XLOOKUP(Selectivo[[#This Row],[DNI]],_VF2025[DNI],_VF2025[R3]),"70 DNC")</f>
        <v>27</v>
      </c>
      <c r="S102" s="13">
        <f>IFERROR(_xlfn.XLOOKUP(Selectivo[[#This Row],[DNI]],_VF2025[DNI],_VF2025[R4]),"70 DNC")</f>
        <v>4</v>
      </c>
      <c r="T102" s="13">
        <f>IFERROR(_xlfn.XLOOKUP(Selectivo[[#This Row],[DNI]],_VF2025[DNI],_VF2025[R5]),"70 DNC")</f>
        <v>20</v>
      </c>
      <c r="U102" s="13">
        <f>IFERROR(_xlfn.XLOOKUP(Selectivo[[#This Row],[DNI]],_VF2025[DNI],_VF2025[R6]),"70 DNC")</f>
        <v>49</v>
      </c>
      <c r="V102" s="13" t="str" cm="1">
        <f t="array" ref="V102">IFERROR(_xlfn.XLOOKUP(Selectivo[[#This Row],[Vela]],_xlfn.NUMBERVALUE(SIL25v2[Sail '#]),SIL25v2[1]),"90 DNC")</f>
        <v>30</v>
      </c>
      <c r="W102" s="13" t="str" cm="1">
        <f t="array" ref="W102">IFERROR(_xlfn.XLOOKUP(Selectivo[[#This Row],[Vela]],_xlfn.NUMBERVALUE(SIL25v2[Sail '#]),SIL25v2[2]),"90 DNC")</f>
        <v>4</v>
      </c>
      <c r="X102" s="13" t="str" cm="1">
        <f t="array" ref="X102">IFERROR(_xlfn.XLOOKUP(Selectivo[[#This Row],[Vela]],_xlfn.NUMBERVALUE(SIL25v2[Sail '#]),SIL25v2[3]),"90 DNC")</f>
        <v>14</v>
      </c>
      <c r="Y102" s="13" t="str" cm="1">
        <f t="array" ref="Y102">IFERROR(_xlfn.XLOOKUP(Selectivo[[#This Row],[Vela]],_xlfn.NUMBERVALUE(SIL25v2[Sail '#]),SIL25v2[4]),"90 DNC")</f>
        <v>43</v>
      </c>
      <c r="Z102" s="13" t="str" cm="1">
        <f t="array" ref="Z102">IFERROR(_xlfn.XLOOKUP(Selectivo[[#This Row],[Vela]],_xlfn.NUMBERVALUE(SIL25v2[Sail '#]),SIL25v2[5]),"90 DNC")</f>
        <v>17</v>
      </c>
      <c r="AA102" s="13" t="str" cm="1">
        <f t="array" ref="AA102">IFERROR(_xlfn.XLOOKUP(Selectivo[[#This Row],[Vela]],_xlfn.NUMBERVALUE(SIL25v2[Sail '#]),SIL25v2[6]),"90 DNC")</f>
        <v>52</v>
      </c>
      <c r="AB102" s="8" cm="1">
        <f t="array" ref="AB102">SUM(IFERROR(VALUE(LEFT(Regatas, FIND(" ",Regatas&amp; " ") - 1)), 0))</f>
        <v>780</v>
      </c>
      <c r="AC102" s="9" cm="1">
        <f t="array" ref="AC10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622</v>
      </c>
      <c r="AD102" s="6">
        <f>SMALL(RegatasN,1)</f>
        <v>4</v>
      </c>
      <c r="AE102" s="6">
        <f>SMALL(RegatasN,2)</f>
        <v>4</v>
      </c>
      <c r="AF102" s="6">
        <f>SMALL(RegatasN,3)</f>
        <v>14</v>
      </c>
      <c r="AG102" s="5" cm="1">
        <f t="array" ref="AG102">COUNTIF(Regatas,SMALL(Regatas,1))</f>
        <v>2</v>
      </c>
      <c r="AH102" s="6" cm="1">
        <f t="array" ref="AH102">VALUE(LEFT(INDEX(Selectivo[#This Row],,MATCH(Selectivo[[#Headers],[Total]],Selectivo[#Headers],0)-1),SEARCH(" ",INDEX(Selectivo[#This Row],,MATCH(Selectivo[[#Headers],[Total]],Selectivo[#Headers],0)-1)&amp;" ")-1))</f>
        <v>52</v>
      </c>
    </row>
    <row r="103" spans="1:34" x14ac:dyDescent="0.25">
      <c r="A103">
        <v>52909554</v>
      </c>
      <c r="B103" s="10">
        <f>ROW()-ROW(Selectivo[[#Headers],[Pos]])</f>
        <v>97</v>
      </c>
      <c r="C103" s="5">
        <v>3828</v>
      </c>
      <c r="D103" t="s">
        <v>600</v>
      </c>
      <c r="E103" t="s">
        <v>11</v>
      </c>
      <c r="F103" s="13">
        <f>IFERROR(_xlfn.XLOOKUP(Selectivo[[#This Row],[DNI]],_SIY[DNI],_SIY[R1]),"78 DNC")</f>
        <v>39</v>
      </c>
      <c r="G103" s="13">
        <f>IFERROR(_xlfn.XLOOKUP(Selectivo[[#This Row],[DNI]],_SIY[DNI],_SIY[R2]),"78 DNC")</f>
        <v>36</v>
      </c>
      <c r="H103" s="13">
        <f>IFERROR(_xlfn.XLOOKUP(Selectivo[[#This Row],[DNI]],_SIY[DNI],_SIY[R3]),"78 DNC")</f>
        <v>34</v>
      </c>
      <c r="I103" s="12">
        <f>IFERROR(_xlfn.XLOOKUP(Selectivo[[#This Row],[DNI]],_SIY[DNI],_SIY[R4]),"78 DNC")</f>
        <v>55</v>
      </c>
      <c r="J103" s="13">
        <f>IFERROR(_xlfn.XLOOKUP(Selectivo[[#This Row],[DNI]],_SIY[DNI],_SIY[R5]),"78 DNC")</f>
        <v>45</v>
      </c>
      <c r="K103" s="13">
        <f>IFERROR(_xlfn.XLOOKUP(Selectivo[[#This Row],[DNI]],_SIY[DNI],_SIY[R6]),"78 DNC")</f>
        <v>33</v>
      </c>
      <c r="L103" s="13">
        <f>IFERROR(_xlfn.XLOOKUP(Selectivo[[#This Row],[DNI]],_SIY[DNI],_SIY[R7]),"78 DNC")</f>
        <v>44</v>
      </c>
      <c r="M103" s="13">
        <f>IFERROR(_xlfn.XLOOKUP(Selectivo[[#This Row],[DNI]],_SIY[DNI],_SIY[R8]),"78 DNC")</f>
        <v>44</v>
      </c>
      <c r="N103" s="13">
        <f>IFERROR(_xlfn.XLOOKUP(Selectivo[[#This Row],[DNI]],_SIY[DNI],_SIY[R9]),"78 DNC")</f>
        <v>49</v>
      </c>
      <c r="O103" s="13">
        <f>IFERROR(_xlfn.XLOOKUP(Selectivo[[#This Row],[DNI]],_SIY[DNI],_SIY[R10]),"78 DNC")</f>
        <v>17</v>
      </c>
      <c r="P103" s="13">
        <f>IFERROR(_xlfn.XLOOKUP(Selectivo[[#This Row],[DNI]],_VF2025[DNI],_VF2025[R1]),"70 DNC")</f>
        <v>23</v>
      </c>
      <c r="Q103" s="12">
        <f>IFERROR(_xlfn.XLOOKUP(Selectivo[[#This Row],[DNI]],_VF2025[DNI],_VF2025[R2]),"70 DNC")</f>
        <v>50</v>
      </c>
      <c r="R103" s="13">
        <f>IFERROR(_xlfn.XLOOKUP(Selectivo[[#This Row],[DNI]],_VF2025[DNI],_VF2025[R3]),"70 DNC")</f>
        <v>40</v>
      </c>
      <c r="S103" s="13">
        <f>IFERROR(_xlfn.XLOOKUP(Selectivo[[#This Row],[DNI]],_VF2025[DNI],_VF2025[R4]),"70 DNC")</f>
        <v>32</v>
      </c>
      <c r="T103" s="13">
        <f>IFERROR(_xlfn.XLOOKUP(Selectivo[[#This Row],[DNI]],_VF2025[DNI],_VF2025[R5]),"70 DNC")</f>
        <v>35</v>
      </c>
      <c r="U103" s="13">
        <f>IFERROR(_xlfn.XLOOKUP(Selectivo[[#This Row],[DNI]],_VF2025[DNI],_VF2025[R6]),"70 DNC")</f>
        <v>30</v>
      </c>
      <c r="V103" s="13" t="str" cm="1">
        <f t="array" ref="V103">IFERROR(_xlfn.XLOOKUP(Selectivo[[#This Row],[Vela]],_xlfn.NUMBERVALUE(SIL25v2[Sail '#]),SIL25v2[1]),"90 DNC")</f>
        <v>20</v>
      </c>
      <c r="W103" s="13" t="str" cm="1">
        <f t="array" ref="W103">IFERROR(_xlfn.XLOOKUP(Selectivo[[#This Row],[Vela]],_xlfn.NUMBERVALUE(SIL25v2[Sail '#]),SIL25v2[2]),"90 DNC")</f>
        <v>32</v>
      </c>
      <c r="X103" s="13" t="str" cm="1">
        <f t="array" ref="X103">IFERROR(_xlfn.XLOOKUP(Selectivo[[#This Row],[Vela]],_xlfn.NUMBERVALUE(SIL25v2[Sail '#]),SIL25v2[3]),"90 DNC")</f>
        <v>13</v>
      </c>
      <c r="Y103" s="13" t="str" cm="1">
        <f t="array" ref="Y103">IFERROR(_xlfn.XLOOKUP(Selectivo[[#This Row],[Vela]],_xlfn.NUMBERVALUE(SIL25v2[Sail '#]),SIL25v2[4]),"90 DNC")</f>
        <v>27</v>
      </c>
      <c r="Z103" s="13" t="str" cm="1">
        <f t="array" ref="Z103">IFERROR(_xlfn.XLOOKUP(Selectivo[[#This Row],[Vela]],_xlfn.NUMBERVALUE(SIL25v2[Sail '#]),SIL25v2[5]),"90 DNC")</f>
        <v>38</v>
      </c>
      <c r="AA103" s="12" t="str" cm="1">
        <f t="array" ref="AA103">IFERROR(_xlfn.XLOOKUP(Selectivo[[#This Row],[Vela]],_xlfn.NUMBERVALUE(SIL25v2[Sail '#]),SIL25v2[6]),"90 DNC")</f>
        <v>58</v>
      </c>
      <c r="AB103" s="8" cm="1">
        <f t="array" ref="AB103">SUM(IFERROR(VALUE(LEFT(Regatas, FIND(" ",Regatas&amp; " ") - 1)), 0))</f>
        <v>794</v>
      </c>
      <c r="AC103" s="9" cm="1">
        <f t="array" ref="AC10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631</v>
      </c>
      <c r="AD103" s="6">
        <f>SMALL(RegatasN,1)</f>
        <v>13</v>
      </c>
      <c r="AE103" s="6">
        <f>SMALL(RegatasN,2)</f>
        <v>17</v>
      </c>
      <c r="AF103" s="6">
        <f>SMALL(RegatasN,3)</f>
        <v>20</v>
      </c>
      <c r="AG103" s="5" cm="1">
        <f t="array" ref="AG103">COUNTIF(Regatas,SMALL(Regatas,1))</f>
        <v>1</v>
      </c>
      <c r="AH103" s="6" cm="1">
        <f t="array" ref="AH103">VALUE(LEFT(INDEX(Selectivo[#This Row],,MATCH(Selectivo[[#Headers],[Total]],Selectivo[#Headers],0)-1),SEARCH(" ",INDEX(Selectivo[#This Row],,MATCH(Selectivo[[#Headers],[Total]],Selectivo[#Headers],0)-1)&amp;" ")-1))</f>
        <v>58</v>
      </c>
    </row>
    <row r="104" spans="1:34" x14ac:dyDescent="0.25">
      <c r="A104">
        <v>52762420</v>
      </c>
      <c r="B104" s="10">
        <f>ROW()-ROW(Selectivo[[#Headers],[Pos]])</f>
        <v>98</v>
      </c>
      <c r="C104" s="5">
        <v>4026</v>
      </c>
      <c r="D104" t="s">
        <v>633</v>
      </c>
      <c r="E104" t="s">
        <v>39</v>
      </c>
      <c r="F104" s="13">
        <f>IFERROR(_xlfn.XLOOKUP(Selectivo[[#This Row],[DNI]],_SIY[DNI],_SIY[R1]),"78 DNC")</f>
        <v>31</v>
      </c>
      <c r="G104" s="13">
        <f>IFERROR(_xlfn.XLOOKUP(Selectivo[[#This Row],[DNI]],_SIY[DNI],_SIY[R2]),"78 DNC")</f>
        <v>21</v>
      </c>
      <c r="H104" s="13">
        <f>IFERROR(_xlfn.XLOOKUP(Selectivo[[#This Row],[DNI]],_SIY[DNI],_SIY[R3]),"78 DNC")</f>
        <v>21</v>
      </c>
      <c r="I104" s="12" t="str">
        <f>IFERROR(_xlfn.XLOOKUP(Selectivo[[#This Row],[DNI]],_SIY[DNI],_SIY[R4]),"78 DNC")</f>
        <v>77 BFD</v>
      </c>
      <c r="J104" s="13">
        <f>IFERROR(_xlfn.XLOOKUP(Selectivo[[#This Row],[DNI]],_SIY[DNI],_SIY[R5]),"78 DNC")</f>
        <v>41</v>
      </c>
      <c r="K104" s="13">
        <f>IFERROR(_xlfn.XLOOKUP(Selectivo[[#This Row],[DNI]],_SIY[DNI],_SIY[R6]),"78 DNC")</f>
        <v>31</v>
      </c>
      <c r="L104" s="13">
        <f>IFERROR(_xlfn.XLOOKUP(Selectivo[[#This Row],[DNI]],_SIY[DNI],_SIY[R7]),"78 DNC")</f>
        <v>38</v>
      </c>
      <c r="M104" s="13">
        <f>IFERROR(_xlfn.XLOOKUP(Selectivo[[#This Row],[DNI]],_SIY[DNI],_SIY[R8]),"78 DNC")</f>
        <v>19</v>
      </c>
      <c r="N104" s="13">
        <f>IFERROR(_xlfn.XLOOKUP(Selectivo[[#This Row],[DNI]],_SIY[DNI],_SIY[R9]),"78 DNC")</f>
        <v>29</v>
      </c>
      <c r="O104" s="12" t="str">
        <f>IFERROR(_xlfn.XLOOKUP(Selectivo[[#This Row],[DNI]],_SIY[DNI],_SIY[R10]),"78 DNC")</f>
        <v>77 BFD</v>
      </c>
      <c r="P104" s="13" t="str">
        <f>IFERROR(_xlfn.XLOOKUP(Selectivo[[#This Row],[DNI]],_VF2025[DNI],_VF2025[R1]),"70 DNC")</f>
        <v>70 DNF</v>
      </c>
      <c r="Q104" s="13">
        <f>IFERROR(_xlfn.XLOOKUP(Selectivo[[#This Row],[DNI]],_VF2025[DNI],_VF2025[R2]),"70 DNC")</f>
        <v>34</v>
      </c>
      <c r="R104" s="13">
        <f>IFERROR(_xlfn.XLOOKUP(Selectivo[[#This Row],[DNI]],_VF2025[DNI],_VF2025[R3]),"70 DNC")</f>
        <v>44</v>
      </c>
      <c r="S104" s="13" t="str">
        <f>IFERROR(_xlfn.XLOOKUP(Selectivo[[#This Row],[DNI]],_VF2025[DNI],_VF2025[R4]),"70 DNC")</f>
        <v>70 UFD</v>
      </c>
      <c r="T104" s="13">
        <f>IFERROR(_xlfn.XLOOKUP(Selectivo[[#This Row],[DNI]],_VF2025[DNI],_VF2025[R5]),"70 DNC")</f>
        <v>24</v>
      </c>
      <c r="U104" s="13">
        <f>IFERROR(_xlfn.XLOOKUP(Selectivo[[#This Row],[DNI]],_VF2025[DNI],_VF2025[R6]),"70 DNC")</f>
        <v>16</v>
      </c>
      <c r="V104" s="13" t="str" cm="1">
        <f t="array" ref="V104">IFERROR(_xlfn.XLOOKUP(Selectivo[[#This Row],[Vela]],_xlfn.NUMBERVALUE(SIL25v2[Sail '#]),SIL25v2[1]),"90 DNC")</f>
        <v>36</v>
      </c>
      <c r="W104" s="13" t="str" cm="1">
        <f t="array" ref="W104">IFERROR(_xlfn.XLOOKUP(Selectivo[[#This Row],[Vela]],_xlfn.NUMBERVALUE(SIL25v2[Sail '#]),SIL25v2[2]),"90 DNC")</f>
        <v>10</v>
      </c>
      <c r="X104" s="13" t="str" cm="1">
        <f t="array" ref="X104">IFERROR(_xlfn.XLOOKUP(Selectivo[[#This Row],[Vela]],_xlfn.NUMBERVALUE(SIL25v2[Sail '#]),SIL25v2[3]),"90 DNC")</f>
        <v>50</v>
      </c>
      <c r="Y104" s="13" t="str" cm="1">
        <f t="array" ref="Y104">IFERROR(_xlfn.XLOOKUP(Selectivo[[#This Row],[Vela]],_xlfn.NUMBERVALUE(SIL25v2[Sail '#]),SIL25v2[4]),"90 DNC")</f>
        <v>47</v>
      </c>
      <c r="Z104" s="13" t="str" cm="1">
        <f t="array" ref="Z104">IFERROR(_xlfn.XLOOKUP(Selectivo[[#This Row],[Vela]],_xlfn.NUMBERVALUE(SIL25v2[Sail '#]),SIL25v2[5]),"90 DNC")</f>
        <v>13</v>
      </c>
      <c r="AA104" s="12" t="str" cm="1">
        <f t="array" ref="AA104">IFERROR(_xlfn.XLOOKUP(Selectivo[[#This Row],[Vela]],_xlfn.NUMBERVALUE(SIL25v2[Sail '#]),SIL25v2[6]),"90 DNC")</f>
        <v>89 BFD</v>
      </c>
      <c r="AB104" s="8" cm="1">
        <f t="array" ref="AB104">SUM(IFERROR(VALUE(LEFT(Regatas, FIND(" ",Regatas&amp; " ") - 1)), 0))</f>
        <v>888</v>
      </c>
      <c r="AC104" s="9" cm="1">
        <f t="array" ref="AC10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645</v>
      </c>
      <c r="AD104" s="6">
        <f>SMALL(RegatasN,1)</f>
        <v>10</v>
      </c>
      <c r="AE104" s="6">
        <f>SMALL(RegatasN,2)</f>
        <v>13</v>
      </c>
      <c r="AF104" s="6">
        <f>SMALL(RegatasN,3)</f>
        <v>16</v>
      </c>
      <c r="AG104" s="5" cm="1">
        <f t="array" ref="AG104">COUNTIF(Regatas,SMALL(Regatas,1))</f>
        <v>1</v>
      </c>
      <c r="AH104" s="6" cm="1">
        <f t="array" ref="AH104">VALUE(LEFT(INDEX(Selectivo[#This Row],,MATCH(Selectivo[[#Headers],[Total]],Selectivo[#Headers],0)-1),SEARCH(" ",INDEX(Selectivo[#This Row],,MATCH(Selectivo[[#Headers],[Total]],Selectivo[#Headers],0)-1)&amp;" ")-1))</f>
        <v>89</v>
      </c>
    </row>
    <row r="105" spans="1:34" x14ac:dyDescent="0.25">
      <c r="A105">
        <v>50417852</v>
      </c>
      <c r="B105" s="10">
        <f>ROW()-ROW(Selectivo[[#Headers],[Pos]])</f>
        <v>99</v>
      </c>
      <c r="C105" s="5">
        <v>3943</v>
      </c>
      <c r="D105" t="s">
        <v>613</v>
      </c>
      <c r="E105" t="s">
        <v>23</v>
      </c>
      <c r="F105" s="13">
        <f>IFERROR(_xlfn.XLOOKUP(Selectivo[[#This Row],[DNI]],_SIY[DNI],_SIY[R1]),"78 DNC")</f>
        <v>53</v>
      </c>
      <c r="G105" s="13">
        <f>IFERROR(_xlfn.XLOOKUP(Selectivo[[#This Row],[DNI]],_SIY[DNI],_SIY[R2]),"78 DNC")</f>
        <v>20</v>
      </c>
      <c r="H105" s="13">
        <f>IFERROR(_xlfn.XLOOKUP(Selectivo[[#This Row],[DNI]],_SIY[DNI],_SIY[R3]),"78 DNC")</f>
        <v>30</v>
      </c>
      <c r="I105" s="13">
        <f>IFERROR(_xlfn.XLOOKUP(Selectivo[[#This Row],[DNI]],_SIY[DNI],_SIY[R4]),"78 DNC")</f>
        <v>34</v>
      </c>
      <c r="J105" s="13">
        <f>IFERROR(_xlfn.XLOOKUP(Selectivo[[#This Row],[DNI]],_SIY[DNI],_SIY[R5]),"78 DNC")</f>
        <v>47</v>
      </c>
      <c r="K105" s="13">
        <f>IFERROR(_xlfn.XLOOKUP(Selectivo[[#This Row],[DNI]],_SIY[DNI],_SIY[R6]),"78 DNC")</f>
        <v>16</v>
      </c>
      <c r="L105" s="13">
        <f>IFERROR(_xlfn.XLOOKUP(Selectivo[[#This Row],[DNI]],_SIY[DNI],_SIY[R7]),"78 DNC")</f>
        <v>17</v>
      </c>
      <c r="M105" s="13">
        <f>IFERROR(_xlfn.XLOOKUP(Selectivo[[#This Row],[DNI]],_SIY[DNI],_SIY[R8]),"78 DNC")</f>
        <v>27</v>
      </c>
      <c r="N105" s="13">
        <f>IFERROR(_xlfn.XLOOKUP(Selectivo[[#This Row],[DNI]],_SIY[DNI],_SIY[R9]),"78 DNC")</f>
        <v>33</v>
      </c>
      <c r="O105" s="12" t="str">
        <f>IFERROR(_xlfn.XLOOKUP(Selectivo[[#This Row],[DNI]],_SIY[DNI],_SIY[R10]),"78 DNC")</f>
        <v>77 BFD</v>
      </c>
      <c r="P105" s="13">
        <f>IFERROR(_xlfn.XLOOKUP(Selectivo[[#This Row],[DNI]],_VF2025[DNI],_VF2025[R1]),"70 DNC")</f>
        <v>38</v>
      </c>
      <c r="Q105" s="13">
        <f>IFERROR(_xlfn.XLOOKUP(Selectivo[[#This Row],[DNI]],_VF2025[DNI],_VF2025[R2]),"70 DNC")</f>
        <v>49</v>
      </c>
      <c r="R105" s="13">
        <f>IFERROR(_xlfn.XLOOKUP(Selectivo[[#This Row],[DNI]],_VF2025[DNI],_VF2025[R3]),"70 DNC")</f>
        <v>41</v>
      </c>
      <c r="S105" s="13">
        <f>IFERROR(_xlfn.XLOOKUP(Selectivo[[#This Row],[DNI]],_VF2025[DNI],_VF2025[R4]),"70 DNC")</f>
        <v>48</v>
      </c>
      <c r="T105" s="13">
        <f>IFERROR(_xlfn.XLOOKUP(Selectivo[[#This Row],[DNI]],_VF2025[DNI],_VF2025[R5]),"70 DNC")</f>
        <v>21</v>
      </c>
      <c r="U105" s="13">
        <f>IFERROR(_xlfn.XLOOKUP(Selectivo[[#This Row],[DNI]],_VF2025[DNI],_VF2025[R6]),"70 DNC")</f>
        <v>33</v>
      </c>
      <c r="V105" s="13" t="str" cm="1">
        <f t="array" ref="V105">IFERROR(_xlfn.XLOOKUP(Selectivo[[#This Row],[Vela]],_xlfn.NUMBERVALUE(SIL25v2[Sail '#]),SIL25v2[1]),"90 DNC")</f>
        <v>30</v>
      </c>
      <c r="W105" s="12" t="str" cm="1">
        <f t="array" ref="W105">IFERROR(_xlfn.XLOOKUP(Selectivo[[#This Row],[Vela]],_xlfn.NUMBERVALUE(SIL25v2[Sail '#]),SIL25v2[2]),"90 DNC")</f>
        <v>72</v>
      </c>
      <c r="X105" s="13" t="str" cm="1">
        <f t="array" ref="X105">IFERROR(_xlfn.XLOOKUP(Selectivo[[#This Row],[Vela]],_xlfn.NUMBERVALUE(SIL25v2[Sail '#]),SIL25v2[3]),"90 DNC")</f>
        <v>34</v>
      </c>
      <c r="Y105" s="12" t="str" cm="1">
        <f t="array" ref="Y105">IFERROR(_xlfn.XLOOKUP(Selectivo[[#This Row],[Vela]],_xlfn.NUMBERVALUE(SIL25v2[Sail '#]),SIL25v2[4]),"90 DNC")</f>
        <v>80</v>
      </c>
      <c r="Z105" s="13" t="str" cm="1">
        <f t="array" ref="Z105">IFERROR(_xlfn.XLOOKUP(Selectivo[[#This Row],[Vela]],_xlfn.NUMBERVALUE(SIL25v2[Sail '#]),SIL25v2[5]),"90 DNC")</f>
        <v>43</v>
      </c>
      <c r="AA105" s="13" t="str" cm="1">
        <f t="array" ref="AA105">IFERROR(_xlfn.XLOOKUP(Selectivo[[#This Row],[Vela]],_xlfn.NUMBERVALUE(SIL25v2[Sail '#]),SIL25v2[6]),"90 DNC")</f>
        <v>37</v>
      </c>
      <c r="AB105" s="8" cm="1">
        <f t="array" ref="AB105">SUM(IFERROR(VALUE(LEFT(Regatas, FIND(" ",Regatas&amp; " ") - 1)), 0))</f>
        <v>880</v>
      </c>
      <c r="AC105" s="9" cm="1">
        <f t="array" ref="AC10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651</v>
      </c>
      <c r="AD105" s="6">
        <f>SMALL(RegatasN,1)</f>
        <v>16</v>
      </c>
      <c r="AE105" s="6">
        <f>SMALL(RegatasN,2)</f>
        <v>17</v>
      </c>
      <c r="AF105" s="6">
        <f>SMALL(RegatasN,3)</f>
        <v>20</v>
      </c>
      <c r="AG105" s="5" cm="1">
        <f t="array" ref="AG105">COUNTIF(Regatas,SMALL(Regatas,1))</f>
        <v>1</v>
      </c>
      <c r="AH105" s="6" cm="1">
        <f t="array" ref="AH105">VALUE(LEFT(INDEX(Selectivo[#This Row],,MATCH(Selectivo[[#Headers],[Total]],Selectivo[#Headers],0)-1),SEARCH(" ",INDEX(Selectivo[#This Row],,MATCH(Selectivo[[#Headers],[Total]],Selectivo[#Headers],0)-1)&amp;" ")-1))</f>
        <v>37</v>
      </c>
    </row>
    <row r="106" spans="1:34" x14ac:dyDescent="0.25">
      <c r="A106">
        <v>50903230</v>
      </c>
      <c r="B106" s="10">
        <f>ROW()-ROW(Selectivo[[#Headers],[Pos]])</f>
        <v>100</v>
      </c>
      <c r="C106" s="5">
        <v>3643</v>
      </c>
      <c r="D106" t="s">
        <v>646</v>
      </c>
      <c r="E106" t="s">
        <v>26</v>
      </c>
      <c r="F106" s="13">
        <f>IFERROR(_xlfn.XLOOKUP(Selectivo[[#This Row],[DNI]],_SIY[DNI],_SIY[R1]),"78 DNC")</f>
        <v>36</v>
      </c>
      <c r="G106" s="13">
        <f>IFERROR(_xlfn.XLOOKUP(Selectivo[[#This Row],[DNI]],_SIY[DNI],_SIY[R2]),"78 DNC")</f>
        <v>24</v>
      </c>
      <c r="H106" s="13">
        <f>IFERROR(_xlfn.XLOOKUP(Selectivo[[#This Row],[DNI]],_SIY[DNI],_SIY[R3]),"78 DNC")</f>
        <v>28</v>
      </c>
      <c r="I106" s="13">
        <f>IFERROR(_xlfn.XLOOKUP(Selectivo[[#This Row],[DNI]],_SIY[DNI],_SIY[R4]),"78 DNC")</f>
        <v>21</v>
      </c>
      <c r="J106" s="13">
        <f>IFERROR(_xlfn.XLOOKUP(Selectivo[[#This Row],[DNI]],_SIY[DNI],_SIY[R5]),"78 DNC")</f>
        <v>25</v>
      </c>
      <c r="K106" s="13">
        <f>IFERROR(_xlfn.XLOOKUP(Selectivo[[#This Row],[DNI]],_SIY[DNI],_SIY[R6]),"78 DNC")</f>
        <v>24</v>
      </c>
      <c r="L106" s="13">
        <f>IFERROR(_xlfn.XLOOKUP(Selectivo[[#This Row],[DNI]],_SIY[DNI],_SIY[R7]),"78 DNC")</f>
        <v>36</v>
      </c>
      <c r="M106" s="13">
        <f>IFERROR(_xlfn.XLOOKUP(Selectivo[[#This Row],[DNI]],_SIY[DNI],_SIY[R8]),"78 DNC")</f>
        <v>28</v>
      </c>
      <c r="N106" s="13">
        <f>IFERROR(_xlfn.XLOOKUP(Selectivo[[#This Row],[DNI]],_SIY[DNI],_SIY[R9]),"78 DNC")</f>
        <v>46</v>
      </c>
      <c r="O106" s="13">
        <f>IFERROR(_xlfn.XLOOKUP(Selectivo[[#This Row],[DNI]],_SIY[DNI],_SIY[R10]),"78 DNC")</f>
        <v>50</v>
      </c>
      <c r="P106" s="13">
        <f>IFERROR(_xlfn.XLOOKUP(Selectivo[[#This Row],[DNI]],_VF2025[DNI],_VF2025[R1]),"70 DNC")</f>
        <v>5</v>
      </c>
      <c r="Q106" s="13">
        <f>IFERROR(_xlfn.XLOOKUP(Selectivo[[#This Row],[DNI]],_VF2025[DNI],_VF2025[R2]),"70 DNC")</f>
        <v>40</v>
      </c>
      <c r="R106" s="13">
        <f>IFERROR(_xlfn.XLOOKUP(Selectivo[[#This Row],[DNI]],_VF2025[DNI],_VF2025[R3]),"70 DNC")</f>
        <v>48</v>
      </c>
      <c r="S106" s="12" t="str">
        <f>IFERROR(_xlfn.XLOOKUP(Selectivo[[#This Row],[DNI]],_VF2025[DNI],_VF2025[R4]),"70 DNC")</f>
        <v>70 UFD</v>
      </c>
      <c r="T106" s="12" t="str">
        <f>IFERROR(_xlfn.XLOOKUP(Selectivo[[#This Row],[DNI]],_VF2025[DNI],_VF2025[R5]),"70 DNC")</f>
        <v>70 DNC</v>
      </c>
      <c r="U106" s="13" t="str">
        <f>IFERROR(_xlfn.XLOOKUP(Selectivo[[#This Row],[DNI]],_VF2025[DNI],_VF2025[R6]),"70 DNC")</f>
        <v>70 DNC</v>
      </c>
      <c r="V106" s="12" t="str" cm="1">
        <f t="array" ref="V106">IFERROR(_xlfn.XLOOKUP(Selectivo[[#This Row],[Vela]],_xlfn.NUMBERVALUE(SIL25v2[Sail '#]),SIL25v2[1]),"90 DNC")</f>
        <v>89 BFD</v>
      </c>
      <c r="W106" s="13" t="str" cm="1">
        <f t="array" ref="W106">IFERROR(_xlfn.XLOOKUP(Selectivo[[#This Row],[Vela]],_xlfn.NUMBERVALUE(SIL25v2[Sail '#]),SIL25v2[2]),"90 DNC")</f>
        <v>33</v>
      </c>
      <c r="X106" s="13" t="str" cm="1">
        <f t="array" ref="X106">IFERROR(_xlfn.XLOOKUP(Selectivo[[#This Row],[Vela]],_xlfn.NUMBERVALUE(SIL25v2[Sail '#]),SIL25v2[3]),"90 DNC")</f>
        <v>35</v>
      </c>
      <c r="Y106" s="13" t="str" cm="1">
        <f t="array" ref="Y106">IFERROR(_xlfn.XLOOKUP(Selectivo[[#This Row],[Vela]],_xlfn.NUMBERVALUE(SIL25v2[Sail '#]),SIL25v2[4]),"90 DNC")</f>
        <v>45</v>
      </c>
      <c r="Z106" s="13" t="str" cm="1">
        <f t="array" ref="Z106">IFERROR(_xlfn.XLOOKUP(Selectivo[[#This Row],[Vela]],_xlfn.NUMBERVALUE(SIL25v2[Sail '#]),SIL25v2[5]),"90 DNC")</f>
        <v>21</v>
      </c>
      <c r="AA106" s="13" t="str" cm="1">
        <f t="array" ref="AA106">IFERROR(_xlfn.XLOOKUP(Selectivo[[#This Row],[Vela]],_xlfn.NUMBERVALUE(SIL25v2[Sail '#]),SIL25v2[6]),"90 DNC")</f>
        <v>38</v>
      </c>
      <c r="AB106" s="8" cm="1">
        <f t="array" ref="AB106">SUM(IFERROR(VALUE(LEFT(Regatas, FIND(" ",Regatas&amp; " ") - 1)), 0))</f>
        <v>882</v>
      </c>
      <c r="AC106" s="9" cm="1">
        <f t="array" ref="AC10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653</v>
      </c>
      <c r="AD106" s="6">
        <f>SMALL(RegatasN,1)</f>
        <v>5</v>
      </c>
      <c r="AE106" s="6">
        <f>SMALL(RegatasN,2)</f>
        <v>21</v>
      </c>
      <c r="AF106" s="6">
        <f>SMALL(RegatasN,3)</f>
        <v>21</v>
      </c>
      <c r="AG106" s="5" cm="1">
        <f t="array" ref="AG106">COUNTIF(Regatas,SMALL(Regatas,1))</f>
        <v>1</v>
      </c>
      <c r="AH106" s="6" cm="1">
        <f t="array" ref="AH106">VALUE(LEFT(INDEX(Selectivo[#This Row],,MATCH(Selectivo[[#Headers],[Total]],Selectivo[#Headers],0)-1),SEARCH(" ",INDEX(Selectivo[#This Row],,MATCH(Selectivo[[#Headers],[Total]],Selectivo[#Headers],0)-1)&amp;" ")-1))</f>
        <v>38</v>
      </c>
    </row>
    <row r="107" spans="1:34" x14ac:dyDescent="0.25">
      <c r="A107">
        <v>52768073</v>
      </c>
      <c r="B107" s="10">
        <f>ROW()-ROW(Selectivo[[#Headers],[Pos]])</f>
        <v>101</v>
      </c>
      <c r="C107" s="5">
        <v>4022</v>
      </c>
      <c r="D107" t="s">
        <v>644</v>
      </c>
      <c r="E107" t="s">
        <v>21</v>
      </c>
      <c r="F107" s="13">
        <f>IFERROR(_xlfn.XLOOKUP(Selectivo[[#This Row],[DNI]],_SIY[DNI],_SIY[R1]),"78 DNC")</f>
        <v>33</v>
      </c>
      <c r="G107" s="13">
        <f>IFERROR(_xlfn.XLOOKUP(Selectivo[[#This Row],[DNI]],_SIY[DNI],_SIY[R2]),"78 DNC")</f>
        <v>14</v>
      </c>
      <c r="H107" s="13">
        <f>IFERROR(_xlfn.XLOOKUP(Selectivo[[#This Row],[DNI]],_SIY[DNI],_SIY[R3]),"78 DNC")</f>
        <v>49</v>
      </c>
      <c r="I107" s="13">
        <f>IFERROR(_xlfn.XLOOKUP(Selectivo[[#This Row],[DNI]],_SIY[DNI],_SIY[R4]),"78 DNC")</f>
        <v>15</v>
      </c>
      <c r="J107" s="13">
        <f>IFERROR(_xlfn.XLOOKUP(Selectivo[[#This Row],[DNI]],_SIY[DNI],_SIY[R5]),"78 DNC")</f>
        <v>50</v>
      </c>
      <c r="K107" s="13">
        <f>IFERROR(_xlfn.XLOOKUP(Selectivo[[#This Row],[DNI]],_SIY[DNI],_SIY[R6]),"78 DNC")</f>
        <v>44</v>
      </c>
      <c r="L107" s="13">
        <f>IFERROR(_xlfn.XLOOKUP(Selectivo[[#This Row],[DNI]],_SIY[DNI],_SIY[R7]),"78 DNC")</f>
        <v>41</v>
      </c>
      <c r="M107" s="13">
        <f>IFERROR(_xlfn.XLOOKUP(Selectivo[[#This Row],[DNI]],_SIY[DNI],_SIY[R8]),"78 DNC")</f>
        <v>31</v>
      </c>
      <c r="N107" s="13">
        <f>IFERROR(_xlfn.XLOOKUP(Selectivo[[#This Row],[DNI]],_SIY[DNI],_SIY[R9]),"78 DNC")</f>
        <v>19</v>
      </c>
      <c r="O107" s="13">
        <f>IFERROR(_xlfn.XLOOKUP(Selectivo[[#This Row],[DNI]],_SIY[DNI],_SIY[R10]),"78 DNC")</f>
        <v>11</v>
      </c>
      <c r="P107" s="13">
        <f>IFERROR(_xlfn.XLOOKUP(Selectivo[[#This Row],[DNI]],_VF2025[DNI],_VF2025[R1]),"70 DNC")</f>
        <v>25</v>
      </c>
      <c r="Q107" s="13">
        <f>IFERROR(_xlfn.XLOOKUP(Selectivo[[#This Row],[DNI]],_VF2025[DNI],_VF2025[R2]),"70 DNC")</f>
        <v>23</v>
      </c>
      <c r="R107" s="13">
        <f>IFERROR(_xlfn.XLOOKUP(Selectivo[[#This Row],[DNI]],_VF2025[DNI],_VF2025[R3]),"70 DNC")</f>
        <v>37</v>
      </c>
      <c r="S107" s="13" t="str">
        <f>IFERROR(_xlfn.XLOOKUP(Selectivo[[#This Row],[DNI]],_VF2025[DNI],_VF2025[R4]),"70 DNC")</f>
        <v>70 DNF</v>
      </c>
      <c r="T107" s="13">
        <f>IFERROR(_xlfn.XLOOKUP(Selectivo[[#This Row],[DNI]],_VF2025[DNI],_VF2025[R5]),"70 DNC")</f>
        <v>41</v>
      </c>
      <c r="U107" s="13" t="str">
        <f>IFERROR(_xlfn.XLOOKUP(Selectivo[[#This Row],[DNI]],_VF2025[DNI],_VF2025[R6]),"70 DNC")</f>
        <v>70 BFD</v>
      </c>
      <c r="V107" s="13" t="str" cm="1">
        <f t="array" ref="V107">IFERROR(_xlfn.XLOOKUP(Selectivo[[#This Row],[Vela]],_xlfn.NUMBERVALUE(SIL25v2[Sail '#]),SIL25v2[1]),"90 DNC")</f>
        <v>44</v>
      </c>
      <c r="W107" s="13" t="str" cm="1">
        <f t="array" ref="W107">IFERROR(_xlfn.XLOOKUP(Selectivo[[#This Row],[Vela]],_xlfn.NUMBERVALUE(SIL25v2[Sail '#]),SIL25v2[2]),"90 DNC")</f>
        <v>33</v>
      </c>
      <c r="X107" s="13" t="str" cm="1">
        <f t="array" ref="X107">IFERROR(_xlfn.XLOOKUP(Selectivo[[#This Row],[Vela]],_xlfn.NUMBERVALUE(SIL25v2[Sail '#]),SIL25v2[3]),"90 DNC")</f>
        <v>5</v>
      </c>
      <c r="Y107" s="12" t="str" cm="1">
        <f t="array" ref="Y107">IFERROR(_xlfn.XLOOKUP(Selectivo[[#This Row],[Vela]],_xlfn.NUMBERVALUE(SIL25v2[Sail '#]),SIL25v2[4]),"90 DNC")</f>
        <v>89 DNS</v>
      </c>
      <c r="Z107" s="12" t="str" cm="1">
        <f t="array" ref="Z107">IFERROR(_xlfn.XLOOKUP(Selectivo[[#This Row],[Vela]],_xlfn.NUMBERVALUE(SIL25v2[Sail '#]),SIL25v2[5]),"90 DNC")</f>
        <v>89 DNS</v>
      </c>
      <c r="AA107" s="12" t="str" cm="1">
        <f t="array" ref="AA107">IFERROR(_xlfn.XLOOKUP(Selectivo[[#This Row],[Vela]],_xlfn.NUMBERVALUE(SIL25v2[Sail '#]),SIL25v2[6]),"90 DNC")</f>
        <v>89 DNS</v>
      </c>
      <c r="AB107" s="8" cm="1">
        <f t="array" ref="AB107">SUM(IFERROR(VALUE(LEFT(Regatas, FIND(" ",Regatas&amp; " ") - 1)), 0))</f>
        <v>922</v>
      </c>
      <c r="AC107" s="9" cm="1">
        <f t="array" ref="AC10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655</v>
      </c>
      <c r="AD107" s="6">
        <f>SMALL(RegatasN,1)</f>
        <v>5</v>
      </c>
      <c r="AE107" s="6">
        <f>SMALL(RegatasN,2)</f>
        <v>11</v>
      </c>
      <c r="AF107" s="6">
        <f>SMALL(RegatasN,3)</f>
        <v>14</v>
      </c>
      <c r="AG107" s="5" cm="1">
        <f t="array" ref="AG107">COUNTIF(Regatas,SMALL(Regatas,1))</f>
        <v>1</v>
      </c>
      <c r="AH107" s="6" cm="1">
        <f t="array" ref="AH107">VALUE(LEFT(INDEX(Selectivo[#This Row],,MATCH(Selectivo[[#Headers],[Total]],Selectivo[#Headers],0)-1),SEARCH(" ",INDEX(Selectivo[#This Row],,MATCH(Selectivo[[#Headers],[Total]],Selectivo[#Headers],0)-1)&amp;" ")-1))</f>
        <v>89</v>
      </c>
    </row>
    <row r="108" spans="1:34" x14ac:dyDescent="0.25">
      <c r="A108">
        <v>53956527</v>
      </c>
      <c r="B108" s="10">
        <f>ROW()-ROW(Selectivo[[#Headers],[Pos]])</f>
        <v>102</v>
      </c>
      <c r="C108" s="5">
        <v>3832</v>
      </c>
      <c r="D108" t="s">
        <v>634</v>
      </c>
      <c r="E108" t="s">
        <v>39</v>
      </c>
      <c r="F108" s="13">
        <f>IFERROR(_xlfn.XLOOKUP(Selectivo[[#This Row],[DNI]],_SIY[DNI],_SIY[R1]),"78 DNC")</f>
        <v>48</v>
      </c>
      <c r="G108" s="13">
        <f>IFERROR(_xlfn.XLOOKUP(Selectivo[[#This Row],[DNI]],_SIY[DNI],_SIY[R2]),"78 DNC")</f>
        <v>42</v>
      </c>
      <c r="H108" s="13">
        <f>IFERROR(_xlfn.XLOOKUP(Selectivo[[#This Row],[DNI]],_SIY[DNI],_SIY[R3]),"78 DNC")</f>
        <v>43</v>
      </c>
      <c r="I108" s="13">
        <f>IFERROR(_xlfn.XLOOKUP(Selectivo[[#This Row],[DNI]],_SIY[DNI],_SIY[R4]),"78 DNC")</f>
        <v>22</v>
      </c>
      <c r="J108" s="12">
        <f>IFERROR(_xlfn.XLOOKUP(Selectivo[[#This Row],[DNI]],_SIY[DNI],_SIY[R5]),"78 DNC")</f>
        <v>56</v>
      </c>
      <c r="K108" s="13">
        <f>IFERROR(_xlfn.XLOOKUP(Selectivo[[#This Row],[DNI]],_SIY[DNI],_SIY[R6]),"78 DNC")</f>
        <v>43</v>
      </c>
      <c r="L108" s="13">
        <f>IFERROR(_xlfn.XLOOKUP(Selectivo[[#This Row],[DNI]],_SIY[DNI],_SIY[R7]),"78 DNC")</f>
        <v>40</v>
      </c>
      <c r="M108" s="13">
        <f>IFERROR(_xlfn.XLOOKUP(Selectivo[[#This Row],[DNI]],_SIY[DNI],_SIY[R8]),"78 DNC")</f>
        <v>34</v>
      </c>
      <c r="N108" s="13">
        <f>IFERROR(_xlfn.XLOOKUP(Selectivo[[#This Row],[DNI]],_SIY[DNI],_SIY[R9]),"78 DNC")</f>
        <v>24</v>
      </c>
      <c r="O108" s="12">
        <f>IFERROR(_xlfn.XLOOKUP(Selectivo[[#This Row],[DNI]],_SIY[DNI],_SIY[R10]),"78 DNC")</f>
        <v>57</v>
      </c>
      <c r="P108" s="13">
        <f>IFERROR(_xlfn.XLOOKUP(Selectivo[[#This Row],[DNI]],_VF2025[DNI],_VF2025[R1]),"70 DNC")</f>
        <v>20</v>
      </c>
      <c r="Q108" s="13">
        <f>IFERROR(_xlfn.XLOOKUP(Selectivo[[#This Row],[DNI]],_VF2025[DNI],_VF2025[R2]),"70 DNC")</f>
        <v>35</v>
      </c>
      <c r="R108" s="13">
        <f>IFERROR(_xlfn.XLOOKUP(Selectivo[[#This Row],[DNI]],_VF2025[DNI],_VF2025[R3]),"70 DNC")</f>
        <v>50</v>
      </c>
      <c r="S108" s="13">
        <f>IFERROR(_xlfn.XLOOKUP(Selectivo[[#This Row],[DNI]],_VF2025[DNI],_VF2025[R4]),"70 DNC")</f>
        <v>43</v>
      </c>
      <c r="T108" s="13">
        <f>IFERROR(_xlfn.XLOOKUP(Selectivo[[#This Row],[DNI]],_VF2025[DNI],_VF2025[R5]),"70 DNC")</f>
        <v>35</v>
      </c>
      <c r="U108" s="13">
        <f>IFERROR(_xlfn.XLOOKUP(Selectivo[[#This Row],[DNI]],_VF2025[DNI],_VF2025[R6]),"70 DNC")</f>
        <v>30</v>
      </c>
      <c r="V108" s="13" t="str" cm="1">
        <f t="array" ref="V108">IFERROR(_xlfn.XLOOKUP(Selectivo[[#This Row],[Vela]],_xlfn.NUMBERVALUE(SIL25v2[Sail '#]),SIL25v2[1]),"90 DNC")</f>
        <v>17</v>
      </c>
      <c r="W108" s="13" t="str" cm="1">
        <f t="array" ref="W108">IFERROR(_xlfn.XLOOKUP(Selectivo[[#This Row],[Vela]],_xlfn.NUMBERVALUE(SIL25v2[Sail '#]),SIL25v2[2]),"90 DNC")</f>
        <v>37</v>
      </c>
      <c r="X108" s="12" t="str" cm="1">
        <f t="array" ref="X108">IFERROR(_xlfn.XLOOKUP(Selectivo[[#This Row],[Vela]],_xlfn.NUMBERVALUE(SIL25v2[Sail '#]),SIL25v2[3]),"90 DNC")</f>
        <v>89 BFD</v>
      </c>
      <c r="Y108" s="13" t="str" cm="1">
        <f t="array" ref="Y108">IFERROR(_xlfn.XLOOKUP(Selectivo[[#This Row],[Vela]],_xlfn.NUMBERVALUE(SIL25v2[Sail '#]),SIL25v2[4]),"90 DNC")</f>
        <v>14</v>
      </c>
      <c r="Z108" s="13" t="str" cm="1">
        <f t="array" ref="Z108">IFERROR(_xlfn.XLOOKUP(Selectivo[[#This Row],[Vela]],_xlfn.NUMBERVALUE(SIL25v2[Sail '#]),SIL25v2[5]),"90 DNC")</f>
        <v>47</v>
      </c>
      <c r="AA108" s="13" t="str" cm="1">
        <f t="array" ref="AA108">IFERROR(_xlfn.XLOOKUP(Selectivo[[#This Row],[Vela]],_xlfn.NUMBERVALUE(SIL25v2[Sail '#]),SIL25v2[6]),"90 DNC")</f>
        <v>32</v>
      </c>
      <c r="AB108" s="8" cm="1">
        <f t="array" ref="AB108">SUM(IFERROR(VALUE(LEFT(Regatas, FIND(" ",Regatas&amp; " ") - 1)), 0))</f>
        <v>858</v>
      </c>
      <c r="AC108" s="9" cm="1">
        <f t="array" ref="AC10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656</v>
      </c>
      <c r="AD108" s="6">
        <f>SMALL(RegatasN,1)</f>
        <v>14</v>
      </c>
      <c r="AE108" s="6">
        <f>SMALL(RegatasN,2)</f>
        <v>17</v>
      </c>
      <c r="AF108" s="6">
        <f>SMALL(RegatasN,3)</f>
        <v>20</v>
      </c>
      <c r="AG108" s="5" cm="1">
        <f t="array" ref="AG108">COUNTIF(Regatas,SMALL(Regatas,1))</f>
        <v>1</v>
      </c>
      <c r="AH108" s="6" cm="1">
        <f t="array" ref="AH108">VALUE(LEFT(INDEX(Selectivo[#This Row],,MATCH(Selectivo[[#Headers],[Total]],Selectivo[#Headers],0)-1),SEARCH(" ",INDEX(Selectivo[#This Row],,MATCH(Selectivo[[#Headers],[Total]],Selectivo[#Headers],0)-1)&amp;" ")-1))</f>
        <v>32</v>
      </c>
    </row>
    <row r="109" spans="1:34" x14ac:dyDescent="0.25">
      <c r="A109">
        <v>53586402</v>
      </c>
      <c r="B109" s="10">
        <f>ROW()-ROW(Selectivo[[#Headers],[Pos]])</f>
        <v>103</v>
      </c>
      <c r="C109" s="5">
        <v>3471</v>
      </c>
      <c r="D109" t="s">
        <v>622</v>
      </c>
      <c r="E109" t="s">
        <v>22</v>
      </c>
      <c r="F109" s="13">
        <f>IFERROR(_xlfn.XLOOKUP(Selectivo[[#This Row],[DNI]],_SIY[DNI],_SIY[R1]),"78 DNC")</f>
        <v>35</v>
      </c>
      <c r="G109" s="13">
        <f>IFERROR(_xlfn.XLOOKUP(Selectivo[[#This Row],[DNI]],_SIY[DNI],_SIY[R2]),"78 DNC")</f>
        <v>28</v>
      </c>
      <c r="H109" s="13">
        <f>IFERROR(_xlfn.XLOOKUP(Selectivo[[#This Row],[DNI]],_SIY[DNI],_SIY[R3]),"78 DNC")</f>
        <v>28</v>
      </c>
      <c r="I109" s="13">
        <f>IFERROR(_xlfn.XLOOKUP(Selectivo[[#This Row],[DNI]],_SIY[DNI],_SIY[R4]),"78 DNC")</f>
        <v>34</v>
      </c>
      <c r="J109" s="13">
        <f>IFERROR(_xlfn.XLOOKUP(Selectivo[[#This Row],[DNI]],_SIY[DNI],_SIY[R5]),"78 DNC")</f>
        <v>32</v>
      </c>
      <c r="K109" s="13">
        <f>IFERROR(_xlfn.XLOOKUP(Selectivo[[#This Row],[DNI]],_SIY[DNI],_SIY[R6]),"78 DNC")</f>
        <v>40</v>
      </c>
      <c r="L109" s="13">
        <f>IFERROR(_xlfn.XLOOKUP(Selectivo[[#This Row],[DNI]],_SIY[DNI],_SIY[R7]),"78 DNC")</f>
        <v>43</v>
      </c>
      <c r="M109" s="13">
        <f>IFERROR(_xlfn.XLOOKUP(Selectivo[[#This Row],[DNI]],_SIY[DNI],_SIY[R8]),"78 DNC")</f>
        <v>24</v>
      </c>
      <c r="N109" s="13">
        <f>IFERROR(_xlfn.XLOOKUP(Selectivo[[#This Row],[DNI]],_SIY[DNI],_SIY[R9]),"78 DNC")</f>
        <v>21</v>
      </c>
      <c r="O109" s="13">
        <f>IFERROR(_xlfn.XLOOKUP(Selectivo[[#This Row],[DNI]],_SIY[DNI],_SIY[R10]),"78 DNC")</f>
        <v>45</v>
      </c>
      <c r="P109" s="12" t="str">
        <f>IFERROR(_xlfn.XLOOKUP(Selectivo[[#This Row],[DNI]],_VF2025[DNI],_VF2025[R1]),"70 DNC")</f>
        <v>70 DSQ</v>
      </c>
      <c r="Q109" s="13" t="str">
        <f>IFERROR(_xlfn.XLOOKUP(Selectivo[[#This Row],[DNI]],_VF2025[DNI],_VF2025[R2]),"70 DNC")</f>
        <v>70 DNE</v>
      </c>
      <c r="R109" s="13">
        <f>IFERROR(_xlfn.XLOOKUP(Selectivo[[#This Row],[DNI]],_VF2025[DNI],_VF2025[R3]),"70 DNC")</f>
        <v>16</v>
      </c>
      <c r="S109" s="13" t="str">
        <f>IFERROR(_xlfn.XLOOKUP(Selectivo[[#This Row],[DNI]],_VF2025[DNI],_VF2025[R4]),"70 DNC")</f>
        <v>70 DNE</v>
      </c>
      <c r="T109" s="13">
        <f>IFERROR(_xlfn.XLOOKUP(Selectivo[[#This Row],[DNI]],_VF2025[DNI],_VF2025[R5]),"70 DNC")</f>
        <v>47</v>
      </c>
      <c r="U109" s="13">
        <f>IFERROR(_xlfn.XLOOKUP(Selectivo[[#This Row],[DNI]],_VF2025[DNI],_VF2025[R6]),"70 DNC")</f>
        <v>48</v>
      </c>
      <c r="V109" s="13" t="str" cm="1">
        <f t="array" ref="V109">IFERROR(_xlfn.XLOOKUP(Selectivo[[#This Row],[Vela]],_xlfn.NUMBERVALUE(SIL25v2[Sail '#]),SIL25v2[1]),"90 DNC")</f>
        <v>5</v>
      </c>
      <c r="W109" s="13" t="str" cm="1">
        <f t="array" ref="W109">IFERROR(_xlfn.XLOOKUP(Selectivo[[#This Row],[Vela]],_xlfn.NUMBERVALUE(SIL25v2[Sail '#]),SIL25v2[2]),"90 DNC")</f>
        <v>26</v>
      </c>
      <c r="X109" s="12" t="str" cm="1">
        <f t="array" ref="X109">IFERROR(_xlfn.XLOOKUP(Selectivo[[#This Row],[Vela]],_xlfn.NUMBERVALUE(SIL25v2[Sail '#]),SIL25v2[3]),"90 DNC")</f>
        <v>65</v>
      </c>
      <c r="Y109" s="13" t="str" cm="1">
        <f t="array" ref="Y109">IFERROR(_xlfn.XLOOKUP(Selectivo[[#This Row],[Vela]],_xlfn.NUMBERVALUE(SIL25v2[Sail '#]),SIL25v2[4]),"90 DNC")</f>
        <v>9</v>
      </c>
      <c r="Z109" s="12" t="str" cm="1">
        <f t="array" ref="Z109">IFERROR(_xlfn.XLOOKUP(Selectivo[[#This Row],[Vela]],_xlfn.NUMBERVALUE(SIL25v2[Sail '#]),SIL25v2[5]),"90 DNC")</f>
        <v>89 DSQ</v>
      </c>
      <c r="AA109" s="13" t="str" cm="1">
        <f t="array" ref="AA109">IFERROR(_xlfn.XLOOKUP(Selectivo[[#This Row],[Vela]],_xlfn.NUMBERVALUE(SIL25v2[Sail '#]),SIL25v2[6]),"90 DNC")</f>
        <v>38</v>
      </c>
      <c r="AB109" s="8" cm="1">
        <f t="array" ref="AB109">SUM(IFERROR(VALUE(LEFT(Regatas, FIND(" ",Regatas&amp; " ") - 1)), 0))</f>
        <v>883</v>
      </c>
      <c r="AC109" s="9" cm="1">
        <f t="array" ref="AC10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659</v>
      </c>
      <c r="AD109" s="6">
        <f>SMALL(RegatasN,1)</f>
        <v>5</v>
      </c>
      <c r="AE109" s="6">
        <f>SMALL(RegatasN,2)</f>
        <v>9</v>
      </c>
      <c r="AF109" s="6">
        <f>SMALL(RegatasN,3)</f>
        <v>16</v>
      </c>
      <c r="AG109" s="5" cm="1">
        <f t="array" ref="AG109">COUNTIF(Regatas,SMALL(Regatas,1))</f>
        <v>1</v>
      </c>
      <c r="AH109" s="6" cm="1">
        <f t="array" ref="AH109">VALUE(LEFT(INDEX(Selectivo[#This Row],,MATCH(Selectivo[[#Headers],[Total]],Selectivo[#Headers],0)-1),SEARCH(" ",INDEX(Selectivo[#This Row],,MATCH(Selectivo[[#Headers],[Total]],Selectivo[#Headers],0)-1)&amp;" ")-1))</f>
        <v>38</v>
      </c>
    </row>
    <row r="110" spans="1:34" x14ac:dyDescent="0.25">
      <c r="A110">
        <v>52448630</v>
      </c>
      <c r="B110" s="10">
        <f>ROW()-ROW(Selectivo[[#Headers],[Pos]])</f>
        <v>104</v>
      </c>
      <c r="C110" s="5">
        <v>3968</v>
      </c>
      <c r="D110" t="s">
        <v>670</v>
      </c>
      <c r="E110" t="s">
        <v>22</v>
      </c>
      <c r="F110" s="13">
        <f>IFERROR(_xlfn.XLOOKUP(Selectivo[[#This Row],[DNI]],_SIY[DNI],_SIY[R1]),"78 DNC")</f>
        <v>52</v>
      </c>
      <c r="G110" s="12" t="str">
        <f>IFERROR(_xlfn.XLOOKUP(Selectivo[[#This Row],[DNI]],_SIY[DNI],_SIY[R2]),"78 DNC")</f>
        <v>77 DNC</v>
      </c>
      <c r="H110" s="12" t="str">
        <f>IFERROR(_xlfn.XLOOKUP(Selectivo[[#This Row],[DNI]],_SIY[DNI],_SIY[R3]),"78 DNC")</f>
        <v>77 DNC</v>
      </c>
      <c r="I110" s="13">
        <f>IFERROR(_xlfn.XLOOKUP(Selectivo[[#This Row],[DNI]],_SIY[DNI],_SIY[R4]),"78 DNC")</f>
        <v>54</v>
      </c>
      <c r="J110" s="13">
        <f>IFERROR(_xlfn.XLOOKUP(Selectivo[[#This Row],[DNI]],_SIY[DNI],_SIY[R5]),"78 DNC")</f>
        <v>56</v>
      </c>
      <c r="K110" s="13">
        <f>IFERROR(_xlfn.XLOOKUP(Selectivo[[#This Row],[DNI]],_SIY[DNI],_SIY[R6]),"78 DNC")</f>
        <v>36</v>
      </c>
      <c r="L110" s="13">
        <f>IFERROR(_xlfn.XLOOKUP(Selectivo[[#This Row],[DNI]],_SIY[DNI],_SIY[R7]),"78 DNC")</f>
        <v>45</v>
      </c>
      <c r="M110" s="13">
        <f>IFERROR(_xlfn.XLOOKUP(Selectivo[[#This Row],[DNI]],_SIY[DNI],_SIY[R8]),"78 DNC")</f>
        <v>32</v>
      </c>
      <c r="N110" s="13">
        <f>IFERROR(_xlfn.XLOOKUP(Selectivo[[#This Row],[DNI]],_SIY[DNI],_SIY[R9]),"78 DNC")</f>
        <v>36</v>
      </c>
      <c r="O110" s="13">
        <f>IFERROR(_xlfn.XLOOKUP(Selectivo[[#This Row],[DNI]],_SIY[DNI],_SIY[R10]),"78 DNC")</f>
        <v>31</v>
      </c>
      <c r="P110" s="13">
        <f>IFERROR(_xlfn.XLOOKUP(Selectivo[[#This Row],[DNI]],_VF2025[DNI],_VF2025[R1]),"70 DNC")</f>
        <v>10</v>
      </c>
      <c r="Q110" s="13">
        <f>IFERROR(_xlfn.XLOOKUP(Selectivo[[#This Row],[DNI]],_VF2025[DNI],_VF2025[R2]),"70 DNC")</f>
        <v>28</v>
      </c>
      <c r="R110" s="13">
        <f>IFERROR(_xlfn.XLOOKUP(Selectivo[[#This Row],[DNI]],_VF2025[DNI],_VF2025[R3]),"70 DNC")</f>
        <v>38</v>
      </c>
      <c r="S110" s="13">
        <f>IFERROR(_xlfn.XLOOKUP(Selectivo[[#This Row],[DNI]],_VF2025[DNI],_VF2025[R4]),"70 DNC")</f>
        <v>49</v>
      </c>
      <c r="T110" s="13">
        <f>IFERROR(_xlfn.XLOOKUP(Selectivo[[#This Row],[DNI]],_VF2025[DNI],_VF2025[R5]),"70 DNC")</f>
        <v>32</v>
      </c>
      <c r="U110" s="13" t="str">
        <f>IFERROR(_xlfn.XLOOKUP(Selectivo[[#This Row],[DNI]],_VF2025[DNI],_VF2025[R6]),"70 DNC")</f>
        <v>70 BFD</v>
      </c>
      <c r="V110" s="13" t="str" cm="1">
        <f t="array" ref="V110">IFERROR(_xlfn.XLOOKUP(Selectivo[[#This Row],[Vela]],_xlfn.NUMBERVALUE(SIL25v2[Sail '#]),SIL25v2[1]),"90 DNC")</f>
        <v>9</v>
      </c>
      <c r="W110" s="12" t="str" cm="1">
        <f t="array" ref="W110">IFERROR(_xlfn.XLOOKUP(Selectivo[[#This Row],[Vela]],_xlfn.NUMBERVALUE(SIL25v2[Sail '#]),SIL25v2[2]),"90 DNC")</f>
        <v>89 UFD</v>
      </c>
      <c r="X110" s="13" t="str" cm="1">
        <f t="array" ref="X110">IFERROR(_xlfn.XLOOKUP(Selectivo[[#This Row],[Vela]],_xlfn.NUMBERVALUE(SIL25v2[Sail '#]),SIL25v2[3]),"90 DNC")</f>
        <v>52</v>
      </c>
      <c r="Y110" s="13" t="str" cm="1">
        <f t="array" ref="Y110">IFERROR(_xlfn.XLOOKUP(Selectivo[[#This Row],[Vela]],_xlfn.NUMBERVALUE(SIL25v2[Sail '#]),SIL25v2[4]),"90 DNC")</f>
        <v>7</v>
      </c>
      <c r="Z110" s="13" t="str" cm="1">
        <f t="array" ref="Z110">IFERROR(_xlfn.XLOOKUP(Selectivo[[#This Row],[Vela]],_xlfn.NUMBERVALUE(SIL25v2[Sail '#]),SIL25v2[5]),"90 DNC")</f>
        <v>8</v>
      </c>
      <c r="AA110" s="13" t="str" cm="1">
        <f t="array" ref="AA110">IFERROR(_xlfn.XLOOKUP(Selectivo[[#This Row],[Vela]],_xlfn.NUMBERVALUE(SIL25v2[Sail '#]),SIL25v2[6]),"90 DNC")</f>
        <v>17</v>
      </c>
      <c r="AB110" s="8" cm="1">
        <f t="array" ref="AB110">SUM(IFERROR(VALUE(LEFT(Regatas, FIND(" ",Regatas&amp; " ") - 1)), 0))</f>
        <v>905</v>
      </c>
      <c r="AC110" s="9" cm="1">
        <f t="array" ref="AC11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662</v>
      </c>
      <c r="AD110" s="6">
        <f>SMALL(RegatasN,1)</f>
        <v>7</v>
      </c>
      <c r="AE110" s="6">
        <f>SMALL(RegatasN,2)</f>
        <v>8</v>
      </c>
      <c r="AF110" s="6">
        <f>SMALL(RegatasN,3)</f>
        <v>9</v>
      </c>
      <c r="AG110" s="5" cm="1">
        <f t="array" ref="AG110">COUNTIF(Regatas,SMALL(Regatas,1))</f>
        <v>1</v>
      </c>
      <c r="AH110" s="6" cm="1">
        <f t="array" ref="AH110">VALUE(LEFT(INDEX(Selectivo[#This Row],,MATCH(Selectivo[[#Headers],[Total]],Selectivo[#Headers],0)-1),SEARCH(" ",INDEX(Selectivo[#This Row],,MATCH(Selectivo[[#Headers],[Total]],Selectivo[#Headers],0)-1)&amp;" ")-1))</f>
        <v>17</v>
      </c>
    </row>
    <row r="111" spans="1:34" x14ac:dyDescent="0.25">
      <c r="A111">
        <v>50390387</v>
      </c>
      <c r="B111" s="10">
        <f>ROW()-ROW(Selectivo[[#Headers],[Pos]])</f>
        <v>105</v>
      </c>
      <c r="C111" s="5">
        <v>3248</v>
      </c>
      <c r="D111" t="s">
        <v>636</v>
      </c>
      <c r="E111" t="s">
        <v>11</v>
      </c>
      <c r="F111" s="13">
        <f>IFERROR(_xlfn.XLOOKUP(Selectivo[[#This Row],[DNI]],_SIY[DNI],_SIY[R1]),"78 DNC")</f>
        <v>33</v>
      </c>
      <c r="G111" s="13">
        <f>IFERROR(_xlfn.XLOOKUP(Selectivo[[#This Row],[DNI]],_SIY[DNI],_SIY[R2]),"78 DNC")</f>
        <v>38</v>
      </c>
      <c r="H111" s="13">
        <f>IFERROR(_xlfn.XLOOKUP(Selectivo[[#This Row],[DNI]],_SIY[DNI],_SIY[R3]),"78 DNC")</f>
        <v>31</v>
      </c>
      <c r="I111" s="13">
        <f>IFERROR(_xlfn.XLOOKUP(Selectivo[[#This Row],[DNI]],_SIY[DNI],_SIY[R4]),"78 DNC")</f>
        <v>39</v>
      </c>
      <c r="J111" s="13">
        <f>IFERROR(_xlfn.XLOOKUP(Selectivo[[#This Row],[DNI]],_SIY[DNI],_SIY[R5]),"78 DNC")</f>
        <v>32</v>
      </c>
      <c r="K111" s="13">
        <f>IFERROR(_xlfn.XLOOKUP(Selectivo[[#This Row],[DNI]],_SIY[DNI],_SIY[R6]),"78 DNC")</f>
        <v>39</v>
      </c>
      <c r="L111" s="13">
        <f>IFERROR(_xlfn.XLOOKUP(Selectivo[[#This Row],[DNI]],_SIY[DNI],_SIY[R7]),"78 DNC")</f>
        <v>47</v>
      </c>
      <c r="M111" s="13">
        <f>IFERROR(_xlfn.XLOOKUP(Selectivo[[#This Row],[DNI]],_SIY[DNI],_SIY[R8]),"78 DNC")</f>
        <v>32</v>
      </c>
      <c r="N111" s="13">
        <f>IFERROR(_xlfn.XLOOKUP(Selectivo[[#This Row],[DNI]],_SIY[DNI],_SIY[R9]),"78 DNC")</f>
        <v>12</v>
      </c>
      <c r="O111" s="13">
        <f>IFERROR(_xlfn.XLOOKUP(Selectivo[[#This Row],[DNI]],_SIY[DNI],_SIY[R10]),"78 DNC")</f>
        <v>48</v>
      </c>
      <c r="P111" s="13">
        <f>IFERROR(_xlfn.XLOOKUP(Selectivo[[#This Row],[DNI]],_VF2025[DNI],_VF2025[R1]),"70 DNC")</f>
        <v>37</v>
      </c>
      <c r="Q111" s="13">
        <f>IFERROR(_xlfn.XLOOKUP(Selectivo[[#This Row],[DNI]],_VF2025[DNI],_VF2025[R2]),"70 DNC")</f>
        <v>47</v>
      </c>
      <c r="R111" s="13">
        <f>IFERROR(_xlfn.XLOOKUP(Selectivo[[#This Row],[DNI]],_VF2025[DNI],_VF2025[R3]),"70 DNC")</f>
        <v>39</v>
      </c>
      <c r="S111" s="12">
        <f>IFERROR(_xlfn.XLOOKUP(Selectivo[[#This Row],[DNI]],_VF2025[DNI],_VF2025[R4]),"70 DNC")</f>
        <v>55</v>
      </c>
      <c r="T111" s="13">
        <f>IFERROR(_xlfn.XLOOKUP(Selectivo[[#This Row],[DNI]],_VF2025[DNI],_VF2025[R5]),"70 DNC")</f>
        <v>29</v>
      </c>
      <c r="U111" s="13">
        <f>IFERROR(_xlfn.XLOOKUP(Selectivo[[#This Row],[DNI]],_VF2025[DNI],_VF2025[R6]),"70 DNC")</f>
        <v>42</v>
      </c>
      <c r="V111" s="13" t="str" cm="1">
        <f t="array" ref="V111">IFERROR(_xlfn.XLOOKUP(Selectivo[[#This Row],[Vela]],_xlfn.NUMBERVALUE(SIL25v2[Sail '#]),SIL25v2[1]),"90 DNC")</f>
        <v>34</v>
      </c>
      <c r="W111" s="12" t="str" cm="1">
        <f t="array" ref="W111">IFERROR(_xlfn.XLOOKUP(Selectivo[[#This Row],[Vela]],_xlfn.NUMBERVALUE(SIL25v2[Sail '#]),SIL25v2[2]),"90 DNC")</f>
        <v>58</v>
      </c>
      <c r="X111" s="13" t="str" cm="1">
        <f t="array" ref="X111">IFERROR(_xlfn.XLOOKUP(Selectivo[[#This Row],[Vela]],_xlfn.NUMBERVALUE(SIL25v2[Sail '#]),SIL25v2[3]),"90 DNC")</f>
        <v>32</v>
      </c>
      <c r="Y111" s="13" t="str" cm="1">
        <f t="array" ref="Y111">IFERROR(_xlfn.XLOOKUP(Selectivo[[#This Row],[Vela]],_xlfn.NUMBERVALUE(SIL25v2[Sail '#]),SIL25v2[4]),"90 DNC")</f>
        <v>42</v>
      </c>
      <c r="Z111" s="12" t="str" cm="1">
        <f t="array" ref="Z111">IFERROR(_xlfn.XLOOKUP(Selectivo[[#This Row],[Vela]],_xlfn.NUMBERVALUE(SIL25v2[Sail '#]),SIL25v2[5]),"90 DNC")</f>
        <v>67</v>
      </c>
      <c r="AA111" s="13" t="str" cm="1">
        <f t="array" ref="AA111">IFERROR(_xlfn.XLOOKUP(Selectivo[[#This Row],[Vela]],_xlfn.NUMBERVALUE(SIL25v2[Sail '#]),SIL25v2[6]),"90 DNC")</f>
        <v>19</v>
      </c>
      <c r="AB111" s="8" cm="1">
        <f t="array" ref="AB111">SUM(IFERROR(VALUE(LEFT(Regatas, FIND(" ",Regatas&amp; " ") - 1)), 0))</f>
        <v>852</v>
      </c>
      <c r="AC111" s="9" cm="1">
        <f t="array" ref="AC11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672</v>
      </c>
      <c r="AD111" s="6">
        <f>SMALL(RegatasN,1)</f>
        <v>12</v>
      </c>
      <c r="AE111" s="6">
        <f>SMALL(RegatasN,2)</f>
        <v>19</v>
      </c>
      <c r="AF111" s="6">
        <f>SMALL(RegatasN,3)</f>
        <v>29</v>
      </c>
      <c r="AG111" s="5" cm="1">
        <f t="array" ref="AG111">COUNTIF(Regatas,SMALL(Regatas,1))</f>
        <v>1</v>
      </c>
      <c r="AH111" s="6" cm="1">
        <f t="array" ref="AH111">VALUE(LEFT(INDEX(Selectivo[#This Row],,MATCH(Selectivo[[#Headers],[Total]],Selectivo[#Headers],0)-1),SEARCH(" ",INDEX(Selectivo[#This Row],,MATCH(Selectivo[[#Headers],[Total]],Selectivo[#Headers],0)-1)&amp;" ")-1))</f>
        <v>19</v>
      </c>
    </row>
    <row r="112" spans="1:34" x14ac:dyDescent="0.25">
      <c r="A112">
        <v>52613001</v>
      </c>
      <c r="B112" s="10">
        <f>ROW()-ROW(Selectivo[[#Headers],[Pos]])</f>
        <v>106</v>
      </c>
      <c r="C112" s="5">
        <v>4100</v>
      </c>
      <c r="D112" t="s">
        <v>669</v>
      </c>
      <c r="E112" t="s">
        <v>9</v>
      </c>
      <c r="F112" s="12">
        <f>IFERROR(_xlfn.XLOOKUP(Selectivo[[#This Row],[DNI]],_SIY[DNI],_SIY[R1]),"78 DNC")</f>
        <v>52</v>
      </c>
      <c r="G112" s="13">
        <f>IFERROR(_xlfn.XLOOKUP(Selectivo[[#This Row],[DNI]],_SIY[DNI],_SIY[R2]),"78 DNC")</f>
        <v>45</v>
      </c>
      <c r="H112" s="13">
        <f>IFERROR(_xlfn.XLOOKUP(Selectivo[[#This Row],[DNI]],_SIY[DNI],_SIY[R3]),"78 DNC")</f>
        <v>48</v>
      </c>
      <c r="I112" s="13">
        <f>IFERROR(_xlfn.XLOOKUP(Selectivo[[#This Row],[DNI]],_SIY[DNI],_SIY[R4]),"78 DNC")</f>
        <v>32</v>
      </c>
      <c r="J112" s="13">
        <f>IFERROR(_xlfn.XLOOKUP(Selectivo[[#This Row],[DNI]],_SIY[DNI],_SIY[R5]),"78 DNC")</f>
        <v>44</v>
      </c>
      <c r="K112" s="12" t="str">
        <f>IFERROR(_xlfn.XLOOKUP(Selectivo[[#This Row],[DNI]],_SIY[DNI],_SIY[R6]),"78 DNC")</f>
        <v>77 DNC</v>
      </c>
      <c r="L112" s="13">
        <f>IFERROR(_xlfn.XLOOKUP(Selectivo[[#This Row],[DNI]],_SIY[DNI],_SIY[R7]),"78 DNC")</f>
        <v>38</v>
      </c>
      <c r="M112" s="13">
        <f>IFERROR(_xlfn.XLOOKUP(Selectivo[[#This Row],[DNI]],_SIY[DNI],_SIY[R8]),"78 DNC")</f>
        <v>51</v>
      </c>
      <c r="N112" s="13">
        <f>IFERROR(_xlfn.XLOOKUP(Selectivo[[#This Row],[DNI]],_SIY[DNI],_SIY[R9]),"78 DNC")</f>
        <v>15</v>
      </c>
      <c r="O112" s="13">
        <f>IFERROR(_xlfn.XLOOKUP(Selectivo[[#This Row],[DNI]],_SIY[DNI],_SIY[R10]),"78 DNC")</f>
        <v>49</v>
      </c>
      <c r="P112" s="13">
        <f>IFERROR(_xlfn.XLOOKUP(Selectivo[[#This Row],[DNI]],_VF2025[DNI],_VF2025[R1]),"70 DNC")</f>
        <v>39</v>
      </c>
      <c r="Q112" s="13">
        <f>IFERROR(_xlfn.XLOOKUP(Selectivo[[#This Row],[DNI]],_VF2025[DNI],_VF2025[R2]),"70 DNC")</f>
        <v>36</v>
      </c>
      <c r="R112" s="13">
        <f>IFERROR(_xlfn.XLOOKUP(Selectivo[[#This Row],[DNI]],_VF2025[DNI],_VF2025[R3]),"70 DNC")</f>
        <v>34</v>
      </c>
      <c r="S112" s="13">
        <f>IFERROR(_xlfn.XLOOKUP(Selectivo[[#This Row],[DNI]],_VF2025[DNI],_VF2025[R4]),"70 DNC")</f>
        <v>30</v>
      </c>
      <c r="T112" s="12" t="str">
        <f>IFERROR(_xlfn.XLOOKUP(Selectivo[[#This Row],[DNI]],_VF2025[DNI],_VF2025[R5]),"70 DNC")</f>
        <v>70 BFD</v>
      </c>
      <c r="U112" s="13">
        <f>IFERROR(_xlfn.XLOOKUP(Selectivo[[#This Row],[DNI]],_VF2025[DNI],_VF2025[R6]),"70 DNC")</f>
        <v>47</v>
      </c>
      <c r="V112" s="13" t="str" cm="1">
        <f t="array" ref="V112">IFERROR(_xlfn.XLOOKUP(Selectivo[[#This Row],[Vela]],_xlfn.NUMBERVALUE(SIL25v2[Sail '#]),SIL25v2[1]),"90 DNC")</f>
        <v>45 DPI</v>
      </c>
      <c r="W112" s="13" t="str" cm="1">
        <f t="array" ref="W112">IFERROR(_xlfn.XLOOKUP(Selectivo[[#This Row],[Vela]],_xlfn.NUMBERVALUE(SIL25v2[Sail '#]),SIL25v2[2]),"90 DNC")</f>
        <v>46</v>
      </c>
      <c r="X112" s="13" t="str" cm="1">
        <f t="array" ref="X112">IFERROR(_xlfn.XLOOKUP(Selectivo[[#This Row],[Vela]],_xlfn.NUMBERVALUE(SIL25v2[Sail '#]),SIL25v2[3]),"90 DNC")</f>
        <v>20</v>
      </c>
      <c r="Y112" s="13" t="str" cm="1">
        <f t="array" ref="Y112">IFERROR(_xlfn.XLOOKUP(Selectivo[[#This Row],[Vela]],_xlfn.NUMBERVALUE(SIL25v2[Sail '#]),SIL25v2[4]),"90 DNC")</f>
        <v>30</v>
      </c>
      <c r="Z112" s="13" t="str" cm="1">
        <f t="array" ref="Z112">IFERROR(_xlfn.XLOOKUP(Selectivo[[#This Row],[Vela]],_xlfn.NUMBERVALUE(SIL25v2[Sail '#]),SIL25v2[5]),"90 DNC")</f>
        <v>28</v>
      </c>
      <c r="AA112" s="13" t="str" cm="1">
        <f t="array" ref="AA112">IFERROR(_xlfn.XLOOKUP(Selectivo[[#This Row],[Vela]],_xlfn.NUMBERVALUE(SIL25v2[Sail '#]),SIL25v2[6]),"90 DNC")</f>
        <v>14</v>
      </c>
      <c r="AB112" s="8" cm="1">
        <f t="array" ref="AB112">SUM(IFERROR(VALUE(LEFT(Regatas, FIND(" ",Regatas&amp; " ") - 1)), 0))</f>
        <v>890</v>
      </c>
      <c r="AC112" s="9" cm="1">
        <f t="array" ref="AC11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691</v>
      </c>
      <c r="AD112" s="6">
        <f>SMALL(RegatasN,1)</f>
        <v>14</v>
      </c>
      <c r="AE112" s="6">
        <f>SMALL(RegatasN,2)</f>
        <v>15</v>
      </c>
      <c r="AF112" s="6">
        <f>SMALL(RegatasN,3)</f>
        <v>20</v>
      </c>
      <c r="AG112" s="5" cm="1">
        <f t="array" ref="AG112">COUNTIF(Regatas,SMALL(Regatas,1))</f>
        <v>1</v>
      </c>
      <c r="AH112" s="6" cm="1">
        <f t="array" ref="AH112">VALUE(LEFT(INDEX(Selectivo[#This Row],,MATCH(Selectivo[[#Headers],[Total]],Selectivo[#Headers],0)-1),SEARCH(" ",INDEX(Selectivo[#This Row],,MATCH(Selectivo[[#Headers],[Total]],Selectivo[#Headers],0)-1)&amp;" ")-1))</f>
        <v>14</v>
      </c>
    </row>
    <row r="113" spans="1:34" x14ac:dyDescent="0.25">
      <c r="A113">
        <v>52030773</v>
      </c>
      <c r="B113" s="10">
        <f>ROW()-ROW(Selectivo[[#Headers],[Pos]])</f>
        <v>107</v>
      </c>
      <c r="C113" s="5">
        <v>3743</v>
      </c>
      <c r="D113" t="s">
        <v>603</v>
      </c>
      <c r="E113" t="s">
        <v>13</v>
      </c>
      <c r="F113" s="12" t="str">
        <f>IFERROR(_xlfn.XLOOKUP(Selectivo[[#This Row],[DNI]],_SIY[DNI],_SIY[R1]),"78 DNC")</f>
        <v>77 DNC</v>
      </c>
      <c r="G113" s="13">
        <f>IFERROR(_xlfn.XLOOKUP(Selectivo[[#This Row],[DNI]],_SIY[DNI],_SIY[R2]),"78 DNC")</f>
        <v>38</v>
      </c>
      <c r="H113" s="13">
        <f>IFERROR(_xlfn.XLOOKUP(Selectivo[[#This Row],[DNI]],_SIY[DNI],_SIY[R3]),"78 DNC")</f>
        <v>41</v>
      </c>
      <c r="I113" s="13" t="str">
        <f>IFERROR(_xlfn.XLOOKUP(Selectivo[[#This Row],[DNI]],_SIY[DNI],_SIY[R4]),"78 DNC")</f>
        <v>77 UFD</v>
      </c>
      <c r="J113" s="13" t="str">
        <f>IFERROR(_xlfn.XLOOKUP(Selectivo[[#This Row],[DNI]],_SIY[DNI],_SIY[R5]),"78 DNC")</f>
        <v>77 DNC</v>
      </c>
      <c r="K113" s="13">
        <f>IFERROR(_xlfn.XLOOKUP(Selectivo[[#This Row],[DNI]],_SIY[DNI],_SIY[R6]),"78 DNC")</f>
        <v>28</v>
      </c>
      <c r="L113" s="13">
        <f>IFERROR(_xlfn.XLOOKUP(Selectivo[[#This Row],[DNI]],_SIY[DNI],_SIY[R7]),"78 DNC")</f>
        <v>29</v>
      </c>
      <c r="M113" s="13">
        <f>IFERROR(_xlfn.XLOOKUP(Selectivo[[#This Row],[DNI]],_SIY[DNI],_SIY[R8]),"78 DNC")</f>
        <v>10</v>
      </c>
      <c r="N113" s="13" t="str">
        <f>IFERROR(_xlfn.XLOOKUP(Selectivo[[#This Row],[DNI]],_SIY[DNI],_SIY[R9]),"78 DNC")</f>
        <v>77 BFD</v>
      </c>
      <c r="O113" s="13">
        <f>IFERROR(_xlfn.XLOOKUP(Selectivo[[#This Row],[DNI]],_SIY[DNI],_SIY[R10]),"78 DNC")</f>
        <v>18</v>
      </c>
      <c r="P113" s="13" t="str">
        <f>IFERROR(_xlfn.XLOOKUP(Selectivo[[#This Row],[DNI]],_VF2025[DNI],_VF2025[R1]),"70 DNC")</f>
        <v>70 DNC</v>
      </c>
      <c r="Q113" s="13">
        <f>IFERROR(_xlfn.XLOOKUP(Selectivo[[#This Row],[DNI]],_VF2025[DNI],_VF2025[R2]),"70 DNC")</f>
        <v>14</v>
      </c>
      <c r="R113" s="13">
        <f>IFERROR(_xlfn.XLOOKUP(Selectivo[[#This Row],[DNI]],_VF2025[DNI],_VF2025[R3]),"70 DNC")</f>
        <v>12</v>
      </c>
      <c r="S113" s="13">
        <f>IFERROR(_xlfn.XLOOKUP(Selectivo[[#This Row],[DNI]],_VF2025[DNI],_VF2025[R4]),"70 DNC")</f>
        <v>28</v>
      </c>
      <c r="T113" s="13">
        <f>IFERROR(_xlfn.XLOOKUP(Selectivo[[#This Row],[DNI]],_VF2025[DNI],_VF2025[R5]),"70 DNC")</f>
        <v>34</v>
      </c>
      <c r="U113" s="13">
        <f>IFERROR(_xlfn.XLOOKUP(Selectivo[[#This Row],[DNI]],_VF2025[DNI],_VF2025[R6]),"70 DNC")</f>
        <v>20</v>
      </c>
      <c r="V113" s="12" t="str" cm="1">
        <f t="array" ref="V113">IFERROR(_xlfn.XLOOKUP(Selectivo[[#This Row],[Vela]],_xlfn.NUMBERVALUE(SIL25v2[Sail '#]),SIL25v2[1]),"90 DNC")</f>
        <v>89 BFD</v>
      </c>
      <c r="W113" s="13" t="str" cm="1">
        <f t="array" ref="W113">IFERROR(_xlfn.XLOOKUP(Selectivo[[#This Row],[Vela]],_xlfn.NUMBERVALUE(SIL25v2[Sail '#]),SIL25v2[2]),"90 DNC")</f>
        <v>14</v>
      </c>
      <c r="X113" s="13" t="str" cm="1">
        <f t="array" ref="X113">IFERROR(_xlfn.XLOOKUP(Selectivo[[#This Row],[Vela]],_xlfn.NUMBERVALUE(SIL25v2[Sail '#]),SIL25v2[3]),"90 DNC")</f>
        <v>39</v>
      </c>
      <c r="Y113" s="13" t="str" cm="1">
        <f t="array" ref="Y113">IFERROR(_xlfn.XLOOKUP(Selectivo[[#This Row],[Vela]],_xlfn.NUMBERVALUE(SIL25v2[Sail '#]),SIL25v2[4]),"90 DNC")</f>
        <v>41</v>
      </c>
      <c r="Z113" s="12" t="str" cm="1">
        <f t="array" ref="Z113">IFERROR(_xlfn.XLOOKUP(Selectivo[[#This Row],[Vela]],_xlfn.NUMBERVALUE(SIL25v2[Sail '#]),SIL25v2[5]),"90 DNC")</f>
        <v>89 BFD</v>
      </c>
      <c r="AA113" s="13" t="str" cm="1">
        <f t="array" ref="AA113">IFERROR(_xlfn.XLOOKUP(Selectivo[[#This Row],[Vela]],_xlfn.NUMBERVALUE(SIL25v2[Sail '#]),SIL25v2[6]),"90 DNC")</f>
        <v>32</v>
      </c>
      <c r="AB113" s="8" cm="1">
        <f t="array" ref="AB113">SUM(IFERROR(VALUE(LEFT(Regatas, FIND(" ",Regatas&amp; " ") - 1)), 0))</f>
        <v>954</v>
      </c>
      <c r="AC113" s="9" cm="1">
        <f t="array" ref="AC11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699</v>
      </c>
      <c r="AD113" s="6">
        <f>SMALL(RegatasN,1)</f>
        <v>10</v>
      </c>
      <c r="AE113" s="6">
        <f>SMALL(RegatasN,2)</f>
        <v>12</v>
      </c>
      <c r="AF113" s="6">
        <f>SMALL(RegatasN,3)</f>
        <v>14</v>
      </c>
      <c r="AG113" s="5" cm="1">
        <f t="array" ref="AG113">COUNTIF(Regatas,SMALL(Regatas,1))</f>
        <v>1</v>
      </c>
      <c r="AH113" s="6" cm="1">
        <f t="array" ref="AH113">VALUE(LEFT(INDEX(Selectivo[#This Row],,MATCH(Selectivo[[#Headers],[Total]],Selectivo[#Headers],0)-1),SEARCH(" ",INDEX(Selectivo[#This Row],,MATCH(Selectivo[[#Headers],[Total]],Selectivo[#Headers],0)-1)&amp;" ")-1))</f>
        <v>32</v>
      </c>
    </row>
    <row r="114" spans="1:34" x14ac:dyDescent="0.25">
      <c r="A114">
        <v>50320758</v>
      </c>
      <c r="B114" s="10">
        <f>ROW()-ROW(Selectivo[[#Headers],[Pos]])</f>
        <v>108</v>
      </c>
      <c r="C114" s="5">
        <v>3775</v>
      </c>
      <c r="D114" t="s">
        <v>677</v>
      </c>
      <c r="E114" t="s">
        <v>13</v>
      </c>
      <c r="F114" s="13">
        <f>IFERROR(_xlfn.XLOOKUP(Selectivo[[#This Row],[DNI]],_SIY[DNI],_SIY[R1]),"78 DNC")</f>
        <v>30</v>
      </c>
      <c r="G114" s="13">
        <f>IFERROR(_xlfn.XLOOKUP(Selectivo[[#This Row],[DNI]],_SIY[DNI],_SIY[R2]),"78 DNC")</f>
        <v>33</v>
      </c>
      <c r="H114" s="13">
        <f>IFERROR(_xlfn.XLOOKUP(Selectivo[[#This Row],[DNI]],_SIY[DNI],_SIY[R3]),"78 DNC")</f>
        <v>32</v>
      </c>
      <c r="I114" s="13">
        <f>IFERROR(_xlfn.XLOOKUP(Selectivo[[#This Row],[DNI]],_SIY[DNI],_SIY[R4]),"78 DNC")</f>
        <v>11</v>
      </c>
      <c r="J114" s="13">
        <f>IFERROR(_xlfn.XLOOKUP(Selectivo[[#This Row],[DNI]],_SIY[DNI],_SIY[R5]),"78 DNC")</f>
        <v>22</v>
      </c>
      <c r="K114" s="13">
        <f>IFERROR(_xlfn.XLOOKUP(Selectivo[[#This Row],[DNI]],_SIY[DNI],_SIY[R6]),"78 DNC")</f>
        <v>25</v>
      </c>
      <c r="L114" s="13">
        <f>IFERROR(_xlfn.XLOOKUP(Selectivo[[#This Row],[DNI]],_SIY[DNI],_SIY[R7]),"78 DNC")</f>
        <v>26</v>
      </c>
      <c r="M114" s="13">
        <f>IFERROR(_xlfn.XLOOKUP(Selectivo[[#This Row],[DNI]],_SIY[DNI],_SIY[R8]),"78 DNC")</f>
        <v>52</v>
      </c>
      <c r="N114" s="13">
        <f>IFERROR(_xlfn.XLOOKUP(Selectivo[[#This Row],[DNI]],_SIY[DNI],_SIY[R9]),"78 DNC")</f>
        <v>36</v>
      </c>
      <c r="O114" s="13" t="str">
        <f>IFERROR(_xlfn.XLOOKUP(Selectivo[[#This Row],[DNI]],_SIY[DNI],_SIY[R10]),"78 DNC")</f>
        <v>77 BFD</v>
      </c>
      <c r="P114" s="13" t="str">
        <f>IFERROR(_xlfn.XLOOKUP(Selectivo[[#This Row],[DNI]],_VF2025[DNI],_VF2025[R1]),"70 DNC")</f>
        <v>70 DNF</v>
      </c>
      <c r="Q114" s="13">
        <f>IFERROR(_xlfn.XLOOKUP(Selectivo[[#This Row],[DNI]],_VF2025[DNI],_VF2025[R2]),"70 DNC")</f>
        <v>43</v>
      </c>
      <c r="R114" s="13">
        <f>IFERROR(_xlfn.XLOOKUP(Selectivo[[#This Row],[DNI]],_VF2025[DNI],_VF2025[R3]),"70 DNC")</f>
        <v>21</v>
      </c>
      <c r="S114" s="13">
        <f>IFERROR(_xlfn.XLOOKUP(Selectivo[[#This Row],[DNI]],_VF2025[DNI],_VF2025[R4]),"70 DNC")</f>
        <v>34</v>
      </c>
      <c r="T114" s="13" t="str">
        <f>IFERROR(_xlfn.XLOOKUP(Selectivo[[#This Row],[DNI]],_VF2025[DNI],_VF2025[R5]),"70 DNC")</f>
        <v>70 BFD</v>
      </c>
      <c r="U114" s="13">
        <f>IFERROR(_xlfn.XLOOKUP(Selectivo[[#This Row],[DNI]],_VF2025[DNI],_VF2025[R6]),"70 DNC")</f>
        <v>40</v>
      </c>
      <c r="V114" s="12" t="str" cm="1">
        <f t="array" ref="V114">IFERROR(_xlfn.XLOOKUP(Selectivo[[#This Row],[Vela]],_xlfn.NUMBERVALUE(SIL25v2[Sail '#]),SIL25v2[1]),"90 DNC")</f>
        <v>89 BFD</v>
      </c>
      <c r="W114" s="12" t="str" cm="1">
        <f t="array" ref="W114">IFERROR(_xlfn.XLOOKUP(Selectivo[[#This Row],[Vela]],_xlfn.NUMBERVALUE(SIL25v2[Sail '#]),SIL25v2[2]),"90 DNC")</f>
        <v>89 UFD</v>
      </c>
      <c r="X114" s="12" t="str" cm="1">
        <f t="array" ref="X114">IFERROR(_xlfn.XLOOKUP(Selectivo[[#This Row],[Vela]],_xlfn.NUMBERVALUE(SIL25v2[Sail '#]),SIL25v2[3]),"90 DNC")</f>
        <v>89 BFD</v>
      </c>
      <c r="Y114" s="13" t="str" cm="1">
        <f t="array" ref="Y114">IFERROR(_xlfn.XLOOKUP(Selectivo[[#This Row],[Vela]],_xlfn.NUMBERVALUE(SIL25v2[Sail '#]),SIL25v2[4]),"90 DNC")</f>
        <v>60</v>
      </c>
      <c r="Z114" s="13" t="str" cm="1">
        <f t="array" ref="Z114">IFERROR(_xlfn.XLOOKUP(Selectivo[[#This Row],[Vela]],_xlfn.NUMBERVALUE(SIL25v2[Sail '#]),SIL25v2[5]),"90 DNC")</f>
        <v>2</v>
      </c>
      <c r="AA114" s="13" t="str" cm="1">
        <f t="array" ref="AA114">IFERROR(_xlfn.XLOOKUP(Selectivo[[#This Row],[Vela]],_xlfn.NUMBERVALUE(SIL25v2[Sail '#]),SIL25v2[6]),"90 DNC")</f>
        <v>30</v>
      </c>
      <c r="AB114" s="8" cm="1">
        <f t="array" ref="AB114">SUM(IFERROR(VALUE(LEFT(Regatas, FIND(" ",Regatas&amp; " ") - 1)), 0))</f>
        <v>981</v>
      </c>
      <c r="AC114" s="9" cm="1">
        <f t="array" ref="AC11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714</v>
      </c>
      <c r="AD114" s="6">
        <f>SMALL(RegatasN,1)</f>
        <v>2</v>
      </c>
      <c r="AE114" s="6">
        <f>SMALL(RegatasN,2)</f>
        <v>11</v>
      </c>
      <c r="AF114" s="6">
        <f>SMALL(RegatasN,3)</f>
        <v>21</v>
      </c>
      <c r="AG114" s="5" cm="1">
        <f t="array" ref="AG114">COUNTIF(Regatas,SMALL(Regatas,1))</f>
        <v>1</v>
      </c>
      <c r="AH114" s="6" cm="1">
        <f t="array" ref="AH114">VALUE(LEFT(INDEX(Selectivo[#This Row],,MATCH(Selectivo[[#Headers],[Total]],Selectivo[#Headers],0)-1),SEARCH(" ",INDEX(Selectivo[#This Row],,MATCH(Selectivo[[#Headers],[Total]],Selectivo[#Headers],0)-1)&amp;" ")-1))</f>
        <v>30</v>
      </c>
    </row>
    <row r="115" spans="1:34" x14ac:dyDescent="0.25">
      <c r="A115">
        <v>50513181</v>
      </c>
      <c r="B115" s="10">
        <f>ROW()-ROW(Selectivo[[#Headers],[Pos]])</f>
        <v>109</v>
      </c>
      <c r="C115" s="5">
        <v>4048</v>
      </c>
      <c r="D115" t="s">
        <v>667</v>
      </c>
      <c r="E115" t="s">
        <v>21</v>
      </c>
      <c r="F115" s="13">
        <f>IFERROR(_xlfn.XLOOKUP(Selectivo[[#This Row],[DNI]],_SIY[DNI],_SIY[R1]),"78 DNC")</f>
        <v>45</v>
      </c>
      <c r="G115" s="13">
        <f>IFERROR(_xlfn.XLOOKUP(Selectivo[[#This Row],[DNI]],_SIY[DNI],_SIY[R2]),"78 DNC")</f>
        <v>23</v>
      </c>
      <c r="H115" s="13">
        <f>IFERROR(_xlfn.XLOOKUP(Selectivo[[#This Row],[DNI]],_SIY[DNI],_SIY[R3]),"78 DNC")</f>
        <v>63</v>
      </c>
      <c r="I115" s="13">
        <f>IFERROR(_xlfn.XLOOKUP(Selectivo[[#This Row],[DNI]],_SIY[DNI],_SIY[R4]),"78 DNC")</f>
        <v>40</v>
      </c>
      <c r="J115" s="13">
        <f>IFERROR(_xlfn.XLOOKUP(Selectivo[[#This Row],[DNI]],_SIY[DNI],_SIY[R5]),"78 DNC")</f>
        <v>23</v>
      </c>
      <c r="K115" s="13">
        <f>IFERROR(_xlfn.XLOOKUP(Selectivo[[#This Row],[DNI]],_SIY[DNI],_SIY[R6]),"78 DNC")</f>
        <v>21</v>
      </c>
      <c r="L115" s="13">
        <f>IFERROR(_xlfn.XLOOKUP(Selectivo[[#This Row],[DNI]],_SIY[DNI],_SIY[R7]),"78 DNC")</f>
        <v>10</v>
      </c>
      <c r="M115" s="13">
        <f>IFERROR(_xlfn.XLOOKUP(Selectivo[[#This Row],[DNI]],_SIY[DNI],_SIY[R8]),"78 DNC")</f>
        <v>38</v>
      </c>
      <c r="N115" s="13">
        <f>IFERROR(_xlfn.XLOOKUP(Selectivo[[#This Row],[DNI]],_SIY[DNI],_SIY[R9]),"78 DNC")</f>
        <v>22</v>
      </c>
      <c r="O115" s="12" t="str">
        <f>IFERROR(_xlfn.XLOOKUP(Selectivo[[#This Row],[DNI]],_SIY[DNI],_SIY[R10]),"78 DNC")</f>
        <v>77 BFD</v>
      </c>
      <c r="P115" s="12" t="str">
        <f>IFERROR(_xlfn.XLOOKUP(Selectivo[[#This Row],[DNI]],_VF2025[DNI],_VF2025[R1]),"70 DNC")</f>
        <v>70 DNC</v>
      </c>
      <c r="Q115" s="13">
        <f>IFERROR(_xlfn.XLOOKUP(Selectivo[[#This Row],[DNI]],_VF2025[DNI],_VF2025[R2]),"70 DNC")</f>
        <v>21</v>
      </c>
      <c r="R115" s="13">
        <f>IFERROR(_xlfn.XLOOKUP(Selectivo[[#This Row],[DNI]],_VF2025[DNI],_VF2025[R3]),"70 DNC")</f>
        <v>38</v>
      </c>
      <c r="S115" s="13">
        <f>IFERROR(_xlfn.XLOOKUP(Selectivo[[#This Row],[DNI]],_VF2025[DNI],_VF2025[R4]),"70 DNC")</f>
        <v>23</v>
      </c>
      <c r="T115" s="13">
        <f>IFERROR(_xlfn.XLOOKUP(Selectivo[[#This Row],[DNI]],_VF2025[DNI],_VF2025[R5]),"70 DNC")</f>
        <v>34</v>
      </c>
      <c r="U115" s="13" t="str">
        <f>IFERROR(_xlfn.XLOOKUP(Selectivo[[#This Row],[DNI]],_VF2025[DNI],_VF2025[R6]),"70 DNC")</f>
        <v>70 BFD</v>
      </c>
      <c r="V115" s="12" t="str" cm="1">
        <f t="array" ref="V115">IFERROR(_xlfn.XLOOKUP(Selectivo[[#This Row],[Vela]],_xlfn.NUMBERVALUE(SIL25v2[Sail '#]),SIL25v2[1]),"90 DNC")</f>
        <v>89 BFD</v>
      </c>
      <c r="W115" s="13" t="str" cm="1">
        <f t="array" ref="W115">IFERROR(_xlfn.XLOOKUP(Selectivo[[#This Row],[Vela]],_xlfn.NUMBERVALUE(SIL25v2[Sail '#]),SIL25v2[2]),"90 DNC")</f>
        <v>51</v>
      </c>
      <c r="X115" s="13" t="str" cm="1">
        <f t="array" ref="X115">IFERROR(_xlfn.XLOOKUP(Selectivo[[#This Row],[Vela]],_xlfn.NUMBERVALUE(SIL25v2[Sail '#]),SIL25v2[3]),"90 DNC")</f>
        <v>57</v>
      </c>
      <c r="Y115" s="13" t="str" cm="1">
        <f t="array" ref="Y115">IFERROR(_xlfn.XLOOKUP(Selectivo[[#This Row],[Vela]],_xlfn.NUMBERVALUE(SIL25v2[Sail '#]),SIL25v2[4]),"90 DNC")</f>
        <v>58</v>
      </c>
      <c r="Z115" s="13" t="str" cm="1">
        <f t="array" ref="Z115">IFERROR(_xlfn.XLOOKUP(Selectivo[[#This Row],[Vela]],_xlfn.NUMBERVALUE(SIL25v2[Sail '#]),SIL25v2[5]),"90 DNC")</f>
        <v>48</v>
      </c>
      <c r="AA115" s="13" t="str" cm="1">
        <f t="array" ref="AA115">IFERROR(_xlfn.XLOOKUP(Selectivo[[#This Row],[Vela]],_xlfn.NUMBERVALUE(SIL25v2[Sail '#]),SIL25v2[6]),"90 DNC")</f>
        <v>32</v>
      </c>
      <c r="AB115" s="8" cm="1">
        <f t="array" ref="AB115">SUM(IFERROR(VALUE(LEFT(Regatas, FIND(" ",Regatas&amp; " ") - 1)), 0))</f>
        <v>953</v>
      </c>
      <c r="AC115" s="9" cm="1">
        <f t="array" ref="AC11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717</v>
      </c>
      <c r="AD115" s="6">
        <f>SMALL(RegatasN,1)</f>
        <v>10</v>
      </c>
      <c r="AE115" s="6">
        <f>SMALL(RegatasN,2)</f>
        <v>21</v>
      </c>
      <c r="AF115" s="6">
        <f>SMALL(RegatasN,3)</f>
        <v>21</v>
      </c>
      <c r="AG115" s="5" cm="1">
        <f t="array" ref="AG115">COUNTIF(Regatas,SMALL(Regatas,1))</f>
        <v>1</v>
      </c>
      <c r="AH115" s="6" cm="1">
        <f t="array" ref="AH115">VALUE(LEFT(INDEX(Selectivo[#This Row],,MATCH(Selectivo[[#Headers],[Total]],Selectivo[#Headers],0)-1),SEARCH(" ",INDEX(Selectivo[#This Row],,MATCH(Selectivo[[#Headers],[Total]],Selectivo[#Headers],0)-1)&amp;" ")-1))</f>
        <v>32</v>
      </c>
    </row>
    <row r="116" spans="1:34" x14ac:dyDescent="0.25">
      <c r="A116">
        <v>52647669</v>
      </c>
      <c r="B116" s="10">
        <f>ROW()-ROW(Selectivo[[#Headers],[Pos]])</f>
        <v>110</v>
      </c>
      <c r="C116" s="5">
        <v>4174</v>
      </c>
      <c r="D116" t="s">
        <v>626</v>
      </c>
      <c r="E116" t="s">
        <v>5</v>
      </c>
      <c r="F116" s="13">
        <f>IFERROR(_xlfn.XLOOKUP(Selectivo[[#This Row],[DNI]],_SIY[DNI],_SIY[R1]),"78 DNC")</f>
        <v>59</v>
      </c>
      <c r="G116" s="12">
        <f>IFERROR(_xlfn.XLOOKUP(Selectivo[[#This Row],[DNI]],_SIY[DNI],_SIY[R2]),"78 DNC")</f>
        <v>71</v>
      </c>
      <c r="H116" s="13">
        <f>IFERROR(_xlfn.XLOOKUP(Selectivo[[#This Row],[DNI]],_SIY[DNI],_SIY[R3]),"78 DNC")</f>
        <v>49</v>
      </c>
      <c r="I116" s="13">
        <f>IFERROR(_xlfn.XLOOKUP(Selectivo[[#This Row],[DNI]],_SIY[DNI],_SIY[R4]),"78 DNC")</f>
        <v>40</v>
      </c>
      <c r="J116" s="13">
        <f>IFERROR(_xlfn.XLOOKUP(Selectivo[[#This Row],[DNI]],_SIY[DNI],_SIY[R5]),"78 DNC")</f>
        <v>33</v>
      </c>
      <c r="K116" s="13">
        <f>IFERROR(_xlfn.XLOOKUP(Selectivo[[#This Row],[DNI]],_SIY[DNI],_SIY[R6]),"78 DNC")</f>
        <v>62</v>
      </c>
      <c r="L116" s="13">
        <f>IFERROR(_xlfn.XLOOKUP(Selectivo[[#This Row],[DNI]],_SIY[DNI],_SIY[R7]),"78 DNC")</f>
        <v>61</v>
      </c>
      <c r="M116" s="13">
        <f>IFERROR(_xlfn.XLOOKUP(Selectivo[[#This Row],[DNI]],_SIY[DNI],_SIY[R8]),"78 DNC")</f>
        <v>43</v>
      </c>
      <c r="N116" s="13">
        <f>IFERROR(_xlfn.XLOOKUP(Selectivo[[#This Row],[DNI]],_SIY[DNI],_SIY[R9]),"78 DNC")</f>
        <v>36</v>
      </c>
      <c r="O116" s="12">
        <f>IFERROR(_xlfn.XLOOKUP(Selectivo[[#This Row],[DNI]],_SIY[DNI],_SIY[R10]),"78 DNC")</f>
        <v>63</v>
      </c>
      <c r="P116" s="13">
        <f>IFERROR(_xlfn.XLOOKUP(Selectivo[[#This Row],[DNI]],_VF2025[DNI],_VF2025[R1]),"70 DNC")</f>
        <v>21</v>
      </c>
      <c r="Q116" s="13">
        <f>IFERROR(_xlfn.XLOOKUP(Selectivo[[#This Row],[DNI]],_VF2025[DNI],_VF2025[R2]),"70 DNC")</f>
        <v>40</v>
      </c>
      <c r="R116" s="13">
        <f>IFERROR(_xlfn.XLOOKUP(Selectivo[[#This Row],[DNI]],_VF2025[DNI],_VF2025[R3]),"70 DNC")</f>
        <v>32</v>
      </c>
      <c r="S116" s="13">
        <f>IFERROR(_xlfn.XLOOKUP(Selectivo[[#This Row],[DNI]],_VF2025[DNI],_VF2025[R4]),"70 DNC")</f>
        <v>13</v>
      </c>
      <c r="T116" s="12" t="str">
        <f>IFERROR(_xlfn.XLOOKUP(Selectivo[[#This Row],[DNI]],_VF2025[DNI],_VF2025[R5]),"70 DNC")</f>
        <v>70 BFD</v>
      </c>
      <c r="U116" s="13">
        <f>IFERROR(_xlfn.XLOOKUP(Selectivo[[#This Row],[DNI]],_VF2025[DNI],_VF2025[R6]),"70 DNC")</f>
        <v>39</v>
      </c>
      <c r="V116" s="13" t="str" cm="1">
        <f t="array" ref="V116">IFERROR(_xlfn.XLOOKUP(Selectivo[[#This Row],[Vela]],_xlfn.NUMBERVALUE(SIL25v2[Sail '#]),SIL25v2[1]),"90 DNC")</f>
        <v>48</v>
      </c>
      <c r="W116" s="13" t="str" cm="1">
        <f t="array" ref="W116">IFERROR(_xlfn.XLOOKUP(Selectivo[[#This Row],[Vela]],_xlfn.NUMBERVALUE(SIL25v2[Sail '#]),SIL25v2[2]),"90 DNC")</f>
        <v>7</v>
      </c>
      <c r="X116" s="13" t="str" cm="1">
        <f t="array" ref="X116">IFERROR(_xlfn.XLOOKUP(Selectivo[[#This Row],[Vela]],_xlfn.NUMBERVALUE(SIL25v2[Sail '#]),SIL25v2[3]),"90 DNC")</f>
        <v>29</v>
      </c>
      <c r="Y116" s="13" t="str" cm="1">
        <f t="array" ref="Y116">IFERROR(_xlfn.XLOOKUP(Selectivo[[#This Row],[Vela]],_xlfn.NUMBERVALUE(SIL25v2[Sail '#]),SIL25v2[4]),"90 DNC")</f>
        <v>34</v>
      </c>
      <c r="Z116" s="13" t="str" cm="1">
        <f t="array" ref="Z116">IFERROR(_xlfn.XLOOKUP(Selectivo[[#This Row],[Vela]],_xlfn.NUMBERVALUE(SIL25v2[Sail '#]),SIL25v2[5]),"90 DNC")</f>
        <v>41</v>
      </c>
      <c r="AA116" s="13" t="str" cm="1">
        <f t="array" ref="AA116">IFERROR(_xlfn.XLOOKUP(Selectivo[[#This Row],[Vela]],_xlfn.NUMBERVALUE(SIL25v2[Sail '#]),SIL25v2[6]),"90 DNC")</f>
        <v>42</v>
      </c>
      <c r="AB116" s="8" cm="1">
        <f t="array" ref="AB116">SUM(IFERROR(VALUE(LEFT(Regatas, FIND(" ",Regatas&amp; " ") - 1)), 0))</f>
        <v>933</v>
      </c>
      <c r="AC116" s="9" cm="1">
        <f t="array" ref="AC11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729</v>
      </c>
      <c r="AD116" s="6">
        <f>SMALL(RegatasN,1)</f>
        <v>7</v>
      </c>
      <c r="AE116" s="6">
        <f>SMALL(RegatasN,2)</f>
        <v>13</v>
      </c>
      <c r="AF116" s="6">
        <f>SMALL(RegatasN,3)</f>
        <v>21</v>
      </c>
      <c r="AG116" s="5" cm="1">
        <f t="array" ref="AG116">COUNTIF(Regatas,SMALL(Regatas,1))</f>
        <v>1</v>
      </c>
      <c r="AH116" s="6" cm="1">
        <f t="array" ref="AH116">VALUE(LEFT(INDEX(Selectivo[#This Row],,MATCH(Selectivo[[#Headers],[Total]],Selectivo[#Headers],0)-1),SEARCH(" ",INDEX(Selectivo[#This Row],,MATCH(Selectivo[[#Headers],[Total]],Selectivo[#Headers],0)-1)&amp;" ")-1))</f>
        <v>42</v>
      </c>
    </row>
    <row r="117" spans="1:34" x14ac:dyDescent="0.25">
      <c r="A117">
        <v>53236907</v>
      </c>
      <c r="B117" s="10">
        <f>ROW()-ROW(Selectivo[[#Headers],[Pos]])</f>
        <v>111</v>
      </c>
      <c r="C117" s="5">
        <v>3992</v>
      </c>
      <c r="D117" t="s">
        <v>639</v>
      </c>
      <c r="E117" t="s">
        <v>13</v>
      </c>
      <c r="F117" s="13">
        <f>IFERROR(_xlfn.XLOOKUP(Selectivo[[#This Row],[DNI]],_SIY[DNI],_SIY[R1]),"78 DNC")</f>
        <v>53</v>
      </c>
      <c r="G117" s="13">
        <f>IFERROR(_xlfn.XLOOKUP(Selectivo[[#This Row],[DNI]],_SIY[DNI],_SIY[R2]),"78 DNC")</f>
        <v>27</v>
      </c>
      <c r="H117" s="13">
        <f>IFERROR(_xlfn.XLOOKUP(Selectivo[[#This Row],[DNI]],_SIY[DNI],_SIY[R3]),"78 DNC")</f>
        <v>44</v>
      </c>
      <c r="I117" s="12" t="str">
        <f>IFERROR(_xlfn.XLOOKUP(Selectivo[[#This Row],[DNI]],_SIY[DNI],_SIY[R4]),"78 DNC")</f>
        <v>77 DNC</v>
      </c>
      <c r="J117" s="12" t="str">
        <f>IFERROR(_xlfn.XLOOKUP(Selectivo[[#This Row],[DNI]],_SIY[DNI],_SIY[R5]),"78 DNC")</f>
        <v>77 DNC</v>
      </c>
      <c r="K117" s="13" t="str">
        <f>IFERROR(_xlfn.XLOOKUP(Selectivo[[#This Row],[DNI]],_SIY[DNI],_SIY[R6]),"78 DNC")</f>
        <v>77 DNC</v>
      </c>
      <c r="L117" s="13">
        <f>IFERROR(_xlfn.XLOOKUP(Selectivo[[#This Row],[DNI]],_SIY[DNI],_SIY[R7]),"78 DNC")</f>
        <v>16</v>
      </c>
      <c r="M117" s="13">
        <f>IFERROR(_xlfn.XLOOKUP(Selectivo[[#This Row],[DNI]],_SIY[DNI],_SIY[R8]),"78 DNC")</f>
        <v>41</v>
      </c>
      <c r="N117" s="13">
        <f>IFERROR(_xlfn.XLOOKUP(Selectivo[[#This Row],[DNI]],_SIY[DNI],_SIY[R9]),"78 DNC")</f>
        <v>28</v>
      </c>
      <c r="O117" s="13">
        <f>IFERROR(_xlfn.XLOOKUP(Selectivo[[#This Row],[DNI]],_SIY[DNI],_SIY[R10]),"78 DNC")</f>
        <v>3</v>
      </c>
      <c r="P117" s="13">
        <f>IFERROR(_xlfn.XLOOKUP(Selectivo[[#This Row],[DNI]],_VF2025[DNI],_VF2025[R1]),"70 DNC")</f>
        <v>16</v>
      </c>
      <c r="Q117" s="13">
        <f>IFERROR(_xlfn.XLOOKUP(Selectivo[[#This Row],[DNI]],_VF2025[DNI],_VF2025[R2]),"70 DNC")</f>
        <v>55</v>
      </c>
      <c r="R117" s="13">
        <f>IFERROR(_xlfn.XLOOKUP(Selectivo[[#This Row],[DNI]],_VF2025[DNI],_VF2025[R3]),"70 DNC")</f>
        <v>41</v>
      </c>
      <c r="S117" s="13" t="str">
        <f>IFERROR(_xlfn.XLOOKUP(Selectivo[[#This Row],[DNI]],_VF2025[DNI],_VF2025[R4]),"70 DNC")</f>
        <v>70 UFD</v>
      </c>
      <c r="T117" s="13" t="str">
        <f>IFERROR(_xlfn.XLOOKUP(Selectivo[[#This Row],[DNI]],_VF2025[DNI],_VF2025[R5]),"70 DNC")</f>
        <v>70 BFD</v>
      </c>
      <c r="U117" s="13">
        <f>IFERROR(_xlfn.XLOOKUP(Selectivo[[#This Row],[DNI]],_VF2025[DNI],_VF2025[R6]),"70 DNC")</f>
        <v>45</v>
      </c>
      <c r="V117" s="13" t="str" cm="1">
        <f t="array" ref="V117">IFERROR(_xlfn.XLOOKUP(Selectivo[[#This Row],[Vela]],_xlfn.NUMBERVALUE(SIL25v2[Sail '#]),SIL25v2[1]),"90 DNC")</f>
        <v>7</v>
      </c>
      <c r="W117" s="13" t="str" cm="1">
        <f t="array" ref="W117">IFERROR(_xlfn.XLOOKUP(Selectivo[[#This Row],[Vela]],_xlfn.NUMBERVALUE(SIL25v2[Sail '#]),SIL25v2[2]),"90 DNC")</f>
        <v>34</v>
      </c>
      <c r="X117" s="13" t="str" cm="1">
        <f t="array" ref="X117">IFERROR(_xlfn.XLOOKUP(Selectivo[[#This Row],[Vela]],_xlfn.NUMBERVALUE(SIL25v2[Sail '#]),SIL25v2[3]),"90 DNC")</f>
        <v>53</v>
      </c>
      <c r="Y117" s="13" t="str" cm="1">
        <f t="array" ref="Y117">IFERROR(_xlfn.XLOOKUP(Selectivo[[#This Row],[Vela]],_xlfn.NUMBERVALUE(SIL25v2[Sail '#]),SIL25v2[4]),"90 DNC")</f>
        <v>28</v>
      </c>
      <c r="Z117" s="12" t="str" cm="1">
        <f t="array" ref="Z117">IFERROR(_xlfn.XLOOKUP(Selectivo[[#This Row],[Vela]],_xlfn.NUMBERVALUE(SIL25v2[Sail '#]),SIL25v2[5]),"90 DNC")</f>
        <v>89 BFD</v>
      </c>
      <c r="AA117" s="13" t="str" cm="1">
        <f t="array" ref="AA117">IFERROR(_xlfn.XLOOKUP(Selectivo[[#This Row],[Vela]],_xlfn.NUMBERVALUE(SIL25v2[Sail '#]),SIL25v2[6]),"90 DNC")</f>
        <v>22</v>
      </c>
      <c r="AB117" s="8" cm="1">
        <f t="array" ref="AB117">SUM(IFERROR(VALUE(LEFT(Regatas, FIND(" ",Regatas&amp; " ") - 1)), 0))</f>
        <v>973</v>
      </c>
      <c r="AC117" s="9" cm="1">
        <f t="array" ref="AC11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730</v>
      </c>
      <c r="AD117" s="6">
        <f>SMALL(RegatasN,1)</f>
        <v>3</v>
      </c>
      <c r="AE117" s="6">
        <f>SMALL(RegatasN,2)</f>
        <v>7</v>
      </c>
      <c r="AF117" s="6">
        <f>SMALL(RegatasN,3)</f>
        <v>16</v>
      </c>
      <c r="AG117" s="5" cm="1">
        <f t="array" ref="AG117">COUNTIF(Regatas,SMALL(Regatas,1))</f>
        <v>1</v>
      </c>
      <c r="AH117" s="6" cm="1">
        <f t="array" ref="AH117">VALUE(LEFT(INDEX(Selectivo[#This Row],,MATCH(Selectivo[[#Headers],[Total]],Selectivo[#Headers],0)-1),SEARCH(" ",INDEX(Selectivo[#This Row],,MATCH(Selectivo[[#Headers],[Total]],Selectivo[#Headers],0)-1)&amp;" ")-1))</f>
        <v>22</v>
      </c>
    </row>
    <row r="118" spans="1:34" x14ac:dyDescent="0.25">
      <c r="A118">
        <v>52698988</v>
      </c>
      <c r="B118" s="10">
        <f>ROW()-ROW(Selectivo[[#Headers],[Pos]])</f>
        <v>112</v>
      </c>
      <c r="C118" s="5">
        <v>3908</v>
      </c>
      <c r="D118" t="s">
        <v>609</v>
      </c>
      <c r="E118" t="s">
        <v>11</v>
      </c>
      <c r="F118" s="12" t="str">
        <f>IFERROR(_xlfn.XLOOKUP(Selectivo[[#This Row],[DNI]],_SIY[DNI],_SIY[R1]),"78 DNC")</f>
        <v>77 DNF</v>
      </c>
      <c r="G118" s="13">
        <f>IFERROR(_xlfn.XLOOKUP(Selectivo[[#This Row],[DNI]],_SIY[DNI],_SIY[R2]),"78 DNC")</f>
        <v>56</v>
      </c>
      <c r="H118" s="13">
        <f>IFERROR(_xlfn.XLOOKUP(Selectivo[[#This Row],[DNI]],_SIY[DNI],_SIY[R3]),"78 DNC")</f>
        <v>49</v>
      </c>
      <c r="I118" s="13">
        <f>IFERROR(_xlfn.XLOOKUP(Selectivo[[#This Row],[DNI]],_SIY[DNI],_SIY[R4]),"78 DNC")</f>
        <v>51</v>
      </c>
      <c r="J118" s="13">
        <f>IFERROR(_xlfn.XLOOKUP(Selectivo[[#This Row],[DNI]],_SIY[DNI],_SIY[R5]),"78 DNC")</f>
        <v>46</v>
      </c>
      <c r="K118" s="13">
        <f>IFERROR(_xlfn.XLOOKUP(Selectivo[[#This Row],[DNI]],_SIY[DNI],_SIY[R6]),"78 DNC")</f>
        <v>37</v>
      </c>
      <c r="L118" s="13">
        <f>IFERROR(_xlfn.XLOOKUP(Selectivo[[#This Row],[DNI]],_SIY[DNI],_SIY[R7]),"78 DNC")</f>
        <v>40</v>
      </c>
      <c r="M118" s="13">
        <f>IFERROR(_xlfn.XLOOKUP(Selectivo[[#This Row],[DNI]],_SIY[DNI],_SIY[R8]),"78 DNC")</f>
        <v>33</v>
      </c>
      <c r="N118" s="13">
        <f>IFERROR(_xlfn.XLOOKUP(Selectivo[[#This Row],[DNI]],_SIY[DNI],_SIY[R9]),"78 DNC")</f>
        <v>31</v>
      </c>
      <c r="O118" s="13">
        <f>IFERROR(_xlfn.XLOOKUP(Selectivo[[#This Row],[DNI]],_SIY[DNI],_SIY[R10]),"78 DNC")</f>
        <v>21</v>
      </c>
      <c r="P118" s="12" t="str">
        <f>IFERROR(_xlfn.XLOOKUP(Selectivo[[#This Row],[DNI]],_VF2025[DNI],_VF2025[R1]),"70 DNC")</f>
        <v>70 DNF</v>
      </c>
      <c r="Q118" s="13">
        <f>IFERROR(_xlfn.XLOOKUP(Selectivo[[#This Row],[DNI]],_VF2025[DNI],_VF2025[R2]),"70 DNC")</f>
        <v>39</v>
      </c>
      <c r="R118" s="12">
        <f>IFERROR(_xlfn.XLOOKUP(Selectivo[[#This Row],[DNI]],_VF2025[DNI],_VF2025[R3]),"70 DNC")</f>
        <v>60</v>
      </c>
      <c r="S118" s="13">
        <f>IFERROR(_xlfn.XLOOKUP(Selectivo[[#This Row],[DNI]],_VF2025[DNI],_VF2025[R4]),"70 DNC")</f>
        <v>40</v>
      </c>
      <c r="T118" s="13">
        <f>IFERROR(_xlfn.XLOOKUP(Selectivo[[#This Row],[DNI]],_VF2025[DNI],_VF2025[R5]),"70 DNC")</f>
        <v>32</v>
      </c>
      <c r="U118" s="13">
        <f>IFERROR(_xlfn.XLOOKUP(Selectivo[[#This Row],[DNI]],_VF2025[DNI],_VF2025[R6]),"70 DNC")</f>
        <v>54</v>
      </c>
      <c r="V118" s="13" t="str" cm="1">
        <f t="array" ref="V118">IFERROR(_xlfn.XLOOKUP(Selectivo[[#This Row],[Vela]],_xlfn.NUMBERVALUE(SIL25v2[Sail '#]),SIL25v2[1]),"90 DNC")</f>
        <v>14</v>
      </c>
      <c r="W118" s="13" t="str" cm="1">
        <f t="array" ref="W118">IFERROR(_xlfn.XLOOKUP(Selectivo[[#This Row],[Vela]],_xlfn.NUMBERVALUE(SIL25v2[Sail '#]),SIL25v2[2]),"90 DNC")</f>
        <v>47</v>
      </c>
      <c r="X118" s="13" t="str" cm="1">
        <f t="array" ref="X118">IFERROR(_xlfn.XLOOKUP(Selectivo[[#This Row],[Vela]],_xlfn.NUMBERVALUE(SIL25v2[Sail '#]),SIL25v2[3]),"90 DNC")</f>
        <v>22</v>
      </c>
      <c r="Y118" s="13" t="str" cm="1">
        <f t="array" ref="Y118">IFERROR(_xlfn.XLOOKUP(Selectivo[[#This Row],[Vela]],_xlfn.NUMBERVALUE(SIL25v2[Sail '#]),SIL25v2[4]),"90 DNC")</f>
        <v>33</v>
      </c>
      <c r="Z118" s="13" t="str" cm="1">
        <f t="array" ref="Z118">IFERROR(_xlfn.XLOOKUP(Selectivo[[#This Row],[Vela]],_xlfn.NUMBERVALUE(SIL25v2[Sail '#]),SIL25v2[5]),"90 DNC")</f>
        <v>53</v>
      </c>
      <c r="AA118" s="13" t="str" cm="1">
        <f t="array" ref="AA118">IFERROR(_xlfn.XLOOKUP(Selectivo[[#This Row],[Vela]],_xlfn.NUMBERVALUE(SIL25v2[Sail '#]),SIL25v2[6]),"90 DNC")</f>
        <v>35</v>
      </c>
      <c r="AB118" s="8" cm="1">
        <f t="array" ref="AB118">SUM(IFERROR(VALUE(LEFT(Regatas, FIND(" ",Regatas&amp; " ") - 1)), 0))</f>
        <v>940</v>
      </c>
      <c r="AC118" s="9" cm="1">
        <f t="array" ref="AC11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733</v>
      </c>
      <c r="AD118" s="6">
        <f>SMALL(RegatasN,1)</f>
        <v>14</v>
      </c>
      <c r="AE118" s="6">
        <f>SMALL(RegatasN,2)</f>
        <v>21</v>
      </c>
      <c r="AF118" s="6">
        <f>SMALL(RegatasN,3)</f>
        <v>22</v>
      </c>
      <c r="AG118" s="5" cm="1">
        <f t="array" ref="AG118">COUNTIF(Regatas,SMALL(Regatas,1))</f>
        <v>1</v>
      </c>
      <c r="AH118" s="6" cm="1">
        <f t="array" ref="AH118">VALUE(LEFT(INDEX(Selectivo[#This Row],,MATCH(Selectivo[[#Headers],[Total]],Selectivo[#Headers],0)-1),SEARCH(" ",INDEX(Selectivo[#This Row],,MATCH(Selectivo[[#Headers],[Total]],Selectivo[#Headers],0)-1)&amp;" ")-1))</f>
        <v>35</v>
      </c>
    </row>
    <row r="119" spans="1:34" x14ac:dyDescent="0.25">
      <c r="A119">
        <v>52703564</v>
      </c>
      <c r="B119" s="10">
        <f>ROW()-ROW(Selectivo[[#Headers],[Pos]])</f>
        <v>113</v>
      </c>
      <c r="C119" s="5">
        <v>3527</v>
      </c>
      <c r="D119" t="s">
        <v>620</v>
      </c>
      <c r="E119" t="s">
        <v>26</v>
      </c>
      <c r="F119" s="13">
        <f>IFERROR(_xlfn.XLOOKUP(Selectivo[[#This Row],[DNI]],_SIY[DNI],_SIY[R1]),"78 DNC")</f>
        <v>43</v>
      </c>
      <c r="G119" s="13">
        <f>IFERROR(_xlfn.XLOOKUP(Selectivo[[#This Row],[DNI]],_SIY[DNI],_SIY[R2]),"78 DNC")</f>
        <v>31</v>
      </c>
      <c r="H119" s="13">
        <f>IFERROR(_xlfn.XLOOKUP(Selectivo[[#This Row],[DNI]],_SIY[DNI],_SIY[R3]),"78 DNC")</f>
        <v>39</v>
      </c>
      <c r="I119" s="13">
        <f>IFERROR(_xlfn.XLOOKUP(Selectivo[[#This Row],[DNI]],_SIY[DNI],_SIY[R4]),"78 DNC")</f>
        <v>47</v>
      </c>
      <c r="J119" s="13">
        <f>IFERROR(_xlfn.XLOOKUP(Selectivo[[#This Row],[DNI]],_SIY[DNI],_SIY[R5]),"78 DNC")</f>
        <v>43</v>
      </c>
      <c r="K119" s="13">
        <f>IFERROR(_xlfn.XLOOKUP(Selectivo[[#This Row],[DNI]],_SIY[DNI],_SIY[R6]),"78 DNC")</f>
        <v>42</v>
      </c>
      <c r="L119" s="13">
        <f>IFERROR(_xlfn.XLOOKUP(Selectivo[[#This Row],[DNI]],_SIY[DNI],_SIY[R7]),"78 DNC")</f>
        <v>37</v>
      </c>
      <c r="M119" s="13">
        <f>IFERROR(_xlfn.XLOOKUP(Selectivo[[#This Row],[DNI]],_SIY[DNI],_SIY[R8]),"78 DNC")</f>
        <v>26</v>
      </c>
      <c r="N119" s="13">
        <f>IFERROR(_xlfn.XLOOKUP(Selectivo[[#This Row],[DNI]],_SIY[DNI],_SIY[R9]),"78 DNC")</f>
        <v>45</v>
      </c>
      <c r="O119" s="13">
        <f>IFERROR(_xlfn.XLOOKUP(Selectivo[[#This Row],[DNI]],_SIY[DNI],_SIY[R10]),"78 DNC")</f>
        <v>28</v>
      </c>
      <c r="P119" s="13">
        <f>IFERROR(_xlfn.XLOOKUP(Selectivo[[#This Row],[DNI]],_VF2025[DNI],_VF2025[R1]),"70 DNC")</f>
        <v>51</v>
      </c>
      <c r="Q119" s="13">
        <f>IFERROR(_xlfn.XLOOKUP(Selectivo[[#This Row],[DNI]],_VF2025[DNI],_VF2025[R2]),"70 DNC")</f>
        <v>25</v>
      </c>
      <c r="R119" s="13">
        <f>IFERROR(_xlfn.XLOOKUP(Selectivo[[#This Row],[DNI]],_VF2025[DNI],_VF2025[R3]),"70 DNC")</f>
        <v>30</v>
      </c>
      <c r="S119" s="13">
        <f>IFERROR(_xlfn.XLOOKUP(Selectivo[[#This Row],[DNI]],_VF2025[DNI],_VF2025[R4]),"70 DNC")</f>
        <v>39</v>
      </c>
      <c r="T119" s="13">
        <f>IFERROR(_xlfn.XLOOKUP(Selectivo[[#This Row],[DNI]],_VF2025[DNI],_VF2025[R5]),"70 DNC")</f>
        <v>51</v>
      </c>
      <c r="U119" s="13">
        <f>IFERROR(_xlfn.XLOOKUP(Selectivo[[#This Row],[DNI]],_VF2025[DNI],_VF2025[R6]),"70 DNC")</f>
        <v>38</v>
      </c>
      <c r="V119" s="13" t="str" cm="1">
        <f t="array" ref="V119">IFERROR(_xlfn.XLOOKUP(Selectivo[[#This Row],[Vela]],_xlfn.NUMBERVALUE(SIL25v2[Sail '#]),SIL25v2[1]),"90 DNC")</f>
        <v>44</v>
      </c>
      <c r="W119" s="13" t="str" cm="1">
        <f t="array" ref="W119">IFERROR(_xlfn.XLOOKUP(Selectivo[[#This Row],[Vela]],_xlfn.NUMBERVALUE(SIL25v2[Sail '#]),SIL25v2[2]),"90 DNC")</f>
        <v>42</v>
      </c>
      <c r="X119" s="13" t="str" cm="1">
        <f t="array" ref="X119">IFERROR(_xlfn.XLOOKUP(Selectivo[[#This Row],[Vela]],_xlfn.NUMBERVALUE(SIL25v2[Sail '#]),SIL25v2[3]),"90 DNC")</f>
        <v>40</v>
      </c>
      <c r="Y119" s="12" t="str" cm="1">
        <f t="array" ref="Y119">IFERROR(_xlfn.XLOOKUP(Selectivo[[#This Row],[Vela]],_xlfn.NUMBERVALUE(SIL25v2[Sail '#]),SIL25v2[4]),"90 DNC")</f>
        <v>63</v>
      </c>
      <c r="Z119" s="12" t="str" cm="1">
        <f t="array" ref="Z119">IFERROR(_xlfn.XLOOKUP(Selectivo[[#This Row],[Vela]],_xlfn.NUMBERVALUE(SIL25v2[Sail '#]),SIL25v2[5]),"90 DNC")</f>
        <v>53</v>
      </c>
      <c r="AA119" s="12" t="str" cm="1">
        <f t="array" ref="AA119">IFERROR(_xlfn.XLOOKUP(Selectivo[[#This Row],[Vela]],_xlfn.NUMBERVALUE(SIL25v2[Sail '#]),SIL25v2[6]),"90 DNC")</f>
        <v>65</v>
      </c>
      <c r="AB119" s="8" cm="1">
        <f t="array" ref="AB119">SUM(IFERROR(VALUE(LEFT(Regatas, FIND(" ",Regatas&amp; " ") - 1)), 0))</f>
        <v>922</v>
      </c>
      <c r="AC119" s="9" cm="1">
        <f t="array" ref="AC11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741</v>
      </c>
      <c r="AD119" s="6">
        <f>SMALL(RegatasN,1)</f>
        <v>25</v>
      </c>
      <c r="AE119" s="6">
        <f>SMALL(RegatasN,2)</f>
        <v>26</v>
      </c>
      <c r="AF119" s="6">
        <f>SMALL(RegatasN,3)</f>
        <v>28</v>
      </c>
      <c r="AG119" s="5" cm="1">
        <f t="array" ref="AG119">COUNTIF(Regatas,SMALL(Regatas,1))</f>
        <v>1</v>
      </c>
      <c r="AH119" s="6" cm="1">
        <f t="array" ref="AH119">VALUE(LEFT(INDEX(Selectivo[#This Row],,MATCH(Selectivo[[#Headers],[Total]],Selectivo[#Headers],0)-1),SEARCH(" ",INDEX(Selectivo[#This Row],,MATCH(Selectivo[[#Headers],[Total]],Selectivo[#Headers],0)-1)&amp;" ")-1))</f>
        <v>65</v>
      </c>
    </row>
    <row r="120" spans="1:34" x14ac:dyDescent="0.25">
      <c r="A120">
        <v>50790994</v>
      </c>
      <c r="B120" s="10">
        <f>ROW()-ROW(Selectivo[[#Headers],[Pos]])</f>
        <v>114</v>
      </c>
      <c r="C120" s="5">
        <v>3701</v>
      </c>
      <c r="D120" t="s">
        <v>683</v>
      </c>
      <c r="E120" t="s">
        <v>17</v>
      </c>
      <c r="F120" s="13">
        <f>IFERROR(_xlfn.XLOOKUP(Selectivo[[#This Row],[DNI]],_SIY[DNI],_SIY[R1]),"78 DNC")</f>
        <v>16</v>
      </c>
      <c r="G120" s="13">
        <f>IFERROR(_xlfn.XLOOKUP(Selectivo[[#This Row],[DNI]],_SIY[DNI],_SIY[R2]),"78 DNC")</f>
        <v>36</v>
      </c>
      <c r="H120" s="13">
        <f>IFERROR(_xlfn.XLOOKUP(Selectivo[[#This Row],[DNI]],_SIY[DNI],_SIY[R3]),"78 DNC")</f>
        <v>18</v>
      </c>
      <c r="I120" s="13">
        <f>IFERROR(_xlfn.XLOOKUP(Selectivo[[#This Row],[DNI]],_SIY[DNI],_SIY[R4]),"78 DNC")</f>
        <v>13</v>
      </c>
      <c r="J120" s="13">
        <f>IFERROR(_xlfn.XLOOKUP(Selectivo[[#This Row],[DNI]],_SIY[DNI],_SIY[R5]),"78 DNC")</f>
        <v>44</v>
      </c>
      <c r="K120" s="13">
        <f>IFERROR(_xlfn.XLOOKUP(Selectivo[[#This Row],[DNI]],_SIY[DNI],_SIY[R6]),"78 DNC")</f>
        <v>32</v>
      </c>
      <c r="L120" s="13">
        <f>IFERROR(_xlfn.XLOOKUP(Selectivo[[#This Row],[DNI]],_SIY[DNI],_SIY[R7]),"78 DNC")</f>
        <v>44</v>
      </c>
      <c r="M120" s="13">
        <f>IFERROR(_xlfn.XLOOKUP(Selectivo[[#This Row],[DNI]],_SIY[DNI],_SIY[R8]),"78 DNC")</f>
        <v>27</v>
      </c>
      <c r="N120" s="13">
        <f>IFERROR(_xlfn.XLOOKUP(Selectivo[[#This Row],[DNI]],_SIY[DNI],_SIY[R9]),"78 DNC")</f>
        <v>34</v>
      </c>
      <c r="O120" s="12" t="str">
        <f>IFERROR(_xlfn.XLOOKUP(Selectivo[[#This Row],[DNI]],_SIY[DNI],_SIY[R10]),"78 DNC")</f>
        <v>77 BFD</v>
      </c>
      <c r="P120" s="12" t="str">
        <f>IFERROR(_xlfn.XLOOKUP(Selectivo[[#This Row],[DNI]],_VF2025[DNI],_VF2025[R1]),"70 DNC")</f>
        <v>70 DNF</v>
      </c>
      <c r="Q120" s="13">
        <f>IFERROR(_xlfn.XLOOKUP(Selectivo[[#This Row],[DNI]],_VF2025[DNI],_VF2025[R2]),"70 DNC")</f>
        <v>45</v>
      </c>
      <c r="R120" s="13">
        <f>IFERROR(_xlfn.XLOOKUP(Selectivo[[#This Row],[DNI]],_VF2025[DNI],_VF2025[R3]),"70 DNC")</f>
        <v>25</v>
      </c>
      <c r="S120" s="13" t="str">
        <f>IFERROR(_xlfn.XLOOKUP(Selectivo[[#This Row],[DNI]],_VF2025[DNI],_VF2025[R4]),"70 DNC")</f>
        <v>70 UFD</v>
      </c>
      <c r="T120" s="13" t="str">
        <f>IFERROR(_xlfn.XLOOKUP(Selectivo[[#This Row],[DNI]],_VF2025[DNI],_VF2025[R5]),"70 DNC")</f>
        <v>70 DNC</v>
      </c>
      <c r="U120" s="13" t="str">
        <f>IFERROR(_xlfn.XLOOKUP(Selectivo[[#This Row],[DNI]],_VF2025[DNI],_VF2025[R6]),"70 DNC")</f>
        <v>70 DNC</v>
      </c>
      <c r="V120" s="13" t="str" cm="1">
        <f t="array" ref="V120">IFERROR(_xlfn.XLOOKUP(Selectivo[[#This Row],[Vela]],_xlfn.NUMBERVALUE(SIL25v2[Sail '#]),SIL25v2[1]),"90 DNC")</f>
        <v>39</v>
      </c>
      <c r="W120" s="13" t="str" cm="1">
        <f t="array" ref="W120">IFERROR(_xlfn.XLOOKUP(Selectivo[[#This Row],[Vela]],_xlfn.NUMBERVALUE(SIL25v2[Sail '#]),SIL25v2[2]),"90 DNC")</f>
        <v>56</v>
      </c>
      <c r="X120" s="12" t="str" cm="1">
        <f t="array" ref="X120">IFERROR(_xlfn.XLOOKUP(Selectivo[[#This Row],[Vela]],_xlfn.NUMBERVALUE(SIL25v2[Sail '#]),SIL25v2[3]),"90 DNC")</f>
        <v>89 BFD</v>
      </c>
      <c r="Y120" s="13" t="str" cm="1">
        <f t="array" ref="Y120">IFERROR(_xlfn.XLOOKUP(Selectivo[[#This Row],[Vela]],_xlfn.NUMBERVALUE(SIL25v2[Sail '#]),SIL25v2[4]),"90 DNC")</f>
        <v>62</v>
      </c>
      <c r="Z120" s="13" t="str" cm="1">
        <f t="array" ref="Z120">IFERROR(_xlfn.XLOOKUP(Selectivo[[#This Row],[Vela]],_xlfn.NUMBERVALUE(SIL25v2[Sail '#]),SIL25v2[5]),"90 DNC")</f>
        <v>25</v>
      </c>
      <c r="AA120" s="13" t="str" cm="1">
        <f t="array" ref="AA120">IFERROR(_xlfn.XLOOKUP(Selectivo[[#This Row],[Vela]],_xlfn.NUMBERVALUE(SIL25v2[Sail '#]),SIL25v2[6]),"90 DNC")</f>
        <v>28</v>
      </c>
      <c r="AB120" s="8" cm="1">
        <f t="array" ref="AB120">SUM(IFERROR(VALUE(LEFT(Regatas, FIND(" ",Regatas&amp; " ") - 1)), 0))</f>
        <v>990</v>
      </c>
      <c r="AC120" s="9" cm="1">
        <f t="array" ref="AC12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754</v>
      </c>
      <c r="AD120" s="6">
        <f>SMALL(RegatasN,1)</f>
        <v>13</v>
      </c>
      <c r="AE120" s="6">
        <f>SMALL(RegatasN,2)</f>
        <v>16</v>
      </c>
      <c r="AF120" s="6">
        <f>SMALL(RegatasN,3)</f>
        <v>18</v>
      </c>
      <c r="AG120" s="5" cm="1">
        <f t="array" ref="AG120">COUNTIF(Regatas,SMALL(Regatas,1))</f>
        <v>1</v>
      </c>
      <c r="AH120" s="6" cm="1">
        <f t="array" ref="AH120">VALUE(LEFT(INDEX(Selectivo[#This Row],,MATCH(Selectivo[[#Headers],[Total]],Selectivo[#Headers],0)-1),SEARCH(" ",INDEX(Selectivo[#This Row],,MATCH(Selectivo[[#Headers],[Total]],Selectivo[#Headers],0)-1)&amp;" ")-1))</f>
        <v>28</v>
      </c>
    </row>
    <row r="121" spans="1:34" x14ac:dyDescent="0.25">
      <c r="A121">
        <v>50311786</v>
      </c>
      <c r="B121" s="10">
        <f>ROW()-ROW(Selectivo[[#Headers],[Pos]])</f>
        <v>115</v>
      </c>
      <c r="C121" s="5">
        <v>4079</v>
      </c>
      <c r="D121" t="s">
        <v>742</v>
      </c>
      <c r="E121" t="s">
        <v>79</v>
      </c>
      <c r="F121" s="13">
        <f>IFERROR(_xlfn.XLOOKUP(Selectivo[[#This Row],[DNI]],_SIY[DNI],_SIY[R1]),"78 DNC")</f>
        <v>14</v>
      </c>
      <c r="G121" s="13">
        <f>IFERROR(_xlfn.XLOOKUP(Selectivo[[#This Row],[DNI]],_SIY[DNI],_SIY[R2]),"78 DNC")</f>
        <v>34</v>
      </c>
      <c r="H121" s="13">
        <f>IFERROR(_xlfn.XLOOKUP(Selectivo[[#This Row],[DNI]],_SIY[DNI],_SIY[R3]),"78 DNC")</f>
        <v>25</v>
      </c>
      <c r="I121" s="12" t="str">
        <f>IFERROR(_xlfn.XLOOKUP(Selectivo[[#This Row],[DNI]],_SIY[DNI],_SIY[R4]),"78 DNC")</f>
        <v>77 DNC</v>
      </c>
      <c r="J121" s="12" t="str">
        <f>IFERROR(_xlfn.XLOOKUP(Selectivo[[#This Row],[DNI]],_SIY[DNI],_SIY[R5]),"78 DNC")</f>
        <v>77 DNC</v>
      </c>
      <c r="K121" s="13" t="str">
        <f>IFERROR(_xlfn.XLOOKUP(Selectivo[[#This Row],[DNI]],_SIY[DNI],_SIY[R6]),"78 DNC")</f>
        <v>77 DNC</v>
      </c>
      <c r="L121" s="13">
        <f>IFERROR(_xlfn.XLOOKUP(Selectivo[[#This Row],[DNI]],_SIY[DNI],_SIY[R7]),"78 DNC")</f>
        <v>28</v>
      </c>
      <c r="M121" s="13">
        <f>IFERROR(_xlfn.XLOOKUP(Selectivo[[#This Row],[DNI]],_SIY[DNI],_SIY[R8]),"78 DNC")</f>
        <v>11</v>
      </c>
      <c r="N121" s="13" t="str">
        <f>IFERROR(_xlfn.XLOOKUP(Selectivo[[#This Row],[DNI]],_SIY[DNI],_SIY[R9]),"78 DNC")</f>
        <v>18 SP1</v>
      </c>
      <c r="O121" s="13" t="str">
        <f>IFERROR(_xlfn.XLOOKUP(Selectivo[[#This Row],[DNI]],_SIY[DNI],_SIY[R10]),"78 DNC")</f>
        <v>12 SP1</v>
      </c>
      <c r="P121" s="13" t="str">
        <f>IFERROR(_xlfn.XLOOKUP(Selectivo[[#This Row],[DNI]],_VF2025[DNI],_VF2025[R1]),"70 DNC")</f>
        <v>70 DNC</v>
      </c>
      <c r="Q121" s="13" t="str">
        <f>IFERROR(_xlfn.XLOOKUP(Selectivo[[#This Row],[DNI]],_VF2025[DNI],_VF2025[R2]),"70 DNC")</f>
        <v>70 DNC</v>
      </c>
      <c r="R121" s="13" t="str">
        <f>IFERROR(_xlfn.XLOOKUP(Selectivo[[#This Row],[DNI]],_VF2025[DNI],_VF2025[R3]),"70 DNC")</f>
        <v>70 DNC</v>
      </c>
      <c r="S121" s="13" t="str">
        <f>IFERROR(_xlfn.XLOOKUP(Selectivo[[#This Row],[DNI]],_VF2025[DNI],_VF2025[R4]),"70 DNC")</f>
        <v>70 DNC</v>
      </c>
      <c r="T121" s="13" t="str">
        <f>IFERROR(_xlfn.XLOOKUP(Selectivo[[#This Row],[DNI]],_VF2025[DNI],_VF2025[R5]),"70 DNC")</f>
        <v>70 DNC</v>
      </c>
      <c r="U121" s="13" t="str">
        <f>IFERROR(_xlfn.XLOOKUP(Selectivo[[#This Row],[DNI]],_VF2025[DNI],_VF2025[R6]),"70 DNC")</f>
        <v>70 DNC</v>
      </c>
      <c r="V121" s="13" t="str" cm="1">
        <f t="array" ref="V121">IFERROR(_xlfn.XLOOKUP(Selectivo[[#This Row],[Vela]],_xlfn.NUMBERVALUE(SIL25v2[Sail '#]),SIL25v2[1]),"90 DNC")</f>
        <v>53</v>
      </c>
      <c r="W121" s="13" t="str" cm="1">
        <f t="array" ref="W121">IFERROR(_xlfn.XLOOKUP(Selectivo[[#This Row],[Vela]],_xlfn.NUMBERVALUE(SIL25v2[Sail '#]),SIL25v2[2]),"90 DNC")</f>
        <v>8</v>
      </c>
      <c r="X121" s="12" t="str" cm="1">
        <f t="array" ref="X121">IFERROR(_xlfn.XLOOKUP(Selectivo[[#This Row],[Vela]],_xlfn.NUMBERVALUE(SIL25v2[Sail '#]),SIL25v2[3]),"90 DNC")</f>
        <v>89 BFD</v>
      </c>
      <c r="Y121" s="13" t="str" cm="1">
        <f t="array" ref="Y121">IFERROR(_xlfn.XLOOKUP(Selectivo[[#This Row],[Vela]],_xlfn.NUMBERVALUE(SIL25v2[Sail '#]),SIL25v2[4]),"90 DNC")</f>
        <v>18</v>
      </c>
      <c r="Z121" s="13" t="str" cm="1">
        <f t="array" ref="Z121">IFERROR(_xlfn.XLOOKUP(Selectivo[[#This Row],[Vela]],_xlfn.NUMBERVALUE(SIL25v2[Sail '#]),SIL25v2[5]),"90 DNC")</f>
        <v>26</v>
      </c>
      <c r="AA121" s="13" t="str" cm="1">
        <f t="array" ref="AA121">IFERROR(_xlfn.XLOOKUP(Selectivo[[#This Row],[Vela]],_xlfn.NUMBERVALUE(SIL25v2[Sail '#]),SIL25v2[6]),"90 DNC")</f>
        <v>15</v>
      </c>
      <c r="AB121" s="8" cm="1">
        <f t="array" ref="AB121">SUM(IFERROR(VALUE(LEFT(Regatas, FIND(" ",Regatas&amp; " ") - 1)), 0))</f>
        <v>1002</v>
      </c>
      <c r="AC121" s="9" cm="1">
        <f t="array" ref="AC12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759</v>
      </c>
      <c r="AD121" s="6">
        <f>SMALL(RegatasN,1)</f>
        <v>8</v>
      </c>
      <c r="AE121" s="6">
        <f>SMALL(RegatasN,2)</f>
        <v>11</v>
      </c>
      <c r="AF121" s="6">
        <f>SMALL(RegatasN,3)</f>
        <v>12</v>
      </c>
      <c r="AG121" s="5" cm="1">
        <f t="array" ref="AG121">COUNTIF(Regatas,SMALL(Regatas,1))</f>
        <v>1</v>
      </c>
      <c r="AH121" s="6" cm="1">
        <f t="array" ref="AH121">VALUE(LEFT(INDEX(Selectivo[#This Row],,MATCH(Selectivo[[#Headers],[Total]],Selectivo[#Headers],0)-1),SEARCH(" ",INDEX(Selectivo[#This Row],,MATCH(Selectivo[[#Headers],[Total]],Selectivo[#Headers],0)-1)&amp;" ")-1))</f>
        <v>15</v>
      </c>
    </row>
    <row r="122" spans="1:34" x14ac:dyDescent="0.25">
      <c r="A122">
        <v>50240962</v>
      </c>
      <c r="B122" s="10">
        <f>ROW()-ROW(Selectivo[[#Headers],[Pos]])</f>
        <v>116</v>
      </c>
      <c r="C122" s="5">
        <v>3984</v>
      </c>
      <c r="D122" t="s">
        <v>606</v>
      </c>
      <c r="E122" t="s">
        <v>8</v>
      </c>
      <c r="F122" s="13">
        <f>IFERROR(_xlfn.XLOOKUP(Selectivo[[#This Row],[DNI]],_SIY[DNI],_SIY[R1]),"78 DNC")</f>
        <v>61</v>
      </c>
      <c r="G122" s="12" t="str">
        <f>IFERROR(_xlfn.XLOOKUP(Selectivo[[#This Row],[DNI]],_SIY[DNI],_SIY[R2]),"78 DNC")</f>
        <v>77 BFD</v>
      </c>
      <c r="H122" s="13">
        <f>IFERROR(_xlfn.XLOOKUP(Selectivo[[#This Row],[DNI]],_SIY[DNI],_SIY[R3]),"78 DNC")</f>
        <v>48</v>
      </c>
      <c r="I122" s="13">
        <f>IFERROR(_xlfn.XLOOKUP(Selectivo[[#This Row],[DNI]],_SIY[DNI],_SIY[R4]),"78 DNC")</f>
        <v>54</v>
      </c>
      <c r="J122" s="12" t="str">
        <f>IFERROR(_xlfn.XLOOKUP(Selectivo[[#This Row],[DNI]],_SIY[DNI],_SIY[R5]),"78 DNC")</f>
        <v>77 DNC</v>
      </c>
      <c r="K122" s="12" t="str">
        <f>IFERROR(_xlfn.XLOOKUP(Selectivo[[#This Row],[DNI]],_SIY[DNI],_SIY[R6]),"78 DNC")</f>
        <v>77 DNC</v>
      </c>
      <c r="L122" s="13">
        <f>IFERROR(_xlfn.XLOOKUP(Selectivo[[#This Row],[DNI]],_SIY[DNI],_SIY[R7]),"78 DNC")</f>
        <v>52</v>
      </c>
      <c r="M122" s="13">
        <f>IFERROR(_xlfn.XLOOKUP(Selectivo[[#This Row],[DNI]],_SIY[DNI],_SIY[R8]),"78 DNC")</f>
        <v>42</v>
      </c>
      <c r="N122" s="13" t="str">
        <f>IFERROR(_xlfn.XLOOKUP(Selectivo[[#This Row],[DNI]],_SIY[DNI],_SIY[R9]),"78 DNC")</f>
        <v>24 SP1</v>
      </c>
      <c r="O122" s="13" t="str">
        <f>IFERROR(_xlfn.XLOOKUP(Selectivo[[#This Row],[DNI]],_SIY[DNI],_SIY[R10]),"78 DNC")</f>
        <v>41 SP1</v>
      </c>
      <c r="P122" s="13">
        <f>IFERROR(_xlfn.XLOOKUP(Selectivo[[#This Row],[DNI]],_VF2025[DNI],_VF2025[R1]),"70 DNC")</f>
        <v>21</v>
      </c>
      <c r="Q122" s="13">
        <f>IFERROR(_xlfn.XLOOKUP(Selectivo[[#This Row],[DNI]],_VF2025[DNI],_VF2025[R2]),"70 DNC")</f>
        <v>39</v>
      </c>
      <c r="R122" s="13">
        <f>IFERROR(_xlfn.XLOOKUP(Selectivo[[#This Row],[DNI]],_VF2025[DNI],_VF2025[R3]),"70 DNC")</f>
        <v>38</v>
      </c>
      <c r="S122" s="13">
        <f>IFERROR(_xlfn.XLOOKUP(Selectivo[[#This Row],[DNI]],_VF2025[DNI],_VF2025[R4]),"70 DNC")</f>
        <v>19</v>
      </c>
      <c r="T122" s="13">
        <f>IFERROR(_xlfn.XLOOKUP(Selectivo[[#This Row],[DNI]],_VF2025[DNI],_VF2025[R5]),"70 DNC")</f>
        <v>30</v>
      </c>
      <c r="U122" s="13">
        <f>IFERROR(_xlfn.XLOOKUP(Selectivo[[#This Row],[DNI]],_VF2025[DNI],_VF2025[R6]),"70 DNC")</f>
        <v>35</v>
      </c>
      <c r="V122" s="13" t="str" cm="1">
        <f t="array" ref="V122">IFERROR(_xlfn.XLOOKUP(Selectivo[[#This Row],[Vela]],_xlfn.NUMBERVALUE(SIL25v2[Sail '#]),SIL25v2[1]),"90 DNC")</f>
        <v>31</v>
      </c>
      <c r="W122" s="13" t="str" cm="1">
        <f t="array" ref="W122">IFERROR(_xlfn.XLOOKUP(Selectivo[[#This Row],[Vela]],_xlfn.NUMBERVALUE(SIL25v2[Sail '#]),SIL25v2[2]),"90 DNC")</f>
        <v>46</v>
      </c>
      <c r="X122" s="13" t="str" cm="1">
        <f t="array" ref="X122">IFERROR(_xlfn.XLOOKUP(Selectivo[[#This Row],[Vela]],_xlfn.NUMBERVALUE(SIL25v2[Sail '#]),SIL25v2[3]),"90 DNC")</f>
        <v>35</v>
      </c>
      <c r="Y122" s="13" t="str" cm="1">
        <f t="array" ref="Y122">IFERROR(_xlfn.XLOOKUP(Selectivo[[#This Row],[Vela]],_xlfn.NUMBERVALUE(SIL25v2[Sail '#]),SIL25v2[4]),"90 DNC")</f>
        <v>59</v>
      </c>
      <c r="Z122" s="13" t="str" cm="1">
        <f t="array" ref="Z122">IFERROR(_xlfn.XLOOKUP(Selectivo[[#This Row],[Vela]],_xlfn.NUMBERVALUE(SIL25v2[Sail '#]),SIL25v2[5]),"90 DNC")</f>
        <v>29</v>
      </c>
      <c r="AA122" s="13" t="str" cm="1">
        <f t="array" ref="AA122">IFERROR(_xlfn.XLOOKUP(Selectivo[[#This Row],[Vela]],_xlfn.NUMBERVALUE(SIL25v2[Sail '#]),SIL25v2[6]),"90 DNC")</f>
        <v>55</v>
      </c>
      <c r="AB122" s="8" cm="1">
        <f t="array" ref="AB122">SUM(IFERROR(VALUE(LEFT(Regatas, FIND(" ",Regatas&amp; " ") - 1)), 0))</f>
        <v>990</v>
      </c>
      <c r="AC122" s="9" cm="1">
        <f t="array" ref="AC12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759</v>
      </c>
      <c r="AD122" s="6">
        <f>SMALL(RegatasN,1)</f>
        <v>19</v>
      </c>
      <c r="AE122" s="6">
        <f>SMALL(RegatasN,2)</f>
        <v>21</v>
      </c>
      <c r="AF122" s="6">
        <f>SMALL(RegatasN,3)</f>
        <v>24</v>
      </c>
      <c r="AG122" s="5" cm="1">
        <f t="array" ref="AG122">COUNTIF(Regatas,SMALL(Regatas,1))</f>
        <v>1</v>
      </c>
      <c r="AH122" s="6" cm="1">
        <f t="array" ref="AH122">VALUE(LEFT(INDEX(Selectivo[#This Row],,MATCH(Selectivo[[#Headers],[Total]],Selectivo[#Headers],0)-1),SEARCH(" ",INDEX(Selectivo[#This Row],,MATCH(Selectivo[[#Headers],[Total]],Selectivo[#Headers],0)-1)&amp;" ")-1))</f>
        <v>55</v>
      </c>
    </row>
    <row r="123" spans="1:34" x14ac:dyDescent="0.25">
      <c r="A123">
        <v>50988984</v>
      </c>
      <c r="B123" s="10">
        <f>ROW()-ROW(Selectivo[[#Headers],[Pos]])</f>
        <v>117</v>
      </c>
      <c r="C123" s="5">
        <v>4095</v>
      </c>
      <c r="D123" t="s">
        <v>635</v>
      </c>
      <c r="E123" t="s">
        <v>39</v>
      </c>
      <c r="F123" s="13">
        <f>IFERROR(_xlfn.XLOOKUP(Selectivo[[#This Row],[DNI]],_SIY[DNI],_SIY[R1]),"78 DNC")</f>
        <v>40</v>
      </c>
      <c r="G123" s="13">
        <f>IFERROR(_xlfn.XLOOKUP(Selectivo[[#This Row],[DNI]],_SIY[DNI],_SIY[R2]),"78 DNC")</f>
        <v>47</v>
      </c>
      <c r="H123" s="13">
        <f>IFERROR(_xlfn.XLOOKUP(Selectivo[[#This Row],[DNI]],_SIY[DNI],_SIY[R3]),"78 DNC")</f>
        <v>36</v>
      </c>
      <c r="I123" s="13">
        <f>IFERROR(_xlfn.XLOOKUP(Selectivo[[#This Row],[DNI]],_SIY[DNI],_SIY[R4]),"78 DNC")</f>
        <v>24</v>
      </c>
      <c r="J123" s="13">
        <f>IFERROR(_xlfn.XLOOKUP(Selectivo[[#This Row],[DNI]],_SIY[DNI],_SIY[R5]),"78 DNC")</f>
        <v>36</v>
      </c>
      <c r="K123" s="13">
        <f>IFERROR(_xlfn.XLOOKUP(Selectivo[[#This Row],[DNI]],_SIY[DNI],_SIY[R6]),"78 DNC")</f>
        <v>34</v>
      </c>
      <c r="L123" s="13">
        <f>IFERROR(_xlfn.XLOOKUP(Selectivo[[#This Row],[DNI]],_SIY[DNI],_SIY[R7]),"78 DNC")</f>
        <v>31</v>
      </c>
      <c r="M123" s="13">
        <f>IFERROR(_xlfn.XLOOKUP(Selectivo[[#This Row],[DNI]],_SIY[DNI],_SIY[R8]),"78 DNC")</f>
        <v>34</v>
      </c>
      <c r="N123" s="13">
        <f>IFERROR(_xlfn.XLOOKUP(Selectivo[[#This Row],[DNI]],_SIY[DNI],_SIY[R9]),"78 DNC")</f>
        <v>37</v>
      </c>
      <c r="O123" s="13">
        <f>IFERROR(_xlfn.XLOOKUP(Selectivo[[#This Row],[DNI]],_SIY[DNI],_SIY[R10]),"78 DNC")</f>
        <v>48</v>
      </c>
      <c r="P123" s="13" t="str">
        <f>IFERROR(_xlfn.XLOOKUP(Selectivo[[#This Row],[DNI]],_VF2025[DNI],_VF2025[R1]),"70 DNC")</f>
        <v>70 DNF</v>
      </c>
      <c r="Q123" s="13">
        <f>IFERROR(_xlfn.XLOOKUP(Selectivo[[#This Row],[DNI]],_VF2025[DNI],_VF2025[R2]),"70 DNC")</f>
        <v>53</v>
      </c>
      <c r="R123" s="13">
        <f>IFERROR(_xlfn.XLOOKUP(Selectivo[[#This Row],[DNI]],_VF2025[DNI],_VF2025[R3]),"70 DNC")</f>
        <v>52</v>
      </c>
      <c r="S123" s="13">
        <f>IFERROR(_xlfn.XLOOKUP(Selectivo[[#This Row],[DNI]],_VF2025[DNI],_VF2025[R4]),"70 DNC")</f>
        <v>52</v>
      </c>
      <c r="T123" s="13">
        <f>IFERROR(_xlfn.XLOOKUP(Selectivo[[#This Row],[DNI]],_VF2025[DNI],_VF2025[R5]),"70 DNC")</f>
        <v>31</v>
      </c>
      <c r="U123" s="13">
        <f>IFERROR(_xlfn.XLOOKUP(Selectivo[[#This Row],[DNI]],_VF2025[DNI],_VF2025[R6]),"70 DNC")</f>
        <v>34</v>
      </c>
      <c r="V123" s="13" t="str" cm="1">
        <f t="array" ref="V123">IFERROR(_xlfn.XLOOKUP(Selectivo[[#This Row],[Vela]],_xlfn.NUMBERVALUE(SIL25v2[Sail '#]),SIL25v2[1]),"90 DNC")</f>
        <v>40</v>
      </c>
      <c r="W123" s="13" t="str" cm="1">
        <f t="array" ref="W123">IFERROR(_xlfn.XLOOKUP(Selectivo[[#This Row],[Vela]],_xlfn.NUMBERVALUE(SIL25v2[Sail '#]),SIL25v2[2]),"90 DNC")</f>
        <v>48</v>
      </c>
      <c r="X123" s="13" t="str" cm="1">
        <f t="array" ref="X123">IFERROR(_xlfn.XLOOKUP(Selectivo[[#This Row],[Vela]],_xlfn.NUMBERVALUE(SIL25v2[Sail '#]),SIL25v2[3]),"90 DNC")</f>
        <v>37</v>
      </c>
      <c r="Y123" s="12" t="str" cm="1">
        <f t="array" ref="Y123">IFERROR(_xlfn.XLOOKUP(Selectivo[[#This Row],[Vela]],_xlfn.NUMBERVALUE(SIL25v2[Sail '#]),SIL25v2[4]),"90 DNC")</f>
        <v>89 DNS</v>
      </c>
      <c r="Z123" s="12" t="str" cm="1">
        <f t="array" ref="Z123">IFERROR(_xlfn.XLOOKUP(Selectivo[[#This Row],[Vela]],_xlfn.NUMBERVALUE(SIL25v2[Sail '#]),SIL25v2[5]),"90 DNC")</f>
        <v>89 DNS</v>
      </c>
      <c r="AA123" s="12" t="str" cm="1">
        <f t="array" ref="AA123">IFERROR(_xlfn.XLOOKUP(Selectivo[[#This Row],[Vela]],_xlfn.NUMBERVALUE(SIL25v2[Sail '#]),SIL25v2[6]),"90 DNC")</f>
        <v>89 DNS</v>
      </c>
      <c r="AB123" s="8" cm="1">
        <f t="array" ref="AB123">SUM(IFERROR(VALUE(LEFT(Regatas, FIND(" ",Regatas&amp; " ") - 1)), 0))</f>
        <v>1051</v>
      </c>
      <c r="AC123" s="9" cm="1">
        <f t="array" ref="AC12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784</v>
      </c>
      <c r="AD123" s="6">
        <f>SMALL(RegatasN,1)</f>
        <v>24</v>
      </c>
      <c r="AE123" s="6">
        <f>SMALL(RegatasN,2)</f>
        <v>31</v>
      </c>
      <c r="AF123" s="6">
        <f>SMALL(RegatasN,3)</f>
        <v>31</v>
      </c>
      <c r="AG123" s="5" cm="1">
        <f t="array" ref="AG123">COUNTIF(Regatas,SMALL(Regatas,1))</f>
        <v>1</v>
      </c>
      <c r="AH123" s="6" cm="1">
        <f t="array" ref="AH123">VALUE(LEFT(INDEX(Selectivo[#This Row],,MATCH(Selectivo[[#Headers],[Total]],Selectivo[#Headers],0)-1),SEARCH(" ",INDEX(Selectivo[#This Row],,MATCH(Selectivo[[#Headers],[Total]],Selectivo[#Headers],0)-1)&amp;" ")-1))</f>
        <v>89</v>
      </c>
    </row>
    <row r="124" spans="1:34" x14ac:dyDescent="0.25">
      <c r="A124">
        <v>54627320</v>
      </c>
      <c r="B124" s="10">
        <f>ROW()-ROW(Selectivo[[#Headers],[Pos]])</f>
        <v>118</v>
      </c>
      <c r="C124" s="5">
        <v>4195</v>
      </c>
      <c r="D124" t="s">
        <v>637</v>
      </c>
      <c r="E124" t="s">
        <v>16</v>
      </c>
      <c r="F124" s="13">
        <f>IFERROR(_xlfn.XLOOKUP(Selectivo[[#This Row],[DNI]],_SIY[DNI],_SIY[R1]),"78 DNC")</f>
        <v>46</v>
      </c>
      <c r="G124" s="13" t="str">
        <f>IFERROR(_xlfn.XLOOKUP(Selectivo[[#This Row],[DNI]],_SIY[DNI],_SIY[R2]),"78 DNC")</f>
        <v>77 BFD</v>
      </c>
      <c r="H124" s="13">
        <f>IFERROR(_xlfn.XLOOKUP(Selectivo[[#This Row],[DNI]],_SIY[DNI],_SIY[R3]),"78 DNC")</f>
        <v>44</v>
      </c>
      <c r="I124" s="13">
        <f>IFERROR(_xlfn.XLOOKUP(Selectivo[[#This Row],[DNI]],_SIY[DNI],_SIY[R4]),"78 DNC")</f>
        <v>45</v>
      </c>
      <c r="J124" s="13">
        <f>IFERROR(_xlfn.XLOOKUP(Selectivo[[#This Row],[DNI]],_SIY[DNI],_SIY[R5]),"78 DNC")</f>
        <v>33</v>
      </c>
      <c r="K124" s="13">
        <f>IFERROR(_xlfn.XLOOKUP(Selectivo[[#This Row],[DNI]],_SIY[DNI],_SIY[R6]),"78 DNC")</f>
        <v>44</v>
      </c>
      <c r="L124" s="13">
        <f>IFERROR(_xlfn.XLOOKUP(Selectivo[[#This Row],[DNI]],_SIY[DNI],_SIY[R7]),"78 DNC")</f>
        <v>40</v>
      </c>
      <c r="M124" s="13">
        <f>IFERROR(_xlfn.XLOOKUP(Selectivo[[#This Row],[DNI]],_SIY[DNI],_SIY[R8]),"78 DNC")</f>
        <v>11</v>
      </c>
      <c r="N124" s="13">
        <f>IFERROR(_xlfn.XLOOKUP(Selectivo[[#This Row],[DNI]],_SIY[DNI],_SIY[R9]),"78 DNC")</f>
        <v>48</v>
      </c>
      <c r="O124" s="13" t="str">
        <f>IFERROR(_xlfn.XLOOKUP(Selectivo[[#This Row],[DNI]],_SIY[DNI],_SIY[R10]),"78 DNC")</f>
        <v>77 BFD</v>
      </c>
      <c r="P124" s="13">
        <f>IFERROR(_xlfn.XLOOKUP(Selectivo[[#This Row],[DNI]],_VF2025[DNI],_VF2025[R1]),"70 DNC")</f>
        <v>17</v>
      </c>
      <c r="Q124" s="13">
        <f>IFERROR(_xlfn.XLOOKUP(Selectivo[[#This Row],[DNI]],_VF2025[DNI],_VF2025[R2]),"70 DNC")</f>
        <v>32</v>
      </c>
      <c r="R124" s="13">
        <f>IFERROR(_xlfn.XLOOKUP(Selectivo[[#This Row],[DNI]],_VF2025[DNI],_VF2025[R3]),"70 DNC")</f>
        <v>46</v>
      </c>
      <c r="S124" s="13">
        <f>IFERROR(_xlfn.XLOOKUP(Selectivo[[#This Row],[DNI]],_VF2025[DNI],_VF2025[R4]),"70 DNC")</f>
        <v>34</v>
      </c>
      <c r="T124" s="13">
        <f>IFERROR(_xlfn.XLOOKUP(Selectivo[[#This Row],[DNI]],_VF2025[DNI],_VF2025[R5]),"70 DNC")</f>
        <v>37</v>
      </c>
      <c r="U124" s="13" t="str">
        <f>IFERROR(_xlfn.XLOOKUP(Selectivo[[#This Row],[DNI]],_VF2025[DNI],_VF2025[R6]),"70 DNC")</f>
        <v>70 BFD</v>
      </c>
      <c r="V124" s="12" t="str" cm="1">
        <f t="array" ref="V124">IFERROR(_xlfn.XLOOKUP(Selectivo[[#This Row],[Vela]],_xlfn.NUMBERVALUE(SIL25v2[Sail '#]),SIL25v2[1]),"90 DNC")</f>
        <v>89 BFD</v>
      </c>
      <c r="W124" s="13" t="str" cm="1">
        <f t="array" ref="W124">IFERROR(_xlfn.XLOOKUP(Selectivo[[#This Row],[Vela]],_xlfn.NUMBERVALUE(SIL25v2[Sail '#]),SIL25v2[2]),"90 DNC")</f>
        <v>67 DPI</v>
      </c>
      <c r="X124" s="13" t="str" cm="1">
        <f t="array" ref="X124">IFERROR(_xlfn.XLOOKUP(Selectivo[[#This Row],[Vela]],_xlfn.NUMBERVALUE(SIL25v2[Sail '#]),SIL25v2[3]),"90 DNC")</f>
        <v>11</v>
      </c>
      <c r="Y124" s="13" t="str" cm="1">
        <f t="array" ref="Y124">IFERROR(_xlfn.XLOOKUP(Selectivo[[#This Row],[Vela]],_xlfn.NUMBERVALUE(SIL25v2[Sail '#]),SIL25v2[4]),"90 DNC")</f>
        <v>22</v>
      </c>
      <c r="Z124" s="12" t="str" cm="1">
        <f t="array" ref="Z124">IFERROR(_xlfn.XLOOKUP(Selectivo[[#This Row],[Vela]],_xlfn.NUMBERVALUE(SIL25v2[Sail '#]),SIL25v2[5]),"90 DNC")</f>
        <v>89 BFD</v>
      </c>
      <c r="AA124" s="12" t="str" cm="1">
        <f t="array" ref="AA124">IFERROR(_xlfn.XLOOKUP(Selectivo[[#This Row],[Vela]],_xlfn.NUMBERVALUE(SIL25v2[Sail '#]),SIL25v2[6]),"90 DNC")</f>
        <v>89 BFD</v>
      </c>
      <c r="AB124" s="8" cm="1">
        <f t="array" ref="AB124">SUM(IFERROR(VALUE(LEFT(Regatas, FIND(" ",Regatas&amp; " ") - 1)), 0))</f>
        <v>1068</v>
      </c>
      <c r="AC124" s="9" cm="1">
        <f t="array" ref="AC12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801</v>
      </c>
      <c r="AD124" s="6">
        <f>SMALL(RegatasN,1)</f>
        <v>11</v>
      </c>
      <c r="AE124" s="6">
        <f>SMALL(RegatasN,2)</f>
        <v>11</v>
      </c>
      <c r="AF124" s="6">
        <f>SMALL(RegatasN,3)</f>
        <v>17</v>
      </c>
      <c r="AG124" s="5" cm="1">
        <f t="array" ref="AG124">COUNTIF(Regatas,SMALL(Regatas,1))</f>
        <v>2</v>
      </c>
      <c r="AH124" s="6" cm="1">
        <f t="array" ref="AH124">VALUE(LEFT(INDEX(Selectivo[#This Row],,MATCH(Selectivo[[#Headers],[Total]],Selectivo[#Headers],0)-1),SEARCH(" ",INDEX(Selectivo[#This Row],,MATCH(Selectivo[[#Headers],[Total]],Selectivo[#Headers],0)-1)&amp;" ")-1))</f>
        <v>89</v>
      </c>
    </row>
    <row r="125" spans="1:34" x14ac:dyDescent="0.25">
      <c r="A125">
        <v>53083955</v>
      </c>
      <c r="B125" s="10">
        <f>ROW()-ROW(Selectivo[[#Headers],[Pos]])</f>
        <v>119</v>
      </c>
      <c r="C125" s="5">
        <v>3872</v>
      </c>
      <c r="D125" t="s">
        <v>648</v>
      </c>
      <c r="E125" t="s">
        <v>5</v>
      </c>
      <c r="F125" s="13">
        <f>IFERROR(_xlfn.XLOOKUP(Selectivo[[#This Row],[DNI]],_SIY[DNI],_SIY[R1]),"78 DNC")</f>
        <v>55</v>
      </c>
      <c r="G125" s="13">
        <f>IFERROR(_xlfn.XLOOKUP(Selectivo[[#This Row],[DNI]],_SIY[DNI],_SIY[R2]),"78 DNC")</f>
        <v>58</v>
      </c>
      <c r="H125" s="12">
        <f>IFERROR(_xlfn.XLOOKUP(Selectivo[[#This Row],[DNI]],_SIY[DNI],_SIY[R3]),"78 DNC")</f>
        <v>67</v>
      </c>
      <c r="I125" s="13">
        <f>IFERROR(_xlfn.XLOOKUP(Selectivo[[#This Row],[DNI]],_SIY[DNI],_SIY[R4]),"78 DNC")</f>
        <v>35</v>
      </c>
      <c r="J125" s="13">
        <f>IFERROR(_xlfn.XLOOKUP(Selectivo[[#This Row],[DNI]],_SIY[DNI],_SIY[R5]),"78 DNC")</f>
        <v>49</v>
      </c>
      <c r="K125" s="13">
        <f>IFERROR(_xlfn.XLOOKUP(Selectivo[[#This Row],[DNI]],_SIY[DNI],_SIY[R6]),"78 DNC")</f>
        <v>51</v>
      </c>
      <c r="L125" s="13">
        <f>IFERROR(_xlfn.XLOOKUP(Selectivo[[#This Row],[DNI]],_SIY[DNI],_SIY[R7]),"78 DNC")</f>
        <v>58</v>
      </c>
      <c r="M125" s="13">
        <f>IFERROR(_xlfn.XLOOKUP(Selectivo[[#This Row],[DNI]],_SIY[DNI],_SIY[R8]),"78 DNC")</f>
        <v>45</v>
      </c>
      <c r="N125" s="13">
        <f>IFERROR(_xlfn.XLOOKUP(Selectivo[[#This Row],[DNI]],_SIY[DNI],_SIY[R9]),"78 DNC")</f>
        <v>29</v>
      </c>
      <c r="O125" s="13">
        <f>IFERROR(_xlfn.XLOOKUP(Selectivo[[#This Row],[DNI]],_SIY[DNI],_SIY[R10]),"78 DNC")</f>
        <v>50</v>
      </c>
      <c r="P125" s="13">
        <f>IFERROR(_xlfn.XLOOKUP(Selectivo[[#This Row],[DNI]],_VF2025[DNI],_VF2025[R1]),"70 DNC")</f>
        <v>17</v>
      </c>
      <c r="Q125" s="13">
        <f>IFERROR(_xlfn.XLOOKUP(Selectivo[[#This Row],[DNI]],_VF2025[DNI],_VF2025[R2]),"70 DNC")</f>
        <v>22</v>
      </c>
      <c r="R125" s="13">
        <f>IFERROR(_xlfn.XLOOKUP(Selectivo[[#This Row],[DNI]],_VF2025[DNI],_VF2025[R3]),"70 DNC")</f>
        <v>30</v>
      </c>
      <c r="S125" s="13">
        <f>IFERROR(_xlfn.XLOOKUP(Selectivo[[#This Row],[DNI]],_VF2025[DNI],_VF2025[R4]),"70 DNC")</f>
        <v>42</v>
      </c>
      <c r="T125" s="13">
        <f>IFERROR(_xlfn.XLOOKUP(Selectivo[[#This Row],[DNI]],_VF2025[DNI],_VF2025[R5]),"70 DNC")</f>
        <v>55</v>
      </c>
      <c r="U125" s="12" t="str">
        <f>IFERROR(_xlfn.XLOOKUP(Selectivo[[#This Row],[DNI]],_VF2025[DNI],_VF2025[R6]),"70 DNC")</f>
        <v>70 BFD</v>
      </c>
      <c r="V125" s="13" t="str" cm="1">
        <f t="array" ref="V125">IFERROR(_xlfn.XLOOKUP(Selectivo[[#This Row],[Vela]],_xlfn.NUMBERVALUE(SIL25v2[Sail '#]),SIL25v2[1]),"90 DNC")</f>
        <v>53</v>
      </c>
      <c r="W125" s="12" t="str" cm="1">
        <f t="array" ref="W125">IFERROR(_xlfn.XLOOKUP(Selectivo[[#This Row],[Vela]],_xlfn.NUMBERVALUE(SIL25v2[Sail '#]),SIL25v2[2]),"90 DNC")</f>
        <v>60</v>
      </c>
      <c r="X125" s="13" t="str" cm="1">
        <f t="array" ref="X125">IFERROR(_xlfn.XLOOKUP(Selectivo[[#This Row],[Vela]],_xlfn.NUMBERVALUE(SIL25v2[Sail '#]),SIL25v2[3]),"90 DNC")</f>
        <v>43</v>
      </c>
      <c r="Y125" s="13" t="str" cm="1">
        <f t="array" ref="Y125">IFERROR(_xlfn.XLOOKUP(Selectivo[[#This Row],[Vela]],_xlfn.NUMBERVALUE(SIL25v2[Sail '#]),SIL25v2[4]),"90 DNC")</f>
        <v>57</v>
      </c>
      <c r="Z125" s="13" t="str" cm="1">
        <f t="array" ref="Z125">IFERROR(_xlfn.XLOOKUP(Selectivo[[#This Row],[Vela]],_xlfn.NUMBERVALUE(SIL25v2[Sail '#]),SIL25v2[5]),"90 DNC")</f>
        <v>34</v>
      </c>
      <c r="AA125" s="13" t="str" cm="1">
        <f t="array" ref="AA125">IFERROR(_xlfn.XLOOKUP(Selectivo[[#This Row],[Vela]],_xlfn.NUMBERVALUE(SIL25v2[Sail '#]),SIL25v2[6]),"90 DNC")</f>
        <v>25</v>
      </c>
      <c r="AB125" s="8" cm="1">
        <f t="array" ref="AB125">SUM(IFERROR(VALUE(LEFT(Regatas, FIND(" ",Regatas&amp; " ") - 1)), 0))</f>
        <v>1005</v>
      </c>
      <c r="AC125" s="9" cm="1">
        <f t="array" ref="AC12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808</v>
      </c>
      <c r="AD125" s="6">
        <f>SMALL(RegatasN,1)</f>
        <v>17</v>
      </c>
      <c r="AE125" s="6">
        <f>SMALL(RegatasN,2)</f>
        <v>22</v>
      </c>
      <c r="AF125" s="6">
        <f>SMALL(RegatasN,3)</f>
        <v>25</v>
      </c>
      <c r="AG125" s="5" cm="1">
        <f t="array" ref="AG125">COUNTIF(Regatas,SMALL(Regatas,1))</f>
        <v>1</v>
      </c>
      <c r="AH125" s="6" cm="1">
        <f t="array" ref="AH125">VALUE(LEFT(INDEX(Selectivo[#This Row],,MATCH(Selectivo[[#Headers],[Total]],Selectivo[#Headers],0)-1),SEARCH(" ",INDEX(Selectivo[#This Row],,MATCH(Selectivo[[#Headers],[Total]],Selectivo[#Headers],0)-1)&amp;" ")-1))</f>
        <v>25</v>
      </c>
    </row>
    <row r="126" spans="1:34" x14ac:dyDescent="0.25">
      <c r="A126">
        <v>51723975</v>
      </c>
      <c r="B126" s="10">
        <f>ROW()-ROW(Selectivo[[#Headers],[Pos]])</f>
        <v>120</v>
      </c>
      <c r="C126" s="5">
        <v>4118</v>
      </c>
      <c r="D126" t="s">
        <v>604</v>
      </c>
      <c r="E126" t="s">
        <v>21</v>
      </c>
      <c r="F126" s="13">
        <f>IFERROR(_xlfn.XLOOKUP(Selectivo[[#This Row],[DNI]],_SIY[DNI],_SIY[R1]),"78 DNC")</f>
        <v>62</v>
      </c>
      <c r="G126" s="13">
        <f>IFERROR(_xlfn.XLOOKUP(Selectivo[[#This Row],[DNI]],_SIY[DNI],_SIY[R2]),"78 DNC")</f>
        <v>52</v>
      </c>
      <c r="H126" s="13">
        <f>IFERROR(_xlfn.XLOOKUP(Selectivo[[#This Row],[DNI]],_SIY[DNI],_SIY[R3]),"78 DNC")</f>
        <v>65</v>
      </c>
      <c r="I126" s="13">
        <f>IFERROR(_xlfn.XLOOKUP(Selectivo[[#This Row],[DNI]],_SIY[DNI],_SIY[R4]),"78 DNC")</f>
        <v>50</v>
      </c>
      <c r="J126" s="13">
        <f>IFERROR(_xlfn.XLOOKUP(Selectivo[[#This Row],[DNI]],_SIY[DNI],_SIY[R5]),"78 DNC")</f>
        <v>58</v>
      </c>
      <c r="K126" s="13">
        <f>IFERROR(_xlfn.XLOOKUP(Selectivo[[#This Row],[DNI]],_SIY[DNI],_SIY[R6]),"78 DNC")</f>
        <v>59</v>
      </c>
      <c r="L126" s="12" t="str">
        <f>IFERROR(_xlfn.XLOOKUP(Selectivo[[#This Row],[DNI]],_SIY[DNI],_SIY[R7]),"78 DNC")</f>
        <v>77 DNC</v>
      </c>
      <c r="M126" s="13">
        <f>IFERROR(_xlfn.XLOOKUP(Selectivo[[#This Row],[DNI]],_SIY[DNI],_SIY[R8]),"78 DNC")</f>
        <v>41</v>
      </c>
      <c r="N126" s="13">
        <f>IFERROR(_xlfn.XLOOKUP(Selectivo[[#This Row],[DNI]],_SIY[DNI],_SIY[R9]),"78 DNC")</f>
        <v>41</v>
      </c>
      <c r="O126" s="12">
        <f>IFERROR(_xlfn.XLOOKUP(Selectivo[[#This Row],[DNI]],_SIY[DNI],_SIY[R10]),"78 DNC")</f>
        <v>66</v>
      </c>
      <c r="P126" s="13">
        <f>IFERROR(_xlfn.XLOOKUP(Selectivo[[#This Row],[DNI]],_VF2025[DNI],_VF2025[R1]),"70 DNC")</f>
        <v>16</v>
      </c>
      <c r="Q126" s="13">
        <f>IFERROR(_xlfn.XLOOKUP(Selectivo[[#This Row],[DNI]],_VF2025[DNI],_VF2025[R2]),"70 DNC")</f>
        <v>52</v>
      </c>
      <c r="R126" s="13">
        <f>IFERROR(_xlfn.XLOOKUP(Selectivo[[#This Row],[DNI]],_VF2025[DNI],_VF2025[R3]),"70 DNC")</f>
        <v>37</v>
      </c>
      <c r="S126" s="13">
        <f>IFERROR(_xlfn.XLOOKUP(Selectivo[[#This Row],[DNI]],_VF2025[DNI],_VF2025[R4]),"70 DNC")</f>
        <v>39</v>
      </c>
      <c r="T126" s="12" t="str">
        <f>IFERROR(_xlfn.XLOOKUP(Selectivo[[#This Row],[DNI]],_VF2025[DNI],_VF2025[R5]),"70 DNC")</f>
        <v>70 BFD</v>
      </c>
      <c r="U126" s="13">
        <f>IFERROR(_xlfn.XLOOKUP(Selectivo[[#This Row],[DNI]],_VF2025[DNI],_VF2025[R6]),"70 DNC")</f>
        <v>51</v>
      </c>
      <c r="V126" s="13" t="str" cm="1">
        <f t="array" ref="V126">IFERROR(_xlfn.XLOOKUP(Selectivo[[#This Row],[Vela]],_xlfn.NUMBERVALUE(SIL25v2[Sail '#]),SIL25v2[1]),"90 DNC")</f>
        <v>9</v>
      </c>
      <c r="W126" s="13" t="str" cm="1">
        <f t="array" ref="W126">IFERROR(_xlfn.XLOOKUP(Selectivo[[#This Row],[Vela]],_xlfn.NUMBERVALUE(SIL25v2[Sail '#]),SIL25v2[2]),"90 DNC")</f>
        <v>31</v>
      </c>
      <c r="X126" s="13" t="str" cm="1">
        <f t="array" ref="X126">IFERROR(_xlfn.XLOOKUP(Selectivo[[#This Row],[Vela]],_xlfn.NUMBERVALUE(SIL25v2[Sail '#]),SIL25v2[3]),"90 DNC")</f>
        <v>54</v>
      </c>
      <c r="Y126" s="13" t="str" cm="1">
        <f t="array" ref="Y126">IFERROR(_xlfn.XLOOKUP(Selectivo[[#This Row],[Vela]],_xlfn.NUMBERVALUE(SIL25v2[Sail '#]),SIL25v2[4]),"90 DNC")</f>
        <v>20</v>
      </c>
      <c r="Z126" s="13" t="str" cm="1">
        <f t="array" ref="Z126">IFERROR(_xlfn.XLOOKUP(Selectivo[[#This Row],[Vela]],_xlfn.NUMBERVALUE(SIL25v2[Sail '#]),SIL25v2[5]),"90 DNC")</f>
        <v>46</v>
      </c>
      <c r="AA126" s="13" t="str" cm="1">
        <f t="array" ref="AA126">IFERROR(_xlfn.XLOOKUP(Selectivo[[#This Row],[Vela]],_xlfn.NUMBERVALUE(SIL25v2[Sail '#]),SIL25v2[6]),"90 DNC")</f>
        <v>29</v>
      </c>
      <c r="AB126" s="8" cm="1">
        <f t="array" ref="AB126">SUM(IFERROR(VALUE(LEFT(Regatas, FIND(" ",Regatas&amp; " ") - 1)), 0))</f>
        <v>1025</v>
      </c>
      <c r="AC126" s="9" cm="1">
        <f t="array" ref="AC12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812</v>
      </c>
      <c r="AD126" s="6">
        <f>SMALL(RegatasN,1)</f>
        <v>9</v>
      </c>
      <c r="AE126" s="6">
        <f>SMALL(RegatasN,2)</f>
        <v>16</v>
      </c>
      <c r="AF126" s="6">
        <f>SMALL(RegatasN,3)</f>
        <v>20</v>
      </c>
      <c r="AG126" s="5" cm="1">
        <f t="array" ref="AG126">COUNTIF(Regatas,SMALL(Regatas,1))</f>
        <v>1</v>
      </c>
      <c r="AH126" s="6" cm="1">
        <f t="array" ref="AH126">VALUE(LEFT(INDEX(Selectivo[#This Row],,MATCH(Selectivo[[#Headers],[Total]],Selectivo[#Headers],0)-1),SEARCH(" ",INDEX(Selectivo[#This Row],,MATCH(Selectivo[[#Headers],[Total]],Selectivo[#Headers],0)-1)&amp;" ")-1))</f>
        <v>29</v>
      </c>
    </row>
    <row r="127" spans="1:34" x14ac:dyDescent="0.25">
      <c r="A127">
        <v>54765545</v>
      </c>
      <c r="B127" s="10">
        <f>ROW()-ROW(Selectivo[[#Headers],[Pos]])</f>
        <v>121</v>
      </c>
      <c r="C127" s="5">
        <v>3999</v>
      </c>
      <c r="D127" t="s">
        <v>658</v>
      </c>
      <c r="E127" t="s">
        <v>71</v>
      </c>
      <c r="F127" s="13">
        <f>IFERROR(_xlfn.XLOOKUP(Selectivo[[#This Row],[DNI]],_SIY[DNI],_SIY[R1]),"78 DNC")</f>
        <v>47</v>
      </c>
      <c r="G127" s="13">
        <f>IFERROR(_xlfn.XLOOKUP(Selectivo[[#This Row],[DNI]],_SIY[DNI],_SIY[R2]),"78 DNC")</f>
        <v>44</v>
      </c>
      <c r="H127" s="13">
        <f>IFERROR(_xlfn.XLOOKUP(Selectivo[[#This Row],[DNI]],_SIY[DNI],_SIY[R3]),"78 DNC")</f>
        <v>47</v>
      </c>
      <c r="I127" s="12">
        <f>IFERROR(_xlfn.XLOOKUP(Selectivo[[#This Row],[DNI]],_SIY[DNI],_SIY[R4]),"78 DNC")</f>
        <v>62</v>
      </c>
      <c r="J127" s="13">
        <f>IFERROR(_xlfn.XLOOKUP(Selectivo[[#This Row],[DNI]],_SIY[DNI],_SIY[R5]),"78 DNC")</f>
        <v>37</v>
      </c>
      <c r="K127" s="13">
        <f>IFERROR(_xlfn.XLOOKUP(Selectivo[[#This Row],[DNI]],_SIY[DNI],_SIY[R6]),"78 DNC")</f>
        <v>50</v>
      </c>
      <c r="L127" s="13">
        <f>IFERROR(_xlfn.XLOOKUP(Selectivo[[#This Row],[DNI]],_SIY[DNI],_SIY[R7]),"78 DNC")</f>
        <v>36</v>
      </c>
      <c r="M127" s="13">
        <f>IFERROR(_xlfn.XLOOKUP(Selectivo[[#This Row],[DNI]],_SIY[DNI],_SIY[R8]),"78 DNC")</f>
        <v>47</v>
      </c>
      <c r="N127" s="13">
        <f>IFERROR(_xlfn.XLOOKUP(Selectivo[[#This Row],[DNI]],_SIY[DNI],_SIY[R9]),"78 DNC")</f>
        <v>57</v>
      </c>
      <c r="O127" s="13">
        <f>IFERROR(_xlfn.XLOOKUP(Selectivo[[#This Row],[DNI]],_SIY[DNI],_SIY[R10]),"78 DNC")</f>
        <v>47</v>
      </c>
      <c r="P127" s="13">
        <f>IFERROR(_xlfn.XLOOKUP(Selectivo[[#This Row],[DNI]],_VF2025[DNI],_VF2025[R1]),"70 DNC")</f>
        <v>33</v>
      </c>
      <c r="Q127" s="13">
        <f>IFERROR(_xlfn.XLOOKUP(Selectivo[[#This Row],[DNI]],_VF2025[DNI],_VF2025[R2]),"70 DNC")</f>
        <v>50</v>
      </c>
      <c r="R127" s="13">
        <f>IFERROR(_xlfn.XLOOKUP(Selectivo[[#This Row],[DNI]],_VF2025[DNI],_VF2025[R3]),"70 DNC")</f>
        <v>24</v>
      </c>
      <c r="S127" s="13">
        <f>IFERROR(_xlfn.XLOOKUP(Selectivo[[#This Row],[DNI]],_VF2025[DNI],_VF2025[R4]),"70 DNC")</f>
        <v>45</v>
      </c>
      <c r="T127" s="13">
        <f>IFERROR(_xlfn.XLOOKUP(Selectivo[[#This Row],[DNI]],_VF2025[DNI],_VF2025[R5]),"70 DNC")</f>
        <v>38</v>
      </c>
      <c r="U127" s="13">
        <f>IFERROR(_xlfn.XLOOKUP(Selectivo[[#This Row],[DNI]],_VF2025[DNI],_VF2025[R6]),"70 DNC")</f>
        <v>40</v>
      </c>
      <c r="V127" s="13" t="str" cm="1">
        <f t="array" ref="V127">IFERROR(_xlfn.XLOOKUP(Selectivo[[#This Row],[Vela]],_xlfn.NUMBERVALUE(SIL25v2[Sail '#]),SIL25v2[1]),"90 DNC")</f>
        <v>43</v>
      </c>
      <c r="W127" s="12" t="str" cm="1">
        <f t="array" ref="W127">IFERROR(_xlfn.XLOOKUP(Selectivo[[#This Row],[Vela]],_xlfn.NUMBERVALUE(SIL25v2[Sail '#]),SIL25v2[2]),"90 DNC")</f>
        <v>89 UFD</v>
      </c>
      <c r="X127" s="12" t="str" cm="1">
        <f t="array" ref="X127">IFERROR(_xlfn.XLOOKUP(Selectivo[[#This Row],[Vela]],_xlfn.NUMBERVALUE(SIL25v2[Sail '#]),SIL25v2[3]),"90 DNC")</f>
        <v>63</v>
      </c>
      <c r="Y127" s="13" t="str" cm="1">
        <f t="array" ref="Y127">IFERROR(_xlfn.XLOOKUP(Selectivo[[#This Row],[Vela]],_xlfn.NUMBERVALUE(SIL25v2[Sail '#]),SIL25v2[4]),"90 DNC")</f>
        <v>36</v>
      </c>
      <c r="Z127" s="13" t="str" cm="1">
        <f t="array" ref="Z127">IFERROR(_xlfn.XLOOKUP(Selectivo[[#This Row],[Vela]],_xlfn.NUMBERVALUE(SIL25v2[Sail '#]),SIL25v2[5]),"90 DNC")</f>
        <v>52</v>
      </c>
      <c r="AA127" s="13" t="str" cm="1">
        <f t="array" ref="AA127">IFERROR(_xlfn.XLOOKUP(Selectivo[[#This Row],[Vela]],_xlfn.NUMBERVALUE(SIL25v2[Sail '#]),SIL25v2[6]),"90 DNC")</f>
        <v>49</v>
      </c>
      <c r="AB127" s="8" cm="1">
        <f t="array" ref="AB127">SUM(IFERROR(VALUE(LEFT(Regatas, FIND(" ",Regatas&amp; " ") - 1)), 0))</f>
        <v>1036</v>
      </c>
      <c r="AC127" s="9" cm="1">
        <f t="array" ref="AC12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822</v>
      </c>
      <c r="AD127" s="6">
        <f>SMALL(RegatasN,1)</f>
        <v>24</v>
      </c>
      <c r="AE127" s="6">
        <f>SMALL(RegatasN,2)</f>
        <v>33</v>
      </c>
      <c r="AF127" s="6">
        <f>SMALL(RegatasN,3)</f>
        <v>36</v>
      </c>
      <c r="AG127" s="5" cm="1">
        <f t="array" ref="AG127">COUNTIF(Regatas,SMALL(Regatas,1))</f>
        <v>1</v>
      </c>
      <c r="AH127" s="6" cm="1">
        <f t="array" ref="AH127">VALUE(LEFT(INDEX(Selectivo[#This Row],,MATCH(Selectivo[[#Headers],[Total]],Selectivo[#Headers],0)-1),SEARCH(" ",INDEX(Selectivo[#This Row],,MATCH(Selectivo[[#Headers],[Total]],Selectivo[#Headers],0)-1)&amp;" ")-1))</f>
        <v>49</v>
      </c>
    </row>
    <row r="128" spans="1:34" x14ac:dyDescent="0.25">
      <c r="A128">
        <v>51344534</v>
      </c>
      <c r="B128" s="10">
        <f>ROW()-ROW(Selectivo[[#Headers],[Pos]])</f>
        <v>122</v>
      </c>
      <c r="C128" s="5">
        <v>4177</v>
      </c>
      <c r="D128" t="s">
        <v>594</v>
      </c>
      <c r="E128" t="s">
        <v>11</v>
      </c>
      <c r="F128" s="13">
        <f>IFERROR(_xlfn.XLOOKUP(Selectivo[[#This Row],[DNI]],_SIY[DNI],_SIY[R1]),"78 DNC")</f>
        <v>42</v>
      </c>
      <c r="G128" s="13">
        <f>IFERROR(_xlfn.XLOOKUP(Selectivo[[#This Row],[DNI]],_SIY[DNI],_SIY[R2]),"78 DNC")</f>
        <v>37</v>
      </c>
      <c r="H128" s="13">
        <f>IFERROR(_xlfn.XLOOKUP(Selectivo[[#This Row],[DNI]],_SIY[DNI],_SIY[R3]),"78 DNC")</f>
        <v>50</v>
      </c>
      <c r="I128" s="13">
        <f>IFERROR(_xlfn.XLOOKUP(Selectivo[[#This Row],[DNI]],_SIY[DNI],_SIY[R4]),"78 DNC")</f>
        <v>50</v>
      </c>
      <c r="J128" s="13">
        <f>IFERROR(_xlfn.XLOOKUP(Selectivo[[#This Row],[DNI]],_SIY[DNI],_SIY[R5]),"78 DNC")</f>
        <v>51</v>
      </c>
      <c r="K128" s="13">
        <f>IFERROR(_xlfn.XLOOKUP(Selectivo[[#This Row],[DNI]],_SIY[DNI],_SIY[R6]),"78 DNC")</f>
        <v>59</v>
      </c>
      <c r="L128" s="12">
        <f>IFERROR(_xlfn.XLOOKUP(Selectivo[[#This Row],[DNI]],_SIY[DNI],_SIY[R7]),"78 DNC")</f>
        <v>70</v>
      </c>
      <c r="M128" s="12" t="str">
        <f>IFERROR(_xlfn.XLOOKUP(Selectivo[[#This Row],[DNI]],_SIY[DNI],_SIY[R8]),"78 DNC")</f>
        <v>77 BFD</v>
      </c>
      <c r="N128" s="13">
        <f>IFERROR(_xlfn.XLOOKUP(Selectivo[[#This Row],[DNI]],_SIY[DNI],_SIY[R9]),"78 DNC")</f>
        <v>28</v>
      </c>
      <c r="O128" s="13">
        <f>IFERROR(_xlfn.XLOOKUP(Selectivo[[#This Row],[DNI]],_SIY[DNI],_SIY[R10]),"78 DNC")</f>
        <v>60</v>
      </c>
      <c r="P128" s="13">
        <f>IFERROR(_xlfn.XLOOKUP(Selectivo[[#This Row],[DNI]],_VF2025[DNI],_VF2025[R1]),"70 DNC")</f>
        <v>45</v>
      </c>
      <c r="Q128" s="13">
        <f>IFERROR(_xlfn.XLOOKUP(Selectivo[[#This Row],[DNI]],_VF2025[DNI],_VF2025[R2]),"70 DNC")</f>
        <v>33</v>
      </c>
      <c r="R128" s="13">
        <f>IFERROR(_xlfn.XLOOKUP(Selectivo[[#This Row],[DNI]],_VF2025[DNI],_VF2025[R3]),"70 DNC")</f>
        <v>40</v>
      </c>
      <c r="S128" s="13">
        <f>IFERROR(_xlfn.XLOOKUP(Selectivo[[#This Row],[DNI]],_VF2025[DNI],_VF2025[R4]),"70 DNC")</f>
        <v>53</v>
      </c>
      <c r="T128" s="13">
        <f>IFERROR(_xlfn.XLOOKUP(Selectivo[[#This Row],[DNI]],_VF2025[DNI],_VF2025[R5]),"70 DNC")</f>
        <v>35</v>
      </c>
      <c r="U128" s="13">
        <f>IFERROR(_xlfn.XLOOKUP(Selectivo[[#This Row],[DNI]],_VF2025[DNI],_VF2025[R6]),"70 DNC")</f>
        <v>27</v>
      </c>
      <c r="V128" s="13" t="str" cm="1">
        <f t="array" ref="V128">IFERROR(_xlfn.XLOOKUP(Selectivo[[#This Row],[Vela]],_xlfn.NUMBERVALUE(SIL25v2[Sail '#]),SIL25v2[1]),"90 DNC")</f>
        <v>63</v>
      </c>
      <c r="W128" s="13" t="str" cm="1">
        <f t="array" ref="W128">IFERROR(_xlfn.XLOOKUP(Selectivo[[#This Row],[Vela]],_xlfn.NUMBERVALUE(SIL25v2[Sail '#]),SIL25v2[2]),"90 DNC")</f>
        <v>35</v>
      </c>
      <c r="X128" s="12" t="str" cm="1">
        <f t="array" ref="X128">IFERROR(_xlfn.XLOOKUP(Selectivo[[#This Row],[Vela]],_xlfn.NUMBERVALUE(SIL25v2[Sail '#]),SIL25v2[3]),"90 DNC")</f>
        <v>64</v>
      </c>
      <c r="Y128" s="13" t="str" cm="1">
        <f t="array" ref="Y128">IFERROR(_xlfn.XLOOKUP(Selectivo[[#This Row],[Vela]],_xlfn.NUMBERVALUE(SIL25v2[Sail '#]),SIL25v2[4]),"90 DNC")</f>
        <v>39</v>
      </c>
      <c r="Z128" s="13" t="str" cm="1">
        <f t="array" ref="Z128">IFERROR(_xlfn.XLOOKUP(Selectivo[[#This Row],[Vela]],_xlfn.NUMBERVALUE(SIL25v2[Sail '#]),SIL25v2[5]),"90 DNC")</f>
        <v>40</v>
      </c>
      <c r="AA128" s="13" t="str" cm="1">
        <f t="array" ref="AA128">IFERROR(_xlfn.XLOOKUP(Selectivo[[#This Row],[Vela]],_xlfn.NUMBERVALUE(SIL25v2[Sail '#]),SIL25v2[6]),"90 DNC")</f>
        <v>40</v>
      </c>
      <c r="AB128" s="8" cm="1">
        <f t="array" ref="AB128">SUM(IFERROR(VALUE(LEFT(Regatas, FIND(" ",Regatas&amp; " ") - 1)), 0))</f>
        <v>1038</v>
      </c>
      <c r="AC128" s="9" cm="1">
        <f t="array" ref="AC12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827</v>
      </c>
      <c r="AD128" s="6">
        <f>SMALL(RegatasN,1)</f>
        <v>27</v>
      </c>
      <c r="AE128" s="6">
        <f>SMALL(RegatasN,2)</f>
        <v>28</v>
      </c>
      <c r="AF128" s="6">
        <f>SMALL(RegatasN,3)</f>
        <v>33</v>
      </c>
      <c r="AG128" s="5" cm="1">
        <f t="array" ref="AG128">COUNTIF(Regatas,SMALL(Regatas,1))</f>
        <v>1</v>
      </c>
      <c r="AH128" s="6" cm="1">
        <f t="array" ref="AH128">VALUE(LEFT(INDEX(Selectivo[#This Row],,MATCH(Selectivo[[#Headers],[Total]],Selectivo[#Headers],0)-1),SEARCH(" ",INDEX(Selectivo[#This Row],,MATCH(Selectivo[[#Headers],[Total]],Selectivo[#Headers],0)-1)&amp;" ")-1))</f>
        <v>40</v>
      </c>
    </row>
    <row r="129" spans="1:34" x14ac:dyDescent="0.25">
      <c r="A129">
        <v>52800005</v>
      </c>
      <c r="B129" s="10">
        <f>ROW()-ROW(Selectivo[[#Headers],[Pos]])</f>
        <v>123</v>
      </c>
      <c r="C129" s="5">
        <v>4016</v>
      </c>
      <c r="D129" t="s">
        <v>707</v>
      </c>
      <c r="E129" t="s">
        <v>27</v>
      </c>
      <c r="F129" s="13">
        <f>IFERROR(_xlfn.XLOOKUP(Selectivo[[#This Row],[DNI]],_SIY[DNI],_SIY[R1]),"78 DNC")</f>
        <v>36</v>
      </c>
      <c r="G129" s="13">
        <f>IFERROR(_xlfn.XLOOKUP(Selectivo[[#This Row],[DNI]],_SIY[DNI],_SIY[R2]),"78 DNC")</f>
        <v>53</v>
      </c>
      <c r="H129" s="13">
        <f>IFERROR(_xlfn.XLOOKUP(Selectivo[[#This Row],[DNI]],_SIY[DNI],_SIY[R3]),"78 DNC")</f>
        <v>30</v>
      </c>
      <c r="I129" s="13">
        <f>IFERROR(_xlfn.XLOOKUP(Selectivo[[#This Row],[DNI]],_SIY[DNI],_SIY[R4]),"78 DNC")</f>
        <v>56</v>
      </c>
      <c r="J129" s="13">
        <f>IFERROR(_xlfn.XLOOKUP(Selectivo[[#This Row],[DNI]],_SIY[DNI],_SIY[R5]),"78 DNC")</f>
        <v>36</v>
      </c>
      <c r="K129" s="13">
        <f>IFERROR(_xlfn.XLOOKUP(Selectivo[[#This Row],[DNI]],_SIY[DNI],_SIY[R6]),"78 DNC")</f>
        <v>46</v>
      </c>
      <c r="L129" s="13">
        <f>IFERROR(_xlfn.XLOOKUP(Selectivo[[#This Row],[DNI]],_SIY[DNI],_SIY[R7]),"78 DNC")</f>
        <v>56</v>
      </c>
      <c r="M129" s="13">
        <f>IFERROR(_xlfn.XLOOKUP(Selectivo[[#This Row],[DNI]],_SIY[DNI],_SIY[R8]),"78 DNC")</f>
        <v>36</v>
      </c>
      <c r="N129" s="13">
        <f>IFERROR(_xlfn.XLOOKUP(Selectivo[[#This Row],[DNI]],_SIY[DNI],_SIY[R9]),"78 DNC")</f>
        <v>22</v>
      </c>
      <c r="O129" s="13">
        <f>IFERROR(_xlfn.XLOOKUP(Selectivo[[#This Row],[DNI]],_SIY[DNI],_SIY[R10]),"78 DNC")</f>
        <v>44</v>
      </c>
      <c r="P129" s="12" t="str">
        <f>IFERROR(_xlfn.XLOOKUP(Selectivo[[#This Row],[DNI]],_VF2025[DNI],_VF2025[R1]),"70 DNC")</f>
        <v>70 DNF</v>
      </c>
      <c r="Q129" s="13" t="str">
        <f>IFERROR(_xlfn.XLOOKUP(Selectivo[[#This Row],[DNI]],_VF2025[DNI],_VF2025[R2]),"70 DNC")</f>
        <v>70 UFD</v>
      </c>
      <c r="R129" s="13">
        <f>IFERROR(_xlfn.XLOOKUP(Selectivo[[#This Row],[DNI]],_VF2025[DNI],_VF2025[R3]),"70 DNC")</f>
        <v>24</v>
      </c>
      <c r="S129" s="13">
        <f>IFERROR(_xlfn.XLOOKUP(Selectivo[[#This Row],[DNI]],_VF2025[DNI],_VF2025[R4]),"70 DNC")</f>
        <v>54</v>
      </c>
      <c r="T129" s="13">
        <f>IFERROR(_xlfn.XLOOKUP(Selectivo[[#This Row],[DNI]],_VF2025[DNI],_VF2025[R5]),"70 DNC")</f>
        <v>26</v>
      </c>
      <c r="U129" s="13">
        <f>IFERROR(_xlfn.XLOOKUP(Selectivo[[#This Row],[DNI]],_VF2025[DNI],_VF2025[R6]),"70 DNC")</f>
        <v>31</v>
      </c>
      <c r="V129" s="12" t="str" cm="1">
        <f t="array" ref="V129">IFERROR(_xlfn.XLOOKUP(Selectivo[[#This Row],[Vela]],_xlfn.NUMBERVALUE(SIL25v2[Sail '#]),SIL25v2[1]),"90 DNC")</f>
        <v>75</v>
      </c>
      <c r="W129" s="13" t="str" cm="1">
        <f t="array" ref="W129">IFERROR(_xlfn.XLOOKUP(Selectivo[[#This Row],[Vela]],_xlfn.NUMBERVALUE(SIL25v2[Sail '#]),SIL25v2[2]),"90 DNC")</f>
        <v>46</v>
      </c>
      <c r="X129" s="13" t="str" cm="1">
        <f t="array" ref="X129">IFERROR(_xlfn.XLOOKUP(Selectivo[[#This Row],[Vela]],_xlfn.NUMBERVALUE(SIL25v2[Sail '#]),SIL25v2[3]),"90 DNC")</f>
        <v>68</v>
      </c>
      <c r="Y129" s="13" t="str" cm="1">
        <f t="array" ref="Y129">IFERROR(_xlfn.XLOOKUP(Selectivo[[#This Row],[Vela]],_xlfn.NUMBERVALUE(SIL25v2[Sail '#]),SIL25v2[4]),"90 DNC")</f>
        <v>69</v>
      </c>
      <c r="Z129" s="13" t="str" cm="1">
        <f t="array" ref="Z129">IFERROR(_xlfn.XLOOKUP(Selectivo[[#This Row],[Vela]],_xlfn.NUMBERVALUE(SIL25v2[Sail '#]),SIL25v2[5]),"90 DNC")</f>
        <v>37</v>
      </c>
      <c r="AA129" s="12" t="str" cm="1">
        <f t="array" ref="AA129">IFERROR(_xlfn.XLOOKUP(Selectivo[[#This Row],[Vela]],_xlfn.NUMBERVALUE(SIL25v2[Sail '#]),SIL25v2[6]),"90 DNC")</f>
        <v>89 BFD</v>
      </c>
      <c r="AB129" s="8" cm="1">
        <f t="array" ref="AB129">SUM(IFERROR(VALUE(LEFT(Regatas, FIND(" ",Regatas&amp; " ") - 1)), 0))</f>
        <v>1074</v>
      </c>
      <c r="AC129" s="9" cm="1">
        <f t="array" ref="AC12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840</v>
      </c>
      <c r="AD129" s="6">
        <f>SMALL(RegatasN,1)</f>
        <v>22</v>
      </c>
      <c r="AE129" s="6">
        <f>SMALL(RegatasN,2)</f>
        <v>24</v>
      </c>
      <c r="AF129" s="6">
        <f>SMALL(RegatasN,3)</f>
        <v>26</v>
      </c>
      <c r="AG129" s="5" cm="1">
        <f t="array" ref="AG129">COUNTIF(Regatas,SMALL(Regatas,1))</f>
        <v>1</v>
      </c>
      <c r="AH129" s="6" cm="1">
        <f t="array" ref="AH129">VALUE(LEFT(INDEX(Selectivo[#This Row],,MATCH(Selectivo[[#Headers],[Total]],Selectivo[#Headers],0)-1),SEARCH(" ",INDEX(Selectivo[#This Row],,MATCH(Selectivo[[#Headers],[Total]],Selectivo[#Headers],0)-1)&amp;" ")-1))</f>
        <v>89</v>
      </c>
    </row>
    <row r="130" spans="1:34" x14ac:dyDescent="0.25">
      <c r="A130">
        <v>52725158</v>
      </c>
      <c r="B130" s="10">
        <f>ROW()-ROW(Selectivo[[#Headers],[Pos]])</f>
        <v>124</v>
      </c>
      <c r="C130" s="5">
        <v>4160</v>
      </c>
      <c r="D130" t="s">
        <v>630</v>
      </c>
      <c r="E130" t="s">
        <v>10</v>
      </c>
      <c r="F130" s="13">
        <f>IFERROR(_xlfn.XLOOKUP(Selectivo[[#This Row],[DNI]],_SIY[DNI],_SIY[R1]),"78 DNC")</f>
        <v>37</v>
      </c>
      <c r="G130" s="13">
        <f>IFERROR(_xlfn.XLOOKUP(Selectivo[[#This Row],[DNI]],_SIY[DNI],_SIY[R2]),"78 DNC")</f>
        <v>29</v>
      </c>
      <c r="H130" s="13">
        <f>IFERROR(_xlfn.XLOOKUP(Selectivo[[#This Row],[DNI]],_SIY[DNI],_SIY[R3]),"78 DNC")</f>
        <v>19</v>
      </c>
      <c r="I130" s="13">
        <f>IFERROR(_xlfn.XLOOKUP(Selectivo[[#This Row],[DNI]],_SIY[DNI],_SIY[R4]),"78 DNC")</f>
        <v>37</v>
      </c>
      <c r="J130" s="13">
        <f>IFERROR(_xlfn.XLOOKUP(Selectivo[[#This Row],[DNI]],_SIY[DNI],_SIY[R5]),"78 DNC")</f>
        <v>28</v>
      </c>
      <c r="K130" s="13">
        <f>IFERROR(_xlfn.XLOOKUP(Selectivo[[#This Row],[DNI]],_SIY[DNI],_SIY[R6]),"78 DNC")</f>
        <v>27</v>
      </c>
      <c r="L130" s="13">
        <f>IFERROR(_xlfn.XLOOKUP(Selectivo[[#This Row],[DNI]],_SIY[DNI],_SIY[R7]),"78 DNC")</f>
        <v>46</v>
      </c>
      <c r="M130" s="13">
        <f>IFERROR(_xlfn.XLOOKUP(Selectivo[[#This Row],[DNI]],_SIY[DNI],_SIY[R8]),"78 DNC")</f>
        <v>45</v>
      </c>
      <c r="N130" s="12" t="str">
        <f>IFERROR(_xlfn.XLOOKUP(Selectivo[[#This Row],[DNI]],_SIY[DNI],_SIY[R9]),"78 DNC")</f>
        <v>77 UFD</v>
      </c>
      <c r="O130" s="13">
        <f>IFERROR(_xlfn.XLOOKUP(Selectivo[[#This Row],[DNI]],_SIY[DNI],_SIY[R10]),"78 DNC")</f>
        <v>43</v>
      </c>
      <c r="P130" s="13">
        <f>IFERROR(_xlfn.XLOOKUP(Selectivo[[#This Row],[DNI]],_VF2025[DNI],_VF2025[R1]),"70 DNC")</f>
        <v>37</v>
      </c>
      <c r="Q130" s="13">
        <f>IFERROR(_xlfn.XLOOKUP(Selectivo[[#This Row],[DNI]],_VF2025[DNI],_VF2025[R2]),"70 DNC")</f>
        <v>60</v>
      </c>
      <c r="R130" s="13">
        <f>IFERROR(_xlfn.XLOOKUP(Selectivo[[#This Row],[DNI]],_VF2025[DNI],_VF2025[R3]),"70 DNC")</f>
        <v>54</v>
      </c>
      <c r="S130" s="13">
        <f>IFERROR(_xlfn.XLOOKUP(Selectivo[[#This Row],[DNI]],_VF2025[DNI],_VF2025[R4]),"70 DNC")</f>
        <v>35</v>
      </c>
      <c r="T130" s="13" t="str">
        <f>IFERROR(_xlfn.XLOOKUP(Selectivo[[#This Row],[DNI]],_VF2025[DNI],_VF2025[R5]),"70 DNC")</f>
        <v>70 BFD</v>
      </c>
      <c r="U130" s="13" t="str">
        <f>IFERROR(_xlfn.XLOOKUP(Selectivo[[#This Row],[DNI]],_VF2025[DNI],_VF2025[R6]),"70 DNC")</f>
        <v>70 BFD</v>
      </c>
      <c r="V130" s="12" t="str" cm="1">
        <f t="array" ref="V130">IFERROR(_xlfn.XLOOKUP(Selectivo[[#This Row],[Vela]],_xlfn.NUMBERVALUE(SIL25v2[Sail '#]),SIL25v2[1]),"90 DNC")</f>
        <v>89 BFD</v>
      </c>
      <c r="W130" s="13" t="str" cm="1">
        <f t="array" ref="W130">IFERROR(_xlfn.XLOOKUP(Selectivo[[#This Row],[Vela]],_xlfn.NUMBERVALUE(SIL25v2[Sail '#]),SIL25v2[2]),"90 DNC")</f>
        <v>48</v>
      </c>
      <c r="X130" s="12" t="str" cm="1">
        <f t="array" ref="X130">IFERROR(_xlfn.XLOOKUP(Selectivo[[#This Row],[Vela]],_xlfn.NUMBERVALUE(SIL25v2[Sail '#]),SIL25v2[3]),"90 DNC")</f>
        <v>89 BFD</v>
      </c>
      <c r="Y130" s="13" t="str" cm="1">
        <f t="array" ref="Y130">IFERROR(_xlfn.XLOOKUP(Selectivo[[#This Row],[Vela]],_xlfn.NUMBERVALUE(SIL25v2[Sail '#]),SIL25v2[4]),"90 DNC")</f>
        <v>70</v>
      </c>
      <c r="Z130" s="13" t="str" cm="1">
        <f t="array" ref="Z130">IFERROR(_xlfn.XLOOKUP(Selectivo[[#This Row],[Vela]],_xlfn.NUMBERVALUE(SIL25v2[Sail '#]),SIL25v2[5]),"90 DNC")</f>
        <v>57</v>
      </c>
      <c r="AA130" s="13" t="str" cm="1">
        <f t="array" ref="AA130">IFERROR(_xlfn.XLOOKUP(Selectivo[[#This Row],[Vela]],_xlfn.NUMBERVALUE(SIL25v2[Sail '#]),SIL25v2[6]),"90 DNC")</f>
        <v>30</v>
      </c>
      <c r="AB130" s="8" cm="1">
        <f t="array" ref="AB130">SUM(IFERROR(VALUE(LEFT(Regatas, FIND(" ",Regatas&amp; " ") - 1)), 0))</f>
        <v>1097</v>
      </c>
      <c r="AC130" s="9" cm="1">
        <f t="array" ref="AC13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842</v>
      </c>
      <c r="AD130" s="6">
        <f>SMALL(RegatasN,1)</f>
        <v>19</v>
      </c>
      <c r="AE130" s="6">
        <f>SMALL(RegatasN,2)</f>
        <v>27</v>
      </c>
      <c r="AF130" s="6">
        <f>SMALL(RegatasN,3)</f>
        <v>28</v>
      </c>
      <c r="AG130" s="5" cm="1">
        <f t="array" ref="AG130">COUNTIF(Regatas,SMALL(Regatas,1))</f>
        <v>1</v>
      </c>
      <c r="AH130" s="6" cm="1">
        <f t="array" ref="AH130">VALUE(LEFT(INDEX(Selectivo[#This Row],,MATCH(Selectivo[[#Headers],[Total]],Selectivo[#Headers],0)-1),SEARCH(" ",INDEX(Selectivo[#This Row],,MATCH(Selectivo[[#Headers],[Total]],Selectivo[#Headers],0)-1)&amp;" ")-1))</f>
        <v>30</v>
      </c>
    </row>
    <row r="131" spans="1:34" x14ac:dyDescent="0.25">
      <c r="A131">
        <v>52857832</v>
      </c>
      <c r="B131" s="10">
        <f>ROW()-ROW(Selectivo[[#Headers],[Pos]])</f>
        <v>125</v>
      </c>
      <c r="C131" s="5">
        <v>4020</v>
      </c>
      <c r="D131" t="s">
        <v>645</v>
      </c>
      <c r="E131" t="s">
        <v>21</v>
      </c>
      <c r="F131" s="13">
        <f>IFERROR(_xlfn.XLOOKUP(Selectivo[[#This Row],[DNI]],_SIY[DNI],_SIY[R1]),"78 DNC")</f>
        <v>39</v>
      </c>
      <c r="G131" s="13" t="str">
        <f>IFERROR(_xlfn.XLOOKUP(Selectivo[[#This Row],[DNI]],_SIY[DNI],_SIY[R2]),"78 DNC")</f>
        <v>77 BFD</v>
      </c>
      <c r="H131" s="13">
        <f>IFERROR(_xlfn.XLOOKUP(Selectivo[[#This Row],[DNI]],_SIY[DNI],_SIY[R3]),"78 DNC")</f>
        <v>35</v>
      </c>
      <c r="I131" s="13">
        <f>IFERROR(_xlfn.XLOOKUP(Selectivo[[#This Row],[DNI]],_SIY[DNI],_SIY[R4]),"78 DNC")</f>
        <v>31</v>
      </c>
      <c r="J131" s="13">
        <f>IFERROR(_xlfn.XLOOKUP(Selectivo[[#This Row],[DNI]],_SIY[DNI],_SIY[R5]),"78 DNC")</f>
        <v>39</v>
      </c>
      <c r="K131" s="13">
        <f>IFERROR(_xlfn.XLOOKUP(Selectivo[[#This Row],[DNI]],_SIY[DNI],_SIY[R6]),"78 DNC")</f>
        <v>55</v>
      </c>
      <c r="L131" s="13">
        <f>IFERROR(_xlfn.XLOOKUP(Selectivo[[#This Row],[DNI]],_SIY[DNI],_SIY[R7]),"78 DNC")</f>
        <v>41</v>
      </c>
      <c r="M131" s="13">
        <f>IFERROR(_xlfn.XLOOKUP(Selectivo[[#This Row],[DNI]],_SIY[DNI],_SIY[R8]),"78 DNC")</f>
        <v>25</v>
      </c>
      <c r="N131" s="13">
        <f>IFERROR(_xlfn.XLOOKUP(Selectivo[[#This Row],[DNI]],_SIY[DNI],_SIY[R9]),"78 DNC")</f>
        <v>24</v>
      </c>
      <c r="O131" s="13">
        <f>IFERROR(_xlfn.XLOOKUP(Selectivo[[#This Row],[DNI]],_SIY[DNI],_SIY[R10]),"78 DNC")</f>
        <v>40</v>
      </c>
      <c r="P131" s="13">
        <f>IFERROR(_xlfn.XLOOKUP(Selectivo[[#This Row],[DNI]],_VF2025[DNI],_VF2025[R1]),"70 DNC")</f>
        <v>29</v>
      </c>
      <c r="Q131" s="13">
        <f>IFERROR(_xlfn.XLOOKUP(Selectivo[[#This Row],[DNI]],_VF2025[DNI],_VF2025[R2]),"70 DNC")</f>
        <v>20</v>
      </c>
      <c r="R131" s="13">
        <f>IFERROR(_xlfn.XLOOKUP(Selectivo[[#This Row],[DNI]],_VF2025[DNI],_VF2025[R3]),"70 DNC")</f>
        <v>41</v>
      </c>
      <c r="S131" s="13">
        <f>IFERROR(_xlfn.XLOOKUP(Selectivo[[#This Row],[DNI]],_VF2025[DNI],_VF2025[R4]),"70 DNC")</f>
        <v>26</v>
      </c>
      <c r="T131" s="13">
        <f>IFERROR(_xlfn.XLOOKUP(Selectivo[[#This Row],[DNI]],_VF2025[DNI],_VF2025[R5]),"70 DNC")</f>
        <v>44</v>
      </c>
      <c r="U131" s="13">
        <f>IFERROR(_xlfn.XLOOKUP(Selectivo[[#This Row],[DNI]],_VF2025[DNI],_VF2025[R6]),"70 DNC")</f>
        <v>31</v>
      </c>
      <c r="V131" s="12" t="str" cm="1">
        <f t="array" ref="V131">IFERROR(_xlfn.XLOOKUP(Selectivo[[#This Row],[Vela]],_xlfn.NUMBERVALUE(SIL25v2[Sail '#]),SIL25v2[1]),"90 DNC")</f>
        <v>90 DNC</v>
      </c>
      <c r="W131" s="12" t="str" cm="1">
        <f t="array" ref="W131">IFERROR(_xlfn.XLOOKUP(Selectivo[[#This Row],[Vela]],_xlfn.NUMBERVALUE(SIL25v2[Sail '#]),SIL25v2[2]),"90 DNC")</f>
        <v>90 DNC</v>
      </c>
      <c r="X131" s="12" t="str" cm="1">
        <f t="array" ref="X131">IFERROR(_xlfn.XLOOKUP(Selectivo[[#This Row],[Vela]],_xlfn.NUMBERVALUE(SIL25v2[Sail '#]),SIL25v2[3]),"90 DNC")</f>
        <v>90 DNC</v>
      </c>
      <c r="Y131" s="13" t="str" cm="1">
        <f t="array" ref="Y131">IFERROR(_xlfn.XLOOKUP(Selectivo[[#This Row],[Vela]],_xlfn.NUMBERVALUE(SIL25v2[Sail '#]),SIL25v2[4]),"90 DNC")</f>
        <v>90 DNC</v>
      </c>
      <c r="Z131" s="13" t="str" cm="1">
        <f t="array" ref="Z131">IFERROR(_xlfn.XLOOKUP(Selectivo[[#This Row],[Vela]],_xlfn.NUMBERVALUE(SIL25v2[Sail '#]),SIL25v2[5]),"90 DNC")</f>
        <v>90 DNC</v>
      </c>
      <c r="AA131" s="13" t="str" cm="1">
        <f t="array" ref="AA131">IFERROR(_xlfn.XLOOKUP(Selectivo[[#This Row],[Vela]],_xlfn.NUMBERVALUE(SIL25v2[Sail '#]),SIL25v2[6]),"90 DNC")</f>
        <v>90 DNC</v>
      </c>
      <c r="AB131" s="8" cm="1">
        <f t="array" ref="AB131">SUM(IFERROR(VALUE(LEFT(Regatas, FIND(" ",Regatas&amp; " ") - 1)), 0))</f>
        <v>1137</v>
      </c>
      <c r="AC131" s="9" cm="1">
        <f t="array" ref="AC13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867</v>
      </c>
      <c r="AD131" s="6">
        <f>SMALL(RegatasN,1)</f>
        <v>20</v>
      </c>
      <c r="AE131" s="6">
        <f>SMALL(RegatasN,2)</f>
        <v>24</v>
      </c>
      <c r="AF131" s="6">
        <f>SMALL(RegatasN,3)</f>
        <v>25</v>
      </c>
      <c r="AG131" s="5" cm="1">
        <f t="array" ref="AG131">COUNTIF(Regatas,SMALL(Regatas,1))</f>
        <v>1</v>
      </c>
      <c r="AH131" s="6" cm="1">
        <f t="array" ref="AH131">VALUE(LEFT(INDEX(Selectivo[#This Row],,MATCH(Selectivo[[#Headers],[Total]],Selectivo[#Headers],0)-1),SEARCH(" ",INDEX(Selectivo[#This Row],,MATCH(Selectivo[[#Headers],[Total]],Selectivo[#Headers],0)-1)&amp;" ")-1))</f>
        <v>90</v>
      </c>
    </row>
    <row r="132" spans="1:34" x14ac:dyDescent="0.25">
      <c r="A132">
        <v>51157369</v>
      </c>
      <c r="B132" s="10">
        <f>ROW()-ROW(Selectivo[[#Headers],[Pos]])</f>
        <v>126</v>
      </c>
      <c r="C132" s="5">
        <v>4047</v>
      </c>
      <c r="D132" t="s">
        <v>640</v>
      </c>
      <c r="E132" t="s">
        <v>13</v>
      </c>
      <c r="F132" s="13">
        <f>IFERROR(_xlfn.XLOOKUP(Selectivo[[#This Row],[DNI]],_SIY[DNI],_SIY[R1]),"78 DNC")</f>
        <v>65</v>
      </c>
      <c r="G132" s="13">
        <f>IFERROR(_xlfn.XLOOKUP(Selectivo[[#This Row],[DNI]],_SIY[DNI],_SIY[R2]),"78 DNC")</f>
        <v>26</v>
      </c>
      <c r="H132" s="12" t="str">
        <f>IFERROR(_xlfn.XLOOKUP(Selectivo[[#This Row],[DNI]],_SIY[DNI],_SIY[R3]),"78 DNC")</f>
        <v>77 DNC</v>
      </c>
      <c r="I132" s="13">
        <f>IFERROR(_xlfn.XLOOKUP(Selectivo[[#This Row],[DNI]],_SIY[DNI],_SIY[R4]),"78 DNC")</f>
        <v>37</v>
      </c>
      <c r="J132" s="13">
        <f>IFERROR(_xlfn.XLOOKUP(Selectivo[[#This Row],[DNI]],_SIY[DNI],_SIY[R5]),"78 DNC")</f>
        <v>31</v>
      </c>
      <c r="K132" s="13">
        <f>IFERROR(_xlfn.XLOOKUP(Selectivo[[#This Row],[DNI]],_SIY[DNI],_SIY[R6]),"78 DNC")</f>
        <v>40</v>
      </c>
      <c r="L132" s="13">
        <f>IFERROR(_xlfn.XLOOKUP(Selectivo[[#This Row],[DNI]],_SIY[DNI],_SIY[R7]),"78 DNC")</f>
        <v>67</v>
      </c>
      <c r="M132" s="13">
        <f>IFERROR(_xlfn.XLOOKUP(Selectivo[[#This Row],[DNI]],_SIY[DNI],_SIY[R8]),"78 DNC")</f>
        <v>21</v>
      </c>
      <c r="N132" s="13">
        <f>IFERROR(_xlfn.XLOOKUP(Selectivo[[#This Row],[DNI]],_SIY[DNI],_SIY[R9]),"78 DNC")</f>
        <v>30</v>
      </c>
      <c r="O132" s="13">
        <f>IFERROR(_xlfn.XLOOKUP(Selectivo[[#This Row],[DNI]],_SIY[DNI],_SIY[R10]),"78 DNC")</f>
        <v>61</v>
      </c>
      <c r="P132" s="13" t="str">
        <f>IFERROR(_xlfn.XLOOKUP(Selectivo[[#This Row],[DNI]],_VF2025[DNI],_VF2025[R1]),"70 DNC")</f>
        <v>70 DNF</v>
      </c>
      <c r="Q132" s="13">
        <f>IFERROR(_xlfn.XLOOKUP(Selectivo[[#This Row],[DNI]],_VF2025[DNI],_VF2025[R2]),"70 DNC")</f>
        <v>35</v>
      </c>
      <c r="R132" s="13">
        <f>IFERROR(_xlfn.XLOOKUP(Selectivo[[#This Row],[DNI]],_VF2025[DNI],_VF2025[R3]),"70 DNC")</f>
        <v>58</v>
      </c>
      <c r="S132" s="13">
        <f>IFERROR(_xlfn.XLOOKUP(Selectivo[[#This Row],[DNI]],_VF2025[DNI],_VF2025[R4]),"70 DNC")</f>
        <v>48</v>
      </c>
      <c r="T132" s="13">
        <f>IFERROR(_xlfn.XLOOKUP(Selectivo[[#This Row],[DNI]],_VF2025[DNI],_VF2025[R5]),"70 DNC")</f>
        <v>23</v>
      </c>
      <c r="U132" s="13">
        <f>IFERROR(_xlfn.XLOOKUP(Selectivo[[#This Row],[DNI]],_VF2025[DNI],_VF2025[R6]),"70 DNC")</f>
        <v>19</v>
      </c>
      <c r="V132" s="13" t="str" cm="1">
        <f t="array" ref="V132">IFERROR(_xlfn.XLOOKUP(Selectivo[[#This Row],[Vela]],_xlfn.NUMBERVALUE(SIL25v2[Sail '#]),SIL25v2[1]),"90 DNC")</f>
        <v>54</v>
      </c>
      <c r="W132" s="12" t="str" cm="1">
        <f t="array" ref="W132">IFERROR(_xlfn.XLOOKUP(Selectivo[[#This Row],[Vela]],_xlfn.NUMBERVALUE(SIL25v2[Sail '#]),SIL25v2[2]),"90 DNC")</f>
        <v>71</v>
      </c>
      <c r="X132" s="13" t="str" cm="1">
        <f t="array" ref="X132">IFERROR(_xlfn.XLOOKUP(Selectivo[[#This Row],[Vela]],_xlfn.NUMBERVALUE(SIL25v2[Sail '#]),SIL25v2[3]),"90 DNC")</f>
        <v>58</v>
      </c>
      <c r="Y132" s="12" t="str" cm="1">
        <f t="array" ref="Y132">IFERROR(_xlfn.XLOOKUP(Selectivo[[#This Row],[Vela]],_xlfn.NUMBERVALUE(SIL25v2[Sail '#]),SIL25v2[4]),"90 DNC")</f>
        <v>81</v>
      </c>
      <c r="Z132" s="13" t="str" cm="1">
        <f t="array" ref="Z132">IFERROR(_xlfn.XLOOKUP(Selectivo[[#This Row],[Vela]],_xlfn.NUMBERVALUE(SIL25v2[Sail '#]),SIL25v2[5]),"90 DNC")</f>
        <v>60</v>
      </c>
      <c r="AA132" s="13" t="str" cm="1">
        <f t="array" ref="AA132">IFERROR(_xlfn.XLOOKUP(Selectivo[[#This Row],[Vela]],_xlfn.NUMBERVALUE(SIL25v2[Sail '#]),SIL25v2[6]),"90 DNC")</f>
        <v>66</v>
      </c>
      <c r="AB132" s="8" cm="1">
        <f t="array" ref="AB132">SUM(IFERROR(VALUE(LEFT(Regatas, FIND(" ",Regatas&amp; " ") - 1)), 0))</f>
        <v>1098</v>
      </c>
      <c r="AC132" s="9" cm="1">
        <f t="array" ref="AC13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869</v>
      </c>
      <c r="AD132" s="6">
        <f>SMALL(RegatasN,1)</f>
        <v>19</v>
      </c>
      <c r="AE132" s="6">
        <f>SMALL(RegatasN,2)</f>
        <v>21</v>
      </c>
      <c r="AF132" s="6">
        <f>SMALL(RegatasN,3)</f>
        <v>23</v>
      </c>
      <c r="AG132" s="5" cm="1">
        <f t="array" ref="AG132">COUNTIF(Regatas,SMALL(Regatas,1))</f>
        <v>1</v>
      </c>
      <c r="AH132" s="6" cm="1">
        <f t="array" ref="AH132">VALUE(LEFT(INDEX(Selectivo[#This Row],,MATCH(Selectivo[[#Headers],[Total]],Selectivo[#Headers],0)-1),SEARCH(" ",INDEX(Selectivo[#This Row],,MATCH(Selectivo[[#Headers],[Total]],Selectivo[#Headers],0)-1)&amp;" ")-1))</f>
        <v>66</v>
      </c>
    </row>
    <row r="133" spans="1:34" x14ac:dyDescent="0.25">
      <c r="A133">
        <v>52113290</v>
      </c>
      <c r="B133" s="10">
        <f>ROW()-ROW(Selectivo[[#Headers],[Pos]])</f>
        <v>127</v>
      </c>
      <c r="C133" s="5">
        <v>3543</v>
      </c>
      <c r="D133" t="s">
        <v>666</v>
      </c>
      <c r="E133" t="s">
        <v>9</v>
      </c>
      <c r="F133" s="13">
        <f>IFERROR(_xlfn.XLOOKUP(Selectivo[[#This Row],[DNI]],_SIY[DNI],_SIY[R1]),"78 DNC")</f>
        <v>57</v>
      </c>
      <c r="G133" s="13">
        <f>IFERROR(_xlfn.XLOOKUP(Selectivo[[#This Row],[DNI]],_SIY[DNI],_SIY[R2]),"78 DNC")</f>
        <v>61</v>
      </c>
      <c r="H133" s="13">
        <f>IFERROR(_xlfn.XLOOKUP(Selectivo[[#This Row],[DNI]],_SIY[DNI],_SIY[R3]),"78 DNC")</f>
        <v>56</v>
      </c>
      <c r="I133" s="13">
        <f>IFERROR(_xlfn.XLOOKUP(Selectivo[[#This Row],[DNI]],_SIY[DNI],_SIY[R4]),"78 DNC")</f>
        <v>51</v>
      </c>
      <c r="J133" s="13">
        <f>IFERROR(_xlfn.XLOOKUP(Selectivo[[#This Row],[DNI]],_SIY[DNI],_SIY[R5]),"78 DNC")</f>
        <v>59</v>
      </c>
      <c r="K133" s="13">
        <f>IFERROR(_xlfn.XLOOKUP(Selectivo[[#This Row],[DNI]],_SIY[DNI],_SIY[R6]),"78 DNC")</f>
        <v>61</v>
      </c>
      <c r="L133" s="13">
        <f>IFERROR(_xlfn.XLOOKUP(Selectivo[[#This Row],[DNI]],_SIY[DNI],_SIY[R7]),"78 DNC")</f>
        <v>54</v>
      </c>
      <c r="M133" s="12">
        <f>IFERROR(_xlfn.XLOOKUP(Selectivo[[#This Row],[DNI]],_SIY[DNI],_SIY[R8]),"78 DNC")</f>
        <v>66</v>
      </c>
      <c r="N133" s="13">
        <f>IFERROR(_xlfn.XLOOKUP(Selectivo[[#This Row],[DNI]],_SIY[DNI],_SIY[R9]),"78 DNC")</f>
        <v>43</v>
      </c>
      <c r="O133" s="13">
        <f>IFERROR(_xlfn.XLOOKUP(Selectivo[[#This Row],[DNI]],_SIY[DNI],_SIY[R10]),"78 DNC")</f>
        <v>46</v>
      </c>
      <c r="P133" s="13">
        <f>IFERROR(_xlfn.XLOOKUP(Selectivo[[#This Row],[DNI]],_VF2025[DNI],_VF2025[R1]),"70 DNC")</f>
        <v>50</v>
      </c>
      <c r="Q133" s="13">
        <f>IFERROR(_xlfn.XLOOKUP(Selectivo[[#This Row],[DNI]],_VF2025[DNI],_VF2025[R2]),"70 DNC")</f>
        <v>54</v>
      </c>
      <c r="R133" s="13">
        <f>IFERROR(_xlfn.XLOOKUP(Selectivo[[#This Row],[DNI]],_VF2025[DNI],_VF2025[R3]),"70 DNC")</f>
        <v>60</v>
      </c>
      <c r="S133" s="13">
        <f>IFERROR(_xlfn.XLOOKUP(Selectivo[[#This Row],[DNI]],_VF2025[DNI],_VF2025[R4]),"70 DNC")</f>
        <v>47</v>
      </c>
      <c r="T133" s="13">
        <f>IFERROR(_xlfn.XLOOKUP(Selectivo[[#This Row],[DNI]],_VF2025[DNI],_VF2025[R5]),"70 DNC")</f>
        <v>43</v>
      </c>
      <c r="U133" s="13">
        <f>IFERROR(_xlfn.XLOOKUP(Selectivo[[#This Row],[DNI]],_VF2025[DNI],_VF2025[R6]),"70 DNC")</f>
        <v>47</v>
      </c>
      <c r="V133" s="12" t="str" cm="1">
        <f t="array" ref="V133">IFERROR(_xlfn.XLOOKUP(Selectivo[[#This Row],[Vela]],_xlfn.NUMBERVALUE(SIL25v2[Sail '#]),SIL25v2[1]),"90 DNC")</f>
        <v>89 BFD</v>
      </c>
      <c r="W133" s="12" t="str" cm="1">
        <f t="array" ref="W133">IFERROR(_xlfn.XLOOKUP(Selectivo[[#This Row],[Vela]],_xlfn.NUMBERVALUE(SIL25v2[Sail '#]),SIL25v2[2]),"90 DNC")</f>
        <v>74</v>
      </c>
      <c r="X133" s="13" t="str" cm="1">
        <f t="array" ref="X133">IFERROR(_xlfn.XLOOKUP(Selectivo[[#This Row],[Vela]],_xlfn.NUMBERVALUE(SIL25v2[Sail '#]),SIL25v2[3]),"90 DNC")</f>
        <v>9</v>
      </c>
      <c r="Y133" s="13" t="str" cm="1">
        <f t="array" ref="Y133">IFERROR(_xlfn.XLOOKUP(Selectivo[[#This Row],[Vela]],_xlfn.NUMBERVALUE(SIL25v2[Sail '#]),SIL25v2[4]),"90 DNC")</f>
        <v>12</v>
      </c>
      <c r="Z133" s="13" t="str" cm="1">
        <f t="array" ref="Z133">IFERROR(_xlfn.XLOOKUP(Selectivo[[#This Row],[Vela]],_xlfn.NUMBERVALUE(SIL25v2[Sail '#]),SIL25v2[5]),"90 DNC")</f>
        <v>36</v>
      </c>
      <c r="AA133" s="13" t="str" cm="1">
        <f t="array" ref="AA133">IFERROR(_xlfn.XLOOKUP(Selectivo[[#This Row],[Vela]],_xlfn.NUMBERVALUE(SIL25v2[Sail '#]),SIL25v2[6]),"90 DNC")</f>
        <v>27</v>
      </c>
      <c r="AB133" s="8" cm="1">
        <f t="array" ref="AB133">SUM(IFERROR(VALUE(LEFT(Regatas, FIND(" ",Regatas&amp; " ") - 1)), 0))</f>
        <v>1102</v>
      </c>
      <c r="AC133" s="9" cm="1">
        <f t="array" ref="AC13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873</v>
      </c>
      <c r="AD133" s="6">
        <f>SMALL(RegatasN,1)</f>
        <v>9</v>
      </c>
      <c r="AE133" s="6">
        <f>SMALL(RegatasN,2)</f>
        <v>12</v>
      </c>
      <c r="AF133" s="6">
        <f>SMALL(RegatasN,3)</f>
        <v>27</v>
      </c>
      <c r="AG133" s="5" cm="1">
        <f t="array" ref="AG133">COUNTIF(Regatas,SMALL(Regatas,1))</f>
        <v>2</v>
      </c>
      <c r="AH133" s="6" cm="1">
        <f t="array" ref="AH133">VALUE(LEFT(INDEX(Selectivo[#This Row],,MATCH(Selectivo[[#Headers],[Total]],Selectivo[#Headers],0)-1),SEARCH(" ",INDEX(Selectivo[#This Row],,MATCH(Selectivo[[#Headers],[Total]],Selectivo[#Headers],0)-1)&amp;" ")-1))</f>
        <v>27</v>
      </c>
    </row>
    <row r="134" spans="1:34" x14ac:dyDescent="0.25">
      <c r="A134">
        <v>50103590</v>
      </c>
      <c r="B134" s="10">
        <f>ROW()-ROW(Selectivo[[#Headers],[Pos]])</f>
        <v>128</v>
      </c>
      <c r="C134" s="5">
        <v>3846</v>
      </c>
      <c r="D134" t="s">
        <v>659</v>
      </c>
      <c r="E134" t="s">
        <v>9</v>
      </c>
      <c r="F134" s="13">
        <f>IFERROR(_xlfn.XLOOKUP(Selectivo[[#This Row],[DNI]],_SIY[DNI],_SIY[R1]),"78 DNC")</f>
        <v>31</v>
      </c>
      <c r="G134" s="13">
        <f>IFERROR(_xlfn.XLOOKUP(Selectivo[[#This Row],[DNI]],_SIY[DNI],_SIY[R2]),"78 DNC")</f>
        <v>33</v>
      </c>
      <c r="H134" s="13">
        <f>IFERROR(_xlfn.XLOOKUP(Selectivo[[#This Row],[DNI]],_SIY[DNI],_SIY[R3]),"78 DNC")</f>
        <v>34</v>
      </c>
      <c r="I134" s="13">
        <f>IFERROR(_xlfn.XLOOKUP(Selectivo[[#This Row],[DNI]],_SIY[DNI],_SIY[R4]),"78 DNC")</f>
        <v>33</v>
      </c>
      <c r="J134" s="13">
        <f>IFERROR(_xlfn.XLOOKUP(Selectivo[[#This Row],[DNI]],_SIY[DNI],_SIY[R5]),"78 DNC")</f>
        <v>27</v>
      </c>
      <c r="K134" s="13">
        <f>IFERROR(_xlfn.XLOOKUP(Selectivo[[#This Row],[DNI]],_SIY[DNI],_SIY[R6]),"78 DNC")</f>
        <v>28</v>
      </c>
      <c r="L134" s="13">
        <f>IFERROR(_xlfn.XLOOKUP(Selectivo[[#This Row],[DNI]],_SIY[DNI],_SIY[R7]),"78 DNC")</f>
        <v>44</v>
      </c>
      <c r="M134" s="13">
        <f>IFERROR(_xlfn.XLOOKUP(Selectivo[[#This Row],[DNI]],_SIY[DNI],_SIY[R8]),"78 DNC")</f>
        <v>50</v>
      </c>
      <c r="N134" s="13">
        <f>IFERROR(_xlfn.XLOOKUP(Selectivo[[#This Row],[DNI]],_SIY[DNI],_SIY[R9]),"78 DNC")</f>
        <v>45</v>
      </c>
      <c r="O134" s="13">
        <f>IFERROR(_xlfn.XLOOKUP(Selectivo[[#This Row],[DNI]],_SIY[DNI],_SIY[R10]),"78 DNC")</f>
        <v>29</v>
      </c>
      <c r="P134" s="13">
        <f>IFERROR(_xlfn.XLOOKUP(Selectivo[[#This Row],[DNI]],_VF2025[DNI],_VF2025[R1]),"70 DNC")</f>
        <v>35</v>
      </c>
      <c r="Q134" s="13">
        <f>IFERROR(_xlfn.XLOOKUP(Selectivo[[#This Row],[DNI]],_VF2025[DNI],_VF2025[R2]),"70 DNC")</f>
        <v>51</v>
      </c>
      <c r="R134" s="13">
        <f>IFERROR(_xlfn.XLOOKUP(Selectivo[[#This Row],[DNI]],_VF2025[DNI],_VF2025[R3]),"70 DNC")</f>
        <v>47</v>
      </c>
      <c r="S134" s="13">
        <f>IFERROR(_xlfn.XLOOKUP(Selectivo[[#This Row],[DNI]],_VF2025[DNI],_VF2025[R4]),"70 DNC")</f>
        <v>47</v>
      </c>
      <c r="T134" s="13">
        <f>IFERROR(_xlfn.XLOOKUP(Selectivo[[#This Row],[DNI]],_VF2025[DNI],_VF2025[R5]),"70 DNC")</f>
        <v>44</v>
      </c>
      <c r="U134" s="13">
        <f>IFERROR(_xlfn.XLOOKUP(Selectivo[[#This Row],[DNI]],_VF2025[DNI],_VF2025[R6]),"70 DNC")</f>
        <v>37</v>
      </c>
      <c r="V134" s="12" t="str" cm="1">
        <f t="array" ref="V134">IFERROR(_xlfn.XLOOKUP(Selectivo[[#This Row],[Vela]],_xlfn.NUMBERVALUE(SIL25v2[Sail '#]),SIL25v2[1]),"90 DNC")</f>
        <v>90 DNC</v>
      </c>
      <c r="W134" s="12" t="str" cm="1">
        <f t="array" ref="W134">IFERROR(_xlfn.XLOOKUP(Selectivo[[#This Row],[Vela]],_xlfn.NUMBERVALUE(SIL25v2[Sail '#]),SIL25v2[2]),"90 DNC")</f>
        <v>90 DNC</v>
      </c>
      <c r="X134" s="12" t="str" cm="1">
        <f t="array" ref="X134">IFERROR(_xlfn.XLOOKUP(Selectivo[[#This Row],[Vela]],_xlfn.NUMBERVALUE(SIL25v2[Sail '#]),SIL25v2[3]),"90 DNC")</f>
        <v>90 DNC</v>
      </c>
      <c r="Y134" s="13" t="str" cm="1">
        <f t="array" ref="Y134">IFERROR(_xlfn.XLOOKUP(Selectivo[[#This Row],[Vela]],_xlfn.NUMBERVALUE(SIL25v2[Sail '#]),SIL25v2[4]),"90 DNC")</f>
        <v>90 DNC</v>
      </c>
      <c r="Z134" s="13" t="str" cm="1">
        <f t="array" ref="Z134">IFERROR(_xlfn.XLOOKUP(Selectivo[[#This Row],[Vela]],_xlfn.NUMBERVALUE(SIL25v2[Sail '#]),SIL25v2[5]),"90 DNC")</f>
        <v>90 DNC</v>
      </c>
      <c r="AA134" s="13" t="str" cm="1">
        <f t="array" ref="AA134">IFERROR(_xlfn.XLOOKUP(Selectivo[[#This Row],[Vela]],_xlfn.NUMBERVALUE(SIL25v2[Sail '#]),SIL25v2[6]),"90 DNC")</f>
        <v>90 DNC</v>
      </c>
      <c r="AB134" s="8" cm="1">
        <f t="array" ref="AB134">SUM(IFERROR(VALUE(LEFT(Regatas, FIND(" ",Regatas&amp; " ") - 1)), 0))</f>
        <v>1155</v>
      </c>
      <c r="AC134" s="9" cm="1">
        <f t="array" ref="AC13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885</v>
      </c>
      <c r="AD134" s="6">
        <f>SMALL(RegatasN,1)</f>
        <v>27</v>
      </c>
      <c r="AE134" s="6">
        <f>SMALL(RegatasN,2)</f>
        <v>28</v>
      </c>
      <c r="AF134" s="6">
        <f>SMALL(RegatasN,3)</f>
        <v>29</v>
      </c>
      <c r="AG134" s="5" cm="1">
        <f t="array" ref="AG134">COUNTIF(Regatas,SMALL(Regatas,1))</f>
        <v>1</v>
      </c>
      <c r="AH134" s="6" cm="1">
        <f t="array" ref="AH134">VALUE(LEFT(INDEX(Selectivo[#This Row],,MATCH(Selectivo[[#Headers],[Total]],Selectivo[#Headers],0)-1),SEARCH(" ",INDEX(Selectivo[#This Row],,MATCH(Selectivo[[#Headers],[Total]],Selectivo[#Headers],0)-1)&amp;" ")-1))</f>
        <v>90</v>
      </c>
    </row>
    <row r="135" spans="1:34" x14ac:dyDescent="0.25">
      <c r="A135">
        <v>54184438</v>
      </c>
      <c r="B135" s="10">
        <f>ROW()-ROW(Selectivo[[#Headers],[Pos]])</f>
        <v>129</v>
      </c>
      <c r="C135" s="5">
        <v>3895</v>
      </c>
      <c r="D135" t="s">
        <v>599</v>
      </c>
      <c r="E135" t="s">
        <v>5</v>
      </c>
      <c r="F135" s="13">
        <f>IFERROR(_xlfn.XLOOKUP(Selectivo[[#This Row],[DNI]],_SIY[DNI],_SIY[R1]),"78 DNC")</f>
        <v>64</v>
      </c>
      <c r="G135" s="12" t="str">
        <f>IFERROR(_xlfn.XLOOKUP(Selectivo[[#This Row],[DNI]],_SIY[DNI],_SIY[R2]),"78 DNC")</f>
        <v>77 DNF</v>
      </c>
      <c r="H135" s="13">
        <f>IFERROR(_xlfn.XLOOKUP(Selectivo[[#This Row],[DNI]],_SIY[DNI],_SIY[R3]),"78 DNC")</f>
        <v>55</v>
      </c>
      <c r="I135" s="13">
        <f>IFERROR(_xlfn.XLOOKUP(Selectivo[[#This Row],[DNI]],_SIY[DNI],_SIY[R4]),"78 DNC")</f>
        <v>62</v>
      </c>
      <c r="J135" s="13">
        <f>IFERROR(_xlfn.XLOOKUP(Selectivo[[#This Row],[DNI]],_SIY[DNI],_SIY[R5]),"78 DNC")</f>
        <v>58</v>
      </c>
      <c r="K135" s="12" t="str">
        <f>IFERROR(_xlfn.XLOOKUP(Selectivo[[#This Row],[DNI]],_SIY[DNI],_SIY[R6]),"78 DNC")</f>
        <v>77 DNF</v>
      </c>
      <c r="L135" s="13">
        <f>IFERROR(_xlfn.XLOOKUP(Selectivo[[#This Row],[DNI]],_SIY[DNI],_SIY[R7]),"78 DNC")</f>
        <v>41</v>
      </c>
      <c r="M135" s="13">
        <f>IFERROR(_xlfn.XLOOKUP(Selectivo[[#This Row],[DNI]],_SIY[DNI],_SIY[R8]),"78 DNC")</f>
        <v>22</v>
      </c>
      <c r="N135" s="13">
        <f>IFERROR(_xlfn.XLOOKUP(Selectivo[[#This Row],[DNI]],_SIY[DNI],_SIY[R9]),"78 DNC")</f>
        <v>27</v>
      </c>
      <c r="O135" s="13">
        <f>IFERROR(_xlfn.XLOOKUP(Selectivo[[#This Row],[DNI]],_SIY[DNI],_SIY[R10]),"78 DNC")</f>
        <v>52</v>
      </c>
      <c r="P135" s="13">
        <f>IFERROR(_xlfn.XLOOKUP(Selectivo[[#This Row],[DNI]],_VF2025[DNI],_VF2025[R1]),"70 DNC")</f>
        <v>36</v>
      </c>
      <c r="Q135" s="13">
        <f>IFERROR(_xlfn.XLOOKUP(Selectivo[[#This Row],[DNI]],_VF2025[DNI],_VF2025[R2]),"70 DNC")</f>
        <v>62</v>
      </c>
      <c r="R135" s="13">
        <f>IFERROR(_xlfn.XLOOKUP(Selectivo[[#This Row],[DNI]],_VF2025[DNI],_VF2025[R3]),"70 DNC")</f>
        <v>59</v>
      </c>
      <c r="S135" s="13">
        <f>IFERROR(_xlfn.XLOOKUP(Selectivo[[#This Row],[DNI]],_VF2025[DNI],_VF2025[R4]),"70 DNC")</f>
        <v>49</v>
      </c>
      <c r="T135" s="13">
        <f>IFERROR(_xlfn.XLOOKUP(Selectivo[[#This Row],[DNI]],_VF2025[DNI],_VF2025[R5]),"70 DNC")</f>
        <v>53</v>
      </c>
      <c r="U135" s="13">
        <f>IFERROR(_xlfn.XLOOKUP(Selectivo[[#This Row],[DNI]],_VF2025[DNI],_VF2025[R6]),"70 DNC")</f>
        <v>50</v>
      </c>
      <c r="V135" s="13" t="str" cm="1">
        <f t="array" ref="V135">IFERROR(_xlfn.XLOOKUP(Selectivo[[#This Row],[Vela]],_xlfn.NUMBERVALUE(SIL25v2[Sail '#]),SIL25v2[1]),"90 DNC")</f>
        <v>45</v>
      </c>
      <c r="W135" s="13" t="str" cm="1">
        <f t="array" ref="W135">IFERROR(_xlfn.XLOOKUP(Selectivo[[#This Row],[Vela]],_xlfn.NUMBERVALUE(SIL25v2[Sail '#]),SIL25v2[2]),"90 DNC")</f>
        <v>63</v>
      </c>
      <c r="X135" s="13" t="str" cm="1">
        <f t="array" ref="X135">IFERROR(_xlfn.XLOOKUP(Selectivo[[#This Row],[Vela]],_xlfn.NUMBERVALUE(SIL25v2[Sail '#]),SIL25v2[3]),"90 DNC")</f>
        <v>43</v>
      </c>
      <c r="Y135" s="12" t="str" cm="1">
        <f t="array" ref="Y135">IFERROR(_xlfn.XLOOKUP(Selectivo[[#This Row],[Vela]],_xlfn.NUMBERVALUE(SIL25v2[Sail '#]),SIL25v2[4]),"90 DNC")</f>
        <v>78</v>
      </c>
      <c r="Z135" s="13" t="str" cm="1">
        <f t="array" ref="Z135">IFERROR(_xlfn.XLOOKUP(Selectivo[[#This Row],[Vela]],_xlfn.NUMBERVALUE(SIL25v2[Sail '#]),SIL25v2[5]),"90 DNC")</f>
        <v>32</v>
      </c>
      <c r="AA135" s="13" t="str" cm="1">
        <f t="array" ref="AA135">IFERROR(_xlfn.XLOOKUP(Selectivo[[#This Row],[Vela]],_xlfn.NUMBERVALUE(SIL25v2[Sail '#]),SIL25v2[6]),"90 DNC")</f>
        <v>22</v>
      </c>
      <c r="AB135" s="8" cm="1">
        <f t="array" ref="AB135">SUM(IFERROR(VALUE(LEFT(Regatas, FIND(" ",Regatas&amp; " ") - 1)), 0))</f>
        <v>1127</v>
      </c>
      <c r="AC135" s="9" cm="1">
        <f t="array" ref="AC13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895</v>
      </c>
      <c r="AD135" s="6">
        <f>SMALL(RegatasN,1)</f>
        <v>22</v>
      </c>
      <c r="AE135" s="6">
        <f>SMALL(RegatasN,2)</f>
        <v>22</v>
      </c>
      <c r="AF135" s="6">
        <f>SMALL(RegatasN,3)</f>
        <v>27</v>
      </c>
      <c r="AG135" s="5" cm="1">
        <f t="array" ref="AG135">COUNTIF(Regatas,SMALL(Regatas,1))</f>
        <v>2</v>
      </c>
      <c r="AH135" s="6" cm="1">
        <f t="array" ref="AH135">VALUE(LEFT(INDEX(Selectivo[#This Row],,MATCH(Selectivo[[#Headers],[Total]],Selectivo[#Headers],0)-1),SEARCH(" ",INDEX(Selectivo[#This Row],,MATCH(Selectivo[[#Headers],[Total]],Selectivo[#Headers],0)-1)&amp;" ")-1))</f>
        <v>22</v>
      </c>
    </row>
    <row r="136" spans="1:34" x14ac:dyDescent="0.25">
      <c r="A136">
        <v>53774618</v>
      </c>
      <c r="B136" s="10">
        <f>ROW()-ROW(Selectivo[[#Headers],[Pos]])</f>
        <v>130</v>
      </c>
      <c r="C136" s="5">
        <v>3866</v>
      </c>
      <c r="D136" t="s">
        <v>607</v>
      </c>
      <c r="E136" t="s">
        <v>71</v>
      </c>
      <c r="F136" s="13">
        <f>IFERROR(_xlfn.XLOOKUP(Selectivo[[#This Row],[DNI]],_SIY[DNI],_SIY[R1]),"78 DNC")</f>
        <v>57</v>
      </c>
      <c r="G136" s="13">
        <f>IFERROR(_xlfn.XLOOKUP(Selectivo[[#This Row],[DNI]],_SIY[DNI],_SIY[R2]),"78 DNC")</f>
        <v>50</v>
      </c>
      <c r="H136" s="13">
        <f>IFERROR(_xlfn.XLOOKUP(Selectivo[[#This Row],[DNI]],_SIY[DNI],_SIY[R3]),"78 DNC")</f>
        <v>58</v>
      </c>
      <c r="I136" s="13">
        <f>IFERROR(_xlfn.XLOOKUP(Selectivo[[#This Row],[DNI]],_SIY[DNI],_SIY[R4]),"78 DNC")</f>
        <v>45</v>
      </c>
      <c r="J136" s="13">
        <f>IFERROR(_xlfn.XLOOKUP(Selectivo[[#This Row],[DNI]],_SIY[DNI],_SIY[R5]),"78 DNC")</f>
        <v>48</v>
      </c>
      <c r="K136" s="13">
        <f>IFERROR(_xlfn.XLOOKUP(Selectivo[[#This Row],[DNI]],_SIY[DNI],_SIY[R6]),"78 DNC")</f>
        <v>58</v>
      </c>
      <c r="L136" s="12">
        <f>IFERROR(_xlfn.XLOOKUP(Selectivo[[#This Row],[DNI]],_SIY[DNI],_SIY[R7]),"78 DNC")</f>
        <v>62</v>
      </c>
      <c r="M136" s="13">
        <f>IFERROR(_xlfn.XLOOKUP(Selectivo[[#This Row],[DNI]],_SIY[DNI],_SIY[R8]),"78 DNC")</f>
        <v>48</v>
      </c>
      <c r="N136" s="13">
        <f>IFERROR(_xlfn.XLOOKUP(Selectivo[[#This Row],[DNI]],_SIY[DNI],_SIY[R9]),"78 DNC")</f>
        <v>47</v>
      </c>
      <c r="O136" s="13">
        <f>IFERROR(_xlfn.XLOOKUP(Selectivo[[#This Row],[DNI]],_SIY[DNI],_SIY[R10]),"78 DNC")</f>
        <v>47</v>
      </c>
      <c r="P136" s="13">
        <f>IFERROR(_xlfn.XLOOKUP(Selectivo[[#This Row],[DNI]],_VF2025[DNI],_VF2025[R1]),"70 DNC")</f>
        <v>39</v>
      </c>
      <c r="Q136" s="13">
        <f>IFERROR(_xlfn.XLOOKUP(Selectivo[[#This Row],[DNI]],_VF2025[DNI],_VF2025[R2]),"70 DNC")</f>
        <v>26</v>
      </c>
      <c r="R136" s="13">
        <f>IFERROR(_xlfn.XLOOKUP(Selectivo[[#This Row],[DNI]],_VF2025[DNI],_VF2025[R3]),"70 DNC")</f>
        <v>53</v>
      </c>
      <c r="S136" s="13">
        <f>IFERROR(_xlfn.XLOOKUP(Selectivo[[#This Row],[DNI]],_VF2025[DNI],_VF2025[R4]),"70 DNC")</f>
        <v>39</v>
      </c>
      <c r="T136" s="13">
        <f>IFERROR(_xlfn.XLOOKUP(Selectivo[[#This Row],[DNI]],_VF2025[DNI],_VF2025[R5]),"70 DNC")</f>
        <v>36</v>
      </c>
      <c r="U136" s="12" t="str">
        <f>IFERROR(_xlfn.XLOOKUP(Selectivo[[#This Row],[DNI]],_VF2025[DNI],_VF2025[R6]),"70 DNC")</f>
        <v>70 BFD</v>
      </c>
      <c r="V136" s="13" t="str" cm="1">
        <f t="array" ref="V136">IFERROR(_xlfn.XLOOKUP(Selectivo[[#This Row],[Vela]],_xlfn.NUMBERVALUE(SIL25v2[Sail '#]),SIL25v2[1]),"90 DNC")</f>
        <v>49</v>
      </c>
      <c r="W136" s="13" t="str" cm="1">
        <f t="array" ref="W136">IFERROR(_xlfn.XLOOKUP(Selectivo[[#This Row],[Vela]],_xlfn.NUMBERVALUE(SIL25v2[Sail '#]),SIL25v2[2]),"90 DNC")</f>
        <v>62</v>
      </c>
      <c r="X136" s="13" t="str" cm="1">
        <f t="array" ref="X136">IFERROR(_xlfn.XLOOKUP(Selectivo[[#This Row],[Vela]],_xlfn.NUMBERVALUE(SIL25v2[Sail '#]),SIL25v2[3]),"90 DNC")</f>
        <v>61</v>
      </c>
      <c r="Y136" s="13" t="str" cm="1">
        <f t="array" ref="Y136">IFERROR(_xlfn.XLOOKUP(Selectivo[[#This Row],[Vela]],_xlfn.NUMBERVALUE(SIL25v2[Sail '#]),SIL25v2[4]),"90 DNC")</f>
        <v>38</v>
      </c>
      <c r="Z136" s="13" t="str" cm="1">
        <f t="array" ref="Z136">IFERROR(_xlfn.XLOOKUP(Selectivo[[#This Row],[Vela]],_xlfn.NUMBERVALUE(SIL25v2[Sail '#]),SIL25v2[5]),"90 DNC")</f>
        <v>35</v>
      </c>
      <c r="AA136" s="12" t="str" cm="1">
        <f t="array" ref="AA136">IFERROR(_xlfn.XLOOKUP(Selectivo[[#This Row],[Vela]],_xlfn.NUMBERVALUE(SIL25v2[Sail '#]),SIL25v2[6]),"90 DNC")</f>
        <v>68</v>
      </c>
      <c r="AB136" s="8" cm="1">
        <f t="array" ref="AB136">SUM(IFERROR(VALUE(LEFT(Regatas, FIND(" ",Regatas&amp; " ") - 1)), 0))</f>
        <v>1096</v>
      </c>
      <c r="AC136" s="9" cm="1">
        <f t="array" ref="AC13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896</v>
      </c>
      <c r="AD136" s="6">
        <f>SMALL(RegatasN,1)</f>
        <v>26</v>
      </c>
      <c r="AE136" s="6">
        <f>SMALL(RegatasN,2)</f>
        <v>35</v>
      </c>
      <c r="AF136" s="6">
        <f>SMALL(RegatasN,3)</f>
        <v>36</v>
      </c>
      <c r="AG136" s="5" cm="1">
        <f t="array" ref="AG136">COUNTIF(Regatas,SMALL(Regatas,1))</f>
        <v>1</v>
      </c>
      <c r="AH136" s="6" cm="1">
        <f t="array" ref="AH136">VALUE(LEFT(INDEX(Selectivo[#This Row],,MATCH(Selectivo[[#Headers],[Total]],Selectivo[#Headers],0)-1),SEARCH(" ",INDEX(Selectivo[#This Row],,MATCH(Selectivo[[#Headers],[Total]],Selectivo[#Headers],0)-1)&amp;" ")-1))</f>
        <v>68</v>
      </c>
    </row>
    <row r="137" spans="1:34" x14ac:dyDescent="0.25">
      <c r="A137">
        <v>52619617</v>
      </c>
      <c r="B137" s="10">
        <f>ROW()-ROW(Selectivo[[#Headers],[Pos]])</f>
        <v>131</v>
      </c>
      <c r="C137" s="5">
        <v>3123</v>
      </c>
      <c r="D137" t="s">
        <v>616</v>
      </c>
      <c r="E137" t="s">
        <v>44</v>
      </c>
      <c r="F137" s="13">
        <f>IFERROR(_xlfn.XLOOKUP(Selectivo[[#This Row],[DNI]],_SIY[DNI],_SIY[R1]),"78 DNC")</f>
        <v>26</v>
      </c>
      <c r="G137" s="13">
        <f>IFERROR(_xlfn.XLOOKUP(Selectivo[[#This Row],[DNI]],_SIY[DNI],_SIY[R2]),"78 DNC")</f>
        <v>43</v>
      </c>
      <c r="H137" s="13">
        <f>IFERROR(_xlfn.XLOOKUP(Selectivo[[#This Row],[DNI]],_SIY[DNI],_SIY[R3]),"78 DNC")</f>
        <v>25</v>
      </c>
      <c r="I137" s="12" t="str">
        <f>IFERROR(_xlfn.XLOOKUP(Selectivo[[#This Row],[DNI]],_SIY[DNI],_SIY[R4]),"78 DNC")</f>
        <v>77 DNC</v>
      </c>
      <c r="J137" s="12" t="str">
        <f>IFERROR(_xlfn.XLOOKUP(Selectivo[[#This Row],[DNI]],_SIY[DNI],_SIY[R5]),"78 DNC")</f>
        <v>77 DNC</v>
      </c>
      <c r="K137" s="13" t="str">
        <f>IFERROR(_xlfn.XLOOKUP(Selectivo[[#This Row],[DNI]],_SIY[DNI],_SIY[R6]),"78 DNC")</f>
        <v>77 DNC</v>
      </c>
      <c r="L137" s="13">
        <f>IFERROR(_xlfn.XLOOKUP(Selectivo[[#This Row],[DNI]],_SIY[DNI],_SIY[R7]),"78 DNC")</f>
        <v>32</v>
      </c>
      <c r="M137" s="13" t="str">
        <f>IFERROR(_xlfn.XLOOKUP(Selectivo[[#This Row],[DNI]],_SIY[DNI],_SIY[R8]),"78 DNC")</f>
        <v>77 BFD</v>
      </c>
      <c r="N137" s="13">
        <f>IFERROR(_xlfn.XLOOKUP(Selectivo[[#This Row],[DNI]],_SIY[DNI],_SIY[R9]),"78 DNC")</f>
        <v>57</v>
      </c>
      <c r="O137" s="13">
        <f>IFERROR(_xlfn.XLOOKUP(Selectivo[[#This Row],[DNI]],_SIY[DNI],_SIY[R10]),"78 DNC")</f>
        <v>22</v>
      </c>
      <c r="P137" s="13" t="str">
        <f>IFERROR(_xlfn.XLOOKUP(Selectivo[[#This Row],[DNI]],_VF2025[DNI],_VF2025[R1]),"70 DNC")</f>
        <v>70 DNF</v>
      </c>
      <c r="Q137" s="13">
        <f>IFERROR(_xlfn.XLOOKUP(Selectivo[[#This Row],[DNI]],_VF2025[DNI],_VF2025[R2]),"70 DNC")</f>
        <v>36</v>
      </c>
      <c r="R137" s="13">
        <f>IFERROR(_xlfn.XLOOKUP(Selectivo[[#This Row],[DNI]],_VF2025[DNI],_VF2025[R3]),"70 DNC")</f>
        <v>34</v>
      </c>
      <c r="S137" s="13" t="str">
        <f>IFERROR(_xlfn.XLOOKUP(Selectivo[[#This Row],[DNI]],_VF2025[DNI],_VF2025[R4]),"70 DNC")</f>
        <v>70 UFD</v>
      </c>
      <c r="T137" s="13" t="str">
        <f>IFERROR(_xlfn.XLOOKUP(Selectivo[[#This Row],[DNI]],_VF2025[DNI],_VF2025[R5]),"70 DNC")</f>
        <v>70 BFD</v>
      </c>
      <c r="U137" s="13" t="str">
        <f>IFERROR(_xlfn.XLOOKUP(Selectivo[[#This Row],[DNI]],_VF2025[DNI],_VF2025[R6]),"70 DNC")</f>
        <v>70 BFD</v>
      </c>
      <c r="V137" s="13" t="str" cm="1">
        <f t="array" ref="V137">IFERROR(_xlfn.XLOOKUP(Selectivo[[#This Row],[Vela]],_xlfn.NUMBERVALUE(SIL25v2[Sail '#]),SIL25v2[1]),"90 DNC")</f>
        <v>15</v>
      </c>
      <c r="W137" s="13" t="str" cm="1">
        <f t="array" ref="W137">IFERROR(_xlfn.XLOOKUP(Selectivo[[#This Row],[Vela]],_xlfn.NUMBERVALUE(SIL25v2[Sail '#]),SIL25v2[2]),"90 DNC")</f>
        <v>58</v>
      </c>
      <c r="X137" s="13" t="str" cm="1">
        <f t="array" ref="X137">IFERROR(_xlfn.XLOOKUP(Selectivo[[#This Row],[Vela]],_xlfn.NUMBERVALUE(SIL25v2[Sail '#]),SIL25v2[3]),"90 DNC")</f>
        <v>46</v>
      </c>
      <c r="Y137" s="13" t="str" cm="1">
        <f t="array" ref="Y137">IFERROR(_xlfn.XLOOKUP(Selectivo[[#This Row],[Vela]],_xlfn.NUMBERVALUE(SIL25v2[Sail '#]),SIL25v2[4]),"90 DNC")</f>
        <v>50</v>
      </c>
      <c r="Z137" s="12" t="str" cm="1">
        <f t="array" ref="Z137">IFERROR(_xlfn.XLOOKUP(Selectivo[[#This Row],[Vela]],_xlfn.NUMBERVALUE(SIL25v2[Sail '#]),SIL25v2[5]),"90 DNC")</f>
        <v>89 BFD</v>
      </c>
      <c r="AA137" s="13" t="str" cm="1">
        <f t="array" ref="AA137">IFERROR(_xlfn.XLOOKUP(Selectivo[[#This Row],[Vela]],_xlfn.NUMBERVALUE(SIL25v2[Sail '#]),SIL25v2[6]),"90 DNC")</f>
        <v>24</v>
      </c>
      <c r="AB137" s="8" cm="1">
        <f t="array" ref="AB137">SUM(IFERROR(VALUE(LEFT(Regatas, FIND(" ",Regatas&amp; " ") - 1)), 0))</f>
        <v>1145</v>
      </c>
      <c r="AC137" s="9" cm="1">
        <f t="array" ref="AC13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902</v>
      </c>
      <c r="AD137" s="6">
        <f>SMALL(RegatasN,1)</f>
        <v>15</v>
      </c>
      <c r="AE137" s="6">
        <f>SMALL(RegatasN,2)</f>
        <v>22</v>
      </c>
      <c r="AF137" s="6">
        <f>SMALL(RegatasN,3)</f>
        <v>24</v>
      </c>
      <c r="AG137" s="5" cm="1">
        <f t="array" ref="AG137">COUNTIF(Regatas,SMALL(Regatas,1))</f>
        <v>1</v>
      </c>
      <c r="AH137" s="6" cm="1">
        <f t="array" ref="AH137">VALUE(LEFT(INDEX(Selectivo[#This Row],,MATCH(Selectivo[[#Headers],[Total]],Selectivo[#Headers],0)-1),SEARCH(" ",INDEX(Selectivo[#This Row],,MATCH(Selectivo[[#Headers],[Total]],Selectivo[#Headers],0)-1)&amp;" ")-1))</f>
        <v>24</v>
      </c>
    </row>
    <row r="138" spans="1:34" x14ac:dyDescent="0.25">
      <c r="A138">
        <v>51582661</v>
      </c>
      <c r="B138" s="10">
        <f>ROW()-ROW(Selectivo[[#Headers],[Pos]])</f>
        <v>132</v>
      </c>
      <c r="C138" s="5">
        <v>4184</v>
      </c>
      <c r="D138" t="s">
        <v>653</v>
      </c>
      <c r="E138" t="s">
        <v>5</v>
      </c>
      <c r="F138" s="13">
        <f>IFERROR(_xlfn.XLOOKUP(Selectivo[[#This Row],[DNI]],_SIY[DNI],_SIY[R1]),"78 DNC")</f>
        <v>46</v>
      </c>
      <c r="G138" s="13">
        <f>IFERROR(_xlfn.XLOOKUP(Selectivo[[#This Row],[DNI]],_SIY[DNI],_SIY[R2]),"78 DNC")</f>
        <v>51</v>
      </c>
      <c r="H138" s="13">
        <f>IFERROR(_xlfn.XLOOKUP(Selectivo[[#This Row],[DNI]],_SIY[DNI],_SIY[R3]),"78 DNC")</f>
        <v>38</v>
      </c>
      <c r="I138" s="13">
        <f>IFERROR(_xlfn.XLOOKUP(Selectivo[[#This Row],[DNI]],_SIY[DNI],_SIY[R4]),"78 DNC")</f>
        <v>44</v>
      </c>
      <c r="J138" s="13">
        <f>IFERROR(_xlfn.XLOOKUP(Selectivo[[#This Row],[DNI]],_SIY[DNI],_SIY[R5]),"78 DNC")</f>
        <v>45</v>
      </c>
      <c r="K138" s="13">
        <f>IFERROR(_xlfn.XLOOKUP(Selectivo[[#This Row],[DNI]],_SIY[DNI],_SIY[R6]),"78 DNC")</f>
        <v>50</v>
      </c>
      <c r="L138" s="13">
        <f>IFERROR(_xlfn.XLOOKUP(Selectivo[[#This Row],[DNI]],_SIY[DNI],_SIY[R7]),"78 DNC")</f>
        <v>53</v>
      </c>
      <c r="M138" s="13">
        <f>IFERROR(_xlfn.XLOOKUP(Selectivo[[#This Row],[DNI]],_SIY[DNI],_SIY[R8]),"78 DNC")</f>
        <v>46</v>
      </c>
      <c r="N138" s="13">
        <f>IFERROR(_xlfn.XLOOKUP(Selectivo[[#This Row],[DNI]],_SIY[DNI],_SIY[R9]),"78 DNC")</f>
        <v>33</v>
      </c>
      <c r="O138" s="13">
        <f>IFERROR(_xlfn.XLOOKUP(Selectivo[[#This Row],[DNI]],_SIY[DNI],_SIY[R10]),"78 DNC")</f>
        <v>56</v>
      </c>
      <c r="P138" s="13" t="str">
        <f>IFERROR(_xlfn.XLOOKUP(Selectivo[[#This Row],[DNI]],_VF2025[DNI],_VF2025[R1]),"70 DNC")</f>
        <v>70 DNE</v>
      </c>
      <c r="Q138" s="13">
        <f>IFERROR(_xlfn.XLOOKUP(Selectivo[[#This Row],[DNI]],_VF2025[DNI],_VF2025[R2]),"70 DNC")</f>
        <v>46</v>
      </c>
      <c r="R138" s="13">
        <f>IFERROR(_xlfn.XLOOKUP(Selectivo[[#This Row],[DNI]],_VF2025[DNI],_VF2025[R3]),"70 DNC")</f>
        <v>49</v>
      </c>
      <c r="S138" s="13" t="str">
        <f>IFERROR(_xlfn.XLOOKUP(Selectivo[[#This Row],[DNI]],_VF2025[DNI],_VF2025[R4]),"70 DNC")</f>
        <v>70 DNC</v>
      </c>
      <c r="T138" s="13">
        <f>IFERROR(_xlfn.XLOOKUP(Selectivo[[#This Row],[DNI]],_VF2025[DNI],_VF2025[R5]),"70 DNC")</f>
        <v>39</v>
      </c>
      <c r="U138" s="13">
        <f>IFERROR(_xlfn.XLOOKUP(Selectivo[[#This Row],[DNI]],_VF2025[DNI],_VF2025[R6]),"70 DNC")</f>
        <v>28</v>
      </c>
      <c r="V138" s="13" t="str" cm="1">
        <f t="array" ref="V138">IFERROR(_xlfn.XLOOKUP(Selectivo[[#This Row],[Vela]],_xlfn.NUMBERVALUE(SIL25v2[Sail '#]),SIL25v2[1]),"90 DNC")</f>
        <v>68</v>
      </c>
      <c r="W138" s="13" t="str" cm="1">
        <f t="array" ref="W138">IFERROR(_xlfn.XLOOKUP(Selectivo[[#This Row],[Vela]],_xlfn.NUMBERVALUE(SIL25v2[Sail '#]),SIL25v2[2]),"90 DNC")</f>
        <v>30</v>
      </c>
      <c r="X138" s="12" t="str" cm="1">
        <f t="array" ref="X138">IFERROR(_xlfn.XLOOKUP(Selectivo[[#This Row],[Vela]],_xlfn.NUMBERVALUE(SIL25v2[Sail '#]),SIL25v2[3]),"90 DNC")</f>
        <v>89 BFD</v>
      </c>
      <c r="Y138" s="12" t="str" cm="1">
        <f t="array" ref="Y138">IFERROR(_xlfn.XLOOKUP(Selectivo[[#This Row],[Vela]],_xlfn.NUMBERVALUE(SIL25v2[Sail '#]),SIL25v2[4]),"90 DNC")</f>
        <v>71</v>
      </c>
      <c r="Z138" s="13" t="str" cm="1">
        <f t="array" ref="Z138">IFERROR(_xlfn.XLOOKUP(Selectivo[[#This Row],[Vela]],_xlfn.NUMBERVALUE(SIL25v2[Sail '#]),SIL25v2[5]),"90 DNC")</f>
        <v>42</v>
      </c>
      <c r="AA138" s="12" t="str" cm="1">
        <f t="array" ref="AA138">IFERROR(_xlfn.XLOOKUP(Selectivo[[#This Row],[Vela]],_xlfn.NUMBERVALUE(SIL25v2[Sail '#]),SIL25v2[6]),"90 DNC")</f>
        <v>89 DNF</v>
      </c>
      <c r="AB138" s="8" cm="1">
        <f t="array" ref="AB138">SUM(IFERROR(VALUE(LEFT(Regatas, FIND(" ",Regatas&amp; " ") - 1)), 0))</f>
        <v>1153</v>
      </c>
      <c r="AC138" s="9" cm="1">
        <f t="array" ref="AC13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904</v>
      </c>
      <c r="AD138" s="6">
        <f>SMALL(RegatasN,1)</f>
        <v>28</v>
      </c>
      <c r="AE138" s="6">
        <f>SMALL(RegatasN,2)</f>
        <v>30</v>
      </c>
      <c r="AF138" s="6">
        <f>SMALL(RegatasN,3)</f>
        <v>33</v>
      </c>
      <c r="AG138" s="5" cm="1">
        <f t="array" ref="AG138">COUNTIF(Regatas,SMALL(Regatas,1))</f>
        <v>1</v>
      </c>
      <c r="AH138" s="6" cm="1">
        <f t="array" ref="AH138">VALUE(LEFT(INDEX(Selectivo[#This Row],,MATCH(Selectivo[[#Headers],[Total]],Selectivo[#Headers],0)-1),SEARCH(" ",INDEX(Selectivo[#This Row],,MATCH(Selectivo[[#Headers],[Total]],Selectivo[#Headers],0)-1)&amp;" ")-1))</f>
        <v>89</v>
      </c>
    </row>
    <row r="139" spans="1:34" x14ac:dyDescent="0.25">
      <c r="A139">
        <v>49902633</v>
      </c>
      <c r="B139" s="10">
        <f>ROW()-ROW(Selectivo[[#Headers],[Pos]])</f>
        <v>133</v>
      </c>
      <c r="C139" s="5">
        <v>4083</v>
      </c>
      <c r="D139" t="s">
        <v>751</v>
      </c>
      <c r="E139" t="s">
        <v>31</v>
      </c>
      <c r="F139" s="13">
        <f>IFERROR(_xlfn.XLOOKUP(Selectivo[[#This Row],[DNI]],_SIY[DNI],_SIY[R1]),"78 DNC")</f>
        <v>65</v>
      </c>
      <c r="G139" s="13">
        <f>IFERROR(_xlfn.XLOOKUP(Selectivo[[#This Row],[DNI]],_SIY[DNI],_SIY[R2]),"78 DNC")</f>
        <v>66</v>
      </c>
      <c r="H139" s="13">
        <f>IFERROR(_xlfn.XLOOKUP(Selectivo[[#This Row],[DNI]],_SIY[DNI],_SIY[R3]),"78 DNC")</f>
        <v>58</v>
      </c>
      <c r="I139" s="13">
        <f>IFERROR(_xlfn.XLOOKUP(Selectivo[[#This Row],[DNI]],_SIY[DNI],_SIY[R4]),"78 DNC")</f>
        <v>45</v>
      </c>
      <c r="J139" s="13">
        <f>IFERROR(_xlfn.XLOOKUP(Selectivo[[#This Row],[DNI]],_SIY[DNI],_SIY[R5]),"78 DNC")</f>
        <v>53</v>
      </c>
      <c r="K139" s="13">
        <f>IFERROR(_xlfn.XLOOKUP(Selectivo[[#This Row],[DNI]],_SIY[DNI],_SIY[R6]),"78 DNC")</f>
        <v>38</v>
      </c>
      <c r="L139" s="13">
        <f>IFERROR(_xlfn.XLOOKUP(Selectivo[[#This Row],[DNI]],_SIY[DNI],_SIY[R7]),"78 DNC")</f>
        <v>63</v>
      </c>
      <c r="M139" s="13">
        <f>IFERROR(_xlfn.XLOOKUP(Selectivo[[#This Row],[DNI]],_SIY[DNI],_SIY[R8]),"78 DNC")</f>
        <v>38</v>
      </c>
      <c r="N139" s="13">
        <f>IFERROR(_xlfn.XLOOKUP(Selectivo[[#This Row],[DNI]],_SIY[DNI],_SIY[R9]),"78 DNC")</f>
        <v>63</v>
      </c>
      <c r="O139" s="13">
        <f>IFERROR(_xlfn.XLOOKUP(Selectivo[[#This Row],[DNI]],_SIY[DNI],_SIY[R10]),"78 DNC")</f>
        <v>59</v>
      </c>
      <c r="P139" s="13">
        <f>IFERROR(_xlfn.XLOOKUP(Selectivo[[#This Row],[DNI]],_VF2025[DNI],_VF2025[R1]),"70 DNC")</f>
        <v>53</v>
      </c>
      <c r="Q139" s="13">
        <f>IFERROR(_xlfn.XLOOKUP(Selectivo[[#This Row],[DNI]],_VF2025[DNI],_VF2025[R2]),"70 DNC")</f>
        <v>49</v>
      </c>
      <c r="R139" s="13">
        <f>IFERROR(_xlfn.XLOOKUP(Selectivo[[#This Row],[DNI]],_VF2025[DNI],_VF2025[R3]),"70 DNC")</f>
        <v>39</v>
      </c>
      <c r="S139" s="13">
        <f>IFERROR(_xlfn.XLOOKUP(Selectivo[[#This Row],[DNI]],_VF2025[DNI],_VF2025[R4]),"70 DNC")</f>
        <v>26</v>
      </c>
      <c r="T139" s="13">
        <f>IFERROR(_xlfn.XLOOKUP(Selectivo[[#This Row],[DNI]],_VF2025[DNI],_VF2025[R5]),"70 DNC")</f>
        <v>13</v>
      </c>
      <c r="U139" s="13">
        <f>IFERROR(_xlfn.XLOOKUP(Selectivo[[#This Row],[DNI]],_VF2025[DNI],_VF2025[R6]),"70 DNC")</f>
        <v>32</v>
      </c>
      <c r="V139" s="12" t="str" cm="1">
        <f t="array" ref="V139">IFERROR(_xlfn.XLOOKUP(Selectivo[[#This Row],[Vela]],_xlfn.NUMBERVALUE(SIL25v2[Sail '#]),SIL25v2[1]),"90 DNC")</f>
        <v>69</v>
      </c>
      <c r="W139" s="13" t="str" cm="1">
        <f t="array" ref="W139">IFERROR(_xlfn.XLOOKUP(Selectivo[[#This Row],[Vela]],_xlfn.NUMBERVALUE(SIL25v2[Sail '#]),SIL25v2[2]),"90 DNC")</f>
        <v>55</v>
      </c>
      <c r="X139" s="13" t="str" cm="1">
        <f t="array" ref="X139">IFERROR(_xlfn.XLOOKUP(Selectivo[[#This Row],[Vela]],_xlfn.NUMBERVALUE(SIL25v2[Sail '#]),SIL25v2[3]),"90 DNC")</f>
        <v>53</v>
      </c>
      <c r="Y139" s="12" t="str" cm="1">
        <f t="array" ref="Y139">IFERROR(_xlfn.XLOOKUP(Selectivo[[#This Row],[Vela]],_xlfn.NUMBERVALUE(SIL25v2[Sail '#]),SIL25v2[4]),"90 DNC")</f>
        <v>75</v>
      </c>
      <c r="Z139" s="12" t="str" cm="1">
        <f t="array" ref="Z139">IFERROR(_xlfn.XLOOKUP(Selectivo[[#This Row],[Vela]],_xlfn.NUMBERVALUE(SIL25v2[Sail '#]),SIL25v2[5]),"90 DNC")</f>
        <v>89 BFD</v>
      </c>
      <c r="AA139" s="13" t="str" cm="1">
        <f t="array" ref="AA139">IFERROR(_xlfn.XLOOKUP(Selectivo[[#This Row],[Vela]],_xlfn.NUMBERVALUE(SIL25v2[Sail '#]),SIL25v2[6]),"90 DNC")</f>
        <v>50</v>
      </c>
      <c r="AB139" s="8" cm="1">
        <f t="array" ref="AB139">SUM(IFERROR(VALUE(LEFT(Regatas, FIND(" ",Regatas&amp; " ") - 1)), 0))</f>
        <v>1151</v>
      </c>
      <c r="AC139" s="9" cm="1">
        <f t="array" ref="AC13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918</v>
      </c>
      <c r="AD139" s="6">
        <f>SMALL(RegatasN,1)</f>
        <v>13</v>
      </c>
      <c r="AE139" s="6">
        <f>SMALL(RegatasN,2)</f>
        <v>26</v>
      </c>
      <c r="AF139" s="6">
        <f>SMALL(RegatasN,3)</f>
        <v>32</v>
      </c>
      <c r="AG139" s="5" cm="1">
        <f t="array" ref="AG139">COUNTIF(Regatas,SMALL(Regatas,1))</f>
        <v>1</v>
      </c>
      <c r="AH139" s="6" cm="1">
        <f t="array" ref="AH139">VALUE(LEFT(INDEX(Selectivo[#This Row],,MATCH(Selectivo[[#Headers],[Total]],Selectivo[#Headers],0)-1),SEARCH(" ",INDEX(Selectivo[#This Row],,MATCH(Selectivo[[#Headers],[Total]],Selectivo[#Headers],0)-1)&amp;" ")-1))</f>
        <v>50</v>
      </c>
    </row>
    <row r="140" spans="1:34" x14ac:dyDescent="0.25">
      <c r="A140">
        <v>53084239</v>
      </c>
      <c r="B140" s="10">
        <f>ROW()-ROW(Selectivo[[#Headers],[Pos]])</f>
        <v>134</v>
      </c>
      <c r="C140" s="5">
        <v>3885</v>
      </c>
      <c r="D140" t="s">
        <v>590</v>
      </c>
      <c r="E140" t="s">
        <v>21</v>
      </c>
      <c r="F140" s="13">
        <f>IFERROR(_xlfn.XLOOKUP(Selectivo[[#This Row],[DNI]],_SIY[DNI],_SIY[R1]),"78 DNC")</f>
        <v>58</v>
      </c>
      <c r="G140" s="12" t="str">
        <f>IFERROR(_xlfn.XLOOKUP(Selectivo[[#This Row],[DNI]],_SIY[DNI],_SIY[R2]),"78 DNC")</f>
        <v>77 BFD</v>
      </c>
      <c r="H140" s="13">
        <f>IFERROR(_xlfn.XLOOKUP(Selectivo[[#This Row],[DNI]],_SIY[DNI],_SIY[R3]),"78 DNC")</f>
        <v>51</v>
      </c>
      <c r="I140" s="13">
        <f>IFERROR(_xlfn.XLOOKUP(Selectivo[[#This Row],[DNI]],_SIY[DNI],_SIY[R4]),"78 DNC")</f>
        <v>34</v>
      </c>
      <c r="J140" s="13">
        <f>IFERROR(_xlfn.XLOOKUP(Selectivo[[#This Row],[DNI]],_SIY[DNI],_SIY[R5]),"78 DNC")</f>
        <v>22</v>
      </c>
      <c r="K140" s="12" t="str">
        <f>IFERROR(_xlfn.XLOOKUP(Selectivo[[#This Row],[DNI]],_SIY[DNI],_SIY[R6]),"78 DNC")</f>
        <v>77 DNC</v>
      </c>
      <c r="L140" s="13">
        <f>IFERROR(_xlfn.XLOOKUP(Selectivo[[#This Row],[DNI]],_SIY[DNI],_SIY[R7]),"78 DNC")</f>
        <v>61</v>
      </c>
      <c r="M140" s="13">
        <f>IFERROR(_xlfn.XLOOKUP(Selectivo[[#This Row],[DNI]],_SIY[DNI],_SIY[R8]),"78 DNC")</f>
        <v>64</v>
      </c>
      <c r="N140" s="13">
        <f>IFERROR(_xlfn.XLOOKUP(Selectivo[[#This Row],[DNI]],_SIY[DNI],_SIY[R9]),"78 DNC")</f>
        <v>46</v>
      </c>
      <c r="O140" s="13">
        <f>IFERROR(_xlfn.XLOOKUP(Selectivo[[#This Row],[DNI]],_SIY[DNI],_SIY[R10]),"78 DNC")</f>
        <v>39</v>
      </c>
      <c r="P140" s="12" t="str">
        <f>IFERROR(_xlfn.XLOOKUP(Selectivo[[#This Row],[DNI]],_VF2025[DNI],_VF2025[R1]),"70 DNC")</f>
        <v>70 DNF</v>
      </c>
      <c r="Q140" s="13">
        <f>IFERROR(_xlfn.XLOOKUP(Selectivo[[#This Row],[DNI]],_VF2025[DNI],_VF2025[R2]),"70 DNC")</f>
        <v>44</v>
      </c>
      <c r="R140" s="13">
        <f>IFERROR(_xlfn.XLOOKUP(Selectivo[[#This Row],[DNI]],_VF2025[DNI],_VF2025[R3]),"70 DNC")</f>
        <v>58</v>
      </c>
      <c r="S140" s="13">
        <f>IFERROR(_xlfn.XLOOKUP(Selectivo[[#This Row],[DNI]],_VF2025[DNI],_VF2025[R4]),"70 DNC")</f>
        <v>60</v>
      </c>
      <c r="T140" s="13" t="str">
        <f>IFERROR(_xlfn.XLOOKUP(Selectivo[[#This Row],[DNI]],_VF2025[DNI],_VF2025[R5]),"70 DNC")</f>
        <v>70 BFD</v>
      </c>
      <c r="U140" s="13">
        <f>IFERROR(_xlfn.XLOOKUP(Selectivo[[#This Row],[DNI]],_VF2025[DNI],_VF2025[R6]),"70 DNC")</f>
        <v>42</v>
      </c>
      <c r="V140" s="13" t="str" cm="1">
        <f t="array" ref="V140">IFERROR(_xlfn.XLOOKUP(Selectivo[[#This Row],[Vela]],_xlfn.NUMBERVALUE(SIL25v2[Sail '#]),SIL25v2[1]),"90 DNC")</f>
        <v>59</v>
      </c>
      <c r="W140" s="13" t="str" cm="1">
        <f t="array" ref="W140">IFERROR(_xlfn.XLOOKUP(Selectivo[[#This Row],[Vela]],_xlfn.NUMBERVALUE(SIL25v2[Sail '#]),SIL25v2[2]),"90 DNC")</f>
        <v>51</v>
      </c>
      <c r="X140" s="13" t="str" cm="1">
        <f t="array" ref="X140">IFERROR(_xlfn.XLOOKUP(Selectivo[[#This Row],[Vela]],_xlfn.NUMBERVALUE(SIL25v2[Sail '#]),SIL25v2[3]),"90 DNC")</f>
        <v>19</v>
      </c>
      <c r="Y140" s="13" t="str" cm="1">
        <f t="array" ref="Y140">IFERROR(_xlfn.XLOOKUP(Selectivo[[#This Row],[Vela]],_xlfn.NUMBERVALUE(SIL25v2[Sail '#]),SIL25v2[4]),"90 DNC")</f>
        <v>43</v>
      </c>
      <c r="Z140" s="13" t="str" cm="1">
        <f t="array" ref="Z140">IFERROR(_xlfn.XLOOKUP(Selectivo[[#This Row],[Vela]],_xlfn.NUMBERVALUE(SIL25v2[Sail '#]),SIL25v2[5]),"90 DNC")</f>
        <v>51</v>
      </c>
      <c r="AA140" s="13" t="str" cm="1">
        <f t="array" ref="AA140">IFERROR(_xlfn.XLOOKUP(Selectivo[[#This Row],[Vela]],_xlfn.NUMBERVALUE(SIL25v2[Sail '#]),SIL25v2[6]),"90 DNC")</f>
        <v>48</v>
      </c>
      <c r="AB140" s="8" cm="1">
        <f t="array" ref="AB140">SUM(IFERROR(VALUE(LEFT(Regatas, FIND(" ",Regatas&amp; " ") - 1)), 0))</f>
        <v>1144</v>
      </c>
      <c r="AC140" s="9" cm="1">
        <f t="array" ref="AC14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920</v>
      </c>
      <c r="AD140" s="6">
        <f>SMALL(RegatasN,1)</f>
        <v>19</v>
      </c>
      <c r="AE140" s="6">
        <f>SMALL(RegatasN,2)</f>
        <v>22</v>
      </c>
      <c r="AF140" s="6">
        <f>SMALL(RegatasN,3)</f>
        <v>34</v>
      </c>
      <c r="AG140" s="5" cm="1">
        <f t="array" ref="AG140">COUNTIF(Regatas,SMALL(Regatas,1))</f>
        <v>1</v>
      </c>
      <c r="AH140" s="6" cm="1">
        <f t="array" ref="AH140">VALUE(LEFT(INDEX(Selectivo[#This Row],,MATCH(Selectivo[[#Headers],[Total]],Selectivo[#Headers],0)-1),SEARCH(" ",INDEX(Selectivo[#This Row],,MATCH(Selectivo[[#Headers],[Total]],Selectivo[#Headers],0)-1)&amp;" ")-1))</f>
        <v>48</v>
      </c>
    </row>
    <row r="141" spans="1:34" x14ac:dyDescent="0.25">
      <c r="A141">
        <v>52454489</v>
      </c>
      <c r="B141" s="10">
        <f>ROW()-ROW(Selectivo[[#Headers],[Pos]])</f>
        <v>135</v>
      </c>
      <c r="C141" s="5">
        <v>4173</v>
      </c>
      <c r="D141" t="s">
        <v>624</v>
      </c>
      <c r="E141" t="s">
        <v>5</v>
      </c>
      <c r="F141" s="13">
        <f>IFERROR(_xlfn.XLOOKUP(Selectivo[[#This Row],[DNI]],_SIY[DNI],_SIY[R1]),"78 DNC")</f>
        <v>70</v>
      </c>
      <c r="G141" s="13">
        <f>IFERROR(_xlfn.XLOOKUP(Selectivo[[#This Row],[DNI]],_SIY[DNI],_SIY[R2]),"78 DNC")</f>
        <v>47</v>
      </c>
      <c r="H141" s="13">
        <f>IFERROR(_xlfn.XLOOKUP(Selectivo[[#This Row],[DNI]],_SIY[DNI],_SIY[R3]),"78 DNC")</f>
        <v>57</v>
      </c>
      <c r="I141" s="13">
        <f>IFERROR(_xlfn.XLOOKUP(Selectivo[[#This Row],[DNI]],_SIY[DNI],_SIY[R4]),"78 DNC")</f>
        <v>60</v>
      </c>
      <c r="J141" s="13">
        <f>IFERROR(_xlfn.XLOOKUP(Selectivo[[#This Row],[DNI]],_SIY[DNI],_SIY[R5]),"78 DNC")</f>
        <v>51</v>
      </c>
      <c r="K141" s="13">
        <f>IFERROR(_xlfn.XLOOKUP(Selectivo[[#This Row],[DNI]],_SIY[DNI],_SIY[R6]),"78 DNC")</f>
        <v>55</v>
      </c>
      <c r="L141" s="12" t="str">
        <f>IFERROR(_xlfn.XLOOKUP(Selectivo[[#This Row],[DNI]],_SIY[DNI],_SIY[R7]),"78 DNC")</f>
        <v>77 DNC</v>
      </c>
      <c r="M141" s="13">
        <f>IFERROR(_xlfn.XLOOKUP(Selectivo[[#This Row],[DNI]],_SIY[DNI],_SIY[R8]),"78 DNC")</f>
        <v>38</v>
      </c>
      <c r="N141" s="12" t="str">
        <f>IFERROR(_xlfn.XLOOKUP(Selectivo[[#This Row],[DNI]],_SIY[DNI],_SIY[R9]),"78 DNC")</f>
        <v>77 UFD</v>
      </c>
      <c r="O141" s="13">
        <f>IFERROR(_xlfn.XLOOKUP(Selectivo[[#This Row],[DNI]],_SIY[DNI],_SIY[R10]),"78 DNC")</f>
        <v>31</v>
      </c>
      <c r="P141" s="13" t="str">
        <f>IFERROR(_xlfn.XLOOKUP(Selectivo[[#This Row],[DNI]],_VF2025[DNI],_VF2025[R1]),"70 DNC")</f>
        <v>70 DNF</v>
      </c>
      <c r="Q141" s="13" t="str">
        <f>IFERROR(_xlfn.XLOOKUP(Selectivo[[#This Row],[DNI]],_VF2025[DNI],_VF2025[R2]),"70 DNC")</f>
        <v>70 UFD</v>
      </c>
      <c r="R141" s="13">
        <f>IFERROR(_xlfn.XLOOKUP(Selectivo[[#This Row],[DNI]],_VF2025[DNI],_VF2025[R3]),"70 DNC")</f>
        <v>36</v>
      </c>
      <c r="S141" s="13">
        <f>IFERROR(_xlfn.XLOOKUP(Selectivo[[#This Row],[DNI]],_VF2025[DNI],_VF2025[R4]),"70 DNC")</f>
        <v>44</v>
      </c>
      <c r="T141" s="13" t="str">
        <f>IFERROR(_xlfn.XLOOKUP(Selectivo[[#This Row],[DNI]],_VF2025[DNI],_VF2025[R5]),"70 DNC")</f>
        <v>70 BFD</v>
      </c>
      <c r="U141" s="13" t="str">
        <f>IFERROR(_xlfn.XLOOKUP(Selectivo[[#This Row],[DNI]],_VF2025[DNI],_VF2025[R6]),"70 DNC")</f>
        <v>70 BFD</v>
      </c>
      <c r="V141" s="12" t="str" cm="1">
        <f t="array" ref="V141">IFERROR(_xlfn.XLOOKUP(Selectivo[[#This Row],[Vela]],_xlfn.NUMBERVALUE(SIL25v2[Sail '#]),SIL25v2[1]),"90 DNC")</f>
        <v>89 BFD</v>
      </c>
      <c r="W141" s="13" t="str" cm="1">
        <f t="array" ref="W141">IFERROR(_xlfn.XLOOKUP(Selectivo[[#This Row],[Vela]],_xlfn.NUMBERVALUE(SIL25v2[Sail '#]),SIL25v2[2]),"90 DNC")</f>
        <v>27</v>
      </c>
      <c r="X141" s="13" t="str" cm="1">
        <f t="array" ref="X141">IFERROR(_xlfn.XLOOKUP(Selectivo[[#This Row],[Vela]],_xlfn.NUMBERVALUE(SIL25v2[Sail '#]),SIL25v2[3]),"90 DNC")</f>
        <v>48</v>
      </c>
      <c r="Y141" s="13" t="str" cm="1">
        <f t="array" ref="Y141">IFERROR(_xlfn.XLOOKUP(Selectivo[[#This Row],[Vela]],_xlfn.NUMBERVALUE(SIL25v2[Sail '#]),SIL25v2[4]),"90 DNC")</f>
        <v>24</v>
      </c>
      <c r="Z141" s="13" t="str" cm="1">
        <f t="array" ref="Z141">IFERROR(_xlfn.XLOOKUP(Selectivo[[#This Row],[Vela]],_xlfn.NUMBERVALUE(SIL25v2[Sail '#]),SIL25v2[5]),"90 DNC")</f>
        <v>36</v>
      </c>
      <c r="AA141" s="13" t="str" cm="1">
        <f t="array" ref="AA141">IFERROR(_xlfn.XLOOKUP(Selectivo[[#This Row],[Vela]],_xlfn.NUMBERVALUE(SIL25v2[Sail '#]),SIL25v2[6]),"90 DNC")</f>
        <v>19</v>
      </c>
      <c r="AB141" s="8" cm="1">
        <f t="array" ref="AB141">SUM(IFERROR(VALUE(LEFT(Regatas, FIND(" ",Regatas&amp; " ") - 1)), 0))</f>
        <v>1166</v>
      </c>
      <c r="AC141" s="9" cm="1">
        <f t="array" ref="AC14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923</v>
      </c>
      <c r="AD141" s="6">
        <f>SMALL(RegatasN,1)</f>
        <v>19</v>
      </c>
      <c r="AE141" s="6">
        <f>SMALL(RegatasN,2)</f>
        <v>24</v>
      </c>
      <c r="AF141" s="6">
        <f>SMALL(RegatasN,3)</f>
        <v>27</v>
      </c>
      <c r="AG141" s="5" cm="1">
        <f t="array" ref="AG141">COUNTIF(Regatas,SMALL(Regatas,1))</f>
        <v>1</v>
      </c>
      <c r="AH141" s="6" cm="1">
        <f t="array" ref="AH141">VALUE(LEFT(INDEX(Selectivo[#This Row],,MATCH(Selectivo[[#Headers],[Total]],Selectivo[#Headers],0)-1),SEARCH(" ",INDEX(Selectivo[#This Row],,MATCH(Selectivo[[#Headers],[Total]],Selectivo[#Headers],0)-1)&amp;" ")-1))</f>
        <v>19</v>
      </c>
    </row>
    <row r="142" spans="1:34" x14ac:dyDescent="0.25">
      <c r="A142">
        <v>52441977</v>
      </c>
      <c r="B142" s="10">
        <f>ROW()-ROW(Selectivo[[#Headers],[Pos]])</f>
        <v>136</v>
      </c>
      <c r="C142" s="5">
        <v>3970</v>
      </c>
      <c r="D142" t="s">
        <v>621</v>
      </c>
      <c r="E142" t="s">
        <v>21</v>
      </c>
      <c r="F142" s="13">
        <f>IFERROR(_xlfn.XLOOKUP(Selectivo[[#This Row],[DNI]],_SIY[DNI],_SIY[R1]),"78 DNC")</f>
        <v>56</v>
      </c>
      <c r="G142" s="13">
        <f>IFERROR(_xlfn.XLOOKUP(Selectivo[[#This Row],[DNI]],_SIY[DNI],_SIY[R2]),"78 DNC")</f>
        <v>35</v>
      </c>
      <c r="H142" s="13">
        <f>IFERROR(_xlfn.XLOOKUP(Selectivo[[#This Row],[DNI]],_SIY[DNI],_SIY[R3]),"78 DNC")</f>
        <v>42</v>
      </c>
      <c r="I142" s="13">
        <f>IFERROR(_xlfn.XLOOKUP(Selectivo[[#This Row],[DNI]],_SIY[DNI],_SIY[R4]),"78 DNC")</f>
        <v>52</v>
      </c>
      <c r="J142" s="13">
        <f>IFERROR(_xlfn.XLOOKUP(Selectivo[[#This Row],[DNI]],_SIY[DNI],_SIY[R5]),"78 DNC")</f>
        <v>50</v>
      </c>
      <c r="K142" s="13">
        <f>IFERROR(_xlfn.XLOOKUP(Selectivo[[#This Row],[DNI]],_SIY[DNI],_SIY[R6]),"78 DNC")</f>
        <v>41</v>
      </c>
      <c r="L142" s="13">
        <f>IFERROR(_xlfn.XLOOKUP(Selectivo[[#This Row],[DNI]],_SIY[DNI],_SIY[R7]),"78 DNC")</f>
        <v>30</v>
      </c>
      <c r="M142" s="12" t="str">
        <f>IFERROR(_xlfn.XLOOKUP(Selectivo[[#This Row],[DNI]],_SIY[DNI],_SIY[R8]),"78 DNC")</f>
        <v>77 BFD</v>
      </c>
      <c r="N142" s="13">
        <f>IFERROR(_xlfn.XLOOKUP(Selectivo[[#This Row],[DNI]],_SIY[DNI],_SIY[R9]),"78 DNC")</f>
        <v>42</v>
      </c>
      <c r="O142" s="13">
        <f>IFERROR(_xlfn.XLOOKUP(Selectivo[[#This Row],[DNI]],_SIY[DNI],_SIY[R10]),"78 DNC")</f>
        <v>38</v>
      </c>
      <c r="P142" s="13" t="str">
        <f>IFERROR(_xlfn.XLOOKUP(Selectivo[[#This Row],[DNI]],_VF2025[DNI],_VF2025[R1]),"70 DNC")</f>
        <v>70 DNF</v>
      </c>
      <c r="Q142" s="13" t="str">
        <f>IFERROR(_xlfn.XLOOKUP(Selectivo[[#This Row],[DNI]],_VF2025[DNI],_VF2025[R2]),"70 DNC")</f>
        <v>70 UFD</v>
      </c>
      <c r="R142" s="13">
        <f>IFERROR(_xlfn.XLOOKUP(Selectivo[[#This Row],[DNI]],_VF2025[DNI],_VF2025[R3]),"70 DNC")</f>
        <v>51</v>
      </c>
      <c r="S142" s="13">
        <f>IFERROR(_xlfn.XLOOKUP(Selectivo[[#This Row],[DNI]],_VF2025[DNI],_VF2025[R4]),"70 DNC")</f>
        <v>50</v>
      </c>
      <c r="T142" s="13">
        <f>IFERROR(_xlfn.XLOOKUP(Selectivo[[#This Row],[DNI]],_VF2025[DNI],_VF2025[R5]),"70 DNC")</f>
        <v>38</v>
      </c>
      <c r="U142" s="13">
        <f>IFERROR(_xlfn.XLOOKUP(Selectivo[[#This Row],[DNI]],_VF2025[DNI],_VF2025[R6]),"70 DNC")</f>
        <v>7</v>
      </c>
      <c r="V142" s="12" t="str" cm="1">
        <f t="array" ref="V142">IFERROR(_xlfn.XLOOKUP(Selectivo[[#This Row],[Vela]],_xlfn.NUMBERVALUE(SIL25v2[Sail '#]),SIL25v2[1]),"90 DNC")</f>
        <v>89 BFD</v>
      </c>
      <c r="W142" s="13" t="str" cm="1">
        <f t="array" ref="W142">IFERROR(_xlfn.XLOOKUP(Selectivo[[#This Row],[Vela]],_xlfn.NUMBERVALUE(SIL25v2[Sail '#]),SIL25v2[2]),"90 DNC")</f>
        <v>68</v>
      </c>
      <c r="X142" s="13" t="str" cm="1">
        <f t="array" ref="X142">IFERROR(_xlfn.XLOOKUP(Selectivo[[#This Row],[Vela]],_xlfn.NUMBERVALUE(SIL25v2[Sail '#]),SIL25v2[3]),"90 DNC")</f>
        <v>60</v>
      </c>
      <c r="Y142" s="13" t="str" cm="1">
        <f t="array" ref="Y142">IFERROR(_xlfn.XLOOKUP(Selectivo[[#This Row],[Vela]],_xlfn.NUMBERVALUE(SIL25v2[Sail '#]),SIL25v2[4]),"90 DNC")</f>
        <v>74</v>
      </c>
      <c r="Z142" s="13" t="str" cm="1">
        <f t="array" ref="Z142">IFERROR(_xlfn.XLOOKUP(Selectivo[[#This Row],[Vela]],_xlfn.NUMBERVALUE(SIL25v2[Sail '#]),SIL25v2[5]),"90 DNC")</f>
        <v>58</v>
      </c>
      <c r="AA142" s="12" t="str" cm="1">
        <f t="array" ref="AA142">IFERROR(_xlfn.XLOOKUP(Selectivo[[#This Row],[Vela]],_xlfn.NUMBERVALUE(SIL25v2[Sail '#]),SIL25v2[6]),"90 DNC")</f>
        <v>89 BFD</v>
      </c>
      <c r="AB142" s="8" cm="1">
        <f t="array" ref="AB142">SUM(IFERROR(VALUE(LEFT(Regatas, FIND(" ",Regatas&amp; " ") - 1)), 0))</f>
        <v>1187</v>
      </c>
      <c r="AC142" s="9" cm="1">
        <f t="array" ref="AC14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932</v>
      </c>
      <c r="AD142" s="6">
        <f>SMALL(RegatasN,1)</f>
        <v>7</v>
      </c>
      <c r="AE142" s="6">
        <f>SMALL(RegatasN,2)</f>
        <v>30</v>
      </c>
      <c r="AF142" s="6">
        <f>SMALL(RegatasN,3)</f>
        <v>35</v>
      </c>
      <c r="AG142" s="5" cm="1">
        <f t="array" ref="AG142">COUNTIF(Regatas,SMALL(Regatas,1))</f>
        <v>1</v>
      </c>
      <c r="AH142" s="6" cm="1">
        <f t="array" ref="AH142">VALUE(LEFT(INDEX(Selectivo[#This Row],,MATCH(Selectivo[[#Headers],[Total]],Selectivo[#Headers],0)-1),SEARCH(" ",INDEX(Selectivo[#This Row],,MATCH(Selectivo[[#Headers],[Total]],Selectivo[#Headers],0)-1)&amp;" ")-1))</f>
        <v>89</v>
      </c>
    </row>
    <row r="143" spans="1:34" x14ac:dyDescent="0.25">
      <c r="A143">
        <v>50663025</v>
      </c>
      <c r="B143" s="10">
        <f>ROW()-ROW(Selectivo[[#Headers],[Pos]])</f>
        <v>137</v>
      </c>
      <c r="C143" s="5">
        <v>4105</v>
      </c>
      <c r="D143" t="s">
        <v>647</v>
      </c>
      <c r="E143" t="s">
        <v>63</v>
      </c>
      <c r="F143" s="13">
        <f>IFERROR(_xlfn.XLOOKUP(Selectivo[[#This Row],[DNI]],_SIY[DNI],_SIY[R1]),"78 DNC")</f>
        <v>37</v>
      </c>
      <c r="G143" s="13">
        <f>IFERROR(_xlfn.XLOOKUP(Selectivo[[#This Row],[DNI]],_SIY[DNI],_SIY[R2]),"78 DNC")</f>
        <v>46</v>
      </c>
      <c r="H143" s="13">
        <f>IFERROR(_xlfn.XLOOKUP(Selectivo[[#This Row],[DNI]],_SIY[DNI],_SIY[R3]),"78 DNC")</f>
        <v>46</v>
      </c>
      <c r="I143" s="13">
        <f>IFERROR(_xlfn.XLOOKUP(Selectivo[[#This Row],[DNI]],_SIY[DNI],_SIY[R4]),"78 DNC")</f>
        <v>24</v>
      </c>
      <c r="J143" s="13">
        <f>IFERROR(_xlfn.XLOOKUP(Selectivo[[#This Row],[DNI]],_SIY[DNI],_SIY[R5]),"78 DNC")</f>
        <v>52</v>
      </c>
      <c r="K143" s="13">
        <f>IFERROR(_xlfn.XLOOKUP(Selectivo[[#This Row],[DNI]],_SIY[DNI],_SIY[R6]),"78 DNC")</f>
        <v>37</v>
      </c>
      <c r="L143" s="13">
        <f>IFERROR(_xlfn.XLOOKUP(Selectivo[[#This Row],[DNI]],_SIY[DNI],_SIY[R7]),"78 DNC")</f>
        <v>46</v>
      </c>
      <c r="M143" s="13" t="str">
        <f>IFERROR(_xlfn.XLOOKUP(Selectivo[[#This Row],[DNI]],_SIY[DNI],_SIY[R8]),"78 DNC")</f>
        <v>77 BFD</v>
      </c>
      <c r="N143" s="13">
        <f>IFERROR(_xlfn.XLOOKUP(Selectivo[[#This Row],[DNI]],_SIY[DNI],_SIY[R9]),"78 DNC")</f>
        <v>27</v>
      </c>
      <c r="O143" s="13">
        <f>IFERROR(_xlfn.XLOOKUP(Selectivo[[#This Row],[DNI]],_SIY[DNI],_SIY[R10]),"78 DNC")</f>
        <v>30</v>
      </c>
      <c r="P143" s="13" t="str">
        <f>IFERROR(_xlfn.XLOOKUP(Selectivo[[#This Row],[DNI]],_VF2025[DNI],_VF2025[R1]),"70 DNC")</f>
        <v>70 DNF</v>
      </c>
      <c r="Q143" s="13">
        <f>IFERROR(_xlfn.XLOOKUP(Selectivo[[#This Row],[DNI]],_VF2025[DNI],_VF2025[R2]),"70 DNC")</f>
        <v>27</v>
      </c>
      <c r="R143" s="13">
        <f>IFERROR(_xlfn.XLOOKUP(Selectivo[[#This Row],[DNI]],_VF2025[DNI],_VF2025[R3]),"70 DNC")</f>
        <v>47</v>
      </c>
      <c r="S143" s="13">
        <f>IFERROR(_xlfn.XLOOKUP(Selectivo[[#This Row],[DNI]],_VF2025[DNI],_VF2025[R4]),"70 DNC")</f>
        <v>30</v>
      </c>
      <c r="T143" s="13">
        <f>IFERROR(_xlfn.XLOOKUP(Selectivo[[#This Row],[DNI]],_VF2025[DNI],_VF2025[R5]),"70 DNC")</f>
        <v>44</v>
      </c>
      <c r="U143" s="13">
        <f>IFERROR(_xlfn.XLOOKUP(Selectivo[[#This Row],[DNI]],_VF2025[DNI],_VF2025[R6]),"70 DNC")</f>
        <v>33</v>
      </c>
      <c r="V143" s="12" t="str" cm="1">
        <f t="array" ref="V143">IFERROR(_xlfn.XLOOKUP(Selectivo[[#This Row],[Vela]],_xlfn.NUMBERVALUE(SIL25v2[Sail '#]),SIL25v2[1]),"90 DNC")</f>
        <v>90 DNC</v>
      </c>
      <c r="W143" s="12" t="str" cm="1">
        <f t="array" ref="W143">IFERROR(_xlfn.XLOOKUP(Selectivo[[#This Row],[Vela]],_xlfn.NUMBERVALUE(SIL25v2[Sail '#]),SIL25v2[2]),"90 DNC")</f>
        <v>90 DNC</v>
      </c>
      <c r="X143" s="12" t="str" cm="1">
        <f t="array" ref="X143">IFERROR(_xlfn.XLOOKUP(Selectivo[[#This Row],[Vela]],_xlfn.NUMBERVALUE(SIL25v2[Sail '#]),SIL25v2[3]),"90 DNC")</f>
        <v>90 DNC</v>
      </c>
      <c r="Y143" s="13" t="str" cm="1">
        <f t="array" ref="Y143">IFERROR(_xlfn.XLOOKUP(Selectivo[[#This Row],[Vela]],_xlfn.NUMBERVALUE(SIL25v2[Sail '#]),SIL25v2[4]),"90 DNC")</f>
        <v>90 DNC</v>
      </c>
      <c r="Z143" s="13" t="str" cm="1">
        <f t="array" ref="Z143">IFERROR(_xlfn.XLOOKUP(Selectivo[[#This Row],[Vela]],_xlfn.NUMBERVALUE(SIL25v2[Sail '#]),SIL25v2[5]),"90 DNC")</f>
        <v>90 DNC</v>
      </c>
      <c r="AA143" s="13" t="str" cm="1">
        <f t="array" ref="AA143">IFERROR(_xlfn.XLOOKUP(Selectivo[[#This Row],[Vela]],_xlfn.NUMBERVALUE(SIL25v2[Sail '#]),SIL25v2[6]),"90 DNC")</f>
        <v>90 DNC</v>
      </c>
      <c r="AB143" s="8" cm="1">
        <f t="array" ref="AB143">SUM(IFERROR(VALUE(LEFT(Regatas, FIND(" ",Regatas&amp; " ") - 1)), 0))</f>
        <v>1213</v>
      </c>
      <c r="AC143" s="9" cm="1">
        <f t="array" ref="AC14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943</v>
      </c>
      <c r="AD143" s="6">
        <f>SMALL(RegatasN,1)</f>
        <v>24</v>
      </c>
      <c r="AE143" s="6">
        <f>SMALL(RegatasN,2)</f>
        <v>27</v>
      </c>
      <c r="AF143" s="6">
        <f>SMALL(RegatasN,3)</f>
        <v>27</v>
      </c>
      <c r="AG143" s="5" cm="1">
        <f t="array" ref="AG143">COUNTIF(Regatas,SMALL(Regatas,1))</f>
        <v>1</v>
      </c>
      <c r="AH143" s="6" cm="1">
        <f t="array" ref="AH143">VALUE(LEFT(INDEX(Selectivo[#This Row],,MATCH(Selectivo[[#Headers],[Total]],Selectivo[#Headers],0)-1),SEARCH(" ",INDEX(Selectivo[#This Row],,MATCH(Selectivo[[#Headers],[Total]],Selectivo[#Headers],0)-1)&amp;" ")-1))</f>
        <v>90</v>
      </c>
    </row>
    <row r="144" spans="1:34" x14ac:dyDescent="0.25">
      <c r="A144">
        <v>50487891</v>
      </c>
      <c r="B144" s="10">
        <f>ROW()-ROW(Selectivo[[#Headers],[Pos]])</f>
        <v>138</v>
      </c>
      <c r="C144" s="5">
        <v>3826</v>
      </c>
      <c r="D144" t="s">
        <v>611</v>
      </c>
      <c r="E144" t="s">
        <v>23</v>
      </c>
      <c r="F144" s="13">
        <f>IFERROR(_xlfn.XLOOKUP(Selectivo[[#This Row],[DNI]],_SIY[DNI],_SIY[R1]),"78 DNC")</f>
        <v>40</v>
      </c>
      <c r="G144" s="13">
        <f>IFERROR(_xlfn.XLOOKUP(Selectivo[[#This Row],[DNI]],_SIY[DNI],_SIY[R2]),"78 DNC")</f>
        <v>10</v>
      </c>
      <c r="H144" s="13">
        <f>IFERROR(_xlfn.XLOOKUP(Selectivo[[#This Row],[DNI]],_SIY[DNI],_SIY[R3]),"78 DNC")</f>
        <v>16</v>
      </c>
      <c r="I144" s="13">
        <f>IFERROR(_xlfn.XLOOKUP(Selectivo[[#This Row],[DNI]],_SIY[DNI],_SIY[R4]),"78 DNC")</f>
        <v>21</v>
      </c>
      <c r="J144" s="13">
        <f>IFERROR(_xlfn.XLOOKUP(Selectivo[[#This Row],[DNI]],_SIY[DNI],_SIY[R5]),"78 DNC")</f>
        <v>27</v>
      </c>
      <c r="K144" s="13">
        <f>IFERROR(_xlfn.XLOOKUP(Selectivo[[#This Row],[DNI]],_SIY[DNI],_SIY[R6]),"78 DNC")</f>
        <v>31</v>
      </c>
      <c r="L144" s="13">
        <f>IFERROR(_xlfn.XLOOKUP(Selectivo[[#This Row],[DNI]],_SIY[DNI],_SIY[R7]),"78 DNC")</f>
        <v>60</v>
      </c>
      <c r="M144" s="13" t="str">
        <f>IFERROR(_xlfn.XLOOKUP(Selectivo[[#This Row],[DNI]],_SIY[DNI],_SIY[R8]),"78 DNC")</f>
        <v>77 BFD</v>
      </c>
      <c r="N144" s="13">
        <f>IFERROR(_xlfn.XLOOKUP(Selectivo[[#This Row],[DNI]],_SIY[DNI],_SIY[R9]),"78 DNC")</f>
        <v>53</v>
      </c>
      <c r="O144" s="13">
        <f>IFERROR(_xlfn.XLOOKUP(Selectivo[[#This Row],[DNI]],_SIY[DNI],_SIY[R10]),"78 DNC")</f>
        <v>41</v>
      </c>
      <c r="P144" s="13" t="str">
        <f>IFERROR(_xlfn.XLOOKUP(Selectivo[[#This Row],[DNI]],_VF2025[DNI],_VF2025[R1]),"70 DNC")</f>
        <v>70 DNF</v>
      </c>
      <c r="Q144" s="13">
        <f>IFERROR(_xlfn.XLOOKUP(Selectivo[[#This Row],[DNI]],_VF2025[DNI],_VF2025[R2]),"70 DNC")</f>
        <v>36</v>
      </c>
      <c r="R144" s="13">
        <f>IFERROR(_xlfn.XLOOKUP(Selectivo[[#This Row],[DNI]],_VF2025[DNI],_VF2025[R3]),"70 DNC")</f>
        <v>52</v>
      </c>
      <c r="S144" s="13">
        <f>IFERROR(_xlfn.XLOOKUP(Selectivo[[#This Row],[DNI]],_VF2025[DNI],_VF2025[R4]),"70 DNC")</f>
        <v>42</v>
      </c>
      <c r="T144" s="13" t="str">
        <f>IFERROR(_xlfn.XLOOKUP(Selectivo[[#This Row],[DNI]],_VF2025[DNI],_VF2025[R5]),"70 DNC")</f>
        <v>70 BFD</v>
      </c>
      <c r="U144" s="13">
        <f>IFERROR(_xlfn.XLOOKUP(Selectivo[[#This Row],[DNI]],_VF2025[DNI],_VF2025[R6]),"70 DNC")</f>
        <v>28</v>
      </c>
      <c r="V144" s="12" t="str" cm="1">
        <f t="array" ref="V144">IFERROR(_xlfn.XLOOKUP(Selectivo[[#This Row],[Vela]],_xlfn.NUMBERVALUE(SIL25v2[Sail '#]),SIL25v2[1]),"90 DNC")</f>
        <v>90 DNC</v>
      </c>
      <c r="W144" s="12" t="str" cm="1">
        <f t="array" ref="W144">IFERROR(_xlfn.XLOOKUP(Selectivo[[#This Row],[Vela]],_xlfn.NUMBERVALUE(SIL25v2[Sail '#]),SIL25v2[2]),"90 DNC")</f>
        <v>90 DNC</v>
      </c>
      <c r="X144" s="12" t="str" cm="1">
        <f t="array" ref="X144">IFERROR(_xlfn.XLOOKUP(Selectivo[[#This Row],[Vela]],_xlfn.NUMBERVALUE(SIL25v2[Sail '#]),SIL25v2[3]),"90 DNC")</f>
        <v>90 DNC</v>
      </c>
      <c r="Y144" s="13" t="str" cm="1">
        <f t="array" ref="Y144">IFERROR(_xlfn.XLOOKUP(Selectivo[[#This Row],[Vela]],_xlfn.NUMBERVALUE(SIL25v2[Sail '#]),SIL25v2[4]),"90 DNC")</f>
        <v>90 DNC</v>
      </c>
      <c r="Z144" s="13" t="str" cm="1">
        <f t="array" ref="Z144">IFERROR(_xlfn.XLOOKUP(Selectivo[[#This Row],[Vela]],_xlfn.NUMBERVALUE(SIL25v2[Sail '#]),SIL25v2[5]),"90 DNC")</f>
        <v>90 DNC</v>
      </c>
      <c r="AA144" s="13" t="str" cm="1">
        <f t="array" ref="AA144">IFERROR(_xlfn.XLOOKUP(Selectivo[[#This Row],[Vela]],_xlfn.NUMBERVALUE(SIL25v2[Sail '#]),SIL25v2[6]),"90 DNC")</f>
        <v>90 DNC</v>
      </c>
      <c r="AB144" s="8" cm="1">
        <f t="array" ref="AB144">SUM(IFERROR(VALUE(LEFT(Regatas, FIND(" ",Regatas&amp; " ") - 1)), 0))</f>
        <v>1214</v>
      </c>
      <c r="AC144" s="9" cm="1">
        <f t="array" ref="AC14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944</v>
      </c>
      <c r="AD144" s="6">
        <f>SMALL(RegatasN,1)</f>
        <v>10</v>
      </c>
      <c r="AE144" s="6">
        <f>SMALL(RegatasN,2)</f>
        <v>16</v>
      </c>
      <c r="AF144" s="6">
        <f>SMALL(RegatasN,3)</f>
        <v>21</v>
      </c>
      <c r="AG144" s="5" cm="1">
        <f t="array" ref="AG144">COUNTIF(Regatas,SMALL(Regatas,1))</f>
        <v>1</v>
      </c>
      <c r="AH144" s="6" cm="1">
        <f t="array" ref="AH144">VALUE(LEFT(INDEX(Selectivo[#This Row],,MATCH(Selectivo[[#Headers],[Total]],Selectivo[#Headers],0)-1),SEARCH(" ",INDEX(Selectivo[#This Row],,MATCH(Selectivo[[#Headers],[Total]],Selectivo[#Headers],0)-1)&amp;" ")-1))</f>
        <v>90</v>
      </c>
    </row>
    <row r="145" spans="1:34" x14ac:dyDescent="0.25">
      <c r="A145">
        <v>50701994</v>
      </c>
      <c r="B145" s="10">
        <f>ROW()-ROW(Selectivo[[#Headers],[Pos]])</f>
        <v>139</v>
      </c>
      <c r="C145" s="5">
        <v>4207</v>
      </c>
      <c r="D145" t="s">
        <v>720</v>
      </c>
      <c r="E145" t="s">
        <v>9</v>
      </c>
      <c r="F145" s="13" t="str">
        <f>IFERROR(_xlfn.XLOOKUP(Selectivo[[#This Row],[DNI]],_SIY[DNI],_SIY[R1]),"78 DNC")</f>
        <v>77 UFD</v>
      </c>
      <c r="G145" s="13">
        <f>IFERROR(_xlfn.XLOOKUP(Selectivo[[#This Row],[DNI]],_SIY[DNI],_SIY[R2]),"78 DNC")</f>
        <v>50</v>
      </c>
      <c r="H145" s="13">
        <f>IFERROR(_xlfn.XLOOKUP(Selectivo[[#This Row],[DNI]],_SIY[DNI],_SIY[R3]),"78 DNC")</f>
        <v>34</v>
      </c>
      <c r="I145" s="13">
        <f>IFERROR(_xlfn.XLOOKUP(Selectivo[[#This Row],[DNI]],_SIY[DNI],_SIY[R4]),"78 DNC")</f>
        <v>49</v>
      </c>
      <c r="J145" s="13">
        <f>IFERROR(_xlfn.XLOOKUP(Selectivo[[#This Row],[DNI]],_SIY[DNI],_SIY[R5]),"78 DNC")</f>
        <v>40</v>
      </c>
      <c r="K145" s="13">
        <f>IFERROR(_xlfn.XLOOKUP(Selectivo[[#This Row],[DNI]],_SIY[DNI],_SIY[R6]),"78 DNC")</f>
        <v>22</v>
      </c>
      <c r="L145" s="13">
        <f>IFERROR(_xlfn.XLOOKUP(Selectivo[[#This Row],[DNI]],_SIY[DNI],_SIY[R7]),"78 DNC")</f>
        <v>63</v>
      </c>
      <c r="M145" s="13">
        <f>IFERROR(_xlfn.XLOOKUP(Selectivo[[#This Row],[DNI]],_SIY[DNI],_SIY[R8]),"78 DNC")</f>
        <v>55</v>
      </c>
      <c r="N145" s="13">
        <f>IFERROR(_xlfn.XLOOKUP(Selectivo[[#This Row],[DNI]],_SIY[DNI],_SIY[R9]),"78 DNC")</f>
        <v>41</v>
      </c>
      <c r="O145" s="13">
        <f>IFERROR(_xlfn.XLOOKUP(Selectivo[[#This Row],[DNI]],_SIY[DNI],_SIY[R10]),"78 DNC")</f>
        <v>37</v>
      </c>
      <c r="P145" s="13" t="str">
        <f>IFERROR(_xlfn.XLOOKUP(Selectivo[[#This Row],[DNI]],_VF2025[DNI],_VF2025[R1]),"70 DNC")</f>
        <v>70 DNF</v>
      </c>
      <c r="Q145" s="13" t="str">
        <f>IFERROR(_xlfn.XLOOKUP(Selectivo[[#This Row],[DNI]],_VF2025[DNI],_VF2025[R2]),"70 DNC")</f>
        <v>70 BFD</v>
      </c>
      <c r="R145" s="13">
        <f>IFERROR(_xlfn.XLOOKUP(Selectivo[[#This Row],[DNI]],_VF2025[DNI],_VF2025[R3]),"70 DNC")</f>
        <v>8</v>
      </c>
      <c r="S145" s="13">
        <f>IFERROR(_xlfn.XLOOKUP(Selectivo[[#This Row],[DNI]],_VF2025[DNI],_VF2025[R4]),"70 DNC")</f>
        <v>43</v>
      </c>
      <c r="T145" s="13">
        <f>IFERROR(_xlfn.XLOOKUP(Selectivo[[#This Row],[DNI]],_VF2025[DNI],_VF2025[R5]),"70 DNC")</f>
        <v>7</v>
      </c>
      <c r="U145" s="13">
        <f>IFERROR(_xlfn.XLOOKUP(Selectivo[[#This Row],[DNI]],_VF2025[DNI],_VF2025[R6]),"70 DNC")</f>
        <v>10</v>
      </c>
      <c r="V145" s="12" t="str" cm="1">
        <f t="array" ref="V145">IFERROR(_xlfn.XLOOKUP(Selectivo[[#This Row],[Vela]],_xlfn.NUMBERVALUE(SIL25v2[Sail '#]),SIL25v2[1]),"90 DNC")</f>
        <v>90 DNC</v>
      </c>
      <c r="W145" s="12" t="str" cm="1">
        <f t="array" ref="W145">IFERROR(_xlfn.XLOOKUP(Selectivo[[#This Row],[Vela]],_xlfn.NUMBERVALUE(SIL25v2[Sail '#]),SIL25v2[2]),"90 DNC")</f>
        <v>90 DNC</v>
      </c>
      <c r="X145" s="12" t="str" cm="1">
        <f t="array" ref="X145">IFERROR(_xlfn.XLOOKUP(Selectivo[[#This Row],[Vela]],_xlfn.NUMBERVALUE(SIL25v2[Sail '#]),SIL25v2[3]),"90 DNC")</f>
        <v>90 DNC</v>
      </c>
      <c r="Y145" s="13" t="str" cm="1">
        <f t="array" ref="Y145">IFERROR(_xlfn.XLOOKUP(Selectivo[[#This Row],[Vela]],_xlfn.NUMBERVALUE(SIL25v2[Sail '#]),SIL25v2[4]),"90 DNC")</f>
        <v>90 DNC</v>
      </c>
      <c r="Z145" s="13" t="str" cm="1">
        <f t="array" ref="Z145">IFERROR(_xlfn.XLOOKUP(Selectivo[[#This Row],[Vela]],_xlfn.NUMBERVALUE(SIL25v2[Sail '#]),SIL25v2[5]),"90 DNC")</f>
        <v>90 DNC</v>
      </c>
      <c r="AA145" s="13" t="str" cm="1">
        <f t="array" ref="AA145">IFERROR(_xlfn.XLOOKUP(Selectivo[[#This Row],[Vela]],_xlfn.NUMBERVALUE(SIL25v2[Sail '#]),SIL25v2[6]),"90 DNC")</f>
        <v>90 DNC</v>
      </c>
      <c r="AB145" s="8" cm="1">
        <f t="array" ref="AB145">SUM(IFERROR(VALUE(LEFT(Regatas, FIND(" ",Regatas&amp; " ") - 1)), 0))</f>
        <v>1216</v>
      </c>
      <c r="AC145" s="9" cm="1">
        <f t="array" ref="AC14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946</v>
      </c>
      <c r="AD145" s="6">
        <f>SMALL(RegatasN,1)</f>
        <v>7</v>
      </c>
      <c r="AE145" s="6">
        <f>SMALL(RegatasN,2)</f>
        <v>8</v>
      </c>
      <c r="AF145" s="6">
        <f>SMALL(RegatasN,3)</f>
        <v>10</v>
      </c>
      <c r="AG145" s="5" cm="1">
        <f t="array" ref="AG145">COUNTIF(Regatas,SMALL(Regatas,1))</f>
        <v>1</v>
      </c>
      <c r="AH145" s="6" cm="1">
        <f t="array" ref="AH145">VALUE(LEFT(INDEX(Selectivo[#This Row],,MATCH(Selectivo[[#Headers],[Total]],Selectivo[#Headers],0)-1),SEARCH(" ",INDEX(Selectivo[#This Row],,MATCH(Selectivo[[#Headers],[Total]],Selectivo[#Headers],0)-1)&amp;" ")-1))</f>
        <v>90</v>
      </c>
    </row>
    <row r="146" spans="1:34" x14ac:dyDescent="0.25">
      <c r="A146">
        <v>52790163</v>
      </c>
      <c r="B146" s="10">
        <f>ROW()-ROW(Selectivo[[#Headers],[Pos]])</f>
        <v>140</v>
      </c>
      <c r="C146" s="5">
        <v>4191</v>
      </c>
      <c r="D146" t="s">
        <v>665</v>
      </c>
      <c r="E146" t="s">
        <v>5</v>
      </c>
      <c r="F146" s="13">
        <f>IFERROR(_xlfn.XLOOKUP(Selectivo[[#This Row],[DNI]],_SIY[DNI],_SIY[R1]),"78 DNC")</f>
        <v>42</v>
      </c>
      <c r="G146" s="13">
        <f>IFERROR(_xlfn.XLOOKUP(Selectivo[[#This Row],[DNI]],_SIY[DNI],_SIY[R2]),"78 DNC")</f>
        <v>44</v>
      </c>
      <c r="H146" s="13">
        <f>IFERROR(_xlfn.XLOOKUP(Selectivo[[#This Row],[DNI]],_SIY[DNI],_SIY[R3]),"78 DNC")</f>
        <v>33</v>
      </c>
      <c r="I146" s="13">
        <f>IFERROR(_xlfn.XLOOKUP(Selectivo[[#This Row],[DNI]],_SIY[DNI],_SIY[R4]),"78 DNC")</f>
        <v>44</v>
      </c>
      <c r="J146" s="13">
        <f>IFERROR(_xlfn.XLOOKUP(Selectivo[[#This Row],[DNI]],_SIY[DNI],_SIY[R5]),"78 DNC")</f>
        <v>38</v>
      </c>
      <c r="K146" s="13">
        <f>IFERROR(_xlfn.XLOOKUP(Selectivo[[#This Row],[DNI]],_SIY[DNI],_SIY[R6]),"78 DNC")</f>
        <v>47</v>
      </c>
      <c r="L146" s="13">
        <f>IFERROR(_xlfn.XLOOKUP(Selectivo[[#This Row],[DNI]],_SIY[DNI],_SIY[R7]),"78 DNC")</f>
        <v>49</v>
      </c>
      <c r="M146" s="12" t="str">
        <f>IFERROR(_xlfn.XLOOKUP(Selectivo[[#This Row],[DNI]],_SIY[DNI],_SIY[R8]),"78 DNC")</f>
        <v>77 BFD</v>
      </c>
      <c r="N146" s="13">
        <f>IFERROR(_xlfn.XLOOKUP(Selectivo[[#This Row],[DNI]],_SIY[DNI],_SIY[R9]),"78 DNC")</f>
        <v>64</v>
      </c>
      <c r="O146" s="13">
        <f>IFERROR(_xlfn.XLOOKUP(Selectivo[[#This Row],[DNI]],_SIY[DNI],_SIY[R10]),"78 DNC")</f>
        <v>54</v>
      </c>
      <c r="P146" s="12" t="str">
        <f>IFERROR(_xlfn.XLOOKUP(Selectivo[[#This Row],[DNI]],_VF2025[DNI],_VF2025[R1]),"70 DNC")</f>
        <v>70 DNF</v>
      </c>
      <c r="Q146" s="13">
        <f>IFERROR(_xlfn.XLOOKUP(Selectivo[[#This Row],[DNI]],_VF2025[DNI],_VF2025[R2]),"70 DNC")</f>
        <v>51</v>
      </c>
      <c r="R146" s="13">
        <f>IFERROR(_xlfn.XLOOKUP(Selectivo[[#This Row],[DNI]],_VF2025[DNI],_VF2025[R3]),"70 DNC")</f>
        <v>33</v>
      </c>
      <c r="S146" s="13">
        <f>IFERROR(_xlfn.XLOOKUP(Selectivo[[#This Row],[DNI]],_VF2025[DNI],_VF2025[R4]),"70 DNC")</f>
        <v>38</v>
      </c>
      <c r="T146" s="13">
        <f>IFERROR(_xlfn.XLOOKUP(Selectivo[[#This Row],[DNI]],_VF2025[DNI],_VF2025[R5]),"70 DNC")</f>
        <v>33</v>
      </c>
      <c r="U146" s="13">
        <f>IFERROR(_xlfn.XLOOKUP(Selectivo[[#This Row],[DNI]],_VF2025[DNI],_VF2025[R6]),"70 DNC")</f>
        <v>48</v>
      </c>
      <c r="V146" s="13" t="str" cm="1">
        <f t="array" ref="V146">IFERROR(_xlfn.XLOOKUP(Selectivo[[#This Row],[Vela]],_xlfn.NUMBERVALUE(SIL25v2[Sail '#]),SIL25v2[1]),"90 DNC")</f>
        <v>70</v>
      </c>
      <c r="W146" s="13" t="str" cm="1">
        <f t="array" ref="W146">IFERROR(_xlfn.XLOOKUP(Selectivo[[#This Row],[Vela]],_xlfn.NUMBERVALUE(SIL25v2[Sail '#]),SIL25v2[2]),"90 DNC")</f>
        <v>66</v>
      </c>
      <c r="X146" s="13" t="str" cm="1">
        <f t="array" ref="X146">IFERROR(_xlfn.XLOOKUP(Selectivo[[#This Row],[Vela]],_xlfn.NUMBERVALUE(SIL25v2[Sail '#]),SIL25v2[3]),"90 DNC")</f>
        <v>66</v>
      </c>
      <c r="Y146" s="12" t="str" cm="1">
        <f t="array" ref="Y146">IFERROR(_xlfn.XLOOKUP(Selectivo[[#This Row],[Vela]],_xlfn.NUMBERVALUE(SIL25v2[Sail '#]),SIL25v2[4]),"90 DNC")</f>
        <v>82</v>
      </c>
      <c r="Z146" s="13" t="str" cm="1">
        <f t="array" ref="Z146">IFERROR(_xlfn.XLOOKUP(Selectivo[[#This Row],[Vela]],_xlfn.NUMBERVALUE(SIL25v2[Sail '#]),SIL25v2[5]),"90 DNC")</f>
        <v>68</v>
      </c>
      <c r="AA146" s="13" t="str" cm="1">
        <f t="array" ref="AA146">IFERROR(_xlfn.XLOOKUP(Selectivo[[#This Row],[Vela]],_xlfn.NUMBERVALUE(SIL25v2[Sail '#]),SIL25v2[6]),"90 DNC")</f>
        <v>65</v>
      </c>
      <c r="AB146" s="8" cm="1">
        <f t="array" ref="AB146">SUM(IFERROR(VALUE(LEFT(Regatas, FIND(" ",Regatas&amp; " ") - 1)), 0))</f>
        <v>1182</v>
      </c>
      <c r="AC146" s="9" cm="1">
        <f t="array" ref="AC14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953</v>
      </c>
      <c r="AD146" s="6">
        <f>SMALL(RegatasN,1)</f>
        <v>33</v>
      </c>
      <c r="AE146" s="6">
        <f>SMALL(RegatasN,2)</f>
        <v>33</v>
      </c>
      <c r="AF146" s="6">
        <f>SMALL(RegatasN,3)</f>
        <v>33</v>
      </c>
      <c r="AG146" s="5" cm="1">
        <f t="array" ref="AG146">COUNTIF(Regatas,SMALL(Regatas,1))</f>
        <v>3</v>
      </c>
      <c r="AH146" s="6" cm="1">
        <f t="array" ref="AH146">VALUE(LEFT(INDEX(Selectivo[#This Row],,MATCH(Selectivo[[#Headers],[Total]],Selectivo[#Headers],0)-1),SEARCH(" ",INDEX(Selectivo[#This Row],,MATCH(Selectivo[[#Headers],[Total]],Selectivo[#Headers],0)-1)&amp;" ")-1))</f>
        <v>65</v>
      </c>
    </row>
    <row r="147" spans="1:34" x14ac:dyDescent="0.25">
      <c r="A147">
        <v>53442924</v>
      </c>
      <c r="B147" s="10">
        <f>ROW()-ROW(Selectivo[[#Headers],[Pos]])</f>
        <v>141</v>
      </c>
      <c r="C147" s="5">
        <v>4141</v>
      </c>
      <c r="D147" t="s">
        <v>598</v>
      </c>
      <c r="E147" t="s">
        <v>11</v>
      </c>
      <c r="F147" s="12" t="str">
        <f>IFERROR(_xlfn.XLOOKUP(Selectivo[[#This Row],[DNI]],_SIY[DNI],_SIY[R1]),"78 DNC")</f>
        <v>77 DNC</v>
      </c>
      <c r="G147" s="13">
        <f>IFERROR(_xlfn.XLOOKUP(Selectivo[[#This Row],[DNI]],_SIY[DNI],_SIY[R2]),"78 DNC")</f>
        <v>40</v>
      </c>
      <c r="H147" s="12" t="str">
        <f>IFERROR(_xlfn.XLOOKUP(Selectivo[[#This Row],[DNI]],_SIY[DNI],_SIY[R3]),"78 DNC")</f>
        <v>77 DNC</v>
      </c>
      <c r="I147" s="13">
        <f>IFERROR(_xlfn.XLOOKUP(Selectivo[[#This Row],[DNI]],_SIY[DNI],_SIY[R4]),"78 DNC")</f>
        <v>54</v>
      </c>
      <c r="J147" s="13">
        <f>IFERROR(_xlfn.XLOOKUP(Selectivo[[#This Row],[DNI]],_SIY[DNI],_SIY[R5]),"78 DNC")</f>
        <v>43</v>
      </c>
      <c r="K147" s="13">
        <f>IFERROR(_xlfn.XLOOKUP(Selectivo[[#This Row],[DNI]],_SIY[DNI],_SIY[R6]),"78 DNC")</f>
        <v>58</v>
      </c>
      <c r="L147" s="13">
        <f>IFERROR(_xlfn.XLOOKUP(Selectivo[[#This Row],[DNI]],_SIY[DNI],_SIY[R7]),"78 DNC")</f>
        <v>59</v>
      </c>
      <c r="M147" s="13" t="str">
        <f>IFERROR(_xlfn.XLOOKUP(Selectivo[[#This Row],[DNI]],_SIY[DNI],_SIY[R8]),"78 DNC")</f>
        <v>77 BFD</v>
      </c>
      <c r="N147" s="13">
        <f>IFERROR(_xlfn.XLOOKUP(Selectivo[[#This Row],[DNI]],_SIY[DNI],_SIY[R9]),"78 DNC")</f>
        <v>49</v>
      </c>
      <c r="O147" s="13">
        <f>IFERROR(_xlfn.XLOOKUP(Selectivo[[#This Row],[DNI]],_SIY[DNI],_SIY[R10]),"78 DNC")</f>
        <v>46</v>
      </c>
      <c r="P147" s="13" t="str">
        <f>IFERROR(_xlfn.XLOOKUP(Selectivo[[#This Row],[DNI]],_VF2025[DNI],_VF2025[R1]),"70 DNC")</f>
        <v>70 DNF</v>
      </c>
      <c r="Q147" s="13">
        <f>IFERROR(_xlfn.XLOOKUP(Selectivo[[#This Row],[DNI]],_VF2025[DNI],_VF2025[R2]),"70 DNC")</f>
        <v>40</v>
      </c>
      <c r="R147" s="13">
        <f>IFERROR(_xlfn.XLOOKUP(Selectivo[[#This Row],[DNI]],_VF2025[DNI],_VF2025[R3]),"70 DNC")</f>
        <v>51</v>
      </c>
      <c r="S147" s="13">
        <f>IFERROR(_xlfn.XLOOKUP(Selectivo[[#This Row],[DNI]],_VF2025[DNI],_VF2025[R4]),"70 DNC")</f>
        <v>56</v>
      </c>
      <c r="T147" s="13">
        <f>IFERROR(_xlfn.XLOOKUP(Selectivo[[#This Row],[DNI]],_VF2025[DNI],_VF2025[R5]),"70 DNC")</f>
        <v>39</v>
      </c>
      <c r="U147" s="13">
        <f>IFERROR(_xlfn.XLOOKUP(Selectivo[[#This Row],[DNI]],_VF2025[DNI],_VF2025[R6]),"70 DNC")</f>
        <v>35</v>
      </c>
      <c r="V147" s="12" t="str" cm="1">
        <f t="array" ref="V147">IFERROR(_xlfn.XLOOKUP(Selectivo[[#This Row],[Vela]],_xlfn.NUMBERVALUE(SIL25v2[Sail '#]),SIL25v2[1]),"90 DNC")</f>
        <v>89 BFD</v>
      </c>
      <c r="W147" s="13" t="str" cm="1">
        <f t="array" ref="W147">IFERROR(_xlfn.XLOOKUP(Selectivo[[#This Row],[Vela]],_xlfn.NUMBERVALUE(SIL25v2[Sail '#]),SIL25v2[2]),"90 DNC")</f>
        <v>60</v>
      </c>
      <c r="X147" s="13" t="str" cm="1">
        <f t="array" ref="X147">IFERROR(_xlfn.XLOOKUP(Selectivo[[#This Row],[Vela]],_xlfn.NUMBERVALUE(SIL25v2[Sail '#]),SIL25v2[3]),"90 DNC")</f>
        <v>47</v>
      </c>
      <c r="Y147" s="13" t="str" cm="1">
        <f t="array" ref="Y147">IFERROR(_xlfn.XLOOKUP(Selectivo[[#This Row],[Vela]],_xlfn.NUMBERVALUE(SIL25v2[Sail '#]),SIL25v2[4]),"90 DNC")</f>
        <v>65</v>
      </c>
      <c r="Z147" s="13" t="str" cm="1">
        <f t="array" ref="Z147">IFERROR(_xlfn.XLOOKUP(Selectivo[[#This Row],[Vela]],_xlfn.NUMBERVALUE(SIL25v2[Sail '#]),SIL25v2[5]),"90 DNC")</f>
        <v>31</v>
      </c>
      <c r="AA147" s="13" t="str" cm="1">
        <f t="array" ref="AA147">IFERROR(_xlfn.XLOOKUP(Selectivo[[#This Row],[Vela]],_xlfn.NUMBERVALUE(SIL25v2[Sail '#]),SIL25v2[6]),"90 DNC")</f>
        <v>45</v>
      </c>
      <c r="AB147" s="8" cm="1">
        <f t="array" ref="AB147">SUM(IFERROR(VALUE(LEFT(Regatas, FIND(" ",Regatas&amp; " ") - 1)), 0))</f>
        <v>1208</v>
      </c>
      <c r="AC147" s="9" cm="1">
        <f t="array" ref="AC14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965</v>
      </c>
      <c r="AD147" s="6">
        <f>SMALL(RegatasN,1)</f>
        <v>31</v>
      </c>
      <c r="AE147" s="6">
        <f>SMALL(RegatasN,2)</f>
        <v>35</v>
      </c>
      <c r="AF147" s="6">
        <f>SMALL(RegatasN,3)</f>
        <v>39</v>
      </c>
      <c r="AG147" s="5" cm="1">
        <f t="array" ref="AG147">COUNTIF(Regatas,SMALL(Regatas,1))</f>
        <v>1</v>
      </c>
      <c r="AH147" s="6" cm="1">
        <f t="array" ref="AH147">VALUE(LEFT(INDEX(Selectivo[#This Row],,MATCH(Selectivo[[#Headers],[Total]],Selectivo[#Headers],0)-1),SEARCH(" ",INDEX(Selectivo[#This Row],,MATCH(Selectivo[[#Headers],[Total]],Selectivo[#Headers],0)-1)&amp;" ")-1))</f>
        <v>45</v>
      </c>
    </row>
    <row r="148" spans="1:34" x14ac:dyDescent="0.25">
      <c r="A148">
        <v>52861772</v>
      </c>
      <c r="B148" s="10">
        <f>ROW()-ROW(Selectivo[[#Headers],[Pos]])</f>
        <v>142</v>
      </c>
      <c r="C148" s="5">
        <v>3995</v>
      </c>
      <c r="D148" t="s">
        <v>650</v>
      </c>
      <c r="E148" t="s">
        <v>5</v>
      </c>
      <c r="F148" s="13">
        <f>IFERROR(_xlfn.XLOOKUP(Selectivo[[#This Row],[DNI]],_SIY[DNI],_SIY[R1]),"78 DNC")</f>
        <v>26</v>
      </c>
      <c r="G148" s="13">
        <f>IFERROR(_xlfn.XLOOKUP(Selectivo[[#This Row],[DNI]],_SIY[DNI],_SIY[R2]),"78 DNC")</f>
        <v>44</v>
      </c>
      <c r="H148" s="13">
        <f>IFERROR(_xlfn.XLOOKUP(Selectivo[[#This Row],[DNI]],_SIY[DNI],_SIY[R3]),"78 DNC")</f>
        <v>43</v>
      </c>
      <c r="I148" s="13">
        <f>IFERROR(_xlfn.XLOOKUP(Selectivo[[#This Row],[DNI]],_SIY[DNI],_SIY[R4]),"78 DNC")</f>
        <v>52</v>
      </c>
      <c r="J148" s="13">
        <f>IFERROR(_xlfn.XLOOKUP(Selectivo[[#This Row],[DNI]],_SIY[DNI],_SIY[R5]),"78 DNC")</f>
        <v>44</v>
      </c>
      <c r="K148" s="13">
        <f>IFERROR(_xlfn.XLOOKUP(Selectivo[[#This Row],[DNI]],_SIY[DNI],_SIY[R6]),"78 DNC")</f>
        <v>59</v>
      </c>
      <c r="L148" s="13">
        <f>IFERROR(_xlfn.XLOOKUP(Selectivo[[#This Row],[DNI]],_SIY[DNI],_SIY[R7]),"78 DNC")</f>
        <v>42</v>
      </c>
      <c r="M148" s="13">
        <f>IFERROR(_xlfn.XLOOKUP(Selectivo[[#This Row],[DNI]],_SIY[DNI],_SIY[R8]),"78 DNC")</f>
        <v>31</v>
      </c>
      <c r="N148" s="12" t="str">
        <f>IFERROR(_xlfn.XLOOKUP(Selectivo[[#This Row],[DNI]],_SIY[DNI],_SIY[R9]),"78 DNC")</f>
        <v>77 BFD</v>
      </c>
      <c r="O148" s="13">
        <f>IFERROR(_xlfn.XLOOKUP(Selectivo[[#This Row],[DNI]],_SIY[DNI],_SIY[R10]),"78 DNC")</f>
        <v>58</v>
      </c>
      <c r="P148" s="12" t="str">
        <f>IFERROR(_xlfn.XLOOKUP(Selectivo[[#This Row],[DNI]],_VF2025[DNI],_VF2025[R1]),"70 DNC")</f>
        <v>70 DNC</v>
      </c>
      <c r="Q148" s="12" t="str">
        <f>IFERROR(_xlfn.XLOOKUP(Selectivo[[#This Row],[DNI]],_VF2025[DNI],_VF2025[R2]),"70 DNC")</f>
        <v>70 DNC</v>
      </c>
      <c r="R148" s="13" t="str">
        <f>IFERROR(_xlfn.XLOOKUP(Selectivo[[#This Row],[DNI]],_VF2025[DNI],_VF2025[R3]),"70 DNC")</f>
        <v>70 DNC</v>
      </c>
      <c r="S148" s="13" t="str">
        <f>IFERROR(_xlfn.XLOOKUP(Selectivo[[#This Row],[DNI]],_VF2025[DNI],_VF2025[R4]),"70 DNC")</f>
        <v>70 DNC</v>
      </c>
      <c r="T148" s="13" t="str">
        <f>IFERROR(_xlfn.XLOOKUP(Selectivo[[#This Row],[DNI]],_VF2025[DNI],_VF2025[R5]),"70 DNC")</f>
        <v>70 DNC</v>
      </c>
      <c r="U148" s="13" t="str">
        <f>IFERROR(_xlfn.XLOOKUP(Selectivo[[#This Row],[DNI]],_VF2025[DNI],_VF2025[R6]),"70 DNC")</f>
        <v>70 DNC</v>
      </c>
      <c r="V148" s="13" t="str" cm="1">
        <f t="array" ref="V148">IFERROR(_xlfn.XLOOKUP(Selectivo[[#This Row],[Vela]],_xlfn.NUMBERVALUE(SIL25v2[Sail '#]),SIL25v2[1]),"90 DNC")</f>
        <v>58</v>
      </c>
      <c r="W148" s="13" t="str" cm="1">
        <f t="array" ref="W148">IFERROR(_xlfn.XLOOKUP(Selectivo[[#This Row],[Vela]],_xlfn.NUMBERVALUE(SIL25v2[Sail '#]),SIL25v2[2]),"90 DNC")</f>
        <v>54</v>
      </c>
      <c r="X148" s="13" t="str" cm="1">
        <f t="array" ref="X148">IFERROR(_xlfn.XLOOKUP(Selectivo[[#This Row],[Vela]],_xlfn.NUMBERVALUE(SIL25v2[Sail '#]),SIL25v2[3]),"90 DNC")</f>
        <v>29</v>
      </c>
      <c r="Y148" s="13" t="str" cm="1">
        <f t="array" ref="Y148">IFERROR(_xlfn.XLOOKUP(Selectivo[[#This Row],[Vela]],_xlfn.NUMBERVALUE(SIL25v2[Sail '#]),SIL25v2[4]),"90 DNC")</f>
        <v>66</v>
      </c>
      <c r="Z148" s="13" t="str" cm="1">
        <f t="array" ref="Z148">IFERROR(_xlfn.XLOOKUP(Selectivo[[#This Row],[Vela]],_xlfn.NUMBERVALUE(SIL25v2[Sail '#]),SIL25v2[5]),"90 DNC")</f>
        <v>32</v>
      </c>
      <c r="AA148" s="13" t="str" cm="1">
        <f t="array" ref="AA148">IFERROR(_xlfn.XLOOKUP(Selectivo[[#This Row],[Vela]],_xlfn.NUMBERVALUE(SIL25v2[Sail '#]),SIL25v2[6]),"90 DNC")</f>
        <v>49</v>
      </c>
      <c r="AB148" s="8" cm="1">
        <f t="array" ref="AB148">SUM(IFERROR(VALUE(LEFT(Regatas, FIND(" ",Regatas&amp; " ") - 1)), 0))</f>
        <v>1184</v>
      </c>
      <c r="AC148" s="9" cm="1">
        <f t="array" ref="AC14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967</v>
      </c>
      <c r="AD148" s="6">
        <f>SMALL(RegatasN,1)</f>
        <v>26</v>
      </c>
      <c r="AE148" s="6">
        <f>SMALL(RegatasN,2)</f>
        <v>29</v>
      </c>
      <c r="AF148" s="6">
        <f>SMALL(RegatasN,3)</f>
        <v>31</v>
      </c>
      <c r="AG148" s="5" cm="1">
        <f t="array" ref="AG148">COUNTIF(Regatas,SMALL(Regatas,1))</f>
        <v>1</v>
      </c>
      <c r="AH148" s="6" cm="1">
        <f t="array" ref="AH148">VALUE(LEFT(INDEX(Selectivo[#This Row],,MATCH(Selectivo[[#Headers],[Total]],Selectivo[#Headers],0)-1),SEARCH(" ",INDEX(Selectivo[#This Row],,MATCH(Selectivo[[#Headers],[Total]],Selectivo[#Headers],0)-1)&amp;" ")-1))</f>
        <v>49</v>
      </c>
    </row>
    <row r="149" spans="1:34" x14ac:dyDescent="0.25">
      <c r="A149">
        <v>51511518</v>
      </c>
      <c r="B149" s="10">
        <f>ROW()-ROW(Selectivo[[#Headers],[Pos]])</f>
        <v>143</v>
      </c>
      <c r="C149" s="5">
        <v>4197</v>
      </c>
      <c r="D149" t="s">
        <v>638</v>
      </c>
      <c r="E149" t="s">
        <v>13</v>
      </c>
      <c r="F149" s="13">
        <f>IFERROR(_xlfn.XLOOKUP(Selectivo[[#This Row],[DNI]],_SIY[DNI],_SIY[R1]),"78 DNC")</f>
        <v>40</v>
      </c>
      <c r="G149" s="13">
        <f>IFERROR(_xlfn.XLOOKUP(Selectivo[[#This Row],[DNI]],_SIY[DNI],_SIY[R2]),"78 DNC")</f>
        <v>72</v>
      </c>
      <c r="H149" s="13">
        <f>IFERROR(_xlfn.XLOOKUP(Selectivo[[#This Row],[DNI]],_SIY[DNI],_SIY[R3]),"78 DNC")</f>
        <v>45</v>
      </c>
      <c r="I149" s="12" t="str">
        <f>IFERROR(_xlfn.XLOOKUP(Selectivo[[#This Row],[DNI]],_SIY[DNI],_SIY[R4]),"78 DNC")</f>
        <v>77 DNC</v>
      </c>
      <c r="J149" s="13" t="str">
        <f>IFERROR(_xlfn.XLOOKUP(Selectivo[[#This Row],[DNI]],_SIY[DNI],_SIY[R5]),"78 DNC")</f>
        <v>77 DNC</v>
      </c>
      <c r="K149" s="13" t="str">
        <f>IFERROR(_xlfn.XLOOKUP(Selectivo[[#This Row],[DNI]],_SIY[DNI],_SIY[R6]),"78 DNC")</f>
        <v>77 DNC</v>
      </c>
      <c r="L149" s="13">
        <f>IFERROR(_xlfn.XLOOKUP(Selectivo[[#This Row],[DNI]],_SIY[DNI],_SIY[R7]),"78 DNC")</f>
        <v>56</v>
      </c>
      <c r="M149" s="13">
        <f>IFERROR(_xlfn.XLOOKUP(Selectivo[[#This Row],[DNI]],_SIY[DNI],_SIY[R8]),"78 DNC")</f>
        <v>47</v>
      </c>
      <c r="N149" s="13" t="str">
        <f>IFERROR(_xlfn.XLOOKUP(Selectivo[[#This Row],[DNI]],_SIY[DNI],_SIY[R9]),"78 DNC")</f>
        <v>77 BFD</v>
      </c>
      <c r="O149" s="13">
        <f>IFERROR(_xlfn.XLOOKUP(Selectivo[[#This Row],[DNI]],_SIY[DNI],_SIY[R10]),"78 DNC")</f>
        <v>61</v>
      </c>
      <c r="P149" s="13">
        <f>IFERROR(_xlfn.XLOOKUP(Selectivo[[#This Row],[DNI]],_VF2025[DNI],_VF2025[R1]),"70 DNC")</f>
        <v>9</v>
      </c>
      <c r="Q149" s="13">
        <f>IFERROR(_xlfn.XLOOKUP(Selectivo[[#This Row],[DNI]],_VF2025[DNI],_VF2025[R2]),"70 DNC")</f>
        <v>47</v>
      </c>
      <c r="R149" s="13">
        <f>IFERROR(_xlfn.XLOOKUP(Selectivo[[#This Row],[DNI]],_VF2025[DNI],_VF2025[R3]),"70 DNC")</f>
        <v>47</v>
      </c>
      <c r="S149" s="13" t="str">
        <f>IFERROR(_xlfn.XLOOKUP(Selectivo[[#This Row],[DNI]],_VF2025[DNI],_VF2025[R4]),"70 DNC")</f>
        <v>70 UFD</v>
      </c>
      <c r="T149" s="13">
        <f>IFERROR(_xlfn.XLOOKUP(Selectivo[[#This Row],[DNI]],_VF2025[DNI],_VF2025[R5]),"70 DNC")</f>
        <v>48</v>
      </c>
      <c r="U149" s="13" t="str">
        <f>IFERROR(_xlfn.XLOOKUP(Selectivo[[#This Row],[DNI]],_VF2025[DNI],_VF2025[R6]),"70 DNC")</f>
        <v>70 BFD</v>
      </c>
      <c r="V149" s="13" t="str" cm="1">
        <f t="array" ref="V149">IFERROR(_xlfn.XLOOKUP(Selectivo[[#This Row],[Vela]],_xlfn.NUMBERVALUE(SIL25v2[Sail '#]),SIL25v2[1]),"90 DNC")</f>
        <v>39</v>
      </c>
      <c r="W149" s="13" t="str" cm="1">
        <f t="array" ref="W149">IFERROR(_xlfn.XLOOKUP(Selectivo[[#This Row],[Vela]],_xlfn.NUMBERVALUE(SIL25v2[Sail '#]),SIL25v2[2]),"90 DNC")</f>
        <v>34 DPI</v>
      </c>
      <c r="X149" s="13" t="str" cm="1">
        <f t="array" ref="X149">IFERROR(_xlfn.XLOOKUP(Selectivo[[#This Row],[Vela]],_xlfn.NUMBERVALUE(SIL25v2[Sail '#]),SIL25v2[3]),"90 DNC")</f>
        <v>7</v>
      </c>
      <c r="Y149" s="13" t="str" cm="1">
        <f t="array" ref="Y149">IFERROR(_xlfn.XLOOKUP(Selectivo[[#This Row],[Vela]],_xlfn.NUMBERVALUE(SIL25v2[Sail '#]),SIL25v2[4]),"90 DNC")</f>
        <v>51</v>
      </c>
      <c r="Z149" s="12" t="str" cm="1">
        <f t="array" ref="Z149">IFERROR(_xlfn.XLOOKUP(Selectivo[[#This Row],[Vela]],_xlfn.NUMBERVALUE(SIL25v2[Sail '#]),SIL25v2[5]),"90 DNC")</f>
        <v>89 BFD</v>
      </c>
      <c r="AA149" s="12" t="str" cm="1">
        <f t="array" ref="AA149">IFERROR(_xlfn.XLOOKUP(Selectivo[[#This Row],[Vela]],_xlfn.NUMBERVALUE(SIL25v2[Sail '#]),SIL25v2[6]),"90 DNC")</f>
        <v>89 BFD</v>
      </c>
      <c r="AB149" s="8" cm="1">
        <f t="array" ref="AB149">SUM(IFERROR(VALUE(LEFT(Regatas, FIND(" ",Regatas&amp; " ") - 1)), 0))</f>
        <v>1229</v>
      </c>
      <c r="AC149" s="9" cm="1">
        <f t="array" ref="AC14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974</v>
      </c>
      <c r="AD149" s="6">
        <f>SMALL(RegatasN,1)</f>
        <v>7</v>
      </c>
      <c r="AE149" s="6">
        <f>SMALL(RegatasN,2)</f>
        <v>9</v>
      </c>
      <c r="AF149" s="6">
        <f>SMALL(RegatasN,3)</f>
        <v>34</v>
      </c>
      <c r="AG149" s="5" cm="1">
        <f t="array" ref="AG149">COUNTIF(Regatas,SMALL(Regatas,1))</f>
        <v>1</v>
      </c>
      <c r="AH149" s="6" cm="1">
        <f t="array" ref="AH149">VALUE(LEFT(INDEX(Selectivo[#This Row],,MATCH(Selectivo[[#Headers],[Total]],Selectivo[#Headers],0)-1),SEARCH(" ",INDEX(Selectivo[#This Row],,MATCH(Selectivo[[#Headers],[Total]],Selectivo[#Headers],0)-1)&amp;" ")-1))</f>
        <v>89</v>
      </c>
    </row>
    <row r="150" spans="1:34" x14ac:dyDescent="0.25">
      <c r="A150">
        <v>52827436</v>
      </c>
      <c r="B150" s="10">
        <f>ROW()-ROW(Selectivo[[#Headers],[Pos]])</f>
        <v>144</v>
      </c>
      <c r="C150" s="5">
        <v>3583</v>
      </c>
      <c r="D150" t="s">
        <v>584</v>
      </c>
      <c r="E150" t="s">
        <v>9</v>
      </c>
      <c r="F150" s="13">
        <f>IFERROR(_xlfn.XLOOKUP(Selectivo[[#This Row],[DNI]],_SIY[DNI],_SIY[R1]),"78 DNC")</f>
        <v>50</v>
      </c>
      <c r="G150" s="13">
        <f>IFERROR(_xlfn.XLOOKUP(Selectivo[[#This Row],[DNI]],_SIY[DNI],_SIY[R2]),"78 DNC")</f>
        <v>64</v>
      </c>
      <c r="H150" s="13">
        <f>IFERROR(_xlfn.XLOOKUP(Selectivo[[#This Row],[DNI]],_SIY[DNI],_SIY[R3]),"78 DNC")</f>
        <v>54</v>
      </c>
      <c r="I150" s="13">
        <f>IFERROR(_xlfn.XLOOKUP(Selectivo[[#This Row],[DNI]],_SIY[DNI],_SIY[R4]),"78 DNC")</f>
        <v>65</v>
      </c>
      <c r="J150" s="12" t="str">
        <f>IFERROR(_xlfn.XLOOKUP(Selectivo[[#This Row],[DNI]],_SIY[DNI],_SIY[R5]),"78 DNC")</f>
        <v>77 UFD</v>
      </c>
      <c r="K150" s="12" t="str">
        <f>IFERROR(_xlfn.XLOOKUP(Selectivo[[#This Row],[DNI]],_SIY[DNI],_SIY[R6]),"78 DNC")</f>
        <v>77 DNC</v>
      </c>
      <c r="L150" s="13">
        <f>IFERROR(_xlfn.XLOOKUP(Selectivo[[#This Row],[DNI]],_SIY[DNI],_SIY[R7]),"78 DNC")</f>
        <v>59</v>
      </c>
      <c r="M150" s="12" t="str">
        <f>IFERROR(_xlfn.XLOOKUP(Selectivo[[#This Row],[DNI]],_SIY[DNI],_SIY[R8]),"78 DNC")</f>
        <v>77 BFD</v>
      </c>
      <c r="N150" s="13">
        <f>IFERROR(_xlfn.XLOOKUP(Selectivo[[#This Row],[DNI]],_SIY[DNI],_SIY[R9]),"78 DNC")</f>
        <v>67</v>
      </c>
      <c r="O150" s="13">
        <f>IFERROR(_xlfn.XLOOKUP(Selectivo[[#This Row],[DNI]],_SIY[DNI],_SIY[R10]),"78 DNC")</f>
        <v>48</v>
      </c>
      <c r="P150" s="13">
        <f>IFERROR(_xlfn.XLOOKUP(Selectivo[[#This Row],[DNI]],_VF2025[DNI],_VF2025[R1]),"70 DNC")</f>
        <v>32</v>
      </c>
      <c r="Q150" s="13">
        <f>IFERROR(_xlfn.XLOOKUP(Selectivo[[#This Row],[DNI]],_VF2025[DNI],_VF2025[R2]),"70 DNC")</f>
        <v>41</v>
      </c>
      <c r="R150" s="13">
        <f>IFERROR(_xlfn.XLOOKUP(Selectivo[[#This Row],[DNI]],_VF2025[DNI],_VF2025[R3]),"70 DNC")</f>
        <v>59</v>
      </c>
      <c r="S150" s="13">
        <f>IFERROR(_xlfn.XLOOKUP(Selectivo[[#This Row],[DNI]],_VF2025[DNI],_VF2025[R4]),"70 DNC")</f>
        <v>40</v>
      </c>
      <c r="T150" s="13">
        <f>IFERROR(_xlfn.XLOOKUP(Selectivo[[#This Row],[DNI]],_VF2025[DNI],_VF2025[R5]),"70 DNC")</f>
        <v>54</v>
      </c>
      <c r="U150" s="13">
        <f>IFERROR(_xlfn.XLOOKUP(Selectivo[[#This Row],[DNI]],_VF2025[DNI],_VF2025[R6]),"70 DNC")</f>
        <v>49</v>
      </c>
      <c r="V150" s="13" t="str" cm="1">
        <f t="array" ref="V150">IFERROR(_xlfn.XLOOKUP(Selectivo[[#This Row],[Vela]],_xlfn.NUMBERVALUE(SIL25v2[Sail '#]),SIL25v2[1]),"90 DNC")</f>
        <v>47</v>
      </c>
      <c r="W150" s="13" t="str" cm="1">
        <f t="array" ref="W150">IFERROR(_xlfn.XLOOKUP(Selectivo[[#This Row],[Vela]],_xlfn.NUMBERVALUE(SIL25v2[Sail '#]),SIL25v2[2]),"90 DNC")</f>
        <v>62</v>
      </c>
      <c r="X150" s="13" t="str" cm="1">
        <f t="array" ref="X150">IFERROR(_xlfn.XLOOKUP(Selectivo[[#This Row],[Vela]],_xlfn.NUMBERVALUE(SIL25v2[Sail '#]),SIL25v2[3]),"90 DNC")</f>
        <v>48</v>
      </c>
      <c r="Y150" s="13" t="str" cm="1">
        <f t="array" ref="Y150">IFERROR(_xlfn.XLOOKUP(Selectivo[[#This Row],[Vela]],_xlfn.NUMBERVALUE(SIL25v2[Sail '#]),SIL25v2[4]),"90 DNC")</f>
        <v>50</v>
      </c>
      <c r="Z150" s="13" t="str" cm="1">
        <f t="array" ref="Z150">IFERROR(_xlfn.XLOOKUP(Selectivo[[#This Row],[Vela]],_xlfn.NUMBERVALUE(SIL25v2[Sail '#]),SIL25v2[5]),"90 DNC")</f>
        <v>54</v>
      </c>
      <c r="AA150" s="13" t="str" cm="1">
        <f t="array" ref="AA150">IFERROR(_xlfn.XLOOKUP(Selectivo[[#This Row],[Vela]],_xlfn.NUMBERVALUE(SIL25v2[Sail '#]),SIL25v2[6]),"90 DNC")</f>
        <v>31</v>
      </c>
      <c r="AB150" s="8" cm="1">
        <f t="array" ref="AB150">SUM(IFERROR(VALUE(LEFT(Regatas, FIND(" ",Regatas&amp; " ") - 1)), 0))</f>
        <v>1205</v>
      </c>
      <c r="AC150" s="9" cm="1">
        <f t="array" ref="AC15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974</v>
      </c>
      <c r="AD150" s="6">
        <f>SMALL(RegatasN,1)</f>
        <v>31</v>
      </c>
      <c r="AE150" s="6">
        <f>SMALL(RegatasN,2)</f>
        <v>32</v>
      </c>
      <c r="AF150" s="6">
        <f>SMALL(RegatasN,3)</f>
        <v>40</v>
      </c>
      <c r="AG150" s="5" cm="1">
        <f t="array" ref="AG150">COUNTIF(Regatas,SMALL(Regatas,1))</f>
        <v>1</v>
      </c>
      <c r="AH150" s="6" cm="1">
        <f t="array" ref="AH150">VALUE(LEFT(INDEX(Selectivo[#This Row],,MATCH(Selectivo[[#Headers],[Total]],Selectivo[#Headers],0)-1),SEARCH(" ",INDEX(Selectivo[#This Row],,MATCH(Selectivo[[#Headers],[Total]],Selectivo[#Headers],0)-1)&amp;" ")-1))</f>
        <v>31</v>
      </c>
    </row>
    <row r="151" spans="1:34" x14ac:dyDescent="0.25">
      <c r="A151">
        <v>52164372</v>
      </c>
      <c r="B151" s="10">
        <f>ROW()-ROW(Selectivo[[#Headers],[Pos]])</f>
        <v>145</v>
      </c>
      <c r="C151" s="5">
        <v>4117</v>
      </c>
      <c r="D151" t="s">
        <v>610</v>
      </c>
      <c r="E151" t="s">
        <v>9</v>
      </c>
      <c r="F151" s="13">
        <f>IFERROR(_xlfn.XLOOKUP(Selectivo[[#This Row],[DNI]],_SIY[DNI],_SIY[R1]),"78 DNC")</f>
        <v>39</v>
      </c>
      <c r="G151" s="13">
        <f>IFERROR(_xlfn.XLOOKUP(Selectivo[[#This Row],[DNI]],_SIY[DNI],_SIY[R2]),"78 DNC")</f>
        <v>40</v>
      </c>
      <c r="H151" s="13" t="str">
        <f>IFERROR(_xlfn.XLOOKUP(Selectivo[[#This Row],[DNI]],_SIY[DNI],_SIY[R3]),"78 DNC")</f>
        <v>77 DSQ</v>
      </c>
      <c r="I151" s="13">
        <f>IFERROR(_xlfn.XLOOKUP(Selectivo[[#This Row],[DNI]],_SIY[DNI],_SIY[R4]),"78 DNC")</f>
        <v>33</v>
      </c>
      <c r="J151" s="13" t="str">
        <f>IFERROR(_xlfn.XLOOKUP(Selectivo[[#This Row],[DNI]],_SIY[DNI],_SIY[R5]),"78 DNC")</f>
        <v>77 UFD</v>
      </c>
      <c r="K151" s="13">
        <f>IFERROR(_xlfn.XLOOKUP(Selectivo[[#This Row],[DNI]],_SIY[DNI],_SIY[R6]),"78 DNC")</f>
        <v>54</v>
      </c>
      <c r="L151" s="13">
        <f>IFERROR(_xlfn.XLOOKUP(Selectivo[[#This Row],[DNI]],_SIY[DNI],_SIY[R7]),"78 DNC")</f>
        <v>34</v>
      </c>
      <c r="M151" s="13">
        <f>IFERROR(_xlfn.XLOOKUP(Selectivo[[#This Row],[DNI]],_SIY[DNI],_SIY[R8]),"78 DNC")</f>
        <v>40</v>
      </c>
      <c r="N151" s="13">
        <f>IFERROR(_xlfn.XLOOKUP(Selectivo[[#This Row],[DNI]],_SIY[DNI],_SIY[R9]),"78 DNC")</f>
        <v>23</v>
      </c>
      <c r="O151" s="13">
        <f>IFERROR(_xlfn.XLOOKUP(Selectivo[[#This Row],[DNI]],_SIY[DNI],_SIY[R10]),"78 DNC")</f>
        <v>44</v>
      </c>
      <c r="P151" s="13" t="str">
        <f>IFERROR(_xlfn.XLOOKUP(Selectivo[[#This Row],[DNI]],_VF2025[DNI],_VF2025[R1]),"70 DNC")</f>
        <v>70 DNC</v>
      </c>
      <c r="Q151" s="13" t="str">
        <f>IFERROR(_xlfn.XLOOKUP(Selectivo[[#This Row],[DNI]],_VF2025[DNI],_VF2025[R2]),"70 DNC")</f>
        <v>70 DNC</v>
      </c>
      <c r="R151" s="13" t="str">
        <f>IFERROR(_xlfn.XLOOKUP(Selectivo[[#This Row],[DNI]],_VF2025[DNI],_VF2025[R3]),"70 DNC")</f>
        <v>70 DNC</v>
      </c>
      <c r="S151" s="13" t="str">
        <f>IFERROR(_xlfn.XLOOKUP(Selectivo[[#This Row],[DNI]],_VF2025[DNI],_VF2025[R4]),"70 DNC")</f>
        <v>70 DNC</v>
      </c>
      <c r="T151" s="13" t="str">
        <f>IFERROR(_xlfn.XLOOKUP(Selectivo[[#This Row],[DNI]],_VF2025[DNI],_VF2025[R5]),"70 DNC")</f>
        <v>70 DNC</v>
      </c>
      <c r="U151" s="13" t="str">
        <f>IFERROR(_xlfn.XLOOKUP(Selectivo[[#This Row],[DNI]],_VF2025[DNI],_VF2025[R6]),"70 DNC")</f>
        <v>70 DNC</v>
      </c>
      <c r="V151" s="13" t="str" cm="1">
        <f t="array" ref="V151">IFERROR(_xlfn.XLOOKUP(Selectivo[[#This Row],[Vela]],_xlfn.NUMBERVALUE(SIL25v2[Sail '#]),SIL25v2[1]),"90 DNC")</f>
        <v>6</v>
      </c>
      <c r="W151" s="13" t="str" cm="1">
        <f t="array" ref="W151">IFERROR(_xlfn.XLOOKUP(Selectivo[[#This Row],[Vela]],_xlfn.NUMBERVALUE(SIL25v2[Sail '#]),SIL25v2[2]),"90 DNC")</f>
        <v>37</v>
      </c>
      <c r="X151" s="13" t="str" cm="1">
        <f t="array" ref="X151">IFERROR(_xlfn.XLOOKUP(Selectivo[[#This Row],[Vela]],_xlfn.NUMBERVALUE(SIL25v2[Sail '#]),SIL25v2[3]),"90 DNC")</f>
        <v>59</v>
      </c>
      <c r="Y151" s="12" t="str" cm="1">
        <f t="array" ref="Y151">IFERROR(_xlfn.XLOOKUP(Selectivo[[#This Row],[Vela]],_xlfn.NUMBERVALUE(SIL25v2[Sail '#]),SIL25v2[4]),"90 DNC")</f>
        <v>89 DNS</v>
      </c>
      <c r="Z151" s="12" t="str" cm="1">
        <f t="array" ref="Z151">IFERROR(_xlfn.XLOOKUP(Selectivo[[#This Row],[Vela]],_xlfn.NUMBERVALUE(SIL25v2[Sail '#]),SIL25v2[5]),"90 DNC")</f>
        <v>89 DNS</v>
      </c>
      <c r="AA151" s="12" t="str" cm="1">
        <f t="array" ref="AA151">IFERROR(_xlfn.XLOOKUP(Selectivo[[#This Row],[Vela]],_xlfn.NUMBERVALUE(SIL25v2[Sail '#]),SIL25v2[6]),"90 DNC")</f>
        <v>89 BFD</v>
      </c>
      <c r="AB151" s="8" cm="1">
        <f t="array" ref="AB151">SUM(IFERROR(VALUE(LEFT(Regatas, FIND(" ",Regatas&amp; " ") - 1)), 0))</f>
        <v>1250</v>
      </c>
      <c r="AC151" s="9" cm="1">
        <f t="array" ref="AC15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983</v>
      </c>
      <c r="AD151" s="6">
        <f>SMALL(RegatasN,1)</f>
        <v>6</v>
      </c>
      <c r="AE151" s="6">
        <f>SMALL(RegatasN,2)</f>
        <v>23</v>
      </c>
      <c r="AF151" s="6">
        <f>SMALL(RegatasN,3)</f>
        <v>33</v>
      </c>
      <c r="AG151" s="5" cm="1">
        <f t="array" ref="AG151">COUNTIF(Regatas,SMALL(Regatas,1))</f>
        <v>1</v>
      </c>
      <c r="AH151" s="6" cm="1">
        <f t="array" ref="AH151">VALUE(LEFT(INDEX(Selectivo[#This Row],,MATCH(Selectivo[[#Headers],[Total]],Selectivo[#Headers],0)-1),SEARCH(" ",INDEX(Selectivo[#This Row],,MATCH(Selectivo[[#Headers],[Total]],Selectivo[#Headers],0)-1)&amp;" ")-1))</f>
        <v>89</v>
      </c>
    </row>
    <row r="152" spans="1:34" x14ac:dyDescent="0.25">
      <c r="A152">
        <v>52764604</v>
      </c>
      <c r="B152" s="10">
        <f>ROW()-ROW(Selectivo[[#Headers],[Pos]])</f>
        <v>146</v>
      </c>
      <c r="C152" s="5">
        <v>4163</v>
      </c>
      <c r="D152" t="s">
        <v>619</v>
      </c>
      <c r="E152" t="s">
        <v>13</v>
      </c>
      <c r="F152" s="13">
        <f>IFERROR(_xlfn.XLOOKUP(Selectivo[[#This Row],[DNI]],_SIY[DNI],_SIY[R1]),"78 DNC")</f>
        <v>68</v>
      </c>
      <c r="G152" s="13">
        <f>IFERROR(_xlfn.XLOOKUP(Selectivo[[#This Row],[DNI]],_SIY[DNI],_SIY[R2]),"78 DNC")</f>
        <v>73</v>
      </c>
      <c r="H152" s="13">
        <f>IFERROR(_xlfn.XLOOKUP(Selectivo[[#This Row],[DNI]],_SIY[DNI],_SIY[R3]),"78 DNC")</f>
        <v>71</v>
      </c>
      <c r="I152" s="12" t="str">
        <f>IFERROR(_xlfn.XLOOKUP(Selectivo[[#This Row],[DNI]],_SIY[DNI],_SIY[R4]),"78 DNC")</f>
        <v>77 DNC</v>
      </c>
      <c r="J152" s="12" t="str">
        <f>IFERROR(_xlfn.XLOOKUP(Selectivo[[#This Row],[DNI]],_SIY[DNI],_SIY[R5]),"78 DNC")</f>
        <v>77 DNC</v>
      </c>
      <c r="K152" s="12" t="str">
        <f>IFERROR(_xlfn.XLOOKUP(Selectivo[[#This Row],[DNI]],_SIY[DNI],_SIY[R6]),"78 DNC")</f>
        <v>77 DNC</v>
      </c>
      <c r="L152" s="13">
        <f>IFERROR(_xlfn.XLOOKUP(Selectivo[[#This Row],[DNI]],_SIY[DNI],_SIY[R7]),"78 DNC")</f>
        <v>70</v>
      </c>
      <c r="M152" s="13">
        <f>IFERROR(_xlfn.XLOOKUP(Selectivo[[#This Row],[DNI]],_SIY[DNI],_SIY[R8]),"78 DNC")</f>
        <v>30</v>
      </c>
      <c r="N152" s="13">
        <f>IFERROR(_xlfn.XLOOKUP(Selectivo[[#This Row],[DNI]],_SIY[DNI],_SIY[R9]),"78 DNC")</f>
        <v>38</v>
      </c>
      <c r="O152" s="13">
        <f>IFERROR(_xlfn.XLOOKUP(Selectivo[[#This Row],[DNI]],_SIY[DNI],_SIY[R10]),"78 DNC")</f>
        <v>26</v>
      </c>
      <c r="P152" s="13" t="str">
        <f>IFERROR(_xlfn.XLOOKUP(Selectivo[[#This Row],[DNI]],_VF2025[DNI],_VF2025[R1]),"70 DNC")</f>
        <v>70 DNF</v>
      </c>
      <c r="Q152" s="13">
        <f>IFERROR(_xlfn.XLOOKUP(Selectivo[[#This Row],[DNI]],_VF2025[DNI],_VF2025[R2]),"70 DNC")</f>
        <v>53</v>
      </c>
      <c r="R152" s="13">
        <f>IFERROR(_xlfn.XLOOKUP(Selectivo[[#This Row],[DNI]],_VF2025[DNI],_VF2025[R3]),"70 DNC")</f>
        <v>61</v>
      </c>
      <c r="S152" s="13">
        <f>IFERROR(_xlfn.XLOOKUP(Selectivo[[#This Row],[DNI]],_VF2025[DNI],_VF2025[R4]),"70 DNC")</f>
        <v>47</v>
      </c>
      <c r="T152" s="13">
        <f>IFERROR(_xlfn.XLOOKUP(Selectivo[[#This Row],[DNI]],_VF2025[DNI],_VF2025[R5]),"70 DNC")</f>
        <v>39</v>
      </c>
      <c r="U152" s="13">
        <f>IFERROR(_xlfn.XLOOKUP(Selectivo[[#This Row],[DNI]],_VF2025[DNI],_VF2025[R6]),"70 DNC")</f>
        <v>59</v>
      </c>
      <c r="V152" s="13" t="str" cm="1">
        <f t="array" ref="V152">IFERROR(_xlfn.XLOOKUP(Selectivo[[#This Row],[Vela]],_xlfn.NUMBERVALUE(SIL25v2[Sail '#]),SIL25v2[1]),"90 DNC")</f>
        <v>62</v>
      </c>
      <c r="W152" s="13" t="str" cm="1">
        <f t="array" ref="W152">IFERROR(_xlfn.XLOOKUP(Selectivo[[#This Row],[Vela]],_xlfn.NUMBERVALUE(SIL25v2[Sail '#]),SIL25v2[2]),"90 DNC")</f>
        <v>56</v>
      </c>
      <c r="X152" s="13" t="str" cm="1">
        <f t="array" ref="X152">IFERROR(_xlfn.XLOOKUP(Selectivo[[#This Row],[Vela]],_xlfn.NUMBERVALUE(SIL25v2[Sail '#]),SIL25v2[3]),"90 DNC")</f>
        <v>58</v>
      </c>
      <c r="Y152" s="13" t="str" cm="1">
        <f t="array" ref="Y152">IFERROR(_xlfn.XLOOKUP(Selectivo[[#This Row],[Vela]],_xlfn.NUMBERVALUE(SIL25v2[Sail '#]),SIL25v2[4]),"90 DNC")</f>
        <v>35</v>
      </c>
      <c r="Z152" s="13" t="str" cm="1">
        <f t="array" ref="Z152">IFERROR(_xlfn.XLOOKUP(Selectivo[[#This Row],[Vela]],_xlfn.NUMBERVALUE(SIL25v2[Sail '#]),SIL25v2[5]),"90 DNC")</f>
        <v>50</v>
      </c>
      <c r="AA152" s="13" t="str" cm="1">
        <f t="array" ref="AA152">IFERROR(_xlfn.XLOOKUP(Selectivo[[#This Row],[Vela]],_xlfn.NUMBERVALUE(SIL25v2[Sail '#]),SIL25v2[6]),"90 DNC")</f>
        <v>31</v>
      </c>
      <c r="AB152" s="8" cm="1">
        <f t="array" ref="AB152">SUM(IFERROR(VALUE(LEFT(Regatas, FIND(" ",Regatas&amp; " ") - 1)), 0))</f>
        <v>1228</v>
      </c>
      <c r="AC152" s="9" cm="1">
        <f t="array" ref="AC15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997</v>
      </c>
      <c r="AD152" s="6">
        <f>SMALL(RegatasN,1)</f>
        <v>26</v>
      </c>
      <c r="AE152" s="6">
        <f>SMALL(RegatasN,2)</f>
        <v>30</v>
      </c>
      <c r="AF152" s="6">
        <f>SMALL(RegatasN,3)</f>
        <v>31</v>
      </c>
      <c r="AG152" s="5" cm="1">
        <f t="array" ref="AG152">COUNTIF(Regatas,SMALL(Regatas,1))</f>
        <v>1</v>
      </c>
      <c r="AH152" s="6" cm="1">
        <f t="array" ref="AH152">VALUE(LEFT(INDEX(Selectivo[#This Row],,MATCH(Selectivo[[#Headers],[Total]],Selectivo[#Headers],0)-1),SEARCH(" ",INDEX(Selectivo[#This Row],,MATCH(Selectivo[[#Headers],[Total]],Selectivo[#Headers],0)-1)&amp;" ")-1))</f>
        <v>31</v>
      </c>
    </row>
    <row r="153" spans="1:34" x14ac:dyDescent="0.25">
      <c r="A153">
        <v>53242979</v>
      </c>
      <c r="B153" s="10">
        <f>ROW()-ROW(Selectivo[[#Headers],[Pos]])</f>
        <v>147</v>
      </c>
      <c r="C153" s="5">
        <v>3688</v>
      </c>
      <c r="D153" t="s">
        <v>701</v>
      </c>
      <c r="E153" t="s">
        <v>26</v>
      </c>
      <c r="F153" s="13">
        <f>IFERROR(_xlfn.XLOOKUP(Selectivo[[#This Row],[DNI]],_SIY[DNI],_SIY[R1]),"78 DNC")</f>
        <v>61</v>
      </c>
      <c r="G153" s="13">
        <f>IFERROR(_xlfn.XLOOKUP(Selectivo[[#This Row],[DNI]],_SIY[DNI],_SIY[R2]),"78 DNC")</f>
        <v>59</v>
      </c>
      <c r="H153" s="13">
        <f>IFERROR(_xlfn.XLOOKUP(Selectivo[[#This Row],[DNI]],_SIY[DNI],_SIY[R3]),"78 DNC")</f>
        <v>51</v>
      </c>
      <c r="I153" s="12" t="str">
        <f>IFERROR(_xlfn.XLOOKUP(Selectivo[[#This Row],[DNI]],_SIY[DNI],_SIY[R4]),"78 DNC")</f>
        <v>77 DNC</v>
      </c>
      <c r="J153" s="12" t="str">
        <f>IFERROR(_xlfn.XLOOKUP(Selectivo[[#This Row],[DNI]],_SIY[DNI],_SIY[R5]),"78 DNC")</f>
        <v>77 DNC</v>
      </c>
      <c r="K153" s="13" t="str">
        <f>IFERROR(_xlfn.XLOOKUP(Selectivo[[#This Row],[DNI]],_SIY[DNI],_SIY[R6]),"78 DNC")</f>
        <v>77 DNC</v>
      </c>
      <c r="L153" s="13">
        <f>IFERROR(_xlfn.XLOOKUP(Selectivo[[#This Row],[DNI]],_SIY[DNI],_SIY[R7]),"78 DNC")</f>
        <v>55</v>
      </c>
      <c r="M153" s="13">
        <f>IFERROR(_xlfn.XLOOKUP(Selectivo[[#This Row],[DNI]],_SIY[DNI],_SIY[R8]),"78 DNC")</f>
        <v>71</v>
      </c>
      <c r="N153" s="13">
        <f>IFERROR(_xlfn.XLOOKUP(Selectivo[[#This Row],[DNI]],_SIY[DNI],_SIY[R9]),"78 DNC")</f>
        <v>43</v>
      </c>
      <c r="O153" s="13">
        <f>IFERROR(_xlfn.XLOOKUP(Selectivo[[#This Row],[DNI]],_SIY[DNI],_SIY[R10]),"78 DNC")</f>
        <v>70</v>
      </c>
      <c r="P153" s="13">
        <f>IFERROR(_xlfn.XLOOKUP(Selectivo[[#This Row],[DNI]],_VF2025[DNI],_VF2025[R1]),"70 DNC")</f>
        <v>9</v>
      </c>
      <c r="Q153" s="13">
        <f>IFERROR(_xlfn.XLOOKUP(Selectivo[[#This Row],[DNI]],_VF2025[DNI],_VF2025[R2]),"70 DNC")</f>
        <v>56</v>
      </c>
      <c r="R153" s="13">
        <f>IFERROR(_xlfn.XLOOKUP(Selectivo[[#This Row],[DNI]],_VF2025[DNI],_VF2025[R3]),"70 DNC")</f>
        <v>48</v>
      </c>
      <c r="S153" s="13">
        <f>IFERROR(_xlfn.XLOOKUP(Selectivo[[#This Row],[DNI]],_VF2025[DNI],_VF2025[R4]),"70 DNC")</f>
        <v>53</v>
      </c>
      <c r="T153" s="13">
        <f>IFERROR(_xlfn.XLOOKUP(Selectivo[[#This Row],[DNI]],_VF2025[DNI],_VF2025[R5]),"70 DNC")</f>
        <v>51</v>
      </c>
      <c r="U153" s="13">
        <f>IFERROR(_xlfn.XLOOKUP(Selectivo[[#This Row],[DNI]],_VF2025[DNI],_VF2025[R6]),"70 DNC")</f>
        <v>40</v>
      </c>
      <c r="V153" s="13" t="str" cm="1">
        <f t="array" ref="V153">IFERROR(_xlfn.XLOOKUP(Selectivo[[#This Row],[Vela]],_xlfn.NUMBERVALUE(SIL25v2[Sail '#]),SIL25v2[1]),"90 DNC")</f>
        <v>68</v>
      </c>
      <c r="W153" s="13" t="str" cm="1">
        <f t="array" ref="W153">IFERROR(_xlfn.XLOOKUP(Selectivo[[#This Row],[Vela]],_xlfn.NUMBERVALUE(SIL25v2[Sail '#]),SIL25v2[2]),"90 DNC")</f>
        <v>48</v>
      </c>
      <c r="X153" s="13" t="str" cm="1">
        <f t="array" ref="X153">IFERROR(_xlfn.XLOOKUP(Selectivo[[#This Row],[Vela]],_xlfn.NUMBERVALUE(SIL25v2[Sail '#]),SIL25v2[3]),"90 DNC")</f>
        <v>31</v>
      </c>
      <c r="Y153" s="13" t="str" cm="1">
        <f t="array" ref="Y153">IFERROR(_xlfn.XLOOKUP(Selectivo[[#This Row],[Vela]],_xlfn.NUMBERVALUE(SIL25v2[Sail '#]),SIL25v2[4]),"90 DNC")</f>
        <v>76</v>
      </c>
      <c r="Z153" s="13" t="str" cm="1">
        <f t="array" ref="Z153">IFERROR(_xlfn.XLOOKUP(Selectivo[[#This Row],[Vela]],_xlfn.NUMBERVALUE(SIL25v2[Sail '#]),SIL25v2[5]),"90 DNC")</f>
        <v>51</v>
      </c>
      <c r="AA153" s="12" t="str" cm="1">
        <f t="array" ref="AA153">IFERROR(_xlfn.XLOOKUP(Selectivo[[#This Row],[Vela]],_xlfn.NUMBERVALUE(SIL25v2[Sail '#]),SIL25v2[6]),"90 DNC")</f>
        <v>89 DNF</v>
      </c>
      <c r="AB153" s="8" cm="1">
        <f t="array" ref="AB153">SUM(IFERROR(VALUE(LEFT(Regatas, FIND(" ",Regatas&amp; " ") - 1)), 0))</f>
        <v>1261</v>
      </c>
      <c r="AC153" s="9" cm="1">
        <f t="array" ref="AC15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1018</v>
      </c>
      <c r="AD153" s="6">
        <f>SMALL(RegatasN,1)</f>
        <v>9</v>
      </c>
      <c r="AE153" s="6">
        <f>SMALL(RegatasN,2)</f>
        <v>31</v>
      </c>
      <c r="AF153" s="6">
        <f>SMALL(RegatasN,3)</f>
        <v>40</v>
      </c>
      <c r="AG153" s="5" cm="1">
        <f t="array" ref="AG153">COUNTIF(Regatas,SMALL(Regatas,1))</f>
        <v>1</v>
      </c>
      <c r="AH153" s="6" cm="1">
        <f t="array" ref="AH153">VALUE(LEFT(INDEX(Selectivo[#This Row],,MATCH(Selectivo[[#Headers],[Total]],Selectivo[#Headers],0)-1),SEARCH(" ",INDEX(Selectivo[#This Row],,MATCH(Selectivo[[#Headers],[Total]],Selectivo[#Headers],0)-1)&amp;" ")-1))</f>
        <v>89</v>
      </c>
    </row>
    <row r="154" spans="1:34" x14ac:dyDescent="0.25">
      <c r="A154">
        <v>52029216</v>
      </c>
      <c r="B154" s="10">
        <f>ROW()-ROW(Selectivo[[#Headers],[Pos]])</f>
        <v>148</v>
      </c>
      <c r="C154" s="5">
        <v>4140</v>
      </c>
      <c r="D154" t="s">
        <v>592</v>
      </c>
      <c r="E154" t="s">
        <v>16</v>
      </c>
      <c r="F154" s="13">
        <f>IFERROR(_xlfn.XLOOKUP(Selectivo[[#This Row],[DNI]],_SIY[DNI],_SIY[R1]),"78 DNC")</f>
        <v>57</v>
      </c>
      <c r="G154" s="13">
        <f>IFERROR(_xlfn.XLOOKUP(Selectivo[[#This Row],[DNI]],_SIY[DNI],_SIY[R2]),"78 DNC")</f>
        <v>60</v>
      </c>
      <c r="H154" s="12" t="str">
        <f>IFERROR(_xlfn.XLOOKUP(Selectivo[[#This Row],[DNI]],_SIY[DNI],_SIY[R3]),"78 DNC")</f>
        <v>77 DNC</v>
      </c>
      <c r="I154" s="13">
        <f>IFERROR(_xlfn.XLOOKUP(Selectivo[[#This Row],[DNI]],_SIY[DNI],_SIY[R4]),"78 DNC")</f>
        <v>63</v>
      </c>
      <c r="J154" s="12" t="str">
        <f>IFERROR(_xlfn.XLOOKUP(Selectivo[[#This Row],[DNI]],_SIY[DNI],_SIY[R5]),"78 DNC")</f>
        <v>77 UFD</v>
      </c>
      <c r="K154" s="13">
        <f>IFERROR(_xlfn.XLOOKUP(Selectivo[[#This Row],[DNI]],_SIY[DNI],_SIY[R6]),"78 DNC")</f>
        <v>46</v>
      </c>
      <c r="L154" s="13">
        <f>IFERROR(_xlfn.XLOOKUP(Selectivo[[#This Row],[DNI]],_SIY[DNI],_SIY[R7]),"78 DNC")</f>
        <v>43</v>
      </c>
      <c r="M154" s="13">
        <f>IFERROR(_xlfn.XLOOKUP(Selectivo[[#This Row],[DNI]],_SIY[DNI],_SIY[R8]),"78 DNC")</f>
        <v>44</v>
      </c>
      <c r="N154" s="13">
        <f>IFERROR(_xlfn.XLOOKUP(Selectivo[[#This Row],[DNI]],_SIY[DNI],_SIY[R9]),"78 DNC")</f>
        <v>65</v>
      </c>
      <c r="O154" s="13">
        <f>IFERROR(_xlfn.XLOOKUP(Selectivo[[#This Row],[DNI]],_SIY[DNI],_SIY[R10]),"78 DNC")</f>
        <v>42</v>
      </c>
      <c r="P154" s="12" t="str">
        <f>IFERROR(_xlfn.XLOOKUP(Selectivo[[#This Row],[DNI]],_VF2025[DNI],_VF2025[R1]),"70 DNC")</f>
        <v>70 DNC</v>
      </c>
      <c r="Q154" s="13" t="str">
        <f>IFERROR(_xlfn.XLOOKUP(Selectivo[[#This Row],[DNI]],_VF2025[DNI],_VF2025[R2]),"70 DNC")</f>
        <v>70 DNC</v>
      </c>
      <c r="R154" s="13" t="str">
        <f>IFERROR(_xlfn.XLOOKUP(Selectivo[[#This Row],[DNI]],_VF2025[DNI],_VF2025[R3]),"70 DNC")</f>
        <v>70 DNC</v>
      </c>
      <c r="S154" s="13" t="str">
        <f>IFERROR(_xlfn.XLOOKUP(Selectivo[[#This Row],[DNI]],_VF2025[DNI],_VF2025[R4]),"70 DNC")</f>
        <v>70 DNC</v>
      </c>
      <c r="T154" s="13" t="str">
        <f>IFERROR(_xlfn.XLOOKUP(Selectivo[[#This Row],[DNI]],_VF2025[DNI],_VF2025[R5]),"70 DNC")</f>
        <v>70 DNC</v>
      </c>
      <c r="U154" s="13" t="str">
        <f>IFERROR(_xlfn.XLOOKUP(Selectivo[[#This Row],[DNI]],_VF2025[DNI],_VF2025[R6]),"70 DNC")</f>
        <v>70 DNC</v>
      </c>
      <c r="V154" s="13" t="str" cm="1">
        <f t="array" ref="V154">IFERROR(_xlfn.XLOOKUP(Selectivo[[#This Row],[Vela]],_xlfn.NUMBERVALUE(SIL25v2[Sail '#]),SIL25v2[1]),"90 DNC")</f>
        <v>45</v>
      </c>
      <c r="W154" s="13" t="str" cm="1">
        <f t="array" ref="W154">IFERROR(_xlfn.XLOOKUP(Selectivo[[#This Row],[Vela]],_xlfn.NUMBERVALUE(SIL25v2[Sail '#]),SIL25v2[2]),"90 DNC")</f>
        <v>43</v>
      </c>
      <c r="X154" s="13" t="str" cm="1">
        <f t="array" ref="X154">IFERROR(_xlfn.XLOOKUP(Selectivo[[#This Row],[Vela]],_xlfn.NUMBERVALUE(SIL25v2[Sail '#]),SIL25v2[3]),"90 DNC")</f>
        <v>34</v>
      </c>
      <c r="Y154" s="13" t="str" cm="1">
        <f t="array" ref="Y154">IFERROR(_xlfn.XLOOKUP(Selectivo[[#This Row],[Vela]],_xlfn.NUMBERVALUE(SIL25v2[Sail '#]),SIL25v2[4]),"90 DNC")</f>
        <v>27</v>
      </c>
      <c r="Z154" s="13" t="str" cm="1">
        <f t="array" ref="Z154">IFERROR(_xlfn.XLOOKUP(Selectivo[[#This Row],[Vela]],_xlfn.NUMBERVALUE(SIL25v2[Sail '#]),SIL25v2[5]),"90 DNC")</f>
        <v>64</v>
      </c>
      <c r="AA154" s="13" t="str" cm="1">
        <f t="array" ref="AA154">IFERROR(_xlfn.XLOOKUP(Selectivo[[#This Row],[Vela]],_xlfn.NUMBERVALUE(SIL25v2[Sail '#]),SIL25v2[6]),"90 DNC")</f>
        <v>39</v>
      </c>
      <c r="AB154" s="8" cm="1">
        <f t="array" ref="AB154">SUM(IFERROR(VALUE(LEFT(Regatas, FIND(" ",Regatas&amp; " ") - 1)), 0))</f>
        <v>1246</v>
      </c>
      <c r="AC154" s="9" cm="1">
        <f t="array" ref="AC15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1022</v>
      </c>
      <c r="AD154" s="6">
        <f>SMALL(RegatasN,1)</f>
        <v>27</v>
      </c>
      <c r="AE154" s="6">
        <f>SMALL(RegatasN,2)</f>
        <v>34</v>
      </c>
      <c r="AF154" s="6">
        <f>SMALL(RegatasN,3)</f>
        <v>39</v>
      </c>
      <c r="AG154" s="5" cm="1">
        <f t="array" ref="AG154">COUNTIF(Regatas,SMALL(Regatas,1))</f>
        <v>1</v>
      </c>
      <c r="AH154" s="6" cm="1">
        <f t="array" ref="AH154">VALUE(LEFT(INDEX(Selectivo[#This Row],,MATCH(Selectivo[[#Headers],[Total]],Selectivo[#Headers],0)-1),SEARCH(" ",INDEX(Selectivo[#This Row],,MATCH(Selectivo[[#Headers],[Total]],Selectivo[#Headers],0)-1)&amp;" ")-1))</f>
        <v>39</v>
      </c>
    </row>
    <row r="155" spans="1:34" x14ac:dyDescent="0.25">
      <c r="A155">
        <v>53645984</v>
      </c>
      <c r="B155" s="10">
        <f>ROW()-ROW(Selectivo[[#Headers],[Pos]])</f>
        <v>149</v>
      </c>
      <c r="C155" s="5">
        <v>3800</v>
      </c>
      <c r="D155" t="s">
        <v>643</v>
      </c>
      <c r="E155" t="s">
        <v>21</v>
      </c>
      <c r="F155" s="13">
        <f>IFERROR(_xlfn.XLOOKUP(Selectivo[[#This Row],[DNI]],_SIY[DNI],_SIY[R1]),"78 DNC")</f>
        <v>63</v>
      </c>
      <c r="G155" s="13">
        <f>IFERROR(_xlfn.XLOOKUP(Selectivo[[#This Row],[DNI]],_SIY[DNI],_SIY[R2]),"78 DNC")</f>
        <v>54</v>
      </c>
      <c r="H155" s="12" t="str">
        <f>IFERROR(_xlfn.XLOOKUP(Selectivo[[#This Row],[DNI]],_SIY[DNI],_SIY[R3]),"78 DNC")</f>
        <v>77 DNC</v>
      </c>
      <c r="I155" s="12" t="str">
        <f>IFERROR(_xlfn.XLOOKUP(Selectivo[[#This Row],[DNI]],_SIY[DNI],_SIY[R4]),"78 DNC")</f>
        <v>77 DNC</v>
      </c>
      <c r="J155" s="13" t="str">
        <f>IFERROR(_xlfn.XLOOKUP(Selectivo[[#This Row],[DNI]],_SIY[DNI],_SIY[R5]),"78 DNC")</f>
        <v>77 DNC</v>
      </c>
      <c r="K155" s="13" t="str">
        <f>IFERROR(_xlfn.XLOOKUP(Selectivo[[#This Row],[DNI]],_SIY[DNI],_SIY[R6]),"78 DNC")</f>
        <v>77 DNC</v>
      </c>
      <c r="L155" s="13">
        <f>IFERROR(_xlfn.XLOOKUP(Selectivo[[#This Row],[DNI]],_SIY[DNI],_SIY[R7]),"78 DNC")</f>
        <v>54</v>
      </c>
      <c r="M155" s="13" t="str">
        <f>IFERROR(_xlfn.XLOOKUP(Selectivo[[#This Row],[DNI]],_SIY[DNI],_SIY[R8]),"78 DNC")</f>
        <v>77 BFD</v>
      </c>
      <c r="N155" s="13">
        <f>IFERROR(_xlfn.XLOOKUP(Selectivo[[#This Row],[DNI]],_SIY[DNI],_SIY[R9]),"78 DNC")</f>
        <v>64</v>
      </c>
      <c r="O155" s="13" t="str">
        <f>IFERROR(_xlfn.XLOOKUP(Selectivo[[#This Row],[DNI]],_SIY[DNI],_SIY[R10]),"78 DNC")</f>
        <v>77 BFD</v>
      </c>
      <c r="P155" s="13">
        <f>IFERROR(_xlfn.XLOOKUP(Selectivo[[#This Row],[DNI]],_VF2025[DNI],_VF2025[R1]),"70 DNC")</f>
        <v>23</v>
      </c>
      <c r="Q155" s="13">
        <f>IFERROR(_xlfn.XLOOKUP(Selectivo[[#This Row],[DNI]],_VF2025[DNI],_VF2025[R2]),"70 DNC")</f>
        <v>52</v>
      </c>
      <c r="R155" s="13">
        <f>IFERROR(_xlfn.XLOOKUP(Selectivo[[#This Row],[DNI]],_VF2025[DNI],_VF2025[R3]),"70 DNC")</f>
        <v>52</v>
      </c>
      <c r="S155" s="13">
        <f>IFERROR(_xlfn.XLOOKUP(Selectivo[[#This Row],[DNI]],_VF2025[DNI],_VF2025[R4]),"70 DNC")</f>
        <v>55</v>
      </c>
      <c r="T155" s="13">
        <f>IFERROR(_xlfn.XLOOKUP(Selectivo[[#This Row],[DNI]],_VF2025[DNI],_VF2025[R5]),"70 DNC")</f>
        <v>54</v>
      </c>
      <c r="U155" s="13">
        <f>IFERROR(_xlfn.XLOOKUP(Selectivo[[#This Row],[DNI]],_VF2025[DNI],_VF2025[R6]),"70 DNC")</f>
        <v>38</v>
      </c>
      <c r="V155" s="13" t="str" cm="1">
        <f t="array" ref="V155">IFERROR(_xlfn.XLOOKUP(Selectivo[[#This Row],[Vela]],_xlfn.NUMBERVALUE(SIL25v2[Sail '#]),SIL25v2[1]),"90 DNC")</f>
        <v>60</v>
      </c>
      <c r="W155" s="13" t="str" cm="1">
        <f t="array" ref="W155">IFERROR(_xlfn.XLOOKUP(Selectivo[[#This Row],[Vela]],_xlfn.NUMBERVALUE(SIL25v2[Sail '#]),SIL25v2[2]),"90 DNC")</f>
        <v>21</v>
      </c>
      <c r="X155" s="13" t="str" cm="1">
        <f t="array" ref="X155">IFERROR(_xlfn.XLOOKUP(Selectivo[[#This Row],[Vela]],_xlfn.NUMBERVALUE(SIL25v2[Sail '#]),SIL25v2[3]),"90 DNC")</f>
        <v>54</v>
      </c>
      <c r="Y155" s="13" t="str" cm="1">
        <f t="array" ref="Y155">IFERROR(_xlfn.XLOOKUP(Selectivo[[#This Row],[Vela]],_xlfn.NUMBERVALUE(SIL25v2[Sail '#]),SIL25v2[4]),"90 DNC")</f>
        <v>23</v>
      </c>
      <c r="Z155" s="12" t="str" cm="1">
        <f t="array" ref="Z155">IFERROR(_xlfn.XLOOKUP(Selectivo[[#This Row],[Vela]],_xlfn.NUMBERVALUE(SIL25v2[Sail '#]),SIL25v2[5]),"90 DNC")</f>
        <v>89 DSQ</v>
      </c>
      <c r="AA155" s="13" t="str" cm="1">
        <f t="array" ref="AA155">IFERROR(_xlfn.XLOOKUP(Selectivo[[#This Row],[Vela]],_xlfn.NUMBERVALUE(SIL25v2[Sail '#]),SIL25v2[6]),"90 DNC")</f>
        <v>49</v>
      </c>
      <c r="AB155" s="8" cm="1">
        <f t="array" ref="AB155">SUM(IFERROR(VALUE(LEFT(Regatas, FIND(" ",Regatas&amp; " ") - 1)), 0))</f>
        <v>1267</v>
      </c>
      <c r="AC155" s="9" cm="1">
        <f t="array" ref="AC15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1024</v>
      </c>
      <c r="AD155" s="6">
        <f>SMALL(RegatasN,1)</f>
        <v>21</v>
      </c>
      <c r="AE155" s="6">
        <f>SMALL(RegatasN,2)</f>
        <v>23</v>
      </c>
      <c r="AF155" s="6">
        <f>SMALL(RegatasN,3)</f>
        <v>23</v>
      </c>
      <c r="AG155" s="5" cm="1">
        <f t="array" ref="AG155">COUNTIF(Regatas,SMALL(Regatas,1))</f>
        <v>2</v>
      </c>
      <c r="AH155" s="6" cm="1">
        <f t="array" ref="AH155">VALUE(LEFT(INDEX(Selectivo[#This Row],,MATCH(Selectivo[[#Headers],[Total]],Selectivo[#Headers],0)-1),SEARCH(" ",INDEX(Selectivo[#This Row],,MATCH(Selectivo[[#Headers],[Total]],Selectivo[#Headers],0)-1)&amp;" ")-1))</f>
        <v>49</v>
      </c>
    </row>
    <row r="156" spans="1:34" x14ac:dyDescent="0.25">
      <c r="A156">
        <v>52220949</v>
      </c>
      <c r="B156" s="10">
        <f>ROW()-ROW(Selectivo[[#Headers],[Pos]])</f>
        <v>150</v>
      </c>
      <c r="C156" s="5">
        <v>4094</v>
      </c>
      <c r="D156" t="s">
        <v>629</v>
      </c>
      <c r="E156" t="s">
        <v>9</v>
      </c>
      <c r="F156" s="13">
        <f>IFERROR(_xlfn.XLOOKUP(Selectivo[[#This Row],[DNI]],_SIY[DNI],_SIY[R1]),"78 DNC")</f>
        <v>44</v>
      </c>
      <c r="G156" s="13">
        <f>IFERROR(_xlfn.XLOOKUP(Selectivo[[#This Row],[DNI]],_SIY[DNI],_SIY[R2]),"78 DNC")</f>
        <v>34</v>
      </c>
      <c r="H156" s="13">
        <f>IFERROR(_xlfn.XLOOKUP(Selectivo[[#This Row],[DNI]],_SIY[DNI],_SIY[R3]),"78 DNC")</f>
        <v>60</v>
      </c>
      <c r="I156" s="13">
        <f>IFERROR(_xlfn.XLOOKUP(Selectivo[[#This Row],[DNI]],_SIY[DNI],_SIY[R4]),"78 DNC")</f>
        <v>41</v>
      </c>
      <c r="J156" s="12" t="str">
        <f>IFERROR(_xlfn.XLOOKUP(Selectivo[[#This Row],[DNI]],_SIY[DNI],_SIY[R5]),"78 DNC")</f>
        <v>77 UFD</v>
      </c>
      <c r="K156" s="13">
        <f>IFERROR(_xlfn.XLOOKUP(Selectivo[[#This Row],[DNI]],_SIY[DNI],_SIY[R6]),"78 DNC")</f>
        <v>48</v>
      </c>
      <c r="L156" s="13">
        <f>IFERROR(_xlfn.XLOOKUP(Selectivo[[#This Row],[DNI]],_SIY[DNI],_SIY[R7]),"78 DNC")</f>
        <v>48</v>
      </c>
      <c r="M156" s="13">
        <f>IFERROR(_xlfn.XLOOKUP(Selectivo[[#This Row],[DNI]],_SIY[DNI],_SIY[R8]),"78 DNC")</f>
        <v>34</v>
      </c>
      <c r="N156" s="12" t="str">
        <f>IFERROR(_xlfn.XLOOKUP(Selectivo[[#This Row],[DNI]],_SIY[DNI],_SIY[R9]),"78 DNC")</f>
        <v>77 DNC</v>
      </c>
      <c r="O156" s="12" t="str">
        <f>IFERROR(_xlfn.XLOOKUP(Selectivo[[#This Row],[DNI]],_SIY[DNI],_SIY[R10]),"78 DNC")</f>
        <v>77 DNC</v>
      </c>
      <c r="P156" s="13">
        <f>IFERROR(_xlfn.XLOOKUP(Selectivo[[#This Row],[DNI]],_VF2025[DNI],_VF2025[R1]),"70 DNC")</f>
        <v>58</v>
      </c>
      <c r="Q156" s="13">
        <f>IFERROR(_xlfn.XLOOKUP(Selectivo[[#This Row],[DNI]],_VF2025[DNI],_VF2025[R2]),"70 DNC")</f>
        <v>37</v>
      </c>
      <c r="R156" s="13">
        <f>IFERROR(_xlfn.XLOOKUP(Selectivo[[#This Row],[DNI]],_VF2025[DNI],_VF2025[R3]),"70 DNC")</f>
        <v>44</v>
      </c>
      <c r="S156" s="13" t="str">
        <f>IFERROR(_xlfn.XLOOKUP(Selectivo[[#This Row],[DNI]],_VF2025[DNI],_VF2025[R4]),"70 DNC")</f>
        <v>70 DNC</v>
      </c>
      <c r="T156" s="13" t="str">
        <f>IFERROR(_xlfn.XLOOKUP(Selectivo[[#This Row],[DNI]],_VF2025[DNI],_VF2025[R5]),"70 DNC")</f>
        <v>70 DNC</v>
      </c>
      <c r="U156" s="13" t="str">
        <f>IFERROR(_xlfn.XLOOKUP(Selectivo[[#This Row],[DNI]],_VF2025[DNI],_VF2025[R6]),"70 DNC")</f>
        <v>70 DNC</v>
      </c>
      <c r="V156" s="13" t="str" cm="1">
        <f t="array" ref="V156">IFERROR(_xlfn.XLOOKUP(Selectivo[[#This Row],[Vela]],_xlfn.NUMBERVALUE(SIL25v2[Sail '#]),SIL25v2[1]),"90 DNC")</f>
        <v>66</v>
      </c>
      <c r="W156" s="13" t="str" cm="1">
        <f t="array" ref="W156">IFERROR(_xlfn.XLOOKUP(Selectivo[[#This Row],[Vela]],_xlfn.NUMBERVALUE(SIL25v2[Sail '#]),SIL25v2[2]),"90 DNC")</f>
        <v>73</v>
      </c>
      <c r="X156" s="13" t="str" cm="1">
        <f t="array" ref="X156">IFERROR(_xlfn.XLOOKUP(Selectivo[[#This Row],[Vela]],_xlfn.NUMBERVALUE(SIL25v2[Sail '#]),SIL25v2[3]),"90 DNC")</f>
        <v>62</v>
      </c>
      <c r="Y156" s="13" t="str" cm="1">
        <f t="array" ref="Y156">IFERROR(_xlfn.XLOOKUP(Selectivo[[#This Row],[Vela]],_xlfn.NUMBERVALUE(SIL25v2[Sail '#]),SIL25v2[4]),"90 DNC")</f>
        <v>53</v>
      </c>
      <c r="Z156" s="13" t="str" cm="1">
        <f t="array" ref="Z156">IFERROR(_xlfn.XLOOKUP(Selectivo[[#This Row],[Vela]],_xlfn.NUMBERVALUE(SIL25v2[Sail '#]),SIL25v2[5]),"90 DNC")</f>
        <v>56</v>
      </c>
      <c r="AA156" s="13" t="str" cm="1">
        <f t="array" ref="AA156">IFERROR(_xlfn.XLOOKUP(Selectivo[[#This Row],[Vela]],_xlfn.NUMBERVALUE(SIL25v2[Sail '#]),SIL25v2[6]),"90 DNC")</f>
        <v>66</v>
      </c>
      <c r="AB156" s="8" cm="1">
        <f t="array" ref="AB156">SUM(IFERROR(VALUE(LEFT(Regatas, FIND(" ",Regatas&amp; " ") - 1)), 0))</f>
        <v>1265</v>
      </c>
      <c r="AC156" s="9" cm="1">
        <f t="array" ref="AC15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1034</v>
      </c>
      <c r="AD156" s="6">
        <f>SMALL(RegatasN,1)</f>
        <v>34</v>
      </c>
      <c r="AE156" s="6">
        <f>SMALL(RegatasN,2)</f>
        <v>34</v>
      </c>
      <c r="AF156" s="6">
        <f>SMALL(RegatasN,3)</f>
        <v>37</v>
      </c>
      <c r="AG156" s="5" cm="1">
        <f t="array" ref="AG156">COUNTIF(Regatas,SMALL(Regatas,1))</f>
        <v>2</v>
      </c>
      <c r="AH156" s="6" cm="1">
        <f t="array" ref="AH156">VALUE(LEFT(INDEX(Selectivo[#This Row],,MATCH(Selectivo[[#Headers],[Total]],Selectivo[#Headers],0)-1),SEARCH(" ",INDEX(Selectivo[#This Row],,MATCH(Selectivo[[#Headers],[Total]],Selectivo[#Headers],0)-1)&amp;" ")-1))</f>
        <v>66</v>
      </c>
    </row>
    <row r="157" spans="1:34" x14ac:dyDescent="0.25">
      <c r="A157">
        <v>51098290</v>
      </c>
      <c r="B157" s="10">
        <f>ROW()-ROW(Selectivo[[#Headers],[Pos]])</f>
        <v>151</v>
      </c>
      <c r="C157" s="5">
        <v>3573</v>
      </c>
      <c r="D157" t="s">
        <v>678</v>
      </c>
      <c r="E157" t="s">
        <v>6</v>
      </c>
      <c r="F157" s="12" t="str">
        <f>IFERROR(_xlfn.XLOOKUP(Selectivo[[#This Row],[DNI]],_SIY[DNI],_SIY[R1]),"78 DNC")</f>
        <v>77 DNC</v>
      </c>
      <c r="G157" s="13" t="str">
        <f>IFERROR(_xlfn.XLOOKUP(Selectivo[[#This Row],[DNI]],_SIY[DNI],_SIY[R2]),"78 DNC")</f>
        <v>77 DNC</v>
      </c>
      <c r="H157" s="13" t="str">
        <f>IFERROR(_xlfn.XLOOKUP(Selectivo[[#This Row],[DNI]],_SIY[DNI],_SIY[R3]),"78 DNC")</f>
        <v>77 DNC</v>
      </c>
      <c r="I157" s="13" t="str">
        <f>IFERROR(_xlfn.XLOOKUP(Selectivo[[#This Row],[DNI]],_SIY[DNI],_SIY[R4]),"78 DNC")</f>
        <v>77 DNC</v>
      </c>
      <c r="J157" s="13" t="str">
        <f>IFERROR(_xlfn.XLOOKUP(Selectivo[[#This Row],[DNI]],_SIY[DNI],_SIY[R5]),"78 DNC")</f>
        <v>77 DNC</v>
      </c>
      <c r="K157" s="13" t="str">
        <f>IFERROR(_xlfn.XLOOKUP(Selectivo[[#This Row],[DNI]],_SIY[DNI],_SIY[R6]),"78 DNC")</f>
        <v>77 DNC</v>
      </c>
      <c r="L157" s="13">
        <f>IFERROR(_xlfn.XLOOKUP(Selectivo[[#This Row],[DNI]],_SIY[DNI],_SIY[R7]),"78 DNC")</f>
        <v>39</v>
      </c>
      <c r="M157" s="13" t="str">
        <f>IFERROR(_xlfn.XLOOKUP(Selectivo[[#This Row],[DNI]],_SIY[DNI],_SIY[R8]),"78 DNC")</f>
        <v>77 BFD</v>
      </c>
      <c r="N157" s="13">
        <f>IFERROR(_xlfn.XLOOKUP(Selectivo[[#This Row],[DNI]],_SIY[DNI],_SIY[R9]),"78 DNC")</f>
        <v>47</v>
      </c>
      <c r="O157" s="13">
        <f>IFERROR(_xlfn.XLOOKUP(Selectivo[[#This Row],[DNI]],_SIY[DNI],_SIY[R10]),"78 DNC")</f>
        <v>53</v>
      </c>
      <c r="P157" s="13">
        <f>IFERROR(_xlfn.XLOOKUP(Selectivo[[#This Row],[DNI]],_VF2025[DNI],_VF2025[R1]),"70 DNC")</f>
        <v>33</v>
      </c>
      <c r="Q157" s="13">
        <f>IFERROR(_xlfn.XLOOKUP(Selectivo[[#This Row],[DNI]],_VF2025[DNI],_VF2025[R2]),"70 DNC")</f>
        <v>23</v>
      </c>
      <c r="R157" s="13">
        <f>IFERROR(_xlfn.XLOOKUP(Selectivo[[#This Row],[DNI]],_VF2025[DNI],_VF2025[R3]),"70 DNC")</f>
        <v>54</v>
      </c>
      <c r="S157" s="13">
        <f>IFERROR(_xlfn.XLOOKUP(Selectivo[[#This Row],[DNI]],_VF2025[DNI],_VF2025[R4]),"70 DNC")</f>
        <v>32</v>
      </c>
      <c r="T157" s="13">
        <f>IFERROR(_xlfn.XLOOKUP(Selectivo[[#This Row],[DNI]],_VF2025[DNI],_VF2025[R5]),"70 DNC")</f>
        <v>36</v>
      </c>
      <c r="U157" s="13">
        <f>IFERROR(_xlfn.XLOOKUP(Selectivo[[#This Row],[DNI]],_VF2025[DNI],_VF2025[R6]),"70 DNC")</f>
        <v>58</v>
      </c>
      <c r="V157" s="13" t="str" cm="1">
        <f t="array" ref="V157">IFERROR(_xlfn.XLOOKUP(Selectivo[[#This Row],[Vela]],_xlfn.NUMBERVALUE(SIL25v2[Sail '#]),SIL25v2[1]),"90 DNC")</f>
        <v>50</v>
      </c>
      <c r="W157" s="13" t="str" cm="1">
        <f t="array" ref="W157">IFERROR(_xlfn.XLOOKUP(Selectivo[[#This Row],[Vela]],_xlfn.NUMBERVALUE(SIL25v2[Sail '#]),SIL25v2[2]),"90 DNC")</f>
        <v>53</v>
      </c>
      <c r="X157" s="12" t="str" cm="1">
        <f t="array" ref="X157">IFERROR(_xlfn.XLOOKUP(Selectivo[[#This Row],[Vela]],_xlfn.NUMBERVALUE(SIL25v2[Sail '#]),SIL25v2[3]),"90 DNC")</f>
        <v>89 BFD</v>
      </c>
      <c r="Y157" s="13" t="str" cm="1">
        <f t="array" ref="Y157">IFERROR(_xlfn.XLOOKUP(Selectivo[[#This Row],[Vela]],_xlfn.NUMBERVALUE(SIL25v2[Sail '#]),SIL25v2[4]),"90 DNC")</f>
        <v>32</v>
      </c>
      <c r="Z157" s="13" t="str" cm="1">
        <f t="array" ref="Z157">IFERROR(_xlfn.XLOOKUP(Selectivo[[#This Row],[Vela]],_xlfn.NUMBERVALUE(SIL25v2[Sail '#]),SIL25v2[5]),"90 DNC")</f>
        <v>65</v>
      </c>
      <c r="AA157" s="12" t="str" cm="1">
        <f t="array" ref="AA157">IFERROR(_xlfn.XLOOKUP(Selectivo[[#This Row],[Vela]],_xlfn.NUMBERVALUE(SIL25v2[Sail '#]),SIL25v2[6]),"90 DNC")</f>
        <v>89 BFD</v>
      </c>
      <c r="AB157" s="8" cm="1">
        <f t="array" ref="AB157">SUM(IFERROR(VALUE(LEFT(Regatas, FIND(" ",Regatas&amp; " ") - 1)), 0))</f>
        <v>1292</v>
      </c>
      <c r="AC157" s="9" cm="1">
        <f t="array" ref="AC15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1037</v>
      </c>
      <c r="AD157" s="6">
        <f>SMALL(RegatasN,1)</f>
        <v>23</v>
      </c>
      <c r="AE157" s="6">
        <f>SMALL(RegatasN,2)</f>
        <v>32</v>
      </c>
      <c r="AF157" s="6">
        <f>SMALL(RegatasN,3)</f>
        <v>32</v>
      </c>
      <c r="AG157" s="5" cm="1">
        <f t="array" ref="AG157">COUNTIF(Regatas,SMALL(Regatas,1))</f>
        <v>1</v>
      </c>
      <c r="AH157" s="6" cm="1">
        <f t="array" ref="AH157">VALUE(LEFT(INDEX(Selectivo[#This Row],,MATCH(Selectivo[[#Headers],[Total]],Selectivo[#Headers],0)-1),SEARCH(" ",INDEX(Selectivo[#This Row],,MATCH(Selectivo[[#Headers],[Total]],Selectivo[#Headers],0)-1)&amp;" ")-1))</f>
        <v>89</v>
      </c>
    </row>
    <row r="158" spans="1:34" x14ac:dyDescent="0.25">
      <c r="A158">
        <v>51182364</v>
      </c>
      <c r="B158" s="10">
        <f>ROW()-ROW(Selectivo[[#Headers],[Pos]])</f>
        <v>152</v>
      </c>
      <c r="C158" s="5">
        <v>3980</v>
      </c>
      <c r="D158" t="s">
        <v>702</v>
      </c>
      <c r="E158" t="s">
        <v>16</v>
      </c>
      <c r="F158" s="13">
        <f>IFERROR(_xlfn.XLOOKUP(Selectivo[[#This Row],[DNI]],_SIY[DNI],_SIY[R1]),"78 DNC")</f>
        <v>27</v>
      </c>
      <c r="G158" s="12" t="str">
        <f>IFERROR(_xlfn.XLOOKUP(Selectivo[[#This Row],[DNI]],_SIY[DNI],_SIY[R2]),"78 DNC")</f>
        <v>77 DNC</v>
      </c>
      <c r="H158" s="13">
        <f>IFERROR(_xlfn.XLOOKUP(Selectivo[[#This Row],[DNI]],_SIY[DNI],_SIY[R3]),"78 DNC")</f>
        <v>56</v>
      </c>
      <c r="I158" s="13">
        <f>IFERROR(_xlfn.XLOOKUP(Selectivo[[#This Row],[DNI]],_SIY[DNI],_SIY[R4]),"78 DNC")</f>
        <v>27</v>
      </c>
      <c r="J158" s="13">
        <f>IFERROR(_xlfn.XLOOKUP(Selectivo[[#This Row],[DNI]],_SIY[DNI],_SIY[R5]),"78 DNC")</f>
        <v>51</v>
      </c>
      <c r="K158" s="13">
        <f>IFERROR(_xlfn.XLOOKUP(Selectivo[[#This Row],[DNI]],_SIY[DNI],_SIY[R6]),"78 DNC")</f>
        <v>42</v>
      </c>
      <c r="L158" s="13">
        <f>IFERROR(_xlfn.XLOOKUP(Selectivo[[#This Row],[DNI]],_SIY[DNI],_SIY[R7]),"78 DNC")</f>
        <v>42</v>
      </c>
      <c r="M158" s="13">
        <f>IFERROR(_xlfn.XLOOKUP(Selectivo[[#This Row],[DNI]],_SIY[DNI],_SIY[R8]),"78 DNC")</f>
        <v>57</v>
      </c>
      <c r="N158" s="13">
        <f>IFERROR(_xlfn.XLOOKUP(Selectivo[[#This Row],[DNI]],_SIY[DNI],_SIY[R9]),"78 DNC")</f>
        <v>71</v>
      </c>
      <c r="O158" s="13">
        <f>IFERROR(_xlfn.XLOOKUP(Selectivo[[#This Row],[DNI]],_SIY[DNI],_SIY[R10]),"78 DNC")</f>
        <v>45</v>
      </c>
      <c r="P158" s="13">
        <f>IFERROR(_xlfn.XLOOKUP(Selectivo[[#This Row],[DNI]],_VF2025[DNI],_VF2025[R1]),"70 DNC")</f>
        <v>59</v>
      </c>
      <c r="Q158" s="13">
        <f>IFERROR(_xlfn.XLOOKUP(Selectivo[[#This Row],[DNI]],_VF2025[DNI],_VF2025[R2]),"70 DNC")</f>
        <v>57</v>
      </c>
      <c r="R158" s="13">
        <f>IFERROR(_xlfn.XLOOKUP(Selectivo[[#This Row],[DNI]],_VF2025[DNI],_VF2025[R3]),"70 DNC")</f>
        <v>53</v>
      </c>
      <c r="S158" s="13">
        <f>IFERROR(_xlfn.XLOOKUP(Selectivo[[#This Row],[DNI]],_VF2025[DNI],_VF2025[R4]),"70 DNC")</f>
        <v>62</v>
      </c>
      <c r="T158" s="13">
        <f>IFERROR(_xlfn.XLOOKUP(Selectivo[[#This Row],[DNI]],_VF2025[DNI],_VF2025[R5]),"70 DNC")</f>
        <v>61</v>
      </c>
      <c r="U158" s="13">
        <f>IFERROR(_xlfn.XLOOKUP(Selectivo[[#This Row],[DNI]],_VF2025[DNI],_VF2025[R6]),"70 DNC")</f>
        <v>44</v>
      </c>
      <c r="V158" s="13" t="str" cm="1">
        <f t="array" ref="V158">IFERROR(_xlfn.XLOOKUP(Selectivo[[#This Row],[Vela]],_xlfn.NUMBERVALUE(SIL25v2[Sail '#]),SIL25v2[1]),"90 DNC")</f>
        <v>76</v>
      </c>
      <c r="W158" s="12" t="str" cm="1">
        <f t="array" ref="W158">IFERROR(_xlfn.XLOOKUP(Selectivo[[#This Row],[Vela]],_xlfn.NUMBERVALUE(SIL25v2[Sail '#]),SIL25v2[2]),"90 DNC")</f>
        <v>81</v>
      </c>
      <c r="X158" s="13" t="str" cm="1">
        <f t="array" ref="X158">IFERROR(_xlfn.XLOOKUP(Selectivo[[#This Row],[Vela]],_xlfn.NUMBERVALUE(SIL25v2[Sail '#]),SIL25v2[3]),"90 DNC")</f>
        <v>74</v>
      </c>
      <c r="Y158" s="13" t="str" cm="1">
        <f t="array" ref="Y158">IFERROR(_xlfn.XLOOKUP(Selectivo[[#This Row],[Vela]],_xlfn.NUMBERVALUE(SIL25v2[Sail '#]),SIL25v2[4]),"90 DNC")</f>
        <v>77</v>
      </c>
      <c r="Z158" s="13" t="str" cm="1">
        <f t="array" ref="Z158">IFERROR(_xlfn.XLOOKUP(Selectivo[[#This Row],[Vela]],_xlfn.NUMBERVALUE(SIL25v2[Sail '#]),SIL25v2[5]),"90 DNC")</f>
        <v>63</v>
      </c>
      <c r="AA158" s="12" t="str" cm="1">
        <f t="array" ref="AA158">IFERROR(_xlfn.XLOOKUP(Selectivo[[#This Row],[Vela]],_xlfn.NUMBERVALUE(SIL25v2[Sail '#]),SIL25v2[6]),"90 DNC")</f>
        <v>89 BFD</v>
      </c>
      <c r="AB158" s="8" cm="1">
        <f t="array" ref="AB158">SUM(IFERROR(VALUE(LEFT(Regatas, FIND(" ",Regatas&amp; " ") - 1)), 0))</f>
        <v>1291</v>
      </c>
      <c r="AC158" s="9" cm="1">
        <f t="array" ref="AC15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1044</v>
      </c>
      <c r="AD158" s="6">
        <f>SMALL(RegatasN,1)</f>
        <v>27</v>
      </c>
      <c r="AE158" s="6">
        <f>SMALL(RegatasN,2)</f>
        <v>27</v>
      </c>
      <c r="AF158" s="6">
        <f>SMALL(RegatasN,3)</f>
        <v>42</v>
      </c>
      <c r="AG158" s="5" cm="1">
        <f t="array" ref="AG158">COUNTIF(Regatas,SMALL(Regatas,1))</f>
        <v>2</v>
      </c>
      <c r="AH158" s="6" cm="1">
        <f t="array" ref="AH158">VALUE(LEFT(INDEX(Selectivo[#This Row],,MATCH(Selectivo[[#Headers],[Total]],Selectivo[#Headers],0)-1),SEARCH(" ",INDEX(Selectivo[#This Row],,MATCH(Selectivo[[#Headers],[Total]],Selectivo[#Headers],0)-1)&amp;" ")-1))</f>
        <v>89</v>
      </c>
    </row>
    <row r="159" spans="1:34" x14ac:dyDescent="0.25">
      <c r="A159">
        <v>53477120</v>
      </c>
      <c r="B159" s="10">
        <f>ROW()-ROW(Selectivo[[#Headers],[Pos]])</f>
        <v>153</v>
      </c>
      <c r="C159" s="5">
        <v>4055</v>
      </c>
      <c r="D159" t="s">
        <v>597</v>
      </c>
      <c r="E159" t="s">
        <v>8</v>
      </c>
      <c r="F159" s="13">
        <f>IFERROR(_xlfn.XLOOKUP(Selectivo[[#This Row],[DNI]],_SIY[DNI],_SIY[R1]),"78 DNC")</f>
        <v>69</v>
      </c>
      <c r="G159" s="13">
        <f>IFERROR(_xlfn.XLOOKUP(Selectivo[[#This Row],[DNI]],_SIY[DNI],_SIY[R2]),"78 DNC")</f>
        <v>65</v>
      </c>
      <c r="H159" s="13">
        <f>IFERROR(_xlfn.XLOOKUP(Selectivo[[#This Row],[DNI]],_SIY[DNI],_SIY[R3]),"78 DNC")</f>
        <v>69</v>
      </c>
      <c r="I159" s="12" t="str">
        <f>IFERROR(_xlfn.XLOOKUP(Selectivo[[#This Row],[DNI]],_SIY[DNI],_SIY[R4]),"78 DNC")</f>
        <v>77 DNC</v>
      </c>
      <c r="J159" s="12" t="str">
        <f>IFERROR(_xlfn.XLOOKUP(Selectivo[[#This Row],[DNI]],_SIY[DNI],_SIY[R5]),"78 DNC")</f>
        <v>77 DNC</v>
      </c>
      <c r="K159" s="12" t="str">
        <f>IFERROR(_xlfn.XLOOKUP(Selectivo[[#This Row],[DNI]],_SIY[DNI],_SIY[R6]),"78 DNC")</f>
        <v>77 DNC</v>
      </c>
      <c r="L159" s="13">
        <f>IFERROR(_xlfn.XLOOKUP(Selectivo[[#This Row],[DNI]],_SIY[DNI],_SIY[R7]),"78 DNC")</f>
        <v>71</v>
      </c>
      <c r="M159" s="13">
        <f>IFERROR(_xlfn.XLOOKUP(Selectivo[[#This Row],[DNI]],_SIY[DNI],_SIY[R8]),"78 DNC")</f>
        <v>73</v>
      </c>
      <c r="N159" s="13" t="str">
        <f>IFERROR(_xlfn.XLOOKUP(Selectivo[[#This Row],[DNI]],_SIY[DNI],_SIY[R9]),"78 DNC")</f>
        <v>68 SP1</v>
      </c>
      <c r="O159" s="13" t="str">
        <f>IFERROR(_xlfn.XLOOKUP(Selectivo[[#This Row],[DNI]],_SIY[DNI],_SIY[R10]),"78 DNC")</f>
        <v>68 SP1</v>
      </c>
      <c r="P159" s="13">
        <f>IFERROR(_xlfn.XLOOKUP(Selectivo[[#This Row],[DNI]],_VF2025[DNI],_VF2025[R1]),"70 DNC")</f>
        <v>30</v>
      </c>
      <c r="Q159" s="13" t="str">
        <f>IFERROR(_xlfn.XLOOKUP(Selectivo[[#This Row],[DNI]],_VF2025[DNI],_VF2025[R2]),"70 DNC")</f>
        <v>70 DNC</v>
      </c>
      <c r="R159" s="13">
        <f>IFERROR(_xlfn.XLOOKUP(Selectivo[[#This Row],[DNI]],_VF2025[DNI],_VF2025[R3]),"70 DNC")</f>
        <v>51</v>
      </c>
      <c r="S159" s="13">
        <f>IFERROR(_xlfn.XLOOKUP(Selectivo[[#This Row],[DNI]],_VF2025[DNI],_VF2025[R4]),"70 DNC")</f>
        <v>61</v>
      </c>
      <c r="T159" s="13">
        <f>IFERROR(_xlfn.XLOOKUP(Selectivo[[#This Row],[DNI]],_VF2025[DNI],_VF2025[R5]),"70 DNC")</f>
        <v>57</v>
      </c>
      <c r="U159" s="13">
        <f>IFERROR(_xlfn.XLOOKUP(Selectivo[[#This Row],[DNI]],_VF2025[DNI],_VF2025[R6]),"70 DNC")</f>
        <v>43</v>
      </c>
      <c r="V159" s="13" t="str" cm="1">
        <f t="array" ref="V159">IFERROR(_xlfn.XLOOKUP(Selectivo[[#This Row],[Vela]],_xlfn.NUMBERVALUE(SIL25v2[Sail '#]),SIL25v2[1]),"90 DNC")</f>
        <v>32</v>
      </c>
      <c r="W159" s="13" t="str" cm="1">
        <f t="array" ref="W159">IFERROR(_xlfn.XLOOKUP(Selectivo[[#This Row],[Vela]],_xlfn.NUMBERVALUE(SIL25v2[Sail '#]),SIL25v2[2]),"90 DNC")</f>
        <v>75</v>
      </c>
      <c r="X159" s="13" t="str" cm="1">
        <f t="array" ref="X159">IFERROR(_xlfn.XLOOKUP(Selectivo[[#This Row],[Vela]],_xlfn.NUMBERVALUE(SIL25v2[Sail '#]),SIL25v2[3]),"90 DNC")</f>
        <v>41</v>
      </c>
      <c r="Y159" s="13" t="str" cm="1">
        <f t="array" ref="Y159">IFERROR(_xlfn.XLOOKUP(Selectivo[[#This Row],[Vela]],_xlfn.NUMBERVALUE(SIL25v2[Sail '#]),SIL25v2[4]),"90 DNC")</f>
        <v>44</v>
      </c>
      <c r="Z159" s="13" t="str" cm="1">
        <f t="array" ref="Z159">IFERROR(_xlfn.XLOOKUP(Selectivo[[#This Row],[Vela]],_xlfn.NUMBERVALUE(SIL25v2[Sail '#]),SIL25v2[5]),"90 DNC")</f>
        <v>47</v>
      </c>
      <c r="AA159" s="13" t="str" cm="1">
        <f t="array" ref="AA159">IFERROR(_xlfn.XLOOKUP(Selectivo[[#This Row],[Vela]],_xlfn.NUMBERVALUE(SIL25v2[Sail '#]),SIL25v2[6]),"90 DNC")</f>
        <v>12</v>
      </c>
      <c r="AB159" s="8" cm="1">
        <f t="array" ref="AB159">SUM(IFERROR(VALUE(LEFT(Regatas, FIND(" ",Regatas&amp; " ") - 1)), 0))</f>
        <v>1277</v>
      </c>
      <c r="AC159" s="9" cm="1">
        <f t="array" ref="AC15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1046</v>
      </c>
      <c r="AD159" s="6">
        <f>SMALL(RegatasN,1)</f>
        <v>12</v>
      </c>
      <c r="AE159" s="6">
        <f>SMALL(RegatasN,2)</f>
        <v>30</v>
      </c>
      <c r="AF159" s="6">
        <f>SMALL(RegatasN,3)</f>
        <v>32</v>
      </c>
      <c r="AG159" s="5" cm="1">
        <f t="array" ref="AG159">COUNTIF(Regatas,SMALL(Regatas,1))</f>
        <v>1</v>
      </c>
      <c r="AH159" s="6" cm="1">
        <f t="array" ref="AH159">VALUE(LEFT(INDEX(Selectivo[#This Row],,MATCH(Selectivo[[#Headers],[Total]],Selectivo[#Headers],0)-1),SEARCH(" ",INDEX(Selectivo[#This Row],,MATCH(Selectivo[[#Headers],[Total]],Selectivo[#Headers],0)-1)&amp;" ")-1))</f>
        <v>12</v>
      </c>
    </row>
    <row r="160" spans="1:34" x14ac:dyDescent="0.25">
      <c r="A160">
        <v>53761156</v>
      </c>
      <c r="B160" s="10">
        <f>ROW()-ROW(Selectivo[[#Headers],[Pos]])</f>
        <v>154</v>
      </c>
      <c r="C160" s="5">
        <v>3868</v>
      </c>
      <c r="D160" t="s">
        <v>657</v>
      </c>
      <c r="E160" t="s">
        <v>5</v>
      </c>
      <c r="F160" s="13">
        <f>IFERROR(_xlfn.XLOOKUP(Selectivo[[#This Row],[DNI]],_SIY[DNI],_SIY[R1]),"78 DNC")</f>
        <v>49</v>
      </c>
      <c r="G160" s="13">
        <f>IFERROR(_xlfn.XLOOKUP(Selectivo[[#This Row],[DNI]],_SIY[DNI],_SIY[R2]),"78 DNC")</f>
        <v>57</v>
      </c>
      <c r="H160" s="13">
        <f>IFERROR(_xlfn.XLOOKUP(Selectivo[[#This Row],[DNI]],_SIY[DNI],_SIY[R3]),"78 DNC")</f>
        <v>64</v>
      </c>
      <c r="I160" s="13">
        <f>IFERROR(_xlfn.XLOOKUP(Selectivo[[#This Row],[DNI]],_SIY[DNI],_SIY[R4]),"78 DNC")</f>
        <v>56</v>
      </c>
      <c r="J160" s="13">
        <f>IFERROR(_xlfn.XLOOKUP(Selectivo[[#This Row],[DNI]],_SIY[DNI],_SIY[R5]),"78 DNC")</f>
        <v>57</v>
      </c>
      <c r="K160" s="13">
        <f>IFERROR(_xlfn.XLOOKUP(Selectivo[[#This Row],[DNI]],_SIY[DNI],_SIY[R6]),"78 DNC")</f>
        <v>36</v>
      </c>
      <c r="L160" s="13">
        <f>IFERROR(_xlfn.XLOOKUP(Selectivo[[#This Row],[DNI]],_SIY[DNI],_SIY[R7]),"78 DNC")</f>
        <v>57</v>
      </c>
      <c r="M160" s="13">
        <f>IFERROR(_xlfn.XLOOKUP(Selectivo[[#This Row],[DNI]],_SIY[DNI],_SIY[R8]),"78 DNC")</f>
        <v>56</v>
      </c>
      <c r="N160" s="13">
        <f>IFERROR(_xlfn.XLOOKUP(Selectivo[[#This Row],[DNI]],_SIY[DNI],_SIY[R9]),"78 DNC")</f>
        <v>31</v>
      </c>
      <c r="O160" s="13">
        <f>IFERROR(_xlfn.XLOOKUP(Selectivo[[#This Row],[DNI]],_SIY[DNI],_SIY[R10]),"78 DNC")</f>
        <v>68</v>
      </c>
      <c r="P160" s="12" t="str">
        <f>IFERROR(_xlfn.XLOOKUP(Selectivo[[#This Row],[DNI]],_VF2025[DNI],_VF2025[R1]),"70 DNC")</f>
        <v>70 DNC</v>
      </c>
      <c r="Q160" s="12" t="str">
        <f>IFERROR(_xlfn.XLOOKUP(Selectivo[[#This Row],[DNI]],_VF2025[DNI],_VF2025[R2]),"70 DNC")</f>
        <v>70 DNC</v>
      </c>
      <c r="R160" s="13" t="str">
        <f>IFERROR(_xlfn.XLOOKUP(Selectivo[[#This Row],[DNI]],_VF2025[DNI],_VF2025[R3]),"70 DNC")</f>
        <v>70 DNC</v>
      </c>
      <c r="S160" s="13" t="str">
        <f>IFERROR(_xlfn.XLOOKUP(Selectivo[[#This Row],[DNI]],_VF2025[DNI],_VF2025[R4]),"70 DNC")</f>
        <v>70 DNC</v>
      </c>
      <c r="T160" s="13" t="str">
        <f>IFERROR(_xlfn.XLOOKUP(Selectivo[[#This Row],[DNI]],_VF2025[DNI],_VF2025[R5]),"70 DNC")</f>
        <v>70 DNC</v>
      </c>
      <c r="U160" s="13" t="str">
        <f>IFERROR(_xlfn.XLOOKUP(Selectivo[[#This Row],[DNI]],_VF2025[DNI],_VF2025[R6]),"70 DNC")</f>
        <v>70 DNC</v>
      </c>
      <c r="V160" s="12" t="str" cm="1">
        <f t="array" ref="V160">IFERROR(_xlfn.XLOOKUP(Selectivo[[#This Row],[Vela]],_xlfn.NUMBERVALUE(SIL25v2[Sail '#]),SIL25v2[1]),"90 DNC")</f>
        <v>89 BFD</v>
      </c>
      <c r="W160" s="13" t="str" cm="1">
        <f t="array" ref="W160">IFERROR(_xlfn.XLOOKUP(Selectivo[[#This Row],[Vela]],_xlfn.NUMBERVALUE(SIL25v2[Sail '#]),SIL25v2[2]),"90 DNC")</f>
        <v>35</v>
      </c>
      <c r="X160" s="13" t="str" cm="1">
        <f t="array" ref="X160">IFERROR(_xlfn.XLOOKUP(Selectivo[[#This Row],[Vela]],_xlfn.NUMBERVALUE(SIL25v2[Sail '#]),SIL25v2[3]),"90 DNC")</f>
        <v>30</v>
      </c>
      <c r="Y160" s="13" t="str" cm="1">
        <f t="array" ref="Y160">IFERROR(_xlfn.XLOOKUP(Selectivo[[#This Row],[Vela]],_xlfn.NUMBERVALUE(SIL25v2[Sail '#]),SIL25v2[4]),"90 DNC")</f>
        <v>65</v>
      </c>
      <c r="Z160" s="13" t="str" cm="1">
        <f t="array" ref="Z160">IFERROR(_xlfn.XLOOKUP(Selectivo[[#This Row],[Vela]],_xlfn.NUMBERVALUE(SIL25v2[Sail '#]),SIL25v2[5]),"90 DNC")</f>
        <v>44</v>
      </c>
      <c r="AA160" s="13" t="str" cm="1">
        <f t="array" ref="AA160">IFERROR(_xlfn.XLOOKUP(Selectivo[[#This Row],[Vela]],_xlfn.NUMBERVALUE(SIL25v2[Sail '#]),SIL25v2[6]),"90 DNC")</f>
        <v>62</v>
      </c>
      <c r="AB160" s="8" cm="1">
        <f t="array" ref="AB160">SUM(IFERROR(VALUE(LEFT(Regatas, FIND(" ",Regatas&amp; " ") - 1)), 0))</f>
        <v>1276</v>
      </c>
      <c r="AC160" s="9" cm="1">
        <f t="array" ref="AC16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1047</v>
      </c>
      <c r="AD160" s="6">
        <f>SMALL(RegatasN,1)</f>
        <v>30</v>
      </c>
      <c r="AE160" s="6">
        <f>SMALL(RegatasN,2)</f>
        <v>31</v>
      </c>
      <c r="AF160" s="6">
        <f>SMALL(RegatasN,3)</f>
        <v>35</v>
      </c>
      <c r="AG160" s="5" cm="1">
        <f t="array" ref="AG160">COUNTIF(Regatas,SMALL(Regatas,1))</f>
        <v>1</v>
      </c>
      <c r="AH160" s="6" cm="1">
        <f t="array" ref="AH160">VALUE(LEFT(INDEX(Selectivo[#This Row],,MATCH(Selectivo[[#Headers],[Total]],Selectivo[#Headers],0)-1),SEARCH(" ",INDEX(Selectivo[#This Row],,MATCH(Selectivo[[#Headers],[Total]],Selectivo[#Headers],0)-1)&amp;" ")-1))</f>
        <v>62</v>
      </c>
    </row>
    <row r="161" spans="1:34" x14ac:dyDescent="0.25">
      <c r="A161">
        <v>50703202</v>
      </c>
      <c r="B161" s="10">
        <f>ROW()-ROW(Selectivo[[#Headers],[Pos]])</f>
        <v>155</v>
      </c>
      <c r="C161" s="5">
        <v>3808</v>
      </c>
      <c r="D161" t="s">
        <v>632</v>
      </c>
      <c r="E161" t="s">
        <v>7</v>
      </c>
      <c r="F161" s="13">
        <f>IFERROR(_xlfn.XLOOKUP(Selectivo[[#This Row],[DNI]],_SIY[DNI],_SIY[R1]),"78 DNC")</f>
        <v>34</v>
      </c>
      <c r="G161" s="13">
        <f>IFERROR(_xlfn.XLOOKUP(Selectivo[[#This Row],[DNI]],_SIY[DNI],_SIY[R2]),"78 DNC")</f>
        <v>40</v>
      </c>
      <c r="H161" s="13">
        <f>IFERROR(_xlfn.XLOOKUP(Selectivo[[#This Row],[DNI]],_SIY[DNI],_SIY[R3]),"78 DNC")</f>
        <v>30</v>
      </c>
      <c r="I161" s="13">
        <f>IFERROR(_xlfn.XLOOKUP(Selectivo[[#This Row],[DNI]],_SIY[DNI],_SIY[R4]),"78 DNC")</f>
        <v>23</v>
      </c>
      <c r="J161" s="13">
        <f>IFERROR(_xlfn.XLOOKUP(Selectivo[[#This Row],[DNI]],_SIY[DNI],_SIY[R5]),"78 DNC")</f>
        <v>37</v>
      </c>
      <c r="K161" s="13">
        <f>IFERROR(_xlfn.XLOOKUP(Selectivo[[#This Row],[DNI]],_SIY[DNI],_SIY[R6]),"78 DNC")</f>
        <v>41</v>
      </c>
      <c r="L161" s="13">
        <f>IFERROR(_xlfn.XLOOKUP(Selectivo[[#This Row],[DNI]],_SIY[DNI],_SIY[R7]),"78 DNC")</f>
        <v>31</v>
      </c>
      <c r="M161" s="13">
        <f>IFERROR(_xlfn.XLOOKUP(Selectivo[[#This Row],[DNI]],_SIY[DNI],_SIY[R8]),"78 DNC")</f>
        <v>37</v>
      </c>
      <c r="N161" s="13">
        <f>IFERROR(_xlfn.XLOOKUP(Selectivo[[#This Row],[DNI]],_SIY[DNI],_SIY[R9]),"78 DNC")</f>
        <v>62</v>
      </c>
      <c r="O161" s="13">
        <f>IFERROR(_xlfn.XLOOKUP(Selectivo[[#This Row],[DNI]],_SIY[DNI],_SIY[R10]),"78 DNC")</f>
        <v>34</v>
      </c>
      <c r="P161" s="13" t="str">
        <f>IFERROR(_xlfn.XLOOKUP(Selectivo[[#This Row],[DNI]],_VF2025[DNI],_VF2025[R1]),"70 DNC")</f>
        <v>70 DNC</v>
      </c>
      <c r="Q161" s="13" t="str">
        <f>IFERROR(_xlfn.XLOOKUP(Selectivo[[#This Row],[DNI]],_VF2025[DNI],_VF2025[R2]),"70 DNC")</f>
        <v>70 DNC</v>
      </c>
      <c r="R161" s="13" t="str">
        <f>IFERROR(_xlfn.XLOOKUP(Selectivo[[#This Row],[DNI]],_VF2025[DNI],_VF2025[R3]),"70 DNC")</f>
        <v>70 DNC</v>
      </c>
      <c r="S161" s="13" t="str">
        <f>IFERROR(_xlfn.XLOOKUP(Selectivo[[#This Row],[DNI]],_VF2025[DNI],_VF2025[R4]),"70 DNC")</f>
        <v>70 DNC</v>
      </c>
      <c r="T161" s="13" t="str">
        <f>IFERROR(_xlfn.XLOOKUP(Selectivo[[#This Row],[DNI]],_VF2025[DNI],_VF2025[R5]),"70 DNC")</f>
        <v>70 DNC</v>
      </c>
      <c r="U161" s="13" t="str">
        <f>IFERROR(_xlfn.XLOOKUP(Selectivo[[#This Row],[DNI]],_VF2025[DNI],_VF2025[R6]),"70 DNC")</f>
        <v>70 DNC</v>
      </c>
      <c r="V161" s="12" t="str" cm="1">
        <f t="array" ref="V161">IFERROR(_xlfn.XLOOKUP(Selectivo[[#This Row],[Vela]],_xlfn.NUMBERVALUE(SIL25v2[Sail '#]),SIL25v2[1]),"90 DNC")</f>
        <v>90 DNC</v>
      </c>
      <c r="W161" s="12" t="str" cm="1">
        <f t="array" ref="W161">IFERROR(_xlfn.XLOOKUP(Selectivo[[#This Row],[Vela]],_xlfn.NUMBERVALUE(SIL25v2[Sail '#]),SIL25v2[2]),"90 DNC")</f>
        <v>90 DNC</v>
      </c>
      <c r="X161" s="12" t="str" cm="1">
        <f t="array" ref="X161">IFERROR(_xlfn.XLOOKUP(Selectivo[[#This Row],[Vela]],_xlfn.NUMBERVALUE(SIL25v2[Sail '#]),SIL25v2[3]),"90 DNC")</f>
        <v>90 DNC</v>
      </c>
      <c r="Y161" s="13" t="str" cm="1">
        <f t="array" ref="Y161">IFERROR(_xlfn.XLOOKUP(Selectivo[[#This Row],[Vela]],_xlfn.NUMBERVALUE(SIL25v2[Sail '#]),SIL25v2[4]),"90 DNC")</f>
        <v>90 DNC</v>
      </c>
      <c r="Z161" s="13" t="str" cm="1">
        <f t="array" ref="Z161">IFERROR(_xlfn.XLOOKUP(Selectivo[[#This Row],[Vela]],_xlfn.NUMBERVALUE(SIL25v2[Sail '#]),SIL25v2[5]),"90 DNC")</f>
        <v>90 DNC</v>
      </c>
      <c r="AA161" s="13" t="str" cm="1">
        <f t="array" ref="AA161">IFERROR(_xlfn.XLOOKUP(Selectivo[[#This Row],[Vela]],_xlfn.NUMBERVALUE(SIL25v2[Sail '#]),SIL25v2[6]),"90 DNC")</f>
        <v>90 DNC</v>
      </c>
      <c r="AB161" s="8" cm="1">
        <f t="array" ref="AB161">SUM(IFERROR(VALUE(LEFT(Regatas, FIND(" ",Regatas&amp; " ") - 1)), 0))</f>
        <v>1329</v>
      </c>
      <c r="AC161" s="9" cm="1">
        <f t="array" ref="AC16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1059</v>
      </c>
      <c r="AD161" s="6">
        <f>SMALL(RegatasN,1)</f>
        <v>23</v>
      </c>
      <c r="AE161" s="6">
        <f>SMALL(RegatasN,2)</f>
        <v>30</v>
      </c>
      <c r="AF161" s="6">
        <f>SMALL(RegatasN,3)</f>
        <v>31</v>
      </c>
      <c r="AG161" s="5" cm="1">
        <f t="array" ref="AG161">COUNTIF(Regatas,SMALL(Regatas,1))</f>
        <v>1</v>
      </c>
      <c r="AH161" s="6" cm="1">
        <f t="array" ref="AH161">VALUE(LEFT(INDEX(Selectivo[#This Row],,MATCH(Selectivo[[#Headers],[Total]],Selectivo[#Headers],0)-1),SEARCH(" ",INDEX(Selectivo[#This Row],,MATCH(Selectivo[[#Headers],[Total]],Selectivo[#Headers],0)-1)&amp;" ")-1))</f>
        <v>90</v>
      </c>
    </row>
    <row r="162" spans="1:34" x14ac:dyDescent="0.25">
      <c r="A162">
        <v>51369815</v>
      </c>
      <c r="B162" s="10">
        <f>ROW()-ROW(Selectivo[[#Headers],[Pos]])</f>
        <v>156</v>
      </c>
      <c r="C162" s="5">
        <v>3987</v>
      </c>
      <c r="D162" t="s">
        <v>690</v>
      </c>
      <c r="E162" t="s">
        <v>6</v>
      </c>
      <c r="F162" s="13">
        <f>IFERROR(_xlfn.XLOOKUP(Selectivo[[#This Row],[DNI]],_SIY[DNI],_SIY[R1]),"78 DNC")</f>
        <v>47</v>
      </c>
      <c r="G162" s="13">
        <f>IFERROR(_xlfn.XLOOKUP(Selectivo[[#This Row],[DNI]],_SIY[DNI],_SIY[R2]),"78 DNC")</f>
        <v>57</v>
      </c>
      <c r="H162" s="13">
        <f>IFERROR(_xlfn.XLOOKUP(Selectivo[[#This Row],[DNI]],_SIY[DNI],_SIY[R3]),"78 DNC")</f>
        <v>66</v>
      </c>
      <c r="I162" s="13">
        <f>IFERROR(_xlfn.XLOOKUP(Selectivo[[#This Row],[DNI]],_SIY[DNI],_SIY[R4]),"78 DNC")</f>
        <v>51</v>
      </c>
      <c r="J162" s="13">
        <f>IFERROR(_xlfn.XLOOKUP(Selectivo[[#This Row],[DNI]],_SIY[DNI],_SIY[R5]),"78 DNC")</f>
        <v>50</v>
      </c>
      <c r="K162" s="12" t="str">
        <f>IFERROR(_xlfn.XLOOKUP(Selectivo[[#This Row],[DNI]],_SIY[DNI],_SIY[R6]),"78 DNC")</f>
        <v>77 DNC</v>
      </c>
      <c r="L162" s="12" t="str">
        <f>IFERROR(_xlfn.XLOOKUP(Selectivo[[#This Row],[DNI]],_SIY[DNI],_SIY[R7]),"78 DNC")</f>
        <v>77 DNC</v>
      </c>
      <c r="M162" s="13" t="str">
        <f>IFERROR(_xlfn.XLOOKUP(Selectivo[[#This Row],[DNI]],_SIY[DNI],_SIY[R8]),"78 DNC")</f>
        <v>77 DNC</v>
      </c>
      <c r="N162" s="13" t="str">
        <f>IFERROR(_xlfn.XLOOKUP(Selectivo[[#This Row],[DNI]],_SIY[DNI],_SIY[R9]),"78 DNC")</f>
        <v>77 BFD</v>
      </c>
      <c r="O162" s="13">
        <f>IFERROR(_xlfn.XLOOKUP(Selectivo[[#This Row],[DNI]],_SIY[DNI],_SIY[R10]),"78 DNC")</f>
        <v>57</v>
      </c>
      <c r="P162" s="13" t="str">
        <f>IFERROR(_xlfn.XLOOKUP(Selectivo[[#This Row],[DNI]],_VF2025[DNI],_VF2025[R1]),"70 DNC")</f>
        <v>70 DNF</v>
      </c>
      <c r="Q162" s="13">
        <f>IFERROR(_xlfn.XLOOKUP(Selectivo[[#This Row],[DNI]],_VF2025[DNI],_VF2025[R2]),"70 DNC")</f>
        <v>33</v>
      </c>
      <c r="R162" s="13">
        <f>IFERROR(_xlfn.XLOOKUP(Selectivo[[#This Row],[DNI]],_VF2025[DNI],_VF2025[R3]),"70 DNC")</f>
        <v>45</v>
      </c>
      <c r="S162" s="13">
        <f>IFERROR(_xlfn.XLOOKUP(Selectivo[[#This Row],[DNI]],_VF2025[DNI],_VF2025[R4]),"70 DNC")</f>
        <v>52</v>
      </c>
      <c r="T162" s="13">
        <f>IFERROR(_xlfn.XLOOKUP(Selectivo[[#This Row],[DNI]],_VF2025[DNI],_VF2025[R5]),"70 DNC")</f>
        <v>45</v>
      </c>
      <c r="U162" s="13">
        <f>IFERROR(_xlfn.XLOOKUP(Selectivo[[#This Row],[DNI]],_VF2025[DNI],_VF2025[R6]),"70 DNC")</f>
        <v>37</v>
      </c>
      <c r="V162" s="13" t="str" cm="1">
        <f t="array" ref="V162">IFERROR(_xlfn.XLOOKUP(Selectivo[[#This Row],[Vela]],_xlfn.NUMBERVALUE(SIL25v2[Sail '#]),SIL25v2[1]),"90 DNC")</f>
        <v>39</v>
      </c>
      <c r="W162" s="13" t="str" cm="1">
        <f t="array" ref="W162">IFERROR(_xlfn.XLOOKUP(Selectivo[[#This Row],[Vela]],_xlfn.NUMBERVALUE(SIL25v2[Sail '#]),SIL25v2[2]),"90 DNC")</f>
        <v>74</v>
      </c>
      <c r="X162" s="13" t="str" cm="1">
        <f t="array" ref="X162">IFERROR(_xlfn.XLOOKUP(Selectivo[[#This Row],[Vela]],_xlfn.NUMBERVALUE(SIL25v2[Sail '#]),SIL25v2[3]),"90 DNC")</f>
        <v>57</v>
      </c>
      <c r="Y162" s="12" t="str" cm="1">
        <f t="array" ref="Y162">IFERROR(_xlfn.XLOOKUP(Selectivo[[#This Row],[Vela]],_xlfn.NUMBERVALUE(SIL25v2[Sail '#]),SIL25v2[4]),"90 DNC")</f>
        <v>80</v>
      </c>
      <c r="Z162" s="13" t="str" cm="1">
        <f t="array" ref="Z162">IFERROR(_xlfn.XLOOKUP(Selectivo[[#This Row],[Vela]],_xlfn.NUMBERVALUE(SIL25v2[Sail '#]),SIL25v2[5]),"90 DNC")</f>
        <v>68</v>
      </c>
      <c r="AA162" s="13" t="str" cm="1">
        <f t="array" ref="AA162">IFERROR(_xlfn.XLOOKUP(Selectivo[[#This Row],[Vela]],_xlfn.NUMBERVALUE(SIL25v2[Sail '#]),SIL25v2[6]),"90 DNC")</f>
        <v>59</v>
      </c>
      <c r="AB162" s="8" cm="1">
        <f t="array" ref="AB162">SUM(IFERROR(VALUE(LEFT(Regatas, FIND(" ",Regatas&amp; " ") - 1)), 0))</f>
        <v>1295</v>
      </c>
      <c r="AC162" s="9" cm="1">
        <f t="array" ref="AC16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1061</v>
      </c>
      <c r="AD162" s="6">
        <f>SMALL(RegatasN,1)</f>
        <v>33</v>
      </c>
      <c r="AE162" s="6">
        <f>SMALL(RegatasN,2)</f>
        <v>37</v>
      </c>
      <c r="AF162" s="6">
        <f>SMALL(RegatasN,3)</f>
        <v>39</v>
      </c>
      <c r="AG162" s="5" cm="1">
        <f t="array" ref="AG162">COUNTIF(Regatas,SMALL(Regatas,1))</f>
        <v>1</v>
      </c>
      <c r="AH162" s="6" cm="1">
        <f t="array" ref="AH162">VALUE(LEFT(INDEX(Selectivo[#This Row],,MATCH(Selectivo[[#Headers],[Total]],Selectivo[#Headers],0)-1),SEARCH(" ",INDEX(Selectivo[#This Row],,MATCH(Selectivo[[#Headers],[Total]],Selectivo[#Headers],0)-1)&amp;" ")-1))</f>
        <v>59</v>
      </c>
    </row>
    <row r="163" spans="1:34" x14ac:dyDescent="0.25">
      <c r="A163">
        <v>50233618</v>
      </c>
      <c r="B163" s="10">
        <f>ROW()-ROW(Selectivo[[#Headers],[Pos]])</f>
        <v>157</v>
      </c>
      <c r="C163" s="5">
        <v>4040</v>
      </c>
      <c r="D163" t="s">
        <v>725</v>
      </c>
      <c r="E163" t="s">
        <v>5</v>
      </c>
      <c r="F163" s="13">
        <f>IFERROR(_xlfn.XLOOKUP(Selectivo[[#This Row],[DNI]],_SIY[DNI],_SIY[R1]),"78 DNC")</f>
        <v>58</v>
      </c>
      <c r="G163" s="13">
        <f>IFERROR(_xlfn.XLOOKUP(Selectivo[[#This Row],[DNI]],_SIY[DNI],_SIY[R2]),"78 DNC")</f>
        <v>41</v>
      </c>
      <c r="H163" s="13">
        <f>IFERROR(_xlfn.XLOOKUP(Selectivo[[#This Row],[DNI]],_SIY[DNI],_SIY[R3]),"78 DNC")</f>
        <v>26</v>
      </c>
      <c r="I163" s="13">
        <f>IFERROR(_xlfn.XLOOKUP(Selectivo[[#This Row],[DNI]],_SIY[DNI],_SIY[R4]),"78 DNC")</f>
        <v>32</v>
      </c>
      <c r="J163" s="13">
        <f>IFERROR(_xlfn.XLOOKUP(Selectivo[[#This Row],[DNI]],_SIY[DNI],_SIY[R5]),"78 DNC")</f>
        <v>29</v>
      </c>
      <c r="K163" s="13">
        <f>IFERROR(_xlfn.XLOOKUP(Selectivo[[#This Row],[DNI]],_SIY[DNI],_SIY[R6]),"78 DNC")</f>
        <v>49</v>
      </c>
      <c r="L163" s="13">
        <f>IFERROR(_xlfn.XLOOKUP(Selectivo[[#This Row],[DNI]],_SIY[DNI],_SIY[R7]),"78 DNC")</f>
        <v>67</v>
      </c>
      <c r="M163" s="13">
        <f>IFERROR(_xlfn.XLOOKUP(Selectivo[[#This Row],[DNI]],_SIY[DNI],_SIY[R8]),"78 DNC")</f>
        <v>60</v>
      </c>
      <c r="N163" s="13" t="str">
        <f>IFERROR(_xlfn.XLOOKUP(Selectivo[[#This Row],[DNI]],_SIY[DNI],_SIY[R9]),"78 DNC")</f>
        <v>77 BFD</v>
      </c>
      <c r="O163" s="13">
        <f>IFERROR(_xlfn.XLOOKUP(Selectivo[[#This Row],[DNI]],_SIY[DNI],_SIY[R10]),"78 DNC")</f>
        <v>62</v>
      </c>
      <c r="P163" s="13">
        <f>IFERROR(_xlfn.XLOOKUP(Selectivo[[#This Row],[DNI]],_VF2025[DNI],_VF2025[R1]),"70 DNC")</f>
        <v>57</v>
      </c>
      <c r="Q163" s="13">
        <f>IFERROR(_xlfn.XLOOKUP(Selectivo[[#This Row],[DNI]],_VF2025[DNI],_VF2025[R2]),"70 DNC")</f>
        <v>44</v>
      </c>
      <c r="R163" s="13">
        <f>IFERROR(_xlfn.XLOOKUP(Selectivo[[#This Row],[DNI]],_VF2025[DNI],_VF2025[R3]),"70 DNC")</f>
        <v>35</v>
      </c>
      <c r="S163" s="13">
        <f>IFERROR(_xlfn.XLOOKUP(Selectivo[[#This Row],[DNI]],_VF2025[DNI],_VF2025[R4]),"70 DNC")</f>
        <v>45</v>
      </c>
      <c r="T163" s="13">
        <f>IFERROR(_xlfn.XLOOKUP(Selectivo[[#This Row],[DNI]],_VF2025[DNI],_VF2025[R5]),"70 DNC")</f>
        <v>43</v>
      </c>
      <c r="U163" s="13" t="str">
        <f>IFERROR(_xlfn.XLOOKUP(Selectivo[[#This Row],[DNI]],_VF2025[DNI],_VF2025[R6]),"70 DNC")</f>
        <v>70 BFD</v>
      </c>
      <c r="V163" s="12" t="str" cm="1">
        <f t="array" ref="V163">IFERROR(_xlfn.XLOOKUP(Selectivo[[#This Row],[Vela]],_xlfn.NUMBERVALUE(SIL25v2[Sail '#]),SIL25v2[1]),"90 DNC")</f>
        <v>90 DNC</v>
      </c>
      <c r="W163" s="12" t="str" cm="1">
        <f t="array" ref="W163">IFERROR(_xlfn.XLOOKUP(Selectivo[[#This Row],[Vela]],_xlfn.NUMBERVALUE(SIL25v2[Sail '#]),SIL25v2[2]),"90 DNC")</f>
        <v>90 DNC</v>
      </c>
      <c r="X163" s="12" t="str" cm="1">
        <f t="array" ref="X163">IFERROR(_xlfn.XLOOKUP(Selectivo[[#This Row],[Vela]],_xlfn.NUMBERVALUE(SIL25v2[Sail '#]),SIL25v2[3]),"90 DNC")</f>
        <v>90 DNC</v>
      </c>
      <c r="Y163" s="13" t="str" cm="1">
        <f t="array" ref="Y163">IFERROR(_xlfn.XLOOKUP(Selectivo[[#This Row],[Vela]],_xlfn.NUMBERVALUE(SIL25v2[Sail '#]),SIL25v2[4]),"90 DNC")</f>
        <v>90 DNC</v>
      </c>
      <c r="Z163" s="13" t="str" cm="1">
        <f t="array" ref="Z163">IFERROR(_xlfn.XLOOKUP(Selectivo[[#This Row],[Vela]],_xlfn.NUMBERVALUE(SIL25v2[Sail '#]),SIL25v2[5]),"90 DNC")</f>
        <v>90 DNC</v>
      </c>
      <c r="AA163" s="13" t="str" cm="1">
        <f t="array" ref="AA163">IFERROR(_xlfn.XLOOKUP(Selectivo[[#This Row],[Vela]],_xlfn.NUMBERVALUE(SIL25v2[Sail '#]),SIL25v2[6]),"90 DNC")</f>
        <v>90 DNC</v>
      </c>
      <c r="AB163" s="8" cm="1">
        <f t="array" ref="AB163">SUM(IFERROR(VALUE(LEFT(Regatas, FIND(" ",Regatas&amp; " ") - 1)), 0))</f>
        <v>1335</v>
      </c>
      <c r="AC163" s="9" cm="1">
        <f t="array" ref="AC16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1065</v>
      </c>
      <c r="AD163" s="6">
        <f>SMALL(RegatasN,1)</f>
        <v>26</v>
      </c>
      <c r="AE163" s="6">
        <f>SMALL(RegatasN,2)</f>
        <v>29</v>
      </c>
      <c r="AF163" s="6">
        <f>SMALL(RegatasN,3)</f>
        <v>32</v>
      </c>
      <c r="AG163" s="5" cm="1">
        <f t="array" ref="AG163">COUNTIF(Regatas,SMALL(Regatas,1))</f>
        <v>1</v>
      </c>
      <c r="AH163" s="6" cm="1">
        <f t="array" ref="AH163">VALUE(LEFT(INDEX(Selectivo[#This Row],,MATCH(Selectivo[[#Headers],[Total]],Selectivo[#Headers],0)-1),SEARCH(" ",INDEX(Selectivo[#This Row],,MATCH(Selectivo[[#Headers],[Total]],Selectivo[#Headers],0)-1)&amp;" ")-1))</f>
        <v>90</v>
      </c>
    </row>
    <row r="164" spans="1:34" x14ac:dyDescent="0.25">
      <c r="A164">
        <v>50653382</v>
      </c>
      <c r="B164" s="10">
        <f>ROW()-ROW(Selectivo[[#Headers],[Pos]])</f>
        <v>158</v>
      </c>
      <c r="C164" s="5">
        <v>3402</v>
      </c>
      <c r="D164" t="s">
        <v>587</v>
      </c>
      <c r="E164" t="s">
        <v>10</v>
      </c>
      <c r="F164" s="13">
        <f>IFERROR(_xlfn.XLOOKUP(Selectivo[[#This Row],[DNI]],_SIY[DNI],_SIY[R1]),"78 DNC")</f>
        <v>59</v>
      </c>
      <c r="G164" s="13">
        <f>IFERROR(_xlfn.XLOOKUP(Selectivo[[#This Row],[DNI]],_SIY[DNI],_SIY[R2]),"78 DNC")</f>
        <v>39</v>
      </c>
      <c r="H164" s="13">
        <f>IFERROR(_xlfn.XLOOKUP(Selectivo[[#This Row],[DNI]],_SIY[DNI],_SIY[R3]),"78 DNC")</f>
        <v>44</v>
      </c>
      <c r="I164" s="13" t="str">
        <f>IFERROR(_xlfn.XLOOKUP(Selectivo[[#This Row],[DNI]],_SIY[DNI],_SIY[R4]),"78 DNC")</f>
        <v>77 DNC</v>
      </c>
      <c r="J164" s="13" t="str">
        <f>IFERROR(_xlfn.XLOOKUP(Selectivo[[#This Row],[DNI]],_SIY[DNI],_SIY[R5]),"78 DNC")</f>
        <v>77 DNC</v>
      </c>
      <c r="K164" s="13" t="str">
        <f>IFERROR(_xlfn.XLOOKUP(Selectivo[[#This Row],[DNI]],_SIY[DNI],_SIY[R6]),"78 DNC")</f>
        <v>77 DNC</v>
      </c>
      <c r="L164" s="13">
        <f>IFERROR(_xlfn.XLOOKUP(Selectivo[[#This Row],[DNI]],_SIY[DNI],_SIY[R7]),"78 DNC")</f>
        <v>61</v>
      </c>
      <c r="M164" s="13" t="str">
        <f>IFERROR(_xlfn.XLOOKUP(Selectivo[[#This Row],[DNI]],_SIY[DNI],_SIY[R8]),"78 DNC")</f>
        <v>77 DNE</v>
      </c>
      <c r="N164" s="13" t="str">
        <f>IFERROR(_xlfn.XLOOKUP(Selectivo[[#This Row],[DNI]],_SIY[DNI],_SIY[R9]),"78 DNC")</f>
        <v>77 DNC</v>
      </c>
      <c r="O164" s="13">
        <f>IFERROR(_xlfn.XLOOKUP(Selectivo[[#This Row],[DNI]],_SIY[DNI],_SIY[R10]),"78 DNC")</f>
        <v>56</v>
      </c>
      <c r="P164" s="13" t="str">
        <f>IFERROR(_xlfn.XLOOKUP(Selectivo[[#This Row],[DNI]],_VF2025[DNI],_VF2025[R1]),"70 DNC")</f>
        <v>70 DNF</v>
      </c>
      <c r="Q164" s="13" t="str">
        <f>IFERROR(_xlfn.XLOOKUP(Selectivo[[#This Row],[DNI]],_VF2025[DNI],_VF2025[R2]),"70 DNC")</f>
        <v>70 DNC</v>
      </c>
      <c r="R164" s="13" t="str">
        <f>IFERROR(_xlfn.XLOOKUP(Selectivo[[#This Row],[DNI]],_VF2025[DNI],_VF2025[R3]),"70 DNC")</f>
        <v>70 DNC</v>
      </c>
      <c r="S164" s="13">
        <f>IFERROR(_xlfn.XLOOKUP(Selectivo[[#This Row],[DNI]],_VF2025[DNI],_VF2025[R4]),"70 DNC")</f>
        <v>35</v>
      </c>
      <c r="T164" s="13">
        <f>IFERROR(_xlfn.XLOOKUP(Selectivo[[#This Row],[DNI]],_VF2025[DNI],_VF2025[R5]),"70 DNC")</f>
        <v>49</v>
      </c>
      <c r="U164" s="13">
        <f>IFERROR(_xlfn.XLOOKUP(Selectivo[[#This Row],[DNI]],_VF2025[DNI],_VF2025[R6]),"70 DNC")</f>
        <v>33</v>
      </c>
      <c r="V164" s="13" t="str" cm="1">
        <f t="array" ref="V164">IFERROR(_xlfn.XLOOKUP(Selectivo[[#This Row],[Vela]],_xlfn.NUMBERVALUE(SIL25v2[Sail '#]),SIL25v2[1]),"90 DNC")</f>
        <v>51</v>
      </c>
      <c r="W164" s="13" t="str" cm="1">
        <f t="array" ref="W164">IFERROR(_xlfn.XLOOKUP(Selectivo[[#This Row],[Vela]],_xlfn.NUMBERVALUE(SIL25v2[Sail '#]),SIL25v2[2]),"90 DNC")</f>
        <v>17</v>
      </c>
      <c r="X164" s="12" t="str" cm="1">
        <f t="array" ref="X164">IFERROR(_xlfn.XLOOKUP(Selectivo[[#This Row],[Vela]],_xlfn.NUMBERVALUE(SIL25v2[Sail '#]),SIL25v2[3]),"90 DNC")</f>
        <v>89 BFD</v>
      </c>
      <c r="Y164" s="12" t="str" cm="1">
        <f t="array" ref="Y164">IFERROR(_xlfn.XLOOKUP(Selectivo[[#This Row],[Vela]],_xlfn.NUMBERVALUE(SIL25v2[Sail '#]),SIL25v2[4]),"90 DNC")</f>
        <v>78</v>
      </c>
      <c r="Z164" s="13" t="str" cm="1">
        <f t="array" ref="Z164">IFERROR(_xlfn.XLOOKUP(Selectivo[[#This Row],[Vela]],_xlfn.NUMBERVALUE(SIL25v2[Sail '#]),SIL25v2[5]),"90 DNC")</f>
        <v>27</v>
      </c>
      <c r="AA164" s="12" t="str" cm="1">
        <f t="array" ref="AA164">IFERROR(_xlfn.XLOOKUP(Selectivo[[#This Row],[Vela]],_xlfn.NUMBERVALUE(SIL25v2[Sail '#]),SIL25v2[6]),"90 DNC")</f>
        <v>89 BFD</v>
      </c>
      <c r="AB164" s="8" cm="1">
        <f t="array" ref="AB164">SUM(IFERROR(VALUE(LEFT(Regatas, FIND(" ",Regatas&amp; " ") - 1)), 0))</f>
        <v>1322</v>
      </c>
      <c r="AC164" s="9" cm="1">
        <f t="array" ref="AC16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1066</v>
      </c>
      <c r="AD164" s="6">
        <f>SMALL(RegatasN,1)</f>
        <v>17</v>
      </c>
      <c r="AE164" s="6">
        <f>SMALL(RegatasN,2)</f>
        <v>27</v>
      </c>
      <c r="AF164" s="6">
        <f>SMALL(RegatasN,3)</f>
        <v>33</v>
      </c>
      <c r="AG164" s="5" cm="1">
        <f t="array" ref="AG164">COUNTIF(Regatas,SMALL(Regatas,1))</f>
        <v>1</v>
      </c>
      <c r="AH164" s="6" cm="1">
        <f t="array" ref="AH164">VALUE(LEFT(INDEX(Selectivo[#This Row],,MATCH(Selectivo[[#Headers],[Total]],Selectivo[#Headers],0)-1),SEARCH(" ",INDEX(Selectivo[#This Row],,MATCH(Selectivo[[#Headers],[Total]],Selectivo[#Headers],0)-1)&amp;" ")-1))</f>
        <v>89</v>
      </c>
    </row>
    <row r="165" spans="1:34" x14ac:dyDescent="0.25">
      <c r="A165">
        <v>51358936</v>
      </c>
      <c r="B165" s="10">
        <f>ROW()-ROW(Selectivo[[#Headers],[Pos]])</f>
        <v>159</v>
      </c>
      <c r="C165" s="5">
        <v>4190</v>
      </c>
      <c r="D165" t="s">
        <v>661</v>
      </c>
      <c r="E165" t="s">
        <v>5</v>
      </c>
      <c r="F165" s="13">
        <f>IFERROR(_xlfn.XLOOKUP(Selectivo[[#This Row],[DNI]],_SIY[DNI],_SIY[R1]),"78 DNC")</f>
        <v>51</v>
      </c>
      <c r="G165" s="13">
        <f>IFERROR(_xlfn.XLOOKUP(Selectivo[[#This Row],[DNI]],_SIY[DNI],_SIY[R2]),"78 DNC")</f>
        <v>56</v>
      </c>
      <c r="H165" s="13">
        <f>IFERROR(_xlfn.XLOOKUP(Selectivo[[#This Row],[DNI]],_SIY[DNI],_SIY[R3]),"78 DNC")</f>
        <v>72</v>
      </c>
      <c r="I165" s="12" t="str">
        <f>IFERROR(_xlfn.XLOOKUP(Selectivo[[#This Row],[DNI]],_SIY[DNI],_SIY[R4]),"78 DNC")</f>
        <v>77 DNC</v>
      </c>
      <c r="J165" s="12" t="str">
        <f>IFERROR(_xlfn.XLOOKUP(Selectivo[[#This Row],[DNI]],_SIY[DNI],_SIY[R5]),"78 DNC")</f>
        <v>77 DNF</v>
      </c>
      <c r="K165" s="13" t="str">
        <f>IFERROR(_xlfn.XLOOKUP(Selectivo[[#This Row],[DNI]],_SIY[DNI],_SIY[R6]),"78 DNC")</f>
        <v>77 DNC</v>
      </c>
      <c r="L165" s="13">
        <f>IFERROR(_xlfn.XLOOKUP(Selectivo[[#This Row],[DNI]],_SIY[DNI],_SIY[R7]),"78 DNC")</f>
        <v>33</v>
      </c>
      <c r="M165" s="13">
        <f>IFERROR(_xlfn.XLOOKUP(Selectivo[[#This Row],[DNI]],_SIY[DNI],_SIY[R8]),"78 DNC")</f>
        <v>39</v>
      </c>
      <c r="N165" s="13">
        <f>IFERROR(_xlfn.XLOOKUP(Selectivo[[#This Row],[DNI]],_SIY[DNI],_SIY[R9]),"78 DNC")</f>
        <v>48</v>
      </c>
      <c r="O165" s="13">
        <f>IFERROR(_xlfn.XLOOKUP(Selectivo[[#This Row],[DNI]],_SIY[DNI],_SIY[R10]),"78 DNC")</f>
        <v>55</v>
      </c>
      <c r="P165" s="13" t="str">
        <f>IFERROR(_xlfn.XLOOKUP(Selectivo[[#This Row],[DNI]],_VF2025[DNI],_VF2025[R1]),"70 DNC")</f>
        <v>70 DNC</v>
      </c>
      <c r="Q165" s="13" t="str">
        <f>IFERROR(_xlfn.XLOOKUP(Selectivo[[#This Row],[DNI]],_VF2025[DNI],_VF2025[R2]),"70 DNC")</f>
        <v>70 DNC</v>
      </c>
      <c r="R165" s="13" t="str">
        <f>IFERROR(_xlfn.XLOOKUP(Selectivo[[#This Row],[DNI]],_VF2025[DNI],_VF2025[R3]),"70 DNC")</f>
        <v>70 DNC</v>
      </c>
      <c r="S165" s="13" t="str">
        <f>IFERROR(_xlfn.XLOOKUP(Selectivo[[#This Row],[DNI]],_VF2025[DNI],_VF2025[R4]),"70 DNC")</f>
        <v>70 DNC</v>
      </c>
      <c r="T165" s="13" t="str">
        <f>IFERROR(_xlfn.XLOOKUP(Selectivo[[#This Row],[DNI]],_VF2025[DNI],_VF2025[R5]),"70 DNC")</f>
        <v>70 DNC</v>
      </c>
      <c r="U165" s="13" t="str">
        <f>IFERROR(_xlfn.XLOOKUP(Selectivo[[#This Row],[DNI]],_VF2025[DNI],_VF2025[R6]),"70 DNC")</f>
        <v>70 DNC</v>
      </c>
      <c r="V165" s="12" t="str" cm="1">
        <f t="array" ref="V165">IFERROR(_xlfn.XLOOKUP(Selectivo[[#This Row],[Vela]],_xlfn.NUMBERVALUE(SIL25v2[Sail '#]),SIL25v2[1]),"90 DNC")</f>
        <v>89 BFD</v>
      </c>
      <c r="W165" s="13" t="str" cm="1">
        <f t="array" ref="W165">IFERROR(_xlfn.XLOOKUP(Selectivo[[#This Row],[Vela]],_xlfn.NUMBERVALUE(SIL25v2[Sail '#]),SIL25v2[2]),"90 DNC")</f>
        <v>64</v>
      </c>
      <c r="X165" s="13" t="str" cm="1">
        <f t="array" ref="X165">IFERROR(_xlfn.XLOOKUP(Selectivo[[#This Row],[Vela]],_xlfn.NUMBERVALUE(SIL25v2[Sail '#]),SIL25v2[3]),"90 DNC")</f>
        <v>52</v>
      </c>
      <c r="Y165" s="13" t="str" cm="1">
        <f t="array" ref="Y165">IFERROR(_xlfn.XLOOKUP(Selectivo[[#This Row],[Vela]],_xlfn.NUMBERVALUE(SIL25v2[Sail '#]),SIL25v2[4]),"90 DNC")</f>
        <v>51</v>
      </c>
      <c r="Z165" s="13" t="str" cm="1">
        <f t="array" ref="Z165">IFERROR(_xlfn.XLOOKUP(Selectivo[[#This Row],[Vela]],_xlfn.NUMBERVALUE(SIL25v2[Sail '#]),SIL25v2[5]),"90 DNC")</f>
        <v>29</v>
      </c>
      <c r="AA165" s="13" t="str" cm="1">
        <f t="array" ref="AA165">IFERROR(_xlfn.XLOOKUP(Selectivo[[#This Row],[Vela]],_xlfn.NUMBERVALUE(SIL25v2[Sail '#]),SIL25v2[6]),"90 DNC")</f>
        <v>63</v>
      </c>
      <c r="AB165" s="8" cm="1">
        <f t="array" ref="AB165">SUM(IFERROR(VALUE(LEFT(Regatas, FIND(" ",Regatas&amp; " ") - 1)), 0))</f>
        <v>1353</v>
      </c>
      <c r="AC165" s="9" cm="1">
        <f t="array" ref="AC16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1110</v>
      </c>
      <c r="AD165" s="6">
        <f>SMALL(RegatasN,1)</f>
        <v>29</v>
      </c>
      <c r="AE165" s="6">
        <f>SMALL(RegatasN,2)</f>
        <v>33</v>
      </c>
      <c r="AF165" s="6">
        <f>SMALL(RegatasN,3)</f>
        <v>39</v>
      </c>
      <c r="AG165" s="5" cm="1">
        <f t="array" ref="AG165">COUNTIF(Regatas,SMALL(Regatas,1))</f>
        <v>1</v>
      </c>
      <c r="AH165" s="6" cm="1">
        <f t="array" ref="AH165">VALUE(LEFT(INDEX(Selectivo[#This Row],,MATCH(Selectivo[[#Headers],[Total]],Selectivo[#Headers],0)-1),SEARCH(" ",INDEX(Selectivo[#This Row],,MATCH(Selectivo[[#Headers],[Total]],Selectivo[#Headers],0)-1)&amp;" ")-1))</f>
        <v>63</v>
      </c>
    </row>
    <row r="166" spans="1:34" x14ac:dyDescent="0.25">
      <c r="A166">
        <v>51193310</v>
      </c>
      <c r="B166" s="10">
        <f>ROW()-ROW(Selectivo[[#Headers],[Pos]])</f>
        <v>160</v>
      </c>
      <c r="C166" s="5">
        <v>3718</v>
      </c>
      <c r="D166" t="s">
        <v>608</v>
      </c>
      <c r="E166" t="s">
        <v>8</v>
      </c>
      <c r="F166" s="13">
        <f>IFERROR(_xlfn.XLOOKUP(Selectivo[[#This Row],[DNI]],_SIY[DNI],_SIY[R1]),"78 DNC")</f>
        <v>60</v>
      </c>
      <c r="G166" s="13">
        <f>IFERROR(_xlfn.XLOOKUP(Selectivo[[#This Row],[DNI]],_SIY[DNI],_SIY[R2]),"78 DNC")</f>
        <v>32</v>
      </c>
      <c r="H166" s="13">
        <f>IFERROR(_xlfn.XLOOKUP(Selectivo[[#This Row],[DNI]],_SIY[DNI],_SIY[R3]),"78 DNC")</f>
        <v>39</v>
      </c>
      <c r="I166" s="13">
        <f>IFERROR(_xlfn.XLOOKUP(Selectivo[[#This Row],[DNI]],_SIY[DNI],_SIY[R4]),"78 DNC")</f>
        <v>39</v>
      </c>
      <c r="J166" s="13">
        <f>IFERROR(_xlfn.XLOOKUP(Selectivo[[#This Row],[DNI]],_SIY[DNI],_SIY[R5]),"78 DNC")</f>
        <v>47</v>
      </c>
      <c r="K166" s="13">
        <f>IFERROR(_xlfn.XLOOKUP(Selectivo[[#This Row],[DNI]],_SIY[DNI],_SIY[R6]),"78 DNC")</f>
        <v>47</v>
      </c>
      <c r="L166" s="13">
        <f>IFERROR(_xlfn.XLOOKUP(Selectivo[[#This Row],[DNI]],_SIY[DNI],_SIY[R7]),"78 DNC")</f>
        <v>51</v>
      </c>
      <c r="M166" s="13">
        <f>IFERROR(_xlfn.XLOOKUP(Selectivo[[#This Row],[DNI]],_SIY[DNI],_SIY[R8]),"78 DNC")</f>
        <v>61</v>
      </c>
      <c r="N166" s="13" t="str">
        <f>IFERROR(_xlfn.XLOOKUP(Selectivo[[#This Row],[DNI]],_SIY[DNI],_SIY[R9]),"78 DNC")</f>
        <v>27 SP1</v>
      </c>
      <c r="O166" s="13" t="str">
        <f>IFERROR(_xlfn.XLOOKUP(Selectivo[[#This Row],[DNI]],_SIY[DNI],_SIY[R10]),"78 DNC")</f>
        <v>38 SP1</v>
      </c>
      <c r="P166" s="13" t="str">
        <f>IFERROR(_xlfn.XLOOKUP(Selectivo[[#This Row],[DNI]],_VF2025[DNI],_VF2025[R1]),"70 DNC")</f>
        <v>70 DNC</v>
      </c>
      <c r="Q166" s="13" t="str">
        <f>IFERROR(_xlfn.XLOOKUP(Selectivo[[#This Row],[DNI]],_VF2025[DNI],_VF2025[R2]),"70 DNC")</f>
        <v>70 DNC</v>
      </c>
      <c r="R166" s="13" t="str">
        <f>IFERROR(_xlfn.XLOOKUP(Selectivo[[#This Row],[DNI]],_VF2025[DNI],_VF2025[R3]),"70 DNC")</f>
        <v>70 DNC</v>
      </c>
      <c r="S166" s="13" t="str">
        <f>IFERROR(_xlfn.XLOOKUP(Selectivo[[#This Row],[DNI]],_VF2025[DNI],_VF2025[R4]),"70 DNC")</f>
        <v>70 DNC</v>
      </c>
      <c r="T166" s="13" t="str">
        <f>IFERROR(_xlfn.XLOOKUP(Selectivo[[#This Row],[DNI]],_VF2025[DNI],_VF2025[R5]),"70 DNC")</f>
        <v>70 DNC</v>
      </c>
      <c r="U166" s="13" t="str">
        <f>IFERROR(_xlfn.XLOOKUP(Selectivo[[#This Row],[DNI]],_VF2025[DNI],_VF2025[R6]),"70 DNC")</f>
        <v>70 DNC</v>
      </c>
      <c r="V166" s="12" t="str" cm="1">
        <f t="array" ref="V166">IFERROR(_xlfn.XLOOKUP(Selectivo[[#This Row],[Vela]],_xlfn.NUMBERVALUE(SIL25v2[Sail '#]),SIL25v2[1]),"90 DNC")</f>
        <v>90 DNC</v>
      </c>
      <c r="W166" s="12" t="str" cm="1">
        <f t="array" ref="W166">IFERROR(_xlfn.XLOOKUP(Selectivo[[#This Row],[Vela]],_xlfn.NUMBERVALUE(SIL25v2[Sail '#]),SIL25v2[2]),"90 DNC")</f>
        <v>90 DNC</v>
      </c>
      <c r="X166" s="12" t="str" cm="1">
        <f t="array" ref="X166">IFERROR(_xlfn.XLOOKUP(Selectivo[[#This Row],[Vela]],_xlfn.NUMBERVALUE(SIL25v2[Sail '#]),SIL25v2[3]),"90 DNC")</f>
        <v>90 DNC</v>
      </c>
      <c r="Y166" s="13" t="str" cm="1">
        <f t="array" ref="Y166">IFERROR(_xlfn.XLOOKUP(Selectivo[[#This Row],[Vela]],_xlfn.NUMBERVALUE(SIL25v2[Sail '#]),SIL25v2[4]),"90 DNC")</f>
        <v>90 DNC</v>
      </c>
      <c r="Z166" s="13" t="str" cm="1">
        <f t="array" ref="Z166">IFERROR(_xlfn.XLOOKUP(Selectivo[[#This Row],[Vela]],_xlfn.NUMBERVALUE(SIL25v2[Sail '#]),SIL25v2[5]),"90 DNC")</f>
        <v>90 DNC</v>
      </c>
      <c r="AA166" s="13" t="str" cm="1">
        <f t="array" ref="AA166">IFERROR(_xlfn.XLOOKUP(Selectivo[[#This Row],[Vela]],_xlfn.NUMBERVALUE(SIL25v2[Sail '#]),SIL25v2[6]),"90 DNC")</f>
        <v>90 DNC</v>
      </c>
      <c r="AB166" s="8" cm="1">
        <f t="array" ref="AB166">SUM(IFERROR(VALUE(LEFT(Regatas, FIND(" ",Regatas&amp; " ") - 1)), 0))</f>
        <v>1401</v>
      </c>
      <c r="AC166" s="9" cm="1">
        <f t="array" ref="AC16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1131</v>
      </c>
      <c r="AD166" s="6">
        <f>SMALL(RegatasN,1)</f>
        <v>27</v>
      </c>
      <c r="AE166" s="6">
        <f>SMALL(RegatasN,2)</f>
        <v>32</v>
      </c>
      <c r="AF166" s="6">
        <f>SMALL(RegatasN,3)</f>
        <v>38</v>
      </c>
      <c r="AG166" s="5" cm="1">
        <f t="array" ref="AG166">COUNTIF(Regatas,SMALL(Regatas,1))</f>
        <v>1</v>
      </c>
      <c r="AH166" s="6" cm="1">
        <f t="array" ref="AH166">VALUE(LEFT(INDEX(Selectivo[#This Row],,MATCH(Selectivo[[#Headers],[Total]],Selectivo[#Headers],0)-1),SEARCH(" ",INDEX(Selectivo[#This Row],,MATCH(Selectivo[[#Headers],[Total]],Selectivo[#Headers],0)-1)&amp;" ")-1))</f>
        <v>90</v>
      </c>
    </row>
    <row r="167" spans="1:34" x14ac:dyDescent="0.25">
      <c r="A167">
        <v>52364453</v>
      </c>
      <c r="B167" s="10">
        <f>ROW()-ROW(Selectivo[[#Headers],[Pos]])</f>
        <v>161</v>
      </c>
      <c r="C167" s="5">
        <v>3920</v>
      </c>
      <c r="D167" t="s">
        <v>695</v>
      </c>
      <c r="E167" t="s">
        <v>33</v>
      </c>
      <c r="F167" s="13">
        <f>IFERROR(_xlfn.XLOOKUP(Selectivo[[#This Row],[DNI]],_SIY[DNI],_SIY[R1]),"78 DNC")</f>
        <v>44</v>
      </c>
      <c r="G167" s="13">
        <f>IFERROR(_xlfn.XLOOKUP(Selectivo[[#This Row],[DNI]],_SIY[DNI],_SIY[R2]),"78 DNC")</f>
        <v>53</v>
      </c>
      <c r="H167" s="13">
        <f>IFERROR(_xlfn.XLOOKUP(Selectivo[[#This Row],[DNI]],_SIY[DNI],_SIY[R3]),"78 DNC")</f>
        <v>59</v>
      </c>
      <c r="I167" s="13">
        <f>IFERROR(_xlfn.XLOOKUP(Selectivo[[#This Row],[DNI]],_SIY[DNI],_SIY[R4]),"78 DNC")</f>
        <v>60</v>
      </c>
      <c r="J167" s="13">
        <f>IFERROR(_xlfn.XLOOKUP(Selectivo[[#This Row],[DNI]],_SIY[DNI],_SIY[R5]),"78 DNC")</f>
        <v>52</v>
      </c>
      <c r="K167" s="13">
        <f>IFERROR(_xlfn.XLOOKUP(Selectivo[[#This Row],[DNI]],_SIY[DNI],_SIY[R6]),"78 DNC")</f>
        <v>49</v>
      </c>
      <c r="L167" s="13">
        <f>IFERROR(_xlfn.XLOOKUP(Selectivo[[#This Row],[DNI]],_SIY[DNI],_SIY[R7]),"78 DNC")</f>
        <v>43</v>
      </c>
      <c r="M167" s="13" t="str">
        <f>IFERROR(_xlfn.XLOOKUP(Selectivo[[#This Row],[DNI]],_SIY[DNI],_SIY[R8]),"78 DNC")</f>
        <v>77 BFD</v>
      </c>
      <c r="N167" s="13">
        <f>IFERROR(_xlfn.XLOOKUP(Selectivo[[#This Row],[DNI]],_SIY[DNI],_SIY[R9]),"78 DNC")</f>
        <v>68</v>
      </c>
      <c r="O167" s="13">
        <f>IFERROR(_xlfn.XLOOKUP(Selectivo[[#This Row],[DNI]],_SIY[DNI],_SIY[R10]),"78 DNC")</f>
        <v>49</v>
      </c>
      <c r="P167" s="13">
        <f>IFERROR(_xlfn.XLOOKUP(Selectivo[[#This Row],[DNI]],_VF2025[DNI],_VF2025[R1]),"70 DNC")</f>
        <v>42</v>
      </c>
      <c r="Q167" s="13">
        <f>IFERROR(_xlfn.XLOOKUP(Selectivo[[#This Row],[DNI]],_VF2025[DNI],_VF2025[R2]),"70 DNC")</f>
        <v>58</v>
      </c>
      <c r="R167" s="13">
        <f>IFERROR(_xlfn.XLOOKUP(Selectivo[[#This Row],[DNI]],_VF2025[DNI],_VF2025[R3]),"70 DNC")</f>
        <v>53</v>
      </c>
      <c r="S167" s="13" t="str">
        <f>IFERROR(_xlfn.XLOOKUP(Selectivo[[#This Row],[DNI]],_VF2025[DNI],_VF2025[R4]),"70 DNC")</f>
        <v>70 DNC</v>
      </c>
      <c r="T167" s="13">
        <f>IFERROR(_xlfn.XLOOKUP(Selectivo[[#This Row],[DNI]],_VF2025[DNI],_VF2025[R5]),"70 DNC")</f>
        <v>47</v>
      </c>
      <c r="U167" s="13">
        <f>IFERROR(_xlfn.XLOOKUP(Selectivo[[#This Row],[DNI]],_VF2025[DNI],_VF2025[R6]),"70 DNC")</f>
        <v>41</v>
      </c>
      <c r="V167" s="12" t="str" cm="1">
        <f t="array" ref="V167">IFERROR(_xlfn.XLOOKUP(Selectivo[[#This Row],[Vela]],_xlfn.NUMBERVALUE(SIL25v2[Sail '#]),SIL25v2[1]),"90 DNC")</f>
        <v>90 DNC</v>
      </c>
      <c r="W167" s="12" t="str" cm="1">
        <f t="array" ref="W167">IFERROR(_xlfn.XLOOKUP(Selectivo[[#This Row],[Vela]],_xlfn.NUMBERVALUE(SIL25v2[Sail '#]),SIL25v2[2]),"90 DNC")</f>
        <v>90 DNC</v>
      </c>
      <c r="X167" s="12" t="str" cm="1">
        <f t="array" ref="X167">IFERROR(_xlfn.XLOOKUP(Selectivo[[#This Row],[Vela]],_xlfn.NUMBERVALUE(SIL25v2[Sail '#]),SIL25v2[3]),"90 DNC")</f>
        <v>90 DNC</v>
      </c>
      <c r="Y167" s="13" t="str" cm="1">
        <f t="array" ref="Y167">IFERROR(_xlfn.XLOOKUP(Selectivo[[#This Row],[Vela]],_xlfn.NUMBERVALUE(SIL25v2[Sail '#]),SIL25v2[4]),"90 DNC")</f>
        <v>90 DNC</v>
      </c>
      <c r="Z167" s="13" t="str" cm="1">
        <f t="array" ref="Z167">IFERROR(_xlfn.XLOOKUP(Selectivo[[#This Row],[Vela]],_xlfn.NUMBERVALUE(SIL25v2[Sail '#]),SIL25v2[5]),"90 DNC")</f>
        <v>90 DNC</v>
      </c>
      <c r="AA167" s="13" t="str" cm="1">
        <f t="array" ref="AA167">IFERROR(_xlfn.XLOOKUP(Selectivo[[#This Row],[Vela]],_xlfn.NUMBERVALUE(SIL25v2[Sail '#]),SIL25v2[6]),"90 DNC")</f>
        <v>90 DNC</v>
      </c>
      <c r="AB167" s="8" cm="1">
        <f t="array" ref="AB167">SUM(IFERROR(VALUE(LEFT(Regatas, FIND(" ",Regatas&amp; " ") - 1)), 0))</f>
        <v>1405</v>
      </c>
      <c r="AC167" s="9" cm="1">
        <f t="array" ref="AC16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1135</v>
      </c>
      <c r="AD167" s="6">
        <f>SMALL(RegatasN,1)</f>
        <v>41</v>
      </c>
      <c r="AE167" s="6">
        <f>SMALL(RegatasN,2)</f>
        <v>42</v>
      </c>
      <c r="AF167" s="6">
        <f>SMALL(RegatasN,3)</f>
        <v>43</v>
      </c>
      <c r="AG167" s="5" cm="1">
        <f t="array" ref="AG167">COUNTIF(Regatas,SMALL(Regatas,1))</f>
        <v>1</v>
      </c>
      <c r="AH167" s="6" cm="1">
        <f t="array" ref="AH167">VALUE(LEFT(INDEX(Selectivo[#This Row],,MATCH(Selectivo[[#Headers],[Total]],Selectivo[#Headers],0)-1),SEARCH(" ",INDEX(Selectivo[#This Row],,MATCH(Selectivo[[#Headers],[Total]],Selectivo[#Headers],0)-1)&amp;" ")-1))</f>
        <v>90</v>
      </c>
    </row>
    <row r="168" spans="1:34" x14ac:dyDescent="0.25">
      <c r="A168">
        <v>51281593</v>
      </c>
      <c r="B168" s="10">
        <f>ROW()-ROW(Selectivo[[#Headers],[Pos]])</f>
        <v>162</v>
      </c>
      <c r="C168" s="5">
        <v>3977</v>
      </c>
      <c r="D168" t="s">
        <v>593</v>
      </c>
      <c r="E168" t="s">
        <v>17</v>
      </c>
      <c r="F168" s="13">
        <f>IFERROR(_xlfn.XLOOKUP(Selectivo[[#This Row],[DNI]],_SIY[DNI],_SIY[R1]),"78 DNC")</f>
        <v>58</v>
      </c>
      <c r="G168" s="12" t="str">
        <f>IFERROR(_xlfn.XLOOKUP(Selectivo[[#This Row],[DNI]],_SIY[DNI],_SIY[R2]),"78 DNC")</f>
        <v>77 BFD</v>
      </c>
      <c r="H168" s="12" t="str">
        <f>IFERROR(_xlfn.XLOOKUP(Selectivo[[#This Row],[DNI]],_SIY[DNI],_SIY[R3]),"78 DNC")</f>
        <v>77 DNC</v>
      </c>
      <c r="I168" s="13" t="str">
        <f>IFERROR(_xlfn.XLOOKUP(Selectivo[[#This Row],[DNI]],_SIY[DNI],_SIY[R4]),"78 DNC")</f>
        <v>77 UFD</v>
      </c>
      <c r="J168" s="13">
        <f>IFERROR(_xlfn.XLOOKUP(Selectivo[[#This Row],[DNI]],_SIY[DNI],_SIY[R5]),"78 DNC")</f>
        <v>54</v>
      </c>
      <c r="K168" s="13">
        <f>IFERROR(_xlfn.XLOOKUP(Selectivo[[#This Row],[DNI]],_SIY[DNI],_SIY[R6]),"78 DNC")</f>
        <v>46</v>
      </c>
      <c r="L168" s="13">
        <f>IFERROR(_xlfn.XLOOKUP(Selectivo[[#This Row],[DNI]],_SIY[DNI],_SIY[R7]),"78 DNC")</f>
        <v>71</v>
      </c>
      <c r="M168" s="13" t="str">
        <f>IFERROR(_xlfn.XLOOKUP(Selectivo[[#This Row],[DNI]],_SIY[DNI],_SIY[R8]),"78 DNC")</f>
        <v>77 BFD</v>
      </c>
      <c r="N168" s="13" t="str">
        <f>IFERROR(_xlfn.XLOOKUP(Selectivo[[#This Row],[DNI]],_SIY[DNI],_SIY[R9]),"78 DNC")</f>
        <v>77 BFD</v>
      </c>
      <c r="O168" s="13">
        <f>IFERROR(_xlfn.XLOOKUP(Selectivo[[#This Row],[DNI]],_SIY[DNI],_SIY[R10]),"78 DNC")</f>
        <v>41</v>
      </c>
      <c r="P168" s="13" t="str">
        <f>IFERROR(_xlfn.XLOOKUP(Selectivo[[#This Row],[DNI]],_VF2025[DNI],_VF2025[R1]),"70 DNC")</f>
        <v>70 DNC</v>
      </c>
      <c r="Q168" s="13" t="str">
        <f>IFERROR(_xlfn.XLOOKUP(Selectivo[[#This Row],[DNI]],_VF2025[DNI],_VF2025[R2]),"70 DNC")</f>
        <v>70 DNC</v>
      </c>
      <c r="R168" s="13" t="str">
        <f>IFERROR(_xlfn.XLOOKUP(Selectivo[[#This Row],[DNI]],_VF2025[DNI],_VF2025[R3]),"70 DNC")</f>
        <v>70 DNC</v>
      </c>
      <c r="S168" s="13" t="str">
        <f>IFERROR(_xlfn.XLOOKUP(Selectivo[[#This Row],[DNI]],_VF2025[DNI],_VF2025[R4]),"70 DNC")</f>
        <v>70 DNC</v>
      </c>
      <c r="T168" s="13" t="str">
        <f>IFERROR(_xlfn.XLOOKUP(Selectivo[[#This Row],[DNI]],_VF2025[DNI],_VF2025[R5]),"70 DNC")</f>
        <v>70 DNC</v>
      </c>
      <c r="U168" s="13" t="str">
        <f>IFERROR(_xlfn.XLOOKUP(Selectivo[[#This Row],[DNI]],_VF2025[DNI],_VF2025[R6]),"70 DNC")</f>
        <v>70 DNC</v>
      </c>
      <c r="V168" s="12" t="str" cm="1">
        <f t="array" ref="V168">IFERROR(_xlfn.XLOOKUP(Selectivo[[#This Row],[Vela]],_xlfn.NUMBERVALUE(SIL25v2[Sail '#]),SIL25v2[1]),"90 DNC")</f>
        <v>89 BFD</v>
      </c>
      <c r="W168" s="13" t="str" cm="1">
        <f t="array" ref="W168">IFERROR(_xlfn.XLOOKUP(Selectivo[[#This Row],[Vela]],_xlfn.NUMBERVALUE(SIL25v2[Sail '#]),SIL25v2[2]),"90 DNC")</f>
        <v>24</v>
      </c>
      <c r="X168" s="13" t="str" cm="1">
        <f t="array" ref="X168">IFERROR(_xlfn.XLOOKUP(Selectivo[[#This Row],[Vela]],_xlfn.NUMBERVALUE(SIL25v2[Sail '#]),SIL25v2[3]),"90 DNC")</f>
        <v>44</v>
      </c>
      <c r="Y168" s="13" t="str" cm="1">
        <f t="array" ref="Y168">IFERROR(_xlfn.XLOOKUP(Selectivo[[#This Row],[Vela]],_xlfn.NUMBERVALUE(SIL25v2[Sail '#]),SIL25v2[4]),"90 DNC")</f>
        <v>55</v>
      </c>
      <c r="Z168" s="13" t="str" cm="1">
        <f t="array" ref="Z168">IFERROR(_xlfn.XLOOKUP(Selectivo[[#This Row],[Vela]],_xlfn.NUMBERVALUE(SIL25v2[Sail '#]),SIL25v2[5]),"90 DNC")</f>
        <v>43</v>
      </c>
      <c r="AA168" s="13" t="str" cm="1">
        <f t="array" ref="AA168">IFERROR(_xlfn.XLOOKUP(Selectivo[[#This Row],[Vela]],_xlfn.NUMBERVALUE(SIL25v2[Sail '#]),SIL25v2[6]),"90 DNC")</f>
        <v>57</v>
      </c>
      <c r="AB168" s="8" cm="1">
        <f t="array" ref="AB168">SUM(IFERROR(VALUE(LEFT(Regatas, FIND(" ",Regatas&amp; " ") - 1)), 0))</f>
        <v>1387</v>
      </c>
      <c r="AC168" s="9" cm="1">
        <f t="array" ref="AC16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1144</v>
      </c>
      <c r="AD168" s="6">
        <f>SMALL(RegatasN,1)</f>
        <v>24</v>
      </c>
      <c r="AE168" s="6">
        <f>SMALL(RegatasN,2)</f>
        <v>41</v>
      </c>
      <c r="AF168" s="6">
        <f>SMALL(RegatasN,3)</f>
        <v>43</v>
      </c>
      <c r="AG168" s="5" cm="1">
        <f t="array" ref="AG168">COUNTIF(Regatas,SMALL(Regatas,1))</f>
        <v>1</v>
      </c>
      <c r="AH168" s="6" cm="1">
        <f t="array" ref="AH168">VALUE(LEFT(INDEX(Selectivo[#This Row],,MATCH(Selectivo[[#Headers],[Total]],Selectivo[#Headers],0)-1),SEARCH(" ",INDEX(Selectivo[#This Row],,MATCH(Selectivo[[#Headers],[Total]],Selectivo[#Headers],0)-1)&amp;" ")-1))</f>
        <v>57</v>
      </c>
    </row>
    <row r="169" spans="1:34" x14ac:dyDescent="0.25">
      <c r="A169">
        <v>50805092</v>
      </c>
      <c r="B169" s="10">
        <f>ROW()-ROW(Selectivo[[#Headers],[Pos]])</f>
        <v>163</v>
      </c>
      <c r="C169" s="5">
        <v>4189</v>
      </c>
      <c r="D169" t="s">
        <v>625</v>
      </c>
      <c r="E169" t="s">
        <v>9</v>
      </c>
      <c r="F169" s="13">
        <f>IFERROR(_xlfn.XLOOKUP(Selectivo[[#This Row],[DNI]],_SIY[DNI],_SIY[R1]),"78 DNC")</f>
        <v>62</v>
      </c>
      <c r="G169" s="13">
        <f>IFERROR(_xlfn.XLOOKUP(Selectivo[[#This Row],[DNI]],_SIY[DNI],_SIY[R2]),"78 DNC")</f>
        <v>51</v>
      </c>
      <c r="H169" s="12" t="str">
        <f>IFERROR(_xlfn.XLOOKUP(Selectivo[[#This Row],[DNI]],_SIY[DNI],_SIY[R3]),"78 DNC")</f>
        <v>77 DNF</v>
      </c>
      <c r="I169" s="13">
        <f>IFERROR(_xlfn.XLOOKUP(Selectivo[[#This Row],[DNI]],_SIY[DNI],_SIY[R4]),"78 DNC")</f>
        <v>66</v>
      </c>
      <c r="J169" s="12" t="str">
        <f>IFERROR(_xlfn.XLOOKUP(Selectivo[[#This Row],[DNI]],_SIY[DNI],_SIY[R5]),"78 DNC")</f>
        <v>77 UFD</v>
      </c>
      <c r="K169" s="13">
        <f>IFERROR(_xlfn.XLOOKUP(Selectivo[[#This Row],[DNI]],_SIY[DNI],_SIY[R6]),"78 DNC")</f>
        <v>57</v>
      </c>
      <c r="L169" s="13">
        <f>IFERROR(_xlfn.XLOOKUP(Selectivo[[#This Row],[DNI]],_SIY[DNI],_SIY[R7]),"78 DNC")</f>
        <v>64</v>
      </c>
      <c r="M169" s="13">
        <f>IFERROR(_xlfn.XLOOKUP(Selectivo[[#This Row],[DNI]],_SIY[DNI],_SIY[R8]),"78 DNC")</f>
        <v>69</v>
      </c>
      <c r="N169" s="13" t="str">
        <f>IFERROR(_xlfn.XLOOKUP(Selectivo[[#This Row],[DNI]],_SIY[DNI],_SIY[R9]),"78 DNC")</f>
        <v>77 BFD</v>
      </c>
      <c r="O169" s="13">
        <f>IFERROR(_xlfn.XLOOKUP(Selectivo[[#This Row],[DNI]],_SIY[DNI],_SIY[R10]),"78 DNC")</f>
        <v>65</v>
      </c>
      <c r="P169" s="13" t="str">
        <f>IFERROR(_xlfn.XLOOKUP(Selectivo[[#This Row],[DNI]],_VF2025[DNI],_VF2025[R1]),"70 DNC")</f>
        <v>70 DNF</v>
      </c>
      <c r="Q169" s="13">
        <f>IFERROR(_xlfn.XLOOKUP(Selectivo[[#This Row],[DNI]],_VF2025[DNI],_VF2025[R2]),"70 DNC")</f>
        <v>51</v>
      </c>
      <c r="R169" s="13">
        <f>IFERROR(_xlfn.XLOOKUP(Selectivo[[#This Row],[DNI]],_VF2025[DNI],_VF2025[R3]),"70 DNC")</f>
        <v>62</v>
      </c>
      <c r="S169" s="13">
        <f>IFERROR(_xlfn.XLOOKUP(Selectivo[[#This Row],[DNI]],_VF2025[DNI],_VF2025[R4]),"70 DNC")</f>
        <v>50</v>
      </c>
      <c r="T169" s="13">
        <f>IFERROR(_xlfn.XLOOKUP(Selectivo[[#This Row],[DNI]],_VF2025[DNI],_VF2025[R5]),"70 DNC")</f>
        <v>52</v>
      </c>
      <c r="U169" s="13">
        <f>IFERROR(_xlfn.XLOOKUP(Selectivo[[#This Row],[DNI]],_VF2025[DNI],_VF2025[R6]),"70 DNC")</f>
        <v>46</v>
      </c>
      <c r="V169" s="13" t="str" cm="1">
        <f t="array" ref="V169">IFERROR(_xlfn.XLOOKUP(Selectivo[[#This Row],[Vela]],_xlfn.NUMBERVALUE(SIL25v2[Sail '#]),SIL25v2[1]),"90 DNC")</f>
        <v>56</v>
      </c>
      <c r="W169" s="12" t="str" cm="1">
        <f t="array" ref="W169">IFERROR(_xlfn.XLOOKUP(Selectivo[[#This Row],[Vela]],_xlfn.NUMBERVALUE(SIL25v2[Sail '#]),SIL25v2[2]),"90 DNC")</f>
        <v>83</v>
      </c>
      <c r="X169" s="13" t="str" cm="1">
        <f t="array" ref="X169">IFERROR(_xlfn.XLOOKUP(Selectivo[[#This Row],[Vela]],_xlfn.NUMBERVALUE(SIL25v2[Sail '#]),SIL25v2[3]),"90 DNC")</f>
        <v>64</v>
      </c>
      <c r="Y169" s="13" t="str" cm="1">
        <f t="array" ref="Y169">IFERROR(_xlfn.XLOOKUP(Selectivo[[#This Row],[Vela]],_xlfn.NUMBERVALUE(SIL25v2[Sail '#]),SIL25v2[4]),"90 DNC")</f>
        <v>74</v>
      </c>
      <c r="Z169" s="13" t="str" cm="1">
        <f t="array" ref="Z169">IFERROR(_xlfn.XLOOKUP(Selectivo[[#This Row],[Vela]],_xlfn.NUMBERVALUE(SIL25v2[Sail '#]),SIL25v2[5]),"90 DNC")</f>
        <v>46</v>
      </c>
      <c r="AA169" s="13" t="str" cm="1">
        <f t="array" ref="AA169">IFERROR(_xlfn.XLOOKUP(Selectivo[[#This Row],[Vela]],_xlfn.NUMBERVALUE(SIL25v2[Sail '#]),SIL25v2[6]),"90 DNC")</f>
        <v>66</v>
      </c>
      <c r="AB169" s="8" cm="1">
        <f t="array" ref="AB169">SUM(IFERROR(VALUE(LEFT(Regatas, FIND(" ",Regatas&amp; " ") - 1)), 0))</f>
        <v>1385</v>
      </c>
      <c r="AC169" s="9" cm="1">
        <f t="array" ref="AC16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1148</v>
      </c>
      <c r="AD169" s="6">
        <f>SMALL(RegatasN,1)</f>
        <v>46</v>
      </c>
      <c r="AE169" s="6">
        <f>SMALL(RegatasN,2)</f>
        <v>46</v>
      </c>
      <c r="AF169" s="6">
        <f>SMALL(RegatasN,3)</f>
        <v>50</v>
      </c>
      <c r="AG169" s="5" cm="1">
        <f t="array" ref="AG169">COUNTIF(Regatas,SMALL(Regatas,1))</f>
        <v>2</v>
      </c>
      <c r="AH169" s="6" cm="1">
        <f t="array" ref="AH169">VALUE(LEFT(INDEX(Selectivo[#This Row],,MATCH(Selectivo[[#Headers],[Total]],Selectivo[#Headers],0)-1),SEARCH(" ",INDEX(Selectivo[#This Row],,MATCH(Selectivo[[#Headers],[Total]],Selectivo[#Headers],0)-1)&amp;" ")-1))</f>
        <v>66</v>
      </c>
    </row>
    <row r="170" spans="1:34" x14ac:dyDescent="0.25">
      <c r="A170">
        <v>52013789</v>
      </c>
      <c r="B170" s="10">
        <f>ROW()-ROW(Selectivo[[#Headers],[Pos]])</f>
        <v>164</v>
      </c>
      <c r="C170" s="5">
        <v>4080</v>
      </c>
      <c r="D170" t="s">
        <v>711</v>
      </c>
      <c r="E170" t="s">
        <v>16</v>
      </c>
      <c r="F170" s="13" t="str">
        <f>IFERROR(_xlfn.XLOOKUP(Selectivo[[#This Row],[DNI]],_SIY[DNI],_SIY[R1]),"78 DNC")</f>
        <v>77 DNC</v>
      </c>
      <c r="G170" s="13">
        <f>IFERROR(_xlfn.XLOOKUP(Selectivo[[#This Row],[DNI]],_SIY[DNI],_SIY[R2]),"78 DNC")</f>
        <v>43</v>
      </c>
      <c r="H170" s="13">
        <f>IFERROR(_xlfn.XLOOKUP(Selectivo[[#This Row],[DNI]],_SIY[DNI],_SIY[R3]),"78 DNC")</f>
        <v>51</v>
      </c>
      <c r="I170" s="13">
        <f>IFERROR(_xlfn.XLOOKUP(Selectivo[[#This Row],[DNI]],_SIY[DNI],_SIY[R4]),"78 DNC")</f>
        <v>47</v>
      </c>
      <c r="J170" s="13">
        <f>IFERROR(_xlfn.XLOOKUP(Selectivo[[#This Row],[DNI]],_SIY[DNI],_SIY[R5]),"78 DNC")</f>
        <v>49</v>
      </c>
      <c r="K170" s="13">
        <f>IFERROR(_xlfn.XLOOKUP(Selectivo[[#This Row],[DNI]],_SIY[DNI],_SIY[R6]),"78 DNC")</f>
        <v>53</v>
      </c>
      <c r="L170" s="13">
        <f>IFERROR(_xlfn.XLOOKUP(Selectivo[[#This Row],[DNI]],_SIY[DNI],_SIY[R7]),"78 DNC")</f>
        <v>53</v>
      </c>
      <c r="M170" s="13">
        <f>IFERROR(_xlfn.XLOOKUP(Selectivo[[#This Row],[DNI]],_SIY[DNI],_SIY[R8]),"78 DNC")</f>
        <v>46</v>
      </c>
      <c r="N170" s="13">
        <f>IFERROR(_xlfn.XLOOKUP(Selectivo[[#This Row],[DNI]],_SIY[DNI],_SIY[R9]),"78 DNC")</f>
        <v>46</v>
      </c>
      <c r="O170" s="13">
        <f>IFERROR(_xlfn.XLOOKUP(Selectivo[[#This Row],[DNI]],_SIY[DNI],_SIY[R10]),"78 DNC")</f>
        <v>51</v>
      </c>
      <c r="P170" s="13" t="str">
        <f>IFERROR(_xlfn.XLOOKUP(Selectivo[[#This Row],[DNI]],_VF2025[DNI],_VF2025[R1]),"70 DNC")</f>
        <v>70 DNC</v>
      </c>
      <c r="Q170" s="13" t="str">
        <f>IFERROR(_xlfn.XLOOKUP(Selectivo[[#This Row],[DNI]],_VF2025[DNI],_VF2025[R2]),"70 DNC")</f>
        <v>70 DNC</v>
      </c>
      <c r="R170" s="13" t="str">
        <f>IFERROR(_xlfn.XLOOKUP(Selectivo[[#This Row],[DNI]],_VF2025[DNI],_VF2025[R3]),"70 DNC")</f>
        <v>70 DNC</v>
      </c>
      <c r="S170" s="13" t="str">
        <f>IFERROR(_xlfn.XLOOKUP(Selectivo[[#This Row],[DNI]],_VF2025[DNI],_VF2025[R4]),"70 DNC")</f>
        <v>70 DNC</v>
      </c>
      <c r="T170" s="13" t="str">
        <f>IFERROR(_xlfn.XLOOKUP(Selectivo[[#This Row],[DNI]],_VF2025[DNI],_VF2025[R5]),"70 DNC")</f>
        <v>70 DNC</v>
      </c>
      <c r="U170" s="13" t="str">
        <f>IFERROR(_xlfn.XLOOKUP(Selectivo[[#This Row],[DNI]],_VF2025[DNI],_VF2025[R6]),"70 DNC")</f>
        <v>70 DNC</v>
      </c>
      <c r="V170" s="12" t="str" cm="1">
        <f t="array" ref="V170">IFERROR(_xlfn.XLOOKUP(Selectivo[[#This Row],[Vela]],_xlfn.NUMBERVALUE(SIL25v2[Sail '#]),SIL25v2[1]),"90 DNC")</f>
        <v>90 DNC</v>
      </c>
      <c r="W170" s="12" t="str" cm="1">
        <f t="array" ref="W170">IFERROR(_xlfn.XLOOKUP(Selectivo[[#This Row],[Vela]],_xlfn.NUMBERVALUE(SIL25v2[Sail '#]),SIL25v2[2]),"90 DNC")</f>
        <v>90 DNC</v>
      </c>
      <c r="X170" s="12" t="str" cm="1">
        <f t="array" ref="X170">IFERROR(_xlfn.XLOOKUP(Selectivo[[#This Row],[Vela]],_xlfn.NUMBERVALUE(SIL25v2[Sail '#]),SIL25v2[3]),"90 DNC")</f>
        <v>90 DNC</v>
      </c>
      <c r="Y170" s="13" t="str" cm="1">
        <f t="array" ref="Y170">IFERROR(_xlfn.XLOOKUP(Selectivo[[#This Row],[Vela]],_xlfn.NUMBERVALUE(SIL25v2[Sail '#]),SIL25v2[4]),"90 DNC")</f>
        <v>90 DNC</v>
      </c>
      <c r="Z170" s="13" t="str" cm="1">
        <f t="array" ref="Z170">IFERROR(_xlfn.XLOOKUP(Selectivo[[#This Row],[Vela]],_xlfn.NUMBERVALUE(SIL25v2[Sail '#]),SIL25v2[5]),"90 DNC")</f>
        <v>90 DNC</v>
      </c>
      <c r="AA170" s="13" t="str" cm="1">
        <f t="array" ref="AA170">IFERROR(_xlfn.XLOOKUP(Selectivo[[#This Row],[Vela]],_xlfn.NUMBERVALUE(SIL25v2[Sail '#]),SIL25v2[6]),"90 DNC")</f>
        <v>90 DNC</v>
      </c>
      <c r="AB170" s="8" cm="1">
        <f t="array" ref="AB170">SUM(IFERROR(VALUE(LEFT(Regatas, FIND(" ",Regatas&amp; " ") - 1)), 0))</f>
        <v>1476</v>
      </c>
      <c r="AC170" s="9" cm="1">
        <f t="array" ref="AC17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1206</v>
      </c>
      <c r="AD170" s="6">
        <f>SMALL(RegatasN,1)</f>
        <v>43</v>
      </c>
      <c r="AE170" s="6">
        <f>SMALL(RegatasN,2)</f>
        <v>46</v>
      </c>
      <c r="AF170" s="6">
        <f>SMALL(RegatasN,3)</f>
        <v>46</v>
      </c>
      <c r="AG170" s="5" cm="1">
        <f t="array" ref="AG170">COUNTIF(Regatas,SMALL(Regatas,1))</f>
        <v>1</v>
      </c>
      <c r="AH170" s="6" cm="1">
        <f t="array" ref="AH170">VALUE(LEFT(INDEX(Selectivo[#This Row],,MATCH(Selectivo[[#Headers],[Total]],Selectivo[#Headers],0)-1),SEARCH(" ",INDEX(Selectivo[#This Row],,MATCH(Selectivo[[#Headers],[Total]],Selectivo[#Headers],0)-1)&amp;" ")-1))</f>
        <v>90</v>
      </c>
    </row>
    <row r="171" spans="1:34" x14ac:dyDescent="0.25">
      <c r="A171">
        <v>51139794</v>
      </c>
      <c r="B171" s="10">
        <f>ROW()-ROW(Selectivo[[#Headers],[Pos]])</f>
        <v>165</v>
      </c>
      <c r="C171" s="5">
        <v>3799</v>
      </c>
      <c r="D171" t="s">
        <v>694</v>
      </c>
      <c r="E171" t="s">
        <v>9</v>
      </c>
      <c r="F171" s="13">
        <f>IFERROR(_xlfn.XLOOKUP(Selectivo[[#This Row],[DNI]],_SIY[DNI],_SIY[R1]),"78 DNC")</f>
        <v>34</v>
      </c>
      <c r="G171" s="13">
        <f>IFERROR(_xlfn.XLOOKUP(Selectivo[[#This Row],[DNI]],_SIY[DNI],_SIY[R2]),"78 DNC")</f>
        <v>39</v>
      </c>
      <c r="H171" s="13" t="str">
        <f>IFERROR(_xlfn.XLOOKUP(Selectivo[[#This Row],[DNI]],_SIY[DNI],_SIY[R3]),"78 DNC")</f>
        <v>77 UFD</v>
      </c>
      <c r="I171" s="13">
        <f>IFERROR(_xlfn.XLOOKUP(Selectivo[[#This Row],[DNI]],_SIY[DNI],_SIY[R4]),"78 DNC")</f>
        <v>31</v>
      </c>
      <c r="J171" s="13" t="str">
        <f>IFERROR(_xlfn.XLOOKUP(Selectivo[[#This Row],[DNI]],_SIY[DNI],_SIY[R5]),"78 DNC")</f>
        <v>77 UFD</v>
      </c>
      <c r="K171" s="13">
        <f>IFERROR(_xlfn.XLOOKUP(Selectivo[[#This Row],[DNI]],_SIY[DNI],_SIY[R6]),"78 DNC")</f>
        <v>52</v>
      </c>
      <c r="L171" s="13">
        <f>IFERROR(_xlfn.XLOOKUP(Selectivo[[#This Row],[DNI]],_SIY[DNI],_SIY[R7]),"78 DNC")</f>
        <v>51</v>
      </c>
      <c r="M171" s="13">
        <f>IFERROR(_xlfn.XLOOKUP(Selectivo[[#This Row],[DNI]],_SIY[DNI],_SIY[R8]),"78 DNC")</f>
        <v>52</v>
      </c>
      <c r="N171" s="13" t="str">
        <f>IFERROR(_xlfn.XLOOKUP(Selectivo[[#This Row],[DNI]],_SIY[DNI],_SIY[R9]),"78 DNC")</f>
        <v>77 BFD</v>
      </c>
      <c r="O171" s="13">
        <f>IFERROR(_xlfn.XLOOKUP(Selectivo[[#This Row],[DNI]],_SIY[DNI],_SIY[R10]),"78 DNC")</f>
        <v>38</v>
      </c>
      <c r="P171" s="13" t="str">
        <f>IFERROR(_xlfn.XLOOKUP(Selectivo[[#This Row],[DNI]],_VF2025[DNI],_VF2025[R1]),"70 DNC")</f>
        <v>70 DNF</v>
      </c>
      <c r="Q171" s="13" t="str">
        <f>IFERROR(_xlfn.XLOOKUP(Selectivo[[#This Row],[DNI]],_VF2025[DNI],_VF2025[R2]),"70 DNC")</f>
        <v>70 DNC</v>
      </c>
      <c r="R171" s="13" t="str">
        <f>IFERROR(_xlfn.XLOOKUP(Selectivo[[#This Row],[DNI]],_VF2025[DNI],_VF2025[R3]),"70 DNC")</f>
        <v>70 DNC</v>
      </c>
      <c r="S171" s="13" t="str">
        <f>IFERROR(_xlfn.XLOOKUP(Selectivo[[#This Row],[DNI]],_VF2025[DNI],_VF2025[R4]),"70 DNC")</f>
        <v>70 DNC</v>
      </c>
      <c r="T171" s="13" t="str">
        <f>IFERROR(_xlfn.XLOOKUP(Selectivo[[#This Row],[DNI]],_VF2025[DNI],_VF2025[R5]),"70 DNC")</f>
        <v>70 DNC</v>
      </c>
      <c r="U171" s="13" t="str">
        <f>IFERROR(_xlfn.XLOOKUP(Selectivo[[#This Row],[DNI]],_VF2025[DNI],_VF2025[R6]),"70 DNC")</f>
        <v>70 DNC</v>
      </c>
      <c r="V171" s="12" t="str" cm="1">
        <f t="array" ref="V171">IFERROR(_xlfn.XLOOKUP(Selectivo[[#This Row],[Vela]],_xlfn.NUMBERVALUE(SIL25v2[Sail '#]),SIL25v2[1]),"90 DNC")</f>
        <v>90 DNC</v>
      </c>
      <c r="W171" s="12" t="str" cm="1">
        <f t="array" ref="W171">IFERROR(_xlfn.XLOOKUP(Selectivo[[#This Row],[Vela]],_xlfn.NUMBERVALUE(SIL25v2[Sail '#]),SIL25v2[2]),"90 DNC")</f>
        <v>90 DNC</v>
      </c>
      <c r="X171" s="12" t="str" cm="1">
        <f t="array" ref="X171">IFERROR(_xlfn.XLOOKUP(Selectivo[[#This Row],[Vela]],_xlfn.NUMBERVALUE(SIL25v2[Sail '#]),SIL25v2[3]),"90 DNC")</f>
        <v>90 DNC</v>
      </c>
      <c r="Y171" s="13" t="str" cm="1">
        <f t="array" ref="Y171">IFERROR(_xlfn.XLOOKUP(Selectivo[[#This Row],[Vela]],_xlfn.NUMBERVALUE(SIL25v2[Sail '#]),SIL25v2[4]),"90 DNC")</f>
        <v>90 DNC</v>
      </c>
      <c r="Z171" s="13" t="str" cm="1">
        <f t="array" ref="Z171">IFERROR(_xlfn.XLOOKUP(Selectivo[[#This Row],[Vela]],_xlfn.NUMBERVALUE(SIL25v2[Sail '#]),SIL25v2[5]),"90 DNC")</f>
        <v>90 DNC</v>
      </c>
      <c r="AA171" s="13" t="str" cm="1">
        <f t="array" ref="AA171">IFERROR(_xlfn.XLOOKUP(Selectivo[[#This Row],[Vela]],_xlfn.NUMBERVALUE(SIL25v2[Sail '#]),SIL25v2[6]),"90 DNC")</f>
        <v>90 DNC</v>
      </c>
      <c r="AB171" s="8" cm="1">
        <f t="array" ref="AB171">SUM(IFERROR(VALUE(LEFT(Regatas, FIND(" ",Regatas&amp; " ") - 1)), 0))</f>
        <v>1488</v>
      </c>
      <c r="AC171" s="9" cm="1">
        <f t="array" ref="AC17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1218</v>
      </c>
      <c r="AD171" s="6">
        <f>SMALL(RegatasN,1)</f>
        <v>31</v>
      </c>
      <c r="AE171" s="6">
        <f>SMALL(RegatasN,2)</f>
        <v>34</v>
      </c>
      <c r="AF171" s="6">
        <f>SMALL(RegatasN,3)</f>
        <v>38</v>
      </c>
      <c r="AG171" s="5" cm="1">
        <f t="array" ref="AG171">COUNTIF(Regatas,SMALL(Regatas,1))</f>
        <v>1</v>
      </c>
      <c r="AH171" s="6" cm="1">
        <f t="array" ref="AH171">VALUE(LEFT(INDEX(Selectivo[#This Row],,MATCH(Selectivo[[#Headers],[Total]],Selectivo[#Headers],0)-1),SEARCH(" ",INDEX(Selectivo[#This Row],,MATCH(Selectivo[[#Headers],[Total]],Selectivo[#Headers],0)-1)&amp;" ")-1))</f>
        <v>90</v>
      </c>
    </row>
    <row r="172" spans="1:34" x14ac:dyDescent="0.25">
      <c r="A172">
        <v>52585613</v>
      </c>
      <c r="B172" s="10">
        <f>ROW()-ROW(Selectivo[[#Headers],[Pos]])</f>
        <v>166</v>
      </c>
      <c r="C172" s="5">
        <v>3767</v>
      </c>
      <c r="D172" t="s">
        <v>591</v>
      </c>
      <c r="E172" t="s">
        <v>11</v>
      </c>
      <c r="F172" s="13">
        <f>IFERROR(_xlfn.XLOOKUP(Selectivo[[#This Row],[DNI]],_SIY[DNI],_SIY[R1]),"78 DNC")</f>
        <v>66</v>
      </c>
      <c r="G172" s="13">
        <f>IFERROR(_xlfn.XLOOKUP(Selectivo[[#This Row],[DNI]],_SIY[DNI],_SIY[R2]),"78 DNC")</f>
        <v>68</v>
      </c>
      <c r="H172" s="13">
        <f>IFERROR(_xlfn.XLOOKUP(Selectivo[[#This Row],[DNI]],_SIY[DNI],_SIY[R3]),"78 DNC")</f>
        <v>65</v>
      </c>
      <c r="I172" s="13">
        <f>IFERROR(_xlfn.XLOOKUP(Selectivo[[#This Row],[DNI]],_SIY[DNI],_SIY[R4]),"78 DNC")</f>
        <v>59</v>
      </c>
      <c r="J172" s="13">
        <f>IFERROR(_xlfn.XLOOKUP(Selectivo[[#This Row],[DNI]],_SIY[DNI],_SIY[R5]),"78 DNC")</f>
        <v>54</v>
      </c>
      <c r="K172" s="13">
        <f>IFERROR(_xlfn.XLOOKUP(Selectivo[[#This Row],[DNI]],_SIY[DNI],_SIY[R6]),"78 DNC")</f>
        <v>56</v>
      </c>
      <c r="L172" s="13">
        <f>IFERROR(_xlfn.XLOOKUP(Selectivo[[#This Row],[DNI]],_SIY[DNI],_SIY[R7]),"78 DNC")</f>
        <v>52</v>
      </c>
      <c r="M172" s="13">
        <f>IFERROR(_xlfn.XLOOKUP(Selectivo[[#This Row],[DNI]],_SIY[DNI],_SIY[R8]),"78 DNC")</f>
        <v>44</v>
      </c>
      <c r="N172" s="13">
        <f>IFERROR(_xlfn.XLOOKUP(Selectivo[[#This Row],[DNI]],_SIY[DNI],_SIY[R9]),"78 DNC")</f>
        <v>55</v>
      </c>
      <c r="O172" s="13">
        <f>IFERROR(_xlfn.XLOOKUP(Selectivo[[#This Row],[DNI]],_SIY[DNI],_SIY[R10]),"78 DNC")</f>
        <v>25</v>
      </c>
      <c r="P172" s="13" t="str">
        <f>IFERROR(_xlfn.XLOOKUP(Selectivo[[#This Row],[DNI]],_VF2025[DNI],_VF2025[R1]),"70 DNC")</f>
        <v>70 DNC</v>
      </c>
      <c r="Q172" s="13" t="str">
        <f>IFERROR(_xlfn.XLOOKUP(Selectivo[[#This Row],[DNI]],_VF2025[DNI],_VF2025[R2]),"70 DNC")</f>
        <v>70 DNC</v>
      </c>
      <c r="R172" s="13" t="str">
        <f>IFERROR(_xlfn.XLOOKUP(Selectivo[[#This Row],[DNI]],_VF2025[DNI],_VF2025[R3]),"70 DNC")</f>
        <v>70 DNC</v>
      </c>
      <c r="S172" s="13" t="str">
        <f>IFERROR(_xlfn.XLOOKUP(Selectivo[[#This Row],[DNI]],_VF2025[DNI],_VF2025[R4]),"70 DNC")</f>
        <v>70 DNC</v>
      </c>
      <c r="T172" s="13" t="str">
        <f>IFERROR(_xlfn.XLOOKUP(Selectivo[[#This Row],[DNI]],_VF2025[DNI],_VF2025[R5]),"70 DNC")</f>
        <v>70 DNC</v>
      </c>
      <c r="U172" s="13" t="str">
        <f>IFERROR(_xlfn.XLOOKUP(Selectivo[[#This Row],[DNI]],_VF2025[DNI],_VF2025[R6]),"70 DNC")</f>
        <v>70 DNC</v>
      </c>
      <c r="V172" s="12" t="str" cm="1">
        <f t="array" ref="V172">IFERROR(_xlfn.XLOOKUP(Selectivo[[#This Row],[Vela]],_xlfn.NUMBERVALUE(SIL25v2[Sail '#]),SIL25v2[1]),"90 DNC")</f>
        <v>90 DNC</v>
      </c>
      <c r="W172" s="12" t="str" cm="1">
        <f t="array" ref="W172">IFERROR(_xlfn.XLOOKUP(Selectivo[[#This Row],[Vela]],_xlfn.NUMBERVALUE(SIL25v2[Sail '#]),SIL25v2[2]),"90 DNC")</f>
        <v>90 DNC</v>
      </c>
      <c r="X172" s="12" t="str" cm="1">
        <f t="array" ref="X172">IFERROR(_xlfn.XLOOKUP(Selectivo[[#This Row],[Vela]],_xlfn.NUMBERVALUE(SIL25v2[Sail '#]),SIL25v2[3]),"90 DNC")</f>
        <v>90 DNC</v>
      </c>
      <c r="Y172" s="13" t="str" cm="1">
        <f t="array" ref="Y172">IFERROR(_xlfn.XLOOKUP(Selectivo[[#This Row],[Vela]],_xlfn.NUMBERVALUE(SIL25v2[Sail '#]),SIL25v2[4]),"90 DNC")</f>
        <v>90 DNC</v>
      </c>
      <c r="Z172" s="13" t="str" cm="1">
        <f t="array" ref="Z172">IFERROR(_xlfn.XLOOKUP(Selectivo[[#This Row],[Vela]],_xlfn.NUMBERVALUE(SIL25v2[Sail '#]),SIL25v2[5]),"90 DNC")</f>
        <v>90 DNC</v>
      </c>
      <c r="AA172" s="13" t="str" cm="1">
        <f t="array" ref="AA172">IFERROR(_xlfn.XLOOKUP(Selectivo[[#This Row],[Vela]],_xlfn.NUMBERVALUE(SIL25v2[Sail '#]),SIL25v2[6]),"90 DNC")</f>
        <v>90 DNC</v>
      </c>
      <c r="AB172" s="8" cm="1">
        <f t="array" ref="AB172">SUM(IFERROR(VALUE(LEFT(Regatas, FIND(" ",Regatas&amp; " ") - 1)), 0))</f>
        <v>1504</v>
      </c>
      <c r="AC172" s="9" cm="1">
        <f t="array" ref="AC17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1234</v>
      </c>
      <c r="AD172" s="6">
        <f>SMALL(RegatasN,1)</f>
        <v>25</v>
      </c>
      <c r="AE172" s="6">
        <f>SMALL(RegatasN,2)</f>
        <v>44</v>
      </c>
      <c r="AF172" s="6">
        <f>SMALL(RegatasN,3)</f>
        <v>52</v>
      </c>
      <c r="AG172" s="5" cm="1">
        <f t="array" ref="AG172">COUNTIF(Regatas,SMALL(Regatas,1))</f>
        <v>1</v>
      </c>
      <c r="AH172" s="6" cm="1">
        <f t="array" ref="AH172">VALUE(LEFT(INDEX(Selectivo[#This Row],,MATCH(Selectivo[[#Headers],[Total]],Selectivo[#Headers],0)-1),SEARCH(" ",INDEX(Selectivo[#This Row],,MATCH(Selectivo[[#Headers],[Total]],Selectivo[#Headers],0)-1)&amp;" ")-1))</f>
        <v>90</v>
      </c>
    </row>
    <row r="173" spans="1:34" x14ac:dyDescent="0.25">
      <c r="A173">
        <v>52908766</v>
      </c>
      <c r="B173" s="10">
        <f>ROW()-ROW(Selectivo[[#Headers],[Pos]])</f>
        <v>167</v>
      </c>
      <c r="C173" s="5">
        <v>3976</v>
      </c>
      <c r="D173" t="s">
        <v>628</v>
      </c>
      <c r="E173" t="s">
        <v>10</v>
      </c>
      <c r="F173" s="13">
        <f>IFERROR(_xlfn.XLOOKUP(Selectivo[[#This Row],[DNI]],_SIY[DNI],_SIY[R1]),"78 DNC")</f>
        <v>54</v>
      </c>
      <c r="G173" s="13">
        <f>IFERROR(_xlfn.XLOOKUP(Selectivo[[#This Row],[DNI]],_SIY[DNI],_SIY[R2]),"78 DNC")</f>
        <v>67</v>
      </c>
      <c r="H173" s="13">
        <f>IFERROR(_xlfn.XLOOKUP(Selectivo[[#This Row],[DNI]],_SIY[DNI],_SIY[R3]),"78 DNC")</f>
        <v>59</v>
      </c>
      <c r="I173" s="13">
        <f>IFERROR(_xlfn.XLOOKUP(Selectivo[[#This Row],[DNI]],_SIY[DNI],_SIY[R4]),"78 DNC")</f>
        <v>48</v>
      </c>
      <c r="J173" s="13">
        <f>IFERROR(_xlfn.XLOOKUP(Selectivo[[#This Row],[DNI]],_SIY[DNI],_SIY[R5]),"78 DNC")</f>
        <v>57</v>
      </c>
      <c r="K173" s="13" t="str">
        <f>IFERROR(_xlfn.XLOOKUP(Selectivo[[#This Row],[DNI]],_SIY[DNI],_SIY[R6]),"78 DNC")</f>
        <v>77 DNF</v>
      </c>
      <c r="L173" s="13">
        <f>IFERROR(_xlfn.XLOOKUP(Selectivo[[#This Row],[DNI]],_SIY[DNI],_SIY[R7]),"78 DNC")</f>
        <v>50</v>
      </c>
      <c r="M173" s="13" t="str">
        <f>IFERROR(_xlfn.XLOOKUP(Selectivo[[#This Row],[DNI]],_SIY[DNI],_SIY[R8]),"78 DNC")</f>
        <v>77 BFD</v>
      </c>
      <c r="N173" s="13">
        <f>IFERROR(_xlfn.XLOOKUP(Selectivo[[#This Row],[DNI]],_SIY[DNI],_SIY[R9]),"78 DNC")</f>
        <v>56</v>
      </c>
      <c r="O173" s="13" t="str">
        <f>IFERROR(_xlfn.XLOOKUP(Selectivo[[#This Row],[DNI]],_SIY[DNI],_SIY[R10]),"78 DNC")</f>
        <v>77 BFD</v>
      </c>
      <c r="P173" s="13" t="str">
        <f>IFERROR(_xlfn.XLOOKUP(Selectivo[[#This Row],[DNI]],_VF2025[DNI],_VF2025[R1]),"70 DNC")</f>
        <v>70 DNC</v>
      </c>
      <c r="Q173" s="13" t="str">
        <f>IFERROR(_xlfn.XLOOKUP(Selectivo[[#This Row],[DNI]],_VF2025[DNI],_VF2025[R2]),"70 DNC")</f>
        <v>70 DNC</v>
      </c>
      <c r="R173" s="13" t="str">
        <f>IFERROR(_xlfn.XLOOKUP(Selectivo[[#This Row],[DNI]],_VF2025[DNI],_VF2025[R3]),"70 DNC")</f>
        <v>70 DNC</v>
      </c>
      <c r="S173" s="13" t="str">
        <f>IFERROR(_xlfn.XLOOKUP(Selectivo[[#This Row],[DNI]],_VF2025[DNI],_VF2025[R4]),"70 DNC")</f>
        <v>70 DNC</v>
      </c>
      <c r="T173" s="13">
        <f>IFERROR(_xlfn.XLOOKUP(Selectivo[[#This Row],[DNI]],_VF2025[DNI],_VF2025[R5]),"70 DNC")</f>
        <v>40</v>
      </c>
      <c r="U173" s="13" t="str">
        <f>IFERROR(_xlfn.XLOOKUP(Selectivo[[#This Row],[DNI]],_VF2025[DNI],_VF2025[R6]),"70 DNC")</f>
        <v>70 DNC</v>
      </c>
      <c r="V173" s="12" t="str" cm="1">
        <f t="array" ref="V173">IFERROR(_xlfn.XLOOKUP(Selectivo[[#This Row],[Vela]],_xlfn.NUMBERVALUE(SIL25v2[Sail '#]),SIL25v2[1]),"90 DNC")</f>
        <v>90 DNC</v>
      </c>
      <c r="W173" s="12" t="str" cm="1">
        <f t="array" ref="W173">IFERROR(_xlfn.XLOOKUP(Selectivo[[#This Row],[Vela]],_xlfn.NUMBERVALUE(SIL25v2[Sail '#]),SIL25v2[2]),"90 DNC")</f>
        <v>90 DNC</v>
      </c>
      <c r="X173" s="12" t="str" cm="1">
        <f t="array" ref="X173">IFERROR(_xlfn.XLOOKUP(Selectivo[[#This Row],[Vela]],_xlfn.NUMBERVALUE(SIL25v2[Sail '#]),SIL25v2[3]),"90 DNC")</f>
        <v>90 DNC</v>
      </c>
      <c r="Y173" s="13" t="str" cm="1">
        <f t="array" ref="Y173">IFERROR(_xlfn.XLOOKUP(Selectivo[[#This Row],[Vela]],_xlfn.NUMBERVALUE(SIL25v2[Sail '#]),SIL25v2[4]),"90 DNC")</f>
        <v>90 DNC</v>
      </c>
      <c r="Z173" s="13" t="str" cm="1">
        <f t="array" ref="Z173">IFERROR(_xlfn.XLOOKUP(Selectivo[[#This Row],[Vela]],_xlfn.NUMBERVALUE(SIL25v2[Sail '#]),SIL25v2[5]),"90 DNC")</f>
        <v>90 DNC</v>
      </c>
      <c r="AA173" s="13" t="str" cm="1">
        <f t="array" ref="AA173">IFERROR(_xlfn.XLOOKUP(Selectivo[[#This Row],[Vela]],_xlfn.NUMBERVALUE(SIL25v2[Sail '#]),SIL25v2[6]),"90 DNC")</f>
        <v>90 DNC</v>
      </c>
      <c r="AB173" s="8" cm="1">
        <f t="array" ref="AB173">SUM(IFERROR(VALUE(LEFT(Regatas, FIND(" ",Regatas&amp; " ") - 1)), 0))</f>
        <v>1552</v>
      </c>
      <c r="AC173" s="9" cm="1">
        <f t="array" ref="AC17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1282</v>
      </c>
      <c r="AD173" s="6">
        <f>SMALL(RegatasN,1)</f>
        <v>40</v>
      </c>
      <c r="AE173" s="6">
        <f>SMALL(RegatasN,2)</f>
        <v>48</v>
      </c>
      <c r="AF173" s="6">
        <f>SMALL(RegatasN,3)</f>
        <v>50</v>
      </c>
      <c r="AG173" s="5" cm="1">
        <f t="array" ref="AG173">COUNTIF(Regatas,SMALL(Regatas,1))</f>
        <v>1</v>
      </c>
      <c r="AH173" s="6" cm="1">
        <f t="array" ref="AH173">VALUE(LEFT(INDEX(Selectivo[#This Row],,MATCH(Selectivo[[#Headers],[Total]],Selectivo[#Headers],0)-1),SEARCH(" ",INDEX(Selectivo[#This Row],,MATCH(Selectivo[[#Headers],[Total]],Selectivo[#Headers],0)-1)&amp;" ")-1))</f>
        <v>90</v>
      </c>
    </row>
    <row r="174" spans="1:34" x14ac:dyDescent="0.25">
      <c r="A174">
        <v>53820853</v>
      </c>
      <c r="B174" s="10">
        <f>ROW()-ROW(Selectivo[[#Headers],[Pos]])</f>
        <v>168</v>
      </c>
      <c r="C174" s="5">
        <v>3462</v>
      </c>
      <c r="D174" t="s">
        <v>602</v>
      </c>
      <c r="E174" t="s">
        <v>11</v>
      </c>
      <c r="F174" s="13">
        <f>IFERROR(_xlfn.XLOOKUP(Selectivo[[#This Row],[DNI]],_SIY[DNI],_SIY[R1]),"78 DNC")</f>
        <v>65</v>
      </c>
      <c r="G174" s="13">
        <f>IFERROR(_xlfn.XLOOKUP(Selectivo[[#This Row],[DNI]],_SIY[DNI],_SIY[R2]),"78 DNC")</f>
        <v>68</v>
      </c>
      <c r="H174" s="13">
        <f>IFERROR(_xlfn.XLOOKUP(Selectivo[[#This Row],[DNI]],_SIY[DNI],_SIY[R3]),"78 DNC")</f>
        <v>61</v>
      </c>
      <c r="I174" s="13">
        <f>IFERROR(_xlfn.XLOOKUP(Selectivo[[#This Row],[DNI]],_SIY[DNI],_SIY[R4]),"78 DNC")</f>
        <v>61</v>
      </c>
      <c r="J174" s="13" t="str">
        <f>IFERROR(_xlfn.XLOOKUP(Selectivo[[#This Row],[DNI]],_SIY[DNI],_SIY[R5]),"78 DNC")</f>
        <v>77 DNC</v>
      </c>
      <c r="K174" s="13">
        <f>IFERROR(_xlfn.XLOOKUP(Selectivo[[#This Row],[DNI]],_SIY[DNI],_SIY[R6]),"78 DNC")</f>
        <v>61</v>
      </c>
      <c r="L174" s="13">
        <f>IFERROR(_xlfn.XLOOKUP(Selectivo[[#This Row],[DNI]],_SIY[DNI],_SIY[R7]),"78 DNC")</f>
        <v>54</v>
      </c>
      <c r="M174" s="13" t="str">
        <f>IFERROR(_xlfn.XLOOKUP(Selectivo[[#This Row],[DNI]],_SIY[DNI],_SIY[R8]),"78 DNC")</f>
        <v>77 BFD</v>
      </c>
      <c r="N174" s="13">
        <f>IFERROR(_xlfn.XLOOKUP(Selectivo[[#This Row],[DNI]],_SIY[DNI],_SIY[R9]),"78 DNC")</f>
        <v>44</v>
      </c>
      <c r="O174" s="13">
        <f>IFERROR(_xlfn.XLOOKUP(Selectivo[[#This Row],[DNI]],_SIY[DNI],_SIY[R10]),"78 DNC")</f>
        <v>52</v>
      </c>
      <c r="P174" s="13" t="str">
        <f>IFERROR(_xlfn.XLOOKUP(Selectivo[[#This Row],[DNI]],_VF2025[DNI],_VF2025[R1]),"70 DNC")</f>
        <v>70 DNC</v>
      </c>
      <c r="Q174" s="13" t="str">
        <f>IFERROR(_xlfn.XLOOKUP(Selectivo[[#This Row],[DNI]],_VF2025[DNI],_VF2025[R2]),"70 DNC")</f>
        <v>70 DNC</v>
      </c>
      <c r="R174" s="13" t="str">
        <f>IFERROR(_xlfn.XLOOKUP(Selectivo[[#This Row],[DNI]],_VF2025[DNI],_VF2025[R3]),"70 DNC")</f>
        <v>70 DNC</v>
      </c>
      <c r="S174" s="13" t="str">
        <f>IFERROR(_xlfn.XLOOKUP(Selectivo[[#This Row],[DNI]],_VF2025[DNI],_VF2025[R4]),"70 DNC")</f>
        <v>70 DNC</v>
      </c>
      <c r="T174" s="13" t="str">
        <f>IFERROR(_xlfn.XLOOKUP(Selectivo[[#This Row],[DNI]],_VF2025[DNI],_VF2025[R5]),"70 DNC")</f>
        <v>70 DNC</v>
      </c>
      <c r="U174" s="13" t="str">
        <f>IFERROR(_xlfn.XLOOKUP(Selectivo[[#This Row],[DNI]],_VF2025[DNI],_VF2025[R6]),"70 DNC")</f>
        <v>70 DNC</v>
      </c>
      <c r="V174" s="12" t="str" cm="1">
        <f t="array" ref="V174">IFERROR(_xlfn.XLOOKUP(Selectivo[[#This Row],[Vela]],_xlfn.NUMBERVALUE(SIL25v2[Sail '#]),SIL25v2[1]),"90 DNC")</f>
        <v>90 DNC</v>
      </c>
      <c r="W174" s="12" t="str" cm="1">
        <f t="array" ref="W174">IFERROR(_xlfn.XLOOKUP(Selectivo[[#This Row],[Vela]],_xlfn.NUMBERVALUE(SIL25v2[Sail '#]),SIL25v2[2]),"90 DNC")</f>
        <v>90 DNC</v>
      </c>
      <c r="X174" s="12" t="str" cm="1">
        <f t="array" ref="X174">IFERROR(_xlfn.XLOOKUP(Selectivo[[#This Row],[Vela]],_xlfn.NUMBERVALUE(SIL25v2[Sail '#]),SIL25v2[3]),"90 DNC")</f>
        <v>90 DNC</v>
      </c>
      <c r="Y174" s="13" t="str" cm="1">
        <f t="array" ref="Y174">IFERROR(_xlfn.XLOOKUP(Selectivo[[#This Row],[Vela]],_xlfn.NUMBERVALUE(SIL25v2[Sail '#]),SIL25v2[4]),"90 DNC")</f>
        <v>90 DNC</v>
      </c>
      <c r="Z174" s="13" t="str" cm="1">
        <f t="array" ref="Z174">IFERROR(_xlfn.XLOOKUP(Selectivo[[#This Row],[Vela]],_xlfn.NUMBERVALUE(SIL25v2[Sail '#]),SIL25v2[5]),"90 DNC")</f>
        <v>90 DNC</v>
      </c>
      <c r="AA174" s="13" t="str" cm="1">
        <f t="array" ref="AA174">IFERROR(_xlfn.XLOOKUP(Selectivo[[#This Row],[Vela]],_xlfn.NUMBERVALUE(SIL25v2[Sail '#]),SIL25v2[6]),"90 DNC")</f>
        <v>90 DNC</v>
      </c>
      <c r="AB174" s="8" cm="1">
        <f t="array" ref="AB174">SUM(IFERROR(VALUE(LEFT(Regatas, FIND(" ",Regatas&amp; " ") - 1)), 0))</f>
        <v>1580</v>
      </c>
      <c r="AC174" s="9" cm="1">
        <f t="array" ref="AC17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1310</v>
      </c>
      <c r="AD174" s="6">
        <f>SMALL(RegatasN,1)</f>
        <v>44</v>
      </c>
      <c r="AE174" s="6">
        <f>SMALL(RegatasN,2)</f>
        <v>52</v>
      </c>
      <c r="AF174" s="6">
        <f>SMALL(RegatasN,3)</f>
        <v>54</v>
      </c>
      <c r="AG174" s="5" cm="1">
        <f t="array" ref="AG174">COUNTIF(Regatas,SMALL(Regatas,1))</f>
        <v>1</v>
      </c>
      <c r="AH174" s="6" cm="1">
        <f t="array" ref="AH174">VALUE(LEFT(INDEX(Selectivo[#This Row],,MATCH(Selectivo[[#Headers],[Total]],Selectivo[#Headers],0)-1),SEARCH(" ",INDEX(Selectivo[#This Row],,MATCH(Selectivo[[#Headers],[Total]],Selectivo[#Headers],0)-1)&amp;" ")-1))</f>
        <v>90</v>
      </c>
    </row>
    <row r="175" spans="1:34" x14ac:dyDescent="0.25">
      <c r="A175">
        <v>53593354</v>
      </c>
      <c r="B175" s="10">
        <f>ROW()-ROW(Selectivo[[#Headers],[Pos]])</f>
        <v>169</v>
      </c>
      <c r="C175" s="5">
        <v>4127</v>
      </c>
      <c r="D175" t="s">
        <v>672</v>
      </c>
      <c r="E175" t="s">
        <v>31</v>
      </c>
      <c r="F175" s="13">
        <f>IFERROR(_xlfn.XLOOKUP(Selectivo[[#This Row],[DNI]],_SIY[DNI],_SIY[R1]),"78 DNC")</f>
        <v>71</v>
      </c>
      <c r="G175" s="13">
        <f>IFERROR(_xlfn.XLOOKUP(Selectivo[[#This Row],[DNI]],_SIY[DNI],_SIY[R2]),"78 DNC")</f>
        <v>69</v>
      </c>
      <c r="H175" s="13" t="str">
        <f>IFERROR(_xlfn.XLOOKUP(Selectivo[[#This Row],[DNI]],_SIY[DNI],_SIY[R3]),"78 DNC")</f>
        <v>77 DNF</v>
      </c>
      <c r="I175" s="13" t="str">
        <f>IFERROR(_xlfn.XLOOKUP(Selectivo[[#This Row],[DNI]],_SIY[DNI],_SIY[R4]),"78 DNC")</f>
        <v>77 DNC</v>
      </c>
      <c r="J175" s="13" t="str">
        <f>IFERROR(_xlfn.XLOOKUP(Selectivo[[#This Row],[DNI]],_SIY[DNI],_SIY[R5]),"78 DNC")</f>
        <v>77 DNC</v>
      </c>
      <c r="K175" s="13" t="str">
        <f>IFERROR(_xlfn.XLOOKUP(Selectivo[[#This Row],[DNI]],_SIY[DNI],_SIY[R6]),"78 DNC")</f>
        <v>77 DNC</v>
      </c>
      <c r="L175" s="13">
        <f>IFERROR(_xlfn.XLOOKUP(Selectivo[[#This Row],[DNI]],_SIY[DNI],_SIY[R7]),"78 DNC")</f>
        <v>65</v>
      </c>
      <c r="M175" s="13">
        <f>IFERROR(_xlfn.XLOOKUP(Selectivo[[#This Row],[DNI]],_SIY[DNI],_SIY[R8]),"78 DNC")</f>
        <v>59</v>
      </c>
      <c r="N175" s="13">
        <f>IFERROR(_xlfn.XLOOKUP(Selectivo[[#This Row],[DNI]],_SIY[DNI],_SIY[R9]),"78 DNC")</f>
        <v>47</v>
      </c>
      <c r="O175" s="13">
        <f>IFERROR(_xlfn.XLOOKUP(Selectivo[[#This Row],[DNI]],_SIY[DNI],_SIY[R10]),"78 DNC")</f>
        <v>70</v>
      </c>
      <c r="P175" s="13" t="str">
        <f>IFERROR(_xlfn.XLOOKUP(Selectivo[[#This Row],[DNI]],_VF2025[DNI],_VF2025[R1]),"70 DNC")</f>
        <v>70 DNF</v>
      </c>
      <c r="Q175" s="13">
        <f>IFERROR(_xlfn.XLOOKUP(Selectivo[[#This Row],[DNI]],_VF2025[DNI],_VF2025[R2]),"70 DNC")</f>
        <v>59</v>
      </c>
      <c r="R175" s="13">
        <f>IFERROR(_xlfn.XLOOKUP(Selectivo[[#This Row],[DNI]],_VF2025[DNI],_VF2025[R3]),"70 DNC")</f>
        <v>60</v>
      </c>
      <c r="S175" s="13">
        <f>IFERROR(_xlfn.XLOOKUP(Selectivo[[#This Row],[DNI]],_VF2025[DNI],_VF2025[R4]),"70 DNC")</f>
        <v>54</v>
      </c>
      <c r="T175" s="13">
        <f>IFERROR(_xlfn.XLOOKUP(Selectivo[[#This Row],[DNI]],_VF2025[DNI],_VF2025[R5]),"70 DNC")</f>
        <v>58</v>
      </c>
      <c r="U175" s="13" t="str">
        <f>IFERROR(_xlfn.XLOOKUP(Selectivo[[#This Row],[DNI]],_VF2025[DNI],_VF2025[R6]),"70 DNC")</f>
        <v>70 BFD</v>
      </c>
      <c r="V175" s="12" t="str" cm="1">
        <f t="array" ref="V175">IFERROR(_xlfn.XLOOKUP(Selectivo[[#This Row],[Vela]],_xlfn.NUMBERVALUE(SIL25v2[Sail '#]),SIL25v2[1]),"90 DNC")</f>
        <v>90 DNC</v>
      </c>
      <c r="W175" s="12" t="str" cm="1">
        <f t="array" ref="W175">IFERROR(_xlfn.XLOOKUP(Selectivo[[#This Row],[Vela]],_xlfn.NUMBERVALUE(SIL25v2[Sail '#]),SIL25v2[2]),"90 DNC")</f>
        <v>90 DNC</v>
      </c>
      <c r="X175" s="12" t="str" cm="1">
        <f t="array" ref="X175">IFERROR(_xlfn.XLOOKUP(Selectivo[[#This Row],[Vela]],_xlfn.NUMBERVALUE(SIL25v2[Sail '#]),SIL25v2[3]),"90 DNC")</f>
        <v>90 DNC</v>
      </c>
      <c r="Y175" s="13" t="str" cm="1">
        <f t="array" ref="Y175">IFERROR(_xlfn.XLOOKUP(Selectivo[[#This Row],[Vela]],_xlfn.NUMBERVALUE(SIL25v2[Sail '#]),SIL25v2[4]),"90 DNC")</f>
        <v>90 DNC</v>
      </c>
      <c r="Z175" s="13" t="str" cm="1">
        <f t="array" ref="Z175">IFERROR(_xlfn.XLOOKUP(Selectivo[[#This Row],[Vela]],_xlfn.NUMBERVALUE(SIL25v2[Sail '#]),SIL25v2[5]),"90 DNC")</f>
        <v>90 DNC</v>
      </c>
      <c r="AA175" s="13" t="str" cm="1">
        <f t="array" ref="AA175">IFERROR(_xlfn.XLOOKUP(Selectivo[[#This Row],[Vela]],_xlfn.NUMBERVALUE(SIL25v2[Sail '#]),SIL25v2[6]),"90 DNC")</f>
        <v>90 DNC</v>
      </c>
      <c r="AB175" s="8" cm="1">
        <f t="array" ref="AB175">SUM(IFERROR(VALUE(LEFT(Regatas, FIND(" ",Regatas&amp; " ") - 1)), 0))</f>
        <v>1600</v>
      </c>
      <c r="AC175" s="9" cm="1">
        <f t="array" ref="AC17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1330</v>
      </c>
      <c r="AD175" s="6">
        <f>SMALL(RegatasN,1)</f>
        <v>47</v>
      </c>
      <c r="AE175" s="6">
        <f>SMALL(RegatasN,2)</f>
        <v>54</v>
      </c>
      <c r="AF175" s="6">
        <f>SMALL(RegatasN,3)</f>
        <v>58</v>
      </c>
      <c r="AG175" s="5" cm="1">
        <f t="array" ref="AG175">COUNTIF(Regatas,SMALL(Regatas,1))</f>
        <v>1</v>
      </c>
      <c r="AH175" s="6" cm="1">
        <f t="array" ref="AH175">VALUE(LEFT(INDEX(Selectivo[#This Row],,MATCH(Selectivo[[#Headers],[Total]],Selectivo[#Headers],0)-1),SEARCH(" ",INDEX(Selectivo[#This Row],,MATCH(Selectivo[[#Headers],[Total]],Selectivo[#Headers],0)-1)&amp;" ")-1))</f>
        <v>90</v>
      </c>
    </row>
    <row r="176" spans="1:34" x14ac:dyDescent="0.25">
      <c r="A176">
        <v>52013788</v>
      </c>
      <c r="B176" s="10">
        <f>ROW()-ROW(Selectivo[[#Headers],[Pos]])</f>
        <v>170</v>
      </c>
      <c r="C176" s="5">
        <v>4081</v>
      </c>
      <c r="D176" t="s">
        <v>712</v>
      </c>
      <c r="E176" t="s">
        <v>16</v>
      </c>
      <c r="F176" s="13">
        <f>IFERROR(_xlfn.XLOOKUP(Selectivo[[#This Row],[DNI]],_SIY[DNI],_SIY[R1]),"78 DNC")</f>
        <v>54</v>
      </c>
      <c r="G176" s="13">
        <f>IFERROR(_xlfn.XLOOKUP(Selectivo[[#This Row],[DNI]],_SIY[DNI],_SIY[R2]),"78 DNC")</f>
        <v>46</v>
      </c>
      <c r="H176" s="13">
        <f>IFERROR(_xlfn.XLOOKUP(Selectivo[[#This Row],[DNI]],_SIY[DNI],_SIY[R3]),"78 DNC")</f>
        <v>40</v>
      </c>
      <c r="I176" s="13" t="str">
        <f>IFERROR(_xlfn.XLOOKUP(Selectivo[[#This Row],[DNI]],_SIY[DNI],_SIY[R4]),"78 DNC")</f>
        <v>77 DNC</v>
      </c>
      <c r="J176" s="13" t="str">
        <f>IFERROR(_xlfn.XLOOKUP(Selectivo[[#This Row],[DNI]],_SIY[DNI],_SIY[R5]),"78 DNC")</f>
        <v>77 DNC</v>
      </c>
      <c r="K176" s="13" t="str">
        <f>IFERROR(_xlfn.XLOOKUP(Selectivo[[#This Row],[DNI]],_SIY[DNI],_SIY[R6]),"78 DNC")</f>
        <v>77 DNC</v>
      </c>
      <c r="L176" s="13" t="str">
        <f>IFERROR(_xlfn.XLOOKUP(Selectivo[[#This Row],[DNI]],_SIY[DNI],_SIY[R7]),"78 DNC")</f>
        <v>77 DNC</v>
      </c>
      <c r="M176" s="13" t="str">
        <f>IFERROR(_xlfn.XLOOKUP(Selectivo[[#This Row],[DNI]],_SIY[DNI],_SIY[R8]),"78 DNC")</f>
        <v>77 DNC</v>
      </c>
      <c r="N176" s="13" t="str">
        <f>IFERROR(_xlfn.XLOOKUP(Selectivo[[#This Row],[DNI]],_SIY[DNI],_SIY[R9]),"78 DNC")</f>
        <v>77 DNC</v>
      </c>
      <c r="O176" s="13" t="str">
        <f>IFERROR(_xlfn.XLOOKUP(Selectivo[[#This Row],[DNI]],_SIY[DNI],_SIY[R10]),"78 DNC")</f>
        <v>77 DNC</v>
      </c>
      <c r="P176" s="13" t="str">
        <f>IFERROR(_xlfn.XLOOKUP(Selectivo[[#This Row],[DNI]],_VF2025[DNI],_VF2025[R1]),"70 DNC")</f>
        <v>70 DNC</v>
      </c>
      <c r="Q176" s="13" t="str">
        <f>IFERROR(_xlfn.XLOOKUP(Selectivo[[#This Row],[DNI]],_VF2025[DNI],_VF2025[R2]),"70 DNC")</f>
        <v>70 DNC</v>
      </c>
      <c r="R176" s="13" t="str">
        <f>IFERROR(_xlfn.XLOOKUP(Selectivo[[#This Row],[DNI]],_VF2025[DNI],_VF2025[R3]),"70 DNC")</f>
        <v>70 DNC</v>
      </c>
      <c r="S176" s="13" t="str">
        <f>IFERROR(_xlfn.XLOOKUP(Selectivo[[#This Row],[DNI]],_VF2025[DNI],_VF2025[R4]),"70 DNC")</f>
        <v>70 DNC</v>
      </c>
      <c r="T176" s="13" t="str">
        <f>IFERROR(_xlfn.XLOOKUP(Selectivo[[#This Row],[DNI]],_VF2025[DNI],_VF2025[R5]),"70 DNC")</f>
        <v>70 DNC</v>
      </c>
      <c r="U176" s="13" t="str">
        <f>IFERROR(_xlfn.XLOOKUP(Selectivo[[#This Row],[DNI]],_VF2025[DNI],_VF2025[R6]),"70 DNC")</f>
        <v>70 DNC</v>
      </c>
      <c r="V176" s="12" t="str" cm="1">
        <f t="array" ref="V176">IFERROR(_xlfn.XLOOKUP(Selectivo[[#This Row],[Vela]],_xlfn.NUMBERVALUE(SIL25v2[Sail '#]),SIL25v2[1]),"90 DNC")</f>
        <v>90 DNC</v>
      </c>
      <c r="W176" s="12" t="str" cm="1">
        <f t="array" ref="W176">IFERROR(_xlfn.XLOOKUP(Selectivo[[#This Row],[Vela]],_xlfn.NUMBERVALUE(SIL25v2[Sail '#]),SIL25v2[2]),"90 DNC")</f>
        <v>90 DNC</v>
      </c>
      <c r="X176" s="12" t="str" cm="1">
        <f t="array" ref="X176">IFERROR(_xlfn.XLOOKUP(Selectivo[[#This Row],[Vela]],_xlfn.NUMBERVALUE(SIL25v2[Sail '#]),SIL25v2[3]),"90 DNC")</f>
        <v>90 DNC</v>
      </c>
      <c r="Y176" s="13" t="str" cm="1">
        <f t="array" ref="Y176">IFERROR(_xlfn.XLOOKUP(Selectivo[[#This Row],[Vela]],_xlfn.NUMBERVALUE(SIL25v2[Sail '#]),SIL25v2[4]),"90 DNC")</f>
        <v>90 DNC</v>
      </c>
      <c r="Z176" s="13" t="str" cm="1">
        <f t="array" ref="Z176">IFERROR(_xlfn.XLOOKUP(Selectivo[[#This Row],[Vela]],_xlfn.NUMBERVALUE(SIL25v2[Sail '#]),SIL25v2[5]),"90 DNC")</f>
        <v>90 DNC</v>
      </c>
      <c r="AA176" s="13" t="str" cm="1">
        <f t="array" ref="AA176">IFERROR(_xlfn.XLOOKUP(Selectivo[[#This Row],[Vela]],_xlfn.NUMBERVALUE(SIL25v2[Sail '#]),SIL25v2[6]),"90 DNC")</f>
        <v>90 DNC</v>
      </c>
      <c r="AB176" s="8" cm="1">
        <f t="array" ref="AB176">SUM(IFERROR(VALUE(LEFT(Regatas, FIND(" ",Regatas&amp; " ") - 1)), 0))</f>
        <v>1639</v>
      </c>
      <c r="AC176" s="9" cm="1">
        <f t="array" ref="AC17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1369</v>
      </c>
      <c r="AD176" s="6">
        <f>SMALL(RegatasN,1)</f>
        <v>40</v>
      </c>
      <c r="AE176" s="6">
        <f>SMALL(RegatasN,2)</f>
        <v>46</v>
      </c>
      <c r="AF176" s="6">
        <f>SMALL(RegatasN,3)</f>
        <v>54</v>
      </c>
      <c r="AG176" s="5" cm="1">
        <f t="array" ref="AG176">COUNTIF(Regatas,SMALL(Regatas,1))</f>
        <v>1</v>
      </c>
      <c r="AH176" s="6" cm="1">
        <f t="array" ref="AH176">VALUE(LEFT(INDEX(Selectivo[#This Row],,MATCH(Selectivo[[#Headers],[Total]],Selectivo[#Headers],0)-1),SEARCH(" ",INDEX(Selectivo[#This Row],,MATCH(Selectivo[[#Headers],[Total]],Selectivo[#Headers],0)-1)&amp;" ")-1))</f>
        <v>90</v>
      </c>
    </row>
  </sheetData>
  <mergeCells count="2">
    <mergeCell ref="B2:AC2"/>
    <mergeCell ref="B4:AC4"/>
  </mergeCells>
  <phoneticPr fontId="4" type="noConversion"/>
  <printOptions horizontalCentered="1"/>
  <pageMargins left="7.874015748031496E-2" right="7.874015748031496E-2" top="7.874015748031496E-2" bottom="7.874015748031496E-2" header="7.874015748031496E-2" footer="7.874015748031496E-2"/>
  <pageSetup scale="50" fitToHeight="0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76"/>
  <sheetViews>
    <sheetView workbookViewId="0">
      <selection activeCell="H12" sqref="H12"/>
    </sheetView>
  </sheetViews>
  <sheetFormatPr defaultRowHeight="15" x14ac:dyDescent="0.25"/>
  <cols>
    <col min="1" max="1" width="10.28515625" customWidth="1"/>
    <col min="2" max="2" width="6.42578125" style="5" customWidth="1"/>
    <col min="3" max="3" width="9.140625" style="5"/>
    <col min="4" max="4" width="39.42578125" customWidth="1"/>
    <col min="5" max="5" width="19.5703125" customWidth="1"/>
    <col min="6" max="27" width="8.7109375" customWidth="1"/>
    <col min="28" max="29" width="6.28515625" style="8" customWidth="1"/>
    <col min="30" max="32" width="3.140625" style="6" customWidth="1"/>
    <col min="33" max="33" width="3.140625" style="5" customWidth="1"/>
    <col min="34" max="34" width="3.140625" style="6" customWidth="1"/>
    <col min="35" max="35" width="5.7109375" customWidth="1"/>
  </cols>
  <sheetData>
    <row r="2" spans="1:38" ht="23.25" x14ac:dyDescent="0.25">
      <c r="A2" s="3"/>
      <c r="B2" s="14" t="s">
        <v>1933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"/>
    </row>
    <row r="4" spans="1:38" ht="15.75" x14ac:dyDescent="0.25">
      <c r="A4" s="4"/>
      <c r="B4" s="15" t="s">
        <v>1932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2"/>
    </row>
    <row r="6" spans="1:38" x14ac:dyDescent="0.25">
      <c r="A6" t="s">
        <v>92</v>
      </c>
      <c r="B6" s="10" t="s">
        <v>758</v>
      </c>
      <c r="C6" s="5" t="s">
        <v>4</v>
      </c>
      <c r="D6" t="s">
        <v>344</v>
      </c>
      <c r="E6" t="s">
        <v>3</v>
      </c>
      <c r="F6" s="6" t="s">
        <v>347</v>
      </c>
      <c r="G6" s="6" t="s">
        <v>348</v>
      </c>
      <c r="H6" s="6" t="s">
        <v>349</v>
      </c>
      <c r="I6" s="6" t="s">
        <v>761</v>
      </c>
      <c r="J6" s="6" t="s">
        <v>763</v>
      </c>
      <c r="K6" s="6" t="s">
        <v>764</v>
      </c>
      <c r="L6" s="6" t="s">
        <v>766</v>
      </c>
      <c r="M6" s="6" t="s">
        <v>775</v>
      </c>
      <c r="N6" s="6" t="s">
        <v>776</v>
      </c>
      <c r="O6" s="6" t="s">
        <v>777</v>
      </c>
      <c r="P6" s="6" t="s">
        <v>1030</v>
      </c>
      <c r="Q6" s="6" t="s">
        <v>1031</v>
      </c>
      <c r="R6" s="6" t="s">
        <v>1032</v>
      </c>
      <c r="S6" s="6" t="s">
        <v>1035</v>
      </c>
      <c r="T6" s="6" t="s">
        <v>1036</v>
      </c>
      <c r="U6" s="6" t="s">
        <v>1037</v>
      </c>
      <c r="V6" s="6" t="s">
        <v>1671</v>
      </c>
      <c r="W6" s="6" t="s">
        <v>1855</v>
      </c>
      <c r="X6" s="6" t="s">
        <v>1856</v>
      </c>
      <c r="Y6" s="6" t="s">
        <v>1905</v>
      </c>
      <c r="Z6" s="6" t="s">
        <v>1906</v>
      </c>
      <c r="AA6" s="6" t="s">
        <v>1907</v>
      </c>
      <c r="AB6" s="8" t="s">
        <v>350</v>
      </c>
      <c r="AC6" s="9" t="s">
        <v>351</v>
      </c>
      <c r="AD6" s="6" t="s">
        <v>755</v>
      </c>
      <c r="AE6" s="6" t="s">
        <v>756</v>
      </c>
      <c r="AF6" s="6" t="s">
        <v>757</v>
      </c>
      <c r="AG6" s="5" t="s">
        <v>773</v>
      </c>
      <c r="AH6" s="6" t="s">
        <v>772</v>
      </c>
      <c r="AJ6" s="7" t="s">
        <v>754</v>
      </c>
    </row>
    <row r="7" spans="1:38" x14ac:dyDescent="0.25">
      <c r="A7">
        <v>51432202</v>
      </c>
      <c r="B7" s="10">
        <f>ROW()-ROW(Selectivo6[[#Headers],[Pos]])</f>
        <v>1</v>
      </c>
      <c r="C7" s="5">
        <v>4122</v>
      </c>
      <c r="D7" t="s">
        <v>731</v>
      </c>
      <c r="E7" t="s">
        <v>21</v>
      </c>
      <c r="F7" s="12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2"/>
      <c r="U7" s="13"/>
      <c r="V7" s="12"/>
      <c r="W7" s="13"/>
      <c r="X7" s="13"/>
      <c r="Y7" s="13"/>
      <c r="Z7" s="13"/>
      <c r="AA7" s="13"/>
      <c r="AB7" s="8" cm="1">
        <f t="array" ref="AB7">SUM(IFERROR(VALUE(LEFT(Regatas, FIND(" ",Regatas&amp; " ") - 1)), 0))</f>
        <v>0</v>
      </c>
      <c r="AC7" s="9" cm="1">
        <f t="array" ref="AC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" s="6">
        <f>SMALL(RegatasN,1)</f>
        <v>0</v>
      </c>
      <c r="AE7" s="6">
        <f>SMALL(RegatasN,2)</f>
        <v>0</v>
      </c>
      <c r="AF7" s="6">
        <f>SMALL(RegatasN,3)</f>
        <v>0</v>
      </c>
      <c r="AG7" s="5" cm="1">
        <f t="array" ref="AG7">COUNTIF(Regatas,SMALL(Regatas,1))</f>
        <v>0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3</v>
      </c>
      <c r="AL7" t="s">
        <v>759</v>
      </c>
    </row>
    <row r="8" spans="1:38" x14ac:dyDescent="0.25">
      <c r="A8">
        <v>50416772</v>
      </c>
      <c r="B8" s="10">
        <f>ROW()-ROW(Selectivo6[[#Headers],[Pos]])</f>
        <v>2</v>
      </c>
      <c r="C8" s="5">
        <v>4011</v>
      </c>
      <c r="D8" t="s">
        <v>744</v>
      </c>
      <c r="E8" t="s">
        <v>7</v>
      </c>
      <c r="F8" s="12"/>
      <c r="G8" s="13"/>
      <c r="H8" s="13"/>
      <c r="I8" s="13"/>
      <c r="J8" s="13"/>
      <c r="K8" s="13"/>
      <c r="L8" s="13"/>
      <c r="M8" s="13"/>
      <c r="N8" s="12"/>
      <c r="O8" s="13"/>
      <c r="P8" s="13"/>
      <c r="Q8" s="12"/>
      <c r="R8" s="13"/>
      <c r="S8" s="13"/>
      <c r="T8" s="13"/>
      <c r="U8" s="13"/>
      <c r="V8" s="13"/>
      <c r="W8" s="13"/>
      <c r="X8" s="13"/>
      <c r="Y8" s="13"/>
      <c r="Z8" s="13"/>
      <c r="AA8" s="13"/>
      <c r="AB8" s="8" cm="1">
        <f t="array" ref="AB8">SUM(IFERROR(VALUE(LEFT(Regatas, FIND(" ",Regatas&amp; " ") - 1)), 0))</f>
        <v>0</v>
      </c>
      <c r="AC8" s="9" cm="1">
        <f t="array" ref="AC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" s="6">
        <f>SMALL(RegatasN,1)</f>
        <v>0</v>
      </c>
      <c r="AE8" s="6">
        <f>SMALL(RegatasN,2)</f>
        <v>0</v>
      </c>
      <c r="AF8" s="6">
        <f>SMALL(RegatasN,3)</f>
        <v>0</v>
      </c>
      <c r="AG8" s="5" cm="1">
        <f t="array" ref="AG8">COUNTIF(Regatas,SMALL(Regatas,1))</f>
        <v>0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760</v>
      </c>
    </row>
    <row r="9" spans="1:38" x14ac:dyDescent="0.25">
      <c r="A9">
        <v>50351678</v>
      </c>
      <c r="B9" s="10">
        <f>ROW()-ROW(Selectivo6[[#Headers],[Pos]])</f>
        <v>3</v>
      </c>
      <c r="C9" s="5">
        <v>4038</v>
      </c>
      <c r="D9" t="s">
        <v>708</v>
      </c>
      <c r="E9" t="s">
        <v>17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2"/>
      <c r="S9" s="13"/>
      <c r="T9" s="13"/>
      <c r="U9" s="13"/>
      <c r="V9" s="12"/>
      <c r="W9" s="13"/>
      <c r="X9" s="12"/>
      <c r="Y9" s="13"/>
      <c r="Z9" s="13"/>
      <c r="AA9" s="13"/>
      <c r="AB9" s="8" cm="1">
        <f t="array" ref="AB9">SUM(IFERROR(VALUE(LEFT(Regatas, FIND(" ",Regatas&amp; " ") - 1)), 0))</f>
        <v>0</v>
      </c>
      <c r="AC9" s="9" cm="1">
        <f t="array" ref="AC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" s="6">
        <f>SMALL(RegatasN,1)</f>
        <v>0</v>
      </c>
      <c r="AE9" s="6">
        <f>SMALL(RegatasN,2)</f>
        <v>0</v>
      </c>
      <c r="AF9" s="6">
        <f>SMALL(RegatasN,3)</f>
        <v>0</v>
      </c>
      <c r="AG9" s="5" cm="1">
        <f t="array" ref="AG9">COUNTIF(Regatas,SMALL(Regatas,1))</f>
        <v>0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762</v>
      </c>
    </row>
    <row r="10" spans="1:38" x14ac:dyDescent="0.25">
      <c r="A10">
        <v>47955823</v>
      </c>
      <c r="B10" s="10">
        <f>ROW()-ROW(Selectivo6[[#Headers],[Pos]])</f>
        <v>4</v>
      </c>
      <c r="C10" s="5">
        <v>4106</v>
      </c>
      <c r="D10" t="s">
        <v>749</v>
      </c>
      <c r="E10" t="s">
        <v>21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2"/>
      <c r="X10" s="13"/>
      <c r="Y10" s="12"/>
      <c r="Z10" s="13"/>
      <c r="AA10" s="12"/>
      <c r="AB10" s="8" cm="1">
        <f t="array" ref="AB10">SUM(IFERROR(VALUE(LEFT(Regatas, FIND(" ",Regatas&amp; " ") - 1)), 0))</f>
        <v>0</v>
      </c>
      <c r="AC10" s="9" cm="1">
        <f t="array" ref="AC1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" s="6">
        <f>SMALL(RegatasN,1)</f>
        <v>0</v>
      </c>
      <c r="AE10" s="6">
        <f>SMALL(RegatasN,2)</f>
        <v>0</v>
      </c>
      <c r="AF10" s="6">
        <f>SMALL(RegatasN,3)</f>
        <v>0</v>
      </c>
      <c r="AG10" s="5" cm="1">
        <f t="array" ref="AG10">COUNTIF(Regatas,SMALL(Regatas,1))</f>
        <v>0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765</v>
      </c>
    </row>
    <row r="11" spans="1:38" x14ac:dyDescent="0.25">
      <c r="A11">
        <v>50668849</v>
      </c>
      <c r="B11" s="10">
        <f>ROW()-ROW(Selectivo6[[#Headers],[Pos]])</f>
        <v>5</v>
      </c>
      <c r="C11" s="5">
        <v>4175</v>
      </c>
      <c r="D11" t="s">
        <v>743</v>
      </c>
      <c r="E11" t="s">
        <v>11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2"/>
      <c r="Q11" s="13"/>
      <c r="R11" s="13"/>
      <c r="S11" s="13"/>
      <c r="T11" s="13"/>
      <c r="U11" s="13"/>
      <c r="V11" s="13"/>
      <c r="W11" s="12"/>
      <c r="X11" s="13"/>
      <c r="Y11" s="12"/>
      <c r="Z11" s="13"/>
      <c r="AA11" s="13"/>
      <c r="AB11" s="8" cm="1">
        <f t="array" ref="AB11">SUM(IFERROR(VALUE(LEFT(Regatas, FIND(" ",Regatas&amp; " ") - 1)), 0))</f>
        <v>0</v>
      </c>
      <c r="AC11" s="9" cm="1">
        <f t="array" ref="AC1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" s="6">
        <f>SMALL(RegatasN,1)</f>
        <v>0</v>
      </c>
      <c r="AE11" s="6">
        <f>SMALL(RegatasN,2)</f>
        <v>0</v>
      </c>
      <c r="AF11" s="6">
        <f>SMALL(RegatasN,3)</f>
        <v>0</v>
      </c>
      <c r="AG11" s="5" cm="1">
        <f t="array" ref="AG11">COUNTIF(Regatas,SMALL(Regatas,1))</f>
        <v>0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 x14ac:dyDescent="0.25">
      <c r="A12">
        <v>50048657</v>
      </c>
      <c r="B12" s="10">
        <f>ROW()-ROW(Selectivo6[[#Headers],[Pos]])</f>
        <v>6</v>
      </c>
      <c r="C12" s="5">
        <v>4130</v>
      </c>
      <c r="D12" t="s">
        <v>752</v>
      </c>
      <c r="E12" t="s">
        <v>5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2"/>
      <c r="U12" s="12"/>
      <c r="V12" s="13"/>
      <c r="W12" s="13"/>
      <c r="X12" s="13"/>
      <c r="Y12" s="13"/>
      <c r="Z12" s="13"/>
      <c r="AA12" s="12"/>
      <c r="AB12" s="8" cm="1">
        <f t="array" ref="AB12">SUM(IFERROR(VALUE(LEFT(Regatas, FIND(" ",Regatas&amp; " ") - 1)), 0))</f>
        <v>0</v>
      </c>
      <c r="AC12" s="9" cm="1">
        <f t="array" ref="AC1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" s="6">
        <f>SMALL(RegatasN,1)</f>
        <v>0</v>
      </c>
      <c r="AE12" s="6">
        <f>SMALL(RegatasN,2)</f>
        <v>0</v>
      </c>
      <c r="AF12" s="6">
        <f>SMALL(RegatasN,3)</f>
        <v>0</v>
      </c>
      <c r="AG12" s="5" cm="1">
        <f t="array" ref="AG12">COUNTIF(Regatas,SMALL(Regatas,1))</f>
        <v>0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774</v>
      </c>
    </row>
    <row r="13" spans="1:38" x14ac:dyDescent="0.25">
      <c r="A13">
        <v>52440028</v>
      </c>
      <c r="B13" s="10">
        <f>ROW()-ROW(Selectivo6[[#Headers],[Pos]])</f>
        <v>7</v>
      </c>
      <c r="C13" s="5">
        <v>4165</v>
      </c>
      <c r="D13" t="s">
        <v>728</v>
      </c>
      <c r="E13" t="s">
        <v>26</v>
      </c>
      <c r="F13" s="13"/>
      <c r="G13" s="13"/>
      <c r="H13" s="13"/>
      <c r="I13" s="13"/>
      <c r="J13" s="13"/>
      <c r="K13" s="13"/>
      <c r="L13" s="13"/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2"/>
      <c r="Y13" s="13"/>
      <c r="Z13" s="12"/>
      <c r="AA13" s="13"/>
      <c r="AB13" s="8" cm="1">
        <f t="array" ref="AB13">SUM(IFERROR(VALUE(LEFT(Regatas, FIND(" ",Regatas&amp; " ") - 1)), 0))</f>
        <v>0</v>
      </c>
      <c r="AC13" s="9" cm="1">
        <f t="array" ref="AC1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" s="6">
        <f>SMALL(RegatasN,1)</f>
        <v>0</v>
      </c>
      <c r="AE13" s="6">
        <f>SMALL(RegatasN,2)</f>
        <v>0</v>
      </c>
      <c r="AF13" s="6">
        <f>SMALL(RegatasN,3)</f>
        <v>0</v>
      </c>
      <c r="AG13" s="5" cm="1">
        <f t="array" ref="AG13">COUNTIF(Regatas,SMALL(Regatas,1))</f>
        <v>0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788</v>
      </c>
    </row>
    <row r="14" spans="1:38" x14ac:dyDescent="0.25">
      <c r="A14">
        <v>51049622</v>
      </c>
      <c r="B14" s="10">
        <f>ROW()-ROW(Selectivo6[[#Headers],[Pos]])</f>
        <v>8</v>
      </c>
      <c r="C14" s="5">
        <v>4209</v>
      </c>
      <c r="D14" t="s">
        <v>750</v>
      </c>
      <c r="E14" t="s">
        <v>11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2"/>
      <c r="S14" s="13"/>
      <c r="T14" s="13"/>
      <c r="U14" s="13"/>
      <c r="V14" s="12"/>
      <c r="W14" s="13"/>
      <c r="X14" s="12"/>
      <c r="Y14" s="13"/>
      <c r="Z14" s="13"/>
      <c r="AA14" s="13"/>
      <c r="AB14" s="8" cm="1">
        <f t="array" ref="AB14">SUM(IFERROR(VALUE(LEFT(Regatas, FIND(" ",Regatas&amp; " ") - 1)), 0))</f>
        <v>0</v>
      </c>
      <c r="AC14" s="9" cm="1">
        <f t="array" ref="AC1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" s="6">
        <f>SMALL(RegatasN,1)</f>
        <v>0</v>
      </c>
      <c r="AE14" s="6">
        <f>SMALL(RegatasN,2)</f>
        <v>0</v>
      </c>
      <c r="AF14" s="6">
        <f>SMALL(RegatasN,3)</f>
        <v>0</v>
      </c>
      <c r="AG14" s="5" cm="1">
        <f t="array" ref="AG14">COUNTIF(Regatas,SMALL(Regatas,1))</f>
        <v>0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 x14ac:dyDescent="0.25">
      <c r="A15">
        <v>50434935</v>
      </c>
      <c r="B15" s="10">
        <f>ROW()-ROW(Selectivo6[[#Headers],[Pos]])</f>
        <v>9</v>
      </c>
      <c r="C15" s="5">
        <v>4101</v>
      </c>
      <c r="D15" t="s">
        <v>746</v>
      </c>
      <c r="E15" t="s">
        <v>26</v>
      </c>
      <c r="F15" s="13"/>
      <c r="G15" s="13"/>
      <c r="H15" s="13"/>
      <c r="I15" s="13"/>
      <c r="J15" s="13"/>
      <c r="K15" s="13"/>
      <c r="L15" s="13"/>
      <c r="M15" s="12"/>
      <c r="N15" s="13"/>
      <c r="O15" s="13"/>
      <c r="P15" s="13"/>
      <c r="Q15" s="13"/>
      <c r="R15" s="13"/>
      <c r="S15" s="13"/>
      <c r="T15" s="13"/>
      <c r="U15" s="13"/>
      <c r="V15" s="12"/>
      <c r="W15" s="12"/>
      <c r="X15" s="13"/>
      <c r="Y15" s="13"/>
      <c r="Z15" s="13"/>
      <c r="AA15" s="13"/>
      <c r="AB15" s="8" cm="1">
        <f t="array" ref="AB15">SUM(IFERROR(VALUE(LEFT(Regatas, FIND(" ",Regatas&amp; " ") - 1)), 0))</f>
        <v>0</v>
      </c>
      <c r="AC15" s="9" cm="1">
        <f t="array" ref="AC1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" s="6">
        <f>SMALL(RegatasN,1)</f>
        <v>0</v>
      </c>
      <c r="AE15" s="6">
        <f>SMALL(RegatasN,2)</f>
        <v>0</v>
      </c>
      <c r="AF15" s="6">
        <f>SMALL(RegatasN,3)</f>
        <v>0</v>
      </c>
      <c r="AG15" s="5" cm="1">
        <f t="array" ref="AG15">COUNTIF(Regatas,SMALL(Regatas,1))</f>
        <v>0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 x14ac:dyDescent="0.25">
      <c r="A16">
        <v>51358051</v>
      </c>
      <c r="B16" s="10">
        <f>ROW()-ROW(Selectivo6[[#Headers],[Pos]])</f>
        <v>10</v>
      </c>
      <c r="C16" s="5">
        <v>4030</v>
      </c>
      <c r="D16" t="s">
        <v>732</v>
      </c>
      <c r="E16" t="s">
        <v>17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2"/>
      <c r="Q16" s="13"/>
      <c r="R16" s="13"/>
      <c r="S16" s="13"/>
      <c r="T16" s="13"/>
      <c r="U16" s="13"/>
      <c r="V16" s="13"/>
      <c r="W16" s="13"/>
      <c r="X16" s="12"/>
      <c r="Y16" s="12"/>
      <c r="Z16" s="13"/>
      <c r="AA16" s="13"/>
      <c r="AB16" s="8" cm="1">
        <f t="array" ref="AB16">SUM(IFERROR(VALUE(LEFT(Regatas, FIND(" ",Regatas&amp; " ") - 1)), 0))</f>
        <v>0</v>
      </c>
      <c r="AC16" s="9" cm="1">
        <f t="array" ref="AC1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" s="6">
        <f>SMALL(RegatasN,1)</f>
        <v>0</v>
      </c>
      <c r="AE16" s="6">
        <f>SMALL(RegatasN,2)</f>
        <v>0</v>
      </c>
      <c r="AF16" s="6">
        <f>SMALL(RegatasN,3)</f>
        <v>0</v>
      </c>
      <c r="AG16" s="5" cm="1">
        <f t="array" ref="AG16">COUNTIF(Regatas,SMALL(Regatas,1))</f>
        <v>0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 x14ac:dyDescent="0.25">
      <c r="A17">
        <v>50075190</v>
      </c>
      <c r="B17" s="10">
        <f>ROW()-ROW(Selectivo6[[#Headers],[Pos]])</f>
        <v>11</v>
      </c>
      <c r="C17" s="5">
        <v>4113</v>
      </c>
      <c r="D17" t="s">
        <v>714</v>
      </c>
      <c r="E17" t="s">
        <v>9</v>
      </c>
      <c r="F17" s="13"/>
      <c r="G17" s="13"/>
      <c r="H17" s="13"/>
      <c r="I17" s="13"/>
      <c r="J17" s="13"/>
      <c r="K17" s="13"/>
      <c r="L17" s="12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2"/>
      <c r="Y17" s="13"/>
      <c r="Z17" s="12"/>
      <c r="AA17" s="13"/>
      <c r="AB17" s="8" cm="1">
        <f t="array" ref="AB17">SUM(IFERROR(VALUE(LEFT(Regatas, FIND(" ",Regatas&amp; " ") - 1)), 0))</f>
        <v>0</v>
      </c>
      <c r="AC17" s="9" cm="1">
        <f t="array" ref="AC1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" s="6">
        <f>SMALL(RegatasN,1)</f>
        <v>0</v>
      </c>
      <c r="AE17" s="6">
        <f>SMALL(RegatasN,2)</f>
        <v>0</v>
      </c>
      <c r="AF17" s="6">
        <f>SMALL(RegatasN,3)</f>
        <v>0</v>
      </c>
      <c r="AG17" s="5" cm="1">
        <f t="array" ref="AG17">COUNTIF(Regatas,SMALL(Regatas,1))</f>
        <v>0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 x14ac:dyDescent="0.25">
      <c r="A18">
        <v>51102204</v>
      </c>
      <c r="B18" s="10">
        <f>ROW()-ROW(Selectivo6[[#Headers],[Pos]])</f>
        <v>12</v>
      </c>
      <c r="C18" s="5">
        <v>4146</v>
      </c>
      <c r="D18" t="s">
        <v>705</v>
      </c>
      <c r="E18" t="s">
        <v>17</v>
      </c>
      <c r="F18" s="13"/>
      <c r="G18" s="13"/>
      <c r="H18" s="13"/>
      <c r="I18" s="13"/>
      <c r="J18" s="13"/>
      <c r="K18" s="13"/>
      <c r="L18" s="13"/>
      <c r="M18" s="12"/>
      <c r="N18" s="13"/>
      <c r="O18" s="12"/>
      <c r="P18" s="13"/>
      <c r="Q18" s="13"/>
      <c r="R18" s="13"/>
      <c r="S18" s="13"/>
      <c r="T18" s="13"/>
      <c r="U18" s="13"/>
      <c r="V18" s="12"/>
      <c r="W18" s="13"/>
      <c r="X18" s="13"/>
      <c r="Y18" s="13"/>
      <c r="Z18" s="13"/>
      <c r="AA18" s="13"/>
      <c r="AB18" s="8" cm="1">
        <f t="array" ref="AB18">SUM(IFERROR(VALUE(LEFT(Regatas, FIND(" ",Regatas&amp; " ") - 1)), 0))</f>
        <v>0</v>
      </c>
      <c r="AC18" s="9" cm="1">
        <f t="array" ref="AC1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8" s="6">
        <f>SMALL(RegatasN,1)</f>
        <v>0</v>
      </c>
      <c r="AE18" s="6">
        <f>SMALL(RegatasN,2)</f>
        <v>0</v>
      </c>
      <c r="AF18" s="6">
        <f>SMALL(RegatasN,3)</f>
        <v>0</v>
      </c>
      <c r="AG18" s="5" cm="1">
        <f t="array" ref="AG18">COUNTIF(Regatas,SMALL(Regatas,1))</f>
        <v>0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 x14ac:dyDescent="0.25">
      <c r="A19">
        <v>51336821</v>
      </c>
      <c r="B19" s="10">
        <f>ROW()-ROW(Selectivo6[[#Headers],[Pos]])</f>
        <v>13</v>
      </c>
      <c r="C19" s="5">
        <v>4182</v>
      </c>
      <c r="D19" t="s">
        <v>710</v>
      </c>
      <c r="E19" t="s">
        <v>16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2"/>
      <c r="W19" s="13"/>
      <c r="X19" s="13"/>
      <c r="Y19" s="12"/>
      <c r="Z19" s="12"/>
      <c r="AA19" s="13"/>
      <c r="AB19" s="8" cm="1">
        <f t="array" ref="AB19">SUM(IFERROR(VALUE(LEFT(Regatas, FIND(" ",Regatas&amp; " ") - 1)), 0))</f>
        <v>0</v>
      </c>
      <c r="AC19" s="9" cm="1">
        <f t="array" ref="AC1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9" s="6">
        <f>SMALL(RegatasN,1)</f>
        <v>0</v>
      </c>
      <c r="AE19" s="6">
        <f>SMALL(RegatasN,2)</f>
        <v>0</v>
      </c>
      <c r="AF19" s="6">
        <f>SMALL(RegatasN,3)</f>
        <v>0</v>
      </c>
      <c r="AG19" s="5" cm="1">
        <f t="array" ref="AG19">COUNTIF(Regatas,SMALL(Regatas,1))</f>
        <v>0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 x14ac:dyDescent="0.25">
      <c r="A20">
        <v>50558168</v>
      </c>
      <c r="B20" s="10">
        <f>ROW()-ROW(Selectivo6[[#Headers],[Pos]])</f>
        <v>14</v>
      </c>
      <c r="C20" s="5">
        <v>3933</v>
      </c>
      <c r="D20" t="s">
        <v>718</v>
      </c>
      <c r="E20" t="s">
        <v>33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2"/>
      <c r="X20" s="12"/>
      <c r="Y20" s="12"/>
      <c r="Z20" s="13"/>
      <c r="AA20" s="13"/>
      <c r="AB20" s="8" cm="1">
        <f t="array" ref="AB20">SUM(IFERROR(VALUE(LEFT(Regatas, FIND(" ",Regatas&amp; " ") - 1)), 0))</f>
        <v>0</v>
      </c>
      <c r="AC20" s="9" cm="1">
        <f t="array" ref="AC2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0" s="6">
        <f>SMALL(RegatasN,1)</f>
        <v>0</v>
      </c>
      <c r="AE20" s="6">
        <f>SMALL(RegatasN,2)</f>
        <v>0</v>
      </c>
      <c r="AF20" s="6">
        <f>SMALL(RegatasN,3)</f>
        <v>0</v>
      </c>
      <c r="AG20" s="5" cm="1">
        <f t="array" ref="AG20">COUNTIF(Regatas,SMALL(Regatas,1))</f>
        <v>0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 x14ac:dyDescent="0.25">
      <c r="A21">
        <v>50805416</v>
      </c>
      <c r="B21" s="10">
        <f>ROW()-ROW(Selectivo6[[#Headers],[Pos]])</f>
        <v>15</v>
      </c>
      <c r="C21" s="5">
        <v>4134</v>
      </c>
      <c r="D21" t="s">
        <v>734</v>
      </c>
      <c r="E21" t="s">
        <v>21</v>
      </c>
      <c r="F21" s="13"/>
      <c r="G21" s="12"/>
      <c r="H21" s="13"/>
      <c r="I21" s="13"/>
      <c r="J21" s="13"/>
      <c r="K21" s="13"/>
      <c r="L21" s="13"/>
      <c r="M21" s="13"/>
      <c r="N21" s="13"/>
      <c r="O21" s="13"/>
      <c r="P21" s="13"/>
      <c r="Q21" s="12"/>
      <c r="R21" s="13"/>
      <c r="S21" s="13"/>
      <c r="T21" s="13"/>
      <c r="U21" s="13"/>
      <c r="V21" s="13"/>
      <c r="W21" s="12"/>
      <c r="X21" s="13"/>
      <c r="Y21" s="13"/>
      <c r="Z21" s="13"/>
      <c r="AA21" s="13"/>
      <c r="AB21" s="8" cm="1">
        <f t="array" ref="AB21">SUM(IFERROR(VALUE(LEFT(Regatas, FIND(" ",Regatas&amp; " ") - 1)), 0))</f>
        <v>0</v>
      </c>
      <c r="AC21" s="9" cm="1">
        <f t="array" ref="AC2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1" s="6">
        <f>SMALL(RegatasN,1)</f>
        <v>0</v>
      </c>
      <c r="AE21" s="6">
        <f>SMALL(RegatasN,2)</f>
        <v>0</v>
      </c>
      <c r="AF21" s="6">
        <f>SMALL(RegatasN,3)</f>
        <v>0</v>
      </c>
      <c r="AG21" s="5" cm="1">
        <f t="array" ref="AG21">COUNTIF(Regatas,SMALL(Regatas,1))</f>
        <v>0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 x14ac:dyDescent="0.25">
      <c r="A22">
        <v>51267743</v>
      </c>
      <c r="B22" s="10">
        <f>ROW()-ROW(Selectivo6[[#Headers],[Pos]])</f>
        <v>16</v>
      </c>
      <c r="C22" s="5">
        <v>4214</v>
      </c>
      <c r="D22" t="s">
        <v>673</v>
      </c>
      <c r="E22" t="s">
        <v>5</v>
      </c>
      <c r="F22" s="13"/>
      <c r="G22" s="13"/>
      <c r="H22" s="13"/>
      <c r="I22" s="13"/>
      <c r="J22" s="13"/>
      <c r="K22" s="13"/>
      <c r="L22" s="13"/>
      <c r="M22" s="13"/>
      <c r="N22" s="13"/>
      <c r="O22" s="12"/>
      <c r="P22" s="13"/>
      <c r="Q22" s="13"/>
      <c r="R22" s="13"/>
      <c r="S22" s="12"/>
      <c r="T22" s="13"/>
      <c r="U22" s="13"/>
      <c r="V22" s="13"/>
      <c r="W22" s="13"/>
      <c r="X22" s="12"/>
      <c r="Y22" s="13"/>
      <c r="Z22" s="13"/>
      <c r="AA22" s="13"/>
      <c r="AB22" s="8" cm="1">
        <f t="array" ref="AB22">SUM(IFERROR(VALUE(LEFT(Regatas, FIND(" ",Regatas&amp; " ") - 1)), 0))</f>
        <v>0</v>
      </c>
      <c r="AC22" s="9" cm="1">
        <f t="array" ref="AC2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2" s="6">
        <f>SMALL(RegatasN,1)</f>
        <v>0</v>
      </c>
      <c r="AE22" s="6">
        <f>SMALL(RegatasN,2)</f>
        <v>0</v>
      </c>
      <c r="AF22" s="6">
        <f>SMALL(RegatasN,3)</f>
        <v>0</v>
      </c>
      <c r="AG22" s="5" cm="1">
        <f t="array" ref="AG22">COUNTIF(Regatas,SMALL(Regatas,1))</f>
        <v>0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 x14ac:dyDescent="0.25">
      <c r="A23">
        <v>50670497</v>
      </c>
      <c r="B23" s="10">
        <f>ROW()-ROW(Selectivo6[[#Headers],[Pos]])</f>
        <v>17</v>
      </c>
      <c r="C23" s="5">
        <v>3936</v>
      </c>
      <c r="D23" t="s">
        <v>721</v>
      </c>
      <c r="E23" t="s">
        <v>21</v>
      </c>
      <c r="F23" s="13"/>
      <c r="G23" s="13"/>
      <c r="H23" s="13"/>
      <c r="I23" s="13"/>
      <c r="J23" s="13"/>
      <c r="K23" s="13"/>
      <c r="L23" s="13"/>
      <c r="M23" s="13"/>
      <c r="N23" s="13"/>
      <c r="O23" s="12"/>
      <c r="P23" s="13"/>
      <c r="Q23" s="12"/>
      <c r="R23" s="13"/>
      <c r="S23" s="13"/>
      <c r="T23" s="13"/>
      <c r="U23" s="13"/>
      <c r="V23" s="12"/>
      <c r="W23" s="13"/>
      <c r="X23" s="13"/>
      <c r="Y23" s="13"/>
      <c r="Z23" s="13"/>
      <c r="AA23" s="13"/>
      <c r="AB23" s="8" cm="1">
        <f t="array" ref="AB23">SUM(IFERROR(VALUE(LEFT(Regatas, FIND(" ",Regatas&amp; " ") - 1)), 0))</f>
        <v>0</v>
      </c>
      <c r="AC23" s="9" cm="1">
        <f t="array" ref="AC2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3" s="6">
        <f>SMALL(RegatasN,1)</f>
        <v>0</v>
      </c>
      <c r="AE23" s="6">
        <f>SMALL(RegatasN,2)</f>
        <v>0</v>
      </c>
      <c r="AF23" s="6">
        <f>SMALL(RegatasN,3)</f>
        <v>0</v>
      </c>
      <c r="AG23" s="5" cm="1">
        <f t="array" ref="AG23">COUNTIF(Regatas,SMALL(Regatas,1))</f>
        <v>0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 x14ac:dyDescent="0.25">
      <c r="A24">
        <v>50155666</v>
      </c>
      <c r="B24" s="10">
        <f>ROW()-ROW(Selectivo6[[#Headers],[Pos]])</f>
        <v>18</v>
      </c>
      <c r="C24" s="5">
        <v>3889</v>
      </c>
      <c r="D24" t="s">
        <v>748</v>
      </c>
      <c r="E24" t="s">
        <v>13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2"/>
      <c r="Q24" s="13"/>
      <c r="R24" s="13"/>
      <c r="S24" s="13"/>
      <c r="T24" s="13"/>
      <c r="U24" s="13"/>
      <c r="V24" s="13"/>
      <c r="W24" s="13"/>
      <c r="X24" s="13"/>
      <c r="Y24" s="12"/>
      <c r="Z24" s="12"/>
      <c r="AA24" s="13"/>
      <c r="AB24" s="8" cm="1">
        <f t="array" ref="AB24">SUM(IFERROR(VALUE(LEFT(Regatas, FIND(" ",Regatas&amp; " ") - 1)), 0))</f>
        <v>0</v>
      </c>
      <c r="AC24" s="9" cm="1">
        <f t="array" ref="AC2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4" s="6">
        <f>SMALL(RegatasN,1)</f>
        <v>0</v>
      </c>
      <c r="AE24" s="6">
        <f>SMALL(RegatasN,2)</f>
        <v>0</v>
      </c>
      <c r="AF24" s="6">
        <f>SMALL(RegatasN,3)</f>
        <v>0</v>
      </c>
      <c r="AG24" s="5" cm="1">
        <f t="array" ref="AG24">COUNTIF(Regatas,SMALL(Regatas,1))</f>
        <v>0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 x14ac:dyDescent="0.25">
      <c r="A25">
        <v>50609852</v>
      </c>
      <c r="B25" s="10">
        <f>ROW()-ROW(Selectivo6[[#Headers],[Pos]])</f>
        <v>19</v>
      </c>
      <c r="C25" s="5">
        <v>4200</v>
      </c>
      <c r="D25" t="s">
        <v>735</v>
      </c>
      <c r="E25" t="s">
        <v>10</v>
      </c>
      <c r="F25" s="13"/>
      <c r="G25" s="13"/>
      <c r="H25" s="13"/>
      <c r="I25" s="13"/>
      <c r="J25" s="13"/>
      <c r="K25" s="13"/>
      <c r="L25" s="13"/>
      <c r="M25" s="12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2"/>
      <c r="Z25" s="13"/>
      <c r="AA25" s="12"/>
      <c r="AB25" s="8" cm="1">
        <f t="array" ref="AB25">SUM(IFERROR(VALUE(LEFT(Regatas, FIND(" ",Regatas&amp; " ") - 1)), 0))</f>
        <v>0</v>
      </c>
      <c r="AC25" s="9" cm="1">
        <f t="array" ref="AC2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5" s="6">
        <f>SMALL(RegatasN,1)</f>
        <v>0</v>
      </c>
      <c r="AE25" s="6">
        <f>SMALL(RegatasN,2)</f>
        <v>0</v>
      </c>
      <c r="AF25" s="6">
        <f>SMALL(RegatasN,3)</f>
        <v>0</v>
      </c>
      <c r="AG25" s="5" cm="1">
        <f t="array" ref="AG25">COUNTIF(Regatas,SMALL(Regatas,1))</f>
        <v>0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 x14ac:dyDescent="0.25">
      <c r="A26">
        <v>52676878</v>
      </c>
      <c r="B26" s="10">
        <f>ROW()-ROW(Selectivo6[[#Headers],[Pos]])</f>
        <v>20</v>
      </c>
      <c r="C26" s="5">
        <v>4092</v>
      </c>
      <c r="D26" t="s">
        <v>717</v>
      </c>
      <c r="E26" t="s">
        <v>13</v>
      </c>
      <c r="F26" s="13"/>
      <c r="G26" s="13"/>
      <c r="H26" s="13"/>
      <c r="I26" s="12"/>
      <c r="J26" s="13"/>
      <c r="K26" s="13"/>
      <c r="L26" s="12"/>
      <c r="M26" s="13"/>
      <c r="N26" s="13"/>
      <c r="O26" s="13"/>
      <c r="P26" s="12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8" cm="1">
        <f t="array" ref="AB26">SUM(IFERROR(VALUE(LEFT(Regatas, FIND(" ",Regatas&amp; " ") - 1)), 0))</f>
        <v>0</v>
      </c>
      <c r="AC26" s="9" cm="1">
        <f t="array" ref="AC2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6" s="6">
        <f>SMALL(RegatasN,1)</f>
        <v>0</v>
      </c>
      <c r="AE26" s="6">
        <f>SMALL(RegatasN,2)</f>
        <v>0</v>
      </c>
      <c r="AF26" s="6">
        <f>SMALL(RegatasN,3)</f>
        <v>0</v>
      </c>
      <c r="AG26" s="5" cm="1">
        <f t="array" ref="AG26">COUNTIF(Regatas,SMALL(Regatas,1))</f>
        <v>0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 x14ac:dyDescent="0.25">
      <c r="A27">
        <v>51431844</v>
      </c>
      <c r="B27" s="10">
        <f>ROW()-ROW(Selectivo6[[#Headers],[Pos]])</f>
        <v>21</v>
      </c>
      <c r="C27" s="5">
        <v>4133</v>
      </c>
      <c r="D27" t="s">
        <v>651</v>
      </c>
      <c r="E27" t="s">
        <v>26</v>
      </c>
      <c r="F27" s="13"/>
      <c r="G27" s="12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2"/>
      <c r="U27" s="13"/>
      <c r="V27" s="13"/>
      <c r="W27" s="13"/>
      <c r="X27" s="12"/>
      <c r="Y27" s="13"/>
      <c r="Z27" s="13"/>
      <c r="AA27" s="13"/>
      <c r="AB27" s="8" cm="1">
        <f t="array" ref="AB27">SUM(IFERROR(VALUE(LEFT(Regatas, FIND(" ",Regatas&amp; " ") - 1)), 0))</f>
        <v>0</v>
      </c>
      <c r="AC27" s="9" cm="1">
        <f t="array" ref="AC2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7" s="6">
        <f>SMALL(RegatasN,1)</f>
        <v>0</v>
      </c>
      <c r="AE27" s="6">
        <f>SMALL(RegatasN,2)</f>
        <v>0</v>
      </c>
      <c r="AF27" s="6">
        <f>SMALL(RegatasN,3)</f>
        <v>0</v>
      </c>
      <c r="AG27" s="5" cm="1">
        <f t="array" ref="AG27">COUNTIF(Regatas,SMALL(Regatas,1))</f>
        <v>0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 x14ac:dyDescent="0.25">
      <c r="A28">
        <v>50241942</v>
      </c>
      <c r="B28" s="10">
        <f>ROW()-ROW(Selectivo6[[#Headers],[Pos]])</f>
        <v>22</v>
      </c>
      <c r="C28" s="5">
        <v>4220</v>
      </c>
      <c r="D28" t="s">
        <v>747</v>
      </c>
      <c r="E28" t="s">
        <v>71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2"/>
      <c r="W28" s="12"/>
      <c r="X28" s="12"/>
      <c r="Y28" s="13"/>
      <c r="Z28" s="13"/>
      <c r="AA28" s="13"/>
      <c r="AB28" s="8" cm="1">
        <f t="array" ref="AB28">SUM(IFERROR(VALUE(LEFT(Regatas, FIND(" ",Regatas&amp; " ") - 1)), 0))</f>
        <v>0</v>
      </c>
      <c r="AC28" s="9" cm="1">
        <f t="array" ref="AC2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8" s="6">
        <f>SMALL(RegatasN,1)</f>
        <v>0</v>
      </c>
      <c r="AE28" s="6">
        <f>SMALL(RegatasN,2)</f>
        <v>0</v>
      </c>
      <c r="AF28" s="6">
        <f>SMALL(RegatasN,3)</f>
        <v>0</v>
      </c>
      <c r="AG28" s="5" cm="1">
        <f t="array" ref="AG28">COUNTIF(Regatas,SMALL(Regatas,1))</f>
        <v>0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 x14ac:dyDescent="0.25">
      <c r="A29">
        <v>51125616</v>
      </c>
      <c r="B29" s="10">
        <f>ROW()-ROW(Selectivo6[[#Headers],[Pos]])</f>
        <v>23</v>
      </c>
      <c r="C29" s="5">
        <v>4126</v>
      </c>
      <c r="D29" t="s">
        <v>652</v>
      </c>
      <c r="E29" t="s">
        <v>26</v>
      </c>
      <c r="F29" s="13"/>
      <c r="G29" s="12"/>
      <c r="H29" s="13"/>
      <c r="I29" s="13"/>
      <c r="J29" s="13"/>
      <c r="K29" s="13"/>
      <c r="L29" s="13"/>
      <c r="M29" s="13"/>
      <c r="N29" s="12"/>
      <c r="O29" s="13"/>
      <c r="P29" s="13"/>
      <c r="Q29" s="13"/>
      <c r="R29" s="13"/>
      <c r="S29" s="12"/>
      <c r="T29" s="13"/>
      <c r="U29" s="13"/>
      <c r="V29" s="13"/>
      <c r="W29" s="13"/>
      <c r="X29" s="13"/>
      <c r="Y29" s="13"/>
      <c r="Z29" s="13"/>
      <c r="AA29" s="13"/>
      <c r="AB29" s="8" cm="1">
        <f t="array" ref="AB29">SUM(IFERROR(VALUE(LEFT(Regatas, FIND(" ",Regatas&amp; " ") - 1)), 0))</f>
        <v>0</v>
      </c>
      <c r="AC29" s="9" cm="1">
        <f t="array" ref="AC2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29" s="6">
        <f>SMALL(RegatasN,1)</f>
        <v>0</v>
      </c>
      <c r="AE29" s="6">
        <f>SMALL(RegatasN,2)</f>
        <v>0</v>
      </c>
      <c r="AF29" s="6">
        <f>SMALL(RegatasN,3)</f>
        <v>0</v>
      </c>
      <c r="AG29" s="5" cm="1">
        <f t="array" ref="AG29">COUNTIF(Regatas,SMALL(Regatas,1))</f>
        <v>0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 x14ac:dyDescent="0.25">
      <c r="A30">
        <v>52454232</v>
      </c>
      <c r="B30" s="10">
        <f>ROW()-ROW(Selectivo6[[#Headers],[Pos]])</f>
        <v>24</v>
      </c>
      <c r="C30" s="5">
        <v>4205</v>
      </c>
      <c r="D30" t="s">
        <v>685</v>
      </c>
      <c r="E30" t="s">
        <v>5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2"/>
      <c r="Q30" s="13"/>
      <c r="R30" s="13"/>
      <c r="S30" s="13"/>
      <c r="T30" s="12"/>
      <c r="U30" s="13"/>
      <c r="V30" s="12"/>
      <c r="W30" s="13"/>
      <c r="X30" s="13"/>
      <c r="Y30" s="13"/>
      <c r="Z30" s="13"/>
      <c r="AA30" s="13"/>
      <c r="AB30" s="8" cm="1">
        <f t="array" ref="AB30">SUM(IFERROR(VALUE(LEFT(Regatas, FIND(" ",Regatas&amp; " ") - 1)), 0))</f>
        <v>0</v>
      </c>
      <c r="AC30" s="9" cm="1">
        <f t="array" ref="AC3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0" s="6">
        <f>SMALL(RegatasN,1)</f>
        <v>0</v>
      </c>
      <c r="AE30" s="6">
        <f>SMALL(RegatasN,2)</f>
        <v>0</v>
      </c>
      <c r="AF30" s="6">
        <f>SMALL(RegatasN,3)</f>
        <v>0</v>
      </c>
      <c r="AG30" s="5" cm="1">
        <f t="array" ref="AG30">COUNTIF(Regatas,SMALL(Regatas,1))</f>
        <v>0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 x14ac:dyDescent="0.25">
      <c r="A31">
        <v>50416906</v>
      </c>
      <c r="B31" s="10">
        <f>ROW()-ROW(Selectivo6[[#Headers],[Pos]])</f>
        <v>25</v>
      </c>
      <c r="C31" s="5">
        <v>4211</v>
      </c>
      <c r="D31" t="s">
        <v>676</v>
      </c>
      <c r="E31" t="s">
        <v>21</v>
      </c>
      <c r="F31" s="13"/>
      <c r="G31" s="12"/>
      <c r="H31" s="13"/>
      <c r="I31" s="13"/>
      <c r="J31" s="13"/>
      <c r="K31" s="13"/>
      <c r="L31" s="13"/>
      <c r="M31" s="12"/>
      <c r="N31" s="13"/>
      <c r="O31" s="13"/>
      <c r="P31" s="13"/>
      <c r="Q31" s="13"/>
      <c r="R31" s="13"/>
      <c r="S31" s="13"/>
      <c r="T31" s="12"/>
      <c r="U31" s="13"/>
      <c r="V31" s="13"/>
      <c r="W31" s="13"/>
      <c r="X31" s="13"/>
      <c r="Y31" s="13"/>
      <c r="Z31" s="13"/>
      <c r="AA31" s="13"/>
      <c r="AB31" s="8" cm="1">
        <f t="array" ref="AB31">SUM(IFERROR(VALUE(LEFT(Regatas, FIND(" ",Regatas&amp; " ") - 1)), 0))</f>
        <v>0</v>
      </c>
      <c r="AC31" s="9" cm="1">
        <f t="array" ref="AC3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1" s="6">
        <f>SMALL(RegatasN,1)</f>
        <v>0</v>
      </c>
      <c r="AE31" s="6">
        <f>SMALL(RegatasN,2)</f>
        <v>0</v>
      </c>
      <c r="AF31" s="6">
        <f>SMALL(RegatasN,3)</f>
        <v>0</v>
      </c>
      <c r="AG31" s="5" cm="1">
        <f t="array" ref="AG31">COUNTIF(Regatas,SMALL(Regatas,1))</f>
        <v>0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 x14ac:dyDescent="0.25">
      <c r="A32">
        <v>49981664</v>
      </c>
      <c r="B32" s="10">
        <f>ROW()-ROW(Selectivo6[[#Headers],[Pos]])</f>
        <v>26</v>
      </c>
      <c r="C32" s="5">
        <v>3712</v>
      </c>
      <c r="D32" t="s">
        <v>642</v>
      </c>
      <c r="E32" t="s">
        <v>26</v>
      </c>
      <c r="F32" s="13"/>
      <c r="G32" s="12"/>
      <c r="H32" s="12"/>
      <c r="I32" s="13"/>
      <c r="J32" s="13"/>
      <c r="K32" s="13"/>
      <c r="L32" s="13"/>
      <c r="M32" s="13"/>
      <c r="N32" s="13"/>
      <c r="O32" s="13"/>
      <c r="P32" s="12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8" cm="1">
        <f t="array" ref="AB32">SUM(IFERROR(VALUE(LEFT(Regatas, FIND(" ",Regatas&amp; " ") - 1)), 0))</f>
        <v>0</v>
      </c>
      <c r="AC32" s="9" cm="1">
        <f t="array" ref="AC3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2" s="6">
        <f>SMALL(RegatasN,1)</f>
        <v>0</v>
      </c>
      <c r="AE32" s="6">
        <f>SMALL(RegatasN,2)</f>
        <v>0</v>
      </c>
      <c r="AF32" s="6">
        <f>SMALL(RegatasN,3)</f>
        <v>0</v>
      </c>
      <c r="AG32" s="5" cm="1">
        <f t="array" ref="AG32">COUNTIF(Regatas,SMALL(Regatas,1))</f>
        <v>0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 x14ac:dyDescent="0.25">
      <c r="A33">
        <v>50681138</v>
      </c>
      <c r="B33" s="10">
        <f>ROW()-ROW(Selectivo6[[#Headers],[Pos]])</f>
        <v>27</v>
      </c>
      <c r="C33" s="5">
        <v>4148</v>
      </c>
      <c r="D33" t="s">
        <v>733</v>
      </c>
      <c r="E33" t="s">
        <v>26</v>
      </c>
      <c r="F33" s="13"/>
      <c r="G33" s="13"/>
      <c r="H33" s="13"/>
      <c r="I33" s="13"/>
      <c r="J33" s="13"/>
      <c r="K33" s="13"/>
      <c r="L33" s="13"/>
      <c r="M33" s="12"/>
      <c r="N33" s="13"/>
      <c r="O33" s="12"/>
      <c r="P33" s="13"/>
      <c r="Q33" s="13"/>
      <c r="R33" s="13"/>
      <c r="S33" s="13"/>
      <c r="T33" s="13"/>
      <c r="U33" s="13"/>
      <c r="V33" s="13"/>
      <c r="W33" s="12"/>
      <c r="X33" s="13"/>
      <c r="Y33" s="13"/>
      <c r="Z33" s="13"/>
      <c r="AA33" s="13"/>
      <c r="AB33" s="8" cm="1">
        <f t="array" ref="AB33">SUM(IFERROR(VALUE(LEFT(Regatas, FIND(" ",Regatas&amp; " ") - 1)), 0))</f>
        <v>0</v>
      </c>
      <c r="AC33" s="9" cm="1">
        <f t="array" ref="AC3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3" s="6">
        <f>SMALL(RegatasN,1)</f>
        <v>0</v>
      </c>
      <c r="AE33" s="6">
        <f>SMALL(RegatasN,2)</f>
        <v>0</v>
      </c>
      <c r="AF33" s="6">
        <f>SMALL(RegatasN,3)</f>
        <v>0</v>
      </c>
      <c r="AG33" s="5" cm="1">
        <f t="array" ref="AG33">COUNTIF(Regatas,SMALL(Regatas,1))</f>
        <v>0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 x14ac:dyDescent="0.25">
      <c r="A34">
        <v>50030333</v>
      </c>
      <c r="B34" s="10">
        <f>ROW()-ROW(Selectivo6[[#Headers],[Pos]])</f>
        <v>28</v>
      </c>
      <c r="C34" s="5">
        <v>4069</v>
      </c>
      <c r="D34" t="s">
        <v>671</v>
      </c>
      <c r="E34" t="s">
        <v>16</v>
      </c>
      <c r="F34" s="13"/>
      <c r="G34" s="13"/>
      <c r="H34" s="13"/>
      <c r="I34" s="13"/>
      <c r="J34" s="13"/>
      <c r="K34" s="13"/>
      <c r="L34" s="13"/>
      <c r="M34" s="13"/>
      <c r="N34" s="12"/>
      <c r="O34" s="13"/>
      <c r="P34" s="12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2"/>
      <c r="AB34" s="8" cm="1">
        <f t="array" ref="AB34">SUM(IFERROR(VALUE(LEFT(Regatas, FIND(" ",Regatas&amp; " ") - 1)), 0))</f>
        <v>0</v>
      </c>
      <c r="AC34" s="9" cm="1">
        <f t="array" ref="AC3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4" s="6">
        <f>SMALL(RegatasN,1)</f>
        <v>0</v>
      </c>
      <c r="AE34" s="6">
        <f>SMALL(RegatasN,2)</f>
        <v>0</v>
      </c>
      <c r="AF34" s="6">
        <f>SMALL(RegatasN,3)</f>
        <v>0</v>
      </c>
      <c r="AG34" s="5" cm="1">
        <f t="array" ref="AG34">COUNTIF(Regatas,SMALL(Regatas,1))</f>
        <v>0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 x14ac:dyDescent="0.25">
      <c r="A35">
        <v>50417527</v>
      </c>
      <c r="B35" s="10">
        <f>ROW()-ROW(Selectivo6[[#Headers],[Pos]])</f>
        <v>29</v>
      </c>
      <c r="C35" s="5">
        <v>4059</v>
      </c>
      <c r="D35" t="s">
        <v>719</v>
      </c>
      <c r="E35" t="s">
        <v>9</v>
      </c>
      <c r="F35" s="13"/>
      <c r="G35" s="13"/>
      <c r="H35" s="12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2"/>
      <c r="W35" s="12"/>
      <c r="X35" s="13"/>
      <c r="Y35" s="13"/>
      <c r="Z35" s="13"/>
      <c r="AA35" s="13"/>
      <c r="AB35" s="8" cm="1">
        <f t="array" ref="AB35">SUM(IFERROR(VALUE(LEFT(Regatas, FIND(" ",Regatas&amp; " ") - 1)), 0))</f>
        <v>0</v>
      </c>
      <c r="AC35" s="9" cm="1">
        <f t="array" ref="AC3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5" s="6">
        <f>SMALL(RegatasN,1)</f>
        <v>0</v>
      </c>
      <c r="AE35" s="6">
        <f>SMALL(RegatasN,2)</f>
        <v>0</v>
      </c>
      <c r="AF35" s="6">
        <f>SMALL(RegatasN,3)</f>
        <v>0</v>
      </c>
      <c r="AG35" s="5" cm="1">
        <f t="array" ref="AG35">COUNTIF(Regatas,SMALL(Regatas,1))</f>
        <v>0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 x14ac:dyDescent="0.25">
      <c r="A36">
        <v>51281055</v>
      </c>
      <c r="B36" s="10">
        <f>ROW()-ROW(Selectivo6[[#Headers],[Pos]])</f>
        <v>30</v>
      </c>
      <c r="C36" s="5">
        <v>3907</v>
      </c>
      <c r="D36" t="s">
        <v>688</v>
      </c>
      <c r="E36" t="s">
        <v>79</v>
      </c>
      <c r="F36" s="13"/>
      <c r="G36" s="13"/>
      <c r="H36" s="13"/>
      <c r="I36" s="13"/>
      <c r="J36" s="13"/>
      <c r="K36" s="13"/>
      <c r="L36" s="12"/>
      <c r="M36" s="13"/>
      <c r="N36" s="13"/>
      <c r="O36" s="13"/>
      <c r="P36" s="13"/>
      <c r="Q36" s="13"/>
      <c r="R36" s="13"/>
      <c r="S36" s="13"/>
      <c r="T36" s="13"/>
      <c r="U36" s="12"/>
      <c r="V36" s="13"/>
      <c r="W36" s="13"/>
      <c r="X36" s="12"/>
      <c r="Y36" s="13"/>
      <c r="Z36" s="13"/>
      <c r="AA36" s="13"/>
      <c r="AB36" s="8" cm="1">
        <f t="array" ref="AB36">SUM(IFERROR(VALUE(LEFT(Regatas, FIND(" ",Regatas&amp; " ") - 1)), 0))</f>
        <v>0</v>
      </c>
      <c r="AC36" s="9" cm="1">
        <f t="array" ref="AC3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6" s="6">
        <f>SMALL(RegatasN,1)</f>
        <v>0</v>
      </c>
      <c r="AE36" s="6">
        <f>SMALL(RegatasN,2)</f>
        <v>0</v>
      </c>
      <c r="AF36" s="6">
        <f>SMALL(RegatasN,3)</f>
        <v>0</v>
      </c>
      <c r="AG36" s="5" cm="1">
        <f t="array" ref="AG36">COUNTIF(Regatas,SMALL(Regatas,1))</f>
        <v>0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 x14ac:dyDescent="0.25">
      <c r="A37">
        <v>51253143</v>
      </c>
      <c r="B37" s="10">
        <f>ROW()-ROW(Selectivo6[[#Headers],[Pos]])</f>
        <v>31</v>
      </c>
      <c r="C37" s="5">
        <v>4108</v>
      </c>
      <c r="D37" t="s">
        <v>700</v>
      </c>
      <c r="E37" t="s">
        <v>9</v>
      </c>
      <c r="F37" s="13"/>
      <c r="G37" s="13"/>
      <c r="H37" s="13"/>
      <c r="I37" s="12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2"/>
      <c r="W37" s="13"/>
      <c r="X37" s="13"/>
      <c r="Y37" s="13"/>
      <c r="Z37" s="12"/>
      <c r="AA37" s="13"/>
      <c r="AB37" s="8" cm="1">
        <f t="array" ref="AB37">SUM(IFERROR(VALUE(LEFT(Regatas, FIND(" ",Regatas&amp; " ") - 1)), 0))</f>
        <v>0</v>
      </c>
      <c r="AC37" s="9" cm="1">
        <f t="array" ref="AC3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7" s="6">
        <f>SMALL(RegatasN,1)</f>
        <v>0</v>
      </c>
      <c r="AE37" s="6">
        <f>SMALL(RegatasN,2)</f>
        <v>0</v>
      </c>
      <c r="AF37" s="6">
        <f>SMALL(RegatasN,3)</f>
        <v>0</v>
      </c>
      <c r="AG37" s="5" cm="1">
        <f t="array" ref="AG37">COUNTIF(Regatas,SMALL(Regatas,1))</f>
        <v>0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 x14ac:dyDescent="0.25">
      <c r="A38">
        <v>52136031</v>
      </c>
      <c r="B38" s="10">
        <f>ROW()-ROW(Selectivo6[[#Headers],[Pos]])</f>
        <v>32</v>
      </c>
      <c r="C38" s="5">
        <v>4093</v>
      </c>
      <c r="D38" t="s">
        <v>618</v>
      </c>
      <c r="E38" t="s">
        <v>23</v>
      </c>
      <c r="F38" s="13"/>
      <c r="G38" s="12"/>
      <c r="H38" s="13"/>
      <c r="I38" s="13"/>
      <c r="J38" s="12"/>
      <c r="K38" s="13"/>
      <c r="L38" s="13"/>
      <c r="M38" s="13"/>
      <c r="N38" s="12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8" cm="1">
        <f t="array" ref="AB38">SUM(IFERROR(VALUE(LEFT(Regatas, FIND(" ",Regatas&amp; " ") - 1)), 0))</f>
        <v>0</v>
      </c>
      <c r="AC38" s="9" cm="1">
        <f t="array" ref="AC3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8" s="6">
        <f>SMALL(RegatasN,1)</f>
        <v>0</v>
      </c>
      <c r="AE38" s="6">
        <f>SMALL(RegatasN,2)</f>
        <v>0</v>
      </c>
      <c r="AF38" s="6">
        <f>SMALL(RegatasN,3)</f>
        <v>0</v>
      </c>
      <c r="AG38" s="5" cm="1">
        <f t="array" ref="AG38">COUNTIF(Regatas,SMALL(Regatas,1))</f>
        <v>0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 x14ac:dyDescent="0.25">
      <c r="A39">
        <v>50158944</v>
      </c>
      <c r="B39" s="10">
        <f>ROW()-ROW(Selectivo6[[#Headers],[Pos]])</f>
        <v>33</v>
      </c>
      <c r="C39" s="5">
        <v>4111</v>
      </c>
      <c r="D39" t="s">
        <v>679</v>
      </c>
      <c r="E39" t="s">
        <v>9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2"/>
      <c r="Q39" s="13"/>
      <c r="R39" s="13"/>
      <c r="S39" s="13"/>
      <c r="T39" s="12"/>
      <c r="U39" s="13"/>
      <c r="V39" s="13"/>
      <c r="W39" s="13"/>
      <c r="X39" s="13"/>
      <c r="Y39" s="13"/>
      <c r="Z39" s="12"/>
      <c r="AA39" s="13"/>
      <c r="AB39" s="8" cm="1">
        <f t="array" ref="AB39">SUM(IFERROR(VALUE(LEFT(Regatas, FIND(" ",Regatas&amp; " ") - 1)), 0))</f>
        <v>0</v>
      </c>
      <c r="AC39" s="9" cm="1">
        <f t="array" ref="AC3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39" s="6">
        <f>SMALL(RegatasN,1)</f>
        <v>0</v>
      </c>
      <c r="AE39" s="6">
        <f>SMALL(RegatasN,2)</f>
        <v>0</v>
      </c>
      <c r="AF39" s="6">
        <f>SMALL(RegatasN,3)</f>
        <v>0</v>
      </c>
      <c r="AG39" s="5" cm="1">
        <f t="array" ref="AG39">COUNTIF(Regatas,SMALL(Regatas,1))</f>
        <v>0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 x14ac:dyDescent="0.25">
      <c r="A40">
        <v>50414789</v>
      </c>
      <c r="B40" s="10">
        <f>ROW()-ROW(Selectivo6[[#Headers],[Pos]])</f>
        <v>34</v>
      </c>
      <c r="C40" s="5">
        <v>3852</v>
      </c>
      <c r="D40" t="s">
        <v>723</v>
      </c>
      <c r="E40" t="s">
        <v>26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2"/>
      <c r="Q40" s="13"/>
      <c r="R40" s="13"/>
      <c r="S40" s="13"/>
      <c r="T40" s="13"/>
      <c r="U40" s="13"/>
      <c r="V40" s="12"/>
      <c r="W40" s="13"/>
      <c r="X40" s="13"/>
      <c r="Y40" s="12"/>
      <c r="Z40" s="13"/>
      <c r="AA40" s="13"/>
      <c r="AB40" s="8" cm="1">
        <f t="array" ref="AB40">SUM(IFERROR(VALUE(LEFT(Regatas, FIND(" ",Regatas&amp; " ") - 1)), 0))</f>
        <v>0</v>
      </c>
      <c r="AC40" s="9" cm="1">
        <f t="array" ref="AC4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0" s="6">
        <f>SMALL(RegatasN,1)</f>
        <v>0</v>
      </c>
      <c r="AE40" s="6">
        <f>SMALL(RegatasN,2)</f>
        <v>0</v>
      </c>
      <c r="AF40" s="6">
        <f>SMALL(RegatasN,3)</f>
        <v>0</v>
      </c>
      <c r="AG40" s="5" cm="1">
        <f t="array" ref="AG40">COUNTIF(Regatas,SMALL(Regatas,1))</f>
        <v>0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 x14ac:dyDescent="0.25">
      <c r="A41">
        <v>51397535</v>
      </c>
      <c r="B41" s="10">
        <f>ROW()-ROW(Selectivo6[[#Headers],[Pos]])</f>
        <v>35</v>
      </c>
      <c r="C41" s="5">
        <v>4096</v>
      </c>
      <c r="D41" t="s">
        <v>692</v>
      </c>
      <c r="E41" t="s">
        <v>9</v>
      </c>
      <c r="F41" s="13"/>
      <c r="G41" s="13"/>
      <c r="H41" s="13"/>
      <c r="I41" s="13"/>
      <c r="J41" s="13"/>
      <c r="K41" s="13"/>
      <c r="L41" s="13"/>
      <c r="M41" s="13"/>
      <c r="N41" s="12"/>
      <c r="O41" s="13"/>
      <c r="P41" s="12"/>
      <c r="Q41" s="13"/>
      <c r="R41" s="13"/>
      <c r="S41" s="13"/>
      <c r="T41" s="13"/>
      <c r="U41" s="13"/>
      <c r="V41" s="13"/>
      <c r="W41" s="13"/>
      <c r="X41" s="13"/>
      <c r="Y41" s="12"/>
      <c r="Z41" s="13"/>
      <c r="AA41" s="13"/>
      <c r="AB41" s="8" cm="1">
        <f t="array" ref="AB41">SUM(IFERROR(VALUE(LEFT(Regatas, FIND(" ",Regatas&amp; " ") - 1)), 0))</f>
        <v>0</v>
      </c>
      <c r="AC41" s="9" cm="1">
        <f t="array" ref="AC4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1" s="6">
        <f>SMALL(RegatasN,1)</f>
        <v>0</v>
      </c>
      <c r="AE41" s="6">
        <f>SMALL(RegatasN,2)</f>
        <v>0</v>
      </c>
      <c r="AF41" s="6">
        <f>SMALL(RegatasN,3)</f>
        <v>0</v>
      </c>
      <c r="AG41" s="5" cm="1">
        <f t="array" ref="AG41">COUNTIF(Regatas,SMALL(Regatas,1))</f>
        <v>0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 x14ac:dyDescent="0.25">
      <c r="A42">
        <v>50231520</v>
      </c>
      <c r="B42" s="10">
        <f>ROW()-ROW(Selectivo6[[#Headers],[Pos]])</f>
        <v>36</v>
      </c>
      <c r="C42" s="5">
        <v>4086</v>
      </c>
      <c r="D42" t="s">
        <v>698</v>
      </c>
      <c r="E42" t="s">
        <v>16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2"/>
      <c r="Q42" s="13"/>
      <c r="R42" s="13"/>
      <c r="S42" s="13"/>
      <c r="T42" s="13"/>
      <c r="U42" s="13"/>
      <c r="V42" s="13"/>
      <c r="W42" s="13"/>
      <c r="X42" s="12"/>
      <c r="Y42" s="13"/>
      <c r="Z42" s="13"/>
      <c r="AA42" s="12"/>
      <c r="AB42" s="8" cm="1">
        <f t="array" ref="AB42">SUM(IFERROR(VALUE(LEFT(Regatas, FIND(" ",Regatas&amp; " ") - 1)), 0))</f>
        <v>0</v>
      </c>
      <c r="AC42" s="9" cm="1">
        <f t="array" ref="AC4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2" s="6">
        <f>SMALL(RegatasN,1)</f>
        <v>0</v>
      </c>
      <c r="AE42" s="6">
        <f>SMALL(RegatasN,2)</f>
        <v>0</v>
      </c>
      <c r="AF42" s="6">
        <f>SMALL(RegatasN,3)</f>
        <v>0</v>
      </c>
      <c r="AG42" s="5" cm="1">
        <f t="array" ref="AG42">COUNTIF(Regatas,SMALL(Regatas,1))</f>
        <v>0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 x14ac:dyDescent="0.25">
      <c r="A43">
        <v>51422775</v>
      </c>
      <c r="B43" s="10">
        <f>ROW()-ROW(Selectivo6[[#Headers],[Pos]])</f>
        <v>37</v>
      </c>
      <c r="C43" s="5">
        <v>3862</v>
      </c>
      <c r="D43" t="s">
        <v>693</v>
      </c>
      <c r="E43" t="s">
        <v>6</v>
      </c>
      <c r="F43" s="13"/>
      <c r="G43" s="13"/>
      <c r="H43" s="13"/>
      <c r="I43" s="13"/>
      <c r="J43" s="13"/>
      <c r="K43" s="12"/>
      <c r="L43" s="13"/>
      <c r="M43" s="13"/>
      <c r="N43" s="13"/>
      <c r="O43" s="13"/>
      <c r="P43" s="13"/>
      <c r="Q43" s="13"/>
      <c r="R43" s="13"/>
      <c r="S43" s="12"/>
      <c r="T43" s="13"/>
      <c r="U43" s="13"/>
      <c r="V43" s="13"/>
      <c r="W43" s="13"/>
      <c r="X43" s="13"/>
      <c r="Y43" s="12"/>
      <c r="Z43" s="13"/>
      <c r="AA43" s="13"/>
      <c r="AB43" s="8" cm="1">
        <f t="array" ref="AB43">SUM(IFERROR(VALUE(LEFT(Regatas, FIND(" ",Regatas&amp; " ") - 1)), 0))</f>
        <v>0</v>
      </c>
      <c r="AC43" s="9" cm="1">
        <f t="array" ref="AC4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3" s="6">
        <f>SMALL(RegatasN,1)</f>
        <v>0</v>
      </c>
      <c r="AE43" s="6">
        <f>SMALL(RegatasN,2)</f>
        <v>0</v>
      </c>
      <c r="AF43" s="6">
        <f>SMALL(RegatasN,3)</f>
        <v>0</v>
      </c>
      <c r="AG43" s="5" cm="1">
        <f t="array" ref="AG43">COUNTIF(Regatas,SMALL(Regatas,1))</f>
        <v>0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 x14ac:dyDescent="0.25">
      <c r="A44">
        <v>52192618</v>
      </c>
      <c r="B44" s="10">
        <f>ROW()-ROW(Selectivo6[[#Headers],[Pos]])</f>
        <v>38</v>
      </c>
      <c r="C44" s="5">
        <v>4135</v>
      </c>
      <c r="D44" t="s">
        <v>617</v>
      </c>
      <c r="E44" t="s">
        <v>23</v>
      </c>
      <c r="F44" s="12"/>
      <c r="G44" s="13"/>
      <c r="H44" s="13"/>
      <c r="I44" s="12"/>
      <c r="J44" s="13"/>
      <c r="K44" s="13"/>
      <c r="L44" s="13"/>
      <c r="M44" s="12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8" cm="1">
        <f t="array" ref="AB44">SUM(IFERROR(VALUE(LEFT(Regatas, FIND(" ",Regatas&amp; " ") - 1)), 0))</f>
        <v>0</v>
      </c>
      <c r="AC44" s="9" cm="1">
        <f t="array" ref="AC4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4" s="6">
        <f>SMALL(RegatasN,1)</f>
        <v>0</v>
      </c>
      <c r="AE44" s="6">
        <f>SMALL(RegatasN,2)</f>
        <v>0</v>
      </c>
      <c r="AF44" s="6">
        <f>SMALL(RegatasN,3)</f>
        <v>0</v>
      </c>
      <c r="AG44" s="5" cm="1">
        <f t="array" ref="AG44">COUNTIF(Regatas,SMALL(Regatas,1))</f>
        <v>0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 x14ac:dyDescent="0.25">
      <c r="A45">
        <v>50510057</v>
      </c>
      <c r="B45" s="10">
        <f>ROW()-ROW(Selectivo6[[#Headers],[Pos]])</f>
        <v>39</v>
      </c>
      <c r="C45" s="5">
        <v>4210</v>
      </c>
      <c r="D45" t="s">
        <v>727</v>
      </c>
      <c r="E45" t="s">
        <v>21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2"/>
      <c r="R45" s="13"/>
      <c r="S45" s="13"/>
      <c r="T45" s="13"/>
      <c r="U45" s="13"/>
      <c r="V45" s="13"/>
      <c r="W45" s="12"/>
      <c r="X45" s="13"/>
      <c r="Y45" s="12"/>
      <c r="Z45" s="13"/>
      <c r="AA45" s="13"/>
      <c r="AB45" s="8" cm="1">
        <f t="array" ref="AB45">SUM(IFERROR(VALUE(LEFT(Regatas, FIND(" ",Regatas&amp; " ") - 1)), 0))</f>
        <v>0</v>
      </c>
      <c r="AC45" s="9" cm="1">
        <f t="array" ref="AC4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5" s="6">
        <f>SMALL(RegatasN,1)</f>
        <v>0</v>
      </c>
      <c r="AE45" s="6">
        <f>SMALL(RegatasN,2)</f>
        <v>0</v>
      </c>
      <c r="AF45" s="6">
        <f>SMALL(RegatasN,3)</f>
        <v>0</v>
      </c>
      <c r="AG45" s="5" cm="1">
        <f t="array" ref="AG45">COUNTIF(Regatas,SMALL(Regatas,1))</f>
        <v>0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 x14ac:dyDescent="0.25">
      <c r="A46">
        <v>52699830</v>
      </c>
      <c r="B46" s="10">
        <f>ROW()-ROW(Selectivo6[[#Headers],[Pos]])</f>
        <v>40</v>
      </c>
      <c r="C46" s="5">
        <v>4181</v>
      </c>
      <c r="D46" t="s">
        <v>668</v>
      </c>
      <c r="E46" t="s">
        <v>5</v>
      </c>
      <c r="F46" s="13"/>
      <c r="G46" s="13"/>
      <c r="H46" s="13"/>
      <c r="I46" s="13"/>
      <c r="J46" s="13"/>
      <c r="K46" s="13"/>
      <c r="L46" s="12"/>
      <c r="M46" s="12"/>
      <c r="N46" s="13"/>
      <c r="O46" s="12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8" cm="1">
        <f t="array" ref="AB46">SUM(IFERROR(VALUE(LEFT(Regatas, FIND(" ",Regatas&amp; " ") - 1)), 0))</f>
        <v>0</v>
      </c>
      <c r="AC46" s="9" cm="1">
        <f t="array" ref="AC4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6" s="6">
        <f>SMALL(RegatasN,1)</f>
        <v>0</v>
      </c>
      <c r="AE46" s="6">
        <f>SMALL(RegatasN,2)</f>
        <v>0</v>
      </c>
      <c r="AF46" s="6">
        <f>SMALL(RegatasN,3)</f>
        <v>0</v>
      </c>
      <c r="AG46" s="5" cm="1">
        <f t="array" ref="AG46">COUNTIF(Regatas,SMALL(Regatas,1))</f>
        <v>0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 x14ac:dyDescent="0.25">
      <c r="A47">
        <v>50671157</v>
      </c>
      <c r="B47" s="10">
        <f>ROW()-ROW(Selectivo6[[#Headers],[Pos]])</f>
        <v>41</v>
      </c>
      <c r="C47" s="5">
        <v>4192</v>
      </c>
      <c r="D47" t="s">
        <v>722</v>
      </c>
      <c r="E47" t="s">
        <v>22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2"/>
      <c r="V47" s="12"/>
      <c r="W47" s="13"/>
      <c r="X47" s="12"/>
      <c r="Y47" s="13"/>
      <c r="Z47" s="13"/>
      <c r="AA47" s="13"/>
      <c r="AB47" s="8" cm="1">
        <f t="array" ref="AB47">SUM(IFERROR(VALUE(LEFT(Regatas, FIND(" ",Regatas&amp; " ") - 1)), 0))</f>
        <v>0</v>
      </c>
      <c r="AC47" s="9" cm="1">
        <f t="array" ref="AC4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7" s="6">
        <f>SMALL(RegatasN,1)</f>
        <v>0</v>
      </c>
      <c r="AE47" s="6">
        <f>SMALL(RegatasN,2)</f>
        <v>0</v>
      </c>
      <c r="AF47" s="6">
        <f>SMALL(RegatasN,3)</f>
        <v>0</v>
      </c>
      <c r="AG47" s="5" cm="1">
        <f t="array" ref="AG47">COUNTIF(Regatas,SMALL(Regatas,1))</f>
        <v>0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 x14ac:dyDescent="0.25">
      <c r="A48">
        <v>50418350</v>
      </c>
      <c r="B48" s="10">
        <f>ROW()-ROW(Selectivo6[[#Headers],[Pos]])</f>
        <v>42</v>
      </c>
      <c r="C48" s="5">
        <v>4119</v>
      </c>
      <c r="D48" t="s">
        <v>605</v>
      </c>
      <c r="E48" t="s">
        <v>21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2"/>
      <c r="V48" s="13"/>
      <c r="W48" s="13"/>
      <c r="X48" s="12"/>
      <c r="Y48" s="13"/>
      <c r="Z48" s="12"/>
      <c r="AA48" s="13"/>
      <c r="AB48" s="8" cm="1">
        <f t="array" ref="AB48">SUM(IFERROR(VALUE(LEFT(Regatas, FIND(" ",Regatas&amp; " ") - 1)), 0))</f>
        <v>0</v>
      </c>
      <c r="AC48" s="9" cm="1">
        <f t="array" ref="AC4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8" s="6">
        <f>SMALL(RegatasN,1)</f>
        <v>0</v>
      </c>
      <c r="AE48" s="6">
        <f>SMALL(RegatasN,2)</f>
        <v>0</v>
      </c>
      <c r="AF48" s="6">
        <f>SMALL(RegatasN,3)</f>
        <v>0</v>
      </c>
      <c r="AG48" s="5" cm="1">
        <f t="array" ref="AG48">COUNTIF(Regatas,SMALL(Regatas,1))</f>
        <v>0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 x14ac:dyDescent="0.25">
      <c r="A49">
        <v>52122807</v>
      </c>
      <c r="B49" s="10">
        <f>ROW()-ROW(Selectivo6[[#Headers],[Pos]])</f>
        <v>43</v>
      </c>
      <c r="C49" s="5">
        <v>4204</v>
      </c>
      <c r="D49" t="s">
        <v>709</v>
      </c>
      <c r="E49" t="s">
        <v>26</v>
      </c>
      <c r="F49" s="12"/>
      <c r="G49" s="13"/>
      <c r="H49" s="13"/>
      <c r="I49" s="12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2"/>
      <c r="AB49" s="8" cm="1">
        <f t="array" ref="AB49">SUM(IFERROR(VALUE(LEFT(Regatas, FIND(" ",Regatas&amp; " ") - 1)), 0))</f>
        <v>0</v>
      </c>
      <c r="AC49" s="9" cm="1">
        <f t="array" ref="AC4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49" s="6">
        <f>SMALL(RegatasN,1)</f>
        <v>0</v>
      </c>
      <c r="AE49" s="6">
        <f>SMALL(RegatasN,2)</f>
        <v>0</v>
      </c>
      <c r="AF49" s="6">
        <f>SMALL(RegatasN,3)</f>
        <v>0</v>
      </c>
      <c r="AG49" s="5" cm="1">
        <f t="array" ref="AG49">COUNTIF(Regatas,SMALL(Regatas,1))</f>
        <v>0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 x14ac:dyDescent="0.25">
      <c r="A50">
        <v>50156147</v>
      </c>
      <c r="B50" s="10">
        <f>ROW()-ROW(Selectivo6[[#Headers],[Pos]])</f>
        <v>44</v>
      </c>
      <c r="C50" s="5">
        <v>3991</v>
      </c>
      <c r="D50" t="s">
        <v>741</v>
      </c>
      <c r="E50" t="s">
        <v>26</v>
      </c>
      <c r="F50" s="13"/>
      <c r="G50" s="13"/>
      <c r="H50" s="13"/>
      <c r="I50" s="13"/>
      <c r="J50" s="12"/>
      <c r="K50" s="13"/>
      <c r="L50" s="13"/>
      <c r="M50" s="13"/>
      <c r="N50" s="13"/>
      <c r="O50" s="13"/>
      <c r="P50" s="13"/>
      <c r="Q50" s="13"/>
      <c r="R50" s="13"/>
      <c r="S50" s="12"/>
      <c r="T50" s="13"/>
      <c r="U50" s="13"/>
      <c r="V50" s="12"/>
      <c r="W50" s="13"/>
      <c r="X50" s="13"/>
      <c r="Y50" s="13"/>
      <c r="Z50" s="13"/>
      <c r="AA50" s="13"/>
      <c r="AB50" s="8" cm="1">
        <f t="array" ref="AB50">SUM(IFERROR(VALUE(LEFT(Regatas, FIND(" ",Regatas&amp; " ") - 1)), 0))</f>
        <v>0</v>
      </c>
      <c r="AC50" s="9" cm="1">
        <f t="array" ref="AC5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0" s="6">
        <f>SMALL(RegatasN,1)</f>
        <v>0</v>
      </c>
      <c r="AE50" s="6">
        <f>SMALL(RegatasN,2)</f>
        <v>0</v>
      </c>
      <c r="AF50" s="6">
        <f>SMALL(RegatasN,3)</f>
        <v>0</v>
      </c>
      <c r="AG50" s="5" cm="1">
        <f t="array" ref="AG50">COUNTIF(Regatas,SMALL(Regatas,1))</f>
        <v>0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 x14ac:dyDescent="0.25">
      <c r="A51">
        <v>50030847</v>
      </c>
      <c r="B51" s="10">
        <f>ROW()-ROW(Selectivo6[[#Headers],[Pos]])</f>
        <v>45</v>
      </c>
      <c r="C51" s="5">
        <v>4123</v>
      </c>
      <c r="D51" t="s">
        <v>696</v>
      </c>
      <c r="E51" t="s">
        <v>5</v>
      </c>
      <c r="F51" s="13"/>
      <c r="G51" s="13"/>
      <c r="H51" s="13"/>
      <c r="I51" s="13"/>
      <c r="J51" s="13"/>
      <c r="K51" s="13"/>
      <c r="L51" s="13"/>
      <c r="M51" s="12"/>
      <c r="N51" s="12"/>
      <c r="O51" s="13"/>
      <c r="P51" s="13"/>
      <c r="Q51" s="13"/>
      <c r="R51" s="13"/>
      <c r="S51" s="13"/>
      <c r="T51" s="13"/>
      <c r="U51" s="12"/>
      <c r="V51" s="13"/>
      <c r="W51" s="13"/>
      <c r="X51" s="13"/>
      <c r="Y51" s="13"/>
      <c r="Z51" s="13"/>
      <c r="AA51" s="13"/>
      <c r="AB51" s="8" cm="1">
        <f t="array" ref="AB51">SUM(IFERROR(VALUE(LEFT(Regatas, FIND(" ",Regatas&amp; " ") - 1)), 0))</f>
        <v>0</v>
      </c>
      <c r="AC51" s="9" cm="1">
        <f t="array" ref="AC5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1" s="6">
        <f>SMALL(RegatasN,1)</f>
        <v>0</v>
      </c>
      <c r="AE51" s="6">
        <f>SMALL(RegatasN,2)</f>
        <v>0</v>
      </c>
      <c r="AF51" s="6">
        <f>SMALL(RegatasN,3)</f>
        <v>0</v>
      </c>
      <c r="AG51" s="5" cm="1">
        <f t="array" ref="AG51">COUNTIF(Regatas,SMALL(Regatas,1))</f>
        <v>0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 x14ac:dyDescent="0.25">
      <c r="A52">
        <v>52366875</v>
      </c>
      <c r="B52" s="10">
        <f>ROW()-ROW(Selectivo6[[#Headers],[Pos]])</f>
        <v>46</v>
      </c>
      <c r="C52" s="5">
        <v>4167</v>
      </c>
      <c r="D52" t="s">
        <v>687</v>
      </c>
      <c r="E52" t="s">
        <v>17</v>
      </c>
      <c r="F52" s="13"/>
      <c r="G52" s="13"/>
      <c r="H52" s="13"/>
      <c r="I52" s="13"/>
      <c r="J52" s="13"/>
      <c r="K52" s="13"/>
      <c r="L52" s="13"/>
      <c r="M52" s="12"/>
      <c r="N52" s="13"/>
      <c r="O52" s="13"/>
      <c r="P52" s="13"/>
      <c r="Q52" s="13"/>
      <c r="R52" s="12"/>
      <c r="S52" s="13"/>
      <c r="T52" s="13"/>
      <c r="U52" s="12"/>
      <c r="V52" s="13"/>
      <c r="W52" s="13"/>
      <c r="X52" s="13"/>
      <c r="Y52" s="13"/>
      <c r="Z52" s="13"/>
      <c r="AA52" s="13"/>
      <c r="AB52" s="8" cm="1">
        <f t="array" ref="AB52">SUM(IFERROR(VALUE(LEFT(Regatas, FIND(" ",Regatas&amp; " ") - 1)), 0))</f>
        <v>0</v>
      </c>
      <c r="AC52" s="9" cm="1">
        <f t="array" ref="AC5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2" s="6">
        <f>SMALL(RegatasN,1)</f>
        <v>0</v>
      </c>
      <c r="AE52" s="6">
        <f>SMALL(RegatasN,2)</f>
        <v>0</v>
      </c>
      <c r="AF52" s="6">
        <f>SMALL(RegatasN,3)</f>
        <v>0</v>
      </c>
      <c r="AG52" s="5" cm="1">
        <f t="array" ref="AG52">COUNTIF(Regatas,SMALL(Regatas,1))</f>
        <v>0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 x14ac:dyDescent="0.25">
      <c r="A53">
        <v>52755200</v>
      </c>
      <c r="B53" s="10">
        <f>ROW()-ROW(Selectivo6[[#Headers],[Pos]])</f>
        <v>47</v>
      </c>
      <c r="C53" s="5">
        <v>3738</v>
      </c>
      <c r="D53" t="s">
        <v>655</v>
      </c>
      <c r="E53" t="s">
        <v>17</v>
      </c>
      <c r="F53" s="13"/>
      <c r="G53" s="13"/>
      <c r="H53" s="13"/>
      <c r="I53" s="13"/>
      <c r="J53" s="13"/>
      <c r="K53" s="13"/>
      <c r="L53" s="13"/>
      <c r="M53" s="13"/>
      <c r="N53" s="12"/>
      <c r="O53" s="13"/>
      <c r="P53" s="13"/>
      <c r="Q53" s="13"/>
      <c r="R53" s="12"/>
      <c r="S53" s="13"/>
      <c r="T53" s="13"/>
      <c r="U53" s="13"/>
      <c r="V53" s="12"/>
      <c r="W53" s="13"/>
      <c r="X53" s="13"/>
      <c r="Y53" s="13"/>
      <c r="Z53" s="13"/>
      <c r="AA53" s="13"/>
      <c r="AB53" s="8" cm="1">
        <f t="array" ref="AB53">SUM(IFERROR(VALUE(LEFT(Regatas, FIND(" ",Regatas&amp; " ") - 1)), 0))</f>
        <v>0</v>
      </c>
      <c r="AC53" s="9" cm="1">
        <f t="array" ref="AC5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3" s="6">
        <f>SMALL(RegatasN,1)</f>
        <v>0</v>
      </c>
      <c r="AE53" s="6">
        <f>SMALL(RegatasN,2)</f>
        <v>0</v>
      </c>
      <c r="AF53" s="6">
        <f>SMALL(RegatasN,3)</f>
        <v>0</v>
      </c>
      <c r="AG53" s="5" cm="1">
        <f t="array" ref="AG53">COUNTIF(Regatas,SMALL(Regatas,1))</f>
        <v>0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 x14ac:dyDescent="0.25">
      <c r="A54">
        <v>51167440</v>
      </c>
      <c r="B54" s="10">
        <f>ROW()-ROW(Selectivo6[[#Headers],[Pos]])</f>
        <v>48</v>
      </c>
      <c r="C54" s="5">
        <v>4001</v>
      </c>
      <c r="D54" t="s">
        <v>615</v>
      </c>
      <c r="E54" t="s">
        <v>23</v>
      </c>
      <c r="F54" s="13"/>
      <c r="G54" s="13"/>
      <c r="H54" s="13"/>
      <c r="I54" s="13"/>
      <c r="J54" s="13"/>
      <c r="K54" s="13"/>
      <c r="L54" s="13"/>
      <c r="M54" s="12"/>
      <c r="N54" s="13"/>
      <c r="O54" s="12"/>
      <c r="P54" s="13"/>
      <c r="Q54" s="13"/>
      <c r="R54" s="13"/>
      <c r="S54" s="13"/>
      <c r="T54" s="13"/>
      <c r="U54" s="13"/>
      <c r="V54" s="12"/>
      <c r="W54" s="13"/>
      <c r="X54" s="13"/>
      <c r="Y54" s="13"/>
      <c r="Z54" s="13"/>
      <c r="AA54" s="13"/>
      <c r="AB54" s="8" cm="1">
        <f t="array" ref="AB54">SUM(IFERROR(VALUE(LEFT(Regatas, FIND(" ",Regatas&amp; " ") - 1)), 0))</f>
        <v>0</v>
      </c>
      <c r="AC54" s="9" cm="1">
        <f t="array" ref="AC5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4" s="6">
        <f>SMALL(RegatasN,1)</f>
        <v>0</v>
      </c>
      <c r="AE54" s="6">
        <f>SMALL(RegatasN,2)</f>
        <v>0</v>
      </c>
      <c r="AF54" s="6">
        <f>SMALL(RegatasN,3)</f>
        <v>0</v>
      </c>
      <c r="AG54" s="5" cm="1">
        <f t="array" ref="AG54">COUNTIF(Regatas,SMALL(Regatas,1))</f>
        <v>0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 x14ac:dyDescent="0.25">
      <c r="A55">
        <v>50121353</v>
      </c>
      <c r="B55" s="10">
        <f>ROW()-ROW(Selectivo6[[#Headers],[Pos]])</f>
        <v>49</v>
      </c>
      <c r="C55" s="5">
        <v>3964</v>
      </c>
      <c r="D55" t="s">
        <v>704</v>
      </c>
      <c r="E55" t="s">
        <v>31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2"/>
      <c r="W55" s="13"/>
      <c r="X55" s="13"/>
      <c r="Y55" s="12"/>
      <c r="Z55" s="13"/>
      <c r="AA55" s="12"/>
      <c r="AB55" s="8" cm="1">
        <f t="array" ref="AB55">SUM(IFERROR(VALUE(LEFT(Regatas, FIND(" ",Regatas&amp; " ") - 1)), 0))</f>
        <v>0</v>
      </c>
      <c r="AC55" s="9" cm="1">
        <f t="array" ref="AC5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5" s="6">
        <f>SMALL(RegatasN,1)</f>
        <v>0</v>
      </c>
      <c r="AE55" s="6">
        <f>SMALL(RegatasN,2)</f>
        <v>0</v>
      </c>
      <c r="AF55" s="6">
        <f>SMALL(RegatasN,3)</f>
        <v>0</v>
      </c>
      <c r="AG55" s="5" cm="1">
        <f t="array" ref="AG55">COUNTIF(Regatas,SMALL(Regatas,1))</f>
        <v>0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 x14ac:dyDescent="0.25">
      <c r="A56">
        <v>53185733</v>
      </c>
      <c r="B56" s="10">
        <f>ROW()-ROW(Selectivo6[[#Headers],[Pos]])</f>
        <v>50</v>
      </c>
      <c r="C56" s="5">
        <v>3938</v>
      </c>
      <c r="D56" t="s">
        <v>689</v>
      </c>
      <c r="E56" t="s">
        <v>8</v>
      </c>
      <c r="F56" s="13"/>
      <c r="G56" s="13"/>
      <c r="H56" s="12"/>
      <c r="I56" s="12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2"/>
      <c r="Z56" s="13"/>
      <c r="AA56" s="13"/>
      <c r="AB56" s="8" cm="1">
        <f t="array" ref="AB56">SUM(IFERROR(VALUE(LEFT(Regatas, FIND(" ",Regatas&amp; " ") - 1)), 0))</f>
        <v>0</v>
      </c>
      <c r="AC56" s="9" cm="1">
        <f t="array" ref="AC5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6" s="6">
        <f>SMALL(RegatasN,1)</f>
        <v>0</v>
      </c>
      <c r="AE56" s="6">
        <f>SMALL(RegatasN,2)</f>
        <v>0</v>
      </c>
      <c r="AF56" s="6">
        <f>SMALL(RegatasN,3)</f>
        <v>0</v>
      </c>
      <c r="AG56" s="5" cm="1">
        <f t="array" ref="AG56">COUNTIF(Regatas,SMALL(Regatas,1))</f>
        <v>0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 x14ac:dyDescent="0.25">
      <c r="A57">
        <v>52366183</v>
      </c>
      <c r="B57" s="10">
        <f>ROW()-ROW(Selectivo6[[#Headers],[Pos]])</f>
        <v>51</v>
      </c>
      <c r="C57" s="5">
        <v>3996</v>
      </c>
      <c r="D57" t="s">
        <v>680</v>
      </c>
      <c r="E57" t="s">
        <v>8</v>
      </c>
      <c r="F57" s="13"/>
      <c r="G57" s="13"/>
      <c r="H57" s="13"/>
      <c r="I57" s="12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2"/>
      <c r="X57" s="13"/>
      <c r="Y57" s="12"/>
      <c r="Z57" s="13"/>
      <c r="AA57" s="13"/>
      <c r="AB57" s="8" cm="1">
        <f t="array" ref="AB57">SUM(IFERROR(VALUE(LEFT(Regatas, FIND(" ",Regatas&amp; " ") - 1)), 0))</f>
        <v>0</v>
      </c>
      <c r="AC57" s="9" cm="1">
        <f t="array" ref="AC5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7" s="6">
        <f>SMALL(RegatasN,1)</f>
        <v>0</v>
      </c>
      <c r="AE57" s="6">
        <f>SMALL(RegatasN,2)</f>
        <v>0</v>
      </c>
      <c r="AF57" s="6">
        <f>SMALL(RegatasN,3)</f>
        <v>0</v>
      </c>
      <c r="AG57" s="5" cm="1">
        <f t="array" ref="AG57">COUNTIF(Regatas,SMALL(Regatas,1))</f>
        <v>0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 x14ac:dyDescent="0.25">
      <c r="A58">
        <v>52073632</v>
      </c>
      <c r="B58" s="10">
        <f>ROW()-ROW(Selectivo6[[#Headers],[Pos]])</f>
        <v>52</v>
      </c>
      <c r="C58" s="5">
        <v>4139</v>
      </c>
      <c r="D58" t="s">
        <v>684</v>
      </c>
      <c r="E58" t="s">
        <v>33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2"/>
      <c r="U58" s="13"/>
      <c r="V58" s="12"/>
      <c r="W58" s="12"/>
      <c r="X58" s="13"/>
      <c r="Y58" s="13"/>
      <c r="Z58" s="13"/>
      <c r="AA58" s="13"/>
      <c r="AB58" s="8" cm="1">
        <f t="array" ref="AB58">SUM(IFERROR(VALUE(LEFT(Regatas, FIND(" ",Regatas&amp; " ") - 1)), 0))</f>
        <v>0</v>
      </c>
      <c r="AC58" s="9" cm="1">
        <f t="array" ref="AC5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8" s="6">
        <f>SMALL(RegatasN,1)</f>
        <v>0</v>
      </c>
      <c r="AE58" s="6">
        <f>SMALL(RegatasN,2)</f>
        <v>0</v>
      </c>
      <c r="AF58" s="6">
        <f>SMALL(RegatasN,3)</f>
        <v>0</v>
      </c>
      <c r="AG58" s="5" cm="1">
        <f t="array" ref="AG58">COUNTIF(Regatas,SMALL(Regatas,1))</f>
        <v>0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 x14ac:dyDescent="0.25">
      <c r="A59">
        <v>52875058</v>
      </c>
      <c r="B59" s="10">
        <f>ROW()-ROW(Selectivo6[[#Headers],[Pos]])</f>
        <v>53</v>
      </c>
      <c r="C59" s="5">
        <v>4142</v>
      </c>
      <c r="D59" t="s">
        <v>601</v>
      </c>
      <c r="E59" t="s">
        <v>17</v>
      </c>
      <c r="F59" s="13"/>
      <c r="G59" s="12"/>
      <c r="H59" s="13"/>
      <c r="I59" s="13"/>
      <c r="J59" s="13"/>
      <c r="K59" s="13"/>
      <c r="L59" s="13"/>
      <c r="M59" s="13"/>
      <c r="N59" s="13"/>
      <c r="O59" s="12"/>
      <c r="P59" s="13"/>
      <c r="Q59" s="13"/>
      <c r="R59" s="13"/>
      <c r="S59" s="13"/>
      <c r="T59" s="13"/>
      <c r="U59" s="13"/>
      <c r="V59" s="13"/>
      <c r="W59" s="13"/>
      <c r="X59" s="12"/>
      <c r="Y59" s="13"/>
      <c r="Z59" s="13"/>
      <c r="AA59" s="13"/>
      <c r="AB59" s="8" cm="1">
        <f t="array" ref="AB59">SUM(IFERROR(VALUE(LEFT(Regatas, FIND(" ",Regatas&amp; " ") - 1)), 0))</f>
        <v>0</v>
      </c>
      <c r="AC59" s="9" cm="1">
        <f t="array" ref="AC5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59" s="6">
        <f>SMALL(RegatasN,1)</f>
        <v>0</v>
      </c>
      <c r="AE59" s="6">
        <f>SMALL(RegatasN,2)</f>
        <v>0</v>
      </c>
      <c r="AF59" s="6">
        <f>SMALL(RegatasN,3)</f>
        <v>0</v>
      </c>
      <c r="AG59" s="5" cm="1">
        <f t="array" ref="AG59">COUNTIF(Regatas,SMALL(Regatas,1))</f>
        <v>0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 x14ac:dyDescent="0.25">
      <c r="A60">
        <v>50734365</v>
      </c>
      <c r="B60" s="10">
        <f>ROW()-ROW(Selectivo6[[#Headers],[Pos]])</f>
        <v>54</v>
      </c>
      <c r="C60" s="5">
        <v>3825</v>
      </c>
      <c r="D60" t="s">
        <v>738</v>
      </c>
      <c r="E60" t="s">
        <v>33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2"/>
      <c r="X60" s="12"/>
      <c r="Y60" s="13"/>
      <c r="Z60" s="12"/>
      <c r="AA60" s="13"/>
      <c r="AB60" s="8" cm="1">
        <f t="array" ref="AB60">SUM(IFERROR(VALUE(LEFT(Regatas, FIND(" ",Regatas&amp; " ") - 1)), 0))</f>
        <v>0</v>
      </c>
      <c r="AC60" s="9" cm="1">
        <f t="array" ref="AC6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0" s="6">
        <f>SMALL(RegatasN,1)</f>
        <v>0</v>
      </c>
      <c r="AE60" s="6">
        <f>SMALL(RegatasN,2)</f>
        <v>0</v>
      </c>
      <c r="AF60" s="6">
        <f>SMALL(RegatasN,3)</f>
        <v>0</v>
      </c>
      <c r="AG60" s="5" cm="1">
        <f t="array" ref="AG60">COUNTIF(Regatas,SMALL(Regatas,1))</f>
        <v>0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 x14ac:dyDescent="0.25">
      <c r="A61">
        <v>50235461</v>
      </c>
      <c r="B61" s="10">
        <f>ROW()-ROW(Selectivo6[[#Headers],[Pos]])</f>
        <v>55</v>
      </c>
      <c r="C61" s="5">
        <v>4061</v>
      </c>
      <c r="D61" t="s">
        <v>716</v>
      </c>
      <c r="E61" t="s">
        <v>13</v>
      </c>
      <c r="F61" s="13"/>
      <c r="G61" s="13"/>
      <c r="H61" s="13"/>
      <c r="I61" s="13"/>
      <c r="J61" s="13"/>
      <c r="K61" s="13"/>
      <c r="L61" s="13"/>
      <c r="M61" s="12"/>
      <c r="N61" s="12"/>
      <c r="O61" s="12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8" cm="1">
        <f t="array" ref="AB61">SUM(IFERROR(VALUE(LEFT(Regatas, FIND(" ",Regatas&amp; " ") - 1)), 0))</f>
        <v>0</v>
      </c>
      <c r="AC61" s="9" cm="1">
        <f t="array" ref="AC6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1" s="6">
        <f>SMALL(RegatasN,1)</f>
        <v>0</v>
      </c>
      <c r="AE61" s="6">
        <f>SMALL(RegatasN,2)</f>
        <v>0</v>
      </c>
      <c r="AF61" s="6">
        <f>SMALL(RegatasN,3)</f>
        <v>0</v>
      </c>
      <c r="AG61" s="5" cm="1">
        <f t="array" ref="AG61">COUNTIF(Regatas,SMALL(Regatas,1))</f>
        <v>0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 x14ac:dyDescent="0.25">
      <c r="A62">
        <v>50899423</v>
      </c>
      <c r="B62" s="10">
        <f>ROW()-ROW(Selectivo6[[#Headers],[Pos]])</f>
        <v>56</v>
      </c>
      <c r="C62" s="5">
        <v>3953</v>
      </c>
      <c r="D62" t="s">
        <v>753</v>
      </c>
      <c r="E62" t="s">
        <v>31</v>
      </c>
      <c r="F62" s="13"/>
      <c r="G62" s="13"/>
      <c r="H62" s="12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2"/>
      <c r="Y62" s="13"/>
      <c r="Z62" s="12"/>
      <c r="AA62" s="13"/>
      <c r="AB62" s="8" cm="1">
        <f t="array" ref="AB62">SUM(IFERROR(VALUE(LEFT(Regatas, FIND(" ",Regatas&amp; " ") - 1)), 0))</f>
        <v>0</v>
      </c>
      <c r="AC62" s="9" cm="1">
        <f t="array" ref="AC6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2" s="6">
        <f>SMALL(RegatasN,1)</f>
        <v>0</v>
      </c>
      <c r="AE62" s="6">
        <f>SMALL(RegatasN,2)</f>
        <v>0</v>
      </c>
      <c r="AF62" s="6">
        <f>SMALL(RegatasN,3)</f>
        <v>0</v>
      </c>
      <c r="AG62" s="5" cm="1">
        <f t="array" ref="AG62">COUNTIF(Regatas,SMALL(Regatas,1))</f>
        <v>0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 x14ac:dyDescent="0.25">
      <c r="A63">
        <v>52672616</v>
      </c>
      <c r="B63" s="10">
        <f>ROW()-ROW(Selectivo6[[#Headers],[Pos]])</f>
        <v>57</v>
      </c>
      <c r="C63" s="5">
        <v>3892</v>
      </c>
      <c r="D63" t="s">
        <v>641</v>
      </c>
      <c r="E63" t="s">
        <v>7</v>
      </c>
      <c r="F63" s="13"/>
      <c r="G63" s="13"/>
      <c r="H63" s="13"/>
      <c r="I63" s="13"/>
      <c r="J63" s="13"/>
      <c r="K63" s="13"/>
      <c r="L63" s="13"/>
      <c r="M63" s="12"/>
      <c r="N63" s="13"/>
      <c r="O63" s="13"/>
      <c r="P63" s="13"/>
      <c r="Q63" s="13"/>
      <c r="R63" s="12"/>
      <c r="S63" s="13"/>
      <c r="T63" s="13"/>
      <c r="U63" s="13"/>
      <c r="V63" s="12"/>
      <c r="W63" s="13"/>
      <c r="X63" s="13"/>
      <c r="Y63" s="13"/>
      <c r="Z63" s="13"/>
      <c r="AA63" s="13"/>
      <c r="AB63" s="8" cm="1">
        <f t="array" ref="AB63">SUM(IFERROR(VALUE(LEFT(Regatas, FIND(" ",Regatas&amp; " ") - 1)), 0))</f>
        <v>0</v>
      </c>
      <c r="AC63" s="9" cm="1">
        <f t="array" ref="AC6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3" s="6">
        <f>SMALL(RegatasN,1)</f>
        <v>0</v>
      </c>
      <c r="AE63" s="6">
        <f>SMALL(RegatasN,2)</f>
        <v>0</v>
      </c>
      <c r="AF63" s="6">
        <f>SMALL(RegatasN,3)</f>
        <v>0</v>
      </c>
      <c r="AG63" s="5" cm="1">
        <f t="array" ref="AG63">COUNTIF(Regatas,SMALL(Regatas,1))</f>
        <v>0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 x14ac:dyDescent="0.25">
      <c r="A64">
        <v>50349144</v>
      </c>
      <c r="B64" s="10">
        <f>ROW()-ROW(Selectivo6[[#Headers],[Pos]])</f>
        <v>58</v>
      </c>
      <c r="C64" s="5">
        <v>3989</v>
      </c>
      <c r="D64" t="s">
        <v>745</v>
      </c>
      <c r="E64" t="s">
        <v>22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2"/>
      <c r="Z64" s="12"/>
      <c r="AA64" s="12"/>
      <c r="AB64" s="8" cm="1">
        <f t="array" ref="AB64">SUM(IFERROR(VALUE(LEFT(Regatas, FIND(" ",Regatas&amp; " ") - 1)), 0))</f>
        <v>0</v>
      </c>
      <c r="AC64" s="9" cm="1">
        <f t="array" ref="AC6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4" s="6">
        <f>SMALL(RegatasN,1)</f>
        <v>0</v>
      </c>
      <c r="AE64" s="6">
        <f>SMALL(RegatasN,2)</f>
        <v>0</v>
      </c>
      <c r="AF64" s="6">
        <f>SMALL(RegatasN,3)</f>
        <v>0</v>
      </c>
      <c r="AG64" s="5" cm="1">
        <f t="array" ref="AG64">COUNTIF(Regatas,SMALL(Regatas,1))</f>
        <v>0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 x14ac:dyDescent="0.25">
      <c r="A65">
        <v>52003396</v>
      </c>
      <c r="B65" s="10">
        <f>ROW()-ROW(Selectivo6[[#Headers],[Pos]])</f>
        <v>59</v>
      </c>
      <c r="C65" s="5">
        <v>4152</v>
      </c>
      <c r="D65" t="s">
        <v>585</v>
      </c>
      <c r="E65" t="s">
        <v>11</v>
      </c>
      <c r="F65" s="13"/>
      <c r="G65" s="13"/>
      <c r="H65" s="13"/>
      <c r="I65" s="13"/>
      <c r="J65" s="12"/>
      <c r="K65" s="13"/>
      <c r="L65" s="13"/>
      <c r="M65" s="13"/>
      <c r="N65" s="12"/>
      <c r="O65" s="13"/>
      <c r="P65" s="13"/>
      <c r="Q65" s="12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8" cm="1">
        <f t="array" ref="AB65">SUM(IFERROR(VALUE(LEFT(Regatas, FIND(" ",Regatas&amp; " ") - 1)), 0))</f>
        <v>0</v>
      </c>
      <c r="AC65" s="9" cm="1">
        <f t="array" ref="AC6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5" s="6">
        <f>SMALL(RegatasN,1)</f>
        <v>0</v>
      </c>
      <c r="AE65" s="6">
        <f>SMALL(RegatasN,2)</f>
        <v>0</v>
      </c>
      <c r="AF65" s="6">
        <f>SMALL(RegatasN,3)</f>
        <v>0</v>
      </c>
      <c r="AG65" s="5" cm="1">
        <f t="array" ref="AG65">COUNTIF(Regatas,SMALL(Regatas,1))</f>
        <v>0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 x14ac:dyDescent="0.25">
      <c r="A66">
        <v>51073305</v>
      </c>
      <c r="B66" s="10">
        <f>ROW()-ROW(Selectivo6[[#Headers],[Pos]])</f>
        <v>60</v>
      </c>
      <c r="C66" s="5">
        <v>4028</v>
      </c>
      <c r="D66" t="s">
        <v>686</v>
      </c>
      <c r="E66" t="s">
        <v>7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2"/>
      <c r="Q66" s="13"/>
      <c r="R66" s="13"/>
      <c r="S66" s="13"/>
      <c r="T66" s="13"/>
      <c r="U66" s="13"/>
      <c r="V66" s="12"/>
      <c r="W66" s="13"/>
      <c r="X66" s="13"/>
      <c r="Y66" s="13"/>
      <c r="Z66" s="13"/>
      <c r="AA66" s="12"/>
      <c r="AB66" s="8" cm="1">
        <f t="array" ref="AB66">SUM(IFERROR(VALUE(LEFT(Regatas, FIND(" ",Regatas&amp; " ") - 1)), 0))</f>
        <v>0</v>
      </c>
      <c r="AC66" s="9" cm="1">
        <f t="array" ref="AC6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6" s="6">
        <f>SMALL(RegatasN,1)</f>
        <v>0</v>
      </c>
      <c r="AE66" s="6">
        <f>SMALL(RegatasN,2)</f>
        <v>0</v>
      </c>
      <c r="AF66" s="6">
        <f>SMALL(RegatasN,3)</f>
        <v>0</v>
      </c>
      <c r="AG66" s="5" cm="1">
        <f t="array" ref="AG66">COUNTIF(Regatas,SMALL(Regatas,1))</f>
        <v>0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 x14ac:dyDescent="0.25">
      <c r="A67">
        <v>50149607</v>
      </c>
      <c r="B67" s="10">
        <f>ROW()-ROW(Selectivo6[[#Headers],[Pos]])</f>
        <v>61</v>
      </c>
      <c r="C67" s="5">
        <v>3986</v>
      </c>
      <c r="D67" t="s">
        <v>736</v>
      </c>
      <c r="E67" t="s">
        <v>31</v>
      </c>
      <c r="F67" s="13"/>
      <c r="G67" s="13"/>
      <c r="H67" s="13"/>
      <c r="I67" s="13"/>
      <c r="J67" s="12"/>
      <c r="K67" s="13"/>
      <c r="L67" s="13"/>
      <c r="M67" s="13"/>
      <c r="N67" s="13"/>
      <c r="O67" s="13"/>
      <c r="P67" s="13"/>
      <c r="Q67" s="13"/>
      <c r="R67" s="12"/>
      <c r="S67" s="13"/>
      <c r="T67" s="13"/>
      <c r="U67" s="13"/>
      <c r="V67" s="13"/>
      <c r="W67" s="13"/>
      <c r="X67" s="12"/>
      <c r="Y67" s="13"/>
      <c r="Z67" s="13"/>
      <c r="AA67" s="13"/>
      <c r="AB67" s="8" cm="1">
        <f t="array" ref="AB67">SUM(IFERROR(VALUE(LEFT(Regatas, FIND(" ",Regatas&amp; " ") - 1)), 0))</f>
        <v>0</v>
      </c>
      <c r="AC67" s="9" cm="1">
        <f t="array" ref="AC6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7" s="6">
        <f>SMALL(RegatasN,1)</f>
        <v>0</v>
      </c>
      <c r="AE67" s="6">
        <f>SMALL(RegatasN,2)</f>
        <v>0</v>
      </c>
      <c r="AF67" s="6">
        <f>SMALL(RegatasN,3)</f>
        <v>0</v>
      </c>
      <c r="AG67" s="5" cm="1">
        <f t="array" ref="AG67">COUNTIF(Regatas,SMALL(Regatas,1))</f>
        <v>0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 x14ac:dyDescent="0.25">
      <c r="A68">
        <v>51429146</v>
      </c>
      <c r="B68" s="10">
        <f>ROW()-ROW(Selectivo6[[#Headers],[Pos]])</f>
        <v>62</v>
      </c>
      <c r="C68" s="5">
        <v>4176</v>
      </c>
      <c r="D68" t="s">
        <v>739</v>
      </c>
      <c r="E68" t="s">
        <v>16</v>
      </c>
      <c r="F68" s="13"/>
      <c r="G68" s="13"/>
      <c r="H68" s="13"/>
      <c r="I68" s="13"/>
      <c r="J68" s="13"/>
      <c r="K68" s="13"/>
      <c r="L68" s="13"/>
      <c r="M68" s="13"/>
      <c r="N68" s="12"/>
      <c r="O68" s="13"/>
      <c r="P68" s="13"/>
      <c r="Q68" s="13"/>
      <c r="R68" s="13"/>
      <c r="S68" s="13"/>
      <c r="T68" s="13"/>
      <c r="U68" s="12"/>
      <c r="V68" s="13"/>
      <c r="W68" s="13"/>
      <c r="X68" s="13"/>
      <c r="Y68" s="13"/>
      <c r="Z68" s="12"/>
      <c r="AA68" s="13"/>
      <c r="AB68" s="8" cm="1">
        <f t="array" ref="AB68">SUM(IFERROR(VALUE(LEFT(Regatas, FIND(" ",Regatas&amp; " ") - 1)), 0))</f>
        <v>0</v>
      </c>
      <c r="AC68" s="9" cm="1">
        <f t="array" ref="AC6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8" s="6">
        <f>SMALL(RegatasN,1)</f>
        <v>0</v>
      </c>
      <c r="AE68" s="6">
        <f>SMALL(RegatasN,2)</f>
        <v>0</v>
      </c>
      <c r="AF68" s="6">
        <f>SMALL(RegatasN,3)</f>
        <v>0</v>
      </c>
      <c r="AG68" s="5" cm="1">
        <f t="array" ref="AG68">COUNTIF(Regatas,SMALL(Regatas,1))</f>
        <v>0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 x14ac:dyDescent="0.25">
      <c r="A69">
        <v>51572732</v>
      </c>
      <c r="B69" s="10">
        <f>ROW()-ROW(Selectivo6[[#Headers],[Pos]])</f>
        <v>63</v>
      </c>
      <c r="C69" s="5">
        <v>4057</v>
      </c>
      <c r="D69" t="s">
        <v>697</v>
      </c>
      <c r="E69" t="s">
        <v>26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2"/>
      <c r="Q69" s="12"/>
      <c r="R69" s="12"/>
      <c r="S69" s="13"/>
      <c r="T69" s="13"/>
      <c r="U69" s="13"/>
      <c r="V69" s="13"/>
      <c r="W69" s="13"/>
      <c r="X69" s="13"/>
      <c r="Y69" s="13"/>
      <c r="Z69" s="13"/>
      <c r="AA69" s="13"/>
      <c r="AB69" s="8" cm="1">
        <f t="array" ref="AB69">SUM(IFERROR(VALUE(LEFT(Regatas, FIND(" ",Regatas&amp; " ") - 1)), 0))</f>
        <v>0</v>
      </c>
      <c r="AC69" s="9" cm="1">
        <f t="array" ref="AC6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69" s="6">
        <f>SMALL(RegatasN,1)</f>
        <v>0</v>
      </c>
      <c r="AE69" s="6">
        <f>SMALL(RegatasN,2)</f>
        <v>0</v>
      </c>
      <c r="AF69" s="6">
        <f>SMALL(RegatasN,3)</f>
        <v>0</v>
      </c>
      <c r="AG69" s="5" cm="1">
        <f t="array" ref="AG69">COUNTIF(Regatas,SMALL(Regatas,1))</f>
        <v>0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 x14ac:dyDescent="0.25">
      <c r="A70">
        <v>51270746</v>
      </c>
      <c r="B70" s="10">
        <f>ROW()-ROW(Selectivo6[[#Headers],[Pos]])</f>
        <v>64</v>
      </c>
      <c r="C70" s="5">
        <v>4073</v>
      </c>
      <c r="D70" t="s">
        <v>737</v>
      </c>
      <c r="E70" t="s">
        <v>33</v>
      </c>
      <c r="F70" s="13"/>
      <c r="G70" s="13"/>
      <c r="H70" s="13"/>
      <c r="I70" s="13"/>
      <c r="J70" s="13"/>
      <c r="K70" s="13"/>
      <c r="L70" s="13"/>
      <c r="M70" s="12"/>
      <c r="N70" s="13"/>
      <c r="O70" s="12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2"/>
      <c r="AB70" s="8" cm="1">
        <f t="array" ref="AB70">SUM(IFERROR(VALUE(LEFT(Regatas, FIND(" ",Regatas&amp; " ") - 1)), 0))</f>
        <v>0</v>
      </c>
      <c r="AC70" s="9" cm="1">
        <f t="array" ref="AC7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0" s="6">
        <f>SMALL(RegatasN,1)</f>
        <v>0</v>
      </c>
      <c r="AE70" s="6">
        <f>SMALL(RegatasN,2)</f>
        <v>0</v>
      </c>
      <c r="AF70" s="6">
        <f>SMALL(RegatasN,3)</f>
        <v>0</v>
      </c>
      <c r="AG70" s="5" cm="1">
        <f t="array" ref="AG70">COUNTIF(Regatas,SMALL(Regatas,1))</f>
        <v>0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 x14ac:dyDescent="0.25">
      <c r="A71">
        <v>51586146</v>
      </c>
      <c r="B71" s="10">
        <f>ROW()-ROW(Selectivo6[[#Headers],[Pos]])</f>
        <v>65</v>
      </c>
      <c r="C71" s="5">
        <v>4194</v>
      </c>
      <c r="D71" t="s">
        <v>729</v>
      </c>
      <c r="E71" t="s">
        <v>5</v>
      </c>
      <c r="F71" s="13"/>
      <c r="G71" s="13"/>
      <c r="H71" s="13"/>
      <c r="I71" s="12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2"/>
      <c r="W71" s="13"/>
      <c r="X71" s="13"/>
      <c r="Y71" s="13"/>
      <c r="Z71" s="13"/>
      <c r="AA71" s="12"/>
      <c r="AB71" s="8" cm="1">
        <f t="array" ref="AB71">SUM(IFERROR(VALUE(LEFT(Regatas, FIND(" ",Regatas&amp; " ") - 1)), 0))</f>
        <v>0</v>
      </c>
      <c r="AC71" s="9" cm="1">
        <f t="array" ref="AC7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1" s="6">
        <f>SMALL(RegatasN,1)</f>
        <v>0</v>
      </c>
      <c r="AE71" s="6">
        <f>SMALL(RegatasN,2)</f>
        <v>0</v>
      </c>
      <c r="AF71" s="6">
        <f>SMALL(RegatasN,3)</f>
        <v>0</v>
      </c>
      <c r="AG71" s="5" cm="1">
        <f t="array" ref="AG71">COUNTIF(Regatas,SMALL(Regatas,1))</f>
        <v>0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 x14ac:dyDescent="0.25">
      <c r="A72">
        <v>51125913</v>
      </c>
      <c r="B72" s="10">
        <f>ROW()-ROW(Selectivo6[[#Headers],[Pos]])</f>
        <v>66</v>
      </c>
      <c r="C72" s="5">
        <v>4179</v>
      </c>
      <c r="D72" t="s">
        <v>675</v>
      </c>
      <c r="E72" t="s">
        <v>5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2"/>
      <c r="X72" s="13"/>
      <c r="Y72" s="12"/>
      <c r="Z72" s="12"/>
      <c r="AA72" s="13"/>
      <c r="AB72" s="8" cm="1">
        <f t="array" ref="AB72">SUM(IFERROR(VALUE(LEFT(Regatas, FIND(" ",Regatas&amp; " ") - 1)), 0))</f>
        <v>0</v>
      </c>
      <c r="AC72" s="9" cm="1">
        <f t="array" ref="AC7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2" s="6">
        <f>SMALL(RegatasN,1)</f>
        <v>0</v>
      </c>
      <c r="AE72" s="6">
        <f>SMALL(RegatasN,2)</f>
        <v>0</v>
      </c>
      <c r="AF72" s="6">
        <f>SMALL(RegatasN,3)</f>
        <v>0</v>
      </c>
      <c r="AG72" s="5" cm="1">
        <f t="array" ref="AG72">COUNTIF(Regatas,SMALL(Regatas,1))</f>
        <v>0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 x14ac:dyDescent="0.25">
      <c r="A73">
        <v>50075107</v>
      </c>
      <c r="B73" s="10">
        <f>ROW()-ROW(Selectivo6[[#Headers],[Pos]])</f>
        <v>67</v>
      </c>
      <c r="C73" s="5">
        <v>4045</v>
      </c>
      <c r="D73" t="s">
        <v>715</v>
      </c>
      <c r="E73" t="s">
        <v>13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2"/>
      <c r="W73" s="12"/>
      <c r="X73" s="13"/>
      <c r="Y73" s="13"/>
      <c r="Z73" s="13"/>
      <c r="AA73" s="12"/>
      <c r="AB73" s="8" cm="1">
        <f t="array" ref="AB73">SUM(IFERROR(VALUE(LEFT(Regatas, FIND(" ",Regatas&amp; " ") - 1)), 0))</f>
        <v>0</v>
      </c>
      <c r="AC73" s="9" cm="1">
        <f t="array" ref="AC7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3" s="6">
        <f>SMALL(RegatasN,1)</f>
        <v>0</v>
      </c>
      <c r="AE73" s="6">
        <f>SMALL(RegatasN,2)</f>
        <v>0</v>
      </c>
      <c r="AF73" s="6">
        <f>SMALL(RegatasN,3)</f>
        <v>0</v>
      </c>
      <c r="AG73" s="5" cm="1">
        <f t="array" ref="AG73">COUNTIF(Regatas,SMALL(Regatas,1))</f>
        <v>0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 x14ac:dyDescent="0.25">
      <c r="A74">
        <v>51588663</v>
      </c>
      <c r="B74" s="10">
        <f>ROW()-ROW(Selectivo6[[#Headers],[Pos]])</f>
        <v>68</v>
      </c>
      <c r="C74" s="5">
        <v>4188</v>
      </c>
      <c r="D74" t="s">
        <v>649</v>
      </c>
      <c r="E74" t="s">
        <v>5</v>
      </c>
      <c r="F74" s="13"/>
      <c r="G74" s="13"/>
      <c r="H74" s="12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2"/>
      <c r="U74" s="13"/>
      <c r="V74" s="13"/>
      <c r="W74" s="13"/>
      <c r="X74" s="13"/>
      <c r="Y74" s="12"/>
      <c r="Z74" s="13"/>
      <c r="AA74" s="13"/>
      <c r="AB74" s="8" cm="1">
        <f t="array" ref="AB74">SUM(IFERROR(VALUE(LEFT(Regatas, FIND(" ",Regatas&amp; " ") - 1)), 0))</f>
        <v>0</v>
      </c>
      <c r="AC74" s="9" cm="1">
        <f t="array" ref="AC7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4" s="6">
        <f>SMALL(RegatasN,1)</f>
        <v>0</v>
      </c>
      <c r="AE74" s="6">
        <f>SMALL(RegatasN,2)</f>
        <v>0</v>
      </c>
      <c r="AF74" s="6">
        <f>SMALL(RegatasN,3)</f>
        <v>0</v>
      </c>
      <c r="AG74" s="5" cm="1">
        <f t="array" ref="AG74">COUNTIF(Regatas,SMALL(Regatas,1))</f>
        <v>0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 x14ac:dyDescent="0.25">
      <c r="A75">
        <v>52085390</v>
      </c>
      <c r="B75" s="10">
        <f>ROW()-ROW(Selectivo6[[#Headers],[Pos]])</f>
        <v>69</v>
      </c>
      <c r="C75" s="5">
        <v>4218</v>
      </c>
      <c r="D75" t="s">
        <v>654</v>
      </c>
      <c r="E75" t="s">
        <v>33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2"/>
      <c r="T75" s="13"/>
      <c r="U75" s="13"/>
      <c r="V75" s="13"/>
      <c r="W75" s="13"/>
      <c r="X75" s="12"/>
      <c r="Y75" s="12"/>
      <c r="Z75" s="13"/>
      <c r="AA75" s="13"/>
      <c r="AB75" s="8" cm="1">
        <f t="array" ref="AB75">SUM(IFERROR(VALUE(LEFT(Regatas, FIND(" ",Regatas&amp; " ") - 1)), 0))</f>
        <v>0</v>
      </c>
      <c r="AC75" s="9" cm="1">
        <f t="array" ref="AC7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5" s="6">
        <f>SMALL(RegatasN,1)</f>
        <v>0</v>
      </c>
      <c r="AE75" s="6">
        <f>SMALL(RegatasN,2)</f>
        <v>0</v>
      </c>
      <c r="AF75" s="6">
        <f>SMALL(RegatasN,3)</f>
        <v>0</v>
      </c>
      <c r="AG75" s="5" cm="1">
        <f t="array" ref="AG75">COUNTIF(Regatas,SMALL(Regatas,1))</f>
        <v>0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 x14ac:dyDescent="0.25">
      <c r="A76">
        <v>51261170</v>
      </c>
      <c r="B76" s="10">
        <f>ROW()-ROW(Selectivo6[[#Headers],[Pos]])</f>
        <v>70</v>
      </c>
      <c r="C76" s="5">
        <v>4193</v>
      </c>
      <c r="D76" t="s">
        <v>706</v>
      </c>
      <c r="E76" t="s">
        <v>10</v>
      </c>
      <c r="F76" s="13"/>
      <c r="G76" s="13"/>
      <c r="H76" s="13"/>
      <c r="I76" s="13"/>
      <c r="J76" s="13"/>
      <c r="K76" s="13"/>
      <c r="L76" s="13"/>
      <c r="M76" s="12"/>
      <c r="N76" s="12"/>
      <c r="O76" s="13"/>
      <c r="P76" s="13"/>
      <c r="Q76" s="13"/>
      <c r="R76" s="13"/>
      <c r="S76" s="13"/>
      <c r="T76" s="13"/>
      <c r="U76" s="13"/>
      <c r="V76" s="12"/>
      <c r="W76" s="13"/>
      <c r="X76" s="13"/>
      <c r="Y76" s="13"/>
      <c r="Z76" s="13"/>
      <c r="AA76" s="13"/>
      <c r="AB76" s="8" cm="1">
        <f t="array" ref="AB76">SUM(IFERROR(VALUE(LEFT(Regatas, FIND(" ",Regatas&amp; " ") - 1)), 0))</f>
        <v>0</v>
      </c>
      <c r="AC76" s="9" cm="1">
        <f t="array" ref="AC7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6" s="6">
        <f>SMALL(RegatasN,1)</f>
        <v>0</v>
      </c>
      <c r="AE76" s="6">
        <f>SMALL(RegatasN,2)</f>
        <v>0</v>
      </c>
      <c r="AF76" s="6">
        <f>SMALL(RegatasN,3)</f>
        <v>0</v>
      </c>
      <c r="AG76" s="5" cm="1">
        <f t="array" ref="AG76">COUNTIF(Regatas,SMALL(Regatas,1))</f>
        <v>0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 x14ac:dyDescent="0.25">
      <c r="A77">
        <v>52856304</v>
      </c>
      <c r="B77" s="10">
        <f>ROW()-ROW(Selectivo6[[#Headers],[Pos]])</f>
        <v>71</v>
      </c>
      <c r="C77" s="5">
        <v>4049</v>
      </c>
      <c r="D77" t="s">
        <v>662</v>
      </c>
      <c r="E77" t="s">
        <v>7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2"/>
      <c r="Q77" s="13"/>
      <c r="R77" s="13"/>
      <c r="S77" s="13"/>
      <c r="T77" s="13"/>
      <c r="U77" s="13"/>
      <c r="V77" s="13"/>
      <c r="W77" s="13"/>
      <c r="X77" s="12"/>
      <c r="Y77" s="13"/>
      <c r="Z77" s="12"/>
      <c r="AA77" s="13"/>
      <c r="AB77" s="8" cm="1">
        <f t="array" ref="AB77">SUM(IFERROR(VALUE(LEFT(Regatas, FIND(" ",Regatas&amp; " ") - 1)), 0))</f>
        <v>0</v>
      </c>
      <c r="AC77" s="9" cm="1">
        <f t="array" ref="AC7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7" s="6">
        <f>SMALL(RegatasN,1)</f>
        <v>0</v>
      </c>
      <c r="AE77" s="6">
        <f>SMALL(RegatasN,2)</f>
        <v>0</v>
      </c>
      <c r="AF77" s="6">
        <f>SMALL(RegatasN,3)</f>
        <v>0</v>
      </c>
      <c r="AG77" s="5" cm="1">
        <f t="array" ref="AG77">COUNTIF(Regatas,SMALL(Regatas,1))</f>
        <v>0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 x14ac:dyDescent="0.25">
      <c r="A78">
        <v>52834659</v>
      </c>
      <c r="B78" s="10">
        <f>ROW()-ROW(Selectivo6[[#Headers],[Pos]])</f>
        <v>72</v>
      </c>
      <c r="C78" s="5">
        <v>3818</v>
      </c>
      <c r="D78" t="s">
        <v>663</v>
      </c>
      <c r="E78" t="s">
        <v>5</v>
      </c>
      <c r="F78" s="13"/>
      <c r="G78" s="13"/>
      <c r="H78" s="13"/>
      <c r="I78" s="13"/>
      <c r="J78" s="13"/>
      <c r="K78" s="13"/>
      <c r="L78" s="13"/>
      <c r="M78" s="13"/>
      <c r="N78" s="12"/>
      <c r="O78" s="12"/>
      <c r="P78" s="13"/>
      <c r="Q78" s="13"/>
      <c r="R78" s="13"/>
      <c r="S78" s="13"/>
      <c r="T78" s="13"/>
      <c r="U78" s="13"/>
      <c r="V78" s="12"/>
      <c r="W78" s="13"/>
      <c r="X78" s="13"/>
      <c r="Y78" s="13"/>
      <c r="Z78" s="13"/>
      <c r="AA78" s="13"/>
      <c r="AB78" s="8" cm="1">
        <f t="array" ref="AB78">SUM(IFERROR(VALUE(LEFT(Regatas, FIND(" ",Regatas&amp; " ") - 1)), 0))</f>
        <v>0</v>
      </c>
      <c r="AC78" s="9" cm="1">
        <f t="array" ref="AC7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8" s="6">
        <f>SMALL(RegatasN,1)</f>
        <v>0</v>
      </c>
      <c r="AE78" s="6">
        <f>SMALL(RegatasN,2)</f>
        <v>0</v>
      </c>
      <c r="AF78" s="6">
        <f>SMALL(RegatasN,3)</f>
        <v>0</v>
      </c>
      <c r="AG78" s="5" cm="1">
        <f t="array" ref="AG78">COUNTIF(Regatas,SMALL(Regatas,1))</f>
        <v>0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 x14ac:dyDescent="0.25">
      <c r="A79">
        <v>52159528</v>
      </c>
      <c r="B79" s="10">
        <f>ROW()-ROW(Selectivo6[[#Headers],[Pos]])</f>
        <v>73</v>
      </c>
      <c r="C79" s="5">
        <v>4162</v>
      </c>
      <c r="D79" t="s">
        <v>674</v>
      </c>
      <c r="E79" t="s">
        <v>13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2"/>
      <c r="T79" s="12"/>
      <c r="U79" s="13"/>
      <c r="V79" s="12"/>
      <c r="W79" s="13"/>
      <c r="X79" s="13"/>
      <c r="Y79" s="13"/>
      <c r="Z79" s="13"/>
      <c r="AA79" s="13"/>
      <c r="AB79" s="8" cm="1">
        <f t="array" ref="AB79">SUM(IFERROR(VALUE(LEFT(Regatas, FIND(" ",Regatas&amp; " ") - 1)), 0))</f>
        <v>0</v>
      </c>
      <c r="AC79" s="9" cm="1">
        <f t="array" ref="AC7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79" s="6">
        <f>SMALL(RegatasN,1)</f>
        <v>0</v>
      </c>
      <c r="AE79" s="6">
        <f>SMALL(RegatasN,2)</f>
        <v>0</v>
      </c>
      <c r="AF79" s="6">
        <f>SMALL(RegatasN,3)</f>
        <v>0</v>
      </c>
      <c r="AG79" s="5" cm="1">
        <f t="array" ref="AG79">COUNTIF(Regatas,SMALL(Regatas,1))</f>
        <v>0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 x14ac:dyDescent="0.25">
      <c r="A80">
        <v>50416545</v>
      </c>
      <c r="B80" s="10">
        <f>ROW()-ROW(Selectivo6[[#Headers],[Pos]])</f>
        <v>74</v>
      </c>
      <c r="C80" s="5">
        <v>3642</v>
      </c>
      <c r="D80" t="s">
        <v>726</v>
      </c>
      <c r="E80" t="s">
        <v>22</v>
      </c>
      <c r="F80" s="12"/>
      <c r="G80" s="13"/>
      <c r="H80" s="13"/>
      <c r="I80" s="13"/>
      <c r="J80" s="13"/>
      <c r="K80" s="13"/>
      <c r="L80" s="13"/>
      <c r="M80" s="13"/>
      <c r="N80" s="12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2"/>
      <c r="AB80" s="8" cm="1">
        <f t="array" ref="AB80">SUM(IFERROR(VALUE(LEFT(Regatas, FIND(" ",Regatas&amp; " ") - 1)), 0))</f>
        <v>0</v>
      </c>
      <c r="AC80" s="9" cm="1">
        <f t="array" ref="AC8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0" s="6">
        <f>SMALL(RegatasN,1)</f>
        <v>0</v>
      </c>
      <c r="AE80" s="6">
        <f>SMALL(RegatasN,2)</f>
        <v>0</v>
      </c>
      <c r="AF80" s="6">
        <f>SMALL(RegatasN,3)</f>
        <v>0</v>
      </c>
      <c r="AG80" s="5" cm="1">
        <f t="array" ref="AG80">COUNTIF(Regatas,SMALL(Regatas,1))</f>
        <v>0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 x14ac:dyDescent="0.25">
      <c r="A81">
        <v>50436482</v>
      </c>
      <c r="B81" s="10">
        <f>ROW()-ROW(Selectivo6[[#Headers],[Pos]])</f>
        <v>75</v>
      </c>
      <c r="C81" s="5">
        <v>4089</v>
      </c>
      <c r="D81" t="s">
        <v>595</v>
      </c>
      <c r="E81" t="s">
        <v>67</v>
      </c>
      <c r="F81" s="13"/>
      <c r="G81" s="13"/>
      <c r="H81" s="13"/>
      <c r="I81" s="12"/>
      <c r="J81" s="13"/>
      <c r="K81" s="13"/>
      <c r="L81" s="13"/>
      <c r="M81" s="12"/>
      <c r="N81" s="13"/>
      <c r="O81" s="13"/>
      <c r="P81" s="13"/>
      <c r="Q81" s="13"/>
      <c r="R81" s="13"/>
      <c r="S81" s="12"/>
      <c r="T81" s="13"/>
      <c r="U81" s="13"/>
      <c r="V81" s="13"/>
      <c r="W81" s="13"/>
      <c r="X81" s="13"/>
      <c r="Y81" s="13"/>
      <c r="Z81" s="13"/>
      <c r="AA81" s="13"/>
      <c r="AB81" s="8" cm="1">
        <f t="array" ref="AB81">SUM(IFERROR(VALUE(LEFT(Regatas, FIND(" ",Regatas&amp; " ") - 1)), 0))</f>
        <v>0</v>
      </c>
      <c r="AC81" s="9" cm="1">
        <f t="array" ref="AC8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1" s="6">
        <f>SMALL(RegatasN,1)</f>
        <v>0</v>
      </c>
      <c r="AE81" s="6">
        <f>SMALL(RegatasN,2)</f>
        <v>0</v>
      </c>
      <c r="AF81" s="6">
        <f>SMALL(RegatasN,3)</f>
        <v>0</v>
      </c>
      <c r="AG81" s="5" cm="1">
        <f t="array" ref="AG81">COUNTIF(Regatas,SMALL(Regatas,1))</f>
        <v>0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 x14ac:dyDescent="0.25">
      <c r="A82">
        <v>50740287</v>
      </c>
      <c r="B82" s="10">
        <f>ROW()-ROW(Selectivo6[[#Headers],[Pos]])</f>
        <v>76</v>
      </c>
      <c r="C82" s="5">
        <v>4203</v>
      </c>
      <c r="D82" t="s">
        <v>588</v>
      </c>
      <c r="E82" t="s">
        <v>7</v>
      </c>
      <c r="F82" s="13"/>
      <c r="G82" s="12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2"/>
      <c r="AA82" s="12"/>
      <c r="AB82" s="8" cm="1">
        <f t="array" ref="AB82">SUM(IFERROR(VALUE(LEFT(Regatas, FIND(" ",Regatas&amp; " ") - 1)), 0))</f>
        <v>0</v>
      </c>
      <c r="AC82" s="9" cm="1">
        <f t="array" ref="AC8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2" s="6">
        <f>SMALL(RegatasN,1)</f>
        <v>0</v>
      </c>
      <c r="AE82" s="6">
        <f>SMALL(RegatasN,2)</f>
        <v>0</v>
      </c>
      <c r="AF82" s="6">
        <f>SMALL(RegatasN,3)</f>
        <v>0</v>
      </c>
      <c r="AG82" s="5" cm="1">
        <f t="array" ref="AG82">COUNTIF(Regatas,SMALL(Regatas,1))</f>
        <v>0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 x14ac:dyDescent="0.25">
      <c r="A83">
        <v>53218075</v>
      </c>
      <c r="B83" s="10">
        <f>ROW()-ROW(Selectivo6[[#Headers],[Pos]])</f>
        <v>77</v>
      </c>
      <c r="C83" s="5">
        <v>4042</v>
      </c>
      <c r="D83" t="s">
        <v>740</v>
      </c>
      <c r="E83" t="s">
        <v>11</v>
      </c>
      <c r="F83" s="13"/>
      <c r="G83" s="13"/>
      <c r="H83" s="13"/>
      <c r="I83" s="13"/>
      <c r="J83" s="13"/>
      <c r="K83" s="12"/>
      <c r="L83" s="13"/>
      <c r="M83" s="13"/>
      <c r="N83" s="12"/>
      <c r="O83" s="13"/>
      <c r="P83" s="13"/>
      <c r="Q83" s="13"/>
      <c r="R83" s="13"/>
      <c r="S83" s="13"/>
      <c r="T83" s="13"/>
      <c r="U83" s="13"/>
      <c r="V83" s="13"/>
      <c r="W83" s="12"/>
      <c r="X83" s="13"/>
      <c r="Y83" s="13"/>
      <c r="Z83" s="13"/>
      <c r="AA83" s="13"/>
      <c r="AB83" s="8" cm="1">
        <f t="array" ref="AB83">SUM(IFERROR(VALUE(LEFT(Regatas, FIND(" ",Regatas&amp; " ") - 1)), 0))</f>
        <v>0</v>
      </c>
      <c r="AC83" s="9" cm="1">
        <f t="array" ref="AC8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3" s="6">
        <f>SMALL(RegatasN,1)</f>
        <v>0</v>
      </c>
      <c r="AE83" s="6">
        <f>SMALL(RegatasN,2)</f>
        <v>0</v>
      </c>
      <c r="AF83" s="6">
        <f>SMALL(RegatasN,3)</f>
        <v>0</v>
      </c>
      <c r="AG83" s="5" cm="1">
        <f t="array" ref="AG83">COUNTIF(Regatas,SMALL(Regatas,1))</f>
        <v>0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 x14ac:dyDescent="0.25">
      <c r="A84">
        <v>52768606</v>
      </c>
      <c r="B84" s="10">
        <f>ROW()-ROW(Selectivo6[[#Headers],[Pos]])</f>
        <v>78</v>
      </c>
      <c r="C84" s="5">
        <v>4031</v>
      </c>
      <c r="D84" t="s">
        <v>713</v>
      </c>
      <c r="E84" t="s">
        <v>7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2"/>
      <c r="U84" s="13"/>
      <c r="V84" s="13"/>
      <c r="W84" s="12"/>
      <c r="X84" s="13"/>
      <c r="Y84" s="13"/>
      <c r="Z84" s="12"/>
      <c r="AA84" s="13"/>
      <c r="AB84" s="8" cm="1">
        <f t="array" ref="AB84">SUM(IFERROR(VALUE(LEFT(Regatas, FIND(" ",Regatas&amp; " ") - 1)), 0))</f>
        <v>0</v>
      </c>
      <c r="AC84" s="9" cm="1">
        <f t="array" ref="AC8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4" s="6">
        <f>SMALL(RegatasN,1)</f>
        <v>0</v>
      </c>
      <c r="AE84" s="6">
        <f>SMALL(RegatasN,2)</f>
        <v>0</v>
      </c>
      <c r="AF84" s="6">
        <f>SMALL(RegatasN,3)</f>
        <v>0</v>
      </c>
      <c r="AG84" s="5" cm="1">
        <f t="array" ref="AG84">COUNTIF(Regatas,SMALL(Regatas,1))</f>
        <v>0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 x14ac:dyDescent="0.25">
      <c r="A85">
        <v>49825462</v>
      </c>
      <c r="B85" s="10">
        <f>ROW()-ROW(Selectivo6[[#Headers],[Pos]])</f>
        <v>79</v>
      </c>
      <c r="C85" s="5">
        <v>4172</v>
      </c>
      <c r="D85" t="s">
        <v>682</v>
      </c>
      <c r="E85" t="s">
        <v>9</v>
      </c>
      <c r="F85" s="13"/>
      <c r="G85" s="13"/>
      <c r="H85" s="13"/>
      <c r="I85" s="13"/>
      <c r="J85" s="13"/>
      <c r="K85" s="13"/>
      <c r="L85" s="13"/>
      <c r="M85" s="13"/>
      <c r="N85" s="12"/>
      <c r="O85" s="13"/>
      <c r="P85" s="13"/>
      <c r="Q85" s="13"/>
      <c r="R85" s="13"/>
      <c r="S85" s="13"/>
      <c r="T85" s="13"/>
      <c r="U85" s="13"/>
      <c r="V85" s="13"/>
      <c r="W85" s="12"/>
      <c r="X85" s="13"/>
      <c r="Y85" s="13"/>
      <c r="Z85" s="13"/>
      <c r="AA85" s="12"/>
      <c r="AB85" s="8" cm="1">
        <f t="array" ref="AB85">SUM(IFERROR(VALUE(LEFT(Regatas, FIND(" ",Regatas&amp; " ") - 1)), 0))</f>
        <v>0</v>
      </c>
      <c r="AC85" s="9" cm="1">
        <f t="array" ref="AC8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5" s="6">
        <f>SMALL(RegatasN,1)</f>
        <v>0</v>
      </c>
      <c r="AE85" s="6">
        <f>SMALL(RegatasN,2)</f>
        <v>0</v>
      </c>
      <c r="AF85" s="6">
        <f>SMALL(RegatasN,3)</f>
        <v>0</v>
      </c>
      <c r="AG85" s="5" cm="1">
        <f t="array" ref="AG85">COUNTIF(Regatas,SMALL(Regatas,1))</f>
        <v>0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 x14ac:dyDescent="0.25">
      <c r="A86">
        <v>53236008</v>
      </c>
      <c r="B86" s="10">
        <f>ROW()-ROW(Selectivo6[[#Headers],[Pos]])</f>
        <v>80</v>
      </c>
      <c r="C86" s="5">
        <v>3675</v>
      </c>
      <c r="D86" t="s">
        <v>596</v>
      </c>
      <c r="E86" t="s">
        <v>7</v>
      </c>
      <c r="F86" s="13"/>
      <c r="G86" s="13"/>
      <c r="H86" s="12"/>
      <c r="I86" s="13"/>
      <c r="J86" s="13"/>
      <c r="K86" s="13"/>
      <c r="L86" s="12"/>
      <c r="M86" s="13"/>
      <c r="N86" s="13"/>
      <c r="O86" s="13"/>
      <c r="P86" s="12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8" cm="1">
        <f t="array" ref="AB86">SUM(IFERROR(VALUE(LEFT(Regatas, FIND(" ",Regatas&amp; " ") - 1)), 0))</f>
        <v>0</v>
      </c>
      <c r="AC86" s="9" cm="1">
        <f t="array" ref="AC8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6" s="6">
        <f>SMALL(RegatasN,1)</f>
        <v>0</v>
      </c>
      <c r="AE86" s="6">
        <f>SMALL(RegatasN,2)</f>
        <v>0</v>
      </c>
      <c r="AF86" s="6">
        <f>SMALL(RegatasN,3)</f>
        <v>0</v>
      </c>
      <c r="AG86" s="5" cm="1">
        <f t="array" ref="AG86">COUNTIF(Regatas,SMALL(Regatas,1))</f>
        <v>0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 x14ac:dyDescent="0.25">
      <c r="A87">
        <v>52118147</v>
      </c>
      <c r="B87" s="10">
        <f>ROW()-ROW(Selectivo6[[#Headers],[Pos]])</f>
        <v>81</v>
      </c>
      <c r="C87" s="5">
        <v>3793</v>
      </c>
      <c r="D87" t="s">
        <v>612</v>
      </c>
      <c r="E87" t="s">
        <v>31</v>
      </c>
      <c r="F87" s="13"/>
      <c r="G87" s="13"/>
      <c r="H87" s="13"/>
      <c r="I87" s="12"/>
      <c r="J87" s="12"/>
      <c r="K87" s="13"/>
      <c r="L87" s="13"/>
      <c r="M87" s="13"/>
      <c r="N87" s="13"/>
      <c r="O87" s="13"/>
      <c r="P87" s="13"/>
      <c r="Q87" s="13"/>
      <c r="R87" s="13"/>
      <c r="S87" s="13"/>
      <c r="T87" s="12"/>
      <c r="U87" s="13"/>
      <c r="V87" s="13"/>
      <c r="W87" s="13"/>
      <c r="X87" s="13"/>
      <c r="Y87" s="13"/>
      <c r="Z87" s="13"/>
      <c r="AA87" s="13"/>
      <c r="AB87" s="8" cm="1">
        <f t="array" ref="AB87">SUM(IFERROR(VALUE(LEFT(Regatas, FIND(" ",Regatas&amp; " ") - 1)), 0))</f>
        <v>0</v>
      </c>
      <c r="AC87" s="9" cm="1">
        <f t="array" ref="AC8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7" s="6">
        <f>SMALL(RegatasN,1)</f>
        <v>0</v>
      </c>
      <c r="AE87" s="6">
        <f>SMALL(RegatasN,2)</f>
        <v>0</v>
      </c>
      <c r="AF87" s="6">
        <f>SMALL(RegatasN,3)</f>
        <v>0</v>
      </c>
      <c r="AG87" s="5" cm="1">
        <f t="array" ref="AG87">COUNTIF(Regatas,SMALL(Regatas,1))</f>
        <v>0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 x14ac:dyDescent="0.25">
      <c r="A88">
        <v>52786122</v>
      </c>
      <c r="B88" s="10">
        <f>ROW()-ROW(Selectivo6[[#Headers],[Pos]])</f>
        <v>82</v>
      </c>
      <c r="C88" s="5">
        <v>4099</v>
      </c>
      <c r="D88" t="s">
        <v>730</v>
      </c>
      <c r="E88" t="s">
        <v>16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2"/>
      <c r="V88" s="13"/>
      <c r="W88" s="13"/>
      <c r="X88" s="12"/>
      <c r="Y88" s="13"/>
      <c r="Z88" s="13"/>
      <c r="AA88" s="12"/>
      <c r="AB88" s="8" cm="1">
        <f t="array" ref="AB88">SUM(IFERROR(VALUE(LEFT(Regatas, FIND(" ",Regatas&amp; " ") - 1)), 0))</f>
        <v>0</v>
      </c>
      <c r="AC88" s="9" cm="1">
        <f t="array" ref="AC8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8" s="6">
        <f>SMALL(RegatasN,1)</f>
        <v>0</v>
      </c>
      <c r="AE88" s="6">
        <f>SMALL(RegatasN,2)</f>
        <v>0</v>
      </c>
      <c r="AF88" s="6">
        <f>SMALL(RegatasN,3)</f>
        <v>0</v>
      </c>
      <c r="AG88" s="5" cm="1">
        <f t="array" ref="AG88">COUNTIF(Regatas,SMALL(Regatas,1))</f>
        <v>0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 x14ac:dyDescent="0.25">
      <c r="A89">
        <v>51183098</v>
      </c>
      <c r="B89" s="10">
        <f>ROW()-ROW(Selectivo6[[#Headers],[Pos]])</f>
        <v>83</v>
      </c>
      <c r="C89" s="5">
        <v>4171</v>
      </c>
      <c r="D89" t="s">
        <v>681</v>
      </c>
      <c r="E89" t="s">
        <v>9</v>
      </c>
      <c r="F89" s="13"/>
      <c r="G89" s="12"/>
      <c r="H89" s="12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2"/>
      <c r="X89" s="13"/>
      <c r="Y89" s="13"/>
      <c r="Z89" s="13"/>
      <c r="AA89" s="13"/>
      <c r="AB89" s="8" cm="1">
        <f t="array" ref="AB89">SUM(IFERROR(VALUE(LEFT(Regatas, FIND(" ",Regatas&amp; " ") - 1)), 0))</f>
        <v>0</v>
      </c>
      <c r="AC89" s="9" cm="1">
        <f t="array" ref="AC8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89" s="6">
        <f>SMALL(RegatasN,1)</f>
        <v>0</v>
      </c>
      <c r="AE89" s="6">
        <f>SMALL(RegatasN,2)</f>
        <v>0</v>
      </c>
      <c r="AF89" s="6">
        <f>SMALL(RegatasN,3)</f>
        <v>0</v>
      </c>
      <c r="AG89" s="5" cm="1">
        <f t="array" ref="AG89">COUNTIF(Regatas,SMALL(Regatas,1))</f>
        <v>0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 x14ac:dyDescent="0.25">
      <c r="A90">
        <v>51121535</v>
      </c>
      <c r="B90" s="10">
        <f>ROW()-ROW(Selectivo6[[#Headers],[Pos]])</f>
        <v>84</v>
      </c>
      <c r="C90" s="5">
        <v>3649</v>
      </c>
      <c r="D90" t="s">
        <v>724</v>
      </c>
      <c r="E90" t="s">
        <v>26</v>
      </c>
      <c r="F90" s="13"/>
      <c r="G90" s="13"/>
      <c r="H90" s="13"/>
      <c r="I90" s="13"/>
      <c r="J90" s="12"/>
      <c r="K90" s="13"/>
      <c r="L90" s="13"/>
      <c r="M90" s="13"/>
      <c r="N90" s="13"/>
      <c r="O90" s="13"/>
      <c r="P90" s="13"/>
      <c r="Q90" s="13"/>
      <c r="R90" s="13"/>
      <c r="S90" s="13"/>
      <c r="T90" s="12"/>
      <c r="U90" s="13"/>
      <c r="V90" s="13"/>
      <c r="W90" s="13"/>
      <c r="X90" s="13"/>
      <c r="Y90" s="13"/>
      <c r="Z90" s="12"/>
      <c r="AA90" s="13"/>
      <c r="AB90" s="8" cm="1">
        <f t="array" ref="AB90">SUM(IFERROR(VALUE(LEFT(Regatas, FIND(" ",Regatas&amp; " ") - 1)), 0))</f>
        <v>0</v>
      </c>
      <c r="AC90" s="9" cm="1">
        <f t="array" ref="AC9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0" s="6">
        <f>SMALL(RegatasN,1)</f>
        <v>0</v>
      </c>
      <c r="AE90" s="6">
        <f>SMALL(RegatasN,2)</f>
        <v>0</v>
      </c>
      <c r="AF90" s="6">
        <f>SMALL(RegatasN,3)</f>
        <v>0</v>
      </c>
      <c r="AG90" s="5" cm="1">
        <f t="array" ref="AG90">COUNTIF(Regatas,SMALL(Regatas,1))</f>
        <v>0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 x14ac:dyDescent="0.25">
      <c r="A91">
        <v>50098931</v>
      </c>
      <c r="B91" s="10">
        <f>ROW()-ROW(Selectivo6[[#Headers],[Pos]])</f>
        <v>85</v>
      </c>
      <c r="C91" s="5">
        <v>4219</v>
      </c>
      <c r="D91" t="s">
        <v>664</v>
      </c>
      <c r="E91" t="s">
        <v>10</v>
      </c>
      <c r="F91" s="13"/>
      <c r="G91" s="12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2"/>
      <c r="W91" s="13"/>
      <c r="X91" s="13"/>
      <c r="Y91" s="13"/>
      <c r="Z91" s="12"/>
      <c r="AA91" s="13"/>
      <c r="AB91" s="8" cm="1">
        <f t="array" ref="AB91">SUM(IFERROR(VALUE(LEFT(Regatas, FIND(" ",Regatas&amp; " ") - 1)), 0))</f>
        <v>0</v>
      </c>
      <c r="AC91" s="9" cm="1">
        <f t="array" ref="AC9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1" s="6">
        <f>SMALL(RegatasN,1)</f>
        <v>0</v>
      </c>
      <c r="AE91" s="6">
        <f>SMALL(RegatasN,2)</f>
        <v>0</v>
      </c>
      <c r="AF91" s="6">
        <f>SMALL(RegatasN,3)</f>
        <v>0</v>
      </c>
      <c r="AG91" s="5" cm="1">
        <f t="array" ref="AG91">COUNTIF(Regatas,SMALL(Regatas,1))</f>
        <v>0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 x14ac:dyDescent="0.25">
      <c r="A92">
        <v>51012774</v>
      </c>
      <c r="B92" s="10">
        <f>ROW()-ROW(Selectivo6[[#Headers],[Pos]])</f>
        <v>86</v>
      </c>
      <c r="C92" s="5">
        <v>4018</v>
      </c>
      <c r="D92" t="s">
        <v>656</v>
      </c>
      <c r="E92" t="s">
        <v>8</v>
      </c>
      <c r="F92" s="13"/>
      <c r="G92" s="13"/>
      <c r="H92" s="13"/>
      <c r="I92" s="13"/>
      <c r="J92" s="13"/>
      <c r="K92" s="13"/>
      <c r="L92" s="13"/>
      <c r="M92" s="13"/>
      <c r="N92" s="13"/>
      <c r="O92" s="12"/>
      <c r="P92" s="13"/>
      <c r="Q92" s="13"/>
      <c r="R92" s="13"/>
      <c r="S92" s="13"/>
      <c r="T92" s="13"/>
      <c r="U92" s="13"/>
      <c r="V92" s="12"/>
      <c r="W92" s="13"/>
      <c r="X92" s="12"/>
      <c r="Y92" s="13"/>
      <c r="Z92" s="13"/>
      <c r="AA92" s="13"/>
      <c r="AB92" s="8" cm="1">
        <f t="array" ref="AB92">SUM(IFERROR(VALUE(LEFT(Regatas, FIND(" ",Regatas&amp; " ") - 1)), 0))</f>
        <v>0</v>
      </c>
      <c r="AC92" s="9" cm="1">
        <f t="array" ref="AC9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2" s="6">
        <f>SMALL(RegatasN,1)</f>
        <v>0</v>
      </c>
      <c r="AE92" s="6">
        <f>SMALL(RegatasN,2)</f>
        <v>0</v>
      </c>
      <c r="AF92" s="6">
        <f>SMALL(RegatasN,3)</f>
        <v>0</v>
      </c>
      <c r="AG92" s="5" cm="1">
        <f t="array" ref="AG92">COUNTIF(Regatas,SMALL(Regatas,1))</f>
        <v>0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 x14ac:dyDescent="0.25">
      <c r="A93">
        <v>52448420</v>
      </c>
      <c r="B93" s="10">
        <f>ROW()-ROW(Selectivo6[[#Headers],[Pos]])</f>
        <v>87</v>
      </c>
      <c r="C93" s="5">
        <v>4136</v>
      </c>
      <c r="D93" t="s">
        <v>660</v>
      </c>
      <c r="E93" t="s">
        <v>16</v>
      </c>
      <c r="F93" s="13"/>
      <c r="G93" s="13"/>
      <c r="H93" s="13"/>
      <c r="I93" s="13"/>
      <c r="J93" s="12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2"/>
      <c r="Y93" s="13"/>
      <c r="Z93" s="13"/>
      <c r="AA93" s="12"/>
      <c r="AB93" s="8" cm="1">
        <f t="array" ref="AB93">SUM(IFERROR(VALUE(LEFT(Regatas, FIND(" ",Regatas&amp; " ") - 1)), 0))</f>
        <v>0</v>
      </c>
      <c r="AC93" s="9" cm="1">
        <f t="array" ref="AC9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3" s="6">
        <f>SMALL(RegatasN,1)</f>
        <v>0</v>
      </c>
      <c r="AE93" s="6">
        <f>SMALL(RegatasN,2)</f>
        <v>0</v>
      </c>
      <c r="AF93" s="6">
        <f>SMALL(RegatasN,3)</f>
        <v>0</v>
      </c>
      <c r="AG93" s="5" cm="1">
        <f t="array" ref="AG93">COUNTIF(Regatas,SMALL(Regatas,1))</f>
        <v>0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 x14ac:dyDescent="0.25">
      <c r="A94">
        <v>50617785</v>
      </c>
      <c r="B94" s="10">
        <f>ROW()-ROW(Selectivo6[[#Headers],[Pos]])</f>
        <v>88</v>
      </c>
      <c r="C94" s="5">
        <v>3099</v>
      </c>
      <c r="D94" t="s">
        <v>623</v>
      </c>
      <c r="E94" t="s">
        <v>76</v>
      </c>
      <c r="F94" s="12"/>
      <c r="G94" s="13"/>
      <c r="H94" s="13"/>
      <c r="I94" s="13"/>
      <c r="J94" s="13"/>
      <c r="K94" s="12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2"/>
      <c r="Z94" s="13"/>
      <c r="AA94" s="13"/>
      <c r="AB94" s="8" cm="1">
        <f t="array" ref="AB94">SUM(IFERROR(VALUE(LEFT(Regatas, FIND(" ",Regatas&amp; " ") - 1)), 0))</f>
        <v>0</v>
      </c>
      <c r="AC94" s="9" cm="1">
        <f t="array" ref="AC9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4" s="6">
        <f>SMALL(RegatasN,1)</f>
        <v>0</v>
      </c>
      <c r="AE94" s="6">
        <f>SMALL(RegatasN,2)</f>
        <v>0</v>
      </c>
      <c r="AF94" s="6">
        <f>SMALL(RegatasN,3)</f>
        <v>0</v>
      </c>
      <c r="AG94" s="5" cm="1">
        <f t="array" ref="AG94">COUNTIF(Regatas,SMALL(Regatas,1))</f>
        <v>0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 x14ac:dyDescent="0.25">
      <c r="A95">
        <v>52756455</v>
      </c>
      <c r="B95" s="10">
        <f>ROW()-ROW(Selectivo6[[#Headers],[Pos]])</f>
        <v>89</v>
      </c>
      <c r="C95" s="5">
        <v>4025</v>
      </c>
      <c r="D95" t="s">
        <v>631</v>
      </c>
      <c r="E95" t="s">
        <v>17</v>
      </c>
      <c r="F95" s="13"/>
      <c r="G95" s="13"/>
      <c r="H95" s="13"/>
      <c r="I95" s="13"/>
      <c r="J95" s="13"/>
      <c r="K95" s="13"/>
      <c r="L95" s="13"/>
      <c r="M95" s="13"/>
      <c r="N95" s="12"/>
      <c r="O95" s="13"/>
      <c r="P95" s="13"/>
      <c r="Q95" s="13"/>
      <c r="R95" s="12"/>
      <c r="S95" s="13"/>
      <c r="T95" s="13"/>
      <c r="U95" s="13"/>
      <c r="V95" s="13"/>
      <c r="W95" s="13"/>
      <c r="X95" s="12"/>
      <c r="Y95" s="13"/>
      <c r="Z95" s="13"/>
      <c r="AA95" s="13"/>
      <c r="AB95" s="8" cm="1">
        <f t="array" ref="AB95">SUM(IFERROR(VALUE(LEFT(Regatas, FIND(" ",Regatas&amp; " ") - 1)), 0))</f>
        <v>0</v>
      </c>
      <c r="AC95" s="9" cm="1">
        <f t="array" ref="AC9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5" s="6">
        <f>SMALL(RegatasN,1)</f>
        <v>0</v>
      </c>
      <c r="AE95" s="6">
        <f>SMALL(RegatasN,2)</f>
        <v>0</v>
      </c>
      <c r="AF95" s="6">
        <f>SMALL(RegatasN,3)</f>
        <v>0</v>
      </c>
      <c r="AG95" s="5" cm="1">
        <f t="array" ref="AG95">COUNTIF(Regatas,SMALL(Regatas,1))</f>
        <v>0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 x14ac:dyDescent="0.25">
      <c r="A96">
        <v>53202237</v>
      </c>
      <c r="B96" s="10">
        <f>ROW()-ROW(Selectivo6[[#Headers],[Pos]])</f>
        <v>90</v>
      </c>
      <c r="C96" s="5">
        <v>4201</v>
      </c>
      <c r="D96" t="s">
        <v>589</v>
      </c>
      <c r="E96" t="s">
        <v>21</v>
      </c>
      <c r="F96" s="13"/>
      <c r="G96" s="13"/>
      <c r="H96" s="13"/>
      <c r="I96" s="12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2"/>
      <c r="U96" s="13"/>
      <c r="V96" s="12"/>
      <c r="W96" s="13"/>
      <c r="X96" s="13"/>
      <c r="Y96" s="13"/>
      <c r="Z96" s="13"/>
      <c r="AA96" s="13"/>
      <c r="AB96" s="8" cm="1">
        <f t="array" ref="AB96">SUM(IFERROR(VALUE(LEFT(Regatas, FIND(" ",Regatas&amp; " ") - 1)), 0))</f>
        <v>0</v>
      </c>
      <c r="AC96" s="9" cm="1">
        <f t="array" ref="AC9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6" s="6">
        <f>SMALL(RegatasN,1)</f>
        <v>0</v>
      </c>
      <c r="AE96" s="6">
        <f>SMALL(RegatasN,2)</f>
        <v>0</v>
      </c>
      <c r="AF96" s="6">
        <f>SMALL(RegatasN,3)</f>
        <v>0</v>
      </c>
      <c r="AG96" s="5" cm="1">
        <f t="array" ref="AG96">COUNTIF(Regatas,SMALL(Regatas,1))</f>
        <v>0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 x14ac:dyDescent="0.25">
      <c r="A97">
        <v>50580932</v>
      </c>
      <c r="B97" s="10">
        <f>ROW()-ROW(Selectivo6[[#Headers],[Pos]])</f>
        <v>91</v>
      </c>
      <c r="C97" s="5">
        <v>3962</v>
      </c>
      <c r="D97" t="s">
        <v>691</v>
      </c>
      <c r="E97" t="s">
        <v>5</v>
      </c>
      <c r="F97" s="13"/>
      <c r="G97" s="13"/>
      <c r="H97" s="13"/>
      <c r="I97" s="13"/>
      <c r="J97" s="13"/>
      <c r="K97" s="13"/>
      <c r="L97" s="13"/>
      <c r="M97" s="12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2"/>
      <c r="Y97" s="13"/>
      <c r="Z97" s="13"/>
      <c r="AA97" s="12"/>
      <c r="AB97" s="8" cm="1">
        <f t="array" ref="AB97">SUM(IFERROR(VALUE(LEFT(Regatas, FIND(" ",Regatas&amp; " ") - 1)), 0))</f>
        <v>0</v>
      </c>
      <c r="AC97" s="9" cm="1">
        <f t="array" ref="AC9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7" s="6">
        <f>SMALL(RegatasN,1)</f>
        <v>0</v>
      </c>
      <c r="AE97" s="6">
        <f>SMALL(RegatasN,2)</f>
        <v>0</v>
      </c>
      <c r="AF97" s="6">
        <f>SMALL(RegatasN,3)</f>
        <v>0</v>
      </c>
      <c r="AG97" s="5" cm="1">
        <f t="array" ref="AG97">COUNTIF(Regatas,SMALL(Regatas,1))</f>
        <v>0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 x14ac:dyDescent="0.25">
      <c r="A98">
        <v>51066390</v>
      </c>
      <c r="B98" s="10">
        <f>ROW()-ROW(Selectivo6[[#Headers],[Pos]])</f>
        <v>92</v>
      </c>
      <c r="C98" s="5">
        <v>3563</v>
      </c>
      <c r="D98" t="s">
        <v>699</v>
      </c>
      <c r="E98" t="s">
        <v>9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2"/>
      <c r="Q98" s="13"/>
      <c r="R98" s="13"/>
      <c r="S98" s="13"/>
      <c r="T98" s="13"/>
      <c r="U98" s="12"/>
      <c r="V98" s="13"/>
      <c r="W98" s="12"/>
      <c r="X98" s="13"/>
      <c r="Y98" s="13"/>
      <c r="Z98" s="13"/>
      <c r="AA98" s="13"/>
      <c r="AB98" s="8" cm="1">
        <f t="array" ref="AB98">SUM(IFERROR(VALUE(LEFT(Regatas, FIND(" ",Regatas&amp; " ") - 1)), 0))</f>
        <v>0</v>
      </c>
      <c r="AC98" s="9" cm="1">
        <f t="array" ref="AC9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8" s="6">
        <f>SMALL(RegatasN,1)</f>
        <v>0</v>
      </c>
      <c r="AE98" s="6">
        <f>SMALL(RegatasN,2)</f>
        <v>0</v>
      </c>
      <c r="AF98" s="6">
        <f>SMALL(RegatasN,3)</f>
        <v>0</v>
      </c>
      <c r="AG98" s="5" cm="1">
        <f t="array" ref="AG98">COUNTIF(Regatas,SMALL(Regatas,1))</f>
        <v>0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 x14ac:dyDescent="0.25">
      <c r="A99">
        <v>51339867</v>
      </c>
      <c r="B99" s="10">
        <f>ROW()-ROW(Selectivo6[[#Headers],[Pos]])</f>
        <v>93</v>
      </c>
      <c r="C99" s="5">
        <v>4144</v>
      </c>
      <c r="D99" t="s">
        <v>586</v>
      </c>
      <c r="E99" t="s">
        <v>23</v>
      </c>
      <c r="F99" s="13"/>
      <c r="G99" s="13"/>
      <c r="H99" s="13"/>
      <c r="I99" s="13"/>
      <c r="J99" s="13"/>
      <c r="K99" s="13"/>
      <c r="L99" s="13"/>
      <c r="M99" s="12"/>
      <c r="N99" s="13"/>
      <c r="O99" s="13"/>
      <c r="P99" s="13"/>
      <c r="Q99" s="13"/>
      <c r="R99" s="13"/>
      <c r="S99" s="13"/>
      <c r="T99" s="13"/>
      <c r="U99" s="13"/>
      <c r="V99" s="12"/>
      <c r="W99" s="13"/>
      <c r="X99" s="13"/>
      <c r="Y99" s="13"/>
      <c r="Z99" s="12"/>
      <c r="AA99" s="13"/>
      <c r="AB99" s="8" cm="1">
        <f t="array" ref="AB99">SUM(IFERROR(VALUE(LEFT(Regatas, FIND(" ",Regatas&amp; " ") - 1)), 0))</f>
        <v>0</v>
      </c>
      <c r="AC99" s="9" cm="1">
        <f t="array" ref="AC9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99" s="6">
        <f>SMALL(RegatasN,1)</f>
        <v>0</v>
      </c>
      <c r="AE99" s="6">
        <f>SMALL(RegatasN,2)</f>
        <v>0</v>
      </c>
      <c r="AF99" s="6">
        <f>SMALL(RegatasN,3)</f>
        <v>0</v>
      </c>
      <c r="AG99" s="5" cm="1">
        <f t="array" ref="AG99">COUNTIF(Regatas,SMALL(Regatas,1))</f>
        <v>0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 x14ac:dyDescent="0.25">
      <c r="A100">
        <v>53831603</v>
      </c>
      <c r="B100" s="10">
        <f>ROW()-ROW(Selectivo6[[#Headers],[Pos]])</f>
        <v>94</v>
      </c>
      <c r="C100" s="5">
        <v>4185</v>
      </c>
      <c r="D100" t="s">
        <v>703</v>
      </c>
      <c r="E100" t="s">
        <v>16</v>
      </c>
      <c r="F100" s="13"/>
      <c r="G100" s="12"/>
      <c r="H100" s="13"/>
      <c r="I100" s="13"/>
      <c r="J100" s="13"/>
      <c r="K100" s="12"/>
      <c r="L100" s="13"/>
      <c r="M100" s="13"/>
      <c r="N100" s="12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8" cm="1">
        <f t="array" ref="AB100">SUM(IFERROR(VALUE(LEFT(Regatas, FIND(" ",Regatas&amp; " ") - 1)), 0))</f>
        <v>0</v>
      </c>
      <c r="AC100" s="9" cm="1">
        <f t="array" ref="AC10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0" s="6">
        <f>SMALL(RegatasN,1)</f>
        <v>0</v>
      </c>
      <c r="AE100" s="6">
        <f>SMALL(RegatasN,2)</f>
        <v>0</v>
      </c>
      <c r="AF100" s="6">
        <f>SMALL(RegatasN,3)</f>
        <v>0</v>
      </c>
      <c r="AG100" s="5" cm="1">
        <f t="array" ref="AG100">COUNTIF(Regatas,SMALL(Regatas,1))</f>
        <v>0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 x14ac:dyDescent="0.25">
      <c r="A101">
        <v>52099166</v>
      </c>
      <c r="B101" s="10">
        <f>ROW()-ROW(Selectivo6[[#Headers],[Pos]])</f>
        <v>95</v>
      </c>
      <c r="C101" s="5">
        <v>3951</v>
      </c>
      <c r="D101" t="s">
        <v>614</v>
      </c>
      <c r="E101" t="s">
        <v>23</v>
      </c>
      <c r="F101" s="13"/>
      <c r="G101" s="13"/>
      <c r="H101" s="13"/>
      <c r="I101" s="12"/>
      <c r="J101" s="13"/>
      <c r="K101" s="13"/>
      <c r="L101" s="13"/>
      <c r="M101" s="12"/>
      <c r="N101" s="12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8" cm="1">
        <f t="array" ref="AB101">SUM(IFERROR(VALUE(LEFT(Regatas, FIND(" ",Regatas&amp; " ") - 1)), 0))</f>
        <v>0</v>
      </c>
      <c r="AC101" s="9" cm="1">
        <f t="array" ref="AC10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1" s="6">
        <f>SMALL(RegatasN,1)</f>
        <v>0</v>
      </c>
      <c r="AE101" s="6">
        <f>SMALL(RegatasN,2)</f>
        <v>0</v>
      </c>
      <c r="AF101" s="6">
        <f>SMALL(RegatasN,3)</f>
        <v>0</v>
      </c>
      <c r="AG101" s="5" cm="1">
        <f t="array" ref="AG101">COUNTIF(Regatas,SMALL(Regatas,1))</f>
        <v>0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 x14ac:dyDescent="0.25">
      <c r="A102">
        <v>53456040</v>
      </c>
      <c r="B102" s="10">
        <f>ROW()-ROW(Selectivo6[[#Headers],[Pos]])</f>
        <v>96</v>
      </c>
      <c r="C102" s="5">
        <v>3781</v>
      </c>
      <c r="D102" t="s">
        <v>627</v>
      </c>
      <c r="E102" t="s">
        <v>10</v>
      </c>
      <c r="F102" s="13"/>
      <c r="G102" s="13"/>
      <c r="H102" s="12"/>
      <c r="I102" s="12"/>
      <c r="J102" s="12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8" cm="1">
        <f t="array" ref="AB102">SUM(IFERROR(VALUE(LEFT(Regatas, FIND(" ",Regatas&amp; " ") - 1)), 0))</f>
        <v>0</v>
      </c>
      <c r="AC102" s="9" cm="1">
        <f t="array" ref="AC10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2" s="6">
        <f>SMALL(RegatasN,1)</f>
        <v>0</v>
      </c>
      <c r="AE102" s="6">
        <f>SMALL(RegatasN,2)</f>
        <v>0</v>
      </c>
      <c r="AF102" s="6">
        <f>SMALL(RegatasN,3)</f>
        <v>0</v>
      </c>
      <c r="AG102" s="5" cm="1">
        <f t="array" ref="AG102">COUNTIF(Regatas,SMALL(Regatas,1))</f>
        <v>0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 x14ac:dyDescent="0.25">
      <c r="A103">
        <v>52909554</v>
      </c>
      <c r="B103" s="10">
        <f>ROW()-ROW(Selectivo6[[#Headers],[Pos]])</f>
        <v>97</v>
      </c>
      <c r="C103" s="5">
        <v>3828</v>
      </c>
      <c r="D103" t="s">
        <v>600</v>
      </c>
      <c r="E103" t="s">
        <v>11</v>
      </c>
      <c r="F103" s="13"/>
      <c r="G103" s="13"/>
      <c r="H103" s="13"/>
      <c r="I103" s="12"/>
      <c r="J103" s="13"/>
      <c r="K103" s="13"/>
      <c r="L103" s="13"/>
      <c r="M103" s="13"/>
      <c r="N103" s="13"/>
      <c r="O103" s="13"/>
      <c r="P103" s="13"/>
      <c r="Q103" s="12"/>
      <c r="R103" s="13"/>
      <c r="S103" s="13"/>
      <c r="T103" s="13"/>
      <c r="U103" s="13"/>
      <c r="V103" s="13"/>
      <c r="W103" s="13"/>
      <c r="X103" s="13"/>
      <c r="Y103" s="13"/>
      <c r="Z103" s="13"/>
      <c r="AA103" s="12"/>
      <c r="AB103" s="8" cm="1">
        <f t="array" ref="AB103">SUM(IFERROR(VALUE(LEFT(Regatas, FIND(" ",Regatas&amp; " ") - 1)), 0))</f>
        <v>0</v>
      </c>
      <c r="AC103" s="9" cm="1">
        <f t="array" ref="AC10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3" s="6">
        <f>SMALL(RegatasN,1)</f>
        <v>0</v>
      </c>
      <c r="AE103" s="6">
        <f>SMALL(RegatasN,2)</f>
        <v>0</v>
      </c>
      <c r="AF103" s="6">
        <f>SMALL(RegatasN,3)</f>
        <v>0</v>
      </c>
      <c r="AG103" s="5" cm="1">
        <f t="array" ref="AG103">COUNTIF(Regatas,SMALL(Regatas,1))</f>
        <v>0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 x14ac:dyDescent="0.25">
      <c r="A104">
        <v>52762420</v>
      </c>
      <c r="B104" s="10">
        <f>ROW()-ROW(Selectivo6[[#Headers],[Pos]])</f>
        <v>98</v>
      </c>
      <c r="C104" s="5">
        <v>4026</v>
      </c>
      <c r="D104" t="s">
        <v>633</v>
      </c>
      <c r="E104" t="s">
        <v>39</v>
      </c>
      <c r="F104" s="13"/>
      <c r="G104" s="13"/>
      <c r="H104" s="13"/>
      <c r="I104" s="12"/>
      <c r="J104" s="13"/>
      <c r="K104" s="13"/>
      <c r="L104" s="13"/>
      <c r="M104" s="13"/>
      <c r="N104" s="13"/>
      <c r="O104" s="12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2"/>
      <c r="AB104" s="8" cm="1">
        <f t="array" ref="AB104">SUM(IFERROR(VALUE(LEFT(Regatas, FIND(" ",Regatas&amp; " ") - 1)), 0))</f>
        <v>0</v>
      </c>
      <c r="AC104" s="9" cm="1">
        <f t="array" ref="AC10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4" s="6">
        <f>SMALL(RegatasN,1)</f>
        <v>0</v>
      </c>
      <c r="AE104" s="6">
        <f>SMALL(RegatasN,2)</f>
        <v>0</v>
      </c>
      <c r="AF104" s="6">
        <f>SMALL(RegatasN,3)</f>
        <v>0</v>
      </c>
      <c r="AG104" s="5" cm="1">
        <f t="array" ref="AG104">COUNTIF(Regatas,SMALL(Regatas,1))</f>
        <v>0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 x14ac:dyDescent="0.25">
      <c r="A105">
        <v>50417852</v>
      </c>
      <c r="B105" s="10">
        <f>ROW()-ROW(Selectivo6[[#Headers],[Pos]])</f>
        <v>99</v>
      </c>
      <c r="C105" s="5">
        <v>3943</v>
      </c>
      <c r="D105" t="s">
        <v>613</v>
      </c>
      <c r="E105" t="s">
        <v>23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2"/>
      <c r="P105" s="13"/>
      <c r="Q105" s="13"/>
      <c r="R105" s="13"/>
      <c r="S105" s="13"/>
      <c r="T105" s="13"/>
      <c r="U105" s="13"/>
      <c r="V105" s="13"/>
      <c r="W105" s="12"/>
      <c r="X105" s="13"/>
      <c r="Y105" s="12"/>
      <c r="Z105" s="13"/>
      <c r="AA105" s="13"/>
      <c r="AB105" s="8" cm="1">
        <f t="array" ref="AB105">SUM(IFERROR(VALUE(LEFT(Regatas, FIND(" ",Regatas&amp; " ") - 1)), 0))</f>
        <v>0</v>
      </c>
      <c r="AC105" s="9" cm="1">
        <f t="array" ref="AC10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5" s="6">
        <f>SMALL(RegatasN,1)</f>
        <v>0</v>
      </c>
      <c r="AE105" s="6">
        <f>SMALL(RegatasN,2)</f>
        <v>0</v>
      </c>
      <c r="AF105" s="6">
        <f>SMALL(RegatasN,3)</f>
        <v>0</v>
      </c>
      <c r="AG105" s="5" cm="1">
        <f t="array" ref="AG105">COUNTIF(Regatas,SMALL(Regatas,1))</f>
        <v>0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 x14ac:dyDescent="0.25">
      <c r="A106">
        <v>50903230</v>
      </c>
      <c r="B106" s="10">
        <f>ROW()-ROW(Selectivo6[[#Headers],[Pos]])</f>
        <v>100</v>
      </c>
      <c r="C106" s="5">
        <v>3643</v>
      </c>
      <c r="D106" t="s">
        <v>646</v>
      </c>
      <c r="E106" t="s">
        <v>26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2"/>
      <c r="T106" s="12"/>
      <c r="U106" s="13"/>
      <c r="V106" s="12"/>
      <c r="W106" s="13"/>
      <c r="X106" s="13"/>
      <c r="Y106" s="13"/>
      <c r="Z106" s="13"/>
      <c r="AA106" s="13"/>
      <c r="AB106" s="8" cm="1">
        <f t="array" ref="AB106">SUM(IFERROR(VALUE(LEFT(Regatas, FIND(" ",Regatas&amp; " ") - 1)), 0))</f>
        <v>0</v>
      </c>
      <c r="AC106" s="9" cm="1">
        <f t="array" ref="AC10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6" s="6">
        <f>SMALL(RegatasN,1)</f>
        <v>0</v>
      </c>
      <c r="AE106" s="6">
        <f>SMALL(RegatasN,2)</f>
        <v>0</v>
      </c>
      <c r="AF106" s="6">
        <f>SMALL(RegatasN,3)</f>
        <v>0</v>
      </c>
      <c r="AG106" s="5" cm="1">
        <f t="array" ref="AG106">COUNTIF(Regatas,SMALL(Regatas,1))</f>
        <v>0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 x14ac:dyDescent="0.25">
      <c r="A107">
        <v>52768073</v>
      </c>
      <c r="B107" s="10">
        <f>ROW()-ROW(Selectivo6[[#Headers],[Pos]])</f>
        <v>101</v>
      </c>
      <c r="C107" s="5">
        <v>4022</v>
      </c>
      <c r="D107" t="s">
        <v>644</v>
      </c>
      <c r="E107" t="s">
        <v>21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2"/>
      <c r="Z107" s="12"/>
      <c r="AA107" s="12"/>
      <c r="AB107" s="8" cm="1">
        <f t="array" ref="AB107">SUM(IFERROR(VALUE(LEFT(Regatas, FIND(" ",Regatas&amp; " ") - 1)), 0))</f>
        <v>0</v>
      </c>
      <c r="AC107" s="9" cm="1">
        <f t="array" ref="AC10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7" s="6">
        <f>SMALL(RegatasN,1)</f>
        <v>0</v>
      </c>
      <c r="AE107" s="6">
        <f>SMALL(RegatasN,2)</f>
        <v>0</v>
      </c>
      <c r="AF107" s="6">
        <f>SMALL(RegatasN,3)</f>
        <v>0</v>
      </c>
      <c r="AG107" s="5" cm="1">
        <f t="array" ref="AG107">COUNTIF(Regatas,SMALL(Regatas,1))</f>
        <v>0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 x14ac:dyDescent="0.25">
      <c r="A108">
        <v>53956527</v>
      </c>
      <c r="B108" s="10">
        <f>ROW()-ROW(Selectivo6[[#Headers],[Pos]])</f>
        <v>102</v>
      </c>
      <c r="C108" s="5">
        <v>3832</v>
      </c>
      <c r="D108" t="s">
        <v>634</v>
      </c>
      <c r="E108" t="s">
        <v>39</v>
      </c>
      <c r="F108" s="13"/>
      <c r="G108" s="13"/>
      <c r="H108" s="13"/>
      <c r="I108" s="13"/>
      <c r="J108" s="12"/>
      <c r="K108" s="13"/>
      <c r="L108" s="13"/>
      <c r="M108" s="13"/>
      <c r="N108" s="13"/>
      <c r="O108" s="12"/>
      <c r="P108" s="13"/>
      <c r="Q108" s="13"/>
      <c r="R108" s="13"/>
      <c r="S108" s="13"/>
      <c r="T108" s="13"/>
      <c r="U108" s="13"/>
      <c r="V108" s="13"/>
      <c r="W108" s="13"/>
      <c r="X108" s="12"/>
      <c r="Y108" s="13"/>
      <c r="Z108" s="13"/>
      <c r="AA108" s="13"/>
      <c r="AB108" s="8" cm="1">
        <f t="array" ref="AB108">SUM(IFERROR(VALUE(LEFT(Regatas, FIND(" ",Regatas&amp; " ") - 1)), 0))</f>
        <v>0</v>
      </c>
      <c r="AC108" s="9" cm="1">
        <f t="array" ref="AC10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8" s="6">
        <f>SMALL(RegatasN,1)</f>
        <v>0</v>
      </c>
      <c r="AE108" s="6">
        <f>SMALL(RegatasN,2)</f>
        <v>0</v>
      </c>
      <c r="AF108" s="6">
        <f>SMALL(RegatasN,3)</f>
        <v>0</v>
      </c>
      <c r="AG108" s="5" cm="1">
        <f t="array" ref="AG108">COUNTIF(Regatas,SMALL(Regatas,1))</f>
        <v>0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 x14ac:dyDescent="0.25">
      <c r="A109">
        <v>53586402</v>
      </c>
      <c r="B109" s="10">
        <f>ROW()-ROW(Selectivo6[[#Headers],[Pos]])</f>
        <v>103</v>
      </c>
      <c r="C109" s="5">
        <v>3471</v>
      </c>
      <c r="D109" t="s">
        <v>622</v>
      </c>
      <c r="E109" t="s">
        <v>22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2"/>
      <c r="Q109" s="13"/>
      <c r="R109" s="13"/>
      <c r="S109" s="13"/>
      <c r="T109" s="13"/>
      <c r="U109" s="13"/>
      <c r="V109" s="13"/>
      <c r="W109" s="13"/>
      <c r="X109" s="12"/>
      <c r="Y109" s="13"/>
      <c r="Z109" s="12"/>
      <c r="AA109" s="13"/>
      <c r="AB109" s="8" cm="1">
        <f t="array" ref="AB109">SUM(IFERROR(VALUE(LEFT(Regatas, FIND(" ",Regatas&amp; " ") - 1)), 0))</f>
        <v>0</v>
      </c>
      <c r="AC109" s="9" cm="1">
        <f t="array" ref="AC10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09" s="6">
        <f>SMALL(RegatasN,1)</f>
        <v>0</v>
      </c>
      <c r="AE109" s="6">
        <f>SMALL(RegatasN,2)</f>
        <v>0</v>
      </c>
      <c r="AF109" s="6">
        <f>SMALL(RegatasN,3)</f>
        <v>0</v>
      </c>
      <c r="AG109" s="5" cm="1">
        <f t="array" ref="AG109">COUNTIF(Regatas,SMALL(Regatas,1))</f>
        <v>0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 x14ac:dyDescent="0.25">
      <c r="A110">
        <v>52448630</v>
      </c>
      <c r="B110" s="10">
        <f>ROW()-ROW(Selectivo6[[#Headers],[Pos]])</f>
        <v>104</v>
      </c>
      <c r="C110" s="5">
        <v>3968</v>
      </c>
      <c r="D110" t="s">
        <v>670</v>
      </c>
      <c r="E110" t="s">
        <v>22</v>
      </c>
      <c r="F110" s="13"/>
      <c r="G110" s="12"/>
      <c r="H110" s="12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2"/>
      <c r="X110" s="13"/>
      <c r="Y110" s="13"/>
      <c r="Z110" s="13"/>
      <c r="AA110" s="13"/>
      <c r="AB110" s="8" cm="1">
        <f t="array" ref="AB110">SUM(IFERROR(VALUE(LEFT(Regatas, FIND(" ",Regatas&amp; " ") - 1)), 0))</f>
        <v>0</v>
      </c>
      <c r="AC110" s="9" cm="1">
        <f t="array" ref="AC11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0" s="6">
        <f>SMALL(RegatasN,1)</f>
        <v>0</v>
      </c>
      <c r="AE110" s="6">
        <f>SMALL(RegatasN,2)</f>
        <v>0</v>
      </c>
      <c r="AF110" s="6">
        <f>SMALL(RegatasN,3)</f>
        <v>0</v>
      </c>
      <c r="AG110" s="5" cm="1">
        <f t="array" ref="AG110">COUNTIF(Regatas,SMALL(Regatas,1))</f>
        <v>0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 x14ac:dyDescent="0.25">
      <c r="A111">
        <v>50390387</v>
      </c>
      <c r="B111" s="10">
        <f>ROW()-ROW(Selectivo6[[#Headers],[Pos]])</f>
        <v>105</v>
      </c>
      <c r="C111" s="5">
        <v>3248</v>
      </c>
      <c r="D111" t="s">
        <v>636</v>
      </c>
      <c r="E111" t="s">
        <v>11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2"/>
      <c r="T111" s="13"/>
      <c r="U111" s="13"/>
      <c r="V111" s="13"/>
      <c r="W111" s="12"/>
      <c r="X111" s="13"/>
      <c r="Y111" s="13"/>
      <c r="Z111" s="12"/>
      <c r="AA111" s="13"/>
      <c r="AB111" s="8" cm="1">
        <f t="array" ref="AB111">SUM(IFERROR(VALUE(LEFT(Regatas, FIND(" ",Regatas&amp; " ") - 1)), 0))</f>
        <v>0</v>
      </c>
      <c r="AC111" s="9" cm="1">
        <f t="array" ref="AC11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1" s="6">
        <f>SMALL(RegatasN,1)</f>
        <v>0</v>
      </c>
      <c r="AE111" s="6">
        <f>SMALL(RegatasN,2)</f>
        <v>0</v>
      </c>
      <c r="AF111" s="6">
        <f>SMALL(RegatasN,3)</f>
        <v>0</v>
      </c>
      <c r="AG111" s="5" cm="1">
        <f t="array" ref="AG111">COUNTIF(Regatas,SMALL(Regatas,1))</f>
        <v>0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 x14ac:dyDescent="0.25">
      <c r="A112">
        <v>52613001</v>
      </c>
      <c r="B112" s="10">
        <f>ROW()-ROW(Selectivo6[[#Headers],[Pos]])</f>
        <v>106</v>
      </c>
      <c r="C112" s="5">
        <v>4100</v>
      </c>
      <c r="D112" t="s">
        <v>669</v>
      </c>
      <c r="E112" t="s">
        <v>9</v>
      </c>
      <c r="F112" s="12"/>
      <c r="G112" s="13"/>
      <c r="H112" s="13"/>
      <c r="I112" s="13"/>
      <c r="J112" s="13"/>
      <c r="K112" s="12"/>
      <c r="L112" s="13"/>
      <c r="M112" s="13"/>
      <c r="N112" s="13"/>
      <c r="O112" s="13"/>
      <c r="P112" s="13"/>
      <c r="Q112" s="13"/>
      <c r="R112" s="13"/>
      <c r="S112" s="13"/>
      <c r="T112" s="12"/>
      <c r="U112" s="13"/>
      <c r="V112" s="13"/>
      <c r="W112" s="13"/>
      <c r="X112" s="13"/>
      <c r="Y112" s="13"/>
      <c r="Z112" s="13"/>
      <c r="AA112" s="13"/>
      <c r="AB112" s="8" cm="1">
        <f t="array" ref="AB112">SUM(IFERROR(VALUE(LEFT(Regatas, FIND(" ",Regatas&amp; " ") - 1)), 0))</f>
        <v>0</v>
      </c>
      <c r="AC112" s="9" cm="1">
        <f t="array" ref="AC11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2" s="6">
        <f>SMALL(RegatasN,1)</f>
        <v>0</v>
      </c>
      <c r="AE112" s="6">
        <f>SMALL(RegatasN,2)</f>
        <v>0</v>
      </c>
      <c r="AF112" s="6">
        <f>SMALL(RegatasN,3)</f>
        <v>0</v>
      </c>
      <c r="AG112" s="5" cm="1">
        <f t="array" ref="AG112">COUNTIF(Regatas,SMALL(Regatas,1))</f>
        <v>0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 x14ac:dyDescent="0.25">
      <c r="A113">
        <v>52030773</v>
      </c>
      <c r="B113" s="10">
        <f>ROW()-ROW(Selectivo6[[#Headers],[Pos]])</f>
        <v>107</v>
      </c>
      <c r="C113" s="5">
        <v>3743</v>
      </c>
      <c r="D113" t="s">
        <v>603</v>
      </c>
      <c r="E113" t="s">
        <v>13</v>
      </c>
      <c r="F113" s="12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2"/>
      <c r="W113" s="13"/>
      <c r="X113" s="13"/>
      <c r="Y113" s="13"/>
      <c r="Z113" s="12"/>
      <c r="AA113" s="13"/>
      <c r="AB113" s="8" cm="1">
        <f t="array" ref="AB113">SUM(IFERROR(VALUE(LEFT(Regatas, FIND(" ",Regatas&amp; " ") - 1)), 0))</f>
        <v>0</v>
      </c>
      <c r="AC113" s="9" cm="1">
        <f t="array" ref="AC11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3" s="6">
        <f>SMALL(RegatasN,1)</f>
        <v>0</v>
      </c>
      <c r="AE113" s="6">
        <f>SMALL(RegatasN,2)</f>
        <v>0</v>
      </c>
      <c r="AF113" s="6">
        <f>SMALL(RegatasN,3)</f>
        <v>0</v>
      </c>
      <c r="AG113" s="5" cm="1">
        <f t="array" ref="AG113">COUNTIF(Regatas,SMALL(Regatas,1))</f>
        <v>0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 x14ac:dyDescent="0.25">
      <c r="A114">
        <v>50320758</v>
      </c>
      <c r="B114" s="10">
        <f>ROW()-ROW(Selectivo6[[#Headers],[Pos]])</f>
        <v>108</v>
      </c>
      <c r="C114" s="5">
        <v>3775</v>
      </c>
      <c r="D114" t="s">
        <v>677</v>
      </c>
      <c r="E114" t="s">
        <v>13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2"/>
      <c r="W114" s="12"/>
      <c r="X114" s="12"/>
      <c r="Y114" s="13"/>
      <c r="Z114" s="13"/>
      <c r="AA114" s="13"/>
      <c r="AB114" s="8" cm="1">
        <f t="array" ref="AB114">SUM(IFERROR(VALUE(LEFT(Regatas, FIND(" ",Regatas&amp; " ") - 1)), 0))</f>
        <v>0</v>
      </c>
      <c r="AC114" s="9" cm="1">
        <f t="array" ref="AC11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4" s="6">
        <f>SMALL(RegatasN,1)</f>
        <v>0</v>
      </c>
      <c r="AE114" s="6">
        <f>SMALL(RegatasN,2)</f>
        <v>0</v>
      </c>
      <c r="AF114" s="6">
        <f>SMALL(RegatasN,3)</f>
        <v>0</v>
      </c>
      <c r="AG114" s="5" cm="1">
        <f t="array" ref="AG114">COUNTIF(Regatas,SMALL(Regatas,1))</f>
        <v>0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 x14ac:dyDescent="0.25">
      <c r="A115">
        <v>50513181</v>
      </c>
      <c r="B115" s="10">
        <f>ROW()-ROW(Selectivo6[[#Headers],[Pos]])</f>
        <v>109</v>
      </c>
      <c r="C115" s="5">
        <v>4048</v>
      </c>
      <c r="D115" t="s">
        <v>667</v>
      </c>
      <c r="E115" t="s">
        <v>21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2"/>
      <c r="P115" s="12"/>
      <c r="Q115" s="13"/>
      <c r="R115" s="13"/>
      <c r="S115" s="13"/>
      <c r="T115" s="13"/>
      <c r="U115" s="13"/>
      <c r="V115" s="12"/>
      <c r="W115" s="13"/>
      <c r="X115" s="13"/>
      <c r="Y115" s="13"/>
      <c r="Z115" s="13"/>
      <c r="AA115" s="13"/>
      <c r="AB115" s="8" cm="1">
        <f t="array" ref="AB115">SUM(IFERROR(VALUE(LEFT(Regatas, FIND(" ",Regatas&amp; " ") - 1)), 0))</f>
        <v>0</v>
      </c>
      <c r="AC115" s="9" cm="1">
        <f t="array" ref="AC11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5" s="6">
        <f>SMALL(RegatasN,1)</f>
        <v>0</v>
      </c>
      <c r="AE115" s="6">
        <f>SMALL(RegatasN,2)</f>
        <v>0</v>
      </c>
      <c r="AF115" s="6">
        <f>SMALL(RegatasN,3)</f>
        <v>0</v>
      </c>
      <c r="AG115" s="5" cm="1">
        <f t="array" ref="AG115">COUNTIF(Regatas,SMALL(Regatas,1))</f>
        <v>0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 x14ac:dyDescent="0.25">
      <c r="A116">
        <v>52647669</v>
      </c>
      <c r="B116" s="10">
        <f>ROW()-ROW(Selectivo6[[#Headers],[Pos]])</f>
        <v>110</v>
      </c>
      <c r="C116" s="5">
        <v>4174</v>
      </c>
      <c r="D116" t="s">
        <v>626</v>
      </c>
      <c r="E116" t="s">
        <v>5</v>
      </c>
      <c r="F116" s="13"/>
      <c r="G116" s="12"/>
      <c r="H116" s="13"/>
      <c r="I116" s="13"/>
      <c r="J116" s="13"/>
      <c r="K116" s="13"/>
      <c r="L116" s="13"/>
      <c r="M116" s="13"/>
      <c r="N116" s="13"/>
      <c r="O116" s="12"/>
      <c r="P116" s="13"/>
      <c r="Q116" s="13"/>
      <c r="R116" s="13"/>
      <c r="S116" s="13"/>
      <c r="T116" s="12"/>
      <c r="U116" s="13"/>
      <c r="V116" s="13"/>
      <c r="W116" s="13"/>
      <c r="X116" s="13"/>
      <c r="Y116" s="13"/>
      <c r="Z116" s="13"/>
      <c r="AA116" s="13"/>
      <c r="AB116" s="8" cm="1">
        <f t="array" ref="AB116">SUM(IFERROR(VALUE(LEFT(Regatas, FIND(" ",Regatas&amp; " ") - 1)), 0))</f>
        <v>0</v>
      </c>
      <c r="AC116" s="9" cm="1">
        <f t="array" ref="AC11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6" s="6">
        <f>SMALL(RegatasN,1)</f>
        <v>0</v>
      </c>
      <c r="AE116" s="6">
        <f>SMALL(RegatasN,2)</f>
        <v>0</v>
      </c>
      <c r="AF116" s="6">
        <f>SMALL(RegatasN,3)</f>
        <v>0</v>
      </c>
      <c r="AG116" s="5" cm="1">
        <f t="array" ref="AG116">COUNTIF(Regatas,SMALL(Regatas,1))</f>
        <v>0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 x14ac:dyDescent="0.25">
      <c r="A117">
        <v>53236907</v>
      </c>
      <c r="B117" s="10">
        <f>ROW()-ROW(Selectivo6[[#Headers],[Pos]])</f>
        <v>111</v>
      </c>
      <c r="C117" s="5">
        <v>3992</v>
      </c>
      <c r="D117" t="s">
        <v>639</v>
      </c>
      <c r="E117" t="s">
        <v>13</v>
      </c>
      <c r="F117" s="13"/>
      <c r="G117" s="13"/>
      <c r="H117" s="13"/>
      <c r="I117" s="12"/>
      <c r="J117" s="12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2"/>
      <c r="AA117" s="13"/>
      <c r="AB117" s="8" cm="1">
        <f t="array" ref="AB117">SUM(IFERROR(VALUE(LEFT(Regatas, FIND(" ",Regatas&amp; " ") - 1)), 0))</f>
        <v>0</v>
      </c>
      <c r="AC117" s="9" cm="1">
        <f t="array" ref="AC11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7" s="6">
        <f>SMALL(RegatasN,1)</f>
        <v>0</v>
      </c>
      <c r="AE117" s="6">
        <f>SMALL(RegatasN,2)</f>
        <v>0</v>
      </c>
      <c r="AF117" s="6">
        <f>SMALL(RegatasN,3)</f>
        <v>0</v>
      </c>
      <c r="AG117" s="5" cm="1">
        <f t="array" ref="AG117">COUNTIF(Regatas,SMALL(Regatas,1))</f>
        <v>0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 x14ac:dyDescent="0.25">
      <c r="A118">
        <v>52698988</v>
      </c>
      <c r="B118" s="10">
        <f>ROW()-ROW(Selectivo6[[#Headers],[Pos]])</f>
        <v>112</v>
      </c>
      <c r="C118" s="5">
        <v>3908</v>
      </c>
      <c r="D118" t="s">
        <v>609</v>
      </c>
      <c r="E118" t="s">
        <v>11</v>
      </c>
      <c r="F118" s="12"/>
      <c r="G118" s="13"/>
      <c r="H118" s="13"/>
      <c r="I118" s="13"/>
      <c r="J118" s="13"/>
      <c r="K118" s="13"/>
      <c r="L118" s="13"/>
      <c r="M118" s="13"/>
      <c r="N118" s="13"/>
      <c r="O118" s="13"/>
      <c r="P118" s="12"/>
      <c r="Q118" s="13"/>
      <c r="R118" s="12"/>
      <c r="S118" s="13"/>
      <c r="T118" s="13"/>
      <c r="U118" s="13"/>
      <c r="V118" s="13"/>
      <c r="W118" s="13"/>
      <c r="X118" s="13"/>
      <c r="Y118" s="13"/>
      <c r="Z118" s="13"/>
      <c r="AA118" s="13"/>
      <c r="AB118" s="8" cm="1">
        <f t="array" ref="AB118">SUM(IFERROR(VALUE(LEFT(Regatas, FIND(" ",Regatas&amp; " ") - 1)), 0))</f>
        <v>0</v>
      </c>
      <c r="AC118" s="9" cm="1">
        <f t="array" ref="AC11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8" s="6">
        <f>SMALL(RegatasN,1)</f>
        <v>0</v>
      </c>
      <c r="AE118" s="6">
        <f>SMALL(RegatasN,2)</f>
        <v>0</v>
      </c>
      <c r="AF118" s="6">
        <f>SMALL(RegatasN,3)</f>
        <v>0</v>
      </c>
      <c r="AG118" s="5" cm="1">
        <f t="array" ref="AG118">COUNTIF(Regatas,SMALL(Regatas,1))</f>
        <v>0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 x14ac:dyDescent="0.25">
      <c r="A119">
        <v>52703564</v>
      </c>
      <c r="B119" s="10">
        <f>ROW()-ROW(Selectivo6[[#Headers],[Pos]])</f>
        <v>113</v>
      </c>
      <c r="C119" s="5">
        <v>3527</v>
      </c>
      <c r="D119" t="s">
        <v>620</v>
      </c>
      <c r="E119" t="s">
        <v>26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2"/>
      <c r="Z119" s="12"/>
      <c r="AA119" s="12"/>
      <c r="AB119" s="8" cm="1">
        <f t="array" ref="AB119">SUM(IFERROR(VALUE(LEFT(Regatas, FIND(" ",Regatas&amp; " ") - 1)), 0))</f>
        <v>0</v>
      </c>
      <c r="AC119" s="9" cm="1">
        <f t="array" ref="AC11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19" s="6">
        <f>SMALL(RegatasN,1)</f>
        <v>0</v>
      </c>
      <c r="AE119" s="6">
        <f>SMALL(RegatasN,2)</f>
        <v>0</v>
      </c>
      <c r="AF119" s="6">
        <f>SMALL(RegatasN,3)</f>
        <v>0</v>
      </c>
      <c r="AG119" s="5" cm="1">
        <f t="array" ref="AG119">COUNTIF(Regatas,SMALL(Regatas,1))</f>
        <v>0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 x14ac:dyDescent="0.25">
      <c r="A120">
        <v>50790994</v>
      </c>
      <c r="B120" s="10">
        <f>ROW()-ROW(Selectivo6[[#Headers],[Pos]])</f>
        <v>114</v>
      </c>
      <c r="C120" s="5">
        <v>3701</v>
      </c>
      <c r="D120" t="s">
        <v>683</v>
      </c>
      <c r="E120" t="s">
        <v>17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2"/>
      <c r="P120" s="12"/>
      <c r="Q120" s="13"/>
      <c r="R120" s="13"/>
      <c r="S120" s="13"/>
      <c r="T120" s="13"/>
      <c r="U120" s="13"/>
      <c r="V120" s="13"/>
      <c r="W120" s="13"/>
      <c r="X120" s="12"/>
      <c r="Y120" s="13"/>
      <c r="Z120" s="13"/>
      <c r="AA120" s="13"/>
      <c r="AB120" s="8" cm="1">
        <f t="array" ref="AB120">SUM(IFERROR(VALUE(LEFT(Regatas, FIND(" ",Regatas&amp; " ") - 1)), 0))</f>
        <v>0</v>
      </c>
      <c r="AC120" s="9" cm="1">
        <f t="array" ref="AC12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0" s="6">
        <f>SMALL(RegatasN,1)</f>
        <v>0</v>
      </c>
      <c r="AE120" s="6">
        <f>SMALL(RegatasN,2)</f>
        <v>0</v>
      </c>
      <c r="AF120" s="6">
        <f>SMALL(RegatasN,3)</f>
        <v>0</v>
      </c>
      <c r="AG120" s="5" cm="1">
        <f t="array" ref="AG120">COUNTIF(Regatas,SMALL(Regatas,1))</f>
        <v>0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 x14ac:dyDescent="0.25">
      <c r="A121">
        <v>50311786</v>
      </c>
      <c r="B121" s="10">
        <f>ROW()-ROW(Selectivo6[[#Headers],[Pos]])</f>
        <v>115</v>
      </c>
      <c r="C121" s="5">
        <v>4079</v>
      </c>
      <c r="D121" t="s">
        <v>742</v>
      </c>
      <c r="E121" t="s">
        <v>79</v>
      </c>
      <c r="F121" s="13"/>
      <c r="G121" s="13"/>
      <c r="H121" s="13"/>
      <c r="I121" s="12"/>
      <c r="J121" s="12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2"/>
      <c r="Y121" s="13"/>
      <c r="Z121" s="13"/>
      <c r="AA121" s="13"/>
      <c r="AB121" s="8" cm="1">
        <f t="array" ref="AB121">SUM(IFERROR(VALUE(LEFT(Regatas, FIND(" ",Regatas&amp; " ") - 1)), 0))</f>
        <v>0</v>
      </c>
      <c r="AC121" s="9" cm="1">
        <f t="array" ref="AC12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1" s="6">
        <f>SMALL(RegatasN,1)</f>
        <v>0</v>
      </c>
      <c r="AE121" s="6">
        <f>SMALL(RegatasN,2)</f>
        <v>0</v>
      </c>
      <c r="AF121" s="6">
        <f>SMALL(RegatasN,3)</f>
        <v>0</v>
      </c>
      <c r="AG121" s="5" cm="1">
        <f t="array" ref="AG121">COUNTIF(Regatas,SMALL(Regatas,1))</f>
        <v>0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 x14ac:dyDescent="0.25">
      <c r="A122">
        <v>50240962</v>
      </c>
      <c r="B122" s="10">
        <f>ROW()-ROW(Selectivo6[[#Headers],[Pos]])</f>
        <v>116</v>
      </c>
      <c r="C122" s="5">
        <v>3984</v>
      </c>
      <c r="D122" t="s">
        <v>606</v>
      </c>
      <c r="E122" t="s">
        <v>8</v>
      </c>
      <c r="F122" s="13"/>
      <c r="G122" s="12"/>
      <c r="H122" s="13"/>
      <c r="I122" s="13"/>
      <c r="J122" s="12"/>
      <c r="K122" s="12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8" cm="1">
        <f t="array" ref="AB122">SUM(IFERROR(VALUE(LEFT(Regatas, FIND(" ",Regatas&amp; " ") - 1)), 0))</f>
        <v>0</v>
      </c>
      <c r="AC122" s="9" cm="1">
        <f t="array" ref="AC12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2" s="6">
        <f>SMALL(RegatasN,1)</f>
        <v>0</v>
      </c>
      <c r="AE122" s="6">
        <f>SMALL(RegatasN,2)</f>
        <v>0</v>
      </c>
      <c r="AF122" s="6">
        <f>SMALL(RegatasN,3)</f>
        <v>0</v>
      </c>
      <c r="AG122" s="5" cm="1">
        <f t="array" ref="AG122">COUNTIF(Regatas,SMALL(Regatas,1))</f>
        <v>0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 x14ac:dyDescent="0.25">
      <c r="A123">
        <v>50988984</v>
      </c>
      <c r="B123" s="10">
        <f>ROW()-ROW(Selectivo6[[#Headers],[Pos]])</f>
        <v>117</v>
      </c>
      <c r="C123" s="5">
        <v>4095</v>
      </c>
      <c r="D123" t="s">
        <v>635</v>
      </c>
      <c r="E123" t="s">
        <v>39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2"/>
      <c r="Z123" s="12"/>
      <c r="AA123" s="12"/>
      <c r="AB123" s="8" cm="1">
        <f t="array" ref="AB123">SUM(IFERROR(VALUE(LEFT(Regatas, FIND(" ",Regatas&amp; " ") - 1)), 0))</f>
        <v>0</v>
      </c>
      <c r="AC123" s="9" cm="1">
        <f t="array" ref="AC12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3" s="6">
        <f>SMALL(RegatasN,1)</f>
        <v>0</v>
      </c>
      <c r="AE123" s="6">
        <f>SMALL(RegatasN,2)</f>
        <v>0</v>
      </c>
      <c r="AF123" s="6">
        <f>SMALL(RegatasN,3)</f>
        <v>0</v>
      </c>
      <c r="AG123" s="5" cm="1">
        <f t="array" ref="AG123">COUNTIF(Regatas,SMALL(Regatas,1))</f>
        <v>0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 x14ac:dyDescent="0.25">
      <c r="A124">
        <v>54627320</v>
      </c>
      <c r="B124" s="10">
        <f>ROW()-ROW(Selectivo6[[#Headers],[Pos]])</f>
        <v>118</v>
      </c>
      <c r="C124" s="5">
        <v>4195</v>
      </c>
      <c r="D124" t="s">
        <v>637</v>
      </c>
      <c r="E124" t="s">
        <v>16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2"/>
      <c r="W124" s="13"/>
      <c r="X124" s="13"/>
      <c r="Y124" s="13"/>
      <c r="Z124" s="12"/>
      <c r="AA124" s="12"/>
      <c r="AB124" s="8" cm="1">
        <f t="array" ref="AB124">SUM(IFERROR(VALUE(LEFT(Regatas, FIND(" ",Regatas&amp; " ") - 1)), 0))</f>
        <v>0</v>
      </c>
      <c r="AC124" s="9" cm="1">
        <f t="array" ref="AC12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4" s="6">
        <f>SMALL(RegatasN,1)</f>
        <v>0</v>
      </c>
      <c r="AE124" s="6">
        <f>SMALL(RegatasN,2)</f>
        <v>0</v>
      </c>
      <c r="AF124" s="6">
        <f>SMALL(RegatasN,3)</f>
        <v>0</v>
      </c>
      <c r="AG124" s="5" cm="1">
        <f t="array" ref="AG124">COUNTIF(Regatas,SMALL(Regatas,1))</f>
        <v>0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 x14ac:dyDescent="0.25">
      <c r="A125">
        <v>53083955</v>
      </c>
      <c r="B125" s="10">
        <f>ROW()-ROW(Selectivo6[[#Headers],[Pos]])</f>
        <v>119</v>
      </c>
      <c r="C125" s="5">
        <v>3872</v>
      </c>
      <c r="D125" t="s">
        <v>648</v>
      </c>
      <c r="E125" t="s">
        <v>5</v>
      </c>
      <c r="F125" s="13"/>
      <c r="G125" s="13"/>
      <c r="H125" s="12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2"/>
      <c r="V125" s="13"/>
      <c r="W125" s="12"/>
      <c r="X125" s="13"/>
      <c r="Y125" s="13"/>
      <c r="Z125" s="13"/>
      <c r="AA125" s="13"/>
      <c r="AB125" s="8" cm="1">
        <f t="array" ref="AB125">SUM(IFERROR(VALUE(LEFT(Regatas, FIND(" ",Regatas&amp; " ") - 1)), 0))</f>
        <v>0</v>
      </c>
      <c r="AC125" s="9" cm="1">
        <f t="array" ref="AC12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5" s="6">
        <f>SMALL(RegatasN,1)</f>
        <v>0</v>
      </c>
      <c r="AE125" s="6">
        <f>SMALL(RegatasN,2)</f>
        <v>0</v>
      </c>
      <c r="AF125" s="6">
        <f>SMALL(RegatasN,3)</f>
        <v>0</v>
      </c>
      <c r="AG125" s="5" cm="1">
        <f t="array" ref="AG125">COUNTIF(Regatas,SMALL(Regatas,1))</f>
        <v>0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 x14ac:dyDescent="0.25">
      <c r="A126">
        <v>51723975</v>
      </c>
      <c r="B126" s="10">
        <f>ROW()-ROW(Selectivo6[[#Headers],[Pos]])</f>
        <v>120</v>
      </c>
      <c r="C126" s="5">
        <v>4118</v>
      </c>
      <c r="D126" t="s">
        <v>604</v>
      </c>
      <c r="E126" t="s">
        <v>21</v>
      </c>
      <c r="F126" s="13"/>
      <c r="G126" s="13"/>
      <c r="H126" s="13"/>
      <c r="I126" s="13"/>
      <c r="J126" s="13"/>
      <c r="K126" s="13"/>
      <c r="L126" s="12"/>
      <c r="M126" s="13"/>
      <c r="N126" s="13"/>
      <c r="O126" s="12"/>
      <c r="P126" s="13"/>
      <c r="Q126" s="13"/>
      <c r="R126" s="13"/>
      <c r="S126" s="13"/>
      <c r="T126" s="12"/>
      <c r="U126" s="13"/>
      <c r="V126" s="13"/>
      <c r="W126" s="13"/>
      <c r="X126" s="13"/>
      <c r="Y126" s="13"/>
      <c r="Z126" s="13"/>
      <c r="AA126" s="13"/>
      <c r="AB126" s="8" cm="1">
        <f t="array" ref="AB126">SUM(IFERROR(VALUE(LEFT(Regatas, FIND(" ",Regatas&amp; " ") - 1)), 0))</f>
        <v>0</v>
      </c>
      <c r="AC126" s="9" cm="1">
        <f t="array" ref="AC12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6" s="6">
        <f>SMALL(RegatasN,1)</f>
        <v>0</v>
      </c>
      <c r="AE126" s="6">
        <f>SMALL(RegatasN,2)</f>
        <v>0</v>
      </c>
      <c r="AF126" s="6">
        <f>SMALL(RegatasN,3)</f>
        <v>0</v>
      </c>
      <c r="AG126" s="5" cm="1">
        <f t="array" ref="AG126">COUNTIF(Regatas,SMALL(Regatas,1))</f>
        <v>0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 x14ac:dyDescent="0.25">
      <c r="A127">
        <v>54765545</v>
      </c>
      <c r="B127" s="10">
        <f>ROW()-ROW(Selectivo6[[#Headers],[Pos]])</f>
        <v>121</v>
      </c>
      <c r="C127" s="5">
        <v>3999</v>
      </c>
      <c r="D127" t="s">
        <v>658</v>
      </c>
      <c r="E127" t="s">
        <v>71</v>
      </c>
      <c r="F127" s="13"/>
      <c r="G127" s="13"/>
      <c r="H127" s="13"/>
      <c r="I127" s="12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2"/>
      <c r="X127" s="12"/>
      <c r="Y127" s="13"/>
      <c r="Z127" s="13"/>
      <c r="AA127" s="13"/>
      <c r="AB127" s="8" cm="1">
        <f t="array" ref="AB127">SUM(IFERROR(VALUE(LEFT(Regatas, FIND(" ",Regatas&amp; " ") - 1)), 0))</f>
        <v>0</v>
      </c>
      <c r="AC127" s="9" cm="1">
        <f t="array" ref="AC12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7" s="6">
        <f>SMALL(RegatasN,1)</f>
        <v>0</v>
      </c>
      <c r="AE127" s="6">
        <f>SMALL(RegatasN,2)</f>
        <v>0</v>
      </c>
      <c r="AF127" s="6">
        <f>SMALL(RegatasN,3)</f>
        <v>0</v>
      </c>
      <c r="AG127" s="5" cm="1">
        <f t="array" ref="AG127">COUNTIF(Regatas,SMALL(Regatas,1))</f>
        <v>0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 x14ac:dyDescent="0.25">
      <c r="A128">
        <v>51344534</v>
      </c>
      <c r="B128" s="10">
        <f>ROW()-ROW(Selectivo6[[#Headers],[Pos]])</f>
        <v>122</v>
      </c>
      <c r="C128" s="5">
        <v>4177</v>
      </c>
      <c r="D128" t="s">
        <v>594</v>
      </c>
      <c r="E128" t="s">
        <v>11</v>
      </c>
      <c r="F128" s="13"/>
      <c r="G128" s="13"/>
      <c r="H128" s="13"/>
      <c r="I128" s="13"/>
      <c r="J128" s="13"/>
      <c r="K128" s="13"/>
      <c r="L128" s="12"/>
      <c r="M128" s="12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2"/>
      <c r="Y128" s="13"/>
      <c r="Z128" s="13"/>
      <c r="AA128" s="13"/>
      <c r="AB128" s="8" cm="1">
        <f t="array" ref="AB128">SUM(IFERROR(VALUE(LEFT(Regatas, FIND(" ",Regatas&amp; " ") - 1)), 0))</f>
        <v>0</v>
      </c>
      <c r="AC128" s="9" cm="1">
        <f t="array" ref="AC12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8" s="6">
        <f>SMALL(RegatasN,1)</f>
        <v>0</v>
      </c>
      <c r="AE128" s="6">
        <f>SMALL(RegatasN,2)</f>
        <v>0</v>
      </c>
      <c r="AF128" s="6">
        <f>SMALL(RegatasN,3)</f>
        <v>0</v>
      </c>
      <c r="AG128" s="5" cm="1">
        <f t="array" ref="AG128">COUNTIF(Regatas,SMALL(Regatas,1))</f>
        <v>0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 x14ac:dyDescent="0.25">
      <c r="A129">
        <v>52800005</v>
      </c>
      <c r="B129" s="10">
        <f>ROW()-ROW(Selectivo6[[#Headers],[Pos]])</f>
        <v>123</v>
      </c>
      <c r="C129" s="5">
        <v>4016</v>
      </c>
      <c r="D129" t="s">
        <v>707</v>
      </c>
      <c r="E129" t="s">
        <v>27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2"/>
      <c r="Q129" s="13"/>
      <c r="R129" s="13"/>
      <c r="S129" s="13"/>
      <c r="T129" s="13"/>
      <c r="U129" s="13"/>
      <c r="V129" s="12"/>
      <c r="W129" s="13"/>
      <c r="X129" s="13"/>
      <c r="Y129" s="13"/>
      <c r="Z129" s="13"/>
      <c r="AA129" s="12"/>
      <c r="AB129" s="8" cm="1">
        <f t="array" ref="AB129">SUM(IFERROR(VALUE(LEFT(Regatas, FIND(" ",Regatas&amp; " ") - 1)), 0))</f>
        <v>0</v>
      </c>
      <c r="AC129" s="9" cm="1">
        <f t="array" ref="AC12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29" s="6">
        <f>SMALL(RegatasN,1)</f>
        <v>0</v>
      </c>
      <c r="AE129" s="6">
        <f>SMALL(RegatasN,2)</f>
        <v>0</v>
      </c>
      <c r="AF129" s="6">
        <f>SMALL(RegatasN,3)</f>
        <v>0</v>
      </c>
      <c r="AG129" s="5" cm="1">
        <f t="array" ref="AG129">COUNTIF(Regatas,SMALL(Regatas,1))</f>
        <v>0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 x14ac:dyDescent="0.25">
      <c r="A130">
        <v>52725158</v>
      </c>
      <c r="B130" s="10">
        <f>ROW()-ROW(Selectivo6[[#Headers],[Pos]])</f>
        <v>124</v>
      </c>
      <c r="C130" s="5">
        <v>4160</v>
      </c>
      <c r="D130" t="s">
        <v>630</v>
      </c>
      <c r="E130" t="s">
        <v>10</v>
      </c>
      <c r="F130" s="13"/>
      <c r="G130" s="13"/>
      <c r="H130" s="13"/>
      <c r="I130" s="13"/>
      <c r="J130" s="13"/>
      <c r="K130" s="13"/>
      <c r="L130" s="13"/>
      <c r="M130" s="13"/>
      <c r="N130" s="12"/>
      <c r="O130" s="13"/>
      <c r="P130" s="13"/>
      <c r="Q130" s="13"/>
      <c r="R130" s="13"/>
      <c r="S130" s="13"/>
      <c r="T130" s="13"/>
      <c r="U130" s="13"/>
      <c r="V130" s="12"/>
      <c r="W130" s="13"/>
      <c r="X130" s="12"/>
      <c r="Y130" s="13"/>
      <c r="Z130" s="13"/>
      <c r="AA130" s="13"/>
      <c r="AB130" s="8" cm="1">
        <f t="array" ref="AB130">SUM(IFERROR(VALUE(LEFT(Regatas, FIND(" ",Regatas&amp; " ") - 1)), 0))</f>
        <v>0</v>
      </c>
      <c r="AC130" s="9" cm="1">
        <f t="array" ref="AC13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0" s="6">
        <f>SMALL(RegatasN,1)</f>
        <v>0</v>
      </c>
      <c r="AE130" s="6">
        <f>SMALL(RegatasN,2)</f>
        <v>0</v>
      </c>
      <c r="AF130" s="6">
        <f>SMALL(RegatasN,3)</f>
        <v>0</v>
      </c>
      <c r="AG130" s="5" cm="1">
        <f t="array" ref="AG130">COUNTIF(Regatas,SMALL(Regatas,1))</f>
        <v>0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 x14ac:dyDescent="0.25">
      <c r="A131">
        <v>52857832</v>
      </c>
      <c r="B131" s="10">
        <f>ROW()-ROW(Selectivo6[[#Headers],[Pos]])</f>
        <v>125</v>
      </c>
      <c r="C131" s="5">
        <v>4020</v>
      </c>
      <c r="D131" t="s">
        <v>645</v>
      </c>
      <c r="E131" t="s">
        <v>21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2"/>
      <c r="W131" s="12"/>
      <c r="X131" s="12"/>
      <c r="Y131" s="13"/>
      <c r="Z131" s="13"/>
      <c r="AA131" s="13"/>
      <c r="AB131" s="8" cm="1">
        <f t="array" ref="AB131">SUM(IFERROR(VALUE(LEFT(Regatas, FIND(" ",Regatas&amp; " ") - 1)), 0))</f>
        <v>0</v>
      </c>
      <c r="AC131" s="9" cm="1">
        <f t="array" ref="AC13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1" s="6">
        <f>SMALL(RegatasN,1)</f>
        <v>0</v>
      </c>
      <c r="AE131" s="6">
        <f>SMALL(RegatasN,2)</f>
        <v>0</v>
      </c>
      <c r="AF131" s="6">
        <f>SMALL(RegatasN,3)</f>
        <v>0</v>
      </c>
      <c r="AG131" s="5" cm="1">
        <f t="array" ref="AG131">COUNTIF(Regatas,SMALL(Regatas,1))</f>
        <v>0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 x14ac:dyDescent="0.25">
      <c r="A132">
        <v>51157369</v>
      </c>
      <c r="B132" s="10">
        <f>ROW()-ROW(Selectivo6[[#Headers],[Pos]])</f>
        <v>126</v>
      </c>
      <c r="C132" s="5">
        <v>4047</v>
      </c>
      <c r="D132" t="s">
        <v>640</v>
      </c>
      <c r="E132" t="s">
        <v>13</v>
      </c>
      <c r="F132" s="13"/>
      <c r="G132" s="13"/>
      <c r="H132" s="12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2"/>
      <c r="X132" s="13"/>
      <c r="Y132" s="12"/>
      <c r="Z132" s="13"/>
      <c r="AA132" s="13"/>
      <c r="AB132" s="8" cm="1">
        <f t="array" ref="AB132">SUM(IFERROR(VALUE(LEFT(Regatas, FIND(" ",Regatas&amp; " ") - 1)), 0))</f>
        <v>0</v>
      </c>
      <c r="AC132" s="9" cm="1">
        <f t="array" ref="AC13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2" s="6">
        <f>SMALL(RegatasN,1)</f>
        <v>0</v>
      </c>
      <c r="AE132" s="6">
        <f>SMALL(RegatasN,2)</f>
        <v>0</v>
      </c>
      <c r="AF132" s="6">
        <f>SMALL(RegatasN,3)</f>
        <v>0</v>
      </c>
      <c r="AG132" s="5" cm="1">
        <f t="array" ref="AG132">COUNTIF(Regatas,SMALL(Regatas,1))</f>
        <v>0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 x14ac:dyDescent="0.25">
      <c r="A133">
        <v>52113290</v>
      </c>
      <c r="B133" s="10">
        <f>ROW()-ROW(Selectivo6[[#Headers],[Pos]])</f>
        <v>127</v>
      </c>
      <c r="C133" s="5">
        <v>3543</v>
      </c>
      <c r="D133" t="s">
        <v>666</v>
      </c>
      <c r="E133" t="s">
        <v>9</v>
      </c>
      <c r="F133" s="13"/>
      <c r="G133" s="13"/>
      <c r="H133" s="13"/>
      <c r="I133" s="13"/>
      <c r="J133" s="13"/>
      <c r="K133" s="13"/>
      <c r="L133" s="13"/>
      <c r="M133" s="12"/>
      <c r="N133" s="13"/>
      <c r="O133" s="13"/>
      <c r="P133" s="13"/>
      <c r="Q133" s="13"/>
      <c r="R133" s="13"/>
      <c r="S133" s="13"/>
      <c r="T133" s="13"/>
      <c r="U133" s="13"/>
      <c r="V133" s="12"/>
      <c r="W133" s="12"/>
      <c r="X133" s="13"/>
      <c r="Y133" s="13"/>
      <c r="Z133" s="13"/>
      <c r="AA133" s="13"/>
      <c r="AB133" s="8" cm="1">
        <f t="array" ref="AB133">SUM(IFERROR(VALUE(LEFT(Regatas, FIND(" ",Regatas&amp; " ") - 1)), 0))</f>
        <v>0</v>
      </c>
      <c r="AC133" s="9" cm="1">
        <f t="array" ref="AC13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3" s="6">
        <f>SMALL(RegatasN,1)</f>
        <v>0</v>
      </c>
      <c r="AE133" s="6">
        <f>SMALL(RegatasN,2)</f>
        <v>0</v>
      </c>
      <c r="AF133" s="6">
        <f>SMALL(RegatasN,3)</f>
        <v>0</v>
      </c>
      <c r="AG133" s="5" cm="1">
        <f t="array" ref="AG133">COUNTIF(Regatas,SMALL(Regatas,1))</f>
        <v>0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 x14ac:dyDescent="0.25">
      <c r="A134">
        <v>50103590</v>
      </c>
      <c r="B134" s="10">
        <f>ROW()-ROW(Selectivo6[[#Headers],[Pos]])</f>
        <v>128</v>
      </c>
      <c r="C134" s="5">
        <v>3846</v>
      </c>
      <c r="D134" t="s">
        <v>659</v>
      </c>
      <c r="E134" t="s">
        <v>9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2"/>
      <c r="W134" s="12"/>
      <c r="X134" s="12"/>
      <c r="Y134" s="13"/>
      <c r="Z134" s="13"/>
      <c r="AA134" s="13"/>
      <c r="AB134" s="8" cm="1">
        <f t="array" ref="AB134">SUM(IFERROR(VALUE(LEFT(Regatas, FIND(" ",Regatas&amp; " ") - 1)), 0))</f>
        <v>0</v>
      </c>
      <c r="AC134" s="9" cm="1">
        <f t="array" ref="AC13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4" s="6">
        <f>SMALL(RegatasN,1)</f>
        <v>0</v>
      </c>
      <c r="AE134" s="6">
        <f>SMALL(RegatasN,2)</f>
        <v>0</v>
      </c>
      <c r="AF134" s="6">
        <f>SMALL(RegatasN,3)</f>
        <v>0</v>
      </c>
      <c r="AG134" s="5" cm="1">
        <f t="array" ref="AG134">COUNTIF(Regatas,SMALL(Regatas,1))</f>
        <v>0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 x14ac:dyDescent="0.25">
      <c r="A135">
        <v>54184438</v>
      </c>
      <c r="B135" s="10">
        <f>ROW()-ROW(Selectivo6[[#Headers],[Pos]])</f>
        <v>129</v>
      </c>
      <c r="C135" s="5">
        <v>3895</v>
      </c>
      <c r="D135" t="s">
        <v>599</v>
      </c>
      <c r="E135" t="s">
        <v>5</v>
      </c>
      <c r="F135" s="13"/>
      <c r="G135" s="12"/>
      <c r="H135" s="13"/>
      <c r="I135" s="13"/>
      <c r="J135" s="13"/>
      <c r="K135" s="12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2"/>
      <c r="Z135" s="13"/>
      <c r="AA135" s="13"/>
      <c r="AB135" s="8" cm="1">
        <f t="array" ref="AB135">SUM(IFERROR(VALUE(LEFT(Regatas, FIND(" ",Regatas&amp; " ") - 1)), 0))</f>
        <v>0</v>
      </c>
      <c r="AC135" s="9" cm="1">
        <f t="array" ref="AC13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5" s="6">
        <f>SMALL(RegatasN,1)</f>
        <v>0</v>
      </c>
      <c r="AE135" s="6">
        <f>SMALL(RegatasN,2)</f>
        <v>0</v>
      </c>
      <c r="AF135" s="6">
        <f>SMALL(RegatasN,3)</f>
        <v>0</v>
      </c>
      <c r="AG135" s="5" cm="1">
        <f t="array" ref="AG135">COUNTIF(Regatas,SMALL(Regatas,1))</f>
        <v>0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 x14ac:dyDescent="0.25">
      <c r="A136">
        <v>53774618</v>
      </c>
      <c r="B136" s="10">
        <f>ROW()-ROW(Selectivo6[[#Headers],[Pos]])</f>
        <v>130</v>
      </c>
      <c r="C136" s="5">
        <v>3866</v>
      </c>
      <c r="D136" t="s">
        <v>607</v>
      </c>
      <c r="E136" t="s">
        <v>71</v>
      </c>
      <c r="F136" s="13"/>
      <c r="G136" s="13"/>
      <c r="H136" s="13"/>
      <c r="I136" s="13"/>
      <c r="J136" s="13"/>
      <c r="K136" s="13"/>
      <c r="L136" s="12"/>
      <c r="M136" s="13"/>
      <c r="N136" s="13"/>
      <c r="O136" s="13"/>
      <c r="P136" s="13"/>
      <c r="Q136" s="13"/>
      <c r="R136" s="13"/>
      <c r="S136" s="13"/>
      <c r="T136" s="13"/>
      <c r="U136" s="12"/>
      <c r="V136" s="13"/>
      <c r="W136" s="13"/>
      <c r="X136" s="13"/>
      <c r="Y136" s="13"/>
      <c r="Z136" s="13"/>
      <c r="AA136" s="12"/>
      <c r="AB136" s="8" cm="1">
        <f t="array" ref="AB136">SUM(IFERROR(VALUE(LEFT(Regatas, FIND(" ",Regatas&amp; " ") - 1)), 0))</f>
        <v>0</v>
      </c>
      <c r="AC136" s="9" cm="1">
        <f t="array" ref="AC13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6" s="6">
        <f>SMALL(RegatasN,1)</f>
        <v>0</v>
      </c>
      <c r="AE136" s="6">
        <f>SMALL(RegatasN,2)</f>
        <v>0</v>
      </c>
      <c r="AF136" s="6">
        <f>SMALL(RegatasN,3)</f>
        <v>0</v>
      </c>
      <c r="AG136" s="5" cm="1">
        <f t="array" ref="AG136">COUNTIF(Regatas,SMALL(Regatas,1))</f>
        <v>0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 x14ac:dyDescent="0.25">
      <c r="A137">
        <v>52619617</v>
      </c>
      <c r="B137" s="10">
        <f>ROW()-ROW(Selectivo6[[#Headers],[Pos]])</f>
        <v>131</v>
      </c>
      <c r="C137" s="5">
        <v>3123</v>
      </c>
      <c r="D137" t="s">
        <v>616</v>
      </c>
      <c r="E137" t="s">
        <v>44</v>
      </c>
      <c r="F137" s="13"/>
      <c r="G137" s="13"/>
      <c r="H137" s="13"/>
      <c r="I137" s="12"/>
      <c r="J137" s="12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2"/>
      <c r="AA137" s="13"/>
      <c r="AB137" s="8" cm="1">
        <f t="array" ref="AB137">SUM(IFERROR(VALUE(LEFT(Regatas, FIND(" ",Regatas&amp; " ") - 1)), 0))</f>
        <v>0</v>
      </c>
      <c r="AC137" s="9" cm="1">
        <f t="array" ref="AC13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7" s="6">
        <f>SMALL(RegatasN,1)</f>
        <v>0</v>
      </c>
      <c r="AE137" s="6">
        <f>SMALL(RegatasN,2)</f>
        <v>0</v>
      </c>
      <c r="AF137" s="6">
        <f>SMALL(RegatasN,3)</f>
        <v>0</v>
      </c>
      <c r="AG137" s="5" cm="1">
        <f t="array" ref="AG137">COUNTIF(Regatas,SMALL(Regatas,1))</f>
        <v>0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 x14ac:dyDescent="0.25">
      <c r="A138">
        <v>51582661</v>
      </c>
      <c r="B138" s="10">
        <f>ROW()-ROW(Selectivo6[[#Headers],[Pos]])</f>
        <v>132</v>
      </c>
      <c r="C138" s="5">
        <v>4184</v>
      </c>
      <c r="D138" t="s">
        <v>653</v>
      </c>
      <c r="E138" t="s">
        <v>5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2"/>
      <c r="Y138" s="12"/>
      <c r="Z138" s="13"/>
      <c r="AA138" s="12"/>
      <c r="AB138" s="8" cm="1">
        <f t="array" ref="AB138">SUM(IFERROR(VALUE(LEFT(Regatas, FIND(" ",Regatas&amp; " ") - 1)), 0))</f>
        <v>0</v>
      </c>
      <c r="AC138" s="9" cm="1">
        <f t="array" ref="AC13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8" s="6">
        <f>SMALL(RegatasN,1)</f>
        <v>0</v>
      </c>
      <c r="AE138" s="6">
        <f>SMALL(RegatasN,2)</f>
        <v>0</v>
      </c>
      <c r="AF138" s="6">
        <f>SMALL(RegatasN,3)</f>
        <v>0</v>
      </c>
      <c r="AG138" s="5" cm="1">
        <f t="array" ref="AG138">COUNTIF(Regatas,SMALL(Regatas,1))</f>
        <v>0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 x14ac:dyDescent="0.25">
      <c r="A139">
        <v>49902633</v>
      </c>
      <c r="B139" s="10">
        <f>ROW()-ROW(Selectivo6[[#Headers],[Pos]])</f>
        <v>133</v>
      </c>
      <c r="C139" s="5">
        <v>4083</v>
      </c>
      <c r="D139" t="s">
        <v>751</v>
      </c>
      <c r="E139" t="s">
        <v>31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2"/>
      <c r="W139" s="13"/>
      <c r="X139" s="13"/>
      <c r="Y139" s="12"/>
      <c r="Z139" s="12"/>
      <c r="AA139" s="13"/>
      <c r="AB139" s="8" cm="1">
        <f t="array" ref="AB139">SUM(IFERROR(VALUE(LEFT(Regatas, FIND(" ",Regatas&amp; " ") - 1)), 0))</f>
        <v>0</v>
      </c>
      <c r="AC139" s="9" cm="1">
        <f t="array" ref="AC13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39" s="6">
        <f>SMALL(RegatasN,1)</f>
        <v>0</v>
      </c>
      <c r="AE139" s="6">
        <f>SMALL(RegatasN,2)</f>
        <v>0</v>
      </c>
      <c r="AF139" s="6">
        <f>SMALL(RegatasN,3)</f>
        <v>0</v>
      </c>
      <c r="AG139" s="5" cm="1">
        <f t="array" ref="AG139">COUNTIF(Regatas,SMALL(Regatas,1))</f>
        <v>0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 x14ac:dyDescent="0.25">
      <c r="A140">
        <v>53084239</v>
      </c>
      <c r="B140" s="10">
        <f>ROW()-ROW(Selectivo6[[#Headers],[Pos]])</f>
        <v>134</v>
      </c>
      <c r="C140" s="5">
        <v>3885</v>
      </c>
      <c r="D140" t="s">
        <v>590</v>
      </c>
      <c r="E140" t="s">
        <v>21</v>
      </c>
      <c r="F140" s="13"/>
      <c r="G140" s="12"/>
      <c r="H140" s="13"/>
      <c r="I140" s="13"/>
      <c r="J140" s="13"/>
      <c r="K140" s="12"/>
      <c r="L140" s="13"/>
      <c r="M140" s="13"/>
      <c r="N140" s="13"/>
      <c r="O140" s="13"/>
      <c r="P140" s="12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8" cm="1">
        <f t="array" ref="AB140">SUM(IFERROR(VALUE(LEFT(Regatas, FIND(" ",Regatas&amp; " ") - 1)), 0))</f>
        <v>0</v>
      </c>
      <c r="AC140" s="9" cm="1">
        <f t="array" ref="AC14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0" s="6">
        <f>SMALL(RegatasN,1)</f>
        <v>0</v>
      </c>
      <c r="AE140" s="6">
        <f>SMALL(RegatasN,2)</f>
        <v>0</v>
      </c>
      <c r="AF140" s="6">
        <f>SMALL(RegatasN,3)</f>
        <v>0</v>
      </c>
      <c r="AG140" s="5" cm="1">
        <f t="array" ref="AG140">COUNTIF(Regatas,SMALL(Regatas,1))</f>
        <v>0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 x14ac:dyDescent="0.25">
      <c r="A141">
        <v>52454489</v>
      </c>
      <c r="B141" s="10">
        <f>ROW()-ROW(Selectivo6[[#Headers],[Pos]])</f>
        <v>135</v>
      </c>
      <c r="C141" s="5">
        <v>4173</v>
      </c>
      <c r="D141" t="s">
        <v>624</v>
      </c>
      <c r="E141" t="s">
        <v>5</v>
      </c>
      <c r="F141" s="13"/>
      <c r="G141" s="13"/>
      <c r="H141" s="13"/>
      <c r="I141" s="13"/>
      <c r="J141" s="13"/>
      <c r="K141" s="13"/>
      <c r="L141" s="12"/>
      <c r="M141" s="13"/>
      <c r="N141" s="12"/>
      <c r="O141" s="13"/>
      <c r="P141" s="13"/>
      <c r="Q141" s="13"/>
      <c r="R141" s="13"/>
      <c r="S141" s="13"/>
      <c r="T141" s="13"/>
      <c r="U141" s="13"/>
      <c r="V141" s="12"/>
      <c r="W141" s="13"/>
      <c r="X141" s="13"/>
      <c r="Y141" s="13"/>
      <c r="Z141" s="13"/>
      <c r="AA141" s="13"/>
      <c r="AB141" s="8" cm="1">
        <f t="array" ref="AB141">SUM(IFERROR(VALUE(LEFT(Regatas, FIND(" ",Regatas&amp; " ") - 1)), 0))</f>
        <v>0</v>
      </c>
      <c r="AC141" s="9" cm="1">
        <f t="array" ref="AC14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1" s="6">
        <f>SMALL(RegatasN,1)</f>
        <v>0</v>
      </c>
      <c r="AE141" s="6">
        <f>SMALL(RegatasN,2)</f>
        <v>0</v>
      </c>
      <c r="AF141" s="6">
        <f>SMALL(RegatasN,3)</f>
        <v>0</v>
      </c>
      <c r="AG141" s="5" cm="1">
        <f t="array" ref="AG141">COUNTIF(Regatas,SMALL(Regatas,1))</f>
        <v>0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 x14ac:dyDescent="0.25">
      <c r="A142">
        <v>52441977</v>
      </c>
      <c r="B142" s="10">
        <f>ROW()-ROW(Selectivo6[[#Headers],[Pos]])</f>
        <v>136</v>
      </c>
      <c r="C142" s="5">
        <v>3970</v>
      </c>
      <c r="D142" t="s">
        <v>621</v>
      </c>
      <c r="E142" t="s">
        <v>21</v>
      </c>
      <c r="F142" s="13"/>
      <c r="G142" s="13"/>
      <c r="H142" s="13"/>
      <c r="I142" s="13"/>
      <c r="J142" s="13"/>
      <c r="K142" s="13"/>
      <c r="L142" s="13"/>
      <c r="M142" s="12"/>
      <c r="N142" s="13"/>
      <c r="O142" s="13"/>
      <c r="P142" s="13"/>
      <c r="Q142" s="13"/>
      <c r="R142" s="13"/>
      <c r="S142" s="13"/>
      <c r="T142" s="13"/>
      <c r="U142" s="13"/>
      <c r="V142" s="12"/>
      <c r="W142" s="13"/>
      <c r="X142" s="13"/>
      <c r="Y142" s="13"/>
      <c r="Z142" s="13"/>
      <c r="AA142" s="12"/>
      <c r="AB142" s="8" cm="1">
        <f t="array" ref="AB142">SUM(IFERROR(VALUE(LEFT(Regatas, FIND(" ",Regatas&amp; " ") - 1)), 0))</f>
        <v>0</v>
      </c>
      <c r="AC142" s="9" cm="1">
        <f t="array" ref="AC14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2" s="6">
        <f>SMALL(RegatasN,1)</f>
        <v>0</v>
      </c>
      <c r="AE142" s="6">
        <f>SMALL(RegatasN,2)</f>
        <v>0</v>
      </c>
      <c r="AF142" s="6">
        <f>SMALL(RegatasN,3)</f>
        <v>0</v>
      </c>
      <c r="AG142" s="5" cm="1">
        <f t="array" ref="AG142">COUNTIF(Regatas,SMALL(Regatas,1))</f>
        <v>0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 x14ac:dyDescent="0.25">
      <c r="A143">
        <v>50663025</v>
      </c>
      <c r="B143" s="10">
        <f>ROW()-ROW(Selectivo6[[#Headers],[Pos]])</f>
        <v>137</v>
      </c>
      <c r="C143" s="5">
        <v>4105</v>
      </c>
      <c r="D143" t="s">
        <v>647</v>
      </c>
      <c r="E143" t="s">
        <v>63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2"/>
      <c r="W143" s="12"/>
      <c r="X143" s="12"/>
      <c r="Y143" s="13"/>
      <c r="Z143" s="13"/>
      <c r="AA143" s="13"/>
      <c r="AB143" s="8" cm="1">
        <f t="array" ref="AB143">SUM(IFERROR(VALUE(LEFT(Regatas, FIND(" ",Regatas&amp; " ") - 1)), 0))</f>
        <v>0</v>
      </c>
      <c r="AC143" s="9" cm="1">
        <f t="array" ref="AC14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3" s="6">
        <f>SMALL(RegatasN,1)</f>
        <v>0</v>
      </c>
      <c r="AE143" s="6">
        <f>SMALL(RegatasN,2)</f>
        <v>0</v>
      </c>
      <c r="AF143" s="6">
        <f>SMALL(RegatasN,3)</f>
        <v>0</v>
      </c>
      <c r="AG143" s="5" cm="1">
        <f t="array" ref="AG143">COUNTIF(Regatas,SMALL(Regatas,1))</f>
        <v>0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 x14ac:dyDescent="0.25">
      <c r="A144">
        <v>50487891</v>
      </c>
      <c r="B144" s="10">
        <f>ROW()-ROW(Selectivo6[[#Headers],[Pos]])</f>
        <v>138</v>
      </c>
      <c r="C144" s="5">
        <v>3826</v>
      </c>
      <c r="D144" t="s">
        <v>611</v>
      </c>
      <c r="E144" t="s">
        <v>23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2"/>
      <c r="W144" s="12"/>
      <c r="X144" s="12"/>
      <c r="Y144" s="13"/>
      <c r="Z144" s="13"/>
      <c r="AA144" s="13"/>
      <c r="AB144" s="8" cm="1">
        <f t="array" ref="AB144">SUM(IFERROR(VALUE(LEFT(Regatas, FIND(" ",Regatas&amp; " ") - 1)), 0))</f>
        <v>0</v>
      </c>
      <c r="AC144" s="9" cm="1">
        <f t="array" ref="AC14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4" s="6">
        <f>SMALL(RegatasN,1)</f>
        <v>0</v>
      </c>
      <c r="AE144" s="6">
        <f>SMALL(RegatasN,2)</f>
        <v>0</v>
      </c>
      <c r="AF144" s="6">
        <f>SMALL(RegatasN,3)</f>
        <v>0</v>
      </c>
      <c r="AG144" s="5" cm="1">
        <f t="array" ref="AG144">COUNTIF(Regatas,SMALL(Regatas,1))</f>
        <v>0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 x14ac:dyDescent="0.25">
      <c r="A145">
        <v>50701994</v>
      </c>
      <c r="B145" s="10">
        <f>ROW()-ROW(Selectivo6[[#Headers],[Pos]])</f>
        <v>139</v>
      </c>
      <c r="C145" s="5">
        <v>4207</v>
      </c>
      <c r="D145" t="s">
        <v>720</v>
      </c>
      <c r="E145" t="s">
        <v>9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2"/>
      <c r="W145" s="12"/>
      <c r="X145" s="12"/>
      <c r="Y145" s="13"/>
      <c r="Z145" s="13"/>
      <c r="AA145" s="13"/>
      <c r="AB145" s="8" cm="1">
        <f t="array" ref="AB145">SUM(IFERROR(VALUE(LEFT(Regatas, FIND(" ",Regatas&amp; " ") - 1)), 0))</f>
        <v>0</v>
      </c>
      <c r="AC145" s="9" cm="1">
        <f t="array" ref="AC14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5" s="6">
        <f>SMALL(RegatasN,1)</f>
        <v>0</v>
      </c>
      <c r="AE145" s="6">
        <f>SMALL(RegatasN,2)</f>
        <v>0</v>
      </c>
      <c r="AF145" s="6">
        <f>SMALL(RegatasN,3)</f>
        <v>0</v>
      </c>
      <c r="AG145" s="5" cm="1">
        <f t="array" ref="AG145">COUNTIF(Regatas,SMALL(Regatas,1))</f>
        <v>0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 x14ac:dyDescent="0.25">
      <c r="A146">
        <v>52790163</v>
      </c>
      <c r="B146" s="10">
        <f>ROW()-ROW(Selectivo6[[#Headers],[Pos]])</f>
        <v>140</v>
      </c>
      <c r="C146" s="5">
        <v>4191</v>
      </c>
      <c r="D146" t="s">
        <v>665</v>
      </c>
      <c r="E146" t="s">
        <v>5</v>
      </c>
      <c r="F146" s="13"/>
      <c r="G146" s="13"/>
      <c r="H146" s="13"/>
      <c r="I146" s="13"/>
      <c r="J146" s="13"/>
      <c r="K146" s="13"/>
      <c r="L146" s="13"/>
      <c r="M146" s="12"/>
      <c r="N146" s="13"/>
      <c r="O146" s="13"/>
      <c r="P146" s="12"/>
      <c r="Q146" s="13"/>
      <c r="R146" s="13"/>
      <c r="S146" s="13"/>
      <c r="T146" s="13"/>
      <c r="U146" s="13"/>
      <c r="V146" s="13"/>
      <c r="W146" s="13"/>
      <c r="X146" s="13"/>
      <c r="Y146" s="12"/>
      <c r="Z146" s="13"/>
      <c r="AA146" s="13"/>
      <c r="AB146" s="8" cm="1">
        <f t="array" ref="AB146">SUM(IFERROR(VALUE(LEFT(Regatas, FIND(" ",Regatas&amp; " ") - 1)), 0))</f>
        <v>0</v>
      </c>
      <c r="AC146" s="9" cm="1">
        <f t="array" ref="AC14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6" s="6">
        <f>SMALL(RegatasN,1)</f>
        <v>0</v>
      </c>
      <c r="AE146" s="6">
        <f>SMALL(RegatasN,2)</f>
        <v>0</v>
      </c>
      <c r="AF146" s="6">
        <f>SMALL(RegatasN,3)</f>
        <v>0</v>
      </c>
      <c r="AG146" s="5" cm="1">
        <f t="array" ref="AG146">COUNTIF(Regatas,SMALL(Regatas,1))</f>
        <v>0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 x14ac:dyDescent="0.25">
      <c r="A147">
        <v>53442924</v>
      </c>
      <c r="B147" s="10">
        <f>ROW()-ROW(Selectivo6[[#Headers],[Pos]])</f>
        <v>141</v>
      </c>
      <c r="C147" s="5">
        <v>4141</v>
      </c>
      <c r="D147" t="s">
        <v>598</v>
      </c>
      <c r="E147" t="s">
        <v>11</v>
      </c>
      <c r="F147" s="12"/>
      <c r="G147" s="13"/>
      <c r="H147" s="12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2"/>
      <c r="W147" s="13"/>
      <c r="X147" s="13"/>
      <c r="Y147" s="13"/>
      <c r="Z147" s="13"/>
      <c r="AA147" s="13"/>
      <c r="AB147" s="8" cm="1">
        <f t="array" ref="AB147">SUM(IFERROR(VALUE(LEFT(Regatas, FIND(" ",Regatas&amp; " ") - 1)), 0))</f>
        <v>0</v>
      </c>
      <c r="AC147" s="9" cm="1">
        <f t="array" ref="AC14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7" s="6">
        <f>SMALL(RegatasN,1)</f>
        <v>0</v>
      </c>
      <c r="AE147" s="6">
        <f>SMALL(RegatasN,2)</f>
        <v>0</v>
      </c>
      <c r="AF147" s="6">
        <f>SMALL(RegatasN,3)</f>
        <v>0</v>
      </c>
      <c r="AG147" s="5" cm="1">
        <f t="array" ref="AG147">COUNTIF(Regatas,SMALL(Regatas,1))</f>
        <v>0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 x14ac:dyDescent="0.25">
      <c r="A148">
        <v>52861772</v>
      </c>
      <c r="B148" s="10">
        <f>ROW()-ROW(Selectivo6[[#Headers],[Pos]])</f>
        <v>142</v>
      </c>
      <c r="C148" s="5">
        <v>3995</v>
      </c>
      <c r="D148" t="s">
        <v>650</v>
      </c>
      <c r="E148" t="s">
        <v>5</v>
      </c>
      <c r="F148" s="13"/>
      <c r="G148" s="13"/>
      <c r="H148" s="13"/>
      <c r="I148" s="13"/>
      <c r="J148" s="13"/>
      <c r="K148" s="13"/>
      <c r="L148" s="13"/>
      <c r="M148" s="13"/>
      <c r="N148" s="12"/>
      <c r="O148" s="13"/>
      <c r="P148" s="12"/>
      <c r="Q148" s="12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8" cm="1">
        <f t="array" ref="AB148">SUM(IFERROR(VALUE(LEFT(Regatas, FIND(" ",Regatas&amp; " ") - 1)), 0))</f>
        <v>0</v>
      </c>
      <c r="AC148" s="9" cm="1">
        <f t="array" ref="AC14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8" s="6">
        <f>SMALL(RegatasN,1)</f>
        <v>0</v>
      </c>
      <c r="AE148" s="6">
        <f>SMALL(RegatasN,2)</f>
        <v>0</v>
      </c>
      <c r="AF148" s="6">
        <f>SMALL(RegatasN,3)</f>
        <v>0</v>
      </c>
      <c r="AG148" s="5" cm="1">
        <f t="array" ref="AG148">COUNTIF(Regatas,SMALL(Regatas,1))</f>
        <v>0</v>
      </c>
      <c r="AH148" s="6" t="e" cm="1">
        <f t="array" ref="AH1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9" spans="1:34" x14ac:dyDescent="0.25">
      <c r="A149">
        <v>51511518</v>
      </c>
      <c r="B149" s="10">
        <f>ROW()-ROW(Selectivo6[[#Headers],[Pos]])</f>
        <v>143</v>
      </c>
      <c r="C149" s="5">
        <v>4197</v>
      </c>
      <c r="D149" t="s">
        <v>638</v>
      </c>
      <c r="E149" t="s">
        <v>13</v>
      </c>
      <c r="F149" s="13"/>
      <c r="G149" s="13"/>
      <c r="H149" s="13"/>
      <c r="I149" s="12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2"/>
      <c r="AA149" s="12"/>
      <c r="AB149" s="8" cm="1">
        <f t="array" ref="AB149">SUM(IFERROR(VALUE(LEFT(Regatas, FIND(" ",Regatas&amp; " ") - 1)), 0))</f>
        <v>0</v>
      </c>
      <c r="AC149" s="9" cm="1">
        <f t="array" ref="AC14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49" s="6">
        <f>SMALL(RegatasN,1)</f>
        <v>0</v>
      </c>
      <c r="AE149" s="6">
        <f>SMALL(RegatasN,2)</f>
        <v>0</v>
      </c>
      <c r="AF149" s="6">
        <f>SMALL(RegatasN,3)</f>
        <v>0</v>
      </c>
      <c r="AG149" s="5" cm="1">
        <f t="array" ref="AG149">COUNTIF(Regatas,SMALL(Regatas,1))</f>
        <v>0</v>
      </c>
      <c r="AH149" s="6" t="e" cm="1">
        <f t="array" ref="AH1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0" spans="1:34" x14ac:dyDescent="0.25">
      <c r="A150">
        <v>52827436</v>
      </c>
      <c r="B150" s="10">
        <f>ROW()-ROW(Selectivo6[[#Headers],[Pos]])</f>
        <v>144</v>
      </c>
      <c r="C150" s="5">
        <v>3583</v>
      </c>
      <c r="D150" t="s">
        <v>584</v>
      </c>
      <c r="E150" t="s">
        <v>9</v>
      </c>
      <c r="F150" s="13"/>
      <c r="G150" s="13"/>
      <c r="H150" s="13"/>
      <c r="I150" s="13"/>
      <c r="J150" s="12"/>
      <c r="K150" s="12"/>
      <c r="L150" s="13"/>
      <c r="M150" s="12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8" cm="1">
        <f t="array" ref="AB150">SUM(IFERROR(VALUE(LEFT(Regatas, FIND(" ",Regatas&amp; " ") - 1)), 0))</f>
        <v>0</v>
      </c>
      <c r="AC150" s="9" cm="1">
        <f t="array" ref="AC15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0" s="6">
        <f>SMALL(RegatasN,1)</f>
        <v>0</v>
      </c>
      <c r="AE150" s="6">
        <f>SMALL(RegatasN,2)</f>
        <v>0</v>
      </c>
      <c r="AF150" s="6">
        <f>SMALL(RegatasN,3)</f>
        <v>0</v>
      </c>
      <c r="AG150" s="5" cm="1">
        <f t="array" ref="AG150">COUNTIF(Regatas,SMALL(Regatas,1))</f>
        <v>0</v>
      </c>
      <c r="AH150" s="6" t="e" cm="1">
        <f t="array" ref="AH1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1" spans="1:34" x14ac:dyDescent="0.25">
      <c r="A151">
        <v>52164372</v>
      </c>
      <c r="B151" s="10">
        <f>ROW()-ROW(Selectivo6[[#Headers],[Pos]])</f>
        <v>145</v>
      </c>
      <c r="C151" s="5">
        <v>4117</v>
      </c>
      <c r="D151" t="s">
        <v>610</v>
      </c>
      <c r="E151" t="s">
        <v>9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2"/>
      <c r="Z151" s="12"/>
      <c r="AA151" s="12"/>
      <c r="AB151" s="8" cm="1">
        <f t="array" ref="AB151">SUM(IFERROR(VALUE(LEFT(Regatas, FIND(" ",Regatas&amp; " ") - 1)), 0))</f>
        <v>0</v>
      </c>
      <c r="AC151" s="9" cm="1">
        <f t="array" ref="AC15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1" s="6">
        <f>SMALL(RegatasN,1)</f>
        <v>0</v>
      </c>
      <c r="AE151" s="6">
        <f>SMALL(RegatasN,2)</f>
        <v>0</v>
      </c>
      <c r="AF151" s="6">
        <f>SMALL(RegatasN,3)</f>
        <v>0</v>
      </c>
      <c r="AG151" s="5" cm="1">
        <f t="array" ref="AG151">COUNTIF(Regatas,SMALL(Regatas,1))</f>
        <v>0</v>
      </c>
      <c r="AH151" s="6" t="e" cm="1">
        <f t="array" ref="AH1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2" spans="1:34" x14ac:dyDescent="0.25">
      <c r="A152">
        <v>52764604</v>
      </c>
      <c r="B152" s="10">
        <f>ROW()-ROW(Selectivo6[[#Headers],[Pos]])</f>
        <v>146</v>
      </c>
      <c r="C152" s="5">
        <v>4163</v>
      </c>
      <c r="D152" t="s">
        <v>619</v>
      </c>
      <c r="E152" t="s">
        <v>13</v>
      </c>
      <c r="F152" s="13"/>
      <c r="G152" s="13"/>
      <c r="H152" s="13"/>
      <c r="I152" s="12"/>
      <c r="J152" s="12"/>
      <c r="K152" s="12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8" cm="1">
        <f t="array" ref="AB152">SUM(IFERROR(VALUE(LEFT(Regatas, FIND(" ",Regatas&amp; " ") - 1)), 0))</f>
        <v>0</v>
      </c>
      <c r="AC152" s="9" cm="1">
        <f t="array" ref="AC15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2" s="6">
        <f>SMALL(RegatasN,1)</f>
        <v>0</v>
      </c>
      <c r="AE152" s="6">
        <f>SMALL(RegatasN,2)</f>
        <v>0</v>
      </c>
      <c r="AF152" s="6">
        <f>SMALL(RegatasN,3)</f>
        <v>0</v>
      </c>
      <c r="AG152" s="5" cm="1">
        <f t="array" ref="AG152">COUNTIF(Regatas,SMALL(Regatas,1))</f>
        <v>0</v>
      </c>
      <c r="AH152" s="6" t="e" cm="1">
        <f t="array" ref="AH1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3" spans="1:34" x14ac:dyDescent="0.25">
      <c r="A153">
        <v>53242979</v>
      </c>
      <c r="B153" s="10">
        <f>ROW()-ROW(Selectivo6[[#Headers],[Pos]])</f>
        <v>147</v>
      </c>
      <c r="C153" s="5">
        <v>3688</v>
      </c>
      <c r="D153" t="s">
        <v>701</v>
      </c>
      <c r="E153" t="s">
        <v>26</v>
      </c>
      <c r="F153" s="13"/>
      <c r="G153" s="13"/>
      <c r="H153" s="13"/>
      <c r="I153" s="12"/>
      <c r="J153" s="12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2"/>
      <c r="AB153" s="8" cm="1">
        <f t="array" ref="AB153">SUM(IFERROR(VALUE(LEFT(Regatas, FIND(" ",Regatas&amp; " ") - 1)), 0))</f>
        <v>0</v>
      </c>
      <c r="AC153" s="9" cm="1">
        <f t="array" ref="AC15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3" s="6">
        <f>SMALL(RegatasN,1)</f>
        <v>0</v>
      </c>
      <c r="AE153" s="6">
        <f>SMALL(RegatasN,2)</f>
        <v>0</v>
      </c>
      <c r="AF153" s="6">
        <f>SMALL(RegatasN,3)</f>
        <v>0</v>
      </c>
      <c r="AG153" s="5" cm="1">
        <f t="array" ref="AG153">COUNTIF(Regatas,SMALL(Regatas,1))</f>
        <v>0</v>
      </c>
      <c r="AH153" s="6" t="e" cm="1">
        <f t="array" ref="AH1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4" spans="1:34" x14ac:dyDescent="0.25">
      <c r="A154">
        <v>52029216</v>
      </c>
      <c r="B154" s="10">
        <f>ROW()-ROW(Selectivo6[[#Headers],[Pos]])</f>
        <v>148</v>
      </c>
      <c r="C154" s="5">
        <v>4140</v>
      </c>
      <c r="D154" t="s">
        <v>592</v>
      </c>
      <c r="E154" t="s">
        <v>16</v>
      </c>
      <c r="F154" s="13"/>
      <c r="G154" s="13"/>
      <c r="H154" s="12"/>
      <c r="I154" s="13"/>
      <c r="J154" s="12"/>
      <c r="K154" s="13"/>
      <c r="L154" s="13"/>
      <c r="M154" s="13"/>
      <c r="N154" s="13"/>
      <c r="O154" s="13"/>
      <c r="P154" s="12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8" cm="1">
        <f t="array" ref="AB154">SUM(IFERROR(VALUE(LEFT(Regatas, FIND(" ",Regatas&amp; " ") - 1)), 0))</f>
        <v>0</v>
      </c>
      <c r="AC154" s="9" cm="1">
        <f t="array" ref="AC15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4" s="6">
        <f>SMALL(RegatasN,1)</f>
        <v>0</v>
      </c>
      <c r="AE154" s="6">
        <f>SMALL(RegatasN,2)</f>
        <v>0</v>
      </c>
      <c r="AF154" s="6">
        <f>SMALL(RegatasN,3)</f>
        <v>0</v>
      </c>
      <c r="AG154" s="5" cm="1">
        <f t="array" ref="AG154">COUNTIF(Regatas,SMALL(Regatas,1))</f>
        <v>0</v>
      </c>
      <c r="AH154" s="6" t="e" cm="1">
        <f t="array" ref="AH1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5" spans="1:34" x14ac:dyDescent="0.25">
      <c r="A155">
        <v>53645984</v>
      </c>
      <c r="B155" s="10">
        <f>ROW()-ROW(Selectivo6[[#Headers],[Pos]])</f>
        <v>149</v>
      </c>
      <c r="C155" s="5">
        <v>3800</v>
      </c>
      <c r="D155" t="s">
        <v>643</v>
      </c>
      <c r="E155" t="s">
        <v>21</v>
      </c>
      <c r="F155" s="13"/>
      <c r="G155" s="13"/>
      <c r="H155" s="12"/>
      <c r="I155" s="12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2"/>
      <c r="AA155" s="13"/>
      <c r="AB155" s="8" cm="1">
        <f t="array" ref="AB155">SUM(IFERROR(VALUE(LEFT(Regatas, FIND(" ",Regatas&amp; " ") - 1)), 0))</f>
        <v>0</v>
      </c>
      <c r="AC155" s="9" cm="1">
        <f t="array" ref="AC15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5" s="6">
        <f>SMALL(RegatasN,1)</f>
        <v>0</v>
      </c>
      <c r="AE155" s="6">
        <f>SMALL(RegatasN,2)</f>
        <v>0</v>
      </c>
      <c r="AF155" s="6">
        <f>SMALL(RegatasN,3)</f>
        <v>0</v>
      </c>
      <c r="AG155" s="5" cm="1">
        <f t="array" ref="AG155">COUNTIF(Regatas,SMALL(Regatas,1))</f>
        <v>0</v>
      </c>
      <c r="AH155" s="6" t="e" cm="1">
        <f t="array" ref="AH1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6" spans="1:34" x14ac:dyDescent="0.25">
      <c r="A156">
        <v>52220949</v>
      </c>
      <c r="B156" s="10">
        <f>ROW()-ROW(Selectivo6[[#Headers],[Pos]])</f>
        <v>150</v>
      </c>
      <c r="C156" s="5">
        <v>4094</v>
      </c>
      <c r="D156" t="s">
        <v>629</v>
      </c>
      <c r="E156" t="s">
        <v>9</v>
      </c>
      <c r="F156" s="13"/>
      <c r="G156" s="13"/>
      <c r="H156" s="13"/>
      <c r="I156" s="13"/>
      <c r="J156" s="12"/>
      <c r="K156" s="13"/>
      <c r="L156" s="13"/>
      <c r="M156" s="13"/>
      <c r="N156" s="12"/>
      <c r="O156" s="12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8" cm="1">
        <f t="array" ref="AB156">SUM(IFERROR(VALUE(LEFT(Regatas, FIND(" ",Regatas&amp; " ") - 1)), 0))</f>
        <v>0</v>
      </c>
      <c r="AC156" s="9" cm="1">
        <f t="array" ref="AC15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6" s="6">
        <f>SMALL(RegatasN,1)</f>
        <v>0</v>
      </c>
      <c r="AE156" s="6">
        <f>SMALL(RegatasN,2)</f>
        <v>0</v>
      </c>
      <c r="AF156" s="6">
        <f>SMALL(RegatasN,3)</f>
        <v>0</v>
      </c>
      <c r="AG156" s="5" cm="1">
        <f t="array" ref="AG156">COUNTIF(Regatas,SMALL(Regatas,1))</f>
        <v>0</v>
      </c>
      <c r="AH156" s="6" t="e" cm="1">
        <f t="array" ref="AH1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7" spans="1:34" x14ac:dyDescent="0.25">
      <c r="A157">
        <v>51098290</v>
      </c>
      <c r="B157" s="10">
        <f>ROW()-ROW(Selectivo6[[#Headers],[Pos]])</f>
        <v>151</v>
      </c>
      <c r="C157" s="5">
        <v>3573</v>
      </c>
      <c r="D157" t="s">
        <v>678</v>
      </c>
      <c r="E157" t="s">
        <v>6</v>
      </c>
      <c r="F157" s="12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2"/>
      <c r="Y157" s="13"/>
      <c r="Z157" s="13"/>
      <c r="AA157" s="12"/>
      <c r="AB157" s="8" cm="1">
        <f t="array" ref="AB157">SUM(IFERROR(VALUE(LEFT(Regatas, FIND(" ",Regatas&amp; " ") - 1)), 0))</f>
        <v>0</v>
      </c>
      <c r="AC157" s="9" cm="1">
        <f t="array" ref="AC15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7" s="6">
        <f>SMALL(RegatasN,1)</f>
        <v>0</v>
      </c>
      <c r="AE157" s="6">
        <f>SMALL(RegatasN,2)</f>
        <v>0</v>
      </c>
      <c r="AF157" s="6">
        <f>SMALL(RegatasN,3)</f>
        <v>0</v>
      </c>
      <c r="AG157" s="5" cm="1">
        <f t="array" ref="AG157">COUNTIF(Regatas,SMALL(Regatas,1))</f>
        <v>0</v>
      </c>
      <c r="AH157" s="6" t="e" cm="1">
        <f t="array" ref="AH1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8" spans="1:34" x14ac:dyDescent="0.25">
      <c r="A158">
        <v>51182364</v>
      </c>
      <c r="B158" s="10">
        <f>ROW()-ROW(Selectivo6[[#Headers],[Pos]])</f>
        <v>152</v>
      </c>
      <c r="C158" s="5">
        <v>3980</v>
      </c>
      <c r="D158" t="s">
        <v>702</v>
      </c>
      <c r="E158" t="s">
        <v>16</v>
      </c>
      <c r="F158" s="13"/>
      <c r="G158" s="12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2"/>
      <c r="X158" s="13"/>
      <c r="Y158" s="13"/>
      <c r="Z158" s="13"/>
      <c r="AA158" s="12"/>
      <c r="AB158" s="8" cm="1">
        <f t="array" ref="AB158">SUM(IFERROR(VALUE(LEFT(Regatas, FIND(" ",Regatas&amp; " ") - 1)), 0))</f>
        <v>0</v>
      </c>
      <c r="AC158" s="9" cm="1">
        <f t="array" ref="AC15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8" s="6">
        <f>SMALL(RegatasN,1)</f>
        <v>0</v>
      </c>
      <c r="AE158" s="6">
        <f>SMALL(RegatasN,2)</f>
        <v>0</v>
      </c>
      <c r="AF158" s="6">
        <f>SMALL(RegatasN,3)</f>
        <v>0</v>
      </c>
      <c r="AG158" s="5" cm="1">
        <f t="array" ref="AG158">COUNTIF(Regatas,SMALL(Regatas,1))</f>
        <v>0</v>
      </c>
      <c r="AH158" s="6" t="e" cm="1">
        <f t="array" ref="AH1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9" spans="1:34" x14ac:dyDescent="0.25">
      <c r="A159">
        <v>53477120</v>
      </c>
      <c r="B159" s="10">
        <f>ROW()-ROW(Selectivo6[[#Headers],[Pos]])</f>
        <v>153</v>
      </c>
      <c r="C159" s="5">
        <v>4055</v>
      </c>
      <c r="D159" t="s">
        <v>597</v>
      </c>
      <c r="E159" t="s">
        <v>8</v>
      </c>
      <c r="F159" s="13"/>
      <c r="G159" s="13"/>
      <c r="H159" s="13"/>
      <c r="I159" s="12"/>
      <c r="J159" s="12"/>
      <c r="K159" s="12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8" cm="1">
        <f t="array" ref="AB159">SUM(IFERROR(VALUE(LEFT(Regatas, FIND(" ",Regatas&amp; " ") - 1)), 0))</f>
        <v>0</v>
      </c>
      <c r="AC159" s="9" cm="1">
        <f t="array" ref="AC15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59" s="6">
        <f>SMALL(RegatasN,1)</f>
        <v>0</v>
      </c>
      <c r="AE159" s="6">
        <f>SMALL(RegatasN,2)</f>
        <v>0</v>
      </c>
      <c r="AF159" s="6">
        <f>SMALL(RegatasN,3)</f>
        <v>0</v>
      </c>
      <c r="AG159" s="5" cm="1">
        <f t="array" ref="AG159">COUNTIF(Regatas,SMALL(Regatas,1))</f>
        <v>0</v>
      </c>
      <c r="AH159" s="6" t="e" cm="1">
        <f t="array" ref="AH1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0" spans="1:34" x14ac:dyDescent="0.25">
      <c r="A160">
        <v>53761156</v>
      </c>
      <c r="B160" s="10">
        <f>ROW()-ROW(Selectivo6[[#Headers],[Pos]])</f>
        <v>154</v>
      </c>
      <c r="C160" s="5">
        <v>3868</v>
      </c>
      <c r="D160" t="s">
        <v>657</v>
      </c>
      <c r="E160" t="s">
        <v>5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2"/>
      <c r="Q160" s="12"/>
      <c r="R160" s="13"/>
      <c r="S160" s="13"/>
      <c r="T160" s="13"/>
      <c r="U160" s="13"/>
      <c r="V160" s="12"/>
      <c r="W160" s="13"/>
      <c r="X160" s="13"/>
      <c r="Y160" s="13"/>
      <c r="Z160" s="13"/>
      <c r="AA160" s="13"/>
      <c r="AB160" s="8" cm="1">
        <f t="array" ref="AB160">SUM(IFERROR(VALUE(LEFT(Regatas, FIND(" ",Regatas&amp; " ") - 1)), 0))</f>
        <v>0</v>
      </c>
      <c r="AC160" s="9" cm="1">
        <f t="array" ref="AC16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0" s="6">
        <f>SMALL(RegatasN,1)</f>
        <v>0</v>
      </c>
      <c r="AE160" s="6">
        <f>SMALL(RegatasN,2)</f>
        <v>0</v>
      </c>
      <c r="AF160" s="6">
        <f>SMALL(RegatasN,3)</f>
        <v>0</v>
      </c>
      <c r="AG160" s="5" cm="1">
        <f t="array" ref="AG160">COUNTIF(Regatas,SMALL(Regatas,1))</f>
        <v>0</v>
      </c>
      <c r="AH160" s="6" t="e" cm="1">
        <f t="array" ref="AH1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1" spans="1:34" x14ac:dyDescent="0.25">
      <c r="A161">
        <v>50703202</v>
      </c>
      <c r="B161" s="10">
        <f>ROW()-ROW(Selectivo6[[#Headers],[Pos]])</f>
        <v>155</v>
      </c>
      <c r="C161" s="5">
        <v>3808</v>
      </c>
      <c r="D161" t="s">
        <v>632</v>
      </c>
      <c r="E161" t="s">
        <v>7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2"/>
      <c r="W161" s="12"/>
      <c r="X161" s="12"/>
      <c r="Y161" s="13"/>
      <c r="Z161" s="13"/>
      <c r="AA161" s="13"/>
      <c r="AB161" s="8" cm="1">
        <f t="array" ref="AB161">SUM(IFERROR(VALUE(LEFT(Regatas, FIND(" ",Regatas&amp; " ") - 1)), 0))</f>
        <v>0</v>
      </c>
      <c r="AC161" s="9" cm="1">
        <f t="array" ref="AC16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1" s="6">
        <f>SMALL(RegatasN,1)</f>
        <v>0</v>
      </c>
      <c r="AE161" s="6">
        <f>SMALL(RegatasN,2)</f>
        <v>0</v>
      </c>
      <c r="AF161" s="6">
        <f>SMALL(RegatasN,3)</f>
        <v>0</v>
      </c>
      <c r="AG161" s="5" cm="1">
        <f t="array" ref="AG161">COUNTIF(Regatas,SMALL(Regatas,1))</f>
        <v>0</v>
      </c>
      <c r="AH161" s="6" t="e" cm="1">
        <f t="array" ref="AH1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2" spans="1:34" x14ac:dyDescent="0.25">
      <c r="A162">
        <v>51369815</v>
      </c>
      <c r="B162" s="10">
        <f>ROW()-ROW(Selectivo6[[#Headers],[Pos]])</f>
        <v>156</v>
      </c>
      <c r="C162" s="5">
        <v>3987</v>
      </c>
      <c r="D162" t="s">
        <v>690</v>
      </c>
      <c r="E162" t="s">
        <v>6</v>
      </c>
      <c r="F162" s="13"/>
      <c r="G162" s="13"/>
      <c r="H162" s="13"/>
      <c r="I162" s="13"/>
      <c r="J162" s="13"/>
      <c r="K162" s="12"/>
      <c r="L162" s="12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2"/>
      <c r="Z162" s="13"/>
      <c r="AA162" s="13"/>
      <c r="AB162" s="8" cm="1">
        <f t="array" ref="AB162">SUM(IFERROR(VALUE(LEFT(Regatas, FIND(" ",Regatas&amp; " ") - 1)), 0))</f>
        <v>0</v>
      </c>
      <c r="AC162" s="9" cm="1">
        <f t="array" ref="AC16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2" s="6">
        <f>SMALL(RegatasN,1)</f>
        <v>0</v>
      </c>
      <c r="AE162" s="6">
        <f>SMALL(RegatasN,2)</f>
        <v>0</v>
      </c>
      <c r="AF162" s="6">
        <f>SMALL(RegatasN,3)</f>
        <v>0</v>
      </c>
      <c r="AG162" s="5" cm="1">
        <f t="array" ref="AG162">COUNTIF(Regatas,SMALL(Regatas,1))</f>
        <v>0</v>
      </c>
      <c r="AH162" s="6" t="e" cm="1">
        <f t="array" ref="AH1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3" spans="1:34" x14ac:dyDescent="0.25">
      <c r="A163">
        <v>50233618</v>
      </c>
      <c r="B163" s="10">
        <f>ROW()-ROW(Selectivo6[[#Headers],[Pos]])</f>
        <v>157</v>
      </c>
      <c r="C163" s="5">
        <v>4040</v>
      </c>
      <c r="D163" t="s">
        <v>725</v>
      </c>
      <c r="E163" t="s">
        <v>5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2"/>
      <c r="W163" s="12"/>
      <c r="X163" s="12"/>
      <c r="Y163" s="13"/>
      <c r="Z163" s="13"/>
      <c r="AA163" s="13"/>
      <c r="AB163" s="8" cm="1">
        <f t="array" ref="AB163">SUM(IFERROR(VALUE(LEFT(Regatas, FIND(" ",Regatas&amp; " ") - 1)), 0))</f>
        <v>0</v>
      </c>
      <c r="AC163" s="9" cm="1">
        <f t="array" ref="AC16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3" s="6">
        <f>SMALL(RegatasN,1)</f>
        <v>0</v>
      </c>
      <c r="AE163" s="6">
        <f>SMALL(RegatasN,2)</f>
        <v>0</v>
      </c>
      <c r="AF163" s="6">
        <f>SMALL(RegatasN,3)</f>
        <v>0</v>
      </c>
      <c r="AG163" s="5" cm="1">
        <f t="array" ref="AG163">COUNTIF(Regatas,SMALL(Regatas,1))</f>
        <v>0</v>
      </c>
      <c r="AH163" s="6" t="e" cm="1">
        <f t="array" ref="AH1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4" spans="1:34" x14ac:dyDescent="0.25">
      <c r="A164">
        <v>50653382</v>
      </c>
      <c r="B164" s="10">
        <f>ROW()-ROW(Selectivo6[[#Headers],[Pos]])</f>
        <v>158</v>
      </c>
      <c r="C164" s="5">
        <v>3402</v>
      </c>
      <c r="D164" t="s">
        <v>587</v>
      </c>
      <c r="E164" t="s">
        <v>10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2"/>
      <c r="Y164" s="12"/>
      <c r="Z164" s="13"/>
      <c r="AA164" s="12"/>
      <c r="AB164" s="8" cm="1">
        <f t="array" ref="AB164">SUM(IFERROR(VALUE(LEFT(Regatas, FIND(" ",Regatas&amp; " ") - 1)), 0))</f>
        <v>0</v>
      </c>
      <c r="AC164" s="9" cm="1">
        <f t="array" ref="AC16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4" s="6">
        <f>SMALL(RegatasN,1)</f>
        <v>0</v>
      </c>
      <c r="AE164" s="6">
        <f>SMALL(RegatasN,2)</f>
        <v>0</v>
      </c>
      <c r="AF164" s="6">
        <f>SMALL(RegatasN,3)</f>
        <v>0</v>
      </c>
      <c r="AG164" s="5" cm="1">
        <f t="array" ref="AG164">COUNTIF(Regatas,SMALL(Regatas,1))</f>
        <v>0</v>
      </c>
      <c r="AH164" s="6" t="e" cm="1">
        <f t="array" ref="AH1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5" spans="1:34" x14ac:dyDescent="0.25">
      <c r="A165">
        <v>51358936</v>
      </c>
      <c r="B165" s="10">
        <f>ROW()-ROW(Selectivo6[[#Headers],[Pos]])</f>
        <v>159</v>
      </c>
      <c r="C165" s="5">
        <v>4190</v>
      </c>
      <c r="D165" t="s">
        <v>661</v>
      </c>
      <c r="E165" t="s">
        <v>5</v>
      </c>
      <c r="F165" s="13"/>
      <c r="G165" s="13"/>
      <c r="H165" s="13"/>
      <c r="I165" s="12"/>
      <c r="J165" s="12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2"/>
      <c r="W165" s="13"/>
      <c r="X165" s="13"/>
      <c r="Y165" s="13"/>
      <c r="Z165" s="13"/>
      <c r="AA165" s="13"/>
      <c r="AB165" s="8" cm="1">
        <f t="array" ref="AB165">SUM(IFERROR(VALUE(LEFT(Regatas, FIND(" ",Regatas&amp; " ") - 1)), 0))</f>
        <v>0</v>
      </c>
      <c r="AC165" s="9" cm="1">
        <f t="array" ref="AC16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5" s="6">
        <f>SMALL(RegatasN,1)</f>
        <v>0</v>
      </c>
      <c r="AE165" s="6">
        <f>SMALL(RegatasN,2)</f>
        <v>0</v>
      </c>
      <c r="AF165" s="6">
        <f>SMALL(RegatasN,3)</f>
        <v>0</v>
      </c>
      <c r="AG165" s="5" cm="1">
        <f t="array" ref="AG165">COUNTIF(Regatas,SMALL(Regatas,1))</f>
        <v>0</v>
      </c>
      <c r="AH165" s="6" t="e" cm="1">
        <f t="array" ref="AH1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6" spans="1:34" x14ac:dyDescent="0.25">
      <c r="A166">
        <v>51193310</v>
      </c>
      <c r="B166" s="10">
        <f>ROW()-ROW(Selectivo6[[#Headers],[Pos]])</f>
        <v>160</v>
      </c>
      <c r="C166" s="5">
        <v>3718</v>
      </c>
      <c r="D166" t="s">
        <v>608</v>
      </c>
      <c r="E166" t="s">
        <v>8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2"/>
      <c r="W166" s="12"/>
      <c r="X166" s="12"/>
      <c r="Y166" s="13"/>
      <c r="Z166" s="13"/>
      <c r="AA166" s="13"/>
      <c r="AB166" s="8" cm="1">
        <f t="array" ref="AB166">SUM(IFERROR(VALUE(LEFT(Regatas, FIND(" ",Regatas&amp; " ") - 1)), 0))</f>
        <v>0</v>
      </c>
      <c r="AC166" s="9" cm="1">
        <f t="array" ref="AC16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6" s="6">
        <f>SMALL(RegatasN,1)</f>
        <v>0</v>
      </c>
      <c r="AE166" s="6">
        <f>SMALL(RegatasN,2)</f>
        <v>0</v>
      </c>
      <c r="AF166" s="6">
        <f>SMALL(RegatasN,3)</f>
        <v>0</v>
      </c>
      <c r="AG166" s="5" cm="1">
        <f t="array" ref="AG166">COUNTIF(Regatas,SMALL(Regatas,1))</f>
        <v>0</v>
      </c>
      <c r="AH166" s="6" t="e" cm="1">
        <f t="array" ref="AH1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7" spans="1:34" x14ac:dyDescent="0.25">
      <c r="A167">
        <v>52364453</v>
      </c>
      <c r="B167" s="10">
        <f>ROW()-ROW(Selectivo6[[#Headers],[Pos]])</f>
        <v>161</v>
      </c>
      <c r="C167" s="5">
        <v>3920</v>
      </c>
      <c r="D167" t="s">
        <v>695</v>
      </c>
      <c r="E167" t="s">
        <v>33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2"/>
      <c r="W167" s="12"/>
      <c r="X167" s="12"/>
      <c r="Y167" s="13"/>
      <c r="Z167" s="13"/>
      <c r="AA167" s="13"/>
      <c r="AB167" s="8" cm="1">
        <f t="array" ref="AB167">SUM(IFERROR(VALUE(LEFT(Regatas, FIND(" ",Regatas&amp; " ") - 1)), 0))</f>
        <v>0</v>
      </c>
      <c r="AC167" s="9" cm="1">
        <f t="array" ref="AC167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7" s="6">
        <f>SMALL(RegatasN,1)</f>
        <v>0</v>
      </c>
      <c r="AE167" s="6">
        <f>SMALL(RegatasN,2)</f>
        <v>0</v>
      </c>
      <c r="AF167" s="6">
        <f>SMALL(RegatasN,3)</f>
        <v>0</v>
      </c>
      <c r="AG167" s="5" cm="1">
        <f t="array" ref="AG167">COUNTIF(Regatas,SMALL(Regatas,1))</f>
        <v>0</v>
      </c>
      <c r="AH167" s="6" t="e" cm="1">
        <f t="array" ref="AH1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8" spans="1:34" x14ac:dyDescent="0.25">
      <c r="A168">
        <v>51281593</v>
      </c>
      <c r="B168" s="10">
        <f>ROW()-ROW(Selectivo6[[#Headers],[Pos]])</f>
        <v>162</v>
      </c>
      <c r="C168" s="5">
        <v>3977</v>
      </c>
      <c r="D168" t="s">
        <v>593</v>
      </c>
      <c r="E168" t="s">
        <v>17</v>
      </c>
      <c r="F168" s="13"/>
      <c r="G168" s="12"/>
      <c r="H168" s="12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2"/>
      <c r="W168" s="13"/>
      <c r="X168" s="13"/>
      <c r="Y168" s="13"/>
      <c r="Z168" s="13"/>
      <c r="AA168" s="13"/>
      <c r="AB168" s="8" cm="1">
        <f t="array" ref="AB168">SUM(IFERROR(VALUE(LEFT(Regatas, FIND(" ",Regatas&amp; " ") - 1)), 0))</f>
        <v>0</v>
      </c>
      <c r="AC168" s="9" cm="1">
        <f t="array" ref="AC168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8" s="6">
        <f>SMALL(RegatasN,1)</f>
        <v>0</v>
      </c>
      <c r="AE168" s="6">
        <f>SMALL(RegatasN,2)</f>
        <v>0</v>
      </c>
      <c r="AF168" s="6">
        <f>SMALL(RegatasN,3)</f>
        <v>0</v>
      </c>
      <c r="AG168" s="5" cm="1">
        <f t="array" ref="AG168">COUNTIF(Regatas,SMALL(Regatas,1))</f>
        <v>0</v>
      </c>
      <c r="AH168" s="6" t="e" cm="1">
        <f t="array" ref="AH1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9" spans="1:34" x14ac:dyDescent="0.25">
      <c r="A169">
        <v>50805092</v>
      </c>
      <c r="B169" s="10">
        <f>ROW()-ROW(Selectivo6[[#Headers],[Pos]])</f>
        <v>163</v>
      </c>
      <c r="C169" s="5">
        <v>4189</v>
      </c>
      <c r="D169" t="s">
        <v>625</v>
      </c>
      <c r="E169" t="s">
        <v>9</v>
      </c>
      <c r="F169" s="13"/>
      <c r="G169" s="13"/>
      <c r="H169" s="12"/>
      <c r="I169" s="13"/>
      <c r="J169" s="12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2"/>
      <c r="X169" s="13"/>
      <c r="Y169" s="13"/>
      <c r="Z169" s="13"/>
      <c r="AA169" s="13"/>
      <c r="AB169" s="8" cm="1">
        <f t="array" ref="AB169">SUM(IFERROR(VALUE(LEFT(Regatas, FIND(" ",Regatas&amp; " ") - 1)), 0))</f>
        <v>0</v>
      </c>
      <c r="AC169" s="9" cm="1">
        <f t="array" ref="AC169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69" s="6">
        <f>SMALL(RegatasN,1)</f>
        <v>0</v>
      </c>
      <c r="AE169" s="6">
        <f>SMALL(RegatasN,2)</f>
        <v>0</v>
      </c>
      <c r="AF169" s="6">
        <f>SMALL(RegatasN,3)</f>
        <v>0</v>
      </c>
      <c r="AG169" s="5" cm="1">
        <f t="array" ref="AG169">COUNTIF(Regatas,SMALL(Regatas,1))</f>
        <v>0</v>
      </c>
      <c r="AH169" s="6" t="e" cm="1">
        <f t="array" ref="AH1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0" spans="1:34" x14ac:dyDescent="0.25">
      <c r="A170">
        <v>52013789</v>
      </c>
      <c r="B170" s="10">
        <f>ROW()-ROW(Selectivo6[[#Headers],[Pos]])</f>
        <v>164</v>
      </c>
      <c r="C170" s="5">
        <v>4080</v>
      </c>
      <c r="D170" t="s">
        <v>711</v>
      </c>
      <c r="E170" t="s">
        <v>16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2"/>
      <c r="W170" s="12"/>
      <c r="X170" s="12"/>
      <c r="Y170" s="13"/>
      <c r="Z170" s="13"/>
      <c r="AA170" s="13"/>
      <c r="AB170" s="8" cm="1">
        <f t="array" ref="AB170">SUM(IFERROR(VALUE(LEFT(Regatas, FIND(" ",Regatas&amp; " ") - 1)), 0))</f>
        <v>0</v>
      </c>
      <c r="AC170" s="9" cm="1">
        <f t="array" ref="AC170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0" s="6">
        <f>SMALL(RegatasN,1)</f>
        <v>0</v>
      </c>
      <c r="AE170" s="6">
        <f>SMALL(RegatasN,2)</f>
        <v>0</v>
      </c>
      <c r="AF170" s="6">
        <f>SMALL(RegatasN,3)</f>
        <v>0</v>
      </c>
      <c r="AG170" s="5" cm="1">
        <f t="array" ref="AG170">COUNTIF(Regatas,SMALL(Regatas,1))</f>
        <v>0</v>
      </c>
      <c r="AH170" s="6" t="e" cm="1">
        <f t="array" ref="AH1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1" spans="1:34" x14ac:dyDescent="0.25">
      <c r="A171">
        <v>51139794</v>
      </c>
      <c r="B171" s="10">
        <f>ROW()-ROW(Selectivo6[[#Headers],[Pos]])</f>
        <v>165</v>
      </c>
      <c r="C171" s="5">
        <v>3799</v>
      </c>
      <c r="D171" t="s">
        <v>694</v>
      </c>
      <c r="E171" t="s">
        <v>9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2"/>
      <c r="W171" s="12"/>
      <c r="X171" s="12"/>
      <c r="Y171" s="13"/>
      <c r="Z171" s="13"/>
      <c r="AA171" s="13"/>
      <c r="AB171" s="8" cm="1">
        <f t="array" ref="AB171">SUM(IFERROR(VALUE(LEFT(Regatas, FIND(" ",Regatas&amp; " ") - 1)), 0))</f>
        <v>0</v>
      </c>
      <c r="AC171" s="9" cm="1">
        <f t="array" ref="AC17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1" s="6">
        <f>SMALL(RegatasN,1)</f>
        <v>0</v>
      </c>
      <c r="AE171" s="6">
        <f>SMALL(RegatasN,2)</f>
        <v>0</v>
      </c>
      <c r="AF171" s="6">
        <f>SMALL(RegatasN,3)</f>
        <v>0</v>
      </c>
      <c r="AG171" s="5" cm="1">
        <f t="array" ref="AG171">COUNTIF(Regatas,SMALL(Regatas,1))</f>
        <v>0</v>
      </c>
      <c r="AH171" s="6" t="e" cm="1">
        <f t="array" ref="AH1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2" spans="1:34" x14ac:dyDescent="0.25">
      <c r="A172">
        <v>52585613</v>
      </c>
      <c r="B172" s="10">
        <f>ROW()-ROW(Selectivo6[[#Headers],[Pos]])</f>
        <v>166</v>
      </c>
      <c r="C172" s="5">
        <v>3767</v>
      </c>
      <c r="D172" t="s">
        <v>591</v>
      </c>
      <c r="E172" t="s">
        <v>11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2"/>
      <c r="W172" s="12"/>
      <c r="X172" s="12"/>
      <c r="Y172" s="13"/>
      <c r="Z172" s="13"/>
      <c r="AA172" s="13"/>
      <c r="AB172" s="8" cm="1">
        <f t="array" ref="AB172">SUM(IFERROR(VALUE(LEFT(Regatas, FIND(" ",Regatas&amp; " ") - 1)), 0))</f>
        <v>0</v>
      </c>
      <c r="AC172" s="9" cm="1">
        <f t="array" ref="AC172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2" s="6">
        <f>SMALL(RegatasN,1)</f>
        <v>0</v>
      </c>
      <c r="AE172" s="6">
        <f>SMALL(RegatasN,2)</f>
        <v>0</v>
      </c>
      <c r="AF172" s="6">
        <f>SMALL(RegatasN,3)</f>
        <v>0</v>
      </c>
      <c r="AG172" s="5" cm="1">
        <f t="array" ref="AG172">COUNTIF(Regatas,SMALL(Regatas,1))</f>
        <v>0</v>
      </c>
      <c r="AH172" s="6" t="e" cm="1">
        <f t="array" ref="AH1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3" spans="1:34" x14ac:dyDescent="0.25">
      <c r="A173">
        <v>52908766</v>
      </c>
      <c r="B173" s="10">
        <f>ROW()-ROW(Selectivo6[[#Headers],[Pos]])</f>
        <v>167</v>
      </c>
      <c r="C173" s="5">
        <v>3976</v>
      </c>
      <c r="D173" t="s">
        <v>628</v>
      </c>
      <c r="E173" t="s">
        <v>10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2"/>
      <c r="W173" s="12"/>
      <c r="X173" s="12"/>
      <c r="Y173" s="13"/>
      <c r="Z173" s="13"/>
      <c r="AA173" s="13"/>
      <c r="AB173" s="8" cm="1">
        <f t="array" ref="AB173">SUM(IFERROR(VALUE(LEFT(Regatas, FIND(" ",Regatas&amp; " ") - 1)), 0))</f>
        <v>0</v>
      </c>
      <c r="AC173" s="9" cm="1">
        <f t="array" ref="AC173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3" s="6">
        <f>SMALL(RegatasN,1)</f>
        <v>0</v>
      </c>
      <c r="AE173" s="6">
        <f>SMALL(RegatasN,2)</f>
        <v>0</v>
      </c>
      <c r="AF173" s="6">
        <f>SMALL(RegatasN,3)</f>
        <v>0</v>
      </c>
      <c r="AG173" s="5" cm="1">
        <f t="array" ref="AG173">COUNTIF(Regatas,SMALL(Regatas,1))</f>
        <v>0</v>
      </c>
      <c r="AH173" s="6" t="e" cm="1">
        <f t="array" ref="AH1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4" spans="1:34" x14ac:dyDescent="0.25">
      <c r="A174">
        <v>53820853</v>
      </c>
      <c r="B174" s="10">
        <f>ROW()-ROW(Selectivo6[[#Headers],[Pos]])</f>
        <v>168</v>
      </c>
      <c r="C174" s="5">
        <v>3462</v>
      </c>
      <c r="D174" t="s">
        <v>602</v>
      </c>
      <c r="E174" t="s">
        <v>11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2"/>
      <c r="W174" s="12"/>
      <c r="X174" s="12"/>
      <c r="Y174" s="13"/>
      <c r="Z174" s="13"/>
      <c r="AA174" s="13"/>
      <c r="AB174" s="8" cm="1">
        <f t="array" ref="AB174">SUM(IFERROR(VALUE(LEFT(Regatas, FIND(" ",Regatas&amp; " ") - 1)), 0))</f>
        <v>0</v>
      </c>
      <c r="AC174" s="9" cm="1">
        <f t="array" ref="AC174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4" s="6">
        <f>SMALL(RegatasN,1)</f>
        <v>0</v>
      </c>
      <c r="AE174" s="6">
        <f>SMALL(RegatasN,2)</f>
        <v>0</v>
      </c>
      <c r="AF174" s="6">
        <f>SMALL(RegatasN,3)</f>
        <v>0</v>
      </c>
      <c r="AG174" s="5" cm="1">
        <f t="array" ref="AG174">COUNTIF(Regatas,SMALL(Regatas,1))</f>
        <v>0</v>
      </c>
      <c r="AH174" s="6" t="e" cm="1">
        <f t="array" ref="AH1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5" spans="1:34" x14ac:dyDescent="0.25">
      <c r="A175">
        <v>53593354</v>
      </c>
      <c r="B175" s="10">
        <f>ROW()-ROW(Selectivo6[[#Headers],[Pos]])</f>
        <v>169</v>
      </c>
      <c r="C175" s="5">
        <v>4127</v>
      </c>
      <c r="D175" t="s">
        <v>672</v>
      </c>
      <c r="E175" t="s">
        <v>31</v>
      </c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2"/>
      <c r="W175" s="12"/>
      <c r="X175" s="12"/>
      <c r="Y175" s="13"/>
      <c r="Z175" s="13"/>
      <c r="AA175" s="13"/>
      <c r="AB175" s="8" cm="1">
        <f t="array" ref="AB175">SUM(IFERROR(VALUE(LEFT(Regatas, FIND(" ",Regatas&amp; " ") - 1)), 0))</f>
        <v>0</v>
      </c>
      <c r="AC175" s="9" cm="1">
        <f t="array" ref="AC175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5" s="6">
        <f>SMALL(RegatasN,1)</f>
        <v>0</v>
      </c>
      <c r="AE175" s="6">
        <f>SMALL(RegatasN,2)</f>
        <v>0</v>
      </c>
      <c r="AF175" s="6">
        <f>SMALL(RegatasN,3)</f>
        <v>0</v>
      </c>
      <c r="AG175" s="5" cm="1">
        <f t="array" ref="AG175">COUNTIF(Regatas,SMALL(Regatas,1))</f>
        <v>0</v>
      </c>
      <c r="AH175" s="6" t="e" cm="1">
        <f t="array" ref="AH1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6" spans="1:34" x14ac:dyDescent="0.25">
      <c r="A176">
        <v>52013788</v>
      </c>
      <c r="B176" s="10">
        <f>ROW()-ROW(Selectivo6[[#Headers],[Pos]])</f>
        <v>170</v>
      </c>
      <c r="C176" s="5">
        <v>4081</v>
      </c>
      <c r="D176" t="s">
        <v>712</v>
      </c>
      <c r="E176" t="s">
        <v>16</v>
      </c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2"/>
      <c r="W176" s="12"/>
      <c r="X176" s="12"/>
      <c r="Y176" s="13"/>
      <c r="Z176" s="13"/>
      <c r="AA176" s="13"/>
      <c r="AB176" s="8" cm="1">
        <f t="array" ref="AB176">SUM(IFERROR(VALUE(LEFT(Regatas, FIND(" ",Regatas&amp; " ") - 1)), 0))</f>
        <v>0</v>
      </c>
      <c r="AC176" s="9" cm="1">
        <f t="array" ref="AC176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0</v>
      </c>
      <c r="AD176" s="6">
        <f>SMALL(RegatasN,1)</f>
        <v>0</v>
      </c>
      <c r="AE176" s="6">
        <f>SMALL(RegatasN,2)</f>
        <v>0</v>
      </c>
      <c r="AF176" s="6">
        <f>SMALL(RegatasN,3)</f>
        <v>0</v>
      </c>
      <c r="AG176" s="5" cm="1">
        <f t="array" ref="AG176">COUNTIF(Regatas,SMALL(Regatas,1))</f>
        <v>0</v>
      </c>
      <c r="AH176" s="6" t="e" cm="1">
        <f t="array" ref="AH176">VALUE(LEFT(INDEX(Selectivo6[#This Row],,MATCH(Selectivo6[[#Headers],[Total]],Selectivo6[#Headers],0)-1),SEARCH(" ",INDEX(Selectivo6[#This Row],,MATCH(Selectivo6[[#Headers],[Total]],Selectivo6[#Headers],0)-1)&amp;" ")-1))</f>
        <v>#VALUE!</v>
      </c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scale="50" fitToHeight="0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A8634-166E-4D5F-B905-F2520013DD97}">
  <dimension ref="A1"/>
  <sheetViews>
    <sheetView workbookViewId="0">
      <selection activeCell="M26" sqref="M2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INSCRIPTOS</vt:lpstr>
      <vt:lpstr>RSIY25</vt:lpstr>
      <vt:lpstr>VF2025</vt:lpstr>
      <vt:lpstr>SIL25v2</vt:lpstr>
      <vt:lpstr>RESULTADOS_OLD</vt:lpstr>
      <vt:lpstr>RESULTADOS</vt:lpstr>
      <vt:lpstr>SIY26</vt:lpstr>
      <vt:lpstr>RESULTADOS!Print_Area</vt:lpstr>
      <vt:lpstr>RESULTADOS_OLD!Print_Area</vt:lpstr>
      <vt:lpstr>RESULTADOS!Print_Titles</vt:lpstr>
      <vt:lpstr>RESULTADOS_OLD!Print_Titles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2025-04-21T00:42:26Z</cp:lastPrinted>
  <dcterms:created xsi:type="dcterms:W3CDTF">2015-06-05T18:17:20Z</dcterms:created>
  <dcterms:modified xsi:type="dcterms:W3CDTF">2026-03-06T17:56:02Z</dcterms:modified>
</cp:coreProperties>
</file>