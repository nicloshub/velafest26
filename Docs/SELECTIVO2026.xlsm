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IMPORTANTE\CAMPEONATOS\velafest26\Docs\"/>
    </mc:Choice>
  </mc:AlternateContent>
  <xr:revisionPtr revIDLastSave="0" documentId="13_ncr:1_{31086006-CC55-4E34-9C66-56E99760494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INSCRIPTOS" sheetId="3" r:id="rId1"/>
    <sheet name="S S" sheetId="13" r:id="rId2"/>
    <sheet name="VF2026" sheetId="14" r:id="rId3"/>
    <sheet name="RESULTADOS" sheetId="12" r:id="rId4"/>
    <sheet name="Eliminados" sheetId="15" r:id="rId5"/>
  </sheets>
  <functionGroups builtInGroupCount="19"/>
  <definedNames>
    <definedName name="ExternalData_1" localSheetId="0" hidden="1">INSCRIPTOS!$A$2:$F$42</definedName>
    <definedName name="ExternalData_1" localSheetId="1" hidden="1">'S S'!$A$1:$R$161</definedName>
    <definedName name="ExternalData_1" localSheetId="2" hidden="1">'VF2026'!$A$1:$Q$188</definedName>
    <definedName name="_xlnm.Print_Area" localSheetId="3">RESULTADOS!$B$1:$AC$147</definedName>
    <definedName name="_xlnm.Print_Titles" localSheetId="3">RESULTADOS!$6:$6</definedName>
    <definedName name="Regatas" localSheetId="3">INDEX(Selectivo6[#This Row],,MATCH(Selectivo6[[#Headers],[Club]],Selectivo6[#Headers],0)+1):INDEX(Selectivo6[#This Row],,MATCH(Selectivo6[[#Headers],[Total]],Selectivo6[#Headers],0)-1)</definedName>
    <definedName name="Regatas">INDEX(#REF!,,MATCH(#REF!,#REF!,0)+1):INDEX(#REF!,,MATCH(#REF!,#REF!,0)-1)</definedName>
    <definedName name="RegatasN" localSheetId="3">IFERROR(VALUE(LEFT(RESULTADOS!Regatas, FIND(" ",RESULTADOS!Regatas&amp; " ") - 1)), 0)</definedName>
    <definedName name="RegatasN">IFERROR(VALUE(LEFT(Regatas, FIND(" ",Regatas&amp; " ") - 1)), 0)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" i="12" l="1"/>
  <c r="V8" i="12"/>
  <c r="V10" i="12"/>
  <c r="V9" i="12"/>
  <c r="V11" i="12"/>
  <c r="V47" i="12"/>
  <c r="V12" i="12"/>
  <c r="V15" i="12"/>
  <c r="V13" i="12"/>
  <c r="V14" i="12"/>
  <c r="V20" i="12"/>
  <c r="V18" i="12"/>
  <c r="V16" i="12"/>
  <c r="V17" i="12"/>
  <c r="V19" i="12"/>
  <c r="V23" i="12"/>
  <c r="V22" i="12"/>
  <c r="V24" i="12"/>
  <c r="V32" i="12"/>
  <c r="V25" i="12"/>
  <c r="V21" i="12"/>
  <c r="V28" i="12"/>
  <c r="V26" i="12"/>
  <c r="V31" i="12"/>
  <c r="V27" i="12"/>
  <c r="V30" i="12"/>
  <c r="V29" i="12"/>
  <c r="V33" i="12"/>
  <c r="V35" i="12"/>
  <c r="V37" i="12"/>
  <c r="V34" i="12"/>
  <c r="V36" i="12"/>
  <c r="V39" i="12"/>
  <c r="V42" i="12"/>
  <c r="V38" i="12"/>
  <c r="V40" i="12"/>
  <c r="V43" i="12"/>
  <c r="V41" i="12"/>
  <c r="V46" i="12"/>
  <c r="V45" i="12"/>
  <c r="V48" i="12"/>
  <c r="V44" i="12"/>
  <c r="V49" i="12"/>
  <c r="V54" i="12"/>
  <c r="V52" i="12"/>
  <c r="V51" i="12"/>
  <c r="V55" i="12"/>
  <c r="V57" i="12"/>
  <c r="V56" i="12"/>
  <c r="V53" i="12"/>
  <c r="V50" i="12"/>
  <c r="V61" i="12"/>
  <c r="V59" i="12"/>
  <c r="V58" i="12"/>
  <c r="V62" i="12"/>
  <c r="V71" i="12"/>
  <c r="V66" i="12"/>
  <c r="V60" i="12"/>
  <c r="V63" i="12"/>
  <c r="V65" i="12"/>
  <c r="V78" i="12"/>
  <c r="V64" i="12"/>
  <c r="V67" i="12"/>
  <c r="V69" i="12"/>
  <c r="V85" i="12"/>
  <c r="V72" i="12"/>
  <c r="V68" i="12"/>
  <c r="V74" i="12"/>
  <c r="V79" i="12"/>
  <c r="V75" i="12"/>
  <c r="V80" i="12"/>
  <c r="V73" i="12"/>
  <c r="V70" i="12"/>
  <c r="V76" i="12"/>
  <c r="V77" i="12"/>
  <c r="V82" i="12"/>
  <c r="V87" i="12"/>
  <c r="V83" i="12"/>
  <c r="V81" i="12"/>
  <c r="V88" i="12"/>
  <c r="V90" i="12"/>
  <c r="V84" i="12"/>
  <c r="V91" i="12"/>
  <c r="V86" i="12"/>
  <c r="V92" i="12"/>
  <c r="V89" i="12"/>
  <c r="V93" i="12"/>
  <c r="V95" i="12"/>
  <c r="V94" i="12"/>
  <c r="V98" i="12"/>
  <c r="V99" i="12"/>
  <c r="V100" i="12"/>
  <c r="V96" i="12"/>
  <c r="V97" i="12"/>
  <c r="V105" i="12"/>
  <c r="V109" i="12"/>
  <c r="V103" i="12"/>
  <c r="V104" i="12"/>
  <c r="V106" i="12"/>
  <c r="V102" i="12"/>
  <c r="V101" i="12"/>
  <c r="V114" i="12"/>
  <c r="V113" i="12"/>
  <c r="V112" i="12"/>
  <c r="V111" i="12"/>
  <c r="V119" i="12"/>
  <c r="V107" i="12"/>
  <c r="V110" i="12"/>
  <c r="V118" i="12"/>
  <c r="V108" i="12"/>
  <c r="V120" i="12"/>
  <c r="V121" i="12"/>
  <c r="V117" i="12"/>
  <c r="V123" i="12"/>
  <c r="V115" i="12"/>
  <c r="V127" i="12"/>
  <c r="V125" i="12"/>
  <c r="V116" i="12"/>
  <c r="V122" i="12"/>
  <c r="V129" i="12"/>
  <c r="V128" i="12"/>
  <c r="V132" i="12"/>
  <c r="V126" i="12"/>
  <c r="V124" i="12"/>
  <c r="V130" i="12"/>
  <c r="V131" i="12"/>
  <c r="V133" i="12"/>
  <c r="V135" i="12"/>
  <c r="V134" i="12"/>
  <c r="V136" i="12"/>
  <c r="V138" i="12"/>
  <c r="V137" i="12"/>
  <c r="V139" i="12"/>
  <c r="V141" i="12"/>
  <c r="V140" i="12"/>
  <c r="V142" i="12"/>
  <c r="V143" i="12"/>
  <c r="V145" i="12"/>
  <c r="V144" i="12"/>
  <c r="V146" i="12"/>
  <c r="V147" i="12"/>
  <c r="U9" i="12"/>
  <c r="U7" i="12"/>
  <c r="U10" i="12"/>
  <c r="U8" i="12"/>
  <c r="U11" i="12"/>
  <c r="U12" i="12"/>
  <c r="U15" i="12"/>
  <c r="U19" i="12"/>
  <c r="U20" i="12"/>
  <c r="U47" i="12"/>
  <c r="U23" i="12"/>
  <c r="U14" i="12"/>
  <c r="U18" i="12"/>
  <c r="U13" i="12"/>
  <c r="U16" i="12"/>
  <c r="U17" i="12"/>
  <c r="U22" i="12"/>
  <c r="U24" i="12"/>
  <c r="U21" i="12"/>
  <c r="U31" i="12"/>
  <c r="U32" i="12"/>
  <c r="U28" i="12"/>
  <c r="U30" i="12"/>
  <c r="U43" i="12"/>
  <c r="U25" i="12"/>
  <c r="U27" i="12"/>
  <c r="U26" i="12"/>
  <c r="U38" i="12"/>
  <c r="U29" i="12"/>
  <c r="U36" i="12"/>
  <c r="U45" i="12"/>
  <c r="U39" i="12"/>
  <c r="U34" i="12"/>
  <c r="U37" i="12"/>
  <c r="U40" i="12"/>
  <c r="U35" i="12"/>
  <c r="U33" i="12"/>
  <c r="U42" i="12"/>
  <c r="U48" i="12"/>
  <c r="U46" i="12"/>
  <c r="U41" i="12"/>
  <c r="U55" i="12"/>
  <c r="U49" i="12"/>
  <c r="U50" i="12"/>
  <c r="U51" i="12"/>
  <c r="U56" i="12"/>
  <c r="U52" i="12"/>
  <c r="U54" i="12"/>
  <c r="U53" i="12"/>
  <c r="U57" i="12"/>
  <c r="U44" i="12"/>
  <c r="U61" i="12"/>
  <c r="U59" i="12"/>
  <c r="U58" i="12"/>
  <c r="U71" i="12"/>
  <c r="U60" i="12"/>
  <c r="U64" i="12"/>
  <c r="U85" i="12"/>
  <c r="U65" i="12"/>
  <c r="U66" i="12"/>
  <c r="U77" i="12"/>
  <c r="U74" i="12"/>
  <c r="U62" i="12"/>
  <c r="U70" i="12"/>
  <c r="U69" i="12"/>
  <c r="U79" i="12"/>
  <c r="U72" i="12"/>
  <c r="U67" i="12"/>
  <c r="U63" i="12"/>
  <c r="U73" i="12"/>
  <c r="U83" i="12"/>
  <c r="U80" i="12"/>
  <c r="U78" i="12"/>
  <c r="U76" i="12"/>
  <c r="U68" i="12"/>
  <c r="U87" i="12"/>
  <c r="U75" i="12"/>
  <c r="U91" i="12"/>
  <c r="U88" i="12"/>
  <c r="U82" i="12"/>
  <c r="U90" i="12"/>
  <c r="U95" i="12"/>
  <c r="U93" i="12"/>
  <c r="U86" i="12"/>
  <c r="U100" i="12"/>
  <c r="U81" i="12"/>
  <c r="U84" i="12"/>
  <c r="U92" i="12"/>
  <c r="U99" i="12"/>
  <c r="U94" i="12"/>
  <c r="U89" i="12"/>
  <c r="U98" i="12"/>
  <c r="U105" i="12"/>
  <c r="U119" i="12"/>
  <c r="U109" i="12"/>
  <c r="U114" i="12"/>
  <c r="U104" i="12"/>
  <c r="U97" i="12"/>
  <c r="U96" i="12"/>
  <c r="U113" i="12"/>
  <c r="U111" i="12"/>
  <c r="U121" i="12"/>
  <c r="U110" i="12"/>
  <c r="U103" i="12"/>
  <c r="U112" i="12"/>
  <c r="U118" i="12"/>
  <c r="U107" i="12"/>
  <c r="U106" i="12"/>
  <c r="U115" i="12"/>
  <c r="U102" i="12"/>
  <c r="U123" i="12"/>
  <c r="U127" i="12"/>
  <c r="U120" i="12"/>
  <c r="U128" i="12"/>
  <c r="U117" i="12"/>
  <c r="U108" i="12"/>
  <c r="U130" i="12"/>
  <c r="U116" i="12"/>
  <c r="U101" i="12"/>
  <c r="U129" i="12"/>
  <c r="U132" i="12"/>
  <c r="U122" i="12"/>
  <c r="U125" i="12"/>
  <c r="U126" i="12"/>
  <c r="U137" i="12"/>
  <c r="U124" i="12"/>
  <c r="U131" i="12"/>
  <c r="U138" i="12"/>
  <c r="U140" i="12"/>
  <c r="U133" i="12"/>
  <c r="U134" i="12"/>
  <c r="U139" i="12"/>
  <c r="U136" i="12"/>
  <c r="U135" i="12"/>
  <c r="U141" i="12"/>
  <c r="U142" i="12"/>
  <c r="U143" i="12"/>
  <c r="U145" i="12"/>
  <c r="U146" i="12"/>
  <c r="U144" i="12"/>
  <c r="U147" i="12"/>
  <c r="T7" i="12"/>
  <c r="T10" i="12"/>
  <c r="T8" i="12"/>
  <c r="T9" i="12"/>
  <c r="T11" i="12"/>
  <c r="T12" i="12"/>
  <c r="T15" i="12"/>
  <c r="T19" i="12"/>
  <c r="T20" i="12"/>
  <c r="T47" i="12"/>
  <c r="T23" i="12"/>
  <c r="T14" i="12"/>
  <c r="T18" i="12"/>
  <c r="T13" i="12"/>
  <c r="T16" i="12"/>
  <c r="T17" i="12"/>
  <c r="T22" i="12"/>
  <c r="T24" i="12"/>
  <c r="T21" i="12"/>
  <c r="T31" i="12"/>
  <c r="T32" i="12"/>
  <c r="T28" i="12"/>
  <c r="T30" i="12"/>
  <c r="T43" i="12"/>
  <c r="T25" i="12"/>
  <c r="T27" i="12"/>
  <c r="T26" i="12"/>
  <c r="T38" i="12"/>
  <c r="T29" i="12"/>
  <c r="T36" i="12"/>
  <c r="T45" i="12"/>
  <c r="T39" i="12"/>
  <c r="T34" i="12"/>
  <c r="T37" i="12"/>
  <c r="T40" i="12"/>
  <c r="T35" i="12"/>
  <c r="T33" i="12"/>
  <c r="T42" i="12"/>
  <c r="T48" i="12"/>
  <c r="T46" i="12"/>
  <c r="T41" i="12"/>
  <c r="T55" i="12"/>
  <c r="T49" i="12"/>
  <c r="T50" i="12"/>
  <c r="T51" i="12"/>
  <c r="T56" i="12"/>
  <c r="T52" i="12"/>
  <c r="T54" i="12"/>
  <c r="T53" i="12"/>
  <c r="T57" i="12"/>
  <c r="T44" i="12"/>
  <c r="T61" i="12"/>
  <c r="T59" i="12"/>
  <c r="T58" i="12"/>
  <c r="T71" i="12"/>
  <c r="T60" i="12"/>
  <c r="T64" i="12"/>
  <c r="T85" i="12"/>
  <c r="T65" i="12"/>
  <c r="T66" i="12"/>
  <c r="T77" i="12"/>
  <c r="T74" i="12"/>
  <c r="T62" i="12"/>
  <c r="T70" i="12"/>
  <c r="T69" i="12"/>
  <c r="T79" i="12"/>
  <c r="T72" i="12"/>
  <c r="T67" i="12"/>
  <c r="T63" i="12"/>
  <c r="T73" i="12"/>
  <c r="T83" i="12"/>
  <c r="T80" i="12"/>
  <c r="T78" i="12"/>
  <c r="T76" i="12"/>
  <c r="T68" i="12"/>
  <c r="T87" i="12"/>
  <c r="T75" i="12"/>
  <c r="T91" i="12"/>
  <c r="T88" i="12"/>
  <c r="T82" i="12"/>
  <c r="T90" i="12"/>
  <c r="T95" i="12"/>
  <c r="T93" i="12"/>
  <c r="T86" i="12"/>
  <c r="T100" i="12"/>
  <c r="T81" i="12"/>
  <c r="T84" i="12"/>
  <c r="T92" i="12"/>
  <c r="T99" i="12"/>
  <c r="T94" i="12"/>
  <c r="T89" i="12"/>
  <c r="T98" i="12"/>
  <c r="T105" i="12"/>
  <c r="T119" i="12"/>
  <c r="T109" i="12"/>
  <c r="T114" i="12"/>
  <c r="T104" i="12"/>
  <c r="T97" i="12"/>
  <c r="T96" i="12"/>
  <c r="T113" i="12"/>
  <c r="T111" i="12"/>
  <c r="T121" i="12"/>
  <c r="T110" i="12"/>
  <c r="T103" i="12"/>
  <c r="T112" i="12"/>
  <c r="T118" i="12"/>
  <c r="T107" i="12"/>
  <c r="T106" i="12"/>
  <c r="T115" i="12"/>
  <c r="T102" i="12"/>
  <c r="T123" i="12"/>
  <c r="T127" i="12"/>
  <c r="T120" i="12"/>
  <c r="T128" i="12"/>
  <c r="T117" i="12"/>
  <c r="T108" i="12"/>
  <c r="T130" i="12"/>
  <c r="T116" i="12"/>
  <c r="T101" i="12"/>
  <c r="T129" i="12"/>
  <c r="T132" i="12"/>
  <c r="T122" i="12"/>
  <c r="T125" i="12"/>
  <c r="T126" i="12"/>
  <c r="T137" i="12"/>
  <c r="T124" i="12"/>
  <c r="T131" i="12"/>
  <c r="T138" i="12"/>
  <c r="T140" i="12"/>
  <c r="T133" i="12"/>
  <c r="T134" i="12"/>
  <c r="T139" i="12"/>
  <c r="T136" i="12"/>
  <c r="T135" i="12"/>
  <c r="T141" i="12"/>
  <c r="T142" i="12"/>
  <c r="T143" i="12"/>
  <c r="T145" i="12"/>
  <c r="T146" i="12"/>
  <c r="T144" i="12"/>
  <c r="T147" i="12"/>
  <c r="S7" i="12"/>
  <c r="S11" i="12"/>
  <c r="S9" i="12"/>
  <c r="S10" i="12"/>
  <c r="S8" i="12"/>
  <c r="S12" i="12"/>
  <c r="S14" i="12"/>
  <c r="S15" i="12"/>
  <c r="S47" i="12"/>
  <c r="S20" i="12"/>
  <c r="S19" i="12"/>
  <c r="S13" i="12"/>
  <c r="S26" i="12"/>
  <c r="S17" i="12"/>
  <c r="S21" i="12"/>
  <c r="S22" i="12"/>
  <c r="S25" i="12"/>
  <c r="S16" i="12"/>
  <c r="S23" i="12"/>
  <c r="S24" i="12"/>
  <c r="S31" i="12"/>
  <c r="S18" i="12"/>
  <c r="S30" i="12"/>
  <c r="S32" i="12"/>
  <c r="S36" i="12"/>
  <c r="S27" i="12"/>
  <c r="S37" i="12"/>
  <c r="S29" i="12"/>
  <c r="S39" i="12"/>
  <c r="S28" i="12"/>
  <c r="S43" i="12"/>
  <c r="S33" i="12"/>
  <c r="S49" i="12"/>
  <c r="S42" i="12"/>
  <c r="S46" i="12"/>
  <c r="S40" i="12"/>
  <c r="S38" i="12"/>
  <c r="S34" i="12"/>
  <c r="S45" i="12"/>
  <c r="S35" i="12"/>
  <c r="S55" i="12"/>
  <c r="S44" i="12"/>
  <c r="S54" i="12"/>
  <c r="S48" i="12"/>
  <c r="S51" i="12"/>
  <c r="S57" i="12"/>
  <c r="S58" i="12"/>
  <c r="S41" i="12"/>
  <c r="S56" i="12"/>
  <c r="S60" i="12"/>
  <c r="S71" i="12"/>
  <c r="S59" i="12"/>
  <c r="S61" i="12"/>
  <c r="S52" i="12"/>
  <c r="S53" i="12"/>
  <c r="S69" i="12"/>
  <c r="S65" i="12"/>
  <c r="S50" i="12"/>
  <c r="S70" i="12"/>
  <c r="S66" i="12"/>
  <c r="S72" i="12"/>
  <c r="S73" i="12"/>
  <c r="S79" i="12"/>
  <c r="S77" i="12"/>
  <c r="S67" i="12"/>
  <c r="S63" i="12"/>
  <c r="S74" i="12"/>
  <c r="S62" i="12"/>
  <c r="S75" i="12"/>
  <c r="S85" i="12"/>
  <c r="S78" i="12"/>
  <c r="S95" i="12"/>
  <c r="S80" i="12"/>
  <c r="S76" i="12"/>
  <c r="S64" i="12"/>
  <c r="S93" i="12"/>
  <c r="S86" i="12"/>
  <c r="S68" i="12"/>
  <c r="S100" i="12"/>
  <c r="S87" i="12"/>
  <c r="S90" i="12"/>
  <c r="S88" i="12"/>
  <c r="S82" i="12"/>
  <c r="S81" i="12"/>
  <c r="S83" i="12"/>
  <c r="S91" i="12"/>
  <c r="S94" i="12"/>
  <c r="S84" i="12"/>
  <c r="S99" i="12"/>
  <c r="S92" i="12"/>
  <c r="S96" i="12"/>
  <c r="S119" i="12"/>
  <c r="S114" i="12"/>
  <c r="S89" i="12"/>
  <c r="S102" i="12"/>
  <c r="S113" i="12"/>
  <c r="S98" i="12"/>
  <c r="S104" i="12"/>
  <c r="S109" i="12"/>
  <c r="S123" i="12"/>
  <c r="S111" i="12"/>
  <c r="S120" i="12"/>
  <c r="S103" i="12"/>
  <c r="S112" i="12"/>
  <c r="S105" i="12"/>
  <c r="S106" i="12"/>
  <c r="S118" i="12"/>
  <c r="S128" i="12"/>
  <c r="S110" i="12"/>
  <c r="S101" i="12"/>
  <c r="S115" i="12"/>
  <c r="S108" i="12"/>
  <c r="S97" i="12"/>
  <c r="S127" i="12"/>
  <c r="S116" i="12"/>
  <c r="S129" i="12"/>
  <c r="S132" i="12"/>
  <c r="S126" i="12"/>
  <c r="S130" i="12"/>
  <c r="S121" i="12"/>
  <c r="S122" i="12"/>
  <c r="S125" i="12"/>
  <c r="S135" i="12"/>
  <c r="S138" i="12"/>
  <c r="S136" i="12"/>
  <c r="S124" i="12"/>
  <c r="S107" i="12"/>
  <c r="S137" i="12"/>
  <c r="S133" i="12"/>
  <c r="S141" i="12"/>
  <c r="S131" i="12"/>
  <c r="S117" i="12"/>
  <c r="S134" i="12"/>
  <c r="S140" i="12"/>
  <c r="S139" i="12"/>
  <c r="S145" i="12"/>
  <c r="S142" i="12"/>
  <c r="S143" i="12"/>
  <c r="S146" i="12"/>
  <c r="S144" i="12"/>
  <c r="S147" i="12"/>
  <c r="R7" i="12"/>
  <c r="R11" i="12"/>
  <c r="R9" i="12"/>
  <c r="R10" i="12"/>
  <c r="R8" i="12"/>
  <c r="R12" i="12"/>
  <c r="R14" i="12"/>
  <c r="R15" i="12"/>
  <c r="R47" i="12"/>
  <c r="R20" i="12"/>
  <c r="R19" i="12"/>
  <c r="R13" i="12"/>
  <c r="R26" i="12"/>
  <c r="R17" i="12"/>
  <c r="R21" i="12"/>
  <c r="R22" i="12"/>
  <c r="R25" i="12"/>
  <c r="R16" i="12"/>
  <c r="R23" i="12"/>
  <c r="R24" i="12"/>
  <c r="R31" i="12"/>
  <c r="R18" i="12"/>
  <c r="R30" i="12"/>
  <c r="R32" i="12"/>
  <c r="R36" i="12"/>
  <c r="R27" i="12"/>
  <c r="R37" i="12"/>
  <c r="R29" i="12"/>
  <c r="R39" i="12"/>
  <c r="R28" i="12"/>
  <c r="R43" i="12"/>
  <c r="R33" i="12"/>
  <c r="R49" i="12"/>
  <c r="R42" i="12"/>
  <c r="R46" i="12"/>
  <c r="R40" i="12"/>
  <c r="R38" i="12"/>
  <c r="R34" i="12"/>
  <c r="R45" i="12"/>
  <c r="R35" i="12"/>
  <c r="R55" i="12"/>
  <c r="R44" i="12"/>
  <c r="R54" i="12"/>
  <c r="R48" i="12"/>
  <c r="R51" i="12"/>
  <c r="R57" i="12"/>
  <c r="R58" i="12"/>
  <c r="R41" i="12"/>
  <c r="R56" i="12"/>
  <c r="R60" i="12"/>
  <c r="R71" i="12"/>
  <c r="R59" i="12"/>
  <c r="R61" i="12"/>
  <c r="R52" i="12"/>
  <c r="R53" i="12"/>
  <c r="R69" i="12"/>
  <c r="R65" i="12"/>
  <c r="R50" i="12"/>
  <c r="R70" i="12"/>
  <c r="R66" i="12"/>
  <c r="R72" i="12"/>
  <c r="R73" i="12"/>
  <c r="R79" i="12"/>
  <c r="R77" i="12"/>
  <c r="R67" i="12"/>
  <c r="R63" i="12"/>
  <c r="R74" i="12"/>
  <c r="R62" i="12"/>
  <c r="R75" i="12"/>
  <c r="R85" i="12"/>
  <c r="R78" i="12"/>
  <c r="R95" i="12"/>
  <c r="R80" i="12"/>
  <c r="R76" i="12"/>
  <c r="R64" i="12"/>
  <c r="R93" i="12"/>
  <c r="R86" i="12"/>
  <c r="R68" i="12"/>
  <c r="R100" i="12"/>
  <c r="R87" i="12"/>
  <c r="R90" i="12"/>
  <c r="R88" i="12"/>
  <c r="R82" i="12"/>
  <c r="R81" i="12"/>
  <c r="R83" i="12"/>
  <c r="R91" i="12"/>
  <c r="R94" i="12"/>
  <c r="R84" i="12"/>
  <c r="R99" i="12"/>
  <c r="R92" i="12"/>
  <c r="R96" i="12"/>
  <c r="R119" i="12"/>
  <c r="R114" i="12"/>
  <c r="R89" i="12"/>
  <c r="R102" i="12"/>
  <c r="R113" i="12"/>
  <c r="R98" i="12"/>
  <c r="R104" i="12"/>
  <c r="R109" i="12"/>
  <c r="R123" i="12"/>
  <c r="R111" i="12"/>
  <c r="R120" i="12"/>
  <c r="R103" i="12"/>
  <c r="R112" i="12"/>
  <c r="R105" i="12"/>
  <c r="R106" i="12"/>
  <c r="R118" i="12"/>
  <c r="R128" i="12"/>
  <c r="R110" i="12"/>
  <c r="R101" i="12"/>
  <c r="R115" i="12"/>
  <c r="R108" i="12"/>
  <c r="R97" i="12"/>
  <c r="R127" i="12"/>
  <c r="R116" i="12"/>
  <c r="R129" i="12"/>
  <c r="R132" i="12"/>
  <c r="R126" i="12"/>
  <c r="R130" i="12"/>
  <c r="R121" i="12"/>
  <c r="R122" i="12"/>
  <c r="R125" i="12"/>
  <c r="R135" i="12"/>
  <c r="R138" i="12"/>
  <c r="R136" i="12"/>
  <c r="R124" i="12"/>
  <c r="R107" i="12"/>
  <c r="R137" i="12"/>
  <c r="R133" i="12"/>
  <c r="R141" i="12"/>
  <c r="R131" i="12"/>
  <c r="R117" i="12"/>
  <c r="R134" i="12"/>
  <c r="R140" i="12"/>
  <c r="R139" i="12"/>
  <c r="R145" i="12"/>
  <c r="R142" i="12"/>
  <c r="R143" i="12"/>
  <c r="R146" i="12"/>
  <c r="R144" i="12"/>
  <c r="R147" i="12"/>
  <c r="Q7" i="12"/>
  <c r="Q11" i="12"/>
  <c r="Q9" i="12"/>
  <c r="Q10" i="12"/>
  <c r="Q8" i="12"/>
  <c r="Q12" i="12"/>
  <c r="Q14" i="12"/>
  <c r="Q15" i="12"/>
  <c r="Q47" i="12"/>
  <c r="Q20" i="12"/>
  <c r="Q19" i="12"/>
  <c r="Q13" i="12"/>
  <c r="Q26" i="12"/>
  <c r="Q17" i="12"/>
  <c r="Q21" i="12"/>
  <c r="Q22" i="12"/>
  <c r="Q25" i="12"/>
  <c r="Q16" i="12"/>
  <c r="Q23" i="12"/>
  <c r="Q24" i="12"/>
  <c r="Q31" i="12"/>
  <c r="Q18" i="12"/>
  <c r="Q30" i="12"/>
  <c r="Q32" i="12"/>
  <c r="Q36" i="12"/>
  <c r="Q27" i="12"/>
  <c r="Q37" i="12"/>
  <c r="Q29" i="12"/>
  <c r="Q39" i="12"/>
  <c r="Q28" i="12"/>
  <c r="Q43" i="12"/>
  <c r="Q33" i="12"/>
  <c r="Q49" i="12"/>
  <c r="Q42" i="12"/>
  <c r="Q46" i="12"/>
  <c r="Q40" i="12"/>
  <c r="Q38" i="12"/>
  <c r="Q34" i="12"/>
  <c r="Q45" i="12"/>
  <c r="Q35" i="12"/>
  <c r="Q55" i="12"/>
  <c r="Q44" i="12"/>
  <c r="Q54" i="12"/>
  <c r="Q48" i="12"/>
  <c r="Q51" i="12"/>
  <c r="Q57" i="12"/>
  <c r="Q58" i="12"/>
  <c r="Q41" i="12"/>
  <c r="Q56" i="12"/>
  <c r="Q60" i="12"/>
  <c r="Q71" i="12"/>
  <c r="Q59" i="12"/>
  <c r="Q61" i="12"/>
  <c r="Q52" i="12"/>
  <c r="Q53" i="12"/>
  <c r="Q69" i="12"/>
  <c r="Q65" i="12"/>
  <c r="Q50" i="12"/>
  <c r="Q70" i="12"/>
  <c r="Q66" i="12"/>
  <c r="Q72" i="12"/>
  <c r="Q73" i="12"/>
  <c r="Q79" i="12"/>
  <c r="Q77" i="12"/>
  <c r="Q67" i="12"/>
  <c r="Q63" i="12"/>
  <c r="Q74" i="12"/>
  <c r="Q62" i="12"/>
  <c r="Q75" i="12"/>
  <c r="Q85" i="12"/>
  <c r="Q78" i="12"/>
  <c r="Q95" i="12"/>
  <c r="Q80" i="12"/>
  <c r="Q76" i="12"/>
  <c r="Q64" i="12"/>
  <c r="Q93" i="12"/>
  <c r="Q86" i="12"/>
  <c r="Q68" i="12"/>
  <c r="Q100" i="12"/>
  <c r="Q87" i="12"/>
  <c r="Q90" i="12"/>
  <c r="Q88" i="12"/>
  <c r="Q82" i="12"/>
  <c r="Q81" i="12"/>
  <c r="Q83" i="12"/>
  <c r="Q91" i="12"/>
  <c r="Q94" i="12"/>
  <c r="Q84" i="12"/>
  <c r="Q99" i="12"/>
  <c r="Q92" i="12"/>
  <c r="Q96" i="12"/>
  <c r="Q119" i="12"/>
  <c r="Q114" i="12"/>
  <c r="Q89" i="12"/>
  <c r="Q102" i="12"/>
  <c r="Q113" i="12"/>
  <c r="Q98" i="12"/>
  <c r="Q104" i="12"/>
  <c r="Q109" i="12"/>
  <c r="Q123" i="12"/>
  <c r="Q111" i="12"/>
  <c r="Q120" i="12"/>
  <c r="Q103" i="12"/>
  <c r="Q112" i="12"/>
  <c r="Q105" i="12"/>
  <c r="Q106" i="12"/>
  <c r="Q118" i="12"/>
  <c r="Q128" i="12"/>
  <c r="Q110" i="12"/>
  <c r="Q101" i="12"/>
  <c r="Q115" i="12"/>
  <c r="Q108" i="12"/>
  <c r="Q97" i="12"/>
  <c r="Q127" i="12"/>
  <c r="Q116" i="12"/>
  <c r="Q129" i="12"/>
  <c r="Q132" i="12"/>
  <c r="Q126" i="12"/>
  <c r="Q130" i="12"/>
  <c r="Q121" i="12"/>
  <c r="Q122" i="12"/>
  <c r="Q125" i="12"/>
  <c r="Q135" i="12"/>
  <c r="Q138" i="12"/>
  <c r="Q136" i="12"/>
  <c r="Q124" i="12"/>
  <c r="Q107" i="12"/>
  <c r="Q137" i="12"/>
  <c r="Q133" i="12"/>
  <c r="Q141" i="12"/>
  <c r="Q131" i="12"/>
  <c r="Q117" i="12"/>
  <c r="Q134" i="12"/>
  <c r="Q140" i="12"/>
  <c r="Q139" i="12"/>
  <c r="Q145" i="12"/>
  <c r="Q142" i="12"/>
  <c r="Q143" i="12"/>
  <c r="Q146" i="12"/>
  <c r="Q144" i="12"/>
  <c r="Q147" i="12"/>
  <c r="AH7" i="12" a="1"/>
  <c r="AH7" i="12" s="1"/>
  <c r="AH11" i="12" a="1"/>
  <c r="AH11" i="12" s="1"/>
  <c r="AH9" i="12" a="1"/>
  <c r="AH9" i="12" s="1"/>
  <c r="AH10" i="12" a="1"/>
  <c r="AH10" i="12" s="1"/>
  <c r="AH8" i="12" a="1"/>
  <c r="AH8" i="12" s="1"/>
  <c r="AH15" i="12" a="1"/>
  <c r="AH15" i="12" s="1"/>
  <c r="AH12" i="12" a="1"/>
  <c r="AH12" i="12" s="1"/>
  <c r="AH20" i="12" a="1"/>
  <c r="AH20" i="12" s="1"/>
  <c r="AH14" i="12" a="1"/>
  <c r="AH14" i="12" s="1"/>
  <c r="AH19" i="12" a="1"/>
  <c r="AH19" i="12" s="1"/>
  <c r="AH13" i="12" a="1"/>
  <c r="AH13" i="12" s="1"/>
  <c r="AH47" i="12" a="1"/>
  <c r="AH47" i="12" s="1"/>
  <c r="AH26" i="12" a="1"/>
  <c r="AH26" i="12" s="1"/>
  <c r="AH17" i="12" a="1"/>
  <c r="AH17" i="12" s="1"/>
  <c r="AH21" i="12" a="1"/>
  <c r="AH21" i="12" s="1"/>
  <c r="AH25" i="12" a="1"/>
  <c r="AH25" i="12" s="1"/>
  <c r="AH23" i="12" a="1"/>
  <c r="AH23" i="12" s="1"/>
  <c r="AH22" i="12" a="1"/>
  <c r="AH22" i="12" s="1"/>
  <c r="AH16" i="12" a="1"/>
  <c r="AH16" i="12" s="1"/>
  <c r="AH24" i="12" a="1"/>
  <c r="AH24" i="12" s="1"/>
  <c r="AH18" i="12" a="1"/>
  <c r="AH18" i="12" s="1"/>
  <c r="AH31" i="12" a="1"/>
  <c r="AH31" i="12" s="1"/>
  <c r="AH30" i="12" a="1"/>
  <c r="AH30" i="12" s="1"/>
  <c r="AH32" i="12" a="1"/>
  <c r="AH32" i="12" s="1"/>
  <c r="AH36" i="12" a="1"/>
  <c r="AH36" i="12" s="1"/>
  <c r="AH27" i="12" a="1"/>
  <c r="AH27" i="12" s="1"/>
  <c r="AH43" i="12" a="1"/>
  <c r="AH43" i="12" s="1"/>
  <c r="AH28" i="12" a="1"/>
  <c r="AH28" i="12" s="1"/>
  <c r="AH29" i="12" a="1"/>
  <c r="AH29" i="12" s="1"/>
  <c r="AH39" i="12" a="1"/>
  <c r="AH39" i="12" s="1"/>
  <c r="AH37" i="12" a="1"/>
  <c r="AH37" i="12" s="1"/>
  <c r="AH33" i="12" a="1"/>
  <c r="AH33" i="12" s="1"/>
  <c r="AH38" i="12" a="1"/>
  <c r="AH38" i="12" s="1"/>
  <c r="AH46" i="12" a="1"/>
  <c r="AH46" i="12" s="1"/>
  <c r="AH42" i="12" a="1"/>
  <c r="AH42" i="12" s="1"/>
  <c r="AH49" i="12" a="1"/>
  <c r="AH49" i="12" s="1"/>
  <c r="AH40" i="12" a="1"/>
  <c r="AH40" i="12" s="1"/>
  <c r="AH34" i="12" a="1"/>
  <c r="AH34" i="12" s="1"/>
  <c r="AH35" i="12" a="1"/>
  <c r="AH35" i="12" s="1"/>
  <c r="AH45" i="12" a="1"/>
  <c r="AH45" i="12" s="1"/>
  <c r="AH44" i="12" a="1"/>
  <c r="AH44" i="12" s="1"/>
  <c r="AH55" i="12" a="1"/>
  <c r="AH55" i="12" s="1"/>
  <c r="AH48" i="12" a="1"/>
  <c r="AH48" i="12" s="1"/>
  <c r="AH54" i="12" a="1"/>
  <c r="AH54" i="12" s="1"/>
  <c r="AH52" i="12" a="1"/>
  <c r="AH52" i="12" s="1"/>
  <c r="AH50" i="12" a="1"/>
  <c r="AH50" i="12" s="1"/>
  <c r="AH41" i="12" a="1"/>
  <c r="AH41" i="12" s="1"/>
  <c r="AH61" i="12" a="1"/>
  <c r="AH61" i="12" s="1"/>
  <c r="AH51" i="12" a="1"/>
  <c r="AH51" i="12" s="1"/>
  <c r="AH71" i="12" a="1"/>
  <c r="AH71" i="12" s="1"/>
  <c r="AH57" i="12" a="1"/>
  <c r="AH57" i="12" s="1"/>
  <c r="AH56" i="12" a="1"/>
  <c r="AH56" i="12" s="1"/>
  <c r="AH58" i="12" a="1"/>
  <c r="AH58" i="12" s="1"/>
  <c r="AH60" i="12" a="1"/>
  <c r="AH60" i="12" s="1"/>
  <c r="AH53" i="12" a="1"/>
  <c r="AH53" i="12" s="1"/>
  <c r="AH59" i="12" a="1"/>
  <c r="AH59" i="12" s="1"/>
  <c r="AH65" i="12" a="1"/>
  <c r="AH65" i="12" s="1"/>
  <c r="AH69" i="12" a="1"/>
  <c r="AH69" i="12" s="1"/>
  <c r="AH77" i="12" a="1"/>
  <c r="AH77" i="12" s="1"/>
  <c r="AH95" i="12" a="1"/>
  <c r="AH95" i="12" s="1"/>
  <c r="AH70" i="12" a="1"/>
  <c r="AH70" i="12" s="1"/>
  <c r="AH64" i="12" a="1"/>
  <c r="AH64" i="12" s="1"/>
  <c r="AH73" i="12" a="1"/>
  <c r="AH73" i="12" s="1"/>
  <c r="AH79" i="12" a="1"/>
  <c r="AH79" i="12" s="1"/>
  <c r="AH66" i="12" a="1"/>
  <c r="AH66" i="12" s="1"/>
  <c r="AH62" i="12" a="1"/>
  <c r="AH62" i="12" s="1"/>
  <c r="AH63" i="12" a="1"/>
  <c r="AH63" i="12" s="1"/>
  <c r="AH72" i="12" a="1"/>
  <c r="AH72" i="12" s="1"/>
  <c r="AH74" i="12" a="1"/>
  <c r="AH74" i="12" s="1"/>
  <c r="AH75" i="12" a="1"/>
  <c r="AH75" i="12" s="1"/>
  <c r="AH67" i="12" a="1"/>
  <c r="AH67" i="12" s="1"/>
  <c r="AH85" i="12" a="1"/>
  <c r="AH85" i="12" s="1"/>
  <c r="AH78" i="12" a="1"/>
  <c r="AH78" i="12" s="1"/>
  <c r="AH80" i="12" a="1"/>
  <c r="AH80" i="12" s="1"/>
  <c r="AH76" i="12" a="1"/>
  <c r="AH76" i="12" s="1"/>
  <c r="AH93" i="12" a="1"/>
  <c r="AH93" i="12" s="1"/>
  <c r="AH83" i="12" a="1"/>
  <c r="AH83" i="12" s="1"/>
  <c r="AH86" i="12" a="1"/>
  <c r="AH86" i="12" s="1"/>
  <c r="AH68" i="12" a="1"/>
  <c r="AH68" i="12" s="1"/>
  <c r="AH87" i="12" a="1"/>
  <c r="AH87" i="12" s="1"/>
  <c r="AH82" i="12" a="1"/>
  <c r="AH82" i="12" s="1"/>
  <c r="AH84" i="12" a="1"/>
  <c r="AH84" i="12" s="1"/>
  <c r="AH81" i="12" a="1"/>
  <c r="AH81" i="12" s="1"/>
  <c r="AH90" i="12" a="1"/>
  <c r="AH90" i="12" s="1"/>
  <c r="AH100" i="12" a="1"/>
  <c r="AH100" i="12" s="1"/>
  <c r="AH88" i="12" a="1"/>
  <c r="AH88" i="12" s="1"/>
  <c r="AH94" i="12" a="1"/>
  <c r="AH94" i="12" s="1"/>
  <c r="AH99" i="12" a="1"/>
  <c r="AH99" i="12" s="1"/>
  <c r="AH91" i="12" a="1"/>
  <c r="AH91" i="12" s="1"/>
  <c r="AH92" i="12" a="1"/>
  <c r="AH92" i="12" s="1"/>
  <c r="AH96" i="12" a="1"/>
  <c r="AH96" i="12" s="1"/>
  <c r="AH89" i="12" a="1"/>
  <c r="AH89" i="12" s="1"/>
  <c r="AH119" i="12" a="1"/>
  <c r="AH119" i="12" s="1"/>
  <c r="AH114" i="12" a="1"/>
  <c r="AH114" i="12" s="1"/>
  <c r="AH102" i="12" a="1"/>
  <c r="AH102" i="12" s="1"/>
  <c r="AH98" i="12" a="1"/>
  <c r="AH98" i="12" s="1"/>
  <c r="AH113" i="12" a="1"/>
  <c r="AH113" i="12" s="1"/>
  <c r="AH120" i="12" a="1"/>
  <c r="AH120" i="12" s="1"/>
  <c r="AH104" i="12" a="1"/>
  <c r="AH104" i="12" s="1"/>
  <c r="AH105" i="12" a="1"/>
  <c r="AH105" i="12" s="1"/>
  <c r="AH118" i="12" a="1"/>
  <c r="AH118" i="12" s="1"/>
  <c r="AH109" i="12" a="1"/>
  <c r="AH109" i="12" s="1"/>
  <c r="AH123" i="12" a="1"/>
  <c r="AH123" i="12" s="1"/>
  <c r="AH111" i="12" a="1"/>
  <c r="AH111" i="12" s="1"/>
  <c r="AH103" i="12" a="1"/>
  <c r="AH103" i="12" s="1"/>
  <c r="AH112" i="12" a="1"/>
  <c r="AH112" i="12" s="1"/>
  <c r="AH106" i="12" a="1"/>
  <c r="AH106" i="12" s="1"/>
  <c r="AH128" i="12" a="1"/>
  <c r="AH128" i="12" s="1"/>
  <c r="AH97" i="12" a="1"/>
  <c r="AH97" i="12" s="1"/>
  <c r="AH115" i="12" a="1"/>
  <c r="AH115" i="12" s="1"/>
  <c r="AH116" i="12" a="1"/>
  <c r="AH116" i="12" s="1"/>
  <c r="AH110" i="12" a="1"/>
  <c r="AH110" i="12" s="1"/>
  <c r="AH101" i="12" a="1"/>
  <c r="AH101" i="12" s="1"/>
  <c r="AH121" i="12" a="1"/>
  <c r="AH121" i="12" s="1"/>
  <c r="AH126" i="12" a="1"/>
  <c r="AH126" i="12" s="1"/>
  <c r="AH108" i="12" a="1"/>
  <c r="AH108" i="12" s="1"/>
  <c r="AH127" i="12" a="1"/>
  <c r="AH127" i="12" s="1"/>
  <c r="AH129" i="12" a="1"/>
  <c r="AH129" i="12" s="1"/>
  <c r="AH132" i="12" a="1"/>
  <c r="AH132" i="12" s="1"/>
  <c r="AH122" i="12" a="1"/>
  <c r="AH122" i="12" s="1"/>
  <c r="AH130" i="12" a="1"/>
  <c r="AH130" i="12" s="1"/>
  <c r="AH135" i="12" a="1"/>
  <c r="AH135" i="12" s="1"/>
  <c r="AH125" i="12" a="1"/>
  <c r="AH125" i="12" s="1"/>
  <c r="AH138" i="12" a="1"/>
  <c r="AH138" i="12" s="1"/>
  <c r="AH136" i="12" a="1"/>
  <c r="AH136" i="12" s="1"/>
  <c r="AH107" i="12" a="1"/>
  <c r="AH107" i="12" s="1"/>
  <c r="AH124" i="12" a="1"/>
  <c r="AH124" i="12" s="1"/>
  <c r="AH137" i="12" a="1"/>
  <c r="AH137" i="12" s="1"/>
  <c r="AH117" i="12" a="1"/>
  <c r="AH117" i="12" s="1"/>
  <c r="AH133" i="12" a="1"/>
  <c r="AH133" i="12" s="1"/>
  <c r="AH131" i="12" a="1"/>
  <c r="AH131" i="12" s="1"/>
  <c r="AH141" i="12" a="1"/>
  <c r="AH141" i="12" s="1"/>
  <c r="AH134" i="12" a="1"/>
  <c r="AH134" i="12" s="1"/>
  <c r="AH139" i="12" a="1"/>
  <c r="AH139" i="12" s="1"/>
  <c r="AH140" i="12" a="1"/>
  <c r="AH140" i="12" s="1"/>
  <c r="AH145" i="12" a="1"/>
  <c r="AH145" i="12" s="1"/>
  <c r="AH142" i="12" a="1"/>
  <c r="AH142" i="12" s="1"/>
  <c r="AH143" i="12" a="1"/>
  <c r="AH143" i="12" s="1"/>
  <c r="AH146" i="12" a="1"/>
  <c r="AH146" i="12" s="1"/>
  <c r="AH144" i="12" a="1"/>
  <c r="AH144" i="12" s="1"/>
  <c r="AH147" i="12" a="1"/>
  <c r="AH147" i="12" s="1"/>
  <c r="P7" i="12"/>
  <c r="P11" i="12"/>
  <c r="P9" i="12"/>
  <c r="P10" i="12"/>
  <c r="P8" i="12"/>
  <c r="P15" i="12"/>
  <c r="P12" i="12"/>
  <c r="P20" i="12"/>
  <c r="P14" i="12"/>
  <c r="P19" i="12"/>
  <c r="P13" i="12"/>
  <c r="P47" i="12"/>
  <c r="P26" i="12"/>
  <c r="P17" i="12"/>
  <c r="P21" i="12"/>
  <c r="P25" i="12"/>
  <c r="P23" i="12"/>
  <c r="P22" i="12"/>
  <c r="P16" i="12"/>
  <c r="P24" i="12"/>
  <c r="P18" i="12"/>
  <c r="P31" i="12"/>
  <c r="P30" i="12"/>
  <c r="P32" i="12"/>
  <c r="P36" i="12"/>
  <c r="P27" i="12"/>
  <c r="P43" i="12"/>
  <c r="P28" i="12"/>
  <c r="P29" i="12"/>
  <c r="P39" i="12"/>
  <c r="P37" i="12"/>
  <c r="P33" i="12"/>
  <c r="P38" i="12"/>
  <c r="P46" i="12"/>
  <c r="P42" i="12"/>
  <c r="P49" i="12"/>
  <c r="P40" i="12"/>
  <c r="P34" i="12"/>
  <c r="P35" i="12"/>
  <c r="P45" i="12"/>
  <c r="P44" i="12"/>
  <c r="P55" i="12"/>
  <c r="P48" i="12"/>
  <c r="P54" i="12"/>
  <c r="P52" i="12"/>
  <c r="P50" i="12"/>
  <c r="P41" i="12"/>
  <c r="P61" i="12"/>
  <c r="P51" i="12"/>
  <c r="P71" i="12"/>
  <c r="P57" i="12"/>
  <c r="P56" i="12"/>
  <c r="P58" i="12"/>
  <c r="P60" i="12"/>
  <c r="P53" i="12"/>
  <c r="P59" i="12"/>
  <c r="P65" i="12"/>
  <c r="P69" i="12"/>
  <c r="P77" i="12"/>
  <c r="P95" i="12"/>
  <c r="P70" i="12"/>
  <c r="P64" i="12"/>
  <c r="P73" i="12"/>
  <c r="P79" i="12"/>
  <c r="P66" i="12"/>
  <c r="P62" i="12"/>
  <c r="P63" i="12"/>
  <c r="P72" i="12"/>
  <c r="P74" i="12"/>
  <c r="P75" i="12"/>
  <c r="P67" i="12"/>
  <c r="P85" i="12"/>
  <c r="P78" i="12"/>
  <c r="P80" i="12"/>
  <c r="P76" i="12"/>
  <c r="P93" i="12"/>
  <c r="P83" i="12"/>
  <c r="P86" i="12"/>
  <c r="P68" i="12"/>
  <c r="P87" i="12"/>
  <c r="P82" i="12"/>
  <c r="P84" i="12"/>
  <c r="P81" i="12"/>
  <c r="P90" i="12"/>
  <c r="P100" i="12"/>
  <c r="P88" i="12"/>
  <c r="P94" i="12"/>
  <c r="P99" i="12"/>
  <c r="P91" i="12"/>
  <c r="P92" i="12"/>
  <c r="P96" i="12"/>
  <c r="P89" i="12"/>
  <c r="P119" i="12"/>
  <c r="P114" i="12"/>
  <c r="P102" i="12"/>
  <c r="P98" i="12"/>
  <c r="P113" i="12"/>
  <c r="P120" i="12"/>
  <c r="P104" i="12"/>
  <c r="P105" i="12"/>
  <c r="P118" i="12"/>
  <c r="P109" i="12"/>
  <c r="P123" i="12"/>
  <c r="P111" i="12"/>
  <c r="P103" i="12"/>
  <c r="P112" i="12"/>
  <c r="P106" i="12"/>
  <c r="P128" i="12"/>
  <c r="P97" i="12"/>
  <c r="P115" i="12"/>
  <c r="P116" i="12"/>
  <c r="P110" i="12"/>
  <c r="P101" i="12"/>
  <c r="P121" i="12"/>
  <c r="P126" i="12"/>
  <c r="P108" i="12"/>
  <c r="P127" i="12"/>
  <c r="P129" i="12"/>
  <c r="P132" i="12"/>
  <c r="P122" i="12"/>
  <c r="P130" i="12"/>
  <c r="P135" i="12"/>
  <c r="P125" i="12"/>
  <c r="P138" i="12"/>
  <c r="P136" i="12"/>
  <c r="P107" i="12"/>
  <c r="P124" i="12"/>
  <c r="P137" i="12"/>
  <c r="P117" i="12"/>
  <c r="P133" i="12"/>
  <c r="P131" i="12"/>
  <c r="P141" i="12"/>
  <c r="P134" i="12"/>
  <c r="P139" i="12"/>
  <c r="P140" i="12"/>
  <c r="P145" i="12"/>
  <c r="P142" i="12"/>
  <c r="P143" i="12"/>
  <c r="P146" i="12"/>
  <c r="P144" i="12"/>
  <c r="P147" i="12"/>
  <c r="O7" i="12"/>
  <c r="O11" i="12"/>
  <c r="O9" i="12"/>
  <c r="O10" i="12"/>
  <c r="O8" i="12"/>
  <c r="O15" i="12"/>
  <c r="O12" i="12"/>
  <c r="O20" i="12"/>
  <c r="O14" i="12"/>
  <c r="O19" i="12"/>
  <c r="O13" i="12"/>
  <c r="O47" i="12"/>
  <c r="O26" i="12"/>
  <c r="O17" i="12"/>
  <c r="O21" i="12"/>
  <c r="O25" i="12"/>
  <c r="O23" i="12"/>
  <c r="O22" i="12"/>
  <c r="O16" i="12"/>
  <c r="O24" i="12"/>
  <c r="O18" i="12"/>
  <c r="O31" i="12"/>
  <c r="O30" i="12"/>
  <c r="O32" i="12"/>
  <c r="O36" i="12"/>
  <c r="O27" i="12"/>
  <c r="O43" i="12"/>
  <c r="O28" i="12"/>
  <c r="O29" i="12"/>
  <c r="O39" i="12"/>
  <c r="O37" i="12"/>
  <c r="O33" i="12"/>
  <c r="O38" i="12"/>
  <c r="O46" i="12"/>
  <c r="O42" i="12"/>
  <c r="O49" i="12"/>
  <c r="O40" i="12"/>
  <c r="O34" i="12"/>
  <c r="O35" i="12"/>
  <c r="O45" i="12"/>
  <c r="O44" i="12"/>
  <c r="O55" i="12"/>
  <c r="O48" i="12"/>
  <c r="O54" i="12"/>
  <c r="O52" i="12"/>
  <c r="O50" i="12"/>
  <c r="O41" i="12"/>
  <c r="O61" i="12"/>
  <c r="O51" i="12"/>
  <c r="O71" i="12"/>
  <c r="O57" i="12"/>
  <c r="O56" i="12"/>
  <c r="O58" i="12"/>
  <c r="O60" i="12"/>
  <c r="O53" i="12"/>
  <c r="O59" i="12"/>
  <c r="O65" i="12"/>
  <c r="O69" i="12"/>
  <c r="O77" i="12"/>
  <c r="O95" i="12"/>
  <c r="O70" i="12"/>
  <c r="O64" i="12"/>
  <c r="O73" i="12"/>
  <c r="O79" i="12"/>
  <c r="O66" i="12"/>
  <c r="O62" i="12"/>
  <c r="O63" i="12"/>
  <c r="O72" i="12"/>
  <c r="O74" i="12"/>
  <c r="O75" i="12"/>
  <c r="O67" i="12"/>
  <c r="O85" i="12"/>
  <c r="O78" i="12"/>
  <c r="O80" i="12"/>
  <c r="O76" i="12"/>
  <c r="O93" i="12"/>
  <c r="O83" i="12"/>
  <c r="O86" i="12"/>
  <c r="O68" i="12"/>
  <c r="O87" i="12"/>
  <c r="O82" i="12"/>
  <c r="O84" i="12"/>
  <c r="O81" i="12"/>
  <c r="O90" i="12"/>
  <c r="O100" i="12"/>
  <c r="O88" i="12"/>
  <c r="O94" i="12"/>
  <c r="O99" i="12"/>
  <c r="O91" i="12"/>
  <c r="O92" i="12"/>
  <c r="O96" i="12"/>
  <c r="O89" i="12"/>
  <c r="O119" i="12"/>
  <c r="O114" i="12"/>
  <c r="O102" i="12"/>
  <c r="O98" i="12"/>
  <c r="O113" i="12"/>
  <c r="O120" i="12"/>
  <c r="O104" i="12"/>
  <c r="O105" i="12"/>
  <c r="O118" i="12"/>
  <c r="O109" i="12"/>
  <c r="O123" i="12"/>
  <c r="O111" i="12"/>
  <c r="O103" i="12"/>
  <c r="O112" i="12"/>
  <c r="O106" i="12"/>
  <c r="O128" i="12"/>
  <c r="O97" i="12"/>
  <c r="O115" i="12"/>
  <c r="O116" i="12"/>
  <c r="O110" i="12"/>
  <c r="O101" i="12"/>
  <c r="O121" i="12"/>
  <c r="O126" i="12"/>
  <c r="O108" i="12"/>
  <c r="O127" i="12"/>
  <c r="O129" i="12"/>
  <c r="O132" i="12"/>
  <c r="O122" i="12"/>
  <c r="O130" i="12"/>
  <c r="O135" i="12"/>
  <c r="O125" i="12"/>
  <c r="O138" i="12"/>
  <c r="O136" i="12"/>
  <c r="O107" i="12"/>
  <c r="O124" i="12"/>
  <c r="O137" i="12"/>
  <c r="O117" i="12"/>
  <c r="O133" i="12"/>
  <c r="O131" i="12"/>
  <c r="O141" i="12"/>
  <c r="O134" i="12"/>
  <c r="O139" i="12"/>
  <c r="O140" i="12"/>
  <c r="O145" i="12"/>
  <c r="O142" i="12"/>
  <c r="O143" i="12"/>
  <c r="O146" i="12"/>
  <c r="O144" i="12"/>
  <c r="O147" i="12"/>
  <c r="L26" i="12" a="1"/>
  <c r="M62" i="12" a="1"/>
  <c r="N28" i="12" a="1"/>
  <c r="M12" i="12" a="1"/>
  <c r="L124" i="12" a="1"/>
  <c r="N118" i="12" a="1"/>
  <c r="L116" i="12" a="1"/>
  <c r="N17" i="12" a="1"/>
  <c r="N100" i="12" a="1"/>
  <c r="M17" i="12" a="1"/>
  <c r="L32" i="12" a="1"/>
  <c r="N62" i="12" a="1"/>
  <c r="M101" i="12" a="1"/>
  <c r="N139" i="12" a="1"/>
  <c r="N14" i="12" a="1"/>
  <c r="N130" i="12" a="1"/>
  <c r="M30" i="12" a="1"/>
  <c r="M92" i="12" a="1"/>
  <c r="L130" i="12" a="1"/>
  <c r="M74" i="12" a="1"/>
  <c r="L68" i="12" a="1"/>
  <c r="L71" i="12" a="1"/>
  <c r="N138" i="12" a="1"/>
  <c r="N12" i="12" a="1"/>
  <c r="N33" i="12" a="1"/>
  <c r="L21" i="12" a="1"/>
  <c r="M138" i="12" a="1"/>
  <c r="M41" i="12" a="1"/>
  <c r="M7" i="12" a="1"/>
  <c r="L57" i="12" a="1"/>
  <c r="L10" i="12" a="1"/>
  <c r="N56" i="12" a="1"/>
  <c r="M71" i="12" a="1"/>
  <c r="L85" i="12" a="1"/>
  <c r="M64" i="12" a="1"/>
  <c r="M21" i="12" a="1"/>
  <c r="M126" i="12" a="1"/>
  <c r="M84" i="12" a="1"/>
  <c r="M58" i="12" a="1"/>
  <c r="M109" i="12" a="1"/>
  <c r="L19" i="12" a="1"/>
  <c r="N110" i="12" a="1"/>
  <c r="L103" i="12" a="1"/>
  <c r="L146" i="12" a="1"/>
  <c r="N133" i="12" a="1"/>
  <c r="M70" i="12" a="1"/>
  <c r="L113" i="12" a="1"/>
  <c r="L76" i="12" a="1"/>
  <c r="M49" i="12" a="1"/>
  <c r="M113" i="12" a="1"/>
  <c r="M118" i="12" a="1"/>
  <c r="N113" i="12" a="1"/>
  <c r="N87" i="12" a="1"/>
  <c r="N43" i="12" a="1"/>
  <c r="L97" i="12" a="1"/>
  <c r="N109" i="12" a="1"/>
  <c r="M128" i="12" a="1"/>
  <c r="L134" i="12" a="1"/>
  <c r="M96" i="12" a="1"/>
  <c r="M95" i="12" a="1"/>
  <c r="M132" i="12" a="1"/>
  <c r="M104" i="12" a="1"/>
  <c r="M10" i="12" a="1"/>
  <c r="L63" i="12" a="1"/>
  <c r="N19" i="12" a="1"/>
  <c r="M51" i="12" a="1"/>
  <c r="M93" i="12" a="1"/>
  <c r="M131" i="12" a="1"/>
  <c r="L27" i="12" a="1"/>
  <c r="N9" i="12" a="1"/>
  <c r="M14" i="12" a="1"/>
  <c r="L13" i="12" a="1"/>
  <c r="M136" i="12" a="1"/>
  <c r="M38" i="12" a="1"/>
  <c r="L147" i="12" a="1"/>
  <c r="M75" i="12" a="1"/>
  <c r="L77" i="12" a="1"/>
  <c r="L36" i="12" a="1"/>
  <c r="M142" i="12" a="1"/>
  <c r="N91" i="12" a="1"/>
  <c r="M32" i="12" a="1"/>
  <c r="M9" i="12" a="1"/>
  <c r="M43" i="12" a="1"/>
  <c r="M135" i="12" a="1"/>
  <c r="N116" i="12" a="1"/>
  <c r="M108" i="12" a="1"/>
  <c r="M28" i="12" a="1"/>
  <c r="N35" i="12" a="1"/>
  <c r="N63" i="12" a="1"/>
  <c r="M45" i="12" a="1"/>
  <c r="M11" i="12" a="1"/>
  <c r="N106" i="12" a="1"/>
  <c r="L49" i="12" a="1"/>
  <c r="N115" i="12" a="1"/>
  <c r="M15" i="12" a="1"/>
  <c r="N136" i="12" a="1"/>
  <c r="L95" i="12" a="1"/>
  <c r="N86" i="12" a="1"/>
  <c r="N142" i="12" a="1"/>
  <c r="L82" i="12" a="1"/>
  <c r="N98" i="12" a="1"/>
  <c r="L42" i="12" a="1"/>
  <c r="M76" i="12" a="1"/>
  <c r="N124" i="12" a="1"/>
  <c r="L106" i="12" a="1"/>
  <c r="L96" i="12" a="1"/>
  <c r="L62" i="12" a="1"/>
  <c r="L92" i="12" a="1"/>
  <c r="M98" i="12" a="1"/>
  <c r="N137" i="12" a="1"/>
  <c r="M36" i="12" a="1"/>
  <c r="L125" i="12" a="1"/>
  <c r="L24" i="12" a="1"/>
  <c r="L120" i="12" a="1"/>
  <c r="M39" i="12" a="1"/>
  <c r="N122" i="12" a="1"/>
  <c r="M20" i="12" a="1"/>
  <c r="L46" i="12" a="1"/>
  <c r="L137" i="12" a="1"/>
  <c r="N27" i="12" a="1"/>
  <c r="M106" i="12" a="1"/>
  <c r="L89" i="12" a="1"/>
  <c r="L70" i="12" a="1"/>
  <c r="N88" i="12" a="1"/>
  <c r="M87" i="12" a="1"/>
  <c r="M89" i="12" a="1"/>
  <c r="N99" i="12" a="1"/>
  <c r="N36" i="12" a="1"/>
  <c r="N93" i="12" a="1"/>
  <c r="M79" i="12" a="1"/>
  <c r="M146" i="12" a="1"/>
  <c r="N31" i="12" a="1"/>
  <c r="L79" i="12" a="1"/>
  <c r="L104" i="12" a="1"/>
  <c r="L53" i="12" a="1"/>
  <c r="M25" i="12" a="1"/>
  <c r="M48" i="12" a="1"/>
  <c r="L83" i="12" a="1"/>
  <c r="N134" i="12" a="1"/>
  <c r="N55" i="12" a="1"/>
  <c r="M80" i="12" a="1"/>
  <c r="M99" i="12" a="1"/>
  <c r="L28" i="12" a="1"/>
  <c r="N123" i="12" a="1"/>
  <c r="M46" i="12" a="1"/>
  <c r="M116" i="12" a="1"/>
  <c r="M129" i="12" a="1"/>
  <c r="N64" i="12" a="1"/>
  <c r="M100" i="12" a="1"/>
  <c r="N75" i="12" a="1"/>
  <c r="L99" i="12" a="1"/>
  <c r="M33" i="12" a="1"/>
  <c r="M94" i="12" a="1"/>
  <c r="L65" i="12" a="1"/>
  <c r="M13" i="12" a="1"/>
  <c r="L11" i="12" a="1"/>
  <c r="M23" i="12" a="1"/>
  <c r="M47" i="12" a="1"/>
  <c r="L121" i="12" a="1"/>
  <c r="L144" i="12" a="1"/>
  <c r="L37" i="12" a="1"/>
  <c r="N76" i="12" a="1"/>
  <c r="M134" i="12" a="1"/>
  <c r="N70" i="12" a="1"/>
  <c r="N65" i="12" a="1"/>
  <c r="M86" i="12" a="1"/>
  <c r="M77" i="12" a="1"/>
  <c r="N25" i="12" a="1"/>
  <c r="N59" i="12" a="1"/>
  <c r="L111" i="12" a="1"/>
  <c r="L51" i="12" a="1"/>
  <c r="L35" i="12" a="1"/>
  <c r="M26" i="12" a="1"/>
  <c r="N92" i="12" a="1"/>
  <c r="N121" i="12" a="1"/>
  <c r="N81" i="12" a="1"/>
  <c r="M122" i="12" a="1"/>
  <c r="L110" i="12" a="1"/>
  <c r="F7" i="12" a="1"/>
  <c r="N51" i="12" a="1"/>
  <c r="M63" i="12" a="1"/>
  <c r="N53" i="12" a="1"/>
  <c r="M107" i="12" a="1"/>
  <c r="M22" i="12" a="1"/>
  <c r="L64" i="12" a="1"/>
  <c r="L41" i="12" a="1"/>
  <c r="N69" i="12" a="1"/>
  <c r="N105" i="12" a="1"/>
  <c r="M83" i="12" a="1"/>
  <c r="N61" i="12" a="1"/>
  <c r="L80" i="12" a="1"/>
  <c r="M125" i="12" a="1"/>
  <c r="N95" i="12" a="1"/>
  <c r="N144" i="12" a="1"/>
  <c r="L81" i="12" a="1"/>
  <c r="L56" i="12" a="1"/>
  <c r="L15" i="12" a="1"/>
  <c r="M90" i="12" a="1"/>
  <c r="L61" i="12" a="1"/>
  <c r="M66" i="12" a="1"/>
  <c r="L126" i="12" a="1"/>
  <c r="M34" i="12" a="1"/>
  <c r="L34" i="12" a="1"/>
  <c r="N129" i="12" a="1"/>
  <c r="L101" i="12" a="1"/>
  <c r="M114" i="12" a="1"/>
  <c r="L72" i="12" a="1"/>
  <c r="M53" i="12" a="1"/>
  <c r="N103" i="12" a="1"/>
  <c r="M112" i="12" a="1"/>
  <c r="N112" i="12" a="1"/>
  <c r="L58" i="12" a="1"/>
  <c r="M37" i="12" a="1"/>
  <c r="M97" i="12" a="1"/>
  <c r="N44" i="12" a="1"/>
  <c r="L7" i="12" a="1"/>
  <c r="L39" i="12" a="1"/>
  <c r="L139" i="12" a="1"/>
  <c r="L25" i="12" a="1"/>
  <c r="M130" i="12" a="1"/>
  <c r="M137" i="12" a="1"/>
  <c r="L107" i="12" a="1"/>
  <c r="M35" i="12" a="1"/>
  <c r="L141" i="12" a="1"/>
  <c r="M110" i="12" a="1"/>
  <c r="L23" i="12" a="1"/>
  <c r="N97" i="12" a="1"/>
  <c r="N89" i="12" a="1"/>
  <c r="N13" i="12" a="1"/>
  <c r="L129" i="12" a="1"/>
  <c r="N52" i="12" a="1"/>
  <c r="L102" i="12" a="1"/>
  <c r="L114" i="12" a="1"/>
  <c r="L14" i="12" a="1"/>
  <c r="M57" i="12" a="1"/>
  <c r="L9" i="12" a="1"/>
  <c r="L50" i="12" a="1"/>
  <c r="M140" i="12" a="1"/>
  <c r="N26" i="12" a="1"/>
  <c r="N60" i="12" a="1"/>
  <c r="N23" i="12" a="1"/>
  <c r="L143" i="12" a="1"/>
  <c r="L45" i="12" a="1"/>
  <c r="L98" i="12" a="1"/>
  <c r="L59" i="12" a="1"/>
  <c r="N47" i="12" a="1"/>
  <c r="N96" i="12" a="1"/>
  <c r="N20" i="12" a="1"/>
  <c r="L138" i="12" a="1"/>
  <c r="L90" i="12" a="1"/>
  <c r="N29" i="12" a="1"/>
  <c r="M27" i="12" a="1"/>
  <c r="L12" i="12" a="1"/>
  <c r="L38" i="12" a="1"/>
  <c r="L54" i="12" a="1"/>
  <c r="N8" i="12" a="1"/>
  <c r="N32" i="12" a="1"/>
  <c r="L118" i="12" a="1"/>
  <c r="M67" i="12" a="1"/>
  <c r="L127" i="12" a="1"/>
  <c r="N128" i="12" a="1"/>
  <c r="N46" i="12" a="1"/>
  <c r="N24" i="12" a="1"/>
  <c r="M59" i="12" a="1"/>
  <c r="N94" i="12" a="1"/>
  <c r="L17" i="12" a="1"/>
  <c r="M105" i="12" a="1"/>
  <c r="L74" i="12" a="1"/>
  <c r="N30" i="12" a="1"/>
  <c r="L22" i="12" a="1"/>
  <c r="L20" i="12" a="1"/>
  <c r="L145" i="12" a="1"/>
  <c r="N117" i="12" a="1"/>
  <c r="M127" i="12" a="1"/>
  <c r="L115" i="12" a="1"/>
  <c r="L100" i="12" a="1"/>
  <c r="N101" i="12" a="1"/>
  <c r="M61" i="12" a="1"/>
  <c r="L73" i="12" a="1"/>
  <c r="N7" i="12" a="1"/>
  <c r="N135" i="12" a="1"/>
  <c r="M120" i="12" a="1"/>
  <c r="N15" i="12" a="1"/>
  <c r="M72" i="12" a="1"/>
  <c r="M55" i="12" a="1"/>
  <c r="L135" i="12" a="1"/>
  <c r="L112" i="12" a="1"/>
  <c r="L86" i="12" a="1"/>
  <c r="N108" i="12" a="1"/>
  <c r="N83" i="12" a="1"/>
  <c r="N79" i="12" a="1"/>
  <c r="M18" i="12" a="1"/>
  <c r="N102" i="12" a="1"/>
  <c r="M54" i="12" a="1"/>
  <c r="L69" i="12" a="1"/>
  <c r="N18" i="12" a="1"/>
  <c r="L94" i="12" a="1"/>
  <c r="M91" i="12" a="1"/>
  <c r="M143" i="12" a="1"/>
  <c r="N72" i="12" a="1"/>
  <c r="N74" i="12" a="1"/>
  <c r="N84" i="12" a="1"/>
  <c r="N58" i="12" a="1"/>
  <c r="M117" i="12" a="1"/>
  <c r="M82" i="12" a="1"/>
  <c r="N132" i="12" a="1"/>
  <c r="N38" i="12" a="1"/>
  <c r="L140" i="12" a="1"/>
  <c r="L133" i="12" a="1"/>
  <c r="M40" i="12" a="1"/>
  <c r="M123" i="12" a="1"/>
  <c r="N80" i="12" a="1"/>
  <c r="N41" i="12" a="1"/>
  <c r="N141" i="12" a="1"/>
  <c r="N77" i="12" a="1"/>
  <c r="N67" i="12" a="1"/>
  <c r="M69" i="12" a="1"/>
  <c r="N145" i="12" a="1"/>
  <c r="M60" i="12" a="1"/>
  <c r="M19" i="12" a="1"/>
  <c r="M65" i="12" a="1"/>
  <c r="N11" i="12" a="1"/>
  <c r="N126" i="12" a="1"/>
  <c r="L88" i="12" a="1"/>
  <c r="M124" i="12" a="1"/>
  <c r="L78" i="12" a="1"/>
  <c r="M52" i="12" a="1"/>
  <c r="L75" i="12" a="1"/>
  <c r="N37" i="12" a="1"/>
  <c r="M16" i="12" a="1"/>
  <c r="L131" i="12" a="1"/>
  <c r="L67" i="12" a="1"/>
  <c r="N68" i="12" a="1"/>
  <c r="M111" i="12" a="1"/>
  <c r="N120" i="12" a="1"/>
  <c r="L108" i="12" a="1"/>
  <c r="M88" i="12" a="1"/>
  <c r="N71" i="12" a="1"/>
  <c r="L31" i="12" a="1"/>
  <c r="M144" i="12" a="1"/>
  <c r="L117" i="12" a="1"/>
  <c r="N45" i="12" a="1"/>
  <c r="L43" i="12" a="1"/>
  <c r="M78" i="12" a="1"/>
  <c r="N16" i="12" a="1"/>
  <c r="L119" i="12" a="1"/>
  <c r="L29" i="12" a="1"/>
  <c r="N119" i="12" a="1"/>
  <c r="L136" i="12" a="1"/>
  <c r="M50" i="12" a="1"/>
  <c r="N39" i="12" a="1"/>
  <c r="M68" i="12" a="1"/>
  <c r="N143" i="12" a="1"/>
  <c r="M44" i="12" a="1"/>
  <c r="N147" i="12" a="1"/>
  <c r="M31" i="12" a="1"/>
  <c r="M81" i="12" a="1"/>
  <c r="M85" i="12" a="1"/>
  <c r="N49" i="12" a="1"/>
  <c r="N22" i="12" a="1"/>
  <c r="N104" i="12" a="1"/>
  <c r="N21" i="12" a="1"/>
  <c r="M103" i="12" a="1"/>
  <c r="N140" i="12" a="1"/>
  <c r="N107" i="12" a="1"/>
  <c r="L132" i="12" a="1"/>
  <c r="N54" i="12" a="1"/>
  <c r="N66" i="12" a="1"/>
  <c r="L55" i="12" a="1"/>
  <c r="N82" i="12" a="1"/>
  <c r="L66" i="12" a="1"/>
  <c r="L18" i="12" a="1"/>
  <c r="L8" i="12" a="1"/>
  <c r="L93" i="12" a="1"/>
  <c r="L84" i="12" a="1"/>
  <c r="N73" i="12" a="1"/>
  <c r="M73" i="12" a="1"/>
  <c r="L52" i="12" a="1"/>
  <c r="N111" i="12" a="1"/>
  <c r="L47" i="12" a="1"/>
  <c r="N57" i="12" a="1"/>
  <c r="N85" i="12" a="1"/>
  <c r="L123" i="12" a="1"/>
  <c r="L109" i="12" a="1"/>
  <c r="M115" i="12" a="1"/>
  <c r="L16" i="12" a="1"/>
  <c r="M145" i="12" a="1"/>
  <c r="N131" i="12" a="1"/>
  <c r="L122" i="12" a="1"/>
  <c r="L142" i="12" a="1"/>
  <c r="N34" i="12" a="1"/>
  <c r="L48" i="12" a="1"/>
  <c r="M147" i="12" a="1"/>
  <c r="L105" i="12" a="1"/>
  <c r="M56" i="12" a="1"/>
  <c r="L44" i="12" a="1"/>
  <c r="N146" i="12" a="1"/>
  <c r="M139" i="12" a="1"/>
  <c r="L91" i="12" a="1"/>
  <c r="M133" i="12" a="1"/>
  <c r="N90" i="12" a="1"/>
  <c r="N127" i="12" a="1"/>
  <c r="N10" i="12" a="1"/>
  <c r="M102" i="12" a="1"/>
  <c r="L30" i="12" a="1"/>
  <c r="N50" i="12" a="1"/>
  <c r="N42" i="12" a="1"/>
  <c r="L128" i="12" a="1"/>
  <c r="N78" i="12" a="1"/>
  <c r="L60" i="12" a="1"/>
  <c r="M121" i="12" a="1"/>
  <c r="M141" i="12" a="1"/>
  <c r="L40" i="12" a="1"/>
  <c r="N114" i="12" a="1"/>
  <c r="N40" i="12" a="1"/>
  <c r="L33" i="12" a="1"/>
  <c r="M42" i="12" a="1"/>
  <c r="M24" i="12" a="1"/>
  <c r="N125" i="12" a="1"/>
  <c r="M29" i="12" a="1"/>
  <c r="M119" i="12" a="1"/>
  <c r="L87" i="12" a="1"/>
  <c r="M8" i="12" a="1"/>
  <c r="N48" i="12" a="1"/>
  <c r="N145" i="12" l="1"/>
  <c r="N130" i="12"/>
  <c r="N104" i="12"/>
  <c r="N135" i="12"/>
  <c r="N132" i="12"/>
  <c r="N136" i="12"/>
  <c r="N126" i="12"/>
  <c r="N112" i="12"/>
  <c r="N113" i="12"/>
  <c r="N120" i="12"/>
  <c r="N68" i="12"/>
  <c r="N79" i="12"/>
  <c r="N70" i="12"/>
  <c r="N59" i="12"/>
  <c r="N52" i="12"/>
  <c r="N43" i="12"/>
  <c r="N31" i="12"/>
  <c r="N23" i="12"/>
  <c r="N32" i="12"/>
  <c r="N15" i="12"/>
  <c r="N12" i="12"/>
  <c r="N14" i="12"/>
  <c r="N114" i="12"/>
  <c r="N127" i="12"/>
  <c r="N107" i="12"/>
  <c r="N116" i="12"/>
  <c r="N111" i="12"/>
  <c r="N99" i="12"/>
  <c r="N80" i="12"/>
  <c r="N87" i="12"/>
  <c r="N50" i="12"/>
  <c r="N72" i="12"/>
  <c r="N65" i="12"/>
  <c r="N64" i="12"/>
  <c r="N38" i="12"/>
  <c r="N39" i="12"/>
  <c r="N19" i="12"/>
  <c r="N134" i="12"/>
  <c r="N108" i="12"/>
  <c r="N96" i="12"/>
  <c r="N147" i="12"/>
  <c r="N144" i="12"/>
  <c r="N140" i="12"/>
  <c r="N141" i="12"/>
  <c r="N122" i="12"/>
  <c r="N117" i="12"/>
  <c r="N106" i="12"/>
  <c r="N89" i="12"/>
  <c r="N91" i="12"/>
  <c r="N93" i="12"/>
  <c r="N78" i="12"/>
  <c r="N73" i="12"/>
  <c r="N67" i="12"/>
  <c r="N51" i="12"/>
  <c r="N45" i="12"/>
  <c r="N48" i="12"/>
  <c r="N40" i="12"/>
  <c r="N22" i="12"/>
  <c r="N18" i="12"/>
  <c r="N17" i="12"/>
  <c r="N13" i="12"/>
  <c r="N9" i="12"/>
  <c r="N138" i="12"/>
  <c r="N142" i="12"/>
  <c r="N133" i="12"/>
  <c r="N123" i="12"/>
  <c r="N121" i="12"/>
  <c r="N118" i="12"/>
  <c r="N102" i="12"/>
  <c r="N88" i="12"/>
  <c r="N86" i="12"/>
  <c r="N84" i="12"/>
  <c r="N74" i="12"/>
  <c r="N58" i="12"/>
  <c r="N56" i="12"/>
  <c r="N34" i="12"/>
  <c r="N33" i="12"/>
  <c r="N25" i="12"/>
  <c r="N131" i="12"/>
  <c r="N109" i="12"/>
  <c r="N139" i="12"/>
  <c r="N124" i="12"/>
  <c r="N129" i="12"/>
  <c r="N125" i="12"/>
  <c r="N103" i="12"/>
  <c r="N92" i="12"/>
  <c r="N94" i="12"/>
  <c r="N90" i="12"/>
  <c r="N62" i="12"/>
  <c r="N63" i="12"/>
  <c r="N95" i="12"/>
  <c r="N57" i="12"/>
  <c r="N42" i="12"/>
  <c r="N24" i="12"/>
  <c r="N21" i="12"/>
  <c r="N16" i="12"/>
  <c r="N26" i="12"/>
  <c r="N11" i="12"/>
  <c r="N146" i="12"/>
  <c r="N98" i="12"/>
  <c r="N143" i="12"/>
  <c r="N137" i="12"/>
  <c r="N128" i="12"/>
  <c r="N115" i="12"/>
  <c r="N110" i="12"/>
  <c r="N101" i="12"/>
  <c r="N97" i="12"/>
  <c r="N119" i="12"/>
  <c r="N81" i="12"/>
  <c r="N85" i="12"/>
  <c r="N61" i="12"/>
  <c r="N41" i="12"/>
  <c r="N60" i="12"/>
  <c r="N54" i="12"/>
  <c r="N49" i="12"/>
  <c r="N37" i="12"/>
  <c r="N30" i="12"/>
  <c r="N20" i="12"/>
  <c r="N105" i="12"/>
  <c r="N100" i="12"/>
  <c r="N77" i="12"/>
  <c r="N76" i="12"/>
  <c r="N83" i="12"/>
  <c r="N82" i="12"/>
  <c r="N53" i="12"/>
  <c r="N66" i="12"/>
  <c r="N75" i="12"/>
  <c r="N71" i="12"/>
  <c r="N69" i="12"/>
  <c r="N46" i="12"/>
  <c r="N55" i="12"/>
  <c r="N44" i="12"/>
  <c r="N35" i="12"/>
  <c r="N27" i="12"/>
  <c r="N29" i="12"/>
  <c r="N36" i="12"/>
  <c r="N28" i="12"/>
  <c r="N47" i="12"/>
  <c r="N10" i="12"/>
  <c r="N8" i="12"/>
  <c r="N7" i="12"/>
  <c r="M107" i="12"/>
  <c r="M111" i="12"/>
  <c r="M68" i="12"/>
  <c r="M72" i="12"/>
  <c r="M139" i="12"/>
  <c r="M128" i="12"/>
  <c r="M146" i="12"/>
  <c r="M131" i="12"/>
  <c r="M105" i="12"/>
  <c r="M114" i="12"/>
  <c r="M104" i="12"/>
  <c r="M98" i="12"/>
  <c r="M100" i="12"/>
  <c r="M76" i="12"/>
  <c r="M82" i="12"/>
  <c r="M66" i="12"/>
  <c r="M71" i="12"/>
  <c r="M69" i="12"/>
  <c r="M55" i="12"/>
  <c r="M27" i="12"/>
  <c r="M132" i="12"/>
  <c r="M113" i="12"/>
  <c r="M59" i="12"/>
  <c r="M64" i="12"/>
  <c r="M52" i="12"/>
  <c r="M38" i="12"/>
  <c r="M43" i="12"/>
  <c r="M39" i="12"/>
  <c r="M31" i="12"/>
  <c r="M23" i="12"/>
  <c r="M32" i="12"/>
  <c r="M19" i="12"/>
  <c r="M15" i="12"/>
  <c r="M12" i="12"/>
  <c r="M14" i="12"/>
  <c r="M135" i="12"/>
  <c r="M126" i="12"/>
  <c r="M87" i="12"/>
  <c r="M70" i="12"/>
  <c r="M142" i="12"/>
  <c r="M140" i="12"/>
  <c r="M141" i="12"/>
  <c r="M122" i="12"/>
  <c r="M117" i="12"/>
  <c r="M123" i="12"/>
  <c r="M121" i="12"/>
  <c r="M106" i="12"/>
  <c r="M89" i="12"/>
  <c r="M91" i="12"/>
  <c r="M88" i="12"/>
  <c r="M86" i="12"/>
  <c r="M84" i="12"/>
  <c r="M73" i="12"/>
  <c r="M67" i="12"/>
  <c r="M58" i="12"/>
  <c r="M56" i="12"/>
  <c r="M45" i="12"/>
  <c r="M48" i="12"/>
  <c r="M34" i="12"/>
  <c r="M40" i="12"/>
  <c r="M22" i="12"/>
  <c r="M18" i="12"/>
  <c r="M17" i="12"/>
  <c r="M25" i="12"/>
  <c r="M13" i="12"/>
  <c r="M9" i="12"/>
  <c r="M147" i="12"/>
  <c r="M136" i="12"/>
  <c r="M80" i="12"/>
  <c r="M65" i="12"/>
  <c r="M133" i="12"/>
  <c r="M118" i="12"/>
  <c r="M102" i="12"/>
  <c r="M93" i="12"/>
  <c r="M78" i="12"/>
  <c r="M74" i="12"/>
  <c r="M51" i="12"/>
  <c r="M33" i="12"/>
  <c r="M127" i="12"/>
  <c r="M112" i="12"/>
  <c r="M120" i="12"/>
  <c r="M79" i="12"/>
  <c r="M143" i="12"/>
  <c r="M124" i="12"/>
  <c r="M115" i="12"/>
  <c r="M125" i="12"/>
  <c r="M101" i="12"/>
  <c r="M97" i="12"/>
  <c r="M119" i="12"/>
  <c r="M81" i="12"/>
  <c r="M85" i="12"/>
  <c r="M61" i="12"/>
  <c r="M41" i="12"/>
  <c r="M60" i="12"/>
  <c r="M95" i="12"/>
  <c r="M54" i="12"/>
  <c r="M57" i="12"/>
  <c r="M49" i="12"/>
  <c r="M42" i="12"/>
  <c r="M37" i="12"/>
  <c r="M30" i="12"/>
  <c r="M21" i="12"/>
  <c r="M16" i="12"/>
  <c r="M26" i="12"/>
  <c r="M20" i="12"/>
  <c r="M11" i="12"/>
  <c r="M137" i="12"/>
  <c r="M129" i="12"/>
  <c r="M110" i="12"/>
  <c r="M103" i="12"/>
  <c r="M92" i="12"/>
  <c r="M94" i="12"/>
  <c r="M90" i="12"/>
  <c r="M62" i="12"/>
  <c r="M63" i="12"/>
  <c r="M24" i="12"/>
  <c r="M138" i="12"/>
  <c r="M116" i="12"/>
  <c r="M99" i="12"/>
  <c r="M50" i="12"/>
  <c r="M144" i="12"/>
  <c r="M145" i="12"/>
  <c r="M134" i="12"/>
  <c r="M130" i="12"/>
  <c r="M108" i="12"/>
  <c r="M109" i="12"/>
  <c r="M96" i="12"/>
  <c r="M77" i="12"/>
  <c r="M83" i="12"/>
  <c r="M53" i="12"/>
  <c r="M75" i="12"/>
  <c r="M46" i="12"/>
  <c r="M44" i="12"/>
  <c r="M35" i="12"/>
  <c r="M29" i="12"/>
  <c r="M36" i="12"/>
  <c r="M28" i="12"/>
  <c r="M47" i="12"/>
  <c r="M10" i="12"/>
  <c r="M8" i="12"/>
  <c r="M7" i="12"/>
  <c r="L107" i="12"/>
  <c r="L80" i="12"/>
  <c r="L70" i="12"/>
  <c r="L19" i="12"/>
  <c r="L131" i="12"/>
  <c r="L109" i="12"/>
  <c r="L104" i="12"/>
  <c r="L96" i="12"/>
  <c r="L66" i="12"/>
  <c r="L136" i="12"/>
  <c r="L112" i="12"/>
  <c r="L113" i="12"/>
  <c r="L68" i="12"/>
  <c r="L72" i="12"/>
  <c r="L38" i="12"/>
  <c r="L31" i="12"/>
  <c r="L14" i="12"/>
  <c r="L144" i="12"/>
  <c r="L140" i="12"/>
  <c r="L133" i="12"/>
  <c r="L117" i="12"/>
  <c r="L106" i="12"/>
  <c r="L118" i="12"/>
  <c r="L89" i="12"/>
  <c r="L91" i="12"/>
  <c r="L88" i="12"/>
  <c r="L93" i="12"/>
  <c r="L86" i="12"/>
  <c r="L78" i="12"/>
  <c r="L84" i="12"/>
  <c r="L73" i="12"/>
  <c r="L74" i="12"/>
  <c r="L58" i="12"/>
  <c r="L51" i="12"/>
  <c r="L56" i="12"/>
  <c r="L45" i="12"/>
  <c r="L48" i="12"/>
  <c r="L34" i="12"/>
  <c r="L40" i="12"/>
  <c r="L33" i="12"/>
  <c r="L22" i="12"/>
  <c r="L18" i="12"/>
  <c r="L17" i="12"/>
  <c r="L25" i="12"/>
  <c r="L13" i="12"/>
  <c r="L9" i="12"/>
  <c r="L135" i="12"/>
  <c r="L79" i="12"/>
  <c r="L52" i="12"/>
  <c r="L32" i="12"/>
  <c r="L122" i="12"/>
  <c r="L123" i="12"/>
  <c r="L121" i="12"/>
  <c r="L102" i="12"/>
  <c r="L67" i="12"/>
  <c r="L147" i="12"/>
  <c r="L132" i="12"/>
  <c r="L111" i="12"/>
  <c r="L87" i="12"/>
  <c r="L64" i="12"/>
  <c r="L23" i="12"/>
  <c r="L142" i="12"/>
  <c r="L139" i="12"/>
  <c r="L124" i="12"/>
  <c r="L115" i="12"/>
  <c r="L110" i="12"/>
  <c r="L97" i="12"/>
  <c r="L90" i="12"/>
  <c r="L61" i="12"/>
  <c r="L41" i="12"/>
  <c r="L95" i="12"/>
  <c r="L57" i="12"/>
  <c r="L42" i="12"/>
  <c r="L21" i="12"/>
  <c r="L11" i="12"/>
  <c r="L138" i="12"/>
  <c r="L116" i="12"/>
  <c r="L120" i="12"/>
  <c r="L59" i="12"/>
  <c r="L39" i="12"/>
  <c r="L15" i="12"/>
  <c r="L141" i="12"/>
  <c r="L143" i="12"/>
  <c r="L137" i="12"/>
  <c r="L128" i="12"/>
  <c r="L129" i="12"/>
  <c r="L125" i="12"/>
  <c r="L101" i="12"/>
  <c r="L103" i="12"/>
  <c r="L119" i="12"/>
  <c r="L92" i="12"/>
  <c r="L94" i="12"/>
  <c r="L81" i="12"/>
  <c r="L85" i="12"/>
  <c r="L62" i="12"/>
  <c r="L63" i="12"/>
  <c r="L60" i="12"/>
  <c r="L54" i="12"/>
  <c r="L49" i="12"/>
  <c r="L37" i="12"/>
  <c r="L24" i="12"/>
  <c r="L30" i="12"/>
  <c r="L16" i="12"/>
  <c r="L26" i="12"/>
  <c r="L20" i="12"/>
  <c r="L127" i="12"/>
  <c r="L126" i="12"/>
  <c r="L99" i="12"/>
  <c r="L50" i="12"/>
  <c r="L65" i="12"/>
  <c r="L43" i="12"/>
  <c r="L12" i="12"/>
  <c r="L146" i="12"/>
  <c r="L145" i="12"/>
  <c r="L134" i="12"/>
  <c r="L130" i="12"/>
  <c r="L108" i="12"/>
  <c r="L105" i="12"/>
  <c r="L114" i="12"/>
  <c r="L98" i="12"/>
  <c r="L100" i="12"/>
  <c r="L77" i="12"/>
  <c r="L76" i="12"/>
  <c r="L83" i="12"/>
  <c r="L82" i="12"/>
  <c r="L53" i="12"/>
  <c r="L75" i="12"/>
  <c r="L71" i="12"/>
  <c r="L69" i="12"/>
  <c r="L46" i="12"/>
  <c r="L55" i="12"/>
  <c r="L44" i="12"/>
  <c r="L35" i="12"/>
  <c r="L27" i="12"/>
  <c r="L29" i="12"/>
  <c r="L36" i="12"/>
  <c r="L28" i="12"/>
  <c r="L47" i="12"/>
  <c r="L10" i="12"/>
  <c r="L8" i="12"/>
  <c r="L7" i="12"/>
  <c r="F7" i="12"/>
  <c r="F11" i="12" a="1"/>
  <c r="F11" i="12" l="1"/>
  <c r="F9" i="12" a="1"/>
  <c r="F9" i="12" l="1"/>
  <c r="F14" i="12" a="1"/>
  <c r="F14" i="12" l="1"/>
  <c r="F8" i="12" a="1"/>
  <c r="F8" i="12" l="1"/>
  <c r="F20" i="12" a="1"/>
  <c r="F20" i="12" l="1"/>
  <c r="F13" i="12" a="1"/>
  <c r="F13" i="12" l="1"/>
  <c r="F12" i="12" a="1"/>
  <c r="F12" i="12" l="1"/>
  <c r="F10" i="12" a="1"/>
  <c r="F10" i="12" l="1"/>
  <c r="F26" i="12" a="1"/>
  <c r="F26" i="12" l="1"/>
  <c r="F25" i="12" a="1"/>
  <c r="F25" i="12" l="1"/>
  <c r="F15" i="12" a="1"/>
  <c r="F15" i="12" l="1"/>
  <c r="F47" i="12" a="1"/>
  <c r="F47" i="12" l="1"/>
  <c r="F16" i="12" a="1"/>
  <c r="F16" i="12" l="1"/>
  <c r="F17" i="12" a="1"/>
  <c r="F17" i="12" l="1"/>
  <c r="F19" i="12" a="1"/>
  <c r="F19" i="12" l="1"/>
  <c r="F28" i="12" a="1"/>
  <c r="F28" i="12" l="1"/>
  <c r="F21" i="12" a="1"/>
  <c r="F21" i="12" l="1"/>
  <c r="F18" i="12" a="1"/>
  <c r="F18" i="12" l="1"/>
  <c r="F32" i="12" a="1"/>
  <c r="F32" i="12" l="1"/>
  <c r="F36" i="12" a="1"/>
  <c r="F36" i="12" l="1"/>
  <c r="F30" i="12" a="1"/>
  <c r="F30" i="12" l="1"/>
  <c r="F22" i="12" a="1"/>
  <c r="F22" i="12" l="1"/>
  <c r="F23" i="12" a="1"/>
  <c r="F23" i="12" l="1"/>
  <c r="F29" i="12" a="1"/>
  <c r="F29" i="12" l="1"/>
  <c r="F24" i="12" a="1"/>
  <c r="F24" i="12" l="1"/>
  <c r="F33" i="12" a="1"/>
  <c r="F33" i="12" l="1"/>
  <c r="F31" i="12" a="1"/>
  <c r="F31" i="12" l="1"/>
  <c r="F27" i="12" a="1"/>
  <c r="F27" i="12" l="1"/>
  <c r="F37" i="12" a="1"/>
  <c r="F37" i="12" l="1"/>
  <c r="F40" i="12" a="1"/>
  <c r="F40" i="12" l="1"/>
  <c r="F39" i="12" a="1"/>
  <c r="F39" i="12" l="1"/>
  <c r="F35" i="12" a="1"/>
  <c r="F35" i="12" l="1"/>
  <c r="F42" i="12" a="1"/>
  <c r="F42" i="12" l="1"/>
  <c r="F34" i="12" a="1"/>
  <c r="F34" i="12" l="1"/>
  <c r="F43" i="12" a="1"/>
  <c r="F43" i="12" l="1"/>
  <c r="F44" i="12" a="1"/>
  <c r="F44" i="12" l="1"/>
  <c r="F49" i="12" a="1"/>
  <c r="F49" i="12" l="1"/>
  <c r="F48" i="12" a="1"/>
  <c r="F48" i="12" l="1"/>
  <c r="F38" i="12" a="1"/>
  <c r="F38" i="12" l="1"/>
  <c r="F55" i="12" a="1"/>
  <c r="F55" i="12" l="1"/>
  <c r="F57" i="12" a="1"/>
  <c r="F57" i="12" l="1"/>
  <c r="F45" i="12" a="1"/>
  <c r="F45" i="12" l="1"/>
  <c r="F52" i="12" a="1"/>
  <c r="F52" i="12" l="1"/>
  <c r="F46" i="12" a="1"/>
  <c r="F46" i="12" l="1"/>
  <c r="F54" i="12" a="1"/>
  <c r="F54" i="12" l="1"/>
  <c r="F56" i="12" a="1"/>
  <c r="F56" i="12" l="1"/>
  <c r="F64" i="12" a="1"/>
  <c r="F64" i="12" l="1"/>
  <c r="F69" i="12" a="1"/>
  <c r="F69" i="12" l="1"/>
  <c r="F95" i="12" a="1"/>
  <c r="F95" i="12" l="1"/>
  <c r="F51" i="12" a="1"/>
  <c r="F51" i="12" l="1"/>
  <c r="F59" i="12" a="1"/>
  <c r="F59" i="12" l="1"/>
  <c r="F71" i="12" a="1"/>
  <c r="F71" i="12" l="1"/>
  <c r="F60" i="12" a="1"/>
  <c r="F60" i="12" l="1"/>
  <c r="F58" i="12" a="1"/>
  <c r="F58" i="12" l="1"/>
  <c r="F65" i="12" a="1"/>
  <c r="F65" i="12" l="1"/>
  <c r="F75" i="12" a="1"/>
  <c r="F75" i="12" l="1"/>
  <c r="F63" i="12" a="1"/>
  <c r="F63" i="12" l="1"/>
  <c r="F67" i="12" a="1"/>
  <c r="F67" i="12" l="1"/>
  <c r="F70" i="12" a="1"/>
  <c r="F70" i="12" l="1"/>
  <c r="F66" i="12" a="1"/>
  <c r="F66" i="12" l="1"/>
  <c r="F41" i="12" a="1"/>
  <c r="F41" i="12" l="1"/>
  <c r="F74" i="12" a="1"/>
  <c r="F74" i="12" l="1"/>
  <c r="F72" i="12" a="1"/>
  <c r="F72" i="12" l="1"/>
  <c r="F53" i="12" a="1"/>
  <c r="F53" i="12" l="1"/>
  <c r="F62" i="12" a="1"/>
  <c r="F62" i="12" l="1"/>
  <c r="F73" i="12" a="1"/>
  <c r="F73" i="12" l="1"/>
  <c r="F79" i="12" a="1"/>
  <c r="F79" i="12" l="1"/>
  <c r="F82" i="12" a="1"/>
  <c r="F82" i="12" l="1"/>
  <c r="F61" i="12" a="1"/>
  <c r="F61" i="12" l="1"/>
  <c r="F84" i="12" a="1"/>
  <c r="F84" i="12" l="1"/>
  <c r="F50" i="12" a="1"/>
  <c r="F50" i="12" l="1"/>
  <c r="F83" i="12" a="1"/>
  <c r="F83" i="12" l="1"/>
  <c r="F85" i="12" a="1"/>
  <c r="F85" i="12" l="1"/>
  <c r="F78" i="12" a="1"/>
  <c r="F78" i="12" l="1"/>
  <c r="F76" i="12" a="1"/>
  <c r="F76" i="12" l="1"/>
  <c r="F90" i="12" a="1"/>
  <c r="F90" i="12" l="1"/>
  <c r="F86" i="12" a="1"/>
  <c r="F86" i="12" l="1"/>
  <c r="F87" i="12" a="1"/>
  <c r="F87" i="12" l="1"/>
  <c r="F77" i="12" a="1"/>
  <c r="F77" i="12" l="1"/>
  <c r="F81" i="12" a="1"/>
  <c r="F81" i="12" l="1"/>
  <c r="F93" i="12" a="1"/>
  <c r="F93" i="12" l="1"/>
  <c r="F68" i="12" a="1"/>
  <c r="F68" i="12" l="1"/>
  <c r="F100" i="12" a="1"/>
  <c r="F100" i="12" l="1"/>
  <c r="F94" i="12" a="1"/>
  <c r="F94" i="12" l="1"/>
  <c r="F88" i="12" a="1"/>
  <c r="F88" i="12" l="1"/>
  <c r="F80" i="12" a="1"/>
  <c r="F80" i="12" l="1"/>
  <c r="F91" i="12" a="1"/>
  <c r="F91" i="12" l="1"/>
  <c r="F120" i="12" a="1"/>
  <c r="F120" i="12" l="1"/>
  <c r="F96" i="12" a="1"/>
  <c r="F96" i="12" l="1"/>
  <c r="F92" i="12" a="1"/>
  <c r="F92" i="12" l="1"/>
  <c r="F102" i="12" a="1"/>
  <c r="F102" i="12" l="1"/>
  <c r="F99" i="12" a="1"/>
  <c r="F99" i="12" l="1"/>
  <c r="F98" i="12" a="1"/>
  <c r="F98" i="12" l="1"/>
  <c r="F119" i="12" a="1"/>
  <c r="F119" i="12" l="1"/>
  <c r="F89" i="12" a="1"/>
  <c r="F89" i="12" l="1"/>
  <c r="F113" i="12" a="1"/>
  <c r="F113" i="12" l="1"/>
  <c r="F97" i="12" a="1"/>
  <c r="F97" i="12" l="1"/>
  <c r="F118" i="12" a="1"/>
  <c r="F118" i="12" l="1"/>
  <c r="F104" i="12" a="1"/>
  <c r="F104" i="12" l="1"/>
  <c r="F103" i="12" a="1"/>
  <c r="F103" i="12" l="1"/>
  <c r="F106" i="12" a="1"/>
  <c r="F106" i="12" l="1"/>
  <c r="F111" i="12" a="1"/>
  <c r="F111" i="12" l="1"/>
  <c r="F114" i="12" a="1"/>
  <c r="F114" i="12" l="1"/>
  <c r="F121" i="12" a="1"/>
  <c r="F121" i="12" l="1"/>
  <c r="F112" i="12" a="1"/>
  <c r="F112" i="12" l="1"/>
  <c r="F109" i="12" a="1"/>
  <c r="F109" i="12" l="1"/>
  <c r="F116" i="12" a="1"/>
  <c r="F116" i="12" l="1"/>
  <c r="F105" i="12" a="1"/>
  <c r="F105" i="12" l="1"/>
  <c r="F101" i="12" a="1"/>
  <c r="F101" i="12" l="1"/>
  <c r="F123" i="12" a="1"/>
  <c r="F123" i="12" l="1"/>
  <c r="F126" i="12" a="1"/>
  <c r="F126" i="12" l="1"/>
  <c r="F108" i="12" a="1"/>
  <c r="F108" i="12" l="1"/>
  <c r="F110" i="12" a="1"/>
  <c r="F110" i="12" l="1"/>
  <c r="F107" i="12" a="1"/>
  <c r="F107" i="12" l="1"/>
  <c r="F125" i="12" a="1"/>
  <c r="F125" i="12" l="1"/>
  <c r="F136" i="12" a="1"/>
  <c r="F136" i="12" l="1"/>
  <c r="F130" i="12" a="1"/>
  <c r="F130" i="12" l="1"/>
  <c r="F115" i="12" a="1"/>
  <c r="F115" i="12" l="1"/>
  <c r="F117" i="12" a="1"/>
  <c r="F117" i="12" l="1"/>
  <c r="F132" i="12" a="1"/>
  <c r="F132" i="12" l="1"/>
  <c r="F129" i="12" a="1"/>
  <c r="F129" i="12" l="1"/>
  <c r="F122" i="12" a="1"/>
  <c r="F122" i="12" l="1"/>
  <c r="F127" i="12" a="1"/>
  <c r="F127" i="12" l="1"/>
  <c r="F128" i="12" a="1"/>
  <c r="F128" i="12" l="1"/>
  <c r="F133" i="12" a="1"/>
  <c r="F133" i="12" l="1"/>
  <c r="F138" i="12" a="1"/>
  <c r="F138" i="12" l="1"/>
  <c r="F131" i="12" a="1"/>
  <c r="F131" i="12" l="1"/>
  <c r="F124" i="12" a="1"/>
  <c r="F124" i="12" l="1"/>
  <c r="F141" i="12" a="1"/>
  <c r="F141" i="12" l="1"/>
  <c r="F135" i="12" a="1"/>
  <c r="F135" i="12" l="1"/>
  <c r="F134" i="12" a="1"/>
  <c r="F134" i="12" l="1"/>
  <c r="F137" i="12" a="1"/>
  <c r="F137" i="12" l="1"/>
  <c r="F140" i="12" a="1"/>
  <c r="F140" i="12" l="1"/>
  <c r="F145" i="12" a="1"/>
  <c r="F145" i="12" l="1"/>
  <c r="F139" i="12" a="1"/>
  <c r="F139" i="12" l="1"/>
  <c r="F142" i="12" a="1"/>
  <c r="F142" i="12" l="1"/>
  <c r="F146" i="12" a="1"/>
  <c r="F146" i="12" l="1"/>
  <c r="F143" i="12" a="1"/>
  <c r="F143" i="12" l="1"/>
  <c r="F144" i="12" a="1"/>
  <c r="F144" i="12" l="1"/>
  <c r="F147" i="12" a="1"/>
  <c r="F147" i="12" l="1"/>
  <c r="B147" i="12" l="1"/>
  <c r="B144" i="12"/>
  <c r="B143" i="12"/>
  <c r="B146" i="12"/>
  <c r="B142" i="12"/>
  <c r="B139" i="12"/>
  <c r="B145" i="12"/>
  <c r="B140" i="12"/>
  <c r="B137" i="12"/>
  <c r="B134" i="12"/>
  <c r="B135" i="12"/>
  <c r="B141" i="12"/>
  <c r="B124" i="12"/>
  <c r="B131" i="12"/>
  <c r="B138" i="12"/>
  <c r="B133" i="12"/>
  <c r="B128" i="12"/>
  <c r="B127" i="12"/>
  <c r="B122" i="12"/>
  <c r="B129" i="12"/>
  <c r="B132" i="12"/>
  <c r="B117" i="12"/>
  <c r="B115" i="12"/>
  <c r="B130" i="12"/>
  <c r="B136" i="12"/>
  <c r="B125" i="12"/>
  <c r="B107" i="12"/>
  <c r="B110" i="12"/>
  <c r="B108" i="12"/>
  <c r="B126" i="12"/>
  <c r="B123" i="12"/>
  <c r="B101" i="12"/>
  <c r="B105" i="12"/>
  <c r="B116" i="12"/>
  <c r="B109" i="12"/>
  <c r="B112" i="12"/>
  <c r="B121" i="12"/>
  <c r="B114" i="12"/>
  <c r="B111" i="12"/>
  <c r="B106" i="12"/>
  <c r="B103" i="12"/>
  <c r="B104" i="12"/>
  <c r="B118" i="12"/>
  <c r="B97" i="12"/>
  <c r="B113" i="12"/>
  <c r="B89" i="12"/>
  <c r="B119" i="12"/>
  <c r="B98" i="12"/>
  <c r="B99" i="12"/>
  <c r="B102" i="12"/>
  <c r="B92" i="12"/>
  <c r="B96" i="12"/>
  <c r="B120" i="12"/>
  <c r="B91" i="12"/>
  <c r="B80" i="12"/>
  <c r="B88" i="12"/>
  <c r="B94" i="12"/>
  <c r="B100" i="12"/>
  <c r="B68" i="12"/>
  <c r="B93" i="12"/>
  <c r="B81" i="12"/>
  <c r="B77" i="12"/>
  <c r="B87" i="12"/>
  <c r="B86" i="12"/>
  <c r="B90" i="12"/>
  <c r="B76" i="12"/>
  <c r="B78" i="12"/>
  <c r="B85" i="12"/>
  <c r="B83" i="12"/>
  <c r="B50" i="12"/>
  <c r="B84" i="12"/>
  <c r="B61" i="12"/>
  <c r="B82" i="12"/>
  <c r="B79" i="12"/>
  <c r="B73" i="12"/>
  <c r="B62" i="12"/>
  <c r="B53" i="12"/>
  <c r="B72" i="12"/>
  <c r="B74" i="12"/>
  <c r="B41" i="12"/>
  <c r="B66" i="12"/>
  <c r="B70" i="12"/>
  <c r="B67" i="12"/>
  <c r="B63" i="12"/>
  <c r="B75" i="12"/>
  <c r="B65" i="12"/>
  <c r="B58" i="12"/>
  <c r="B60" i="12"/>
  <c r="B71" i="12"/>
  <c r="B59" i="12"/>
  <c r="B51" i="12"/>
  <c r="B95" i="12"/>
  <c r="B69" i="12"/>
  <c r="B64" i="12"/>
  <c r="B56" i="12"/>
  <c r="B54" i="12"/>
  <c r="B46" i="12"/>
  <c r="B52" i="12"/>
  <c r="B45" i="12"/>
  <c r="B57" i="12"/>
  <c r="B55" i="12"/>
  <c r="B38" i="12"/>
  <c r="B48" i="12"/>
  <c r="B49" i="12"/>
  <c r="B44" i="12"/>
  <c r="B43" i="12"/>
  <c r="B34" i="12"/>
  <c r="B42" i="12"/>
  <c r="B35" i="12"/>
  <c r="B39" i="12"/>
  <c r="B40" i="12"/>
  <c r="B37" i="12"/>
  <c r="B27" i="12"/>
  <c r="B31" i="12"/>
  <c r="B33" i="12"/>
  <c r="B24" i="12"/>
  <c r="B29" i="12"/>
  <c r="B23" i="12"/>
  <c r="B22" i="12"/>
  <c r="B30" i="12"/>
  <c r="B36" i="12"/>
  <c r="B32" i="12"/>
  <c r="B18" i="12"/>
  <c r="B21" i="12"/>
  <c r="B28" i="12"/>
  <c r="B19" i="12"/>
  <c r="B17" i="12"/>
  <c r="B16" i="12"/>
  <c r="B47" i="12"/>
  <c r="B15" i="12"/>
  <c r="B25" i="12"/>
  <c r="B26" i="12"/>
  <c r="B10" i="12"/>
  <c r="B12" i="12"/>
  <c r="B13" i="12"/>
  <c r="B20" i="12"/>
  <c r="B8" i="12"/>
  <c r="B14" i="12"/>
  <c r="B9" i="12"/>
  <c r="B11" i="12"/>
  <c r="B7" i="12"/>
  <c r="H12" i="12" a="1"/>
  <c r="J113" i="12" a="1"/>
  <c r="I104" i="12" a="1"/>
  <c r="H51" i="12" a="1"/>
  <c r="G30" i="12" a="1"/>
  <c r="K83" i="12" a="1"/>
  <c r="K121" i="12" a="1"/>
  <c r="I142" i="12" a="1"/>
  <c r="K79" i="12" a="1"/>
  <c r="K124" i="12" a="1"/>
  <c r="K42" i="12" a="1"/>
  <c r="H116" i="12" a="1"/>
  <c r="J128" i="12" a="1"/>
  <c r="G69" i="12" a="1"/>
  <c r="I46" i="12" a="1"/>
  <c r="H127" i="12" a="1"/>
  <c r="K142" i="12" a="1"/>
  <c r="I106" i="12" a="1"/>
  <c r="K99" i="12" a="1"/>
  <c r="G88" i="12" a="1"/>
  <c r="H98" i="12" a="1"/>
  <c r="J62" i="12" a="1"/>
  <c r="G36" i="12" a="1"/>
  <c r="I102" i="12" a="1"/>
  <c r="J93" i="12" a="1"/>
  <c r="H140" i="12" a="1"/>
  <c r="H24" i="12" a="1"/>
  <c r="H44" i="12" a="1"/>
  <c r="I105" i="12" a="1"/>
  <c r="J24" i="12" a="1"/>
  <c r="K123" i="12" a="1"/>
  <c r="J54" i="12" a="1"/>
  <c r="J142" i="12" a="1"/>
  <c r="J120" i="12" a="1"/>
  <c r="G58" i="12" a="1"/>
  <c r="H36" i="12" a="1"/>
  <c r="J43" i="12" a="1"/>
  <c r="K61" i="12" a="1"/>
  <c r="H38" i="12" a="1"/>
  <c r="J50" i="12" a="1"/>
  <c r="H104" i="12" a="1"/>
  <c r="G45" i="12" a="1"/>
  <c r="K44" i="12" a="1"/>
  <c r="G56" i="12" a="1"/>
  <c r="I11" i="12" a="1"/>
  <c r="I103" i="12" a="1"/>
  <c r="H138" i="12" a="1"/>
  <c r="K115" i="12" a="1"/>
  <c r="I71" i="12" a="1"/>
  <c r="H146" i="12" a="1"/>
  <c r="I86" i="12" a="1"/>
  <c r="I45" i="12" a="1"/>
  <c r="K7" i="12" a="1"/>
  <c r="I95" i="12" a="1"/>
  <c r="G99" i="12" a="1"/>
  <c r="J114" i="12" a="1"/>
  <c r="G60" i="12" a="1"/>
  <c r="I134" i="12" a="1"/>
  <c r="I114" i="12" a="1"/>
  <c r="H48" i="12" a="1"/>
  <c r="H26" i="12" a="1"/>
  <c r="J97" i="12" a="1"/>
  <c r="I33" i="12" a="1"/>
  <c r="K29" i="12" a="1"/>
  <c r="J41" i="12" a="1"/>
  <c r="I144" i="12" a="1"/>
  <c r="G19" i="12" a="1"/>
  <c r="J19" i="12" a="1"/>
  <c r="I52" i="12" a="1"/>
  <c r="I43" i="12" a="1"/>
  <c r="K22" i="12" a="1"/>
  <c r="K102" i="12" a="1"/>
  <c r="I8" i="12" a="1"/>
  <c r="H60" i="12" a="1"/>
  <c r="K41" i="12" a="1"/>
  <c r="K144" i="12" a="1"/>
  <c r="G28" i="12" a="1"/>
  <c r="K119" i="12" a="1"/>
  <c r="K72" i="12" a="1"/>
  <c r="G76" i="12" a="1"/>
  <c r="K30" i="12" a="1"/>
  <c r="K109" i="12" a="1"/>
  <c r="G113" i="12" a="1"/>
  <c r="H128" i="12" a="1"/>
  <c r="J98" i="12" a="1"/>
  <c r="G90" i="12" a="1"/>
  <c r="J72" i="12" a="1"/>
  <c r="H100" i="12" a="1"/>
  <c r="I12" i="12" a="1"/>
  <c r="K11" i="12" a="1"/>
  <c r="I31" i="12" a="1"/>
  <c r="G138" i="12" a="1"/>
  <c r="G92" i="12" a="1"/>
  <c r="H41" i="12" a="1"/>
  <c r="K73" i="12" a="1"/>
  <c r="G146" i="12" a="1"/>
  <c r="K70" i="12" a="1"/>
  <c r="H40" i="12" a="1"/>
  <c r="K77" i="12" a="1"/>
  <c r="J126" i="12" a="1"/>
  <c r="K140" i="12" a="1"/>
  <c r="G41" i="12" a="1"/>
  <c r="J146" i="12" a="1"/>
  <c r="J44" i="12" a="1"/>
  <c r="G111" i="12" a="1"/>
  <c r="I136" i="12" a="1"/>
  <c r="J87" i="12" a="1"/>
  <c r="G61" i="12" a="1"/>
  <c r="H7" i="12" a="1"/>
  <c r="G8" i="12" a="1"/>
  <c r="G142" i="12" a="1"/>
  <c r="K127" i="12" a="1"/>
  <c r="H35" i="12" a="1"/>
  <c r="G89" i="12" a="1"/>
  <c r="H59" i="12" a="1"/>
  <c r="J16" i="12" a="1"/>
  <c r="G141" i="12" a="1"/>
  <c r="I25" i="12" a="1"/>
  <c r="G110" i="12" a="1"/>
  <c r="H101" i="12" a="1"/>
  <c r="J95" i="12" a="1"/>
  <c r="H8" i="12" a="1"/>
  <c r="H13" i="12" a="1"/>
  <c r="I143" i="12" a="1"/>
  <c r="K113" i="12" a="1"/>
  <c r="J21" i="12" a="1"/>
  <c r="G17" i="12" a="1"/>
  <c r="H34" i="12" a="1"/>
  <c r="G42" i="12" a="1"/>
  <c r="I69" i="12" a="1"/>
  <c r="G65" i="12" a="1"/>
  <c r="I94" i="12" a="1"/>
  <c r="J103" i="12" a="1"/>
  <c r="J58" i="12" a="1"/>
  <c r="G117" i="12" a="1"/>
  <c r="J42" i="12" a="1"/>
  <c r="I35" i="12" a="1"/>
  <c r="I77" i="12" a="1"/>
  <c r="H88" i="12" a="1"/>
  <c r="K15" i="12" a="1"/>
  <c r="H54" i="12" a="1"/>
  <c r="J96" i="12" a="1"/>
  <c r="J45" i="12" a="1"/>
  <c r="I78" i="12" a="1"/>
  <c r="J94" i="12" a="1"/>
  <c r="I26" i="12" a="1"/>
  <c r="H136" i="12" a="1"/>
  <c r="H121" i="12" a="1"/>
  <c r="I128" i="12" a="1"/>
  <c r="I29" i="12" a="1"/>
  <c r="K131" i="12" a="1"/>
  <c r="I9" i="12" a="1"/>
  <c r="G105" i="12" a="1"/>
  <c r="K65" i="12" a="1"/>
  <c r="I112" i="12" a="1"/>
  <c r="I91" i="12" a="1"/>
  <c r="K43" i="12" a="1"/>
  <c r="J136" i="12" a="1"/>
  <c r="H118" i="12" a="1"/>
  <c r="H94" i="12" a="1"/>
  <c r="G12" i="12" a="1"/>
  <c r="H39" i="12" a="1"/>
  <c r="H19" i="12" a="1"/>
  <c r="K17" i="12" a="1"/>
  <c r="G118" i="12" a="1"/>
  <c r="H112" i="12" a="1"/>
  <c r="J130" i="12" a="1"/>
  <c r="G130" i="12" a="1"/>
  <c r="K24" i="12" a="1"/>
  <c r="J36" i="12" a="1"/>
  <c r="H17" i="12" a="1"/>
  <c r="K86" i="12" a="1"/>
  <c r="J83" i="12" a="1"/>
  <c r="J60" i="12" a="1"/>
  <c r="K20" i="12" a="1"/>
  <c r="K76" i="12" a="1"/>
  <c r="J64" i="12" a="1"/>
  <c r="I19" i="12" a="1"/>
  <c r="H45" i="12" a="1"/>
  <c r="J137" i="12" a="1"/>
  <c r="H33" i="12" a="1"/>
  <c r="K126" i="12" a="1"/>
  <c r="H89" i="12" a="1"/>
  <c r="J65" i="12" a="1"/>
  <c r="I84" i="12" a="1"/>
  <c r="G54" i="12" a="1"/>
  <c r="K110" i="12" a="1"/>
  <c r="G66" i="12" a="1"/>
  <c r="I41" i="12" a="1"/>
  <c r="I138" i="12" a="1"/>
  <c r="I17" i="12" a="1"/>
  <c r="G134" i="12" a="1"/>
  <c r="G127" i="12" a="1"/>
  <c r="J18" i="12" a="1"/>
  <c r="K62" i="12" a="1"/>
  <c r="J23" i="12" a="1"/>
  <c r="G33" i="12" a="1"/>
  <c r="J139" i="12" a="1"/>
  <c r="H57" i="12" a="1"/>
  <c r="H27" i="12" a="1"/>
  <c r="J20" i="12" a="1"/>
  <c r="G108" i="12" a="1"/>
  <c r="J46" i="12" a="1"/>
  <c r="H106" i="12" a="1"/>
  <c r="K84" i="12" a="1"/>
  <c r="J110" i="12" a="1"/>
  <c r="G102" i="12" a="1"/>
  <c r="H96" i="12" a="1"/>
  <c r="G79" i="12" a="1"/>
  <c r="I79" i="12" a="1"/>
  <c r="I87" i="12" a="1"/>
  <c r="K133" i="12" a="1"/>
  <c r="J25" i="12" a="1"/>
  <c r="J67" i="12" a="1"/>
  <c r="J82" i="12" a="1"/>
  <c r="J123" i="12" a="1"/>
  <c r="H79" i="12" a="1"/>
  <c r="I123" i="12" a="1"/>
  <c r="G83" i="12" a="1"/>
  <c r="G52" i="12" a="1"/>
  <c r="J30" i="12" a="1"/>
  <c r="G44" i="12" a="1"/>
  <c r="K56" i="12" a="1"/>
  <c r="H20" i="12" a="1"/>
  <c r="H28" i="12" a="1"/>
  <c r="J89" i="12" a="1"/>
  <c r="K74" i="12" a="1"/>
  <c r="K39" i="12" a="1"/>
  <c r="H63" i="12" a="1"/>
  <c r="J92" i="12" a="1"/>
  <c r="G22" i="12" a="1"/>
  <c r="J88" i="12" a="1"/>
  <c r="H29" i="12" a="1"/>
  <c r="G94" i="12" a="1"/>
  <c r="G67" i="12" a="1"/>
  <c r="J61" i="12" a="1"/>
  <c r="H110" i="12" a="1"/>
  <c r="H80" i="12" a="1"/>
  <c r="K8" i="12" a="1"/>
  <c r="I113" i="12" a="1"/>
  <c r="J125" i="12" a="1"/>
  <c r="H77" i="12" a="1"/>
  <c r="K129" i="12" a="1"/>
  <c r="I16" i="12" a="1"/>
  <c r="I80" i="12" a="1"/>
  <c r="H70" i="12" a="1"/>
  <c r="K95" i="12" a="1"/>
  <c r="G43" i="12" a="1"/>
  <c r="H119" i="12" a="1"/>
  <c r="H111" i="12" a="1"/>
  <c r="I62" i="12" a="1"/>
  <c r="G114" i="12" a="1"/>
  <c r="K14" i="12" a="1"/>
  <c r="K108" i="12" a="1"/>
  <c r="G24" i="12" a="1"/>
  <c r="I100" i="12" a="1"/>
  <c r="G26" i="12" a="1"/>
  <c r="G125" i="12" a="1"/>
  <c r="G47" i="12" a="1"/>
  <c r="H81" i="12" a="1"/>
  <c r="K107" i="12" a="1"/>
  <c r="I146" i="12" a="1"/>
  <c r="G72" i="12" a="1"/>
  <c r="J144" i="12" a="1"/>
  <c r="G81" i="12" a="1"/>
  <c r="G59" i="12" a="1"/>
  <c r="H62" i="12" a="1"/>
  <c r="K87" i="12" a="1"/>
  <c r="I22" i="12" a="1"/>
  <c r="J121" i="12" a="1"/>
  <c r="J84" i="12" a="1"/>
  <c r="I133" i="12" a="1"/>
  <c r="G55" i="12" a="1"/>
  <c r="I92" i="12" a="1"/>
  <c r="G128" i="12" a="1"/>
  <c r="G85" i="12" a="1"/>
  <c r="G35" i="12" a="1"/>
  <c r="I30" i="12" a="1"/>
  <c r="K134" i="12" a="1"/>
  <c r="H102" i="12" a="1"/>
  <c r="G27" i="12" a="1"/>
  <c r="H76" i="12" a="1"/>
  <c r="H9" i="12" a="1"/>
  <c r="J69" i="12" a="1"/>
  <c r="G96" i="12" a="1"/>
  <c r="K132" i="12" a="1"/>
  <c r="J12" i="12" a="1"/>
  <c r="I23" i="12" a="1"/>
  <c r="H22" i="12" a="1"/>
  <c r="J8" i="12" a="1"/>
  <c r="H115" i="12" a="1"/>
  <c r="K68" i="12" a="1"/>
  <c r="K90" i="12" a="1"/>
  <c r="J85" i="12" a="1"/>
  <c r="G73" i="12" a="1"/>
  <c r="I85" i="12" a="1"/>
  <c r="H65" i="12" a="1"/>
  <c r="H49" i="12" a="1"/>
  <c r="J70" i="12" a="1"/>
  <c r="G103" i="12" a="1"/>
  <c r="G131" i="12" a="1"/>
  <c r="K13" i="12" a="1"/>
  <c r="J17" i="12" a="1"/>
  <c r="H23" i="12" a="1"/>
  <c r="H85" i="12" a="1"/>
  <c r="K58" i="12" a="1"/>
  <c r="G98" i="12" a="1"/>
  <c r="K111" i="12" a="1"/>
  <c r="G53" i="12" a="1"/>
  <c r="K26" i="12" a="1"/>
  <c r="I141" i="12" a="1"/>
  <c r="I32" i="12" a="1"/>
  <c r="H68" i="12" a="1"/>
  <c r="J33" i="12" a="1"/>
  <c r="H18" i="12" a="1"/>
  <c r="G64" i="12" a="1"/>
  <c r="K118" i="12" a="1"/>
  <c r="K57" i="12" a="1"/>
  <c r="K100" i="12" a="1"/>
  <c r="H142" i="12" a="1"/>
  <c r="K146" i="12" a="1"/>
  <c r="H84" i="12" a="1"/>
  <c r="K54" i="12" a="1"/>
  <c r="J59" i="12" a="1"/>
  <c r="G145" i="12" a="1"/>
  <c r="I120" i="12" a="1"/>
  <c r="H72" i="12" a="1"/>
  <c r="H108" i="12" a="1"/>
  <c r="K130" i="12" a="1"/>
  <c r="J75" i="12" a="1"/>
  <c r="I107" i="12" a="1"/>
  <c r="G74" i="12" a="1"/>
  <c r="K103" i="12" a="1"/>
  <c r="H43" i="12" a="1"/>
  <c r="H120" i="12" a="1"/>
  <c r="K93" i="12" a="1"/>
  <c r="H130" i="12" a="1"/>
  <c r="I7" i="12" a="1"/>
  <c r="K97" i="12" a="1"/>
  <c r="J116" i="12" a="1"/>
  <c r="G9" i="12" a="1"/>
  <c r="K147" i="12" a="1"/>
  <c r="I129" i="12" a="1"/>
  <c r="H42" i="12" a="1"/>
  <c r="J129" i="12" a="1"/>
  <c r="H50" i="12" a="1"/>
  <c r="I132" i="12" a="1"/>
  <c r="G57" i="12" a="1"/>
  <c r="K38" i="12" a="1"/>
  <c r="J47" i="12" a="1"/>
  <c r="J10" i="12" a="1"/>
  <c r="H99" i="12" a="1"/>
  <c r="G63" i="12" a="1"/>
  <c r="H91" i="12" a="1"/>
  <c r="H71" i="12" a="1"/>
  <c r="I50" i="12" a="1"/>
  <c r="J105" i="12" a="1"/>
  <c r="J131" i="12" a="1"/>
  <c r="J100" i="12" a="1"/>
  <c r="J101" i="12" a="1"/>
  <c r="H147" i="12" a="1"/>
  <c r="K78" i="12" a="1"/>
  <c r="K9" i="12" a="1"/>
  <c r="K33" i="12" a="1"/>
  <c r="H141" i="12" a="1"/>
  <c r="K10" i="12" a="1"/>
  <c r="J49" i="12" a="1"/>
  <c r="G116" i="12" a="1"/>
  <c r="J81" i="12" a="1"/>
  <c r="K143" i="12" a="1"/>
  <c r="I34" i="12" a="1"/>
  <c r="I88" i="12" a="1"/>
  <c r="J68" i="12" a="1"/>
  <c r="J106" i="12" a="1"/>
  <c r="I59" i="12" a="1"/>
  <c r="I39" i="12" a="1"/>
  <c r="H31" i="12" a="1"/>
  <c r="G51" i="12" a="1"/>
  <c r="G132" i="12" a="1"/>
  <c r="I20" i="12" a="1"/>
  <c r="K139" i="12" a="1"/>
  <c r="J73" i="12" a="1"/>
  <c r="H87" i="12" a="1"/>
  <c r="H82" i="12" a="1"/>
  <c r="H129" i="12" a="1"/>
  <c r="J138" i="12" a="1"/>
  <c r="K67" i="12" a="1"/>
  <c r="K135" i="12" a="1"/>
  <c r="H11" i="12" a="1"/>
  <c r="I75" i="12" a="1"/>
  <c r="G78" i="12" a="1"/>
  <c r="J147" i="12" a="1"/>
  <c r="J31" i="12" a="1"/>
  <c r="J28" i="12" a="1"/>
  <c r="I101" i="12" a="1"/>
  <c r="J37" i="12" a="1"/>
  <c r="K75" i="12" a="1"/>
  <c r="I72" i="12" a="1"/>
  <c r="K66" i="12" a="1"/>
  <c r="J115" i="12" a="1"/>
  <c r="I44" i="12" a="1"/>
  <c r="I36" i="12" a="1"/>
  <c r="K45" i="12" a="1"/>
  <c r="H107" i="12" a="1"/>
  <c r="K28" i="12" a="1"/>
  <c r="K64" i="12" a="1"/>
  <c r="H69" i="12" a="1"/>
  <c r="H131" i="12" a="1"/>
  <c r="I53" i="12" a="1"/>
  <c r="G37" i="12" a="1"/>
  <c r="G16" i="12" a="1"/>
  <c r="G13" i="12" a="1"/>
  <c r="K80" i="12" a="1"/>
  <c r="G97" i="12" a="1"/>
  <c r="J134" i="12" a="1"/>
  <c r="K105" i="12" a="1"/>
  <c r="K81" i="12" a="1"/>
  <c r="H37" i="12" a="1"/>
  <c r="H55" i="12" a="1"/>
  <c r="K46" i="12" a="1"/>
  <c r="J78" i="12" a="1"/>
  <c r="G87" i="12" a="1"/>
  <c r="I135" i="12" a="1"/>
  <c r="J51" i="12" a="1"/>
  <c r="J52" i="12" a="1"/>
  <c r="G100" i="12" a="1"/>
  <c r="K31" i="12" a="1"/>
  <c r="I21" i="12" a="1"/>
  <c r="J109" i="12" a="1"/>
  <c r="H114" i="12" a="1"/>
  <c r="J27" i="12" a="1"/>
  <c r="H10" i="12" a="1"/>
  <c r="I126" i="12" a="1"/>
  <c r="K136" i="12" a="1"/>
  <c r="G29" i="12" a="1"/>
  <c r="H135" i="12" a="1"/>
  <c r="K128" i="12" a="1"/>
  <c r="I10" i="12" a="1"/>
  <c r="J122" i="12" a="1"/>
  <c r="H126" i="12" a="1"/>
  <c r="H83" i="12" a="1"/>
  <c r="J111" i="12" a="1"/>
  <c r="I117" i="12" a="1"/>
  <c r="I119" i="12" a="1"/>
  <c r="G86" i="12" a="1"/>
  <c r="K117" i="12" a="1"/>
  <c r="H113" i="12" a="1"/>
  <c r="J22" i="12" a="1"/>
  <c r="K21" i="12" a="1"/>
  <c r="J86" i="12" a="1"/>
  <c r="G46" i="12" a="1"/>
  <c r="I54" i="12" a="1"/>
  <c r="G143" i="12" a="1"/>
  <c r="K25" i="12" a="1"/>
  <c r="K141" i="12" a="1"/>
  <c r="K34" i="12" a="1"/>
  <c r="G121" i="12" a="1"/>
  <c r="I110" i="12" a="1"/>
  <c r="G21" i="12" a="1"/>
  <c r="G115" i="12" a="1"/>
  <c r="K49" i="12" a="1"/>
  <c r="K104" i="12" a="1"/>
  <c r="G32" i="12" a="1"/>
  <c r="G95" i="12" a="1"/>
  <c r="J104" i="12" a="1"/>
  <c r="K48" i="12" a="1"/>
  <c r="I48" i="12" a="1"/>
  <c r="G77" i="12" a="1"/>
  <c r="I121" i="12" a="1"/>
  <c r="J38" i="12" a="1"/>
  <c r="I28" i="12" a="1"/>
  <c r="G75" i="12" a="1"/>
  <c r="J14" i="12" a="1"/>
  <c r="G91" i="12" a="1"/>
  <c r="I67" i="12" a="1"/>
  <c r="H58" i="12" a="1"/>
  <c r="H74" i="12" a="1"/>
  <c r="G144" i="12" a="1"/>
  <c r="G70" i="12" a="1"/>
  <c r="K32" i="12" a="1"/>
  <c r="G129" i="12" a="1"/>
  <c r="K112" i="12" a="1"/>
  <c r="G106" i="12" a="1"/>
  <c r="I65" i="12" a="1"/>
  <c r="K27" i="12" a="1"/>
  <c r="J132" i="12" a="1"/>
  <c r="J77" i="12" a="1"/>
  <c r="K55" i="12" a="1"/>
  <c r="K116" i="12" a="1"/>
  <c r="I145" i="12" a="1"/>
  <c r="I18" i="12" a="1"/>
  <c r="J108" i="12" a="1"/>
  <c r="K63" i="12" a="1"/>
  <c r="K91" i="12" a="1"/>
  <c r="J140" i="12" a="1"/>
  <c r="H86" i="12" a="1"/>
  <c r="H32" i="12" a="1"/>
  <c r="G68" i="12" a="1"/>
  <c r="J91" i="12" a="1"/>
  <c r="I115" i="12" a="1"/>
  <c r="K94" i="12" a="1"/>
  <c r="I81" i="12" a="1"/>
  <c r="H123" i="12" a="1"/>
  <c r="J53" i="12" a="1"/>
  <c r="G139" i="12" a="1"/>
  <c r="K35" i="12" a="1"/>
  <c r="J112" i="12" a="1"/>
  <c r="H25" i="12" a="1"/>
  <c r="G93" i="12" a="1"/>
  <c r="I57" i="12" a="1"/>
  <c r="G49" i="12" a="1"/>
  <c r="H30" i="12" a="1"/>
  <c r="K40" i="12" a="1"/>
  <c r="I74" i="12" a="1"/>
  <c r="G136" i="12" a="1"/>
  <c r="J127" i="12" a="1"/>
  <c r="H144" i="12" a="1"/>
  <c r="J55" i="12" a="1"/>
  <c r="H75" i="12" a="1"/>
  <c r="K69" i="12" a="1"/>
  <c r="I125" i="12" a="1"/>
  <c r="K53" i="12" a="1"/>
  <c r="I97" i="12" a="1"/>
  <c r="J48" i="12" a="1"/>
  <c r="J35" i="12" a="1"/>
  <c r="I70" i="12" a="1"/>
  <c r="I47" i="12" a="1"/>
  <c r="J34" i="12" a="1"/>
  <c r="G109" i="12" a="1"/>
  <c r="H125" i="12" a="1"/>
  <c r="G119" i="12" a="1"/>
  <c r="K60" i="12" a="1"/>
  <c r="H137" i="12" a="1"/>
  <c r="J9" i="12" a="1"/>
  <c r="H78" i="12" a="1"/>
  <c r="J74" i="12" a="1"/>
  <c r="H64" i="12" a="1"/>
  <c r="G71" i="12" a="1"/>
  <c r="K52" i="12" a="1"/>
  <c r="H97" i="12" a="1"/>
  <c r="J76" i="12" a="1"/>
  <c r="I109" i="12" a="1"/>
  <c r="I90" i="12" a="1"/>
  <c r="G80" i="12" a="1"/>
  <c r="H61" i="12" a="1"/>
  <c r="J26" i="12" a="1"/>
  <c r="H15" i="12" a="1"/>
  <c r="G25" i="12" a="1"/>
  <c r="K138" i="12" a="1"/>
  <c r="H145" i="12" a="1"/>
  <c r="K145" i="12" a="1"/>
  <c r="I42" i="12" a="1"/>
  <c r="G20" i="12" a="1"/>
  <c r="K12" i="12" a="1"/>
  <c r="I140" i="12" a="1"/>
  <c r="I118" i="12" a="1"/>
  <c r="J71" i="12" a="1"/>
  <c r="I139" i="12" a="1"/>
  <c r="K89" i="12" a="1"/>
  <c r="J118" i="12" a="1"/>
  <c r="G107" i="12" a="1"/>
  <c r="G133" i="12" a="1"/>
  <c r="I14" i="12" a="1"/>
  <c r="I116" i="12" a="1"/>
  <c r="I122" i="12" a="1"/>
  <c r="G147" i="12" a="1"/>
  <c r="J135" i="12" a="1"/>
  <c r="I127" i="12" a="1"/>
  <c r="G137" i="12" a="1"/>
  <c r="I73" i="12" a="1"/>
  <c r="J124" i="12" a="1"/>
  <c r="G18" i="12" a="1"/>
  <c r="I68" i="12" a="1"/>
  <c r="H117" i="12" a="1"/>
  <c r="K101" i="12" a="1"/>
  <c r="I37" i="12" a="1"/>
  <c r="H14" i="12" a="1"/>
  <c r="G40" i="12" a="1"/>
  <c r="G62" i="12" a="1"/>
  <c r="I131" i="12" a="1"/>
  <c r="G48" i="12" a="1"/>
  <c r="I83" i="12" a="1"/>
  <c r="J29" i="12" a="1"/>
  <c r="J63" i="12" a="1"/>
  <c r="G112" i="12" a="1"/>
  <c r="K98" i="12" a="1"/>
  <c r="I60" i="12" a="1"/>
  <c r="K92" i="12" a="1"/>
  <c r="I130" i="12" a="1"/>
  <c r="J80" i="12" a="1"/>
  <c r="H90" i="12" a="1"/>
  <c r="K71" i="12" a="1"/>
  <c r="H132" i="12" a="1"/>
  <c r="K23" i="12" a="1"/>
  <c r="J119" i="12" a="1"/>
  <c r="I49" i="12" a="1"/>
  <c r="G34" i="12" a="1"/>
  <c r="I93" i="12" a="1"/>
  <c r="I82" i="12" a="1"/>
  <c r="G7" i="12" a="1"/>
  <c r="I147" i="12" a="1"/>
  <c r="G123" i="12" a="1"/>
  <c r="K50" i="12" a="1"/>
  <c r="I27" i="12" a="1"/>
  <c r="G82" i="12" a="1"/>
  <c r="I61" i="12" a="1"/>
  <c r="I76" i="12" a="1"/>
  <c r="J32" i="12" a="1"/>
  <c r="G14" i="12" a="1"/>
  <c r="I64" i="12" a="1"/>
  <c r="J133" i="12" a="1"/>
  <c r="K47" i="12" a="1"/>
  <c r="I66" i="12" a="1"/>
  <c r="I58" i="12" a="1"/>
  <c r="K19" i="12" a="1"/>
  <c r="H47" i="12" a="1"/>
  <c r="G11" i="12" a="1"/>
  <c r="G122" i="12" a="1"/>
  <c r="G120" i="12" a="1"/>
  <c r="K82" i="12" a="1"/>
  <c r="J90" i="12" a="1"/>
  <c r="J40" i="12" a="1"/>
  <c r="J15" i="12" a="1"/>
  <c r="H109" i="12" a="1"/>
  <c r="H16" i="12" a="1"/>
  <c r="K96" i="12" a="1"/>
  <c r="H139" i="12" a="1"/>
  <c r="H95" i="12" a="1"/>
  <c r="G104" i="12" a="1"/>
  <c r="G140" i="12" a="1"/>
  <c r="K85" i="12" a="1"/>
  <c r="G101" i="12" a="1"/>
  <c r="I40" i="12" a="1"/>
  <c r="K114" i="12" a="1"/>
  <c r="J66" i="12" a="1"/>
  <c r="K120" i="12" a="1"/>
  <c r="I96" i="12" a="1"/>
  <c r="J79" i="12" a="1"/>
  <c r="I13" i="12" a="1"/>
  <c r="I24" i="12" a="1"/>
  <c r="G10" i="12" a="1"/>
  <c r="H134" i="12" a="1"/>
  <c r="H124" i="12" a="1"/>
  <c r="H53" i="12" a="1"/>
  <c r="J143" i="12" a="1"/>
  <c r="G39" i="12" a="1"/>
  <c r="H66" i="12" a="1"/>
  <c r="H133" i="12" a="1"/>
  <c r="G38" i="12" a="1"/>
  <c r="I137" i="12" a="1"/>
  <c r="H103" i="12" a="1"/>
  <c r="H21" i="12" a="1"/>
  <c r="K18" i="12" a="1"/>
  <c r="J145" i="12" a="1"/>
  <c r="H56" i="12" a="1"/>
  <c r="K36" i="12" a="1"/>
  <c r="J11" i="12" a="1"/>
  <c r="J13" i="12" a="1"/>
  <c r="I55" i="12" a="1"/>
  <c r="J107" i="12" a="1"/>
  <c r="J141" i="12" a="1"/>
  <c r="H52" i="12" a="1"/>
  <c r="I38" i="12" a="1"/>
  <c r="H92" i="12" a="1"/>
  <c r="J57" i="12" a="1"/>
  <c r="J99" i="12" a="1"/>
  <c r="H143" i="12" a="1"/>
  <c r="J117" i="12" a="1"/>
  <c r="K51" i="12" a="1"/>
  <c r="G135" i="12" a="1"/>
  <c r="G23" i="12" a="1"/>
  <c r="K88" i="12" a="1"/>
  <c r="I51" i="12" a="1"/>
  <c r="G124" i="12" a="1"/>
  <c r="K122" i="12" a="1"/>
  <c r="G15" i="12" a="1"/>
  <c r="H67" i="12" a="1"/>
  <c r="G50" i="12" a="1"/>
  <c r="G31" i="12" a="1"/>
  <c r="I63" i="12" a="1"/>
  <c r="G84" i="12" a="1"/>
  <c r="J56" i="12" a="1"/>
  <c r="K16" i="12" a="1"/>
  <c r="H73" i="12" a="1"/>
  <c r="I56" i="12" a="1"/>
  <c r="H105" i="12" a="1"/>
  <c r="K106" i="12" a="1"/>
  <c r="I99" i="12" a="1"/>
  <c r="I15" i="12" a="1"/>
  <c r="H46" i="12" a="1"/>
  <c r="I124" i="12" a="1"/>
  <c r="J39" i="12" a="1"/>
  <c r="I89" i="12" a="1"/>
  <c r="K137" i="12" a="1"/>
  <c r="I108" i="12" a="1"/>
  <c r="J102" i="12" a="1"/>
  <c r="H93" i="12" a="1"/>
  <c r="J7" i="12" a="1"/>
  <c r="G126" i="12" a="1"/>
  <c r="I111" i="12" a="1"/>
  <c r="I98" i="12" a="1"/>
  <c r="K125" i="12" a="1"/>
  <c r="H122" i="12" a="1"/>
  <c r="K37" i="12" a="1"/>
  <c r="K59" i="12" a="1"/>
  <c r="J49" i="12" l="1"/>
  <c r="H80" i="12"/>
  <c r="H76" i="12"/>
  <c r="G71" i="12"/>
  <c r="K105" i="12"/>
  <c r="J25" i="12"/>
  <c r="G98" i="12"/>
  <c r="H33" i="12"/>
  <c r="G50" i="12"/>
  <c r="I62" i="12"/>
  <c r="K37" i="12"/>
  <c r="H7" i="12"/>
  <c r="J65" i="12"/>
  <c r="G91" i="12"/>
  <c r="J61" i="12"/>
  <c r="J60" i="12"/>
  <c r="J110" i="12"/>
  <c r="K29" i="12"/>
  <c r="K16" i="12"/>
  <c r="H65" i="12"/>
  <c r="J104" i="12"/>
  <c r="J70" i="12"/>
  <c r="H31" i="12"/>
  <c r="G114" i="12"/>
  <c r="G12" i="12"/>
  <c r="K147" i="12"/>
  <c r="H70" i="12"/>
  <c r="K103" i="12"/>
  <c r="J143" i="12"/>
  <c r="H66" i="12"/>
  <c r="I44" i="12"/>
  <c r="J98" i="12"/>
  <c r="H69" i="12"/>
  <c r="J115" i="12"/>
  <c r="I126" i="12"/>
  <c r="H15" i="12"/>
  <c r="J135" i="12"/>
  <c r="K30" i="12"/>
  <c r="G133" i="12"/>
  <c r="I84" i="12"/>
  <c r="K107" i="12"/>
  <c r="I137" i="12"/>
  <c r="K83" i="12"/>
  <c r="J125" i="12"/>
  <c r="G105" i="12"/>
  <c r="G38" i="12"/>
  <c r="G7" i="12"/>
  <c r="I8" i="12"/>
  <c r="G139" i="12"/>
  <c r="G129" i="12"/>
  <c r="G24" i="12"/>
  <c r="J13" i="12"/>
  <c r="I65" i="12"/>
  <c r="H125" i="12"/>
  <c r="I80" i="12"/>
  <c r="G21" i="12"/>
  <c r="K138" i="12"/>
  <c r="K87" i="12"/>
  <c r="I81" i="12"/>
  <c r="G131" i="12"/>
  <c r="K73" i="12"/>
  <c r="G118" i="12"/>
  <c r="G9" i="12"/>
  <c r="J40" i="12"/>
  <c r="K78" i="12"/>
  <c r="J72" i="12"/>
  <c r="I99" i="12"/>
  <c r="I56" i="12"/>
  <c r="I83" i="12"/>
  <c r="J67" i="12"/>
  <c r="I131" i="12"/>
  <c r="G97" i="12"/>
  <c r="I88" i="12"/>
  <c r="H73" i="12"/>
  <c r="J82" i="12"/>
  <c r="K106" i="12"/>
  <c r="H147" i="12"/>
  <c r="H130" i="12"/>
  <c r="H11" i="12"/>
  <c r="J29" i="12"/>
  <c r="G94" i="12"/>
  <c r="K102" i="12"/>
  <c r="K76" i="12"/>
  <c r="G109" i="12"/>
  <c r="J48" i="12"/>
  <c r="H108" i="12"/>
  <c r="H105" i="12"/>
  <c r="J20" i="12"/>
  <c r="I63" i="12"/>
  <c r="J95" i="12"/>
  <c r="H38" i="12"/>
  <c r="K61" i="12"/>
  <c r="H128" i="12"/>
  <c r="J114" i="12"/>
  <c r="K130" i="12"/>
  <c r="I133" i="12"/>
  <c r="I134" i="12"/>
  <c r="J68" i="12"/>
  <c r="G74" i="12"/>
  <c r="H64" i="12"/>
  <c r="H30" i="12"/>
  <c r="I17" i="12"/>
  <c r="G145" i="12"/>
  <c r="I118" i="12"/>
  <c r="J87" i="12"/>
  <c r="I58" i="12"/>
  <c r="J140" i="12"/>
  <c r="K145" i="12"/>
  <c r="J133" i="12"/>
  <c r="K36" i="12"/>
  <c r="J41" i="12"/>
  <c r="G59" i="12"/>
  <c r="J146" i="12"/>
  <c r="I114" i="12"/>
  <c r="H92" i="12"/>
  <c r="K71" i="12"/>
  <c r="G26" i="12"/>
  <c r="H63" i="12"/>
  <c r="K114" i="12"/>
  <c r="I98" i="12"/>
  <c r="G77" i="12"/>
  <c r="H19" i="12"/>
  <c r="K20" i="12"/>
  <c r="G66" i="12"/>
  <c r="I26" i="12"/>
  <c r="K49" i="12"/>
  <c r="H59" i="12"/>
  <c r="J36" i="12"/>
  <c r="G88" i="12"/>
  <c r="G134" i="12"/>
  <c r="I16" i="12"/>
  <c r="H99" i="12"/>
  <c r="K139" i="12"/>
  <c r="H14" i="12"/>
  <c r="J47" i="12"/>
  <c r="G126" i="12"/>
  <c r="H26" i="12"/>
  <c r="H104" i="12"/>
  <c r="J96" i="12"/>
  <c r="G79" i="12"/>
  <c r="I74" i="12"/>
  <c r="H145" i="12"/>
  <c r="H89" i="12"/>
  <c r="G72" i="12"/>
  <c r="K51" i="12"/>
  <c r="K122" i="12"/>
  <c r="H46" i="12"/>
  <c r="H132" i="12"/>
  <c r="K14" i="12"/>
  <c r="K70" i="12"/>
  <c r="G23" i="12"/>
  <c r="I130" i="12"/>
  <c r="I31" i="12"/>
  <c r="J121" i="12"/>
  <c r="K98" i="12"/>
  <c r="K132" i="12"/>
  <c r="I68" i="12"/>
  <c r="J80" i="12"/>
  <c r="J117" i="12"/>
  <c r="H17" i="12"/>
  <c r="H96" i="12"/>
  <c r="J23" i="12"/>
  <c r="H23" i="12"/>
  <c r="I75" i="12"/>
  <c r="K23" i="12"/>
  <c r="K144" i="12"/>
  <c r="G29" i="12"/>
  <c r="H107" i="12"/>
  <c r="J85" i="12"/>
  <c r="G143" i="12"/>
  <c r="K89" i="12"/>
  <c r="G67" i="12"/>
  <c r="I36" i="12"/>
  <c r="J108" i="12"/>
  <c r="J103" i="12"/>
  <c r="K135" i="12"/>
  <c r="J127" i="12"/>
  <c r="J147" i="12"/>
  <c r="K141" i="12"/>
  <c r="I22" i="12"/>
  <c r="K92" i="12"/>
  <c r="H75" i="12"/>
  <c r="H49" i="12"/>
  <c r="H57" i="12"/>
  <c r="G110" i="12"/>
  <c r="G104" i="12"/>
  <c r="K48" i="12"/>
  <c r="I77" i="12"/>
  <c r="J7" i="12"/>
  <c r="H102" i="12"/>
  <c r="H77" i="12"/>
  <c r="J64" i="12"/>
  <c r="I101" i="12"/>
  <c r="K63" i="12"/>
  <c r="I23" i="12"/>
  <c r="G16" i="12"/>
  <c r="J76" i="12"/>
  <c r="H137" i="12"/>
  <c r="H74" i="12"/>
  <c r="K125" i="12"/>
  <c r="H37" i="12"/>
  <c r="I34" i="12"/>
  <c r="I20" i="12"/>
  <c r="J71" i="12"/>
  <c r="I25" i="12"/>
  <c r="I51" i="12"/>
  <c r="K77" i="12"/>
  <c r="I66" i="12"/>
  <c r="J128" i="12"/>
  <c r="H54" i="12"/>
  <c r="H140" i="12"/>
  <c r="I71" i="12"/>
  <c r="G100" i="12"/>
  <c r="K55" i="12"/>
  <c r="G18" i="12"/>
  <c r="G70" i="12"/>
  <c r="K108" i="12"/>
  <c r="J130" i="12"/>
  <c r="K146" i="12"/>
  <c r="J97" i="12"/>
  <c r="I49" i="12"/>
  <c r="G135" i="12"/>
  <c r="H13" i="12"/>
  <c r="G111" i="12"/>
  <c r="K69" i="12"/>
  <c r="J69" i="12"/>
  <c r="J81" i="12"/>
  <c r="G128" i="12"/>
  <c r="J123" i="12"/>
  <c r="H12" i="12"/>
  <c r="K100" i="12"/>
  <c r="G144" i="12"/>
  <c r="G11" i="12"/>
  <c r="J56" i="12"/>
  <c r="J55" i="12"/>
  <c r="K123" i="12"/>
  <c r="J12" i="12"/>
  <c r="G142" i="12"/>
  <c r="I112" i="12"/>
  <c r="G55" i="12"/>
  <c r="I40" i="12"/>
  <c r="I70" i="12"/>
  <c r="J21" i="12"/>
  <c r="K112" i="12"/>
  <c r="G137" i="12"/>
  <c r="J17" i="12"/>
  <c r="J14" i="12"/>
  <c r="J59" i="12"/>
  <c r="H131" i="12"/>
  <c r="K118" i="12"/>
  <c r="I87" i="12"/>
  <c r="J28" i="12"/>
  <c r="H133" i="12"/>
  <c r="H50" i="12"/>
  <c r="G45" i="12"/>
  <c r="I79" i="12"/>
  <c r="I91" i="12"/>
  <c r="I128" i="12"/>
  <c r="I142" i="12"/>
  <c r="I86" i="12"/>
  <c r="G107" i="12"/>
  <c r="I48" i="12"/>
  <c r="J136" i="12"/>
  <c r="G119" i="12"/>
  <c r="H36" i="12"/>
  <c r="K88" i="12"/>
  <c r="H62" i="12"/>
  <c r="I140" i="12"/>
  <c r="I14" i="12"/>
  <c r="G42" i="12"/>
  <c r="K95" i="12"/>
  <c r="I50" i="12"/>
  <c r="I129" i="12"/>
  <c r="J145" i="12"/>
  <c r="J90" i="12"/>
  <c r="K35" i="12"/>
  <c r="I29" i="12"/>
  <c r="G17" i="12"/>
  <c r="J15" i="12"/>
  <c r="I106" i="12"/>
  <c r="J31" i="12"/>
  <c r="I61" i="12"/>
  <c r="H106" i="12"/>
  <c r="H111" i="12"/>
  <c r="G37" i="12"/>
  <c r="G20" i="12"/>
  <c r="H48" i="12"/>
  <c r="H146" i="12"/>
  <c r="I73" i="12"/>
  <c r="I108" i="12"/>
  <c r="J83" i="12"/>
  <c r="J131" i="12"/>
  <c r="J74" i="12"/>
  <c r="I119" i="12"/>
  <c r="J52" i="12"/>
  <c r="G40" i="12"/>
  <c r="K137" i="12"/>
  <c r="G136" i="12"/>
  <c r="G99" i="12"/>
  <c r="G108" i="12"/>
  <c r="J139" i="12"/>
  <c r="G27" i="12"/>
  <c r="K91" i="12"/>
  <c r="I15" i="12"/>
  <c r="G132" i="12"/>
  <c r="K34" i="12"/>
  <c r="I60" i="12"/>
  <c r="I52" i="12"/>
  <c r="I123" i="12"/>
  <c r="G68" i="12"/>
  <c r="H88" i="12"/>
  <c r="G113" i="12"/>
  <c r="K120" i="12"/>
  <c r="K129" i="12"/>
  <c r="G33" i="12"/>
  <c r="K24" i="12"/>
  <c r="K11" i="12"/>
  <c r="H109" i="12"/>
  <c r="I96" i="12"/>
  <c r="J120" i="12"/>
  <c r="H94" i="12"/>
  <c r="J66" i="12"/>
  <c r="K104" i="12"/>
  <c r="K124" i="12"/>
  <c r="H143" i="12"/>
  <c r="K111" i="12"/>
  <c r="K27" i="12"/>
  <c r="I120" i="12"/>
  <c r="I85" i="12"/>
  <c r="I147" i="12"/>
  <c r="H103" i="12"/>
  <c r="H32" i="12"/>
  <c r="K66" i="12"/>
  <c r="H29" i="12"/>
  <c r="H21" i="12"/>
  <c r="I53" i="12"/>
  <c r="J38" i="12"/>
  <c r="J84" i="12"/>
  <c r="G117" i="12"/>
  <c r="J22" i="12"/>
  <c r="I90" i="12"/>
  <c r="K12" i="12"/>
  <c r="J137" i="12"/>
  <c r="H8" i="12"/>
  <c r="I82" i="12"/>
  <c r="K131" i="12"/>
  <c r="J112" i="12"/>
  <c r="H142" i="12"/>
  <c r="J44" i="12"/>
  <c r="G101" i="12"/>
  <c r="K9" i="12"/>
  <c r="K22" i="12"/>
  <c r="H117" i="12"/>
  <c r="K42" i="12"/>
  <c r="K65" i="12"/>
  <c r="H118" i="12"/>
  <c r="I116" i="12"/>
  <c r="I13" i="12"/>
  <c r="K72" i="12"/>
  <c r="J109" i="12"/>
  <c r="J122" i="12"/>
  <c r="G56" i="12"/>
  <c r="H47" i="12"/>
  <c r="I78" i="12"/>
  <c r="I7" i="12"/>
  <c r="K41" i="12"/>
  <c r="K13" i="12"/>
  <c r="H93" i="12"/>
  <c r="I67" i="12"/>
  <c r="K58" i="12"/>
  <c r="K40" i="12"/>
  <c r="H20" i="12"/>
  <c r="K54" i="12"/>
  <c r="H55" i="12"/>
  <c r="I27" i="12"/>
  <c r="K126" i="12"/>
  <c r="G127" i="12"/>
  <c r="G31" i="12"/>
  <c r="K80" i="12"/>
  <c r="G124" i="12"/>
  <c r="J86" i="12"/>
  <c r="G116" i="12"/>
  <c r="H81" i="12"/>
  <c r="G130" i="12"/>
  <c r="I9" i="12"/>
  <c r="I21" i="12"/>
  <c r="I59" i="12"/>
  <c r="I135" i="12"/>
  <c r="G43" i="12"/>
  <c r="H22" i="12"/>
  <c r="I12" i="12"/>
  <c r="J132" i="12"/>
  <c r="K47" i="12"/>
  <c r="G52" i="12"/>
  <c r="K109" i="12"/>
  <c r="K93" i="12"/>
  <c r="J54" i="12"/>
  <c r="I45" i="12"/>
  <c r="G62" i="12"/>
  <c r="K136" i="12"/>
  <c r="I24" i="12"/>
  <c r="J93" i="12"/>
  <c r="K134" i="12"/>
  <c r="K96" i="12"/>
  <c r="K21" i="12"/>
  <c r="K18" i="12"/>
  <c r="J89" i="12"/>
  <c r="K10" i="12"/>
  <c r="I113" i="12"/>
  <c r="K7" i="12"/>
  <c r="H58" i="12"/>
  <c r="I143" i="12"/>
  <c r="I145" i="12"/>
  <c r="J119" i="12"/>
  <c r="H113" i="12"/>
  <c r="G147" i="12"/>
  <c r="J35" i="12"/>
  <c r="I10" i="12"/>
  <c r="H51" i="12"/>
  <c r="H41" i="12"/>
  <c r="H72" i="12"/>
  <c r="J37" i="12"/>
  <c r="J94" i="12"/>
  <c r="G85" i="12"/>
  <c r="H95" i="12"/>
  <c r="G89" i="12"/>
  <c r="G87" i="12"/>
  <c r="K17" i="12"/>
  <c r="H97" i="12"/>
  <c r="J113" i="12"/>
  <c r="J75" i="12"/>
  <c r="K128" i="12"/>
  <c r="I47" i="12"/>
  <c r="K28" i="12"/>
  <c r="K82" i="12"/>
  <c r="K97" i="12"/>
  <c r="K140" i="12"/>
  <c r="J34" i="12"/>
  <c r="H79" i="12"/>
  <c r="K81" i="12"/>
  <c r="K116" i="12"/>
  <c r="I127" i="12"/>
  <c r="J16" i="12"/>
  <c r="I132" i="12"/>
  <c r="G90" i="12"/>
  <c r="H116" i="12"/>
  <c r="H123" i="12"/>
  <c r="G106" i="12"/>
  <c r="J57" i="12"/>
  <c r="K39" i="12"/>
  <c r="J126" i="12"/>
  <c r="I97" i="12"/>
  <c r="J51" i="12"/>
  <c r="I105" i="12"/>
  <c r="H78" i="12"/>
  <c r="H135" i="12"/>
  <c r="K59" i="12"/>
  <c r="J43" i="12"/>
  <c r="J116" i="12"/>
  <c r="J107" i="12"/>
  <c r="K38" i="12"/>
  <c r="H16" i="12"/>
  <c r="K68" i="12"/>
  <c r="K44" i="12"/>
  <c r="I18" i="12"/>
  <c r="H141" i="12"/>
  <c r="G34" i="12"/>
  <c r="J39" i="12"/>
  <c r="K52" i="12"/>
  <c r="J102" i="12"/>
  <c r="G19" i="12"/>
  <c r="G57" i="12"/>
  <c r="H114" i="12"/>
  <c r="I109" i="12"/>
  <c r="H86" i="12"/>
  <c r="I93" i="12"/>
  <c r="H71" i="12"/>
  <c r="J46" i="12"/>
  <c r="K56" i="12"/>
  <c r="G44" i="12"/>
  <c r="G75" i="12"/>
  <c r="H126" i="12"/>
  <c r="G73" i="12"/>
  <c r="H56" i="12"/>
  <c r="I35" i="12"/>
  <c r="K110" i="12"/>
  <c r="G49" i="12"/>
  <c r="I110" i="12"/>
  <c r="G30" i="12"/>
  <c r="G69" i="12"/>
  <c r="K67" i="12"/>
  <c r="J63" i="12"/>
  <c r="G123" i="12"/>
  <c r="I144" i="12"/>
  <c r="I139" i="12"/>
  <c r="I46" i="12"/>
  <c r="G65" i="12"/>
  <c r="I42" i="12"/>
  <c r="I64" i="12"/>
  <c r="J24" i="12"/>
  <c r="K94" i="12"/>
  <c r="H45" i="12"/>
  <c r="J134" i="12"/>
  <c r="I138" i="12"/>
  <c r="G92" i="12"/>
  <c r="I111" i="12"/>
  <c r="H34" i="12"/>
  <c r="H61" i="12"/>
  <c r="G63" i="12"/>
  <c r="G46" i="12"/>
  <c r="G102" i="12"/>
  <c r="J45" i="12"/>
  <c r="G39" i="12"/>
  <c r="K117" i="12"/>
  <c r="H60" i="12"/>
  <c r="K8" i="12"/>
  <c r="I72" i="12"/>
  <c r="K25" i="12"/>
  <c r="I92" i="12"/>
  <c r="H90" i="12"/>
  <c r="I121" i="12"/>
  <c r="G64" i="12"/>
  <c r="K90" i="12"/>
  <c r="H134" i="12"/>
  <c r="K26" i="12"/>
  <c r="I57" i="12"/>
  <c r="I107" i="12"/>
  <c r="I124" i="12"/>
  <c r="K50" i="12"/>
  <c r="K99" i="12"/>
  <c r="G58" i="12"/>
  <c r="K43" i="12"/>
  <c r="H139" i="12"/>
  <c r="H136" i="12"/>
  <c r="J118" i="12"/>
  <c r="G122" i="12"/>
  <c r="J50" i="12"/>
  <c r="H82" i="12"/>
  <c r="J33" i="12"/>
  <c r="K133" i="12"/>
  <c r="H110" i="12"/>
  <c r="H42" i="12"/>
  <c r="G84" i="12"/>
  <c r="I103" i="12"/>
  <c r="G32" i="12"/>
  <c r="G93" i="12"/>
  <c r="K57" i="12"/>
  <c r="K85" i="12"/>
  <c r="K15" i="12"/>
  <c r="J32" i="12"/>
  <c r="J106" i="12"/>
  <c r="J58" i="12"/>
  <c r="G125" i="12"/>
  <c r="I38" i="12"/>
  <c r="G22" i="12"/>
  <c r="I11" i="12"/>
  <c r="G78" i="12"/>
  <c r="H122" i="12"/>
  <c r="J8" i="12"/>
  <c r="G140" i="12"/>
  <c r="I30" i="12"/>
  <c r="J111" i="12"/>
  <c r="K121" i="12"/>
  <c r="H53" i="12"/>
  <c r="J78" i="12"/>
  <c r="I100" i="12"/>
  <c r="K33" i="12"/>
  <c r="I39" i="12"/>
  <c r="G47" i="12"/>
  <c r="G96" i="12"/>
  <c r="I76" i="12"/>
  <c r="I41" i="12"/>
  <c r="H138" i="12"/>
  <c r="H18" i="12"/>
  <c r="J144" i="12"/>
  <c r="J27" i="12"/>
  <c r="H9" i="12"/>
  <c r="G53" i="12"/>
  <c r="J105" i="12"/>
  <c r="J141" i="12"/>
  <c r="H91" i="12"/>
  <c r="G10" i="12"/>
  <c r="G120" i="12"/>
  <c r="J124" i="12"/>
  <c r="J138" i="12"/>
  <c r="K53" i="12"/>
  <c r="H39" i="12"/>
  <c r="K113" i="12"/>
  <c r="J99" i="12"/>
  <c r="G41" i="12"/>
  <c r="H87" i="12"/>
  <c r="I117" i="12"/>
  <c r="J92" i="12"/>
  <c r="I94" i="12"/>
  <c r="J79" i="12"/>
  <c r="G76" i="12"/>
  <c r="I95" i="12"/>
  <c r="J73" i="12"/>
  <c r="H85" i="12"/>
  <c r="I19" i="12"/>
  <c r="J142" i="12"/>
  <c r="G86" i="12"/>
  <c r="K127" i="12"/>
  <c r="H101" i="12"/>
  <c r="G81" i="12"/>
  <c r="H119" i="12"/>
  <c r="G61" i="12"/>
  <c r="G14" i="12"/>
  <c r="H24" i="12"/>
  <c r="K19" i="12"/>
  <c r="G48" i="12"/>
  <c r="G28" i="12"/>
  <c r="J129" i="12"/>
  <c r="G25" i="12"/>
  <c r="H10" i="12"/>
  <c r="G95" i="12"/>
  <c r="H115" i="12"/>
  <c r="J10" i="12"/>
  <c r="G141" i="12"/>
  <c r="I122" i="12"/>
  <c r="G54" i="12"/>
  <c r="K45" i="12"/>
  <c r="G15" i="12"/>
  <c r="H121" i="12"/>
  <c r="H35" i="12"/>
  <c r="I69" i="12"/>
  <c r="I43" i="12"/>
  <c r="K86" i="12"/>
  <c r="G115" i="12"/>
  <c r="H67" i="12"/>
  <c r="K74" i="12"/>
  <c r="J88" i="12"/>
  <c r="I28" i="12"/>
  <c r="I141" i="12"/>
  <c r="J91" i="12"/>
  <c r="G138" i="12"/>
  <c r="H44" i="12"/>
  <c r="I55" i="12"/>
  <c r="K62" i="12"/>
  <c r="G8" i="12"/>
  <c r="K60" i="12"/>
  <c r="K64" i="12"/>
  <c r="J101" i="12"/>
  <c r="G13" i="12"/>
  <c r="K143" i="12"/>
  <c r="H43" i="12"/>
  <c r="G121" i="12"/>
  <c r="H124" i="12"/>
  <c r="J11" i="12"/>
  <c r="I54" i="12"/>
  <c r="J53" i="12"/>
  <c r="K115" i="12"/>
  <c r="I37" i="12"/>
  <c r="K75" i="12"/>
  <c r="H120" i="12"/>
  <c r="G51" i="12"/>
  <c r="K119" i="12"/>
  <c r="J77" i="12"/>
  <c r="K46" i="12"/>
  <c r="H52" i="12"/>
  <c r="G82" i="12"/>
  <c r="I136" i="12"/>
  <c r="H28" i="12"/>
  <c r="H27" i="12"/>
  <c r="K101" i="12"/>
  <c r="H84" i="12"/>
  <c r="J62" i="12"/>
  <c r="G103" i="12"/>
  <c r="I104" i="12"/>
  <c r="J19" i="12"/>
  <c r="J9" i="12"/>
  <c r="K32" i="12"/>
  <c r="J42" i="12"/>
  <c r="H40" i="12"/>
  <c r="H100" i="12"/>
  <c r="G146" i="12"/>
  <c r="I115" i="12"/>
  <c r="K142" i="12"/>
  <c r="G35" i="12"/>
  <c r="J30" i="12"/>
  <c r="I146" i="12"/>
  <c r="G60" i="12"/>
  <c r="H98" i="12"/>
  <c r="H83" i="12"/>
  <c r="J100" i="12"/>
  <c r="K84" i="12"/>
  <c r="I89" i="12"/>
  <c r="G80" i="12"/>
  <c r="I125" i="12"/>
  <c r="H127" i="12"/>
  <c r="H25" i="12"/>
  <c r="G83" i="12"/>
  <c r="J26" i="12"/>
  <c r="K31" i="12"/>
  <c r="H68" i="12"/>
  <c r="K79" i="12"/>
  <c r="G36" i="12"/>
  <c r="J18" i="12"/>
  <c r="G112" i="12"/>
  <c r="H112" i="12"/>
  <c r="I102" i="12"/>
  <c r="H144" i="12"/>
  <c r="H129" i="12"/>
  <c r="I32" i="12"/>
  <c r="I33" i="12"/>
  <c r="AF142" i="12" l="1" a="1"/>
  <c r="AF142" i="12" s="1"/>
  <c r="AB44" i="12" a="1"/>
  <c r="AB44" i="12" s="1"/>
  <c r="AC104" i="12" a="1"/>
  <c r="AC104" i="12" s="1"/>
  <c r="AE103" i="12" a="1"/>
  <c r="AE103" i="12" s="1"/>
  <c r="AF103" i="12" a="1"/>
  <c r="AF103" i="12" s="1"/>
  <c r="AB103" i="12" a="1"/>
  <c r="AB103" i="12" s="1"/>
  <c r="AC103" i="12" a="1"/>
  <c r="AC103" i="12" s="1"/>
  <c r="AG103" i="12" a="1"/>
  <c r="AG103" i="12" s="1"/>
  <c r="AD103" i="12" a="1"/>
  <c r="AD103" i="12" s="1"/>
  <c r="AF124" i="12" a="1"/>
  <c r="AF124" i="12" s="1"/>
  <c r="AD124" i="12" a="1"/>
  <c r="AD124" i="12" s="1"/>
  <c r="AE124" i="12" a="1"/>
  <c r="AE124" i="12" s="1"/>
  <c r="AC124" i="12" a="1"/>
  <c r="AC124" i="12" s="1"/>
  <c r="AG124" i="12" a="1"/>
  <c r="AG124" i="12" s="1"/>
  <c r="AB124" i="12" a="1"/>
  <c r="AB124" i="12" s="1"/>
  <c r="AE80" i="12" a="1"/>
  <c r="AE80" i="12" s="1"/>
  <c r="AF80" i="12" a="1"/>
  <c r="AF80" i="12" s="1"/>
  <c r="AB80" i="12" a="1"/>
  <c r="AB80" i="12" s="1"/>
  <c r="AC80" i="12" a="1"/>
  <c r="AC80" i="12" s="1"/>
  <c r="AG80" i="12" a="1"/>
  <c r="AG80" i="12" s="1"/>
  <c r="AD80" i="12" a="1"/>
  <c r="AD80" i="12" s="1"/>
  <c r="AB95" i="12" a="1"/>
  <c r="AB95" i="12" s="1"/>
  <c r="AD95" i="12" a="1"/>
  <c r="AD95" i="12" s="1"/>
  <c r="AF95" i="12" a="1"/>
  <c r="AF95" i="12" s="1"/>
  <c r="AG95" i="12" a="1"/>
  <c r="AG95" i="12" s="1"/>
  <c r="AC95" i="12" a="1"/>
  <c r="AC95" i="12" s="1"/>
  <c r="AE95" i="12" a="1"/>
  <c r="AE95" i="12" s="1"/>
  <c r="AF61" i="12" a="1"/>
  <c r="AF61" i="12" s="1"/>
  <c r="AB61" i="12" a="1"/>
  <c r="AB61" i="12" s="1"/>
  <c r="AE61" i="12" a="1"/>
  <c r="AE61" i="12" s="1"/>
  <c r="AD61" i="12" a="1"/>
  <c r="AD61" i="12" s="1"/>
  <c r="AC61" i="12" a="1"/>
  <c r="AC61" i="12" s="1"/>
  <c r="AG61" i="12" a="1"/>
  <c r="AG61" i="12" s="1"/>
  <c r="AC93" i="12" a="1"/>
  <c r="AC93" i="12" s="1"/>
  <c r="AF93" i="12" a="1"/>
  <c r="AF93" i="12" s="1"/>
  <c r="AE93" i="12" a="1"/>
  <c r="AE93" i="12" s="1"/>
  <c r="AD93" i="12" a="1"/>
  <c r="AD93" i="12" s="1"/>
  <c r="AB93" i="12" a="1"/>
  <c r="AB93" i="12" s="1"/>
  <c r="AG93" i="12" a="1"/>
  <c r="AG93" i="12" s="1"/>
  <c r="AD39" i="12" a="1"/>
  <c r="AD39" i="12" s="1"/>
  <c r="AE39" i="12" a="1"/>
  <c r="AE39" i="12" s="1"/>
  <c r="AG39" i="12" a="1"/>
  <c r="AG39" i="12" s="1"/>
  <c r="AC39" i="12" a="1"/>
  <c r="AC39" i="12" s="1"/>
  <c r="AB39" i="12" a="1"/>
  <c r="AB39" i="12" s="1"/>
  <c r="AF39" i="12" a="1"/>
  <c r="AF39" i="12" s="1"/>
  <c r="AE142" i="12" a="1"/>
  <c r="AE142" i="12" s="1"/>
  <c r="AC142" i="12" a="1"/>
  <c r="AC142" i="12" s="1"/>
  <c r="AD142" i="12" a="1"/>
  <c r="AD142" i="12" s="1"/>
  <c r="AB142" i="12" a="1"/>
  <c r="AB142" i="12" s="1"/>
  <c r="AG142" i="12" a="1"/>
  <c r="AG142" i="12" s="1"/>
  <c r="AC16" i="12" a="1"/>
  <c r="AC16" i="12" s="1"/>
  <c r="AE16" i="12" a="1"/>
  <c r="AE16" i="12" s="1"/>
  <c r="AG16" i="12" a="1"/>
  <c r="AG16" i="12" s="1"/>
  <c r="AF16" i="12" a="1"/>
  <c r="AF16" i="12" s="1"/>
  <c r="AB16" i="12" a="1"/>
  <c r="AB16" i="12" s="1"/>
  <c r="AD16" i="12" a="1"/>
  <c r="AD16" i="12" s="1"/>
  <c r="AE50" i="12" a="1"/>
  <c r="AE50" i="12" s="1"/>
  <c r="AG50" i="12" a="1"/>
  <c r="AG50" i="12" s="1"/>
  <c r="AD50" i="12" a="1"/>
  <c r="AD50" i="12" s="1"/>
  <c r="AC50" i="12" a="1"/>
  <c r="AC50" i="12" s="1"/>
  <c r="AB50" i="12" a="1"/>
  <c r="AB50" i="12" s="1"/>
  <c r="AF50" i="12" a="1"/>
  <c r="AF50" i="12" s="1"/>
  <c r="AB121" i="12" a="1"/>
  <c r="AB121" i="12" s="1"/>
  <c r="AD121" i="12" a="1"/>
  <c r="AD121" i="12" s="1"/>
  <c r="AF121" i="12" a="1"/>
  <c r="AF121" i="12" s="1"/>
  <c r="AE121" i="12" a="1"/>
  <c r="AE121" i="12" s="1"/>
  <c r="AC121" i="12" a="1"/>
  <c r="AC121" i="12" s="1"/>
  <c r="AG121" i="12" a="1"/>
  <c r="AG121" i="12" s="1"/>
  <c r="AD122" i="12" a="1"/>
  <c r="AD122" i="12" s="1"/>
  <c r="AC122" i="12" a="1"/>
  <c r="AC122" i="12" s="1"/>
  <c r="AB122" i="12" a="1"/>
  <c r="AB122" i="12" s="1"/>
  <c r="AE122" i="12" a="1"/>
  <c r="AE122" i="12" s="1"/>
  <c r="AG122" i="12" a="1"/>
  <c r="AG122" i="12" s="1"/>
  <c r="AF122" i="12" a="1"/>
  <c r="AF122" i="12" s="1"/>
  <c r="AG123" i="12" a="1"/>
  <c r="AG123" i="12" s="1"/>
  <c r="AE123" i="12" a="1"/>
  <c r="AE123" i="12" s="1"/>
  <c r="AD123" i="12" a="1"/>
  <c r="AD123" i="12" s="1"/>
  <c r="AB123" i="12" a="1"/>
  <c r="AB123" i="12" s="1"/>
  <c r="AF123" i="12" a="1"/>
  <c r="AF123" i="12" s="1"/>
  <c r="AC123" i="12" a="1"/>
  <c r="AC123" i="12" s="1"/>
  <c r="AG62" i="12" a="1"/>
  <c r="AG62" i="12" s="1"/>
  <c r="AB62" i="12" a="1"/>
  <c r="AB62" i="12" s="1"/>
  <c r="AC62" i="12" a="1"/>
  <c r="AC62" i="12" s="1"/>
  <c r="AD62" i="12" a="1"/>
  <c r="AD62" i="12" s="1"/>
  <c r="AE62" i="12" a="1"/>
  <c r="AE62" i="12" s="1"/>
  <c r="AF62" i="12" a="1"/>
  <c r="AF62" i="12" s="1"/>
  <c r="AF31" i="12" a="1"/>
  <c r="AF31" i="12" s="1"/>
  <c r="AC31" i="12" a="1"/>
  <c r="AC31" i="12" s="1"/>
  <c r="AD31" i="12" a="1"/>
  <c r="AD31" i="12" s="1"/>
  <c r="AE31" i="12" a="1"/>
  <c r="AE31" i="12" s="1"/>
  <c r="AB31" i="12" a="1"/>
  <c r="AB31" i="12" s="1"/>
  <c r="AG31" i="12" a="1"/>
  <c r="AG31" i="12" s="1"/>
  <c r="AD128" i="12" a="1"/>
  <c r="AD128" i="12" s="1"/>
  <c r="AB128" i="12" a="1"/>
  <c r="AB128" i="12" s="1"/>
  <c r="AE128" i="12" a="1"/>
  <c r="AE128" i="12" s="1"/>
  <c r="AG128" i="12" a="1"/>
  <c r="AG128" i="12" s="1"/>
  <c r="AC128" i="12" a="1"/>
  <c r="AC128" i="12" s="1"/>
  <c r="AF128" i="12" a="1"/>
  <c r="AF128" i="12" s="1"/>
  <c r="AC97" i="12" a="1"/>
  <c r="AC97" i="12" s="1"/>
  <c r="AF97" i="12" a="1"/>
  <c r="AF97" i="12" s="1"/>
  <c r="AE97" i="12" a="1"/>
  <c r="AE97" i="12" s="1"/>
  <c r="AD97" i="12" a="1"/>
  <c r="AD97" i="12" s="1"/>
  <c r="AB97" i="12" a="1"/>
  <c r="AB97" i="12" s="1"/>
  <c r="AG97" i="12" a="1"/>
  <c r="AG97" i="12" s="1"/>
  <c r="AC24" i="12" a="1"/>
  <c r="AC24" i="12" s="1"/>
  <c r="AG24" i="12" a="1"/>
  <c r="AG24" i="12" s="1"/>
  <c r="AF24" i="12" a="1"/>
  <c r="AF24" i="12" s="1"/>
  <c r="AB24" i="12" a="1"/>
  <c r="AB24" i="12" s="1"/>
  <c r="AD24" i="12" a="1"/>
  <c r="AD24" i="12" s="1"/>
  <c r="AE24" i="12" a="1"/>
  <c r="AE24" i="12" s="1"/>
  <c r="AD36" i="12" a="1"/>
  <c r="AD36" i="12" s="1"/>
  <c r="AE36" i="12" a="1"/>
  <c r="AE36" i="12" s="1"/>
  <c r="AF36" i="12" a="1"/>
  <c r="AF36" i="12" s="1"/>
  <c r="AC36" i="12" a="1"/>
  <c r="AC36" i="12" s="1"/>
  <c r="AB36" i="12" a="1"/>
  <c r="AB36" i="12" s="1"/>
  <c r="AG36" i="12" a="1"/>
  <c r="AG36" i="12" s="1"/>
  <c r="AE146" i="12" a="1"/>
  <c r="AE146" i="12" s="1"/>
  <c r="AC146" i="12" a="1"/>
  <c r="AC146" i="12" s="1"/>
  <c r="AF146" i="12" a="1"/>
  <c r="AF146" i="12" s="1"/>
  <c r="AB146" i="12" a="1"/>
  <c r="AB146" i="12" s="1"/>
  <c r="AD146" i="12" a="1"/>
  <c r="AD146" i="12" s="1"/>
  <c r="AG146" i="12" a="1"/>
  <c r="AG146" i="12" s="1"/>
  <c r="AC138" i="12" a="1"/>
  <c r="AC138" i="12" s="1"/>
  <c r="AB138" i="12" a="1"/>
  <c r="AB138" i="12" s="1"/>
  <c r="AE138" i="12" a="1"/>
  <c r="AE138" i="12" s="1"/>
  <c r="AG138" i="12" a="1"/>
  <c r="AG138" i="12" s="1"/>
  <c r="AF138" i="12" a="1"/>
  <c r="AF138" i="12" s="1"/>
  <c r="AD138" i="12" a="1"/>
  <c r="AD138" i="12" s="1"/>
  <c r="AG25" i="12" a="1"/>
  <c r="AG25" i="12" s="1"/>
  <c r="AD25" i="12" a="1"/>
  <c r="AD25" i="12" s="1"/>
  <c r="AC25" i="12" a="1"/>
  <c r="AC25" i="12" s="1"/>
  <c r="AE25" i="12" a="1"/>
  <c r="AE25" i="12" s="1"/>
  <c r="AF25" i="12" a="1"/>
  <c r="AF25" i="12" s="1"/>
  <c r="AB25" i="12" a="1"/>
  <c r="AB25" i="12" s="1"/>
  <c r="AD102" i="12" a="1"/>
  <c r="AD102" i="12" s="1"/>
  <c r="AG102" i="12" a="1"/>
  <c r="AG102" i="12" s="1"/>
  <c r="AC102" i="12" a="1"/>
  <c r="AC102" i="12" s="1"/>
  <c r="AF102" i="12" a="1"/>
  <c r="AF102" i="12" s="1"/>
  <c r="AE102" i="12" a="1"/>
  <c r="AE102" i="12" s="1"/>
  <c r="AB102" i="12" a="1"/>
  <c r="AB102" i="12" s="1"/>
  <c r="AB57" i="12" a="1"/>
  <c r="AB57" i="12" s="1"/>
  <c r="AC57" i="12" a="1"/>
  <c r="AC57" i="12" s="1"/>
  <c r="AD57" i="12" a="1"/>
  <c r="AD57" i="12" s="1"/>
  <c r="AG57" i="12" a="1"/>
  <c r="AG57" i="12" s="1"/>
  <c r="AE57" i="12" a="1"/>
  <c r="AE57" i="12" s="1"/>
  <c r="AF57" i="12" a="1"/>
  <c r="AF57" i="12" s="1"/>
  <c r="AF43" i="12" a="1"/>
  <c r="AF43" i="12" s="1"/>
  <c r="AG43" i="12" a="1"/>
  <c r="AG43" i="12" s="1"/>
  <c r="AB43" i="12" a="1"/>
  <c r="AB43" i="12" s="1"/>
  <c r="AE43" i="12" a="1"/>
  <c r="AE43" i="12" s="1"/>
  <c r="AD43" i="12" a="1"/>
  <c r="AD43" i="12" s="1"/>
  <c r="AC43" i="12" a="1"/>
  <c r="AC43" i="12" s="1"/>
  <c r="AE127" i="12" a="1"/>
  <c r="AE127" i="12" s="1"/>
  <c r="AF127" i="12" a="1"/>
  <c r="AF127" i="12" s="1"/>
  <c r="AG127" i="12" a="1"/>
  <c r="AG127" i="12" s="1"/>
  <c r="AB127" i="12" a="1"/>
  <c r="AB127" i="12" s="1"/>
  <c r="AC127" i="12" a="1"/>
  <c r="AC127" i="12" s="1"/>
  <c r="AD127" i="12" a="1"/>
  <c r="AD127" i="12" s="1"/>
  <c r="AE113" i="12" a="1"/>
  <c r="AE113" i="12" s="1"/>
  <c r="AG113" i="12" a="1"/>
  <c r="AG113" i="12" s="1"/>
  <c r="AD113" i="12" a="1"/>
  <c r="AD113" i="12" s="1"/>
  <c r="AB113" i="12" a="1"/>
  <c r="AB113" i="12" s="1"/>
  <c r="AC113" i="12" a="1"/>
  <c r="AC113" i="12" s="1"/>
  <c r="AF113" i="12" a="1"/>
  <c r="AF113" i="12" s="1"/>
  <c r="AE108" i="12" a="1"/>
  <c r="AE108" i="12" s="1"/>
  <c r="AF108" i="12" a="1"/>
  <c r="AF108" i="12" s="1"/>
  <c r="AD108" i="12" a="1"/>
  <c r="AD108" i="12" s="1"/>
  <c r="AC108" i="12" a="1"/>
  <c r="AC108" i="12" s="1"/>
  <c r="AG108" i="12" a="1"/>
  <c r="AG108" i="12" s="1"/>
  <c r="AB108" i="12" a="1"/>
  <c r="AB108" i="12" s="1"/>
  <c r="AG17" i="12" a="1"/>
  <c r="AG17" i="12" s="1"/>
  <c r="AC17" i="12" a="1"/>
  <c r="AC17" i="12" s="1"/>
  <c r="AE17" i="12" a="1"/>
  <c r="AE17" i="12" s="1"/>
  <c r="AF17" i="12" a="1"/>
  <c r="AF17" i="12" s="1"/>
  <c r="AB17" i="12" a="1"/>
  <c r="AB17" i="12" s="1"/>
  <c r="AD17" i="12" a="1"/>
  <c r="AD17" i="12" s="1"/>
  <c r="AC70" i="12" a="1"/>
  <c r="AC70" i="12" s="1"/>
  <c r="AD70" i="12" a="1"/>
  <c r="AD70" i="12" s="1"/>
  <c r="AE70" i="12" a="1"/>
  <c r="AE70" i="12" s="1"/>
  <c r="AF70" i="12" a="1"/>
  <c r="AF70" i="12" s="1"/>
  <c r="AG70" i="12" a="1"/>
  <c r="AG70" i="12" s="1"/>
  <c r="AB70" i="12" a="1"/>
  <c r="AB70" i="12" s="1"/>
  <c r="AD29" i="12" a="1"/>
  <c r="AD29" i="12" s="1"/>
  <c r="AF29" i="12" a="1"/>
  <c r="AF29" i="12" s="1"/>
  <c r="AC29" i="12" a="1"/>
  <c r="AC29" i="12" s="1"/>
  <c r="AE29" i="12" a="1"/>
  <c r="AE29" i="12" s="1"/>
  <c r="AB29" i="12" a="1"/>
  <c r="AB29" i="12" s="1"/>
  <c r="AG29" i="12" a="1"/>
  <c r="AG29" i="12" s="1"/>
  <c r="AE66" i="12" a="1"/>
  <c r="AE66" i="12" s="1"/>
  <c r="AF66" i="12" a="1"/>
  <c r="AF66" i="12" s="1"/>
  <c r="AB66" i="12" a="1"/>
  <c r="AB66" i="12" s="1"/>
  <c r="AG66" i="12" a="1"/>
  <c r="AG66" i="12" s="1"/>
  <c r="AC66" i="12" a="1"/>
  <c r="AC66" i="12" s="1"/>
  <c r="AD66" i="12" a="1"/>
  <c r="AD66" i="12" s="1"/>
  <c r="AB131" i="12" a="1"/>
  <c r="AB131" i="12" s="1"/>
  <c r="AE131" i="12" a="1"/>
  <c r="AE131" i="12" s="1"/>
  <c r="AC131" i="12" a="1"/>
  <c r="AC131" i="12" s="1"/>
  <c r="AF131" i="12" a="1"/>
  <c r="AF131" i="12" s="1"/>
  <c r="AG131" i="12" a="1"/>
  <c r="AG131" i="12" s="1"/>
  <c r="AD131" i="12" a="1"/>
  <c r="AD131" i="12" s="1"/>
  <c r="AE129" i="12" a="1"/>
  <c r="AE129" i="12" s="1"/>
  <c r="AB129" i="12" a="1"/>
  <c r="AB129" i="12" s="1"/>
  <c r="AF129" i="12" a="1"/>
  <c r="AF129" i="12" s="1"/>
  <c r="AD129" i="12" a="1"/>
  <c r="AD129" i="12" s="1"/>
  <c r="AC129" i="12" a="1"/>
  <c r="AC129" i="12" s="1"/>
  <c r="AG129" i="12" a="1"/>
  <c r="AG129" i="12" s="1"/>
  <c r="AC133" i="12" a="1"/>
  <c r="AC133" i="12" s="1"/>
  <c r="AF133" i="12" a="1"/>
  <c r="AF133" i="12" s="1"/>
  <c r="AD133" i="12" a="1"/>
  <c r="AD133" i="12" s="1"/>
  <c r="AB133" i="12" a="1"/>
  <c r="AB133" i="12" s="1"/>
  <c r="AE133" i="12" a="1"/>
  <c r="AE133" i="12" s="1"/>
  <c r="AG133" i="12" a="1"/>
  <c r="AG133" i="12" s="1"/>
  <c r="AC98" i="12" a="1"/>
  <c r="AC98" i="12" s="1"/>
  <c r="AD98" i="12" a="1"/>
  <c r="AD98" i="12" s="1"/>
  <c r="AB98" i="12" a="1"/>
  <c r="AB98" i="12" s="1"/>
  <c r="AG98" i="12" a="1"/>
  <c r="AG98" i="12" s="1"/>
  <c r="AE98" i="12" a="1"/>
  <c r="AE98" i="12" s="1"/>
  <c r="AF98" i="12" a="1"/>
  <c r="AF98" i="12" s="1"/>
  <c r="AE116" i="12" a="1"/>
  <c r="AE116" i="12" s="1"/>
  <c r="AC106" i="12" a="1"/>
  <c r="AC106" i="12" s="1"/>
  <c r="AD106" i="12" a="1"/>
  <c r="AD106" i="12" s="1"/>
  <c r="AE106" i="12" a="1"/>
  <c r="AE106" i="12" s="1"/>
  <c r="AB106" i="12" a="1"/>
  <c r="AB106" i="12" s="1"/>
  <c r="AG106" i="12" a="1"/>
  <c r="AG106" i="12" s="1"/>
  <c r="AF106" i="12" a="1"/>
  <c r="AF106" i="12" s="1"/>
  <c r="AG68" i="12" a="1"/>
  <c r="AG68" i="12" s="1"/>
  <c r="AE68" i="12" a="1"/>
  <c r="AE68" i="12" s="1"/>
  <c r="AD68" i="12" a="1"/>
  <c r="AD68" i="12" s="1"/>
  <c r="AF68" i="12" a="1"/>
  <c r="AF68" i="12" s="1"/>
  <c r="AB68" i="12" a="1"/>
  <c r="AB68" i="12" s="1"/>
  <c r="AC68" i="12" a="1"/>
  <c r="AC68" i="12" s="1"/>
  <c r="AB136" i="12" a="1"/>
  <c r="AB136" i="12" s="1"/>
  <c r="AE136" i="12" a="1"/>
  <c r="AE136" i="12" s="1"/>
  <c r="AF136" i="12" a="1"/>
  <c r="AF136" i="12" s="1"/>
  <c r="AC136" i="12" a="1"/>
  <c r="AC136" i="12" s="1"/>
  <c r="AD136" i="12" a="1"/>
  <c r="AD136" i="12" s="1"/>
  <c r="AG136" i="12" a="1"/>
  <c r="AG136" i="12" s="1"/>
  <c r="AC137" i="12" a="1"/>
  <c r="AC137" i="12" s="1"/>
  <c r="AF137" i="12" a="1"/>
  <c r="AF137" i="12" s="1"/>
  <c r="AD137" i="12" a="1"/>
  <c r="AD137" i="12" s="1"/>
  <c r="AE137" i="12" a="1"/>
  <c r="AE137" i="12" s="1"/>
  <c r="AB137" i="12" a="1"/>
  <c r="AB137" i="12" s="1"/>
  <c r="AG137" i="12" a="1"/>
  <c r="AG137" i="12" s="1"/>
  <c r="AE104" i="12" a="1"/>
  <c r="AE104" i="12" s="1"/>
  <c r="AF104" i="12" a="1"/>
  <c r="AF104" i="12" s="1"/>
  <c r="AD104" i="12" a="1"/>
  <c r="AD104" i="12" s="1"/>
  <c r="AG104" i="12" a="1"/>
  <c r="AG104" i="12" s="1"/>
  <c r="AB104" i="12" a="1"/>
  <c r="AB104" i="12" s="1"/>
  <c r="AD94" i="12" a="1"/>
  <c r="AD94" i="12" s="1"/>
  <c r="AF94" i="12" a="1"/>
  <c r="AF94" i="12" s="1"/>
  <c r="AE94" i="12" a="1"/>
  <c r="AE94" i="12" s="1"/>
  <c r="AC94" i="12" a="1"/>
  <c r="AC94" i="12" s="1"/>
  <c r="AB94" i="12" a="1"/>
  <c r="AB94" i="12" s="1"/>
  <c r="AG94" i="12" a="1"/>
  <c r="AG94" i="12" s="1"/>
  <c r="AB76" i="12" a="1"/>
  <c r="AB76" i="12" s="1"/>
  <c r="AG76" i="12" a="1"/>
  <c r="AG76" i="12" s="1"/>
  <c r="AE76" i="12" a="1"/>
  <c r="AE76" i="12" s="1"/>
  <c r="AD76" i="12" a="1"/>
  <c r="AD76" i="12" s="1"/>
  <c r="AC76" i="12" a="1"/>
  <c r="AC76" i="12" s="1"/>
  <c r="AF76" i="12" a="1"/>
  <c r="AF76" i="12" s="1"/>
  <c r="AE45" i="12" a="1"/>
  <c r="AE45" i="12" s="1"/>
  <c r="AC45" i="12" a="1"/>
  <c r="AC45" i="12" s="1"/>
  <c r="AG45" i="12" a="1"/>
  <c r="AG45" i="12" s="1"/>
  <c r="AD45" i="12" a="1"/>
  <c r="AD45" i="12" s="1"/>
  <c r="AB45" i="12" a="1"/>
  <c r="AB45" i="12" s="1"/>
  <c r="AF45" i="12" a="1"/>
  <c r="AF45" i="12" s="1"/>
  <c r="AD54" i="12" a="1"/>
  <c r="AD54" i="12" s="1"/>
  <c r="AC54" i="12" a="1"/>
  <c r="AC54" i="12" s="1"/>
  <c r="AB54" i="12" a="1"/>
  <c r="AB54" i="12" s="1"/>
  <c r="AE54" i="12" a="1"/>
  <c r="AE54" i="12" s="1"/>
  <c r="AG54" i="12" a="1"/>
  <c r="AG54" i="12" s="1"/>
  <c r="AF54" i="12" a="1"/>
  <c r="AF54" i="12" s="1"/>
  <c r="AE125" i="12" a="1"/>
  <c r="AE125" i="12" s="1"/>
  <c r="AC125" i="12" a="1"/>
  <c r="AC125" i="12" s="1"/>
  <c r="AB125" i="12" a="1"/>
  <c r="AB125" i="12" s="1"/>
  <c r="AF125" i="12" a="1"/>
  <c r="AF125" i="12" s="1"/>
  <c r="AD125" i="12" a="1"/>
  <c r="AD125" i="12" s="1"/>
  <c r="AG125" i="12" a="1"/>
  <c r="AG125" i="12" s="1"/>
  <c r="AD63" i="12" a="1"/>
  <c r="AD63" i="12" s="1"/>
  <c r="AF63" i="12" a="1"/>
  <c r="AF63" i="12" s="1"/>
  <c r="AE63" i="12" a="1"/>
  <c r="AE63" i="12" s="1"/>
  <c r="AC63" i="12" a="1"/>
  <c r="AC63" i="12" s="1"/>
  <c r="AB63" i="12" a="1"/>
  <c r="AB63" i="12" s="1"/>
  <c r="AG63" i="12" a="1"/>
  <c r="AG63" i="12" s="1"/>
  <c r="AE69" i="12" a="1"/>
  <c r="AE69" i="12" s="1"/>
  <c r="AF69" i="12" a="1"/>
  <c r="AF69" i="12" s="1"/>
  <c r="AD69" i="12" a="1"/>
  <c r="AD69" i="12" s="1"/>
  <c r="AG69" i="12" a="1"/>
  <c r="AG69" i="12" s="1"/>
  <c r="AB69" i="12" a="1"/>
  <c r="AB69" i="12" s="1"/>
  <c r="AC69" i="12" a="1"/>
  <c r="AC69" i="12" s="1"/>
  <c r="AC87" i="12" a="1"/>
  <c r="AC87" i="12" s="1"/>
  <c r="AF87" i="12" a="1"/>
  <c r="AF87" i="12" s="1"/>
  <c r="AD87" i="12" a="1"/>
  <c r="AD87" i="12" s="1"/>
  <c r="AG87" i="12" a="1"/>
  <c r="AG87" i="12" s="1"/>
  <c r="AE87" i="12" a="1"/>
  <c r="AE87" i="12" s="1"/>
  <c r="AB87" i="12" a="1"/>
  <c r="AB87" i="12" s="1"/>
  <c r="AG147" i="12" a="1"/>
  <c r="AG147" i="12" s="1"/>
  <c r="AD147" i="12" a="1"/>
  <c r="AD147" i="12" s="1"/>
  <c r="AE147" i="12" a="1"/>
  <c r="AE147" i="12" s="1"/>
  <c r="AC147" i="12" a="1"/>
  <c r="AC147" i="12" s="1"/>
  <c r="AF147" i="12" a="1"/>
  <c r="AF147" i="12" s="1"/>
  <c r="AB147" i="12" a="1"/>
  <c r="AB147" i="12" s="1"/>
  <c r="AE20" i="12" a="1"/>
  <c r="AE20" i="12" s="1"/>
  <c r="AC20" i="12" a="1"/>
  <c r="AC20" i="12" s="1"/>
  <c r="AF20" i="12" a="1"/>
  <c r="AF20" i="12" s="1"/>
  <c r="AD20" i="12" a="1"/>
  <c r="AD20" i="12" s="1"/>
  <c r="AB20" i="12" a="1"/>
  <c r="AB20" i="12" s="1"/>
  <c r="AG20" i="12" a="1"/>
  <c r="AG20" i="12" s="1"/>
  <c r="AB111" i="12" a="1"/>
  <c r="AB111" i="12" s="1"/>
  <c r="AC111" i="12" a="1"/>
  <c r="AC111" i="12" s="1"/>
  <c r="AG111" i="12" a="1"/>
  <c r="AG111" i="12" s="1"/>
  <c r="AD111" i="12" a="1"/>
  <c r="AD111" i="12" s="1"/>
  <c r="AE111" i="12" a="1"/>
  <c r="AE111" i="12" s="1"/>
  <c r="AF111" i="12" a="1"/>
  <c r="AF111" i="12" s="1"/>
  <c r="AG100" i="12" a="1"/>
  <c r="AG100" i="12" s="1"/>
  <c r="AE100" i="12" a="1"/>
  <c r="AE100" i="12" s="1"/>
  <c r="AC100" i="12" a="1"/>
  <c r="AC100" i="12" s="1"/>
  <c r="AF100" i="12" a="1"/>
  <c r="AF100" i="12" s="1"/>
  <c r="AB100" i="12" a="1"/>
  <c r="AB100" i="12" s="1"/>
  <c r="AD100" i="12" a="1"/>
  <c r="AD100" i="12" s="1"/>
  <c r="AF110" i="12" a="1"/>
  <c r="AF110" i="12" s="1"/>
  <c r="AC110" i="12" a="1"/>
  <c r="AC110" i="12" s="1"/>
  <c r="AE110" i="12" a="1"/>
  <c r="AE110" i="12" s="1"/>
  <c r="AB110" i="12" a="1"/>
  <c r="AB110" i="12" s="1"/>
  <c r="AG110" i="12" a="1"/>
  <c r="AG110" i="12" s="1"/>
  <c r="AD110" i="12" a="1"/>
  <c r="AD110" i="12" s="1"/>
  <c r="AE59" i="12" a="1"/>
  <c r="AE59" i="12" s="1"/>
  <c r="AC59" i="12" a="1"/>
  <c r="AC59" i="12" s="1"/>
  <c r="AD59" i="12" a="1"/>
  <c r="AD59" i="12" s="1"/>
  <c r="AB59" i="12" a="1"/>
  <c r="AB59" i="12" s="1"/>
  <c r="AF59" i="12" a="1"/>
  <c r="AF59" i="12" s="1"/>
  <c r="AG59" i="12" a="1"/>
  <c r="AG59" i="12" s="1"/>
  <c r="AE7" i="12" a="1"/>
  <c r="AE7" i="12" s="1"/>
  <c r="AD7" i="12" a="1"/>
  <c r="AD7" i="12" s="1"/>
  <c r="AG7" i="12" a="1"/>
  <c r="AG7" i="12" s="1"/>
  <c r="AB7" i="12" a="1"/>
  <c r="AB7" i="12" s="1"/>
  <c r="AF7" i="12" a="1"/>
  <c r="AF7" i="12" s="1"/>
  <c r="AC7" i="12" a="1"/>
  <c r="AC7" i="12" s="1"/>
  <c r="AE12" i="12" a="1"/>
  <c r="AE12" i="12" s="1"/>
  <c r="AC12" i="12" a="1"/>
  <c r="AC12" i="12" s="1"/>
  <c r="AF12" i="12" a="1"/>
  <c r="AF12" i="12" s="1"/>
  <c r="AD12" i="12" a="1"/>
  <c r="AD12" i="12" s="1"/>
  <c r="AB12" i="12" a="1"/>
  <c r="AB12" i="12" s="1"/>
  <c r="AG12" i="12" a="1"/>
  <c r="AG12" i="12" s="1"/>
  <c r="AD91" i="12" a="1"/>
  <c r="AD91" i="12" s="1"/>
  <c r="AB91" i="12" a="1"/>
  <c r="AB91" i="12" s="1"/>
  <c r="AF91" i="12" a="1"/>
  <c r="AF91" i="12" s="1"/>
  <c r="AE91" i="12" a="1"/>
  <c r="AE91" i="12" s="1"/>
  <c r="AG91" i="12" a="1"/>
  <c r="AG91" i="12" s="1"/>
  <c r="AC91" i="12" a="1"/>
  <c r="AC91" i="12" s="1"/>
  <c r="AB71" i="12" a="1"/>
  <c r="AB71" i="12" s="1"/>
  <c r="AD71" i="12" a="1"/>
  <c r="AD71" i="12" s="1"/>
  <c r="AF71" i="12" a="1"/>
  <c r="AF71" i="12" s="1"/>
  <c r="AC71" i="12" a="1"/>
  <c r="AC71" i="12" s="1"/>
  <c r="AG71" i="12" a="1"/>
  <c r="AG71" i="12" s="1"/>
  <c r="AE71" i="12" a="1"/>
  <c r="AE71" i="12" s="1"/>
  <c r="AB14" i="12" a="1"/>
  <c r="AB14" i="12" s="1"/>
  <c r="AG14" i="12" a="1"/>
  <c r="AG14" i="12" s="1"/>
  <c r="AF14" i="12" a="1"/>
  <c r="AF14" i="12" s="1"/>
  <c r="AD14" i="12" a="1"/>
  <c r="AD14" i="12" s="1"/>
  <c r="AC14" i="12" a="1"/>
  <c r="AC14" i="12" s="1"/>
  <c r="AE14" i="12" a="1"/>
  <c r="AE14" i="12" s="1"/>
  <c r="AE9" i="12" a="1"/>
  <c r="AE9" i="12" s="1"/>
  <c r="AC9" i="12" a="1"/>
  <c r="AC9" i="12" s="1"/>
  <c r="AB9" i="12" a="1"/>
  <c r="AB9" i="12" s="1"/>
  <c r="AF9" i="12" a="1"/>
  <c r="AF9" i="12" s="1"/>
  <c r="AG9" i="12" a="1"/>
  <c r="AG9" i="12" s="1"/>
  <c r="AD9" i="12" a="1"/>
  <c r="AD9" i="12" s="1"/>
  <c r="AC126" i="12" a="1"/>
  <c r="AC126" i="12" s="1"/>
  <c r="AE126" i="12" a="1"/>
  <c r="AE126" i="12" s="1"/>
  <c r="AF126" i="12" a="1"/>
  <c r="AF126" i="12" s="1"/>
  <c r="AB126" i="12" a="1"/>
  <c r="AB126" i="12" s="1"/>
  <c r="AD126" i="12" a="1"/>
  <c r="AD126" i="12" s="1"/>
  <c r="AG126" i="12" a="1"/>
  <c r="AG126" i="12" s="1"/>
  <c r="AB46" i="12" a="1"/>
  <c r="AB46" i="12" s="1"/>
  <c r="AD46" i="12" a="1"/>
  <c r="AD46" i="12" s="1"/>
  <c r="AC46" i="12" a="1"/>
  <c r="AC46" i="12" s="1"/>
  <c r="AE46" i="12" a="1"/>
  <c r="AE46" i="12" s="1"/>
  <c r="AG46" i="12" a="1"/>
  <c r="AG46" i="12" s="1"/>
  <c r="AF46" i="12" a="1"/>
  <c r="AF46" i="12" s="1"/>
  <c r="AC13" i="12" a="1"/>
  <c r="AC13" i="12" s="1"/>
  <c r="AG13" i="12" a="1"/>
  <c r="AG13" i="12" s="1"/>
  <c r="AD13" i="12" a="1"/>
  <c r="AD13" i="12" s="1"/>
  <c r="AE13" i="12" a="1"/>
  <c r="AE13" i="12" s="1"/>
  <c r="AF13" i="12" a="1"/>
  <c r="AF13" i="12" s="1"/>
  <c r="AB13" i="12" a="1"/>
  <c r="AB13" i="12" s="1"/>
  <c r="AD10" i="12" a="1"/>
  <c r="AD10" i="12" s="1"/>
  <c r="AF10" i="12" a="1"/>
  <c r="AF10" i="12" s="1"/>
  <c r="AB10" i="12" a="1"/>
  <c r="AB10" i="12" s="1"/>
  <c r="AG10" i="12" a="1"/>
  <c r="AG10" i="12" s="1"/>
  <c r="AE10" i="12" a="1"/>
  <c r="AE10" i="12" s="1"/>
  <c r="AC10" i="12" a="1"/>
  <c r="AC10" i="12" s="1"/>
  <c r="AG44" i="12" a="1"/>
  <c r="AG44" i="12" s="1"/>
  <c r="AD44" i="12" a="1"/>
  <c r="AD44" i="12" s="1"/>
  <c r="AE44" i="12" a="1"/>
  <c r="AE44" i="12" s="1"/>
  <c r="AF44" i="12" a="1"/>
  <c r="AF44" i="12" s="1"/>
  <c r="AC44" i="12" a="1"/>
  <c r="AC44" i="12" s="1"/>
  <c r="AE28" i="12" a="1"/>
  <c r="AE28" i="12" s="1"/>
  <c r="AC28" i="12" a="1"/>
  <c r="AC28" i="12" s="1"/>
  <c r="AF28" i="12" a="1"/>
  <c r="AF28" i="12" s="1"/>
  <c r="AD28" i="12" a="1"/>
  <c r="AD28" i="12" s="1"/>
  <c r="AG28" i="12" a="1"/>
  <c r="AG28" i="12" s="1"/>
  <c r="AB28" i="12" a="1"/>
  <c r="AB28" i="12" s="1"/>
  <c r="AB86" i="12" a="1"/>
  <c r="AB86" i="12" s="1"/>
  <c r="AD86" i="12" a="1"/>
  <c r="AD86" i="12" s="1"/>
  <c r="AG86" i="12" a="1"/>
  <c r="AG86" i="12" s="1"/>
  <c r="AC86" i="12" a="1"/>
  <c r="AC86" i="12" s="1"/>
  <c r="AE86" i="12" a="1"/>
  <c r="AE86" i="12" s="1"/>
  <c r="AF86" i="12" a="1"/>
  <c r="AF86" i="12" s="1"/>
  <c r="AB96" i="12" a="1"/>
  <c r="AB96" i="12" s="1"/>
  <c r="AD96" i="12" a="1"/>
  <c r="AD96" i="12" s="1"/>
  <c r="AE96" i="12" a="1"/>
  <c r="AE96" i="12" s="1"/>
  <c r="AC96" i="12" a="1"/>
  <c r="AC96" i="12" s="1"/>
  <c r="AG96" i="12" a="1"/>
  <c r="AG96" i="12" s="1"/>
  <c r="AF96" i="12" a="1"/>
  <c r="AF96" i="12" s="1"/>
  <c r="AE58" i="12" a="1"/>
  <c r="AE58" i="12" s="1"/>
  <c r="AB58" i="12" a="1"/>
  <c r="AB58" i="12" s="1"/>
  <c r="AC58" i="12" a="1"/>
  <c r="AC58" i="12" s="1"/>
  <c r="AF58" i="12" a="1"/>
  <c r="AF58" i="12" s="1"/>
  <c r="AG58" i="12" a="1"/>
  <c r="AG58" i="12" s="1"/>
  <c r="AD58" i="12" a="1"/>
  <c r="AD58" i="12" s="1"/>
  <c r="AB30" i="12" a="1"/>
  <c r="AB30" i="12" s="1"/>
  <c r="AC30" i="12" a="1"/>
  <c r="AC30" i="12" s="1"/>
  <c r="AF30" i="12" a="1"/>
  <c r="AF30" i="12" s="1"/>
  <c r="AE30" i="12" a="1"/>
  <c r="AE30" i="12" s="1"/>
  <c r="AD30" i="12" a="1"/>
  <c r="AD30" i="12" s="1"/>
  <c r="AG30" i="12" a="1"/>
  <c r="AG30" i="12" s="1"/>
  <c r="AC89" i="12" a="1"/>
  <c r="AC89" i="12" s="1"/>
  <c r="AD89" i="12" a="1"/>
  <c r="AD89" i="12" s="1"/>
  <c r="AF89" i="12" a="1"/>
  <c r="AF89" i="12" s="1"/>
  <c r="AG89" i="12" a="1"/>
  <c r="AG89" i="12" s="1"/>
  <c r="AE89" i="12" a="1"/>
  <c r="AE89" i="12" s="1"/>
  <c r="AB89" i="12" a="1"/>
  <c r="AB89" i="12" s="1"/>
  <c r="AB56" i="12" a="1"/>
  <c r="AB56" i="12" s="1"/>
  <c r="AD56" i="12" a="1"/>
  <c r="AD56" i="12" s="1"/>
  <c r="AC56" i="12" a="1"/>
  <c r="AC56" i="12" s="1"/>
  <c r="AG56" i="12" a="1"/>
  <c r="AG56" i="12" s="1"/>
  <c r="AF56" i="12" a="1"/>
  <c r="AF56" i="12" s="1"/>
  <c r="AE56" i="12" a="1"/>
  <c r="AE56" i="12" s="1"/>
  <c r="AF101" i="12" a="1"/>
  <c r="AF101" i="12" s="1"/>
  <c r="AB101" i="12" a="1"/>
  <c r="AB101" i="12" s="1"/>
  <c r="AE101" i="12" a="1"/>
  <c r="AE101" i="12" s="1"/>
  <c r="AC101" i="12" a="1"/>
  <c r="AC101" i="12" s="1"/>
  <c r="AD101" i="12" a="1"/>
  <c r="AD101" i="12" s="1"/>
  <c r="AG101" i="12" a="1"/>
  <c r="AG101" i="12" s="1"/>
  <c r="AC40" i="12" a="1"/>
  <c r="AC40" i="12" s="1"/>
  <c r="AD40" i="12" a="1"/>
  <c r="AD40" i="12" s="1"/>
  <c r="AB40" i="12" a="1"/>
  <c r="AB40" i="12" s="1"/>
  <c r="AG40" i="12" a="1"/>
  <c r="AG40" i="12" s="1"/>
  <c r="AE40" i="12" a="1"/>
  <c r="AE40" i="12" s="1"/>
  <c r="AF40" i="12" a="1"/>
  <c r="AF40" i="12" s="1"/>
  <c r="AD37" i="12" a="1"/>
  <c r="AD37" i="12" s="1"/>
  <c r="AC37" i="12" a="1"/>
  <c r="AC37" i="12" s="1"/>
  <c r="AE37" i="12" a="1"/>
  <c r="AE37" i="12" s="1"/>
  <c r="AF37" i="12" a="1"/>
  <c r="AF37" i="12" s="1"/>
  <c r="AB37" i="12" a="1"/>
  <c r="AB37" i="12" s="1"/>
  <c r="AG37" i="12" a="1"/>
  <c r="AG37" i="12" s="1"/>
  <c r="AG119" i="12" a="1"/>
  <c r="AG119" i="12" s="1"/>
  <c r="AC119" i="12" a="1"/>
  <c r="AC119" i="12" s="1"/>
  <c r="AF119" i="12" a="1"/>
  <c r="AF119" i="12" s="1"/>
  <c r="AB119" i="12" a="1"/>
  <c r="AB119" i="12" s="1"/>
  <c r="AD119" i="12" a="1"/>
  <c r="AD119" i="12" s="1"/>
  <c r="AE119" i="12" a="1"/>
  <c r="AE119" i="12" s="1"/>
  <c r="AB11" i="12" a="1"/>
  <c r="AB11" i="12" s="1"/>
  <c r="AG11" i="12" a="1"/>
  <c r="AG11" i="12" s="1"/>
  <c r="AE11" i="12" a="1"/>
  <c r="AE11" i="12" s="1"/>
  <c r="AD11" i="12" a="1"/>
  <c r="AD11" i="12" s="1"/>
  <c r="AC11" i="12" a="1"/>
  <c r="AC11" i="12" s="1"/>
  <c r="AF11" i="12" a="1"/>
  <c r="AF11" i="12" s="1"/>
  <c r="AC77" i="12" a="1"/>
  <c r="AC77" i="12" s="1"/>
  <c r="AF77" i="12" a="1"/>
  <c r="AF77" i="12" s="1"/>
  <c r="AE77" i="12" a="1"/>
  <c r="AE77" i="12" s="1"/>
  <c r="AD77" i="12" a="1"/>
  <c r="AD77" i="12" s="1"/>
  <c r="AG77" i="12" a="1"/>
  <c r="AG77" i="12" s="1"/>
  <c r="AB77" i="12" a="1"/>
  <c r="AB77" i="12" s="1"/>
  <c r="AF114" i="12" a="1"/>
  <c r="AF114" i="12" s="1"/>
  <c r="AG114" i="12" a="1"/>
  <c r="AG114" i="12" s="1"/>
  <c r="AB114" i="12" a="1"/>
  <c r="AB114" i="12" s="1"/>
  <c r="AE114" i="12" a="1"/>
  <c r="AE114" i="12" s="1"/>
  <c r="AD114" i="12" a="1"/>
  <c r="AD114" i="12" s="1"/>
  <c r="AC114" i="12" a="1"/>
  <c r="AC114" i="12" s="1"/>
  <c r="AB42" i="12" a="1"/>
  <c r="AB42" i="12" s="1"/>
  <c r="AG42" i="12" a="1"/>
  <c r="AG42" i="12" s="1"/>
  <c r="AD42" i="12" a="1"/>
  <c r="AD42" i="12" s="1"/>
  <c r="AC42" i="12" a="1"/>
  <c r="AC42" i="12" s="1"/>
  <c r="AF42" i="12" a="1"/>
  <c r="AF42" i="12" s="1"/>
  <c r="AE42" i="12" a="1"/>
  <c r="AE42" i="12" s="1"/>
  <c r="AB143" i="12" a="1"/>
  <c r="AB143" i="12" s="1"/>
  <c r="AD143" i="12" a="1"/>
  <c r="AD143" i="12" s="1"/>
  <c r="AF143" i="12" a="1"/>
  <c r="AF143" i="12" s="1"/>
  <c r="AE143" i="12" a="1"/>
  <c r="AE143" i="12" s="1"/>
  <c r="AC143" i="12" a="1"/>
  <c r="AC143" i="12" s="1"/>
  <c r="AG143" i="12" a="1"/>
  <c r="AG143" i="12" s="1"/>
  <c r="AF19" i="12" a="1"/>
  <c r="AF19" i="12" s="1"/>
  <c r="AG19" i="12" a="1"/>
  <c r="AG19" i="12" s="1"/>
  <c r="AB19" i="12" a="1"/>
  <c r="AB19" i="12" s="1"/>
  <c r="AD19" i="12" a="1"/>
  <c r="AD19" i="12" s="1"/>
  <c r="AC19" i="12" a="1"/>
  <c r="AC19" i="12" s="1"/>
  <c r="AE19" i="12" a="1"/>
  <c r="AE19" i="12" s="1"/>
  <c r="AF48" i="12" a="1"/>
  <c r="AF48" i="12" s="1"/>
  <c r="AB48" i="12" a="1"/>
  <c r="AB48" i="12" s="1"/>
  <c r="AD48" i="12" a="1"/>
  <c r="AD48" i="12" s="1"/>
  <c r="AE48" i="12" a="1"/>
  <c r="AE48" i="12" s="1"/>
  <c r="AC48" i="12" a="1"/>
  <c r="AC48" i="12" s="1"/>
  <c r="AG48" i="12" a="1"/>
  <c r="AG48" i="12" s="1"/>
  <c r="AE65" i="12" a="1"/>
  <c r="AE65" i="12" s="1"/>
  <c r="AF65" i="12" a="1"/>
  <c r="AF65" i="12" s="1"/>
  <c r="AG65" i="12" a="1"/>
  <c r="AG65" i="12" s="1"/>
  <c r="AB65" i="12" a="1"/>
  <c r="AB65" i="12" s="1"/>
  <c r="AC65" i="12" a="1"/>
  <c r="AC65" i="12" s="1"/>
  <c r="AD65" i="12" a="1"/>
  <c r="AD65" i="12" s="1"/>
  <c r="AD90" i="12" a="1"/>
  <c r="AD90" i="12" s="1"/>
  <c r="AF90" i="12" a="1"/>
  <c r="AF90" i="12" s="1"/>
  <c r="AG90" i="12" a="1"/>
  <c r="AG90" i="12" s="1"/>
  <c r="AC90" i="12" a="1"/>
  <c r="AC90" i="12" s="1"/>
  <c r="AE90" i="12" a="1"/>
  <c r="AE90" i="12" s="1"/>
  <c r="AB90" i="12" a="1"/>
  <c r="AB90" i="12" s="1"/>
  <c r="AD52" i="12" a="1"/>
  <c r="AD52" i="12" s="1"/>
  <c r="AC52" i="12" a="1"/>
  <c r="AC52" i="12" s="1"/>
  <c r="AE52" i="12" a="1"/>
  <c r="AE52" i="12" s="1"/>
  <c r="AG52" i="12" a="1"/>
  <c r="AG52" i="12" s="1"/>
  <c r="AB52" i="12" a="1"/>
  <c r="AB52" i="12" s="1"/>
  <c r="AF52" i="12" a="1"/>
  <c r="AF52" i="12" s="1"/>
  <c r="AG130" i="12" a="1"/>
  <c r="AG130" i="12" s="1"/>
  <c r="AE130" i="12" a="1"/>
  <c r="AE130" i="12" s="1"/>
  <c r="AD130" i="12" a="1"/>
  <c r="AD130" i="12" s="1"/>
  <c r="AF130" i="12" a="1"/>
  <c r="AF130" i="12" s="1"/>
  <c r="AB130" i="12" a="1"/>
  <c r="AB130" i="12" s="1"/>
  <c r="AC130" i="12" a="1"/>
  <c r="AC130" i="12" s="1"/>
  <c r="AD117" i="12" a="1"/>
  <c r="AD117" i="12" s="1"/>
  <c r="AE117" i="12" a="1"/>
  <c r="AE117" i="12" s="1"/>
  <c r="AC117" i="12" a="1"/>
  <c r="AC117" i="12" s="1"/>
  <c r="AF117" i="12" a="1"/>
  <c r="AF117" i="12" s="1"/>
  <c r="AG117" i="12" a="1"/>
  <c r="AG117" i="12" s="1"/>
  <c r="AB117" i="12" a="1"/>
  <c r="AB117" i="12" s="1"/>
  <c r="AG135" i="12" a="1"/>
  <c r="AG135" i="12" s="1"/>
  <c r="AE135" i="12" a="1"/>
  <c r="AE135" i="12" s="1"/>
  <c r="AF135" i="12" a="1"/>
  <c r="AF135" i="12" s="1"/>
  <c r="AD135" i="12" a="1"/>
  <c r="AD135" i="12" s="1"/>
  <c r="AC135" i="12" a="1"/>
  <c r="AC135" i="12" s="1"/>
  <c r="AB135" i="12" a="1"/>
  <c r="AB135" i="12" s="1"/>
  <c r="AC74" i="12" a="1"/>
  <c r="AC74" i="12" s="1"/>
  <c r="AG74" i="12" a="1"/>
  <c r="AG74" i="12" s="1"/>
  <c r="AB74" i="12" a="1"/>
  <c r="AB74" i="12" s="1"/>
  <c r="AE74" i="12" a="1"/>
  <c r="AE74" i="12" s="1"/>
  <c r="AF74" i="12" a="1"/>
  <c r="AF74" i="12" s="1"/>
  <c r="AD74" i="12" a="1"/>
  <c r="AD74" i="12" s="1"/>
  <c r="AF21" i="12" a="1"/>
  <c r="AF21" i="12" s="1"/>
  <c r="AD21" i="12" a="1"/>
  <c r="AD21" i="12" s="1"/>
  <c r="AB21" i="12" a="1"/>
  <c r="AB21" i="12" s="1"/>
  <c r="AC21" i="12" a="1"/>
  <c r="AC21" i="12" s="1"/>
  <c r="AG21" i="12" a="1"/>
  <c r="AG21" i="12" s="1"/>
  <c r="AE21" i="12" a="1"/>
  <c r="AE21" i="12" s="1"/>
  <c r="AE38" i="12" a="1"/>
  <c r="AE38" i="12" s="1"/>
  <c r="AC38" i="12" a="1"/>
  <c r="AC38" i="12" s="1"/>
  <c r="AF38" i="12" a="1"/>
  <c r="AF38" i="12" s="1"/>
  <c r="AG38" i="12" a="1"/>
  <c r="AG38" i="12" s="1"/>
  <c r="AB38" i="12" a="1"/>
  <c r="AB38" i="12" s="1"/>
  <c r="AD38" i="12" a="1"/>
  <c r="AD38" i="12" s="1"/>
  <c r="AB51" i="12" a="1"/>
  <c r="AB51" i="12" s="1"/>
  <c r="AF51" i="12" a="1"/>
  <c r="AF51" i="12" s="1"/>
  <c r="AD51" i="12" a="1"/>
  <c r="AD51" i="12" s="1"/>
  <c r="AC51" i="12" a="1"/>
  <c r="AC51" i="12" s="1"/>
  <c r="AG51" i="12" a="1"/>
  <c r="AG51" i="12" s="1"/>
  <c r="AE51" i="12" a="1"/>
  <c r="AE51" i="12" s="1"/>
  <c r="AG118" i="12" a="1"/>
  <c r="AG118" i="12" s="1"/>
  <c r="AB118" i="12" a="1"/>
  <c r="AB118" i="12" s="1"/>
  <c r="AE118" i="12" a="1"/>
  <c r="AE118" i="12" s="1"/>
  <c r="AD118" i="12" a="1"/>
  <c r="AD118" i="12" s="1"/>
  <c r="AC118" i="12" a="1"/>
  <c r="AC118" i="12" s="1"/>
  <c r="AF118" i="12" a="1"/>
  <c r="AF118" i="12" s="1"/>
  <c r="AF83" i="12" a="1"/>
  <c r="AF83" i="12" s="1"/>
  <c r="AC83" i="12" a="1"/>
  <c r="AC83" i="12" s="1"/>
  <c r="AE83" i="12" a="1"/>
  <c r="AE83" i="12" s="1"/>
  <c r="AG83" i="12" a="1"/>
  <c r="AG83" i="12" s="1"/>
  <c r="AD83" i="12" a="1"/>
  <c r="AD83" i="12" s="1"/>
  <c r="AB83" i="12" a="1"/>
  <c r="AB83" i="12" s="1"/>
  <c r="AC141" i="12" a="1"/>
  <c r="AC141" i="12" s="1"/>
  <c r="AB141" i="12" a="1"/>
  <c r="AB141" i="12" s="1"/>
  <c r="AF141" i="12" a="1"/>
  <c r="AF141" i="12" s="1"/>
  <c r="AD141" i="12" a="1"/>
  <c r="AD141" i="12" s="1"/>
  <c r="AG141" i="12" a="1"/>
  <c r="AG141" i="12" s="1"/>
  <c r="AE141" i="12" a="1"/>
  <c r="AE141" i="12" s="1"/>
  <c r="AC53" i="12" a="1"/>
  <c r="AC53" i="12" s="1"/>
  <c r="AF53" i="12" a="1"/>
  <c r="AF53" i="12" s="1"/>
  <c r="AE53" i="12" a="1"/>
  <c r="AE53" i="12" s="1"/>
  <c r="AD53" i="12" a="1"/>
  <c r="AD53" i="12" s="1"/>
  <c r="AB53" i="12" a="1"/>
  <c r="AB53" i="12" s="1"/>
  <c r="AG53" i="12" a="1"/>
  <c r="AG53" i="12" s="1"/>
  <c r="AC47" i="12" a="1"/>
  <c r="AC47" i="12" s="1"/>
  <c r="AF47" i="12" a="1"/>
  <c r="AF47" i="12" s="1"/>
  <c r="AE47" i="12" a="1"/>
  <c r="AE47" i="12" s="1"/>
  <c r="AB47" i="12" a="1"/>
  <c r="AB47" i="12" s="1"/>
  <c r="AD47" i="12" a="1"/>
  <c r="AD47" i="12" s="1"/>
  <c r="AG47" i="12" a="1"/>
  <c r="AG47" i="12" s="1"/>
  <c r="AD34" i="12" a="1"/>
  <c r="AD34" i="12" s="1"/>
  <c r="AF34" i="12" a="1"/>
  <c r="AF34" i="12" s="1"/>
  <c r="AC34" i="12" a="1"/>
  <c r="AC34" i="12" s="1"/>
  <c r="AE34" i="12" a="1"/>
  <c r="AE34" i="12" s="1"/>
  <c r="AB34" i="12" a="1"/>
  <c r="AB34" i="12" s="1"/>
  <c r="AG34" i="12" a="1"/>
  <c r="AG34" i="12" s="1"/>
  <c r="AF144" i="12" a="1"/>
  <c r="AF144" i="12" s="1"/>
  <c r="AE144" i="12" a="1"/>
  <c r="AE144" i="12" s="1"/>
  <c r="AG144" i="12" a="1"/>
  <c r="AG144" i="12" s="1"/>
  <c r="AB144" i="12" a="1"/>
  <c r="AB144" i="12" s="1"/>
  <c r="AC144" i="12" a="1"/>
  <c r="AC144" i="12" s="1"/>
  <c r="AD144" i="12" a="1"/>
  <c r="AD144" i="12" s="1"/>
  <c r="AG23" i="12" a="1"/>
  <c r="AG23" i="12" s="1"/>
  <c r="AE23" i="12" a="1"/>
  <c r="AE23" i="12" s="1"/>
  <c r="AC23" i="12" a="1"/>
  <c r="AC23" i="12" s="1"/>
  <c r="AD23" i="12" a="1"/>
  <c r="AD23" i="12" s="1"/>
  <c r="AB23" i="12" a="1"/>
  <c r="AB23" i="12" s="1"/>
  <c r="AF23" i="12" a="1"/>
  <c r="AF23" i="12" s="1"/>
  <c r="AE134" i="12" a="1"/>
  <c r="AE134" i="12" s="1"/>
  <c r="AF134" i="12" a="1"/>
  <c r="AF134" i="12" s="1"/>
  <c r="AD134" i="12" a="1"/>
  <c r="AD134" i="12" s="1"/>
  <c r="AB134" i="12" a="1"/>
  <c r="AB134" i="12" s="1"/>
  <c r="AG134" i="12" a="1"/>
  <c r="AG134" i="12" s="1"/>
  <c r="AC134" i="12" a="1"/>
  <c r="AC134" i="12" s="1"/>
  <c r="AC105" i="12" a="1"/>
  <c r="AC105" i="12" s="1"/>
  <c r="AD105" i="12" a="1"/>
  <c r="AD105" i="12" s="1"/>
  <c r="AB105" i="12" a="1"/>
  <c r="AB105" i="12" s="1"/>
  <c r="AG105" i="12" a="1"/>
  <c r="AG105" i="12" s="1"/>
  <c r="AF105" i="12" a="1"/>
  <c r="AF105" i="12" s="1"/>
  <c r="AE105" i="12" a="1"/>
  <c r="AE105" i="12" s="1"/>
  <c r="AF27" i="12" a="1"/>
  <c r="AF27" i="12" s="1"/>
  <c r="AB27" i="12" a="1"/>
  <c r="AB27" i="12" s="1"/>
  <c r="AE27" i="12" a="1"/>
  <c r="AE27" i="12" s="1"/>
  <c r="AD27" i="12" a="1"/>
  <c r="AD27" i="12" s="1"/>
  <c r="AC27" i="12" a="1"/>
  <c r="AC27" i="12" s="1"/>
  <c r="AG27" i="12" a="1"/>
  <c r="AG27" i="12" s="1"/>
  <c r="AE26" i="12" a="1"/>
  <c r="AE26" i="12" s="1"/>
  <c r="AD26" i="12" a="1"/>
  <c r="AD26" i="12" s="1"/>
  <c r="AG26" i="12" a="1"/>
  <c r="AG26" i="12" s="1"/>
  <c r="AC26" i="12" a="1"/>
  <c r="AC26" i="12" s="1"/>
  <c r="AB26" i="12" a="1"/>
  <c r="AB26" i="12" s="1"/>
  <c r="AF26" i="12" a="1"/>
  <c r="AF26" i="12" s="1"/>
  <c r="AD109" i="12" a="1"/>
  <c r="AD109" i="12" s="1"/>
  <c r="AG109" i="12" a="1"/>
  <c r="AG109" i="12" s="1"/>
  <c r="AE109" i="12" a="1"/>
  <c r="AE109" i="12" s="1"/>
  <c r="AB109" i="12" a="1"/>
  <c r="AB109" i="12" s="1"/>
  <c r="AF109" i="12" a="1"/>
  <c r="AF109" i="12" s="1"/>
  <c r="AC109" i="12" a="1"/>
  <c r="AC109" i="12" s="1"/>
  <c r="AE32" i="12" a="1"/>
  <c r="AE32" i="12" s="1"/>
  <c r="AF32" i="12" a="1"/>
  <c r="AF32" i="12" s="1"/>
  <c r="AC32" i="12" a="1"/>
  <c r="AC32" i="12" s="1"/>
  <c r="AB32" i="12" a="1"/>
  <c r="AB32" i="12" s="1"/>
  <c r="AD32" i="12" a="1"/>
  <c r="AD32" i="12" s="1"/>
  <c r="AG32" i="12" a="1"/>
  <c r="AG32" i="12" s="1"/>
  <c r="AF73" i="12" a="1"/>
  <c r="AF73" i="12" s="1"/>
  <c r="AD73" i="12" a="1"/>
  <c r="AD73" i="12" s="1"/>
  <c r="AE73" i="12" a="1"/>
  <c r="AE73" i="12" s="1"/>
  <c r="AG73" i="12" a="1"/>
  <c r="AG73" i="12" s="1"/>
  <c r="AB73" i="12" a="1"/>
  <c r="AB73" i="12" s="1"/>
  <c r="AC73" i="12" a="1"/>
  <c r="AC73" i="12" s="1"/>
  <c r="AD15" i="12" a="1"/>
  <c r="AD15" i="12" s="1"/>
  <c r="AB15" i="12" a="1"/>
  <c r="AB15" i="12" s="1"/>
  <c r="AG15" i="12" a="1"/>
  <c r="AG15" i="12" s="1"/>
  <c r="AC15" i="12" a="1"/>
  <c r="AC15" i="12" s="1"/>
  <c r="AF15" i="12" a="1"/>
  <c r="AF15" i="12" s="1"/>
  <c r="AE15" i="12" a="1"/>
  <c r="AE15" i="12" s="1"/>
  <c r="AC81" i="12" a="1"/>
  <c r="AC81" i="12" s="1"/>
  <c r="AB81" i="12" a="1"/>
  <c r="AB81" i="12" s="1"/>
  <c r="AE81" i="12" a="1"/>
  <c r="AE81" i="12" s="1"/>
  <c r="AG81" i="12" a="1"/>
  <c r="AG81" i="12" s="1"/>
  <c r="AF81" i="12" a="1"/>
  <c r="AF81" i="12" s="1"/>
  <c r="AD81" i="12" a="1"/>
  <c r="AD81" i="12" s="1"/>
  <c r="AE120" i="12" a="1"/>
  <c r="AE120" i="12" s="1"/>
  <c r="AC120" i="12" a="1"/>
  <c r="AC120" i="12" s="1"/>
  <c r="AD120" i="12" a="1"/>
  <c r="AD120" i="12" s="1"/>
  <c r="AB120" i="12" a="1"/>
  <c r="AB120" i="12" s="1"/>
  <c r="AF120" i="12" a="1"/>
  <c r="AF120" i="12" s="1"/>
  <c r="AG120" i="12" a="1"/>
  <c r="AG120" i="12" s="1"/>
  <c r="AB22" i="12" a="1"/>
  <c r="AB22" i="12" s="1"/>
  <c r="AE22" i="12" a="1"/>
  <c r="AE22" i="12" s="1"/>
  <c r="AD22" i="12" a="1"/>
  <c r="AD22" i="12" s="1"/>
  <c r="AF22" i="12" a="1"/>
  <c r="AF22" i="12" s="1"/>
  <c r="AC22" i="12" a="1"/>
  <c r="AC22" i="12" s="1"/>
  <c r="AG22" i="12" a="1"/>
  <c r="AG22" i="12" s="1"/>
  <c r="AF84" i="12" a="1"/>
  <c r="AF84" i="12" s="1"/>
  <c r="AC84" i="12" a="1"/>
  <c r="AC84" i="12" s="1"/>
  <c r="AE84" i="12" a="1"/>
  <c r="AE84" i="12" s="1"/>
  <c r="AB84" i="12" a="1"/>
  <c r="AB84" i="12" s="1"/>
  <c r="AG84" i="12" a="1"/>
  <c r="AG84" i="12" s="1"/>
  <c r="AD84" i="12" a="1"/>
  <c r="AD84" i="12" s="1"/>
  <c r="AF64" i="12" a="1"/>
  <c r="AF64" i="12" s="1"/>
  <c r="AB64" i="12" a="1"/>
  <c r="AB64" i="12" s="1"/>
  <c r="AC64" i="12" a="1"/>
  <c r="AC64" i="12" s="1"/>
  <c r="AG64" i="12" a="1"/>
  <c r="AG64" i="12" s="1"/>
  <c r="AD64" i="12" a="1"/>
  <c r="AD64" i="12" s="1"/>
  <c r="AE64" i="12" a="1"/>
  <c r="AE64" i="12" s="1"/>
  <c r="AF75" i="12" a="1"/>
  <c r="AF75" i="12" s="1"/>
  <c r="AC75" i="12" a="1"/>
  <c r="AC75" i="12" s="1"/>
  <c r="AG75" i="12" a="1"/>
  <c r="AG75" i="12" s="1"/>
  <c r="AB75" i="12" a="1"/>
  <c r="AB75" i="12" s="1"/>
  <c r="AE75" i="12" a="1"/>
  <c r="AE75" i="12" s="1"/>
  <c r="AD75" i="12" a="1"/>
  <c r="AD75" i="12" s="1"/>
  <c r="AC99" i="12" a="1"/>
  <c r="AC99" i="12" s="1"/>
  <c r="AD99" i="12" a="1"/>
  <c r="AD99" i="12" s="1"/>
  <c r="AE99" i="12" a="1"/>
  <c r="AE99" i="12" s="1"/>
  <c r="AF99" i="12" a="1"/>
  <c r="AF99" i="12" s="1"/>
  <c r="AB99" i="12" a="1"/>
  <c r="AB99" i="12" s="1"/>
  <c r="AG99" i="12" a="1"/>
  <c r="AG99" i="12" s="1"/>
  <c r="AC72" i="12" a="1"/>
  <c r="AC72" i="12" s="1"/>
  <c r="AG72" i="12" a="1"/>
  <c r="AG72" i="12" s="1"/>
  <c r="AD72" i="12" a="1"/>
  <c r="AD72" i="12" s="1"/>
  <c r="AB72" i="12" a="1"/>
  <c r="AB72" i="12" s="1"/>
  <c r="AE72" i="12" a="1"/>
  <c r="AE72" i="12" s="1"/>
  <c r="AF72" i="12" a="1"/>
  <c r="AF72" i="12" s="1"/>
  <c r="AC145" i="12" a="1"/>
  <c r="AC145" i="12" s="1"/>
  <c r="AD145" i="12" a="1"/>
  <c r="AD145" i="12" s="1"/>
  <c r="AE145" i="12" a="1"/>
  <c r="AE145" i="12" s="1"/>
  <c r="AF145" i="12" a="1"/>
  <c r="AF145" i="12" s="1"/>
  <c r="AB145" i="12" a="1"/>
  <c r="AB145" i="12" s="1"/>
  <c r="AG145" i="12" a="1"/>
  <c r="AG145" i="12" s="1"/>
  <c r="AB139" i="12" a="1"/>
  <c r="AB139" i="12" s="1"/>
  <c r="AF139" i="12" a="1"/>
  <c r="AF139" i="12" s="1"/>
  <c r="AE139" i="12" a="1"/>
  <c r="AE139" i="12" s="1"/>
  <c r="AG139" i="12" a="1"/>
  <c r="AG139" i="12" s="1"/>
  <c r="AD139" i="12" a="1"/>
  <c r="AD139" i="12" s="1"/>
  <c r="AC139" i="12" a="1"/>
  <c r="AC139" i="12" s="1"/>
  <c r="AC49" i="12" a="1"/>
  <c r="AC49" i="12" s="1"/>
  <c r="AD49" i="12" a="1"/>
  <c r="AD49" i="12" s="1"/>
  <c r="AE49" i="12" a="1"/>
  <c r="AE49" i="12" s="1"/>
  <c r="AB49" i="12" a="1"/>
  <c r="AB49" i="12" s="1"/>
  <c r="AF49" i="12" a="1"/>
  <c r="AF49" i="12" s="1"/>
  <c r="AG49" i="12" a="1"/>
  <c r="AG49" i="12" s="1"/>
  <c r="AD116" i="12" a="1"/>
  <c r="AD116" i="12" s="1"/>
  <c r="AB116" i="12" a="1"/>
  <c r="AB116" i="12" s="1"/>
  <c r="AC116" i="12" a="1"/>
  <c r="AC116" i="12" s="1"/>
  <c r="AF116" i="12" a="1"/>
  <c r="AF116" i="12" s="1"/>
  <c r="AG116" i="12" a="1"/>
  <c r="AG116" i="12" s="1"/>
  <c r="AE132" i="12" a="1"/>
  <c r="AE132" i="12" s="1"/>
  <c r="AG132" i="12" a="1"/>
  <c r="AG132" i="12" s="1"/>
  <c r="AF132" i="12" a="1"/>
  <c r="AF132" i="12" s="1"/>
  <c r="AC132" i="12" a="1"/>
  <c r="AC132" i="12" s="1"/>
  <c r="AB132" i="12" a="1"/>
  <c r="AB132" i="12" s="1"/>
  <c r="AD132" i="12" a="1"/>
  <c r="AD132" i="12" s="1"/>
  <c r="AB107" i="12" a="1"/>
  <c r="AB107" i="12" s="1"/>
  <c r="AC107" i="12" a="1"/>
  <c r="AC107" i="12" s="1"/>
  <c r="AD107" i="12" a="1"/>
  <c r="AD107" i="12" s="1"/>
  <c r="AF107" i="12" a="1"/>
  <c r="AF107" i="12" s="1"/>
  <c r="AG107" i="12" a="1"/>
  <c r="AG107" i="12" s="1"/>
  <c r="AE107" i="12" a="1"/>
  <c r="AE107" i="12" s="1"/>
  <c r="AD67" i="12" a="1"/>
  <c r="AD67" i="12" s="1"/>
  <c r="AE67" i="12" a="1"/>
  <c r="AE67" i="12" s="1"/>
  <c r="AB67" i="12" a="1"/>
  <c r="AB67" i="12" s="1"/>
  <c r="AF67" i="12" a="1"/>
  <c r="AF67" i="12" s="1"/>
  <c r="AC67" i="12" a="1"/>
  <c r="AC67" i="12" s="1"/>
  <c r="AG67" i="12" a="1"/>
  <c r="AG67" i="12" s="1"/>
  <c r="AD79" i="12" a="1"/>
  <c r="AD79" i="12" s="1"/>
  <c r="AE79" i="12" a="1"/>
  <c r="AE79" i="12" s="1"/>
  <c r="AC79" i="12" a="1"/>
  <c r="AC79" i="12" s="1"/>
  <c r="AB79" i="12" a="1"/>
  <c r="AB79" i="12" s="1"/>
  <c r="AF79" i="12" a="1"/>
  <c r="AF79" i="12" s="1"/>
  <c r="AG79" i="12" a="1"/>
  <c r="AG79" i="12" s="1"/>
  <c r="AC88" i="12" a="1"/>
  <c r="AC88" i="12" s="1"/>
  <c r="AB88" i="12" a="1"/>
  <c r="AB88" i="12" s="1"/>
  <c r="AG88" i="12" a="1"/>
  <c r="AG88" i="12" s="1"/>
  <c r="AF88" i="12" a="1"/>
  <c r="AF88" i="12" s="1"/>
  <c r="AD88" i="12" a="1"/>
  <c r="AD88" i="12" s="1"/>
  <c r="AE88" i="12" a="1"/>
  <c r="AE88" i="12" s="1"/>
  <c r="AC112" i="12" a="1"/>
  <c r="AC112" i="12" s="1"/>
  <c r="AB112" i="12" a="1"/>
  <c r="AB112" i="12" s="1"/>
  <c r="AE112" i="12" a="1"/>
  <c r="AE112" i="12" s="1"/>
  <c r="AG112" i="12" a="1"/>
  <c r="AG112" i="12" s="1"/>
  <c r="AD112" i="12" a="1"/>
  <c r="AD112" i="12" s="1"/>
  <c r="AF112" i="12" a="1"/>
  <c r="AF112" i="12" s="1"/>
  <c r="AD78" i="12" a="1"/>
  <c r="AD78" i="12" s="1"/>
  <c r="AC78" i="12" a="1"/>
  <c r="AC78" i="12" s="1"/>
  <c r="AG78" i="12" a="1"/>
  <c r="AG78" i="12" s="1"/>
  <c r="AE78" i="12" a="1"/>
  <c r="AE78" i="12" s="1"/>
  <c r="AF78" i="12" a="1"/>
  <c r="AF78" i="12" s="1"/>
  <c r="AB78" i="12" a="1"/>
  <c r="AB78" i="12" s="1"/>
  <c r="AD18" i="12" a="1"/>
  <c r="AD18" i="12" s="1"/>
  <c r="AC18" i="12" a="1"/>
  <c r="AC18" i="12" s="1"/>
  <c r="AB18" i="12" a="1"/>
  <c r="AB18" i="12" s="1"/>
  <c r="AF18" i="12" a="1"/>
  <c r="AF18" i="12" s="1"/>
  <c r="AE18" i="12" a="1"/>
  <c r="AE18" i="12" s="1"/>
  <c r="AG18" i="12" a="1"/>
  <c r="AG18" i="12" s="1"/>
  <c r="AE60" i="12" a="1"/>
  <c r="AE60" i="12" s="1"/>
  <c r="AD60" i="12" a="1"/>
  <c r="AD60" i="12" s="1"/>
  <c r="AB60" i="12" a="1"/>
  <c r="AB60" i="12" s="1"/>
  <c r="AC60" i="12" a="1"/>
  <c r="AC60" i="12" s="1"/>
  <c r="AF60" i="12" a="1"/>
  <c r="AF60" i="12" s="1"/>
  <c r="AG60" i="12" a="1"/>
  <c r="AG60" i="12" s="1"/>
  <c r="AE82" i="12" a="1"/>
  <c r="AE82" i="12" s="1"/>
  <c r="AD82" i="12" a="1"/>
  <c r="AD82" i="12" s="1"/>
  <c r="AG82" i="12" a="1"/>
  <c r="AG82" i="12" s="1"/>
  <c r="AC82" i="12" a="1"/>
  <c r="AC82" i="12" s="1"/>
  <c r="AB82" i="12" a="1"/>
  <c r="AB82" i="12" s="1"/>
  <c r="AF82" i="12" a="1"/>
  <c r="AF82" i="12" s="1"/>
  <c r="AB41" i="12" a="1"/>
  <c r="AB41" i="12" s="1"/>
  <c r="AD41" i="12" a="1"/>
  <c r="AD41" i="12" s="1"/>
  <c r="AC41" i="12" a="1"/>
  <c r="AC41" i="12" s="1"/>
  <c r="AE41" i="12" a="1"/>
  <c r="AE41" i="12" s="1"/>
  <c r="AG41" i="12" a="1"/>
  <c r="AG41" i="12" s="1"/>
  <c r="AF41" i="12" a="1"/>
  <c r="AF41" i="12" s="1"/>
  <c r="AE85" i="12" a="1"/>
  <c r="AE85" i="12" s="1"/>
  <c r="AB85" i="12" a="1"/>
  <c r="AB85" i="12" s="1"/>
  <c r="AF85" i="12" a="1"/>
  <c r="AF85" i="12" s="1"/>
  <c r="AD85" i="12" a="1"/>
  <c r="AD85" i="12" s="1"/>
  <c r="AC85" i="12" a="1"/>
  <c r="AC85" i="12" s="1"/>
  <c r="AG85" i="12" a="1"/>
  <c r="AG85" i="12" s="1"/>
  <c r="AB115" i="12" a="1"/>
  <c r="AB115" i="12" s="1"/>
  <c r="AE115" i="12" a="1"/>
  <c r="AE115" i="12" s="1"/>
  <c r="AG115" i="12" a="1"/>
  <c r="AG115" i="12" s="1"/>
  <c r="AC115" i="12" a="1"/>
  <c r="AC115" i="12" s="1"/>
  <c r="AD115" i="12" a="1"/>
  <c r="AD115" i="12" s="1"/>
  <c r="AF115" i="12" a="1"/>
  <c r="AF115" i="12" s="1"/>
  <c r="AC35" i="12" a="1"/>
  <c r="AC35" i="12" s="1"/>
  <c r="AE35" i="12" a="1"/>
  <c r="AE35" i="12" s="1"/>
  <c r="AD35" i="12" a="1"/>
  <c r="AD35" i="12" s="1"/>
  <c r="AF35" i="12" a="1"/>
  <c r="AF35" i="12" s="1"/>
  <c r="AG35" i="12" a="1"/>
  <c r="AG35" i="12" s="1"/>
  <c r="AB35" i="12" a="1"/>
  <c r="AB35" i="12" s="1"/>
  <c r="AG8" i="12" a="1"/>
  <c r="AG8" i="12" s="1"/>
  <c r="AB8" i="12" a="1"/>
  <c r="AB8" i="12" s="1"/>
  <c r="AF8" i="12" a="1"/>
  <c r="AF8" i="12" s="1"/>
  <c r="AE8" i="12" a="1"/>
  <c r="AE8" i="12" s="1"/>
  <c r="AD8" i="12" a="1"/>
  <c r="AD8" i="12" s="1"/>
  <c r="AC8" i="12" a="1"/>
  <c r="AC8" i="12" s="1"/>
  <c r="AG140" i="12" a="1"/>
  <c r="AG140" i="12" s="1"/>
  <c r="AC140" i="12" a="1"/>
  <c r="AC140" i="12" s="1"/>
  <c r="AF140" i="12" a="1"/>
  <c r="AF140" i="12" s="1"/>
  <c r="AD140" i="12" a="1"/>
  <c r="AD140" i="12" s="1"/>
  <c r="AE140" i="12" a="1"/>
  <c r="AE140" i="12" s="1"/>
  <c r="AB140" i="12" a="1"/>
  <c r="AB140" i="12" s="1"/>
  <c r="AE92" i="12" a="1"/>
  <c r="AE92" i="12" s="1"/>
  <c r="AB92" i="12" a="1"/>
  <c r="AB92" i="12" s="1"/>
  <c r="AC92" i="12" a="1"/>
  <c r="AC92" i="12" s="1"/>
  <c r="AD92" i="12" a="1"/>
  <c r="AD92" i="12" s="1"/>
  <c r="AG92" i="12" a="1"/>
  <c r="AG92" i="12" s="1"/>
  <c r="AF92" i="12" a="1"/>
  <c r="AF92" i="12" s="1"/>
  <c r="AC33" i="12" a="1"/>
  <c r="AC33" i="12" s="1"/>
  <c r="AB33" i="12" a="1"/>
  <c r="AB33" i="12" s="1"/>
  <c r="AF33" i="12" a="1"/>
  <c r="AF33" i="12" s="1"/>
  <c r="AD33" i="12" a="1"/>
  <c r="AD33" i="12" s="1"/>
  <c r="AE33" i="12" a="1"/>
  <c r="AE33" i="12" s="1"/>
  <c r="AG33" i="12" a="1"/>
  <c r="AG33" i="12" s="1"/>
  <c r="AE55" i="12" a="1"/>
  <c r="AE55" i="12" s="1"/>
  <c r="AD55" i="12" a="1"/>
  <c r="AD55" i="12" s="1"/>
  <c r="AG55" i="12" a="1"/>
  <c r="AG55" i="12" s="1"/>
  <c r="AC55" i="12" a="1"/>
  <c r="AC55" i="12" s="1"/>
  <c r="AF55" i="12" a="1"/>
  <c r="AF55" i="12" s="1"/>
  <c r="AB55" i="12" a="1"/>
  <c r="AB55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F1D7DBD-4CB0-4FB3-8225-B17A9D34A107}" keepAlive="1" name="Query - S S" description="Connection to the 'S S' query in the workbook." type="5" refreshedVersion="8" background="1" saveData="1">
    <dbPr connection="Provider=Microsoft.Mashup.OleDb.1;Data Source=$Workbook$;Location=&quot;S S&quot;;Extended Properties=&quot;&quot;" command="SELECT * FROM [S S]"/>
  </connection>
  <connection id="2" xr16:uid="{9F367A8E-DA4D-413B-8B71-B23A5BD45A01}" keepAlive="1" name="Query - VF2026" description="Connection to the 'VF2026' query in the workbook." type="5" refreshedVersion="8" background="1" saveData="1">
    <dbPr connection="Provider=Microsoft.Mashup.OleDb.1;Data Source=$Workbook$;Location=VF2026;Extended Properties=&quot;&quot;" command="SELECT * FROM [VF202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<sst xmlns="http://schemas.openxmlformats.org/spreadsheetml/2006/main" count="5722" uniqueCount="874">
  <si>
    <t>#</t>
  </si>
  <si>
    <t>Nombre</t>
  </si>
  <si>
    <t>Apellido</t>
  </si>
  <si>
    <t>Club</t>
  </si>
  <si>
    <t>Vela</t>
  </si>
  <si>
    <t>CUBA</t>
  </si>
  <si>
    <t>CNP</t>
  </si>
  <si>
    <t>YCO</t>
  </si>
  <si>
    <t>CVR</t>
  </si>
  <si>
    <t>CNSI</t>
  </si>
  <si>
    <t>CRLP</t>
  </si>
  <si>
    <t>CNSP</t>
  </si>
  <si>
    <t>Francisco</t>
  </si>
  <si>
    <t>BARRANCAS</t>
  </si>
  <si>
    <t>Barceló</t>
  </si>
  <si>
    <t>Lola</t>
  </si>
  <si>
    <t>CNMP</t>
  </si>
  <si>
    <t>RRC</t>
  </si>
  <si>
    <t>Delfina</t>
  </si>
  <si>
    <t>Becerra</t>
  </si>
  <si>
    <t>Biasi</t>
  </si>
  <si>
    <t>YCA</t>
  </si>
  <si>
    <t>YCCN</t>
  </si>
  <si>
    <t>CNZ</t>
  </si>
  <si>
    <t>Justo</t>
  </si>
  <si>
    <t>Bracco</t>
  </si>
  <si>
    <t>CVB</t>
  </si>
  <si>
    <t>CNSA</t>
  </si>
  <si>
    <t>Tomás</t>
  </si>
  <si>
    <t>Isabel</t>
  </si>
  <si>
    <t>Juana</t>
  </si>
  <si>
    <t>CRSN</t>
  </si>
  <si>
    <t>JOAQUIN</t>
  </si>
  <si>
    <t>YCR</t>
  </si>
  <si>
    <t>Catalina</t>
  </si>
  <si>
    <t>MAXIMO</t>
  </si>
  <si>
    <t>COROMINAS</t>
  </si>
  <si>
    <t>Paloma</t>
  </si>
  <si>
    <t>Cozar Giuliani</t>
  </si>
  <si>
    <t>CNAs</t>
  </si>
  <si>
    <t>Janko Adriano</t>
  </si>
  <si>
    <t>D'Onofrio Freytes</t>
  </si>
  <si>
    <t>Gael Martín</t>
  </si>
  <si>
    <t>De Bernardis</t>
  </si>
  <si>
    <t>BARRANCAS-CBRIO</t>
  </si>
  <si>
    <t>Bautista</t>
  </si>
  <si>
    <t>D’ottavio</t>
  </si>
  <si>
    <t>FIGUEROA</t>
  </si>
  <si>
    <t>juan bautista</t>
  </si>
  <si>
    <t>figueroa</t>
  </si>
  <si>
    <t>RENATA</t>
  </si>
  <si>
    <t>FUHRMANN</t>
  </si>
  <si>
    <t>Camila</t>
  </si>
  <si>
    <t>Garcia Laborde</t>
  </si>
  <si>
    <t>IGNACIO</t>
  </si>
  <si>
    <t>GENTILI</t>
  </si>
  <si>
    <t>Lara</t>
  </si>
  <si>
    <t>Gherghi Azabal</t>
  </si>
  <si>
    <t>IMANOL</t>
  </si>
  <si>
    <t>GONZALEZ NEGRI</t>
  </si>
  <si>
    <t>MATEO</t>
  </si>
  <si>
    <t>GUILLE</t>
  </si>
  <si>
    <t>Gutiérrez</t>
  </si>
  <si>
    <t>OPTINIC</t>
  </si>
  <si>
    <t>KATZ</t>
  </si>
  <si>
    <t>Emma Josefina</t>
  </si>
  <si>
    <t>Lenzetti Colin</t>
  </si>
  <si>
    <t>CVSI</t>
  </si>
  <si>
    <t>Josefina</t>
  </si>
  <si>
    <t>Mirey</t>
  </si>
  <si>
    <t>Molinari</t>
  </si>
  <si>
    <t>CRR</t>
  </si>
  <si>
    <t>Palmese</t>
  </si>
  <si>
    <t>Juan Agustin</t>
  </si>
  <si>
    <t>Panasci Dubra</t>
  </si>
  <si>
    <t>Juan Ignacio</t>
  </si>
  <si>
    <t>YCC</t>
  </si>
  <si>
    <t>Luján Agustina</t>
  </si>
  <si>
    <t>Pantin</t>
  </si>
  <si>
    <t>Pereiro</t>
  </si>
  <si>
    <t>Benjamin</t>
  </si>
  <si>
    <t>Pericaz Estevez</t>
  </si>
  <si>
    <t>Donato</t>
  </si>
  <si>
    <t>Pichetti</t>
  </si>
  <si>
    <t>Gino</t>
  </si>
  <si>
    <t>LUCIA</t>
  </si>
  <si>
    <t>PROPERZI</t>
  </si>
  <si>
    <t>NINA</t>
  </si>
  <si>
    <t>RAINERI TAVERNA</t>
  </si>
  <si>
    <t>Rosso</t>
  </si>
  <si>
    <t>Valci</t>
  </si>
  <si>
    <t>DNI</t>
  </si>
  <si>
    <t>Timonel</t>
  </si>
  <si>
    <t>R1</t>
  </si>
  <si>
    <t>R2</t>
  </si>
  <si>
    <t>R3</t>
  </si>
  <si>
    <t>Total</t>
  </si>
  <si>
    <t>Nett</t>
  </si>
  <si>
    <t>Descartes</t>
  </si>
  <si>
    <t>DE1</t>
  </si>
  <si>
    <t>DE2</t>
  </si>
  <si>
    <t>DE3</t>
  </si>
  <si>
    <t>Pos</t>
  </si>
  <si>
    <t>|=INDEX(Selectivo[@];;MATCH(Selectivo[[#Headers];[Club]];Selectivo[#Headers];0)+1):INDEX(Selectivo[@];;MATCH(Selectivo[[#Headers];[Total]];Selectivo[#Headers];0)-1)</t>
  </si>
  <si>
    <t>|=SUM(IFERROR(VALUE(LEFT(Selectivo[@[R1]:[R3]]; FIND(" ";Selectivo[@[R1]:[R3]]&amp; " ") - 1)); 0))</t>
  </si>
  <si>
    <t>R4</t>
  </si>
  <si>
    <t>|=AND(F7=LARGE(Regatas; 1); COUNTIF(Regatas; LARGE(Regatas; 1))=1)</t>
  </si>
  <si>
    <t>R5</t>
  </si>
  <si>
    <t>R6</t>
  </si>
  <si>
    <t>|=AND($S$7&gt;=2;--LEFT(F7; SEARCH(" "; F7&amp;" ")-1)=LARGE(FILTER(--LEFT($F7:$K7; SEARCH(" "; $F7:$K7&amp;" ")-1); ISNUMBER(--LEFT($F7:$K7; SEARCH(" "; $F7:$K7&amp;" ")-1)) ); 2); COUNTIF($F7:F7; --LEFT(F7; SEARCH(" "; F7&amp;" ")-1))=1)</t>
  </si>
  <si>
    <t>R7</t>
  </si>
  <si>
    <t>UR</t>
  </si>
  <si>
    <t>DE4</t>
  </si>
  <si>
    <t>|=AND(F7&gt;=LARGE($F7:$L7; 1); COUNTIF($F7:F7; F7)=1;$U$7&gt;=1)</t>
  </si>
  <si>
    <t>R8</t>
  </si>
  <si>
    <t>R9</t>
  </si>
  <si>
    <t>R10</t>
  </si>
  <si>
    <t>|=VALUE(LEFT(IFERROR(XLOOKUP([@DNI];_SIY[DNI];_SIY[R2]);"78");FIND(" ";IFERROR(XLOOKUP([@DNI];_SIY[DNI];_SIY[R2]);"78")&amp;" ")-1))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</si>
  <si>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</si>
  <si>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</si>
  <si>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</si>
  <si>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</si>
  <si>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</si>
  <si>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</si>
  <si>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</si>
  <si>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</si>
  <si>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</si>
  <si>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</si>
  <si>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</si>
  <si>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</si>
  <si>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RESULTADOS SELECTIVO OPTIMIST 2026</t>
  </si>
  <si>
    <t>Gianni</t>
  </si>
  <si>
    <t>Andrés</t>
  </si>
  <si>
    <t>Azul</t>
  </si>
  <si>
    <t>Castiglioni Estrada</t>
  </si>
  <si>
    <t>Gael</t>
  </si>
  <si>
    <t>Elkayam</t>
  </si>
  <si>
    <t>SOFIA</t>
  </si>
  <si>
    <t>HELENA</t>
  </si>
  <si>
    <t>Jean Lucca</t>
  </si>
  <si>
    <t>Reis Demartin Ghiorzi</t>
  </si>
  <si>
    <t>Travería</t>
  </si>
  <si>
    <t>Rank</t>
  </si>
  <si>
    <t>Pais</t>
  </si>
  <si>
    <t>Nac</t>
  </si>
  <si>
    <t>1st</t>
  </si>
  <si>
    <t>ARG</t>
  </si>
  <si>
    <t>MORTEO Tomás</t>
  </si>
  <si>
    <t>1</t>
  </si>
  <si>
    <t>2</t>
  </si>
  <si>
    <t>2nd</t>
  </si>
  <si>
    <t>CALVO Tomás</t>
  </si>
  <si>
    <t>5</t>
  </si>
  <si>
    <t>7</t>
  </si>
  <si>
    <t>3</t>
  </si>
  <si>
    <t>4</t>
  </si>
  <si>
    <t>3rd</t>
  </si>
  <si>
    <t>MOLINARI Tomas</t>
  </si>
  <si>
    <t>6</t>
  </si>
  <si>
    <t>10</t>
  </si>
  <si>
    <t>4th</t>
  </si>
  <si>
    <t>VILLAMARIN Ema</t>
  </si>
  <si>
    <t>9</t>
  </si>
  <si>
    <t>5th</t>
  </si>
  <si>
    <t>PICHETTI Gino</t>
  </si>
  <si>
    <t>13</t>
  </si>
  <si>
    <t>6th</t>
  </si>
  <si>
    <t>ADLERCREUTZ Inés Maria</t>
  </si>
  <si>
    <t>19</t>
  </si>
  <si>
    <t>7th</t>
  </si>
  <si>
    <t>BALBUENA Francisco</t>
  </si>
  <si>
    <t>CPNLB</t>
  </si>
  <si>
    <t>8th</t>
  </si>
  <si>
    <t>PANTIN Lujan Agustina</t>
  </si>
  <si>
    <t>9th</t>
  </si>
  <si>
    <t>FIGUEROA Joaquin</t>
  </si>
  <si>
    <t>11</t>
  </si>
  <si>
    <t>8</t>
  </si>
  <si>
    <t>10th</t>
  </si>
  <si>
    <t>COROMINAS Maximo</t>
  </si>
  <si>
    <t>15</t>
  </si>
  <si>
    <t>11th</t>
  </si>
  <si>
    <t>CALABRESE Francisco</t>
  </si>
  <si>
    <t>14</t>
  </si>
  <si>
    <t>12th</t>
  </si>
  <si>
    <t>GOMEZ Catalina</t>
  </si>
  <si>
    <t>20</t>
  </si>
  <si>
    <t>13th</t>
  </si>
  <si>
    <t>MESSINA Milo</t>
  </si>
  <si>
    <t>14th</t>
  </si>
  <si>
    <t>VIEYTEZ Martin</t>
  </si>
  <si>
    <t>CNMP/ CUBA</t>
  </si>
  <si>
    <t>15th</t>
  </si>
  <si>
    <t>VESPERINI Tiziano</t>
  </si>
  <si>
    <t>16th</t>
  </si>
  <si>
    <t>LOZANO Bartolome</t>
  </si>
  <si>
    <t>17th</t>
  </si>
  <si>
    <t>FIGUEROA Juan Bautista</t>
  </si>
  <si>
    <t>17</t>
  </si>
  <si>
    <t>12</t>
  </si>
  <si>
    <t>18th</t>
  </si>
  <si>
    <t>DONOFRIO FREYTES Janko</t>
  </si>
  <si>
    <t>19th</t>
  </si>
  <si>
    <t>ZABALA Pilar</t>
  </si>
  <si>
    <t>20th</t>
  </si>
  <si>
    <t>LOUREYRO MORGENSTERN Lisandro</t>
  </si>
  <si>
    <t>21st</t>
  </si>
  <si>
    <t>LÓPEZ BUSTOS Nuria</t>
  </si>
  <si>
    <t>22nd</t>
  </si>
  <si>
    <t>RAINERI TAVERNA Nina</t>
  </si>
  <si>
    <t>16</t>
  </si>
  <si>
    <t>23rd</t>
  </si>
  <si>
    <t>RODRÍGUEZ THEVENON Valentin</t>
  </si>
  <si>
    <t>24th</t>
  </si>
  <si>
    <t>BRACCO Justo</t>
  </si>
  <si>
    <t>18</t>
  </si>
  <si>
    <t>25th</t>
  </si>
  <si>
    <t>TESONE Delfina</t>
  </si>
  <si>
    <t>26th</t>
  </si>
  <si>
    <t>AROCENA Joaco</t>
  </si>
  <si>
    <t>27th</t>
  </si>
  <si>
    <t>FUHRMANN Renata</t>
  </si>
  <si>
    <t>28th</t>
  </si>
  <si>
    <t>GAUNA Julian</t>
  </si>
  <si>
    <t>29th</t>
  </si>
  <si>
    <t>BIZZOZERO Tomas</t>
  </si>
  <si>
    <t>30th</t>
  </si>
  <si>
    <t>FERREYRA Valentina</t>
  </si>
  <si>
    <t>31st</t>
  </si>
  <si>
    <t>GUTIÉRREZ Juana</t>
  </si>
  <si>
    <t>23</t>
  </si>
  <si>
    <t>32nd</t>
  </si>
  <si>
    <t>LENZETTI COLIN Emma</t>
  </si>
  <si>
    <t>22</t>
  </si>
  <si>
    <t>33rd</t>
  </si>
  <si>
    <t>GENTILI Ignacio</t>
  </si>
  <si>
    <t>34th</t>
  </si>
  <si>
    <t>PECIÑA GUALDONI Lucia</t>
  </si>
  <si>
    <t>35th</t>
  </si>
  <si>
    <t>MIREY Josefina</t>
  </si>
  <si>
    <t>25</t>
  </si>
  <si>
    <t>36th</t>
  </si>
  <si>
    <t>BEARZOTTI Pedro</t>
  </si>
  <si>
    <t>29</t>
  </si>
  <si>
    <t>28</t>
  </si>
  <si>
    <t>37th</t>
  </si>
  <si>
    <t>GONZALEZ Felipe</t>
  </si>
  <si>
    <t>26</t>
  </si>
  <si>
    <t>38th</t>
  </si>
  <si>
    <t>DOVAL Felix</t>
  </si>
  <si>
    <t>39th</t>
  </si>
  <si>
    <t>PANASCI DUBRA Agustin</t>
  </si>
  <si>
    <t>40th</t>
  </si>
  <si>
    <t>FUNES DE RIOJA Lucia</t>
  </si>
  <si>
    <t>33 SCP</t>
  </si>
  <si>
    <t>41st</t>
  </si>
  <si>
    <t>SANER Tomás</t>
  </si>
  <si>
    <t>42nd</t>
  </si>
  <si>
    <t>LUQUE Delfina</t>
  </si>
  <si>
    <t>43rd</t>
  </si>
  <si>
    <t>BECERRA Delfina</t>
  </si>
  <si>
    <t>44th</t>
  </si>
  <si>
    <t>BELARDI DE LEON Amelia Matea</t>
  </si>
  <si>
    <t>21</t>
  </si>
  <si>
    <t>45th</t>
  </si>
  <si>
    <t>D’OTTAVIO Bautista</t>
  </si>
  <si>
    <t>24</t>
  </si>
  <si>
    <t>46th</t>
  </si>
  <si>
    <t>PALMESE Francisco</t>
  </si>
  <si>
    <t>47th</t>
  </si>
  <si>
    <t>GUILLE Mateo</t>
  </si>
  <si>
    <t>48th</t>
  </si>
  <si>
    <t>CASTIGLIONI Francisco</t>
  </si>
  <si>
    <t>38</t>
  </si>
  <si>
    <t>49th</t>
  </si>
  <si>
    <t>VUGDELIJA Emilia</t>
  </si>
  <si>
    <t>50th</t>
  </si>
  <si>
    <t>ROCCATAGLIATA Lorenzo</t>
  </si>
  <si>
    <t>27</t>
  </si>
  <si>
    <t>51st</t>
  </si>
  <si>
    <t>VALCI Catalina</t>
  </si>
  <si>
    <t>52nd</t>
  </si>
  <si>
    <t>MUZZIO Ambar</t>
  </si>
  <si>
    <t>53rd</t>
  </si>
  <si>
    <t>HANONO Lucio</t>
  </si>
  <si>
    <t>35</t>
  </si>
  <si>
    <t>54th</t>
  </si>
  <si>
    <t>KRENEK Francisco</t>
  </si>
  <si>
    <t>55th</t>
  </si>
  <si>
    <t>CARANTI Isabel</t>
  </si>
  <si>
    <t>56th</t>
  </si>
  <si>
    <t>KATZ Helena</t>
  </si>
  <si>
    <t>57th</t>
  </si>
  <si>
    <t>ZABALA Rodrigo</t>
  </si>
  <si>
    <t>36</t>
  </si>
  <si>
    <t>58th</t>
  </si>
  <si>
    <t>JAIMOVICH LANDEO Thaya</t>
  </si>
  <si>
    <t>59th</t>
  </si>
  <si>
    <t>CARRETTO Joaquín</t>
  </si>
  <si>
    <t>30</t>
  </si>
  <si>
    <t>60th</t>
  </si>
  <si>
    <t>COZAR GIULIANI Paloma</t>
  </si>
  <si>
    <t>61st</t>
  </si>
  <si>
    <t>STABILE Marcos</t>
  </si>
  <si>
    <t>62nd</t>
  </si>
  <si>
    <t>GHERGHI Lara</t>
  </si>
  <si>
    <t>33</t>
  </si>
  <si>
    <t>63rd</t>
  </si>
  <si>
    <t>NIEVA QUINTEROS Santiago</t>
  </si>
  <si>
    <t>64th</t>
  </si>
  <si>
    <t>GONZALEZ NEGRI Imanol</t>
  </si>
  <si>
    <t>65th</t>
  </si>
  <si>
    <t>LUCIA Properzi</t>
  </si>
  <si>
    <t>31</t>
  </si>
  <si>
    <t>66th</t>
  </si>
  <si>
    <t>MAFFEI Valentina</t>
  </si>
  <si>
    <t>67th</t>
  </si>
  <si>
    <t>PICHETTI Donato</t>
  </si>
  <si>
    <t>32</t>
  </si>
  <si>
    <t>34</t>
  </si>
  <si>
    <t>68th</t>
  </si>
  <si>
    <t>CICHOWOLSKI Santiago</t>
  </si>
  <si>
    <t>69th</t>
  </si>
  <si>
    <t>FOLGUERA Silvio</t>
  </si>
  <si>
    <t>70th</t>
  </si>
  <si>
    <t>BLAS Felipe</t>
  </si>
  <si>
    <t>42</t>
  </si>
  <si>
    <t>71st</t>
  </si>
  <si>
    <t>LACCHINI Fausto</t>
  </si>
  <si>
    <t>72nd</t>
  </si>
  <si>
    <t>PEREIRO Bautista</t>
  </si>
  <si>
    <t>60 BFD</t>
  </si>
  <si>
    <t>60 DSQ</t>
  </si>
  <si>
    <t>73rd</t>
  </si>
  <si>
    <t>DE CESARIS Emma</t>
  </si>
  <si>
    <t>CNPA/WIND</t>
  </si>
  <si>
    <t>74th</t>
  </si>
  <si>
    <t>GODOY Renata</t>
  </si>
  <si>
    <t>75th</t>
  </si>
  <si>
    <t>GARCÍA LABORDE Camila</t>
  </si>
  <si>
    <t>76th</t>
  </si>
  <si>
    <t>GRINVALD Emma</t>
  </si>
  <si>
    <t>CMR</t>
  </si>
  <si>
    <t>77th</t>
  </si>
  <si>
    <t>BARCELÓ Lola</t>
  </si>
  <si>
    <t>78th</t>
  </si>
  <si>
    <t>ZORRAQUIN Marcos</t>
  </si>
  <si>
    <t>79th</t>
  </si>
  <si>
    <t>QUESADA Tomas</t>
  </si>
  <si>
    <t>80th</t>
  </si>
  <si>
    <t>MONES Rafael</t>
  </si>
  <si>
    <t>81st</t>
  </si>
  <si>
    <t>CUESTAS Astor</t>
  </si>
  <si>
    <t>82nd</t>
  </si>
  <si>
    <t>DE BERNARDIS Gael</t>
  </si>
  <si>
    <t>41</t>
  </si>
  <si>
    <t>40</t>
  </si>
  <si>
    <t>83rd</t>
  </si>
  <si>
    <t>DOMINGUEZ Catalina</t>
  </si>
  <si>
    <t>84th</t>
  </si>
  <si>
    <t>GIBERT Fermin</t>
  </si>
  <si>
    <t>85th</t>
  </si>
  <si>
    <t>ROSSO Juan Ignacio</t>
  </si>
  <si>
    <t>86th</t>
  </si>
  <si>
    <t>PIERSON Guido</t>
  </si>
  <si>
    <t>87th</t>
  </si>
  <si>
    <t>LEZANA Helena</t>
  </si>
  <si>
    <t>88th</t>
  </si>
  <si>
    <t>PANASCI DUBRA Nacho</t>
  </si>
  <si>
    <t>37</t>
  </si>
  <si>
    <t>89th</t>
  </si>
  <si>
    <t>ANDRES Gianni</t>
  </si>
  <si>
    <t>90th</t>
  </si>
  <si>
    <t>ORTIZ BEORLEGUI Mercedes</t>
  </si>
  <si>
    <t>91st</t>
  </si>
  <si>
    <t>CASTEX Catalina</t>
  </si>
  <si>
    <t>92nd</t>
  </si>
  <si>
    <t>GRAHAM Quinto</t>
  </si>
  <si>
    <t>43</t>
  </si>
  <si>
    <t>93rd</t>
  </si>
  <si>
    <t>HIDALGO Iván Agustín</t>
  </si>
  <si>
    <t>94th</t>
  </si>
  <si>
    <t>REIS DEMARTIN Jean Lucca</t>
  </si>
  <si>
    <t>49</t>
  </si>
  <si>
    <t>48</t>
  </si>
  <si>
    <t>95th</t>
  </si>
  <si>
    <t>GIANNUZZI Ignacio</t>
  </si>
  <si>
    <t>96th</t>
  </si>
  <si>
    <t>MAFFEI Constantino</t>
  </si>
  <si>
    <t>97th</t>
  </si>
  <si>
    <t>COCOZZA Julia</t>
  </si>
  <si>
    <t>98th</t>
  </si>
  <si>
    <t>HARIRI Pedro</t>
  </si>
  <si>
    <t>99th</t>
  </si>
  <si>
    <t>MAINERO Federico</t>
  </si>
  <si>
    <t>100th</t>
  </si>
  <si>
    <t>MENDO Justina</t>
  </si>
  <si>
    <t>101st</t>
  </si>
  <si>
    <t>DOMÍNGUEZ Facundo</t>
  </si>
  <si>
    <t>102nd</t>
  </si>
  <si>
    <t>ANTONI Manuel</t>
  </si>
  <si>
    <t>103rd</t>
  </si>
  <si>
    <t>BIELER Tizziano</t>
  </si>
  <si>
    <t>39</t>
  </si>
  <si>
    <t>104th</t>
  </si>
  <si>
    <t>PASTORI Antonella</t>
  </si>
  <si>
    <t>105th</t>
  </si>
  <si>
    <t>AIMÉ Barceló</t>
  </si>
  <si>
    <t>106th</t>
  </si>
  <si>
    <t>GUILLE Sofia</t>
  </si>
  <si>
    <t>107th</t>
  </si>
  <si>
    <t>COSTA URQUIZA Marcos</t>
  </si>
  <si>
    <t>46</t>
  </si>
  <si>
    <t>108th</t>
  </si>
  <si>
    <t>ARCURI Chiara</t>
  </si>
  <si>
    <t>109th</t>
  </si>
  <si>
    <t>CELLA Chloé</t>
  </si>
  <si>
    <t>PA/WSS</t>
  </si>
  <si>
    <t>110th</t>
  </si>
  <si>
    <t>SERAFINI Galo</t>
  </si>
  <si>
    <t>44</t>
  </si>
  <si>
    <t>111th</t>
  </si>
  <si>
    <t>KORENDIJ Matilde</t>
  </si>
  <si>
    <t>112th</t>
  </si>
  <si>
    <t>TRAVERÍA Isabel</t>
  </si>
  <si>
    <t>113th</t>
  </si>
  <si>
    <t>WEIR Sofia</t>
  </si>
  <si>
    <t>114th</t>
  </si>
  <si>
    <t>JENDRYKA Bautista</t>
  </si>
  <si>
    <t>115th</t>
  </si>
  <si>
    <t>MUSUMECI Enzo</t>
  </si>
  <si>
    <t>116th</t>
  </si>
  <si>
    <t>SCHERE PENA Agustina</t>
  </si>
  <si>
    <t>117th</t>
  </si>
  <si>
    <t>SLY Ian</t>
  </si>
  <si>
    <t>54</t>
  </si>
  <si>
    <t>118th</t>
  </si>
  <si>
    <t>AMESPIL Marcos</t>
  </si>
  <si>
    <t>45</t>
  </si>
  <si>
    <t>119th</t>
  </si>
  <si>
    <t>GALEAZZI Francesco</t>
  </si>
  <si>
    <t>47</t>
  </si>
  <si>
    <t>120th</t>
  </si>
  <si>
    <t>TEJADA IBAÑEZ Marcos</t>
  </si>
  <si>
    <t>52</t>
  </si>
  <si>
    <t>121st</t>
  </si>
  <si>
    <t>VAZQUEZ DEL CAMPO Fermin</t>
  </si>
  <si>
    <t>122nd</t>
  </si>
  <si>
    <t>POGGIO Santiago</t>
  </si>
  <si>
    <t>123rd</t>
  </si>
  <si>
    <t>MORENO PEDROSO Simona</t>
  </si>
  <si>
    <t>51</t>
  </si>
  <si>
    <t>124th</t>
  </si>
  <si>
    <t>BEGINO Juan</t>
  </si>
  <si>
    <t>HS</t>
  </si>
  <si>
    <t>125th</t>
  </si>
  <si>
    <t>PALACIO Agustín</t>
  </si>
  <si>
    <t>126th</t>
  </si>
  <si>
    <t>MUSUMECI Lucía</t>
  </si>
  <si>
    <t>127th</t>
  </si>
  <si>
    <t>SACCHI Hilario</t>
  </si>
  <si>
    <t>128th</t>
  </si>
  <si>
    <t>VIDAL Julia</t>
  </si>
  <si>
    <t>HUAPI SAILORS</t>
  </si>
  <si>
    <t>129th</t>
  </si>
  <si>
    <t>PITTALUGA Martina</t>
  </si>
  <si>
    <t>130th</t>
  </si>
  <si>
    <t>SALVATIERRA Luca</t>
  </si>
  <si>
    <t>60 DNC</t>
  </si>
  <si>
    <t>131st</t>
  </si>
  <si>
    <t>MUSSEL Olivia</t>
  </si>
  <si>
    <t>132nd</t>
  </si>
  <si>
    <t>RUIZ DÍAZ RAMÍREZ Florencia Aylen</t>
  </si>
  <si>
    <t>133rd</t>
  </si>
  <si>
    <t>LARGHI Genaro</t>
  </si>
  <si>
    <t>134th</t>
  </si>
  <si>
    <t>MAESO Evangelina</t>
  </si>
  <si>
    <t>50</t>
  </si>
  <si>
    <t>53</t>
  </si>
  <si>
    <t>135th</t>
  </si>
  <si>
    <t>ELKAYAM Gael</t>
  </si>
  <si>
    <t>136th</t>
  </si>
  <si>
    <t>OCARIZ Juan Cruz</t>
  </si>
  <si>
    <t>137th</t>
  </si>
  <si>
    <t>FRASCHINA Pilar</t>
  </si>
  <si>
    <t>138th</t>
  </si>
  <si>
    <t>VELEZ Agustina</t>
  </si>
  <si>
    <t>NAUTICO ZARATE</t>
  </si>
  <si>
    <t>139th</t>
  </si>
  <si>
    <t>MASSA GALLI Valentin</t>
  </si>
  <si>
    <t>56</t>
  </si>
  <si>
    <t>140th</t>
  </si>
  <si>
    <t>BENITEZ BARONTI Catarina</t>
  </si>
  <si>
    <t>55</t>
  </si>
  <si>
    <t>141st</t>
  </si>
  <si>
    <t>BIASI Azul</t>
  </si>
  <si>
    <t>142nd</t>
  </si>
  <si>
    <t>BOZ Justina</t>
  </si>
  <si>
    <t>143rd</t>
  </si>
  <si>
    <t>MURGIA Matias</t>
  </si>
  <si>
    <t>CNJ</t>
  </si>
  <si>
    <t>144th</t>
  </si>
  <si>
    <t>NIEVA ORELLANA Romeo</t>
  </si>
  <si>
    <t>CBRIO-CPNLB</t>
  </si>
  <si>
    <t>60 UFD</t>
  </si>
  <si>
    <t>145th</t>
  </si>
  <si>
    <t>LAISE Tiziano</t>
  </si>
  <si>
    <t>146th</t>
  </si>
  <si>
    <t>PLOU PEÑAFORT Alma</t>
  </si>
  <si>
    <t>147th</t>
  </si>
  <si>
    <t>NARANJO MALDONADO Mateo</t>
  </si>
  <si>
    <t>148th</t>
  </si>
  <si>
    <t>MENDOZA Felipe Jesús</t>
  </si>
  <si>
    <t>149th</t>
  </si>
  <si>
    <t>ORTIZ BEORLEGUI Lucía</t>
  </si>
  <si>
    <t>150th</t>
  </si>
  <si>
    <t>GIULIANI Antonia</t>
  </si>
  <si>
    <t>151st</t>
  </si>
  <si>
    <t>LEMOS VIVIANT Agustin</t>
  </si>
  <si>
    <t>152nd</t>
  </si>
  <si>
    <t>PERICAZ ESTEVEZ Benjamin</t>
  </si>
  <si>
    <t>153rd</t>
  </si>
  <si>
    <t>MAINE María</t>
  </si>
  <si>
    <t>154th</t>
  </si>
  <si>
    <t>GARRO Indiana</t>
  </si>
  <si>
    <t>155th</t>
  </si>
  <si>
    <t>ARANDA Allegra Juliana</t>
  </si>
  <si>
    <t>156th</t>
  </si>
  <si>
    <t>PARRINO Dante</t>
  </si>
  <si>
    <t>57</t>
  </si>
  <si>
    <t>157th</t>
  </si>
  <si>
    <t>ELORRIAGA Felipe</t>
  </si>
  <si>
    <t>158th</t>
  </si>
  <si>
    <t>PERUILH Milagros</t>
  </si>
  <si>
    <t>159th</t>
  </si>
  <si>
    <t>PAOLI Tomas</t>
  </si>
  <si>
    <t>58</t>
  </si>
  <si>
    <t>60 DNF</t>
  </si>
  <si>
    <t>160th</t>
  </si>
  <si>
    <t>MERCERAT Bernarda</t>
  </si>
  <si>
    <t>59</t>
  </si>
  <si>
    <t>Ines</t>
  </si>
  <si>
    <t>Adlercreutz</t>
  </si>
  <si>
    <t>Marcos</t>
  </si>
  <si>
    <t>Amespil</t>
  </si>
  <si>
    <t>Manuel</t>
  </si>
  <si>
    <t>Antoni</t>
  </si>
  <si>
    <t>Allegra Juliana</t>
  </si>
  <si>
    <t>Aranda</t>
  </si>
  <si>
    <t>Chiara</t>
  </si>
  <si>
    <t>Arcuri</t>
  </si>
  <si>
    <t>Joaquín</t>
  </si>
  <si>
    <t>Arocena</t>
  </si>
  <si>
    <t>BALBUENA</t>
  </si>
  <si>
    <t>Aimé</t>
  </si>
  <si>
    <t>PEDRO</t>
  </si>
  <si>
    <t>BEARZOTTI</t>
  </si>
  <si>
    <t>Juan</t>
  </si>
  <si>
    <t>Begino</t>
  </si>
  <si>
    <t>AMELIA MATEA</t>
  </si>
  <si>
    <t>BELARDI DE LEON</t>
  </si>
  <si>
    <t>Catarina</t>
  </si>
  <si>
    <t>Benitez Baronti</t>
  </si>
  <si>
    <t>Tizziano</t>
  </si>
  <si>
    <t>Bieler</t>
  </si>
  <si>
    <t>Tomas</t>
  </si>
  <si>
    <t>Bizzozero Simone</t>
  </si>
  <si>
    <t>Felipe</t>
  </si>
  <si>
    <t>Blas</t>
  </si>
  <si>
    <t>JUSTINA</t>
  </si>
  <si>
    <t>BOZ</t>
  </si>
  <si>
    <t>Olivia</t>
  </si>
  <si>
    <t>Brunetta</t>
  </si>
  <si>
    <t>francisco</t>
  </si>
  <si>
    <t>calabrese</t>
  </si>
  <si>
    <t>Calvo</t>
  </si>
  <si>
    <t>Caranti</t>
  </si>
  <si>
    <t>CARRETTO</t>
  </si>
  <si>
    <t>Castex</t>
  </si>
  <si>
    <t>Chloé</t>
  </si>
  <si>
    <t>Cella</t>
  </si>
  <si>
    <t>EVW</t>
  </si>
  <si>
    <t>Santiago</t>
  </si>
  <si>
    <t>Cichowolski Iribas</t>
  </si>
  <si>
    <t>Julia Inés</t>
  </si>
  <si>
    <t>Cocozza</t>
  </si>
  <si>
    <t>Costa Urquiza</t>
  </si>
  <si>
    <t>ASTOR</t>
  </si>
  <si>
    <t>CUESTAS</t>
  </si>
  <si>
    <t>Emma</t>
  </si>
  <si>
    <t>De Cesaris</t>
  </si>
  <si>
    <t>Catalina Jazmin</t>
  </si>
  <si>
    <t>Dominguez</t>
  </si>
  <si>
    <t>Facundo</t>
  </si>
  <si>
    <t>Domínguez</t>
  </si>
  <si>
    <t>Felix</t>
  </si>
  <si>
    <t>Doval</t>
  </si>
  <si>
    <t>Elorriaga</t>
  </si>
  <si>
    <t>Valentina</t>
  </si>
  <si>
    <t>Ferreyra</t>
  </si>
  <si>
    <t>Silvio</t>
  </si>
  <si>
    <t>Folguera</t>
  </si>
  <si>
    <t>Pilar</t>
  </si>
  <si>
    <t>Fraschina</t>
  </si>
  <si>
    <t>Lucia</t>
  </si>
  <si>
    <t>Funes de Rioja</t>
  </si>
  <si>
    <t>Francesco</t>
  </si>
  <si>
    <t>Galeazzi</t>
  </si>
  <si>
    <t>Indiana</t>
  </si>
  <si>
    <t>Garro</t>
  </si>
  <si>
    <t>JULIAN</t>
  </si>
  <si>
    <t>GAUNA</t>
  </si>
  <si>
    <t>Ignacio</t>
  </si>
  <si>
    <t>Giannuzzi</t>
  </si>
  <si>
    <t>Fermin</t>
  </si>
  <si>
    <t>Gibert</t>
  </si>
  <si>
    <t>Antonia</t>
  </si>
  <si>
    <t>Giuliani</t>
  </si>
  <si>
    <t>Renata Carmela</t>
  </si>
  <si>
    <t>Godoy Coronel</t>
  </si>
  <si>
    <t>Gomez</t>
  </si>
  <si>
    <t>González</t>
  </si>
  <si>
    <t>LUCIO QUINTO</t>
  </si>
  <si>
    <t>GRAHAM</t>
  </si>
  <si>
    <t>Grinvald</t>
  </si>
  <si>
    <t>Lucio</t>
  </si>
  <si>
    <t>Hanono</t>
  </si>
  <si>
    <t>Pedro</t>
  </si>
  <si>
    <t>Hariri</t>
  </si>
  <si>
    <t>Iván Agustín</t>
  </si>
  <si>
    <t>Hidalgo</t>
  </si>
  <si>
    <t>Thaya</t>
  </si>
  <si>
    <t>Jaimovich Landeo</t>
  </si>
  <si>
    <t>Jendrika</t>
  </si>
  <si>
    <t>Matilde</t>
  </si>
  <si>
    <t>Korendij</t>
  </si>
  <si>
    <t>FRANCISCO</t>
  </si>
  <si>
    <t>KRENEK</t>
  </si>
  <si>
    <t>Fausto</t>
  </si>
  <si>
    <t>Lacchini</t>
  </si>
  <si>
    <t>Tiziano</t>
  </si>
  <si>
    <t>Laise</t>
  </si>
  <si>
    <t>Genaro</t>
  </si>
  <si>
    <t>Larghi</t>
  </si>
  <si>
    <t>Agustin</t>
  </si>
  <si>
    <t>Lemos Viviant</t>
  </si>
  <si>
    <t>LEZANA</t>
  </si>
  <si>
    <t>Nuria</t>
  </si>
  <si>
    <t>López Bustos</t>
  </si>
  <si>
    <t>Lisandro</t>
  </si>
  <si>
    <t>Loureyro Morgenstern</t>
  </si>
  <si>
    <t>Bartolome</t>
  </si>
  <si>
    <t>Lozano</t>
  </si>
  <si>
    <t>Delfina Rosario</t>
  </si>
  <si>
    <t>Luque</t>
  </si>
  <si>
    <t>EVANGELINA</t>
  </si>
  <si>
    <t>MAESO</t>
  </si>
  <si>
    <t>CONSTATINO</t>
  </si>
  <si>
    <t>MAFFEI</t>
  </si>
  <si>
    <t>Valentina María</t>
  </si>
  <si>
    <t>Maffei</t>
  </si>
  <si>
    <t>Maria</t>
  </si>
  <si>
    <t>Maine</t>
  </si>
  <si>
    <t>FEDERICO</t>
  </si>
  <si>
    <t>MAINERO</t>
  </si>
  <si>
    <t>Valentin</t>
  </si>
  <si>
    <t>Massa Galli</t>
  </si>
  <si>
    <t>Justina</t>
  </si>
  <si>
    <t>Mendo</t>
  </si>
  <si>
    <t>Felipe Jesús</t>
  </si>
  <si>
    <t>MENDOZA</t>
  </si>
  <si>
    <t>BERNARDA</t>
  </si>
  <si>
    <t>MERCERAT</t>
  </si>
  <si>
    <t>MILO AGUSTIN</t>
  </si>
  <si>
    <t>MESSINA</t>
  </si>
  <si>
    <t>Rafael</t>
  </si>
  <si>
    <t>Mones Ruiz</t>
  </si>
  <si>
    <t>Simona</t>
  </si>
  <si>
    <t>Moreno</t>
  </si>
  <si>
    <t>Morteo</t>
  </si>
  <si>
    <t>Matias</t>
  </si>
  <si>
    <t>Murgia</t>
  </si>
  <si>
    <t>Mussel</t>
  </si>
  <si>
    <t>Lucía</t>
  </si>
  <si>
    <t>Musumeci</t>
  </si>
  <si>
    <t>Enzo</t>
  </si>
  <si>
    <t>Ambar</t>
  </si>
  <si>
    <t>Muzzio</t>
  </si>
  <si>
    <t>Mateo</t>
  </si>
  <si>
    <t>Naranjo Maldonado</t>
  </si>
  <si>
    <t>Romeo David</t>
  </si>
  <si>
    <t>Nieva</t>
  </si>
  <si>
    <t>Nievas Quinteros</t>
  </si>
  <si>
    <t>JUAN CRUZ</t>
  </si>
  <si>
    <t>OCARIZ</t>
  </si>
  <si>
    <t>Mercedes</t>
  </si>
  <si>
    <t>ORTIZ BEORLEGUI</t>
  </si>
  <si>
    <t>AGUSTIN</t>
  </si>
  <si>
    <t>PALACIO CANTO</t>
  </si>
  <si>
    <t>Paoli</t>
  </si>
  <si>
    <t>Dante</t>
  </si>
  <si>
    <t>Parrino</t>
  </si>
  <si>
    <t>Antonella</t>
  </si>
  <si>
    <t>Pastori</t>
  </si>
  <si>
    <t>Peciña Gualdoni</t>
  </si>
  <si>
    <t>Milagros Agustina</t>
  </si>
  <si>
    <t>Peruilh Chevalier</t>
  </si>
  <si>
    <t>Guido</t>
  </si>
  <si>
    <t>Pierson</t>
  </si>
  <si>
    <t>Martina</t>
  </si>
  <si>
    <t>Pittaluga</t>
  </si>
  <si>
    <t>Alma</t>
  </si>
  <si>
    <t>Plou Peñafort</t>
  </si>
  <si>
    <t>Poggio</t>
  </si>
  <si>
    <t>Quesada</t>
  </si>
  <si>
    <t>Lorenzo</t>
  </si>
  <si>
    <t>Roccatagliata</t>
  </si>
  <si>
    <t>Valentin Matias</t>
  </si>
  <si>
    <t>Rodriguez Thevenon</t>
  </si>
  <si>
    <t>FLORENCIA AYLEN</t>
  </si>
  <si>
    <t>RUIZ DIAZ RAMIREZ</t>
  </si>
  <si>
    <t>HILARIO</t>
  </si>
  <si>
    <t>SACCHI</t>
  </si>
  <si>
    <t>Luca</t>
  </si>
  <si>
    <t>Salvatierra</t>
  </si>
  <si>
    <t>Saner</t>
  </si>
  <si>
    <t>Agustina</t>
  </si>
  <si>
    <t>Schere Pena</t>
  </si>
  <si>
    <t>Galo</t>
  </si>
  <si>
    <t>Serafini</t>
  </si>
  <si>
    <t>Silva Robinson</t>
  </si>
  <si>
    <t>Ian</t>
  </si>
  <si>
    <t>Sly</t>
  </si>
  <si>
    <t>Stabile</t>
  </si>
  <si>
    <t>Marcos Sebastián</t>
  </si>
  <si>
    <t>Tejada Ibáñez</t>
  </si>
  <si>
    <t>DELFINA</t>
  </si>
  <si>
    <t>TESONE</t>
  </si>
  <si>
    <t>Fermín</t>
  </si>
  <si>
    <t>Vázquez del Campo</t>
  </si>
  <si>
    <t>Velez</t>
  </si>
  <si>
    <t>TIZIANO</t>
  </si>
  <si>
    <t>VESPERINI</t>
  </si>
  <si>
    <t>Julia</t>
  </si>
  <si>
    <t>Vidal</t>
  </si>
  <si>
    <t>CNB</t>
  </si>
  <si>
    <t>Martin</t>
  </si>
  <si>
    <t>Vieytez</t>
  </si>
  <si>
    <t>Ema</t>
  </si>
  <si>
    <t>Villamarin</t>
  </si>
  <si>
    <t>EMILIA</t>
  </si>
  <si>
    <t>VUGDELIJA</t>
  </si>
  <si>
    <t>Sofia</t>
  </si>
  <si>
    <t>Weir</t>
  </si>
  <si>
    <t>Rodrigo Ignacio</t>
  </si>
  <si>
    <t>Zabala</t>
  </si>
  <si>
    <t>Pilar Andrea</t>
  </si>
  <si>
    <t>Zorraquin</t>
  </si>
  <si>
    <t>SILVA ROBINSON Marcos</t>
  </si>
  <si>
    <t>BRUNETTA Olivia</t>
  </si>
  <si>
    <t>S</t>
  </si>
  <si>
    <t/>
  </si>
  <si>
    <t>D'OTTAVIO Bautista</t>
  </si>
  <si>
    <t>RODRIGUEZ THEVENON Valentin</t>
  </si>
  <si>
    <t>PANTIN Luján Agustina</t>
  </si>
  <si>
    <t>4 SPa</t>
  </si>
  <si>
    <t>LENZETTI Emma</t>
  </si>
  <si>
    <t>BIZZOZERO Tomás</t>
  </si>
  <si>
    <t>ADLERCREUTZ Ines</t>
  </si>
  <si>
    <t>PROPERZI Lucia</t>
  </si>
  <si>
    <t>PECIÑA Lucia</t>
  </si>
  <si>
    <t>PANASCI Nacho</t>
  </si>
  <si>
    <t>LOUREYRO Lisandro</t>
  </si>
  <si>
    <t>GONZÁLEZ Felipe</t>
  </si>
  <si>
    <t>GUTIERREZ Juana</t>
  </si>
  <si>
    <t>GARCIA LABORDE Camila</t>
  </si>
  <si>
    <t>WSS</t>
  </si>
  <si>
    <t>OJEDA LOIS Ignacio</t>
  </si>
  <si>
    <t>CARRETTO Joaquin</t>
  </si>
  <si>
    <t>BEGINO MORERO Juan Francisco</t>
  </si>
  <si>
    <t>CPNLB - CBRIO</t>
  </si>
  <si>
    <t>BOERI DI GIORGIO Camilo</t>
  </si>
  <si>
    <t>BOERI DI GIORGIO Lucas</t>
  </si>
  <si>
    <t>BARCELÓ Aimé</t>
  </si>
  <si>
    <t>RONCHI Nicolas Augusto</t>
  </si>
  <si>
    <t>65 BFD</t>
  </si>
  <si>
    <t>CURUTCHET Martin Segundo</t>
  </si>
  <si>
    <t>BERTANI Simón</t>
  </si>
  <si>
    <t>CALLEGARI María Victoria</t>
  </si>
  <si>
    <t>JUAN DE PAZ Ciro</t>
  </si>
  <si>
    <t>DURAÑONA Felipe</t>
  </si>
  <si>
    <t>MIREY Juan Francisco</t>
  </si>
  <si>
    <t>CHAVARRIA Valentin</t>
  </si>
  <si>
    <t>65 UFD</t>
  </si>
  <si>
    <t>STABILE Santos</t>
  </si>
  <si>
    <t>VÁZQUEZ DEL CAMPO Fermín</t>
  </si>
  <si>
    <t>GUERRA WEDER Estefanía</t>
  </si>
  <si>
    <t>ZARDINI Fernando</t>
  </si>
  <si>
    <t>CGLNM</t>
  </si>
  <si>
    <t>MAINE Maria</t>
  </si>
  <si>
    <t>SILVA Marcos</t>
  </si>
  <si>
    <t>DE ARRIBA Isabel</t>
  </si>
  <si>
    <t>MURGIA Matías</t>
  </si>
  <si>
    <t>MUL Martin</t>
  </si>
  <si>
    <t>MAFFEI Francesco</t>
  </si>
  <si>
    <t>FROGONE Sofia</t>
  </si>
  <si>
    <t>ARCURI Lucia</t>
  </si>
  <si>
    <t>ALFONSO GUARDATI Santiago</t>
  </si>
  <si>
    <t>DELEO Clara</t>
  </si>
  <si>
    <t>ASTOUL Gastón Félix</t>
  </si>
  <si>
    <t>BIELER Tizziano Valentino</t>
  </si>
  <si>
    <t>HIDALGO Ivan</t>
  </si>
  <si>
    <t>VICENTE Agustina Mariel</t>
  </si>
  <si>
    <t>GONZÁLEZ ESPÍNOLA Juan Sebastián</t>
  </si>
  <si>
    <t>TOMMASI Joaquin</t>
  </si>
  <si>
    <t>PADILLA Ramiro</t>
  </si>
  <si>
    <t>REPETTO Valentino</t>
  </si>
  <si>
    <t>161st</t>
  </si>
  <si>
    <t>162nd</t>
  </si>
  <si>
    <t>GORI Lorenzo</t>
  </si>
  <si>
    <t>163rd</t>
  </si>
  <si>
    <t>AGUILAR Olivia</t>
  </si>
  <si>
    <t>164th</t>
  </si>
  <si>
    <t>ROSSI Sofia</t>
  </si>
  <si>
    <t>165th</t>
  </si>
  <si>
    <t>FERNÁNDEZ ALONSO Iñaki</t>
  </si>
  <si>
    <t>166th</t>
  </si>
  <si>
    <t>VAZQUEZ DEL CAMPO José</t>
  </si>
  <si>
    <t>65 DSQ</t>
  </si>
  <si>
    <t>168th</t>
  </si>
  <si>
    <t>PAOLI Santiago</t>
  </si>
  <si>
    <t>169th</t>
  </si>
  <si>
    <t>170th</t>
  </si>
  <si>
    <t>CAREAGA COTTINI Giuliana</t>
  </si>
  <si>
    <t>171st</t>
  </si>
  <si>
    <t>172nd</t>
  </si>
  <si>
    <t>173rd</t>
  </si>
  <si>
    <t>TISCORNIA Elena</t>
  </si>
  <si>
    <t>CNSE</t>
  </si>
  <si>
    <t>174th</t>
  </si>
  <si>
    <t>BARRERA Joscelyn</t>
  </si>
  <si>
    <t>HEREDIA Marcos</t>
  </si>
  <si>
    <t>KAPLUN Lorenzo</t>
  </si>
  <si>
    <t>65 DNC</t>
  </si>
  <si>
    <t>ATANASOPULOS Juan</t>
  </si>
  <si>
    <t>PINI BELLAUBI Matilde</t>
  </si>
  <si>
    <t>GRINBLAT DERMGERD Tobias</t>
  </si>
  <si>
    <t>PORTAL Gala</t>
  </si>
  <si>
    <t>MONTAUVAN Martina</t>
  </si>
  <si>
    <t>ANDRÉS Gianni</t>
  </si>
  <si>
    <t>31 SPb</t>
  </si>
  <si>
    <t>65 DNF</t>
  </si>
  <si>
    <t>167th</t>
  </si>
  <si>
    <t>175th</t>
  </si>
  <si>
    <t>176th</t>
  </si>
  <si>
    <t>61</t>
  </si>
  <si>
    <t>177th</t>
  </si>
  <si>
    <t>60</t>
  </si>
  <si>
    <t>178th</t>
  </si>
  <si>
    <t>179th</t>
  </si>
  <si>
    <t>180th</t>
  </si>
  <si>
    <t>181st</t>
  </si>
  <si>
    <t>182nd</t>
  </si>
  <si>
    <t>183rd</t>
  </si>
  <si>
    <t>184th</t>
  </si>
  <si>
    <t>185th</t>
  </si>
  <si>
    <t>186th</t>
  </si>
  <si>
    <t>43 SPa</t>
  </si>
  <si>
    <t>65 DNE</t>
  </si>
  <si>
    <t>13 RDG</t>
  </si>
  <si>
    <t>65 RET</t>
  </si>
  <si>
    <t>34 SPb</t>
  </si>
  <si>
    <t>Provisorios a las 20:35 del 15/03</t>
  </si>
  <si>
    <t>17 RDG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</si>
</sst>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scheme val="minor"/>
    </font>
    <font>
      <sz val="9"/>
      <color rgb="FF000000"/>
      <name val="Inherit"/>
    </font>
    <font>
      <sz val="8"/>
      <name val="Calibri"/>
      <family val="2"/>
      <scheme val="minor"/>
    </font>
    <font>
      <strike/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3999755851924192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rgb="FFEEEEEE"/>
      </bottom>
      <diagonal/>
    </border>
  </borders>
  <cellStyleXfs count="2">
    <xf numFmtId="0" fontId="0" fillId="0" borderId="0"/>
    <xf numFmtId="0" fontId="5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4" fontId="0" fillId="0" borderId="0" xfId="0" applyNumberFormat="1"/>
    <xf numFmtId="0" fontId="0" fillId="4" borderId="5" xfId="0" applyFill="1" applyBorder="1"/>
    <xf numFmtId="0" fontId="0" fillId="0" borderId="5" xfId="0" applyBorder="1"/>
    <xf numFmtId="0" fontId="6" fillId="0" borderId="0" xfId="1" applyFont="1" applyAlignment="1">
      <alignment horizontal="center"/>
    </xf>
    <xf numFmtId="0" fontId="6" fillId="0" borderId="6" xfId="1" applyFont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0" fontId="4" fillId="0" borderId="0" xfId="0" applyNumberFormat="1" applyFont="1"/>
  </cellXfs>
  <cellStyles count="2">
    <cellStyle name="Normal" xfId="0" builtinId="0"/>
    <cellStyle name="Normal 2" xfId="1" xr:uid="{ED2215C9-5B93-4FC2-AAD4-99A9B0DBFDD5}"/>
  </cellStyles>
  <dxfs count="6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/>
        <bottom/>
        <vertical/>
        <horizontal/>
      </border>
    </dxf>
    <dxf>
      <border diagonalUp="0" diagonalDown="0">
        <left style="thin">
          <color rgb="FF305496"/>
        </left>
        <right style="thin">
          <color rgb="FF305496"/>
        </right>
        <top style="thin">
          <color rgb="FF305496"/>
        </top>
        <bottom style="thin">
          <color rgb="FF305496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99060</xdr:colOff>
      <xdr:row>1</xdr:row>
      <xdr:rowOff>83820</xdr:rowOff>
    </xdr:from>
    <xdr:to>
      <xdr:col>35</xdr:col>
      <xdr:colOff>495300</xdr:colOff>
      <xdr:row>2</xdr:row>
      <xdr:rowOff>129540</xdr:rowOff>
    </xdr:to>
    <xdr:sp macro="[0]!ClearWorstScoreFormatting" textlink="">
      <xdr:nvSpPr>
        <xdr:cNvPr id="2" name="Oval 1">
          <a:extLst>
            <a:ext uri="{FF2B5EF4-FFF2-40B4-BE49-F238E27FC236}">
              <a16:creationId xmlns:a16="http://schemas.microsoft.com/office/drawing/2014/main" id="{CF1BF81E-5D76-46CC-8C53-28111C136117}"/>
            </a:ext>
          </a:extLst>
        </xdr:cNvPr>
        <xdr:cNvSpPr/>
      </xdr:nvSpPr>
      <xdr:spPr>
        <a:xfrm>
          <a:off x="20787360" y="274320"/>
          <a:ext cx="396240" cy="34099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36</xdr:col>
      <xdr:colOff>121920</xdr:colOff>
      <xdr:row>1</xdr:row>
      <xdr:rowOff>68580</xdr:rowOff>
    </xdr:from>
    <xdr:to>
      <xdr:col>36</xdr:col>
      <xdr:colOff>518160</xdr:colOff>
      <xdr:row>2</xdr:row>
      <xdr:rowOff>114300</xdr:rowOff>
    </xdr:to>
    <xdr:sp macro="[0]!FormatWorstScoresDNE_v2" textlink="">
      <xdr:nvSpPr>
        <xdr:cNvPr id="3" name="Oval 2">
          <a:extLst>
            <a:ext uri="{FF2B5EF4-FFF2-40B4-BE49-F238E27FC236}">
              <a16:creationId xmlns:a16="http://schemas.microsoft.com/office/drawing/2014/main" id="{A4C63115-BD3D-4E12-9910-67CBAEBF2FCC}"/>
            </a:ext>
          </a:extLst>
        </xdr:cNvPr>
        <xdr:cNvSpPr/>
      </xdr:nvSpPr>
      <xdr:spPr>
        <a:xfrm>
          <a:off x="21419820" y="259080"/>
          <a:ext cx="396240" cy="340995"/>
        </a:xfrm>
        <a:prstGeom prst="ellipse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E894E2-14CB-403A-840F-79FEFC572036}" autoFormatId="16" applyNumberFormats="0" applyBorderFormats="0" applyFontFormats="0" applyPatternFormats="0" applyAlignmentFormats="0" applyWidthHeightFormats="0">
  <queryTableRefresh nextId="19">
    <queryTableFields count="18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DNI" tableColumnId="6"/>
      <queryTableField id="7" name="Nac" tableColumnId="7"/>
      <queryTableField id="8" name="R1" tableColumnId="8"/>
      <queryTableField id="9" name="R2" tableColumnId="9"/>
      <queryTableField id="10" name="R3" tableColumnId="10"/>
      <queryTableField id="11" name="R4" tableColumnId="11"/>
      <queryTableField id="12" name="R5" tableColumnId="12"/>
      <queryTableField id="13" name="R6" tableColumnId="13"/>
      <queryTableField id="14" name="R7" tableColumnId="14"/>
      <queryTableField id="15" name="R8" tableColumnId="15"/>
      <queryTableField id="16" name="R9" tableColumnId="16"/>
      <queryTableField id="17" name="Total" tableColumnId="17"/>
      <queryTableField id="18" name="Nett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3C50CC3-04E1-4083-B3DC-DCF923C20125}" autoFormatId="16" applyNumberFormats="0" applyBorderFormats="0" applyFontFormats="0" applyPatternFormats="0" applyAlignmentFormats="0" applyWidthHeightFormats="0">
  <queryTableRefresh nextId="24">
    <queryTableFields count="17">
      <queryTableField id="1" name="Rank" tableColumnId="1"/>
      <queryTableField id="2" name="Pais" tableColumnId="2"/>
      <queryTableField id="3" name="Vela" tableColumnId="3"/>
      <queryTableField id="4" name="Timonel" tableColumnId="4"/>
      <queryTableField id="5" name="Club" tableColumnId="5"/>
      <queryTableField id="6" name="S" tableColumnId="6"/>
      <queryTableField id="7" name="DNI" tableColumnId="7"/>
      <queryTableField id="8" name="R1" tableColumnId="8"/>
      <queryTableField id="9" name="R2" tableColumnId="9"/>
      <queryTableField id="12" name="R3" tableColumnId="12"/>
      <queryTableField id="13" name="R4" tableColumnId="13"/>
      <queryTableField id="14" name="R5" tableColumnId="14"/>
      <queryTableField id="18" name="R6" tableColumnId="15"/>
      <queryTableField id="19" name="R7" tableColumnId="16"/>
      <queryTableField id="22" name="R8" tableColumnId="17"/>
      <queryTableField id="10" name="Total" tableColumnId="10"/>
      <queryTableField id="11" name="Nett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2BE77-8139-4B0E-A06C-ECF0EF52788E}" name="S_S" displayName="S_S" ref="A1:R161" tableType="queryTable" totalsRowShown="0">
  <autoFilter ref="A1:R161" xr:uid="{2862BE77-8139-4B0E-A06C-ECF0EF52788E}"/>
  <tableColumns count="18">
    <tableColumn id="1" xr3:uid="{04260CF6-FDFA-4A1B-8416-54D268309A55}" uniqueName="1" name="Rank" queryTableFieldId="1" dataDxfId="27"/>
    <tableColumn id="2" xr3:uid="{17E0649D-D995-4E72-8401-75E4BB5624FA}" uniqueName="2" name="Pais" queryTableFieldId="2" dataDxfId="26"/>
    <tableColumn id="3" xr3:uid="{C4EC5F8A-F0BE-470F-A810-669BFA7619D9}" uniqueName="3" name="Vela" queryTableFieldId="3"/>
    <tableColumn id="4" xr3:uid="{5EDC2D5F-2BB7-4D94-B010-27361791C701}" uniqueName="4" name="Timonel" queryTableFieldId="4" dataDxfId="25"/>
    <tableColumn id="5" xr3:uid="{157C4A0C-BD5E-44A3-A7F0-A57FF390E25D}" uniqueName="5" name="Club" queryTableFieldId="5" dataDxfId="24"/>
    <tableColumn id="6" xr3:uid="{FF627AFF-CC57-48DC-A2DD-837910AC7B3A}" uniqueName="6" name="DNI" queryTableFieldId="6"/>
    <tableColumn id="7" xr3:uid="{B70AA435-D5FE-4F45-83DB-62FE9F1DF481}" uniqueName="7" name="Nac" queryTableFieldId="7" dataDxfId="23"/>
    <tableColumn id="8" xr3:uid="{168373B8-4001-413B-90F9-41164EC90AA7}" uniqueName="8" name="R1" queryTableFieldId="8" dataDxfId="22"/>
    <tableColumn id="9" xr3:uid="{83E76347-166B-4FAE-B1A8-D164ECAD9CB4}" uniqueName="9" name="R2" queryTableFieldId="9" dataDxfId="21"/>
    <tableColumn id="10" xr3:uid="{372A9645-CDB0-46C3-B3A8-6758BBB621A8}" uniqueName="10" name="R3" queryTableFieldId="10" dataDxfId="20"/>
    <tableColumn id="11" xr3:uid="{2A37332F-2515-419A-88EE-0F0C69DBB3A1}" uniqueName="11" name="R4" queryTableFieldId="11" dataDxfId="19"/>
    <tableColumn id="12" xr3:uid="{094B99FA-4E8E-4ABA-9897-C4C5E4049035}" uniqueName="12" name="R5" queryTableFieldId="12" dataDxfId="18"/>
    <tableColumn id="13" xr3:uid="{AD2CDCAF-97AE-4379-95F4-0B280842377F}" uniqueName="13" name="R6" queryTableFieldId="13" dataDxfId="17"/>
    <tableColumn id="14" xr3:uid="{858A1963-F4E0-42CF-95F5-71333BC111CC}" uniqueName="14" name="R7" queryTableFieldId="14" dataDxfId="16"/>
    <tableColumn id="15" xr3:uid="{955CD6A1-9788-4F90-BA0F-F01A52537099}" uniqueName="15" name="R8" queryTableFieldId="15" dataDxfId="15"/>
    <tableColumn id="16" xr3:uid="{2FF964C2-D6A6-4002-8A0D-A7B00D185076}" uniqueName="16" name="R9" queryTableFieldId="16" dataDxfId="14"/>
    <tableColumn id="17" xr3:uid="{96D4B313-BD21-41ED-9A62-CDBC0CC71405}" uniqueName="17" name="Total" queryTableFieldId="17"/>
    <tableColumn id="18" xr3:uid="{2206D413-C5DA-43BF-8432-347E9CC5EE1D}" uniqueName="18" name="Net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382861-529A-4B1B-9BAE-CEB7DD7D4240}" name="_VF2026" displayName="_VF2026" ref="A1:Q188" tableType="queryTable" totalsRowShown="0">
  <autoFilter ref="A1:Q188" xr:uid="{76382861-529A-4B1B-9BAE-CEB7DD7D4240}"/>
  <tableColumns count="17">
    <tableColumn id="1" xr3:uid="{BD90C567-0641-443B-9C95-B547A63CD0AA}" uniqueName="1" name="Rank" queryTableFieldId="1" dataDxfId="13"/>
    <tableColumn id="2" xr3:uid="{829C697D-3FC1-4287-A085-019763D7CF10}" uniqueName="2" name="Pais" queryTableFieldId="2" dataDxfId="12"/>
    <tableColumn id="3" xr3:uid="{160BF78D-EE4A-4432-9AF0-9407D358F1A5}" uniqueName="3" name="Vela" queryTableFieldId="3"/>
    <tableColumn id="4" xr3:uid="{04A58175-858B-4662-9F80-237E310A2D5A}" uniqueName="4" name="Timonel" queryTableFieldId="4" dataDxfId="11"/>
    <tableColumn id="5" xr3:uid="{0A29B21C-A017-47A3-805B-D781BCABD485}" uniqueName="5" name="Club" queryTableFieldId="5" dataDxfId="10"/>
    <tableColumn id="6" xr3:uid="{334982B5-4470-44A7-92D6-658FCC3476CE}" uniqueName="6" name="S" queryTableFieldId="6" dataDxfId="9"/>
    <tableColumn id="7" xr3:uid="{333F8DFB-EBA7-420E-A4BD-049A02850215}" uniqueName="7" name="DNI" queryTableFieldId="7" dataDxfId="8"/>
    <tableColumn id="8" xr3:uid="{80FEB458-B320-4AD8-AEEE-6BCC860B14AC}" uniqueName="8" name="R1" queryTableFieldId="8" dataDxfId="7"/>
    <tableColumn id="9" xr3:uid="{AD54F3E3-B55C-4BBF-92F2-88406B55D1D3}" uniqueName="9" name="R2" queryTableFieldId="9" dataDxfId="6"/>
    <tableColumn id="12" xr3:uid="{33598D18-FB7B-48DC-98EF-D4B2D451121F}" uniqueName="12" name="R3" queryTableFieldId="12" dataDxfId="5"/>
    <tableColumn id="13" xr3:uid="{8CEFFC4E-B906-4846-96C4-B737DD13C271}" uniqueName="13" name="R4" queryTableFieldId="13" dataDxfId="4"/>
    <tableColumn id="14" xr3:uid="{6FF09588-0E0A-444A-99B8-8C4920314A40}" uniqueName="14" name="R5" queryTableFieldId="14" dataDxfId="3"/>
    <tableColumn id="15" xr3:uid="{10AAF096-D21B-4DAD-8B9C-033D56493B82}" uniqueName="15" name="R6" queryTableFieldId="18" dataDxfId="2"/>
    <tableColumn id="16" xr3:uid="{77600982-9DD0-4EF3-A3E6-3757772C8225}" uniqueName="16" name="R7" queryTableFieldId="19" dataDxfId="1"/>
    <tableColumn id="17" xr3:uid="{9E4BD111-4474-46A3-BBFA-56B409E412AE}" uniqueName="17" name="R8" queryTableFieldId="22" dataDxfId="0"/>
    <tableColumn id="10" xr3:uid="{6DDE02DF-AC4B-4AF6-BDBA-69214A318D59}" uniqueName="10" name="Total" queryTableFieldId="10"/>
    <tableColumn id="11" xr3:uid="{25D1335E-1A58-49E4-87C1-B34DC9C95189}" uniqueName="11" name="Nett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3715E0-3A9F-470C-8192-61A64F30718C}" name="Selectivo6" displayName="Selectivo6" ref="A6:AH147" totalsRowShown="0" tableBorderDxfId="59">
  <autoFilter ref="A6:AH147" xr:uid="{DAD8BD19-E7C7-4351-BBFE-4B1EC9C1DEAE}"/>
  <sortState xmlns:xlrd2="http://schemas.microsoft.com/office/spreadsheetml/2017/richdata2" ref="A7:AH147">
    <sortCondition ref="AC7:AC147"/>
    <sortCondition ref="AD7:AD147"/>
    <sortCondition ref="AE7:AE147"/>
    <sortCondition ref="AF7:AF147"/>
    <sortCondition descending="1" ref="AG7:AG147"/>
  </sortState>
  <tableColumns count="34">
    <tableColumn id="1" xr3:uid="{6E6CB5F5-D6CF-4150-A6F6-3EC6A627B524}" name="DNI"/>
    <tableColumn id="2" xr3:uid="{1B94D03C-A354-4DE2-914D-A38FAA53FBF1}" name="Pos" dataDxfId="58">
      <calculatedColumnFormula>ROW()-ROW(Selectivo6[[#Headers],[Pos]])</calculatedColumnFormula>
    </tableColumn>
    <tableColumn id="3" xr3:uid="{F6A6CA74-CA3B-47C8-9E1A-72A99E88236D}" name="Vela" dataDxfId="57"/>
    <tableColumn id="4" xr3:uid="{32BEBC73-7A45-4079-93C3-BD4C23C1D287}" name="Timonel"/>
    <tableColumn id="5" xr3:uid="{6DE4CF4E-501C-4512-B4CC-0432DBC81DBE}" name="Club"/>
    <tableColumn id="6" xr3:uid="{8E6095D3-2D85-4238-A233-15776FFBFB71}" name="R1" dataDxfId="56">
      <calculatedColumnFormula array="1">IFERROR(_xlfn.XLOOKUP(Selectivo6[[#This Row],[DNI]],S_S[DNI],INDIRECT("S_S["&amp;Selectivo6[[#Headers],[R1]]&amp;"]")),"60 DNC")</calculatedColumnFormula>
    </tableColumn>
    <tableColumn id="7" xr3:uid="{52848B99-6EF9-4344-BAAB-C64869478E76}" name="R2" dataDxfId="55">
      <calculatedColumnFormula array="1">IFERROR(_xlfn.XLOOKUP(Selectivo6[[#This Row],[DNI]],S_S[DNI],INDIRECT("S_S["&amp;Selectivo6[[#Headers],[R2]]&amp;"]")),"60 DNC")</calculatedColumnFormula>
    </tableColumn>
    <tableColumn id="8" xr3:uid="{1FECFC30-5E0B-447F-89A2-D008C4CC26C9}" name="R3" dataDxfId="54">
      <calculatedColumnFormula array="1">IFERROR(_xlfn.XLOOKUP(Selectivo6[[#This Row],[DNI]],S_S[DNI],INDIRECT("S_S["&amp;Selectivo6[[#Headers],[R3]]&amp;"]")),"60 DNC")</calculatedColumnFormula>
    </tableColumn>
    <tableColumn id="14" xr3:uid="{25DBFBA9-C2D7-4E0F-B97E-7C813A9F97F2}" name="R4" dataDxfId="53">
      <calculatedColumnFormula array="1">IFERROR(_xlfn.XLOOKUP(Selectivo6[[#This Row],[DNI]],S_S[DNI],INDIRECT("S_S["&amp;Selectivo6[[#Headers],[R4]]&amp;"]")),"60 DNC")</calculatedColumnFormula>
    </tableColumn>
    <tableColumn id="15" xr3:uid="{32E7D763-51AF-4832-983A-45FCBFAE95D9}" name="R5" dataDxfId="52">
      <calculatedColumnFormula array="1">IFERROR(_xlfn.XLOOKUP(Selectivo6[[#This Row],[DNI]],S_S[DNI],INDIRECT("S_S["&amp;Selectivo6[[#Headers],[R5]]&amp;"]")),"60 DNC")</calculatedColumnFormula>
    </tableColumn>
    <tableColumn id="17" xr3:uid="{96C64364-5509-4852-95D2-36B75AD2336A}" name="R6" dataDxfId="51">
      <calculatedColumnFormula array="1">IFERROR(_xlfn.XLOOKUP(Selectivo6[[#This Row],[DNI]],S_S[DNI],INDIRECT("S_S["&amp;Selectivo6[[#Headers],[R6]]&amp;"]")),"60 DNC")</calculatedColumnFormula>
    </tableColumn>
    <tableColumn id="18" xr3:uid="{5D6DFD7C-D4F3-4CAF-8F53-A59E7671F366}" name="R7" dataDxfId="50">
      <calculatedColumnFormula array="1">IFERROR(_xlfn.XLOOKUP(Selectivo6[[#This Row],[DNI]],S_S[DNI],INDIRECT("S_S["&amp;Selectivo6[[#Headers],[R7]]&amp;"]")),"60 DNC")</calculatedColumnFormula>
    </tableColumn>
    <tableColumn id="16" xr3:uid="{1F48D02A-07CD-498A-9592-3B4C8869A0DF}" name="R8" dataDxfId="49">
      <calculatedColumnFormula array="1">IFERROR(_xlfn.XLOOKUP(Selectivo6[[#This Row],[DNI]],S_S[DNI],INDIRECT("S_S["&amp;Selectivo6[[#Headers],[R8]]&amp;"]")),"60 DNC")</calculatedColumnFormula>
    </tableColumn>
    <tableColumn id="21" xr3:uid="{85EBC76D-E72E-4E1B-91E6-ED90A70036F3}" name="R9" dataDxfId="48">
      <calculatedColumnFormula array="1">IFERROR(_xlfn.XLOOKUP(Selectivo6[[#This Row],[DNI]],S_S[DNI],INDIRECT("S_S["&amp;Selectivo6[[#Headers],[R9]]&amp;"]")),"60 DNC")</calculatedColumnFormula>
    </tableColumn>
    <tableColumn id="22" xr3:uid="{B8316B7C-2925-4B90-8849-D7C8B97B14DA}" name="R10" dataDxfId="47">
      <calculatedColumnFormula>IFERROR(_xlfn.XLOOKUP(Selectivo6[[#This Row],[DNI]],_VF2026[DNI],_VF2026[R1]),"65 DNC")</calculatedColumnFormula>
    </tableColumn>
    <tableColumn id="23" xr3:uid="{C5946883-6A67-485F-8190-5161630B3E7D}" name="R11" dataDxfId="46">
      <calculatedColumnFormula>IFERROR(_xlfn.XLOOKUP(Selectivo6[[#This Row],[DNI]],_VF2026[DNI],_VF2026[R2]),"65 DNC")</calculatedColumnFormula>
    </tableColumn>
    <tableColumn id="24" xr3:uid="{5F89BF81-3D6C-46B6-A7CF-E78F032DDAB7}" name="R12" dataDxfId="45">
      <calculatedColumnFormula>IFERROR(_xlfn.XLOOKUP(Selectivo6[[#This Row],[DNI]],_VF2026[DNI],_VF2026[R3]),"65 DNC")</calculatedColumnFormula>
    </tableColumn>
    <tableColumn id="25" xr3:uid="{A9A5CC6E-F354-4F04-BCB2-9DF654059A98}" name="R13" dataDxfId="44">
      <calculatedColumnFormula>IFERROR(_xlfn.XLOOKUP(Selectivo6[[#This Row],[DNI]],_VF2026[DNI],_VF2026[R4]),"65 DNC")</calculatedColumnFormula>
    </tableColumn>
    <tableColumn id="26" xr3:uid="{C00C3284-EE42-418D-90A2-C4E083535C45}" name="R14" dataDxfId="43">
      <calculatedColumnFormula>IFERROR(_xlfn.XLOOKUP(Selectivo6[[#This Row],[DNI]],_VF2026[DNI],_VF2026[R5]),"65 DNC")</calculatedColumnFormula>
    </tableColumn>
    <tableColumn id="27" xr3:uid="{93C1F253-DC97-4D54-A93A-86C632C02801}" name="R15" dataDxfId="42">
      <calculatedColumnFormula>IFERROR(_xlfn.XLOOKUP(Selectivo6[[#This Row],[DNI]],_VF2026[DNI],_VF2026[R6]),"65 DNC")</calculatedColumnFormula>
    </tableColumn>
    <tableColumn id="28" xr3:uid="{6F1499B4-F144-46A9-9CA3-6E730190608A}" name="R16" dataDxfId="41">
      <calculatedColumnFormula>IFERROR(_xlfn.XLOOKUP(Selectivo6[[#This Row],[DNI]],_VF2026[DNI],_VF2026[R7]),"65 DNC")</calculatedColumnFormula>
    </tableColumn>
    <tableColumn id="29" xr3:uid="{D8829C42-C6E8-449A-9ABE-854A1F6019AD}" name="R17" dataDxfId="40">
      <calculatedColumnFormula>IFERROR(_xlfn.XLOOKUP(Selectivo6[[#This Row],[DNI]],_VF2026[DNI],_VF2026[R8]),"65 DNC")</calculatedColumnFormula>
    </tableColumn>
    <tableColumn id="33" xr3:uid="{64FAA755-5064-4013-94EB-596FBE476F88}" name="R18" dataDxfId="39"/>
    <tableColumn id="34" xr3:uid="{A1D2F11C-9DD4-4809-8522-887CAB92179C}" name="R19" dataDxfId="38"/>
    <tableColumn id="30" xr3:uid="{4996BB29-1CF3-434D-8E91-1AB36465B8F9}" name="R20" dataDxfId="37"/>
    <tableColumn id="32" xr3:uid="{91B335D8-34F8-42E3-9467-471D87112CED}" name="R21" dataDxfId="36"/>
    <tableColumn id="35" xr3:uid="{5BAAD142-7BC7-456B-A7D8-D962AA98DDF2}" name="R22" dataDxfId="35"/>
    <tableColumn id="9" xr3:uid="{0BA84522-51CD-4A41-98E1-B6FE0D66B88C}" name="Total" dataDxfId="34">
      <calculatedColumnFormula array="1">SUM(IFERROR(VALUE(LEFT(Regatas, FIND(" ",Regatas&amp; " ") - 1)), 0))</calculatedColumnFormula>
    </tableColumn>
    <tableColumn id="10" xr3:uid="{513C01D1-4FC1-42D5-9FE9-9E26CCCFB072}" name="Nett" dataDxfId="33">
      <calculatedColumnFormula array="1">SUM(IFERROR(VALUE(LEFT(Regatas, FIND(" ", Regatas &amp; " ")-1)), 0)) - _xlfn.IFS($AJ$7=0, 0, $AJ$7&gt;0, SUM(LARGE(IF((ISNUMBER(SEARCH("DNE", Regatas)) = FALSE), IFERROR(VALUE(LEFT(Regatas, FIND(" ", Regatas &amp; " ")-1)), 0)), _xlfn.SEQUENCE($AJ$7, 1, 1, 1))))</calculatedColumnFormula>
    </tableColumn>
    <tableColumn id="11" xr3:uid="{F2211958-B788-4607-983C-8330595F018B}" name="DE1" dataDxfId="32">
      <calculatedColumnFormula array="1">SMALL(_xlfn._xlws.FILTER(RegatasN, RegatasN&lt;&gt;0), 1)</calculatedColumnFormula>
    </tableColumn>
    <tableColumn id="12" xr3:uid="{51484A47-BE5B-422C-9419-1AEBF59679A7}" name="DE2" dataDxfId="31">
      <calculatedColumnFormula array="1">SMALL(_xlfn._xlws.FILTER(RegatasN, RegatasN&lt;&gt;0), 2)</calculatedColumnFormula>
    </tableColumn>
    <tableColumn id="13" xr3:uid="{2D6C5AAB-ADEA-4F96-A127-D3143AEABD33}" name="DE3" dataDxfId="30">
      <calculatedColumnFormula array="1">SMALL(_xlfn._xlws.FILTER(RegatasN, RegatasN&lt;&gt;0), 3)</calculatedColumnFormula>
    </tableColumn>
    <tableColumn id="20" xr3:uid="{0028F7BD-13F4-4EA3-AEC9-99273C47ACCC}" name="DE4" dataDxfId="29">
      <calculatedColumnFormula array="1">COUNTIF(Regatas,SMALL(_xlfn._xlws.FILTER(RegatasN, RegatasN&lt;&gt;0), 1))</calculatedColumnFormula>
    </tableColumn>
    <tableColumn id="19" xr3:uid="{9542EB1E-B0E1-488D-8107-F29AA3110398}" name="UR" dataDxfId="28">
      <calculatedColumnFormula array="1">VALUE(LEFT(INDEX(Selectivo6[#This Row],,MATCH(Selectivo6[[#Headers],[Total]],Selectivo6[#Headers],0)-1),SEARCH(" ",INDEX(Selectivo6[#This Row],,MATCH(Selectivo6[[#Headers],[Total]],Selectivo6[#Headers],0)-1)&amp;" ")-1))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7E867-AB8F-45AC-9C90-71F9C8901E1B}">
  <sheetPr codeName="Sheet1"/>
  <dimension ref="A1:J163"/>
  <sheetViews>
    <sheetView topLeftCell="A133" workbookViewId="0">
      <selection activeCell="C146" sqref="C146"/>
    </sheetView>
  </sheetViews>
  <sheetFormatPr defaultRowHeight="14.4"/>
  <cols>
    <col min="1" max="1" width="5" bestFit="1" customWidth="1"/>
    <col min="2" max="2" width="14.33203125" bestFit="1" customWidth="1"/>
    <col min="3" max="3" width="20.44140625" bestFit="1" customWidth="1"/>
    <col min="4" max="5" width="7.33203125" bestFit="1" customWidth="1"/>
    <col min="6" max="6" width="21.44140625" customWidth="1"/>
    <col min="7" max="7" width="10.8867187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G1" s="13">
        <v>4286</v>
      </c>
      <c r="H1" s="13" t="s">
        <v>147</v>
      </c>
      <c r="I1" s="13" t="s">
        <v>21</v>
      </c>
      <c r="J1" s="13">
        <v>51432202</v>
      </c>
    </row>
    <row r="2" spans="1:10">
      <c r="A2" s="15">
        <v>1</v>
      </c>
      <c r="B2" s="16" t="s">
        <v>541</v>
      </c>
      <c r="C2" s="16" t="s">
        <v>542</v>
      </c>
      <c r="D2" s="16" t="s">
        <v>5</v>
      </c>
      <c r="E2" s="16">
        <v>4205</v>
      </c>
      <c r="G2" s="14">
        <v>4133</v>
      </c>
      <c r="H2" s="14" t="s">
        <v>151</v>
      </c>
      <c r="I2" s="14" t="s">
        <v>26</v>
      </c>
      <c r="J2" s="14">
        <v>51431844</v>
      </c>
    </row>
    <row r="3" spans="1:10">
      <c r="A3" s="15">
        <v>2</v>
      </c>
      <c r="B3" s="16" t="s">
        <v>543</v>
      </c>
      <c r="C3" s="16" t="s">
        <v>544</v>
      </c>
      <c r="D3" s="16" t="s">
        <v>5</v>
      </c>
      <c r="E3" s="16">
        <v>4276</v>
      </c>
      <c r="G3" s="13">
        <v>4165</v>
      </c>
      <c r="H3" s="13" t="s">
        <v>157</v>
      </c>
      <c r="I3" s="13" t="s">
        <v>26</v>
      </c>
      <c r="J3" s="13">
        <v>52440028</v>
      </c>
    </row>
    <row r="4" spans="1:10">
      <c r="A4" s="15">
        <v>3</v>
      </c>
      <c r="B4" s="16" t="s">
        <v>131</v>
      </c>
      <c r="C4" s="16" t="s">
        <v>132</v>
      </c>
      <c r="D4" s="16" t="s">
        <v>71</v>
      </c>
      <c r="E4" s="16">
        <v>4275</v>
      </c>
      <c r="G4" s="14">
        <v>4108</v>
      </c>
      <c r="H4" s="14" t="s">
        <v>161</v>
      </c>
      <c r="I4" s="14" t="s">
        <v>9</v>
      </c>
      <c r="J4" s="14">
        <v>51253143</v>
      </c>
    </row>
    <row r="5" spans="1:10">
      <c r="A5" s="15">
        <v>4</v>
      </c>
      <c r="B5" s="16" t="s">
        <v>545</v>
      </c>
      <c r="C5" s="16" t="s">
        <v>546</v>
      </c>
      <c r="D5" s="16" t="s">
        <v>5</v>
      </c>
      <c r="E5" s="16">
        <v>4290</v>
      </c>
      <c r="G5" s="13">
        <v>4260</v>
      </c>
      <c r="H5" s="13" t="s">
        <v>164</v>
      </c>
      <c r="I5" s="13" t="s">
        <v>11</v>
      </c>
      <c r="J5" s="13">
        <v>50668849</v>
      </c>
    </row>
    <row r="6" spans="1:10">
      <c r="A6" s="15">
        <v>5</v>
      </c>
      <c r="B6" s="16" t="s">
        <v>547</v>
      </c>
      <c r="C6" s="16" t="s">
        <v>548</v>
      </c>
      <c r="D6" s="16" t="s">
        <v>8</v>
      </c>
      <c r="E6" s="16">
        <v>4055</v>
      </c>
      <c r="G6" s="14">
        <v>4205</v>
      </c>
      <c r="H6" s="14" t="s">
        <v>167</v>
      </c>
      <c r="I6" s="14" t="s">
        <v>5</v>
      </c>
      <c r="J6" s="14">
        <v>52454232</v>
      </c>
    </row>
    <row r="7" spans="1:10">
      <c r="A7" s="15">
        <v>6</v>
      </c>
      <c r="B7" s="16" t="s">
        <v>549</v>
      </c>
      <c r="C7" s="16" t="s">
        <v>550</v>
      </c>
      <c r="D7" s="16" t="s">
        <v>21</v>
      </c>
      <c r="E7" s="16">
        <v>4226</v>
      </c>
      <c r="G7" s="13">
        <v>4092</v>
      </c>
      <c r="H7" s="13" t="s">
        <v>170</v>
      </c>
      <c r="I7" s="13" t="s">
        <v>171</v>
      </c>
      <c r="J7" s="13">
        <v>52676878</v>
      </c>
    </row>
    <row r="8" spans="1:10">
      <c r="A8" s="15">
        <v>7</v>
      </c>
      <c r="B8" s="16" t="s">
        <v>551</v>
      </c>
      <c r="C8" s="16" t="s">
        <v>552</v>
      </c>
      <c r="D8" s="16" t="s">
        <v>9</v>
      </c>
      <c r="E8" s="16">
        <v>4257</v>
      </c>
      <c r="G8" s="14">
        <v>4134</v>
      </c>
      <c r="H8" s="14" t="s">
        <v>173</v>
      </c>
      <c r="I8" s="14" t="s">
        <v>21</v>
      </c>
      <c r="J8" s="14">
        <v>50805416</v>
      </c>
    </row>
    <row r="9" spans="1:10">
      <c r="A9" s="15">
        <v>8</v>
      </c>
      <c r="B9" s="16" t="s">
        <v>12</v>
      </c>
      <c r="C9" s="16" t="s">
        <v>553</v>
      </c>
      <c r="D9" s="16" t="s">
        <v>13</v>
      </c>
      <c r="E9" s="16">
        <v>4092</v>
      </c>
      <c r="G9" s="13">
        <v>4182</v>
      </c>
      <c r="H9" s="13" t="s">
        <v>175</v>
      </c>
      <c r="I9" s="13" t="s">
        <v>16</v>
      </c>
      <c r="J9" s="13">
        <v>51336821</v>
      </c>
    </row>
    <row r="10" spans="1:10">
      <c r="A10" s="15">
        <v>9</v>
      </c>
      <c r="B10" s="16" t="s">
        <v>554</v>
      </c>
      <c r="C10" s="16" t="s">
        <v>14</v>
      </c>
      <c r="D10" s="16" t="s">
        <v>11</v>
      </c>
      <c r="E10" s="16">
        <v>3767</v>
      </c>
      <c r="G10" s="14">
        <v>4282</v>
      </c>
      <c r="H10" s="14" t="s">
        <v>179</v>
      </c>
      <c r="I10" s="14" t="s">
        <v>23</v>
      </c>
      <c r="J10" s="14">
        <v>52192618</v>
      </c>
    </row>
    <row r="11" spans="1:10">
      <c r="A11" s="15">
        <v>10</v>
      </c>
      <c r="B11" s="16" t="s">
        <v>15</v>
      </c>
      <c r="C11" s="16" t="s">
        <v>14</v>
      </c>
      <c r="D11" s="16" t="s">
        <v>11</v>
      </c>
      <c r="E11" s="16">
        <v>3908</v>
      </c>
      <c r="G11" s="13">
        <v>4201</v>
      </c>
      <c r="H11" s="13" t="s">
        <v>182</v>
      </c>
      <c r="I11" s="13" t="s">
        <v>21</v>
      </c>
      <c r="J11" s="13">
        <v>53202237</v>
      </c>
    </row>
    <row r="12" spans="1:10">
      <c r="A12" s="15">
        <v>11</v>
      </c>
      <c r="B12" s="16" t="s">
        <v>555</v>
      </c>
      <c r="C12" s="16" t="s">
        <v>556</v>
      </c>
      <c r="D12" s="16" t="s">
        <v>17</v>
      </c>
      <c r="E12" s="16">
        <v>4030</v>
      </c>
      <c r="G12" s="14">
        <v>4209</v>
      </c>
      <c r="H12" s="14" t="s">
        <v>185</v>
      </c>
      <c r="I12" s="14" t="s">
        <v>11</v>
      </c>
      <c r="J12" s="14">
        <v>51049622</v>
      </c>
    </row>
    <row r="13" spans="1:10">
      <c r="A13" s="15">
        <v>12</v>
      </c>
      <c r="B13" s="16" t="s">
        <v>18</v>
      </c>
      <c r="C13" s="16" t="s">
        <v>19</v>
      </c>
      <c r="D13" s="16" t="s">
        <v>9</v>
      </c>
      <c r="E13" s="16">
        <v>4171</v>
      </c>
      <c r="G13" s="13">
        <v>4204</v>
      </c>
      <c r="H13" s="13" t="s">
        <v>188</v>
      </c>
      <c r="I13" s="13" t="s">
        <v>26</v>
      </c>
      <c r="J13" s="13">
        <v>52122807</v>
      </c>
    </row>
    <row r="14" spans="1:10">
      <c r="A14" s="15">
        <v>13</v>
      </c>
      <c r="B14" s="16" t="s">
        <v>557</v>
      </c>
      <c r="C14" s="16" t="s">
        <v>558</v>
      </c>
      <c r="D14" s="16" t="s">
        <v>454</v>
      </c>
      <c r="E14" s="16">
        <v>4143</v>
      </c>
      <c r="G14" s="14">
        <v>3962</v>
      </c>
      <c r="H14" s="14" t="s">
        <v>190</v>
      </c>
      <c r="I14" s="14" t="s">
        <v>191</v>
      </c>
      <c r="J14" s="14">
        <v>52834659</v>
      </c>
    </row>
    <row r="15" spans="1:10">
      <c r="A15" s="15">
        <v>14</v>
      </c>
      <c r="B15" s="16" t="s">
        <v>559</v>
      </c>
      <c r="C15" s="16" t="s">
        <v>560</v>
      </c>
      <c r="D15" s="16" t="s">
        <v>9</v>
      </c>
      <c r="E15" s="16">
        <v>4096</v>
      </c>
      <c r="G15" s="13">
        <v>4246</v>
      </c>
      <c r="H15" s="13" t="s">
        <v>193</v>
      </c>
      <c r="I15" s="13" t="s">
        <v>17</v>
      </c>
      <c r="J15" s="13">
        <v>51281055</v>
      </c>
    </row>
    <row r="16" spans="1:10">
      <c r="A16" s="15">
        <v>15</v>
      </c>
      <c r="B16" s="16" t="s">
        <v>561</v>
      </c>
      <c r="C16" s="16" t="s">
        <v>562</v>
      </c>
      <c r="D16" s="16" t="s">
        <v>8</v>
      </c>
      <c r="E16" s="16">
        <v>3849</v>
      </c>
      <c r="G16" s="14">
        <v>4228</v>
      </c>
      <c r="H16" s="14" t="s">
        <v>195</v>
      </c>
      <c r="I16" s="14" t="s">
        <v>26</v>
      </c>
      <c r="J16" s="14">
        <v>51121535</v>
      </c>
    </row>
    <row r="17" spans="1:10">
      <c r="A17" s="15">
        <v>16</v>
      </c>
      <c r="B17" s="16" t="s">
        <v>133</v>
      </c>
      <c r="C17" s="16" t="s">
        <v>20</v>
      </c>
      <c r="D17" s="16" t="s">
        <v>21</v>
      </c>
      <c r="E17" s="16">
        <v>4048</v>
      </c>
      <c r="G17" s="13">
        <v>4185</v>
      </c>
      <c r="H17" s="13" t="s">
        <v>197</v>
      </c>
      <c r="I17" s="13" t="s">
        <v>16</v>
      </c>
      <c r="J17" s="13">
        <v>53831603</v>
      </c>
    </row>
    <row r="18" spans="1:10">
      <c r="A18" s="15">
        <v>17</v>
      </c>
      <c r="B18" s="16" t="s">
        <v>563</v>
      </c>
      <c r="C18" s="16" t="s">
        <v>564</v>
      </c>
      <c r="D18" s="16" t="s">
        <v>8</v>
      </c>
      <c r="E18" s="16">
        <v>3989</v>
      </c>
      <c r="G18" s="14">
        <v>4192</v>
      </c>
      <c r="H18" s="14" t="s">
        <v>201</v>
      </c>
      <c r="I18" s="14" t="s">
        <v>22</v>
      </c>
      <c r="J18" s="14">
        <v>50671157</v>
      </c>
    </row>
    <row r="19" spans="1:10">
      <c r="A19" s="15">
        <v>18</v>
      </c>
      <c r="B19" s="16" t="s">
        <v>565</v>
      </c>
      <c r="C19" s="16" t="s">
        <v>566</v>
      </c>
      <c r="D19" s="16" t="s">
        <v>21</v>
      </c>
      <c r="E19" s="16">
        <v>4211</v>
      </c>
      <c r="G19" s="13">
        <v>4214</v>
      </c>
      <c r="H19" s="13" t="s">
        <v>203</v>
      </c>
      <c r="I19" s="13" t="s">
        <v>5</v>
      </c>
      <c r="J19" s="13">
        <v>51267743</v>
      </c>
    </row>
    <row r="20" spans="1:10">
      <c r="A20" s="15">
        <v>19</v>
      </c>
      <c r="B20" s="16" t="s">
        <v>567</v>
      </c>
      <c r="C20" s="16" t="s">
        <v>568</v>
      </c>
      <c r="D20" s="16" t="s">
        <v>11</v>
      </c>
      <c r="E20" s="16">
        <v>4152</v>
      </c>
      <c r="G20" s="14">
        <v>4259</v>
      </c>
      <c r="H20" s="14" t="s">
        <v>205</v>
      </c>
      <c r="I20" s="14" t="s">
        <v>26</v>
      </c>
      <c r="J20" s="14">
        <v>51125616</v>
      </c>
    </row>
    <row r="21" spans="1:10">
      <c r="A21" s="15">
        <v>20</v>
      </c>
      <c r="B21" s="16" t="s">
        <v>569</v>
      </c>
      <c r="C21" s="16" t="s">
        <v>570</v>
      </c>
      <c r="D21" s="16" t="s">
        <v>33</v>
      </c>
      <c r="E21" s="16">
        <v>4087</v>
      </c>
      <c r="G21" s="13">
        <v>4181</v>
      </c>
      <c r="H21" s="13" t="s">
        <v>207</v>
      </c>
      <c r="I21" s="13" t="s">
        <v>5</v>
      </c>
      <c r="J21" s="13">
        <v>22706598</v>
      </c>
    </row>
    <row r="22" spans="1:10">
      <c r="A22" s="15">
        <v>21</v>
      </c>
      <c r="B22" s="16" t="s">
        <v>24</v>
      </c>
      <c r="C22" s="16" t="s">
        <v>25</v>
      </c>
      <c r="D22" s="16" t="s">
        <v>26</v>
      </c>
      <c r="E22" s="16">
        <v>4057</v>
      </c>
      <c r="G22" s="14">
        <v>3938</v>
      </c>
      <c r="H22" s="14" t="s">
        <v>209</v>
      </c>
      <c r="I22" s="14" t="s">
        <v>8</v>
      </c>
      <c r="J22" s="14">
        <v>53185733</v>
      </c>
    </row>
    <row r="23" spans="1:10">
      <c r="A23" s="15">
        <v>22</v>
      </c>
      <c r="B23" s="16" t="s">
        <v>571</v>
      </c>
      <c r="C23" s="16" t="s">
        <v>572</v>
      </c>
      <c r="D23" s="16" t="s">
        <v>9</v>
      </c>
      <c r="E23" s="16">
        <v>4238</v>
      </c>
      <c r="G23" s="13">
        <v>4247</v>
      </c>
      <c r="H23" s="13" t="s">
        <v>212</v>
      </c>
      <c r="I23" s="13" t="s">
        <v>16</v>
      </c>
      <c r="J23" s="13">
        <v>51429146</v>
      </c>
    </row>
    <row r="24" spans="1:10">
      <c r="A24" s="15">
        <v>23</v>
      </c>
      <c r="B24" s="16" t="s">
        <v>573</v>
      </c>
      <c r="C24" s="16" t="s">
        <v>574</v>
      </c>
      <c r="D24" s="16" t="s">
        <v>21</v>
      </c>
      <c r="E24" s="16">
        <v>4201</v>
      </c>
      <c r="G24" s="14">
        <v>4057</v>
      </c>
      <c r="H24" s="14" t="s">
        <v>214</v>
      </c>
      <c r="I24" s="14" t="s">
        <v>26</v>
      </c>
      <c r="J24" s="14">
        <v>51572732</v>
      </c>
    </row>
    <row r="25" spans="1:10">
      <c r="A25" s="15">
        <v>24</v>
      </c>
      <c r="B25" s="16" t="s">
        <v>28</v>
      </c>
      <c r="C25" s="16" t="s">
        <v>575</v>
      </c>
      <c r="D25" s="16" t="s">
        <v>26</v>
      </c>
      <c r="E25" s="16">
        <v>4133</v>
      </c>
      <c r="G25" s="13">
        <v>4179</v>
      </c>
      <c r="H25" s="13" t="s">
        <v>217</v>
      </c>
      <c r="I25" s="13" t="s">
        <v>5</v>
      </c>
      <c r="J25" s="13">
        <v>51125913</v>
      </c>
    </row>
    <row r="26" spans="1:10">
      <c r="A26" s="15">
        <v>25</v>
      </c>
      <c r="B26" s="16" t="s">
        <v>29</v>
      </c>
      <c r="C26" s="16" t="s">
        <v>576</v>
      </c>
      <c r="D26" s="16" t="s">
        <v>9</v>
      </c>
      <c r="E26" s="16">
        <v>4117</v>
      </c>
      <c r="G26" s="14">
        <v>4257</v>
      </c>
      <c r="H26" s="14" t="s">
        <v>219</v>
      </c>
      <c r="I26" s="14" t="s">
        <v>9</v>
      </c>
      <c r="J26" s="14">
        <v>51066390</v>
      </c>
    </row>
    <row r="27" spans="1:10">
      <c r="A27" s="15">
        <v>26</v>
      </c>
      <c r="B27" s="16" t="s">
        <v>32</v>
      </c>
      <c r="C27" s="16" t="s">
        <v>577</v>
      </c>
      <c r="D27" s="16" t="s">
        <v>31</v>
      </c>
      <c r="E27" s="16">
        <v>3953</v>
      </c>
      <c r="G27" s="13">
        <v>3832</v>
      </c>
      <c r="H27" s="13" t="s">
        <v>221</v>
      </c>
      <c r="I27" s="13" t="s">
        <v>39</v>
      </c>
      <c r="J27" s="13">
        <v>53956527</v>
      </c>
    </row>
    <row r="28" spans="1:10">
      <c r="A28" s="15">
        <v>27</v>
      </c>
      <c r="B28" s="16" t="s">
        <v>34</v>
      </c>
      <c r="C28" s="16" t="s">
        <v>578</v>
      </c>
      <c r="D28" s="16" t="s">
        <v>5</v>
      </c>
      <c r="E28" s="16">
        <v>4194</v>
      </c>
      <c r="G28" s="14">
        <v>4146</v>
      </c>
      <c r="H28" s="14" t="s">
        <v>223</v>
      </c>
      <c r="I28" s="14" t="s">
        <v>17</v>
      </c>
      <c r="J28" s="14">
        <v>51102204</v>
      </c>
    </row>
    <row r="29" spans="1:10">
      <c r="A29" s="15">
        <v>28</v>
      </c>
      <c r="B29" s="16" t="s">
        <v>12</v>
      </c>
      <c r="C29" s="16" t="s">
        <v>134</v>
      </c>
      <c r="D29" s="16" t="s">
        <v>9</v>
      </c>
      <c r="E29" s="16">
        <v>4274</v>
      </c>
      <c r="G29" s="13">
        <v>4211</v>
      </c>
      <c r="H29" s="13" t="s">
        <v>225</v>
      </c>
      <c r="I29" s="13" t="s">
        <v>21</v>
      </c>
      <c r="J29" s="13">
        <v>52768073</v>
      </c>
    </row>
    <row r="30" spans="1:10">
      <c r="A30" s="15">
        <v>29</v>
      </c>
      <c r="B30" s="16" t="s">
        <v>579</v>
      </c>
      <c r="C30" s="16" t="s">
        <v>580</v>
      </c>
      <c r="D30" s="16" t="s">
        <v>581</v>
      </c>
      <c r="E30" s="16">
        <v>4157</v>
      </c>
      <c r="G30" s="14">
        <v>4144</v>
      </c>
      <c r="H30" s="14" t="s">
        <v>227</v>
      </c>
      <c r="I30" s="14" t="s">
        <v>23</v>
      </c>
      <c r="J30" s="14">
        <v>51339867</v>
      </c>
    </row>
    <row r="31" spans="1:10">
      <c r="A31" s="15">
        <v>30</v>
      </c>
      <c r="B31" s="16" t="s">
        <v>582</v>
      </c>
      <c r="C31" s="16" t="s">
        <v>583</v>
      </c>
      <c r="D31" s="16" t="s">
        <v>13</v>
      </c>
      <c r="E31" s="16">
        <v>3992</v>
      </c>
      <c r="G31" s="13">
        <v>4073</v>
      </c>
      <c r="H31" s="13" t="s">
        <v>229</v>
      </c>
      <c r="I31" s="13" t="s">
        <v>33</v>
      </c>
      <c r="J31" s="13">
        <v>51270746</v>
      </c>
    </row>
    <row r="32" spans="1:10">
      <c r="A32" s="15">
        <v>31</v>
      </c>
      <c r="B32" s="16" t="s">
        <v>584</v>
      </c>
      <c r="C32" s="16" t="s">
        <v>585</v>
      </c>
      <c r="D32" s="16" t="s">
        <v>21</v>
      </c>
      <c r="E32" s="16">
        <v>4121</v>
      </c>
      <c r="G32" s="14">
        <v>4193</v>
      </c>
      <c r="H32" s="14" t="s">
        <v>232</v>
      </c>
      <c r="I32" s="14" t="s">
        <v>10</v>
      </c>
      <c r="J32" s="14">
        <v>51261170</v>
      </c>
    </row>
    <row r="33" spans="1:10">
      <c r="A33" s="15">
        <v>32</v>
      </c>
      <c r="B33" s="16" t="s">
        <v>35</v>
      </c>
      <c r="C33" s="16" t="s">
        <v>36</v>
      </c>
      <c r="D33" s="16" t="s">
        <v>23</v>
      </c>
      <c r="E33" s="16">
        <v>4282</v>
      </c>
      <c r="G33" s="13">
        <v>4139</v>
      </c>
      <c r="H33" s="13" t="s">
        <v>235</v>
      </c>
      <c r="I33" s="13" t="s">
        <v>33</v>
      </c>
      <c r="J33" s="13">
        <v>52073632</v>
      </c>
    </row>
    <row r="34" spans="1:10">
      <c r="A34" s="15">
        <v>33</v>
      </c>
      <c r="B34" s="16" t="s">
        <v>543</v>
      </c>
      <c r="C34" s="16" t="s">
        <v>586</v>
      </c>
      <c r="D34" s="16" t="s">
        <v>13</v>
      </c>
      <c r="E34" s="16">
        <v>4163</v>
      </c>
      <c r="G34" s="14">
        <v>3828</v>
      </c>
      <c r="H34" s="14" t="s">
        <v>237</v>
      </c>
      <c r="I34" s="14" t="s">
        <v>11</v>
      </c>
      <c r="J34" s="14">
        <v>52909554</v>
      </c>
    </row>
    <row r="35" spans="1:10">
      <c r="A35" s="15">
        <v>34</v>
      </c>
      <c r="B35" s="16" t="s">
        <v>37</v>
      </c>
      <c r="C35" s="16" t="s">
        <v>38</v>
      </c>
      <c r="D35" s="16" t="s">
        <v>39</v>
      </c>
      <c r="E35" s="16">
        <v>4261</v>
      </c>
      <c r="G35" s="13">
        <v>4001</v>
      </c>
      <c r="H35" s="13" t="s">
        <v>239</v>
      </c>
      <c r="I35" s="13" t="s">
        <v>23</v>
      </c>
      <c r="J35" s="13">
        <v>51167440</v>
      </c>
    </row>
    <row r="36" spans="1:10">
      <c r="A36" s="15">
        <v>35</v>
      </c>
      <c r="B36" s="16" t="s">
        <v>587</v>
      </c>
      <c r="C36" s="16" t="s">
        <v>588</v>
      </c>
      <c r="D36" s="16" t="s">
        <v>31</v>
      </c>
      <c r="E36" s="16">
        <v>3793</v>
      </c>
      <c r="G36" s="14">
        <v>4030</v>
      </c>
      <c r="H36" s="14" t="s">
        <v>242</v>
      </c>
      <c r="I36" s="14" t="s">
        <v>17</v>
      </c>
      <c r="J36" s="14">
        <v>51358051</v>
      </c>
    </row>
    <row r="37" spans="1:10">
      <c r="A37" s="15">
        <v>36</v>
      </c>
      <c r="B37" s="16" t="s">
        <v>40</v>
      </c>
      <c r="C37" s="16" t="s">
        <v>41</v>
      </c>
      <c r="D37" s="16" t="s">
        <v>22</v>
      </c>
      <c r="E37" s="16">
        <v>4192</v>
      </c>
      <c r="G37" s="13">
        <v>4285</v>
      </c>
      <c r="H37" s="13" t="s">
        <v>246</v>
      </c>
      <c r="I37" s="13" t="s">
        <v>21</v>
      </c>
      <c r="J37" s="13">
        <v>52875058</v>
      </c>
    </row>
    <row r="38" spans="1:10">
      <c r="A38" s="15">
        <v>37</v>
      </c>
      <c r="B38" s="16" t="s">
        <v>42</v>
      </c>
      <c r="C38" s="16" t="s">
        <v>43</v>
      </c>
      <c r="D38" s="16" t="s">
        <v>21</v>
      </c>
      <c r="E38" s="16">
        <v>4210</v>
      </c>
      <c r="G38" s="14">
        <v>4198</v>
      </c>
      <c r="H38" s="14" t="s">
        <v>249</v>
      </c>
      <c r="I38" s="14" t="s">
        <v>21</v>
      </c>
      <c r="J38" s="14">
        <v>53454414</v>
      </c>
    </row>
    <row r="39" spans="1:10">
      <c r="A39" s="15">
        <v>38</v>
      </c>
      <c r="B39" s="16" t="s">
        <v>589</v>
      </c>
      <c r="C39" s="16" t="s">
        <v>590</v>
      </c>
      <c r="D39" s="16" t="s">
        <v>581</v>
      </c>
      <c r="E39" s="16">
        <v>4225</v>
      </c>
      <c r="G39" s="13">
        <v>4195</v>
      </c>
      <c r="H39" s="13" t="s">
        <v>251</v>
      </c>
      <c r="I39" s="13" t="s">
        <v>26</v>
      </c>
      <c r="J39" s="13">
        <v>54627320</v>
      </c>
    </row>
    <row r="40" spans="1:10">
      <c r="A40" s="15">
        <v>39</v>
      </c>
      <c r="B40" s="16" t="s">
        <v>591</v>
      </c>
      <c r="C40" s="16" t="s">
        <v>592</v>
      </c>
      <c r="D40" s="16" t="s">
        <v>31</v>
      </c>
      <c r="E40" s="16">
        <v>4025</v>
      </c>
      <c r="G40" s="14">
        <v>3936</v>
      </c>
      <c r="H40" s="14" t="s">
        <v>253</v>
      </c>
      <c r="I40" s="14" t="s">
        <v>21</v>
      </c>
      <c r="J40" s="14">
        <v>50670497</v>
      </c>
    </row>
    <row r="41" spans="1:10">
      <c r="A41" s="15">
        <v>40</v>
      </c>
      <c r="B41" s="16" t="s">
        <v>593</v>
      </c>
      <c r="C41" s="16" t="s">
        <v>594</v>
      </c>
      <c r="D41" s="16" t="s">
        <v>16</v>
      </c>
      <c r="E41" s="16">
        <v>4140</v>
      </c>
      <c r="G41" s="13">
        <v>4020</v>
      </c>
      <c r="H41" s="13" t="s">
        <v>256</v>
      </c>
      <c r="I41" s="13" t="s">
        <v>21</v>
      </c>
      <c r="J41" s="13">
        <v>52857832</v>
      </c>
    </row>
    <row r="42" spans="1:10">
      <c r="A42" s="15">
        <v>41</v>
      </c>
      <c r="B42" s="16" t="s">
        <v>595</v>
      </c>
      <c r="C42" s="16" t="s">
        <v>596</v>
      </c>
      <c r="D42" s="16" t="s">
        <v>21</v>
      </c>
      <c r="E42" s="16">
        <v>4198</v>
      </c>
      <c r="G42" s="14">
        <v>4011</v>
      </c>
      <c r="H42" s="14" t="s">
        <v>258</v>
      </c>
      <c r="I42" s="14" t="s">
        <v>7</v>
      </c>
      <c r="J42" s="14">
        <v>52768606</v>
      </c>
    </row>
    <row r="43" spans="1:10">
      <c r="A43" s="15">
        <v>42</v>
      </c>
      <c r="B43" s="16" t="s">
        <v>45</v>
      </c>
      <c r="C43" s="16" t="s">
        <v>46</v>
      </c>
      <c r="D43" s="16" t="s">
        <v>33</v>
      </c>
      <c r="E43" s="16">
        <v>4280</v>
      </c>
      <c r="G43" s="13">
        <v>4171</v>
      </c>
      <c r="H43" s="13" t="s">
        <v>260</v>
      </c>
      <c r="I43" s="13" t="s">
        <v>9</v>
      </c>
      <c r="J43" s="13">
        <v>51183098</v>
      </c>
    </row>
    <row r="44" spans="1:10">
      <c r="A44" s="15">
        <v>43</v>
      </c>
      <c r="B44" s="16" t="s">
        <v>135</v>
      </c>
      <c r="C44" s="16" t="s">
        <v>136</v>
      </c>
      <c r="D44" s="16" t="s">
        <v>39</v>
      </c>
      <c r="E44" s="16">
        <v>4183</v>
      </c>
      <c r="G44" s="14">
        <v>4096</v>
      </c>
      <c r="H44" s="14" t="s">
        <v>262</v>
      </c>
      <c r="I44" s="14" t="s">
        <v>9</v>
      </c>
      <c r="J44" s="14">
        <v>51397535</v>
      </c>
    </row>
    <row r="45" spans="1:10">
      <c r="A45" s="15">
        <v>44</v>
      </c>
      <c r="B45" s="16" t="s">
        <v>567</v>
      </c>
      <c r="C45" s="16" t="s">
        <v>597</v>
      </c>
      <c r="D45" s="16" t="s">
        <v>23</v>
      </c>
      <c r="E45" s="16">
        <v>4241</v>
      </c>
      <c r="G45" s="13">
        <v>4280</v>
      </c>
      <c r="H45" s="13" t="s">
        <v>265</v>
      </c>
      <c r="I45" s="13" t="s">
        <v>33</v>
      </c>
      <c r="J45" s="13">
        <v>52366183</v>
      </c>
    </row>
    <row r="46" spans="1:10">
      <c r="A46" s="15">
        <v>45</v>
      </c>
      <c r="B46" s="16" t="s">
        <v>598</v>
      </c>
      <c r="C46" s="16" t="s">
        <v>599</v>
      </c>
      <c r="D46" s="16" t="s">
        <v>23</v>
      </c>
      <c r="E46" s="16">
        <v>4144</v>
      </c>
      <c r="G46" s="14">
        <v>4218</v>
      </c>
      <c r="H46" s="14" t="s">
        <v>268</v>
      </c>
      <c r="I46" s="14" t="s">
        <v>33</v>
      </c>
      <c r="J46" s="14">
        <v>52085390</v>
      </c>
    </row>
    <row r="47" spans="1:10">
      <c r="A47" s="15">
        <v>46</v>
      </c>
      <c r="B47" s="16" t="s">
        <v>48</v>
      </c>
      <c r="C47" s="16" t="s">
        <v>49</v>
      </c>
      <c r="D47" s="16" t="s">
        <v>16</v>
      </c>
      <c r="E47" s="16">
        <v>4185</v>
      </c>
      <c r="G47" s="13">
        <v>4093</v>
      </c>
      <c r="H47" s="13" t="s">
        <v>270</v>
      </c>
      <c r="I47" s="13" t="s">
        <v>23</v>
      </c>
      <c r="J47" s="13">
        <v>52136031</v>
      </c>
    </row>
    <row r="48" spans="1:10">
      <c r="A48" s="15">
        <v>47</v>
      </c>
      <c r="B48" s="16" t="s">
        <v>32</v>
      </c>
      <c r="C48" s="16" t="s">
        <v>47</v>
      </c>
      <c r="D48" s="16" t="s">
        <v>16</v>
      </c>
      <c r="E48" s="16">
        <v>4182</v>
      </c>
      <c r="G48" s="14">
        <v>4274</v>
      </c>
      <c r="H48" s="14" t="s">
        <v>272</v>
      </c>
      <c r="I48" s="14" t="s">
        <v>9</v>
      </c>
      <c r="J48" s="14">
        <v>53584723</v>
      </c>
    </row>
    <row r="49" spans="1:10">
      <c r="A49" s="15">
        <v>48</v>
      </c>
      <c r="B49" s="16" t="s">
        <v>600</v>
      </c>
      <c r="C49" s="16" t="s">
        <v>601</v>
      </c>
      <c r="D49" s="16" t="s">
        <v>13</v>
      </c>
      <c r="E49" s="16">
        <v>4197</v>
      </c>
      <c r="G49" s="13">
        <v>3872</v>
      </c>
      <c r="H49" s="13" t="s">
        <v>275</v>
      </c>
      <c r="I49" s="13" t="s">
        <v>5</v>
      </c>
      <c r="J49" s="13">
        <v>53083955</v>
      </c>
    </row>
    <row r="50" spans="1:10">
      <c r="A50" s="15">
        <v>49</v>
      </c>
      <c r="B50" s="16" t="s">
        <v>602</v>
      </c>
      <c r="C50" s="16" t="s">
        <v>603</v>
      </c>
      <c r="D50" s="16" t="s">
        <v>16</v>
      </c>
      <c r="E50" s="16">
        <v>4186</v>
      </c>
      <c r="G50" s="14">
        <v>4174</v>
      </c>
      <c r="H50" s="14" t="s">
        <v>277</v>
      </c>
      <c r="I50" s="14" t="s">
        <v>5</v>
      </c>
      <c r="J50" s="14">
        <v>52647669</v>
      </c>
    </row>
    <row r="51" spans="1:10">
      <c r="A51" s="15">
        <v>50</v>
      </c>
      <c r="B51" s="16" t="s">
        <v>50</v>
      </c>
      <c r="C51" s="16" t="s">
        <v>51</v>
      </c>
      <c r="D51" s="16" t="s">
        <v>39</v>
      </c>
      <c r="E51" s="16">
        <v>3832</v>
      </c>
      <c r="G51" s="13">
        <v>4167</v>
      </c>
      <c r="H51" s="13" t="s">
        <v>280</v>
      </c>
      <c r="I51" s="13" t="s">
        <v>17</v>
      </c>
      <c r="J51" s="13">
        <v>52366875</v>
      </c>
    </row>
    <row r="52" spans="1:10">
      <c r="A52" s="15">
        <v>51</v>
      </c>
      <c r="B52" s="16" t="s">
        <v>604</v>
      </c>
      <c r="C52" s="16" t="s">
        <v>605</v>
      </c>
      <c r="D52" s="16" t="s">
        <v>21</v>
      </c>
      <c r="E52" s="16">
        <v>3936</v>
      </c>
      <c r="G52" s="14">
        <v>4162</v>
      </c>
      <c r="H52" s="14" t="s">
        <v>282</v>
      </c>
      <c r="I52" s="14" t="s">
        <v>171</v>
      </c>
      <c r="J52" s="14">
        <v>52159528</v>
      </c>
    </row>
    <row r="53" spans="1:10">
      <c r="A53" s="15">
        <v>52</v>
      </c>
      <c r="B53" s="16" t="s">
        <v>606</v>
      </c>
      <c r="C53" s="16" t="s">
        <v>607</v>
      </c>
      <c r="D53" s="16" t="s">
        <v>27</v>
      </c>
      <c r="E53" s="16">
        <v>3935</v>
      </c>
      <c r="G53" s="13">
        <v>4244</v>
      </c>
      <c r="H53" s="13" t="s">
        <v>284</v>
      </c>
      <c r="I53" s="13" t="s">
        <v>22</v>
      </c>
      <c r="J53" s="13">
        <v>53586402</v>
      </c>
    </row>
    <row r="54" spans="1:10">
      <c r="A54" s="15">
        <v>53</v>
      </c>
      <c r="B54" s="16" t="s">
        <v>52</v>
      </c>
      <c r="C54" s="16" t="s">
        <v>53</v>
      </c>
      <c r="D54" s="16" t="s">
        <v>9</v>
      </c>
      <c r="E54" s="16">
        <v>4100</v>
      </c>
      <c r="G54" s="14">
        <v>4049</v>
      </c>
      <c r="H54" s="14" t="s">
        <v>287</v>
      </c>
      <c r="I54" s="14" t="s">
        <v>7</v>
      </c>
      <c r="J54" s="14">
        <v>52856304</v>
      </c>
    </row>
    <row r="55" spans="1:10">
      <c r="A55" s="15">
        <v>54</v>
      </c>
      <c r="B55" s="16" t="s">
        <v>608</v>
      </c>
      <c r="C55" s="16" t="s">
        <v>609</v>
      </c>
      <c r="D55" s="16" t="s">
        <v>26</v>
      </c>
      <c r="E55" s="16">
        <v>3630</v>
      </c>
      <c r="G55" s="13">
        <v>4117</v>
      </c>
      <c r="H55" s="13" t="s">
        <v>289</v>
      </c>
      <c r="I55" s="13" t="s">
        <v>9</v>
      </c>
      <c r="J55" s="13">
        <v>52164372</v>
      </c>
    </row>
    <row r="56" spans="1:10">
      <c r="A56" s="15">
        <v>55</v>
      </c>
      <c r="B56" s="16" t="s">
        <v>610</v>
      </c>
      <c r="C56" s="16" t="s">
        <v>611</v>
      </c>
      <c r="D56" s="16" t="s">
        <v>17</v>
      </c>
      <c r="E56" s="16">
        <v>4146</v>
      </c>
      <c r="G56" s="14">
        <v>4104</v>
      </c>
      <c r="H56" s="14" t="s">
        <v>291</v>
      </c>
      <c r="I56" s="14" t="s">
        <v>33</v>
      </c>
      <c r="J56" s="14">
        <v>54029308</v>
      </c>
    </row>
    <row r="57" spans="1:10">
      <c r="A57" s="15">
        <v>56</v>
      </c>
      <c r="B57" s="16" t="s">
        <v>54</v>
      </c>
      <c r="C57" s="16" t="s">
        <v>55</v>
      </c>
      <c r="D57" s="16" t="s">
        <v>33</v>
      </c>
      <c r="E57" s="16">
        <v>4139</v>
      </c>
      <c r="G57" s="13">
        <v>3895</v>
      </c>
      <c r="H57" s="13" t="s">
        <v>293</v>
      </c>
      <c r="I57" s="13" t="s">
        <v>5</v>
      </c>
      <c r="J57" s="13">
        <v>54184438</v>
      </c>
    </row>
    <row r="58" spans="1:10">
      <c r="A58" s="15">
        <v>57</v>
      </c>
      <c r="B58" s="16" t="s">
        <v>56</v>
      </c>
      <c r="C58" s="16" t="s">
        <v>57</v>
      </c>
      <c r="D58" s="16" t="s">
        <v>7</v>
      </c>
      <c r="E58" s="16">
        <v>4245</v>
      </c>
      <c r="G58" s="14">
        <v>3675</v>
      </c>
      <c r="H58" s="14" t="s">
        <v>296</v>
      </c>
      <c r="I58" s="14" t="s">
        <v>7</v>
      </c>
      <c r="J58" s="14">
        <v>53236008</v>
      </c>
    </row>
    <row r="59" spans="1:10">
      <c r="A59" s="15">
        <v>58</v>
      </c>
      <c r="B59" s="16" t="s">
        <v>612</v>
      </c>
      <c r="C59" s="16" t="s">
        <v>613</v>
      </c>
      <c r="D59" s="16" t="s">
        <v>27</v>
      </c>
      <c r="E59" s="16">
        <v>4223</v>
      </c>
      <c r="G59" s="13">
        <v>3953</v>
      </c>
      <c r="H59" s="13" t="s">
        <v>298</v>
      </c>
      <c r="I59" s="13" t="s">
        <v>31</v>
      </c>
      <c r="J59" s="13">
        <v>50899423</v>
      </c>
    </row>
    <row r="60" spans="1:10">
      <c r="A60" s="15">
        <v>59</v>
      </c>
      <c r="B60" s="16" t="s">
        <v>614</v>
      </c>
      <c r="C60" s="16" t="s">
        <v>615</v>
      </c>
      <c r="D60" s="16" t="s">
        <v>5</v>
      </c>
      <c r="E60" s="16">
        <v>3995</v>
      </c>
      <c r="G60" s="14">
        <v>4261</v>
      </c>
      <c r="H60" s="14" t="s">
        <v>301</v>
      </c>
      <c r="I60" s="14" t="s">
        <v>39</v>
      </c>
      <c r="J60" s="14">
        <v>52762420</v>
      </c>
    </row>
    <row r="61" spans="1:10">
      <c r="A61" s="15">
        <v>60</v>
      </c>
      <c r="B61" s="16" t="s">
        <v>616</v>
      </c>
      <c r="C61" s="16" t="s">
        <v>617</v>
      </c>
      <c r="D61" s="16" t="s">
        <v>11</v>
      </c>
      <c r="E61" s="16">
        <v>4177</v>
      </c>
      <c r="G61" s="13">
        <v>4267</v>
      </c>
      <c r="H61" s="13" t="s">
        <v>303</v>
      </c>
      <c r="I61" s="13" t="s">
        <v>9</v>
      </c>
      <c r="J61" s="13">
        <v>52113290</v>
      </c>
    </row>
    <row r="62" spans="1:10">
      <c r="A62" s="15">
        <v>61</v>
      </c>
      <c r="B62" s="16" t="s">
        <v>618</v>
      </c>
      <c r="C62" s="16" t="s">
        <v>619</v>
      </c>
      <c r="D62" s="16" t="s">
        <v>6</v>
      </c>
      <c r="E62" s="16">
        <v>3862</v>
      </c>
      <c r="G62" s="14">
        <v>4245</v>
      </c>
      <c r="H62" s="14" t="s">
        <v>305</v>
      </c>
      <c r="I62" s="14" t="s">
        <v>7</v>
      </c>
      <c r="J62" s="14">
        <v>52672616</v>
      </c>
    </row>
    <row r="63" spans="1:10">
      <c r="A63" s="15">
        <v>62</v>
      </c>
      <c r="B63" s="16" t="s">
        <v>34</v>
      </c>
      <c r="C63" s="16" t="s">
        <v>620</v>
      </c>
      <c r="D63" s="16" t="s">
        <v>11</v>
      </c>
      <c r="E63" s="16">
        <v>4209</v>
      </c>
      <c r="G63" s="13">
        <v>4289</v>
      </c>
      <c r="H63" s="13" t="s">
        <v>308</v>
      </c>
      <c r="I63" s="13" t="s">
        <v>23</v>
      </c>
      <c r="J63" s="13">
        <v>52099166</v>
      </c>
    </row>
    <row r="64" spans="1:10">
      <c r="A64" s="15">
        <v>63</v>
      </c>
      <c r="B64" s="16" t="s">
        <v>567</v>
      </c>
      <c r="C64" s="16" t="s">
        <v>621</v>
      </c>
      <c r="D64" s="16" t="s">
        <v>21</v>
      </c>
      <c r="E64" s="16">
        <v>4285</v>
      </c>
      <c r="G64" s="14">
        <v>4099</v>
      </c>
      <c r="H64" s="14" t="s">
        <v>310</v>
      </c>
      <c r="I64" s="14" t="s">
        <v>16</v>
      </c>
      <c r="J64" s="14">
        <v>52786122</v>
      </c>
    </row>
    <row r="65" spans="1:10">
      <c r="A65" s="15">
        <v>64</v>
      </c>
      <c r="B65" s="16" t="s">
        <v>58</v>
      </c>
      <c r="C65" s="16" t="s">
        <v>59</v>
      </c>
      <c r="D65" s="16" t="s">
        <v>16</v>
      </c>
      <c r="E65" s="16">
        <v>4099</v>
      </c>
      <c r="G65" s="13">
        <v>4234</v>
      </c>
      <c r="H65" s="13" t="s">
        <v>312</v>
      </c>
      <c r="I65" s="13" t="s">
        <v>17</v>
      </c>
      <c r="J65" s="13">
        <v>52755200</v>
      </c>
    </row>
    <row r="66" spans="1:10">
      <c r="A66" s="15">
        <v>65</v>
      </c>
      <c r="B66" s="16" t="s">
        <v>622</v>
      </c>
      <c r="C66" s="16" t="s">
        <v>623</v>
      </c>
      <c r="D66" s="16" t="s">
        <v>9</v>
      </c>
      <c r="E66" s="16">
        <v>3969</v>
      </c>
      <c r="G66" s="14">
        <v>4237</v>
      </c>
      <c r="H66" s="14" t="s">
        <v>315</v>
      </c>
      <c r="I66" s="14" t="s">
        <v>26</v>
      </c>
      <c r="J66" s="14">
        <v>50903230</v>
      </c>
    </row>
    <row r="67" spans="1:10">
      <c r="A67" s="15">
        <v>66</v>
      </c>
      <c r="B67" s="16" t="s">
        <v>589</v>
      </c>
      <c r="C67" s="16" t="s">
        <v>624</v>
      </c>
      <c r="D67" s="16" t="s">
        <v>342</v>
      </c>
      <c r="E67" s="16">
        <v>4221</v>
      </c>
      <c r="G67" s="13">
        <v>4175</v>
      </c>
      <c r="H67" s="13" t="s">
        <v>317</v>
      </c>
      <c r="I67" s="13" t="s">
        <v>11</v>
      </c>
      <c r="J67" s="13">
        <v>53218075</v>
      </c>
    </row>
    <row r="68" spans="1:10">
      <c r="A68" s="15">
        <v>67</v>
      </c>
      <c r="B68" s="16" t="s">
        <v>137</v>
      </c>
      <c r="C68" s="16" t="s">
        <v>61</v>
      </c>
      <c r="D68" s="16" t="s">
        <v>23</v>
      </c>
      <c r="E68" s="16">
        <v>4064</v>
      </c>
      <c r="G68" s="14">
        <v>3992</v>
      </c>
      <c r="H68" s="14" t="s">
        <v>321</v>
      </c>
      <c r="I68" s="14" t="s">
        <v>171</v>
      </c>
      <c r="J68" s="14">
        <v>53236907</v>
      </c>
    </row>
    <row r="69" spans="1:10">
      <c r="A69" s="15">
        <v>68</v>
      </c>
      <c r="B69" s="16" t="s">
        <v>60</v>
      </c>
      <c r="C69" s="16" t="s">
        <v>61</v>
      </c>
      <c r="D69" s="16" t="s">
        <v>23</v>
      </c>
      <c r="E69" s="16">
        <v>4093</v>
      </c>
      <c r="G69" s="13">
        <v>4197</v>
      </c>
      <c r="H69" s="13" t="s">
        <v>323</v>
      </c>
      <c r="I69" s="13" t="s">
        <v>171</v>
      </c>
      <c r="J69" s="13">
        <v>51511518</v>
      </c>
    </row>
    <row r="70" spans="1:10">
      <c r="A70" s="15">
        <v>69</v>
      </c>
      <c r="B70" s="16" t="s">
        <v>30</v>
      </c>
      <c r="C70" s="16" t="s">
        <v>62</v>
      </c>
      <c r="D70" s="16" t="s">
        <v>33</v>
      </c>
      <c r="E70" s="16">
        <v>4073</v>
      </c>
      <c r="G70" s="14">
        <v>4152</v>
      </c>
      <c r="H70" s="14" t="s">
        <v>325</v>
      </c>
      <c r="I70" s="14" t="s">
        <v>11</v>
      </c>
      <c r="J70" s="14">
        <v>52003396</v>
      </c>
    </row>
    <row r="71" spans="1:10">
      <c r="A71" s="15">
        <v>70</v>
      </c>
      <c r="B71" s="16" t="s">
        <v>625</v>
      </c>
      <c r="C71" s="16" t="s">
        <v>626</v>
      </c>
      <c r="D71" s="16" t="s">
        <v>22</v>
      </c>
      <c r="E71" s="16">
        <v>4244</v>
      </c>
      <c r="G71" s="13">
        <v>4263</v>
      </c>
      <c r="H71" s="13" t="s">
        <v>328</v>
      </c>
      <c r="I71" s="13" t="s">
        <v>10</v>
      </c>
      <c r="J71" s="13">
        <v>53456040</v>
      </c>
    </row>
    <row r="72" spans="1:10">
      <c r="A72" s="15">
        <v>71</v>
      </c>
      <c r="B72" s="16" t="s">
        <v>627</v>
      </c>
      <c r="C72" s="16" t="s">
        <v>628</v>
      </c>
      <c r="D72" s="16" t="s">
        <v>5</v>
      </c>
      <c r="E72" s="16">
        <v>4173</v>
      </c>
      <c r="G72" s="14">
        <v>4188</v>
      </c>
      <c r="H72" s="14" t="s">
        <v>330</v>
      </c>
      <c r="I72" s="14" t="s">
        <v>5</v>
      </c>
      <c r="J72" s="14">
        <v>51588663</v>
      </c>
    </row>
    <row r="73" spans="1:10">
      <c r="A73" s="15">
        <v>72</v>
      </c>
      <c r="B73" s="16" t="s">
        <v>629</v>
      </c>
      <c r="C73" s="16" t="s">
        <v>630</v>
      </c>
      <c r="D73" s="16" t="s">
        <v>11</v>
      </c>
      <c r="E73" s="16">
        <v>4128</v>
      </c>
      <c r="G73" s="13">
        <v>4225</v>
      </c>
      <c r="H73" s="13" t="s">
        <v>334</v>
      </c>
      <c r="I73" s="13" t="s">
        <v>335</v>
      </c>
      <c r="J73" s="13">
        <v>52866577</v>
      </c>
    </row>
    <row r="74" spans="1:10">
      <c r="A74" s="15">
        <v>73</v>
      </c>
      <c r="B74" s="16" t="s">
        <v>631</v>
      </c>
      <c r="C74" s="16" t="s">
        <v>632</v>
      </c>
      <c r="D74" s="16" t="s">
        <v>7</v>
      </c>
      <c r="E74" s="16">
        <v>3675</v>
      </c>
      <c r="G74" s="14">
        <v>3862</v>
      </c>
      <c r="H74" s="14" t="s">
        <v>337</v>
      </c>
      <c r="I74" s="14" t="s">
        <v>6</v>
      </c>
      <c r="J74" s="14">
        <v>51422775</v>
      </c>
    </row>
    <row r="75" spans="1:10">
      <c r="A75" s="15">
        <v>74</v>
      </c>
      <c r="B75" s="16" t="s">
        <v>45</v>
      </c>
      <c r="C75" s="16" t="s">
        <v>633</v>
      </c>
      <c r="D75" s="16" t="s">
        <v>63</v>
      </c>
      <c r="E75" s="16">
        <v>4107</v>
      </c>
      <c r="G75" s="13">
        <v>4100</v>
      </c>
      <c r="H75" s="13" t="s">
        <v>339</v>
      </c>
      <c r="I75" s="13" t="s">
        <v>9</v>
      </c>
      <c r="J75" s="13">
        <v>52613001</v>
      </c>
    </row>
    <row r="76" spans="1:10">
      <c r="A76" s="15">
        <v>75</v>
      </c>
      <c r="B76" s="16" t="s">
        <v>138</v>
      </c>
      <c r="C76" s="16" t="s">
        <v>64</v>
      </c>
      <c r="D76" s="16" t="s">
        <v>33</v>
      </c>
      <c r="E76" s="16">
        <v>4104</v>
      </c>
      <c r="G76" s="14">
        <v>4221</v>
      </c>
      <c r="H76" s="14" t="s">
        <v>341</v>
      </c>
      <c r="I76" s="14" t="s">
        <v>342</v>
      </c>
      <c r="J76" s="14">
        <v>51469973</v>
      </c>
    </row>
    <row r="77" spans="1:10">
      <c r="A77" s="15">
        <v>76</v>
      </c>
      <c r="B77" s="16" t="s">
        <v>634</v>
      </c>
      <c r="C77" s="16" t="s">
        <v>635</v>
      </c>
      <c r="D77" s="16" t="s">
        <v>67</v>
      </c>
      <c r="E77" s="16">
        <v>4098</v>
      </c>
      <c r="G77" s="13">
        <v>3908</v>
      </c>
      <c r="H77" s="13" t="s">
        <v>344</v>
      </c>
      <c r="I77" s="13" t="s">
        <v>11</v>
      </c>
      <c r="J77" s="13">
        <v>52698988</v>
      </c>
    </row>
    <row r="78" spans="1:10">
      <c r="A78" s="15">
        <v>77</v>
      </c>
      <c r="B78" s="16" t="s">
        <v>636</v>
      </c>
      <c r="C78" s="16" t="s">
        <v>637</v>
      </c>
      <c r="D78" s="16" t="s">
        <v>7</v>
      </c>
      <c r="E78" s="16">
        <v>4049</v>
      </c>
      <c r="G78" s="14">
        <v>4271</v>
      </c>
      <c r="H78" s="14" t="s">
        <v>346</v>
      </c>
      <c r="I78" s="14" t="s">
        <v>9</v>
      </c>
      <c r="J78" s="14">
        <v>53878557</v>
      </c>
    </row>
    <row r="79" spans="1:10">
      <c r="A79" s="15">
        <v>78</v>
      </c>
      <c r="B79" s="16" t="s">
        <v>638</v>
      </c>
      <c r="C79" s="16" t="s">
        <v>639</v>
      </c>
      <c r="D79" s="16" t="s">
        <v>10</v>
      </c>
      <c r="E79" s="16">
        <v>4263</v>
      </c>
      <c r="G79" s="13">
        <v>4072</v>
      </c>
      <c r="H79" s="13" t="s">
        <v>348</v>
      </c>
      <c r="I79" s="13" t="s">
        <v>21</v>
      </c>
      <c r="J79" s="13">
        <v>53327460</v>
      </c>
    </row>
    <row r="80" spans="1:10">
      <c r="A80" s="15">
        <v>79</v>
      </c>
      <c r="B80" s="16" t="s">
        <v>640</v>
      </c>
      <c r="C80" s="16" t="s">
        <v>641</v>
      </c>
      <c r="D80" s="16" t="s">
        <v>21</v>
      </c>
      <c r="E80" s="16">
        <v>3946</v>
      </c>
      <c r="G80" s="14">
        <v>4118</v>
      </c>
      <c r="H80" s="14" t="s">
        <v>350</v>
      </c>
      <c r="I80" s="14" t="s">
        <v>21</v>
      </c>
      <c r="J80" s="14">
        <v>51723975</v>
      </c>
    </row>
    <row r="81" spans="1:10">
      <c r="A81" s="15">
        <v>80</v>
      </c>
      <c r="B81" s="16" t="s">
        <v>642</v>
      </c>
      <c r="C81" s="16" t="s">
        <v>643</v>
      </c>
      <c r="D81" s="16" t="s">
        <v>7</v>
      </c>
      <c r="E81" s="16">
        <v>3739</v>
      </c>
      <c r="G81" s="13">
        <v>3793</v>
      </c>
      <c r="H81" s="13" t="s">
        <v>352</v>
      </c>
      <c r="I81" s="13" t="s">
        <v>31</v>
      </c>
      <c r="J81" s="13">
        <v>52118147</v>
      </c>
    </row>
    <row r="82" spans="1:10">
      <c r="A82" s="15">
        <v>81</v>
      </c>
      <c r="B82" s="16" t="s">
        <v>644</v>
      </c>
      <c r="C82" s="16" t="s">
        <v>645</v>
      </c>
      <c r="D82" s="16" t="s">
        <v>26</v>
      </c>
      <c r="E82" s="16">
        <v>3856</v>
      </c>
      <c r="G82" s="14">
        <v>4210</v>
      </c>
      <c r="H82" s="14" t="s">
        <v>354</v>
      </c>
      <c r="I82" s="14" t="s">
        <v>21</v>
      </c>
      <c r="J82" s="14">
        <v>53645984</v>
      </c>
    </row>
    <row r="83" spans="1:10">
      <c r="A83" s="15">
        <v>82</v>
      </c>
      <c r="B83" s="16" t="s">
        <v>65</v>
      </c>
      <c r="C83" s="16" t="s">
        <v>66</v>
      </c>
      <c r="D83" s="16" t="s">
        <v>10</v>
      </c>
      <c r="E83" s="16">
        <v>4193</v>
      </c>
      <c r="G83" s="13">
        <v>4025</v>
      </c>
      <c r="H83" s="13" t="s">
        <v>358</v>
      </c>
      <c r="I83" s="13" t="s">
        <v>31</v>
      </c>
      <c r="J83" s="13">
        <v>52756455</v>
      </c>
    </row>
    <row r="84" spans="1:10">
      <c r="A84" s="15">
        <v>83</v>
      </c>
      <c r="B84" s="16" t="s">
        <v>138</v>
      </c>
      <c r="C84" s="16" t="s">
        <v>646</v>
      </c>
      <c r="D84" s="16" t="s">
        <v>23</v>
      </c>
      <c r="E84" s="16">
        <v>3819</v>
      </c>
      <c r="G84" s="14">
        <v>3995</v>
      </c>
      <c r="H84" s="14" t="s">
        <v>360</v>
      </c>
      <c r="I84" s="14" t="s">
        <v>5</v>
      </c>
      <c r="J84" s="14">
        <v>52861772</v>
      </c>
    </row>
    <row r="85" spans="1:10">
      <c r="A85" s="15">
        <v>84</v>
      </c>
      <c r="B85" s="16" t="s">
        <v>647</v>
      </c>
      <c r="C85" s="16" t="s">
        <v>648</v>
      </c>
      <c r="D85" s="16" t="s">
        <v>5</v>
      </c>
      <c r="E85" s="16">
        <v>4181</v>
      </c>
      <c r="G85" s="13">
        <v>3977</v>
      </c>
      <c r="H85" s="13" t="s">
        <v>362</v>
      </c>
      <c r="I85" s="13" t="s">
        <v>17</v>
      </c>
      <c r="J85" s="13">
        <v>51281593</v>
      </c>
    </row>
    <row r="86" spans="1:10">
      <c r="A86" s="15">
        <v>85</v>
      </c>
      <c r="B86" s="16" t="s">
        <v>649</v>
      </c>
      <c r="C86" s="16" t="s">
        <v>650</v>
      </c>
      <c r="D86" s="16" t="s">
        <v>26</v>
      </c>
      <c r="E86" s="16">
        <v>4259</v>
      </c>
      <c r="G86" s="14">
        <v>3999</v>
      </c>
      <c r="H86" s="14" t="s">
        <v>364</v>
      </c>
      <c r="I86" s="14" t="s">
        <v>71</v>
      </c>
      <c r="J86" s="14">
        <v>54765545</v>
      </c>
    </row>
    <row r="87" spans="1:10">
      <c r="A87" s="15">
        <v>86</v>
      </c>
      <c r="B87" s="16" t="s">
        <v>651</v>
      </c>
      <c r="C87" s="16" t="s">
        <v>652</v>
      </c>
      <c r="D87" s="16" t="s">
        <v>26</v>
      </c>
      <c r="E87" s="16">
        <v>4228</v>
      </c>
      <c r="G87" s="13">
        <v>3819</v>
      </c>
      <c r="H87" s="13" t="s">
        <v>366</v>
      </c>
      <c r="I87" s="13" t="s">
        <v>23</v>
      </c>
      <c r="J87" s="13">
        <v>52977090</v>
      </c>
    </row>
    <row r="88" spans="1:10">
      <c r="A88" s="15">
        <v>87</v>
      </c>
      <c r="B88" s="16" t="s">
        <v>653</v>
      </c>
      <c r="C88" s="16" t="s">
        <v>654</v>
      </c>
      <c r="D88" s="16" t="s">
        <v>7</v>
      </c>
      <c r="E88" s="16">
        <v>4011</v>
      </c>
      <c r="G88" s="14">
        <v>4136</v>
      </c>
      <c r="H88" s="14" t="s">
        <v>368</v>
      </c>
      <c r="I88" s="14" t="s">
        <v>7</v>
      </c>
      <c r="J88" s="14">
        <v>52448420</v>
      </c>
    </row>
    <row r="89" spans="1:10">
      <c r="A89" s="15">
        <v>88</v>
      </c>
      <c r="B89" s="16" t="s">
        <v>655</v>
      </c>
      <c r="C89" s="16" t="s">
        <v>656</v>
      </c>
      <c r="D89" s="16" t="s">
        <v>5</v>
      </c>
      <c r="E89" s="16">
        <v>4091</v>
      </c>
      <c r="G89" s="13">
        <v>4275</v>
      </c>
      <c r="H89" s="13" t="s">
        <v>371</v>
      </c>
      <c r="I89" s="13" t="s">
        <v>71</v>
      </c>
      <c r="J89" s="13">
        <v>53623848</v>
      </c>
    </row>
    <row r="90" spans="1:10">
      <c r="A90" s="15">
        <v>89</v>
      </c>
      <c r="B90" s="16" t="s">
        <v>657</v>
      </c>
      <c r="C90" s="16" t="s">
        <v>658</v>
      </c>
      <c r="D90" s="16" t="s">
        <v>13</v>
      </c>
      <c r="E90" s="16">
        <v>4047</v>
      </c>
      <c r="G90" s="14">
        <v>4269</v>
      </c>
      <c r="H90" s="14" t="s">
        <v>373</v>
      </c>
      <c r="I90" s="14" t="s">
        <v>6</v>
      </c>
      <c r="J90" s="14">
        <v>51098290</v>
      </c>
    </row>
    <row r="91" spans="1:10">
      <c r="A91" s="15">
        <v>90</v>
      </c>
      <c r="B91" s="16" t="s">
        <v>659</v>
      </c>
      <c r="C91" s="16" t="s">
        <v>660</v>
      </c>
      <c r="D91" s="16" t="s">
        <v>26</v>
      </c>
      <c r="E91" s="16">
        <v>4237</v>
      </c>
      <c r="G91" s="13">
        <v>4194</v>
      </c>
      <c r="H91" s="13" t="s">
        <v>375</v>
      </c>
      <c r="I91" s="13" t="s">
        <v>5</v>
      </c>
      <c r="J91" s="13">
        <v>51586146</v>
      </c>
    </row>
    <row r="92" spans="1:10">
      <c r="A92" s="15">
        <v>91</v>
      </c>
      <c r="B92" s="16" t="s">
        <v>661</v>
      </c>
      <c r="C92" s="16" t="s">
        <v>662</v>
      </c>
      <c r="D92" s="16" t="s">
        <v>67</v>
      </c>
      <c r="E92" s="16">
        <v>4187</v>
      </c>
      <c r="G92" s="14">
        <v>3969</v>
      </c>
      <c r="H92" s="14" t="s">
        <v>377</v>
      </c>
      <c r="I92" s="14" t="s">
        <v>9</v>
      </c>
      <c r="J92" s="14">
        <v>53240593</v>
      </c>
    </row>
    <row r="93" spans="1:10">
      <c r="A93" s="15">
        <v>92</v>
      </c>
      <c r="B93" s="16" t="s">
        <v>663</v>
      </c>
      <c r="C93" s="16" t="s">
        <v>664</v>
      </c>
      <c r="D93" s="16" t="s">
        <v>22</v>
      </c>
      <c r="E93" s="16">
        <v>4243</v>
      </c>
      <c r="G93" s="13">
        <v>4128</v>
      </c>
      <c r="H93" s="13" t="s">
        <v>380</v>
      </c>
      <c r="I93" s="13" t="s">
        <v>11</v>
      </c>
      <c r="J93" s="13">
        <v>51049537</v>
      </c>
    </row>
    <row r="94" spans="1:10">
      <c r="A94" s="15">
        <v>93</v>
      </c>
      <c r="B94" s="16" t="s">
        <v>665</v>
      </c>
      <c r="C94" s="16" t="s">
        <v>666</v>
      </c>
      <c r="D94" s="16" t="s">
        <v>26</v>
      </c>
      <c r="E94" s="16">
        <v>3688</v>
      </c>
      <c r="G94" s="14">
        <v>4215</v>
      </c>
      <c r="H94" s="14" t="s">
        <v>382</v>
      </c>
      <c r="I94" s="14" t="s">
        <v>26</v>
      </c>
      <c r="J94" s="14">
        <v>50610292</v>
      </c>
    </row>
    <row r="95" spans="1:10">
      <c r="A95" s="15">
        <v>94</v>
      </c>
      <c r="B95" s="16" t="s">
        <v>667</v>
      </c>
      <c r="C95" s="16" t="s">
        <v>668</v>
      </c>
      <c r="D95" s="16" t="s">
        <v>17</v>
      </c>
      <c r="E95" s="16">
        <v>4038</v>
      </c>
      <c r="G95" s="13">
        <v>4223</v>
      </c>
      <c r="H95" s="13" t="s">
        <v>386</v>
      </c>
      <c r="I95" s="13" t="s">
        <v>27</v>
      </c>
      <c r="J95" s="13">
        <v>53799215</v>
      </c>
    </row>
    <row r="96" spans="1:10">
      <c r="A96" s="15">
        <v>95</v>
      </c>
      <c r="B96" s="16" t="s">
        <v>669</v>
      </c>
      <c r="C96" s="16" t="s">
        <v>670</v>
      </c>
      <c r="D96" s="16" t="s">
        <v>76</v>
      </c>
      <c r="E96" s="16">
        <v>3929</v>
      </c>
      <c r="G96" s="14">
        <v>4047</v>
      </c>
      <c r="H96" s="14" t="s">
        <v>388</v>
      </c>
      <c r="I96" s="14" t="s">
        <v>171</v>
      </c>
      <c r="J96" s="14">
        <v>51157369</v>
      </c>
    </row>
    <row r="97" spans="1:10">
      <c r="A97" s="15">
        <v>96</v>
      </c>
      <c r="B97" s="16" t="s">
        <v>671</v>
      </c>
      <c r="C97" s="16" t="s">
        <v>672</v>
      </c>
      <c r="D97" s="16" t="s">
        <v>10</v>
      </c>
      <c r="E97" s="16">
        <v>3827</v>
      </c>
      <c r="G97" s="13">
        <v>4121</v>
      </c>
      <c r="H97" s="13" t="s">
        <v>390</v>
      </c>
      <c r="I97" s="13" t="s">
        <v>21</v>
      </c>
      <c r="J97" s="13">
        <v>53204460</v>
      </c>
    </row>
    <row r="98" spans="1:10">
      <c r="A98" s="15">
        <v>97</v>
      </c>
      <c r="B98" s="16" t="s">
        <v>673</v>
      </c>
      <c r="C98" s="16" t="s">
        <v>674</v>
      </c>
      <c r="D98" s="16" t="s">
        <v>26</v>
      </c>
      <c r="E98" s="16">
        <v>4204</v>
      </c>
      <c r="G98" s="14">
        <v>4130</v>
      </c>
      <c r="H98" s="14" t="s">
        <v>392</v>
      </c>
      <c r="I98" s="14" t="s">
        <v>5</v>
      </c>
      <c r="J98" s="14">
        <v>52454489</v>
      </c>
    </row>
    <row r="99" spans="1:10">
      <c r="A99" s="15">
        <v>98</v>
      </c>
      <c r="B99" s="16" t="s">
        <v>68</v>
      </c>
      <c r="C99" s="16" t="s">
        <v>69</v>
      </c>
      <c r="D99" s="16" t="s">
        <v>23</v>
      </c>
      <c r="E99" s="16">
        <v>4001</v>
      </c>
      <c r="G99" s="13">
        <v>4243</v>
      </c>
      <c r="H99" s="13" t="s">
        <v>394</v>
      </c>
      <c r="I99" s="13" t="s">
        <v>22</v>
      </c>
      <c r="J99" s="13">
        <v>52448630</v>
      </c>
    </row>
    <row r="100" spans="1:10">
      <c r="A100" s="15">
        <v>99</v>
      </c>
      <c r="B100" s="16" t="s">
        <v>28</v>
      </c>
      <c r="C100" s="16" t="s">
        <v>70</v>
      </c>
      <c r="D100" s="16" t="s">
        <v>26</v>
      </c>
      <c r="E100" s="16">
        <v>4165</v>
      </c>
      <c r="G100" s="14">
        <v>4038</v>
      </c>
      <c r="H100" s="14" t="s">
        <v>396</v>
      </c>
      <c r="I100" s="14" t="s">
        <v>17</v>
      </c>
      <c r="J100" s="14">
        <v>54116095</v>
      </c>
    </row>
    <row r="101" spans="1:10">
      <c r="A101" s="15">
        <v>100</v>
      </c>
      <c r="B101" s="16" t="s">
        <v>675</v>
      </c>
      <c r="C101" s="16" t="s">
        <v>676</v>
      </c>
      <c r="D101" s="16" t="s">
        <v>21</v>
      </c>
      <c r="E101" s="16">
        <v>4118</v>
      </c>
      <c r="G101" s="13">
        <v>4140</v>
      </c>
      <c r="H101" s="13" t="s">
        <v>398</v>
      </c>
      <c r="I101" s="13" t="s">
        <v>16</v>
      </c>
      <c r="J101" s="13">
        <v>52029216</v>
      </c>
    </row>
    <row r="102" spans="1:10">
      <c r="A102" s="15">
        <v>101</v>
      </c>
      <c r="B102" s="16" t="s">
        <v>677</v>
      </c>
      <c r="C102" s="16" t="s">
        <v>678</v>
      </c>
      <c r="D102" s="16" t="s">
        <v>63</v>
      </c>
      <c r="E102" s="16">
        <v>3327</v>
      </c>
      <c r="G102" s="14">
        <v>4290</v>
      </c>
      <c r="H102" s="14" t="s">
        <v>400</v>
      </c>
      <c r="I102" s="14" t="s">
        <v>5</v>
      </c>
      <c r="J102" s="14">
        <v>53761156</v>
      </c>
    </row>
    <row r="103" spans="1:10">
      <c r="A103" s="15">
        <v>102</v>
      </c>
      <c r="B103" s="16" t="s">
        <v>565</v>
      </c>
      <c r="C103" s="16" t="s">
        <v>679</v>
      </c>
      <c r="D103" s="16" t="s">
        <v>21</v>
      </c>
      <c r="E103" s="16">
        <v>4286</v>
      </c>
      <c r="G103" s="13">
        <v>3989</v>
      </c>
      <c r="H103" s="13" t="s">
        <v>402</v>
      </c>
      <c r="I103" s="13" t="s">
        <v>8</v>
      </c>
      <c r="J103" s="13">
        <v>53801029</v>
      </c>
    </row>
    <row r="104" spans="1:10">
      <c r="A104" s="15">
        <v>103</v>
      </c>
      <c r="B104" s="16" t="s">
        <v>680</v>
      </c>
      <c r="C104" s="16" t="s">
        <v>681</v>
      </c>
      <c r="D104" s="16" t="s">
        <v>500</v>
      </c>
      <c r="E104" s="16">
        <v>4232</v>
      </c>
      <c r="G104" s="14">
        <v>4043</v>
      </c>
      <c r="H104" s="14" t="s">
        <v>405</v>
      </c>
      <c r="I104" s="14" t="s">
        <v>10</v>
      </c>
      <c r="J104" s="14">
        <v>51261460</v>
      </c>
    </row>
    <row r="105" spans="1:10">
      <c r="A105" s="15">
        <v>104</v>
      </c>
      <c r="B105" s="16" t="s">
        <v>571</v>
      </c>
      <c r="C105" s="16" t="s">
        <v>682</v>
      </c>
      <c r="D105" s="16" t="s">
        <v>5</v>
      </c>
      <c r="E105" s="16">
        <v>4239</v>
      </c>
      <c r="G105" s="13">
        <v>3767</v>
      </c>
      <c r="H105" s="13" t="s">
        <v>407</v>
      </c>
      <c r="I105" s="13" t="s">
        <v>11</v>
      </c>
      <c r="J105" s="13">
        <v>52585613</v>
      </c>
    </row>
    <row r="106" spans="1:10">
      <c r="A106" s="15">
        <v>105</v>
      </c>
      <c r="B106" s="16" t="s">
        <v>683</v>
      </c>
      <c r="C106" s="16" t="s">
        <v>684</v>
      </c>
      <c r="D106" s="16" t="s">
        <v>17</v>
      </c>
      <c r="E106" s="16">
        <v>3866</v>
      </c>
      <c r="G106" s="14">
        <v>4064</v>
      </c>
      <c r="H106" s="14" t="s">
        <v>409</v>
      </c>
      <c r="I106" s="14" t="s">
        <v>23</v>
      </c>
      <c r="J106" s="14">
        <v>54297764</v>
      </c>
    </row>
    <row r="107" spans="1:10">
      <c r="A107" s="15">
        <v>106</v>
      </c>
      <c r="B107" s="16" t="s">
        <v>685</v>
      </c>
      <c r="C107" s="16" t="s">
        <v>684</v>
      </c>
      <c r="D107" s="16" t="s">
        <v>17</v>
      </c>
      <c r="E107" s="16">
        <v>4018</v>
      </c>
      <c r="G107" s="13">
        <v>4163</v>
      </c>
      <c r="H107" s="13" t="s">
        <v>411</v>
      </c>
      <c r="I107" s="13" t="s">
        <v>171</v>
      </c>
      <c r="J107" s="13">
        <v>52764604</v>
      </c>
    </row>
    <row r="108" spans="1:10">
      <c r="A108" s="15">
        <v>107</v>
      </c>
      <c r="B108" s="16" t="s">
        <v>686</v>
      </c>
      <c r="C108" s="16" t="s">
        <v>687</v>
      </c>
      <c r="D108" s="16" t="s">
        <v>13</v>
      </c>
      <c r="E108" s="16">
        <v>4162</v>
      </c>
      <c r="G108" s="14">
        <v>4226</v>
      </c>
      <c r="H108" s="14" t="s">
        <v>414</v>
      </c>
      <c r="I108" s="14" t="s">
        <v>21</v>
      </c>
      <c r="J108" s="14">
        <v>52854980</v>
      </c>
    </row>
    <row r="109" spans="1:10">
      <c r="A109" s="15">
        <v>108</v>
      </c>
      <c r="B109" s="16" t="s">
        <v>688</v>
      </c>
      <c r="C109" s="16" t="s">
        <v>689</v>
      </c>
      <c r="D109" s="16" t="s">
        <v>76</v>
      </c>
      <c r="E109" s="16">
        <v>3401</v>
      </c>
      <c r="G109" s="13">
        <v>4157</v>
      </c>
      <c r="H109" s="13" t="s">
        <v>416</v>
      </c>
      <c r="I109" s="13" t="s">
        <v>417</v>
      </c>
      <c r="J109" s="13">
        <v>52964858</v>
      </c>
    </row>
    <row r="110" spans="1:10">
      <c r="A110" s="15">
        <v>109</v>
      </c>
      <c r="B110" s="16" t="s">
        <v>690</v>
      </c>
      <c r="C110" s="16" t="s">
        <v>691</v>
      </c>
      <c r="D110" s="16" t="s">
        <v>44</v>
      </c>
      <c r="E110" s="16">
        <v>3123</v>
      </c>
      <c r="G110" s="14">
        <v>3718</v>
      </c>
      <c r="H110" s="14" t="s">
        <v>419</v>
      </c>
      <c r="I110" s="14" t="s">
        <v>8</v>
      </c>
      <c r="J110" s="14">
        <v>51193310</v>
      </c>
    </row>
    <row r="111" spans="1:10">
      <c r="A111" s="15">
        <v>110</v>
      </c>
      <c r="B111" s="16" t="s">
        <v>582</v>
      </c>
      <c r="C111" s="16" t="s">
        <v>692</v>
      </c>
      <c r="D111" s="16" t="s">
        <v>23</v>
      </c>
      <c r="E111" s="16">
        <v>4289</v>
      </c>
      <c r="G111" s="13">
        <v>4098</v>
      </c>
      <c r="H111" s="13" t="s">
        <v>422</v>
      </c>
      <c r="I111" s="13" t="s">
        <v>67</v>
      </c>
      <c r="J111" s="13">
        <v>52958381</v>
      </c>
    </row>
    <row r="112" spans="1:10">
      <c r="A112" s="15">
        <v>111</v>
      </c>
      <c r="B112" s="16" t="s">
        <v>693</v>
      </c>
      <c r="C112" s="16" t="s">
        <v>694</v>
      </c>
      <c r="D112" s="16" t="s">
        <v>8</v>
      </c>
      <c r="E112" s="16">
        <v>3808</v>
      </c>
      <c r="G112" s="14">
        <v>3903</v>
      </c>
      <c r="H112" s="14" t="s">
        <v>424</v>
      </c>
      <c r="I112" s="14" t="s">
        <v>10</v>
      </c>
      <c r="J112" s="14">
        <v>50901006</v>
      </c>
    </row>
    <row r="113" spans="1:10">
      <c r="A113" s="15">
        <v>112</v>
      </c>
      <c r="B113" s="16" t="s">
        <v>695</v>
      </c>
      <c r="C113" s="16" t="s">
        <v>696</v>
      </c>
      <c r="D113" s="16" t="s">
        <v>6</v>
      </c>
      <c r="E113" s="16">
        <v>4269</v>
      </c>
      <c r="G113" s="13">
        <v>3920</v>
      </c>
      <c r="H113" s="13" t="s">
        <v>426</v>
      </c>
      <c r="I113" s="13" t="s">
        <v>33</v>
      </c>
      <c r="J113" s="13">
        <v>52364453</v>
      </c>
    </row>
    <row r="114" spans="1:10">
      <c r="A114" s="15">
        <v>113</v>
      </c>
      <c r="B114" s="16" t="s">
        <v>683</v>
      </c>
      <c r="C114" s="16" t="s">
        <v>696</v>
      </c>
      <c r="D114" s="16" t="s">
        <v>6</v>
      </c>
      <c r="E114" s="16">
        <v>3769</v>
      </c>
      <c r="G114" s="14">
        <v>4107</v>
      </c>
      <c r="H114" s="14" t="s">
        <v>428</v>
      </c>
      <c r="I114" s="14" t="s">
        <v>63</v>
      </c>
      <c r="J114" s="14">
        <v>52305556</v>
      </c>
    </row>
    <row r="115" spans="1:10">
      <c r="A115" s="15">
        <v>114</v>
      </c>
      <c r="B115" s="16" t="s">
        <v>697</v>
      </c>
      <c r="C115" s="16" t="s">
        <v>698</v>
      </c>
      <c r="D115" s="16" t="s">
        <v>5</v>
      </c>
      <c r="E115" s="16">
        <v>4190</v>
      </c>
      <c r="G115" s="13">
        <v>4018</v>
      </c>
      <c r="H115" s="13" t="s">
        <v>430</v>
      </c>
      <c r="I115" s="13" t="s">
        <v>17</v>
      </c>
      <c r="J115" s="13">
        <v>51012774</v>
      </c>
    </row>
    <row r="116" spans="1:10">
      <c r="A116" s="15">
        <v>115</v>
      </c>
      <c r="B116" s="16" t="s">
        <v>12</v>
      </c>
      <c r="C116" s="16" t="s">
        <v>72</v>
      </c>
      <c r="D116" s="16" t="s">
        <v>33</v>
      </c>
      <c r="E116" s="16">
        <v>4218</v>
      </c>
      <c r="G116" s="14">
        <v>4085</v>
      </c>
      <c r="H116" s="14" t="s">
        <v>432</v>
      </c>
      <c r="I116" s="14" t="s">
        <v>21</v>
      </c>
      <c r="J116" s="14">
        <v>53087006</v>
      </c>
    </row>
    <row r="117" spans="1:10">
      <c r="A117" s="15">
        <v>116</v>
      </c>
      <c r="B117" s="16" t="s">
        <v>73</v>
      </c>
      <c r="C117" s="16" t="s">
        <v>74</v>
      </c>
      <c r="D117" s="16" t="s">
        <v>26</v>
      </c>
      <c r="E117" s="16">
        <v>4195</v>
      </c>
      <c r="G117" s="13">
        <v>3527</v>
      </c>
      <c r="H117" s="13" t="s">
        <v>434</v>
      </c>
      <c r="I117" s="13" t="s">
        <v>26</v>
      </c>
      <c r="J117" s="13">
        <v>52703564</v>
      </c>
    </row>
    <row r="118" spans="1:10">
      <c r="A118" s="15">
        <v>117</v>
      </c>
      <c r="B118" s="16" t="s">
        <v>75</v>
      </c>
      <c r="C118" s="16" t="s">
        <v>74</v>
      </c>
      <c r="D118" s="16" t="s">
        <v>7</v>
      </c>
      <c r="E118" s="16">
        <v>4136</v>
      </c>
      <c r="G118" s="14">
        <v>4276</v>
      </c>
      <c r="H118" s="14" t="s">
        <v>437</v>
      </c>
      <c r="I118" s="14" t="s">
        <v>5</v>
      </c>
      <c r="J118" s="14">
        <v>54892590</v>
      </c>
    </row>
    <row r="119" spans="1:10">
      <c r="A119" s="15">
        <v>118</v>
      </c>
      <c r="B119" s="16" t="s">
        <v>77</v>
      </c>
      <c r="C119" s="16" t="s">
        <v>78</v>
      </c>
      <c r="D119" s="16" t="s">
        <v>21</v>
      </c>
      <c r="E119" s="16">
        <v>4134</v>
      </c>
      <c r="G119" s="13">
        <v>3935</v>
      </c>
      <c r="H119" s="13" t="s">
        <v>440</v>
      </c>
      <c r="I119" s="13" t="s">
        <v>27</v>
      </c>
      <c r="J119" s="13">
        <v>51505113</v>
      </c>
    </row>
    <row r="120" spans="1:10">
      <c r="A120" s="15">
        <v>119</v>
      </c>
      <c r="B120" s="16" t="s">
        <v>565</v>
      </c>
      <c r="C120" s="16" t="s">
        <v>699</v>
      </c>
      <c r="D120" s="16" t="s">
        <v>9</v>
      </c>
      <c r="E120" s="16">
        <v>3685</v>
      </c>
      <c r="G120" s="14">
        <v>4202</v>
      </c>
      <c r="H120" s="14" t="s">
        <v>443</v>
      </c>
      <c r="I120" s="14" t="s">
        <v>22</v>
      </c>
      <c r="J120" s="14">
        <v>53690319</v>
      </c>
    </row>
    <row r="121" spans="1:10">
      <c r="A121" s="15">
        <v>120</v>
      </c>
      <c r="B121" s="16" t="s">
        <v>700</v>
      </c>
      <c r="C121" s="16" t="s">
        <v>701</v>
      </c>
      <c r="D121" s="16" t="s">
        <v>63</v>
      </c>
      <c r="E121" s="16">
        <v>3722</v>
      </c>
      <c r="G121" s="13">
        <v>3583</v>
      </c>
      <c r="H121" s="13" t="s">
        <v>446</v>
      </c>
      <c r="I121" s="13" t="s">
        <v>9</v>
      </c>
      <c r="J121" s="13">
        <v>52827436</v>
      </c>
    </row>
    <row r="122" spans="1:10">
      <c r="A122" s="15">
        <v>121</v>
      </c>
      <c r="B122" s="16" t="s">
        <v>702</v>
      </c>
      <c r="C122" s="16" t="s">
        <v>703</v>
      </c>
      <c r="D122" s="16" t="s">
        <v>10</v>
      </c>
      <c r="E122" s="16">
        <v>4043</v>
      </c>
      <c r="G122" s="14">
        <v>4191</v>
      </c>
      <c r="H122" s="14" t="s">
        <v>448</v>
      </c>
      <c r="I122" s="14" t="s">
        <v>5</v>
      </c>
      <c r="J122" s="14"/>
    </row>
    <row r="123" spans="1:10">
      <c r="A123" s="15">
        <v>122</v>
      </c>
      <c r="B123" s="16" t="s">
        <v>604</v>
      </c>
      <c r="C123" s="16" t="s">
        <v>704</v>
      </c>
      <c r="D123" s="16" t="s">
        <v>11</v>
      </c>
      <c r="E123" s="16">
        <v>3828</v>
      </c>
      <c r="G123" s="13">
        <v>3327</v>
      </c>
      <c r="H123" s="13" t="s">
        <v>450</v>
      </c>
      <c r="I123" s="13" t="s">
        <v>63</v>
      </c>
      <c r="J123" s="13">
        <v>53090658</v>
      </c>
    </row>
    <row r="124" spans="1:10">
      <c r="A124" s="15">
        <v>123</v>
      </c>
      <c r="B124" s="16" t="s">
        <v>45</v>
      </c>
      <c r="C124" s="16" t="s">
        <v>79</v>
      </c>
      <c r="D124" s="16" t="s">
        <v>5</v>
      </c>
      <c r="E124" s="16">
        <v>4188</v>
      </c>
      <c r="G124" s="14">
        <v>4143</v>
      </c>
      <c r="H124" s="14" t="s">
        <v>453</v>
      </c>
      <c r="I124" s="14" t="s">
        <v>454</v>
      </c>
      <c r="J124" s="14">
        <v>26789129</v>
      </c>
    </row>
    <row r="125" spans="1:10">
      <c r="A125" s="15">
        <v>124</v>
      </c>
      <c r="B125" s="16" t="s">
        <v>80</v>
      </c>
      <c r="C125" s="16" t="s">
        <v>81</v>
      </c>
      <c r="D125" s="16" t="s">
        <v>16</v>
      </c>
      <c r="E125" s="16">
        <v>3980</v>
      </c>
      <c r="G125" s="13">
        <v>4190</v>
      </c>
      <c r="H125" s="13" t="s">
        <v>456</v>
      </c>
      <c r="I125" s="13" t="s">
        <v>5</v>
      </c>
      <c r="J125" s="13">
        <v>51358936</v>
      </c>
    </row>
    <row r="126" spans="1:10">
      <c r="A126" s="15">
        <v>125</v>
      </c>
      <c r="B126" s="16" t="s">
        <v>705</v>
      </c>
      <c r="C126" s="16" t="s">
        <v>706</v>
      </c>
      <c r="D126" s="16" t="s">
        <v>5</v>
      </c>
      <c r="E126" s="16">
        <v>4279</v>
      </c>
      <c r="G126" s="14">
        <v>3866</v>
      </c>
      <c r="H126" s="14" t="s">
        <v>458</v>
      </c>
      <c r="I126" s="14" t="s">
        <v>17</v>
      </c>
      <c r="J126" s="14">
        <v>53774618</v>
      </c>
    </row>
    <row r="127" spans="1:10">
      <c r="A127" s="15">
        <v>126</v>
      </c>
      <c r="B127" s="16" t="s">
        <v>84</v>
      </c>
      <c r="C127" s="16" t="s">
        <v>83</v>
      </c>
      <c r="D127" s="16" t="s">
        <v>11</v>
      </c>
      <c r="E127" s="16">
        <v>4260</v>
      </c>
      <c r="G127" s="13">
        <v>3885</v>
      </c>
      <c r="H127" s="13" t="s">
        <v>460</v>
      </c>
      <c r="I127" s="13" t="s">
        <v>21</v>
      </c>
      <c r="J127" s="13">
        <v>53084239</v>
      </c>
    </row>
    <row r="128" spans="1:10">
      <c r="A128" s="15">
        <v>127</v>
      </c>
      <c r="B128" s="16" t="s">
        <v>82</v>
      </c>
      <c r="C128" s="16" t="s">
        <v>83</v>
      </c>
      <c r="D128" s="16" t="s">
        <v>11</v>
      </c>
      <c r="E128" s="16">
        <v>4175</v>
      </c>
      <c r="G128" s="14">
        <v>4138</v>
      </c>
      <c r="H128" s="14" t="s">
        <v>462</v>
      </c>
      <c r="I128" s="14" t="s">
        <v>463</v>
      </c>
      <c r="J128" s="14">
        <v>52325904</v>
      </c>
    </row>
    <row r="129" spans="1:10">
      <c r="A129" s="15">
        <v>128</v>
      </c>
      <c r="B129" s="16" t="s">
        <v>707</v>
      </c>
      <c r="C129" s="16" t="s">
        <v>708</v>
      </c>
      <c r="D129" s="16" t="s">
        <v>71</v>
      </c>
      <c r="E129" s="16">
        <v>3999</v>
      </c>
      <c r="G129" s="13">
        <v>3970</v>
      </c>
      <c r="H129" s="13" t="s">
        <v>465</v>
      </c>
      <c r="I129" s="13" t="s">
        <v>21</v>
      </c>
      <c r="J129" s="13">
        <v>52441977</v>
      </c>
    </row>
    <row r="130" spans="1:10">
      <c r="A130" s="15">
        <v>129</v>
      </c>
      <c r="B130" s="16" t="s">
        <v>709</v>
      </c>
      <c r="C130" s="16" t="s">
        <v>710</v>
      </c>
      <c r="D130" s="16" t="s">
        <v>21</v>
      </c>
      <c r="E130" s="16">
        <v>3970</v>
      </c>
      <c r="G130" s="14">
        <v>4054</v>
      </c>
      <c r="H130" s="14" t="s">
        <v>467</v>
      </c>
      <c r="I130" s="14" t="s">
        <v>171</v>
      </c>
      <c r="J130" s="14">
        <v>53285019</v>
      </c>
    </row>
    <row r="131" spans="1:10">
      <c r="A131" s="15">
        <v>130</v>
      </c>
      <c r="B131" s="16" t="s">
        <v>711</v>
      </c>
      <c r="C131" s="16" t="s">
        <v>712</v>
      </c>
      <c r="D131" s="16" t="s">
        <v>13</v>
      </c>
      <c r="E131" s="16">
        <v>4164</v>
      </c>
      <c r="G131" s="13">
        <v>4239</v>
      </c>
      <c r="H131" s="13" t="s">
        <v>470</v>
      </c>
      <c r="I131" s="13" t="s">
        <v>5</v>
      </c>
      <c r="J131" s="13">
        <v>51269548</v>
      </c>
    </row>
    <row r="132" spans="1:10">
      <c r="A132" s="15">
        <v>131</v>
      </c>
      <c r="B132" s="16" t="s">
        <v>582</v>
      </c>
      <c r="C132" s="16" t="s">
        <v>713</v>
      </c>
      <c r="D132" s="16" t="s">
        <v>5</v>
      </c>
      <c r="E132" s="16">
        <v>4191</v>
      </c>
      <c r="G132" s="14">
        <v>4264</v>
      </c>
      <c r="H132" s="14" t="s">
        <v>472</v>
      </c>
      <c r="I132" s="14" t="s">
        <v>17</v>
      </c>
      <c r="J132" s="14">
        <v>52373551</v>
      </c>
    </row>
    <row r="133" spans="1:10">
      <c r="A133" s="15">
        <v>132</v>
      </c>
      <c r="B133" s="16" t="s">
        <v>85</v>
      </c>
      <c r="C133" s="16" t="s">
        <v>86</v>
      </c>
      <c r="D133" s="16" t="s">
        <v>17</v>
      </c>
      <c r="E133" s="16">
        <v>4234</v>
      </c>
      <c r="G133" s="13">
        <v>3739</v>
      </c>
      <c r="H133" s="13" t="s">
        <v>474</v>
      </c>
      <c r="I133" s="13" t="s">
        <v>7</v>
      </c>
      <c r="J133" s="13">
        <v>27658632</v>
      </c>
    </row>
    <row r="134" spans="1:10">
      <c r="A134" s="15">
        <v>133</v>
      </c>
      <c r="B134" s="16" t="s">
        <v>565</v>
      </c>
      <c r="C134" s="16" t="s">
        <v>714</v>
      </c>
      <c r="D134" s="16" t="s">
        <v>21</v>
      </c>
      <c r="E134" s="16">
        <v>4072</v>
      </c>
      <c r="G134" s="14">
        <v>4091</v>
      </c>
      <c r="H134" s="14" t="s">
        <v>476</v>
      </c>
      <c r="I134" s="14" t="s">
        <v>5</v>
      </c>
      <c r="J134" s="14">
        <v>51069814</v>
      </c>
    </row>
    <row r="135" spans="1:10">
      <c r="A135" s="15">
        <v>134</v>
      </c>
      <c r="B135" s="16" t="s">
        <v>87</v>
      </c>
      <c r="C135" s="16" t="s">
        <v>88</v>
      </c>
      <c r="D135" s="16" t="s">
        <v>8</v>
      </c>
      <c r="E135" s="16">
        <v>3938</v>
      </c>
      <c r="G135" s="13">
        <v>4183</v>
      </c>
      <c r="H135" s="13" t="s">
        <v>480</v>
      </c>
      <c r="I135" s="13" t="s">
        <v>39</v>
      </c>
      <c r="J135" s="13">
        <v>53583314</v>
      </c>
    </row>
    <row r="136" spans="1:10">
      <c r="A136" s="15">
        <v>135</v>
      </c>
      <c r="B136" s="16" t="s">
        <v>139</v>
      </c>
      <c r="C136" s="16" t="s">
        <v>140</v>
      </c>
      <c r="D136" s="16" t="s">
        <v>26</v>
      </c>
      <c r="E136" s="16">
        <v>4215</v>
      </c>
      <c r="G136" s="14">
        <v>3808</v>
      </c>
      <c r="H136" s="14" t="s">
        <v>482</v>
      </c>
      <c r="I136" s="14" t="s">
        <v>8</v>
      </c>
      <c r="J136" s="14">
        <v>51324832</v>
      </c>
    </row>
    <row r="137" spans="1:10">
      <c r="A137" s="15">
        <v>136</v>
      </c>
      <c r="B137" s="16" t="s">
        <v>715</v>
      </c>
      <c r="C137" s="16" t="s">
        <v>716</v>
      </c>
      <c r="D137" s="16" t="s">
        <v>5</v>
      </c>
      <c r="E137" s="16">
        <v>4174</v>
      </c>
      <c r="G137" s="13">
        <v>4186</v>
      </c>
      <c r="H137" s="13" t="s">
        <v>484</v>
      </c>
      <c r="I137" s="13" t="s">
        <v>16</v>
      </c>
      <c r="J137" s="13">
        <v>50837734</v>
      </c>
    </row>
    <row r="138" spans="1:10">
      <c r="A138" s="15">
        <v>137</v>
      </c>
      <c r="B138" s="16" t="s">
        <v>717</v>
      </c>
      <c r="C138" s="16" t="s">
        <v>718</v>
      </c>
      <c r="D138" s="16" t="s">
        <v>16</v>
      </c>
      <c r="E138" s="16">
        <v>4247</v>
      </c>
      <c r="G138" s="14">
        <v>4249</v>
      </c>
      <c r="H138" s="14" t="s">
        <v>486</v>
      </c>
      <c r="I138" s="14" t="s">
        <v>487</v>
      </c>
      <c r="J138" s="14">
        <v>51339874</v>
      </c>
    </row>
    <row r="139" spans="1:10">
      <c r="A139" s="15">
        <v>138</v>
      </c>
      <c r="B139" s="16" t="s">
        <v>75</v>
      </c>
      <c r="C139" s="16" t="s">
        <v>89</v>
      </c>
      <c r="D139" s="16" t="s">
        <v>17</v>
      </c>
      <c r="E139" s="16">
        <v>3977</v>
      </c>
      <c r="G139" s="13">
        <v>3688</v>
      </c>
      <c r="H139" s="13" t="s">
        <v>489</v>
      </c>
      <c r="I139" s="13" t="s">
        <v>26</v>
      </c>
      <c r="J139" s="13">
        <v>53242979</v>
      </c>
    </row>
    <row r="140" spans="1:10">
      <c r="A140" s="15">
        <v>139</v>
      </c>
      <c r="B140" s="16" t="s">
        <v>719</v>
      </c>
      <c r="C140" s="16" t="s">
        <v>720</v>
      </c>
      <c r="D140" s="16" t="s">
        <v>17</v>
      </c>
      <c r="E140" s="16">
        <v>4264</v>
      </c>
      <c r="G140" s="14">
        <v>3849</v>
      </c>
      <c r="H140" s="14" t="s">
        <v>492</v>
      </c>
      <c r="I140" s="14" t="s">
        <v>8</v>
      </c>
      <c r="J140" s="14">
        <v>52636932</v>
      </c>
    </row>
    <row r="141" spans="1:10">
      <c r="A141" s="15">
        <v>140</v>
      </c>
      <c r="B141" s="16" t="s">
        <v>721</v>
      </c>
      <c r="C141" s="16" t="s">
        <v>722</v>
      </c>
      <c r="D141" s="16" t="s">
        <v>21</v>
      </c>
      <c r="E141" s="16">
        <v>3885</v>
      </c>
      <c r="G141" s="13">
        <v>4048</v>
      </c>
      <c r="H141" s="13" t="s">
        <v>495</v>
      </c>
      <c r="I141" s="13" t="s">
        <v>21</v>
      </c>
      <c r="J141" s="13">
        <v>53240699</v>
      </c>
    </row>
    <row r="142" spans="1:10">
      <c r="A142" s="15">
        <v>141</v>
      </c>
      <c r="B142" s="16" t="s">
        <v>723</v>
      </c>
      <c r="C142" s="16" t="s">
        <v>724</v>
      </c>
      <c r="D142" s="16" t="s">
        <v>13</v>
      </c>
      <c r="E142" s="16">
        <v>4054</v>
      </c>
      <c r="G142" s="14">
        <v>4087</v>
      </c>
      <c r="H142" s="14" t="s">
        <v>497</v>
      </c>
      <c r="I142" s="14" t="s">
        <v>33</v>
      </c>
      <c r="J142" s="14">
        <v>52906229</v>
      </c>
    </row>
    <row r="143" spans="1:10">
      <c r="A143" s="15">
        <v>142</v>
      </c>
      <c r="B143" s="16" t="s">
        <v>565</v>
      </c>
      <c r="C143" s="16" t="s">
        <v>725</v>
      </c>
      <c r="D143" s="16" t="s">
        <v>21</v>
      </c>
      <c r="E143" s="16">
        <v>4020</v>
      </c>
      <c r="G143" s="13">
        <v>4232</v>
      </c>
      <c r="H143" s="13" t="s">
        <v>499</v>
      </c>
      <c r="I143" s="13" t="s">
        <v>500</v>
      </c>
      <c r="J143" s="13">
        <v>54602290</v>
      </c>
    </row>
    <row r="144" spans="1:10">
      <c r="A144" s="15">
        <v>143</v>
      </c>
      <c r="B144" s="16" t="s">
        <v>726</v>
      </c>
      <c r="C144" s="16" t="s">
        <v>727</v>
      </c>
      <c r="D144" s="16" t="s">
        <v>21</v>
      </c>
      <c r="E144" s="16">
        <v>4085</v>
      </c>
      <c r="G144" s="14">
        <v>3123</v>
      </c>
      <c r="H144" s="14" t="s">
        <v>502</v>
      </c>
      <c r="I144" s="14" t="s">
        <v>503</v>
      </c>
      <c r="J144" s="14">
        <v>53825401</v>
      </c>
    </row>
    <row r="145" spans="1:10">
      <c r="A145" s="15">
        <v>144</v>
      </c>
      <c r="B145" s="16" t="s">
        <v>728</v>
      </c>
      <c r="C145" s="16" t="s">
        <v>729</v>
      </c>
      <c r="D145" s="16" t="s">
        <v>8</v>
      </c>
      <c r="E145" s="16">
        <v>3718</v>
      </c>
      <c r="G145" s="13">
        <v>3946</v>
      </c>
      <c r="H145" s="13" t="s">
        <v>506</v>
      </c>
      <c r="I145" s="13" t="s">
        <v>21</v>
      </c>
      <c r="J145" s="13">
        <v>53957972</v>
      </c>
    </row>
    <row r="146" spans="1:10">
      <c r="A146" s="15">
        <v>145</v>
      </c>
      <c r="B146" s="16" t="s">
        <v>543</v>
      </c>
      <c r="C146" s="16" t="s">
        <v>730</v>
      </c>
      <c r="D146" s="16" t="s">
        <v>9</v>
      </c>
      <c r="E146" s="16">
        <v>4034</v>
      </c>
      <c r="G146" s="14">
        <v>4164</v>
      </c>
      <c r="H146" s="14" t="s">
        <v>508</v>
      </c>
      <c r="I146" s="14" t="s">
        <v>171</v>
      </c>
      <c r="J146" s="14">
        <v>51069680</v>
      </c>
    </row>
    <row r="147" spans="1:10">
      <c r="A147" s="15">
        <v>146</v>
      </c>
      <c r="B147" s="16" t="s">
        <v>731</v>
      </c>
      <c r="C147" s="16" t="s">
        <v>732</v>
      </c>
      <c r="D147" s="16" t="s">
        <v>26</v>
      </c>
      <c r="E147" s="16">
        <v>3527</v>
      </c>
      <c r="G147" s="13">
        <v>3401</v>
      </c>
      <c r="H147" s="13" t="s">
        <v>510</v>
      </c>
      <c r="I147" s="13" t="s">
        <v>76</v>
      </c>
      <c r="J147" s="13">
        <v>51028493</v>
      </c>
    </row>
    <row r="148" spans="1:10">
      <c r="A148" s="15">
        <v>147</v>
      </c>
      <c r="B148" s="16" t="s">
        <v>543</v>
      </c>
      <c r="C148" s="16" t="s">
        <v>733</v>
      </c>
      <c r="D148" s="16" t="s">
        <v>9</v>
      </c>
      <c r="E148" s="16">
        <v>4267</v>
      </c>
      <c r="G148" s="14">
        <v>3929</v>
      </c>
      <c r="H148" s="14" t="s">
        <v>512</v>
      </c>
      <c r="I148" s="14" t="s">
        <v>76</v>
      </c>
      <c r="J148" s="14">
        <v>53341018</v>
      </c>
    </row>
    <row r="149" spans="1:10">
      <c r="A149" s="15">
        <v>148</v>
      </c>
      <c r="B149" s="16" t="s">
        <v>734</v>
      </c>
      <c r="C149" s="16" t="s">
        <v>735</v>
      </c>
      <c r="D149" s="16" t="s">
        <v>22</v>
      </c>
      <c r="E149" s="16">
        <v>4202</v>
      </c>
      <c r="G149" s="13">
        <v>3769</v>
      </c>
      <c r="H149" s="13" t="s">
        <v>514</v>
      </c>
      <c r="I149" s="13" t="s">
        <v>6</v>
      </c>
      <c r="J149" s="13">
        <v>53398109</v>
      </c>
    </row>
    <row r="150" spans="1:10">
      <c r="A150" s="15">
        <v>149</v>
      </c>
      <c r="B150" s="16" t="s">
        <v>736</v>
      </c>
      <c r="C150" s="16" t="s">
        <v>737</v>
      </c>
      <c r="D150" s="16" t="s">
        <v>5</v>
      </c>
      <c r="E150" s="16">
        <v>4179</v>
      </c>
      <c r="G150" s="14">
        <v>4177</v>
      </c>
      <c r="H150" s="14" t="s">
        <v>516</v>
      </c>
      <c r="I150" s="14" t="s">
        <v>11</v>
      </c>
      <c r="J150" s="14">
        <v>51344534</v>
      </c>
    </row>
    <row r="151" spans="1:10">
      <c r="A151" s="15">
        <v>150</v>
      </c>
      <c r="B151" s="16" t="s">
        <v>29</v>
      </c>
      <c r="C151" s="16" t="s">
        <v>141</v>
      </c>
      <c r="D151" s="16" t="s">
        <v>10</v>
      </c>
      <c r="E151" s="16">
        <v>3903</v>
      </c>
      <c r="G151" s="13">
        <v>3856</v>
      </c>
      <c r="H151" s="13" t="s">
        <v>518</v>
      </c>
      <c r="I151" s="13" t="s">
        <v>26</v>
      </c>
      <c r="J151" s="13">
        <v>51183107</v>
      </c>
    </row>
    <row r="152" spans="1:10">
      <c r="A152" s="15">
        <v>151</v>
      </c>
      <c r="B152" s="16" t="s">
        <v>34</v>
      </c>
      <c r="C152" s="16" t="s">
        <v>90</v>
      </c>
      <c r="D152" s="16" t="s">
        <v>17</v>
      </c>
      <c r="E152" s="16">
        <v>4167</v>
      </c>
      <c r="G152" s="14">
        <v>3980</v>
      </c>
      <c r="H152" s="14" t="s">
        <v>520</v>
      </c>
      <c r="I152" s="14" t="s">
        <v>16</v>
      </c>
      <c r="J152" s="14">
        <v>26569045</v>
      </c>
    </row>
    <row r="153" spans="1:10">
      <c r="A153" s="15">
        <v>152</v>
      </c>
      <c r="B153" s="16" t="s">
        <v>738</v>
      </c>
      <c r="C153" s="16" t="s">
        <v>739</v>
      </c>
      <c r="D153" s="16" t="s">
        <v>9</v>
      </c>
      <c r="E153" s="16">
        <v>3583</v>
      </c>
      <c r="G153" s="13">
        <v>4187</v>
      </c>
      <c r="H153" s="13" t="s">
        <v>522</v>
      </c>
      <c r="I153" s="13" t="s">
        <v>67</v>
      </c>
      <c r="J153" s="13">
        <v>52764600</v>
      </c>
    </row>
    <row r="154" spans="1:10">
      <c r="A154" s="15">
        <v>153</v>
      </c>
      <c r="B154" s="16" t="s">
        <v>726</v>
      </c>
      <c r="C154" s="16" t="s">
        <v>740</v>
      </c>
      <c r="D154" s="16" t="s">
        <v>23</v>
      </c>
      <c r="E154" s="16">
        <v>4249</v>
      </c>
      <c r="G154" s="14">
        <v>3630</v>
      </c>
      <c r="H154" s="14" t="s">
        <v>524</v>
      </c>
      <c r="I154" s="14" t="s">
        <v>26</v>
      </c>
      <c r="J154" s="14">
        <v>51330536</v>
      </c>
    </row>
    <row r="155" spans="1:10">
      <c r="A155" s="15">
        <v>154</v>
      </c>
      <c r="B155" s="16" t="s">
        <v>741</v>
      </c>
      <c r="C155" s="16" t="s">
        <v>742</v>
      </c>
      <c r="D155" s="16" t="s">
        <v>17</v>
      </c>
      <c r="E155" s="16">
        <v>4246</v>
      </c>
      <c r="G155" s="13">
        <v>4055</v>
      </c>
      <c r="H155" s="13" t="s">
        <v>526</v>
      </c>
      <c r="I155" s="13" t="s">
        <v>8</v>
      </c>
      <c r="J155" s="13">
        <v>53477120</v>
      </c>
    </row>
    <row r="156" spans="1:10">
      <c r="A156" s="15">
        <v>155</v>
      </c>
      <c r="B156" s="16" t="s">
        <v>743</v>
      </c>
      <c r="C156" s="16" t="s">
        <v>744</v>
      </c>
      <c r="D156" s="16" t="s">
        <v>745</v>
      </c>
      <c r="E156" s="16">
        <v>4138</v>
      </c>
      <c r="G156" s="14">
        <v>3722</v>
      </c>
      <c r="H156" s="14" t="s">
        <v>528</v>
      </c>
      <c r="I156" s="14" t="s">
        <v>63</v>
      </c>
      <c r="J156" s="14">
        <v>54310735</v>
      </c>
    </row>
    <row r="157" spans="1:10">
      <c r="A157" s="15">
        <v>156</v>
      </c>
      <c r="B157" s="16" t="s">
        <v>746</v>
      </c>
      <c r="C157" s="16" t="s">
        <v>747</v>
      </c>
      <c r="D157" s="16" t="s">
        <v>5</v>
      </c>
      <c r="E157" s="16">
        <v>3962</v>
      </c>
      <c r="G157" s="13">
        <v>4241</v>
      </c>
      <c r="H157" s="13" t="s">
        <v>531</v>
      </c>
      <c r="I157" s="13" t="s">
        <v>23</v>
      </c>
      <c r="J157" s="13">
        <v>54099646</v>
      </c>
    </row>
    <row r="158" spans="1:10">
      <c r="A158" s="15">
        <v>157</v>
      </c>
      <c r="B158" s="16" t="s">
        <v>748</v>
      </c>
      <c r="C158" s="16" t="s">
        <v>749</v>
      </c>
      <c r="D158" s="16" t="s">
        <v>9</v>
      </c>
      <c r="E158" s="16">
        <v>4108</v>
      </c>
      <c r="G158" s="14">
        <v>4279</v>
      </c>
      <c r="H158" s="14" t="s">
        <v>533</v>
      </c>
      <c r="I158" s="14" t="s">
        <v>5</v>
      </c>
      <c r="J158" s="14">
        <v>52141180</v>
      </c>
    </row>
    <row r="159" spans="1:10">
      <c r="A159" s="15">
        <v>158</v>
      </c>
      <c r="B159" s="16" t="s">
        <v>750</v>
      </c>
      <c r="C159" s="16" t="s">
        <v>751</v>
      </c>
      <c r="D159" s="16" t="s">
        <v>5</v>
      </c>
      <c r="E159" s="16">
        <v>3872</v>
      </c>
      <c r="G159" s="13">
        <v>3685</v>
      </c>
      <c r="H159" s="13" t="s">
        <v>535</v>
      </c>
      <c r="I159" s="13" t="s">
        <v>9</v>
      </c>
      <c r="J159" s="13">
        <v>52168000</v>
      </c>
    </row>
    <row r="160" spans="1:10">
      <c r="A160" s="15">
        <v>159</v>
      </c>
      <c r="B160" s="16" t="s">
        <v>752</v>
      </c>
      <c r="C160" s="16" t="s">
        <v>753</v>
      </c>
      <c r="D160" s="16" t="s">
        <v>33</v>
      </c>
      <c r="E160" s="16">
        <v>3920</v>
      </c>
      <c r="G160" s="14">
        <v>3827</v>
      </c>
      <c r="H160" s="14" t="s">
        <v>539</v>
      </c>
      <c r="I160" s="14" t="s">
        <v>10</v>
      </c>
      <c r="J160" s="14">
        <v>52725071</v>
      </c>
    </row>
    <row r="161" spans="1:5">
      <c r="A161" s="15">
        <v>160</v>
      </c>
      <c r="B161" s="16" t="s">
        <v>754</v>
      </c>
      <c r="C161" s="16" t="s">
        <v>755</v>
      </c>
      <c r="D161" s="16" t="s">
        <v>5</v>
      </c>
      <c r="E161" s="16">
        <v>3895</v>
      </c>
    </row>
    <row r="162" spans="1:5">
      <c r="A162" s="15">
        <v>161</v>
      </c>
      <c r="B162" s="16" t="s">
        <v>756</v>
      </c>
      <c r="C162" s="16" t="s">
        <v>755</v>
      </c>
      <c r="D162" s="16" t="s">
        <v>5</v>
      </c>
      <c r="E162" s="16">
        <v>4214</v>
      </c>
    </row>
    <row r="163" spans="1:5">
      <c r="A163" s="15">
        <v>162</v>
      </c>
      <c r="B163" s="16" t="s">
        <v>543</v>
      </c>
      <c r="C163" s="16" t="s">
        <v>757</v>
      </c>
      <c r="D163" s="16" t="s">
        <v>9</v>
      </c>
      <c r="E163" s="16">
        <v>4271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6B19-DE32-4CC1-B147-38B365363AC8}">
  <dimension ref="A1:R161"/>
  <sheetViews>
    <sheetView topLeftCell="A45" workbookViewId="0">
      <selection activeCell="W70" sqref="W70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44140625" bestFit="1" customWidth="1"/>
    <col min="5" max="5" width="15.5546875" bestFit="1" customWidth="1"/>
    <col min="6" max="6" width="9" bestFit="1" customWidth="1"/>
    <col min="7" max="7" width="10.5546875" bestFit="1" customWidth="1"/>
    <col min="8" max="9" width="6.6640625" bestFit="1" customWidth="1"/>
    <col min="10" max="11" width="7.109375" bestFit="1" customWidth="1"/>
    <col min="12" max="12" width="6.6640625" bestFit="1" customWidth="1"/>
    <col min="13" max="14" width="7.109375" bestFit="1" customWidth="1"/>
    <col min="15" max="15" width="6.88671875" bestFit="1" customWidth="1"/>
    <col min="16" max="16" width="7.109375" bestFit="1" customWidth="1"/>
    <col min="17" max="17" width="7.44140625" bestFit="1" customWidth="1"/>
    <col min="18" max="18" width="6.88671875" bestFit="1" customWidth="1"/>
  </cols>
  <sheetData>
    <row r="1" spans="1:18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91</v>
      </c>
      <c r="G1" t="s">
        <v>144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115</v>
      </c>
      <c r="Q1" t="s">
        <v>96</v>
      </c>
      <c r="R1" t="s">
        <v>97</v>
      </c>
    </row>
    <row r="2" spans="1:18">
      <c r="A2" t="s">
        <v>145</v>
      </c>
      <c r="B2" t="s">
        <v>146</v>
      </c>
      <c r="C2">
        <v>4286</v>
      </c>
      <c r="D2" t="s">
        <v>147</v>
      </c>
      <c r="E2" t="s">
        <v>21</v>
      </c>
      <c r="F2">
        <v>51432202</v>
      </c>
      <c r="G2" s="12">
        <v>40811</v>
      </c>
      <c r="H2" t="s">
        <v>148</v>
      </c>
      <c r="I2" t="s">
        <v>149</v>
      </c>
      <c r="J2" t="s">
        <v>148</v>
      </c>
      <c r="K2" t="s">
        <v>148</v>
      </c>
      <c r="L2" t="s">
        <v>148</v>
      </c>
      <c r="M2" t="s">
        <v>177</v>
      </c>
      <c r="N2" t="s">
        <v>148</v>
      </c>
      <c r="O2" t="s">
        <v>148</v>
      </c>
      <c r="P2" t="s">
        <v>148</v>
      </c>
      <c r="Q2">
        <v>17</v>
      </c>
      <c r="R2">
        <v>9</v>
      </c>
    </row>
    <row r="3" spans="1:18">
      <c r="A3" t="s">
        <v>150</v>
      </c>
      <c r="B3" t="s">
        <v>146</v>
      </c>
      <c r="C3">
        <v>4133</v>
      </c>
      <c r="D3" t="s">
        <v>151</v>
      </c>
      <c r="E3" t="s">
        <v>26</v>
      </c>
      <c r="F3">
        <v>51431844</v>
      </c>
      <c r="G3" s="12">
        <v>40828</v>
      </c>
      <c r="H3" t="s">
        <v>148</v>
      </c>
      <c r="I3" t="s">
        <v>152</v>
      </c>
      <c r="J3" t="s">
        <v>152</v>
      </c>
      <c r="K3" t="s">
        <v>148</v>
      </c>
      <c r="L3" t="s">
        <v>149</v>
      </c>
      <c r="M3" t="s">
        <v>263</v>
      </c>
      <c r="N3" t="s">
        <v>153</v>
      </c>
      <c r="O3" t="s">
        <v>154</v>
      </c>
      <c r="P3" t="s">
        <v>155</v>
      </c>
      <c r="Q3">
        <v>49</v>
      </c>
      <c r="R3">
        <v>28</v>
      </c>
    </row>
    <row r="4" spans="1:18">
      <c r="A4" t="s">
        <v>156</v>
      </c>
      <c r="B4" t="s">
        <v>146</v>
      </c>
      <c r="C4">
        <v>4165</v>
      </c>
      <c r="D4" t="s">
        <v>157</v>
      </c>
      <c r="E4" t="s">
        <v>26</v>
      </c>
      <c r="F4">
        <v>52440028</v>
      </c>
      <c r="G4" s="12">
        <v>41010</v>
      </c>
      <c r="H4" t="s">
        <v>154</v>
      </c>
      <c r="I4" t="s">
        <v>148</v>
      </c>
      <c r="J4" t="s">
        <v>149</v>
      </c>
      <c r="K4" t="s">
        <v>154</v>
      </c>
      <c r="L4" t="s">
        <v>158</v>
      </c>
      <c r="M4" t="s">
        <v>153</v>
      </c>
      <c r="N4" t="s">
        <v>154</v>
      </c>
      <c r="O4" t="s">
        <v>159</v>
      </c>
      <c r="P4" t="s">
        <v>159</v>
      </c>
      <c r="Q4">
        <v>45</v>
      </c>
      <c r="R4">
        <v>35</v>
      </c>
    </row>
    <row r="5" spans="1:18">
      <c r="A5" t="s">
        <v>160</v>
      </c>
      <c r="B5" t="s">
        <v>146</v>
      </c>
      <c r="C5">
        <v>4108</v>
      </c>
      <c r="D5" t="s">
        <v>161</v>
      </c>
      <c r="E5" t="s">
        <v>9</v>
      </c>
      <c r="F5">
        <v>51253143</v>
      </c>
      <c r="G5" s="12">
        <v>40775</v>
      </c>
      <c r="H5" t="s">
        <v>154</v>
      </c>
      <c r="I5" t="s">
        <v>155</v>
      </c>
      <c r="J5" t="s">
        <v>149</v>
      </c>
      <c r="K5" t="s">
        <v>158</v>
      </c>
      <c r="L5" t="s">
        <v>180</v>
      </c>
      <c r="M5" t="s">
        <v>162</v>
      </c>
      <c r="N5" t="s">
        <v>154</v>
      </c>
      <c r="O5" t="s">
        <v>155</v>
      </c>
      <c r="P5" t="s">
        <v>155</v>
      </c>
      <c r="Q5">
        <v>50</v>
      </c>
      <c r="R5">
        <v>35</v>
      </c>
    </row>
    <row r="6" spans="1:18">
      <c r="A6" t="s">
        <v>163</v>
      </c>
      <c r="B6" t="s">
        <v>146</v>
      </c>
      <c r="C6">
        <v>4260</v>
      </c>
      <c r="D6" t="s">
        <v>164</v>
      </c>
      <c r="E6" t="s">
        <v>11</v>
      </c>
      <c r="F6">
        <v>50668849</v>
      </c>
      <c r="G6" s="12">
        <v>40546</v>
      </c>
      <c r="H6" t="s">
        <v>210</v>
      </c>
      <c r="I6" t="s">
        <v>155</v>
      </c>
      <c r="J6" t="s">
        <v>148</v>
      </c>
      <c r="K6" t="s">
        <v>165</v>
      </c>
      <c r="L6" t="s">
        <v>154</v>
      </c>
      <c r="M6" t="s">
        <v>152</v>
      </c>
      <c r="N6" t="s">
        <v>155</v>
      </c>
      <c r="O6" t="s">
        <v>158</v>
      </c>
      <c r="P6" t="s">
        <v>149</v>
      </c>
      <c r="Q6">
        <v>54</v>
      </c>
      <c r="R6">
        <v>38</v>
      </c>
    </row>
    <row r="7" spans="1:18">
      <c r="A7" t="s">
        <v>166</v>
      </c>
      <c r="B7" t="s">
        <v>146</v>
      </c>
      <c r="C7">
        <v>4205</v>
      </c>
      <c r="D7" t="s">
        <v>167</v>
      </c>
      <c r="E7" t="s">
        <v>5</v>
      </c>
      <c r="F7">
        <v>52454232</v>
      </c>
      <c r="G7" s="12">
        <v>41059</v>
      </c>
      <c r="H7" t="s">
        <v>233</v>
      </c>
      <c r="I7" t="s">
        <v>154</v>
      </c>
      <c r="J7" t="s">
        <v>148</v>
      </c>
      <c r="K7" t="s">
        <v>152</v>
      </c>
      <c r="L7" t="s">
        <v>148</v>
      </c>
      <c r="M7" t="s">
        <v>149</v>
      </c>
      <c r="N7" t="s">
        <v>153</v>
      </c>
      <c r="O7" t="s">
        <v>154</v>
      </c>
      <c r="P7" t="s">
        <v>168</v>
      </c>
      <c r="Q7">
        <v>63</v>
      </c>
      <c r="R7">
        <v>41</v>
      </c>
    </row>
    <row r="8" spans="1:18">
      <c r="A8" t="s">
        <v>169</v>
      </c>
      <c r="B8" t="s">
        <v>146</v>
      </c>
      <c r="C8">
        <v>4092</v>
      </c>
      <c r="D8" t="s">
        <v>170</v>
      </c>
      <c r="E8" t="s">
        <v>171</v>
      </c>
      <c r="F8">
        <v>52676878</v>
      </c>
      <c r="G8" s="12">
        <v>41122</v>
      </c>
      <c r="H8" t="s">
        <v>148</v>
      </c>
      <c r="I8" t="s">
        <v>154</v>
      </c>
      <c r="J8" t="s">
        <v>154</v>
      </c>
      <c r="K8" t="s">
        <v>155</v>
      </c>
      <c r="L8" t="s">
        <v>149</v>
      </c>
      <c r="M8" t="s">
        <v>153</v>
      </c>
      <c r="N8" t="s">
        <v>438</v>
      </c>
      <c r="O8" t="s">
        <v>165</v>
      </c>
      <c r="P8" t="s">
        <v>162</v>
      </c>
      <c r="Q8">
        <v>87</v>
      </c>
      <c r="R8">
        <v>42</v>
      </c>
    </row>
    <row r="9" spans="1:18">
      <c r="A9" t="s">
        <v>172</v>
      </c>
      <c r="B9" t="s">
        <v>146</v>
      </c>
      <c r="C9">
        <v>4134</v>
      </c>
      <c r="D9" t="s">
        <v>173</v>
      </c>
      <c r="E9" t="s">
        <v>21</v>
      </c>
      <c r="F9">
        <v>50805416</v>
      </c>
      <c r="G9" s="12">
        <v>40549</v>
      </c>
      <c r="H9" t="s">
        <v>158</v>
      </c>
      <c r="I9" t="s">
        <v>159</v>
      </c>
      <c r="J9" t="s">
        <v>158</v>
      </c>
      <c r="K9" t="s">
        <v>152</v>
      </c>
      <c r="L9" t="s">
        <v>210</v>
      </c>
      <c r="M9" t="s">
        <v>149</v>
      </c>
      <c r="N9" t="s">
        <v>154</v>
      </c>
      <c r="O9" t="s">
        <v>152</v>
      </c>
      <c r="P9" t="s">
        <v>152</v>
      </c>
      <c r="Q9">
        <v>58</v>
      </c>
      <c r="R9">
        <v>42</v>
      </c>
    </row>
    <row r="10" spans="1:18">
      <c r="A10" t="s">
        <v>174</v>
      </c>
      <c r="B10" t="s">
        <v>146</v>
      </c>
      <c r="C10">
        <v>4182</v>
      </c>
      <c r="D10" t="s">
        <v>175</v>
      </c>
      <c r="E10" t="s">
        <v>16</v>
      </c>
      <c r="F10">
        <v>51336821</v>
      </c>
      <c r="G10" s="12">
        <v>40765</v>
      </c>
      <c r="H10" t="s">
        <v>176</v>
      </c>
      <c r="I10" t="s">
        <v>177</v>
      </c>
      <c r="J10" t="s">
        <v>177</v>
      </c>
      <c r="K10" t="s">
        <v>154</v>
      </c>
      <c r="L10" t="s">
        <v>240</v>
      </c>
      <c r="M10" t="s">
        <v>155</v>
      </c>
      <c r="N10" t="s">
        <v>149</v>
      </c>
      <c r="O10" t="s">
        <v>152</v>
      </c>
      <c r="P10" t="s">
        <v>154</v>
      </c>
      <c r="Q10">
        <v>69</v>
      </c>
      <c r="R10">
        <v>44</v>
      </c>
    </row>
    <row r="11" spans="1:18">
      <c r="A11" t="s">
        <v>178</v>
      </c>
      <c r="B11" t="s">
        <v>146</v>
      </c>
      <c r="C11">
        <v>4282</v>
      </c>
      <c r="D11" t="s">
        <v>179</v>
      </c>
      <c r="E11" t="s">
        <v>23</v>
      </c>
      <c r="F11">
        <v>52192618</v>
      </c>
      <c r="G11" s="12">
        <v>40970</v>
      </c>
      <c r="H11" t="s">
        <v>263</v>
      </c>
      <c r="I11" t="s">
        <v>148</v>
      </c>
      <c r="J11" t="s">
        <v>153</v>
      </c>
      <c r="K11" t="s">
        <v>180</v>
      </c>
      <c r="L11" t="s">
        <v>155</v>
      </c>
      <c r="M11" t="s">
        <v>154</v>
      </c>
      <c r="N11" t="s">
        <v>149</v>
      </c>
      <c r="O11" t="s">
        <v>177</v>
      </c>
      <c r="P11" t="s">
        <v>158</v>
      </c>
      <c r="Q11">
        <v>67</v>
      </c>
      <c r="R11">
        <v>46</v>
      </c>
    </row>
    <row r="12" spans="1:18">
      <c r="A12" t="s">
        <v>181</v>
      </c>
      <c r="B12" t="s">
        <v>146</v>
      </c>
      <c r="C12">
        <v>4201</v>
      </c>
      <c r="D12" t="s">
        <v>182</v>
      </c>
      <c r="E12" t="s">
        <v>21</v>
      </c>
      <c r="F12">
        <v>53202237</v>
      </c>
      <c r="G12" s="12">
        <v>41415</v>
      </c>
      <c r="H12" t="s">
        <v>158</v>
      </c>
      <c r="I12" t="s">
        <v>155</v>
      </c>
      <c r="J12" t="s">
        <v>155</v>
      </c>
      <c r="K12" t="s">
        <v>154</v>
      </c>
      <c r="L12" t="s">
        <v>158</v>
      </c>
      <c r="M12" t="s">
        <v>148</v>
      </c>
      <c r="N12" t="s">
        <v>183</v>
      </c>
      <c r="O12" t="s">
        <v>159</v>
      </c>
      <c r="P12" t="s">
        <v>244</v>
      </c>
      <c r="Q12">
        <v>76</v>
      </c>
      <c r="R12">
        <v>48</v>
      </c>
    </row>
    <row r="13" spans="1:18">
      <c r="A13" t="s">
        <v>184</v>
      </c>
      <c r="B13" t="s">
        <v>146</v>
      </c>
      <c r="C13">
        <v>4209</v>
      </c>
      <c r="D13" t="s">
        <v>185</v>
      </c>
      <c r="E13" t="s">
        <v>11</v>
      </c>
      <c r="F13">
        <v>51049622</v>
      </c>
      <c r="G13" s="12">
        <v>40751</v>
      </c>
      <c r="H13" t="s">
        <v>162</v>
      </c>
      <c r="I13" t="s">
        <v>177</v>
      </c>
      <c r="J13" t="s">
        <v>154</v>
      </c>
      <c r="K13" t="s">
        <v>186</v>
      </c>
      <c r="L13" t="s">
        <v>154</v>
      </c>
      <c r="M13" t="s">
        <v>243</v>
      </c>
      <c r="N13" t="s">
        <v>148</v>
      </c>
      <c r="O13" t="s">
        <v>149</v>
      </c>
      <c r="P13" t="s">
        <v>154</v>
      </c>
      <c r="Q13">
        <v>78</v>
      </c>
      <c r="R13">
        <v>49</v>
      </c>
    </row>
    <row r="14" spans="1:18">
      <c r="A14" t="s">
        <v>187</v>
      </c>
      <c r="B14" t="s">
        <v>146</v>
      </c>
      <c r="C14">
        <v>4204</v>
      </c>
      <c r="D14" t="s">
        <v>188</v>
      </c>
      <c r="E14" t="s">
        <v>26</v>
      </c>
      <c r="F14">
        <v>52122807</v>
      </c>
      <c r="G14" s="12">
        <v>40954</v>
      </c>
      <c r="H14" t="s">
        <v>152</v>
      </c>
      <c r="I14" t="s">
        <v>155</v>
      </c>
      <c r="J14" t="s">
        <v>162</v>
      </c>
      <c r="K14" t="s">
        <v>176</v>
      </c>
      <c r="L14" t="s">
        <v>177</v>
      </c>
      <c r="M14" t="s">
        <v>180</v>
      </c>
      <c r="N14" t="s">
        <v>152</v>
      </c>
      <c r="O14" t="s">
        <v>155</v>
      </c>
      <c r="P14" t="s">
        <v>155</v>
      </c>
      <c r="Q14">
        <v>65</v>
      </c>
      <c r="R14">
        <v>50</v>
      </c>
    </row>
    <row r="15" spans="1:18">
      <c r="A15" t="s">
        <v>189</v>
      </c>
      <c r="B15" t="s">
        <v>146</v>
      </c>
      <c r="C15">
        <v>3962</v>
      </c>
      <c r="D15" t="s">
        <v>190</v>
      </c>
      <c r="E15" t="s">
        <v>191</v>
      </c>
      <c r="F15">
        <v>52834659</v>
      </c>
      <c r="G15" s="12">
        <v>41219</v>
      </c>
      <c r="H15" t="s">
        <v>158</v>
      </c>
      <c r="I15" t="s">
        <v>154</v>
      </c>
      <c r="J15" t="s">
        <v>158</v>
      </c>
      <c r="K15" t="s">
        <v>152</v>
      </c>
      <c r="L15" t="s">
        <v>152</v>
      </c>
      <c r="M15" t="s">
        <v>162</v>
      </c>
      <c r="N15" t="s">
        <v>162</v>
      </c>
      <c r="O15" t="s">
        <v>162</v>
      </c>
      <c r="P15" t="s">
        <v>176</v>
      </c>
      <c r="Q15">
        <v>63</v>
      </c>
      <c r="R15">
        <v>52</v>
      </c>
    </row>
    <row r="16" spans="1:18">
      <c r="A16" t="s">
        <v>192</v>
      </c>
      <c r="B16" t="s">
        <v>146</v>
      </c>
      <c r="C16">
        <v>4246</v>
      </c>
      <c r="D16" t="s">
        <v>193</v>
      </c>
      <c r="E16" t="s">
        <v>17</v>
      </c>
      <c r="F16">
        <v>51281055</v>
      </c>
      <c r="G16" s="12">
        <v>40716</v>
      </c>
      <c r="H16" t="s">
        <v>152</v>
      </c>
      <c r="I16" t="s">
        <v>176</v>
      </c>
      <c r="J16" t="s">
        <v>176</v>
      </c>
      <c r="K16" t="s">
        <v>148</v>
      </c>
      <c r="L16" t="s">
        <v>215</v>
      </c>
      <c r="M16" t="s">
        <v>152</v>
      </c>
      <c r="N16" t="s">
        <v>177</v>
      </c>
      <c r="O16" t="s">
        <v>152</v>
      </c>
      <c r="P16" t="s">
        <v>153</v>
      </c>
      <c r="Q16">
        <v>71</v>
      </c>
      <c r="R16">
        <v>53</v>
      </c>
    </row>
    <row r="17" spans="1:18">
      <c r="A17" t="s">
        <v>194</v>
      </c>
      <c r="B17" t="s">
        <v>146</v>
      </c>
      <c r="C17">
        <v>4228</v>
      </c>
      <c r="D17" t="s">
        <v>195</v>
      </c>
      <c r="E17" t="s">
        <v>26</v>
      </c>
      <c r="F17">
        <v>51121535</v>
      </c>
      <c r="G17" s="12">
        <v>40638</v>
      </c>
      <c r="H17" t="s">
        <v>152</v>
      </c>
      <c r="I17" t="s">
        <v>152</v>
      </c>
      <c r="J17" t="s">
        <v>152</v>
      </c>
      <c r="K17" t="s">
        <v>177</v>
      </c>
      <c r="L17" t="s">
        <v>356</v>
      </c>
      <c r="M17" t="s">
        <v>165</v>
      </c>
      <c r="N17" t="s">
        <v>155</v>
      </c>
      <c r="O17" t="s">
        <v>165</v>
      </c>
      <c r="P17" t="s">
        <v>149</v>
      </c>
      <c r="Q17">
        <v>95</v>
      </c>
      <c r="R17">
        <v>55</v>
      </c>
    </row>
    <row r="18" spans="1:18">
      <c r="A18" t="s">
        <v>196</v>
      </c>
      <c r="B18" t="s">
        <v>146</v>
      </c>
      <c r="C18">
        <v>4185</v>
      </c>
      <c r="D18" t="s">
        <v>197</v>
      </c>
      <c r="E18" t="s">
        <v>16</v>
      </c>
      <c r="F18">
        <v>53831603</v>
      </c>
      <c r="G18" s="12">
        <v>41604</v>
      </c>
      <c r="H18" t="s">
        <v>177</v>
      </c>
      <c r="I18" t="s">
        <v>154</v>
      </c>
      <c r="J18" t="s">
        <v>177</v>
      </c>
      <c r="K18" t="s">
        <v>155</v>
      </c>
      <c r="L18" t="s">
        <v>155</v>
      </c>
      <c r="M18" t="s">
        <v>148</v>
      </c>
      <c r="N18" t="s">
        <v>198</v>
      </c>
      <c r="O18" t="s">
        <v>266</v>
      </c>
      <c r="P18" t="s">
        <v>199</v>
      </c>
      <c r="Q18">
        <v>81</v>
      </c>
      <c r="R18">
        <v>57</v>
      </c>
    </row>
    <row r="19" spans="1:18">
      <c r="A19" t="s">
        <v>200</v>
      </c>
      <c r="B19" t="s">
        <v>146</v>
      </c>
      <c r="C19">
        <v>4192</v>
      </c>
      <c r="D19" t="s">
        <v>201</v>
      </c>
      <c r="E19" t="s">
        <v>22</v>
      </c>
      <c r="F19">
        <v>50671157</v>
      </c>
      <c r="G19" s="12">
        <v>40841</v>
      </c>
      <c r="H19" t="s">
        <v>155</v>
      </c>
      <c r="I19" t="s">
        <v>159</v>
      </c>
      <c r="J19" t="s">
        <v>180</v>
      </c>
      <c r="K19" t="s">
        <v>177</v>
      </c>
      <c r="L19" t="s">
        <v>153</v>
      </c>
      <c r="M19" t="s">
        <v>199</v>
      </c>
      <c r="N19" t="s">
        <v>152</v>
      </c>
      <c r="O19" t="s">
        <v>162</v>
      </c>
      <c r="P19" t="s">
        <v>149</v>
      </c>
      <c r="Q19">
        <v>72</v>
      </c>
      <c r="R19">
        <v>57</v>
      </c>
    </row>
    <row r="20" spans="1:18">
      <c r="A20" t="s">
        <v>202</v>
      </c>
      <c r="B20" t="s">
        <v>146</v>
      </c>
      <c r="C20">
        <v>4214</v>
      </c>
      <c r="D20" t="s">
        <v>203</v>
      </c>
      <c r="E20" t="s">
        <v>5</v>
      </c>
      <c r="F20">
        <v>51267743</v>
      </c>
      <c r="G20" s="12">
        <v>40723</v>
      </c>
      <c r="H20" t="s">
        <v>198</v>
      </c>
      <c r="I20" t="s">
        <v>153</v>
      </c>
      <c r="J20" t="s">
        <v>215</v>
      </c>
      <c r="K20" t="s">
        <v>162</v>
      </c>
      <c r="L20" t="s">
        <v>148</v>
      </c>
      <c r="M20" t="s">
        <v>165</v>
      </c>
      <c r="N20" t="s">
        <v>155</v>
      </c>
      <c r="O20" t="s">
        <v>149</v>
      </c>
      <c r="P20" t="s">
        <v>152</v>
      </c>
      <c r="Q20">
        <v>76</v>
      </c>
      <c r="R20">
        <v>58</v>
      </c>
    </row>
    <row r="21" spans="1:18">
      <c r="A21" t="s">
        <v>204</v>
      </c>
      <c r="B21" t="s">
        <v>146</v>
      </c>
      <c r="C21">
        <v>4259</v>
      </c>
      <c r="D21" t="s">
        <v>205</v>
      </c>
      <c r="E21" t="s">
        <v>26</v>
      </c>
      <c r="F21">
        <v>51125616</v>
      </c>
      <c r="G21" s="12">
        <v>40658</v>
      </c>
      <c r="H21" t="s">
        <v>155</v>
      </c>
      <c r="I21" t="s">
        <v>199</v>
      </c>
      <c r="J21" t="s">
        <v>165</v>
      </c>
      <c r="K21" t="s">
        <v>412</v>
      </c>
      <c r="L21" t="s">
        <v>153</v>
      </c>
      <c r="M21" t="s">
        <v>177</v>
      </c>
      <c r="N21" t="s">
        <v>153</v>
      </c>
      <c r="O21" t="s">
        <v>177</v>
      </c>
      <c r="P21" t="s">
        <v>154</v>
      </c>
      <c r="Q21">
        <v>108</v>
      </c>
      <c r="R21">
        <v>62</v>
      </c>
    </row>
    <row r="22" spans="1:18">
      <c r="A22" t="s">
        <v>206</v>
      </c>
      <c r="B22" t="s">
        <v>146</v>
      </c>
      <c r="C22">
        <v>4181</v>
      </c>
      <c r="D22" t="s">
        <v>207</v>
      </c>
      <c r="E22" t="s">
        <v>5</v>
      </c>
      <c r="F22">
        <v>52699830</v>
      </c>
      <c r="G22" s="12">
        <v>41158</v>
      </c>
      <c r="H22" t="s">
        <v>180</v>
      </c>
      <c r="I22" t="s">
        <v>158</v>
      </c>
      <c r="J22" t="s">
        <v>155</v>
      </c>
      <c r="K22" t="s">
        <v>183</v>
      </c>
      <c r="L22" t="s">
        <v>186</v>
      </c>
      <c r="M22" t="s">
        <v>155</v>
      </c>
      <c r="N22" t="s">
        <v>162</v>
      </c>
      <c r="O22" t="s">
        <v>152</v>
      </c>
      <c r="P22" t="s">
        <v>152</v>
      </c>
      <c r="Q22">
        <v>82</v>
      </c>
      <c r="R22">
        <v>62</v>
      </c>
    </row>
    <row r="23" spans="1:18">
      <c r="A23" t="s">
        <v>208</v>
      </c>
      <c r="B23" t="s">
        <v>146</v>
      </c>
      <c r="C23">
        <v>3938</v>
      </c>
      <c r="D23" t="s">
        <v>209</v>
      </c>
      <c r="E23" t="s">
        <v>8</v>
      </c>
      <c r="F23">
        <v>53185733</v>
      </c>
      <c r="G23" s="12">
        <v>41335</v>
      </c>
      <c r="H23" t="s">
        <v>153</v>
      </c>
      <c r="I23" t="s">
        <v>148</v>
      </c>
      <c r="J23" t="s">
        <v>210</v>
      </c>
      <c r="K23" t="s">
        <v>198</v>
      </c>
      <c r="L23" t="s">
        <v>177</v>
      </c>
      <c r="M23" t="s">
        <v>176</v>
      </c>
      <c r="N23" t="s">
        <v>176</v>
      </c>
      <c r="O23" t="s">
        <v>154</v>
      </c>
      <c r="P23" t="s">
        <v>177</v>
      </c>
      <c r="Q23">
        <v>82</v>
      </c>
      <c r="R23">
        <v>65</v>
      </c>
    </row>
    <row r="24" spans="1:18">
      <c r="A24" t="s">
        <v>211</v>
      </c>
      <c r="B24" t="s">
        <v>146</v>
      </c>
      <c r="C24">
        <v>4247</v>
      </c>
      <c r="D24" t="s">
        <v>212</v>
      </c>
      <c r="E24" t="s">
        <v>16</v>
      </c>
      <c r="F24">
        <v>51429146</v>
      </c>
      <c r="G24" s="12">
        <v>40819</v>
      </c>
      <c r="H24" t="s">
        <v>165</v>
      </c>
      <c r="I24" t="s">
        <v>159</v>
      </c>
      <c r="J24" t="s">
        <v>152</v>
      </c>
      <c r="K24" t="s">
        <v>159</v>
      </c>
      <c r="L24" t="s">
        <v>177</v>
      </c>
      <c r="M24" t="s">
        <v>153</v>
      </c>
      <c r="N24" t="s">
        <v>183</v>
      </c>
      <c r="O24" t="s">
        <v>158</v>
      </c>
      <c r="P24" t="s">
        <v>177</v>
      </c>
      <c r="Q24">
        <v>81</v>
      </c>
      <c r="R24">
        <v>67</v>
      </c>
    </row>
    <row r="25" spans="1:18">
      <c r="A25" t="s">
        <v>213</v>
      </c>
      <c r="B25" t="s">
        <v>146</v>
      </c>
      <c r="C25">
        <v>4057</v>
      </c>
      <c r="D25" t="s">
        <v>214</v>
      </c>
      <c r="E25" t="s">
        <v>26</v>
      </c>
      <c r="F25">
        <v>51572732</v>
      </c>
      <c r="G25" s="12">
        <v>40719</v>
      </c>
      <c r="H25" t="s">
        <v>215</v>
      </c>
      <c r="I25" t="s">
        <v>331</v>
      </c>
      <c r="J25" t="s">
        <v>155</v>
      </c>
      <c r="K25" t="s">
        <v>199</v>
      </c>
      <c r="L25" t="s">
        <v>165</v>
      </c>
      <c r="M25" t="s">
        <v>154</v>
      </c>
      <c r="N25" t="s">
        <v>149</v>
      </c>
      <c r="O25" t="s">
        <v>153</v>
      </c>
      <c r="P25" t="s">
        <v>162</v>
      </c>
      <c r="Q25">
        <v>128</v>
      </c>
      <c r="R25">
        <v>68</v>
      </c>
    </row>
    <row r="26" spans="1:18">
      <c r="A26" t="s">
        <v>216</v>
      </c>
      <c r="B26" t="s">
        <v>146</v>
      </c>
      <c r="C26">
        <v>4179</v>
      </c>
      <c r="D26" t="s">
        <v>217</v>
      </c>
      <c r="E26" t="s">
        <v>5</v>
      </c>
      <c r="F26">
        <v>51125913</v>
      </c>
      <c r="G26" s="12">
        <v>40680</v>
      </c>
      <c r="H26" t="s">
        <v>168</v>
      </c>
      <c r="I26" t="s">
        <v>158</v>
      </c>
      <c r="J26" t="s">
        <v>198</v>
      </c>
      <c r="K26" t="s">
        <v>159</v>
      </c>
      <c r="L26" t="s">
        <v>180</v>
      </c>
      <c r="M26" t="s">
        <v>159</v>
      </c>
      <c r="N26" t="s">
        <v>154</v>
      </c>
      <c r="O26" t="s">
        <v>149</v>
      </c>
      <c r="P26" t="s">
        <v>152</v>
      </c>
      <c r="Q26">
        <v>87</v>
      </c>
      <c r="R26">
        <v>68</v>
      </c>
    </row>
    <row r="27" spans="1:18">
      <c r="A27" t="s">
        <v>218</v>
      </c>
      <c r="B27" t="s">
        <v>146</v>
      </c>
      <c r="C27">
        <v>4257</v>
      </c>
      <c r="D27" t="s">
        <v>219</v>
      </c>
      <c r="E27" t="s">
        <v>9</v>
      </c>
      <c r="F27">
        <v>51066390</v>
      </c>
      <c r="G27" s="12">
        <v>40625</v>
      </c>
      <c r="H27" t="s">
        <v>162</v>
      </c>
      <c r="I27" t="s">
        <v>176</v>
      </c>
      <c r="J27" t="s">
        <v>183</v>
      </c>
      <c r="K27" t="s">
        <v>278</v>
      </c>
      <c r="L27" t="s">
        <v>162</v>
      </c>
      <c r="M27" t="s">
        <v>159</v>
      </c>
      <c r="N27" t="s">
        <v>155</v>
      </c>
      <c r="O27" t="s">
        <v>155</v>
      </c>
      <c r="P27" t="s">
        <v>177</v>
      </c>
      <c r="Q27">
        <v>96</v>
      </c>
      <c r="R27">
        <v>69</v>
      </c>
    </row>
    <row r="28" spans="1:18">
      <c r="A28" t="s">
        <v>220</v>
      </c>
      <c r="B28" t="s">
        <v>146</v>
      </c>
      <c r="C28">
        <v>3832</v>
      </c>
      <c r="D28" t="s">
        <v>221</v>
      </c>
      <c r="E28" t="s">
        <v>39</v>
      </c>
      <c r="F28">
        <v>53956527</v>
      </c>
      <c r="G28" s="12">
        <v>41774</v>
      </c>
      <c r="H28" t="s">
        <v>159</v>
      </c>
      <c r="I28" t="s">
        <v>233</v>
      </c>
      <c r="J28" t="s">
        <v>152</v>
      </c>
      <c r="K28" t="s">
        <v>177</v>
      </c>
      <c r="L28" t="s">
        <v>162</v>
      </c>
      <c r="M28" t="s">
        <v>154</v>
      </c>
      <c r="N28" t="s">
        <v>199</v>
      </c>
      <c r="O28" t="s">
        <v>199</v>
      </c>
      <c r="P28" t="s">
        <v>165</v>
      </c>
      <c r="Q28">
        <v>94</v>
      </c>
      <c r="R28">
        <v>72</v>
      </c>
    </row>
    <row r="29" spans="1:18">
      <c r="A29" t="s">
        <v>222</v>
      </c>
      <c r="B29" t="s">
        <v>146</v>
      </c>
      <c r="C29">
        <v>4146</v>
      </c>
      <c r="D29" t="s">
        <v>223</v>
      </c>
      <c r="E29" t="s">
        <v>17</v>
      </c>
      <c r="F29">
        <v>51102204</v>
      </c>
      <c r="G29" s="12">
        <v>40634</v>
      </c>
      <c r="H29" t="s">
        <v>158</v>
      </c>
      <c r="I29" t="s">
        <v>180</v>
      </c>
      <c r="J29" t="s">
        <v>158</v>
      </c>
      <c r="K29" t="s">
        <v>299</v>
      </c>
      <c r="L29" t="s">
        <v>198</v>
      </c>
      <c r="M29" t="s">
        <v>183</v>
      </c>
      <c r="N29" t="s">
        <v>159</v>
      </c>
      <c r="O29" t="s">
        <v>153</v>
      </c>
      <c r="P29" t="s">
        <v>149</v>
      </c>
      <c r="Q29">
        <v>107</v>
      </c>
      <c r="R29">
        <v>77</v>
      </c>
    </row>
    <row r="30" spans="1:18">
      <c r="A30" t="s">
        <v>224</v>
      </c>
      <c r="B30" t="s">
        <v>146</v>
      </c>
      <c r="C30">
        <v>4211</v>
      </c>
      <c r="D30" t="s">
        <v>225</v>
      </c>
      <c r="E30" t="s">
        <v>21</v>
      </c>
      <c r="F30">
        <v>52768073</v>
      </c>
      <c r="G30" s="12">
        <v>41200</v>
      </c>
      <c r="H30" t="s">
        <v>155</v>
      </c>
      <c r="I30" t="s">
        <v>153</v>
      </c>
      <c r="J30" t="s">
        <v>263</v>
      </c>
      <c r="K30" t="s">
        <v>149</v>
      </c>
      <c r="L30" t="s">
        <v>165</v>
      </c>
      <c r="M30" t="s">
        <v>176</v>
      </c>
      <c r="N30" t="s">
        <v>165</v>
      </c>
      <c r="O30" t="s">
        <v>159</v>
      </c>
      <c r="P30" t="s">
        <v>215</v>
      </c>
      <c r="Q30">
        <v>99</v>
      </c>
      <c r="R30">
        <v>78</v>
      </c>
    </row>
    <row r="31" spans="1:18">
      <c r="A31" t="s">
        <v>226</v>
      </c>
      <c r="B31" t="s">
        <v>146</v>
      </c>
      <c r="C31">
        <v>4144</v>
      </c>
      <c r="D31" t="s">
        <v>227</v>
      </c>
      <c r="E31" t="s">
        <v>23</v>
      </c>
      <c r="F31">
        <v>51339867</v>
      </c>
      <c r="G31" s="12">
        <v>40854</v>
      </c>
      <c r="H31" t="s">
        <v>159</v>
      </c>
      <c r="I31" t="s">
        <v>153</v>
      </c>
      <c r="J31" t="s">
        <v>158</v>
      </c>
      <c r="K31" t="s">
        <v>331</v>
      </c>
      <c r="L31" t="s">
        <v>199</v>
      </c>
      <c r="M31" t="s">
        <v>183</v>
      </c>
      <c r="N31" t="s">
        <v>162</v>
      </c>
      <c r="O31" t="s">
        <v>176</v>
      </c>
      <c r="P31" t="s">
        <v>159</v>
      </c>
      <c r="Q31">
        <v>139</v>
      </c>
      <c r="R31">
        <v>79</v>
      </c>
    </row>
    <row r="32" spans="1:18">
      <c r="A32" t="s">
        <v>228</v>
      </c>
      <c r="B32" t="s">
        <v>146</v>
      </c>
      <c r="C32">
        <v>4073</v>
      </c>
      <c r="D32" t="s">
        <v>229</v>
      </c>
      <c r="E32" t="s">
        <v>33</v>
      </c>
      <c r="F32">
        <v>51270746</v>
      </c>
      <c r="G32" s="12">
        <v>40727</v>
      </c>
      <c r="H32" t="s">
        <v>153</v>
      </c>
      <c r="I32" t="s">
        <v>162</v>
      </c>
      <c r="J32" t="s">
        <v>154</v>
      </c>
      <c r="K32" t="s">
        <v>230</v>
      </c>
      <c r="L32" t="s">
        <v>331</v>
      </c>
      <c r="M32" t="s">
        <v>158</v>
      </c>
      <c r="N32" t="s">
        <v>180</v>
      </c>
      <c r="O32" t="s">
        <v>165</v>
      </c>
      <c r="P32" t="s">
        <v>158</v>
      </c>
      <c r="Q32">
        <v>142</v>
      </c>
      <c r="R32">
        <v>82</v>
      </c>
    </row>
    <row r="33" spans="1:18">
      <c r="A33" t="s">
        <v>231</v>
      </c>
      <c r="B33" t="s">
        <v>146</v>
      </c>
      <c r="C33">
        <v>4193</v>
      </c>
      <c r="D33" t="s">
        <v>232</v>
      </c>
      <c r="E33" t="s">
        <v>10</v>
      </c>
      <c r="F33">
        <v>51261170</v>
      </c>
      <c r="G33" s="12">
        <v>40755</v>
      </c>
      <c r="H33" t="s">
        <v>149</v>
      </c>
      <c r="I33" t="s">
        <v>162</v>
      </c>
      <c r="J33" t="s">
        <v>162</v>
      </c>
      <c r="K33" t="s">
        <v>180</v>
      </c>
      <c r="L33" t="s">
        <v>240</v>
      </c>
      <c r="M33" t="s">
        <v>162</v>
      </c>
      <c r="N33" t="s">
        <v>159</v>
      </c>
      <c r="O33" t="s">
        <v>233</v>
      </c>
      <c r="P33" t="s">
        <v>176</v>
      </c>
      <c r="Q33">
        <v>112</v>
      </c>
      <c r="R33">
        <v>87</v>
      </c>
    </row>
    <row r="34" spans="1:18">
      <c r="A34" t="s">
        <v>234</v>
      </c>
      <c r="B34" t="s">
        <v>146</v>
      </c>
      <c r="C34">
        <v>4139</v>
      </c>
      <c r="D34" t="s">
        <v>235</v>
      </c>
      <c r="E34" t="s">
        <v>33</v>
      </c>
      <c r="F34">
        <v>52073632</v>
      </c>
      <c r="G34" s="12">
        <v>40882</v>
      </c>
      <c r="H34" t="s">
        <v>243</v>
      </c>
      <c r="I34" t="s">
        <v>165</v>
      </c>
      <c r="J34" t="s">
        <v>199</v>
      </c>
      <c r="K34" t="s">
        <v>158</v>
      </c>
      <c r="L34" t="s">
        <v>159</v>
      </c>
      <c r="M34" t="s">
        <v>180</v>
      </c>
      <c r="N34" t="s">
        <v>165</v>
      </c>
      <c r="O34" t="s">
        <v>180</v>
      </c>
      <c r="P34" t="s">
        <v>153</v>
      </c>
      <c r="Q34">
        <v>120</v>
      </c>
      <c r="R34">
        <v>91</v>
      </c>
    </row>
    <row r="35" spans="1:18">
      <c r="A35" t="s">
        <v>236</v>
      </c>
      <c r="B35" t="s">
        <v>146</v>
      </c>
      <c r="C35">
        <v>3828</v>
      </c>
      <c r="D35" t="s">
        <v>237</v>
      </c>
      <c r="E35" t="s">
        <v>11</v>
      </c>
      <c r="F35">
        <v>52909554</v>
      </c>
      <c r="G35" s="12">
        <v>41299</v>
      </c>
      <c r="H35" t="s">
        <v>266</v>
      </c>
      <c r="I35" t="s">
        <v>210</v>
      </c>
      <c r="J35" t="s">
        <v>154</v>
      </c>
      <c r="K35" t="s">
        <v>230</v>
      </c>
      <c r="L35" t="s">
        <v>176</v>
      </c>
      <c r="M35" t="s">
        <v>149</v>
      </c>
      <c r="N35" t="s">
        <v>158</v>
      </c>
      <c r="O35" t="s">
        <v>183</v>
      </c>
      <c r="P35" t="s">
        <v>215</v>
      </c>
      <c r="Q35">
        <v>117</v>
      </c>
      <c r="R35">
        <v>93</v>
      </c>
    </row>
    <row r="36" spans="1:18">
      <c r="A36" t="s">
        <v>238</v>
      </c>
      <c r="B36" t="s">
        <v>146</v>
      </c>
      <c r="C36">
        <v>4001</v>
      </c>
      <c r="D36" t="s">
        <v>239</v>
      </c>
      <c r="E36" t="s">
        <v>23</v>
      </c>
      <c r="F36">
        <v>51167440</v>
      </c>
      <c r="G36" s="12">
        <v>40773</v>
      </c>
      <c r="H36" t="s">
        <v>177</v>
      </c>
      <c r="I36" t="s">
        <v>180</v>
      </c>
      <c r="J36" t="s">
        <v>176</v>
      </c>
      <c r="K36" t="s">
        <v>240</v>
      </c>
      <c r="L36" t="s">
        <v>369</v>
      </c>
      <c r="M36" t="s">
        <v>158</v>
      </c>
      <c r="N36" t="s">
        <v>149</v>
      </c>
      <c r="O36" t="s">
        <v>240</v>
      </c>
      <c r="P36" t="s">
        <v>155</v>
      </c>
      <c r="Q36">
        <v>133</v>
      </c>
      <c r="R36">
        <v>96</v>
      </c>
    </row>
    <row r="37" spans="1:18">
      <c r="A37" t="s">
        <v>241</v>
      </c>
      <c r="B37" t="s">
        <v>146</v>
      </c>
      <c r="C37">
        <v>4030</v>
      </c>
      <c r="D37" t="s">
        <v>242</v>
      </c>
      <c r="E37" t="s">
        <v>17</v>
      </c>
      <c r="F37">
        <v>51358051</v>
      </c>
      <c r="G37" s="12">
        <v>40784</v>
      </c>
      <c r="H37" t="s">
        <v>243</v>
      </c>
      <c r="I37" t="s">
        <v>356</v>
      </c>
      <c r="J37" t="s">
        <v>153</v>
      </c>
      <c r="K37" t="s">
        <v>159</v>
      </c>
      <c r="L37" t="s">
        <v>244</v>
      </c>
      <c r="M37" t="s">
        <v>154</v>
      </c>
      <c r="N37" t="s">
        <v>158</v>
      </c>
      <c r="O37" t="s">
        <v>162</v>
      </c>
      <c r="P37" t="s">
        <v>158</v>
      </c>
      <c r="Q37">
        <v>138</v>
      </c>
      <c r="R37">
        <v>98</v>
      </c>
    </row>
    <row r="38" spans="1:18">
      <c r="A38" t="s">
        <v>245</v>
      </c>
      <c r="B38" t="s">
        <v>146</v>
      </c>
      <c r="C38">
        <v>4285</v>
      </c>
      <c r="D38" t="s">
        <v>246</v>
      </c>
      <c r="E38" t="s">
        <v>21</v>
      </c>
      <c r="F38">
        <v>52875058</v>
      </c>
      <c r="G38" s="12">
        <v>41243</v>
      </c>
      <c r="H38" t="s">
        <v>149</v>
      </c>
      <c r="I38" t="s">
        <v>199</v>
      </c>
      <c r="J38" t="s">
        <v>186</v>
      </c>
      <c r="K38" t="s">
        <v>177</v>
      </c>
      <c r="L38" t="s">
        <v>159</v>
      </c>
      <c r="M38" t="s">
        <v>244</v>
      </c>
      <c r="N38" t="s">
        <v>186</v>
      </c>
      <c r="O38" t="s">
        <v>148</v>
      </c>
      <c r="P38" t="s">
        <v>247</v>
      </c>
      <c r="Q38">
        <v>127</v>
      </c>
      <c r="R38">
        <v>99</v>
      </c>
    </row>
    <row r="39" spans="1:18">
      <c r="A39" t="s">
        <v>248</v>
      </c>
      <c r="B39" t="s">
        <v>146</v>
      </c>
      <c r="C39">
        <v>4198</v>
      </c>
      <c r="D39" t="s">
        <v>249</v>
      </c>
      <c r="E39" t="s">
        <v>21</v>
      </c>
      <c r="F39">
        <v>53454414</v>
      </c>
      <c r="G39" s="12">
        <v>41150</v>
      </c>
      <c r="H39" t="s">
        <v>199</v>
      </c>
      <c r="I39" t="s">
        <v>162</v>
      </c>
      <c r="J39" t="s">
        <v>165</v>
      </c>
      <c r="K39" t="s">
        <v>158</v>
      </c>
      <c r="L39" t="s">
        <v>168</v>
      </c>
      <c r="M39" t="s">
        <v>177</v>
      </c>
      <c r="N39" t="s">
        <v>186</v>
      </c>
      <c r="O39" t="s">
        <v>168</v>
      </c>
      <c r="P39" t="s">
        <v>180</v>
      </c>
      <c r="Q39">
        <v>121</v>
      </c>
      <c r="R39">
        <v>101</v>
      </c>
    </row>
    <row r="40" spans="1:18">
      <c r="A40" t="s">
        <v>250</v>
      </c>
      <c r="B40" t="s">
        <v>146</v>
      </c>
      <c r="C40">
        <v>4195</v>
      </c>
      <c r="D40" t="s">
        <v>251</v>
      </c>
      <c r="E40" t="s">
        <v>26</v>
      </c>
      <c r="F40">
        <v>54627320</v>
      </c>
      <c r="G40" s="12">
        <v>42044</v>
      </c>
      <c r="H40" t="s">
        <v>159</v>
      </c>
      <c r="I40" t="s">
        <v>158</v>
      </c>
      <c r="J40" t="s">
        <v>153</v>
      </c>
      <c r="K40" t="s">
        <v>183</v>
      </c>
      <c r="L40" t="s">
        <v>199</v>
      </c>
      <c r="M40" t="s">
        <v>210</v>
      </c>
      <c r="N40" t="s">
        <v>331</v>
      </c>
      <c r="O40" t="s">
        <v>233</v>
      </c>
      <c r="P40" t="s">
        <v>210</v>
      </c>
      <c r="Q40">
        <v>163</v>
      </c>
      <c r="R40">
        <v>103</v>
      </c>
    </row>
    <row r="41" spans="1:18">
      <c r="A41" t="s">
        <v>252</v>
      </c>
      <c r="B41" t="s">
        <v>146</v>
      </c>
      <c r="C41">
        <v>3936</v>
      </c>
      <c r="D41" t="s">
        <v>253</v>
      </c>
      <c r="E41" t="s">
        <v>21</v>
      </c>
      <c r="F41">
        <v>50670497</v>
      </c>
      <c r="G41" s="12">
        <v>40549</v>
      </c>
      <c r="H41" t="s">
        <v>176</v>
      </c>
      <c r="I41" t="s">
        <v>149</v>
      </c>
      <c r="J41" t="s">
        <v>155</v>
      </c>
      <c r="K41" t="s">
        <v>254</v>
      </c>
      <c r="L41" t="s">
        <v>165</v>
      </c>
      <c r="M41" t="s">
        <v>247</v>
      </c>
      <c r="N41" t="s">
        <v>331</v>
      </c>
      <c r="O41" t="s">
        <v>165</v>
      </c>
      <c r="P41" t="s">
        <v>154</v>
      </c>
      <c r="Q41">
        <v>165</v>
      </c>
      <c r="R41">
        <v>105</v>
      </c>
    </row>
    <row r="42" spans="1:18">
      <c r="A42" t="s">
        <v>255</v>
      </c>
      <c r="B42" t="s">
        <v>146</v>
      </c>
      <c r="C42">
        <v>4020</v>
      </c>
      <c r="D42" t="s">
        <v>256</v>
      </c>
      <c r="E42" t="s">
        <v>21</v>
      </c>
      <c r="F42">
        <v>52857832</v>
      </c>
      <c r="G42" s="12">
        <v>41240</v>
      </c>
      <c r="H42" t="s">
        <v>177</v>
      </c>
      <c r="I42" t="s">
        <v>199</v>
      </c>
      <c r="J42" t="s">
        <v>180</v>
      </c>
      <c r="K42" t="s">
        <v>240</v>
      </c>
      <c r="L42" t="s">
        <v>240</v>
      </c>
      <c r="M42" t="s">
        <v>153</v>
      </c>
      <c r="N42" t="s">
        <v>180</v>
      </c>
      <c r="O42" t="s">
        <v>176</v>
      </c>
      <c r="P42" t="s">
        <v>199</v>
      </c>
      <c r="Q42">
        <v>130</v>
      </c>
      <c r="R42">
        <v>105</v>
      </c>
    </row>
    <row r="43" spans="1:18">
      <c r="A43" t="s">
        <v>257</v>
      </c>
      <c r="B43" t="s">
        <v>146</v>
      </c>
      <c r="C43">
        <v>4011</v>
      </c>
      <c r="D43" t="s">
        <v>258</v>
      </c>
      <c r="E43" t="s">
        <v>7</v>
      </c>
      <c r="F43">
        <v>52768606</v>
      </c>
      <c r="G43" s="12">
        <v>41178</v>
      </c>
      <c r="H43" t="s">
        <v>198</v>
      </c>
      <c r="I43" t="s">
        <v>176</v>
      </c>
      <c r="J43" t="s">
        <v>176</v>
      </c>
      <c r="K43" t="s">
        <v>176</v>
      </c>
      <c r="L43" t="s">
        <v>278</v>
      </c>
      <c r="M43" t="s">
        <v>198</v>
      </c>
      <c r="N43" t="s">
        <v>153</v>
      </c>
      <c r="O43" t="s">
        <v>230</v>
      </c>
      <c r="P43" t="s">
        <v>183</v>
      </c>
      <c r="Q43">
        <v>138</v>
      </c>
      <c r="R43">
        <v>111</v>
      </c>
    </row>
    <row r="44" spans="1:18">
      <c r="A44" t="s">
        <v>259</v>
      </c>
      <c r="B44" t="s">
        <v>146</v>
      </c>
      <c r="C44">
        <v>4171</v>
      </c>
      <c r="D44" t="s">
        <v>260</v>
      </c>
      <c r="E44" t="s">
        <v>9</v>
      </c>
      <c r="F44">
        <v>51183098</v>
      </c>
      <c r="G44" s="12">
        <v>40733</v>
      </c>
      <c r="H44" t="s">
        <v>183</v>
      </c>
      <c r="I44" t="s">
        <v>165</v>
      </c>
      <c r="J44" t="s">
        <v>162</v>
      </c>
      <c r="K44" t="s">
        <v>403</v>
      </c>
      <c r="L44" t="s">
        <v>199</v>
      </c>
      <c r="M44" t="s">
        <v>230</v>
      </c>
      <c r="N44" t="s">
        <v>199</v>
      </c>
      <c r="O44" t="s">
        <v>210</v>
      </c>
      <c r="P44" t="s">
        <v>199</v>
      </c>
      <c r="Q44">
        <v>150</v>
      </c>
      <c r="R44">
        <v>111</v>
      </c>
    </row>
    <row r="45" spans="1:18">
      <c r="A45" t="s">
        <v>261</v>
      </c>
      <c r="B45" t="s">
        <v>146</v>
      </c>
      <c r="C45">
        <v>4096</v>
      </c>
      <c r="D45" t="s">
        <v>262</v>
      </c>
      <c r="E45" t="s">
        <v>9</v>
      </c>
      <c r="F45">
        <v>51397535</v>
      </c>
      <c r="G45" s="12">
        <v>40806</v>
      </c>
      <c r="H45" t="s">
        <v>148</v>
      </c>
      <c r="I45" t="s">
        <v>331</v>
      </c>
      <c r="J45" t="s">
        <v>168</v>
      </c>
      <c r="K45" t="s">
        <v>165</v>
      </c>
      <c r="L45" t="s">
        <v>263</v>
      </c>
      <c r="M45" t="s">
        <v>198</v>
      </c>
      <c r="N45" t="s">
        <v>176</v>
      </c>
      <c r="O45" t="s">
        <v>210</v>
      </c>
      <c r="P45" t="s">
        <v>183</v>
      </c>
      <c r="Q45">
        <v>172</v>
      </c>
      <c r="R45">
        <v>112</v>
      </c>
    </row>
    <row r="46" spans="1:18">
      <c r="A46" t="s">
        <v>264</v>
      </c>
      <c r="B46" t="s">
        <v>146</v>
      </c>
      <c r="C46">
        <v>4280</v>
      </c>
      <c r="D46" t="s">
        <v>265</v>
      </c>
      <c r="E46" t="s">
        <v>33</v>
      </c>
      <c r="F46">
        <v>52366183</v>
      </c>
      <c r="G46" s="12">
        <v>40963</v>
      </c>
      <c r="H46" t="s">
        <v>266</v>
      </c>
      <c r="I46" t="s">
        <v>210</v>
      </c>
      <c r="J46" t="s">
        <v>266</v>
      </c>
      <c r="K46" t="s">
        <v>159</v>
      </c>
      <c r="L46" t="s">
        <v>158</v>
      </c>
      <c r="M46" t="s">
        <v>294</v>
      </c>
      <c r="N46" t="s">
        <v>199</v>
      </c>
      <c r="O46" t="s">
        <v>183</v>
      </c>
      <c r="P46" t="s">
        <v>153</v>
      </c>
      <c r="Q46">
        <v>149</v>
      </c>
      <c r="R46">
        <v>113</v>
      </c>
    </row>
    <row r="47" spans="1:18">
      <c r="A47" t="s">
        <v>267</v>
      </c>
      <c r="B47" t="s">
        <v>146</v>
      </c>
      <c r="C47">
        <v>4218</v>
      </c>
      <c r="D47" t="s">
        <v>268</v>
      </c>
      <c r="E47" t="s">
        <v>33</v>
      </c>
      <c r="F47">
        <v>52085390</v>
      </c>
      <c r="G47" s="12">
        <v>41253</v>
      </c>
      <c r="H47" t="s">
        <v>210</v>
      </c>
      <c r="I47" t="s">
        <v>183</v>
      </c>
      <c r="J47" t="s">
        <v>159</v>
      </c>
      <c r="K47" t="s">
        <v>266</v>
      </c>
      <c r="L47" t="s">
        <v>215</v>
      </c>
      <c r="M47" t="s">
        <v>247</v>
      </c>
      <c r="N47" t="s">
        <v>158</v>
      </c>
      <c r="O47" t="s">
        <v>177</v>
      </c>
      <c r="P47" t="s">
        <v>263</v>
      </c>
      <c r="Q47">
        <v>143</v>
      </c>
      <c r="R47">
        <v>117</v>
      </c>
    </row>
    <row r="48" spans="1:18">
      <c r="A48" t="s">
        <v>269</v>
      </c>
      <c r="B48" t="s">
        <v>146</v>
      </c>
      <c r="C48">
        <v>4093</v>
      </c>
      <c r="D48" t="s">
        <v>270</v>
      </c>
      <c r="E48" t="s">
        <v>23</v>
      </c>
      <c r="F48">
        <v>52136031</v>
      </c>
      <c r="G48" s="12">
        <v>40917</v>
      </c>
      <c r="H48" t="s">
        <v>230</v>
      </c>
      <c r="I48" t="s">
        <v>159</v>
      </c>
      <c r="J48" t="s">
        <v>183</v>
      </c>
      <c r="K48" t="s">
        <v>176</v>
      </c>
      <c r="L48" t="s">
        <v>299</v>
      </c>
      <c r="M48" t="s">
        <v>176</v>
      </c>
      <c r="N48" t="s">
        <v>162</v>
      </c>
      <c r="O48" t="s">
        <v>266</v>
      </c>
      <c r="P48" t="s">
        <v>180</v>
      </c>
      <c r="Q48">
        <v>147</v>
      </c>
      <c r="R48">
        <v>117</v>
      </c>
    </row>
    <row r="49" spans="1:18">
      <c r="A49" t="s">
        <v>271</v>
      </c>
      <c r="B49" t="s">
        <v>146</v>
      </c>
      <c r="C49">
        <v>4274</v>
      </c>
      <c r="D49" t="s">
        <v>272</v>
      </c>
      <c r="E49" t="s">
        <v>9</v>
      </c>
      <c r="F49">
        <v>53584723</v>
      </c>
      <c r="G49" s="12">
        <v>41603</v>
      </c>
      <c r="H49" t="s">
        <v>183</v>
      </c>
      <c r="I49" t="s">
        <v>331</v>
      </c>
      <c r="J49" t="s">
        <v>210</v>
      </c>
      <c r="K49" t="s">
        <v>149</v>
      </c>
      <c r="L49" t="s">
        <v>149</v>
      </c>
      <c r="M49" t="s">
        <v>180</v>
      </c>
      <c r="N49" t="s">
        <v>198</v>
      </c>
      <c r="O49" t="s">
        <v>180</v>
      </c>
      <c r="P49" t="s">
        <v>273</v>
      </c>
      <c r="Q49">
        <v>179</v>
      </c>
      <c r="R49">
        <v>119</v>
      </c>
    </row>
    <row r="50" spans="1:18">
      <c r="A50" t="s">
        <v>274</v>
      </c>
      <c r="B50" t="s">
        <v>146</v>
      </c>
      <c r="C50">
        <v>3872</v>
      </c>
      <c r="D50" t="s">
        <v>275</v>
      </c>
      <c r="E50" t="s">
        <v>5</v>
      </c>
      <c r="F50">
        <v>53083955</v>
      </c>
      <c r="G50" s="12">
        <v>41342</v>
      </c>
      <c r="H50" t="s">
        <v>215</v>
      </c>
      <c r="I50" t="s">
        <v>318</v>
      </c>
      <c r="J50" t="s">
        <v>210</v>
      </c>
      <c r="K50" t="s">
        <v>210</v>
      </c>
      <c r="L50" t="s">
        <v>158</v>
      </c>
      <c r="M50" t="s">
        <v>198</v>
      </c>
      <c r="N50" t="s">
        <v>180</v>
      </c>
      <c r="O50" t="s">
        <v>199</v>
      </c>
      <c r="P50" t="s">
        <v>230</v>
      </c>
      <c r="Q50">
        <v>155</v>
      </c>
      <c r="R50">
        <v>123</v>
      </c>
    </row>
    <row r="51" spans="1:18">
      <c r="A51" t="s">
        <v>276</v>
      </c>
      <c r="B51" t="s">
        <v>146</v>
      </c>
      <c r="C51">
        <v>4174</v>
      </c>
      <c r="D51" t="s">
        <v>277</v>
      </c>
      <c r="E51" t="s">
        <v>5</v>
      </c>
      <c r="F51">
        <v>52647669</v>
      </c>
      <c r="G51" s="12">
        <v>41136</v>
      </c>
      <c r="H51" t="s">
        <v>331</v>
      </c>
      <c r="I51" t="s">
        <v>162</v>
      </c>
      <c r="J51" t="s">
        <v>177</v>
      </c>
      <c r="K51" t="s">
        <v>162</v>
      </c>
      <c r="L51" t="s">
        <v>215</v>
      </c>
      <c r="M51" t="s">
        <v>210</v>
      </c>
      <c r="N51" t="s">
        <v>233</v>
      </c>
      <c r="O51" t="s">
        <v>180</v>
      </c>
      <c r="P51" t="s">
        <v>278</v>
      </c>
      <c r="Q51">
        <v>184</v>
      </c>
      <c r="R51">
        <v>124</v>
      </c>
    </row>
    <row r="52" spans="1:18">
      <c r="A52" t="s">
        <v>279</v>
      </c>
      <c r="B52" t="s">
        <v>146</v>
      </c>
      <c r="C52">
        <v>4167</v>
      </c>
      <c r="D52" t="s">
        <v>280</v>
      </c>
      <c r="E52" t="s">
        <v>17</v>
      </c>
      <c r="F52">
        <v>52366875</v>
      </c>
      <c r="G52" s="12">
        <v>40954</v>
      </c>
      <c r="H52" t="s">
        <v>210</v>
      </c>
      <c r="I52" t="s">
        <v>152</v>
      </c>
      <c r="J52" t="s">
        <v>159</v>
      </c>
      <c r="K52" t="s">
        <v>198</v>
      </c>
      <c r="L52" t="s">
        <v>230</v>
      </c>
      <c r="M52" t="s">
        <v>313</v>
      </c>
      <c r="N52" t="s">
        <v>215</v>
      </c>
      <c r="O52" t="s">
        <v>215</v>
      </c>
      <c r="P52" t="s">
        <v>263</v>
      </c>
      <c r="Q52">
        <v>159</v>
      </c>
      <c r="R52">
        <v>128</v>
      </c>
    </row>
    <row r="53" spans="1:18">
      <c r="A53" t="s">
        <v>281</v>
      </c>
      <c r="B53" t="s">
        <v>146</v>
      </c>
      <c r="C53">
        <v>4162</v>
      </c>
      <c r="D53" t="s">
        <v>282</v>
      </c>
      <c r="E53" t="s">
        <v>171</v>
      </c>
      <c r="F53">
        <v>52159528</v>
      </c>
      <c r="G53" s="12">
        <v>40948</v>
      </c>
      <c r="H53" t="s">
        <v>263</v>
      </c>
      <c r="I53" t="s">
        <v>186</v>
      </c>
      <c r="J53" t="s">
        <v>186</v>
      </c>
      <c r="K53" t="s">
        <v>215</v>
      </c>
      <c r="L53" t="s">
        <v>148</v>
      </c>
      <c r="M53" t="s">
        <v>247</v>
      </c>
      <c r="N53" t="s">
        <v>186</v>
      </c>
      <c r="O53" t="s">
        <v>198</v>
      </c>
      <c r="P53" t="s">
        <v>165</v>
      </c>
      <c r="Q53">
        <v>156</v>
      </c>
      <c r="R53">
        <v>130</v>
      </c>
    </row>
    <row r="54" spans="1:18">
      <c r="A54" t="s">
        <v>283</v>
      </c>
      <c r="B54" t="s">
        <v>146</v>
      </c>
      <c r="C54">
        <v>4244</v>
      </c>
      <c r="D54" t="s">
        <v>284</v>
      </c>
      <c r="E54" t="s">
        <v>22</v>
      </c>
      <c r="F54">
        <v>53586402</v>
      </c>
      <c r="G54" s="12">
        <v>41581</v>
      </c>
      <c r="H54" t="s">
        <v>210</v>
      </c>
      <c r="I54" t="s">
        <v>210</v>
      </c>
      <c r="J54" t="s">
        <v>240</v>
      </c>
      <c r="K54" t="s">
        <v>273</v>
      </c>
      <c r="L54" t="s">
        <v>285</v>
      </c>
      <c r="M54" t="s">
        <v>199</v>
      </c>
      <c r="N54" t="s">
        <v>165</v>
      </c>
      <c r="O54" t="s">
        <v>159</v>
      </c>
      <c r="P54" t="s">
        <v>153</v>
      </c>
      <c r="Q54">
        <v>172</v>
      </c>
      <c r="R54">
        <v>134</v>
      </c>
    </row>
    <row r="55" spans="1:18">
      <c r="A55" t="s">
        <v>286</v>
      </c>
      <c r="B55" t="s">
        <v>146</v>
      </c>
      <c r="C55">
        <v>4049</v>
      </c>
      <c r="D55" t="s">
        <v>287</v>
      </c>
      <c r="E55" t="s">
        <v>7</v>
      </c>
      <c r="F55">
        <v>52856304</v>
      </c>
      <c r="G55" s="12">
        <v>41238</v>
      </c>
      <c r="H55" t="s">
        <v>176</v>
      </c>
      <c r="I55" t="s">
        <v>183</v>
      </c>
      <c r="J55" t="s">
        <v>240</v>
      </c>
      <c r="K55" t="s">
        <v>155</v>
      </c>
      <c r="L55" t="s">
        <v>266</v>
      </c>
      <c r="M55" t="s">
        <v>420</v>
      </c>
      <c r="N55" t="s">
        <v>240</v>
      </c>
      <c r="O55" t="s">
        <v>153</v>
      </c>
      <c r="P55" t="s">
        <v>244</v>
      </c>
      <c r="Q55">
        <v>182</v>
      </c>
      <c r="R55">
        <v>138</v>
      </c>
    </row>
    <row r="56" spans="1:18">
      <c r="A56" t="s">
        <v>288</v>
      </c>
      <c r="B56" t="s">
        <v>146</v>
      </c>
      <c r="C56">
        <v>4117</v>
      </c>
      <c r="D56" t="s">
        <v>289</v>
      </c>
      <c r="E56" t="s">
        <v>9</v>
      </c>
      <c r="F56">
        <v>52164372</v>
      </c>
      <c r="G56" s="12">
        <v>40962</v>
      </c>
      <c r="H56" t="s">
        <v>168</v>
      </c>
      <c r="I56" t="s">
        <v>230</v>
      </c>
      <c r="J56" t="s">
        <v>180</v>
      </c>
      <c r="K56" t="s">
        <v>153</v>
      </c>
      <c r="L56" t="s">
        <v>263</v>
      </c>
      <c r="M56" t="s">
        <v>412</v>
      </c>
      <c r="N56" t="s">
        <v>186</v>
      </c>
      <c r="O56" t="s">
        <v>153</v>
      </c>
      <c r="P56" t="s">
        <v>278</v>
      </c>
      <c r="Q56">
        <v>185</v>
      </c>
      <c r="R56">
        <v>139</v>
      </c>
    </row>
    <row r="57" spans="1:18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>
        <v>54029308</v>
      </c>
      <c r="G57" s="12">
        <v>41761</v>
      </c>
      <c r="H57" t="s">
        <v>159</v>
      </c>
      <c r="I57" t="s">
        <v>331</v>
      </c>
      <c r="J57" t="s">
        <v>243</v>
      </c>
      <c r="K57" t="s">
        <v>162</v>
      </c>
      <c r="L57" t="s">
        <v>162</v>
      </c>
      <c r="M57" t="s">
        <v>210</v>
      </c>
      <c r="N57" t="s">
        <v>243</v>
      </c>
      <c r="O57" t="s">
        <v>186</v>
      </c>
      <c r="P57" t="s">
        <v>198</v>
      </c>
      <c r="Q57">
        <v>199</v>
      </c>
      <c r="R57">
        <v>139</v>
      </c>
    </row>
    <row r="58" spans="1:18">
      <c r="A58" t="s">
        <v>292</v>
      </c>
      <c r="B58" t="s">
        <v>146</v>
      </c>
      <c r="C58">
        <v>3895</v>
      </c>
      <c r="D58" t="s">
        <v>293</v>
      </c>
      <c r="E58" t="s">
        <v>5</v>
      </c>
      <c r="F58">
        <v>54184438</v>
      </c>
      <c r="G58" s="12">
        <v>41848</v>
      </c>
      <c r="H58" t="s">
        <v>154</v>
      </c>
      <c r="I58" t="s">
        <v>183</v>
      </c>
      <c r="J58" t="s">
        <v>266</v>
      </c>
      <c r="K58" t="s">
        <v>199</v>
      </c>
      <c r="L58" t="s">
        <v>149</v>
      </c>
      <c r="M58" t="s">
        <v>233</v>
      </c>
      <c r="N58" t="s">
        <v>273</v>
      </c>
      <c r="O58" t="s">
        <v>243</v>
      </c>
      <c r="P58" t="s">
        <v>294</v>
      </c>
      <c r="Q58">
        <v>180</v>
      </c>
      <c r="R58">
        <v>142</v>
      </c>
    </row>
    <row r="59" spans="1:18">
      <c r="A59" t="s">
        <v>295</v>
      </c>
      <c r="B59" t="s">
        <v>146</v>
      </c>
      <c r="C59">
        <v>3675</v>
      </c>
      <c r="D59" t="s">
        <v>296</v>
      </c>
      <c r="E59" t="s">
        <v>7</v>
      </c>
      <c r="F59">
        <v>53236008</v>
      </c>
      <c r="G59" s="12">
        <v>41388</v>
      </c>
      <c r="H59" t="s">
        <v>319</v>
      </c>
      <c r="I59" t="s">
        <v>215</v>
      </c>
      <c r="J59" t="s">
        <v>230</v>
      </c>
      <c r="K59" t="s">
        <v>266</v>
      </c>
      <c r="L59" t="s">
        <v>159</v>
      </c>
      <c r="M59" t="s">
        <v>230</v>
      </c>
      <c r="N59" t="s">
        <v>168</v>
      </c>
      <c r="O59" t="s">
        <v>176</v>
      </c>
      <c r="P59" t="s">
        <v>210</v>
      </c>
      <c r="Q59">
        <v>178</v>
      </c>
      <c r="R59">
        <v>144</v>
      </c>
    </row>
    <row r="60" spans="1:18">
      <c r="A60" t="s">
        <v>297</v>
      </c>
      <c r="B60" t="s">
        <v>146</v>
      </c>
      <c r="C60">
        <v>3953</v>
      </c>
      <c r="D60" t="s">
        <v>298</v>
      </c>
      <c r="E60" t="s">
        <v>31</v>
      </c>
      <c r="F60">
        <v>50899423</v>
      </c>
      <c r="G60" s="12">
        <v>40689</v>
      </c>
      <c r="H60" t="s">
        <v>240</v>
      </c>
      <c r="I60" t="s">
        <v>186</v>
      </c>
      <c r="J60" t="s">
        <v>299</v>
      </c>
      <c r="K60" t="s">
        <v>369</v>
      </c>
      <c r="L60" t="s">
        <v>186</v>
      </c>
      <c r="M60" t="s">
        <v>162</v>
      </c>
      <c r="N60" t="s">
        <v>263</v>
      </c>
      <c r="O60" t="s">
        <v>158</v>
      </c>
      <c r="P60" t="s">
        <v>183</v>
      </c>
      <c r="Q60">
        <v>182</v>
      </c>
      <c r="R60">
        <v>145</v>
      </c>
    </row>
    <row r="61" spans="1:18">
      <c r="A61" t="s">
        <v>300</v>
      </c>
      <c r="B61" t="s">
        <v>146</v>
      </c>
      <c r="C61">
        <v>4261</v>
      </c>
      <c r="D61" t="s">
        <v>301</v>
      </c>
      <c r="E61" t="s">
        <v>39</v>
      </c>
      <c r="F61">
        <v>52762420</v>
      </c>
      <c r="G61" s="12">
        <v>41207</v>
      </c>
      <c r="H61" t="s">
        <v>199</v>
      </c>
      <c r="I61" t="s">
        <v>263</v>
      </c>
      <c r="J61" t="s">
        <v>198</v>
      </c>
      <c r="K61" t="s">
        <v>331</v>
      </c>
      <c r="L61" t="s">
        <v>266</v>
      </c>
      <c r="M61" t="s">
        <v>199</v>
      </c>
      <c r="N61" t="s">
        <v>247</v>
      </c>
      <c r="O61" t="s">
        <v>186</v>
      </c>
      <c r="P61" t="s">
        <v>180</v>
      </c>
      <c r="Q61">
        <v>207</v>
      </c>
      <c r="R61">
        <v>147</v>
      </c>
    </row>
    <row r="62" spans="1:18">
      <c r="A62" t="s">
        <v>302</v>
      </c>
      <c r="B62" t="s">
        <v>146</v>
      </c>
      <c r="C62">
        <v>4267</v>
      </c>
      <c r="D62" t="s">
        <v>303</v>
      </c>
      <c r="E62" t="s">
        <v>9</v>
      </c>
      <c r="F62">
        <v>52113290</v>
      </c>
      <c r="G62" s="12">
        <v>40941</v>
      </c>
      <c r="H62" t="s">
        <v>186</v>
      </c>
      <c r="I62" t="s">
        <v>233</v>
      </c>
      <c r="J62" t="s">
        <v>233</v>
      </c>
      <c r="K62" t="s">
        <v>152</v>
      </c>
      <c r="L62" t="s">
        <v>183</v>
      </c>
      <c r="M62" t="s">
        <v>266</v>
      </c>
      <c r="N62" t="s">
        <v>266</v>
      </c>
      <c r="O62" t="s">
        <v>306</v>
      </c>
      <c r="P62" t="s">
        <v>198</v>
      </c>
      <c r="Q62">
        <v>181</v>
      </c>
      <c r="R62">
        <v>148</v>
      </c>
    </row>
    <row r="63" spans="1:18">
      <c r="A63" t="s">
        <v>304</v>
      </c>
      <c r="B63" t="s">
        <v>146</v>
      </c>
      <c r="C63">
        <v>4245</v>
      </c>
      <c r="D63" t="s">
        <v>305</v>
      </c>
      <c r="E63" t="s">
        <v>7</v>
      </c>
      <c r="F63">
        <v>52672616</v>
      </c>
      <c r="G63" s="12">
        <v>41142</v>
      </c>
      <c r="H63" t="s">
        <v>331</v>
      </c>
      <c r="I63" t="s">
        <v>215</v>
      </c>
      <c r="J63" t="s">
        <v>159</v>
      </c>
      <c r="K63" t="s">
        <v>168</v>
      </c>
      <c r="L63" t="s">
        <v>306</v>
      </c>
      <c r="M63" t="s">
        <v>183</v>
      </c>
      <c r="N63" t="s">
        <v>159</v>
      </c>
      <c r="O63" t="s">
        <v>285</v>
      </c>
      <c r="P63" t="s">
        <v>176</v>
      </c>
      <c r="Q63">
        <v>210</v>
      </c>
      <c r="R63">
        <v>150</v>
      </c>
    </row>
    <row r="64" spans="1:18">
      <c r="A64" t="s">
        <v>307</v>
      </c>
      <c r="B64" t="s">
        <v>146</v>
      </c>
      <c r="C64">
        <v>4289</v>
      </c>
      <c r="D64" t="s">
        <v>308</v>
      </c>
      <c r="E64" t="s">
        <v>23</v>
      </c>
      <c r="F64">
        <v>52099166</v>
      </c>
      <c r="G64" s="12">
        <v>40939</v>
      </c>
      <c r="H64" t="s">
        <v>215</v>
      </c>
      <c r="I64" t="s">
        <v>198</v>
      </c>
      <c r="J64" t="s">
        <v>215</v>
      </c>
      <c r="K64" t="s">
        <v>356</v>
      </c>
      <c r="L64" t="s">
        <v>230</v>
      </c>
      <c r="M64" t="s">
        <v>285</v>
      </c>
      <c r="N64" t="s">
        <v>158</v>
      </c>
      <c r="O64" t="s">
        <v>180</v>
      </c>
      <c r="P64" t="s">
        <v>186</v>
      </c>
      <c r="Q64">
        <v>192</v>
      </c>
      <c r="R64">
        <v>152</v>
      </c>
    </row>
    <row r="65" spans="1:18">
      <c r="A65" t="s">
        <v>309</v>
      </c>
      <c r="B65" t="s">
        <v>146</v>
      </c>
      <c r="C65">
        <v>4099</v>
      </c>
      <c r="D65" t="s">
        <v>310</v>
      </c>
      <c r="E65" t="s">
        <v>16</v>
      </c>
      <c r="F65">
        <v>52786122</v>
      </c>
      <c r="G65" s="12">
        <v>41185</v>
      </c>
      <c r="H65" t="s">
        <v>278</v>
      </c>
      <c r="I65" t="s">
        <v>355</v>
      </c>
      <c r="J65" t="s">
        <v>278</v>
      </c>
      <c r="K65" t="s">
        <v>263</v>
      </c>
      <c r="L65" t="s">
        <v>168</v>
      </c>
      <c r="M65" t="s">
        <v>215</v>
      </c>
      <c r="N65" t="s">
        <v>210</v>
      </c>
      <c r="O65" t="s">
        <v>183</v>
      </c>
      <c r="P65" t="s">
        <v>183</v>
      </c>
      <c r="Q65">
        <v>197</v>
      </c>
      <c r="R65">
        <v>156</v>
      </c>
    </row>
    <row r="66" spans="1:18">
      <c r="A66" t="s">
        <v>311</v>
      </c>
      <c r="B66" t="s">
        <v>146</v>
      </c>
      <c r="C66">
        <v>4234</v>
      </c>
      <c r="D66" t="s">
        <v>312</v>
      </c>
      <c r="E66" t="s">
        <v>17</v>
      </c>
      <c r="F66">
        <v>52755200</v>
      </c>
      <c r="G66" s="12">
        <v>41158</v>
      </c>
      <c r="H66" t="s">
        <v>378</v>
      </c>
      <c r="I66" t="s">
        <v>243</v>
      </c>
      <c r="J66" t="s">
        <v>183</v>
      </c>
      <c r="K66" t="s">
        <v>313</v>
      </c>
      <c r="L66" t="s">
        <v>294</v>
      </c>
      <c r="M66" t="s">
        <v>152</v>
      </c>
      <c r="N66" t="s">
        <v>177</v>
      </c>
      <c r="O66" t="s">
        <v>263</v>
      </c>
      <c r="P66" t="s">
        <v>165</v>
      </c>
      <c r="Q66">
        <v>200</v>
      </c>
      <c r="R66">
        <v>157</v>
      </c>
    </row>
    <row r="67" spans="1:18">
      <c r="A67" t="s">
        <v>314</v>
      </c>
      <c r="B67" t="s">
        <v>146</v>
      </c>
      <c r="C67">
        <v>4237</v>
      </c>
      <c r="D67" t="s">
        <v>315</v>
      </c>
      <c r="E67" t="s">
        <v>26</v>
      </c>
      <c r="F67">
        <v>50903230</v>
      </c>
      <c r="G67" s="12">
        <v>40545</v>
      </c>
      <c r="H67" t="s">
        <v>168</v>
      </c>
      <c r="I67" t="s">
        <v>240</v>
      </c>
      <c r="J67" t="s">
        <v>331</v>
      </c>
      <c r="K67" t="s">
        <v>240</v>
      </c>
      <c r="L67" t="s">
        <v>278</v>
      </c>
      <c r="M67" t="s">
        <v>168</v>
      </c>
      <c r="N67" t="s">
        <v>198</v>
      </c>
      <c r="O67" t="s">
        <v>210</v>
      </c>
      <c r="P67" t="s">
        <v>162</v>
      </c>
      <c r="Q67">
        <v>217</v>
      </c>
      <c r="R67">
        <v>157</v>
      </c>
    </row>
    <row r="68" spans="1:18">
      <c r="A68" t="s">
        <v>316</v>
      </c>
      <c r="B68" t="s">
        <v>146</v>
      </c>
      <c r="C68">
        <v>4175</v>
      </c>
      <c r="D68" t="s">
        <v>317</v>
      </c>
      <c r="E68" t="s">
        <v>11</v>
      </c>
      <c r="F68">
        <v>53218075</v>
      </c>
      <c r="G68" s="12">
        <v>41495</v>
      </c>
      <c r="H68" t="s">
        <v>331</v>
      </c>
      <c r="I68" t="s">
        <v>165</v>
      </c>
      <c r="J68" t="s">
        <v>243</v>
      </c>
      <c r="K68" t="s">
        <v>154</v>
      </c>
      <c r="L68" t="s">
        <v>318</v>
      </c>
      <c r="M68" t="s">
        <v>152</v>
      </c>
      <c r="N68" t="s">
        <v>199</v>
      </c>
      <c r="O68" t="s">
        <v>299</v>
      </c>
      <c r="P68" t="s">
        <v>319</v>
      </c>
      <c r="Q68">
        <v>218</v>
      </c>
      <c r="R68">
        <v>158</v>
      </c>
    </row>
    <row r="69" spans="1:18">
      <c r="A69" t="s">
        <v>320</v>
      </c>
      <c r="B69" t="s">
        <v>146</v>
      </c>
      <c r="C69">
        <v>3992</v>
      </c>
      <c r="D69" t="s">
        <v>321</v>
      </c>
      <c r="E69" t="s">
        <v>171</v>
      </c>
      <c r="F69">
        <v>53236907</v>
      </c>
      <c r="G69" s="12">
        <v>41375</v>
      </c>
      <c r="H69" t="s">
        <v>199</v>
      </c>
      <c r="I69" t="s">
        <v>215</v>
      </c>
      <c r="J69" t="s">
        <v>468</v>
      </c>
      <c r="K69" t="s">
        <v>165</v>
      </c>
      <c r="L69" t="s">
        <v>198</v>
      </c>
      <c r="M69" t="s">
        <v>319</v>
      </c>
      <c r="N69" t="s">
        <v>230</v>
      </c>
      <c r="O69" t="s">
        <v>168</v>
      </c>
      <c r="P69" t="s">
        <v>230</v>
      </c>
      <c r="Q69">
        <v>219</v>
      </c>
      <c r="R69">
        <v>159</v>
      </c>
    </row>
    <row r="70" spans="1:18">
      <c r="A70" t="s">
        <v>322</v>
      </c>
      <c r="B70" t="s">
        <v>146</v>
      </c>
      <c r="C70">
        <v>4197</v>
      </c>
      <c r="D70" t="s">
        <v>323</v>
      </c>
      <c r="E70" t="s">
        <v>171</v>
      </c>
      <c r="F70">
        <v>51511518</v>
      </c>
      <c r="G70" s="12">
        <v>40833</v>
      </c>
      <c r="H70" t="s">
        <v>263</v>
      </c>
      <c r="I70" t="s">
        <v>266</v>
      </c>
      <c r="J70" t="s">
        <v>183</v>
      </c>
      <c r="K70" t="s">
        <v>183</v>
      </c>
      <c r="L70" t="s">
        <v>186</v>
      </c>
      <c r="M70" t="s">
        <v>168</v>
      </c>
      <c r="N70" t="s">
        <v>247</v>
      </c>
      <c r="O70" t="s">
        <v>438</v>
      </c>
      <c r="P70" t="s">
        <v>230</v>
      </c>
      <c r="Q70">
        <v>206</v>
      </c>
      <c r="R70">
        <v>161</v>
      </c>
    </row>
    <row r="71" spans="1:18">
      <c r="A71" t="s">
        <v>324</v>
      </c>
      <c r="B71" t="s">
        <v>146</v>
      </c>
      <c r="C71">
        <v>4152</v>
      </c>
      <c r="D71" t="s">
        <v>325</v>
      </c>
      <c r="E71" t="s">
        <v>11</v>
      </c>
      <c r="F71">
        <v>52003396</v>
      </c>
      <c r="G71" s="12">
        <v>40952</v>
      </c>
      <c r="H71" t="s">
        <v>180</v>
      </c>
      <c r="I71" t="s">
        <v>168</v>
      </c>
      <c r="J71" t="s">
        <v>215</v>
      </c>
      <c r="K71" t="s">
        <v>331</v>
      </c>
      <c r="L71" t="s">
        <v>326</v>
      </c>
      <c r="M71" t="s">
        <v>266</v>
      </c>
      <c r="N71" t="s">
        <v>159</v>
      </c>
      <c r="O71" t="s">
        <v>266</v>
      </c>
      <c r="P71" t="s">
        <v>159</v>
      </c>
      <c r="Q71">
        <v>222</v>
      </c>
      <c r="R71">
        <v>162</v>
      </c>
    </row>
    <row r="72" spans="1:18">
      <c r="A72" t="s">
        <v>327</v>
      </c>
      <c r="B72" t="s">
        <v>146</v>
      </c>
      <c r="C72">
        <v>4263</v>
      </c>
      <c r="D72" t="s">
        <v>328</v>
      </c>
      <c r="E72" t="s">
        <v>10</v>
      </c>
      <c r="F72">
        <v>53456040</v>
      </c>
      <c r="G72" s="12">
        <v>41535</v>
      </c>
      <c r="H72" t="s">
        <v>233</v>
      </c>
      <c r="I72" t="s">
        <v>278</v>
      </c>
      <c r="J72" t="s">
        <v>199</v>
      </c>
      <c r="K72" t="s">
        <v>183</v>
      </c>
      <c r="L72" t="s">
        <v>152</v>
      </c>
      <c r="M72" t="s">
        <v>318</v>
      </c>
      <c r="N72" t="s">
        <v>210</v>
      </c>
      <c r="O72" t="s">
        <v>273</v>
      </c>
      <c r="P72" t="s">
        <v>294</v>
      </c>
      <c r="Q72">
        <v>202</v>
      </c>
      <c r="R72">
        <v>164</v>
      </c>
    </row>
    <row r="73" spans="1:18">
      <c r="A73" t="s">
        <v>329</v>
      </c>
      <c r="B73" t="s">
        <v>146</v>
      </c>
      <c r="C73">
        <v>4188</v>
      </c>
      <c r="D73" t="s">
        <v>330</v>
      </c>
      <c r="E73" t="s">
        <v>5</v>
      </c>
      <c r="F73">
        <v>51588663</v>
      </c>
      <c r="G73" s="12">
        <v>40893</v>
      </c>
      <c r="H73" t="s">
        <v>149</v>
      </c>
      <c r="I73" t="s">
        <v>331</v>
      </c>
      <c r="J73" t="s">
        <v>159</v>
      </c>
      <c r="K73" t="s">
        <v>331</v>
      </c>
      <c r="L73" t="s">
        <v>155</v>
      </c>
      <c r="M73" t="s">
        <v>177</v>
      </c>
      <c r="N73" t="s">
        <v>332</v>
      </c>
      <c r="O73" t="s">
        <v>177</v>
      </c>
      <c r="P73" t="s">
        <v>165</v>
      </c>
      <c r="Q73">
        <v>225</v>
      </c>
      <c r="R73">
        <v>165</v>
      </c>
    </row>
    <row r="74" spans="1:18">
      <c r="A74" t="s">
        <v>333</v>
      </c>
      <c r="B74" t="s">
        <v>146</v>
      </c>
      <c r="C74">
        <v>4225</v>
      </c>
      <c r="D74" t="s">
        <v>334</v>
      </c>
      <c r="E74" t="s">
        <v>335</v>
      </c>
      <c r="F74">
        <v>52866577</v>
      </c>
      <c r="G74" s="12">
        <v>41360</v>
      </c>
      <c r="H74" t="s">
        <v>306</v>
      </c>
      <c r="I74" t="s">
        <v>331</v>
      </c>
      <c r="J74" t="s">
        <v>319</v>
      </c>
      <c r="K74" t="s">
        <v>215</v>
      </c>
      <c r="L74" t="s">
        <v>183</v>
      </c>
      <c r="M74" t="s">
        <v>215</v>
      </c>
      <c r="N74" t="s">
        <v>210</v>
      </c>
      <c r="O74" t="s">
        <v>183</v>
      </c>
      <c r="P74" t="s">
        <v>215</v>
      </c>
      <c r="Q74">
        <v>225</v>
      </c>
      <c r="R74">
        <v>165</v>
      </c>
    </row>
    <row r="75" spans="1:18">
      <c r="A75" t="s">
        <v>336</v>
      </c>
      <c r="B75" t="s">
        <v>146</v>
      </c>
      <c r="C75">
        <v>3862</v>
      </c>
      <c r="D75" t="s">
        <v>337</v>
      </c>
      <c r="E75" t="s">
        <v>6</v>
      </c>
      <c r="F75">
        <v>51422775</v>
      </c>
      <c r="G75" s="12">
        <v>40855</v>
      </c>
      <c r="H75" t="s">
        <v>299</v>
      </c>
      <c r="I75" t="s">
        <v>158</v>
      </c>
      <c r="J75" t="s">
        <v>278</v>
      </c>
      <c r="K75" t="s">
        <v>233</v>
      </c>
      <c r="L75" t="s">
        <v>319</v>
      </c>
      <c r="M75" t="s">
        <v>319</v>
      </c>
      <c r="N75" t="s">
        <v>177</v>
      </c>
      <c r="O75" t="s">
        <v>244</v>
      </c>
      <c r="P75" t="s">
        <v>176</v>
      </c>
      <c r="Q75">
        <v>200</v>
      </c>
      <c r="R75">
        <v>166</v>
      </c>
    </row>
    <row r="76" spans="1:18">
      <c r="A76" t="s">
        <v>338</v>
      </c>
      <c r="B76" t="s">
        <v>146</v>
      </c>
      <c r="C76">
        <v>4100</v>
      </c>
      <c r="D76" t="s">
        <v>339</v>
      </c>
      <c r="E76" t="s">
        <v>9</v>
      </c>
      <c r="F76">
        <v>52613001</v>
      </c>
      <c r="G76" s="12">
        <v>41040</v>
      </c>
      <c r="H76" t="s">
        <v>153</v>
      </c>
      <c r="I76" t="s">
        <v>240</v>
      </c>
      <c r="J76" t="s">
        <v>244</v>
      </c>
      <c r="K76" t="s">
        <v>243</v>
      </c>
      <c r="L76" t="s">
        <v>233</v>
      </c>
      <c r="M76" t="s">
        <v>299</v>
      </c>
      <c r="N76" t="s">
        <v>215</v>
      </c>
      <c r="O76" t="s">
        <v>199</v>
      </c>
      <c r="P76" t="s">
        <v>247</v>
      </c>
      <c r="Q76">
        <v>197</v>
      </c>
      <c r="R76">
        <v>167</v>
      </c>
    </row>
    <row r="77" spans="1:18">
      <c r="A77" t="s">
        <v>340</v>
      </c>
      <c r="B77" t="s">
        <v>146</v>
      </c>
      <c r="C77">
        <v>4221</v>
      </c>
      <c r="D77" t="s">
        <v>341</v>
      </c>
      <c r="E77" t="s">
        <v>342</v>
      </c>
      <c r="F77">
        <v>51469973</v>
      </c>
      <c r="G77" s="12">
        <v>40815</v>
      </c>
      <c r="H77" t="s">
        <v>313</v>
      </c>
      <c r="I77" t="s">
        <v>165</v>
      </c>
      <c r="J77" t="s">
        <v>318</v>
      </c>
      <c r="K77" t="s">
        <v>215</v>
      </c>
      <c r="L77" t="s">
        <v>177</v>
      </c>
      <c r="M77" t="s">
        <v>356</v>
      </c>
      <c r="N77" t="s">
        <v>168</v>
      </c>
      <c r="O77" t="s">
        <v>240</v>
      </c>
      <c r="P77" t="s">
        <v>266</v>
      </c>
      <c r="Q77">
        <v>210</v>
      </c>
      <c r="R77">
        <v>170</v>
      </c>
    </row>
    <row r="78" spans="1:18">
      <c r="A78" t="s">
        <v>343</v>
      </c>
      <c r="B78" t="s">
        <v>146</v>
      </c>
      <c r="C78">
        <v>3908</v>
      </c>
      <c r="D78" t="s">
        <v>344</v>
      </c>
      <c r="E78" t="s">
        <v>11</v>
      </c>
      <c r="F78">
        <v>52698988</v>
      </c>
      <c r="G78" s="12">
        <v>41145</v>
      </c>
      <c r="H78" t="s">
        <v>233</v>
      </c>
      <c r="I78" t="s">
        <v>168</v>
      </c>
      <c r="J78" t="s">
        <v>243</v>
      </c>
      <c r="K78" t="s">
        <v>210</v>
      </c>
      <c r="L78" t="s">
        <v>152</v>
      </c>
      <c r="M78" t="s">
        <v>240</v>
      </c>
      <c r="N78" t="s">
        <v>243</v>
      </c>
      <c r="O78" t="s">
        <v>278</v>
      </c>
      <c r="P78" t="s">
        <v>313</v>
      </c>
      <c r="Q78">
        <v>203</v>
      </c>
      <c r="R78">
        <v>172</v>
      </c>
    </row>
    <row r="79" spans="1:18">
      <c r="A79" t="s">
        <v>345</v>
      </c>
      <c r="B79" t="s">
        <v>146</v>
      </c>
      <c r="C79">
        <v>4271</v>
      </c>
      <c r="D79" t="s">
        <v>346</v>
      </c>
      <c r="E79" t="s">
        <v>9</v>
      </c>
      <c r="F79">
        <v>53878557</v>
      </c>
      <c r="G79" s="12">
        <v>41728</v>
      </c>
      <c r="H79" t="s">
        <v>244</v>
      </c>
      <c r="I79" t="s">
        <v>210</v>
      </c>
      <c r="J79" t="s">
        <v>230</v>
      </c>
      <c r="K79" t="s">
        <v>176</v>
      </c>
      <c r="L79" t="s">
        <v>313</v>
      </c>
      <c r="M79" t="s">
        <v>240</v>
      </c>
      <c r="N79" t="s">
        <v>230</v>
      </c>
      <c r="O79" t="s">
        <v>168</v>
      </c>
      <c r="P79" t="s">
        <v>278</v>
      </c>
      <c r="Q79">
        <v>203</v>
      </c>
      <c r="R79">
        <v>172</v>
      </c>
    </row>
    <row r="80" spans="1:18">
      <c r="A80" t="s">
        <v>347</v>
      </c>
      <c r="B80" t="s">
        <v>146</v>
      </c>
      <c r="C80">
        <v>4072</v>
      </c>
      <c r="D80" t="s">
        <v>348</v>
      </c>
      <c r="E80" t="s">
        <v>21</v>
      </c>
      <c r="F80">
        <v>53327460</v>
      </c>
      <c r="G80" s="12">
        <v>41435</v>
      </c>
      <c r="H80" t="s">
        <v>285</v>
      </c>
      <c r="I80" t="s">
        <v>285</v>
      </c>
      <c r="J80" t="s">
        <v>233</v>
      </c>
      <c r="K80" t="s">
        <v>155</v>
      </c>
      <c r="L80" t="s">
        <v>233</v>
      </c>
      <c r="M80" t="s">
        <v>186</v>
      </c>
      <c r="N80" t="s">
        <v>331</v>
      </c>
      <c r="O80" t="s">
        <v>186</v>
      </c>
      <c r="P80" t="s">
        <v>168</v>
      </c>
      <c r="Q80">
        <v>237</v>
      </c>
      <c r="R80">
        <v>177</v>
      </c>
    </row>
    <row r="81" spans="1:18">
      <c r="A81" t="s">
        <v>349</v>
      </c>
      <c r="B81" t="s">
        <v>146</v>
      </c>
      <c r="C81">
        <v>4118</v>
      </c>
      <c r="D81" t="s">
        <v>350</v>
      </c>
      <c r="E81" t="s">
        <v>21</v>
      </c>
      <c r="F81">
        <v>51723975</v>
      </c>
      <c r="G81" s="12">
        <v>41808</v>
      </c>
      <c r="H81" t="s">
        <v>180</v>
      </c>
      <c r="I81" t="s">
        <v>230</v>
      </c>
      <c r="J81" t="s">
        <v>247</v>
      </c>
      <c r="K81" t="s">
        <v>355</v>
      </c>
      <c r="L81" t="s">
        <v>273</v>
      </c>
      <c r="M81" t="s">
        <v>183</v>
      </c>
      <c r="N81" t="s">
        <v>285</v>
      </c>
      <c r="O81" t="s">
        <v>198</v>
      </c>
      <c r="P81" t="s">
        <v>159</v>
      </c>
      <c r="Q81">
        <v>219</v>
      </c>
      <c r="R81">
        <v>178</v>
      </c>
    </row>
    <row r="82" spans="1:18">
      <c r="A82" t="s">
        <v>351</v>
      </c>
      <c r="B82" t="s">
        <v>146</v>
      </c>
      <c r="C82">
        <v>3793</v>
      </c>
      <c r="D82" t="s">
        <v>352</v>
      </c>
      <c r="E82" t="s">
        <v>31</v>
      </c>
      <c r="F82">
        <v>52118147</v>
      </c>
      <c r="G82" s="12">
        <v>40951</v>
      </c>
      <c r="H82" t="s">
        <v>186</v>
      </c>
      <c r="I82" t="s">
        <v>266</v>
      </c>
      <c r="J82" t="s">
        <v>313</v>
      </c>
      <c r="K82" t="s">
        <v>198</v>
      </c>
      <c r="L82" t="s">
        <v>247</v>
      </c>
      <c r="M82" t="s">
        <v>326</v>
      </c>
      <c r="N82" t="s">
        <v>177</v>
      </c>
      <c r="O82" t="s">
        <v>199</v>
      </c>
      <c r="P82" t="s">
        <v>504</v>
      </c>
      <c r="Q82">
        <v>240</v>
      </c>
      <c r="R82">
        <v>180</v>
      </c>
    </row>
    <row r="83" spans="1:18">
      <c r="A83" t="s">
        <v>353</v>
      </c>
      <c r="B83" t="s">
        <v>146</v>
      </c>
      <c r="C83">
        <v>4210</v>
      </c>
      <c r="D83" t="s">
        <v>354</v>
      </c>
      <c r="E83" t="s">
        <v>21</v>
      </c>
      <c r="F83">
        <v>53645984</v>
      </c>
      <c r="G83" s="12">
        <v>41628</v>
      </c>
      <c r="H83" t="s">
        <v>198</v>
      </c>
      <c r="I83" t="s">
        <v>176</v>
      </c>
      <c r="J83" t="s">
        <v>165</v>
      </c>
      <c r="K83" t="s">
        <v>331</v>
      </c>
      <c r="L83" t="s">
        <v>180</v>
      </c>
      <c r="M83" t="s">
        <v>247</v>
      </c>
      <c r="N83" t="s">
        <v>355</v>
      </c>
      <c r="O83" t="s">
        <v>215</v>
      </c>
      <c r="P83" t="s">
        <v>356</v>
      </c>
      <c r="Q83">
        <v>241</v>
      </c>
      <c r="R83">
        <v>181</v>
      </c>
    </row>
    <row r="84" spans="1:18">
      <c r="A84" t="s">
        <v>357</v>
      </c>
      <c r="B84" t="s">
        <v>146</v>
      </c>
      <c r="C84">
        <v>4025</v>
      </c>
      <c r="D84" t="s">
        <v>358</v>
      </c>
      <c r="E84" t="s">
        <v>31</v>
      </c>
      <c r="F84">
        <v>52756455</v>
      </c>
      <c r="G84" s="12">
        <v>41152</v>
      </c>
      <c r="H84" t="s">
        <v>168</v>
      </c>
      <c r="I84" t="s">
        <v>186</v>
      </c>
      <c r="J84" t="s">
        <v>313</v>
      </c>
      <c r="K84" t="s">
        <v>285</v>
      </c>
      <c r="L84" t="s">
        <v>233</v>
      </c>
      <c r="M84" t="s">
        <v>199</v>
      </c>
      <c r="N84" t="s">
        <v>331</v>
      </c>
      <c r="O84" t="s">
        <v>244</v>
      </c>
      <c r="P84" t="s">
        <v>210</v>
      </c>
      <c r="Q84">
        <v>243</v>
      </c>
      <c r="R84">
        <v>183</v>
      </c>
    </row>
    <row r="85" spans="1:18">
      <c r="A85" t="s">
        <v>359</v>
      </c>
      <c r="B85" t="s">
        <v>146</v>
      </c>
      <c r="C85">
        <v>3995</v>
      </c>
      <c r="D85" t="s">
        <v>360</v>
      </c>
      <c r="E85" t="s">
        <v>5</v>
      </c>
      <c r="F85">
        <v>52861772</v>
      </c>
      <c r="G85" s="12">
        <v>41269</v>
      </c>
      <c r="H85" t="s">
        <v>198</v>
      </c>
      <c r="I85" t="s">
        <v>313</v>
      </c>
      <c r="J85" t="s">
        <v>266</v>
      </c>
      <c r="K85" t="s">
        <v>165</v>
      </c>
      <c r="L85" t="s">
        <v>294</v>
      </c>
      <c r="M85" t="s">
        <v>215</v>
      </c>
      <c r="N85" t="s">
        <v>243</v>
      </c>
      <c r="O85" t="s">
        <v>186</v>
      </c>
      <c r="P85" t="s">
        <v>285</v>
      </c>
      <c r="Q85">
        <v>223</v>
      </c>
      <c r="R85">
        <v>187</v>
      </c>
    </row>
    <row r="86" spans="1:18">
      <c r="A86" t="s">
        <v>361</v>
      </c>
      <c r="B86" t="s">
        <v>146</v>
      </c>
      <c r="C86">
        <v>3977</v>
      </c>
      <c r="D86" t="s">
        <v>362</v>
      </c>
      <c r="E86" t="s">
        <v>17</v>
      </c>
      <c r="F86">
        <v>51281593</v>
      </c>
      <c r="G86" s="12">
        <v>40725</v>
      </c>
      <c r="H86" t="s">
        <v>331</v>
      </c>
      <c r="I86" t="s">
        <v>243</v>
      </c>
      <c r="J86" t="s">
        <v>247</v>
      </c>
      <c r="K86" t="s">
        <v>299</v>
      </c>
      <c r="L86" t="s">
        <v>243</v>
      </c>
      <c r="M86" t="s">
        <v>155</v>
      </c>
      <c r="N86" t="s">
        <v>180</v>
      </c>
      <c r="O86" t="s">
        <v>244</v>
      </c>
      <c r="P86" t="s">
        <v>278</v>
      </c>
      <c r="Q86">
        <v>248</v>
      </c>
      <c r="R86">
        <v>188</v>
      </c>
    </row>
    <row r="87" spans="1:18">
      <c r="A87" t="s">
        <v>363</v>
      </c>
      <c r="B87" t="s">
        <v>146</v>
      </c>
      <c r="C87">
        <v>3999</v>
      </c>
      <c r="D87" t="s">
        <v>364</v>
      </c>
      <c r="E87" t="s">
        <v>71</v>
      </c>
      <c r="F87">
        <v>54765545</v>
      </c>
      <c r="G87" s="12">
        <v>42142</v>
      </c>
      <c r="H87" t="s">
        <v>240</v>
      </c>
      <c r="I87" t="s">
        <v>243</v>
      </c>
      <c r="J87" t="s">
        <v>331</v>
      </c>
      <c r="K87" t="s">
        <v>263</v>
      </c>
      <c r="L87" t="s">
        <v>154</v>
      </c>
      <c r="M87" t="s">
        <v>230</v>
      </c>
      <c r="N87" t="s">
        <v>294</v>
      </c>
      <c r="O87" t="s">
        <v>247</v>
      </c>
      <c r="P87" t="s">
        <v>247</v>
      </c>
      <c r="Q87">
        <v>249</v>
      </c>
      <c r="R87">
        <v>189</v>
      </c>
    </row>
    <row r="88" spans="1:18">
      <c r="A88" t="s">
        <v>365</v>
      </c>
      <c r="B88" t="s">
        <v>146</v>
      </c>
      <c r="C88">
        <v>3819</v>
      </c>
      <c r="D88" t="s">
        <v>366</v>
      </c>
      <c r="E88" t="s">
        <v>23</v>
      </c>
      <c r="F88">
        <v>52977090</v>
      </c>
      <c r="G88" s="12">
        <v>41311</v>
      </c>
      <c r="H88" t="s">
        <v>299</v>
      </c>
      <c r="I88" t="s">
        <v>198</v>
      </c>
      <c r="J88" t="s">
        <v>299</v>
      </c>
      <c r="K88" t="s">
        <v>263</v>
      </c>
      <c r="L88" t="s">
        <v>285</v>
      </c>
      <c r="M88" t="s">
        <v>233</v>
      </c>
      <c r="N88" t="s">
        <v>215</v>
      </c>
      <c r="O88" t="s">
        <v>243</v>
      </c>
      <c r="P88" t="s">
        <v>266</v>
      </c>
      <c r="Q88">
        <v>226</v>
      </c>
      <c r="R88">
        <v>191</v>
      </c>
    </row>
    <row r="89" spans="1:18">
      <c r="A89" t="s">
        <v>367</v>
      </c>
      <c r="B89" t="s">
        <v>146</v>
      </c>
      <c r="C89">
        <v>4136</v>
      </c>
      <c r="D89" t="s">
        <v>368</v>
      </c>
      <c r="E89" t="s">
        <v>7</v>
      </c>
      <c r="F89">
        <v>52448420</v>
      </c>
      <c r="G89" s="12">
        <v>41022</v>
      </c>
      <c r="H89" t="s">
        <v>183</v>
      </c>
      <c r="I89" t="s">
        <v>233</v>
      </c>
      <c r="J89" t="s">
        <v>403</v>
      </c>
      <c r="K89" t="s">
        <v>233</v>
      </c>
      <c r="L89" t="s">
        <v>318</v>
      </c>
      <c r="M89" t="s">
        <v>369</v>
      </c>
      <c r="N89" t="s">
        <v>247</v>
      </c>
      <c r="O89" t="s">
        <v>233</v>
      </c>
      <c r="P89" t="s">
        <v>215</v>
      </c>
      <c r="Q89">
        <v>232</v>
      </c>
      <c r="R89">
        <v>193</v>
      </c>
    </row>
    <row r="90" spans="1:18">
      <c r="A90" t="s">
        <v>370</v>
      </c>
      <c r="B90" t="s">
        <v>146</v>
      </c>
      <c r="C90">
        <v>4275</v>
      </c>
      <c r="D90" t="s">
        <v>371</v>
      </c>
      <c r="E90" t="s">
        <v>71</v>
      </c>
      <c r="F90">
        <v>53623848</v>
      </c>
      <c r="G90" s="12">
        <v>41590</v>
      </c>
      <c r="H90" t="s">
        <v>318</v>
      </c>
      <c r="I90" t="s">
        <v>331</v>
      </c>
      <c r="J90" t="s">
        <v>168</v>
      </c>
      <c r="K90" t="s">
        <v>306</v>
      </c>
      <c r="L90" t="s">
        <v>247</v>
      </c>
      <c r="M90" t="s">
        <v>230</v>
      </c>
      <c r="N90" t="s">
        <v>244</v>
      </c>
      <c r="O90" t="s">
        <v>278</v>
      </c>
      <c r="P90" t="s">
        <v>162</v>
      </c>
      <c r="Q90">
        <v>257</v>
      </c>
      <c r="R90">
        <v>197</v>
      </c>
    </row>
    <row r="91" spans="1:18">
      <c r="A91" t="s">
        <v>372</v>
      </c>
      <c r="B91" t="s">
        <v>146</v>
      </c>
      <c r="C91">
        <v>4269</v>
      </c>
      <c r="D91" t="s">
        <v>373</v>
      </c>
      <c r="E91" t="s">
        <v>6</v>
      </c>
      <c r="F91">
        <v>51098290</v>
      </c>
      <c r="G91" s="12">
        <v>40676</v>
      </c>
      <c r="H91" t="s">
        <v>438</v>
      </c>
      <c r="I91" t="s">
        <v>215</v>
      </c>
      <c r="J91" t="s">
        <v>285</v>
      </c>
      <c r="K91" t="s">
        <v>168</v>
      </c>
      <c r="L91" t="s">
        <v>355</v>
      </c>
      <c r="M91" t="s">
        <v>233</v>
      </c>
      <c r="N91" t="s">
        <v>230</v>
      </c>
      <c r="O91" t="s">
        <v>263</v>
      </c>
      <c r="P91" t="s">
        <v>318</v>
      </c>
      <c r="Q91">
        <v>256</v>
      </c>
      <c r="R91">
        <v>211</v>
      </c>
    </row>
    <row r="92" spans="1:18">
      <c r="A92" t="s">
        <v>374</v>
      </c>
      <c r="B92" t="s">
        <v>146</v>
      </c>
      <c r="C92">
        <v>4194</v>
      </c>
      <c r="D92" t="s">
        <v>375</v>
      </c>
      <c r="E92" t="s">
        <v>5</v>
      </c>
      <c r="F92">
        <v>51586146</v>
      </c>
      <c r="G92" s="12">
        <v>40871</v>
      </c>
      <c r="H92" t="s">
        <v>355</v>
      </c>
      <c r="I92" t="s">
        <v>278</v>
      </c>
      <c r="J92" t="s">
        <v>247</v>
      </c>
      <c r="K92" t="s">
        <v>244</v>
      </c>
      <c r="L92" t="s">
        <v>319</v>
      </c>
      <c r="M92" t="s">
        <v>165</v>
      </c>
      <c r="N92" t="s">
        <v>299</v>
      </c>
      <c r="O92" t="s">
        <v>230</v>
      </c>
      <c r="P92" t="s">
        <v>318</v>
      </c>
      <c r="Q92">
        <v>254</v>
      </c>
      <c r="R92">
        <v>213</v>
      </c>
    </row>
    <row r="93" spans="1:18">
      <c r="A93" t="s">
        <v>376</v>
      </c>
      <c r="B93" t="s">
        <v>146</v>
      </c>
      <c r="C93">
        <v>3969</v>
      </c>
      <c r="D93" t="s">
        <v>377</v>
      </c>
      <c r="E93" t="s">
        <v>9</v>
      </c>
      <c r="F93">
        <v>53240593</v>
      </c>
      <c r="G93" s="12">
        <v>41417</v>
      </c>
      <c r="H93" t="s">
        <v>230</v>
      </c>
      <c r="I93" t="s">
        <v>299</v>
      </c>
      <c r="J93" t="s">
        <v>318</v>
      </c>
      <c r="K93" t="s">
        <v>299</v>
      </c>
      <c r="L93" t="s">
        <v>155</v>
      </c>
      <c r="M93" t="s">
        <v>244</v>
      </c>
      <c r="N93" t="s">
        <v>378</v>
      </c>
      <c r="O93" t="s">
        <v>240</v>
      </c>
      <c r="P93" t="s">
        <v>468</v>
      </c>
      <c r="Q93">
        <v>275</v>
      </c>
      <c r="R93">
        <v>215</v>
      </c>
    </row>
    <row r="94" spans="1:18">
      <c r="A94" t="s">
        <v>379</v>
      </c>
      <c r="B94" t="s">
        <v>146</v>
      </c>
      <c r="C94">
        <v>4128</v>
      </c>
      <c r="D94" t="s">
        <v>380</v>
      </c>
      <c r="E94" t="s">
        <v>11</v>
      </c>
      <c r="F94">
        <v>51049537</v>
      </c>
      <c r="G94" s="12">
        <v>40694</v>
      </c>
      <c r="H94" t="s">
        <v>294</v>
      </c>
      <c r="I94" t="s">
        <v>243</v>
      </c>
      <c r="J94" t="s">
        <v>263</v>
      </c>
      <c r="K94" t="s">
        <v>210</v>
      </c>
      <c r="L94" t="s">
        <v>240</v>
      </c>
      <c r="M94" t="s">
        <v>412</v>
      </c>
      <c r="N94" t="s">
        <v>198</v>
      </c>
      <c r="O94" t="s">
        <v>319</v>
      </c>
      <c r="P94" t="s">
        <v>369</v>
      </c>
      <c r="Q94">
        <v>261</v>
      </c>
      <c r="R94">
        <v>215</v>
      </c>
    </row>
    <row r="95" spans="1:18">
      <c r="A95" t="s">
        <v>381</v>
      </c>
      <c r="B95" t="s">
        <v>146</v>
      </c>
      <c r="C95">
        <v>4215</v>
      </c>
      <c r="D95" t="s">
        <v>382</v>
      </c>
      <c r="E95" t="s">
        <v>26</v>
      </c>
      <c r="F95">
        <v>50610292</v>
      </c>
      <c r="G95" s="12">
        <v>40551</v>
      </c>
      <c r="H95" t="s">
        <v>162</v>
      </c>
      <c r="I95" t="s">
        <v>263</v>
      </c>
      <c r="J95" t="s">
        <v>186</v>
      </c>
      <c r="K95" t="s">
        <v>383</v>
      </c>
      <c r="L95" t="s">
        <v>331</v>
      </c>
      <c r="M95" t="s">
        <v>384</v>
      </c>
      <c r="N95" t="s">
        <v>215</v>
      </c>
      <c r="O95" t="s">
        <v>299</v>
      </c>
      <c r="P95" t="s">
        <v>266</v>
      </c>
      <c r="Q95">
        <v>279</v>
      </c>
      <c r="R95">
        <v>219</v>
      </c>
    </row>
    <row r="96" spans="1:18">
      <c r="A96" t="s">
        <v>385</v>
      </c>
      <c r="B96" t="s">
        <v>146</v>
      </c>
      <c r="C96">
        <v>4223</v>
      </c>
      <c r="D96" t="s">
        <v>386</v>
      </c>
      <c r="E96" t="s">
        <v>27</v>
      </c>
      <c r="F96">
        <v>53799215</v>
      </c>
      <c r="G96" s="12">
        <v>41658</v>
      </c>
      <c r="H96" t="s">
        <v>278</v>
      </c>
      <c r="I96" t="s">
        <v>180</v>
      </c>
      <c r="J96" t="s">
        <v>230</v>
      </c>
      <c r="K96" t="s">
        <v>263</v>
      </c>
      <c r="L96" t="s">
        <v>263</v>
      </c>
      <c r="M96" t="s">
        <v>326</v>
      </c>
      <c r="N96" t="s">
        <v>441</v>
      </c>
      <c r="O96" t="s">
        <v>299</v>
      </c>
      <c r="P96" t="s">
        <v>355</v>
      </c>
      <c r="Q96">
        <v>267</v>
      </c>
      <c r="R96">
        <v>220</v>
      </c>
    </row>
    <row r="97" spans="1:18">
      <c r="A97" t="s">
        <v>387</v>
      </c>
      <c r="B97" t="s">
        <v>146</v>
      </c>
      <c r="C97">
        <v>4047</v>
      </c>
      <c r="D97" t="s">
        <v>388</v>
      </c>
      <c r="E97" t="s">
        <v>171</v>
      </c>
      <c r="F97">
        <v>51157369</v>
      </c>
      <c r="G97" s="12">
        <v>40725</v>
      </c>
      <c r="H97" t="s">
        <v>378</v>
      </c>
      <c r="I97" t="s">
        <v>319</v>
      </c>
      <c r="J97" t="s">
        <v>199</v>
      </c>
      <c r="K97" t="s">
        <v>326</v>
      </c>
      <c r="L97" t="s">
        <v>233</v>
      </c>
      <c r="M97" t="s">
        <v>278</v>
      </c>
      <c r="N97" t="s">
        <v>263</v>
      </c>
      <c r="O97" t="s">
        <v>299</v>
      </c>
      <c r="P97" t="s">
        <v>306</v>
      </c>
      <c r="Q97">
        <v>264</v>
      </c>
      <c r="R97">
        <v>221</v>
      </c>
    </row>
    <row r="98" spans="1:18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>
        <v>53204460</v>
      </c>
      <c r="G98" s="12">
        <v>41418</v>
      </c>
      <c r="H98" t="s">
        <v>215</v>
      </c>
      <c r="I98" t="s">
        <v>263</v>
      </c>
      <c r="J98" t="s">
        <v>355</v>
      </c>
      <c r="K98" t="s">
        <v>331</v>
      </c>
      <c r="L98" t="s">
        <v>186</v>
      </c>
      <c r="M98" t="s">
        <v>244</v>
      </c>
      <c r="N98" t="s">
        <v>384</v>
      </c>
      <c r="O98" t="s">
        <v>243</v>
      </c>
      <c r="P98" t="s">
        <v>198</v>
      </c>
      <c r="Q98">
        <v>282</v>
      </c>
      <c r="R98">
        <v>222</v>
      </c>
    </row>
    <row r="99" spans="1:18">
      <c r="A99" t="s">
        <v>391</v>
      </c>
      <c r="B99" t="s">
        <v>146</v>
      </c>
      <c r="C99">
        <v>4130</v>
      </c>
      <c r="D99" t="s">
        <v>392</v>
      </c>
      <c r="E99" t="s">
        <v>5</v>
      </c>
      <c r="F99">
        <v>52454489</v>
      </c>
      <c r="G99" s="12">
        <v>41088</v>
      </c>
      <c r="H99" t="s">
        <v>176</v>
      </c>
      <c r="I99" t="s">
        <v>186</v>
      </c>
      <c r="J99" t="s">
        <v>299</v>
      </c>
      <c r="K99" t="s">
        <v>331</v>
      </c>
      <c r="L99" t="s">
        <v>215</v>
      </c>
      <c r="M99" t="s">
        <v>355</v>
      </c>
      <c r="N99" t="s">
        <v>273</v>
      </c>
      <c r="O99" t="s">
        <v>294</v>
      </c>
      <c r="P99" t="s">
        <v>243</v>
      </c>
      <c r="Q99">
        <v>283</v>
      </c>
      <c r="R99">
        <v>223</v>
      </c>
    </row>
    <row r="100" spans="1:18">
      <c r="A100" t="s">
        <v>393</v>
      </c>
      <c r="B100" t="s">
        <v>146</v>
      </c>
      <c r="C100">
        <v>4243</v>
      </c>
      <c r="D100" t="s">
        <v>394</v>
      </c>
      <c r="E100" t="s">
        <v>22</v>
      </c>
      <c r="F100">
        <v>52448630</v>
      </c>
      <c r="G100" s="12">
        <v>41049</v>
      </c>
      <c r="H100" t="s">
        <v>285</v>
      </c>
      <c r="I100" t="s">
        <v>313</v>
      </c>
      <c r="J100" t="s">
        <v>198</v>
      </c>
      <c r="K100" t="s">
        <v>369</v>
      </c>
      <c r="L100" t="s">
        <v>369</v>
      </c>
      <c r="M100" t="s">
        <v>299</v>
      </c>
      <c r="N100" t="s">
        <v>331</v>
      </c>
      <c r="O100" t="s">
        <v>230</v>
      </c>
      <c r="P100" t="s">
        <v>233</v>
      </c>
      <c r="Q100">
        <v>292</v>
      </c>
      <c r="R100">
        <v>232</v>
      </c>
    </row>
    <row r="101" spans="1:18">
      <c r="A101" t="s">
        <v>395</v>
      </c>
      <c r="B101" t="s">
        <v>146</v>
      </c>
      <c r="C101">
        <v>4038</v>
      </c>
      <c r="D101" t="s">
        <v>396</v>
      </c>
      <c r="E101" t="s">
        <v>17</v>
      </c>
      <c r="F101">
        <v>54116095</v>
      </c>
      <c r="G101" s="12">
        <v>41811</v>
      </c>
      <c r="H101" t="s">
        <v>244</v>
      </c>
      <c r="I101" t="s">
        <v>278</v>
      </c>
      <c r="J101" t="s">
        <v>243</v>
      </c>
      <c r="K101" t="s">
        <v>180</v>
      </c>
      <c r="L101" t="s">
        <v>230</v>
      </c>
      <c r="M101" t="s">
        <v>306</v>
      </c>
      <c r="N101" t="s">
        <v>326</v>
      </c>
      <c r="O101" t="s">
        <v>294</v>
      </c>
      <c r="P101" t="s">
        <v>441</v>
      </c>
      <c r="Q101">
        <v>280</v>
      </c>
      <c r="R101">
        <v>233</v>
      </c>
    </row>
    <row r="102" spans="1:18">
      <c r="A102" t="s">
        <v>397</v>
      </c>
      <c r="B102" t="s">
        <v>146</v>
      </c>
      <c r="C102">
        <v>4140</v>
      </c>
      <c r="D102" t="s">
        <v>398</v>
      </c>
      <c r="E102" t="s">
        <v>16</v>
      </c>
      <c r="F102">
        <v>52029216</v>
      </c>
      <c r="G102" s="12">
        <v>40897</v>
      </c>
      <c r="H102" t="s">
        <v>306</v>
      </c>
      <c r="I102" t="s">
        <v>247</v>
      </c>
      <c r="J102" t="s">
        <v>306</v>
      </c>
      <c r="K102" t="s">
        <v>210</v>
      </c>
      <c r="L102" t="s">
        <v>331</v>
      </c>
      <c r="M102" t="s">
        <v>356</v>
      </c>
      <c r="N102" t="s">
        <v>233</v>
      </c>
      <c r="O102" t="s">
        <v>313</v>
      </c>
      <c r="P102" t="s">
        <v>318</v>
      </c>
      <c r="Q102">
        <v>293</v>
      </c>
      <c r="R102">
        <v>233</v>
      </c>
    </row>
    <row r="103" spans="1:18">
      <c r="A103" t="s">
        <v>399</v>
      </c>
      <c r="B103" t="s">
        <v>146</v>
      </c>
      <c r="C103">
        <v>4290</v>
      </c>
      <c r="D103" t="s">
        <v>400</v>
      </c>
      <c r="E103" t="s">
        <v>5</v>
      </c>
      <c r="F103">
        <v>53761156</v>
      </c>
      <c r="G103" s="12">
        <v>41661</v>
      </c>
      <c r="H103" t="s">
        <v>165</v>
      </c>
      <c r="I103" t="s">
        <v>273</v>
      </c>
      <c r="J103" t="s">
        <v>285</v>
      </c>
      <c r="K103" t="s">
        <v>331</v>
      </c>
      <c r="L103" t="s">
        <v>243</v>
      </c>
      <c r="M103" t="s">
        <v>273</v>
      </c>
      <c r="N103" t="s">
        <v>318</v>
      </c>
      <c r="O103" t="s">
        <v>278</v>
      </c>
      <c r="P103" t="s">
        <v>299</v>
      </c>
      <c r="Q103">
        <v>302</v>
      </c>
      <c r="R103">
        <v>242</v>
      </c>
    </row>
    <row r="104" spans="1:18">
      <c r="A104" t="s">
        <v>401</v>
      </c>
      <c r="B104" t="s">
        <v>146</v>
      </c>
      <c r="C104">
        <v>3989</v>
      </c>
      <c r="D104" t="s">
        <v>402</v>
      </c>
      <c r="E104" t="s">
        <v>8</v>
      </c>
      <c r="F104">
        <v>53801029</v>
      </c>
      <c r="G104" s="12">
        <v>41684</v>
      </c>
      <c r="H104" t="s">
        <v>369</v>
      </c>
      <c r="I104" t="s">
        <v>240</v>
      </c>
      <c r="J104" t="s">
        <v>294</v>
      </c>
      <c r="K104" t="s">
        <v>331</v>
      </c>
      <c r="L104" t="s">
        <v>299</v>
      </c>
      <c r="M104" t="s">
        <v>319</v>
      </c>
      <c r="N104" t="s">
        <v>243</v>
      </c>
      <c r="O104" t="s">
        <v>215</v>
      </c>
      <c r="P104" t="s">
        <v>403</v>
      </c>
      <c r="Q104">
        <v>308</v>
      </c>
      <c r="R104">
        <v>248</v>
      </c>
    </row>
    <row r="105" spans="1:18">
      <c r="A105" t="s">
        <v>404</v>
      </c>
      <c r="B105" t="s">
        <v>146</v>
      </c>
      <c r="C105">
        <v>4043</v>
      </c>
      <c r="D105" t="s">
        <v>405</v>
      </c>
      <c r="E105" t="s">
        <v>10</v>
      </c>
      <c r="F105">
        <v>51261460</v>
      </c>
      <c r="G105" s="12">
        <v>40791</v>
      </c>
      <c r="H105" t="s">
        <v>318</v>
      </c>
      <c r="I105" t="s">
        <v>326</v>
      </c>
      <c r="J105" t="s">
        <v>369</v>
      </c>
      <c r="K105" t="s">
        <v>306</v>
      </c>
      <c r="L105" t="s">
        <v>263</v>
      </c>
      <c r="M105" t="s">
        <v>263</v>
      </c>
      <c r="N105" t="s">
        <v>412</v>
      </c>
      <c r="O105" t="s">
        <v>243</v>
      </c>
      <c r="P105" t="s">
        <v>306</v>
      </c>
      <c r="Q105">
        <v>294</v>
      </c>
      <c r="R105">
        <v>248</v>
      </c>
    </row>
    <row r="106" spans="1:18">
      <c r="A106" t="s">
        <v>406</v>
      </c>
      <c r="B106" t="s">
        <v>146</v>
      </c>
      <c r="C106">
        <v>3767</v>
      </c>
      <c r="D106" t="s">
        <v>407</v>
      </c>
      <c r="E106" t="s">
        <v>11</v>
      </c>
      <c r="F106">
        <v>52585613</v>
      </c>
      <c r="G106" s="12">
        <v>41058</v>
      </c>
      <c r="H106" t="s">
        <v>266</v>
      </c>
      <c r="I106" t="s">
        <v>306</v>
      </c>
      <c r="J106" t="s">
        <v>244</v>
      </c>
      <c r="K106" t="s">
        <v>243</v>
      </c>
      <c r="L106" t="s">
        <v>313</v>
      </c>
      <c r="M106" t="s">
        <v>313</v>
      </c>
      <c r="N106" t="s">
        <v>306</v>
      </c>
      <c r="O106" t="s">
        <v>420</v>
      </c>
      <c r="P106" t="s">
        <v>378</v>
      </c>
      <c r="Q106">
        <v>296</v>
      </c>
      <c r="R106">
        <v>252</v>
      </c>
    </row>
    <row r="107" spans="1:18">
      <c r="A107" t="s">
        <v>408</v>
      </c>
      <c r="B107" t="s">
        <v>146</v>
      </c>
      <c r="C107">
        <v>4064</v>
      </c>
      <c r="D107" t="s">
        <v>409</v>
      </c>
      <c r="E107" t="s">
        <v>23</v>
      </c>
      <c r="F107">
        <v>54297764</v>
      </c>
      <c r="G107" s="12">
        <v>41886</v>
      </c>
      <c r="H107" t="s">
        <v>299</v>
      </c>
      <c r="I107" t="s">
        <v>273</v>
      </c>
      <c r="J107" t="s">
        <v>313</v>
      </c>
      <c r="K107" t="s">
        <v>403</v>
      </c>
      <c r="L107" t="s">
        <v>199</v>
      </c>
      <c r="M107" t="s">
        <v>356</v>
      </c>
      <c r="N107" t="s">
        <v>355</v>
      </c>
      <c r="O107" t="s">
        <v>318</v>
      </c>
      <c r="P107" t="s">
        <v>313</v>
      </c>
      <c r="Q107">
        <v>294</v>
      </c>
      <c r="R107">
        <v>253</v>
      </c>
    </row>
    <row r="108" spans="1:18">
      <c r="A108" t="s">
        <v>410</v>
      </c>
      <c r="B108" t="s">
        <v>146</v>
      </c>
      <c r="C108">
        <v>4163</v>
      </c>
      <c r="D108" t="s">
        <v>411</v>
      </c>
      <c r="E108" t="s">
        <v>171</v>
      </c>
      <c r="F108">
        <v>52764604</v>
      </c>
      <c r="G108" s="12">
        <v>41190</v>
      </c>
      <c r="H108" t="s">
        <v>247</v>
      </c>
      <c r="I108" t="s">
        <v>247</v>
      </c>
      <c r="J108" t="s">
        <v>278</v>
      </c>
      <c r="K108" t="s">
        <v>186</v>
      </c>
      <c r="L108" t="s">
        <v>285</v>
      </c>
      <c r="M108" t="s">
        <v>412</v>
      </c>
      <c r="N108" t="s">
        <v>356</v>
      </c>
      <c r="O108" t="s">
        <v>319</v>
      </c>
      <c r="P108" t="s">
        <v>441</v>
      </c>
      <c r="Q108">
        <v>301</v>
      </c>
      <c r="R108">
        <v>254</v>
      </c>
    </row>
    <row r="109" spans="1:18">
      <c r="A109" t="s">
        <v>413</v>
      </c>
      <c r="B109" t="s">
        <v>146</v>
      </c>
      <c r="C109">
        <v>4226</v>
      </c>
      <c r="D109" t="s">
        <v>414</v>
      </c>
      <c r="E109" t="s">
        <v>21</v>
      </c>
      <c r="F109">
        <v>52854980</v>
      </c>
      <c r="G109" s="12">
        <v>41237</v>
      </c>
      <c r="H109" t="s">
        <v>294</v>
      </c>
      <c r="I109" t="s">
        <v>313</v>
      </c>
      <c r="J109" t="s">
        <v>294</v>
      </c>
      <c r="K109" t="s">
        <v>273</v>
      </c>
      <c r="L109" t="s">
        <v>247</v>
      </c>
      <c r="M109" t="s">
        <v>318</v>
      </c>
      <c r="N109" t="s">
        <v>233</v>
      </c>
      <c r="O109" t="s">
        <v>326</v>
      </c>
      <c r="P109" t="s">
        <v>319</v>
      </c>
      <c r="Q109">
        <v>297</v>
      </c>
      <c r="R109">
        <v>255</v>
      </c>
    </row>
    <row r="110" spans="1:18">
      <c r="A110" t="s">
        <v>415</v>
      </c>
      <c r="B110" t="s">
        <v>146</v>
      </c>
      <c r="C110">
        <v>4157</v>
      </c>
      <c r="D110" t="s">
        <v>416</v>
      </c>
      <c r="E110" t="s">
        <v>417</v>
      </c>
      <c r="F110">
        <v>52964858</v>
      </c>
      <c r="G110" s="12">
        <v>41321</v>
      </c>
      <c r="H110" t="s">
        <v>306</v>
      </c>
      <c r="I110" t="s">
        <v>244</v>
      </c>
      <c r="J110" t="s">
        <v>162</v>
      </c>
      <c r="K110" t="s">
        <v>285</v>
      </c>
      <c r="L110" t="s">
        <v>319</v>
      </c>
      <c r="M110" t="s">
        <v>369</v>
      </c>
      <c r="N110" t="s">
        <v>420</v>
      </c>
      <c r="O110" t="s">
        <v>326</v>
      </c>
      <c r="P110" t="s">
        <v>403</v>
      </c>
      <c r="Q110">
        <v>301</v>
      </c>
      <c r="R110">
        <v>257</v>
      </c>
    </row>
    <row r="111" spans="1:18">
      <c r="A111" t="s">
        <v>418</v>
      </c>
      <c r="B111" t="s">
        <v>146</v>
      </c>
      <c r="C111">
        <v>3718</v>
      </c>
      <c r="D111" t="s">
        <v>419</v>
      </c>
      <c r="E111" t="s">
        <v>8</v>
      </c>
      <c r="F111">
        <v>51193310</v>
      </c>
      <c r="G111" s="12">
        <v>40681</v>
      </c>
      <c r="H111" t="s">
        <v>412</v>
      </c>
      <c r="I111" t="s">
        <v>306</v>
      </c>
      <c r="J111" t="s">
        <v>306</v>
      </c>
      <c r="K111" t="s">
        <v>233</v>
      </c>
      <c r="L111" t="s">
        <v>420</v>
      </c>
      <c r="M111" t="s">
        <v>319</v>
      </c>
      <c r="N111" t="s">
        <v>266</v>
      </c>
      <c r="O111" t="s">
        <v>477</v>
      </c>
      <c r="P111" t="s">
        <v>263</v>
      </c>
      <c r="Q111">
        <v>307</v>
      </c>
      <c r="R111">
        <v>257</v>
      </c>
    </row>
    <row r="112" spans="1:18">
      <c r="A112" t="s">
        <v>421</v>
      </c>
      <c r="B112" t="s">
        <v>146</v>
      </c>
      <c r="C112">
        <v>4098</v>
      </c>
      <c r="D112" t="s">
        <v>422</v>
      </c>
      <c r="E112" t="s">
        <v>67</v>
      </c>
      <c r="F112">
        <v>52958381</v>
      </c>
      <c r="G112" s="12">
        <v>41310</v>
      </c>
      <c r="H112" t="s">
        <v>230</v>
      </c>
      <c r="I112" t="s">
        <v>198</v>
      </c>
      <c r="J112" t="s">
        <v>378</v>
      </c>
      <c r="K112" t="s">
        <v>331</v>
      </c>
      <c r="L112" t="s">
        <v>356</v>
      </c>
      <c r="M112" t="s">
        <v>326</v>
      </c>
      <c r="N112" t="s">
        <v>294</v>
      </c>
      <c r="O112" t="s">
        <v>285</v>
      </c>
      <c r="P112" t="s">
        <v>233</v>
      </c>
      <c r="Q112">
        <v>318</v>
      </c>
      <c r="R112">
        <v>258</v>
      </c>
    </row>
    <row r="113" spans="1:18">
      <c r="A113" t="s">
        <v>423</v>
      </c>
      <c r="B113" t="s">
        <v>146</v>
      </c>
      <c r="C113">
        <v>3903</v>
      </c>
      <c r="D113" t="s">
        <v>424</v>
      </c>
      <c r="E113" t="s">
        <v>10</v>
      </c>
      <c r="F113">
        <v>50901006</v>
      </c>
      <c r="G113" s="12">
        <v>40588</v>
      </c>
      <c r="H113" t="s">
        <v>243</v>
      </c>
      <c r="I113" t="s">
        <v>230</v>
      </c>
      <c r="J113" t="s">
        <v>356</v>
      </c>
      <c r="K113" t="s">
        <v>355</v>
      </c>
      <c r="L113" t="s">
        <v>331</v>
      </c>
      <c r="M113" t="s">
        <v>186</v>
      </c>
      <c r="N113" t="s">
        <v>403</v>
      </c>
      <c r="O113" t="s">
        <v>318</v>
      </c>
      <c r="P113" t="s">
        <v>319</v>
      </c>
      <c r="Q113">
        <v>318</v>
      </c>
      <c r="R113">
        <v>258</v>
      </c>
    </row>
    <row r="114" spans="1:18">
      <c r="A114" t="s">
        <v>425</v>
      </c>
      <c r="B114" t="s">
        <v>146</v>
      </c>
      <c r="C114">
        <v>3920</v>
      </c>
      <c r="D114" t="s">
        <v>426</v>
      </c>
      <c r="E114" t="s">
        <v>33</v>
      </c>
      <c r="F114">
        <v>52364453</v>
      </c>
      <c r="G114" s="12">
        <v>40955</v>
      </c>
      <c r="H114" t="s">
        <v>412</v>
      </c>
      <c r="I114" t="s">
        <v>294</v>
      </c>
      <c r="J114" t="s">
        <v>378</v>
      </c>
      <c r="K114" t="s">
        <v>266</v>
      </c>
      <c r="L114" t="s">
        <v>180</v>
      </c>
      <c r="M114" t="s">
        <v>285</v>
      </c>
      <c r="N114" t="s">
        <v>313</v>
      </c>
      <c r="O114" t="s">
        <v>441</v>
      </c>
      <c r="P114" t="s">
        <v>299</v>
      </c>
      <c r="Q114">
        <v>307</v>
      </c>
      <c r="R114">
        <v>260</v>
      </c>
    </row>
    <row r="115" spans="1:18">
      <c r="A115" t="s">
        <v>427</v>
      </c>
      <c r="B115" t="s">
        <v>146</v>
      </c>
      <c r="C115">
        <v>4107</v>
      </c>
      <c r="D115" t="s">
        <v>428</v>
      </c>
      <c r="E115" t="s">
        <v>63</v>
      </c>
      <c r="F115">
        <v>52305556</v>
      </c>
      <c r="G115" s="12">
        <v>40997</v>
      </c>
      <c r="H115" t="s">
        <v>285</v>
      </c>
      <c r="I115" t="s">
        <v>294</v>
      </c>
      <c r="J115" t="s">
        <v>412</v>
      </c>
      <c r="K115" t="s">
        <v>168</v>
      </c>
      <c r="L115" t="s">
        <v>299</v>
      </c>
      <c r="M115" t="s">
        <v>306</v>
      </c>
      <c r="N115" t="s">
        <v>313</v>
      </c>
      <c r="O115" t="s">
        <v>313</v>
      </c>
      <c r="P115" t="s">
        <v>468</v>
      </c>
      <c r="Q115">
        <v>321</v>
      </c>
      <c r="R115">
        <v>261</v>
      </c>
    </row>
    <row r="116" spans="1:18">
      <c r="A116" t="s">
        <v>429</v>
      </c>
      <c r="B116" t="s">
        <v>146</v>
      </c>
      <c r="C116">
        <v>4018</v>
      </c>
      <c r="D116" t="s">
        <v>430</v>
      </c>
      <c r="E116" t="s">
        <v>17</v>
      </c>
      <c r="F116">
        <v>51012774</v>
      </c>
      <c r="G116" s="12">
        <v>40586</v>
      </c>
      <c r="H116" t="s">
        <v>233</v>
      </c>
      <c r="I116" t="s">
        <v>412</v>
      </c>
      <c r="J116" t="s">
        <v>369</v>
      </c>
      <c r="K116" t="s">
        <v>468</v>
      </c>
      <c r="L116" t="s">
        <v>384</v>
      </c>
      <c r="M116" t="s">
        <v>355</v>
      </c>
      <c r="N116" t="s">
        <v>266</v>
      </c>
      <c r="O116" t="s">
        <v>168</v>
      </c>
      <c r="P116" t="s">
        <v>240</v>
      </c>
      <c r="Q116">
        <v>322</v>
      </c>
      <c r="R116">
        <v>262</v>
      </c>
    </row>
    <row r="117" spans="1:18">
      <c r="A117" t="s">
        <v>431</v>
      </c>
      <c r="B117" t="s">
        <v>146</v>
      </c>
      <c r="C117">
        <v>4085</v>
      </c>
      <c r="D117" t="s">
        <v>432</v>
      </c>
      <c r="E117" t="s">
        <v>21</v>
      </c>
      <c r="F117">
        <v>53087006</v>
      </c>
      <c r="G117" s="12">
        <v>41308</v>
      </c>
      <c r="H117" t="s">
        <v>318</v>
      </c>
      <c r="I117" t="s">
        <v>313</v>
      </c>
      <c r="J117" t="s">
        <v>306</v>
      </c>
      <c r="K117" t="s">
        <v>318</v>
      </c>
      <c r="L117" t="s">
        <v>313</v>
      </c>
      <c r="M117" t="s">
        <v>318</v>
      </c>
      <c r="N117" t="s">
        <v>356</v>
      </c>
      <c r="O117" t="s">
        <v>369</v>
      </c>
      <c r="P117" t="s">
        <v>273</v>
      </c>
      <c r="Q117">
        <v>306</v>
      </c>
      <c r="R117">
        <v>266</v>
      </c>
    </row>
    <row r="118" spans="1:18">
      <c r="A118" t="s">
        <v>433</v>
      </c>
      <c r="B118" t="s">
        <v>146</v>
      </c>
      <c r="C118">
        <v>3527</v>
      </c>
      <c r="D118" t="s">
        <v>434</v>
      </c>
      <c r="E118" t="s">
        <v>26</v>
      </c>
      <c r="F118">
        <v>52703564</v>
      </c>
      <c r="G118" s="12">
        <v>41158</v>
      </c>
      <c r="H118" t="s">
        <v>435</v>
      </c>
      <c r="I118" t="s">
        <v>294</v>
      </c>
      <c r="J118" t="s">
        <v>198</v>
      </c>
      <c r="K118" t="s">
        <v>331</v>
      </c>
      <c r="L118" t="s">
        <v>403</v>
      </c>
      <c r="M118" t="s">
        <v>420</v>
      </c>
      <c r="N118" t="s">
        <v>230</v>
      </c>
      <c r="O118" t="s">
        <v>306</v>
      </c>
      <c r="P118" t="s">
        <v>247</v>
      </c>
      <c r="Q118">
        <v>332</v>
      </c>
      <c r="R118">
        <v>272</v>
      </c>
    </row>
    <row r="119" spans="1:18">
      <c r="A119" t="s">
        <v>436</v>
      </c>
      <c r="B119" t="s">
        <v>146</v>
      </c>
      <c r="C119">
        <v>4276</v>
      </c>
      <c r="D119" t="s">
        <v>437</v>
      </c>
      <c r="E119" t="s">
        <v>5</v>
      </c>
      <c r="F119">
        <v>54892590</v>
      </c>
      <c r="G119" s="12">
        <v>42157</v>
      </c>
      <c r="H119" t="s">
        <v>266</v>
      </c>
      <c r="I119" t="s">
        <v>356</v>
      </c>
      <c r="J119" t="s">
        <v>441</v>
      </c>
      <c r="K119" t="s">
        <v>266</v>
      </c>
      <c r="L119" t="s">
        <v>278</v>
      </c>
      <c r="M119" t="s">
        <v>278</v>
      </c>
      <c r="N119" t="s">
        <v>378</v>
      </c>
      <c r="O119" t="s">
        <v>326</v>
      </c>
      <c r="P119" t="s">
        <v>438</v>
      </c>
      <c r="Q119">
        <v>319</v>
      </c>
      <c r="R119">
        <v>272</v>
      </c>
    </row>
    <row r="120" spans="1:18">
      <c r="A120" t="s">
        <v>439</v>
      </c>
      <c r="B120" t="s">
        <v>146</v>
      </c>
      <c r="C120">
        <v>3935</v>
      </c>
      <c r="D120" t="s">
        <v>440</v>
      </c>
      <c r="E120" t="s">
        <v>27</v>
      </c>
      <c r="F120">
        <v>51505113</v>
      </c>
      <c r="G120" s="12">
        <v>40852</v>
      </c>
      <c r="H120" t="s">
        <v>441</v>
      </c>
      <c r="I120" t="s">
        <v>403</v>
      </c>
      <c r="J120" t="s">
        <v>244</v>
      </c>
      <c r="K120" t="s">
        <v>332</v>
      </c>
      <c r="L120" t="s">
        <v>313</v>
      </c>
      <c r="M120" t="s">
        <v>278</v>
      </c>
      <c r="N120" t="s">
        <v>355</v>
      </c>
      <c r="O120" t="s">
        <v>198</v>
      </c>
      <c r="P120" t="s">
        <v>420</v>
      </c>
      <c r="Q120">
        <v>334</v>
      </c>
      <c r="R120">
        <v>274</v>
      </c>
    </row>
    <row r="121" spans="1:18">
      <c r="A121" t="s">
        <v>442</v>
      </c>
      <c r="B121" t="s">
        <v>146</v>
      </c>
      <c r="C121">
        <v>4202</v>
      </c>
      <c r="D121" t="s">
        <v>443</v>
      </c>
      <c r="E121" t="s">
        <v>22</v>
      </c>
      <c r="F121">
        <v>53690319</v>
      </c>
      <c r="G121" s="12">
        <v>41434</v>
      </c>
      <c r="H121" t="s">
        <v>355</v>
      </c>
      <c r="I121" t="s">
        <v>444</v>
      </c>
      <c r="J121" t="s">
        <v>468</v>
      </c>
      <c r="K121" t="s">
        <v>168</v>
      </c>
      <c r="L121" t="s">
        <v>299</v>
      </c>
      <c r="M121" t="s">
        <v>244</v>
      </c>
      <c r="N121" t="s">
        <v>285</v>
      </c>
      <c r="O121" t="s">
        <v>403</v>
      </c>
      <c r="P121" t="s">
        <v>318</v>
      </c>
      <c r="Q121">
        <v>336</v>
      </c>
      <c r="R121">
        <v>276</v>
      </c>
    </row>
    <row r="122" spans="1:18">
      <c r="A122" t="s">
        <v>445</v>
      </c>
      <c r="B122" t="s">
        <v>146</v>
      </c>
      <c r="C122">
        <v>3583</v>
      </c>
      <c r="D122" t="s">
        <v>446</v>
      </c>
      <c r="E122" t="s">
        <v>9</v>
      </c>
      <c r="F122">
        <v>52827436</v>
      </c>
      <c r="G122" s="12">
        <v>41243</v>
      </c>
      <c r="H122" t="s">
        <v>263</v>
      </c>
      <c r="I122" t="s">
        <v>273</v>
      </c>
      <c r="J122" t="s">
        <v>273</v>
      </c>
      <c r="K122" t="s">
        <v>294</v>
      </c>
      <c r="L122" t="s">
        <v>306</v>
      </c>
      <c r="M122" t="s">
        <v>299</v>
      </c>
      <c r="N122" t="s">
        <v>378</v>
      </c>
      <c r="O122" t="s">
        <v>490</v>
      </c>
      <c r="P122" t="s">
        <v>355</v>
      </c>
      <c r="Q122">
        <v>336</v>
      </c>
      <c r="R122">
        <v>280</v>
      </c>
    </row>
    <row r="123" spans="1:18">
      <c r="A123" t="s">
        <v>447</v>
      </c>
      <c r="B123" t="s">
        <v>146</v>
      </c>
      <c r="C123">
        <v>4191</v>
      </c>
      <c r="D123" t="s">
        <v>448</v>
      </c>
      <c r="E123" t="s">
        <v>5</v>
      </c>
      <c r="F123">
        <v>52790163</v>
      </c>
      <c r="G123" s="12">
        <v>41184</v>
      </c>
      <c r="H123" t="s">
        <v>326</v>
      </c>
      <c r="I123" t="s">
        <v>369</v>
      </c>
      <c r="J123" t="s">
        <v>313</v>
      </c>
      <c r="K123" t="s">
        <v>438</v>
      </c>
      <c r="L123" t="s">
        <v>356</v>
      </c>
      <c r="M123" t="s">
        <v>403</v>
      </c>
      <c r="N123" t="s">
        <v>263</v>
      </c>
      <c r="O123" t="s">
        <v>403</v>
      </c>
      <c r="P123" t="s">
        <v>313</v>
      </c>
      <c r="Q123">
        <v>325</v>
      </c>
      <c r="R123">
        <v>280</v>
      </c>
    </row>
    <row r="124" spans="1:18">
      <c r="A124" t="s">
        <v>449</v>
      </c>
      <c r="B124" t="s">
        <v>146</v>
      </c>
      <c r="C124">
        <v>3327</v>
      </c>
      <c r="D124" t="s">
        <v>450</v>
      </c>
      <c r="E124" t="s">
        <v>63</v>
      </c>
      <c r="F124">
        <v>53090658</v>
      </c>
      <c r="G124" s="12">
        <v>41435</v>
      </c>
      <c r="H124" t="s">
        <v>356</v>
      </c>
      <c r="I124" t="s">
        <v>263</v>
      </c>
      <c r="J124" t="s">
        <v>451</v>
      </c>
      <c r="K124" t="s">
        <v>198</v>
      </c>
      <c r="L124" t="s">
        <v>331</v>
      </c>
      <c r="M124" t="s">
        <v>243</v>
      </c>
      <c r="N124" t="s">
        <v>438</v>
      </c>
      <c r="O124" t="s">
        <v>403</v>
      </c>
      <c r="P124" t="s">
        <v>420</v>
      </c>
      <c r="Q124">
        <v>346</v>
      </c>
      <c r="R124">
        <v>286</v>
      </c>
    </row>
    <row r="125" spans="1:18">
      <c r="A125" t="s">
        <v>452</v>
      </c>
      <c r="B125" t="s">
        <v>146</v>
      </c>
      <c r="C125">
        <v>4143</v>
      </c>
      <c r="D125" t="s">
        <v>453</v>
      </c>
      <c r="E125" t="s">
        <v>454</v>
      </c>
      <c r="F125">
        <v>53274297</v>
      </c>
      <c r="G125" s="12">
        <v>41418</v>
      </c>
      <c r="H125" t="s">
        <v>273</v>
      </c>
      <c r="I125" t="s">
        <v>420</v>
      </c>
      <c r="J125" t="s">
        <v>412</v>
      </c>
      <c r="K125" t="s">
        <v>537</v>
      </c>
      <c r="L125" t="s">
        <v>451</v>
      </c>
      <c r="M125" t="s">
        <v>176</v>
      </c>
      <c r="N125" t="s">
        <v>299</v>
      </c>
      <c r="O125" t="s">
        <v>306</v>
      </c>
      <c r="P125" t="s">
        <v>285</v>
      </c>
      <c r="Q125">
        <v>348</v>
      </c>
      <c r="R125">
        <v>288</v>
      </c>
    </row>
    <row r="126" spans="1:18">
      <c r="A126" t="s">
        <v>455</v>
      </c>
      <c r="B126" t="s">
        <v>146</v>
      </c>
      <c r="C126">
        <v>4190</v>
      </c>
      <c r="D126" t="s">
        <v>456</v>
      </c>
      <c r="E126" t="s">
        <v>5</v>
      </c>
      <c r="F126">
        <v>51358936</v>
      </c>
      <c r="G126" s="12">
        <v>40770</v>
      </c>
      <c r="H126" t="s">
        <v>306</v>
      </c>
      <c r="I126" t="s">
        <v>318</v>
      </c>
      <c r="J126" t="s">
        <v>263</v>
      </c>
      <c r="K126" t="s">
        <v>420</v>
      </c>
      <c r="L126" t="s">
        <v>378</v>
      </c>
      <c r="M126" t="s">
        <v>383</v>
      </c>
      <c r="N126" t="s">
        <v>306</v>
      </c>
      <c r="O126" t="s">
        <v>273</v>
      </c>
      <c r="P126" t="s">
        <v>438</v>
      </c>
      <c r="Q126">
        <v>338</v>
      </c>
      <c r="R126">
        <v>289</v>
      </c>
    </row>
    <row r="127" spans="1:18">
      <c r="A127" t="s">
        <v>457</v>
      </c>
      <c r="B127" t="s">
        <v>146</v>
      </c>
      <c r="C127">
        <v>3866</v>
      </c>
      <c r="D127" t="s">
        <v>458</v>
      </c>
      <c r="E127" t="s">
        <v>17</v>
      </c>
      <c r="F127">
        <v>53774618</v>
      </c>
      <c r="G127" s="12">
        <v>41645</v>
      </c>
      <c r="H127" t="s">
        <v>243</v>
      </c>
      <c r="I127" t="s">
        <v>441</v>
      </c>
      <c r="J127" t="s">
        <v>438</v>
      </c>
      <c r="K127" t="s">
        <v>243</v>
      </c>
      <c r="L127" t="s">
        <v>230</v>
      </c>
      <c r="M127" t="s">
        <v>273</v>
      </c>
      <c r="N127" t="s">
        <v>403</v>
      </c>
      <c r="O127" t="s">
        <v>412</v>
      </c>
      <c r="P127" t="s">
        <v>326</v>
      </c>
      <c r="Q127">
        <v>338</v>
      </c>
      <c r="R127">
        <v>291</v>
      </c>
    </row>
    <row r="128" spans="1:18">
      <c r="A128" t="s">
        <v>459</v>
      </c>
      <c r="B128" t="s">
        <v>146</v>
      </c>
      <c r="C128">
        <v>3885</v>
      </c>
      <c r="D128" t="s">
        <v>460</v>
      </c>
      <c r="E128" t="s">
        <v>21</v>
      </c>
      <c r="F128">
        <v>53084239</v>
      </c>
      <c r="G128" s="12">
        <v>41314</v>
      </c>
      <c r="H128" t="s">
        <v>441</v>
      </c>
      <c r="I128" t="s">
        <v>318</v>
      </c>
      <c r="J128" t="s">
        <v>420</v>
      </c>
      <c r="K128" t="s">
        <v>451</v>
      </c>
      <c r="L128" t="s">
        <v>493</v>
      </c>
      <c r="M128" t="s">
        <v>266</v>
      </c>
      <c r="N128" t="s">
        <v>306</v>
      </c>
      <c r="O128" t="s">
        <v>319</v>
      </c>
      <c r="P128" t="s">
        <v>244</v>
      </c>
      <c r="Q128">
        <v>348</v>
      </c>
      <c r="R128">
        <v>293</v>
      </c>
    </row>
    <row r="129" spans="1:18">
      <c r="A129" t="s">
        <v>461</v>
      </c>
      <c r="B129" t="s">
        <v>146</v>
      </c>
      <c r="C129">
        <v>4138</v>
      </c>
      <c r="D129" t="s">
        <v>462</v>
      </c>
      <c r="E129" t="s">
        <v>463</v>
      </c>
      <c r="F129">
        <v>52325904</v>
      </c>
      <c r="G129" s="12">
        <v>41116</v>
      </c>
      <c r="H129" t="s">
        <v>435</v>
      </c>
      <c r="I129" t="s">
        <v>369</v>
      </c>
      <c r="J129" t="s">
        <v>244</v>
      </c>
      <c r="K129" t="s">
        <v>444</v>
      </c>
      <c r="L129" t="s">
        <v>210</v>
      </c>
      <c r="M129" t="s">
        <v>168</v>
      </c>
      <c r="N129" t="s">
        <v>331</v>
      </c>
      <c r="O129" t="s">
        <v>451</v>
      </c>
      <c r="P129" t="s">
        <v>403</v>
      </c>
      <c r="Q129">
        <v>356</v>
      </c>
      <c r="R129">
        <v>296</v>
      </c>
    </row>
    <row r="130" spans="1:18">
      <c r="A130" t="s">
        <v>464</v>
      </c>
      <c r="B130" t="s">
        <v>146</v>
      </c>
      <c r="C130">
        <v>3970</v>
      </c>
      <c r="D130" t="s">
        <v>465</v>
      </c>
      <c r="E130" t="s">
        <v>21</v>
      </c>
      <c r="F130">
        <v>52441977</v>
      </c>
      <c r="G130" s="12">
        <v>40998</v>
      </c>
      <c r="H130" t="s">
        <v>294</v>
      </c>
      <c r="I130" t="s">
        <v>244</v>
      </c>
      <c r="J130" t="s">
        <v>441</v>
      </c>
      <c r="K130" t="s">
        <v>319</v>
      </c>
      <c r="L130" t="s">
        <v>266</v>
      </c>
      <c r="M130" t="s">
        <v>403</v>
      </c>
      <c r="N130" t="s">
        <v>468</v>
      </c>
      <c r="O130" t="s">
        <v>383</v>
      </c>
      <c r="P130" t="s">
        <v>378</v>
      </c>
      <c r="Q130">
        <v>360</v>
      </c>
      <c r="R130">
        <v>300</v>
      </c>
    </row>
    <row r="131" spans="1:18">
      <c r="A131" t="s">
        <v>466</v>
      </c>
      <c r="B131" t="s">
        <v>146</v>
      </c>
      <c r="C131">
        <v>4054</v>
      </c>
      <c r="D131" t="s">
        <v>467</v>
      </c>
      <c r="E131" t="s">
        <v>171</v>
      </c>
      <c r="F131">
        <v>53285019</v>
      </c>
      <c r="G131" s="12">
        <v>41412</v>
      </c>
      <c r="H131" t="s">
        <v>326</v>
      </c>
      <c r="I131" t="s">
        <v>438</v>
      </c>
      <c r="J131" t="s">
        <v>278</v>
      </c>
      <c r="K131" t="s">
        <v>378</v>
      </c>
      <c r="L131" t="s">
        <v>247</v>
      </c>
      <c r="M131" t="s">
        <v>468</v>
      </c>
      <c r="N131" t="s">
        <v>468</v>
      </c>
      <c r="O131" t="s">
        <v>318</v>
      </c>
      <c r="P131" t="s">
        <v>244</v>
      </c>
      <c r="Q131">
        <v>363</v>
      </c>
      <c r="R131">
        <v>303</v>
      </c>
    </row>
    <row r="132" spans="1:18">
      <c r="A132" t="s">
        <v>469</v>
      </c>
      <c r="B132" t="s">
        <v>146</v>
      </c>
      <c r="C132">
        <v>4239</v>
      </c>
      <c r="D132" t="s">
        <v>470</v>
      </c>
      <c r="E132" t="s">
        <v>5</v>
      </c>
      <c r="F132">
        <v>51269548</v>
      </c>
      <c r="G132" s="12">
        <v>40733</v>
      </c>
      <c r="H132" t="s">
        <v>412</v>
      </c>
      <c r="I132" t="s">
        <v>356</v>
      </c>
      <c r="J132" t="s">
        <v>294</v>
      </c>
      <c r="K132" t="s">
        <v>326</v>
      </c>
      <c r="L132" t="s">
        <v>331</v>
      </c>
      <c r="M132" t="s">
        <v>378</v>
      </c>
      <c r="N132" t="s">
        <v>369</v>
      </c>
      <c r="O132" t="s">
        <v>244</v>
      </c>
      <c r="P132" t="s">
        <v>313</v>
      </c>
      <c r="Q132">
        <v>363</v>
      </c>
      <c r="R132">
        <v>303</v>
      </c>
    </row>
    <row r="133" spans="1:18">
      <c r="A133" t="s">
        <v>471</v>
      </c>
      <c r="B133" t="s">
        <v>146</v>
      </c>
      <c r="C133">
        <v>4264</v>
      </c>
      <c r="D133" t="s">
        <v>472</v>
      </c>
      <c r="E133" t="s">
        <v>17</v>
      </c>
      <c r="F133">
        <v>52373551</v>
      </c>
      <c r="G133" s="12">
        <v>41007</v>
      </c>
      <c r="H133" t="s">
        <v>384</v>
      </c>
      <c r="I133" t="s">
        <v>326</v>
      </c>
      <c r="J133" t="s">
        <v>273</v>
      </c>
      <c r="K133" t="s">
        <v>478</v>
      </c>
      <c r="L133" t="s">
        <v>441</v>
      </c>
      <c r="M133" t="s">
        <v>168</v>
      </c>
      <c r="N133" t="s">
        <v>318</v>
      </c>
      <c r="O133" t="s">
        <v>285</v>
      </c>
      <c r="P133" t="s">
        <v>438</v>
      </c>
      <c r="Q133">
        <v>359</v>
      </c>
      <c r="R133">
        <v>306</v>
      </c>
    </row>
    <row r="134" spans="1:18">
      <c r="A134" t="s">
        <v>473</v>
      </c>
      <c r="B134" t="s">
        <v>146</v>
      </c>
      <c r="C134">
        <v>3739</v>
      </c>
      <c r="D134" t="s">
        <v>474</v>
      </c>
      <c r="E134" t="s">
        <v>7</v>
      </c>
      <c r="F134">
        <v>27658632</v>
      </c>
      <c r="G134" s="12">
        <v>41301</v>
      </c>
      <c r="H134" t="s">
        <v>403</v>
      </c>
      <c r="I134" t="s">
        <v>403</v>
      </c>
      <c r="J134" t="s">
        <v>247</v>
      </c>
      <c r="K134" t="s">
        <v>319</v>
      </c>
      <c r="L134" t="s">
        <v>412</v>
      </c>
      <c r="M134" t="s">
        <v>384</v>
      </c>
      <c r="N134" t="s">
        <v>273</v>
      </c>
      <c r="O134" t="s">
        <v>273</v>
      </c>
      <c r="P134" t="s">
        <v>468</v>
      </c>
      <c r="Q134">
        <v>368</v>
      </c>
      <c r="R134">
        <v>308</v>
      </c>
    </row>
    <row r="135" spans="1:18">
      <c r="A135" t="s">
        <v>475</v>
      </c>
      <c r="B135" t="s">
        <v>146</v>
      </c>
      <c r="C135">
        <v>4091</v>
      </c>
      <c r="D135" t="s">
        <v>476</v>
      </c>
      <c r="E135" t="s">
        <v>5</v>
      </c>
      <c r="F135">
        <v>51069814</v>
      </c>
      <c r="G135" s="12">
        <v>40635</v>
      </c>
      <c r="H135" t="s">
        <v>383</v>
      </c>
      <c r="I135" t="s">
        <v>477</v>
      </c>
      <c r="J135" t="s">
        <v>478</v>
      </c>
      <c r="K135" t="s">
        <v>537</v>
      </c>
      <c r="L135" t="s">
        <v>383</v>
      </c>
      <c r="M135" t="s">
        <v>186</v>
      </c>
      <c r="N135" t="s">
        <v>244</v>
      </c>
      <c r="O135" t="s">
        <v>294</v>
      </c>
      <c r="P135" t="s">
        <v>243</v>
      </c>
      <c r="Q135">
        <v>374</v>
      </c>
      <c r="R135">
        <v>314</v>
      </c>
    </row>
    <row r="136" spans="1:18">
      <c r="A136" t="s">
        <v>479</v>
      </c>
      <c r="B136" t="s">
        <v>146</v>
      </c>
      <c r="C136">
        <v>4183</v>
      </c>
      <c r="D136" t="s">
        <v>480</v>
      </c>
      <c r="E136" t="s">
        <v>39</v>
      </c>
      <c r="F136">
        <v>53583314</v>
      </c>
      <c r="G136" s="12">
        <v>41554</v>
      </c>
      <c r="H136" t="s">
        <v>273</v>
      </c>
      <c r="I136" t="s">
        <v>444</v>
      </c>
      <c r="J136" t="s">
        <v>285</v>
      </c>
      <c r="K136" t="s">
        <v>420</v>
      </c>
      <c r="L136" t="s">
        <v>326</v>
      </c>
      <c r="M136" t="s">
        <v>378</v>
      </c>
      <c r="N136" t="s">
        <v>403</v>
      </c>
      <c r="O136" t="s">
        <v>233</v>
      </c>
      <c r="P136" t="s">
        <v>468</v>
      </c>
      <c r="Q136">
        <v>375</v>
      </c>
      <c r="R136">
        <v>315</v>
      </c>
    </row>
    <row r="137" spans="1:18">
      <c r="A137" t="s">
        <v>481</v>
      </c>
      <c r="B137" t="s">
        <v>146</v>
      </c>
      <c r="C137">
        <v>3808</v>
      </c>
      <c r="D137" t="s">
        <v>482</v>
      </c>
      <c r="E137" t="s">
        <v>8</v>
      </c>
      <c r="F137">
        <v>51324832</v>
      </c>
      <c r="G137" s="12">
        <v>40737</v>
      </c>
      <c r="H137" t="s">
        <v>273</v>
      </c>
      <c r="I137" t="s">
        <v>326</v>
      </c>
      <c r="J137" t="s">
        <v>384</v>
      </c>
      <c r="K137" t="s">
        <v>369</v>
      </c>
      <c r="L137" t="s">
        <v>369</v>
      </c>
      <c r="M137" t="s">
        <v>294</v>
      </c>
      <c r="N137" t="s">
        <v>403</v>
      </c>
      <c r="O137" t="s">
        <v>273</v>
      </c>
      <c r="P137" t="s">
        <v>468</v>
      </c>
      <c r="Q137">
        <v>375</v>
      </c>
      <c r="R137">
        <v>315</v>
      </c>
    </row>
    <row r="138" spans="1:18">
      <c r="A138" t="s">
        <v>483</v>
      </c>
      <c r="B138" t="s">
        <v>146</v>
      </c>
      <c r="C138">
        <v>4186</v>
      </c>
      <c r="D138" t="s">
        <v>484</v>
      </c>
      <c r="E138" t="s">
        <v>16</v>
      </c>
      <c r="F138">
        <v>50837734</v>
      </c>
      <c r="G138" s="12">
        <v>40577</v>
      </c>
      <c r="H138" t="s">
        <v>355</v>
      </c>
      <c r="I138" t="s">
        <v>378</v>
      </c>
      <c r="J138" t="s">
        <v>420</v>
      </c>
      <c r="K138" t="s">
        <v>384</v>
      </c>
      <c r="L138" t="s">
        <v>451</v>
      </c>
      <c r="M138" t="s">
        <v>378</v>
      </c>
      <c r="N138" t="s">
        <v>319</v>
      </c>
      <c r="O138" t="s">
        <v>378</v>
      </c>
      <c r="P138" t="s">
        <v>186</v>
      </c>
      <c r="Q138">
        <v>367</v>
      </c>
      <c r="R138">
        <v>316</v>
      </c>
    </row>
    <row r="139" spans="1:18">
      <c r="A139" t="s">
        <v>485</v>
      </c>
      <c r="B139" t="s">
        <v>146</v>
      </c>
      <c r="C139">
        <v>4249</v>
      </c>
      <c r="D139" t="s">
        <v>486</v>
      </c>
      <c r="E139" t="s">
        <v>487</v>
      </c>
      <c r="F139">
        <v>51339874</v>
      </c>
      <c r="G139" s="12">
        <v>40845</v>
      </c>
      <c r="H139" t="s">
        <v>441</v>
      </c>
      <c r="I139" t="s">
        <v>412</v>
      </c>
      <c r="J139" t="s">
        <v>319</v>
      </c>
      <c r="K139" t="s">
        <v>420</v>
      </c>
      <c r="L139" t="s">
        <v>244</v>
      </c>
      <c r="M139" t="s">
        <v>441</v>
      </c>
      <c r="N139" t="s">
        <v>313</v>
      </c>
      <c r="O139" t="s">
        <v>435</v>
      </c>
      <c r="P139" t="s">
        <v>403</v>
      </c>
      <c r="Q139">
        <v>370</v>
      </c>
      <c r="R139">
        <v>316</v>
      </c>
    </row>
    <row r="140" spans="1:18">
      <c r="A140" t="s">
        <v>488</v>
      </c>
      <c r="B140" t="s">
        <v>146</v>
      </c>
      <c r="C140">
        <v>3688</v>
      </c>
      <c r="D140" t="s">
        <v>489</v>
      </c>
      <c r="E140" t="s">
        <v>26</v>
      </c>
      <c r="F140">
        <v>53242979</v>
      </c>
      <c r="G140" s="12">
        <v>41398</v>
      </c>
      <c r="H140" t="s">
        <v>318</v>
      </c>
      <c r="I140" t="s">
        <v>319</v>
      </c>
      <c r="J140" t="s">
        <v>490</v>
      </c>
      <c r="K140" t="s">
        <v>318</v>
      </c>
      <c r="L140" t="s">
        <v>243</v>
      </c>
      <c r="M140" t="s">
        <v>444</v>
      </c>
      <c r="N140" t="s">
        <v>451</v>
      </c>
      <c r="O140" t="s">
        <v>356</v>
      </c>
      <c r="P140" t="s">
        <v>468</v>
      </c>
      <c r="Q140">
        <v>386</v>
      </c>
      <c r="R140">
        <v>326</v>
      </c>
    </row>
    <row r="141" spans="1:18">
      <c r="A141" t="s">
        <v>491</v>
      </c>
      <c r="B141" t="s">
        <v>146</v>
      </c>
      <c r="C141">
        <v>3849</v>
      </c>
      <c r="D141" t="s">
        <v>492</v>
      </c>
      <c r="E141" t="s">
        <v>8</v>
      </c>
      <c r="F141">
        <v>52636932</v>
      </c>
      <c r="G141" s="12">
        <v>41120</v>
      </c>
      <c r="H141" t="s">
        <v>299</v>
      </c>
      <c r="I141" t="s">
        <v>438</v>
      </c>
      <c r="J141" t="s">
        <v>210</v>
      </c>
      <c r="K141" t="s">
        <v>247</v>
      </c>
      <c r="L141" t="s">
        <v>493</v>
      </c>
      <c r="M141" t="s">
        <v>444</v>
      </c>
      <c r="N141" t="s">
        <v>468</v>
      </c>
      <c r="O141" t="s">
        <v>378</v>
      </c>
      <c r="P141" t="s">
        <v>468</v>
      </c>
      <c r="Q141">
        <v>387</v>
      </c>
      <c r="R141">
        <v>327</v>
      </c>
    </row>
    <row r="142" spans="1:18">
      <c r="A142" t="s">
        <v>494</v>
      </c>
      <c r="B142" t="s">
        <v>146</v>
      </c>
      <c r="C142">
        <v>4048</v>
      </c>
      <c r="D142" t="s">
        <v>495</v>
      </c>
      <c r="E142" t="s">
        <v>21</v>
      </c>
      <c r="F142">
        <v>53240699</v>
      </c>
      <c r="G142" s="12">
        <v>41423</v>
      </c>
      <c r="H142" t="s">
        <v>441</v>
      </c>
      <c r="I142" t="s">
        <v>384</v>
      </c>
      <c r="J142" t="s">
        <v>369</v>
      </c>
      <c r="K142" t="s">
        <v>403</v>
      </c>
      <c r="L142" t="s">
        <v>331</v>
      </c>
      <c r="M142" t="s">
        <v>243</v>
      </c>
      <c r="N142" t="s">
        <v>285</v>
      </c>
      <c r="O142" t="s">
        <v>285</v>
      </c>
      <c r="P142" t="s">
        <v>468</v>
      </c>
      <c r="Q142">
        <v>390</v>
      </c>
      <c r="R142">
        <v>330</v>
      </c>
    </row>
    <row r="143" spans="1:18">
      <c r="A143" t="s">
        <v>496</v>
      </c>
      <c r="B143" t="s">
        <v>146</v>
      </c>
      <c r="C143">
        <v>4087</v>
      </c>
      <c r="D143" t="s">
        <v>497</v>
      </c>
      <c r="E143" t="s">
        <v>33</v>
      </c>
      <c r="F143">
        <v>52906229</v>
      </c>
      <c r="G143" s="12">
        <v>41279</v>
      </c>
      <c r="H143" t="s">
        <v>420</v>
      </c>
      <c r="I143" t="s">
        <v>331</v>
      </c>
      <c r="J143" t="s">
        <v>478</v>
      </c>
      <c r="K143" t="s">
        <v>294</v>
      </c>
      <c r="L143" t="s">
        <v>356</v>
      </c>
      <c r="M143" t="s">
        <v>318</v>
      </c>
      <c r="N143" t="s">
        <v>378</v>
      </c>
      <c r="O143" t="s">
        <v>355</v>
      </c>
      <c r="P143" t="s">
        <v>326</v>
      </c>
      <c r="Q143">
        <v>391</v>
      </c>
      <c r="R143">
        <v>331</v>
      </c>
    </row>
    <row r="144" spans="1:18">
      <c r="A144" t="s">
        <v>498</v>
      </c>
      <c r="B144" t="s">
        <v>146</v>
      </c>
      <c r="C144">
        <v>4232</v>
      </c>
      <c r="D144" t="s">
        <v>499</v>
      </c>
      <c r="E144" t="s">
        <v>500</v>
      </c>
      <c r="F144">
        <v>54602290</v>
      </c>
      <c r="G144" s="12">
        <v>42135</v>
      </c>
      <c r="H144" t="s">
        <v>383</v>
      </c>
      <c r="I144" t="s">
        <v>444</v>
      </c>
      <c r="J144" t="s">
        <v>331</v>
      </c>
      <c r="K144" t="s">
        <v>247</v>
      </c>
      <c r="L144" t="s">
        <v>159</v>
      </c>
      <c r="M144" t="s">
        <v>384</v>
      </c>
      <c r="N144" t="s">
        <v>477</v>
      </c>
      <c r="O144" t="s">
        <v>383</v>
      </c>
      <c r="P144" t="s">
        <v>384</v>
      </c>
      <c r="Q144">
        <v>392</v>
      </c>
      <c r="R144">
        <v>332</v>
      </c>
    </row>
    <row r="145" spans="1:18">
      <c r="A145" t="s">
        <v>501</v>
      </c>
      <c r="B145" t="s">
        <v>146</v>
      </c>
      <c r="C145">
        <v>3123</v>
      </c>
      <c r="D145" t="s">
        <v>502</v>
      </c>
      <c r="E145" t="s">
        <v>503</v>
      </c>
      <c r="F145">
        <v>53825401</v>
      </c>
      <c r="G145" s="12">
        <v>41687</v>
      </c>
      <c r="H145" t="s">
        <v>230</v>
      </c>
      <c r="I145" t="s">
        <v>420</v>
      </c>
      <c r="J145" t="s">
        <v>383</v>
      </c>
      <c r="K145" t="s">
        <v>356</v>
      </c>
      <c r="L145" t="s">
        <v>266</v>
      </c>
      <c r="M145" t="s">
        <v>468</v>
      </c>
      <c r="N145" t="s">
        <v>468</v>
      </c>
      <c r="O145" t="s">
        <v>504</v>
      </c>
      <c r="P145" t="s">
        <v>285</v>
      </c>
      <c r="Q145">
        <v>395</v>
      </c>
      <c r="R145">
        <v>335</v>
      </c>
    </row>
    <row r="146" spans="1:18">
      <c r="A146" t="s">
        <v>505</v>
      </c>
      <c r="B146" t="s">
        <v>146</v>
      </c>
      <c r="C146">
        <v>3946</v>
      </c>
      <c r="D146" t="s">
        <v>506</v>
      </c>
      <c r="E146" t="s">
        <v>21</v>
      </c>
      <c r="F146">
        <v>53957972</v>
      </c>
      <c r="G146" s="12">
        <v>41776</v>
      </c>
      <c r="H146" t="s">
        <v>313</v>
      </c>
      <c r="I146" t="s">
        <v>331</v>
      </c>
      <c r="J146" t="s">
        <v>355</v>
      </c>
      <c r="K146" t="s">
        <v>326</v>
      </c>
      <c r="L146" t="s">
        <v>318</v>
      </c>
      <c r="M146" t="s">
        <v>420</v>
      </c>
      <c r="N146" t="s">
        <v>438</v>
      </c>
      <c r="O146" t="s">
        <v>444</v>
      </c>
      <c r="P146" t="s">
        <v>384</v>
      </c>
      <c r="Q146">
        <v>395</v>
      </c>
      <c r="R146">
        <v>335</v>
      </c>
    </row>
    <row r="147" spans="1:18">
      <c r="A147" t="s">
        <v>507</v>
      </c>
      <c r="B147" t="s">
        <v>146</v>
      </c>
      <c r="C147">
        <v>4164</v>
      </c>
      <c r="D147" t="s">
        <v>508</v>
      </c>
      <c r="E147" t="s">
        <v>171</v>
      </c>
      <c r="F147">
        <v>51069680</v>
      </c>
      <c r="G147" s="12">
        <v>40630</v>
      </c>
      <c r="H147" t="s">
        <v>384</v>
      </c>
      <c r="I147" t="s">
        <v>451</v>
      </c>
      <c r="J147" t="s">
        <v>441</v>
      </c>
      <c r="K147" t="s">
        <v>529</v>
      </c>
      <c r="L147" t="s">
        <v>478</v>
      </c>
      <c r="M147" t="s">
        <v>369</v>
      </c>
      <c r="N147" t="s">
        <v>285</v>
      </c>
      <c r="O147" t="s">
        <v>420</v>
      </c>
      <c r="P147" t="s">
        <v>233</v>
      </c>
      <c r="Q147">
        <v>394</v>
      </c>
      <c r="R147">
        <v>337</v>
      </c>
    </row>
    <row r="148" spans="1:18">
      <c r="A148" t="s">
        <v>509</v>
      </c>
      <c r="B148" t="s">
        <v>146</v>
      </c>
      <c r="C148">
        <v>3401</v>
      </c>
      <c r="D148" t="s">
        <v>510</v>
      </c>
      <c r="E148" t="s">
        <v>76</v>
      </c>
      <c r="F148">
        <v>51028493</v>
      </c>
      <c r="G148" s="12">
        <v>40690</v>
      </c>
      <c r="H148" t="s">
        <v>490</v>
      </c>
      <c r="I148" t="s">
        <v>356</v>
      </c>
      <c r="J148" t="s">
        <v>468</v>
      </c>
      <c r="K148" t="s">
        <v>384</v>
      </c>
      <c r="L148" t="s">
        <v>383</v>
      </c>
      <c r="M148" t="s">
        <v>240</v>
      </c>
      <c r="N148" t="s">
        <v>318</v>
      </c>
      <c r="O148" t="s">
        <v>331</v>
      </c>
      <c r="P148" t="s">
        <v>285</v>
      </c>
      <c r="Q148">
        <v>405</v>
      </c>
      <c r="R148">
        <v>345</v>
      </c>
    </row>
    <row r="149" spans="1:18">
      <c r="A149" t="s">
        <v>511</v>
      </c>
      <c r="B149" t="s">
        <v>146</v>
      </c>
      <c r="C149">
        <v>3929</v>
      </c>
      <c r="D149" t="s">
        <v>512</v>
      </c>
      <c r="E149" t="s">
        <v>76</v>
      </c>
      <c r="F149">
        <v>53341018</v>
      </c>
      <c r="G149" s="12">
        <v>41522</v>
      </c>
      <c r="H149" t="s">
        <v>438</v>
      </c>
      <c r="I149" t="s">
        <v>294</v>
      </c>
      <c r="J149" t="s">
        <v>403</v>
      </c>
      <c r="K149" t="s">
        <v>313</v>
      </c>
      <c r="L149" t="s">
        <v>477</v>
      </c>
      <c r="M149" t="s">
        <v>383</v>
      </c>
      <c r="N149" t="s">
        <v>412</v>
      </c>
      <c r="O149" t="s">
        <v>451</v>
      </c>
      <c r="P149" t="s">
        <v>477</v>
      </c>
      <c r="Q149">
        <v>397</v>
      </c>
      <c r="R149">
        <v>346</v>
      </c>
    </row>
    <row r="150" spans="1:18">
      <c r="A150" t="s">
        <v>513</v>
      </c>
      <c r="B150" t="s">
        <v>146</v>
      </c>
      <c r="C150">
        <v>3769</v>
      </c>
      <c r="D150" t="s">
        <v>514</v>
      </c>
      <c r="E150" t="s">
        <v>6</v>
      </c>
      <c r="F150">
        <v>53398109</v>
      </c>
      <c r="G150" s="12">
        <v>41468</v>
      </c>
      <c r="H150" t="s">
        <v>356</v>
      </c>
      <c r="I150" t="s">
        <v>441</v>
      </c>
      <c r="J150" t="s">
        <v>468</v>
      </c>
      <c r="K150" t="s">
        <v>278</v>
      </c>
      <c r="L150" t="s">
        <v>441</v>
      </c>
      <c r="M150" t="s">
        <v>477</v>
      </c>
      <c r="N150" t="s">
        <v>383</v>
      </c>
      <c r="O150" t="s">
        <v>355</v>
      </c>
      <c r="P150" t="s">
        <v>384</v>
      </c>
      <c r="Q150">
        <v>409</v>
      </c>
      <c r="R150">
        <v>349</v>
      </c>
    </row>
    <row r="151" spans="1:18">
      <c r="A151" t="s">
        <v>515</v>
      </c>
      <c r="B151" t="s">
        <v>146</v>
      </c>
      <c r="C151">
        <v>4177</v>
      </c>
      <c r="D151" t="s">
        <v>516</v>
      </c>
      <c r="E151" t="s">
        <v>11</v>
      </c>
      <c r="F151">
        <v>51344534</v>
      </c>
      <c r="G151" s="12">
        <v>40789</v>
      </c>
      <c r="H151" t="s">
        <v>451</v>
      </c>
      <c r="I151" t="s">
        <v>383</v>
      </c>
      <c r="J151" t="s">
        <v>378</v>
      </c>
      <c r="K151" t="s">
        <v>477</v>
      </c>
      <c r="L151" t="s">
        <v>355</v>
      </c>
      <c r="M151" t="s">
        <v>537</v>
      </c>
      <c r="N151" t="s">
        <v>319</v>
      </c>
      <c r="O151" t="s">
        <v>438</v>
      </c>
      <c r="P151" t="s">
        <v>356</v>
      </c>
      <c r="Q151">
        <v>413</v>
      </c>
      <c r="R151">
        <v>353</v>
      </c>
    </row>
    <row r="152" spans="1:18">
      <c r="A152" t="s">
        <v>517</v>
      </c>
      <c r="B152" t="s">
        <v>146</v>
      </c>
      <c r="C152">
        <v>3856</v>
      </c>
      <c r="D152" t="s">
        <v>518</v>
      </c>
      <c r="E152" t="s">
        <v>26</v>
      </c>
      <c r="F152">
        <v>51183107</v>
      </c>
      <c r="G152" s="12">
        <v>40754</v>
      </c>
      <c r="H152" t="s">
        <v>451</v>
      </c>
      <c r="I152" t="s">
        <v>403</v>
      </c>
      <c r="J152" t="s">
        <v>441</v>
      </c>
      <c r="K152" t="s">
        <v>537</v>
      </c>
      <c r="L152" t="s">
        <v>444</v>
      </c>
      <c r="M152" t="s">
        <v>384</v>
      </c>
      <c r="N152" t="s">
        <v>355</v>
      </c>
      <c r="O152" t="s">
        <v>356</v>
      </c>
      <c r="P152" t="s">
        <v>441</v>
      </c>
      <c r="Q152">
        <v>425</v>
      </c>
      <c r="R152">
        <v>365</v>
      </c>
    </row>
    <row r="153" spans="1:18">
      <c r="A153" t="s">
        <v>519</v>
      </c>
      <c r="B153" t="s">
        <v>146</v>
      </c>
      <c r="C153">
        <v>3980</v>
      </c>
      <c r="D153" t="s">
        <v>520</v>
      </c>
      <c r="E153" t="s">
        <v>16</v>
      </c>
      <c r="F153">
        <v>26569045</v>
      </c>
      <c r="G153" s="12">
        <v>40770</v>
      </c>
      <c r="H153" t="s">
        <v>451</v>
      </c>
      <c r="I153" t="s">
        <v>451</v>
      </c>
      <c r="J153" t="s">
        <v>326</v>
      </c>
      <c r="K153" t="s">
        <v>451</v>
      </c>
      <c r="L153" t="s">
        <v>403</v>
      </c>
      <c r="M153" t="s">
        <v>451</v>
      </c>
      <c r="N153" t="s">
        <v>318</v>
      </c>
      <c r="O153" t="s">
        <v>383</v>
      </c>
      <c r="P153" t="s">
        <v>468</v>
      </c>
      <c r="Q153">
        <v>426</v>
      </c>
      <c r="R153">
        <v>366</v>
      </c>
    </row>
    <row r="154" spans="1:18">
      <c r="A154" t="s">
        <v>521</v>
      </c>
      <c r="B154" t="s">
        <v>146</v>
      </c>
      <c r="C154">
        <v>4187</v>
      </c>
      <c r="D154" t="s">
        <v>522</v>
      </c>
      <c r="E154" t="s">
        <v>67</v>
      </c>
      <c r="F154">
        <v>52764600</v>
      </c>
      <c r="G154" s="12">
        <v>41189</v>
      </c>
      <c r="H154" t="s">
        <v>420</v>
      </c>
      <c r="I154" t="s">
        <v>493</v>
      </c>
      <c r="J154" t="s">
        <v>318</v>
      </c>
      <c r="K154" t="s">
        <v>477</v>
      </c>
      <c r="L154" t="s">
        <v>378</v>
      </c>
      <c r="M154" t="s">
        <v>468</v>
      </c>
      <c r="N154" t="s">
        <v>468</v>
      </c>
      <c r="O154" t="s">
        <v>369</v>
      </c>
      <c r="P154" t="s">
        <v>412</v>
      </c>
      <c r="Q154">
        <v>427</v>
      </c>
      <c r="R154">
        <v>367</v>
      </c>
    </row>
    <row r="155" spans="1:18">
      <c r="A155" t="s">
        <v>523</v>
      </c>
      <c r="B155" t="s">
        <v>146</v>
      </c>
      <c r="C155">
        <v>3630</v>
      </c>
      <c r="D155" t="s">
        <v>524</v>
      </c>
      <c r="E155" t="s">
        <v>26</v>
      </c>
      <c r="F155">
        <v>51330536</v>
      </c>
      <c r="G155" s="12">
        <v>40823</v>
      </c>
      <c r="H155" t="s">
        <v>355</v>
      </c>
      <c r="I155" t="s">
        <v>331</v>
      </c>
      <c r="J155" t="s">
        <v>326</v>
      </c>
      <c r="K155" t="s">
        <v>331</v>
      </c>
      <c r="L155" t="s">
        <v>435</v>
      </c>
      <c r="M155" t="s">
        <v>438</v>
      </c>
      <c r="N155" t="s">
        <v>313</v>
      </c>
      <c r="O155" t="s">
        <v>420</v>
      </c>
      <c r="P155" t="s">
        <v>468</v>
      </c>
      <c r="Q155">
        <v>437</v>
      </c>
      <c r="R155">
        <v>377</v>
      </c>
    </row>
    <row r="156" spans="1:18">
      <c r="A156" t="s">
        <v>525</v>
      </c>
      <c r="B156" t="s">
        <v>146</v>
      </c>
      <c r="C156">
        <v>4055</v>
      </c>
      <c r="D156" t="s">
        <v>526</v>
      </c>
      <c r="E156" t="s">
        <v>8</v>
      </c>
      <c r="F156">
        <v>53477120</v>
      </c>
      <c r="G156" s="12">
        <v>41519</v>
      </c>
      <c r="H156" t="s">
        <v>356</v>
      </c>
      <c r="I156" t="s">
        <v>536</v>
      </c>
      <c r="J156" t="s">
        <v>444</v>
      </c>
      <c r="K156" t="s">
        <v>356</v>
      </c>
      <c r="L156" t="s">
        <v>451</v>
      </c>
      <c r="M156" t="s">
        <v>438</v>
      </c>
      <c r="N156" t="s">
        <v>384</v>
      </c>
      <c r="O156" t="s">
        <v>493</v>
      </c>
      <c r="P156" t="s">
        <v>441</v>
      </c>
      <c r="Q156">
        <v>436</v>
      </c>
      <c r="R156">
        <v>378</v>
      </c>
    </row>
    <row r="157" spans="1:18">
      <c r="A157" t="s">
        <v>527</v>
      </c>
      <c r="B157" t="s">
        <v>146</v>
      </c>
      <c r="C157">
        <v>3722</v>
      </c>
      <c r="D157" t="s">
        <v>528</v>
      </c>
      <c r="E157" t="s">
        <v>63</v>
      </c>
      <c r="F157">
        <v>54310735</v>
      </c>
      <c r="G157" s="12">
        <v>41082</v>
      </c>
      <c r="H157" t="s">
        <v>529</v>
      </c>
      <c r="I157" t="s">
        <v>331</v>
      </c>
      <c r="J157" t="s">
        <v>273</v>
      </c>
      <c r="K157" t="s">
        <v>529</v>
      </c>
      <c r="L157" t="s">
        <v>331</v>
      </c>
      <c r="M157" t="s">
        <v>451</v>
      </c>
      <c r="N157" t="s">
        <v>441</v>
      </c>
      <c r="O157" t="s">
        <v>444</v>
      </c>
      <c r="P157" t="s">
        <v>369</v>
      </c>
      <c r="Q157">
        <v>459</v>
      </c>
      <c r="R157">
        <v>399</v>
      </c>
    </row>
    <row r="158" spans="1:18">
      <c r="A158" t="s">
        <v>530</v>
      </c>
      <c r="B158" t="s">
        <v>146</v>
      </c>
      <c r="C158">
        <v>4241</v>
      </c>
      <c r="D158" t="s">
        <v>531</v>
      </c>
      <c r="E158" t="s">
        <v>23</v>
      </c>
      <c r="F158">
        <v>54099646</v>
      </c>
      <c r="G158" s="12">
        <v>41800</v>
      </c>
      <c r="H158" t="s">
        <v>435</v>
      </c>
      <c r="I158" t="s">
        <v>478</v>
      </c>
      <c r="J158" t="s">
        <v>493</v>
      </c>
      <c r="K158" t="s">
        <v>444</v>
      </c>
      <c r="L158" t="s">
        <v>326</v>
      </c>
      <c r="M158" t="s">
        <v>451</v>
      </c>
      <c r="N158" t="s">
        <v>383</v>
      </c>
      <c r="O158" t="s">
        <v>529</v>
      </c>
      <c r="P158" t="s">
        <v>468</v>
      </c>
      <c r="Q158">
        <v>473</v>
      </c>
      <c r="R158">
        <v>413</v>
      </c>
    </row>
    <row r="159" spans="1:18">
      <c r="A159" t="s">
        <v>532</v>
      </c>
      <c r="B159" t="s">
        <v>146</v>
      </c>
      <c r="C159">
        <v>4279</v>
      </c>
      <c r="D159" t="s">
        <v>533</v>
      </c>
      <c r="E159" t="s">
        <v>5</v>
      </c>
      <c r="F159">
        <v>52141180</v>
      </c>
      <c r="G159" s="12">
        <v>40951</v>
      </c>
      <c r="H159" t="s">
        <v>477</v>
      </c>
      <c r="I159" t="s">
        <v>478</v>
      </c>
      <c r="J159" t="s">
        <v>477</v>
      </c>
      <c r="K159" t="s">
        <v>537</v>
      </c>
      <c r="L159" t="s">
        <v>438</v>
      </c>
      <c r="M159" t="s">
        <v>468</v>
      </c>
      <c r="N159" t="s">
        <v>468</v>
      </c>
      <c r="O159" t="s">
        <v>383</v>
      </c>
      <c r="P159" t="s">
        <v>412</v>
      </c>
      <c r="Q159">
        <v>473</v>
      </c>
      <c r="R159">
        <v>413</v>
      </c>
    </row>
    <row r="160" spans="1:18">
      <c r="A160" t="s">
        <v>534</v>
      </c>
      <c r="B160" t="s">
        <v>146</v>
      </c>
      <c r="C160">
        <v>3685</v>
      </c>
      <c r="D160" t="s">
        <v>535</v>
      </c>
      <c r="E160" t="s">
        <v>9</v>
      </c>
      <c r="F160">
        <v>52168000</v>
      </c>
      <c r="G160" s="12">
        <v>40986</v>
      </c>
      <c r="H160" t="s">
        <v>331</v>
      </c>
      <c r="I160" t="s">
        <v>529</v>
      </c>
      <c r="J160" t="s">
        <v>536</v>
      </c>
      <c r="K160" t="s">
        <v>468</v>
      </c>
      <c r="L160" t="s">
        <v>168</v>
      </c>
      <c r="M160" t="s">
        <v>468</v>
      </c>
      <c r="N160" t="s">
        <v>468</v>
      </c>
      <c r="O160" t="s">
        <v>477</v>
      </c>
      <c r="P160" t="s">
        <v>537</v>
      </c>
      <c r="Q160">
        <v>484</v>
      </c>
      <c r="R160">
        <v>424</v>
      </c>
    </row>
    <row r="161" spans="1:18">
      <c r="A161" t="s">
        <v>538</v>
      </c>
      <c r="B161" t="s">
        <v>146</v>
      </c>
      <c r="C161">
        <v>3827</v>
      </c>
      <c r="D161" t="s">
        <v>539</v>
      </c>
      <c r="E161" t="s">
        <v>10</v>
      </c>
      <c r="F161">
        <v>52725071</v>
      </c>
      <c r="G161" s="12">
        <v>41200</v>
      </c>
      <c r="H161" t="s">
        <v>540</v>
      </c>
      <c r="I161" t="s">
        <v>477</v>
      </c>
      <c r="J161" t="s">
        <v>493</v>
      </c>
      <c r="K161" t="s">
        <v>435</v>
      </c>
      <c r="L161" t="s">
        <v>438</v>
      </c>
      <c r="M161" t="s">
        <v>468</v>
      </c>
      <c r="N161" t="s">
        <v>468</v>
      </c>
      <c r="O161" t="s">
        <v>478</v>
      </c>
      <c r="P161" t="s">
        <v>468</v>
      </c>
      <c r="Q161">
        <v>496</v>
      </c>
      <c r="R161">
        <v>436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20942-79FC-4FB7-A183-4355D6FB55D4}">
  <dimension ref="A1:Q188"/>
  <sheetViews>
    <sheetView topLeftCell="A27" workbookViewId="0">
      <selection activeCell="S40" sqref="S40"/>
    </sheetView>
  </sheetViews>
  <sheetFormatPr defaultRowHeight="14.4"/>
  <cols>
    <col min="1" max="1" width="7.44140625" bestFit="1" customWidth="1"/>
    <col min="2" max="2" width="6.5546875" bestFit="1" customWidth="1"/>
    <col min="3" max="3" width="6.88671875" bestFit="1" customWidth="1"/>
    <col min="4" max="4" width="31.109375" bestFit="1" customWidth="1"/>
    <col min="5" max="5" width="13.33203125" bestFit="1" customWidth="1"/>
    <col min="6" max="6" width="4.21875" bestFit="1" customWidth="1"/>
    <col min="7" max="7" width="9" bestFit="1" customWidth="1"/>
    <col min="8" max="15" width="7.109375" bestFit="1" customWidth="1"/>
    <col min="16" max="16" width="7.44140625" bestFit="1" customWidth="1"/>
    <col min="17" max="17" width="6.88671875" customWidth="1"/>
  </cols>
  <sheetData>
    <row r="1" spans="1:17">
      <c r="A1" t="s">
        <v>142</v>
      </c>
      <c r="B1" t="s">
        <v>143</v>
      </c>
      <c r="C1" t="s">
        <v>4</v>
      </c>
      <c r="D1" t="s">
        <v>92</v>
      </c>
      <c r="E1" t="s">
        <v>3</v>
      </c>
      <c r="F1" t="s">
        <v>760</v>
      </c>
      <c r="G1" t="s">
        <v>91</v>
      </c>
      <c r="H1" t="s">
        <v>93</v>
      </c>
      <c r="I1" t="s">
        <v>94</v>
      </c>
      <c r="J1" t="s">
        <v>95</v>
      </c>
      <c r="K1" t="s">
        <v>105</v>
      </c>
      <c r="L1" t="s">
        <v>107</v>
      </c>
      <c r="M1" t="s">
        <v>108</v>
      </c>
      <c r="N1" t="s">
        <v>110</v>
      </c>
      <c r="O1" t="s">
        <v>114</v>
      </c>
      <c r="P1" t="s">
        <v>96</v>
      </c>
      <c r="Q1" t="s">
        <v>97</v>
      </c>
    </row>
    <row r="2" spans="1:17">
      <c r="A2" t="s">
        <v>145</v>
      </c>
      <c r="B2" t="s">
        <v>146</v>
      </c>
      <c r="C2">
        <v>4286</v>
      </c>
      <c r="D2" t="s">
        <v>147</v>
      </c>
      <c r="E2" t="s">
        <v>21</v>
      </c>
      <c r="F2" t="s">
        <v>760</v>
      </c>
      <c r="G2">
        <v>51432202</v>
      </c>
      <c r="H2" t="s">
        <v>154</v>
      </c>
      <c r="I2" t="s">
        <v>149</v>
      </c>
      <c r="J2" t="s">
        <v>148</v>
      </c>
      <c r="K2" t="s">
        <v>148</v>
      </c>
      <c r="L2" t="s">
        <v>148</v>
      </c>
      <c r="M2" t="s">
        <v>154</v>
      </c>
      <c r="N2" t="s">
        <v>785</v>
      </c>
      <c r="O2" t="s">
        <v>149</v>
      </c>
      <c r="P2">
        <v>78</v>
      </c>
      <c r="Q2">
        <v>13</v>
      </c>
    </row>
    <row r="3" spans="1:17">
      <c r="A3" t="s">
        <v>150</v>
      </c>
      <c r="B3" t="s">
        <v>146</v>
      </c>
      <c r="C3">
        <v>4260</v>
      </c>
      <c r="D3" t="s">
        <v>164</v>
      </c>
      <c r="E3" t="s">
        <v>11</v>
      </c>
      <c r="F3" t="s">
        <v>760</v>
      </c>
      <c r="G3">
        <v>50668849</v>
      </c>
      <c r="H3" t="s">
        <v>162</v>
      </c>
      <c r="I3" t="s">
        <v>765</v>
      </c>
      <c r="J3" t="s">
        <v>154</v>
      </c>
      <c r="K3" t="s">
        <v>148</v>
      </c>
      <c r="L3" t="s">
        <v>149</v>
      </c>
      <c r="M3" t="s">
        <v>153</v>
      </c>
      <c r="N3" t="s">
        <v>154</v>
      </c>
      <c r="O3" t="s">
        <v>155</v>
      </c>
      <c r="P3">
        <v>33</v>
      </c>
      <c r="Q3">
        <v>24</v>
      </c>
    </row>
    <row r="4" spans="1:17">
      <c r="A4" t="s">
        <v>156</v>
      </c>
      <c r="B4" t="s">
        <v>146</v>
      </c>
      <c r="C4">
        <v>4182</v>
      </c>
      <c r="D4" t="s">
        <v>175</v>
      </c>
      <c r="E4" t="s">
        <v>16</v>
      </c>
      <c r="F4" t="s">
        <v>760</v>
      </c>
      <c r="G4">
        <v>51336821</v>
      </c>
      <c r="H4" t="s">
        <v>148</v>
      </c>
      <c r="I4" t="s">
        <v>149</v>
      </c>
      <c r="J4" t="s">
        <v>148</v>
      </c>
      <c r="K4" t="s">
        <v>155</v>
      </c>
      <c r="L4" t="s">
        <v>148</v>
      </c>
      <c r="M4" t="s">
        <v>162</v>
      </c>
      <c r="N4" t="s">
        <v>233</v>
      </c>
      <c r="O4" t="s">
        <v>153</v>
      </c>
      <c r="P4">
        <v>47</v>
      </c>
      <c r="Q4">
        <v>25</v>
      </c>
    </row>
    <row r="5" spans="1:17">
      <c r="A5" t="s">
        <v>160</v>
      </c>
      <c r="B5" t="s">
        <v>146</v>
      </c>
      <c r="C5">
        <v>4165</v>
      </c>
      <c r="D5" t="s">
        <v>157</v>
      </c>
      <c r="E5" t="s">
        <v>26</v>
      </c>
      <c r="F5" t="s">
        <v>760</v>
      </c>
      <c r="G5">
        <v>52440028</v>
      </c>
      <c r="H5" t="s">
        <v>148</v>
      </c>
      <c r="I5" t="s">
        <v>152</v>
      </c>
      <c r="J5" t="s">
        <v>159</v>
      </c>
      <c r="K5" t="s">
        <v>154</v>
      </c>
      <c r="L5" t="s">
        <v>155</v>
      </c>
      <c r="M5" t="s">
        <v>158</v>
      </c>
      <c r="N5" t="s">
        <v>403</v>
      </c>
      <c r="O5" t="s">
        <v>149</v>
      </c>
      <c r="P5">
        <v>70</v>
      </c>
      <c r="Q5">
        <v>31</v>
      </c>
    </row>
    <row r="6" spans="1:17">
      <c r="A6" t="s">
        <v>163</v>
      </c>
      <c r="B6" t="s">
        <v>146</v>
      </c>
      <c r="C6">
        <v>4134</v>
      </c>
      <c r="D6" t="s">
        <v>764</v>
      </c>
      <c r="E6" t="s">
        <v>21</v>
      </c>
      <c r="F6" t="s">
        <v>760</v>
      </c>
      <c r="G6">
        <v>50805416</v>
      </c>
      <c r="H6" t="s">
        <v>162</v>
      </c>
      <c r="I6" t="s">
        <v>148</v>
      </c>
      <c r="J6" t="s">
        <v>158</v>
      </c>
      <c r="K6" t="s">
        <v>149</v>
      </c>
      <c r="L6" t="s">
        <v>149</v>
      </c>
      <c r="M6" t="s">
        <v>210</v>
      </c>
      <c r="N6" t="s">
        <v>230</v>
      </c>
      <c r="O6" t="s">
        <v>177</v>
      </c>
      <c r="P6">
        <v>67</v>
      </c>
      <c r="Q6">
        <v>44</v>
      </c>
    </row>
    <row r="7" spans="1:17">
      <c r="A7" t="s">
        <v>166</v>
      </c>
      <c r="B7" t="s">
        <v>146</v>
      </c>
      <c r="C7">
        <v>4209</v>
      </c>
      <c r="D7" t="s">
        <v>185</v>
      </c>
      <c r="E7" t="s">
        <v>11</v>
      </c>
      <c r="F7" t="s">
        <v>760</v>
      </c>
      <c r="G7">
        <v>51049622</v>
      </c>
      <c r="H7" t="s">
        <v>149</v>
      </c>
      <c r="I7" t="s">
        <v>162</v>
      </c>
      <c r="J7" t="s">
        <v>155</v>
      </c>
      <c r="K7" t="s">
        <v>154</v>
      </c>
      <c r="L7" t="s">
        <v>152</v>
      </c>
      <c r="M7" t="s">
        <v>247</v>
      </c>
      <c r="N7" t="s">
        <v>159</v>
      </c>
      <c r="O7" t="s">
        <v>176</v>
      </c>
      <c r="P7">
        <v>70</v>
      </c>
      <c r="Q7">
        <v>44</v>
      </c>
    </row>
    <row r="8" spans="1:17">
      <c r="A8" t="s">
        <v>169</v>
      </c>
      <c r="B8" t="s">
        <v>146</v>
      </c>
      <c r="C8">
        <v>3962</v>
      </c>
      <c r="D8" t="s">
        <v>190</v>
      </c>
      <c r="E8" t="s">
        <v>5</v>
      </c>
      <c r="F8" t="s">
        <v>760</v>
      </c>
      <c r="G8">
        <v>52834659</v>
      </c>
      <c r="H8" t="s">
        <v>183</v>
      </c>
      <c r="I8" t="s">
        <v>183</v>
      </c>
      <c r="J8" t="s">
        <v>153</v>
      </c>
      <c r="K8" t="s">
        <v>152</v>
      </c>
      <c r="L8" t="s">
        <v>155</v>
      </c>
      <c r="M8" t="s">
        <v>177</v>
      </c>
      <c r="N8" t="s">
        <v>149</v>
      </c>
      <c r="O8" t="s">
        <v>152</v>
      </c>
      <c r="P8">
        <v>59</v>
      </c>
      <c r="Q8">
        <v>45</v>
      </c>
    </row>
    <row r="9" spans="1:17">
      <c r="A9" t="s">
        <v>172</v>
      </c>
      <c r="B9" t="s">
        <v>146</v>
      </c>
      <c r="C9">
        <v>4092</v>
      </c>
      <c r="D9" t="s">
        <v>170</v>
      </c>
      <c r="E9" t="s">
        <v>171</v>
      </c>
      <c r="F9" t="s">
        <v>760</v>
      </c>
      <c r="G9">
        <v>52676878</v>
      </c>
      <c r="H9" t="s">
        <v>177</v>
      </c>
      <c r="I9" t="s">
        <v>198</v>
      </c>
      <c r="J9" t="s">
        <v>162</v>
      </c>
      <c r="K9" t="s">
        <v>155</v>
      </c>
      <c r="L9" t="s">
        <v>183</v>
      </c>
      <c r="M9" t="s">
        <v>155</v>
      </c>
      <c r="N9" t="s">
        <v>148</v>
      </c>
      <c r="O9" t="s">
        <v>158</v>
      </c>
      <c r="P9">
        <v>63</v>
      </c>
      <c r="Q9">
        <v>46</v>
      </c>
    </row>
    <row r="10" spans="1:17">
      <c r="A10" t="s">
        <v>174</v>
      </c>
      <c r="B10" t="s">
        <v>146</v>
      </c>
      <c r="C10">
        <v>4246</v>
      </c>
      <c r="D10" t="s">
        <v>193</v>
      </c>
      <c r="E10" t="s">
        <v>17</v>
      </c>
      <c r="F10" t="s">
        <v>760</v>
      </c>
      <c r="G10">
        <v>51281055</v>
      </c>
      <c r="H10" t="s">
        <v>199</v>
      </c>
      <c r="I10" t="s">
        <v>154</v>
      </c>
      <c r="J10" t="s">
        <v>176</v>
      </c>
      <c r="K10" t="s">
        <v>153</v>
      </c>
      <c r="L10" t="s">
        <v>153</v>
      </c>
      <c r="M10" t="s">
        <v>152</v>
      </c>
      <c r="N10" t="s">
        <v>153</v>
      </c>
      <c r="O10" t="s">
        <v>153</v>
      </c>
      <c r="P10">
        <v>59</v>
      </c>
      <c r="Q10">
        <v>47</v>
      </c>
    </row>
    <row r="11" spans="1:17">
      <c r="A11" t="s">
        <v>178</v>
      </c>
      <c r="B11" t="s">
        <v>146</v>
      </c>
      <c r="C11">
        <v>4133</v>
      </c>
      <c r="D11" t="s">
        <v>151</v>
      </c>
      <c r="E11" t="s">
        <v>26</v>
      </c>
      <c r="F11" t="s">
        <v>760</v>
      </c>
      <c r="G11">
        <v>51431844</v>
      </c>
      <c r="H11" t="s">
        <v>148</v>
      </c>
      <c r="I11" t="s">
        <v>176</v>
      </c>
      <c r="J11" t="s">
        <v>154</v>
      </c>
      <c r="K11" t="s">
        <v>165</v>
      </c>
      <c r="L11" t="s">
        <v>177</v>
      </c>
      <c r="M11" t="s">
        <v>154</v>
      </c>
      <c r="N11" t="s">
        <v>318</v>
      </c>
      <c r="O11" t="s">
        <v>199</v>
      </c>
      <c r="P11">
        <v>83</v>
      </c>
      <c r="Q11">
        <v>51</v>
      </c>
    </row>
    <row r="12" spans="1:17">
      <c r="A12" t="s">
        <v>181</v>
      </c>
      <c r="B12" t="s">
        <v>146</v>
      </c>
      <c r="C12">
        <v>4057</v>
      </c>
      <c r="D12" t="s">
        <v>214</v>
      </c>
      <c r="E12" t="s">
        <v>26</v>
      </c>
      <c r="F12" t="s">
        <v>760</v>
      </c>
      <c r="G12">
        <v>51572732</v>
      </c>
      <c r="H12" t="s">
        <v>153</v>
      </c>
      <c r="I12" t="s">
        <v>154</v>
      </c>
      <c r="J12" t="s">
        <v>149</v>
      </c>
      <c r="K12" t="s">
        <v>159</v>
      </c>
      <c r="L12" t="s">
        <v>154</v>
      </c>
      <c r="M12" t="s">
        <v>199</v>
      </c>
      <c r="N12" t="s">
        <v>278</v>
      </c>
      <c r="O12" t="s">
        <v>180</v>
      </c>
      <c r="P12">
        <v>79</v>
      </c>
      <c r="Q12">
        <v>52</v>
      </c>
    </row>
    <row r="13" spans="1:17">
      <c r="A13" t="s">
        <v>184</v>
      </c>
      <c r="B13" t="s">
        <v>146</v>
      </c>
      <c r="C13">
        <v>4257</v>
      </c>
      <c r="D13" t="s">
        <v>219</v>
      </c>
      <c r="E13" t="s">
        <v>9</v>
      </c>
      <c r="F13" t="s">
        <v>760</v>
      </c>
      <c r="G13">
        <v>51066390</v>
      </c>
      <c r="H13" t="s">
        <v>158</v>
      </c>
      <c r="I13" t="s">
        <v>155</v>
      </c>
      <c r="J13" t="s">
        <v>149</v>
      </c>
      <c r="K13" t="s">
        <v>210</v>
      </c>
      <c r="L13" t="s">
        <v>154</v>
      </c>
      <c r="M13" t="s">
        <v>285</v>
      </c>
      <c r="N13" t="s">
        <v>177</v>
      </c>
      <c r="O13" t="s">
        <v>165</v>
      </c>
      <c r="P13">
        <v>87</v>
      </c>
      <c r="Q13">
        <v>52</v>
      </c>
    </row>
    <row r="14" spans="1:17">
      <c r="A14" t="s">
        <v>187</v>
      </c>
      <c r="B14" t="s">
        <v>146</v>
      </c>
      <c r="C14">
        <v>4211</v>
      </c>
      <c r="D14" t="s">
        <v>767</v>
      </c>
      <c r="E14" t="s">
        <v>21</v>
      </c>
      <c r="F14" t="s">
        <v>760</v>
      </c>
      <c r="G14">
        <v>52768073</v>
      </c>
      <c r="H14" t="s">
        <v>158</v>
      </c>
      <c r="I14" t="s">
        <v>165</v>
      </c>
      <c r="J14" t="s">
        <v>159</v>
      </c>
      <c r="K14" t="s">
        <v>154</v>
      </c>
      <c r="L14" t="s">
        <v>165</v>
      </c>
      <c r="M14" t="s">
        <v>785</v>
      </c>
      <c r="N14" t="s">
        <v>152</v>
      </c>
      <c r="O14" t="s">
        <v>149</v>
      </c>
      <c r="P14">
        <v>117</v>
      </c>
      <c r="Q14">
        <v>52</v>
      </c>
    </row>
    <row r="15" spans="1:17">
      <c r="A15" t="s">
        <v>189</v>
      </c>
      <c r="B15" t="s">
        <v>146</v>
      </c>
      <c r="C15">
        <v>4228</v>
      </c>
      <c r="D15" t="s">
        <v>195</v>
      </c>
      <c r="E15" t="s">
        <v>26</v>
      </c>
      <c r="F15" t="s">
        <v>760</v>
      </c>
      <c r="G15">
        <v>51121535</v>
      </c>
      <c r="H15" t="s">
        <v>152</v>
      </c>
      <c r="I15" t="s">
        <v>149</v>
      </c>
      <c r="J15" t="s">
        <v>153</v>
      </c>
      <c r="K15" t="s">
        <v>152</v>
      </c>
      <c r="L15" t="s">
        <v>158</v>
      </c>
      <c r="M15" t="s">
        <v>183</v>
      </c>
      <c r="N15" t="s">
        <v>210</v>
      </c>
      <c r="O15" t="s">
        <v>266</v>
      </c>
      <c r="P15">
        <v>79</v>
      </c>
      <c r="Q15">
        <v>55</v>
      </c>
    </row>
    <row r="16" spans="1:17">
      <c r="A16" t="s">
        <v>192</v>
      </c>
      <c r="B16" t="s">
        <v>146</v>
      </c>
      <c r="C16">
        <v>4245</v>
      </c>
      <c r="D16" t="s">
        <v>305</v>
      </c>
      <c r="E16" t="s">
        <v>7</v>
      </c>
      <c r="F16" t="s">
        <v>760</v>
      </c>
      <c r="G16">
        <v>52672616</v>
      </c>
      <c r="H16" t="s">
        <v>158</v>
      </c>
      <c r="I16" t="s">
        <v>158</v>
      </c>
      <c r="J16" t="s">
        <v>154</v>
      </c>
      <c r="K16" t="s">
        <v>176</v>
      </c>
      <c r="L16" t="s">
        <v>199</v>
      </c>
      <c r="M16" t="s">
        <v>159</v>
      </c>
      <c r="N16" t="s">
        <v>153</v>
      </c>
      <c r="O16" t="s">
        <v>199</v>
      </c>
      <c r="P16">
        <v>67</v>
      </c>
      <c r="Q16">
        <v>55</v>
      </c>
    </row>
    <row r="17" spans="1:17">
      <c r="A17" t="s">
        <v>194</v>
      </c>
      <c r="B17" t="s">
        <v>146</v>
      </c>
      <c r="C17">
        <v>4214</v>
      </c>
      <c r="D17" t="s">
        <v>203</v>
      </c>
      <c r="E17" t="s">
        <v>5</v>
      </c>
      <c r="F17" t="s">
        <v>760</v>
      </c>
      <c r="G17">
        <v>51267743</v>
      </c>
      <c r="H17" t="s">
        <v>266</v>
      </c>
      <c r="I17" t="s">
        <v>199</v>
      </c>
      <c r="J17" t="s">
        <v>149</v>
      </c>
      <c r="K17" t="s">
        <v>149</v>
      </c>
      <c r="L17" t="s">
        <v>154</v>
      </c>
      <c r="M17" t="s">
        <v>159</v>
      </c>
      <c r="N17" t="s">
        <v>154</v>
      </c>
      <c r="O17" t="s">
        <v>785</v>
      </c>
      <c r="P17">
        <v>121</v>
      </c>
      <c r="Q17">
        <v>56</v>
      </c>
    </row>
    <row r="18" spans="1:17">
      <c r="A18" t="s">
        <v>196</v>
      </c>
      <c r="B18" t="s">
        <v>146</v>
      </c>
      <c r="C18">
        <v>4247</v>
      </c>
      <c r="D18" t="s">
        <v>763</v>
      </c>
      <c r="E18" t="s">
        <v>16</v>
      </c>
      <c r="F18" t="s">
        <v>760</v>
      </c>
      <c r="G18">
        <v>51429146</v>
      </c>
      <c r="H18" t="s">
        <v>155</v>
      </c>
      <c r="I18" t="s">
        <v>154</v>
      </c>
      <c r="J18" t="s">
        <v>155</v>
      </c>
      <c r="K18" t="s">
        <v>159</v>
      </c>
      <c r="L18" t="s">
        <v>153</v>
      </c>
      <c r="M18" t="s">
        <v>313</v>
      </c>
      <c r="N18" t="s">
        <v>159</v>
      </c>
      <c r="O18" t="s">
        <v>215</v>
      </c>
      <c r="P18">
        <v>87</v>
      </c>
      <c r="Q18">
        <v>56</v>
      </c>
    </row>
    <row r="19" spans="1:17">
      <c r="A19" t="s">
        <v>200</v>
      </c>
      <c r="B19" t="s">
        <v>146</v>
      </c>
      <c r="C19">
        <v>4108</v>
      </c>
      <c r="D19" t="s">
        <v>161</v>
      </c>
      <c r="E19" t="s">
        <v>9</v>
      </c>
      <c r="F19" t="s">
        <v>760</v>
      </c>
      <c r="G19">
        <v>51253143</v>
      </c>
      <c r="H19" t="s">
        <v>210</v>
      </c>
      <c r="I19" t="s">
        <v>177</v>
      </c>
      <c r="J19" t="s">
        <v>243</v>
      </c>
      <c r="K19" t="s">
        <v>153</v>
      </c>
      <c r="L19" t="s">
        <v>159</v>
      </c>
      <c r="M19" t="s">
        <v>158</v>
      </c>
      <c r="N19" t="s">
        <v>149</v>
      </c>
      <c r="O19" t="s">
        <v>162</v>
      </c>
      <c r="P19">
        <v>87</v>
      </c>
      <c r="Q19">
        <v>58</v>
      </c>
    </row>
    <row r="20" spans="1:17">
      <c r="A20" t="s">
        <v>202</v>
      </c>
      <c r="B20" t="s">
        <v>146</v>
      </c>
      <c r="C20">
        <v>4192</v>
      </c>
      <c r="D20" t="s">
        <v>201</v>
      </c>
      <c r="E20" t="s">
        <v>22</v>
      </c>
      <c r="F20" t="s">
        <v>760</v>
      </c>
      <c r="G20">
        <v>50671157</v>
      </c>
      <c r="H20" t="s">
        <v>154</v>
      </c>
      <c r="I20" t="s">
        <v>162</v>
      </c>
      <c r="J20" t="s">
        <v>180</v>
      </c>
      <c r="K20" t="s">
        <v>266</v>
      </c>
      <c r="L20" t="s">
        <v>149</v>
      </c>
      <c r="M20" t="s">
        <v>165</v>
      </c>
      <c r="N20" t="s">
        <v>210</v>
      </c>
      <c r="O20" t="s">
        <v>154</v>
      </c>
      <c r="P20">
        <v>85</v>
      </c>
      <c r="Q20">
        <v>61</v>
      </c>
    </row>
    <row r="21" spans="1:17">
      <c r="A21" t="s">
        <v>204</v>
      </c>
      <c r="B21" t="s">
        <v>146</v>
      </c>
      <c r="C21">
        <v>3936</v>
      </c>
      <c r="D21" t="s">
        <v>253</v>
      </c>
      <c r="E21" t="s">
        <v>21</v>
      </c>
      <c r="F21" t="s">
        <v>760</v>
      </c>
      <c r="G21">
        <v>50670497</v>
      </c>
      <c r="H21" t="s">
        <v>155</v>
      </c>
      <c r="I21" t="s">
        <v>215</v>
      </c>
      <c r="J21" t="s">
        <v>148</v>
      </c>
      <c r="K21" t="s">
        <v>149</v>
      </c>
      <c r="L21" t="s">
        <v>176</v>
      </c>
      <c r="M21" t="s">
        <v>230</v>
      </c>
      <c r="N21" t="s">
        <v>785</v>
      </c>
      <c r="O21" t="s">
        <v>154</v>
      </c>
      <c r="P21">
        <v>127</v>
      </c>
      <c r="Q21">
        <v>62</v>
      </c>
    </row>
    <row r="22" spans="1:17">
      <c r="A22" t="s">
        <v>206</v>
      </c>
      <c r="B22" t="s">
        <v>146</v>
      </c>
      <c r="C22">
        <v>4188</v>
      </c>
      <c r="D22" t="s">
        <v>330</v>
      </c>
      <c r="E22" t="s">
        <v>5</v>
      </c>
      <c r="F22" t="s">
        <v>760</v>
      </c>
      <c r="G22">
        <v>51588663</v>
      </c>
      <c r="H22" t="s">
        <v>165</v>
      </c>
      <c r="I22" t="s">
        <v>155</v>
      </c>
      <c r="J22" t="s">
        <v>155</v>
      </c>
      <c r="K22" t="s">
        <v>210</v>
      </c>
      <c r="L22" t="s">
        <v>168</v>
      </c>
      <c r="M22" t="s">
        <v>785</v>
      </c>
      <c r="N22" t="s">
        <v>177</v>
      </c>
      <c r="O22" t="s">
        <v>148</v>
      </c>
      <c r="P22">
        <v>130</v>
      </c>
      <c r="Q22">
        <v>65</v>
      </c>
    </row>
    <row r="23" spans="1:17">
      <c r="A23" t="s">
        <v>208</v>
      </c>
      <c r="B23" t="s">
        <v>146</v>
      </c>
      <c r="C23">
        <v>4146</v>
      </c>
      <c r="D23" t="s">
        <v>223</v>
      </c>
      <c r="E23" t="s">
        <v>17</v>
      </c>
      <c r="F23" t="s">
        <v>760</v>
      </c>
      <c r="G23">
        <v>51102204</v>
      </c>
      <c r="H23" t="s">
        <v>155</v>
      </c>
      <c r="I23" t="s">
        <v>158</v>
      </c>
      <c r="J23" t="s">
        <v>158</v>
      </c>
      <c r="K23" t="s">
        <v>158</v>
      </c>
      <c r="L23" t="s">
        <v>152</v>
      </c>
      <c r="M23" t="s">
        <v>233</v>
      </c>
      <c r="N23" t="s">
        <v>168</v>
      </c>
      <c r="O23" t="s">
        <v>403</v>
      </c>
      <c r="P23">
        <v>107</v>
      </c>
      <c r="Q23">
        <v>68</v>
      </c>
    </row>
    <row r="24" spans="1:17">
      <c r="A24" t="s">
        <v>211</v>
      </c>
      <c r="B24" t="s">
        <v>146</v>
      </c>
      <c r="C24">
        <v>4139</v>
      </c>
      <c r="D24" t="s">
        <v>235</v>
      </c>
      <c r="E24" t="s">
        <v>33</v>
      </c>
      <c r="F24" t="s">
        <v>760</v>
      </c>
      <c r="G24">
        <v>52073632</v>
      </c>
      <c r="H24" t="s">
        <v>165</v>
      </c>
      <c r="I24" t="s">
        <v>243</v>
      </c>
      <c r="J24" t="s">
        <v>153</v>
      </c>
      <c r="K24" t="s">
        <v>176</v>
      </c>
      <c r="L24" t="s">
        <v>183</v>
      </c>
      <c r="M24" t="s">
        <v>149</v>
      </c>
      <c r="N24" t="s">
        <v>153</v>
      </c>
      <c r="O24" t="s">
        <v>210</v>
      </c>
      <c r="P24">
        <v>99</v>
      </c>
      <c r="Q24">
        <v>70</v>
      </c>
    </row>
    <row r="25" spans="1:17">
      <c r="A25" t="s">
        <v>213</v>
      </c>
      <c r="B25" t="s">
        <v>146</v>
      </c>
      <c r="C25">
        <v>4001</v>
      </c>
      <c r="D25" t="s">
        <v>239</v>
      </c>
      <c r="E25" t="s">
        <v>23</v>
      </c>
      <c r="F25" t="s">
        <v>760</v>
      </c>
      <c r="G25">
        <v>51167440</v>
      </c>
      <c r="H25" t="s">
        <v>210</v>
      </c>
      <c r="I25" t="s">
        <v>180</v>
      </c>
      <c r="J25" t="s">
        <v>162</v>
      </c>
      <c r="K25" t="s">
        <v>162</v>
      </c>
      <c r="L25" t="s">
        <v>158</v>
      </c>
      <c r="M25" t="s">
        <v>177</v>
      </c>
      <c r="N25" t="s">
        <v>198</v>
      </c>
      <c r="O25" t="s">
        <v>153</v>
      </c>
      <c r="P25">
        <v>87</v>
      </c>
      <c r="Q25">
        <v>70</v>
      </c>
    </row>
    <row r="26" spans="1:17">
      <c r="A26" t="s">
        <v>216</v>
      </c>
      <c r="B26" t="s">
        <v>146</v>
      </c>
      <c r="C26">
        <v>4205</v>
      </c>
      <c r="D26" t="s">
        <v>768</v>
      </c>
      <c r="E26" t="s">
        <v>5</v>
      </c>
      <c r="F26" t="s">
        <v>760</v>
      </c>
      <c r="G26">
        <v>52454232</v>
      </c>
      <c r="H26" t="s">
        <v>176</v>
      </c>
      <c r="I26" t="s">
        <v>159</v>
      </c>
      <c r="J26" t="s">
        <v>165</v>
      </c>
      <c r="K26" t="s">
        <v>159</v>
      </c>
      <c r="L26" t="s">
        <v>155</v>
      </c>
      <c r="M26" t="s">
        <v>148</v>
      </c>
      <c r="N26" t="s">
        <v>785</v>
      </c>
      <c r="O26" t="s">
        <v>233</v>
      </c>
      <c r="P26">
        <v>136</v>
      </c>
      <c r="Q26">
        <v>71</v>
      </c>
    </row>
    <row r="27" spans="1:17">
      <c r="A27" t="s">
        <v>218</v>
      </c>
      <c r="B27" t="s">
        <v>146</v>
      </c>
      <c r="C27">
        <v>4179</v>
      </c>
      <c r="D27" t="s">
        <v>217</v>
      </c>
      <c r="E27" t="s">
        <v>5</v>
      </c>
      <c r="F27" t="s">
        <v>760</v>
      </c>
      <c r="G27">
        <v>51125913</v>
      </c>
      <c r="H27" t="s">
        <v>180</v>
      </c>
      <c r="I27" t="s">
        <v>168</v>
      </c>
      <c r="J27" t="s">
        <v>183</v>
      </c>
      <c r="K27" t="s">
        <v>153</v>
      </c>
      <c r="L27" t="s">
        <v>162</v>
      </c>
      <c r="M27" t="s">
        <v>199</v>
      </c>
      <c r="N27" t="s">
        <v>152</v>
      </c>
      <c r="O27" t="s">
        <v>159</v>
      </c>
      <c r="P27">
        <v>91</v>
      </c>
      <c r="Q27">
        <v>72</v>
      </c>
    </row>
    <row r="28" spans="1:17">
      <c r="A28" t="s">
        <v>220</v>
      </c>
      <c r="B28" t="s">
        <v>146</v>
      </c>
      <c r="C28">
        <v>4201</v>
      </c>
      <c r="D28" t="s">
        <v>182</v>
      </c>
      <c r="E28" t="s">
        <v>21</v>
      </c>
      <c r="F28" t="s">
        <v>760</v>
      </c>
      <c r="G28">
        <v>53202237</v>
      </c>
      <c r="H28" t="s">
        <v>159</v>
      </c>
      <c r="I28" t="s">
        <v>215</v>
      </c>
      <c r="J28" t="s">
        <v>199</v>
      </c>
      <c r="K28" t="s">
        <v>198</v>
      </c>
      <c r="L28" t="s">
        <v>215</v>
      </c>
      <c r="M28" t="s">
        <v>155</v>
      </c>
      <c r="N28" t="s">
        <v>148</v>
      </c>
      <c r="O28" t="s">
        <v>183</v>
      </c>
      <c r="P28">
        <v>94</v>
      </c>
      <c r="Q28">
        <v>76</v>
      </c>
    </row>
    <row r="29" spans="1:17">
      <c r="A29" t="s">
        <v>222</v>
      </c>
      <c r="B29" t="s">
        <v>146</v>
      </c>
      <c r="C29">
        <v>3832</v>
      </c>
      <c r="D29" t="s">
        <v>221</v>
      </c>
      <c r="E29" t="s">
        <v>39</v>
      </c>
      <c r="F29" t="s">
        <v>760</v>
      </c>
      <c r="G29">
        <v>53956527</v>
      </c>
      <c r="H29" t="s">
        <v>215</v>
      </c>
      <c r="I29" t="s">
        <v>230</v>
      </c>
      <c r="J29" t="s">
        <v>176</v>
      </c>
      <c r="K29" t="s">
        <v>210</v>
      </c>
      <c r="L29" t="s">
        <v>278</v>
      </c>
      <c r="M29" t="s">
        <v>148</v>
      </c>
      <c r="N29" t="s">
        <v>155</v>
      </c>
      <c r="O29" t="s">
        <v>158</v>
      </c>
      <c r="P29">
        <v>106</v>
      </c>
      <c r="Q29">
        <v>79</v>
      </c>
    </row>
    <row r="30" spans="1:17">
      <c r="A30" t="s">
        <v>224</v>
      </c>
      <c r="B30" t="s">
        <v>146</v>
      </c>
      <c r="C30">
        <v>4282</v>
      </c>
      <c r="D30" t="s">
        <v>179</v>
      </c>
      <c r="E30" t="s">
        <v>23</v>
      </c>
      <c r="F30" t="s">
        <v>760</v>
      </c>
      <c r="G30">
        <v>52192618</v>
      </c>
      <c r="H30" t="s">
        <v>159</v>
      </c>
      <c r="I30" t="s">
        <v>176</v>
      </c>
      <c r="J30" t="s">
        <v>420</v>
      </c>
      <c r="K30" t="s">
        <v>233</v>
      </c>
      <c r="L30" t="s">
        <v>215</v>
      </c>
      <c r="M30" t="s">
        <v>153</v>
      </c>
      <c r="N30" t="s">
        <v>158</v>
      </c>
      <c r="O30" t="s">
        <v>152</v>
      </c>
      <c r="P30">
        <v>123</v>
      </c>
      <c r="Q30">
        <v>79</v>
      </c>
    </row>
    <row r="31" spans="1:17">
      <c r="A31" t="s">
        <v>226</v>
      </c>
      <c r="B31" t="s">
        <v>146</v>
      </c>
      <c r="C31">
        <v>4292</v>
      </c>
      <c r="D31" t="s">
        <v>227</v>
      </c>
      <c r="E31" t="s">
        <v>23</v>
      </c>
      <c r="F31" t="s">
        <v>760</v>
      </c>
      <c r="G31">
        <v>51339867</v>
      </c>
      <c r="H31" t="s">
        <v>152</v>
      </c>
      <c r="I31" t="s">
        <v>183</v>
      </c>
      <c r="J31" t="s">
        <v>210</v>
      </c>
      <c r="K31" t="s">
        <v>165</v>
      </c>
      <c r="L31" t="s">
        <v>210</v>
      </c>
      <c r="M31" t="s">
        <v>158</v>
      </c>
      <c r="N31" t="s">
        <v>199</v>
      </c>
      <c r="O31" t="s">
        <v>168</v>
      </c>
      <c r="P31">
        <v>101</v>
      </c>
      <c r="Q31">
        <v>82</v>
      </c>
    </row>
    <row r="32" spans="1:17">
      <c r="A32" t="s">
        <v>228</v>
      </c>
      <c r="B32" t="s">
        <v>146</v>
      </c>
      <c r="C32">
        <v>4185</v>
      </c>
      <c r="D32" t="s">
        <v>197</v>
      </c>
      <c r="E32" t="s">
        <v>16</v>
      </c>
      <c r="F32" t="s">
        <v>760</v>
      </c>
      <c r="G32">
        <v>53831603</v>
      </c>
      <c r="H32" t="s">
        <v>247</v>
      </c>
      <c r="I32" t="s">
        <v>247</v>
      </c>
      <c r="J32" t="s">
        <v>152</v>
      </c>
      <c r="K32" t="s">
        <v>177</v>
      </c>
      <c r="L32" t="s">
        <v>162</v>
      </c>
      <c r="M32" t="s">
        <v>159</v>
      </c>
      <c r="N32" t="s">
        <v>148</v>
      </c>
      <c r="O32" t="s">
        <v>477</v>
      </c>
      <c r="P32">
        <v>135</v>
      </c>
      <c r="Q32">
        <v>85</v>
      </c>
    </row>
    <row r="33" spans="1:17">
      <c r="A33" t="s">
        <v>231</v>
      </c>
      <c r="B33" t="s">
        <v>146</v>
      </c>
      <c r="C33">
        <v>4171</v>
      </c>
      <c r="D33" t="s">
        <v>260</v>
      </c>
      <c r="E33" t="s">
        <v>9</v>
      </c>
      <c r="F33" t="s">
        <v>760</v>
      </c>
      <c r="G33">
        <v>51183098</v>
      </c>
      <c r="H33" t="s">
        <v>176</v>
      </c>
      <c r="I33" t="s">
        <v>153</v>
      </c>
      <c r="J33" t="s">
        <v>158</v>
      </c>
      <c r="K33" t="s">
        <v>148</v>
      </c>
      <c r="L33" t="s">
        <v>152</v>
      </c>
      <c r="M33" t="s">
        <v>369</v>
      </c>
      <c r="N33" t="s">
        <v>785</v>
      </c>
      <c r="O33" t="s">
        <v>168</v>
      </c>
      <c r="P33">
        <v>151</v>
      </c>
      <c r="Q33">
        <v>86</v>
      </c>
    </row>
    <row r="34" spans="1:17">
      <c r="A34" t="s">
        <v>234</v>
      </c>
      <c r="B34" t="s">
        <v>146</v>
      </c>
      <c r="C34">
        <v>4259</v>
      </c>
      <c r="D34" t="s">
        <v>772</v>
      </c>
      <c r="E34" t="s">
        <v>26</v>
      </c>
      <c r="F34" t="s">
        <v>760</v>
      </c>
      <c r="G34">
        <v>51125616</v>
      </c>
      <c r="H34" t="s">
        <v>198</v>
      </c>
      <c r="I34" t="s">
        <v>159</v>
      </c>
      <c r="J34" t="s">
        <v>183</v>
      </c>
      <c r="K34" t="s">
        <v>155</v>
      </c>
      <c r="L34" t="s">
        <v>148</v>
      </c>
      <c r="M34" t="s">
        <v>828</v>
      </c>
      <c r="N34" t="s">
        <v>165</v>
      </c>
      <c r="O34" t="s">
        <v>244</v>
      </c>
      <c r="P34">
        <v>152</v>
      </c>
      <c r="Q34">
        <v>87</v>
      </c>
    </row>
    <row r="35" spans="1:17">
      <c r="A35" t="s">
        <v>236</v>
      </c>
      <c r="B35" t="s">
        <v>146</v>
      </c>
      <c r="C35">
        <v>4030</v>
      </c>
      <c r="D35" t="s">
        <v>242</v>
      </c>
      <c r="E35" t="s">
        <v>17</v>
      </c>
      <c r="F35" t="s">
        <v>760</v>
      </c>
      <c r="G35">
        <v>51358051</v>
      </c>
      <c r="H35" t="s">
        <v>154</v>
      </c>
      <c r="I35" t="s">
        <v>153</v>
      </c>
      <c r="J35" t="s">
        <v>165</v>
      </c>
      <c r="K35" t="s">
        <v>152</v>
      </c>
      <c r="L35" t="s">
        <v>153</v>
      </c>
      <c r="M35" t="s">
        <v>412</v>
      </c>
      <c r="N35" t="s">
        <v>285</v>
      </c>
      <c r="O35" t="s">
        <v>198</v>
      </c>
      <c r="P35">
        <v>133</v>
      </c>
      <c r="Q35">
        <v>87</v>
      </c>
    </row>
    <row r="36" spans="1:17">
      <c r="A36" t="s">
        <v>238</v>
      </c>
      <c r="B36" t="s">
        <v>146</v>
      </c>
      <c r="C36">
        <v>4280</v>
      </c>
      <c r="D36" t="s">
        <v>762</v>
      </c>
      <c r="E36" t="s">
        <v>33</v>
      </c>
      <c r="F36" t="s">
        <v>760</v>
      </c>
      <c r="G36">
        <v>52366183</v>
      </c>
      <c r="H36" t="s">
        <v>149</v>
      </c>
      <c r="I36" t="s">
        <v>155</v>
      </c>
      <c r="J36" t="s">
        <v>215</v>
      </c>
      <c r="K36" t="s">
        <v>168</v>
      </c>
      <c r="L36" t="s">
        <v>210</v>
      </c>
      <c r="M36" t="s">
        <v>149</v>
      </c>
      <c r="N36" t="s">
        <v>319</v>
      </c>
      <c r="O36" t="s">
        <v>278</v>
      </c>
      <c r="P36">
        <v>122</v>
      </c>
      <c r="Q36">
        <v>88</v>
      </c>
    </row>
    <row r="37" spans="1:17">
      <c r="A37" t="s">
        <v>241</v>
      </c>
      <c r="B37" t="s">
        <v>146</v>
      </c>
      <c r="C37">
        <v>4285</v>
      </c>
      <c r="D37" t="s">
        <v>773</v>
      </c>
      <c r="E37" t="s">
        <v>21</v>
      </c>
      <c r="F37" t="s">
        <v>760</v>
      </c>
      <c r="G37">
        <v>52875058</v>
      </c>
      <c r="H37" t="s">
        <v>159</v>
      </c>
      <c r="I37" t="s">
        <v>278</v>
      </c>
      <c r="J37" t="s">
        <v>210</v>
      </c>
      <c r="K37" t="s">
        <v>273</v>
      </c>
      <c r="L37" t="s">
        <v>240</v>
      </c>
      <c r="M37" t="s">
        <v>152</v>
      </c>
      <c r="N37" t="s">
        <v>155</v>
      </c>
      <c r="O37" t="s">
        <v>154</v>
      </c>
      <c r="P37">
        <v>128</v>
      </c>
      <c r="Q37">
        <v>90</v>
      </c>
    </row>
    <row r="38" spans="1:17">
      <c r="A38" t="s">
        <v>245</v>
      </c>
      <c r="B38" t="s">
        <v>146</v>
      </c>
      <c r="C38">
        <v>4193</v>
      </c>
      <c r="D38" t="s">
        <v>766</v>
      </c>
      <c r="E38" t="s">
        <v>10</v>
      </c>
      <c r="F38" t="s">
        <v>760</v>
      </c>
      <c r="G38">
        <v>51261170</v>
      </c>
      <c r="H38" t="s">
        <v>177</v>
      </c>
      <c r="I38" t="s">
        <v>159</v>
      </c>
      <c r="J38" t="s">
        <v>159</v>
      </c>
      <c r="K38" t="s">
        <v>215</v>
      </c>
      <c r="L38" t="s">
        <v>165</v>
      </c>
      <c r="M38" t="s">
        <v>198</v>
      </c>
      <c r="N38" t="s">
        <v>180</v>
      </c>
      <c r="O38" t="s">
        <v>247</v>
      </c>
      <c r="P38">
        <v>117</v>
      </c>
      <c r="Q38">
        <v>91</v>
      </c>
    </row>
    <row r="39" spans="1:17">
      <c r="A39" t="s">
        <v>248</v>
      </c>
      <c r="B39" t="s">
        <v>146</v>
      </c>
      <c r="C39">
        <v>3828</v>
      </c>
      <c r="D39" t="s">
        <v>770</v>
      </c>
      <c r="E39" t="s">
        <v>11</v>
      </c>
      <c r="F39" t="s">
        <v>760</v>
      </c>
      <c r="G39">
        <v>52909554</v>
      </c>
      <c r="H39" t="s">
        <v>263</v>
      </c>
      <c r="I39" t="s">
        <v>152</v>
      </c>
      <c r="J39" t="s">
        <v>177</v>
      </c>
      <c r="K39" t="s">
        <v>180</v>
      </c>
      <c r="L39" t="s">
        <v>319</v>
      </c>
      <c r="M39" t="s">
        <v>176</v>
      </c>
      <c r="N39" t="s">
        <v>177</v>
      </c>
      <c r="O39" t="s">
        <v>240</v>
      </c>
      <c r="P39">
        <v>127</v>
      </c>
      <c r="Q39">
        <v>93</v>
      </c>
    </row>
    <row r="40" spans="1:17">
      <c r="A40" t="s">
        <v>250</v>
      </c>
      <c r="B40" t="s">
        <v>146</v>
      </c>
      <c r="C40">
        <v>4181</v>
      </c>
      <c r="D40" t="s">
        <v>207</v>
      </c>
      <c r="E40" t="s">
        <v>5</v>
      </c>
      <c r="F40" t="s">
        <v>760</v>
      </c>
      <c r="G40">
        <v>52699830</v>
      </c>
      <c r="H40" t="s">
        <v>186</v>
      </c>
      <c r="I40" t="s">
        <v>165</v>
      </c>
      <c r="J40" t="s">
        <v>177</v>
      </c>
      <c r="K40" t="s">
        <v>165</v>
      </c>
      <c r="L40" t="s">
        <v>168</v>
      </c>
      <c r="M40" t="s">
        <v>869</v>
      </c>
      <c r="N40" t="s">
        <v>215</v>
      </c>
      <c r="O40" t="s">
        <v>180</v>
      </c>
      <c r="P40">
        <v>119</v>
      </c>
      <c r="Q40">
        <v>99</v>
      </c>
    </row>
    <row r="41" spans="1:17">
      <c r="A41" t="s">
        <v>252</v>
      </c>
      <c r="B41" t="s">
        <v>146</v>
      </c>
      <c r="C41">
        <v>4073</v>
      </c>
      <c r="D41" t="s">
        <v>774</v>
      </c>
      <c r="E41" t="s">
        <v>33</v>
      </c>
      <c r="F41" t="s">
        <v>760</v>
      </c>
      <c r="G41">
        <v>51270746</v>
      </c>
      <c r="H41" t="s">
        <v>230</v>
      </c>
      <c r="I41" t="s">
        <v>210</v>
      </c>
      <c r="J41" t="s">
        <v>199</v>
      </c>
      <c r="K41" t="s">
        <v>199</v>
      </c>
      <c r="L41" t="s">
        <v>199</v>
      </c>
      <c r="M41" t="s">
        <v>215</v>
      </c>
      <c r="N41" t="s">
        <v>199</v>
      </c>
      <c r="O41" t="s">
        <v>198</v>
      </c>
      <c r="P41">
        <v>122</v>
      </c>
      <c r="Q41">
        <v>99</v>
      </c>
    </row>
    <row r="42" spans="1:17">
      <c r="A42" t="s">
        <v>255</v>
      </c>
      <c r="B42" t="s">
        <v>146</v>
      </c>
      <c r="C42">
        <v>4234</v>
      </c>
      <c r="D42" t="s">
        <v>769</v>
      </c>
      <c r="E42" t="s">
        <v>17</v>
      </c>
      <c r="F42" t="s">
        <v>760</v>
      </c>
      <c r="G42">
        <v>52755200</v>
      </c>
      <c r="H42" t="s">
        <v>198</v>
      </c>
      <c r="I42" t="s">
        <v>153</v>
      </c>
      <c r="J42" t="s">
        <v>198</v>
      </c>
      <c r="K42" t="s">
        <v>158</v>
      </c>
      <c r="L42" t="s">
        <v>177</v>
      </c>
      <c r="M42" t="s">
        <v>266</v>
      </c>
      <c r="N42" t="s">
        <v>240</v>
      </c>
      <c r="O42" t="s">
        <v>263</v>
      </c>
      <c r="P42">
        <v>125</v>
      </c>
      <c r="Q42">
        <v>100</v>
      </c>
    </row>
    <row r="43" spans="1:17">
      <c r="A43" t="s">
        <v>257</v>
      </c>
      <c r="B43" t="s">
        <v>146</v>
      </c>
      <c r="C43">
        <v>4195</v>
      </c>
      <c r="D43" t="s">
        <v>251</v>
      </c>
      <c r="E43" t="s">
        <v>26</v>
      </c>
      <c r="F43" t="s">
        <v>760</v>
      </c>
      <c r="G43">
        <v>54627320</v>
      </c>
      <c r="H43" t="s">
        <v>199</v>
      </c>
      <c r="I43" t="s">
        <v>240</v>
      </c>
      <c r="J43" t="s">
        <v>176</v>
      </c>
      <c r="K43" t="s">
        <v>177</v>
      </c>
      <c r="L43" t="s">
        <v>162</v>
      </c>
      <c r="M43" t="s">
        <v>180</v>
      </c>
      <c r="N43" t="s">
        <v>233</v>
      </c>
      <c r="O43" t="s">
        <v>785</v>
      </c>
      <c r="P43">
        <v>167</v>
      </c>
      <c r="Q43">
        <v>102</v>
      </c>
    </row>
    <row r="44" spans="1:17">
      <c r="A44" t="s">
        <v>259</v>
      </c>
      <c r="B44" t="s">
        <v>146</v>
      </c>
      <c r="C44">
        <v>3938</v>
      </c>
      <c r="D44" t="s">
        <v>209</v>
      </c>
      <c r="E44" t="s">
        <v>8</v>
      </c>
      <c r="F44" t="s">
        <v>760</v>
      </c>
      <c r="G44">
        <v>53185733</v>
      </c>
      <c r="H44" t="s">
        <v>153</v>
      </c>
      <c r="I44" t="s">
        <v>215</v>
      </c>
      <c r="J44" t="s">
        <v>177</v>
      </c>
      <c r="K44" t="s">
        <v>158</v>
      </c>
      <c r="L44" t="s">
        <v>198</v>
      </c>
      <c r="M44" t="s">
        <v>153</v>
      </c>
      <c r="N44" t="s">
        <v>355</v>
      </c>
      <c r="O44" t="s">
        <v>785</v>
      </c>
      <c r="P44">
        <v>169</v>
      </c>
      <c r="Q44">
        <v>104</v>
      </c>
    </row>
    <row r="45" spans="1:17">
      <c r="A45" t="s">
        <v>261</v>
      </c>
      <c r="B45" t="s">
        <v>146</v>
      </c>
      <c r="C45">
        <v>4167</v>
      </c>
      <c r="D45" t="s">
        <v>280</v>
      </c>
      <c r="E45" t="s">
        <v>17</v>
      </c>
      <c r="F45" t="s">
        <v>760</v>
      </c>
      <c r="G45">
        <v>52366875</v>
      </c>
      <c r="H45" t="s">
        <v>165</v>
      </c>
      <c r="I45" t="s">
        <v>199</v>
      </c>
      <c r="J45" t="s">
        <v>180</v>
      </c>
      <c r="K45" t="s">
        <v>177</v>
      </c>
      <c r="L45" t="s">
        <v>159</v>
      </c>
      <c r="M45" t="s">
        <v>230</v>
      </c>
      <c r="N45" t="s">
        <v>240</v>
      </c>
      <c r="O45" t="s">
        <v>230</v>
      </c>
      <c r="P45">
        <v>129</v>
      </c>
      <c r="Q45">
        <v>104</v>
      </c>
    </row>
    <row r="46" spans="1:17">
      <c r="A46" t="s">
        <v>264</v>
      </c>
      <c r="B46" t="s">
        <v>146</v>
      </c>
      <c r="C46">
        <v>4152</v>
      </c>
      <c r="D46" t="s">
        <v>325</v>
      </c>
      <c r="E46" t="s">
        <v>11</v>
      </c>
      <c r="F46" t="s">
        <v>760</v>
      </c>
      <c r="G46">
        <v>52003396</v>
      </c>
      <c r="H46" t="s">
        <v>177</v>
      </c>
      <c r="I46" t="s">
        <v>148</v>
      </c>
      <c r="J46" t="s">
        <v>168</v>
      </c>
      <c r="K46" t="s">
        <v>198</v>
      </c>
      <c r="L46" t="s">
        <v>176</v>
      </c>
      <c r="M46" t="s">
        <v>278</v>
      </c>
      <c r="N46" t="s">
        <v>247</v>
      </c>
      <c r="O46" t="s">
        <v>785</v>
      </c>
      <c r="P46">
        <v>174</v>
      </c>
      <c r="Q46">
        <v>109</v>
      </c>
    </row>
    <row r="47" spans="1:17">
      <c r="A47" t="s">
        <v>267</v>
      </c>
      <c r="B47" t="s">
        <v>146</v>
      </c>
      <c r="C47">
        <v>3995</v>
      </c>
      <c r="D47" t="s">
        <v>360</v>
      </c>
      <c r="E47" t="s">
        <v>5</v>
      </c>
      <c r="F47" t="s">
        <v>760</v>
      </c>
      <c r="G47">
        <v>52861772</v>
      </c>
      <c r="H47" t="s">
        <v>198</v>
      </c>
      <c r="I47" t="s">
        <v>278</v>
      </c>
      <c r="J47" t="s">
        <v>318</v>
      </c>
      <c r="K47" t="s">
        <v>180</v>
      </c>
      <c r="L47" t="s">
        <v>263</v>
      </c>
      <c r="M47" t="s">
        <v>176</v>
      </c>
      <c r="N47" t="s">
        <v>168</v>
      </c>
      <c r="O47" t="s">
        <v>155</v>
      </c>
      <c r="P47">
        <v>146</v>
      </c>
      <c r="Q47">
        <v>114</v>
      </c>
    </row>
    <row r="48" spans="1:17">
      <c r="A48" t="s">
        <v>269</v>
      </c>
      <c r="B48" t="s">
        <v>146</v>
      </c>
      <c r="C48">
        <v>4117</v>
      </c>
      <c r="D48" t="s">
        <v>289</v>
      </c>
      <c r="E48" t="s">
        <v>9</v>
      </c>
      <c r="F48" t="s">
        <v>760</v>
      </c>
      <c r="G48">
        <v>52164372</v>
      </c>
      <c r="H48" t="s">
        <v>152</v>
      </c>
      <c r="I48" t="s">
        <v>198</v>
      </c>
      <c r="J48" t="s">
        <v>240</v>
      </c>
      <c r="K48" t="s">
        <v>247</v>
      </c>
      <c r="L48" t="s">
        <v>263</v>
      </c>
      <c r="M48" t="s">
        <v>785</v>
      </c>
      <c r="N48" t="s">
        <v>152</v>
      </c>
      <c r="O48" t="s">
        <v>215</v>
      </c>
      <c r="P48">
        <v>182</v>
      </c>
      <c r="Q48">
        <v>117</v>
      </c>
    </row>
    <row r="49" spans="1:17">
      <c r="A49" t="s">
        <v>271</v>
      </c>
      <c r="B49" t="s">
        <v>146</v>
      </c>
      <c r="C49">
        <v>4237</v>
      </c>
      <c r="D49" t="s">
        <v>315</v>
      </c>
      <c r="E49" t="s">
        <v>26</v>
      </c>
      <c r="F49" t="s">
        <v>760</v>
      </c>
      <c r="G49">
        <v>50903230</v>
      </c>
      <c r="H49" t="s">
        <v>176</v>
      </c>
      <c r="I49" t="s">
        <v>369</v>
      </c>
      <c r="J49" t="s">
        <v>240</v>
      </c>
      <c r="K49" t="s">
        <v>230</v>
      </c>
      <c r="L49" t="s">
        <v>180</v>
      </c>
      <c r="M49" t="s">
        <v>152</v>
      </c>
      <c r="N49" t="s">
        <v>176</v>
      </c>
      <c r="O49" t="s">
        <v>278</v>
      </c>
      <c r="P49">
        <v>154</v>
      </c>
      <c r="Q49">
        <v>117</v>
      </c>
    </row>
    <row r="50" spans="1:17">
      <c r="A50" t="s">
        <v>274</v>
      </c>
      <c r="B50" t="s">
        <v>146</v>
      </c>
      <c r="C50">
        <v>4049</v>
      </c>
      <c r="D50" t="s">
        <v>287</v>
      </c>
      <c r="E50" t="s">
        <v>7</v>
      </c>
      <c r="F50" t="s">
        <v>760</v>
      </c>
      <c r="G50">
        <v>52856304</v>
      </c>
      <c r="H50" t="s">
        <v>168</v>
      </c>
      <c r="I50" t="s">
        <v>177</v>
      </c>
      <c r="J50" t="s">
        <v>369</v>
      </c>
      <c r="K50" t="s">
        <v>263</v>
      </c>
      <c r="L50" t="s">
        <v>306</v>
      </c>
      <c r="M50" t="s">
        <v>873</v>
      </c>
      <c r="N50" t="s">
        <v>183</v>
      </c>
      <c r="O50" t="s">
        <v>165</v>
      </c>
      <c r="P50">
        <v>162</v>
      </c>
      <c r="Q50">
        <v>125</v>
      </c>
    </row>
    <row r="51" spans="1:17">
      <c r="A51" t="s">
        <v>276</v>
      </c>
      <c r="B51" t="s">
        <v>146</v>
      </c>
      <c r="C51">
        <v>4096</v>
      </c>
      <c r="D51" t="s">
        <v>262</v>
      </c>
      <c r="E51" t="s">
        <v>9</v>
      </c>
      <c r="F51" t="s">
        <v>760</v>
      </c>
      <c r="G51">
        <v>51397535</v>
      </c>
      <c r="H51" t="s">
        <v>153</v>
      </c>
      <c r="I51" t="s">
        <v>785</v>
      </c>
      <c r="J51" t="s">
        <v>247</v>
      </c>
      <c r="K51" t="s">
        <v>199</v>
      </c>
      <c r="L51" t="s">
        <v>176</v>
      </c>
      <c r="M51" t="s">
        <v>165</v>
      </c>
      <c r="N51" t="s">
        <v>266</v>
      </c>
      <c r="O51" t="s">
        <v>319</v>
      </c>
      <c r="P51">
        <v>192</v>
      </c>
      <c r="Q51">
        <v>127</v>
      </c>
    </row>
    <row r="52" spans="1:17">
      <c r="A52" t="s">
        <v>279</v>
      </c>
      <c r="B52" t="s">
        <v>146</v>
      </c>
      <c r="C52">
        <v>4162</v>
      </c>
      <c r="D52" t="s">
        <v>282</v>
      </c>
      <c r="E52" t="s">
        <v>171</v>
      </c>
      <c r="F52" t="s">
        <v>760</v>
      </c>
      <c r="G52">
        <v>52159528</v>
      </c>
      <c r="H52" t="s">
        <v>233</v>
      </c>
      <c r="I52" t="s">
        <v>198</v>
      </c>
      <c r="J52" t="s">
        <v>183</v>
      </c>
      <c r="K52" t="s">
        <v>180</v>
      </c>
      <c r="L52" t="s">
        <v>198</v>
      </c>
      <c r="M52" t="s">
        <v>186</v>
      </c>
      <c r="N52" t="s">
        <v>785</v>
      </c>
      <c r="O52" t="s">
        <v>230</v>
      </c>
      <c r="P52">
        <v>193</v>
      </c>
      <c r="Q52">
        <v>128</v>
      </c>
    </row>
    <row r="53" spans="1:17">
      <c r="A53" t="s">
        <v>281</v>
      </c>
      <c r="B53" t="s">
        <v>146</v>
      </c>
      <c r="C53">
        <v>3675</v>
      </c>
      <c r="D53" t="s">
        <v>296</v>
      </c>
      <c r="E53" t="s">
        <v>7</v>
      </c>
      <c r="F53" t="s">
        <v>760</v>
      </c>
      <c r="G53">
        <v>53236008</v>
      </c>
      <c r="H53" t="s">
        <v>785</v>
      </c>
      <c r="I53" t="s">
        <v>240</v>
      </c>
      <c r="J53" t="s">
        <v>319</v>
      </c>
      <c r="K53" t="s">
        <v>244</v>
      </c>
      <c r="L53" t="s">
        <v>233</v>
      </c>
      <c r="M53" t="s">
        <v>180</v>
      </c>
      <c r="N53" t="s">
        <v>154</v>
      </c>
      <c r="O53" t="s">
        <v>177</v>
      </c>
      <c r="P53">
        <v>200</v>
      </c>
      <c r="Q53">
        <v>135</v>
      </c>
    </row>
    <row r="54" spans="1:17">
      <c r="A54" t="s">
        <v>283</v>
      </c>
      <c r="B54" t="s">
        <v>146</v>
      </c>
      <c r="C54">
        <v>4267</v>
      </c>
      <c r="D54" t="s">
        <v>303</v>
      </c>
      <c r="E54" t="s">
        <v>9</v>
      </c>
      <c r="F54" t="s">
        <v>760</v>
      </c>
      <c r="G54">
        <v>52113290</v>
      </c>
      <c r="H54" t="s">
        <v>186</v>
      </c>
      <c r="I54" t="s">
        <v>240</v>
      </c>
      <c r="J54" t="s">
        <v>247</v>
      </c>
      <c r="K54" t="s">
        <v>215</v>
      </c>
      <c r="L54" t="s">
        <v>198</v>
      </c>
      <c r="M54" t="s">
        <v>154</v>
      </c>
      <c r="N54" t="s">
        <v>247</v>
      </c>
      <c r="O54" t="s">
        <v>785</v>
      </c>
      <c r="P54">
        <v>200</v>
      </c>
      <c r="Q54">
        <v>135</v>
      </c>
    </row>
    <row r="55" spans="1:17">
      <c r="A55" t="s">
        <v>286</v>
      </c>
      <c r="B55" t="s">
        <v>146</v>
      </c>
      <c r="C55">
        <v>4218</v>
      </c>
      <c r="D55" t="s">
        <v>268</v>
      </c>
      <c r="E55" t="s">
        <v>33</v>
      </c>
      <c r="F55" t="s">
        <v>760</v>
      </c>
      <c r="G55">
        <v>52085390</v>
      </c>
      <c r="H55" t="s">
        <v>183</v>
      </c>
      <c r="I55" t="s">
        <v>177</v>
      </c>
      <c r="J55" t="s">
        <v>263</v>
      </c>
      <c r="K55" t="s">
        <v>183</v>
      </c>
      <c r="L55" t="s">
        <v>294</v>
      </c>
      <c r="M55" t="s">
        <v>828</v>
      </c>
      <c r="N55" t="s">
        <v>198</v>
      </c>
      <c r="O55" t="s">
        <v>318</v>
      </c>
      <c r="P55">
        <v>207</v>
      </c>
      <c r="Q55">
        <v>142</v>
      </c>
    </row>
    <row r="56" spans="1:17">
      <c r="A56" t="s">
        <v>288</v>
      </c>
      <c r="B56" t="s">
        <v>146</v>
      </c>
      <c r="C56">
        <v>4011</v>
      </c>
      <c r="D56" t="s">
        <v>258</v>
      </c>
      <c r="E56" t="s">
        <v>7</v>
      </c>
      <c r="F56" t="s">
        <v>760</v>
      </c>
      <c r="G56">
        <v>52768606</v>
      </c>
      <c r="H56" t="s">
        <v>168</v>
      </c>
      <c r="I56" t="s">
        <v>266</v>
      </c>
      <c r="J56" t="s">
        <v>215</v>
      </c>
      <c r="K56" t="s">
        <v>828</v>
      </c>
      <c r="L56" t="s">
        <v>183</v>
      </c>
      <c r="M56" t="s">
        <v>168</v>
      </c>
      <c r="N56" t="s">
        <v>244</v>
      </c>
      <c r="O56" t="s">
        <v>186</v>
      </c>
      <c r="P56">
        <v>207</v>
      </c>
      <c r="Q56">
        <v>142</v>
      </c>
    </row>
    <row r="57" spans="1:17">
      <c r="A57" t="s">
        <v>290</v>
      </c>
      <c r="B57" t="s">
        <v>146</v>
      </c>
      <c r="C57">
        <v>4104</v>
      </c>
      <c r="D57" t="s">
        <v>291</v>
      </c>
      <c r="E57" t="s">
        <v>33</v>
      </c>
      <c r="F57" t="s">
        <v>760</v>
      </c>
      <c r="G57">
        <v>54029308</v>
      </c>
      <c r="H57" t="s">
        <v>299</v>
      </c>
      <c r="I57" t="s">
        <v>199</v>
      </c>
      <c r="J57" t="s">
        <v>186</v>
      </c>
      <c r="K57" t="s">
        <v>318</v>
      </c>
      <c r="L57" t="s">
        <v>266</v>
      </c>
      <c r="M57" t="s">
        <v>785</v>
      </c>
      <c r="N57" t="s">
        <v>198</v>
      </c>
      <c r="O57" t="s">
        <v>177</v>
      </c>
      <c r="P57">
        <v>208</v>
      </c>
      <c r="Q57">
        <v>143</v>
      </c>
    </row>
    <row r="58" spans="1:17">
      <c r="A58" t="s">
        <v>292</v>
      </c>
      <c r="B58" t="s">
        <v>146</v>
      </c>
      <c r="C58">
        <v>4243</v>
      </c>
      <c r="D58" t="s">
        <v>394</v>
      </c>
      <c r="E58" t="s">
        <v>22</v>
      </c>
      <c r="F58" t="s">
        <v>760</v>
      </c>
      <c r="G58">
        <v>52448630</v>
      </c>
      <c r="H58" t="s">
        <v>785</v>
      </c>
      <c r="I58" t="s">
        <v>210</v>
      </c>
      <c r="J58" t="s">
        <v>278</v>
      </c>
      <c r="K58" t="s">
        <v>243</v>
      </c>
      <c r="L58" t="s">
        <v>313</v>
      </c>
      <c r="M58" t="s">
        <v>230</v>
      </c>
      <c r="N58" t="s">
        <v>162</v>
      </c>
      <c r="O58" t="s">
        <v>162</v>
      </c>
      <c r="P58">
        <v>209</v>
      </c>
      <c r="Q58">
        <v>144</v>
      </c>
    </row>
    <row r="59" spans="1:17">
      <c r="A59" t="s">
        <v>295</v>
      </c>
      <c r="B59" t="s">
        <v>146</v>
      </c>
      <c r="C59">
        <v>3793</v>
      </c>
      <c r="D59" t="s">
        <v>352</v>
      </c>
      <c r="E59" t="s">
        <v>31</v>
      </c>
      <c r="F59" t="s">
        <v>760</v>
      </c>
      <c r="G59">
        <v>52118147</v>
      </c>
      <c r="H59" t="s">
        <v>210</v>
      </c>
      <c r="I59" t="s">
        <v>158</v>
      </c>
      <c r="J59" t="s">
        <v>403</v>
      </c>
      <c r="K59" t="s">
        <v>233</v>
      </c>
      <c r="L59" t="s">
        <v>177</v>
      </c>
      <c r="M59" t="s">
        <v>273</v>
      </c>
      <c r="N59" t="s">
        <v>412</v>
      </c>
      <c r="O59" t="s">
        <v>215</v>
      </c>
      <c r="P59">
        <v>193</v>
      </c>
      <c r="Q59">
        <v>147</v>
      </c>
    </row>
    <row r="60" spans="1:17">
      <c r="A60" t="s">
        <v>297</v>
      </c>
      <c r="B60" t="s">
        <v>146</v>
      </c>
      <c r="C60">
        <v>4136</v>
      </c>
      <c r="D60" t="s">
        <v>771</v>
      </c>
      <c r="E60" t="s">
        <v>7</v>
      </c>
      <c r="F60" t="s">
        <v>760</v>
      </c>
      <c r="G60">
        <v>52448420</v>
      </c>
      <c r="H60" t="s">
        <v>180</v>
      </c>
      <c r="I60" t="s">
        <v>176</v>
      </c>
      <c r="J60" t="s">
        <v>168</v>
      </c>
      <c r="K60" t="s">
        <v>356</v>
      </c>
      <c r="L60" t="s">
        <v>186</v>
      </c>
      <c r="M60" t="s">
        <v>263</v>
      </c>
      <c r="N60" t="s">
        <v>263</v>
      </c>
      <c r="O60" t="s">
        <v>785</v>
      </c>
      <c r="P60">
        <v>212</v>
      </c>
      <c r="Q60">
        <v>147</v>
      </c>
    </row>
    <row r="61" spans="1:17">
      <c r="A61" t="s">
        <v>300</v>
      </c>
      <c r="B61" t="s">
        <v>146</v>
      </c>
      <c r="C61">
        <v>4093</v>
      </c>
      <c r="D61" t="s">
        <v>270</v>
      </c>
      <c r="E61" t="s">
        <v>23</v>
      </c>
      <c r="F61" t="s">
        <v>760</v>
      </c>
      <c r="G61">
        <v>52136031</v>
      </c>
      <c r="H61" t="s">
        <v>180</v>
      </c>
      <c r="I61" t="s">
        <v>785</v>
      </c>
      <c r="J61" t="s">
        <v>152</v>
      </c>
      <c r="K61" t="s">
        <v>183</v>
      </c>
      <c r="L61" t="s">
        <v>165</v>
      </c>
      <c r="M61" t="s">
        <v>438</v>
      </c>
      <c r="N61" t="s">
        <v>313</v>
      </c>
      <c r="O61" t="s">
        <v>247</v>
      </c>
      <c r="P61">
        <v>214</v>
      </c>
      <c r="Q61">
        <v>149</v>
      </c>
    </row>
    <row r="62" spans="1:17">
      <c r="A62" t="s">
        <v>302</v>
      </c>
      <c r="B62" t="s">
        <v>146</v>
      </c>
      <c r="C62">
        <v>3953</v>
      </c>
      <c r="D62" t="s">
        <v>778</v>
      </c>
      <c r="E62" t="s">
        <v>31</v>
      </c>
      <c r="F62" t="s">
        <v>760</v>
      </c>
      <c r="G62">
        <v>50899423</v>
      </c>
      <c r="H62" t="s">
        <v>278</v>
      </c>
      <c r="I62" t="s">
        <v>318</v>
      </c>
      <c r="J62" t="s">
        <v>326</v>
      </c>
      <c r="K62" t="s">
        <v>244</v>
      </c>
      <c r="L62" t="s">
        <v>199</v>
      </c>
      <c r="M62" t="s">
        <v>266</v>
      </c>
      <c r="N62" t="s">
        <v>183</v>
      </c>
      <c r="O62" t="s">
        <v>199</v>
      </c>
      <c r="P62">
        <v>191</v>
      </c>
      <c r="Q62">
        <v>149</v>
      </c>
    </row>
    <row r="63" spans="1:17">
      <c r="A63" t="s">
        <v>304</v>
      </c>
      <c r="B63" t="s">
        <v>146</v>
      </c>
      <c r="C63">
        <v>3908</v>
      </c>
      <c r="D63" t="s">
        <v>344</v>
      </c>
      <c r="E63" t="s">
        <v>11</v>
      </c>
      <c r="F63" t="s">
        <v>760</v>
      </c>
      <c r="G63">
        <v>52698988</v>
      </c>
      <c r="H63" t="s">
        <v>266</v>
      </c>
      <c r="I63" t="s">
        <v>247</v>
      </c>
      <c r="J63" t="s">
        <v>165</v>
      </c>
      <c r="K63" t="s">
        <v>243</v>
      </c>
      <c r="L63" t="s">
        <v>247</v>
      </c>
      <c r="M63" t="s">
        <v>168</v>
      </c>
      <c r="N63" t="s">
        <v>244</v>
      </c>
      <c r="O63" t="s">
        <v>183</v>
      </c>
      <c r="P63">
        <v>179</v>
      </c>
      <c r="Q63">
        <v>150</v>
      </c>
    </row>
    <row r="64" spans="1:17">
      <c r="A64" t="s">
        <v>307</v>
      </c>
      <c r="B64" t="s">
        <v>146</v>
      </c>
      <c r="C64">
        <v>4204</v>
      </c>
      <c r="D64" t="s">
        <v>188</v>
      </c>
      <c r="E64" t="s">
        <v>26</v>
      </c>
      <c r="F64" t="s">
        <v>760</v>
      </c>
      <c r="G64">
        <v>52122807</v>
      </c>
      <c r="H64" t="s">
        <v>149</v>
      </c>
      <c r="I64" t="s">
        <v>162</v>
      </c>
      <c r="J64" t="s">
        <v>152</v>
      </c>
      <c r="K64" t="s">
        <v>176</v>
      </c>
      <c r="L64" t="s">
        <v>158</v>
      </c>
      <c r="M64" t="s">
        <v>148</v>
      </c>
      <c r="N64" t="s">
        <v>868</v>
      </c>
      <c r="O64" t="s">
        <v>868</v>
      </c>
      <c r="P64">
        <v>164</v>
      </c>
      <c r="Q64">
        <v>153</v>
      </c>
    </row>
    <row r="65" spans="1:17">
      <c r="A65" t="s">
        <v>309</v>
      </c>
      <c r="B65" t="s">
        <v>146</v>
      </c>
      <c r="C65">
        <v>4175</v>
      </c>
      <c r="D65" t="s">
        <v>317</v>
      </c>
      <c r="E65" t="s">
        <v>11</v>
      </c>
      <c r="F65" t="s">
        <v>760</v>
      </c>
      <c r="G65">
        <v>53218075</v>
      </c>
      <c r="H65" t="s">
        <v>168</v>
      </c>
      <c r="I65" t="s">
        <v>266</v>
      </c>
      <c r="J65" t="s">
        <v>233</v>
      </c>
      <c r="K65" t="s">
        <v>403</v>
      </c>
      <c r="L65" t="s">
        <v>299</v>
      </c>
      <c r="M65" t="s">
        <v>240</v>
      </c>
      <c r="N65" t="s">
        <v>266</v>
      </c>
      <c r="O65" t="s">
        <v>165</v>
      </c>
      <c r="P65">
        <v>196</v>
      </c>
      <c r="Q65">
        <v>157</v>
      </c>
    </row>
    <row r="66" spans="1:17">
      <c r="A66" t="s">
        <v>311</v>
      </c>
      <c r="B66" t="s">
        <v>146</v>
      </c>
      <c r="C66">
        <v>4099</v>
      </c>
      <c r="D66" t="s">
        <v>310</v>
      </c>
      <c r="E66" t="s">
        <v>16</v>
      </c>
      <c r="F66" t="s">
        <v>760</v>
      </c>
      <c r="G66">
        <v>52786122</v>
      </c>
      <c r="H66" t="s">
        <v>263</v>
      </c>
      <c r="I66" t="s">
        <v>168</v>
      </c>
      <c r="J66" t="s">
        <v>266</v>
      </c>
      <c r="K66" t="s">
        <v>247</v>
      </c>
      <c r="L66" t="s">
        <v>186</v>
      </c>
      <c r="M66" t="s">
        <v>247</v>
      </c>
      <c r="N66" t="s">
        <v>299</v>
      </c>
      <c r="O66" t="s">
        <v>263</v>
      </c>
      <c r="P66">
        <v>187</v>
      </c>
      <c r="Q66">
        <v>157</v>
      </c>
    </row>
    <row r="67" spans="1:17">
      <c r="A67" t="s">
        <v>314</v>
      </c>
      <c r="B67" t="s">
        <v>146</v>
      </c>
      <c r="C67">
        <v>4261</v>
      </c>
      <c r="D67" t="s">
        <v>301</v>
      </c>
      <c r="E67" t="s">
        <v>39</v>
      </c>
      <c r="F67" t="s">
        <v>760</v>
      </c>
      <c r="G67">
        <v>52762420</v>
      </c>
      <c r="H67" t="s">
        <v>186</v>
      </c>
      <c r="I67" t="s">
        <v>263</v>
      </c>
      <c r="J67" t="s">
        <v>230</v>
      </c>
      <c r="K67" t="s">
        <v>263</v>
      </c>
      <c r="L67" t="s">
        <v>313</v>
      </c>
      <c r="M67" t="s">
        <v>326</v>
      </c>
      <c r="N67" t="s">
        <v>785</v>
      </c>
      <c r="O67" t="s">
        <v>152</v>
      </c>
      <c r="P67">
        <v>228</v>
      </c>
      <c r="Q67">
        <v>163</v>
      </c>
    </row>
    <row r="68" spans="1:17">
      <c r="A68" t="s">
        <v>316</v>
      </c>
      <c r="B68" t="s">
        <v>146</v>
      </c>
      <c r="C68">
        <v>4289</v>
      </c>
      <c r="D68" t="s">
        <v>308</v>
      </c>
      <c r="E68" t="s">
        <v>23</v>
      </c>
      <c r="F68" t="s">
        <v>760</v>
      </c>
      <c r="G68">
        <v>52099166</v>
      </c>
      <c r="H68" t="s">
        <v>240</v>
      </c>
      <c r="I68" t="s">
        <v>244</v>
      </c>
      <c r="J68" t="s">
        <v>198</v>
      </c>
      <c r="K68" t="s">
        <v>186</v>
      </c>
      <c r="L68" t="s">
        <v>230</v>
      </c>
      <c r="M68" t="s">
        <v>313</v>
      </c>
      <c r="N68" t="s">
        <v>785</v>
      </c>
      <c r="O68" t="s">
        <v>168</v>
      </c>
      <c r="P68">
        <v>228</v>
      </c>
      <c r="Q68">
        <v>163</v>
      </c>
    </row>
    <row r="69" spans="1:17">
      <c r="A69" t="s">
        <v>320</v>
      </c>
      <c r="B69" t="s">
        <v>146</v>
      </c>
      <c r="C69">
        <v>4210</v>
      </c>
      <c r="D69" t="s">
        <v>354</v>
      </c>
      <c r="E69" t="s">
        <v>21</v>
      </c>
      <c r="F69" t="s">
        <v>760</v>
      </c>
      <c r="G69">
        <v>53645984</v>
      </c>
      <c r="H69" t="s">
        <v>403</v>
      </c>
      <c r="I69" t="s">
        <v>230</v>
      </c>
      <c r="J69" t="s">
        <v>180</v>
      </c>
      <c r="K69" t="s">
        <v>785</v>
      </c>
      <c r="L69" t="s">
        <v>441</v>
      </c>
      <c r="M69" t="s">
        <v>183</v>
      </c>
      <c r="N69" t="s">
        <v>215</v>
      </c>
      <c r="O69" t="s">
        <v>159</v>
      </c>
      <c r="P69">
        <v>231</v>
      </c>
      <c r="Q69">
        <v>166</v>
      </c>
    </row>
    <row r="70" spans="1:17">
      <c r="A70" t="s">
        <v>322</v>
      </c>
      <c r="B70" t="s">
        <v>146</v>
      </c>
      <c r="C70">
        <v>4020</v>
      </c>
      <c r="D70" t="s">
        <v>256</v>
      </c>
      <c r="E70" t="s">
        <v>21</v>
      </c>
      <c r="F70" t="s">
        <v>760</v>
      </c>
      <c r="G70">
        <v>52857832</v>
      </c>
      <c r="H70" t="s">
        <v>183</v>
      </c>
      <c r="I70" t="s">
        <v>180</v>
      </c>
      <c r="J70" t="s">
        <v>244</v>
      </c>
      <c r="K70" t="s">
        <v>162</v>
      </c>
      <c r="L70" t="s">
        <v>180</v>
      </c>
      <c r="M70" t="s">
        <v>441</v>
      </c>
      <c r="N70" t="s">
        <v>403</v>
      </c>
      <c r="O70" t="s">
        <v>785</v>
      </c>
      <c r="P70">
        <v>232</v>
      </c>
      <c r="Q70">
        <v>167</v>
      </c>
    </row>
    <row r="71" spans="1:17">
      <c r="A71" t="s">
        <v>324</v>
      </c>
      <c r="B71" t="s">
        <v>146</v>
      </c>
      <c r="C71">
        <v>4274</v>
      </c>
      <c r="D71" t="s">
        <v>272</v>
      </c>
      <c r="E71" t="s">
        <v>9</v>
      </c>
      <c r="F71" t="s">
        <v>760</v>
      </c>
      <c r="G71">
        <v>53584723</v>
      </c>
      <c r="H71" t="s">
        <v>828</v>
      </c>
      <c r="I71" t="s">
        <v>384</v>
      </c>
      <c r="J71" t="s">
        <v>162</v>
      </c>
      <c r="K71" t="s">
        <v>186</v>
      </c>
      <c r="L71" t="s">
        <v>230</v>
      </c>
      <c r="M71" t="s">
        <v>149</v>
      </c>
      <c r="N71" t="s">
        <v>870</v>
      </c>
      <c r="O71" t="s">
        <v>148</v>
      </c>
      <c r="P71">
        <v>233</v>
      </c>
      <c r="Q71">
        <v>168</v>
      </c>
    </row>
    <row r="72" spans="1:17">
      <c r="A72" t="s">
        <v>327</v>
      </c>
      <c r="B72" t="s">
        <v>146</v>
      </c>
      <c r="C72">
        <v>4198</v>
      </c>
      <c r="D72" t="s">
        <v>249</v>
      </c>
      <c r="E72" t="s">
        <v>21</v>
      </c>
      <c r="F72" t="s">
        <v>760</v>
      </c>
      <c r="G72">
        <v>53454414</v>
      </c>
      <c r="H72" t="s">
        <v>162</v>
      </c>
      <c r="I72" t="s">
        <v>152</v>
      </c>
      <c r="J72" t="s">
        <v>294</v>
      </c>
      <c r="K72" t="s">
        <v>240</v>
      </c>
      <c r="L72" t="s">
        <v>266</v>
      </c>
      <c r="M72" t="s">
        <v>828</v>
      </c>
      <c r="N72" t="s">
        <v>785</v>
      </c>
      <c r="O72" t="s">
        <v>155</v>
      </c>
      <c r="P72">
        <v>233</v>
      </c>
      <c r="Q72">
        <v>168</v>
      </c>
    </row>
    <row r="73" spans="1:17">
      <c r="A73" t="s">
        <v>329</v>
      </c>
      <c r="B73" t="s">
        <v>146</v>
      </c>
      <c r="C73">
        <v>3743</v>
      </c>
      <c r="D73" t="s">
        <v>781</v>
      </c>
      <c r="E73" t="s">
        <v>171</v>
      </c>
      <c r="F73" t="s">
        <v>761</v>
      </c>
      <c r="G73">
        <v>54038691</v>
      </c>
      <c r="H73" t="s">
        <v>313</v>
      </c>
      <c r="I73" t="s">
        <v>319</v>
      </c>
      <c r="J73" t="s">
        <v>313</v>
      </c>
      <c r="K73" t="s">
        <v>369</v>
      </c>
      <c r="L73" t="s">
        <v>294</v>
      </c>
      <c r="M73" t="s">
        <v>176</v>
      </c>
      <c r="N73" t="s">
        <v>149</v>
      </c>
      <c r="O73" t="s">
        <v>240</v>
      </c>
      <c r="P73">
        <v>207</v>
      </c>
      <c r="Q73">
        <v>170</v>
      </c>
    </row>
    <row r="74" spans="1:17">
      <c r="A74" t="s">
        <v>333</v>
      </c>
      <c r="B74" t="s">
        <v>146</v>
      </c>
      <c r="C74">
        <v>3895</v>
      </c>
      <c r="D74" t="s">
        <v>293</v>
      </c>
      <c r="E74" t="s">
        <v>5</v>
      </c>
      <c r="F74" t="s">
        <v>760</v>
      </c>
      <c r="G74">
        <v>54184438</v>
      </c>
      <c r="H74" t="s">
        <v>318</v>
      </c>
      <c r="I74" t="s">
        <v>319</v>
      </c>
      <c r="J74" t="s">
        <v>243</v>
      </c>
      <c r="K74" t="s">
        <v>319</v>
      </c>
      <c r="L74" t="s">
        <v>420</v>
      </c>
      <c r="M74" t="s">
        <v>210</v>
      </c>
      <c r="N74" t="s">
        <v>165</v>
      </c>
      <c r="O74" t="s">
        <v>210</v>
      </c>
      <c r="P74">
        <v>218</v>
      </c>
      <c r="Q74">
        <v>174</v>
      </c>
    </row>
    <row r="75" spans="1:17">
      <c r="A75" t="s">
        <v>336</v>
      </c>
      <c r="B75" t="s">
        <v>146</v>
      </c>
      <c r="C75">
        <v>3762</v>
      </c>
      <c r="D75" t="s">
        <v>805</v>
      </c>
      <c r="E75" t="s">
        <v>22</v>
      </c>
      <c r="F75" t="s">
        <v>761</v>
      </c>
      <c r="G75">
        <v>51066023</v>
      </c>
      <c r="H75" t="s">
        <v>244</v>
      </c>
      <c r="I75" t="s">
        <v>785</v>
      </c>
      <c r="J75" t="s">
        <v>263</v>
      </c>
      <c r="K75" t="s">
        <v>168</v>
      </c>
      <c r="L75" t="s">
        <v>278</v>
      </c>
      <c r="M75" t="s">
        <v>233</v>
      </c>
      <c r="N75" t="s">
        <v>278</v>
      </c>
      <c r="O75" t="s">
        <v>299</v>
      </c>
      <c r="P75">
        <v>239</v>
      </c>
      <c r="Q75">
        <v>174</v>
      </c>
    </row>
    <row r="76" spans="1:17">
      <c r="A76" t="s">
        <v>338</v>
      </c>
      <c r="B76" t="s">
        <v>146</v>
      </c>
      <c r="C76">
        <v>3992</v>
      </c>
      <c r="D76" t="s">
        <v>321</v>
      </c>
      <c r="E76" t="s">
        <v>171</v>
      </c>
      <c r="F76" t="s">
        <v>760</v>
      </c>
      <c r="G76">
        <v>53236907</v>
      </c>
      <c r="H76" t="s">
        <v>215</v>
      </c>
      <c r="I76" t="s">
        <v>266</v>
      </c>
      <c r="J76" t="s">
        <v>273</v>
      </c>
      <c r="K76" t="s">
        <v>230</v>
      </c>
      <c r="L76" t="s">
        <v>180</v>
      </c>
      <c r="M76" t="s">
        <v>369</v>
      </c>
      <c r="N76" t="s">
        <v>186</v>
      </c>
      <c r="O76" t="s">
        <v>828</v>
      </c>
      <c r="P76">
        <v>240</v>
      </c>
      <c r="Q76">
        <v>175</v>
      </c>
    </row>
    <row r="77" spans="1:17">
      <c r="A77" t="s">
        <v>340</v>
      </c>
      <c r="B77" t="s">
        <v>146</v>
      </c>
      <c r="C77">
        <v>4045</v>
      </c>
      <c r="D77" t="s">
        <v>782</v>
      </c>
      <c r="E77" t="s">
        <v>171</v>
      </c>
      <c r="F77" t="s">
        <v>761</v>
      </c>
      <c r="G77">
        <v>52030773</v>
      </c>
      <c r="H77" t="s">
        <v>266</v>
      </c>
      <c r="I77" t="s">
        <v>326</v>
      </c>
      <c r="J77" t="s">
        <v>210</v>
      </c>
      <c r="K77" t="s">
        <v>215</v>
      </c>
      <c r="L77" t="s">
        <v>318</v>
      </c>
      <c r="M77" t="s">
        <v>785</v>
      </c>
      <c r="N77" t="s">
        <v>230</v>
      </c>
      <c r="O77" t="s">
        <v>263</v>
      </c>
      <c r="P77">
        <v>241</v>
      </c>
      <c r="Q77">
        <v>176</v>
      </c>
    </row>
    <row r="78" spans="1:17">
      <c r="A78" t="s">
        <v>343</v>
      </c>
      <c r="B78" t="s">
        <v>146</v>
      </c>
      <c r="C78">
        <v>4072</v>
      </c>
      <c r="D78" t="s">
        <v>348</v>
      </c>
      <c r="E78" t="s">
        <v>21</v>
      </c>
      <c r="F78" t="s">
        <v>760</v>
      </c>
      <c r="G78">
        <v>53327460</v>
      </c>
      <c r="H78" t="s">
        <v>230</v>
      </c>
      <c r="I78" t="s">
        <v>313</v>
      </c>
      <c r="J78" t="s">
        <v>369</v>
      </c>
      <c r="K78" t="s">
        <v>313</v>
      </c>
      <c r="L78" t="s">
        <v>369</v>
      </c>
      <c r="M78" t="s">
        <v>240</v>
      </c>
      <c r="N78" t="s">
        <v>243</v>
      </c>
      <c r="O78" t="s">
        <v>158</v>
      </c>
      <c r="P78">
        <v>219</v>
      </c>
      <c r="Q78">
        <v>182</v>
      </c>
    </row>
    <row r="79" spans="1:17">
      <c r="A79" t="s">
        <v>345</v>
      </c>
      <c r="B79" t="s">
        <v>146</v>
      </c>
      <c r="C79">
        <v>4118</v>
      </c>
      <c r="D79" t="s">
        <v>350</v>
      </c>
      <c r="E79" t="s">
        <v>21</v>
      </c>
      <c r="F79" t="s">
        <v>760</v>
      </c>
      <c r="G79">
        <v>51723975</v>
      </c>
      <c r="H79" t="s">
        <v>793</v>
      </c>
      <c r="I79" t="s">
        <v>168</v>
      </c>
      <c r="J79" t="s">
        <v>243</v>
      </c>
      <c r="K79" t="s">
        <v>230</v>
      </c>
      <c r="L79" t="s">
        <v>168</v>
      </c>
      <c r="M79" t="s">
        <v>356</v>
      </c>
      <c r="N79" t="s">
        <v>186</v>
      </c>
      <c r="O79" t="s">
        <v>306</v>
      </c>
      <c r="P79">
        <v>248</v>
      </c>
      <c r="Q79">
        <v>183</v>
      </c>
    </row>
    <row r="80" spans="1:17">
      <c r="A80" t="s">
        <v>347</v>
      </c>
      <c r="B80" t="s">
        <v>146</v>
      </c>
      <c r="C80">
        <v>4194</v>
      </c>
      <c r="D80" t="s">
        <v>375</v>
      </c>
      <c r="E80" t="s">
        <v>5</v>
      </c>
      <c r="F80" t="s">
        <v>760</v>
      </c>
      <c r="G80">
        <v>51586146</v>
      </c>
      <c r="H80" t="s">
        <v>319</v>
      </c>
      <c r="I80" t="s">
        <v>210</v>
      </c>
      <c r="J80" t="s">
        <v>299</v>
      </c>
      <c r="K80" t="s">
        <v>162</v>
      </c>
      <c r="L80" t="s">
        <v>159</v>
      </c>
      <c r="M80" t="s">
        <v>438</v>
      </c>
      <c r="N80" t="s">
        <v>867</v>
      </c>
      <c r="O80" t="s">
        <v>378</v>
      </c>
      <c r="P80">
        <v>230</v>
      </c>
      <c r="Q80">
        <v>185</v>
      </c>
    </row>
    <row r="81" spans="1:17">
      <c r="A81" t="s">
        <v>349</v>
      </c>
      <c r="B81" t="s">
        <v>146</v>
      </c>
      <c r="C81">
        <v>4197</v>
      </c>
      <c r="D81" t="s">
        <v>323</v>
      </c>
      <c r="E81" t="s">
        <v>171</v>
      </c>
      <c r="F81" t="s">
        <v>760</v>
      </c>
      <c r="G81">
        <v>51511518</v>
      </c>
      <c r="H81" t="s">
        <v>369</v>
      </c>
      <c r="I81" t="s">
        <v>326</v>
      </c>
      <c r="J81" t="s">
        <v>278</v>
      </c>
      <c r="K81" t="s">
        <v>785</v>
      </c>
      <c r="L81" t="s">
        <v>266</v>
      </c>
      <c r="M81" t="s">
        <v>210</v>
      </c>
      <c r="N81" t="s">
        <v>199</v>
      </c>
      <c r="O81" t="s">
        <v>243</v>
      </c>
      <c r="P81">
        <v>252</v>
      </c>
      <c r="Q81">
        <v>187</v>
      </c>
    </row>
    <row r="82" spans="1:17">
      <c r="A82" t="s">
        <v>351</v>
      </c>
      <c r="B82" t="s">
        <v>146</v>
      </c>
      <c r="C82">
        <v>3872</v>
      </c>
      <c r="D82" t="s">
        <v>275</v>
      </c>
      <c r="E82" t="s">
        <v>5</v>
      </c>
      <c r="F82" t="s">
        <v>760</v>
      </c>
      <c r="G82">
        <v>53083955</v>
      </c>
      <c r="H82" t="s">
        <v>243</v>
      </c>
      <c r="I82" t="s">
        <v>243</v>
      </c>
      <c r="J82" t="s">
        <v>186</v>
      </c>
      <c r="K82" t="s">
        <v>383</v>
      </c>
      <c r="L82" t="s">
        <v>273</v>
      </c>
      <c r="M82" t="s">
        <v>313</v>
      </c>
      <c r="N82" t="s">
        <v>263</v>
      </c>
      <c r="O82" t="s">
        <v>186</v>
      </c>
      <c r="P82">
        <v>237</v>
      </c>
      <c r="Q82">
        <v>188</v>
      </c>
    </row>
    <row r="83" spans="1:17">
      <c r="A83" t="s">
        <v>353</v>
      </c>
      <c r="B83" t="s">
        <v>146</v>
      </c>
      <c r="C83">
        <v>4276</v>
      </c>
      <c r="D83" t="s">
        <v>437</v>
      </c>
      <c r="E83" t="s">
        <v>5</v>
      </c>
      <c r="F83" t="s">
        <v>760</v>
      </c>
      <c r="G83">
        <v>54892590</v>
      </c>
      <c r="H83" t="s">
        <v>294</v>
      </c>
      <c r="I83" t="s">
        <v>438</v>
      </c>
      <c r="J83" t="s">
        <v>493</v>
      </c>
      <c r="K83" t="s">
        <v>438</v>
      </c>
      <c r="L83" t="s">
        <v>403</v>
      </c>
      <c r="M83" t="s">
        <v>215</v>
      </c>
      <c r="N83" t="s">
        <v>158</v>
      </c>
      <c r="O83" t="s">
        <v>148</v>
      </c>
      <c r="P83">
        <v>245</v>
      </c>
      <c r="Q83">
        <v>190</v>
      </c>
    </row>
    <row r="84" spans="1:17">
      <c r="A84" t="s">
        <v>357</v>
      </c>
      <c r="B84" t="s">
        <v>146</v>
      </c>
      <c r="C84">
        <v>3819</v>
      </c>
      <c r="D84" t="s">
        <v>366</v>
      </c>
      <c r="E84" t="s">
        <v>23</v>
      </c>
      <c r="F84" t="s">
        <v>760</v>
      </c>
      <c r="G84">
        <v>52977090</v>
      </c>
      <c r="H84" t="s">
        <v>278</v>
      </c>
      <c r="I84" t="s">
        <v>186</v>
      </c>
      <c r="J84" t="s">
        <v>266</v>
      </c>
      <c r="K84" t="s">
        <v>378</v>
      </c>
      <c r="L84" t="s">
        <v>247</v>
      </c>
      <c r="M84" t="s">
        <v>843</v>
      </c>
      <c r="N84" t="s">
        <v>180</v>
      </c>
      <c r="O84" t="s">
        <v>285</v>
      </c>
      <c r="P84">
        <v>255</v>
      </c>
      <c r="Q84">
        <v>190</v>
      </c>
    </row>
    <row r="85" spans="1:17">
      <c r="A85" t="s">
        <v>359</v>
      </c>
      <c r="B85" t="s">
        <v>146</v>
      </c>
      <c r="C85">
        <v>4225</v>
      </c>
      <c r="D85" t="s">
        <v>334</v>
      </c>
      <c r="E85" t="s">
        <v>335</v>
      </c>
      <c r="F85" t="s">
        <v>760</v>
      </c>
      <c r="G85">
        <v>52866577</v>
      </c>
      <c r="H85" t="s">
        <v>785</v>
      </c>
      <c r="I85" t="s">
        <v>299</v>
      </c>
      <c r="J85" t="s">
        <v>198</v>
      </c>
      <c r="K85" t="s">
        <v>168</v>
      </c>
      <c r="L85" t="s">
        <v>263</v>
      </c>
      <c r="M85" t="s">
        <v>384</v>
      </c>
      <c r="N85" t="s">
        <v>313</v>
      </c>
      <c r="O85" t="s">
        <v>266</v>
      </c>
      <c r="P85">
        <v>255</v>
      </c>
      <c r="Q85">
        <v>190</v>
      </c>
    </row>
    <row r="86" spans="1:17">
      <c r="A86" t="s">
        <v>361</v>
      </c>
      <c r="B86" t="s">
        <v>146</v>
      </c>
      <c r="C86">
        <v>4215</v>
      </c>
      <c r="D86" t="s">
        <v>382</v>
      </c>
      <c r="E86" t="s">
        <v>26</v>
      </c>
      <c r="F86" t="s">
        <v>760</v>
      </c>
      <c r="G86">
        <v>50610292</v>
      </c>
      <c r="H86" t="s">
        <v>247</v>
      </c>
      <c r="I86" t="s">
        <v>369</v>
      </c>
      <c r="J86" t="s">
        <v>263</v>
      </c>
      <c r="K86" t="s">
        <v>285</v>
      </c>
      <c r="L86" t="s">
        <v>243</v>
      </c>
      <c r="M86" t="s">
        <v>299</v>
      </c>
      <c r="N86" t="s">
        <v>183</v>
      </c>
      <c r="O86" t="s">
        <v>294</v>
      </c>
      <c r="P86">
        <v>228</v>
      </c>
      <c r="Q86">
        <v>191</v>
      </c>
    </row>
    <row r="87" spans="1:17">
      <c r="A87" t="s">
        <v>363</v>
      </c>
      <c r="B87" t="s">
        <v>146</v>
      </c>
      <c r="C87">
        <v>4290</v>
      </c>
      <c r="D87" t="s">
        <v>400</v>
      </c>
      <c r="E87" t="s">
        <v>5</v>
      </c>
      <c r="F87" t="s">
        <v>760</v>
      </c>
      <c r="G87">
        <v>53761156</v>
      </c>
      <c r="H87" t="s">
        <v>785</v>
      </c>
      <c r="I87" t="s">
        <v>785</v>
      </c>
      <c r="J87" t="s">
        <v>230</v>
      </c>
      <c r="K87" t="s">
        <v>266</v>
      </c>
      <c r="L87" t="s">
        <v>313</v>
      </c>
      <c r="M87" t="s">
        <v>266</v>
      </c>
      <c r="N87" t="s">
        <v>210</v>
      </c>
      <c r="O87" t="s">
        <v>183</v>
      </c>
      <c r="P87">
        <v>262</v>
      </c>
      <c r="Q87">
        <v>197</v>
      </c>
    </row>
    <row r="88" spans="1:17">
      <c r="A88" t="s">
        <v>365</v>
      </c>
      <c r="B88" t="s">
        <v>146</v>
      </c>
      <c r="C88">
        <v>4100</v>
      </c>
      <c r="D88" t="s">
        <v>775</v>
      </c>
      <c r="E88" t="s">
        <v>9</v>
      </c>
      <c r="F88" t="s">
        <v>760</v>
      </c>
      <c r="G88">
        <v>52613001</v>
      </c>
      <c r="H88" t="s">
        <v>230</v>
      </c>
      <c r="I88" t="s">
        <v>186</v>
      </c>
      <c r="J88" t="s">
        <v>168</v>
      </c>
      <c r="K88" t="s">
        <v>435</v>
      </c>
      <c r="L88" t="s">
        <v>843</v>
      </c>
      <c r="M88" t="s">
        <v>177</v>
      </c>
      <c r="N88" t="s">
        <v>162</v>
      </c>
      <c r="O88" t="s">
        <v>870</v>
      </c>
      <c r="P88">
        <v>263</v>
      </c>
      <c r="Q88">
        <v>198</v>
      </c>
    </row>
    <row r="89" spans="1:17">
      <c r="A89" t="s">
        <v>367</v>
      </c>
      <c r="B89" t="s">
        <v>146</v>
      </c>
      <c r="C89">
        <v>4244</v>
      </c>
      <c r="D89" t="s">
        <v>284</v>
      </c>
      <c r="E89" t="s">
        <v>22</v>
      </c>
      <c r="F89" t="s">
        <v>760</v>
      </c>
      <c r="G89">
        <v>53586402</v>
      </c>
      <c r="H89" t="s">
        <v>215</v>
      </c>
      <c r="I89" t="s">
        <v>165</v>
      </c>
      <c r="J89" t="s">
        <v>828</v>
      </c>
      <c r="K89" t="s">
        <v>233</v>
      </c>
      <c r="L89" t="s">
        <v>230</v>
      </c>
      <c r="M89" t="s">
        <v>299</v>
      </c>
      <c r="N89" t="s">
        <v>871</v>
      </c>
      <c r="O89" t="s">
        <v>785</v>
      </c>
      <c r="P89">
        <v>270</v>
      </c>
      <c r="Q89">
        <v>205</v>
      </c>
    </row>
    <row r="90" spans="1:17">
      <c r="A90" t="s">
        <v>370</v>
      </c>
      <c r="B90" t="s">
        <v>146</v>
      </c>
      <c r="C90">
        <v>4143</v>
      </c>
      <c r="D90" t="s">
        <v>779</v>
      </c>
      <c r="E90" t="s">
        <v>454</v>
      </c>
      <c r="F90" t="s">
        <v>760</v>
      </c>
      <c r="G90">
        <v>53274297</v>
      </c>
      <c r="H90" t="s">
        <v>244</v>
      </c>
      <c r="I90" t="s">
        <v>318</v>
      </c>
      <c r="J90" t="s">
        <v>451</v>
      </c>
      <c r="K90" t="s">
        <v>299</v>
      </c>
      <c r="L90" t="s">
        <v>247</v>
      </c>
      <c r="M90" t="s">
        <v>318</v>
      </c>
      <c r="N90" t="s">
        <v>318</v>
      </c>
      <c r="O90" t="s">
        <v>247</v>
      </c>
      <c r="P90">
        <v>257</v>
      </c>
      <c r="Q90">
        <v>206</v>
      </c>
    </row>
    <row r="91" spans="1:17">
      <c r="A91" t="s">
        <v>372</v>
      </c>
      <c r="B91" t="s">
        <v>146</v>
      </c>
      <c r="C91">
        <v>3583</v>
      </c>
      <c r="D91" t="s">
        <v>795</v>
      </c>
      <c r="E91" t="s">
        <v>9</v>
      </c>
      <c r="F91" t="s">
        <v>760</v>
      </c>
      <c r="G91">
        <v>52827436</v>
      </c>
      <c r="H91" t="s">
        <v>378</v>
      </c>
      <c r="I91" t="s">
        <v>378</v>
      </c>
      <c r="J91" t="s">
        <v>313</v>
      </c>
      <c r="K91" t="s">
        <v>356</v>
      </c>
      <c r="L91" t="s">
        <v>369</v>
      </c>
      <c r="M91" t="s">
        <v>198</v>
      </c>
      <c r="N91" t="s">
        <v>266</v>
      </c>
      <c r="O91" t="s">
        <v>233</v>
      </c>
      <c r="P91">
        <v>257</v>
      </c>
      <c r="Q91">
        <v>214</v>
      </c>
    </row>
    <row r="92" spans="1:17">
      <c r="A92" t="s">
        <v>374</v>
      </c>
      <c r="B92" t="s">
        <v>146</v>
      </c>
      <c r="C92">
        <v>4238</v>
      </c>
      <c r="D92" t="s">
        <v>759</v>
      </c>
      <c r="E92" t="s">
        <v>9</v>
      </c>
      <c r="F92" t="s">
        <v>761</v>
      </c>
      <c r="G92">
        <v>53586158</v>
      </c>
      <c r="H92" t="s">
        <v>326</v>
      </c>
      <c r="I92" t="s">
        <v>285</v>
      </c>
      <c r="J92" t="s">
        <v>240</v>
      </c>
      <c r="K92" t="s">
        <v>263</v>
      </c>
      <c r="L92" t="s">
        <v>233</v>
      </c>
      <c r="M92" t="s">
        <v>294</v>
      </c>
      <c r="N92" t="s">
        <v>319</v>
      </c>
      <c r="O92" t="s">
        <v>785</v>
      </c>
      <c r="P92">
        <v>280</v>
      </c>
      <c r="Q92">
        <v>215</v>
      </c>
    </row>
    <row r="93" spans="1:17">
      <c r="A93" t="s">
        <v>376</v>
      </c>
      <c r="B93" t="s">
        <v>146</v>
      </c>
      <c r="C93">
        <v>4263</v>
      </c>
      <c r="D93" t="s">
        <v>328</v>
      </c>
      <c r="E93" t="s">
        <v>10</v>
      </c>
      <c r="F93" t="s">
        <v>760</v>
      </c>
      <c r="G93">
        <v>53456040</v>
      </c>
      <c r="H93" t="s">
        <v>785</v>
      </c>
      <c r="I93" t="s">
        <v>785</v>
      </c>
      <c r="J93" t="s">
        <v>793</v>
      </c>
      <c r="K93" t="s">
        <v>183</v>
      </c>
      <c r="L93" t="s">
        <v>243</v>
      </c>
      <c r="M93" t="s">
        <v>198</v>
      </c>
      <c r="N93" t="s">
        <v>165</v>
      </c>
      <c r="O93" t="s">
        <v>210</v>
      </c>
      <c r="P93">
        <v>284</v>
      </c>
      <c r="Q93">
        <v>219</v>
      </c>
    </row>
    <row r="94" spans="1:17">
      <c r="A94" t="s">
        <v>379</v>
      </c>
      <c r="B94" t="s">
        <v>146</v>
      </c>
      <c r="C94">
        <v>3527</v>
      </c>
      <c r="D94" t="s">
        <v>434</v>
      </c>
      <c r="E94" t="s">
        <v>26</v>
      </c>
      <c r="F94" t="s">
        <v>760</v>
      </c>
      <c r="G94">
        <v>52703564</v>
      </c>
      <c r="H94" t="s">
        <v>299</v>
      </c>
      <c r="I94" t="s">
        <v>318</v>
      </c>
      <c r="J94" t="s">
        <v>273</v>
      </c>
      <c r="K94" t="s">
        <v>198</v>
      </c>
      <c r="L94" t="s">
        <v>186</v>
      </c>
      <c r="M94" t="s">
        <v>318</v>
      </c>
      <c r="N94" t="s">
        <v>477</v>
      </c>
      <c r="O94" t="s">
        <v>490</v>
      </c>
      <c r="P94">
        <v>275</v>
      </c>
      <c r="Q94">
        <v>219</v>
      </c>
    </row>
    <row r="95" spans="1:17">
      <c r="A95" t="s">
        <v>381</v>
      </c>
      <c r="B95" t="s">
        <v>146</v>
      </c>
      <c r="C95">
        <v>4191</v>
      </c>
      <c r="D95" t="s">
        <v>448</v>
      </c>
      <c r="E95" t="s">
        <v>5</v>
      </c>
      <c r="F95" t="s">
        <v>760</v>
      </c>
      <c r="G95">
        <v>52790163</v>
      </c>
      <c r="H95" t="s">
        <v>420</v>
      </c>
      <c r="I95" t="s">
        <v>243</v>
      </c>
      <c r="J95" t="s">
        <v>266</v>
      </c>
      <c r="K95" t="s">
        <v>244</v>
      </c>
      <c r="L95" t="s">
        <v>299</v>
      </c>
      <c r="M95" t="s">
        <v>451</v>
      </c>
      <c r="N95" t="s">
        <v>306</v>
      </c>
      <c r="O95" t="s">
        <v>313</v>
      </c>
      <c r="P95">
        <v>270</v>
      </c>
      <c r="Q95">
        <v>219</v>
      </c>
    </row>
    <row r="96" spans="1:17">
      <c r="A96" t="s">
        <v>385</v>
      </c>
      <c r="B96" t="s">
        <v>146</v>
      </c>
      <c r="C96">
        <v>4087</v>
      </c>
      <c r="D96" t="s">
        <v>497</v>
      </c>
      <c r="E96" t="s">
        <v>33</v>
      </c>
      <c r="F96" t="s">
        <v>760</v>
      </c>
      <c r="G96">
        <v>52906229</v>
      </c>
      <c r="H96" t="s">
        <v>313</v>
      </c>
      <c r="I96" t="s">
        <v>420</v>
      </c>
      <c r="J96" t="s">
        <v>285</v>
      </c>
      <c r="K96" t="s">
        <v>843</v>
      </c>
      <c r="L96" t="s">
        <v>326</v>
      </c>
      <c r="M96" t="s">
        <v>233</v>
      </c>
      <c r="N96" t="s">
        <v>294</v>
      </c>
      <c r="O96" t="s">
        <v>159</v>
      </c>
      <c r="P96">
        <v>285</v>
      </c>
      <c r="Q96">
        <v>220</v>
      </c>
    </row>
    <row r="97" spans="1:17">
      <c r="A97" t="s">
        <v>387</v>
      </c>
      <c r="B97" t="s">
        <v>146</v>
      </c>
      <c r="C97">
        <v>3999</v>
      </c>
      <c r="D97" t="s">
        <v>364</v>
      </c>
      <c r="E97" t="s">
        <v>71</v>
      </c>
      <c r="F97" t="s">
        <v>760</v>
      </c>
      <c r="G97">
        <v>54765545</v>
      </c>
      <c r="H97" t="s">
        <v>306</v>
      </c>
      <c r="I97" t="s">
        <v>420</v>
      </c>
      <c r="J97" t="s">
        <v>233</v>
      </c>
      <c r="K97" t="s">
        <v>403</v>
      </c>
      <c r="L97" t="s">
        <v>477</v>
      </c>
      <c r="M97" t="s">
        <v>168</v>
      </c>
      <c r="N97" t="s">
        <v>356</v>
      </c>
      <c r="O97" t="s">
        <v>230</v>
      </c>
      <c r="P97">
        <v>270</v>
      </c>
      <c r="Q97">
        <v>220</v>
      </c>
    </row>
    <row r="98" spans="1:17">
      <c r="A98" t="s">
        <v>389</v>
      </c>
      <c r="B98" t="s">
        <v>146</v>
      </c>
      <c r="C98">
        <v>4121</v>
      </c>
      <c r="D98" t="s">
        <v>390</v>
      </c>
      <c r="E98" t="s">
        <v>21</v>
      </c>
      <c r="F98" t="s">
        <v>760</v>
      </c>
      <c r="G98">
        <v>53204460</v>
      </c>
      <c r="H98" t="s">
        <v>451</v>
      </c>
      <c r="I98" t="s">
        <v>355</v>
      </c>
      <c r="J98" t="s">
        <v>318</v>
      </c>
      <c r="K98" t="s">
        <v>240</v>
      </c>
      <c r="L98" t="s">
        <v>244</v>
      </c>
      <c r="M98" t="s">
        <v>199</v>
      </c>
      <c r="N98" t="s">
        <v>306</v>
      </c>
      <c r="O98" t="s">
        <v>785</v>
      </c>
      <c r="P98">
        <v>287</v>
      </c>
      <c r="Q98">
        <v>222</v>
      </c>
    </row>
    <row r="99" spans="1:17">
      <c r="A99" t="s">
        <v>391</v>
      </c>
      <c r="B99" t="s">
        <v>146</v>
      </c>
      <c r="C99">
        <v>4168</v>
      </c>
      <c r="D99" t="s">
        <v>821</v>
      </c>
      <c r="E99" t="s">
        <v>6</v>
      </c>
      <c r="F99" t="s">
        <v>761</v>
      </c>
      <c r="G99">
        <v>54156323</v>
      </c>
      <c r="H99" t="s">
        <v>785</v>
      </c>
      <c r="I99" t="s">
        <v>438</v>
      </c>
      <c r="J99" t="s">
        <v>299</v>
      </c>
      <c r="K99" t="s">
        <v>278</v>
      </c>
      <c r="L99" t="s">
        <v>240</v>
      </c>
      <c r="M99" t="s">
        <v>369</v>
      </c>
      <c r="N99" t="s">
        <v>299</v>
      </c>
      <c r="O99" t="s">
        <v>244</v>
      </c>
      <c r="P99">
        <v>287</v>
      </c>
      <c r="Q99">
        <v>222</v>
      </c>
    </row>
    <row r="100" spans="1:17">
      <c r="A100" t="s">
        <v>393</v>
      </c>
      <c r="B100" t="s">
        <v>146</v>
      </c>
      <c r="C100">
        <v>4128</v>
      </c>
      <c r="D100" t="s">
        <v>811</v>
      </c>
      <c r="E100" t="s">
        <v>11</v>
      </c>
      <c r="F100" t="s">
        <v>760</v>
      </c>
      <c r="G100">
        <v>51049537</v>
      </c>
      <c r="H100" t="s">
        <v>318</v>
      </c>
      <c r="I100" t="s">
        <v>785</v>
      </c>
      <c r="J100" t="s">
        <v>355</v>
      </c>
      <c r="K100" t="s">
        <v>384</v>
      </c>
      <c r="L100" t="s">
        <v>435</v>
      </c>
      <c r="M100" t="s">
        <v>247</v>
      </c>
      <c r="N100" t="s">
        <v>176</v>
      </c>
      <c r="O100" t="s">
        <v>176</v>
      </c>
      <c r="P100">
        <v>288</v>
      </c>
      <c r="Q100">
        <v>223</v>
      </c>
    </row>
    <row r="101" spans="1:17">
      <c r="A101" t="s">
        <v>395</v>
      </c>
      <c r="B101" t="s">
        <v>146</v>
      </c>
      <c r="C101">
        <v>3862</v>
      </c>
      <c r="D101" t="s">
        <v>337</v>
      </c>
      <c r="E101" t="s">
        <v>6</v>
      </c>
      <c r="F101" t="s">
        <v>760</v>
      </c>
      <c r="G101">
        <v>51422775</v>
      </c>
      <c r="H101" t="s">
        <v>244</v>
      </c>
      <c r="I101" t="s">
        <v>180</v>
      </c>
      <c r="J101" t="s">
        <v>186</v>
      </c>
      <c r="K101" t="s">
        <v>199</v>
      </c>
      <c r="L101" t="s">
        <v>215</v>
      </c>
      <c r="M101" t="s">
        <v>843</v>
      </c>
      <c r="N101" t="s">
        <v>843</v>
      </c>
      <c r="O101" t="s">
        <v>843</v>
      </c>
      <c r="P101">
        <v>288</v>
      </c>
      <c r="Q101">
        <v>223</v>
      </c>
    </row>
    <row r="102" spans="1:17">
      <c r="A102" t="s">
        <v>397</v>
      </c>
      <c r="B102" t="s">
        <v>146</v>
      </c>
      <c r="C102">
        <v>4239</v>
      </c>
      <c r="D102" t="s">
        <v>470</v>
      </c>
      <c r="E102" t="s">
        <v>5</v>
      </c>
      <c r="F102" t="s">
        <v>760</v>
      </c>
      <c r="G102">
        <v>51269548</v>
      </c>
      <c r="H102" t="s">
        <v>785</v>
      </c>
      <c r="I102" t="s">
        <v>244</v>
      </c>
      <c r="J102" t="s">
        <v>247</v>
      </c>
      <c r="K102" t="s">
        <v>306</v>
      </c>
      <c r="L102" t="s">
        <v>273</v>
      </c>
      <c r="M102" t="s">
        <v>165</v>
      </c>
      <c r="N102" t="s">
        <v>319</v>
      </c>
      <c r="O102" t="s">
        <v>451</v>
      </c>
      <c r="P102">
        <v>288</v>
      </c>
      <c r="Q102">
        <v>223</v>
      </c>
    </row>
    <row r="103" spans="1:17">
      <c r="A103" t="s">
        <v>399</v>
      </c>
      <c r="B103" t="s">
        <v>146</v>
      </c>
      <c r="C103">
        <v>4025</v>
      </c>
      <c r="D103" t="s">
        <v>358</v>
      </c>
      <c r="E103" t="s">
        <v>31</v>
      </c>
      <c r="F103" t="s">
        <v>760</v>
      </c>
      <c r="G103">
        <v>52756455</v>
      </c>
      <c r="H103" t="s">
        <v>313</v>
      </c>
      <c r="I103" t="s">
        <v>183</v>
      </c>
      <c r="J103" t="s">
        <v>793</v>
      </c>
      <c r="K103" t="s">
        <v>285</v>
      </c>
      <c r="L103" t="s">
        <v>318</v>
      </c>
      <c r="M103" t="s">
        <v>785</v>
      </c>
      <c r="N103" t="s">
        <v>243</v>
      </c>
      <c r="O103" t="s">
        <v>233</v>
      </c>
      <c r="P103">
        <v>293</v>
      </c>
      <c r="Q103">
        <v>228</v>
      </c>
    </row>
    <row r="104" spans="1:17">
      <c r="A104" t="s">
        <v>401</v>
      </c>
      <c r="B104" t="s">
        <v>146</v>
      </c>
      <c r="C104">
        <v>4054</v>
      </c>
      <c r="D104" t="s">
        <v>467</v>
      </c>
      <c r="E104" t="s">
        <v>171</v>
      </c>
      <c r="F104" t="s">
        <v>760</v>
      </c>
      <c r="G104">
        <v>53285019</v>
      </c>
      <c r="H104" t="s">
        <v>299</v>
      </c>
      <c r="I104" t="s">
        <v>313</v>
      </c>
      <c r="J104" t="s">
        <v>230</v>
      </c>
      <c r="K104" t="s">
        <v>420</v>
      </c>
      <c r="L104" t="s">
        <v>319</v>
      </c>
      <c r="M104" t="s">
        <v>420</v>
      </c>
      <c r="N104" t="s">
        <v>294</v>
      </c>
      <c r="O104" t="s">
        <v>299</v>
      </c>
      <c r="P104">
        <v>272</v>
      </c>
      <c r="Q104">
        <v>228</v>
      </c>
    </row>
    <row r="105" spans="1:17">
      <c r="A105" t="s">
        <v>404</v>
      </c>
      <c r="B105" t="s">
        <v>146</v>
      </c>
      <c r="C105">
        <v>4183</v>
      </c>
      <c r="D105" t="s">
        <v>480</v>
      </c>
      <c r="E105" t="s">
        <v>39</v>
      </c>
      <c r="F105" t="s">
        <v>760</v>
      </c>
      <c r="G105">
        <v>53583314</v>
      </c>
      <c r="H105" t="s">
        <v>243</v>
      </c>
      <c r="I105" t="s">
        <v>355</v>
      </c>
      <c r="J105" t="s">
        <v>412</v>
      </c>
      <c r="K105" t="s">
        <v>319</v>
      </c>
      <c r="L105" t="s">
        <v>306</v>
      </c>
      <c r="M105" t="s">
        <v>378</v>
      </c>
      <c r="N105" t="s">
        <v>263</v>
      </c>
      <c r="O105" t="s">
        <v>313</v>
      </c>
      <c r="P105">
        <v>278</v>
      </c>
      <c r="Q105">
        <v>232</v>
      </c>
    </row>
    <row r="106" spans="1:17">
      <c r="A106" t="s">
        <v>406</v>
      </c>
      <c r="B106" t="s">
        <v>146</v>
      </c>
      <c r="C106">
        <v>3767</v>
      </c>
      <c r="D106" t="s">
        <v>783</v>
      </c>
      <c r="E106" t="s">
        <v>11</v>
      </c>
      <c r="F106" t="s">
        <v>760</v>
      </c>
      <c r="G106">
        <v>52585613</v>
      </c>
      <c r="H106" t="s">
        <v>306</v>
      </c>
      <c r="I106" t="s">
        <v>306</v>
      </c>
      <c r="J106" t="s">
        <v>319</v>
      </c>
      <c r="K106" t="s">
        <v>356</v>
      </c>
      <c r="L106" t="s">
        <v>243</v>
      </c>
      <c r="M106" t="s">
        <v>319</v>
      </c>
      <c r="N106" t="s">
        <v>273</v>
      </c>
      <c r="O106" t="s">
        <v>306</v>
      </c>
      <c r="P106">
        <v>274</v>
      </c>
      <c r="Q106">
        <v>234</v>
      </c>
    </row>
    <row r="107" spans="1:17">
      <c r="A107" t="s">
        <v>408</v>
      </c>
      <c r="B107" t="s">
        <v>146</v>
      </c>
      <c r="C107">
        <v>4047</v>
      </c>
      <c r="D107" t="s">
        <v>388</v>
      </c>
      <c r="E107" t="s">
        <v>171</v>
      </c>
      <c r="F107" t="s">
        <v>760</v>
      </c>
      <c r="G107">
        <v>51157369</v>
      </c>
      <c r="H107" t="s">
        <v>240</v>
      </c>
      <c r="I107" t="s">
        <v>230</v>
      </c>
      <c r="J107" t="s">
        <v>383</v>
      </c>
      <c r="K107" t="s">
        <v>278</v>
      </c>
      <c r="L107" t="s">
        <v>233</v>
      </c>
      <c r="M107" t="s">
        <v>477</v>
      </c>
      <c r="N107" t="s">
        <v>326</v>
      </c>
      <c r="O107" t="s">
        <v>441</v>
      </c>
      <c r="P107">
        <v>285</v>
      </c>
      <c r="Q107">
        <v>235</v>
      </c>
    </row>
    <row r="108" spans="1:17">
      <c r="A108" t="s">
        <v>410</v>
      </c>
      <c r="B108" t="s">
        <v>146</v>
      </c>
      <c r="C108">
        <v>4064</v>
      </c>
      <c r="D108" t="s">
        <v>409</v>
      </c>
      <c r="E108" t="s">
        <v>23</v>
      </c>
      <c r="F108" t="s">
        <v>760</v>
      </c>
      <c r="G108">
        <v>54297764</v>
      </c>
      <c r="H108" t="s">
        <v>273</v>
      </c>
      <c r="I108" t="s">
        <v>383</v>
      </c>
      <c r="J108" t="s">
        <v>356</v>
      </c>
      <c r="K108" t="s">
        <v>318</v>
      </c>
      <c r="L108" t="s">
        <v>306</v>
      </c>
      <c r="M108" t="s">
        <v>285</v>
      </c>
      <c r="N108" t="s">
        <v>159</v>
      </c>
      <c r="O108" t="s">
        <v>785</v>
      </c>
      <c r="P108">
        <v>302</v>
      </c>
      <c r="Q108">
        <v>237</v>
      </c>
    </row>
    <row r="109" spans="1:17">
      <c r="A109" t="s">
        <v>413</v>
      </c>
      <c r="B109" t="s">
        <v>146</v>
      </c>
      <c r="C109">
        <v>4163</v>
      </c>
      <c r="D109" t="s">
        <v>411</v>
      </c>
      <c r="E109" t="s">
        <v>171</v>
      </c>
      <c r="F109" t="s">
        <v>760</v>
      </c>
      <c r="G109">
        <v>52764604</v>
      </c>
      <c r="H109" t="s">
        <v>355</v>
      </c>
      <c r="I109" t="s">
        <v>378</v>
      </c>
      <c r="J109" t="s">
        <v>412</v>
      </c>
      <c r="K109" t="s">
        <v>306</v>
      </c>
      <c r="L109" t="s">
        <v>319</v>
      </c>
      <c r="M109" t="s">
        <v>278</v>
      </c>
      <c r="N109" t="s">
        <v>247</v>
      </c>
      <c r="O109" t="s">
        <v>319</v>
      </c>
      <c r="P109">
        <v>284</v>
      </c>
      <c r="Q109">
        <v>238</v>
      </c>
    </row>
    <row r="110" spans="1:17">
      <c r="A110" t="s">
        <v>415</v>
      </c>
      <c r="B110" t="s">
        <v>146</v>
      </c>
      <c r="C110">
        <v>4271</v>
      </c>
      <c r="D110" t="s">
        <v>346</v>
      </c>
      <c r="E110" t="s">
        <v>9</v>
      </c>
      <c r="F110" t="s">
        <v>760</v>
      </c>
      <c r="G110">
        <v>53878557</v>
      </c>
      <c r="H110" t="s">
        <v>785</v>
      </c>
      <c r="I110" t="s">
        <v>285</v>
      </c>
      <c r="J110" t="s">
        <v>244</v>
      </c>
      <c r="K110" t="s">
        <v>247</v>
      </c>
      <c r="L110" t="s">
        <v>326</v>
      </c>
      <c r="M110" t="s">
        <v>785</v>
      </c>
      <c r="N110" t="s">
        <v>158</v>
      </c>
      <c r="O110" t="s">
        <v>369</v>
      </c>
      <c r="P110">
        <v>304</v>
      </c>
      <c r="Q110">
        <v>239</v>
      </c>
    </row>
    <row r="111" spans="1:17">
      <c r="A111" t="s">
        <v>418</v>
      </c>
      <c r="B111" t="s">
        <v>146</v>
      </c>
      <c r="C111">
        <v>4249</v>
      </c>
      <c r="D111" t="s">
        <v>486</v>
      </c>
      <c r="E111" t="s">
        <v>23</v>
      </c>
      <c r="F111" t="s">
        <v>760</v>
      </c>
      <c r="G111">
        <v>51339874</v>
      </c>
      <c r="H111" t="s">
        <v>199</v>
      </c>
      <c r="I111" t="s">
        <v>186</v>
      </c>
      <c r="J111" t="s">
        <v>285</v>
      </c>
      <c r="K111" t="s">
        <v>451</v>
      </c>
      <c r="L111" t="s">
        <v>438</v>
      </c>
      <c r="M111" t="s">
        <v>383</v>
      </c>
      <c r="N111" t="s">
        <v>412</v>
      </c>
      <c r="O111" t="s">
        <v>285</v>
      </c>
      <c r="P111">
        <v>293</v>
      </c>
      <c r="Q111">
        <v>242</v>
      </c>
    </row>
    <row r="112" spans="1:17">
      <c r="A112" t="s">
        <v>421</v>
      </c>
      <c r="B112" t="s">
        <v>146</v>
      </c>
      <c r="C112">
        <v>3918</v>
      </c>
      <c r="D112" t="s">
        <v>787</v>
      </c>
      <c r="E112" t="s">
        <v>67</v>
      </c>
      <c r="F112" t="s">
        <v>761</v>
      </c>
      <c r="G112">
        <v>52456716</v>
      </c>
      <c r="H112" t="s">
        <v>420</v>
      </c>
      <c r="I112" t="s">
        <v>313</v>
      </c>
      <c r="J112" t="s">
        <v>356</v>
      </c>
      <c r="K112" t="s">
        <v>313</v>
      </c>
      <c r="L112" t="s">
        <v>244</v>
      </c>
      <c r="M112" t="s">
        <v>294</v>
      </c>
      <c r="N112" t="s">
        <v>318</v>
      </c>
      <c r="O112" t="s">
        <v>785</v>
      </c>
      <c r="P112">
        <v>307</v>
      </c>
      <c r="Q112">
        <v>242</v>
      </c>
    </row>
    <row r="113" spans="1:17">
      <c r="A113" t="s">
        <v>423</v>
      </c>
      <c r="B113" t="s">
        <v>146</v>
      </c>
      <c r="C113">
        <v>4160</v>
      </c>
      <c r="D113" t="s">
        <v>808</v>
      </c>
      <c r="E113" t="s">
        <v>10</v>
      </c>
      <c r="F113" t="s">
        <v>761</v>
      </c>
      <c r="G113">
        <v>52725158</v>
      </c>
      <c r="H113" t="s">
        <v>785</v>
      </c>
      <c r="I113" t="s">
        <v>299</v>
      </c>
      <c r="J113" t="s">
        <v>244</v>
      </c>
      <c r="K113" t="s">
        <v>266</v>
      </c>
      <c r="L113" t="s">
        <v>210</v>
      </c>
      <c r="M113" t="s">
        <v>356</v>
      </c>
      <c r="N113" t="s">
        <v>785</v>
      </c>
      <c r="O113" t="s">
        <v>356</v>
      </c>
      <c r="P113">
        <v>308</v>
      </c>
      <c r="Q113">
        <v>243</v>
      </c>
    </row>
    <row r="114" spans="1:17">
      <c r="A114" t="s">
        <v>425</v>
      </c>
      <c r="B114" t="s">
        <v>146</v>
      </c>
      <c r="C114">
        <v>3808</v>
      </c>
      <c r="D114" t="s">
        <v>482</v>
      </c>
      <c r="E114" t="s">
        <v>8</v>
      </c>
      <c r="F114" t="s">
        <v>760</v>
      </c>
      <c r="G114">
        <v>51324832</v>
      </c>
      <c r="H114" t="s">
        <v>318</v>
      </c>
      <c r="I114" t="s">
        <v>233</v>
      </c>
      <c r="J114" t="s">
        <v>299</v>
      </c>
      <c r="K114" t="s">
        <v>438</v>
      </c>
      <c r="L114" t="s">
        <v>240</v>
      </c>
      <c r="M114" t="s">
        <v>785</v>
      </c>
      <c r="N114" t="s">
        <v>244</v>
      </c>
      <c r="O114" t="s">
        <v>785</v>
      </c>
      <c r="P114">
        <v>312</v>
      </c>
      <c r="Q114">
        <v>247</v>
      </c>
    </row>
    <row r="115" spans="1:17">
      <c r="A115" t="s">
        <v>427</v>
      </c>
      <c r="B115" t="s">
        <v>146</v>
      </c>
      <c r="C115">
        <v>3903</v>
      </c>
      <c r="D115" t="s">
        <v>424</v>
      </c>
      <c r="E115" t="s">
        <v>10</v>
      </c>
      <c r="F115" t="s">
        <v>760</v>
      </c>
      <c r="G115">
        <v>50901006</v>
      </c>
      <c r="H115" t="s">
        <v>355</v>
      </c>
      <c r="I115" t="s">
        <v>285</v>
      </c>
      <c r="J115" t="s">
        <v>285</v>
      </c>
      <c r="K115" t="s">
        <v>306</v>
      </c>
      <c r="L115" t="s">
        <v>369</v>
      </c>
      <c r="M115" t="s">
        <v>378</v>
      </c>
      <c r="N115" t="s">
        <v>230</v>
      </c>
      <c r="O115" t="s">
        <v>785</v>
      </c>
      <c r="P115">
        <v>312</v>
      </c>
      <c r="Q115">
        <v>247</v>
      </c>
    </row>
    <row r="116" spans="1:17">
      <c r="A116" t="s">
        <v>429</v>
      </c>
      <c r="B116" t="s">
        <v>146</v>
      </c>
      <c r="C116">
        <v>4091</v>
      </c>
      <c r="D116" t="s">
        <v>476</v>
      </c>
      <c r="E116" t="s">
        <v>5</v>
      </c>
      <c r="F116" t="s">
        <v>760</v>
      </c>
      <c r="G116">
        <v>51069814</v>
      </c>
      <c r="H116" t="s">
        <v>285</v>
      </c>
      <c r="I116" t="s">
        <v>247</v>
      </c>
      <c r="J116" t="s">
        <v>306</v>
      </c>
      <c r="K116" t="s">
        <v>318</v>
      </c>
      <c r="L116" t="s">
        <v>444</v>
      </c>
      <c r="M116" t="s">
        <v>278</v>
      </c>
      <c r="N116" t="s">
        <v>420</v>
      </c>
      <c r="O116" t="s">
        <v>785</v>
      </c>
      <c r="P116">
        <v>314</v>
      </c>
      <c r="Q116">
        <v>249</v>
      </c>
    </row>
    <row r="117" spans="1:17">
      <c r="A117" t="s">
        <v>431</v>
      </c>
      <c r="B117" t="s">
        <v>146</v>
      </c>
      <c r="C117">
        <v>3920</v>
      </c>
      <c r="D117" t="s">
        <v>426</v>
      </c>
      <c r="E117" t="s">
        <v>33</v>
      </c>
      <c r="F117" t="s">
        <v>760</v>
      </c>
      <c r="G117">
        <v>52364453</v>
      </c>
      <c r="H117" t="s">
        <v>785</v>
      </c>
      <c r="I117" t="s">
        <v>233</v>
      </c>
      <c r="J117" t="s">
        <v>294</v>
      </c>
      <c r="K117" t="s">
        <v>240</v>
      </c>
      <c r="L117" t="s">
        <v>244</v>
      </c>
      <c r="M117" t="s">
        <v>263</v>
      </c>
      <c r="N117" t="s">
        <v>529</v>
      </c>
      <c r="O117" t="s">
        <v>785</v>
      </c>
      <c r="P117">
        <v>319</v>
      </c>
      <c r="Q117">
        <v>254</v>
      </c>
    </row>
    <row r="118" spans="1:17">
      <c r="A118" t="s">
        <v>433</v>
      </c>
      <c r="B118" t="s">
        <v>146</v>
      </c>
      <c r="C118">
        <v>4048</v>
      </c>
      <c r="D118" t="s">
        <v>495</v>
      </c>
      <c r="E118" t="s">
        <v>21</v>
      </c>
      <c r="F118" t="s">
        <v>760</v>
      </c>
      <c r="G118">
        <v>53240699</v>
      </c>
      <c r="H118" t="s">
        <v>383</v>
      </c>
      <c r="I118" t="s">
        <v>412</v>
      </c>
      <c r="J118" t="s">
        <v>326</v>
      </c>
      <c r="K118" t="s">
        <v>326</v>
      </c>
      <c r="L118" t="s">
        <v>355</v>
      </c>
      <c r="M118" t="s">
        <v>180</v>
      </c>
      <c r="N118" t="s">
        <v>326</v>
      </c>
      <c r="O118" t="s">
        <v>243</v>
      </c>
      <c r="P118">
        <v>306</v>
      </c>
      <c r="Q118">
        <v>257</v>
      </c>
    </row>
    <row r="119" spans="1:17">
      <c r="A119" t="s">
        <v>436</v>
      </c>
      <c r="B119" t="s">
        <v>146</v>
      </c>
      <c r="C119">
        <v>4076</v>
      </c>
      <c r="D119" t="s">
        <v>777</v>
      </c>
      <c r="E119" t="s">
        <v>22</v>
      </c>
      <c r="F119" t="s">
        <v>761</v>
      </c>
      <c r="G119">
        <v>52697921</v>
      </c>
      <c r="H119" t="s">
        <v>233</v>
      </c>
      <c r="I119" t="s">
        <v>278</v>
      </c>
      <c r="J119" t="s">
        <v>273</v>
      </c>
      <c r="K119" t="s">
        <v>355</v>
      </c>
      <c r="L119" t="s">
        <v>843</v>
      </c>
      <c r="M119" t="s">
        <v>356</v>
      </c>
      <c r="N119" t="s">
        <v>451</v>
      </c>
      <c r="O119" t="s">
        <v>273</v>
      </c>
      <c r="P119">
        <v>322</v>
      </c>
      <c r="Q119">
        <v>257</v>
      </c>
    </row>
    <row r="120" spans="1:17">
      <c r="A120" t="s">
        <v>439</v>
      </c>
      <c r="B120" t="s">
        <v>146</v>
      </c>
      <c r="C120">
        <v>3946</v>
      </c>
      <c r="D120" t="s">
        <v>506</v>
      </c>
      <c r="E120" t="s">
        <v>21</v>
      </c>
      <c r="F120" t="s">
        <v>760</v>
      </c>
      <c r="G120">
        <v>53957972</v>
      </c>
      <c r="H120" t="s">
        <v>294</v>
      </c>
      <c r="I120" t="s">
        <v>785</v>
      </c>
      <c r="J120" t="s">
        <v>378</v>
      </c>
      <c r="K120" t="s">
        <v>441</v>
      </c>
      <c r="L120" t="s">
        <v>441</v>
      </c>
      <c r="M120" t="s">
        <v>785</v>
      </c>
      <c r="N120" t="s">
        <v>162</v>
      </c>
      <c r="O120" t="s">
        <v>176</v>
      </c>
      <c r="P120">
        <v>323</v>
      </c>
      <c r="Q120">
        <v>258</v>
      </c>
    </row>
    <row r="121" spans="1:17">
      <c r="A121" t="s">
        <v>442</v>
      </c>
      <c r="B121" t="s">
        <v>146</v>
      </c>
      <c r="C121">
        <v>4223</v>
      </c>
      <c r="D121" t="s">
        <v>386</v>
      </c>
      <c r="E121" t="s">
        <v>27</v>
      </c>
      <c r="F121" t="s">
        <v>760</v>
      </c>
      <c r="G121">
        <v>53799215</v>
      </c>
      <c r="H121" t="s">
        <v>378</v>
      </c>
      <c r="I121" t="s">
        <v>441</v>
      </c>
      <c r="J121" t="s">
        <v>477</v>
      </c>
      <c r="K121" t="s">
        <v>383</v>
      </c>
      <c r="L121" t="s">
        <v>383</v>
      </c>
      <c r="M121" t="s">
        <v>155</v>
      </c>
      <c r="N121" t="s">
        <v>785</v>
      </c>
      <c r="O121" t="s">
        <v>198</v>
      </c>
      <c r="P121">
        <v>324</v>
      </c>
      <c r="Q121">
        <v>259</v>
      </c>
    </row>
    <row r="122" spans="1:17">
      <c r="A122" t="s">
        <v>445</v>
      </c>
      <c r="B122" t="s">
        <v>146</v>
      </c>
      <c r="C122">
        <v>4226</v>
      </c>
      <c r="D122" t="s">
        <v>414</v>
      </c>
      <c r="E122" t="s">
        <v>21</v>
      </c>
      <c r="F122" t="s">
        <v>760</v>
      </c>
      <c r="G122">
        <v>52854980</v>
      </c>
      <c r="H122" t="s">
        <v>785</v>
      </c>
      <c r="I122" t="s">
        <v>319</v>
      </c>
      <c r="J122" t="s">
        <v>318</v>
      </c>
      <c r="K122" t="s">
        <v>285</v>
      </c>
      <c r="L122" t="s">
        <v>318</v>
      </c>
      <c r="M122" t="s">
        <v>444</v>
      </c>
      <c r="N122" t="s">
        <v>306</v>
      </c>
      <c r="O122" t="s">
        <v>355</v>
      </c>
      <c r="P122">
        <v>324</v>
      </c>
      <c r="Q122">
        <v>259</v>
      </c>
    </row>
    <row r="123" spans="1:17">
      <c r="A123" t="s">
        <v>447</v>
      </c>
      <c r="B123" t="s">
        <v>146</v>
      </c>
      <c r="C123">
        <v>3688</v>
      </c>
      <c r="D123" t="s">
        <v>489</v>
      </c>
      <c r="E123" t="s">
        <v>26</v>
      </c>
      <c r="F123" t="s">
        <v>760</v>
      </c>
      <c r="G123">
        <v>53242979</v>
      </c>
      <c r="H123" t="s">
        <v>378</v>
      </c>
      <c r="I123" t="s">
        <v>477</v>
      </c>
      <c r="J123" t="s">
        <v>444</v>
      </c>
      <c r="K123" t="s">
        <v>441</v>
      </c>
      <c r="L123" t="s">
        <v>378</v>
      </c>
      <c r="M123" t="s">
        <v>384</v>
      </c>
      <c r="N123" t="s">
        <v>155</v>
      </c>
      <c r="O123" t="s">
        <v>278</v>
      </c>
      <c r="P123">
        <v>314</v>
      </c>
      <c r="Q123">
        <v>262</v>
      </c>
    </row>
    <row r="124" spans="1:17">
      <c r="A124" t="s">
        <v>449</v>
      </c>
      <c r="B124" t="s">
        <v>146</v>
      </c>
      <c r="C124">
        <v>3866</v>
      </c>
      <c r="D124" t="s">
        <v>458</v>
      </c>
      <c r="E124" t="s">
        <v>17</v>
      </c>
      <c r="F124" t="s">
        <v>760</v>
      </c>
      <c r="G124">
        <v>53774618</v>
      </c>
      <c r="H124" t="s">
        <v>384</v>
      </c>
      <c r="I124" t="s">
        <v>441</v>
      </c>
      <c r="J124" t="s">
        <v>356</v>
      </c>
      <c r="K124" t="s">
        <v>313</v>
      </c>
      <c r="L124" t="s">
        <v>412</v>
      </c>
      <c r="M124" t="s">
        <v>186</v>
      </c>
      <c r="N124" t="s">
        <v>299</v>
      </c>
      <c r="O124" t="s">
        <v>785</v>
      </c>
      <c r="P124">
        <v>327</v>
      </c>
      <c r="Q124">
        <v>262</v>
      </c>
    </row>
    <row r="125" spans="1:17">
      <c r="A125" t="s">
        <v>452</v>
      </c>
      <c r="B125" t="s">
        <v>146</v>
      </c>
      <c r="C125">
        <v>3630</v>
      </c>
      <c r="D125" t="s">
        <v>524</v>
      </c>
      <c r="E125" t="s">
        <v>26</v>
      </c>
      <c r="F125" t="s">
        <v>760</v>
      </c>
      <c r="G125">
        <v>51330536</v>
      </c>
      <c r="H125" t="s">
        <v>247</v>
      </c>
      <c r="I125" t="s">
        <v>294</v>
      </c>
      <c r="J125" t="s">
        <v>441</v>
      </c>
      <c r="K125" t="s">
        <v>294</v>
      </c>
      <c r="L125" t="s">
        <v>384</v>
      </c>
      <c r="M125" t="s">
        <v>244</v>
      </c>
      <c r="N125" t="s">
        <v>326</v>
      </c>
      <c r="O125" t="s">
        <v>785</v>
      </c>
      <c r="P125">
        <v>328</v>
      </c>
      <c r="Q125">
        <v>263</v>
      </c>
    </row>
    <row r="126" spans="1:17">
      <c r="A126" t="s">
        <v>455</v>
      </c>
      <c r="B126" t="s">
        <v>146</v>
      </c>
      <c r="C126">
        <v>3123</v>
      </c>
      <c r="D126" t="s">
        <v>502</v>
      </c>
      <c r="E126" t="s">
        <v>780</v>
      </c>
      <c r="F126" t="s">
        <v>760</v>
      </c>
      <c r="G126">
        <v>53825401</v>
      </c>
      <c r="H126" t="s">
        <v>403</v>
      </c>
      <c r="I126" t="s">
        <v>233</v>
      </c>
      <c r="J126" t="s">
        <v>843</v>
      </c>
      <c r="K126" t="s">
        <v>843</v>
      </c>
      <c r="L126" t="s">
        <v>843</v>
      </c>
      <c r="M126" t="s">
        <v>299</v>
      </c>
      <c r="N126" t="s">
        <v>168</v>
      </c>
      <c r="O126" t="s">
        <v>306</v>
      </c>
      <c r="P126">
        <v>338</v>
      </c>
      <c r="Q126">
        <v>273</v>
      </c>
    </row>
    <row r="127" spans="1:17">
      <c r="A127" t="s">
        <v>457</v>
      </c>
      <c r="B127" t="s">
        <v>146</v>
      </c>
      <c r="C127">
        <v>3977</v>
      </c>
      <c r="D127" t="s">
        <v>362</v>
      </c>
      <c r="E127" t="s">
        <v>17</v>
      </c>
      <c r="F127" t="s">
        <v>760</v>
      </c>
      <c r="G127">
        <v>51281593</v>
      </c>
      <c r="H127" t="s">
        <v>243</v>
      </c>
      <c r="I127" t="s">
        <v>263</v>
      </c>
      <c r="J127" t="s">
        <v>233</v>
      </c>
      <c r="K127" t="s">
        <v>435</v>
      </c>
      <c r="L127" t="s">
        <v>420</v>
      </c>
      <c r="M127" t="s">
        <v>785</v>
      </c>
      <c r="N127" t="s">
        <v>785</v>
      </c>
      <c r="O127" t="s">
        <v>273</v>
      </c>
      <c r="P127">
        <v>338</v>
      </c>
      <c r="Q127">
        <v>273</v>
      </c>
    </row>
    <row r="128" spans="1:17">
      <c r="A128" t="s">
        <v>459</v>
      </c>
      <c r="B128" t="s">
        <v>146</v>
      </c>
      <c r="C128">
        <v>3970</v>
      </c>
      <c r="D128" t="s">
        <v>465</v>
      </c>
      <c r="E128" t="s">
        <v>21</v>
      </c>
      <c r="F128" t="s">
        <v>760</v>
      </c>
      <c r="G128">
        <v>52441977</v>
      </c>
      <c r="H128" t="s">
        <v>412</v>
      </c>
      <c r="I128" t="s">
        <v>294</v>
      </c>
      <c r="J128" t="s">
        <v>278</v>
      </c>
      <c r="K128" t="s">
        <v>299</v>
      </c>
      <c r="L128" t="s">
        <v>355</v>
      </c>
      <c r="M128" t="s">
        <v>785</v>
      </c>
      <c r="N128" t="s">
        <v>785</v>
      </c>
      <c r="O128" t="s">
        <v>243</v>
      </c>
      <c r="P128">
        <v>339</v>
      </c>
      <c r="Q128">
        <v>274</v>
      </c>
    </row>
    <row r="129" spans="1:17">
      <c r="A129" t="s">
        <v>461</v>
      </c>
      <c r="B129" t="s">
        <v>146</v>
      </c>
      <c r="C129">
        <v>4085</v>
      </c>
      <c r="D129" t="s">
        <v>432</v>
      </c>
      <c r="E129" t="s">
        <v>21</v>
      </c>
      <c r="F129" t="s">
        <v>760</v>
      </c>
      <c r="G129">
        <v>53087006</v>
      </c>
      <c r="H129" t="s">
        <v>793</v>
      </c>
      <c r="I129" t="s">
        <v>785</v>
      </c>
      <c r="J129" t="s">
        <v>306</v>
      </c>
      <c r="K129" t="s">
        <v>378</v>
      </c>
      <c r="L129" t="s">
        <v>444</v>
      </c>
      <c r="M129" t="s">
        <v>294</v>
      </c>
      <c r="N129" t="s">
        <v>369</v>
      </c>
      <c r="O129" t="s">
        <v>162</v>
      </c>
      <c r="P129">
        <v>340</v>
      </c>
      <c r="Q129">
        <v>275</v>
      </c>
    </row>
    <row r="130" spans="1:17">
      <c r="A130" t="s">
        <v>464</v>
      </c>
      <c r="B130" t="s">
        <v>146</v>
      </c>
      <c r="C130">
        <v>3935</v>
      </c>
      <c r="D130" t="s">
        <v>440</v>
      </c>
      <c r="E130" t="s">
        <v>27</v>
      </c>
      <c r="F130" t="s">
        <v>760</v>
      </c>
      <c r="G130">
        <v>51505113</v>
      </c>
      <c r="H130" t="s">
        <v>278</v>
      </c>
      <c r="I130" t="s">
        <v>244</v>
      </c>
      <c r="J130" t="s">
        <v>438</v>
      </c>
      <c r="K130" t="s">
        <v>403</v>
      </c>
      <c r="L130" t="s">
        <v>441</v>
      </c>
      <c r="M130" t="s">
        <v>240</v>
      </c>
      <c r="N130" t="s">
        <v>785</v>
      </c>
      <c r="O130" t="s">
        <v>785</v>
      </c>
      <c r="P130">
        <v>341</v>
      </c>
      <c r="Q130">
        <v>276</v>
      </c>
    </row>
    <row r="131" spans="1:17">
      <c r="A131" t="s">
        <v>466</v>
      </c>
      <c r="B131" t="s">
        <v>146</v>
      </c>
      <c r="C131">
        <v>4264</v>
      </c>
      <c r="D131" t="s">
        <v>472</v>
      </c>
      <c r="E131" t="s">
        <v>17</v>
      </c>
      <c r="F131" t="s">
        <v>760</v>
      </c>
      <c r="G131">
        <v>52373551</v>
      </c>
      <c r="H131" t="s">
        <v>306</v>
      </c>
      <c r="I131" t="s">
        <v>273</v>
      </c>
      <c r="J131" t="s">
        <v>378</v>
      </c>
      <c r="K131" t="s">
        <v>243</v>
      </c>
      <c r="L131" t="s">
        <v>438</v>
      </c>
      <c r="M131" t="s">
        <v>438</v>
      </c>
      <c r="N131" t="s">
        <v>378</v>
      </c>
      <c r="O131" t="s">
        <v>785</v>
      </c>
      <c r="P131">
        <v>341</v>
      </c>
      <c r="Q131">
        <v>276</v>
      </c>
    </row>
    <row r="132" spans="1:17">
      <c r="A132" t="s">
        <v>469</v>
      </c>
      <c r="B132" t="s">
        <v>146</v>
      </c>
      <c r="C132">
        <v>4202</v>
      </c>
      <c r="D132" t="s">
        <v>443</v>
      </c>
      <c r="E132" t="s">
        <v>22</v>
      </c>
      <c r="F132" t="s">
        <v>760</v>
      </c>
      <c r="G132">
        <v>53690319</v>
      </c>
      <c r="H132" t="s">
        <v>785</v>
      </c>
      <c r="I132" t="s">
        <v>378</v>
      </c>
      <c r="J132" t="s">
        <v>493</v>
      </c>
      <c r="K132" t="s">
        <v>378</v>
      </c>
      <c r="L132" t="s">
        <v>356</v>
      </c>
      <c r="M132" t="s">
        <v>403</v>
      </c>
      <c r="N132" t="s">
        <v>369</v>
      </c>
      <c r="O132" t="s">
        <v>186</v>
      </c>
      <c r="P132">
        <v>342</v>
      </c>
      <c r="Q132">
        <v>277</v>
      </c>
    </row>
    <row r="133" spans="1:17">
      <c r="A133" t="s">
        <v>471</v>
      </c>
      <c r="B133" t="s">
        <v>146</v>
      </c>
      <c r="C133">
        <v>4157</v>
      </c>
      <c r="D133" t="s">
        <v>416</v>
      </c>
      <c r="E133" t="s">
        <v>776</v>
      </c>
      <c r="F133" t="s">
        <v>760</v>
      </c>
      <c r="G133">
        <v>52964858</v>
      </c>
      <c r="H133" t="s">
        <v>240</v>
      </c>
      <c r="I133" t="s">
        <v>263</v>
      </c>
      <c r="J133" t="s">
        <v>369</v>
      </c>
      <c r="K133" t="s">
        <v>369</v>
      </c>
      <c r="L133" t="s">
        <v>478</v>
      </c>
      <c r="M133" t="s">
        <v>785</v>
      </c>
      <c r="N133" t="s">
        <v>356</v>
      </c>
      <c r="O133" t="s">
        <v>785</v>
      </c>
      <c r="P133">
        <v>343</v>
      </c>
      <c r="Q133">
        <v>278</v>
      </c>
    </row>
    <row r="134" spans="1:17">
      <c r="A134" t="s">
        <v>473</v>
      </c>
      <c r="B134" t="s">
        <v>146</v>
      </c>
      <c r="C134">
        <v>3731</v>
      </c>
      <c r="D134" t="s">
        <v>786</v>
      </c>
      <c r="E134" t="s">
        <v>5</v>
      </c>
      <c r="F134" t="s">
        <v>761</v>
      </c>
      <c r="G134">
        <v>52769391</v>
      </c>
      <c r="H134" t="s">
        <v>319</v>
      </c>
      <c r="I134" t="s">
        <v>356</v>
      </c>
      <c r="J134" t="s">
        <v>403</v>
      </c>
      <c r="K134" t="s">
        <v>843</v>
      </c>
      <c r="L134" t="s">
        <v>843</v>
      </c>
      <c r="M134" t="s">
        <v>319</v>
      </c>
      <c r="N134" t="s">
        <v>369</v>
      </c>
      <c r="O134" t="s">
        <v>313</v>
      </c>
      <c r="P134">
        <v>345</v>
      </c>
      <c r="Q134">
        <v>280</v>
      </c>
    </row>
    <row r="135" spans="1:17">
      <c r="A135" t="s">
        <v>475</v>
      </c>
      <c r="B135" t="s">
        <v>146</v>
      </c>
      <c r="C135">
        <v>4095</v>
      </c>
      <c r="D135" t="s">
        <v>784</v>
      </c>
      <c r="E135" t="s">
        <v>39</v>
      </c>
      <c r="F135" t="s">
        <v>761</v>
      </c>
      <c r="G135">
        <v>50988984</v>
      </c>
      <c r="H135" t="s">
        <v>263</v>
      </c>
      <c r="I135" t="s">
        <v>384</v>
      </c>
      <c r="J135" t="s">
        <v>355</v>
      </c>
      <c r="K135" t="s">
        <v>490</v>
      </c>
      <c r="L135" t="s">
        <v>384</v>
      </c>
      <c r="M135" t="s">
        <v>412</v>
      </c>
      <c r="N135" t="s">
        <v>240</v>
      </c>
      <c r="O135" t="s">
        <v>444</v>
      </c>
      <c r="P135">
        <v>337</v>
      </c>
      <c r="Q135">
        <v>281</v>
      </c>
    </row>
    <row r="136" spans="1:17">
      <c r="A136" t="s">
        <v>479</v>
      </c>
      <c r="B136" t="s">
        <v>146</v>
      </c>
      <c r="C136">
        <v>3790</v>
      </c>
      <c r="D136" t="s">
        <v>812</v>
      </c>
      <c r="E136" t="s">
        <v>39</v>
      </c>
      <c r="F136" t="s">
        <v>761</v>
      </c>
      <c r="G136">
        <v>51583086</v>
      </c>
      <c r="H136" t="s">
        <v>451</v>
      </c>
      <c r="I136" t="s">
        <v>412</v>
      </c>
      <c r="J136" t="s">
        <v>378</v>
      </c>
      <c r="K136" t="s">
        <v>326</v>
      </c>
      <c r="L136" t="s">
        <v>285</v>
      </c>
      <c r="M136" t="s">
        <v>243</v>
      </c>
      <c r="N136" t="s">
        <v>285</v>
      </c>
      <c r="O136" t="s">
        <v>785</v>
      </c>
      <c r="P136">
        <v>346</v>
      </c>
      <c r="Q136">
        <v>281</v>
      </c>
    </row>
    <row r="137" spans="1:17">
      <c r="A137" t="s">
        <v>481</v>
      </c>
      <c r="B137" t="s">
        <v>146</v>
      </c>
      <c r="C137">
        <v>4279</v>
      </c>
      <c r="D137" t="s">
        <v>533</v>
      </c>
      <c r="E137" t="s">
        <v>5</v>
      </c>
      <c r="F137" t="s">
        <v>760</v>
      </c>
      <c r="G137">
        <v>52141180</v>
      </c>
      <c r="H137" t="s">
        <v>285</v>
      </c>
      <c r="I137" t="s">
        <v>403</v>
      </c>
      <c r="J137" t="s">
        <v>383</v>
      </c>
      <c r="K137" t="s">
        <v>438</v>
      </c>
      <c r="L137" t="s">
        <v>273</v>
      </c>
      <c r="M137" t="s">
        <v>420</v>
      </c>
      <c r="N137" t="s">
        <v>438</v>
      </c>
      <c r="O137" t="s">
        <v>294</v>
      </c>
      <c r="P137">
        <v>331</v>
      </c>
      <c r="Q137">
        <v>282</v>
      </c>
    </row>
    <row r="138" spans="1:17">
      <c r="A138" t="s">
        <v>483</v>
      </c>
      <c r="B138" t="s">
        <v>146</v>
      </c>
      <c r="C138">
        <v>4053</v>
      </c>
      <c r="D138" t="s">
        <v>789</v>
      </c>
      <c r="E138" t="s">
        <v>23</v>
      </c>
      <c r="F138" t="s">
        <v>761</v>
      </c>
      <c r="G138">
        <v>53595476</v>
      </c>
      <c r="H138" t="s">
        <v>356</v>
      </c>
      <c r="I138" t="s">
        <v>403</v>
      </c>
      <c r="J138" t="s">
        <v>412</v>
      </c>
      <c r="K138" t="s">
        <v>273</v>
      </c>
      <c r="L138" t="s">
        <v>278</v>
      </c>
      <c r="M138" t="s">
        <v>383</v>
      </c>
      <c r="N138" t="s">
        <v>420</v>
      </c>
      <c r="O138" t="s">
        <v>785</v>
      </c>
      <c r="P138">
        <v>348</v>
      </c>
      <c r="Q138">
        <v>283</v>
      </c>
    </row>
    <row r="139" spans="1:17">
      <c r="A139" t="s">
        <v>485</v>
      </c>
      <c r="B139" t="s">
        <v>146</v>
      </c>
      <c r="C139">
        <v>4098</v>
      </c>
      <c r="D139" t="s">
        <v>422</v>
      </c>
      <c r="E139" t="s">
        <v>67</v>
      </c>
      <c r="F139" t="s">
        <v>760</v>
      </c>
      <c r="G139">
        <v>52958381</v>
      </c>
      <c r="H139" t="s">
        <v>785</v>
      </c>
      <c r="I139" t="s">
        <v>785</v>
      </c>
      <c r="J139" t="s">
        <v>215</v>
      </c>
      <c r="K139" t="s">
        <v>186</v>
      </c>
      <c r="L139" t="s">
        <v>285</v>
      </c>
      <c r="M139" t="s">
        <v>868</v>
      </c>
      <c r="N139" t="s">
        <v>215</v>
      </c>
      <c r="O139" t="s">
        <v>785</v>
      </c>
      <c r="P139">
        <v>351</v>
      </c>
      <c r="Q139">
        <v>286</v>
      </c>
    </row>
    <row r="140" spans="1:17">
      <c r="A140" t="s">
        <v>488</v>
      </c>
      <c r="B140" t="s">
        <v>146</v>
      </c>
      <c r="C140">
        <v>3989</v>
      </c>
      <c r="D140" t="s">
        <v>810</v>
      </c>
      <c r="E140" t="s">
        <v>8</v>
      </c>
      <c r="F140" t="s">
        <v>760</v>
      </c>
      <c r="G140">
        <v>53801029</v>
      </c>
      <c r="H140" t="s">
        <v>785</v>
      </c>
      <c r="I140" t="s">
        <v>306</v>
      </c>
      <c r="J140" t="s">
        <v>319</v>
      </c>
      <c r="K140" t="s">
        <v>412</v>
      </c>
      <c r="L140" t="s">
        <v>355</v>
      </c>
      <c r="M140" t="s">
        <v>273</v>
      </c>
      <c r="N140" t="s">
        <v>243</v>
      </c>
      <c r="O140" t="s">
        <v>785</v>
      </c>
      <c r="P140">
        <v>351</v>
      </c>
      <c r="Q140">
        <v>286</v>
      </c>
    </row>
    <row r="141" spans="1:17">
      <c r="A141" t="s">
        <v>491</v>
      </c>
      <c r="B141" t="s">
        <v>146</v>
      </c>
      <c r="C141">
        <v>4159</v>
      </c>
      <c r="D141" t="s">
        <v>796</v>
      </c>
      <c r="E141" t="s">
        <v>8</v>
      </c>
      <c r="F141" t="s">
        <v>761</v>
      </c>
      <c r="G141">
        <v>53618936</v>
      </c>
      <c r="H141" t="s">
        <v>233</v>
      </c>
      <c r="I141" t="s">
        <v>785</v>
      </c>
      <c r="J141" t="s">
        <v>306</v>
      </c>
      <c r="K141" t="s">
        <v>441</v>
      </c>
      <c r="L141" t="s">
        <v>444</v>
      </c>
      <c r="M141" t="s">
        <v>244</v>
      </c>
      <c r="N141" t="s">
        <v>378</v>
      </c>
      <c r="O141" t="s">
        <v>785</v>
      </c>
      <c r="P141">
        <v>355</v>
      </c>
      <c r="Q141">
        <v>290</v>
      </c>
    </row>
    <row r="142" spans="1:17">
      <c r="A142" t="s">
        <v>494</v>
      </c>
      <c r="B142" t="s">
        <v>146</v>
      </c>
      <c r="C142">
        <v>4268</v>
      </c>
      <c r="D142" t="s">
        <v>792</v>
      </c>
      <c r="E142" t="s">
        <v>23</v>
      </c>
      <c r="F142" t="s">
        <v>761</v>
      </c>
      <c r="G142">
        <v>53084562</v>
      </c>
      <c r="H142" t="s">
        <v>438</v>
      </c>
      <c r="I142" t="s">
        <v>356</v>
      </c>
      <c r="J142" t="s">
        <v>478</v>
      </c>
      <c r="K142" t="s">
        <v>451</v>
      </c>
      <c r="L142" t="s">
        <v>477</v>
      </c>
      <c r="M142" t="s">
        <v>355</v>
      </c>
      <c r="N142" t="s">
        <v>233</v>
      </c>
      <c r="O142" t="s">
        <v>355</v>
      </c>
      <c r="P142">
        <v>343</v>
      </c>
      <c r="Q142">
        <v>290</v>
      </c>
    </row>
    <row r="143" spans="1:17">
      <c r="A143" t="s">
        <v>496</v>
      </c>
      <c r="B143" t="s">
        <v>146</v>
      </c>
      <c r="C143">
        <v>4166</v>
      </c>
      <c r="D143" t="s">
        <v>804</v>
      </c>
      <c r="E143" t="s">
        <v>171</v>
      </c>
      <c r="F143" t="s">
        <v>761</v>
      </c>
      <c r="G143">
        <v>54055585</v>
      </c>
      <c r="H143" t="s">
        <v>412</v>
      </c>
      <c r="I143" t="s">
        <v>441</v>
      </c>
      <c r="J143" t="s">
        <v>420</v>
      </c>
      <c r="K143" t="s">
        <v>493</v>
      </c>
      <c r="L143" t="s">
        <v>490</v>
      </c>
      <c r="M143" t="s">
        <v>244</v>
      </c>
      <c r="N143" t="s">
        <v>278</v>
      </c>
      <c r="O143" t="s">
        <v>420</v>
      </c>
      <c r="P143">
        <v>347</v>
      </c>
      <c r="Q143">
        <v>291</v>
      </c>
    </row>
    <row r="144" spans="1:17">
      <c r="A144" t="s">
        <v>498</v>
      </c>
      <c r="B144" t="s">
        <v>146</v>
      </c>
      <c r="C144">
        <v>3856</v>
      </c>
      <c r="D144" t="s">
        <v>518</v>
      </c>
      <c r="E144" t="s">
        <v>26</v>
      </c>
      <c r="F144" t="s">
        <v>760</v>
      </c>
      <c r="G144">
        <v>51183107</v>
      </c>
      <c r="H144" t="s">
        <v>319</v>
      </c>
      <c r="I144" t="s">
        <v>369</v>
      </c>
      <c r="J144" t="s">
        <v>326</v>
      </c>
      <c r="K144" t="s">
        <v>369</v>
      </c>
      <c r="L144" t="s">
        <v>294</v>
      </c>
      <c r="M144" t="s">
        <v>478</v>
      </c>
      <c r="N144" t="s">
        <v>444</v>
      </c>
      <c r="O144" t="s">
        <v>785</v>
      </c>
      <c r="P144">
        <v>356</v>
      </c>
      <c r="Q144">
        <v>291</v>
      </c>
    </row>
    <row r="145" spans="1:17">
      <c r="A145" t="s">
        <v>501</v>
      </c>
      <c r="B145" t="s">
        <v>146</v>
      </c>
      <c r="C145">
        <v>4174</v>
      </c>
      <c r="D145" t="s">
        <v>277</v>
      </c>
      <c r="E145" t="s">
        <v>5</v>
      </c>
      <c r="F145" t="s">
        <v>760</v>
      </c>
      <c r="G145">
        <v>52647669</v>
      </c>
      <c r="H145" t="s">
        <v>444</v>
      </c>
      <c r="I145" t="s">
        <v>294</v>
      </c>
      <c r="J145" t="s">
        <v>850</v>
      </c>
      <c r="K145" t="s">
        <v>843</v>
      </c>
      <c r="L145" t="s">
        <v>451</v>
      </c>
      <c r="M145" t="s">
        <v>306</v>
      </c>
      <c r="N145" t="s">
        <v>785</v>
      </c>
      <c r="O145" t="s">
        <v>240</v>
      </c>
      <c r="P145">
        <v>358</v>
      </c>
      <c r="Q145">
        <v>293</v>
      </c>
    </row>
    <row r="146" spans="1:17">
      <c r="A146" t="s">
        <v>505</v>
      </c>
      <c r="B146" t="s">
        <v>146</v>
      </c>
      <c r="C146">
        <v>4164</v>
      </c>
      <c r="D146" t="s">
        <v>508</v>
      </c>
      <c r="E146" t="s">
        <v>171</v>
      </c>
      <c r="F146" t="s">
        <v>760</v>
      </c>
      <c r="G146">
        <v>51069680</v>
      </c>
      <c r="H146" t="s">
        <v>369</v>
      </c>
      <c r="I146" t="s">
        <v>356</v>
      </c>
      <c r="J146" t="s">
        <v>793</v>
      </c>
      <c r="K146" t="s">
        <v>278</v>
      </c>
      <c r="L146" t="s">
        <v>356</v>
      </c>
      <c r="M146" t="s">
        <v>785</v>
      </c>
      <c r="N146" t="s">
        <v>420</v>
      </c>
      <c r="O146" t="s">
        <v>326</v>
      </c>
      <c r="P146">
        <v>360</v>
      </c>
      <c r="Q146">
        <v>295</v>
      </c>
    </row>
    <row r="147" spans="1:17">
      <c r="A147" t="s">
        <v>507</v>
      </c>
      <c r="B147" t="s">
        <v>146</v>
      </c>
      <c r="C147">
        <v>4038</v>
      </c>
      <c r="D147" t="s">
        <v>396</v>
      </c>
      <c r="E147" t="s">
        <v>17</v>
      </c>
      <c r="F147" t="s">
        <v>760</v>
      </c>
      <c r="G147">
        <v>54116095</v>
      </c>
      <c r="H147" t="s">
        <v>438</v>
      </c>
      <c r="I147" t="s">
        <v>306</v>
      </c>
      <c r="J147" t="s">
        <v>313</v>
      </c>
      <c r="K147" t="s">
        <v>384</v>
      </c>
      <c r="L147" t="s">
        <v>326</v>
      </c>
      <c r="M147" t="s">
        <v>785</v>
      </c>
      <c r="N147" t="s">
        <v>313</v>
      </c>
      <c r="O147" t="s">
        <v>785</v>
      </c>
      <c r="P147">
        <v>360</v>
      </c>
      <c r="Q147">
        <v>295</v>
      </c>
    </row>
    <row r="148" spans="1:17">
      <c r="A148" t="s">
        <v>509</v>
      </c>
      <c r="B148" t="s">
        <v>146</v>
      </c>
      <c r="C148">
        <v>3891</v>
      </c>
      <c r="D148" t="s">
        <v>790</v>
      </c>
      <c r="E148" t="s">
        <v>21</v>
      </c>
      <c r="F148" t="s">
        <v>761</v>
      </c>
      <c r="G148">
        <v>52703139</v>
      </c>
      <c r="H148" t="s">
        <v>285</v>
      </c>
      <c r="I148" t="s">
        <v>384</v>
      </c>
      <c r="J148" t="s">
        <v>384</v>
      </c>
      <c r="K148" t="s">
        <v>319</v>
      </c>
      <c r="L148" t="s">
        <v>420</v>
      </c>
      <c r="M148" t="s">
        <v>403</v>
      </c>
      <c r="N148" t="s">
        <v>441</v>
      </c>
      <c r="O148" t="s">
        <v>493</v>
      </c>
      <c r="P148">
        <v>350</v>
      </c>
      <c r="Q148">
        <v>295</v>
      </c>
    </row>
    <row r="149" spans="1:17">
      <c r="A149" t="s">
        <v>511</v>
      </c>
      <c r="B149" t="s">
        <v>146</v>
      </c>
      <c r="C149">
        <v>4055</v>
      </c>
      <c r="D149" t="s">
        <v>526</v>
      </c>
      <c r="E149" t="s">
        <v>8</v>
      </c>
      <c r="F149" t="s">
        <v>760</v>
      </c>
      <c r="G149">
        <v>53477120</v>
      </c>
      <c r="H149" t="s">
        <v>412</v>
      </c>
      <c r="I149" t="s">
        <v>444</v>
      </c>
      <c r="J149" t="s">
        <v>477</v>
      </c>
      <c r="K149" t="s">
        <v>294</v>
      </c>
      <c r="L149" t="s">
        <v>378</v>
      </c>
      <c r="M149" t="s">
        <v>326</v>
      </c>
      <c r="N149" t="s">
        <v>536</v>
      </c>
      <c r="O149" t="s">
        <v>244</v>
      </c>
      <c r="P149">
        <v>355</v>
      </c>
      <c r="Q149">
        <v>297</v>
      </c>
    </row>
    <row r="150" spans="1:17">
      <c r="A150" t="s">
        <v>513</v>
      </c>
      <c r="B150" t="s">
        <v>146</v>
      </c>
      <c r="C150">
        <v>4189</v>
      </c>
      <c r="D150" t="s">
        <v>809</v>
      </c>
      <c r="E150" t="s">
        <v>9</v>
      </c>
      <c r="F150" t="s">
        <v>761</v>
      </c>
      <c r="G150">
        <v>50805092</v>
      </c>
      <c r="H150" t="s">
        <v>420</v>
      </c>
      <c r="I150" t="s">
        <v>451</v>
      </c>
      <c r="J150" t="s">
        <v>477</v>
      </c>
      <c r="K150" t="s">
        <v>273</v>
      </c>
      <c r="L150" t="s">
        <v>299</v>
      </c>
      <c r="M150" t="s">
        <v>843</v>
      </c>
      <c r="N150" t="s">
        <v>384</v>
      </c>
      <c r="O150" t="s">
        <v>412</v>
      </c>
      <c r="P150">
        <v>372</v>
      </c>
      <c r="Q150">
        <v>307</v>
      </c>
    </row>
    <row r="151" spans="1:17">
      <c r="A151" t="s">
        <v>515</v>
      </c>
      <c r="B151" t="s">
        <v>146</v>
      </c>
      <c r="C151">
        <v>2906</v>
      </c>
      <c r="D151" t="s">
        <v>842</v>
      </c>
      <c r="E151" t="s">
        <v>67</v>
      </c>
      <c r="F151" t="s">
        <v>761</v>
      </c>
      <c r="G151">
        <v>54794764</v>
      </c>
      <c r="H151" t="s">
        <v>356</v>
      </c>
      <c r="I151" t="s">
        <v>451</v>
      </c>
      <c r="J151" t="s">
        <v>435</v>
      </c>
      <c r="K151" t="s">
        <v>412</v>
      </c>
      <c r="L151" t="s">
        <v>383</v>
      </c>
      <c r="M151" t="s">
        <v>306</v>
      </c>
      <c r="N151" t="s">
        <v>403</v>
      </c>
      <c r="O151" t="s">
        <v>383</v>
      </c>
      <c r="P151">
        <v>361</v>
      </c>
      <c r="Q151">
        <v>307</v>
      </c>
    </row>
    <row r="152" spans="1:17">
      <c r="A152" t="s">
        <v>517</v>
      </c>
      <c r="B152" t="s">
        <v>146</v>
      </c>
      <c r="C152">
        <v>3625</v>
      </c>
      <c r="D152" t="s">
        <v>801</v>
      </c>
      <c r="E152" t="s">
        <v>798</v>
      </c>
      <c r="F152" t="s">
        <v>761</v>
      </c>
      <c r="G152">
        <v>52440140</v>
      </c>
      <c r="H152" t="s">
        <v>441</v>
      </c>
      <c r="I152" t="s">
        <v>355</v>
      </c>
      <c r="J152" t="s">
        <v>294</v>
      </c>
      <c r="K152" t="s">
        <v>420</v>
      </c>
      <c r="L152" t="s">
        <v>477</v>
      </c>
      <c r="M152" t="s">
        <v>420</v>
      </c>
      <c r="N152" t="s">
        <v>438</v>
      </c>
      <c r="O152" t="s">
        <v>785</v>
      </c>
      <c r="P152">
        <v>372</v>
      </c>
      <c r="Q152">
        <v>307</v>
      </c>
    </row>
    <row r="153" spans="1:17">
      <c r="A153" t="s">
        <v>519</v>
      </c>
      <c r="B153" t="s">
        <v>146</v>
      </c>
      <c r="C153">
        <v>3138</v>
      </c>
      <c r="D153" t="s">
        <v>788</v>
      </c>
      <c r="E153" t="s">
        <v>6</v>
      </c>
      <c r="F153" t="s">
        <v>761</v>
      </c>
      <c r="G153">
        <v>53778637</v>
      </c>
      <c r="H153" t="s">
        <v>383</v>
      </c>
      <c r="I153" t="s">
        <v>299</v>
      </c>
      <c r="J153" t="s">
        <v>843</v>
      </c>
      <c r="K153" t="s">
        <v>355</v>
      </c>
      <c r="L153" t="s">
        <v>412</v>
      </c>
      <c r="M153" t="s">
        <v>243</v>
      </c>
      <c r="N153" t="s">
        <v>477</v>
      </c>
      <c r="O153" t="s">
        <v>785</v>
      </c>
      <c r="P153">
        <v>375</v>
      </c>
      <c r="Q153">
        <v>310</v>
      </c>
    </row>
    <row r="154" spans="1:17">
      <c r="A154" t="s">
        <v>521</v>
      </c>
      <c r="B154" t="s">
        <v>146</v>
      </c>
      <c r="C154">
        <v>3685</v>
      </c>
      <c r="D154" t="s">
        <v>535</v>
      </c>
      <c r="E154" t="s">
        <v>9</v>
      </c>
      <c r="F154" t="s">
        <v>760</v>
      </c>
      <c r="G154">
        <v>52168000</v>
      </c>
      <c r="H154" t="s">
        <v>785</v>
      </c>
      <c r="I154" t="s">
        <v>435</v>
      </c>
      <c r="J154" t="s">
        <v>493</v>
      </c>
      <c r="K154" t="s">
        <v>478</v>
      </c>
      <c r="L154" t="s">
        <v>478</v>
      </c>
      <c r="M154" t="s">
        <v>162</v>
      </c>
      <c r="N154" t="s">
        <v>785</v>
      </c>
      <c r="O154" t="s">
        <v>266</v>
      </c>
      <c r="P154">
        <v>378</v>
      </c>
      <c r="Q154">
        <v>313</v>
      </c>
    </row>
    <row r="155" spans="1:17">
      <c r="A155" t="s">
        <v>523</v>
      </c>
      <c r="B155" t="s">
        <v>146</v>
      </c>
      <c r="C155">
        <v>3849</v>
      </c>
      <c r="D155" t="s">
        <v>492</v>
      </c>
      <c r="E155" t="s">
        <v>8</v>
      </c>
      <c r="F155" t="s">
        <v>760</v>
      </c>
      <c r="G155">
        <v>52636932</v>
      </c>
      <c r="H155" t="s">
        <v>369</v>
      </c>
      <c r="I155" t="s">
        <v>326</v>
      </c>
      <c r="J155" t="s">
        <v>451</v>
      </c>
      <c r="K155" t="s">
        <v>383</v>
      </c>
      <c r="L155" t="s">
        <v>438</v>
      </c>
      <c r="M155" t="s">
        <v>273</v>
      </c>
      <c r="N155" t="s">
        <v>451</v>
      </c>
      <c r="O155" t="s">
        <v>478</v>
      </c>
      <c r="P155">
        <v>366</v>
      </c>
      <c r="Q155">
        <v>313</v>
      </c>
    </row>
    <row r="156" spans="1:17">
      <c r="A156" t="s">
        <v>525</v>
      </c>
      <c r="B156" t="s">
        <v>146</v>
      </c>
      <c r="C156">
        <v>4130</v>
      </c>
      <c r="D156" t="s">
        <v>392</v>
      </c>
      <c r="E156" t="s">
        <v>5</v>
      </c>
      <c r="F156" t="s">
        <v>760</v>
      </c>
      <c r="G156">
        <v>52454489</v>
      </c>
      <c r="H156" t="s">
        <v>294</v>
      </c>
      <c r="I156" t="s">
        <v>403</v>
      </c>
      <c r="J156" t="s">
        <v>403</v>
      </c>
      <c r="K156" t="s">
        <v>294</v>
      </c>
      <c r="L156" t="s">
        <v>285</v>
      </c>
      <c r="M156" t="s">
        <v>843</v>
      </c>
      <c r="N156" t="s">
        <v>843</v>
      </c>
      <c r="O156" t="s">
        <v>843</v>
      </c>
      <c r="P156">
        <v>380</v>
      </c>
      <c r="Q156">
        <v>315</v>
      </c>
    </row>
    <row r="157" spans="1:17">
      <c r="A157" t="s">
        <v>527</v>
      </c>
      <c r="B157" t="s">
        <v>146</v>
      </c>
      <c r="C157">
        <v>3538</v>
      </c>
      <c r="D157" t="s">
        <v>791</v>
      </c>
      <c r="E157" t="s">
        <v>23</v>
      </c>
      <c r="F157" t="s">
        <v>761</v>
      </c>
      <c r="G157">
        <v>53610165</v>
      </c>
      <c r="H157" t="s">
        <v>438</v>
      </c>
      <c r="I157" t="s">
        <v>273</v>
      </c>
      <c r="J157" t="s">
        <v>420</v>
      </c>
      <c r="K157" t="s">
        <v>843</v>
      </c>
      <c r="L157" t="s">
        <v>451</v>
      </c>
      <c r="M157" t="s">
        <v>319</v>
      </c>
      <c r="N157" t="s">
        <v>355</v>
      </c>
      <c r="O157" t="s">
        <v>785</v>
      </c>
      <c r="P157">
        <v>383</v>
      </c>
      <c r="Q157">
        <v>318</v>
      </c>
    </row>
    <row r="158" spans="1:17">
      <c r="A158" t="s">
        <v>530</v>
      </c>
      <c r="B158" t="s">
        <v>146</v>
      </c>
      <c r="C158">
        <v>4138</v>
      </c>
      <c r="D158" t="s">
        <v>462</v>
      </c>
      <c r="E158" t="s">
        <v>454</v>
      </c>
      <c r="F158" t="s">
        <v>760</v>
      </c>
      <c r="G158">
        <v>52325904</v>
      </c>
      <c r="H158" t="s">
        <v>785</v>
      </c>
      <c r="I158" t="s">
        <v>444</v>
      </c>
      <c r="J158" t="s">
        <v>435</v>
      </c>
      <c r="K158" t="s">
        <v>843</v>
      </c>
      <c r="L158" t="s">
        <v>490</v>
      </c>
      <c r="M158" t="s">
        <v>162</v>
      </c>
      <c r="N158" t="s">
        <v>444</v>
      </c>
      <c r="O158" t="s">
        <v>318</v>
      </c>
      <c r="P158">
        <v>385</v>
      </c>
      <c r="Q158">
        <v>320</v>
      </c>
    </row>
    <row r="159" spans="1:17">
      <c r="A159" t="s">
        <v>532</v>
      </c>
      <c r="B159" t="s">
        <v>146</v>
      </c>
      <c r="C159">
        <v>3817</v>
      </c>
      <c r="D159" t="s">
        <v>807</v>
      </c>
      <c r="E159" t="s">
        <v>7</v>
      </c>
      <c r="F159" t="s">
        <v>761</v>
      </c>
      <c r="G159">
        <v>52164756</v>
      </c>
      <c r="H159" t="s">
        <v>355</v>
      </c>
      <c r="I159" t="s">
        <v>478</v>
      </c>
      <c r="J159" t="s">
        <v>444</v>
      </c>
      <c r="K159" t="s">
        <v>529</v>
      </c>
      <c r="L159" t="s">
        <v>451</v>
      </c>
      <c r="M159" t="s">
        <v>285</v>
      </c>
      <c r="N159" t="s">
        <v>355</v>
      </c>
      <c r="O159" t="s">
        <v>441</v>
      </c>
      <c r="P159">
        <v>377</v>
      </c>
      <c r="Q159">
        <v>320</v>
      </c>
    </row>
    <row r="160" spans="1:17">
      <c r="A160" t="s">
        <v>534</v>
      </c>
      <c r="B160" t="s">
        <v>146</v>
      </c>
      <c r="C160">
        <v>4125</v>
      </c>
      <c r="D160" t="s">
        <v>819</v>
      </c>
      <c r="E160" t="s">
        <v>31</v>
      </c>
      <c r="F160" t="s">
        <v>761</v>
      </c>
      <c r="G160">
        <v>54507457</v>
      </c>
      <c r="H160" t="s">
        <v>493</v>
      </c>
      <c r="I160" t="s">
        <v>478</v>
      </c>
      <c r="J160" t="s">
        <v>384</v>
      </c>
      <c r="K160" t="s">
        <v>420</v>
      </c>
      <c r="L160" t="s">
        <v>412</v>
      </c>
      <c r="M160" t="s">
        <v>384</v>
      </c>
      <c r="N160" t="s">
        <v>273</v>
      </c>
      <c r="O160" t="s">
        <v>438</v>
      </c>
      <c r="P160">
        <v>377</v>
      </c>
      <c r="Q160">
        <v>322</v>
      </c>
    </row>
    <row r="161" spans="1:17">
      <c r="A161" t="s">
        <v>538</v>
      </c>
      <c r="B161" t="s">
        <v>146</v>
      </c>
      <c r="C161">
        <v>3969</v>
      </c>
      <c r="D161" t="s">
        <v>377</v>
      </c>
      <c r="E161" t="s">
        <v>9</v>
      </c>
      <c r="F161" t="s">
        <v>760</v>
      </c>
      <c r="G161">
        <v>53240593</v>
      </c>
      <c r="H161" t="s">
        <v>785</v>
      </c>
      <c r="I161" t="s">
        <v>490</v>
      </c>
      <c r="J161" t="s">
        <v>536</v>
      </c>
      <c r="K161" t="s">
        <v>477</v>
      </c>
      <c r="L161" t="s">
        <v>378</v>
      </c>
      <c r="M161" t="s">
        <v>183</v>
      </c>
      <c r="N161" t="s">
        <v>273</v>
      </c>
      <c r="O161" t="s">
        <v>785</v>
      </c>
      <c r="P161">
        <v>389</v>
      </c>
      <c r="Q161">
        <v>324</v>
      </c>
    </row>
    <row r="162" spans="1:17">
      <c r="A162" t="s">
        <v>817</v>
      </c>
      <c r="B162" t="s">
        <v>146</v>
      </c>
      <c r="C162">
        <v>3844</v>
      </c>
      <c r="D162" t="s">
        <v>827</v>
      </c>
      <c r="E162" t="s">
        <v>9</v>
      </c>
      <c r="F162" t="s">
        <v>761</v>
      </c>
      <c r="G162">
        <v>54212950</v>
      </c>
      <c r="H162" t="s">
        <v>785</v>
      </c>
      <c r="I162" t="s">
        <v>383</v>
      </c>
      <c r="J162" t="s">
        <v>529</v>
      </c>
      <c r="K162" t="s">
        <v>355</v>
      </c>
      <c r="L162" t="s">
        <v>435</v>
      </c>
      <c r="M162" t="s">
        <v>318</v>
      </c>
      <c r="N162" t="s">
        <v>383</v>
      </c>
      <c r="O162" t="s">
        <v>326</v>
      </c>
      <c r="P162">
        <v>389</v>
      </c>
      <c r="Q162">
        <v>324</v>
      </c>
    </row>
    <row r="163" spans="1:17">
      <c r="A163" t="s">
        <v>818</v>
      </c>
      <c r="B163" t="s">
        <v>146</v>
      </c>
      <c r="C163">
        <v>3543</v>
      </c>
      <c r="D163" t="s">
        <v>794</v>
      </c>
      <c r="E163" t="s">
        <v>9</v>
      </c>
      <c r="F163" t="s">
        <v>761</v>
      </c>
      <c r="G163">
        <v>54059860</v>
      </c>
      <c r="H163" t="s">
        <v>326</v>
      </c>
      <c r="I163" t="s">
        <v>420</v>
      </c>
      <c r="J163" t="s">
        <v>536</v>
      </c>
      <c r="K163" t="s">
        <v>843</v>
      </c>
      <c r="L163" t="s">
        <v>403</v>
      </c>
      <c r="M163" t="s">
        <v>451</v>
      </c>
      <c r="N163" t="s">
        <v>438</v>
      </c>
      <c r="O163" t="s">
        <v>412</v>
      </c>
      <c r="P163">
        <v>390</v>
      </c>
      <c r="Q163">
        <v>325</v>
      </c>
    </row>
    <row r="164" spans="1:17">
      <c r="A164" t="s">
        <v>820</v>
      </c>
      <c r="B164" t="s">
        <v>146</v>
      </c>
      <c r="C164">
        <v>22942</v>
      </c>
      <c r="D164" t="s">
        <v>840</v>
      </c>
      <c r="E164" t="s">
        <v>780</v>
      </c>
      <c r="F164" t="s">
        <v>761</v>
      </c>
      <c r="G164">
        <v>53610440</v>
      </c>
      <c r="H164" t="s">
        <v>828</v>
      </c>
      <c r="I164" t="s">
        <v>828</v>
      </c>
      <c r="J164" t="s">
        <v>828</v>
      </c>
      <c r="K164" t="s">
        <v>299</v>
      </c>
      <c r="L164" t="s">
        <v>384</v>
      </c>
      <c r="M164" t="s">
        <v>263</v>
      </c>
      <c r="N164" t="s">
        <v>378</v>
      </c>
      <c r="O164" t="s">
        <v>529</v>
      </c>
      <c r="P164">
        <v>394</v>
      </c>
      <c r="Q164">
        <v>329</v>
      </c>
    </row>
    <row r="165" spans="1:17">
      <c r="A165" t="s">
        <v>822</v>
      </c>
      <c r="B165" t="s">
        <v>146</v>
      </c>
      <c r="C165">
        <v>4034</v>
      </c>
      <c r="D165" t="s">
        <v>800</v>
      </c>
      <c r="E165" t="s">
        <v>9</v>
      </c>
      <c r="F165" t="s">
        <v>761</v>
      </c>
      <c r="G165">
        <v>54222551</v>
      </c>
      <c r="H165" t="s">
        <v>273</v>
      </c>
      <c r="I165" t="s">
        <v>477</v>
      </c>
      <c r="J165" t="s">
        <v>441</v>
      </c>
      <c r="K165" t="s">
        <v>326</v>
      </c>
      <c r="L165" t="s">
        <v>851</v>
      </c>
      <c r="M165" t="s">
        <v>326</v>
      </c>
      <c r="N165" t="s">
        <v>383</v>
      </c>
      <c r="O165" t="s">
        <v>785</v>
      </c>
      <c r="P165">
        <v>398</v>
      </c>
      <c r="Q165">
        <v>333</v>
      </c>
    </row>
    <row r="166" spans="1:17">
      <c r="A166" t="s">
        <v>824</v>
      </c>
      <c r="B166" t="s">
        <v>146</v>
      </c>
      <c r="C166">
        <v>4111</v>
      </c>
      <c r="D166" t="s">
        <v>815</v>
      </c>
      <c r="E166" t="s">
        <v>9</v>
      </c>
      <c r="F166" t="s">
        <v>761</v>
      </c>
      <c r="G166">
        <v>53593300</v>
      </c>
      <c r="H166" t="s">
        <v>441</v>
      </c>
      <c r="I166" t="s">
        <v>490</v>
      </c>
      <c r="J166" t="s">
        <v>855</v>
      </c>
      <c r="K166" t="s">
        <v>444</v>
      </c>
      <c r="L166" t="s">
        <v>843</v>
      </c>
      <c r="M166" t="s">
        <v>412</v>
      </c>
      <c r="N166" t="s">
        <v>176</v>
      </c>
      <c r="O166" t="s">
        <v>785</v>
      </c>
      <c r="P166">
        <v>403</v>
      </c>
      <c r="Q166">
        <v>338</v>
      </c>
    </row>
    <row r="167" spans="1:17">
      <c r="A167" t="s">
        <v>826</v>
      </c>
      <c r="B167" t="s">
        <v>146</v>
      </c>
      <c r="C167">
        <v>3614</v>
      </c>
      <c r="D167" t="s">
        <v>806</v>
      </c>
      <c r="E167" t="s">
        <v>21</v>
      </c>
      <c r="F167" t="s">
        <v>761</v>
      </c>
      <c r="G167">
        <v>54460028</v>
      </c>
      <c r="H167" t="s">
        <v>403</v>
      </c>
      <c r="I167" t="s">
        <v>493</v>
      </c>
      <c r="J167" t="s">
        <v>857</v>
      </c>
      <c r="K167" t="s">
        <v>843</v>
      </c>
      <c r="L167" t="s">
        <v>843</v>
      </c>
      <c r="M167" t="s">
        <v>378</v>
      </c>
      <c r="N167" t="s">
        <v>412</v>
      </c>
      <c r="O167" t="s">
        <v>299</v>
      </c>
      <c r="P167">
        <v>403</v>
      </c>
      <c r="Q167">
        <v>338</v>
      </c>
    </row>
    <row r="168" spans="1:17">
      <c r="A168" t="s">
        <v>852</v>
      </c>
      <c r="B168" t="s">
        <v>146</v>
      </c>
      <c r="C168">
        <v>3945</v>
      </c>
      <c r="D168" t="s">
        <v>823</v>
      </c>
      <c r="E168" t="s">
        <v>6</v>
      </c>
      <c r="F168" t="s">
        <v>761</v>
      </c>
      <c r="G168">
        <v>53775904</v>
      </c>
      <c r="H168" t="s">
        <v>785</v>
      </c>
      <c r="I168" t="s">
        <v>412</v>
      </c>
      <c r="J168" t="s">
        <v>384</v>
      </c>
      <c r="K168" t="s">
        <v>412</v>
      </c>
      <c r="L168" t="s">
        <v>383</v>
      </c>
      <c r="M168" t="s">
        <v>383</v>
      </c>
      <c r="N168" t="s">
        <v>294</v>
      </c>
      <c r="O168" t="s">
        <v>785</v>
      </c>
      <c r="P168">
        <v>404</v>
      </c>
      <c r="Q168">
        <v>339</v>
      </c>
    </row>
    <row r="169" spans="1:17">
      <c r="A169" t="s">
        <v>829</v>
      </c>
      <c r="B169" t="s">
        <v>146</v>
      </c>
      <c r="C169">
        <v>3788</v>
      </c>
      <c r="D169" t="s">
        <v>816</v>
      </c>
      <c r="E169" t="s">
        <v>67</v>
      </c>
      <c r="F169" t="s">
        <v>761</v>
      </c>
      <c r="G169">
        <v>55270307</v>
      </c>
      <c r="H169" t="s">
        <v>477</v>
      </c>
      <c r="I169" t="s">
        <v>529</v>
      </c>
      <c r="J169" t="s">
        <v>383</v>
      </c>
      <c r="K169" t="s">
        <v>451</v>
      </c>
      <c r="L169" t="s">
        <v>478</v>
      </c>
      <c r="M169" t="s">
        <v>785</v>
      </c>
      <c r="N169" t="s">
        <v>785</v>
      </c>
      <c r="O169" t="s">
        <v>180</v>
      </c>
      <c r="P169">
        <v>405</v>
      </c>
      <c r="Q169">
        <v>340</v>
      </c>
    </row>
    <row r="170" spans="1:17">
      <c r="A170" t="s">
        <v>831</v>
      </c>
      <c r="B170" t="s">
        <v>146</v>
      </c>
      <c r="C170">
        <v>4232</v>
      </c>
      <c r="D170" t="s">
        <v>802</v>
      </c>
      <c r="E170" t="s">
        <v>500</v>
      </c>
      <c r="F170" t="s">
        <v>760</v>
      </c>
      <c r="G170">
        <v>54602290</v>
      </c>
      <c r="H170" t="s">
        <v>356</v>
      </c>
      <c r="I170" t="s">
        <v>451</v>
      </c>
      <c r="J170" t="s">
        <v>540</v>
      </c>
      <c r="K170" t="s">
        <v>843</v>
      </c>
      <c r="L170" t="s">
        <v>356</v>
      </c>
      <c r="M170" t="s">
        <v>186</v>
      </c>
      <c r="N170" t="s">
        <v>785</v>
      </c>
      <c r="O170" t="s">
        <v>785</v>
      </c>
      <c r="P170">
        <v>405</v>
      </c>
      <c r="Q170">
        <v>340</v>
      </c>
    </row>
    <row r="171" spans="1:17">
      <c r="A171" t="s">
        <v>832</v>
      </c>
      <c r="B171" t="s">
        <v>146</v>
      </c>
      <c r="C171">
        <v>417</v>
      </c>
      <c r="D171" t="s">
        <v>844</v>
      </c>
      <c r="E171" t="s">
        <v>171</v>
      </c>
      <c r="F171" t="s">
        <v>761</v>
      </c>
      <c r="G171">
        <v>53718162</v>
      </c>
      <c r="H171" t="s">
        <v>828</v>
      </c>
      <c r="I171" t="s">
        <v>828</v>
      </c>
      <c r="J171" t="s">
        <v>441</v>
      </c>
      <c r="K171" t="s">
        <v>843</v>
      </c>
      <c r="L171" t="s">
        <v>529</v>
      </c>
      <c r="M171" t="s">
        <v>451</v>
      </c>
      <c r="N171" t="s">
        <v>186</v>
      </c>
      <c r="O171" t="s">
        <v>369</v>
      </c>
      <c r="P171">
        <v>407</v>
      </c>
      <c r="Q171">
        <v>342</v>
      </c>
    </row>
    <row r="172" spans="1:17">
      <c r="A172" t="s">
        <v>834</v>
      </c>
      <c r="B172" t="s">
        <v>146</v>
      </c>
      <c r="C172">
        <v>3458</v>
      </c>
      <c r="D172" t="s">
        <v>833</v>
      </c>
      <c r="E172" t="s">
        <v>21</v>
      </c>
      <c r="F172" t="s">
        <v>761</v>
      </c>
      <c r="G172">
        <v>53208064</v>
      </c>
      <c r="H172" t="s">
        <v>444</v>
      </c>
      <c r="I172" t="s">
        <v>785</v>
      </c>
      <c r="J172" t="s">
        <v>355</v>
      </c>
      <c r="K172" t="s">
        <v>444</v>
      </c>
      <c r="L172" t="s">
        <v>785</v>
      </c>
      <c r="M172" t="s">
        <v>403</v>
      </c>
      <c r="N172" t="s">
        <v>435</v>
      </c>
      <c r="O172" t="s">
        <v>356</v>
      </c>
      <c r="P172">
        <v>408</v>
      </c>
      <c r="Q172">
        <v>343</v>
      </c>
    </row>
    <row r="173" spans="1:17">
      <c r="A173" t="s">
        <v>835</v>
      </c>
      <c r="B173" t="s">
        <v>146</v>
      </c>
      <c r="C173">
        <v>3620</v>
      </c>
      <c r="D173" t="s">
        <v>830</v>
      </c>
      <c r="E173" t="s">
        <v>9</v>
      </c>
      <c r="F173" t="s">
        <v>761</v>
      </c>
      <c r="G173">
        <v>53972454</v>
      </c>
      <c r="H173" t="s">
        <v>529</v>
      </c>
      <c r="I173" t="s">
        <v>529</v>
      </c>
      <c r="J173" t="s">
        <v>478</v>
      </c>
      <c r="K173" t="s">
        <v>477</v>
      </c>
      <c r="L173" t="s">
        <v>540</v>
      </c>
      <c r="M173" t="s">
        <v>477</v>
      </c>
      <c r="N173" t="s">
        <v>285</v>
      </c>
      <c r="O173" t="s">
        <v>438</v>
      </c>
      <c r="P173">
        <v>406</v>
      </c>
      <c r="Q173">
        <v>347</v>
      </c>
    </row>
    <row r="174" spans="1:17">
      <c r="A174" t="s">
        <v>836</v>
      </c>
      <c r="B174" t="s">
        <v>146</v>
      </c>
      <c r="C174">
        <v>3827</v>
      </c>
      <c r="D174" t="s">
        <v>539</v>
      </c>
      <c r="E174" t="s">
        <v>10</v>
      </c>
      <c r="F174" t="s">
        <v>760</v>
      </c>
      <c r="G174">
        <v>52725071</v>
      </c>
      <c r="H174" t="s">
        <v>435</v>
      </c>
      <c r="I174" t="s">
        <v>444</v>
      </c>
      <c r="J174" t="s">
        <v>438</v>
      </c>
      <c r="K174" t="s">
        <v>843</v>
      </c>
      <c r="L174" t="s">
        <v>493</v>
      </c>
      <c r="M174" t="s">
        <v>441</v>
      </c>
      <c r="N174" t="s">
        <v>478</v>
      </c>
      <c r="O174" t="s">
        <v>420</v>
      </c>
      <c r="P174">
        <v>415</v>
      </c>
      <c r="Q174">
        <v>350</v>
      </c>
    </row>
    <row r="175" spans="1:17">
      <c r="A175" t="s">
        <v>839</v>
      </c>
      <c r="B175" t="s">
        <v>146</v>
      </c>
      <c r="C175">
        <v>4240</v>
      </c>
      <c r="D175" t="s">
        <v>803</v>
      </c>
      <c r="E175" t="s">
        <v>23</v>
      </c>
      <c r="F175" t="s">
        <v>761</v>
      </c>
      <c r="G175">
        <v>53417016</v>
      </c>
      <c r="H175" t="s">
        <v>326</v>
      </c>
      <c r="I175" t="s">
        <v>383</v>
      </c>
      <c r="J175" t="s">
        <v>490</v>
      </c>
      <c r="K175" t="s">
        <v>477</v>
      </c>
      <c r="L175" t="s">
        <v>435</v>
      </c>
      <c r="M175" t="s">
        <v>477</v>
      </c>
      <c r="N175" t="s">
        <v>477</v>
      </c>
      <c r="O175" t="s">
        <v>785</v>
      </c>
      <c r="P175">
        <v>416</v>
      </c>
      <c r="Q175">
        <v>351</v>
      </c>
    </row>
    <row r="176" spans="1:17">
      <c r="A176" t="s">
        <v>853</v>
      </c>
      <c r="B176" t="s">
        <v>146</v>
      </c>
      <c r="C176">
        <v>4036</v>
      </c>
      <c r="D176" t="s">
        <v>825</v>
      </c>
      <c r="E176" t="s">
        <v>9</v>
      </c>
      <c r="F176" t="s">
        <v>761</v>
      </c>
      <c r="G176">
        <v>51400212</v>
      </c>
      <c r="H176" t="s">
        <v>490</v>
      </c>
      <c r="I176" t="s">
        <v>493</v>
      </c>
      <c r="J176" t="s">
        <v>438</v>
      </c>
      <c r="K176" t="s">
        <v>384</v>
      </c>
      <c r="L176" t="s">
        <v>851</v>
      </c>
      <c r="M176" t="s">
        <v>355</v>
      </c>
      <c r="N176" t="s">
        <v>384</v>
      </c>
      <c r="O176" t="s">
        <v>785</v>
      </c>
      <c r="P176">
        <v>423</v>
      </c>
      <c r="Q176">
        <v>358</v>
      </c>
    </row>
    <row r="177" spans="1:17">
      <c r="A177" t="s">
        <v>854</v>
      </c>
      <c r="B177" t="s">
        <v>146</v>
      </c>
      <c r="C177">
        <v>4241</v>
      </c>
      <c r="D177" t="s">
        <v>531</v>
      </c>
      <c r="E177" t="s">
        <v>23</v>
      </c>
      <c r="F177" t="s">
        <v>760</v>
      </c>
      <c r="G177">
        <v>54099646</v>
      </c>
      <c r="H177" t="s">
        <v>441</v>
      </c>
      <c r="I177" t="s">
        <v>478</v>
      </c>
      <c r="J177" t="s">
        <v>529</v>
      </c>
      <c r="K177" t="s">
        <v>478</v>
      </c>
      <c r="L177" t="s">
        <v>493</v>
      </c>
      <c r="M177" t="s">
        <v>441</v>
      </c>
      <c r="N177" t="s">
        <v>383</v>
      </c>
      <c r="O177" t="s">
        <v>435</v>
      </c>
      <c r="P177">
        <v>415</v>
      </c>
      <c r="Q177">
        <v>358</v>
      </c>
    </row>
    <row r="178" spans="1:17">
      <c r="A178" t="s">
        <v>856</v>
      </c>
      <c r="B178" t="s">
        <v>146</v>
      </c>
      <c r="C178">
        <v>4196</v>
      </c>
      <c r="D178" t="s">
        <v>813</v>
      </c>
      <c r="E178" t="s">
        <v>798</v>
      </c>
      <c r="F178" t="s">
        <v>761</v>
      </c>
      <c r="G178">
        <v>52764512</v>
      </c>
      <c r="H178" t="s">
        <v>478</v>
      </c>
      <c r="I178" t="s">
        <v>438</v>
      </c>
      <c r="J178" t="s">
        <v>444</v>
      </c>
      <c r="K178" t="s">
        <v>843</v>
      </c>
      <c r="L178" t="s">
        <v>536</v>
      </c>
      <c r="M178" t="s">
        <v>435</v>
      </c>
      <c r="N178" t="s">
        <v>490</v>
      </c>
      <c r="O178" t="s">
        <v>378</v>
      </c>
      <c r="P178">
        <v>426</v>
      </c>
      <c r="Q178">
        <v>361</v>
      </c>
    </row>
    <row r="179" spans="1:17">
      <c r="A179" t="s">
        <v>858</v>
      </c>
      <c r="B179" t="s">
        <v>146</v>
      </c>
      <c r="C179">
        <v>3913</v>
      </c>
      <c r="D179" t="s">
        <v>846</v>
      </c>
      <c r="E179" t="s">
        <v>39</v>
      </c>
      <c r="F179" t="s">
        <v>761</v>
      </c>
      <c r="G179">
        <v>52700380</v>
      </c>
      <c r="H179" t="s">
        <v>843</v>
      </c>
      <c r="I179" t="s">
        <v>843</v>
      </c>
      <c r="J179" t="s">
        <v>435</v>
      </c>
      <c r="K179" t="s">
        <v>843</v>
      </c>
      <c r="L179" t="s">
        <v>843</v>
      </c>
      <c r="M179" t="s">
        <v>215</v>
      </c>
      <c r="N179" t="s">
        <v>384</v>
      </c>
      <c r="O179" t="s">
        <v>384</v>
      </c>
      <c r="P179">
        <v>428</v>
      </c>
      <c r="Q179">
        <v>363</v>
      </c>
    </row>
    <row r="180" spans="1:17">
      <c r="A180" t="s">
        <v>859</v>
      </c>
      <c r="B180" t="s">
        <v>146</v>
      </c>
      <c r="C180">
        <v>4275</v>
      </c>
      <c r="D180" t="s">
        <v>849</v>
      </c>
      <c r="E180" t="s">
        <v>71</v>
      </c>
      <c r="F180" t="s">
        <v>760</v>
      </c>
      <c r="G180">
        <v>53623848</v>
      </c>
      <c r="H180" t="s">
        <v>843</v>
      </c>
      <c r="I180" t="s">
        <v>843</v>
      </c>
      <c r="J180" t="s">
        <v>843</v>
      </c>
      <c r="K180" t="s">
        <v>843</v>
      </c>
      <c r="L180" t="s">
        <v>843</v>
      </c>
      <c r="M180" t="s">
        <v>306</v>
      </c>
      <c r="N180" t="s">
        <v>441</v>
      </c>
      <c r="O180" t="s">
        <v>403</v>
      </c>
      <c r="P180">
        <v>444</v>
      </c>
      <c r="Q180">
        <v>379</v>
      </c>
    </row>
    <row r="181" spans="1:17">
      <c r="A181" t="s">
        <v>860</v>
      </c>
      <c r="B181" t="s">
        <v>146</v>
      </c>
      <c r="C181">
        <v>3924</v>
      </c>
      <c r="D181" t="s">
        <v>814</v>
      </c>
      <c r="E181" t="s">
        <v>9</v>
      </c>
      <c r="F181" t="s">
        <v>761</v>
      </c>
      <c r="G181">
        <v>52763901</v>
      </c>
      <c r="H181" t="s">
        <v>384</v>
      </c>
      <c r="I181" t="s">
        <v>435</v>
      </c>
      <c r="J181" t="s">
        <v>490</v>
      </c>
      <c r="K181" t="s">
        <v>493</v>
      </c>
      <c r="L181" t="s">
        <v>403</v>
      </c>
      <c r="M181" t="s">
        <v>843</v>
      </c>
      <c r="N181" t="s">
        <v>843</v>
      </c>
      <c r="O181" t="s">
        <v>843</v>
      </c>
      <c r="P181">
        <v>447</v>
      </c>
      <c r="Q181">
        <v>382</v>
      </c>
    </row>
    <row r="182" spans="1:17">
      <c r="A182" t="s">
        <v>861</v>
      </c>
      <c r="B182" t="s">
        <v>146</v>
      </c>
      <c r="C182">
        <v>3634</v>
      </c>
      <c r="D182" t="s">
        <v>837</v>
      </c>
      <c r="E182" t="s">
        <v>838</v>
      </c>
      <c r="F182" t="s">
        <v>760</v>
      </c>
      <c r="G182">
        <v>52703218</v>
      </c>
      <c r="H182" t="s">
        <v>536</v>
      </c>
      <c r="I182" t="s">
        <v>785</v>
      </c>
      <c r="J182" t="s">
        <v>451</v>
      </c>
      <c r="K182" t="s">
        <v>785</v>
      </c>
      <c r="L182" t="s">
        <v>843</v>
      </c>
      <c r="M182" t="s">
        <v>243</v>
      </c>
      <c r="N182" t="s">
        <v>478</v>
      </c>
      <c r="O182" t="s">
        <v>843</v>
      </c>
      <c r="P182">
        <v>451</v>
      </c>
      <c r="Q182">
        <v>386</v>
      </c>
    </row>
    <row r="183" spans="1:17">
      <c r="A183" t="s">
        <v>862</v>
      </c>
      <c r="B183" t="s">
        <v>146</v>
      </c>
      <c r="C183">
        <v>4187</v>
      </c>
      <c r="D183" t="s">
        <v>799</v>
      </c>
      <c r="E183" t="s">
        <v>67</v>
      </c>
      <c r="F183" t="s">
        <v>760</v>
      </c>
      <c r="G183">
        <v>52764600</v>
      </c>
      <c r="H183" t="s">
        <v>477</v>
      </c>
      <c r="I183" t="s">
        <v>273</v>
      </c>
      <c r="J183" t="s">
        <v>843</v>
      </c>
      <c r="K183" t="s">
        <v>843</v>
      </c>
      <c r="L183" t="s">
        <v>843</v>
      </c>
      <c r="M183" t="s">
        <v>355</v>
      </c>
      <c r="N183" t="s">
        <v>785</v>
      </c>
      <c r="O183" t="s">
        <v>785</v>
      </c>
      <c r="P183">
        <v>454</v>
      </c>
      <c r="Q183">
        <v>389</v>
      </c>
    </row>
    <row r="184" spans="1:17">
      <c r="A184" t="s">
        <v>863</v>
      </c>
      <c r="B184" t="s">
        <v>146</v>
      </c>
      <c r="C184">
        <v>3554</v>
      </c>
      <c r="D184" t="s">
        <v>797</v>
      </c>
      <c r="E184" t="s">
        <v>798</v>
      </c>
      <c r="F184" t="s">
        <v>761</v>
      </c>
      <c r="G184">
        <v>52697717</v>
      </c>
      <c r="H184" t="s">
        <v>273</v>
      </c>
      <c r="I184" t="s">
        <v>477</v>
      </c>
      <c r="J184" t="s">
        <v>478</v>
      </c>
      <c r="K184" t="s">
        <v>843</v>
      </c>
      <c r="L184" t="s">
        <v>843</v>
      </c>
      <c r="M184" t="s">
        <v>843</v>
      </c>
      <c r="N184" t="s">
        <v>843</v>
      </c>
      <c r="O184" t="s">
        <v>843</v>
      </c>
      <c r="P184">
        <v>466</v>
      </c>
      <c r="Q184">
        <v>401</v>
      </c>
    </row>
    <row r="185" spans="1:17">
      <c r="A185" t="s">
        <v>864</v>
      </c>
      <c r="B185" t="s">
        <v>146</v>
      </c>
      <c r="C185">
        <v>401</v>
      </c>
      <c r="D185" t="s">
        <v>841</v>
      </c>
      <c r="E185" t="s">
        <v>22</v>
      </c>
      <c r="F185" t="s">
        <v>761</v>
      </c>
      <c r="G185">
        <v>53855489</v>
      </c>
      <c r="H185" t="s">
        <v>828</v>
      </c>
      <c r="I185" t="s">
        <v>828</v>
      </c>
      <c r="J185" t="s">
        <v>843</v>
      </c>
      <c r="K185" t="s">
        <v>843</v>
      </c>
      <c r="L185" t="s">
        <v>843</v>
      </c>
      <c r="M185" t="s">
        <v>843</v>
      </c>
      <c r="N185" t="s">
        <v>441</v>
      </c>
      <c r="O185" t="s">
        <v>318</v>
      </c>
      <c r="P185">
        <v>469</v>
      </c>
      <c r="Q185">
        <v>404</v>
      </c>
    </row>
    <row r="186" spans="1:17">
      <c r="A186" t="s">
        <v>865</v>
      </c>
      <c r="B186" t="s">
        <v>146</v>
      </c>
      <c r="C186">
        <v>3833</v>
      </c>
      <c r="D186" t="s">
        <v>848</v>
      </c>
      <c r="E186" t="s">
        <v>838</v>
      </c>
      <c r="F186" t="s">
        <v>761</v>
      </c>
      <c r="G186">
        <v>52664667</v>
      </c>
      <c r="H186" t="s">
        <v>785</v>
      </c>
      <c r="I186" t="s">
        <v>785</v>
      </c>
      <c r="J186" t="s">
        <v>843</v>
      </c>
      <c r="K186" t="s">
        <v>843</v>
      </c>
      <c r="L186" t="s">
        <v>843</v>
      </c>
      <c r="M186" t="s">
        <v>828</v>
      </c>
      <c r="N186" t="s">
        <v>493</v>
      </c>
      <c r="O186" t="s">
        <v>843</v>
      </c>
      <c r="P186">
        <v>510</v>
      </c>
      <c r="Q186">
        <v>445</v>
      </c>
    </row>
    <row r="187" spans="1:17">
      <c r="A187" t="s">
        <v>866</v>
      </c>
      <c r="B187" t="s">
        <v>146</v>
      </c>
      <c r="C187">
        <v>3812</v>
      </c>
      <c r="D187" t="s">
        <v>847</v>
      </c>
      <c r="E187" t="s">
        <v>5</v>
      </c>
      <c r="F187" t="s">
        <v>761</v>
      </c>
      <c r="G187">
        <v>51432265</v>
      </c>
      <c r="H187" t="s">
        <v>843</v>
      </c>
      <c r="I187" t="s">
        <v>843</v>
      </c>
      <c r="J187" t="s">
        <v>843</v>
      </c>
      <c r="K187" t="s">
        <v>843</v>
      </c>
      <c r="L187" t="s">
        <v>843</v>
      </c>
      <c r="M187" t="s">
        <v>843</v>
      </c>
      <c r="N187" t="s">
        <v>843</v>
      </c>
      <c r="O187" t="s">
        <v>843</v>
      </c>
      <c r="P187">
        <v>520</v>
      </c>
      <c r="Q187">
        <v>455</v>
      </c>
    </row>
    <row r="188" spans="1:17">
      <c r="A188" t="s">
        <v>866</v>
      </c>
      <c r="B188" t="s">
        <v>146</v>
      </c>
      <c r="C188">
        <v>3754</v>
      </c>
      <c r="D188" t="s">
        <v>845</v>
      </c>
      <c r="E188" t="s">
        <v>10</v>
      </c>
      <c r="F188" t="s">
        <v>761</v>
      </c>
      <c r="G188">
        <v>52619403</v>
      </c>
      <c r="H188" t="s">
        <v>843</v>
      </c>
      <c r="I188" t="s">
        <v>843</v>
      </c>
      <c r="J188" t="s">
        <v>843</v>
      </c>
      <c r="K188" t="s">
        <v>843</v>
      </c>
      <c r="L188" t="s">
        <v>843</v>
      </c>
      <c r="M188" t="s">
        <v>843</v>
      </c>
      <c r="N188" t="s">
        <v>843</v>
      </c>
      <c r="O188" t="s">
        <v>843</v>
      </c>
      <c r="P188">
        <v>520</v>
      </c>
      <c r="Q188">
        <v>455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6392D-24E4-4F03-83DE-027D01592CEB}">
  <sheetPr codeName="Sheet5">
    <pageSetUpPr fitToPage="1"/>
  </sheetPr>
  <dimension ref="A2:AL176"/>
  <sheetViews>
    <sheetView tabSelected="1" topLeftCell="D1" zoomScale="85" zoomScaleNormal="85" workbookViewId="0">
      <selection activeCell="AJ19" sqref="AJ19"/>
    </sheetView>
  </sheetViews>
  <sheetFormatPr defaultRowHeight="14.4"/>
  <cols>
    <col min="1" max="1" width="10.33203125" customWidth="1"/>
    <col min="2" max="2" width="6" style="5" customWidth="1"/>
    <col min="3" max="3" width="9.109375" style="5"/>
    <col min="4" max="4" width="39.44140625" customWidth="1"/>
    <col min="5" max="5" width="13.6640625" customWidth="1"/>
    <col min="6" max="22" width="8.6640625" customWidth="1"/>
    <col min="23" max="27" width="8.6640625" hidden="1" customWidth="1"/>
    <col min="28" max="29" width="6.33203125" style="8" customWidth="1"/>
    <col min="30" max="32" width="3.109375" style="6" customWidth="1"/>
    <col min="33" max="33" width="3.109375" style="5" customWidth="1"/>
    <col min="34" max="34" width="3.109375" style="6" customWidth="1"/>
    <col min="35" max="35" width="5.6640625" customWidth="1"/>
  </cols>
  <sheetData>
    <row r="2" spans="1:38" ht="23.4">
      <c r="A2" s="3"/>
      <c r="B2" s="17" t="s">
        <v>130</v>
      </c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"/>
    </row>
    <row r="4" spans="1:38" ht="15.6">
      <c r="A4" s="4"/>
      <c r="B4" s="18" t="s">
        <v>872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2"/>
    </row>
    <row r="6" spans="1:38">
      <c r="A6" t="s">
        <v>91</v>
      </c>
      <c r="B6" s="10" t="s">
        <v>102</v>
      </c>
      <c r="C6" s="5" t="s">
        <v>4</v>
      </c>
      <c r="D6" t="s">
        <v>92</v>
      </c>
      <c r="E6" t="s">
        <v>3</v>
      </c>
      <c r="F6" s="6" t="s">
        <v>93</v>
      </c>
      <c r="G6" s="6" t="s">
        <v>94</v>
      </c>
      <c r="H6" s="6" t="s">
        <v>95</v>
      </c>
      <c r="I6" s="6" t="s">
        <v>105</v>
      </c>
      <c r="J6" s="6" t="s">
        <v>107</v>
      </c>
      <c r="K6" s="6" t="s">
        <v>108</v>
      </c>
      <c r="L6" s="6" t="s">
        <v>110</v>
      </c>
      <c r="M6" s="6" t="s">
        <v>114</v>
      </c>
      <c r="N6" s="6" t="s">
        <v>115</v>
      </c>
      <c r="O6" s="6" t="s">
        <v>116</v>
      </c>
      <c r="P6" s="6" t="s">
        <v>118</v>
      </c>
      <c r="Q6" s="6" t="s">
        <v>119</v>
      </c>
      <c r="R6" s="6" t="s">
        <v>120</v>
      </c>
      <c r="S6" s="6" t="s">
        <v>121</v>
      </c>
      <c r="T6" s="6" t="s">
        <v>122</v>
      </c>
      <c r="U6" s="6" t="s">
        <v>123</v>
      </c>
      <c r="V6" s="6" t="s">
        <v>124</v>
      </c>
      <c r="W6" s="6" t="s">
        <v>125</v>
      </c>
      <c r="X6" s="6" t="s">
        <v>126</v>
      </c>
      <c r="Y6" s="6" t="s">
        <v>127</v>
      </c>
      <c r="Z6" s="6" t="s">
        <v>128</v>
      </c>
      <c r="AA6" s="6" t="s">
        <v>129</v>
      </c>
      <c r="AB6" s="8" t="s">
        <v>96</v>
      </c>
      <c r="AC6" s="9" t="s">
        <v>97</v>
      </c>
      <c r="AD6" s="6" t="s">
        <v>99</v>
      </c>
      <c r="AE6" s="6" t="s">
        <v>100</v>
      </c>
      <c r="AF6" s="6" t="s">
        <v>101</v>
      </c>
      <c r="AG6" s="5" t="s">
        <v>112</v>
      </c>
      <c r="AH6" s="6" t="s">
        <v>111</v>
      </c>
      <c r="AJ6" s="7" t="s">
        <v>98</v>
      </c>
    </row>
    <row r="7" spans="1:38">
      <c r="A7">
        <v>51432202</v>
      </c>
      <c r="B7" s="10">
        <f>ROW()-ROW(Selectivo6[[#Headers],[Pos]])</f>
        <v>1</v>
      </c>
      <c r="C7" s="5">
        <v>4286</v>
      </c>
      <c r="D7" t="s">
        <v>147</v>
      </c>
      <c r="E7" t="s">
        <v>21</v>
      </c>
      <c r="F7" s="19" t="str" cm="1">
        <f t="array" aca="1" ref="F7" ca="1">IFERROR(_xlfn.XLOOKUP(Selectivo6[[#This Row],[DNI]],S_S[DNI],INDIRECT("S_S["&amp;Selectivo6[[#Headers],[R1]]&amp;"]")),"60 DNC")</f>
        <v>1</v>
      </c>
      <c r="G7" s="19" t="str" cm="1">
        <f t="array" aca="1" ref="G7" ca="1">IFERROR(_xlfn.XLOOKUP(Selectivo6[[#This Row],[DNI]],S_S[DNI],INDIRECT("S_S["&amp;Selectivo6[[#Headers],[R2]]&amp;"]")),"60 DNC")</f>
        <v>2</v>
      </c>
      <c r="H7" s="19" t="str" cm="1">
        <f t="array" aca="1" ref="H7" ca="1">IFERROR(_xlfn.XLOOKUP(Selectivo6[[#This Row],[DNI]],S_S[DNI],INDIRECT("S_S["&amp;Selectivo6[[#Headers],[R3]]&amp;"]")),"60 DNC")</f>
        <v>1</v>
      </c>
      <c r="I7" s="19" t="str" cm="1">
        <f t="array" aca="1" ref="I7" ca="1">IFERROR(_xlfn.XLOOKUP(Selectivo6[[#This Row],[DNI]],S_S[DNI],INDIRECT("S_S["&amp;Selectivo6[[#Headers],[R4]]&amp;"]")),"60 DNC")</f>
        <v>1</v>
      </c>
      <c r="J7" s="19" t="str" cm="1">
        <f t="array" aca="1" ref="J7" ca="1">IFERROR(_xlfn.XLOOKUP(Selectivo6[[#This Row],[DNI]],S_S[DNI],INDIRECT("S_S["&amp;Selectivo6[[#Headers],[R5]]&amp;"]")),"60 DNC")</f>
        <v>1</v>
      </c>
      <c r="K7" s="20" t="str" cm="1">
        <f t="array" aca="1" ref="K7" ca="1">IFERROR(_xlfn.XLOOKUP(Selectivo6[[#This Row],[DNI]],S_S[DNI],INDIRECT("S_S["&amp;Selectivo6[[#Headers],[R6]]&amp;"]")),"60 DNC")</f>
        <v>8</v>
      </c>
      <c r="L7" s="19" t="str" cm="1">
        <f t="array" aca="1" ref="L7" ca="1">IFERROR(_xlfn.XLOOKUP(Selectivo6[[#This Row],[DNI]],S_S[DNI],INDIRECT("S_S["&amp;Selectivo6[[#Headers],[R7]]&amp;"]")),"60 DNC")</f>
        <v>1</v>
      </c>
      <c r="M7" s="19" t="str" cm="1">
        <f t="array" aca="1" ref="M7" ca="1">IFERROR(_xlfn.XLOOKUP(Selectivo6[[#This Row],[DNI]],S_S[DNI],INDIRECT("S_S["&amp;Selectivo6[[#Headers],[R8]]&amp;"]")),"60 DNC")</f>
        <v>1</v>
      </c>
      <c r="N7" s="19" t="str" cm="1">
        <f t="array" aca="1" ref="N7" ca="1">IFERROR(_xlfn.XLOOKUP(Selectivo6[[#This Row],[DNI]],S_S[DNI],INDIRECT("S_S["&amp;Selectivo6[[#Headers],[R9]]&amp;"]")),"60 DNC")</f>
        <v>1</v>
      </c>
      <c r="O7" s="19" t="str">
        <f>IFERROR(_xlfn.XLOOKUP(Selectivo6[[#This Row],[DNI]],_VF2026[DNI],_VF2026[R1]),"65 DNC")</f>
        <v>3</v>
      </c>
      <c r="P7" s="19" t="str">
        <f>IFERROR(_xlfn.XLOOKUP(Selectivo6[[#This Row],[DNI]],_VF2026[DNI],_VF2026[R2]),"65 DNC")</f>
        <v>2</v>
      </c>
      <c r="Q7" s="19" t="str">
        <f>IFERROR(_xlfn.XLOOKUP(Selectivo6[[#This Row],[DNI]],_VF2026[DNI],_VF2026[R3]),"65 DNC")</f>
        <v>1</v>
      </c>
      <c r="R7" s="19" t="str">
        <f>IFERROR(_xlfn.XLOOKUP(Selectivo6[[#This Row],[DNI]],_VF2026[DNI],_VF2026[R4]),"65 DNC")</f>
        <v>1</v>
      </c>
      <c r="S7" s="19" t="str">
        <f>IFERROR(_xlfn.XLOOKUP(Selectivo6[[#This Row],[DNI]],_VF2026[DNI],_VF2026[R5]),"65 DNC")</f>
        <v>1</v>
      </c>
      <c r="T7" s="19" t="str">
        <f>IFERROR(_xlfn.XLOOKUP(Selectivo6[[#This Row],[DNI]],_VF2026[DNI],_VF2026[R6]),"65 DNC")</f>
        <v>3</v>
      </c>
      <c r="U7" s="20" t="str">
        <f>IFERROR(_xlfn.XLOOKUP(Selectivo6[[#This Row],[DNI]],_VF2026[DNI],_VF2026[R7]),"65 DNC")</f>
        <v>65 BFD</v>
      </c>
      <c r="V7" s="19" t="str">
        <f>IFERROR(_xlfn.XLOOKUP(Selectivo6[[#This Row],[DNI]],_VF2026[DNI],_VF2026[R8]),"65 DNC")</f>
        <v>2</v>
      </c>
      <c r="W7" s="19"/>
      <c r="X7" s="19"/>
      <c r="Y7" s="19"/>
      <c r="Z7" s="19"/>
      <c r="AA7" s="19"/>
      <c r="AB7" s="8" cm="1">
        <f t="array" aca="1" ref="AB7" ca="1">SUM(IFERROR(VALUE(LEFT(Regatas, FIND(" ",Regatas&amp; " ") - 1)), 0))</f>
        <v>95</v>
      </c>
      <c r="AC7" s="9" cm="1">
        <f t="array" aca="1" ref="AC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</v>
      </c>
      <c r="AD7" s="6" cm="1">
        <f t="array" aca="1" ref="AD7" ca="1">SMALL(_xlfn._xlws.FILTER(RegatasN, RegatasN&lt;&gt;0), 1)</f>
        <v>1</v>
      </c>
      <c r="AE7" s="6" cm="1">
        <f t="array" aca="1" ref="AE7" ca="1">SMALL(_xlfn._xlws.FILTER(RegatasN, RegatasN&lt;&gt;0), 2)</f>
        <v>1</v>
      </c>
      <c r="AF7" s="6" cm="1">
        <f t="array" aca="1" ref="AF7" ca="1">SMALL(_xlfn._xlws.FILTER(RegatasN, RegatasN&lt;&gt;0), 3)</f>
        <v>1</v>
      </c>
      <c r="AG7" s="5" cm="1">
        <f t="array" aca="1" ref="AG7" ca="1">COUNTIF(Regatas,SMALL(_xlfn._xlws.FILTER(RegatasN, RegatasN&lt;&gt;0), 1))</f>
        <v>10</v>
      </c>
      <c r="AH7" s="6" t="e" cm="1">
        <f t="array" ref="AH7">VALUE(LEFT(INDEX(Selectivo6[#This Row],,MATCH(Selectivo6[[#Headers],[Total]],Selectivo6[#Headers],0)-1),SEARCH(" ",INDEX(Selectivo6[#This Row],,MATCH(Selectivo6[[#Headers],[Total]],Selectivo6[#Headers],0)-1)&amp;" ")-1))</f>
        <v>#VALUE!</v>
      </c>
      <c r="AJ7" s="11">
        <v>2</v>
      </c>
      <c r="AL7" t="s">
        <v>103</v>
      </c>
    </row>
    <row r="8" spans="1:38">
      <c r="A8">
        <v>50668849</v>
      </c>
      <c r="B8" s="10">
        <f>ROW()-ROW(Selectivo6[[#Headers],[Pos]])</f>
        <v>2</v>
      </c>
      <c r="C8" s="5">
        <v>4260</v>
      </c>
      <c r="D8" t="s">
        <v>164</v>
      </c>
      <c r="E8" t="s">
        <v>11</v>
      </c>
      <c r="F8" s="20" t="str" cm="1">
        <f t="array" aca="1" ref="F8" ca="1">IFERROR(_xlfn.XLOOKUP(Selectivo6[[#This Row],[DNI]],S_S[DNI],INDIRECT("S_S["&amp;Selectivo6[[#Headers],[R1]]&amp;"]")),"60 DNC")</f>
        <v>16</v>
      </c>
      <c r="G8" s="19" t="str" cm="1">
        <f t="array" aca="1" ref="G8" ca="1">IFERROR(_xlfn.XLOOKUP(Selectivo6[[#This Row],[DNI]],S_S[DNI],INDIRECT("S_S["&amp;Selectivo6[[#Headers],[R2]]&amp;"]")),"60 DNC")</f>
        <v>4</v>
      </c>
      <c r="H8" s="19" t="str" cm="1">
        <f t="array" aca="1" ref="H8" ca="1">IFERROR(_xlfn.XLOOKUP(Selectivo6[[#This Row],[DNI]],S_S[DNI],INDIRECT("S_S["&amp;Selectivo6[[#Headers],[R3]]&amp;"]")),"60 DNC")</f>
        <v>1</v>
      </c>
      <c r="I8" s="20" t="str" cm="1">
        <f t="array" aca="1" ref="I8" ca="1">IFERROR(_xlfn.XLOOKUP(Selectivo6[[#This Row],[DNI]],S_S[DNI],INDIRECT("S_S["&amp;Selectivo6[[#Headers],[R4]]&amp;"]")),"60 DNC")</f>
        <v>13</v>
      </c>
      <c r="J8" s="19" t="str" cm="1">
        <f t="array" aca="1" ref="J8" ca="1">IFERROR(_xlfn.XLOOKUP(Selectivo6[[#This Row],[DNI]],S_S[DNI],INDIRECT("S_S["&amp;Selectivo6[[#Headers],[R5]]&amp;"]")),"60 DNC")</f>
        <v>3</v>
      </c>
      <c r="K8" s="19" t="str" cm="1">
        <f t="array" aca="1" ref="K8" ca="1">IFERROR(_xlfn.XLOOKUP(Selectivo6[[#This Row],[DNI]],S_S[DNI],INDIRECT("S_S["&amp;Selectivo6[[#Headers],[R6]]&amp;"]")),"60 DNC")</f>
        <v>5</v>
      </c>
      <c r="L8" s="19" t="str" cm="1">
        <f t="array" aca="1" ref="L8" ca="1">IFERROR(_xlfn.XLOOKUP(Selectivo6[[#This Row],[DNI]],S_S[DNI],INDIRECT("S_S["&amp;Selectivo6[[#Headers],[R7]]&amp;"]")),"60 DNC")</f>
        <v>4</v>
      </c>
      <c r="M8" s="19" t="str" cm="1">
        <f t="array" aca="1" ref="M8" ca="1">IFERROR(_xlfn.XLOOKUP(Selectivo6[[#This Row],[DNI]],S_S[DNI],INDIRECT("S_S["&amp;Selectivo6[[#Headers],[R8]]&amp;"]")),"60 DNC")</f>
        <v>6</v>
      </c>
      <c r="N8" s="19" t="str" cm="1">
        <f t="array" aca="1" ref="N8" ca="1">IFERROR(_xlfn.XLOOKUP(Selectivo6[[#This Row],[DNI]],S_S[DNI],INDIRECT("S_S["&amp;Selectivo6[[#Headers],[R9]]&amp;"]")),"60 DNC")</f>
        <v>2</v>
      </c>
      <c r="O8" s="19" t="str">
        <f>IFERROR(_xlfn.XLOOKUP(Selectivo6[[#This Row],[DNI]],_VF2026[DNI],_VF2026[R1]),"65 DNC")</f>
        <v>9</v>
      </c>
      <c r="P8" s="19" t="str">
        <f>IFERROR(_xlfn.XLOOKUP(Selectivo6[[#This Row],[DNI]],_VF2026[DNI],_VF2026[R2]),"65 DNC")</f>
        <v>4 SPa</v>
      </c>
      <c r="Q8" s="19" t="str">
        <f>IFERROR(_xlfn.XLOOKUP(Selectivo6[[#This Row],[DNI]],_VF2026[DNI],_VF2026[R3]),"65 DNC")</f>
        <v>3</v>
      </c>
      <c r="R8" s="19" t="str">
        <f>IFERROR(_xlfn.XLOOKUP(Selectivo6[[#This Row],[DNI]],_VF2026[DNI],_VF2026[R4]),"65 DNC")</f>
        <v>1</v>
      </c>
      <c r="S8" s="19" t="str">
        <f>IFERROR(_xlfn.XLOOKUP(Selectivo6[[#This Row],[DNI]],_VF2026[DNI],_VF2026[R5]),"65 DNC")</f>
        <v>2</v>
      </c>
      <c r="T8" s="19" t="str">
        <f>IFERROR(_xlfn.XLOOKUP(Selectivo6[[#This Row],[DNI]],_VF2026[DNI],_VF2026[R6]),"65 DNC")</f>
        <v>7</v>
      </c>
      <c r="U8" s="19" t="str">
        <f>IFERROR(_xlfn.XLOOKUP(Selectivo6[[#This Row],[DNI]],_VF2026[DNI],_VF2026[R7]),"65 DNC")</f>
        <v>3</v>
      </c>
      <c r="V8" s="19" t="str">
        <f>IFERROR(_xlfn.XLOOKUP(Selectivo6[[#This Row],[DNI]],_VF2026[DNI],_VF2026[R8]),"65 DNC")</f>
        <v>4</v>
      </c>
      <c r="W8" s="19"/>
      <c r="X8" s="19"/>
      <c r="Y8" s="19"/>
      <c r="Z8" s="19"/>
      <c r="AA8" s="19"/>
      <c r="AB8" s="8" cm="1">
        <f t="array" aca="1" ref="AB8" ca="1">SUM(IFERROR(VALUE(LEFT(Regatas, FIND(" ",Regatas&amp; " ") - 1)), 0))</f>
        <v>87</v>
      </c>
      <c r="AC8" s="9" cm="1">
        <f t="array" aca="1" ref="AC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</v>
      </c>
      <c r="AD8" s="6" cm="1">
        <f t="array" aca="1" ref="AD8" ca="1">SMALL(_xlfn._xlws.FILTER(RegatasN, RegatasN&lt;&gt;0), 1)</f>
        <v>1</v>
      </c>
      <c r="AE8" s="6" cm="1">
        <f t="array" aca="1" ref="AE8" ca="1">SMALL(_xlfn._xlws.FILTER(RegatasN, RegatasN&lt;&gt;0), 2)</f>
        <v>1</v>
      </c>
      <c r="AF8" s="6" cm="1">
        <f t="array" aca="1" ref="AF8" ca="1">SMALL(_xlfn._xlws.FILTER(RegatasN, RegatasN&lt;&gt;0), 3)</f>
        <v>2</v>
      </c>
      <c r="AG8" s="5" cm="1">
        <f t="array" aca="1" ref="AG8" ca="1">COUNTIF(Regatas,SMALL(_xlfn._xlws.FILTER(RegatasN, RegatasN&lt;&gt;0), 1))</f>
        <v>2</v>
      </c>
      <c r="AH8" s="6" t="e" cm="1">
        <f t="array" ref="AH8">VALUE(LEFT(INDEX(Selectivo6[#This Row],,MATCH(Selectivo6[[#Headers],[Total]],Selectivo6[#Headers],0)-1),SEARCH(" ",INDEX(Selectivo6[#This Row],,MATCH(Selectivo6[[#Headers],[Total]],Selectivo6[#Headers],0)-1)&amp;" ")-1))</f>
        <v>#VALUE!</v>
      </c>
      <c r="AL8" t="s">
        <v>104</v>
      </c>
    </row>
    <row r="9" spans="1:38">
      <c r="A9">
        <v>52440028</v>
      </c>
      <c r="B9" s="10">
        <f>ROW()-ROW(Selectivo6[[#Headers],[Pos]])</f>
        <v>3</v>
      </c>
      <c r="C9" s="5">
        <v>4165</v>
      </c>
      <c r="D9" t="s">
        <v>157</v>
      </c>
      <c r="E9" t="s">
        <v>26</v>
      </c>
      <c r="F9" s="19" t="str" cm="1">
        <f t="array" aca="1" ref="F9" ca="1">IFERROR(_xlfn.XLOOKUP(Selectivo6[[#This Row],[DNI]],S_S[DNI],INDIRECT("S_S["&amp;Selectivo6[[#Headers],[R1]]&amp;"]")),"60 DNC")</f>
        <v>3</v>
      </c>
      <c r="G9" s="19" t="str" cm="1">
        <f t="array" aca="1" ref="G9" ca="1">IFERROR(_xlfn.XLOOKUP(Selectivo6[[#This Row],[DNI]],S_S[DNI],INDIRECT("S_S["&amp;Selectivo6[[#Headers],[R2]]&amp;"]")),"60 DNC")</f>
        <v>1</v>
      </c>
      <c r="H9" s="19" t="str" cm="1">
        <f t="array" aca="1" ref="H9" ca="1">IFERROR(_xlfn.XLOOKUP(Selectivo6[[#This Row],[DNI]],S_S[DNI],INDIRECT("S_S["&amp;Selectivo6[[#Headers],[R3]]&amp;"]")),"60 DNC")</f>
        <v>2</v>
      </c>
      <c r="I9" s="19" t="str" cm="1">
        <f t="array" aca="1" ref="I9" ca="1">IFERROR(_xlfn.XLOOKUP(Selectivo6[[#This Row],[DNI]],S_S[DNI],INDIRECT("S_S["&amp;Selectivo6[[#Headers],[R4]]&amp;"]")),"60 DNC")</f>
        <v>3</v>
      </c>
      <c r="J9" s="19" t="str" cm="1">
        <f t="array" aca="1" ref="J9" ca="1">IFERROR(_xlfn.XLOOKUP(Selectivo6[[#This Row],[DNI]],S_S[DNI],INDIRECT("S_S["&amp;Selectivo6[[#Headers],[R5]]&amp;"]")),"60 DNC")</f>
        <v>6</v>
      </c>
      <c r="K9" s="19" t="str" cm="1">
        <f t="array" aca="1" ref="K9" ca="1">IFERROR(_xlfn.XLOOKUP(Selectivo6[[#This Row],[DNI]],S_S[DNI],INDIRECT("S_S["&amp;Selectivo6[[#Headers],[R6]]&amp;"]")),"60 DNC")</f>
        <v>7</v>
      </c>
      <c r="L9" s="19" t="str" cm="1">
        <f t="array" aca="1" ref="L9" ca="1">IFERROR(_xlfn.XLOOKUP(Selectivo6[[#This Row],[DNI]],S_S[DNI],INDIRECT("S_S["&amp;Selectivo6[[#Headers],[R7]]&amp;"]")),"60 DNC")</f>
        <v>3</v>
      </c>
      <c r="M9" s="20" t="str" cm="1">
        <f t="array" aca="1" ref="M9" ca="1">IFERROR(_xlfn.XLOOKUP(Selectivo6[[#This Row],[DNI]],S_S[DNI],INDIRECT("S_S["&amp;Selectivo6[[#Headers],[R8]]&amp;"]")),"60 DNC")</f>
        <v>10</v>
      </c>
      <c r="N9" s="19" t="str" cm="1">
        <f t="array" aca="1" ref="N9" ca="1">IFERROR(_xlfn.XLOOKUP(Selectivo6[[#This Row],[DNI]],S_S[DNI],INDIRECT("S_S["&amp;Selectivo6[[#Headers],[R9]]&amp;"]")),"60 DNC")</f>
        <v>10</v>
      </c>
      <c r="O9" s="19" t="str">
        <f>IFERROR(_xlfn.XLOOKUP(Selectivo6[[#This Row],[DNI]],_VF2026[DNI],_VF2026[R1]),"65 DNC")</f>
        <v>1</v>
      </c>
      <c r="P9" s="19" t="str">
        <f>IFERROR(_xlfn.XLOOKUP(Selectivo6[[#This Row],[DNI]],_VF2026[DNI],_VF2026[R2]),"65 DNC")</f>
        <v>5</v>
      </c>
      <c r="Q9" s="19" t="str">
        <f>IFERROR(_xlfn.XLOOKUP(Selectivo6[[#This Row],[DNI]],_VF2026[DNI],_VF2026[R3]),"65 DNC")</f>
        <v>10</v>
      </c>
      <c r="R9" s="19" t="str">
        <f>IFERROR(_xlfn.XLOOKUP(Selectivo6[[#This Row],[DNI]],_VF2026[DNI],_VF2026[R4]),"65 DNC")</f>
        <v>3</v>
      </c>
      <c r="S9" s="19" t="str">
        <f>IFERROR(_xlfn.XLOOKUP(Selectivo6[[#This Row],[DNI]],_VF2026[DNI],_VF2026[R5]),"65 DNC")</f>
        <v>4</v>
      </c>
      <c r="T9" s="19" t="str">
        <f>IFERROR(_xlfn.XLOOKUP(Selectivo6[[#This Row],[DNI]],_VF2026[DNI],_VF2026[R6]),"65 DNC")</f>
        <v>6</v>
      </c>
      <c r="U9" s="20" t="str">
        <f>IFERROR(_xlfn.XLOOKUP(Selectivo6[[#This Row],[DNI]],_VF2026[DNI],_VF2026[R7]),"65 DNC")</f>
        <v>39</v>
      </c>
      <c r="V9" s="19" t="str">
        <f>IFERROR(_xlfn.XLOOKUP(Selectivo6[[#This Row],[DNI]],_VF2026[DNI],_VF2026[R8]),"65 DNC")</f>
        <v>2</v>
      </c>
      <c r="W9" s="19"/>
      <c r="X9" s="19"/>
      <c r="Y9" s="19"/>
      <c r="Z9" s="19"/>
      <c r="AA9" s="19"/>
      <c r="AB9" s="8" cm="1">
        <f t="array" aca="1" ref="AB9" ca="1">SUM(IFERROR(VALUE(LEFT(Regatas, FIND(" ",Regatas&amp; " ") - 1)), 0))</f>
        <v>115</v>
      </c>
      <c r="AC9" s="9" cm="1">
        <f t="array" aca="1" ref="AC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66</v>
      </c>
      <c r="AD9" s="6" cm="1">
        <f t="array" aca="1" ref="AD9" ca="1">SMALL(_xlfn._xlws.FILTER(RegatasN, RegatasN&lt;&gt;0), 1)</f>
        <v>1</v>
      </c>
      <c r="AE9" s="6" cm="1">
        <f t="array" aca="1" ref="AE9" ca="1">SMALL(_xlfn._xlws.FILTER(RegatasN, RegatasN&lt;&gt;0), 2)</f>
        <v>1</v>
      </c>
      <c r="AF9" s="6" cm="1">
        <f t="array" aca="1" ref="AF9" ca="1">SMALL(_xlfn._xlws.FILTER(RegatasN, RegatasN&lt;&gt;0), 3)</f>
        <v>2</v>
      </c>
      <c r="AG9" s="5" cm="1">
        <f t="array" aca="1" ref="AG9" ca="1">COUNTIF(Regatas,SMALL(_xlfn._xlws.FILTER(RegatasN, RegatasN&lt;&gt;0), 1))</f>
        <v>2</v>
      </c>
      <c r="AH9" s="6" t="e" cm="1">
        <f t="array" ref="AH9">VALUE(LEFT(INDEX(Selectivo6[#This Row],,MATCH(Selectivo6[[#Headers],[Total]],Selectivo6[#Headers],0)-1),SEARCH(" ",INDEX(Selectivo6[#This Row],,MATCH(Selectivo6[[#Headers],[Total]],Selectivo6[#Headers],0)-1)&amp;" ")-1))</f>
        <v>#VALUE!</v>
      </c>
      <c r="AL9" t="s">
        <v>106</v>
      </c>
    </row>
    <row r="10" spans="1:38">
      <c r="A10">
        <v>51336821</v>
      </c>
      <c r="B10" s="10">
        <f>ROW()-ROW(Selectivo6[[#Headers],[Pos]])</f>
        <v>4</v>
      </c>
      <c r="C10" s="5">
        <v>4182</v>
      </c>
      <c r="D10" t="s">
        <v>175</v>
      </c>
      <c r="E10" t="s">
        <v>16</v>
      </c>
      <c r="F10" s="19" t="str" cm="1">
        <f t="array" aca="1" ref="F10" ca="1">IFERROR(_xlfn.XLOOKUP(Selectivo6[[#This Row],[DNI]],S_S[DNI],INDIRECT("S_S["&amp;Selectivo6[[#Headers],[R1]]&amp;"]")),"60 DNC")</f>
        <v>11</v>
      </c>
      <c r="G10" s="19" t="str" cm="1">
        <f t="array" aca="1" ref="G10" ca="1">IFERROR(_xlfn.XLOOKUP(Selectivo6[[#This Row],[DNI]],S_S[DNI],INDIRECT("S_S["&amp;Selectivo6[[#Headers],[R2]]&amp;"]")),"60 DNC")</f>
        <v>8</v>
      </c>
      <c r="H10" s="19" t="str" cm="1">
        <f t="array" aca="1" ref="H10" ca="1">IFERROR(_xlfn.XLOOKUP(Selectivo6[[#This Row],[DNI]],S_S[DNI],INDIRECT("S_S["&amp;Selectivo6[[#Headers],[R3]]&amp;"]")),"60 DNC")</f>
        <v>8</v>
      </c>
      <c r="I10" s="19" t="str" cm="1">
        <f t="array" aca="1" ref="I10" ca="1">IFERROR(_xlfn.XLOOKUP(Selectivo6[[#This Row],[DNI]],S_S[DNI],INDIRECT("S_S["&amp;Selectivo6[[#Headers],[R4]]&amp;"]")),"60 DNC")</f>
        <v>3</v>
      </c>
      <c r="J10" s="20" t="str" cm="1">
        <f t="array" aca="1" ref="J10" ca="1">IFERROR(_xlfn.XLOOKUP(Selectivo6[[#This Row],[DNI]],S_S[DNI],INDIRECT("S_S["&amp;Selectivo6[[#Headers],[R5]]&amp;"]")),"60 DNC")</f>
        <v>25</v>
      </c>
      <c r="K10" s="19" t="str" cm="1">
        <f t="array" aca="1" ref="K10" ca="1">IFERROR(_xlfn.XLOOKUP(Selectivo6[[#This Row],[DNI]],S_S[DNI],INDIRECT("S_S["&amp;Selectivo6[[#Headers],[R6]]&amp;"]")),"60 DNC")</f>
        <v>4</v>
      </c>
      <c r="L10" s="19" t="str" cm="1">
        <f t="array" aca="1" ref="L10" ca="1">IFERROR(_xlfn.XLOOKUP(Selectivo6[[#This Row],[DNI]],S_S[DNI],INDIRECT("S_S["&amp;Selectivo6[[#Headers],[R7]]&amp;"]")),"60 DNC")</f>
        <v>2</v>
      </c>
      <c r="M10" s="19" t="str" cm="1">
        <f t="array" aca="1" ref="M10" ca="1">IFERROR(_xlfn.XLOOKUP(Selectivo6[[#This Row],[DNI]],S_S[DNI],INDIRECT("S_S["&amp;Selectivo6[[#Headers],[R8]]&amp;"]")),"60 DNC")</f>
        <v>5</v>
      </c>
      <c r="N10" s="19" t="str" cm="1">
        <f t="array" aca="1" ref="N10" ca="1">IFERROR(_xlfn.XLOOKUP(Selectivo6[[#This Row],[DNI]],S_S[DNI],INDIRECT("S_S["&amp;Selectivo6[[#Headers],[R9]]&amp;"]")),"60 DNC")</f>
        <v>3</v>
      </c>
      <c r="O10" s="19" t="str">
        <f>IFERROR(_xlfn.XLOOKUP(Selectivo6[[#This Row],[DNI]],_VF2026[DNI],_VF2026[R1]),"65 DNC")</f>
        <v>1</v>
      </c>
      <c r="P10" s="19" t="str">
        <f>IFERROR(_xlfn.XLOOKUP(Selectivo6[[#This Row],[DNI]],_VF2026[DNI],_VF2026[R2]),"65 DNC")</f>
        <v>2</v>
      </c>
      <c r="Q10" s="19" t="str">
        <f>IFERROR(_xlfn.XLOOKUP(Selectivo6[[#This Row],[DNI]],_VF2026[DNI],_VF2026[R3]),"65 DNC")</f>
        <v>1</v>
      </c>
      <c r="R10" s="19" t="str">
        <f>IFERROR(_xlfn.XLOOKUP(Selectivo6[[#This Row],[DNI]],_VF2026[DNI],_VF2026[R4]),"65 DNC")</f>
        <v>4</v>
      </c>
      <c r="S10" s="19" t="str">
        <f>IFERROR(_xlfn.XLOOKUP(Selectivo6[[#This Row],[DNI]],_VF2026[DNI],_VF2026[R5]),"65 DNC")</f>
        <v>1</v>
      </c>
      <c r="T10" s="19" t="str">
        <f>IFERROR(_xlfn.XLOOKUP(Selectivo6[[#This Row],[DNI]],_VF2026[DNI],_VF2026[R6]),"65 DNC")</f>
        <v>9</v>
      </c>
      <c r="U10" s="20" t="str">
        <f>IFERROR(_xlfn.XLOOKUP(Selectivo6[[#This Row],[DNI]],_VF2026[DNI],_VF2026[R7]),"65 DNC")</f>
        <v>22</v>
      </c>
      <c r="V10" s="19" t="str">
        <f>IFERROR(_xlfn.XLOOKUP(Selectivo6[[#This Row],[DNI]],_VF2026[DNI],_VF2026[R8]),"65 DNC")</f>
        <v>7</v>
      </c>
      <c r="W10" s="19"/>
      <c r="X10" s="19"/>
      <c r="Y10" s="19"/>
      <c r="Z10" s="19"/>
      <c r="AA10" s="19"/>
      <c r="AB10" s="8" cm="1">
        <f t="array" aca="1" ref="AB10" ca="1">SUM(IFERROR(VALUE(LEFT(Regatas, FIND(" ",Regatas&amp; " ") - 1)), 0))</f>
        <v>116</v>
      </c>
      <c r="AC10" s="9" cm="1">
        <f t="array" aca="1" ref="AC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69</v>
      </c>
      <c r="AD10" s="6" cm="1">
        <f t="array" aca="1" ref="AD10" ca="1">SMALL(_xlfn._xlws.FILTER(RegatasN, RegatasN&lt;&gt;0), 1)</f>
        <v>1</v>
      </c>
      <c r="AE10" s="6" cm="1">
        <f t="array" aca="1" ref="AE10" ca="1">SMALL(_xlfn._xlws.FILTER(RegatasN, RegatasN&lt;&gt;0), 2)</f>
        <v>1</v>
      </c>
      <c r="AF10" s="6" cm="1">
        <f t="array" aca="1" ref="AF10" ca="1">SMALL(_xlfn._xlws.FILTER(RegatasN, RegatasN&lt;&gt;0), 3)</f>
        <v>1</v>
      </c>
      <c r="AG10" s="5" cm="1">
        <f t="array" aca="1" ref="AG10" ca="1">COUNTIF(Regatas,SMALL(_xlfn._xlws.FILTER(RegatasN, RegatasN&lt;&gt;0), 1))</f>
        <v>3</v>
      </c>
      <c r="AH10" s="6" t="e" cm="1">
        <f t="array" ref="AH10">VALUE(LEFT(INDEX(Selectivo6[#This Row],,MATCH(Selectivo6[[#Headers],[Total]],Selectivo6[#Headers],0)-1),SEARCH(" ",INDEX(Selectivo6[#This Row],,MATCH(Selectivo6[[#Headers],[Total]],Selectivo6[#Headers],0)-1)&amp;" ")-1))</f>
        <v>#VALUE!</v>
      </c>
      <c r="AL10" t="s">
        <v>109</v>
      </c>
    </row>
    <row r="11" spans="1:38">
      <c r="A11">
        <v>51431844</v>
      </c>
      <c r="B11" s="10">
        <f>ROW()-ROW(Selectivo6[[#Headers],[Pos]])</f>
        <v>5</v>
      </c>
      <c r="C11" s="5">
        <v>4133</v>
      </c>
      <c r="D11" t="s">
        <v>151</v>
      </c>
      <c r="E11" t="s">
        <v>26</v>
      </c>
      <c r="F11" s="19" t="str" cm="1">
        <f t="array" aca="1" ref="F11" ca="1">IFERROR(_xlfn.XLOOKUP(Selectivo6[[#This Row],[DNI]],S_S[DNI],INDIRECT("S_S["&amp;Selectivo6[[#Headers],[R1]]&amp;"]")),"60 DNC")</f>
        <v>1</v>
      </c>
      <c r="G11" s="19" t="str" cm="1">
        <f t="array" aca="1" ref="G11" ca="1">IFERROR(_xlfn.XLOOKUP(Selectivo6[[#This Row],[DNI]],S_S[DNI],INDIRECT("S_S["&amp;Selectivo6[[#Headers],[R2]]&amp;"]")),"60 DNC")</f>
        <v>5</v>
      </c>
      <c r="H11" s="19" t="str" cm="1">
        <f t="array" aca="1" ref="H11" ca="1">IFERROR(_xlfn.XLOOKUP(Selectivo6[[#This Row],[DNI]],S_S[DNI],INDIRECT("S_S["&amp;Selectivo6[[#Headers],[R3]]&amp;"]")),"60 DNC")</f>
        <v>5</v>
      </c>
      <c r="I11" s="19" t="str" cm="1">
        <f t="array" aca="1" ref="I11" ca="1">IFERROR(_xlfn.XLOOKUP(Selectivo6[[#This Row],[DNI]],S_S[DNI],INDIRECT("S_S["&amp;Selectivo6[[#Headers],[R4]]&amp;"]")),"60 DNC")</f>
        <v>1</v>
      </c>
      <c r="J11" s="19" t="str" cm="1">
        <f t="array" aca="1" ref="J11" ca="1">IFERROR(_xlfn.XLOOKUP(Selectivo6[[#This Row],[DNI]],S_S[DNI],INDIRECT("S_S["&amp;Selectivo6[[#Headers],[R5]]&amp;"]")),"60 DNC")</f>
        <v>2</v>
      </c>
      <c r="K11" s="20" t="str" cm="1">
        <f t="array" aca="1" ref="K11" ca="1">IFERROR(_xlfn.XLOOKUP(Selectivo6[[#This Row],[DNI]],S_S[DNI],INDIRECT("S_S["&amp;Selectivo6[[#Headers],[R6]]&amp;"]")),"60 DNC")</f>
        <v>21</v>
      </c>
      <c r="L11" s="19" t="str" cm="1">
        <f t="array" aca="1" ref="L11" ca="1">IFERROR(_xlfn.XLOOKUP(Selectivo6[[#This Row],[DNI]],S_S[DNI],INDIRECT("S_S["&amp;Selectivo6[[#Headers],[R7]]&amp;"]")),"60 DNC")</f>
        <v>7</v>
      </c>
      <c r="M11" s="19" t="str" cm="1">
        <f t="array" aca="1" ref="M11" ca="1">IFERROR(_xlfn.XLOOKUP(Selectivo6[[#This Row],[DNI]],S_S[DNI],INDIRECT("S_S["&amp;Selectivo6[[#Headers],[R8]]&amp;"]")),"60 DNC")</f>
        <v>3</v>
      </c>
      <c r="N11" s="19" t="str" cm="1">
        <f t="array" aca="1" ref="N11" ca="1">IFERROR(_xlfn.XLOOKUP(Selectivo6[[#This Row],[DNI]],S_S[DNI],INDIRECT("S_S["&amp;Selectivo6[[#Headers],[R9]]&amp;"]")),"60 DNC")</f>
        <v>4</v>
      </c>
      <c r="O11" s="19" t="str">
        <f>IFERROR(_xlfn.XLOOKUP(Selectivo6[[#This Row],[DNI]],_VF2026[DNI],_VF2026[R1]),"65 DNC")</f>
        <v>1</v>
      </c>
      <c r="P11" s="19" t="str">
        <f>IFERROR(_xlfn.XLOOKUP(Selectivo6[[#This Row],[DNI]],_VF2026[DNI],_VF2026[R2]),"65 DNC")</f>
        <v>11</v>
      </c>
      <c r="Q11" s="19" t="str">
        <f>IFERROR(_xlfn.XLOOKUP(Selectivo6[[#This Row],[DNI]],_VF2026[DNI],_VF2026[R3]),"65 DNC")</f>
        <v>3</v>
      </c>
      <c r="R11" s="19" t="str">
        <f>IFERROR(_xlfn.XLOOKUP(Selectivo6[[#This Row],[DNI]],_VF2026[DNI],_VF2026[R4]),"65 DNC")</f>
        <v>13</v>
      </c>
      <c r="S11" s="19" t="str">
        <f>IFERROR(_xlfn.XLOOKUP(Selectivo6[[#This Row],[DNI]],_VF2026[DNI],_VF2026[R5]),"65 DNC")</f>
        <v>8</v>
      </c>
      <c r="T11" s="19" t="str">
        <f>IFERROR(_xlfn.XLOOKUP(Selectivo6[[#This Row],[DNI]],_VF2026[DNI],_VF2026[R6]),"65 DNC")</f>
        <v>3</v>
      </c>
      <c r="U11" s="20" t="str">
        <f>IFERROR(_xlfn.XLOOKUP(Selectivo6[[#This Row],[DNI]],_VF2026[DNI],_VF2026[R7]),"65 DNC")</f>
        <v>32</v>
      </c>
      <c r="V11" s="19" t="str">
        <f>IFERROR(_xlfn.XLOOKUP(Selectivo6[[#This Row],[DNI]],_VF2026[DNI],_VF2026[R8]),"65 DNC")</f>
        <v>12</v>
      </c>
      <c r="W11" s="19"/>
      <c r="X11" s="19"/>
      <c r="Y11" s="19"/>
      <c r="Z11" s="19"/>
      <c r="AA11" s="19"/>
      <c r="AB11" s="8" cm="1">
        <f t="array" aca="1" ref="AB11" ca="1">SUM(IFERROR(VALUE(LEFT(Regatas, FIND(" ",Regatas&amp; " ") - 1)), 0))</f>
        <v>132</v>
      </c>
      <c r="AC11" s="9" cm="1">
        <f t="array" aca="1" ref="AC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79</v>
      </c>
      <c r="AD11" s="6" cm="1">
        <f t="array" aca="1" ref="AD11" ca="1">SMALL(_xlfn._xlws.FILTER(RegatasN, RegatasN&lt;&gt;0), 1)</f>
        <v>1</v>
      </c>
      <c r="AE11" s="6" cm="1">
        <f t="array" aca="1" ref="AE11" ca="1">SMALL(_xlfn._xlws.FILTER(RegatasN, RegatasN&lt;&gt;0), 2)</f>
        <v>1</v>
      </c>
      <c r="AF11" s="6" cm="1">
        <f t="array" aca="1" ref="AF11" ca="1">SMALL(_xlfn._xlws.FILTER(RegatasN, RegatasN&lt;&gt;0), 3)</f>
        <v>1</v>
      </c>
      <c r="AG11" s="5" cm="1">
        <f t="array" aca="1" ref="AG11" ca="1">COUNTIF(Regatas,SMALL(_xlfn._xlws.FILTER(RegatasN, RegatasN&lt;&gt;0), 1))</f>
        <v>3</v>
      </c>
      <c r="AH11" s="6" t="e" cm="1">
        <f t="array" ref="AH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" spans="1:38">
      <c r="A12">
        <v>50805416</v>
      </c>
      <c r="B12" s="10">
        <f>ROW()-ROW(Selectivo6[[#Headers],[Pos]])</f>
        <v>6</v>
      </c>
      <c r="C12" s="5">
        <v>4134</v>
      </c>
      <c r="D12" t="s">
        <v>173</v>
      </c>
      <c r="E12" t="s">
        <v>21</v>
      </c>
      <c r="F12" s="19" t="str" cm="1">
        <f t="array" aca="1" ref="F12" ca="1">IFERROR(_xlfn.XLOOKUP(Selectivo6[[#This Row],[DNI]],S_S[DNI],INDIRECT("S_S["&amp;Selectivo6[[#Headers],[R1]]&amp;"]")),"60 DNC")</f>
        <v>6</v>
      </c>
      <c r="G12" s="19" t="str" cm="1">
        <f t="array" aca="1" ref="G12" ca="1">IFERROR(_xlfn.XLOOKUP(Selectivo6[[#This Row],[DNI]],S_S[DNI],INDIRECT("S_S["&amp;Selectivo6[[#Headers],[R2]]&amp;"]")),"60 DNC")</f>
        <v>10</v>
      </c>
      <c r="H12" s="19" t="str" cm="1">
        <f t="array" aca="1" ref="H12" ca="1">IFERROR(_xlfn.XLOOKUP(Selectivo6[[#This Row],[DNI]],S_S[DNI],INDIRECT("S_S["&amp;Selectivo6[[#Headers],[R3]]&amp;"]")),"60 DNC")</f>
        <v>6</v>
      </c>
      <c r="I12" s="19" t="str" cm="1">
        <f t="array" aca="1" ref="I12" ca="1">IFERROR(_xlfn.XLOOKUP(Selectivo6[[#This Row],[DNI]],S_S[DNI],INDIRECT("S_S["&amp;Selectivo6[[#Headers],[R4]]&amp;"]")),"60 DNC")</f>
        <v>5</v>
      </c>
      <c r="J12" s="20" t="str" cm="1">
        <f t="array" aca="1" ref="J12" ca="1">IFERROR(_xlfn.XLOOKUP(Selectivo6[[#This Row],[DNI]],S_S[DNI],INDIRECT("S_S["&amp;Selectivo6[[#Headers],[R5]]&amp;"]")),"60 DNC")</f>
        <v>16</v>
      </c>
      <c r="K12" s="19" t="str" cm="1">
        <f t="array" aca="1" ref="K12" ca="1">IFERROR(_xlfn.XLOOKUP(Selectivo6[[#This Row],[DNI]],S_S[DNI],INDIRECT("S_S["&amp;Selectivo6[[#Headers],[R6]]&amp;"]")),"60 DNC")</f>
        <v>2</v>
      </c>
      <c r="L12" s="19" t="str" cm="1">
        <f t="array" aca="1" ref="L12" ca="1">IFERROR(_xlfn.XLOOKUP(Selectivo6[[#This Row],[DNI]],S_S[DNI],INDIRECT("S_S["&amp;Selectivo6[[#Headers],[R7]]&amp;"]")),"60 DNC")</f>
        <v>3</v>
      </c>
      <c r="M12" s="19" t="str" cm="1">
        <f t="array" aca="1" ref="M12" ca="1">IFERROR(_xlfn.XLOOKUP(Selectivo6[[#This Row],[DNI]],S_S[DNI],INDIRECT("S_S["&amp;Selectivo6[[#Headers],[R8]]&amp;"]")),"60 DNC")</f>
        <v>5</v>
      </c>
      <c r="N12" s="19" t="str" cm="1">
        <f t="array" aca="1" ref="N12" ca="1">IFERROR(_xlfn.XLOOKUP(Selectivo6[[#This Row],[DNI]],S_S[DNI],INDIRECT("S_S["&amp;Selectivo6[[#Headers],[R9]]&amp;"]")),"60 DNC")</f>
        <v>5</v>
      </c>
      <c r="O12" s="19" t="str">
        <f>IFERROR(_xlfn.XLOOKUP(Selectivo6[[#This Row],[DNI]],_VF2026[DNI],_VF2026[R1]),"65 DNC")</f>
        <v>9</v>
      </c>
      <c r="P12" s="19" t="str">
        <f>IFERROR(_xlfn.XLOOKUP(Selectivo6[[#This Row],[DNI]],_VF2026[DNI],_VF2026[R2]),"65 DNC")</f>
        <v>1</v>
      </c>
      <c r="Q12" s="19" t="str">
        <f>IFERROR(_xlfn.XLOOKUP(Selectivo6[[#This Row],[DNI]],_VF2026[DNI],_VF2026[R3]),"65 DNC")</f>
        <v>6</v>
      </c>
      <c r="R12" s="19" t="str">
        <f>IFERROR(_xlfn.XLOOKUP(Selectivo6[[#This Row],[DNI]],_VF2026[DNI],_VF2026[R4]),"65 DNC")</f>
        <v>2</v>
      </c>
      <c r="S12" s="19" t="str">
        <f>IFERROR(_xlfn.XLOOKUP(Selectivo6[[#This Row],[DNI]],_VF2026[DNI],_VF2026[R5]),"65 DNC")</f>
        <v>2</v>
      </c>
      <c r="T12" s="19" t="str">
        <f>IFERROR(_xlfn.XLOOKUP(Selectivo6[[#This Row],[DNI]],_VF2026[DNI],_VF2026[R6]),"65 DNC")</f>
        <v>16</v>
      </c>
      <c r="U12" s="20" t="str">
        <f>IFERROR(_xlfn.XLOOKUP(Selectivo6[[#This Row],[DNI]],_VF2026[DNI],_VF2026[R7]),"65 DNC")</f>
        <v>23</v>
      </c>
      <c r="V12" s="19" t="str">
        <f>IFERROR(_xlfn.XLOOKUP(Selectivo6[[#This Row],[DNI]],_VF2026[DNI],_VF2026[R8]),"65 DNC")</f>
        <v>8</v>
      </c>
      <c r="W12" s="19"/>
      <c r="X12" s="19"/>
      <c r="Y12" s="19"/>
      <c r="Z12" s="19"/>
      <c r="AA12" s="19"/>
      <c r="AB12" s="8" cm="1">
        <f t="array" aca="1" ref="AB12" ca="1">SUM(IFERROR(VALUE(LEFT(Regatas, FIND(" ",Regatas&amp; " ") - 1)), 0))</f>
        <v>125</v>
      </c>
      <c r="AC12" s="9" cm="1">
        <f t="array" aca="1" ref="AC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86</v>
      </c>
      <c r="AD12" s="6" cm="1">
        <f t="array" aca="1" ref="AD12" ca="1">SMALL(_xlfn._xlws.FILTER(RegatasN, RegatasN&lt;&gt;0), 1)</f>
        <v>1</v>
      </c>
      <c r="AE12" s="6" cm="1">
        <f t="array" aca="1" ref="AE12" ca="1">SMALL(_xlfn._xlws.FILTER(RegatasN, RegatasN&lt;&gt;0), 2)</f>
        <v>2</v>
      </c>
      <c r="AF12" s="6" cm="1">
        <f t="array" aca="1" ref="AF12" ca="1">SMALL(_xlfn._xlws.FILTER(RegatasN, RegatasN&lt;&gt;0), 3)</f>
        <v>2</v>
      </c>
      <c r="AG12" s="5" cm="1">
        <f t="array" aca="1" ref="AG12" ca="1">COUNTIF(Regatas,SMALL(_xlfn._xlws.FILTER(RegatasN, RegatasN&lt;&gt;0), 1))</f>
        <v>1</v>
      </c>
      <c r="AH12" s="6" t="e" cm="1">
        <f t="array" ref="AH12">VALUE(LEFT(INDEX(Selectivo6[#This Row],,MATCH(Selectivo6[[#Headers],[Total]],Selectivo6[#Headers],0)-1),SEARCH(" ",INDEX(Selectivo6[#This Row],,MATCH(Selectivo6[[#Headers],[Total]],Selectivo6[#Headers],0)-1)&amp;" ")-1))</f>
        <v>#VALUE!</v>
      </c>
      <c r="AL12" t="s">
        <v>113</v>
      </c>
    </row>
    <row r="13" spans="1:38">
      <c r="A13">
        <v>52676878</v>
      </c>
      <c r="B13" s="10">
        <f>ROW()-ROW(Selectivo6[[#Headers],[Pos]])</f>
        <v>7</v>
      </c>
      <c r="C13" s="5">
        <v>4092</v>
      </c>
      <c r="D13" t="s">
        <v>170</v>
      </c>
      <c r="E13" t="s">
        <v>171</v>
      </c>
      <c r="F13" s="19" t="str" cm="1">
        <f t="array" aca="1" ref="F13" ca="1">IFERROR(_xlfn.XLOOKUP(Selectivo6[[#This Row],[DNI]],S_S[DNI],INDIRECT("S_S["&amp;Selectivo6[[#Headers],[R1]]&amp;"]")),"60 DNC")</f>
        <v>1</v>
      </c>
      <c r="G13" s="19" t="str" cm="1">
        <f t="array" aca="1" ref="G13" ca="1">IFERROR(_xlfn.XLOOKUP(Selectivo6[[#This Row],[DNI]],S_S[DNI],INDIRECT("S_S["&amp;Selectivo6[[#Headers],[R2]]&amp;"]")),"60 DNC")</f>
        <v>3</v>
      </c>
      <c r="H13" s="19" t="str" cm="1">
        <f t="array" aca="1" ref="H13" ca="1">IFERROR(_xlfn.XLOOKUP(Selectivo6[[#This Row],[DNI]],S_S[DNI],INDIRECT("S_S["&amp;Selectivo6[[#Headers],[R3]]&amp;"]")),"60 DNC")</f>
        <v>3</v>
      </c>
      <c r="I13" s="19" t="str" cm="1">
        <f t="array" aca="1" ref="I13" ca="1">IFERROR(_xlfn.XLOOKUP(Selectivo6[[#This Row],[DNI]],S_S[DNI],INDIRECT("S_S["&amp;Selectivo6[[#Headers],[R4]]&amp;"]")),"60 DNC")</f>
        <v>4</v>
      </c>
      <c r="J13" s="19" t="str" cm="1">
        <f t="array" aca="1" ref="J13" ca="1">IFERROR(_xlfn.XLOOKUP(Selectivo6[[#This Row],[DNI]],S_S[DNI],INDIRECT("S_S["&amp;Selectivo6[[#Headers],[R5]]&amp;"]")),"60 DNC")</f>
        <v>2</v>
      </c>
      <c r="K13" s="19" t="str" cm="1">
        <f t="array" aca="1" ref="K13" ca="1">IFERROR(_xlfn.XLOOKUP(Selectivo6[[#This Row],[DNI]],S_S[DNI],INDIRECT("S_S["&amp;Selectivo6[[#Headers],[R6]]&amp;"]")),"60 DNC")</f>
        <v>7</v>
      </c>
      <c r="L13" s="20" t="str" cm="1">
        <f t="array" aca="1" ref="L13" ca="1">IFERROR(_xlfn.XLOOKUP(Selectivo6[[#This Row],[DNI]],S_S[DNI],INDIRECT("S_S["&amp;Selectivo6[[#Headers],[R7]]&amp;"]")),"60 DNC")</f>
        <v>45</v>
      </c>
      <c r="M13" s="19" t="str" cm="1">
        <f t="array" aca="1" ref="M13" ca="1">IFERROR(_xlfn.XLOOKUP(Selectivo6[[#This Row],[DNI]],S_S[DNI],INDIRECT("S_S["&amp;Selectivo6[[#Headers],[R8]]&amp;"]")),"60 DNC")</f>
        <v>13</v>
      </c>
      <c r="N13" s="19" t="str" cm="1">
        <f t="array" aca="1" ref="N13" ca="1">IFERROR(_xlfn.XLOOKUP(Selectivo6[[#This Row],[DNI]],S_S[DNI],INDIRECT("S_S["&amp;Selectivo6[[#Headers],[R9]]&amp;"]")),"60 DNC")</f>
        <v>9</v>
      </c>
      <c r="O13" s="19" t="str">
        <f>IFERROR(_xlfn.XLOOKUP(Selectivo6[[#This Row],[DNI]],_VF2026[DNI],_VF2026[R1]),"65 DNC")</f>
        <v>8</v>
      </c>
      <c r="P13" s="20" t="str">
        <f>IFERROR(_xlfn.XLOOKUP(Selectivo6[[#This Row],[DNI]],_VF2026[DNI],_VF2026[R2]),"65 DNC")</f>
        <v>17</v>
      </c>
      <c r="Q13" s="19" t="str">
        <f>IFERROR(_xlfn.XLOOKUP(Selectivo6[[#This Row],[DNI]],_VF2026[DNI],_VF2026[R3]),"65 DNC")</f>
        <v>9</v>
      </c>
      <c r="R13" s="19" t="str">
        <f>IFERROR(_xlfn.XLOOKUP(Selectivo6[[#This Row],[DNI]],_VF2026[DNI],_VF2026[R4]),"65 DNC")</f>
        <v>4</v>
      </c>
      <c r="S13" s="19" t="str">
        <f>IFERROR(_xlfn.XLOOKUP(Selectivo6[[#This Row],[DNI]],_VF2026[DNI],_VF2026[R5]),"65 DNC")</f>
        <v>14</v>
      </c>
      <c r="T13" s="19" t="str">
        <f>IFERROR(_xlfn.XLOOKUP(Selectivo6[[#This Row],[DNI]],_VF2026[DNI],_VF2026[R6]),"65 DNC")</f>
        <v>4</v>
      </c>
      <c r="U13" s="19" t="str">
        <f>IFERROR(_xlfn.XLOOKUP(Selectivo6[[#This Row],[DNI]],_VF2026[DNI],_VF2026[R7]),"65 DNC")</f>
        <v>1</v>
      </c>
      <c r="V13" s="19" t="str">
        <f>IFERROR(_xlfn.XLOOKUP(Selectivo6[[#This Row],[DNI]],_VF2026[DNI],_VF2026[R8]),"65 DNC")</f>
        <v>6</v>
      </c>
      <c r="W13" s="19"/>
      <c r="X13" s="19"/>
      <c r="Y13" s="19"/>
      <c r="Z13" s="19"/>
      <c r="AA13" s="19"/>
      <c r="AB13" s="8" cm="1">
        <f t="array" aca="1" ref="AB13" ca="1">SUM(IFERROR(VALUE(LEFT(Regatas, FIND(" ",Regatas&amp; " ") - 1)), 0))</f>
        <v>150</v>
      </c>
      <c r="AC13" s="9" cm="1">
        <f t="array" aca="1" ref="AC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88</v>
      </c>
      <c r="AD13" s="6" cm="1">
        <f t="array" aca="1" ref="AD13" ca="1">SMALL(_xlfn._xlws.FILTER(RegatasN, RegatasN&lt;&gt;0), 1)</f>
        <v>1</v>
      </c>
      <c r="AE13" s="6" cm="1">
        <f t="array" aca="1" ref="AE13" ca="1">SMALL(_xlfn._xlws.FILTER(RegatasN, RegatasN&lt;&gt;0), 2)</f>
        <v>1</v>
      </c>
      <c r="AF13" s="6" cm="1">
        <f t="array" aca="1" ref="AF13" ca="1">SMALL(_xlfn._xlws.FILTER(RegatasN, RegatasN&lt;&gt;0), 3)</f>
        <v>2</v>
      </c>
      <c r="AG13" s="5" cm="1">
        <f t="array" aca="1" ref="AG13" ca="1">COUNTIF(Regatas,SMALL(_xlfn._xlws.FILTER(RegatasN, RegatasN&lt;&gt;0), 1))</f>
        <v>2</v>
      </c>
      <c r="AH13" s="6" t="e" cm="1">
        <f t="array" ref="AH13">VALUE(LEFT(INDEX(Selectivo6[#This Row],,MATCH(Selectivo6[[#Headers],[Total]],Selectivo6[#Headers],0)-1),SEARCH(" ",INDEX(Selectivo6[#This Row],,MATCH(Selectivo6[[#Headers],[Total]],Selectivo6[#Headers],0)-1)&amp;" ")-1))</f>
        <v>#VALUE!</v>
      </c>
      <c r="AL13" t="s">
        <v>117</v>
      </c>
    </row>
    <row r="14" spans="1:38">
      <c r="A14">
        <v>51253143</v>
      </c>
      <c r="B14" s="10">
        <f>ROW()-ROW(Selectivo6[[#Headers],[Pos]])</f>
        <v>8</v>
      </c>
      <c r="C14" s="5">
        <v>4108</v>
      </c>
      <c r="D14" t="s">
        <v>161</v>
      </c>
      <c r="E14" t="s">
        <v>9</v>
      </c>
      <c r="F14" s="19" t="str" cm="1">
        <f t="array" aca="1" ref="F14" ca="1">IFERROR(_xlfn.XLOOKUP(Selectivo6[[#This Row],[DNI]],S_S[DNI],INDIRECT("S_S["&amp;Selectivo6[[#Headers],[R1]]&amp;"]")),"60 DNC")</f>
        <v>3</v>
      </c>
      <c r="G14" s="19" t="str" cm="1">
        <f t="array" aca="1" ref="G14" ca="1">IFERROR(_xlfn.XLOOKUP(Selectivo6[[#This Row],[DNI]],S_S[DNI],INDIRECT("S_S["&amp;Selectivo6[[#Headers],[R2]]&amp;"]")),"60 DNC")</f>
        <v>4</v>
      </c>
      <c r="H14" s="19" t="str" cm="1">
        <f t="array" aca="1" ref="H14" ca="1">IFERROR(_xlfn.XLOOKUP(Selectivo6[[#This Row],[DNI]],S_S[DNI],INDIRECT("S_S["&amp;Selectivo6[[#Headers],[R3]]&amp;"]")),"60 DNC")</f>
        <v>2</v>
      </c>
      <c r="I14" s="19" t="str" cm="1">
        <f t="array" aca="1" ref="I14" ca="1">IFERROR(_xlfn.XLOOKUP(Selectivo6[[#This Row],[DNI]],S_S[DNI],INDIRECT("S_S["&amp;Selectivo6[[#Headers],[R4]]&amp;"]")),"60 DNC")</f>
        <v>6</v>
      </c>
      <c r="J14" s="19" t="str" cm="1">
        <f t="array" aca="1" ref="J14" ca="1">IFERROR(_xlfn.XLOOKUP(Selectivo6[[#This Row],[DNI]],S_S[DNI],INDIRECT("S_S["&amp;Selectivo6[[#Headers],[R5]]&amp;"]")),"60 DNC")</f>
        <v>15</v>
      </c>
      <c r="K14" s="19" t="str" cm="1">
        <f t="array" aca="1" ref="K14" ca="1">IFERROR(_xlfn.XLOOKUP(Selectivo6[[#This Row],[DNI]],S_S[DNI],INDIRECT("S_S["&amp;Selectivo6[[#Headers],[R6]]&amp;"]")),"60 DNC")</f>
        <v>9</v>
      </c>
      <c r="L14" s="19" t="str" cm="1">
        <f t="array" aca="1" ref="L14" ca="1">IFERROR(_xlfn.XLOOKUP(Selectivo6[[#This Row],[DNI]],S_S[DNI],INDIRECT("S_S["&amp;Selectivo6[[#Headers],[R7]]&amp;"]")),"60 DNC")</f>
        <v>3</v>
      </c>
      <c r="M14" s="19" t="str" cm="1">
        <f t="array" aca="1" ref="M14" ca="1">IFERROR(_xlfn.XLOOKUP(Selectivo6[[#This Row],[DNI]],S_S[DNI],INDIRECT("S_S["&amp;Selectivo6[[#Headers],[R8]]&amp;"]")),"60 DNC")</f>
        <v>4</v>
      </c>
      <c r="N14" s="19" t="str" cm="1">
        <f t="array" aca="1" ref="N14" ca="1">IFERROR(_xlfn.XLOOKUP(Selectivo6[[#This Row],[DNI]],S_S[DNI],INDIRECT("S_S["&amp;Selectivo6[[#Headers],[R9]]&amp;"]")),"60 DNC")</f>
        <v>4</v>
      </c>
      <c r="O14" s="20" t="str">
        <f>IFERROR(_xlfn.XLOOKUP(Selectivo6[[#This Row],[DNI]],_VF2026[DNI],_VF2026[R1]),"65 DNC")</f>
        <v>16</v>
      </c>
      <c r="P14" s="19" t="str">
        <f>IFERROR(_xlfn.XLOOKUP(Selectivo6[[#This Row],[DNI]],_VF2026[DNI],_VF2026[R2]),"65 DNC")</f>
        <v>8</v>
      </c>
      <c r="Q14" s="20" t="str">
        <f>IFERROR(_xlfn.XLOOKUP(Selectivo6[[#This Row],[DNI]],_VF2026[DNI],_VF2026[R3]),"65 DNC")</f>
        <v>29</v>
      </c>
      <c r="R14" s="19" t="str">
        <f>IFERROR(_xlfn.XLOOKUP(Selectivo6[[#This Row],[DNI]],_VF2026[DNI],_VF2026[R4]),"65 DNC")</f>
        <v>7</v>
      </c>
      <c r="S14" s="19" t="str">
        <f>IFERROR(_xlfn.XLOOKUP(Selectivo6[[#This Row],[DNI]],_VF2026[DNI],_VF2026[R5]),"65 DNC")</f>
        <v>10</v>
      </c>
      <c r="T14" s="19" t="str">
        <f>IFERROR(_xlfn.XLOOKUP(Selectivo6[[#This Row],[DNI]],_VF2026[DNI],_VF2026[R6]),"65 DNC")</f>
        <v>6</v>
      </c>
      <c r="U14" s="19" t="str">
        <f>IFERROR(_xlfn.XLOOKUP(Selectivo6[[#This Row],[DNI]],_VF2026[DNI],_VF2026[R7]),"65 DNC")</f>
        <v>2</v>
      </c>
      <c r="V14" s="19" t="str">
        <f>IFERROR(_xlfn.XLOOKUP(Selectivo6[[#This Row],[DNI]],_VF2026[DNI],_VF2026[R8]),"65 DNC")</f>
        <v>9</v>
      </c>
      <c r="W14" s="19"/>
      <c r="X14" s="19"/>
      <c r="Y14" s="19"/>
      <c r="Z14" s="19"/>
      <c r="AA14" s="19"/>
      <c r="AB14" s="8" cm="1">
        <f t="array" aca="1" ref="AB14" ca="1">SUM(IFERROR(VALUE(LEFT(Regatas, FIND(" ",Regatas&amp; " ") - 1)), 0))</f>
        <v>137</v>
      </c>
      <c r="AC14" s="9" cm="1">
        <f t="array" aca="1" ref="AC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92</v>
      </c>
      <c r="AD14" s="6" cm="1">
        <f t="array" aca="1" ref="AD14" ca="1">SMALL(_xlfn._xlws.FILTER(RegatasN, RegatasN&lt;&gt;0), 1)</f>
        <v>2</v>
      </c>
      <c r="AE14" s="6" cm="1">
        <f t="array" aca="1" ref="AE14" ca="1">SMALL(_xlfn._xlws.FILTER(RegatasN, RegatasN&lt;&gt;0), 2)</f>
        <v>2</v>
      </c>
      <c r="AF14" s="6" cm="1">
        <f t="array" aca="1" ref="AF14" ca="1">SMALL(_xlfn._xlws.FILTER(RegatasN, RegatasN&lt;&gt;0), 3)</f>
        <v>3</v>
      </c>
      <c r="AG14" s="5" cm="1">
        <f t="array" aca="1" ref="AG14" ca="1">COUNTIF(Regatas,SMALL(_xlfn._xlws.FILTER(RegatasN, RegatasN&lt;&gt;0), 1))</f>
        <v>2</v>
      </c>
      <c r="AH14" s="6" t="e" cm="1">
        <f t="array" ref="AH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5" spans="1:38">
      <c r="A15">
        <v>51049622</v>
      </c>
      <c r="B15" s="10">
        <f>ROW()-ROW(Selectivo6[[#Headers],[Pos]])</f>
        <v>9</v>
      </c>
      <c r="C15" s="5">
        <v>4209</v>
      </c>
      <c r="D15" t="s">
        <v>185</v>
      </c>
      <c r="E15" t="s">
        <v>11</v>
      </c>
      <c r="F15" s="19" t="str" cm="1">
        <f t="array" aca="1" ref="F15" ca="1">IFERROR(_xlfn.XLOOKUP(Selectivo6[[#This Row],[DNI]],S_S[DNI],INDIRECT("S_S["&amp;Selectivo6[[#Headers],[R1]]&amp;"]")),"60 DNC")</f>
        <v>9</v>
      </c>
      <c r="G15" s="19" t="str" cm="1">
        <f t="array" aca="1" ref="G15" ca="1">IFERROR(_xlfn.XLOOKUP(Selectivo6[[#This Row],[DNI]],S_S[DNI],INDIRECT("S_S["&amp;Selectivo6[[#Headers],[R2]]&amp;"]")),"60 DNC")</f>
        <v>8</v>
      </c>
      <c r="H15" s="19" t="str" cm="1">
        <f t="array" aca="1" ref="H15" ca="1">IFERROR(_xlfn.XLOOKUP(Selectivo6[[#This Row],[DNI]],S_S[DNI],INDIRECT("S_S["&amp;Selectivo6[[#Headers],[R3]]&amp;"]")),"60 DNC")</f>
        <v>3</v>
      </c>
      <c r="I15" s="19" t="str" cm="1">
        <f t="array" aca="1" ref="I15" ca="1">IFERROR(_xlfn.XLOOKUP(Selectivo6[[#This Row],[DNI]],S_S[DNI],INDIRECT("S_S["&amp;Selectivo6[[#Headers],[R4]]&amp;"]")),"60 DNC")</f>
        <v>20</v>
      </c>
      <c r="J15" s="19" t="str" cm="1">
        <f t="array" aca="1" ref="J15" ca="1">IFERROR(_xlfn.XLOOKUP(Selectivo6[[#This Row],[DNI]],S_S[DNI],INDIRECT("S_S["&amp;Selectivo6[[#Headers],[R5]]&amp;"]")),"60 DNC")</f>
        <v>3</v>
      </c>
      <c r="K15" s="20" t="str" cm="1">
        <f t="array" aca="1" ref="K15" ca="1">IFERROR(_xlfn.XLOOKUP(Selectivo6[[#This Row],[DNI]],S_S[DNI],INDIRECT("S_S["&amp;Selectivo6[[#Headers],[R6]]&amp;"]")),"60 DNC")</f>
        <v>29</v>
      </c>
      <c r="L15" s="19" t="str" cm="1">
        <f t="array" aca="1" ref="L15" ca="1">IFERROR(_xlfn.XLOOKUP(Selectivo6[[#This Row],[DNI]],S_S[DNI],INDIRECT("S_S["&amp;Selectivo6[[#Headers],[R7]]&amp;"]")),"60 DNC")</f>
        <v>1</v>
      </c>
      <c r="M15" s="19" t="str" cm="1">
        <f t="array" aca="1" ref="M15" ca="1">IFERROR(_xlfn.XLOOKUP(Selectivo6[[#This Row],[DNI]],S_S[DNI],INDIRECT("S_S["&amp;Selectivo6[[#Headers],[R8]]&amp;"]")),"60 DNC")</f>
        <v>2</v>
      </c>
      <c r="N15" s="19" t="str" cm="1">
        <f t="array" aca="1" ref="N15" ca="1">IFERROR(_xlfn.XLOOKUP(Selectivo6[[#This Row],[DNI]],S_S[DNI],INDIRECT("S_S["&amp;Selectivo6[[#Headers],[R9]]&amp;"]")),"60 DNC")</f>
        <v>3</v>
      </c>
      <c r="O15" s="19" t="str">
        <f>IFERROR(_xlfn.XLOOKUP(Selectivo6[[#This Row],[DNI]],_VF2026[DNI],_VF2026[R1]),"65 DNC")</f>
        <v>2</v>
      </c>
      <c r="P15" s="19" t="str">
        <f>IFERROR(_xlfn.XLOOKUP(Selectivo6[[#This Row],[DNI]],_VF2026[DNI],_VF2026[R2]),"65 DNC")</f>
        <v>9</v>
      </c>
      <c r="Q15" s="19" t="str">
        <f>IFERROR(_xlfn.XLOOKUP(Selectivo6[[#This Row],[DNI]],_VF2026[DNI],_VF2026[R3]),"65 DNC")</f>
        <v>4</v>
      </c>
      <c r="R15" s="19" t="str">
        <f>IFERROR(_xlfn.XLOOKUP(Selectivo6[[#This Row],[DNI]],_VF2026[DNI],_VF2026[R4]),"65 DNC")</f>
        <v>3</v>
      </c>
      <c r="S15" s="19" t="str">
        <f>IFERROR(_xlfn.XLOOKUP(Selectivo6[[#This Row],[DNI]],_VF2026[DNI],_VF2026[R5]),"65 DNC")</f>
        <v>5</v>
      </c>
      <c r="T15" s="20" t="str">
        <f>IFERROR(_xlfn.XLOOKUP(Selectivo6[[#This Row],[DNI]],_VF2026[DNI],_VF2026[R6]),"65 DNC")</f>
        <v>26</v>
      </c>
      <c r="U15" s="19" t="str">
        <f>IFERROR(_xlfn.XLOOKUP(Selectivo6[[#This Row],[DNI]],_VF2026[DNI],_VF2026[R7]),"65 DNC")</f>
        <v>10</v>
      </c>
      <c r="V15" s="19" t="str">
        <f>IFERROR(_xlfn.XLOOKUP(Selectivo6[[#This Row],[DNI]],_VF2026[DNI],_VF2026[R8]),"65 DNC")</f>
        <v>11</v>
      </c>
      <c r="W15" s="19"/>
      <c r="X15" s="19"/>
      <c r="Y15" s="19"/>
      <c r="Z15" s="19"/>
      <c r="AA15" s="19"/>
      <c r="AB15" s="8" cm="1">
        <f t="array" aca="1" ref="AB15" ca="1">SUM(IFERROR(VALUE(LEFT(Regatas, FIND(" ",Regatas&amp; " ") - 1)), 0))</f>
        <v>148</v>
      </c>
      <c r="AC15" s="9" cm="1">
        <f t="array" aca="1" ref="AC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93</v>
      </c>
      <c r="AD15" s="6" cm="1">
        <f t="array" aca="1" ref="AD15" ca="1">SMALL(_xlfn._xlws.FILTER(RegatasN, RegatasN&lt;&gt;0), 1)</f>
        <v>1</v>
      </c>
      <c r="AE15" s="6" cm="1">
        <f t="array" aca="1" ref="AE15" ca="1">SMALL(_xlfn._xlws.FILTER(RegatasN, RegatasN&lt;&gt;0), 2)</f>
        <v>2</v>
      </c>
      <c r="AF15" s="6" cm="1">
        <f t="array" aca="1" ref="AF15" ca="1">SMALL(_xlfn._xlws.FILTER(RegatasN, RegatasN&lt;&gt;0), 3)</f>
        <v>2</v>
      </c>
      <c r="AG15" s="5" cm="1">
        <f t="array" aca="1" ref="AG15" ca="1">COUNTIF(Regatas,SMALL(_xlfn._xlws.FILTER(RegatasN, RegatasN&lt;&gt;0), 1))</f>
        <v>1</v>
      </c>
      <c r="AH15" s="6" t="e" cm="1">
        <f t="array" ref="AH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6" spans="1:38">
      <c r="A16">
        <v>52834659</v>
      </c>
      <c r="B16" s="10">
        <f>ROW()-ROW(Selectivo6[[#Headers],[Pos]])</f>
        <v>10</v>
      </c>
      <c r="C16" s="5">
        <v>3962</v>
      </c>
      <c r="D16" t="s">
        <v>190</v>
      </c>
      <c r="E16" t="s">
        <v>191</v>
      </c>
      <c r="F16" s="19" t="str" cm="1">
        <f t="array" aca="1" ref="F16" ca="1">IFERROR(_xlfn.XLOOKUP(Selectivo6[[#This Row],[DNI]],S_S[DNI],INDIRECT("S_S["&amp;Selectivo6[[#Headers],[R1]]&amp;"]")),"60 DNC")</f>
        <v>6</v>
      </c>
      <c r="G16" s="19" t="str" cm="1">
        <f t="array" aca="1" ref="G16" ca="1">IFERROR(_xlfn.XLOOKUP(Selectivo6[[#This Row],[DNI]],S_S[DNI],INDIRECT("S_S["&amp;Selectivo6[[#Headers],[R2]]&amp;"]")),"60 DNC")</f>
        <v>3</v>
      </c>
      <c r="H16" s="19" t="str" cm="1">
        <f t="array" aca="1" ref="H16" ca="1">IFERROR(_xlfn.XLOOKUP(Selectivo6[[#This Row],[DNI]],S_S[DNI],INDIRECT("S_S["&amp;Selectivo6[[#Headers],[R3]]&amp;"]")),"60 DNC")</f>
        <v>6</v>
      </c>
      <c r="I16" s="19" t="str" cm="1">
        <f t="array" aca="1" ref="I16" ca="1">IFERROR(_xlfn.XLOOKUP(Selectivo6[[#This Row],[DNI]],S_S[DNI],INDIRECT("S_S["&amp;Selectivo6[[#Headers],[R4]]&amp;"]")),"60 DNC")</f>
        <v>5</v>
      </c>
      <c r="J16" s="19" t="str" cm="1">
        <f t="array" aca="1" ref="J16" ca="1">IFERROR(_xlfn.XLOOKUP(Selectivo6[[#This Row],[DNI]],S_S[DNI],INDIRECT("S_S["&amp;Selectivo6[[#Headers],[R5]]&amp;"]")),"60 DNC")</f>
        <v>5</v>
      </c>
      <c r="K16" s="19" t="str" cm="1">
        <f t="array" aca="1" ref="K16" ca="1">IFERROR(_xlfn.XLOOKUP(Selectivo6[[#This Row],[DNI]],S_S[DNI],INDIRECT("S_S["&amp;Selectivo6[[#Headers],[R6]]&amp;"]")),"60 DNC")</f>
        <v>9</v>
      </c>
      <c r="L16" s="19" t="str" cm="1">
        <f t="array" aca="1" ref="L16" ca="1">IFERROR(_xlfn.XLOOKUP(Selectivo6[[#This Row],[DNI]],S_S[DNI],INDIRECT("S_S["&amp;Selectivo6[[#Headers],[R7]]&amp;"]")),"60 DNC")</f>
        <v>9</v>
      </c>
      <c r="M16" s="19" t="str" cm="1">
        <f t="array" aca="1" ref="M16" ca="1">IFERROR(_xlfn.XLOOKUP(Selectivo6[[#This Row],[DNI]],S_S[DNI],INDIRECT("S_S["&amp;Selectivo6[[#Headers],[R8]]&amp;"]")),"60 DNC")</f>
        <v>9</v>
      </c>
      <c r="N16" s="19" t="str" cm="1">
        <f t="array" aca="1" ref="N16" ca="1">IFERROR(_xlfn.XLOOKUP(Selectivo6[[#This Row],[DNI]],S_S[DNI],INDIRECT("S_S["&amp;Selectivo6[[#Headers],[R9]]&amp;"]")),"60 DNC")</f>
        <v>11</v>
      </c>
      <c r="O16" s="20" t="str">
        <f>IFERROR(_xlfn.XLOOKUP(Selectivo6[[#This Row],[DNI]],_VF2026[DNI],_VF2026[R1]),"65 DNC")</f>
        <v>14</v>
      </c>
      <c r="P16" s="20" t="str">
        <f>IFERROR(_xlfn.XLOOKUP(Selectivo6[[#This Row],[DNI]],_VF2026[DNI],_VF2026[R2]),"65 DNC")</f>
        <v>14</v>
      </c>
      <c r="Q16" s="19" t="str">
        <f>IFERROR(_xlfn.XLOOKUP(Selectivo6[[#This Row],[DNI]],_VF2026[DNI],_VF2026[R3]),"65 DNC")</f>
        <v>7</v>
      </c>
      <c r="R16" s="19" t="str">
        <f>IFERROR(_xlfn.XLOOKUP(Selectivo6[[#This Row],[DNI]],_VF2026[DNI],_VF2026[R4]),"65 DNC")</f>
        <v>5</v>
      </c>
      <c r="S16" s="19" t="str">
        <f>IFERROR(_xlfn.XLOOKUP(Selectivo6[[#This Row],[DNI]],_VF2026[DNI],_VF2026[R5]),"65 DNC")</f>
        <v>4</v>
      </c>
      <c r="T16" s="19" t="str">
        <f>IFERROR(_xlfn.XLOOKUP(Selectivo6[[#This Row],[DNI]],_VF2026[DNI],_VF2026[R6]),"65 DNC")</f>
        <v>8</v>
      </c>
      <c r="U16" s="19" t="str">
        <f>IFERROR(_xlfn.XLOOKUP(Selectivo6[[#This Row],[DNI]],_VF2026[DNI],_VF2026[R7]),"65 DNC")</f>
        <v>2</v>
      </c>
      <c r="V16" s="19" t="str">
        <f>IFERROR(_xlfn.XLOOKUP(Selectivo6[[#This Row],[DNI]],_VF2026[DNI],_VF2026[R8]),"65 DNC")</f>
        <v>5</v>
      </c>
      <c r="W16" s="19"/>
      <c r="X16" s="19"/>
      <c r="Y16" s="19"/>
      <c r="Z16" s="19"/>
      <c r="AA16" s="19"/>
      <c r="AB16" s="8" cm="1">
        <f t="array" aca="1" ref="AB16" ca="1">SUM(IFERROR(VALUE(LEFT(Regatas, FIND(" ",Regatas&amp; " ") - 1)), 0))</f>
        <v>122</v>
      </c>
      <c r="AC16" s="9" cm="1">
        <f t="array" aca="1" ref="AC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94</v>
      </c>
      <c r="AD16" s="6" cm="1">
        <f t="array" aca="1" ref="AD16" ca="1">SMALL(_xlfn._xlws.FILTER(RegatasN, RegatasN&lt;&gt;0), 1)</f>
        <v>2</v>
      </c>
      <c r="AE16" s="6" cm="1">
        <f t="array" aca="1" ref="AE16" ca="1">SMALL(_xlfn._xlws.FILTER(RegatasN, RegatasN&lt;&gt;0), 2)</f>
        <v>3</v>
      </c>
      <c r="AF16" s="6" cm="1">
        <f t="array" aca="1" ref="AF16" ca="1">SMALL(_xlfn._xlws.FILTER(RegatasN, RegatasN&lt;&gt;0), 3)</f>
        <v>4</v>
      </c>
      <c r="AG16" s="5" cm="1">
        <f t="array" aca="1" ref="AG16" ca="1">COUNTIF(Regatas,SMALL(_xlfn._xlws.FILTER(RegatasN, RegatasN&lt;&gt;0), 1))</f>
        <v>1</v>
      </c>
      <c r="AH16" s="6" t="e" cm="1">
        <f t="array" ref="AH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7" spans="1:34">
      <c r="A17">
        <v>51281055</v>
      </c>
      <c r="B17" s="10">
        <f>ROW()-ROW(Selectivo6[[#Headers],[Pos]])</f>
        <v>11</v>
      </c>
      <c r="C17" s="5">
        <v>4246</v>
      </c>
      <c r="D17" t="s">
        <v>193</v>
      </c>
      <c r="E17" t="s">
        <v>17</v>
      </c>
      <c r="F17" s="19" t="str" cm="1">
        <f t="array" aca="1" ref="F17" ca="1">IFERROR(_xlfn.XLOOKUP(Selectivo6[[#This Row],[DNI]],S_S[DNI],INDIRECT("S_S["&amp;Selectivo6[[#Headers],[R1]]&amp;"]")),"60 DNC")</f>
        <v>5</v>
      </c>
      <c r="G17" s="19" t="str" cm="1">
        <f t="array" aca="1" ref="G17" ca="1">IFERROR(_xlfn.XLOOKUP(Selectivo6[[#This Row],[DNI]],S_S[DNI],INDIRECT("S_S["&amp;Selectivo6[[#Headers],[R2]]&amp;"]")),"60 DNC")</f>
        <v>11</v>
      </c>
      <c r="H17" s="19" t="str" cm="1">
        <f t="array" aca="1" ref="H17" ca="1">IFERROR(_xlfn.XLOOKUP(Selectivo6[[#This Row],[DNI]],S_S[DNI],INDIRECT("S_S["&amp;Selectivo6[[#Headers],[R3]]&amp;"]")),"60 DNC")</f>
        <v>11</v>
      </c>
      <c r="I17" s="19" t="str" cm="1">
        <f t="array" aca="1" ref="I17" ca="1">IFERROR(_xlfn.XLOOKUP(Selectivo6[[#This Row],[DNI]],S_S[DNI],INDIRECT("S_S["&amp;Selectivo6[[#Headers],[R4]]&amp;"]")),"60 DNC")</f>
        <v>1</v>
      </c>
      <c r="J17" s="20" t="str" cm="1">
        <f t="array" aca="1" ref="J17" ca="1">IFERROR(_xlfn.XLOOKUP(Selectivo6[[#This Row],[DNI]],S_S[DNI],INDIRECT("S_S["&amp;Selectivo6[[#Headers],[R5]]&amp;"]")),"60 DNC")</f>
        <v>18</v>
      </c>
      <c r="K17" s="19" t="str" cm="1">
        <f t="array" aca="1" ref="K17" ca="1">IFERROR(_xlfn.XLOOKUP(Selectivo6[[#This Row],[DNI]],S_S[DNI],INDIRECT("S_S["&amp;Selectivo6[[#Headers],[R6]]&amp;"]")),"60 DNC")</f>
        <v>5</v>
      </c>
      <c r="L17" s="19" t="str" cm="1">
        <f t="array" aca="1" ref="L17" ca="1">IFERROR(_xlfn.XLOOKUP(Selectivo6[[#This Row],[DNI]],S_S[DNI],INDIRECT("S_S["&amp;Selectivo6[[#Headers],[R7]]&amp;"]")),"60 DNC")</f>
        <v>8</v>
      </c>
      <c r="M17" s="19" t="str" cm="1">
        <f t="array" aca="1" ref="M17" ca="1">IFERROR(_xlfn.XLOOKUP(Selectivo6[[#This Row],[DNI]],S_S[DNI],INDIRECT("S_S["&amp;Selectivo6[[#Headers],[R8]]&amp;"]")),"60 DNC")</f>
        <v>5</v>
      </c>
      <c r="N17" s="19" t="str" cm="1">
        <f t="array" aca="1" ref="N17" ca="1">IFERROR(_xlfn.XLOOKUP(Selectivo6[[#This Row],[DNI]],S_S[DNI],INDIRECT("S_S["&amp;Selectivo6[[#Headers],[R9]]&amp;"]")),"60 DNC")</f>
        <v>7</v>
      </c>
      <c r="O17" s="20" t="str">
        <f>IFERROR(_xlfn.XLOOKUP(Selectivo6[[#This Row],[DNI]],_VF2026[DNI],_VF2026[R1]),"65 DNC")</f>
        <v>12</v>
      </c>
      <c r="P17" s="19" t="str">
        <f>IFERROR(_xlfn.XLOOKUP(Selectivo6[[#This Row],[DNI]],_VF2026[DNI],_VF2026[R2]),"65 DNC")</f>
        <v>3</v>
      </c>
      <c r="Q17" s="19" t="str">
        <f>IFERROR(_xlfn.XLOOKUP(Selectivo6[[#This Row],[DNI]],_VF2026[DNI],_VF2026[R3]),"65 DNC")</f>
        <v>11</v>
      </c>
      <c r="R17" s="19" t="str">
        <f>IFERROR(_xlfn.XLOOKUP(Selectivo6[[#This Row],[DNI]],_VF2026[DNI],_VF2026[R4]),"65 DNC")</f>
        <v>7</v>
      </c>
      <c r="S17" s="19" t="str">
        <f>IFERROR(_xlfn.XLOOKUP(Selectivo6[[#This Row],[DNI]],_VF2026[DNI],_VF2026[R5]),"65 DNC")</f>
        <v>7</v>
      </c>
      <c r="T17" s="19" t="str">
        <f>IFERROR(_xlfn.XLOOKUP(Selectivo6[[#This Row],[DNI]],_VF2026[DNI],_VF2026[R6]),"65 DNC")</f>
        <v>5</v>
      </c>
      <c r="U17" s="19" t="str">
        <f>IFERROR(_xlfn.XLOOKUP(Selectivo6[[#This Row],[DNI]],_VF2026[DNI],_VF2026[R7]),"65 DNC")</f>
        <v>7</v>
      </c>
      <c r="V17" s="19" t="str">
        <f>IFERROR(_xlfn.XLOOKUP(Selectivo6[[#This Row],[DNI]],_VF2026[DNI],_VF2026[R8]),"65 DNC")</f>
        <v>7</v>
      </c>
      <c r="W17" s="19"/>
      <c r="X17" s="19"/>
      <c r="Y17" s="19"/>
      <c r="Z17" s="19"/>
      <c r="AA17" s="19"/>
      <c r="AB17" s="8" cm="1">
        <f t="array" aca="1" ref="AB17" ca="1">SUM(IFERROR(VALUE(LEFT(Regatas, FIND(" ",Regatas&amp; " ") - 1)), 0))</f>
        <v>130</v>
      </c>
      <c r="AC17" s="9" cm="1">
        <f t="array" aca="1" ref="AC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100</v>
      </c>
      <c r="AD17" s="6" cm="1">
        <f t="array" aca="1" ref="AD17" ca="1">SMALL(_xlfn._xlws.FILTER(RegatasN, RegatasN&lt;&gt;0), 1)</f>
        <v>1</v>
      </c>
      <c r="AE17" s="6" cm="1">
        <f t="array" aca="1" ref="AE17" ca="1">SMALL(_xlfn._xlws.FILTER(RegatasN, RegatasN&lt;&gt;0), 2)</f>
        <v>3</v>
      </c>
      <c r="AF17" s="6" cm="1">
        <f t="array" aca="1" ref="AF17" ca="1">SMALL(_xlfn._xlws.FILTER(RegatasN, RegatasN&lt;&gt;0), 3)</f>
        <v>5</v>
      </c>
      <c r="AG17" s="5" cm="1">
        <f t="array" aca="1" ref="AG17" ca="1">COUNTIF(Regatas,SMALL(_xlfn._xlws.FILTER(RegatasN, RegatasN&lt;&gt;0), 1))</f>
        <v>1</v>
      </c>
      <c r="AH17" s="6" t="e" cm="1">
        <f t="array" ref="AH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8" spans="1:34">
      <c r="A18">
        <v>51267743</v>
      </c>
      <c r="B18" s="10">
        <f>ROW()-ROW(Selectivo6[[#Headers],[Pos]])</f>
        <v>12</v>
      </c>
      <c r="C18" s="5">
        <v>4214</v>
      </c>
      <c r="D18" t="s">
        <v>203</v>
      </c>
      <c r="E18" t="s">
        <v>5</v>
      </c>
      <c r="F18" s="19" t="str" cm="1">
        <f t="array" aca="1" ref="F18" ca="1">IFERROR(_xlfn.XLOOKUP(Selectivo6[[#This Row],[DNI]],S_S[DNI],INDIRECT("S_S["&amp;Selectivo6[[#Headers],[R1]]&amp;"]")),"60 DNC")</f>
        <v>17</v>
      </c>
      <c r="G18" s="19" t="str" cm="1">
        <f t="array" aca="1" ref="G18" ca="1">IFERROR(_xlfn.XLOOKUP(Selectivo6[[#This Row],[DNI]],S_S[DNI],INDIRECT("S_S["&amp;Selectivo6[[#Headers],[R2]]&amp;"]")),"60 DNC")</f>
        <v>7</v>
      </c>
      <c r="H18" s="19" t="str" cm="1">
        <f t="array" aca="1" ref="H18" ca="1">IFERROR(_xlfn.XLOOKUP(Selectivo6[[#This Row],[DNI]],S_S[DNI],INDIRECT("S_S["&amp;Selectivo6[[#Headers],[R3]]&amp;"]")),"60 DNC")</f>
        <v>18</v>
      </c>
      <c r="I18" s="19" t="str" cm="1">
        <f t="array" aca="1" ref="I18" ca="1">IFERROR(_xlfn.XLOOKUP(Selectivo6[[#This Row],[DNI]],S_S[DNI],INDIRECT("S_S["&amp;Selectivo6[[#Headers],[R4]]&amp;"]")),"60 DNC")</f>
        <v>9</v>
      </c>
      <c r="J18" s="19" t="str" cm="1">
        <f t="array" aca="1" ref="J18" ca="1">IFERROR(_xlfn.XLOOKUP(Selectivo6[[#This Row],[DNI]],S_S[DNI],INDIRECT("S_S["&amp;Selectivo6[[#Headers],[R5]]&amp;"]")),"60 DNC")</f>
        <v>1</v>
      </c>
      <c r="K18" s="19" t="str" cm="1">
        <f t="array" aca="1" ref="K18" ca="1">IFERROR(_xlfn.XLOOKUP(Selectivo6[[#This Row],[DNI]],S_S[DNI],INDIRECT("S_S["&amp;Selectivo6[[#Headers],[R6]]&amp;"]")),"60 DNC")</f>
        <v>13</v>
      </c>
      <c r="L18" s="19" t="str" cm="1">
        <f t="array" aca="1" ref="L18" ca="1">IFERROR(_xlfn.XLOOKUP(Selectivo6[[#This Row],[DNI]],S_S[DNI],INDIRECT("S_S["&amp;Selectivo6[[#Headers],[R7]]&amp;"]")),"60 DNC")</f>
        <v>4</v>
      </c>
      <c r="M18" s="19" t="str" cm="1">
        <f t="array" aca="1" ref="M18" ca="1">IFERROR(_xlfn.XLOOKUP(Selectivo6[[#This Row],[DNI]],S_S[DNI],INDIRECT("S_S["&amp;Selectivo6[[#Headers],[R8]]&amp;"]")),"60 DNC")</f>
        <v>2</v>
      </c>
      <c r="N18" s="19" t="str" cm="1">
        <f t="array" aca="1" ref="N18" ca="1">IFERROR(_xlfn.XLOOKUP(Selectivo6[[#This Row],[DNI]],S_S[DNI],INDIRECT("S_S["&amp;Selectivo6[[#Headers],[R9]]&amp;"]")),"60 DNC")</f>
        <v>5</v>
      </c>
      <c r="O18" s="20" t="str">
        <f>IFERROR(_xlfn.XLOOKUP(Selectivo6[[#This Row],[DNI]],_VF2026[DNI],_VF2026[R1]),"65 DNC")</f>
        <v>24</v>
      </c>
      <c r="P18" s="19" t="str">
        <f>IFERROR(_xlfn.XLOOKUP(Selectivo6[[#This Row],[DNI]],_VF2026[DNI],_VF2026[R2]),"65 DNC")</f>
        <v>12</v>
      </c>
      <c r="Q18" s="19" t="str">
        <f>IFERROR(_xlfn.XLOOKUP(Selectivo6[[#This Row],[DNI]],_VF2026[DNI],_VF2026[R3]),"65 DNC")</f>
        <v>2</v>
      </c>
      <c r="R18" s="19" t="str">
        <f>IFERROR(_xlfn.XLOOKUP(Selectivo6[[#This Row],[DNI]],_VF2026[DNI],_VF2026[R4]),"65 DNC")</f>
        <v>2</v>
      </c>
      <c r="S18" s="19" t="str">
        <f>IFERROR(_xlfn.XLOOKUP(Selectivo6[[#This Row],[DNI]],_VF2026[DNI],_VF2026[R5]),"65 DNC")</f>
        <v>3</v>
      </c>
      <c r="T18" s="19" t="str">
        <f>IFERROR(_xlfn.XLOOKUP(Selectivo6[[#This Row],[DNI]],_VF2026[DNI],_VF2026[R6]),"65 DNC")</f>
        <v>10</v>
      </c>
      <c r="U18" s="19" t="str">
        <f>IFERROR(_xlfn.XLOOKUP(Selectivo6[[#This Row],[DNI]],_VF2026[DNI],_VF2026[R7]),"65 DNC")</f>
        <v>3</v>
      </c>
      <c r="V18" s="20" t="str">
        <f>IFERROR(_xlfn.XLOOKUP(Selectivo6[[#This Row],[DNI]],_VF2026[DNI],_VF2026[R8]),"65 DNC")</f>
        <v>65 BFD</v>
      </c>
      <c r="W18" s="19"/>
      <c r="X18" s="19"/>
      <c r="Y18" s="19"/>
      <c r="Z18" s="19"/>
      <c r="AA18" s="19"/>
      <c r="AB18" s="8" cm="1">
        <f t="array" aca="1" ref="AB18" ca="1">SUM(IFERROR(VALUE(LEFT(Regatas, FIND(" ",Regatas&amp; " ") - 1)), 0))</f>
        <v>197</v>
      </c>
      <c r="AC18" s="9" cm="1">
        <f t="array" aca="1" ref="AC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108</v>
      </c>
      <c r="AD18" s="6" cm="1">
        <f t="array" aca="1" ref="AD18" ca="1">SMALL(_xlfn._xlws.FILTER(RegatasN, RegatasN&lt;&gt;0), 1)</f>
        <v>1</v>
      </c>
      <c r="AE18" s="6" cm="1">
        <f t="array" aca="1" ref="AE18" ca="1">SMALL(_xlfn._xlws.FILTER(RegatasN, RegatasN&lt;&gt;0), 2)</f>
        <v>2</v>
      </c>
      <c r="AF18" s="6" cm="1">
        <f t="array" aca="1" ref="AF18" ca="1">SMALL(_xlfn._xlws.FILTER(RegatasN, RegatasN&lt;&gt;0), 3)</f>
        <v>2</v>
      </c>
      <c r="AG18" s="5" cm="1">
        <f t="array" aca="1" ref="AG18" ca="1">COUNTIF(Regatas,SMALL(_xlfn._xlws.FILTER(RegatasN, RegatasN&lt;&gt;0), 1))</f>
        <v>1</v>
      </c>
      <c r="AH18" s="6" t="e" cm="1">
        <f t="array" ref="AH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9" spans="1:34">
      <c r="A19">
        <v>51121535</v>
      </c>
      <c r="B19" s="10">
        <f>ROW()-ROW(Selectivo6[[#Headers],[Pos]])</f>
        <v>13</v>
      </c>
      <c r="C19" s="5">
        <v>4228</v>
      </c>
      <c r="D19" t="s">
        <v>195</v>
      </c>
      <c r="E19" t="s">
        <v>26</v>
      </c>
      <c r="F19" s="19" t="str" cm="1">
        <f t="array" aca="1" ref="F19" ca="1">IFERROR(_xlfn.XLOOKUP(Selectivo6[[#This Row],[DNI]],S_S[DNI],INDIRECT("S_S["&amp;Selectivo6[[#Headers],[R1]]&amp;"]")),"60 DNC")</f>
        <v>5</v>
      </c>
      <c r="G19" s="19" t="str" cm="1">
        <f t="array" aca="1" ref="G19" ca="1">IFERROR(_xlfn.XLOOKUP(Selectivo6[[#This Row],[DNI]],S_S[DNI],INDIRECT("S_S["&amp;Selectivo6[[#Headers],[R2]]&amp;"]")),"60 DNC")</f>
        <v>5</v>
      </c>
      <c r="H19" s="19" t="str" cm="1">
        <f t="array" aca="1" ref="H19" ca="1">IFERROR(_xlfn.XLOOKUP(Selectivo6[[#This Row],[DNI]],S_S[DNI],INDIRECT("S_S["&amp;Selectivo6[[#Headers],[R3]]&amp;"]")),"60 DNC")</f>
        <v>5</v>
      </c>
      <c r="I19" s="19" t="str" cm="1">
        <f t="array" aca="1" ref="I19" ca="1">IFERROR(_xlfn.XLOOKUP(Selectivo6[[#This Row],[DNI]],S_S[DNI],INDIRECT("S_S["&amp;Selectivo6[[#Headers],[R4]]&amp;"]")),"60 DNC")</f>
        <v>8</v>
      </c>
      <c r="J19" s="20" t="str" cm="1">
        <f t="array" aca="1" ref="J19" ca="1">IFERROR(_xlfn.XLOOKUP(Selectivo6[[#This Row],[DNI]],S_S[DNI],INDIRECT("S_S["&amp;Selectivo6[[#Headers],[R5]]&amp;"]")),"60 DNC")</f>
        <v>40</v>
      </c>
      <c r="K19" s="19" t="str" cm="1">
        <f t="array" aca="1" ref="K19" ca="1">IFERROR(_xlfn.XLOOKUP(Selectivo6[[#This Row],[DNI]],S_S[DNI],INDIRECT("S_S["&amp;Selectivo6[[#Headers],[R6]]&amp;"]")),"60 DNC")</f>
        <v>13</v>
      </c>
      <c r="L19" s="19" t="str" cm="1">
        <f t="array" aca="1" ref="L19" ca="1">IFERROR(_xlfn.XLOOKUP(Selectivo6[[#This Row],[DNI]],S_S[DNI],INDIRECT("S_S["&amp;Selectivo6[[#Headers],[R7]]&amp;"]")),"60 DNC")</f>
        <v>4</v>
      </c>
      <c r="M19" s="19" t="str" cm="1">
        <f t="array" aca="1" ref="M19" ca="1">IFERROR(_xlfn.XLOOKUP(Selectivo6[[#This Row],[DNI]],S_S[DNI],INDIRECT("S_S["&amp;Selectivo6[[#Headers],[R8]]&amp;"]")),"60 DNC")</f>
        <v>13</v>
      </c>
      <c r="N19" s="19" t="str" cm="1">
        <f t="array" aca="1" ref="N19" ca="1">IFERROR(_xlfn.XLOOKUP(Selectivo6[[#This Row],[DNI]],S_S[DNI],INDIRECT("S_S["&amp;Selectivo6[[#Headers],[R9]]&amp;"]")),"60 DNC")</f>
        <v>2</v>
      </c>
      <c r="O19" s="19" t="str">
        <f>IFERROR(_xlfn.XLOOKUP(Selectivo6[[#This Row],[DNI]],_VF2026[DNI],_VF2026[R1]),"65 DNC")</f>
        <v>5</v>
      </c>
      <c r="P19" s="19" t="str">
        <f>IFERROR(_xlfn.XLOOKUP(Selectivo6[[#This Row],[DNI]],_VF2026[DNI],_VF2026[R2]),"65 DNC")</f>
        <v>2</v>
      </c>
      <c r="Q19" s="19" t="str">
        <f>IFERROR(_xlfn.XLOOKUP(Selectivo6[[#This Row],[DNI]],_VF2026[DNI],_VF2026[R3]),"65 DNC")</f>
        <v>7</v>
      </c>
      <c r="R19" s="19" t="str">
        <f>IFERROR(_xlfn.XLOOKUP(Selectivo6[[#This Row],[DNI]],_VF2026[DNI],_VF2026[R4]),"65 DNC")</f>
        <v>5</v>
      </c>
      <c r="S19" s="19" t="str">
        <f>IFERROR(_xlfn.XLOOKUP(Selectivo6[[#This Row],[DNI]],_VF2026[DNI],_VF2026[R5]),"65 DNC")</f>
        <v>6</v>
      </c>
      <c r="T19" s="19" t="str">
        <f>IFERROR(_xlfn.XLOOKUP(Selectivo6[[#This Row],[DNI]],_VF2026[DNI],_VF2026[R6]),"65 DNC")</f>
        <v>14</v>
      </c>
      <c r="U19" s="19" t="str">
        <f>IFERROR(_xlfn.XLOOKUP(Selectivo6[[#This Row],[DNI]],_VF2026[DNI],_VF2026[R7]),"65 DNC")</f>
        <v>16</v>
      </c>
      <c r="V19" s="20" t="str">
        <f>IFERROR(_xlfn.XLOOKUP(Selectivo6[[#This Row],[DNI]],_VF2026[DNI],_VF2026[R8]),"65 DNC")</f>
        <v>24</v>
      </c>
      <c r="W19" s="19"/>
      <c r="X19" s="19"/>
      <c r="Y19" s="19"/>
      <c r="Z19" s="19"/>
      <c r="AA19" s="19"/>
      <c r="AB19" s="8" cm="1">
        <f t="array" aca="1" ref="AB19" ca="1">SUM(IFERROR(VALUE(LEFT(Regatas, FIND(" ",Regatas&amp; " ") - 1)), 0))</f>
        <v>174</v>
      </c>
      <c r="AC19" s="9" cm="1">
        <f t="array" aca="1" ref="AC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110</v>
      </c>
      <c r="AD19" s="6" cm="1">
        <f t="array" aca="1" ref="AD19" ca="1">SMALL(_xlfn._xlws.FILTER(RegatasN, RegatasN&lt;&gt;0), 1)</f>
        <v>2</v>
      </c>
      <c r="AE19" s="6" cm="1">
        <f t="array" aca="1" ref="AE19" ca="1">SMALL(_xlfn._xlws.FILTER(RegatasN, RegatasN&lt;&gt;0), 2)</f>
        <v>2</v>
      </c>
      <c r="AF19" s="6" cm="1">
        <f t="array" aca="1" ref="AF19" ca="1">SMALL(_xlfn._xlws.FILTER(RegatasN, RegatasN&lt;&gt;0), 3)</f>
        <v>4</v>
      </c>
      <c r="AG19" s="5" cm="1">
        <f t="array" aca="1" ref="AG19" ca="1">COUNTIF(Regatas,SMALL(_xlfn._xlws.FILTER(RegatasN, RegatasN&lt;&gt;0), 1))</f>
        <v>2</v>
      </c>
      <c r="AH19" s="6" t="e" cm="1">
        <f t="array" ref="AH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0" spans="1:34">
      <c r="A20">
        <v>52454232</v>
      </c>
      <c r="B20" s="10">
        <f>ROW()-ROW(Selectivo6[[#Headers],[Pos]])</f>
        <v>14</v>
      </c>
      <c r="C20" s="5">
        <v>4205</v>
      </c>
      <c r="D20" t="s">
        <v>167</v>
      </c>
      <c r="E20" t="s">
        <v>5</v>
      </c>
      <c r="F20" s="20" t="str" cm="1">
        <f t="array" aca="1" ref="F20" ca="1">IFERROR(_xlfn.XLOOKUP(Selectivo6[[#This Row],[DNI]],S_S[DNI],INDIRECT("S_S["&amp;Selectivo6[[#Headers],[R1]]&amp;"]")),"60 DNC")</f>
        <v>22</v>
      </c>
      <c r="G20" s="19" t="str" cm="1">
        <f t="array" aca="1" ref="G20" ca="1">IFERROR(_xlfn.XLOOKUP(Selectivo6[[#This Row],[DNI]],S_S[DNI],INDIRECT("S_S["&amp;Selectivo6[[#Headers],[R2]]&amp;"]")),"60 DNC")</f>
        <v>3</v>
      </c>
      <c r="H20" s="19" t="str" cm="1">
        <f t="array" aca="1" ref="H20" ca="1">IFERROR(_xlfn.XLOOKUP(Selectivo6[[#This Row],[DNI]],S_S[DNI],INDIRECT("S_S["&amp;Selectivo6[[#Headers],[R3]]&amp;"]")),"60 DNC")</f>
        <v>1</v>
      </c>
      <c r="I20" s="19" t="str" cm="1">
        <f t="array" aca="1" ref="I20" ca="1">IFERROR(_xlfn.XLOOKUP(Selectivo6[[#This Row],[DNI]],S_S[DNI],INDIRECT("S_S["&amp;Selectivo6[[#Headers],[R4]]&amp;"]")),"60 DNC")</f>
        <v>5</v>
      </c>
      <c r="J20" s="19" t="str" cm="1">
        <f t="array" aca="1" ref="J20" ca="1">IFERROR(_xlfn.XLOOKUP(Selectivo6[[#This Row],[DNI]],S_S[DNI],INDIRECT("S_S["&amp;Selectivo6[[#Headers],[R5]]&amp;"]")),"60 DNC")</f>
        <v>1</v>
      </c>
      <c r="K20" s="19" t="str" cm="1">
        <f t="array" aca="1" ref="K20" ca="1">IFERROR(_xlfn.XLOOKUP(Selectivo6[[#This Row],[DNI]],S_S[DNI],INDIRECT("S_S["&amp;Selectivo6[[#Headers],[R6]]&amp;"]")),"60 DNC")</f>
        <v>2</v>
      </c>
      <c r="L20" s="19" t="str" cm="1">
        <f t="array" aca="1" ref="L20" ca="1">IFERROR(_xlfn.XLOOKUP(Selectivo6[[#This Row],[DNI]],S_S[DNI],INDIRECT("S_S["&amp;Selectivo6[[#Headers],[R7]]&amp;"]")),"60 DNC")</f>
        <v>7</v>
      </c>
      <c r="M20" s="19" t="str" cm="1">
        <f t="array" aca="1" ref="M20" ca="1">IFERROR(_xlfn.XLOOKUP(Selectivo6[[#This Row],[DNI]],S_S[DNI],INDIRECT("S_S["&amp;Selectivo6[[#Headers],[R8]]&amp;"]")),"60 DNC")</f>
        <v>3</v>
      </c>
      <c r="N20" s="19" t="str" cm="1">
        <f t="array" aca="1" ref="N20" ca="1">IFERROR(_xlfn.XLOOKUP(Selectivo6[[#This Row],[DNI]],S_S[DNI],INDIRECT("S_S["&amp;Selectivo6[[#Headers],[R9]]&amp;"]")),"60 DNC")</f>
        <v>19</v>
      </c>
      <c r="O20" s="19" t="str">
        <f>IFERROR(_xlfn.XLOOKUP(Selectivo6[[#This Row],[DNI]],_VF2026[DNI],_VF2026[R1]),"65 DNC")</f>
        <v>11</v>
      </c>
      <c r="P20" s="19" t="str">
        <f>IFERROR(_xlfn.XLOOKUP(Selectivo6[[#This Row],[DNI]],_VF2026[DNI],_VF2026[R2]),"65 DNC")</f>
        <v>10</v>
      </c>
      <c r="Q20" s="19" t="str">
        <f>IFERROR(_xlfn.XLOOKUP(Selectivo6[[#This Row],[DNI]],_VF2026[DNI],_VF2026[R3]),"65 DNC")</f>
        <v>13</v>
      </c>
      <c r="R20" s="19" t="str">
        <f>IFERROR(_xlfn.XLOOKUP(Selectivo6[[#This Row],[DNI]],_VF2026[DNI],_VF2026[R4]),"65 DNC")</f>
        <v>10</v>
      </c>
      <c r="S20" s="19" t="str">
        <f>IFERROR(_xlfn.XLOOKUP(Selectivo6[[#This Row],[DNI]],_VF2026[DNI],_VF2026[R5]),"65 DNC")</f>
        <v>4</v>
      </c>
      <c r="T20" s="19" t="str">
        <f>IFERROR(_xlfn.XLOOKUP(Selectivo6[[#This Row],[DNI]],_VF2026[DNI],_VF2026[R6]),"65 DNC")</f>
        <v>1</v>
      </c>
      <c r="U20" s="20" t="str">
        <f>IFERROR(_xlfn.XLOOKUP(Selectivo6[[#This Row],[DNI]],_VF2026[DNI],_VF2026[R7]),"65 DNC")</f>
        <v>65 BFD</v>
      </c>
      <c r="V20" s="19" t="str">
        <f>IFERROR(_xlfn.XLOOKUP(Selectivo6[[#This Row],[DNI]],_VF2026[DNI],_VF2026[R8]),"65 DNC")</f>
        <v>22</v>
      </c>
      <c r="W20" s="19"/>
      <c r="X20" s="19"/>
      <c r="Y20" s="19"/>
      <c r="Z20" s="19"/>
      <c r="AA20" s="19"/>
      <c r="AB20" s="8" cm="1">
        <f t="array" aca="1" ref="AB20" ca="1">SUM(IFERROR(VALUE(LEFT(Regatas, FIND(" ",Regatas&amp; " ") - 1)), 0))</f>
        <v>199</v>
      </c>
      <c r="AC20" s="9" cm="1">
        <f t="array" aca="1" ref="AC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112</v>
      </c>
      <c r="AD20" s="6" cm="1">
        <f t="array" aca="1" ref="AD20" ca="1">SMALL(_xlfn._xlws.FILTER(RegatasN, RegatasN&lt;&gt;0), 1)</f>
        <v>1</v>
      </c>
      <c r="AE20" s="6" cm="1">
        <f t="array" aca="1" ref="AE20" ca="1">SMALL(_xlfn._xlws.FILTER(RegatasN, RegatasN&lt;&gt;0), 2)</f>
        <v>1</v>
      </c>
      <c r="AF20" s="6" cm="1">
        <f t="array" aca="1" ref="AF20" ca="1">SMALL(_xlfn._xlws.FILTER(RegatasN, RegatasN&lt;&gt;0), 3)</f>
        <v>1</v>
      </c>
      <c r="AG20" s="5" cm="1">
        <f t="array" aca="1" ref="AG20" ca="1">COUNTIF(Regatas,SMALL(_xlfn._xlws.FILTER(RegatasN, RegatasN&lt;&gt;0), 1))</f>
        <v>3</v>
      </c>
      <c r="AH20" s="6" t="e" cm="1">
        <f t="array" ref="AH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1" spans="1:34">
      <c r="A21">
        <v>50671157</v>
      </c>
      <c r="B21" s="10">
        <f>ROW()-ROW(Selectivo6[[#Headers],[Pos]])</f>
        <v>15</v>
      </c>
      <c r="C21" s="5">
        <v>4192</v>
      </c>
      <c r="D21" t="s">
        <v>201</v>
      </c>
      <c r="E21" t="s">
        <v>22</v>
      </c>
      <c r="F21" s="19" t="str" cm="1">
        <f t="array" aca="1" ref="F21" ca="1">IFERROR(_xlfn.XLOOKUP(Selectivo6[[#This Row],[DNI]],S_S[DNI],INDIRECT("S_S["&amp;Selectivo6[[#Headers],[R1]]&amp;"]")),"60 DNC")</f>
        <v>4</v>
      </c>
      <c r="G21" s="19" t="str" cm="1">
        <f t="array" aca="1" ref="G21" ca="1">IFERROR(_xlfn.XLOOKUP(Selectivo6[[#This Row],[DNI]],S_S[DNI],INDIRECT("S_S["&amp;Selectivo6[[#Headers],[R2]]&amp;"]")),"60 DNC")</f>
        <v>10</v>
      </c>
      <c r="H21" s="19" t="str" cm="1">
        <f t="array" aca="1" ref="H21" ca="1">IFERROR(_xlfn.XLOOKUP(Selectivo6[[#This Row],[DNI]],S_S[DNI],INDIRECT("S_S["&amp;Selectivo6[[#Headers],[R3]]&amp;"]")),"60 DNC")</f>
        <v>15</v>
      </c>
      <c r="I21" s="19" t="str" cm="1">
        <f t="array" aca="1" ref="I21" ca="1">IFERROR(_xlfn.XLOOKUP(Selectivo6[[#This Row],[DNI]],S_S[DNI],INDIRECT("S_S["&amp;Selectivo6[[#Headers],[R4]]&amp;"]")),"60 DNC")</f>
        <v>8</v>
      </c>
      <c r="J21" s="19" t="str" cm="1">
        <f t="array" aca="1" ref="J21" ca="1">IFERROR(_xlfn.XLOOKUP(Selectivo6[[#This Row],[DNI]],S_S[DNI],INDIRECT("S_S["&amp;Selectivo6[[#Headers],[R5]]&amp;"]")),"60 DNC")</f>
        <v>7</v>
      </c>
      <c r="K21" s="19" t="str" cm="1">
        <f t="array" aca="1" ref="K21" ca="1">IFERROR(_xlfn.XLOOKUP(Selectivo6[[#This Row],[DNI]],S_S[DNI],INDIRECT("S_S["&amp;Selectivo6[[#Headers],[R6]]&amp;"]")),"60 DNC")</f>
        <v>12</v>
      </c>
      <c r="L21" s="19" t="str" cm="1">
        <f t="array" aca="1" ref="L21" ca="1">IFERROR(_xlfn.XLOOKUP(Selectivo6[[#This Row],[DNI]],S_S[DNI],INDIRECT("S_S["&amp;Selectivo6[[#Headers],[R7]]&amp;"]")),"60 DNC")</f>
        <v>5</v>
      </c>
      <c r="M21" s="19" t="str" cm="1">
        <f t="array" aca="1" ref="M21" ca="1">IFERROR(_xlfn.XLOOKUP(Selectivo6[[#This Row],[DNI]],S_S[DNI],INDIRECT("S_S["&amp;Selectivo6[[#Headers],[R8]]&amp;"]")),"60 DNC")</f>
        <v>9</v>
      </c>
      <c r="N21" s="19" t="str" cm="1">
        <f t="array" aca="1" ref="N21" ca="1">IFERROR(_xlfn.XLOOKUP(Selectivo6[[#This Row],[DNI]],S_S[DNI],INDIRECT("S_S["&amp;Selectivo6[[#Headers],[R9]]&amp;"]")),"60 DNC")</f>
        <v>2</v>
      </c>
      <c r="O21" s="19" t="str">
        <f>IFERROR(_xlfn.XLOOKUP(Selectivo6[[#This Row],[DNI]],_VF2026[DNI],_VF2026[R1]),"65 DNC")</f>
        <v>3</v>
      </c>
      <c r="P21" s="19" t="str">
        <f>IFERROR(_xlfn.XLOOKUP(Selectivo6[[#This Row],[DNI]],_VF2026[DNI],_VF2026[R2]),"65 DNC")</f>
        <v>9</v>
      </c>
      <c r="Q21" s="19" t="str">
        <f>IFERROR(_xlfn.XLOOKUP(Selectivo6[[#This Row],[DNI]],_VF2026[DNI],_VF2026[R3]),"65 DNC")</f>
        <v>15</v>
      </c>
      <c r="R21" s="20" t="str">
        <f>IFERROR(_xlfn.XLOOKUP(Selectivo6[[#This Row],[DNI]],_VF2026[DNI],_VF2026[R4]),"65 DNC")</f>
        <v>24</v>
      </c>
      <c r="S21" s="19" t="str">
        <f>IFERROR(_xlfn.XLOOKUP(Selectivo6[[#This Row],[DNI]],_VF2026[DNI],_VF2026[R5]),"65 DNC")</f>
        <v>2</v>
      </c>
      <c r="T21" s="19" t="str">
        <f>IFERROR(_xlfn.XLOOKUP(Selectivo6[[#This Row],[DNI]],_VF2026[DNI],_VF2026[R6]),"65 DNC")</f>
        <v>13</v>
      </c>
      <c r="U21" s="20" t="str">
        <f>IFERROR(_xlfn.XLOOKUP(Selectivo6[[#This Row],[DNI]],_VF2026[DNI],_VF2026[R7]),"65 DNC")</f>
        <v>16</v>
      </c>
      <c r="V21" s="19" t="str">
        <f>IFERROR(_xlfn.XLOOKUP(Selectivo6[[#This Row],[DNI]],_VF2026[DNI],_VF2026[R8]),"65 DNC")</f>
        <v>3</v>
      </c>
      <c r="W21" s="19"/>
      <c r="X21" s="19"/>
      <c r="Y21" s="19"/>
      <c r="Z21" s="19"/>
      <c r="AA21" s="19"/>
      <c r="AB21" s="8" cm="1">
        <f t="array" aca="1" ref="AB21" ca="1">SUM(IFERROR(VALUE(LEFT(Regatas, FIND(" ",Regatas&amp; " ") - 1)), 0))</f>
        <v>157</v>
      </c>
      <c r="AC21" s="9" cm="1">
        <f t="array" aca="1" ref="AC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117</v>
      </c>
      <c r="AD21" s="6" cm="1">
        <f t="array" aca="1" ref="AD21" ca="1">SMALL(_xlfn._xlws.FILTER(RegatasN, RegatasN&lt;&gt;0), 1)</f>
        <v>2</v>
      </c>
      <c r="AE21" s="6" cm="1">
        <f t="array" aca="1" ref="AE21" ca="1">SMALL(_xlfn._xlws.FILTER(RegatasN, RegatasN&lt;&gt;0), 2)</f>
        <v>2</v>
      </c>
      <c r="AF21" s="6" cm="1">
        <f t="array" aca="1" ref="AF21" ca="1">SMALL(_xlfn._xlws.FILTER(RegatasN, RegatasN&lt;&gt;0), 3)</f>
        <v>3</v>
      </c>
      <c r="AG21" s="5" cm="1">
        <f t="array" aca="1" ref="AG21" ca="1">COUNTIF(Regatas,SMALL(_xlfn._xlws.FILTER(RegatasN, RegatasN&lt;&gt;0), 1))</f>
        <v>2</v>
      </c>
      <c r="AH21" s="6" t="e" cm="1">
        <f t="array" ref="AH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2" spans="1:34">
      <c r="A22">
        <v>51429146</v>
      </c>
      <c r="B22" s="10">
        <f>ROW()-ROW(Selectivo6[[#Headers],[Pos]])</f>
        <v>16</v>
      </c>
      <c r="C22" s="5">
        <v>4247</v>
      </c>
      <c r="D22" t="s">
        <v>212</v>
      </c>
      <c r="E22" t="s">
        <v>16</v>
      </c>
      <c r="F22" s="19" t="str" cm="1">
        <f t="array" aca="1" ref="F22" ca="1">IFERROR(_xlfn.XLOOKUP(Selectivo6[[#This Row],[DNI]],S_S[DNI],INDIRECT("S_S["&amp;Selectivo6[[#Headers],[R1]]&amp;"]")),"60 DNC")</f>
        <v>13</v>
      </c>
      <c r="G22" s="19" t="str" cm="1">
        <f t="array" aca="1" ref="G22" ca="1">IFERROR(_xlfn.XLOOKUP(Selectivo6[[#This Row],[DNI]],S_S[DNI],INDIRECT("S_S["&amp;Selectivo6[[#Headers],[R2]]&amp;"]")),"60 DNC")</f>
        <v>10</v>
      </c>
      <c r="H22" s="19" t="str" cm="1">
        <f t="array" aca="1" ref="H22" ca="1">IFERROR(_xlfn.XLOOKUP(Selectivo6[[#This Row],[DNI]],S_S[DNI],INDIRECT("S_S["&amp;Selectivo6[[#Headers],[R3]]&amp;"]")),"60 DNC")</f>
        <v>5</v>
      </c>
      <c r="I22" s="19" t="str" cm="1">
        <f t="array" aca="1" ref="I22" ca="1">IFERROR(_xlfn.XLOOKUP(Selectivo6[[#This Row],[DNI]],S_S[DNI],INDIRECT("S_S["&amp;Selectivo6[[#Headers],[R4]]&amp;"]")),"60 DNC")</f>
        <v>10</v>
      </c>
      <c r="J22" s="19" t="str" cm="1">
        <f t="array" aca="1" ref="J22" ca="1">IFERROR(_xlfn.XLOOKUP(Selectivo6[[#This Row],[DNI]],S_S[DNI],INDIRECT("S_S["&amp;Selectivo6[[#Headers],[R5]]&amp;"]")),"60 DNC")</f>
        <v>8</v>
      </c>
      <c r="K22" s="19" t="str" cm="1">
        <f t="array" aca="1" ref="K22" ca="1">IFERROR(_xlfn.XLOOKUP(Selectivo6[[#This Row],[DNI]],S_S[DNI],INDIRECT("S_S["&amp;Selectivo6[[#Headers],[R6]]&amp;"]")),"60 DNC")</f>
        <v>7</v>
      </c>
      <c r="L22" s="19" t="str" cm="1">
        <f t="array" aca="1" ref="L22" ca="1">IFERROR(_xlfn.XLOOKUP(Selectivo6[[#This Row],[DNI]],S_S[DNI],INDIRECT("S_S["&amp;Selectivo6[[#Headers],[R7]]&amp;"]")),"60 DNC")</f>
        <v>14</v>
      </c>
      <c r="M22" s="19" t="str" cm="1">
        <f t="array" aca="1" ref="M22" ca="1">IFERROR(_xlfn.XLOOKUP(Selectivo6[[#This Row],[DNI]],S_S[DNI],INDIRECT("S_S["&amp;Selectivo6[[#Headers],[R8]]&amp;"]")),"60 DNC")</f>
        <v>6</v>
      </c>
      <c r="N22" s="19" t="str" cm="1">
        <f t="array" aca="1" ref="N22" ca="1">IFERROR(_xlfn.XLOOKUP(Selectivo6[[#This Row],[DNI]],S_S[DNI],INDIRECT("S_S["&amp;Selectivo6[[#Headers],[R9]]&amp;"]")),"60 DNC")</f>
        <v>8</v>
      </c>
      <c r="O22" s="19" t="str">
        <f>IFERROR(_xlfn.XLOOKUP(Selectivo6[[#This Row],[DNI]],_VF2026[DNI],_VF2026[R1]),"65 DNC")</f>
        <v>4</v>
      </c>
      <c r="P22" s="19" t="str">
        <f>IFERROR(_xlfn.XLOOKUP(Selectivo6[[#This Row],[DNI]],_VF2026[DNI],_VF2026[R2]),"65 DNC")</f>
        <v>3</v>
      </c>
      <c r="Q22" s="19" t="str">
        <f>IFERROR(_xlfn.XLOOKUP(Selectivo6[[#This Row],[DNI]],_VF2026[DNI],_VF2026[R3]),"65 DNC")</f>
        <v>4</v>
      </c>
      <c r="R22" s="19" t="str">
        <f>IFERROR(_xlfn.XLOOKUP(Selectivo6[[#This Row],[DNI]],_VF2026[DNI],_VF2026[R4]),"65 DNC")</f>
        <v>10</v>
      </c>
      <c r="S22" s="19" t="str">
        <f>IFERROR(_xlfn.XLOOKUP(Selectivo6[[#This Row],[DNI]],_VF2026[DNI],_VF2026[R5]),"65 DNC")</f>
        <v>7</v>
      </c>
      <c r="T22" s="20" t="str">
        <f>IFERROR(_xlfn.XLOOKUP(Selectivo6[[#This Row],[DNI]],_VF2026[DNI],_VF2026[R6]),"65 DNC")</f>
        <v>31</v>
      </c>
      <c r="U22" s="19" t="str">
        <f>IFERROR(_xlfn.XLOOKUP(Selectivo6[[#This Row],[DNI]],_VF2026[DNI],_VF2026[R7]),"65 DNC")</f>
        <v>10</v>
      </c>
      <c r="V22" s="20" t="str">
        <f>IFERROR(_xlfn.XLOOKUP(Selectivo6[[#This Row],[DNI]],_VF2026[DNI],_VF2026[R8]),"65 DNC")</f>
        <v>18</v>
      </c>
      <c r="W22" s="19"/>
      <c r="X22" s="19"/>
      <c r="Y22" s="19"/>
      <c r="Z22" s="19"/>
      <c r="AA22" s="19"/>
      <c r="AB22" s="8" cm="1">
        <f t="array" aca="1" ref="AB22" ca="1">SUM(IFERROR(VALUE(LEFT(Regatas, FIND(" ",Regatas&amp; " ") - 1)), 0))</f>
        <v>168</v>
      </c>
      <c r="AC22" s="9" cm="1">
        <f t="array" aca="1" ref="AC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119</v>
      </c>
      <c r="AD22" s="6" cm="1">
        <f t="array" aca="1" ref="AD22" ca="1">SMALL(_xlfn._xlws.FILTER(RegatasN, RegatasN&lt;&gt;0), 1)</f>
        <v>3</v>
      </c>
      <c r="AE22" s="6" cm="1">
        <f t="array" aca="1" ref="AE22" ca="1">SMALL(_xlfn._xlws.FILTER(RegatasN, RegatasN&lt;&gt;0), 2)</f>
        <v>4</v>
      </c>
      <c r="AF22" s="6" cm="1">
        <f t="array" aca="1" ref="AF22" ca="1">SMALL(_xlfn._xlws.FILTER(RegatasN, RegatasN&lt;&gt;0), 3)</f>
        <v>4</v>
      </c>
      <c r="AG22" s="5" cm="1">
        <f t="array" aca="1" ref="AG22" ca="1">COUNTIF(Regatas,SMALL(_xlfn._xlws.FILTER(RegatasN, RegatasN&lt;&gt;0), 1))</f>
        <v>1</v>
      </c>
      <c r="AH22" s="6" t="e" cm="1">
        <f t="array" ref="AH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3" spans="1:34">
      <c r="A23">
        <v>51572732</v>
      </c>
      <c r="B23" s="10">
        <f>ROW()-ROW(Selectivo6[[#Headers],[Pos]])</f>
        <v>17</v>
      </c>
      <c r="C23" s="5">
        <v>4057</v>
      </c>
      <c r="D23" t="s">
        <v>214</v>
      </c>
      <c r="E23" t="s">
        <v>26</v>
      </c>
      <c r="F23" s="19" t="str" cm="1">
        <f t="array" aca="1" ref="F23" ca="1">IFERROR(_xlfn.XLOOKUP(Selectivo6[[#This Row],[DNI]],S_S[DNI],INDIRECT("S_S["&amp;Selectivo6[[#Headers],[R1]]&amp;"]")),"60 DNC")</f>
        <v>18</v>
      </c>
      <c r="G23" s="20" t="str" cm="1">
        <f t="array" aca="1" ref="G23" ca="1">IFERROR(_xlfn.XLOOKUP(Selectivo6[[#This Row],[DNI]],S_S[DNI],INDIRECT("S_S["&amp;Selectivo6[[#Headers],[R2]]&amp;"]")),"60 DNC")</f>
        <v>60 BFD</v>
      </c>
      <c r="H23" s="19" t="str" cm="1">
        <f t="array" aca="1" ref="H23" ca="1">IFERROR(_xlfn.XLOOKUP(Selectivo6[[#This Row],[DNI]],S_S[DNI],INDIRECT("S_S["&amp;Selectivo6[[#Headers],[R3]]&amp;"]")),"60 DNC")</f>
        <v>4</v>
      </c>
      <c r="I23" s="19" t="str" cm="1">
        <f t="array" aca="1" ref="I23" ca="1">IFERROR(_xlfn.XLOOKUP(Selectivo6[[#This Row],[DNI]],S_S[DNI],INDIRECT("S_S["&amp;Selectivo6[[#Headers],[R4]]&amp;"]")),"60 DNC")</f>
        <v>12</v>
      </c>
      <c r="J23" s="19" t="str" cm="1">
        <f t="array" aca="1" ref="J23" ca="1">IFERROR(_xlfn.XLOOKUP(Selectivo6[[#This Row],[DNI]],S_S[DNI],INDIRECT("S_S["&amp;Selectivo6[[#Headers],[R5]]&amp;"]")),"60 DNC")</f>
        <v>13</v>
      </c>
      <c r="K23" s="19" t="str" cm="1">
        <f t="array" aca="1" ref="K23" ca="1">IFERROR(_xlfn.XLOOKUP(Selectivo6[[#This Row],[DNI]],S_S[DNI],INDIRECT("S_S["&amp;Selectivo6[[#Headers],[R6]]&amp;"]")),"60 DNC")</f>
        <v>3</v>
      </c>
      <c r="L23" s="19" t="str" cm="1">
        <f t="array" aca="1" ref="L23" ca="1">IFERROR(_xlfn.XLOOKUP(Selectivo6[[#This Row],[DNI]],S_S[DNI],INDIRECT("S_S["&amp;Selectivo6[[#Headers],[R7]]&amp;"]")),"60 DNC")</f>
        <v>2</v>
      </c>
      <c r="M23" s="19" t="str" cm="1">
        <f t="array" aca="1" ref="M23" ca="1">IFERROR(_xlfn.XLOOKUP(Selectivo6[[#This Row],[DNI]],S_S[DNI],INDIRECT("S_S["&amp;Selectivo6[[#Headers],[R8]]&amp;"]")),"60 DNC")</f>
        <v>7</v>
      </c>
      <c r="N23" s="19" t="str" cm="1">
        <f t="array" aca="1" ref="N23" ca="1">IFERROR(_xlfn.XLOOKUP(Selectivo6[[#This Row],[DNI]],S_S[DNI],INDIRECT("S_S["&amp;Selectivo6[[#Headers],[R9]]&amp;"]")),"60 DNC")</f>
        <v>9</v>
      </c>
      <c r="O23" s="19" t="str">
        <f>IFERROR(_xlfn.XLOOKUP(Selectivo6[[#This Row],[DNI]],_VF2026[DNI],_VF2026[R1]),"65 DNC")</f>
        <v>7</v>
      </c>
      <c r="P23" s="19" t="str">
        <f>IFERROR(_xlfn.XLOOKUP(Selectivo6[[#This Row],[DNI]],_VF2026[DNI],_VF2026[R2]),"65 DNC")</f>
        <v>3</v>
      </c>
      <c r="Q23" s="19" t="str">
        <f>IFERROR(_xlfn.XLOOKUP(Selectivo6[[#This Row],[DNI]],_VF2026[DNI],_VF2026[R3]),"65 DNC")</f>
        <v>2</v>
      </c>
      <c r="R23" s="19" t="str">
        <f>IFERROR(_xlfn.XLOOKUP(Selectivo6[[#This Row],[DNI]],_VF2026[DNI],_VF2026[R4]),"65 DNC")</f>
        <v>10</v>
      </c>
      <c r="S23" s="19" t="str">
        <f>IFERROR(_xlfn.XLOOKUP(Selectivo6[[#This Row],[DNI]],_VF2026[DNI],_VF2026[R5]),"65 DNC")</f>
        <v>3</v>
      </c>
      <c r="T23" s="19" t="str">
        <f>IFERROR(_xlfn.XLOOKUP(Selectivo6[[#This Row],[DNI]],_VF2026[DNI],_VF2026[R6]),"65 DNC")</f>
        <v>12</v>
      </c>
      <c r="U23" s="20" t="str">
        <f>IFERROR(_xlfn.XLOOKUP(Selectivo6[[#This Row],[DNI]],_VF2026[DNI],_VF2026[R7]),"65 DNC")</f>
        <v>27</v>
      </c>
      <c r="V23" s="19" t="str">
        <f>IFERROR(_xlfn.XLOOKUP(Selectivo6[[#This Row],[DNI]],_VF2026[DNI],_VF2026[R8]),"65 DNC")</f>
        <v>15</v>
      </c>
      <c r="W23" s="19"/>
      <c r="X23" s="19"/>
      <c r="Y23" s="19"/>
      <c r="Z23" s="19"/>
      <c r="AA23" s="19"/>
      <c r="AB23" s="8" cm="1">
        <f t="array" aca="1" ref="AB23" ca="1">SUM(IFERROR(VALUE(LEFT(Regatas, FIND(" ",Regatas&amp; " ") - 1)), 0))</f>
        <v>207</v>
      </c>
      <c r="AC23" s="9" cm="1">
        <f t="array" aca="1" ref="AC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120</v>
      </c>
      <c r="AD23" s="6" cm="1">
        <f t="array" aca="1" ref="AD23" ca="1">SMALL(_xlfn._xlws.FILTER(RegatasN, RegatasN&lt;&gt;0), 1)</f>
        <v>2</v>
      </c>
      <c r="AE23" s="6" cm="1">
        <f t="array" aca="1" ref="AE23" ca="1">SMALL(_xlfn._xlws.FILTER(RegatasN, RegatasN&lt;&gt;0), 2)</f>
        <v>2</v>
      </c>
      <c r="AF23" s="6" cm="1">
        <f t="array" aca="1" ref="AF23" ca="1">SMALL(_xlfn._xlws.FILTER(RegatasN, RegatasN&lt;&gt;0), 3)</f>
        <v>3</v>
      </c>
      <c r="AG23" s="5" cm="1">
        <f t="array" aca="1" ref="AG23" ca="1">COUNTIF(Regatas,SMALL(_xlfn._xlws.FILTER(RegatasN, RegatasN&lt;&gt;0), 1))</f>
        <v>2</v>
      </c>
      <c r="AH23" s="6" t="e" cm="1">
        <f t="array" ref="AH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4" spans="1:34">
      <c r="A24">
        <v>51066390</v>
      </c>
      <c r="B24" s="10">
        <f>ROW()-ROW(Selectivo6[[#Headers],[Pos]])</f>
        <v>18</v>
      </c>
      <c r="C24" s="5">
        <v>4257</v>
      </c>
      <c r="D24" t="s">
        <v>219</v>
      </c>
      <c r="E24" t="s">
        <v>9</v>
      </c>
      <c r="F24" s="19" t="str" cm="1">
        <f t="array" aca="1" ref="F24" ca="1">IFERROR(_xlfn.XLOOKUP(Selectivo6[[#This Row],[DNI]],S_S[DNI],INDIRECT("S_S["&amp;Selectivo6[[#Headers],[R1]]&amp;"]")),"60 DNC")</f>
        <v>9</v>
      </c>
      <c r="G24" s="19" t="str" cm="1">
        <f t="array" aca="1" ref="G24" ca="1">IFERROR(_xlfn.XLOOKUP(Selectivo6[[#This Row],[DNI]],S_S[DNI],INDIRECT("S_S["&amp;Selectivo6[[#Headers],[R2]]&amp;"]")),"60 DNC")</f>
        <v>11</v>
      </c>
      <c r="H24" s="19" t="str" cm="1">
        <f t="array" aca="1" ref="H24" ca="1">IFERROR(_xlfn.XLOOKUP(Selectivo6[[#This Row],[DNI]],S_S[DNI],INDIRECT("S_S["&amp;Selectivo6[[#Headers],[R3]]&amp;"]")),"60 DNC")</f>
        <v>14</v>
      </c>
      <c r="I24" s="20" t="str" cm="1">
        <f t="array" aca="1" ref="I24" ca="1">IFERROR(_xlfn.XLOOKUP(Selectivo6[[#This Row],[DNI]],S_S[DNI],INDIRECT("S_S["&amp;Selectivo6[[#Headers],[R4]]&amp;"]")),"60 DNC")</f>
        <v>27</v>
      </c>
      <c r="J24" s="19" t="str" cm="1">
        <f t="array" aca="1" ref="J24" ca="1">IFERROR(_xlfn.XLOOKUP(Selectivo6[[#This Row],[DNI]],S_S[DNI],INDIRECT("S_S["&amp;Selectivo6[[#Headers],[R5]]&amp;"]")),"60 DNC")</f>
        <v>9</v>
      </c>
      <c r="K24" s="19" t="str" cm="1">
        <f t="array" aca="1" ref="K24" ca="1">IFERROR(_xlfn.XLOOKUP(Selectivo6[[#This Row],[DNI]],S_S[DNI],INDIRECT("S_S["&amp;Selectivo6[[#Headers],[R6]]&amp;"]")),"60 DNC")</f>
        <v>10</v>
      </c>
      <c r="L24" s="19" t="str" cm="1">
        <f t="array" aca="1" ref="L24" ca="1">IFERROR(_xlfn.XLOOKUP(Selectivo6[[#This Row],[DNI]],S_S[DNI],INDIRECT("S_S["&amp;Selectivo6[[#Headers],[R7]]&amp;"]")),"60 DNC")</f>
        <v>4</v>
      </c>
      <c r="M24" s="19" t="str" cm="1">
        <f t="array" aca="1" ref="M24" ca="1">IFERROR(_xlfn.XLOOKUP(Selectivo6[[#This Row],[DNI]],S_S[DNI],INDIRECT("S_S["&amp;Selectivo6[[#Headers],[R8]]&amp;"]")),"60 DNC")</f>
        <v>4</v>
      </c>
      <c r="N24" s="19" t="str" cm="1">
        <f t="array" aca="1" ref="N24" ca="1">IFERROR(_xlfn.XLOOKUP(Selectivo6[[#This Row],[DNI]],S_S[DNI],INDIRECT("S_S["&amp;Selectivo6[[#Headers],[R9]]&amp;"]")),"60 DNC")</f>
        <v>8</v>
      </c>
      <c r="O24" s="19" t="str">
        <f>IFERROR(_xlfn.XLOOKUP(Selectivo6[[#This Row],[DNI]],_VF2026[DNI],_VF2026[R1]),"65 DNC")</f>
        <v>6</v>
      </c>
      <c r="P24" s="19" t="str">
        <f>IFERROR(_xlfn.XLOOKUP(Selectivo6[[#This Row],[DNI]],_VF2026[DNI],_VF2026[R2]),"65 DNC")</f>
        <v>4</v>
      </c>
      <c r="Q24" s="19" t="str">
        <f>IFERROR(_xlfn.XLOOKUP(Selectivo6[[#This Row],[DNI]],_VF2026[DNI],_VF2026[R3]),"65 DNC")</f>
        <v>2</v>
      </c>
      <c r="R24" s="19" t="str">
        <f>IFERROR(_xlfn.XLOOKUP(Selectivo6[[#This Row],[DNI]],_VF2026[DNI],_VF2026[R4]),"65 DNC")</f>
        <v>16</v>
      </c>
      <c r="S24" s="19" t="str">
        <f>IFERROR(_xlfn.XLOOKUP(Selectivo6[[#This Row],[DNI]],_VF2026[DNI],_VF2026[R5]),"65 DNC")</f>
        <v>3</v>
      </c>
      <c r="T24" s="20" t="str">
        <f>IFERROR(_xlfn.XLOOKUP(Selectivo6[[#This Row],[DNI]],_VF2026[DNI],_VF2026[R6]),"65 DNC")</f>
        <v>35</v>
      </c>
      <c r="U24" s="19" t="str">
        <f>IFERROR(_xlfn.XLOOKUP(Selectivo6[[#This Row],[DNI]],_VF2026[DNI],_VF2026[R7]),"65 DNC")</f>
        <v>8</v>
      </c>
      <c r="V24" s="19" t="str">
        <f>IFERROR(_xlfn.XLOOKUP(Selectivo6[[#This Row],[DNI]],_VF2026[DNI],_VF2026[R8]),"65 DNC")</f>
        <v>13</v>
      </c>
      <c r="W24" s="19"/>
      <c r="X24" s="19"/>
      <c r="Y24" s="19"/>
      <c r="Z24" s="19"/>
      <c r="AA24" s="19"/>
      <c r="AB24" s="8" cm="1">
        <f t="array" aca="1" ref="AB24" ca="1">SUM(IFERROR(VALUE(LEFT(Regatas, FIND(" ",Regatas&amp; " ") - 1)), 0))</f>
        <v>183</v>
      </c>
      <c r="AC24" s="9" cm="1">
        <f t="array" aca="1" ref="AC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121</v>
      </c>
      <c r="AD24" s="6" cm="1">
        <f t="array" aca="1" ref="AD24" ca="1">SMALL(_xlfn._xlws.FILTER(RegatasN, RegatasN&lt;&gt;0), 1)</f>
        <v>2</v>
      </c>
      <c r="AE24" s="6" cm="1">
        <f t="array" aca="1" ref="AE24" ca="1">SMALL(_xlfn._xlws.FILTER(RegatasN, RegatasN&lt;&gt;0), 2)</f>
        <v>3</v>
      </c>
      <c r="AF24" s="6" cm="1">
        <f t="array" aca="1" ref="AF24" ca="1">SMALL(_xlfn._xlws.FILTER(RegatasN, RegatasN&lt;&gt;0), 3)</f>
        <v>4</v>
      </c>
      <c r="AG24" s="5" cm="1">
        <f t="array" aca="1" ref="AG24" ca="1">COUNTIF(Regatas,SMALL(_xlfn._xlws.FILTER(RegatasN, RegatasN&lt;&gt;0), 1))</f>
        <v>1</v>
      </c>
      <c r="AH24" s="6" t="e" cm="1">
        <f t="array" ref="AH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5" spans="1:34">
      <c r="A25">
        <v>53202237</v>
      </c>
      <c r="B25" s="10">
        <f>ROW()-ROW(Selectivo6[[#Headers],[Pos]])</f>
        <v>19</v>
      </c>
      <c r="C25" s="5">
        <v>4201</v>
      </c>
      <c r="D25" t="s">
        <v>182</v>
      </c>
      <c r="E25" t="s">
        <v>21</v>
      </c>
      <c r="F25" s="19" t="str" cm="1">
        <f t="array" aca="1" ref="F25" ca="1">IFERROR(_xlfn.XLOOKUP(Selectivo6[[#This Row],[DNI]],S_S[DNI],INDIRECT("S_S["&amp;Selectivo6[[#Headers],[R1]]&amp;"]")),"60 DNC")</f>
        <v>6</v>
      </c>
      <c r="G25" s="19" t="str" cm="1">
        <f t="array" aca="1" ref="G25" ca="1">IFERROR(_xlfn.XLOOKUP(Selectivo6[[#This Row],[DNI]],S_S[DNI],INDIRECT("S_S["&amp;Selectivo6[[#Headers],[R2]]&amp;"]")),"60 DNC")</f>
        <v>4</v>
      </c>
      <c r="H25" s="19" t="str" cm="1">
        <f t="array" aca="1" ref="H25" ca="1">IFERROR(_xlfn.XLOOKUP(Selectivo6[[#This Row],[DNI]],S_S[DNI],INDIRECT("S_S["&amp;Selectivo6[[#Headers],[R3]]&amp;"]")),"60 DNC")</f>
        <v>4</v>
      </c>
      <c r="I25" s="19" t="str" cm="1">
        <f t="array" aca="1" ref="I25" ca="1">IFERROR(_xlfn.XLOOKUP(Selectivo6[[#This Row],[DNI]],S_S[DNI],INDIRECT("S_S["&amp;Selectivo6[[#Headers],[R4]]&amp;"]")),"60 DNC")</f>
        <v>3</v>
      </c>
      <c r="J25" s="19" t="str" cm="1">
        <f t="array" aca="1" ref="J25" ca="1">IFERROR(_xlfn.XLOOKUP(Selectivo6[[#This Row],[DNI]],S_S[DNI],INDIRECT("S_S["&amp;Selectivo6[[#Headers],[R5]]&amp;"]")),"60 DNC")</f>
        <v>6</v>
      </c>
      <c r="K25" s="19" t="str" cm="1">
        <f t="array" aca="1" ref="K25" ca="1">IFERROR(_xlfn.XLOOKUP(Selectivo6[[#This Row],[DNI]],S_S[DNI],INDIRECT("S_S["&amp;Selectivo6[[#Headers],[R6]]&amp;"]")),"60 DNC")</f>
        <v>1</v>
      </c>
      <c r="L25" s="19" t="str" cm="1">
        <f t="array" aca="1" ref="L25" ca="1">IFERROR(_xlfn.XLOOKUP(Selectivo6[[#This Row],[DNI]],S_S[DNI],INDIRECT("S_S["&amp;Selectivo6[[#Headers],[R7]]&amp;"]")),"60 DNC")</f>
        <v>14</v>
      </c>
      <c r="M25" s="19" t="str" cm="1">
        <f t="array" aca="1" ref="M25" ca="1">IFERROR(_xlfn.XLOOKUP(Selectivo6[[#This Row],[DNI]],S_S[DNI],INDIRECT("S_S["&amp;Selectivo6[[#Headers],[R8]]&amp;"]")),"60 DNC")</f>
        <v>10</v>
      </c>
      <c r="N25" s="20" t="str" cm="1">
        <f t="array" aca="1" ref="N25" ca="1">IFERROR(_xlfn.XLOOKUP(Selectivo6[[#This Row],[DNI]],S_S[DNI],INDIRECT("S_S["&amp;Selectivo6[[#Headers],[R9]]&amp;"]")),"60 DNC")</f>
        <v>28</v>
      </c>
      <c r="O25" s="19" t="str">
        <f>IFERROR(_xlfn.XLOOKUP(Selectivo6[[#This Row],[DNI]],_VF2026[DNI],_VF2026[R1]),"65 DNC")</f>
        <v>10</v>
      </c>
      <c r="P25" s="20" t="str">
        <f>IFERROR(_xlfn.XLOOKUP(Selectivo6[[#This Row],[DNI]],_VF2026[DNI],_VF2026[R2]),"65 DNC")</f>
        <v>18</v>
      </c>
      <c r="Q25" s="19" t="str">
        <f>IFERROR(_xlfn.XLOOKUP(Selectivo6[[#This Row],[DNI]],_VF2026[DNI],_VF2026[R3]),"65 DNC")</f>
        <v>12</v>
      </c>
      <c r="R25" s="19" t="str">
        <f>IFERROR(_xlfn.XLOOKUP(Selectivo6[[#This Row],[DNI]],_VF2026[DNI],_VF2026[R4]),"65 DNC")</f>
        <v>17</v>
      </c>
      <c r="S25" s="19" t="str">
        <f>IFERROR(_xlfn.XLOOKUP(Selectivo6[[#This Row],[DNI]],_VF2026[DNI],_VF2026[R5]),"65 DNC")</f>
        <v>18</v>
      </c>
      <c r="T25" s="19" t="str">
        <f>IFERROR(_xlfn.XLOOKUP(Selectivo6[[#This Row],[DNI]],_VF2026[DNI],_VF2026[R6]),"65 DNC")</f>
        <v>4</v>
      </c>
      <c r="U25" s="19" t="str">
        <f>IFERROR(_xlfn.XLOOKUP(Selectivo6[[#This Row],[DNI]],_VF2026[DNI],_VF2026[R7]),"65 DNC")</f>
        <v>1</v>
      </c>
      <c r="V25" s="19" t="str">
        <f>IFERROR(_xlfn.XLOOKUP(Selectivo6[[#This Row],[DNI]],_VF2026[DNI],_VF2026[R8]),"65 DNC")</f>
        <v>14</v>
      </c>
      <c r="W25" s="19"/>
      <c r="X25" s="19"/>
      <c r="Y25" s="19"/>
      <c r="Z25" s="19"/>
      <c r="AA25" s="19"/>
      <c r="AB25" s="8" cm="1">
        <f t="array" aca="1" ref="AB25" ca="1">SUM(IFERROR(VALUE(LEFT(Regatas, FIND(" ",Regatas&amp; " ") - 1)), 0))</f>
        <v>170</v>
      </c>
      <c r="AC25" s="9" cm="1">
        <f t="array" aca="1" ref="AC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124</v>
      </c>
      <c r="AD25" s="6" cm="1">
        <f t="array" aca="1" ref="AD25" ca="1">SMALL(_xlfn._xlws.FILTER(RegatasN, RegatasN&lt;&gt;0), 1)</f>
        <v>1</v>
      </c>
      <c r="AE25" s="6" cm="1">
        <f t="array" aca="1" ref="AE25" ca="1">SMALL(_xlfn._xlws.FILTER(RegatasN, RegatasN&lt;&gt;0), 2)</f>
        <v>1</v>
      </c>
      <c r="AF25" s="6" cm="1">
        <f t="array" aca="1" ref="AF25" ca="1">SMALL(_xlfn._xlws.FILTER(RegatasN, RegatasN&lt;&gt;0), 3)</f>
        <v>3</v>
      </c>
      <c r="AG25" s="5" cm="1">
        <f t="array" aca="1" ref="AG25" ca="1">COUNTIF(Regatas,SMALL(_xlfn._xlws.FILTER(RegatasN, RegatasN&lt;&gt;0), 1))</f>
        <v>2</v>
      </c>
      <c r="AH25" s="6" t="e" cm="1">
        <f t="array" ref="AH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6" spans="1:34">
      <c r="A26">
        <v>52192618</v>
      </c>
      <c r="B26" s="10">
        <f>ROW()-ROW(Selectivo6[[#Headers],[Pos]])</f>
        <v>20</v>
      </c>
      <c r="C26" s="5">
        <v>4282</v>
      </c>
      <c r="D26" t="s">
        <v>179</v>
      </c>
      <c r="E26" t="s">
        <v>23</v>
      </c>
      <c r="F26" s="19" t="str" cm="1">
        <f t="array" aca="1" ref="F26" ca="1">IFERROR(_xlfn.XLOOKUP(Selectivo6[[#This Row],[DNI]],S_S[DNI],INDIRECT("S_S["&amp;Selectivo6[[#Headers],[R1]]&amp;"]")),"60 DNC")</f>
        <v>21</v>
      </c>
      <c r="G26" s="19" t="str" cm="1">
        <f t="array" aca="1" ref="G26" ca="1">IFERROR(_xlfn.XLOOKUP(Selectivo6[[#This Row],[DNI]],S_S[DNI],INDIRECT("S_S["&amp;Selectivo6[[#Headers],[R2]]&amp;"]")),"60 DNC")</f>
        <v>1</v>
      </c>
      <c r="H26" s="19" t="str" cm="1">
        <f t="array" aca="1" ref="H26" ca="1">IFERROR(_xlfn.XLOOKUP(Selectivo6[[#This Row],[DNI]],S_S[DNI],INDIRECT("S_S["&amp;Selectivo6[[#Headers],[R3]]&amp;"]")),"60 DNC")</f>
        <v>7</v>
      </c>
      <c r="I26" s="19" t="str" cm="1">
        <f t="array" aca="1" ref="I26" ca="1">IFERROR(_xlfn.XLOOKUP(Selectivo6[[#This Row],[DNI]],S_S[DNI],INDIRECT("S_S["&amp;Selectivo6[[#Headers],[R4]]&amp;"]")),"60 DNC")</f>
        <v>15</v>
      </c>
      <c r="J26" s="19" t="str" cm="1">
        <f t="array" aca="1" ref="J26" ca="1">IFERROR(_xlfn.XLOOKUP(Selectivo6[[#This Row],[DNI]],S_S[DNI],INDIRECT("S_S["&amp;Selectivo6[[#Headers],[R5]]&amp;"]")),"60 DNC")</f>
        <v>4</v>
      </c>
      <c r="K26" s="19" t="str" cm="1">
        <f t="array" aca="1" ref="K26" ca="1">IFERROR(_xlfn.XLOOKUP(Selectivo6[[#This Row],[DNI]],S_S[DNI],INDIRECT("S_S["&amp;Selectivo6[[#Headers],[R6]]&amp;"]")),"60 DNC")</f>
        <v>3</v>
      </c>
      <c r="L26" s="19" t="str" cm="1">
        <f t="array" aca="1" ref="L26" ca="1">IFERROR(_xlfn.XLOOKUP(Selectivo6[[#This Row],[DNI]],S_S[DNI],INDIRECT("S_S["&amp;Selectivo6[[#Headers],[R7]]&amp;"]")),"60 DNC")</f>
        <v>2</v>
      </c>
      <c r="M26" s="19" t="str" cm="1">
        <f t="array" aca="1" ref="M26" ca="1">IFERROR(_xlfn.XLOOKUP(Selectivo6[[#This Row],[DNI]],S_S[DNI],INDIRECT("S_S["&amp;Selectivo6[[#Headers],[R8]]&amp;"]")),"60 DNC")</f>
        <v>8</v>
      </c>
      <c r="N26" s="19" t="str" cm="1">
        <f t="array" aca="1" ref="N26" ca="1">IFERROR(_xlfn.XLOOKUP(Selectivo6[[#This Row],[DNI]],S_S[DNI],INDIRECT("S_S["&amp;Selectivo6[[#Headers],[R9]]&amp;"]")),"60 DNC")</f>
        <v>6</v>
      </c>
      <c r="O26" s="19" t="str">
        <f>IFERROR(_xlfn.XLOOKUP(Selectivo6[[#This Row],[DNI]],_VF2026[DNI],_VF2026[R1]),"65 DNC")</f>
        <v>10</v>
      </c>
      <c r="P26" s="19" t="str">
        <f>IFERROR(_xlfn.XLOOKUP(Selectivo6[[#This Row],[DNI]],_VF2026[DNI],_VF2026[R2]),"65 DNC")</f>
        <v>11</v>
      </c>
      <c r="Q26" s="20" t="str">
        <f>IFERROR(_xlfn.XLOOKUP(Selectivo6[[#This Row],[DNI]],_VF2026[DNI],_VF2026[R3]),"65 DNC")</f>
        <v>44</v>
      </c>
      <c r="R26" s="20" t="str">
        <f>IFERROR(_xlfn.XLOOKUP(Selectivo6[[#This Row],[DNI]],_VF2026[DNI],_VF2026[R4]),"65 DNC")</f>
        <v>22</v>
      </c>
      <c r="S26" s="19" t="str">
        <f>IFERROR(_xlfn.XLOOKUP(Selectivo6[[#This Row],[DNI]],_VF2026[DNI],_VF2026[R5]),"65 DNC")</f>
        <v>18</v>
      </c>
      <c r="T26" s="19" t="str">
        <f>IFERROR(_xlfn.XLOOKUP(Selectivo6[[#This Row],[DNI]],_VF2026[DNI],_VF2026[R6]),"65 DNC")</f>
        <v>7</v>
      </c>
      <c r="U26" s="19" t="str">
        <f>IFERROR(_xlfn.XLOOKUP(Selectivo6[[#This Row],[DNI]],_VF2026[DNI],_VF2026[R7]),"65 DNC")</f>
        <v>6</v>
      </c>
      <c r="V26" s="19" t="str">
        <f>IFERROR(_xlfn.XLOOKUP(Selectivo6[[#This Row],[DNI]],_VF2026[DNI],_VF2026[R8]),"65 DNC")</f>
        <v>5</v>
      </c>
      <c r="W26" s="19"/>
      <c r="X26" s="19"/>
      <c r="Y26" s="19"/>
      <c r="Z26" s="19"/>
      <c r="AA26" s="19"/>
      <c r="AB26" s="8" cm="1">
        <f t="array" aca="1" ref="AB26" ca="1">SUM(IFERROR(VALUE(LEFT(Regatas, FIND(" ",Regatas&amp; " ") - 1)), 0))</f>
        <v>190</v>
      </c>
      <c r="AC26" s="9" cm="1">
        <f t="array" aca="1" ref="AC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124</v>
      </c>
      <c r="AD26" s="6" cm="1">
        <f t="array" aca="1" ref="AD26" ca="1">SMALL(_xlfn._xlws.FILTER(RegatasN, RegatasN&lt;&gt;0), 1)</f>
        <v>1</v>
      </c>
      <c r="AE26" s="6" cm="1">
        <f t="array" aca="1" ref="AE26" ca="1">SMALL(_xlfn._xlws.FILTER(RegatasN, RegatasN&lt;&gt;0), 2)</f>
        <v>2</v>
      </c>
      <c r="AF26" s="6" cm="1">
        <f t="array" aca="1" ref="AF26" ca="1">SMALL(_xlfn._xlws.FILTER(RegatasN, RegatasN&lt;&gt;0), 3)</f>
        <v>3</v>
      </c>
      <c r="AG26" s="5" cm="1">
        <f t="array" aca="1" ref="AG26" ca="1">COUNTIF(Regatas,SMALL(_xlfn._xlws.FILTER(RegatasN, RegatasN&lt;&gt;0), 1))</f>
        <v>1</v>
      </c>
      <c r="AH26" s="6" t="e" cm="1">
        <f t="array" ref="AH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7" spans="1:34">
      <c r="A27">
        <v>52768073</v>
      </c>
      <c r="B27" s="10">
        <f>ROW()-ROW(Selectivo6[[#Headers],[Pos]])</f>
        <v>21</v>
      </c>
      <c r="C27" s="5">
        <v>4211</v>
      </c>
      <c r="D27" t="s">
        <v>225</v>
      </c>
      <c r="E27" t="s">
        <v>21</v>
      </c>
      <c r="F27" s="19" t="str" cm="1">
        <f t="array" aca="1" ref="F27" ca="1">IFERROR(_xlfn.XLOOKUP(Selectivo6[[#This Row],[DNI]],S_S[DNI],INDIRECT("S_S["&amp;Selectivo6[[#Headers],[R1]]&amp;"]")),"60 DNC")</f>
        <v>4</v>
      </c>
      <c r="G27" s="19" t="str" cm="1">
        <f t="array" aca="1" ref="G27" ca="1">IFERROR(_xlfn.XLOOKUP(Selectivo6[[#This Row],[DNI]],S_S[DNI],INDIRECT("S_S["&amp;Selectivo6[[#Headers],[R2]]&amp;"]")),"60 DNC")</f>
        <v>7</v>
      </c>
      <c r="H27" s="20" t="str" cm="1">
        <f t="array" aca="1" ref="H27" ca="1">IFERROR(_xlfn.XLOOKUP(Selectivo6[[#This Row],[DNI]],S_S[DNI],INDIRECT("S_S["&amp;Selectivo6[[#Headers],[R3]]&amp;"]")),"60 DNC")</f>
        <v>21</v>
      </c>
      <c r="I27" s="19" t="str" cm="1">
        <f t="array" aca="1" ref="I27" ca="1">IFERROR(_xlfn.XLOOKUP(Selectivo6[[#This Row],[DNI]],S_S[DNI],INDIRECT("S_S["&amp;Selectivo6[[#Headers],[R4]]&amp;"]")),"60 DNC")</f>
        <v>2</v>
      </c>
      <c r="J27" s="19" t="str" cm="1">
        <f t="array" aca="1" ref="J27" ca="1">IFERROR(_xlfn.XLOOKUP(Selectivo6[[#This Row],[DNI]],S_S[DNI],INDIRECT("S_S["&amp;Selectivo6[[#Headers],[R5]]&amp;"]")),"60 DNC")</f>
        <v>13</v>
      </c>
      <c r="K27" s="19" t="str" cm="1">
        <f t="array" aca="1" ref="K27" ca="1">IFERROR(_xlfn.XLOOKUP(Selectivo6[[#This Row],[DNI]],S_S[DNI],INDIRECT("S_S["&amp;Selectivo6[[#Headers],[R6]]&amp;"]")),"60 DNC")</f>
        <v>11</v>
      </c>
      <c r="L27" s="19" t="str" cm="1">
        <f t="array" aca="1" ref="L27" ca="1">IFERROR(_xlfn.XLOOKUP(Selectivo6[[#This Row],[DNI]],S_S[DNI],INDIRECT("S_S["&amp;Selectivo6[[#Headers],[R7]]&amp;"]")),"60 DNC")</f>
        <v>13</v>
      </c>
      <c r="M27" s="19" t="str" cm="1">
        <f t="array" aca="1" ref="M27" ca="1">IFERROR(_xlfn.XLOOKUP(Selectivo6[[#This Row],[DNI]],S_S[DNI],INDIRECT("S_S["&amp;Selectivo6[[#Headers],[R8]]&amp;"]")),"60 DNC")</f>
        <v>10</v>
      </c>
      <c r="N27" s="19" t="str" cm="1">
        <f t="array" aca="1" ref="N27" ca="1">IFERROR(_xlfn.XLOOKUP(Selectivo6[[#This Row],[DNI]],S_S[DNI],INDIRECT("S_S["&amp;Selectivo6[[#Headers],[R9]]&amp;"]")),"60 DNC")</f>
        <v>18</v>
      </c>
      <c r="O27" s="19" t="str">
        <f>IFERROR(_xlfn.XLOOKUP(Selectivo6[[#This Row],[DNI]],_VF2026[DNI],_VF2026[R1]),"65 DNC")</f>
        <v>6</v>
      </c>
      <c r="P27" s="19" t="str">
        <f>IFERROR(_xlfn.XLOOKUP(Selectivo6[[#This Row],[DNI]],_VF2026[DNI],_VF2026[R2]),"65 DNC")</f>
        <v>13</v>
      </c>
      <c r="Q27" s="19" t="str">
        <f>IFERROR(_xlfn.XLOOKUP(Selectivo6[[#This Row],[DNI]],_VF2026[DNI],_VF2026[R3]),"65 DNC")</f>
        <v>10</v>
      </c>
      <c r="R27" s="19" t="str">
        <f>IFERROR(_xlfn.XLOOKUP(Selectivo6[[#This Row],[DNI]],_VF2026[DNI],_VF2026[R4]),"65 DNC")</f>
        <v>3</v>
      </c>
      <c r="S27" s="19" t="str">
        <f>IFERROR(_xlfn.XLOOKUP(Selectivo6[[#This Row],[DNI]],_VF2026[DNI],_VF2026[R5]),"65 DNC")</f>
        <v>13</v>
      </c>
      <c r="T27" s="20" t="str">
        <f>IFERROR(_xlfn.XLOOKUP(Selectivo6[[#This Row],[DNI]],_VF2026[DNI],_VF2026[R6]),"65 DNC")</f>
        <v>65 BFD</v>
      </c>
      <c r="U27" s="19" t="str">
        <f>IFERROR(_xlfn.XLOOKUP(Selectivo6[[#This Row],[DNI]],_VF2026[DNI],_VF2026[R7]),"65 DNC")</f>
        <v>5</v>
      </c>
      <c r="V27" s="19" t="str">
        <f>IFERROR(_xlfn.XLOOKUP(Selectivo6[[#This Row],[DNI]],_VF2026[DNI],_VF2026[R8]),"65 DNC")</f>
        <v>2</v>
      </c>
      <c r="W27" s="19"/>
      <c r="X27" s="19"/>
      <c r="Y27" s="19"/>
      <c r="Z27" s="19"/>
      <c r="AA27" s="19"/>
      <c r="AB27" s="8" cm="1">
        <f t="array" aca="1" ref="AB27" ca="1">SUM(IFERROR(VALUE(LEFT(Regatas, FIND(" ",Regatas&amp; " ") - 1)), 0))</f>
        <v>216</v>
      </c>
      <c r="AC27" s="9" cm="1">
        <f t="array" aca="1" ref="AC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130</v>
      </c>
      <c r="AD27" s="6" cm="1">
        <f t="array" aca="1" ref="AD27" ca="1">SMALL(_xlfn._xlws.FILTER(RegatasN, RegatasN&lt;&gt;0), 1)</f>
        <v>2</v>
      </c>
      <c r="AE27" s="6" cm="1">
        <f t="array" aca="1" ref="AE27" ca="1">SMALL(_xlfn._xlws.FILTER(RegatasN, RegatasN&lt;&gt;0), 2)</f>
        <v>2</v>
      </c>
      <c r="AF27" s="6" cm="1">
        <f t="array" aca="1" ref="AF27" ca="1">SMALL(_xlfn._xlws.FILTER(RegatasN, RegatasN&lt;&gt;0), 3)</f>
        <v>3</v>
      </c>
      <c r="AG27" s="5" cm="1">
        <f t="array" aca="1" ref="AG27" ca="1">COUNTIF(Regatas,SMALL(_xlfn._xlws.FILTER(RegatasN, RegatasN&lt;&gt;0), 1))</f>
        <v>2</v>
      </c>
      <c r="AH27" s="6" t="e" cm="1">
        <f t="array" ref="AH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8" spans="1:34">
      <c r="A28">
        <v>53831603</v>
      </c>
      <c r="B28" s="10">
        <f>ROW()-ROW(Selectivo6[[#Headers],[Pos]])</f>
        <v>22</v>
      </c>
      <c r="C28" s="5">
        <v>4185</v>
      </c>
      <c r="D28" t="s">
        <v>197</v>
      </c>
      <c r="E28" t="s">
        <v>16</v>
      </c>
      <c r="F28" s="19" t="str" cm="1">
        <f t="array" aca="1" ref="F28" ca="1">IFERROR(_xlfn.XLOOKUP(Selectivo6[[#This Row],[DNI]],S_S[DNI],INDIRECT("S_S["&amp;Selectivo6[[#Headers],[R1]]&amp;"]")),"60 DNC")</f>
        <v>8</v>
      </c>
      <c r="G28" s="19" t="str" cm="1">
        <f t="array" aca="1" ref="G28" ca="1">IFERROR(_xlfn.XLOOKUP(Selectivo6[[#This Row],[DNI]],S_S[DNI],INDIRECT("S_S["&amp;Selectivo6[[#Headers],[R2]]&amp;"]")),"60 DNC")</f>
        <v>3</v>
      </c>
      <c r="H28" s="19" t="str" cm="1">
        <f t="array" aca="1" ref="H28" ca="1">IFERROR(_xlfn.XLOOKUP(Selectivo6[[#This Row],[DNI]],S_S[DNI],INDIRECT("S_S["&amp;Selectivo6[[#Headers],[R3]]&amp;"]")),"60 DNC")</f>
        <v>8</v>
      </c>
      <c r="I28" s="19" t="str" cm="1">
        <f t="array" aca="1" ref="I28" ca="1">IFERROR(_xlfn.XLOOKUP(Selectivo6[[#This Row],[DNI]],S_S[DNI],INDIRECT("S_S["&amp;Selectivo6[[#Headers],[R4]]&amp;"]")),"60 DNC")</f>
        <v>4</v>
      </c>
      <c r="J28" s="19" t="str" cm="1">
        <f t="array" aca="1" ref="J28" ca="1">IFERROR(_xlfn.XLOOKUP(Selectivo6[[#This Row],[DNI]],S_S[DNI],INDIRECT("S_S["&amp;Selectivo6[[#Headers],[R5]]&amp;"]")),"60 DNC")</f>
        <v>4</v>
      </c>
      <c r="K28" s="19" t="str" cm="1">
        <f t="array" aca="1" ref="K28" ca="1">IFERROR(_xlfn.XLOOKUP(Selectivo6[[#This Row],[DNI]],S_S[DNI],INDIRECT("S_S["&amp;Selectivo6[[#Headers],[R6]]&amp;"]")),"60 DNC")</f>
        <v>1</v>
      </c>
      <c r="L28" s="19" t="str" cm="1">
        <f t="array" aca="1" ref="L28" ca="1">IFERROR(_xlfn.XLOOKUP(Selectivo6[[#This Row],[DNI]],S_S[DNI],INDIRECT("S_S["&amp;Selectivo6[[#Headers],[R7]]&amp;"]")),"60 DNC")</f>
        <v>17</v>
      </c>
      <c r="M28" s="19" t="str" cm="1">
        <f t="array" aca="1" ref="M28" ca="1">IFERROR(_xlfn.XLOOKUP(Selectivo6[[#This Row],[DNI]],S_S[DNI],INDIRECT("S_S["&amp;Selectivo6[[#Headers],[R8]]&amp;"]")),"60 DNC")</f>
        <v>24</v>
      </c>
      <c r="N28" s="19" t="str" cm="1">
        <f t="array" aca="1" ref="N28" ca="1">IFERROR(_xlfn.XLOOKUP(Selectivo6[[#This Row],[DNI]],S_S[DNI],INDIRECT("S_S["&amp;Selectivo6[[#Headers],[R9]]&amp;"]")),"60 DNC")</f>
        <v>12</v>
      </c>
      <c r="O28" s="20" t="str">
        <f>IFERROR(_xlfn.XLOOKUP(Selectivo6[[#This Row],[DNI]],_VF2026[DNI],_VF2026[R1]),"65 DNC")</f>
        <v>26</v>
      </c>
      <c r="P28" s="19" t="str">
        <f>IFERROR(_xlfn.XLOOKUP(Selectivo6[[#This Row],[DNI]],_VF2026[DNI],_VF2026[R2]),"65 DNC")</f>
        <v>26</v>
      </c>
      <c r="Q28" s="19" t="str">
        <f>IFERROR(_xlfn.XLOOKUP(Selectivo6[[#This Row],[DNI]],_VF2026[DNI],_VF2026[R3]),"65 DNC")</f>
        <v>5</v>
      </c>
      <c r="R28" s="19" t="str">
        <f>IFERROR(_xlfn.XLOOKUP(Selectivo6[[#This Row],[DNI]],_VF2026[DNI],_VF2026[R4]),"65 DNC")</f>
        <v>8</v>
      </c>
      <c r="S28" s="19" t="str">
        <f>IFERROR(_xlfn.XLOOKUP(Selectivo6[[#This Row],[DNI]],_VF2026[DNI],_VF2026[R5]),"65 DNC")</f>
        <v>9</v>
      </c>
      <c r="T28" s="19" t="str">
        <f>IFERROR(_xlfn.XLOOKUP(Selectivo6[[#This Row],[DNI]],_VF2026[DNI],_VF2026[R6]),"65 DNC")</f>
        <v>10</v>
      </c>
      <c r="U28" s="19" t="str">
        <f>IFERROR(_xlfn.XLOOKUP(Selectivo6[[#This Row],[DNI]],_VF2026[DNI],_VF2026[R7]),"65 DNC")</f>
        <v>1</v>
      </c>
      <c r="V28" s="20" t="str">
        <f>IFERROR(_xlfn.XLOOKUP(Selectivo6[[#This Row],[DNI]],_VF2026[DNI],_VF2026[R8]),"65 DNC")</f>
        <v>50</v>
      </c>
      <c r="W28" s="19"/>
      <c r="X28" s="19"/>
      <c r="Y28" s="19"/>
      <c r="Z28" s="19"/>
      <c r="AA28" s="19"/>
      <c r="AB28" s="8" cm="1">
        <f t="array" aca="1" ref="AB28" ca="1">SUM(IFERROR(VALUE(LEFT(Regatas, FIND(" ",Regatas&amp; " ") - 1)), 0))</f>
        <v>216</v>
      </c>
      <c r="AC28" s="9" cm="1">
        <f t="array" aca="1" ref="AC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28" s="6" cm="1">
        <f t="array" aca="1" ref="AD28" ca="1">SMALL(_xlfn._xlws.FILTER(RegatasN, RegatasN&lt;&gt;0), 1)</f>
        <v>1</v>
      </c>
      <c r="AE28" s="6" cm="1">
        <f t="array" aca="1" ref="AE28" ca="1">SMALL(_xlfn._xlws.FILTER(RegatasN, RegatasN&lt;&gt;0), 2)</f>
        <v>1</v>
      </c>
      <c r="AF28" s="6" cm="1">
        <f t="array" aca="1" ref="AF28" ca="1">SMALL(_xlfn._xlws.FILTER(RegatasN, RegatasN&lt;&gt;0), 3)</f>
        <v>3</v>
      </c>
      <c r="AG28" s="5" cm="1">
        <f t="array" aca="1" ref="AG28" ca="1">COUNTIF(Regatas,SMALL(_xlfn._xlws.FILTER(RegatasN, RegatasN&lt;&gt;0), 1))</f>
        <v>2</v>
      </c>
      <c r="AH28" s="6" t="e" cm="1">
        <f t="array" ref="AH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29" spans="1:34">
      <c r="A29">
        <v>51125913</v>
      </c>
      <c r="B29" s="10">
        <f>ROW()-ROW(Selectivo6[[#Headers],[Pos]])</f>
        <v>23</v>
      </c>
      <c r="C29" s="5">
        <v>4179</v>
      </c>
      <c r="D29" t="s">
        <v>217</v>
      </c>
      <c r="E29" t="s">
        <v>5</v>
      </c>
      <c r="F29" s="20" t="str" cm="1">
        <f t="array" aca="1" ref="F29" ca="1">IFERROR(_xlfn.XLOOKUP(Selectivo6[[#This Row],[DNI]],S_S[DNI],INDIRECT("S_S["&amp;Selectivo6[[#Headers],[R1]]&amp;"]")),"60 DNC")</f>
        <v>19</v>
      </c>
      <c r="G29" s="19" t="str" cm="1">
        <f t="array" aca="1" ref="G29" ca="1">IFERROR(_xlfn.XLOOKUP(Selectivo6[[#This Row],[DNI]],S_S[DNI],INDIRECT("S_S["&amp;Selectivo6[[#Headers],[R2]]&amp;"]")),"60 DNC")</f>
        <v>6</v>
      </c>
      <c r="H29" s="19" t="str" cm="1">
        <f t="array" aca="1" ref="H29" ca="1">IFERROR(_xlfn.XLOOKUP(Selectivo6[[#This Row],[DNI]],S_S[DNI],INDIRECT("S_S["&amp;Selectivo6[[#Headers],[R3]]&amp;"]")),"60 DNC")</f>
        <v>17</v>
      </c>
      <c r="I29" s="19" t="str" cm="1">
        <f t="array" aca="1" ref="I29" ca="1">IFERROR(_xlfn.XLOOKUP(Selectivo6[[#This Row],[DNI]],S_S[DNI],INDIRECT("S_S["&amp;Selectivo6[[#Headers],[R4]]&amp;"]")),"60 DNC")</f>
        <v>10</v>
      </c>
      <c r="J29" s="19" t="str" cm="1">
        <f t="array" aca="1" ref="J29" ca="1">IFERROR(_xlfn.XLOOKUP(Selectivo6[[#This Row],[DNI]],S_S[DNI],INDIRECT("S_S["&amp;Selectivo6[[#Headers],[R5]]&amp;"]")),"60 DNC")</f>
        <v>15</v>
      </c>
      <c r="K29" s="19" t="str" cm="1">
        <f t="array" aca="1" ref="K29" ca="1">IFERROR(_xlfn.XLOOKUP(Selectivo6[[#This Row],[DNI]],S_S[DNI],INDIRECT("S_S["&amp;Selectivo6[[#Headers],[R6]]&amp;"]")),"60 DNC")</f>
        <v>10</v>
      </c>
      <c r="L29" s="19" t="str" cm="1">
        <f t="array" aca="1" ref="L29" ca="1">IFERROR(_xlfn.XLOOKUP(Selectivo6[[#This Row],[DNI]],S_S[DNI],INDIRECT("S_S["&amp;Selectivo6[[#Headers],[R7]]&amp;"]")),"60 DNC")</f>
        <v>3</v>
      </c>
      <c r="M29" s="19" t="str" cm="1">
        <f t="array" aca="1" ref="M29" ca="1">IFERROR(_xlfn.XLOOKUP(Selectivo6[[#This Row],[DNI]],S_S[DNI],INDIRECT("S_S["&amp;Selectivo6[[#Headers],[R8]]&amp;"]")),"60 DNC")</f>
        <v>2</v>
      </c>
      <c r="N29" s="19" t="str" cm="1">
        <f t="array" aca="1" ref="N29" ca="1">IFERROR(_xlfn.XLOOKUP(Selectivo6[[#This Row],[DNI]],S_S[DNI],INDIRECT("S_S["&amp;Selectivo6[[#Headers],[R9]]&amp;"]")),"60 DNC")</f>
        <v>5</v>
      </c>
      <c r="O29" s="19" t="str">
        <f>IFERROR(_xlfn.XLOOKUP(Selectivo6[[#This Row],[DNI]],_VF2026[DNI],_VF2026[R1]),"65 DNC")</f>
        <v>15</v>
      </c>
      <c r="P29" s="20" t="str">
        <f>IFERROR(_xlfn.XLOOKUP(Selectivo6[[#This Row],[DNI]],_VF2026[DNI],_VF2026[R2]),"65 DNC")</f>
        <v>19</v>
      </c>
      <c r="Q29" s="19" t="str">
        <f>IFERROR(_xlfn.XLOOKUP(Selectivo6[[#This Row],[DNI]],_VF2026[DNI],_VF2026[R3]),"65 DNC")</f>
        <v>14</v>
      </c>
      <c r="R29" s="19" t="str">
        <f>IFERROR(_xlfn.XLOOKUP(Selectivo6[[#This Row],[DNI]],_VF2026[DNI],_VF2026[R4]),"65 DNC")</f>
        <v>7</v>
      </c>
      <c r="S29" s="19" t="str">
        <f>IFERROR(_xlfn.XLOOKUP(Selectivo6[[#This Row],[DNI]],_VF2026[DNI],_VF2026[R5]),"65 DNC")</f>
        <v>9</v>
      </c>
      <c r="T29" s="19" t="str">
        <f>IFERROR(_xlfn.XLOOKUP(Selectivo6[[#This Row],[DNI]],_VF2026[DNI],_VF2026[R6]),"65 DNC")</f>
        <v>12</v>
      </c>
      <c r="U29" s="19" t="str">
        <f>IFERROR(_xlfn.XLOOKUP(Selectivo6[[#This Row],[DNI]],_VF2026[DNI],_VF2026[R7]),"65 DNC")</f>
        <v>5</v>
      </c>
      <c r="V29" s="19" t="str">
        <f>IFERROR(_xlfn.XLOOKUP(Selectivo6[[#This Row],[DNI]],_VF2026[DNI],_VF2026[R8]),"65 DNC")</f>
        <v>10</v>
      </c>
      <c r="W29" s="19"/>
      <c r="X29" s="19"/>
      <c r="Y29" s="19"/>
      <c r="Z29" s="19"/>
      <c r="AA29" s="19"/>
      <c r="AB29" s="8" cm="1">
        <f t="array" aca="1" ref="AB29" ca="1">SUM(IFERROR(VALUE(LEFT(Regatas, FIND(" ",Regatas&amp; " ") - 1)), 0))</f>
        <v>178</v>
      </c>
      <c r="AC29" s="9" cm="1">
        <f t="array" aca="1" ref="AC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140</v>
      </c>
      <c r="AD29" s="6" cm="1">
        <f t="array" aca="1" ref="AD29" ca="1">SMALL(_xlfn._xlws.FILTER(RegatasN, RegatasN&lt;&gt;0), 1)</f>
        <v>2</v>
      </c>
      <c r="AE29" s="6" cm="1">
        <f t="array" aca="1" ref="AE29" ca="1">SMALL(_xlfn._xlws.FILTER(RegatasN, RegatasN&lt;&gt;0), 2)</f>
        <v>3</v>
      </c>
      <c r="AF29" s="6" cm="1">
        <f t="array" aca="1" ref="AF29" ca="1">SMALL(_xlfn._xlws.FILTER(RegatasN, RegatasN&lt;&gt;0), 3)</f>
        <v>5</v>
      </c>
      <c r="AG29" s="5" cm="1">
        <f t="array" aca="1" ref="AG29" ca="1">COUNTIF(Regatas,SMALL(_xlfn._xlws.FILTER(RegatasN, RegatasN&lt;&gt;0), 1))</f>
        <v>1</v>
      </c>
      <c r="AH29" s="6" t="e" cm="1">
        <f t="array" ref="AH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0" spans="1:34">
      <c r="A30">
        <v>53185733</v>
      </c>
      <c r="B30" s="10">
        <f>ROW()-ROW(Selectivo6[[#Headers],[Pos]])</f>
        <v>24</v>
      </c>
      <c r="C30" s="5">
        <v>3938</v>
      </c>
      <c r="D30" t="s">
        <v>209</v>
      </c>
      <c r="E30" t="s">
        <v>8</v>
      </c>
      <c r="F30" s="19" t="str" cm="1">
        <f t="array" aca="1" ref="F30" ca="1">IFERROR(_xlfn.XLOOKUP(Selectivo6[[#This Row],[DNI]],S_S[DNI],INDIRECT("S_S["&amp;Selectivo6[[#Headers],[R1]]&amp;"]")),"60 DNC")</f>
        <v>7</v>
      </c>
      <c r="G30" s="19" t="str" cm="1">
        <f t="array" aca="1" ref="G30" ca="1">IFERROR(_xlfn.XLOOKUP(Selectivo6[[#This Row],[DNI]],S_S[DNI],INDIRECT("S_S["&amp;Selectivo6[[#Headers],[R2]]&amp;"]")),"60 DNC")</f>
        <v>1</v>
      </c>
      <c r="H30" s="19" t="str" cm="1">
        <f t="array" aca="1" ref="H30" ca="1">IFERROR(_xlfn.XLOOKUP(Selectivo6[[#This Row],[DNI]],S_S[DNI],INDIRECT("S_S["&amp;Selectivo6[[#Headers],[R3]]&amp;"]")),"60 DNC")</f>
        <v>16</v>
      </c>
      <c r="I30" s="19" t="str" cm="1">
        <f t="array" aca="1" ref="I30" ca="1">IFERROR(_xlfn.XLOOKUP(Selectivo6[[#This Row],[DNI]],S_S[DNI],INDIRECT("S_S["&amp;Selectivo6[[#Headers],[R4]]&amp;"]")),"60 DNC")</f>
        <v>17</v>
      </c>
      <c r="J30" s="19" t="str" cm="1">
        <f t="array" aca="1" ref="J30" ca="1">IFERROR(_xlfn.XLOOKUP(Selectivo6[[#This Row],[DNI]],S_S[DNI],INDIRECT("S_S["&amp;Selectivo6[[#Headers],[R5]]&amp;"]")),"60 DNC")</f>
        <v>8</v>
      </c>
      <c r="K30" s="19" t="str" cm="1">
        <f t="array" aca="1" ref="K30" ca="1">IFERROR(_xlfn.XLOOKUP(Selectivo6[[#This Row],[DNI]],S_S[DNI],INDIRECT("S_S["&amp;Selectivo6[[#Headers],[R6]]&amp;"]")),"60 DNC")</f>
        <v>11</v>
      </c>
      <c r="L30" s="19" t="str" cm="1">
        <f t="array" aca="1" ref="L30" ca="1">IFERROR(_xlfn.XLOOKUP(Selectivo6[[#This Row],[DNI]],S_S[DNI],INDIRECT("S_S["&amp;Selectivo6[[#Headers],[R7]]&amp;"]")),"60 DNC")</f>
        <v>11</v>
      </c>
      <c r="M30" s="19" t="str" cm="1">
        <f t="array" aca="1" ref="M30" ca="1">IFERROR(_xlfn.XLOOKUP(Selectivo6[[#This Row],[DNI]],S_S[DNI],INDIRECT("S_S["&amp;Selectivo6[[#Headers],[R8]]&amp;"]")),"60 DNC")</f>
        <v>3</v>
      </c>
      <c r="N30" s="19" t="str" cm="1">
        <f t="array" aca="1" ref="N30" ca="1">IFERROR(_xlfn.XLOOKUP(Selectivo6[[#This Row],[DNI]],S_S[DNI],INDIRECT("S_S["&amp;Selectivo6[[#Headers],[R9]]&amp;"]")),"60 DNC")</f>
        <v>8</v>
      </c>
      <c r="O30" s="19" t="str">
        <f>IFERROR(_xlfn.XLOOKUP(Selectivo6[[#This Row],[DNI]],_VF2026[DNI],_VF2026[R1]),"65 DNC")</f>
        <v>7</v>
      </c>
      <c r="P30" s="19" t="str">
        <f>IFERROR(_xlfn.XLOOKUP(Selectivo6[[#This Row],[DNI]],_VF2026[DNI],_VF2026[R2]),"65 DNC")</f>
        <v>18</v>
      </c>
      <c r="Q30" s="19" t="str">
        <f>IFERROR(_xlfn.XLOOKUP(Selectivo6[[#This Row],[DNI]],_VF2026[DNI],_VF2026[R3]),"65 DNC")</f>
        <v>8</v>
      </c>
      <c r="R30" s="19" t="str">
        <f>IFERROR(_xlfn.XLOOKUP(Selectivo6[[#This Row],[DNI]],_VF2026[DNI],_VF2026[R4]),"65 DNC")</f>
        <v>6</v>
      </c>
      <c r="S30" s="19" t="str">
        <f>IFERROR(_xlfn.XLOOKUP(Selectivo6[[#This Row],[DNI]],_VF2026[DNI],_VF2026[R5]),"65 DNC")</f>
        <v>17</v>
      </c>
      <c r="T30" s="19" t="str">
        <f>IFERROR(_xlfn.XLOOKUP(Selectivo6[[#This Row],[DNI]],_VF2026[DNI],_VF2026[R6]),"65 DNC")</f>
        <v>7</v>
      </c>
      <c r="U30" s="20" t="str">
        <f>IFERROR(_xlfn.XLOOKUP(Selectivo6[[#This Row],[DNI]],_VF2026[DNI],_VF2026[R7]),"65 DNC")</f>
        <v>41</v>
      </c>
      <c r="V30" s="20" t="str">
        <f>IFERROR(_xlfn.XLOOKUP(Selectivo6[[#This Row],[DNI]],_VF2026[DNI],_VF2026[R8]),"65 DNC")</f>
        <v>65 BFD</v>
      </c>
      <c r="W30" s="19"/>
      <c r="X30" s="19"/>
      <c r="Y30" s="19"/>
      <c r="Z30" s="19"/>
      <c r="AA30" s="19"/>
      <c r="AB30" s="8" cm="1">
        <f t="array" aca="1" ref="AB30" ca="1">SUM(IFERROR(VALUE(LEFT(Regatas, FIND(" ",Regatas&amp; " ") - 1)), 0))</f>
        <v>251</v>
      </c>
      <c r="AC30" s="9" cm="1">
        <f t="array" aca="1" ref="AC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145</v>
      </c>
      <c r="AD30" s="6" cm="1">
        <f t="array" aca="1" ref="AD30" ca="1">SMALL(_xlfn._xlws.FILTER(RegatasN, RegatasN&lt;&gt;0), 1)</f>
        <v>1</v>
      </c>
      <c r="AE30" s="6" cm="1">
        <f t="array" aca="1" ref="AE30" ca="1">SMALL(_xlfn._xlws.FILTER(RegatasN, RegatasN&lt;&gt;0), 2)</f>
        <v>3</v>
      </c>
      <c r="AF30" s="6" cm="1">
        <f t="array" aca="1" ref="AF30" ca="1">SMALL(_xlfn._xlws.FILTER(RegatasN, RegatasN&lt;&gt;0), 3)</f>
        <v>6</v>
      </c>
      <c r="AG30" s="5" cm="1">
        <f t="array" aca="1" ref="AG30" ca="1">COUNTIF(Regatas,SMALL(_xlfn._xlws.FILTER(RegatasN, RegatasN&lt;&gt;0), 1))</f>
        <v>1</v>
      </c>
      <c r="AH30" s="6" t="e" cm="1">
        <f t="array" ref="AH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1" spans="1:34">
      <c r="A31">
        <v>51102204</v>
      </c>
      <c r="B31" s="10">
        <f>ROW()-ROW(Selectivo6[[#Headers],[Pos]])</f>
        <v>25</v>
      </c>
      <c r="C31" s="5">
        <v>4146</v>
      </c>
      <c r="D31" t="s">
        <v>223</v>
      </c>
      <c r="E31" t="s">
        <v>17</v>
      </c>
      <c r="F31" s="19" t="str" cm="1">
        <f t="array" aca="1" ref="F31" ca="1">IFERROR(_xlfn.XLOOKUP(Selectivo6[[#This Row],[DNI]],S_S[DNI],INDIRECT("S_S["&amp;Selectivo6[[#Headers],[R1]]&amp;"]")),"60 DNC")</f>
        <v>6</v>
      </c>
      <c r="G31" s="19" t="str" cm="1">
        <f t="array" aca="1" ref="G31" ca="1">IFERROR(_xlfn.XLOOKUP(Selectivo6[[#This Row],[DNI]],S_S[DNI],INDIRECT("S_S["&amp;Selectivo6[[#Headers],[R2]]&amp;"]")),"60 DNC")</f>
        <v>15</v>
      </c>
      <c r="H31" s="19" t="str" cm="1">
        <f t="array" aca="1" ref="H31" ca="1">IFERROR(_xlfn.XLOOKUP(Selectivo6[[#This Row],[DNI]],S_S[DNI],INDIRECT("S_S["&amp;Selectivo6[[#Headers],[R3]]&amp;"]")),"60 DNC")</f>
        <v>6</v>
      </c>
      <c r="I31" s="20" t="str" cm="1">
        <f t="array" aca="1" ref="I31" ca="1">IFERROR(_xlfn.XLOOKUP(Selectivo6[[#This Row],[DNI]],S_S[DNI],INDIRECT("S_S["&amp;Selectivo6[[#Headers],[R4]]&amp;"]")),"60 DNC")</f>
        <v>30</v>
      </c>
      <c r="J31" s="19" t="str" cm="1">
        <f t="array" aca="1" ref="J31" ca="1">IFERROR(_xlfn.XLOOKUP(Selectivo6[[#This Row],[DNI]],S_S[DNI],INDIRECT("S_S["&amp;Selectivo6[[#Headers],[R5]]&amp;"]")),"60 DNC")</f>
        <v>17</v>
      </c>
      <c r="K31" s="19" t="str" cm="1">
        <f t="array" aca="1" ref="K31" ca="1">IFERROR(_xlfn.XLOOKUP(Selectivo6[[#This Row],[DNI]],S_S[DNI],INDIRECT("S_S["&amp;Selectivo6[[#Headers],[R6]]&amp;"]")),"60 DNC")</f>
        <v>14</v>
      </c>
      <c r="L31" s="19" t="str" cm="1">
        <f t="array" aca="1" ref="L31" ca="1">IFERROR(_xlfn.XLOOKUP(Selectivo6[[#This Row],[DNI]],S_S[DNI],INDIRECT("S_S["&amp;Selectivo6[[#Headers],[R7]]&amp;"]")),"60 DNC")</f>
        <v>10</v>
      </c>
      <c r="M31" s="19" t="str" cm="1">
        <f t="array" aca="1" ref="M31" ca="1">IFERROR(_xlfn.XLOOKUP(Selectivo6[[#This Row],[DNI]],S_S[DNI],INDIRECT("S_S["&amp;Selectivo6[[#Headers],[R8]]&amp;"]")),"60 DNC")</f>
        <v>7</v>
      </c>
      <c r="N31" s="19" t="str" cm="1">
        <f t="array" aca="1" ref="N31" ca="1">IFERROR(_xlfn.XLOOKUP(Selectivo6[[#This Row],[DNI]],S_S[DNI],INDIRECT("S_S["&amp;Selectivo6[[#Headers],[R9]]&amp;"]")),"60 DNC")</f>
        <v>2</v>
      </c>
      <c r="O31" s="19" t="str">
        <f>IFERROR(_xlfn.XLOOKUP(Selectivo6[[#This Row],[DNI]],_VF2026[DNI],_VF2026[R1]),"65 DNC")</f>
        <v>4</v>
      </c>
      <c r="P31" s="19" t="str">
        <f>IFERROR(_xlfn.XLOOKUP(Selectivo6[[#This Row],[DNI]],_VF2026[DNI],_VF2026[R2]),"65 DNC")</f>
        <v>6</v>
      </c>
      <c r="Q31" s="19" t="str">
        <f>IFERROR(_xlfn.XLOOKUP(Selectivo6[[#This Row],[DNI]],_VF2026[DNI],_VF2026[R3]),"65 DNC")</f>
        <v>6</v>
      </c>
      <c r="R31" s="19" t="str">
        <f>IFERROR(_xlfn.XLOOKUP(Selectivo6[[#This Row],[DNI]],_VF2026[DNI],_VF2026[R4]),"65 DNC")</f>
        <v>6</v>
      </c>
      <c r="S31" s="19" t="str">
        <f>IFERROR(_xlfn.XLOOKUP(Selectivo6[[#This Row],[DNI]],_VF2026[DNI],_VF2026[R5]),"65 DNC")</f>
        <v>5</v>
      </c>
      <c r="T31" s="19" t="str">
        <f>IFERROR(_xlfn.XLOOKUP(Selectivo6[[#This Row],[DNI]],_VF2026[DNI],_VF2026[R6]),"65 DNC")</f>
        <v>22</v>
      </c>
      <c r="U31" s="19" t="str">
        <f>IFERROR(_xlfn.XLOOKUP(Selectivo6[[#This Row],[DNI]],_VF2026[DNI],_VF2026[R7]),"65 DNC")</f>
        <v>19</v>
      </c>
      <c r="V31" s="20" t="str">
        <f>IFERROR(_xlfn.XLOOKUP(Selectivo6[[#This Row],[DNI]],_VF2026[DNI],_VF2026[R8]),"65 DNC")</f>
        <v>39</v>
      </c>
      <c r="W31" s="19"/>
      <c r="X31" s="19"/>
      <c r="Y31" s="19"/>
      <c r="Z31" s="19"/>
      <c r="AA31" s="19"/>
      <c r="AB31" s="8" cm="1">
        <f t="array" aca="1" ref="AB31" ca="1">SUM(IFERROR(VALUE(LEFT(Regatas, FIND(" ",Regatas&amp; " ") - 1)), 0))</f>
        <v>214</v>
      </c>
      <c r="AC31" s="9" cm="1">
        <f t="array" aca="1" ref="AC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145</v>
      </c>
      <c r="AD31" s="6" cm="1">
        <f t="array" aca="1" ref="AD31" ca="1">SMALL(_xlfn._xlws.FILTER(RegatasN, RegatasN&lt;&gt;0), 1)</f>
        <v>2</v>
      </c>
      <c r="AE31" s="6" cm="1">
        <f t="array" aca="1" ref="AE31" ca="1">SMALL(_xlfn._xlws.FILTER(RegatasN, RegatasN&lt;&gt;0), 2)</f>
        <v>4</v>
      </c>
      <c r="AF31" s="6" cm="1">
        <f t="array" aca="1" ref="AF31" ca="1">SMALL(_xlfn._xlws.FILTER(RegatasN, RegatasN&lt;&gt;0), 3)</f>
        <v>5</v>
      </c>
      <c r="AG31" s="5" cm="1">
        <f t="array" aca="1" ref="AG31" ca="1">COUNTIF(Regatas,SMALL(_xlfn._xlws.FILTER(RegatasN, RegatasN&lt;&gt;0), 1))</f>
        <v>1</v>
      </c>
      <c r="AH31" s="6" t="e" cm="1">
        <f t="array" ref="AH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2" spans="1:34">
      <c r="A32">
        <v>51125616</v>
      </c>
      <c r="B32" s="10">
        <f>ROW()-ROW(Selectivo6[[#Headers],[Pos]])</f>
        <v>26</v>
      </c>
      <c r="C32" s="5">
        <v>4259</v>
      </c>
      <c r="D32" t="s">
        <v>205</v>
      </c>
      <c r="E32" t="s">
        <v>26</v>
      </c>
      <c r="F32" s="19" t="str" cm="1">
        <f t="array" aca="1" ref="F32" ca="1">IFERROR(_xlfn.XLOOKUP(Selectivo6[[#This Row],[DNI]],S_S[DNI],INDIRECT("S_S["&amp;Selectivo6[[#Headers],[R1]]&amp;"]")),"60 DNC")</f>
        <v>4</v>
      </c>
      <c r="G32" s="19" t="str" cm="1">
        <f t="array" aca="1" ref="G32" ca="1">IFERROR(_xlfn.XLOOKUP(Selectivo6[[#This Row],[DNI]],S_S[DNI],INDIRECT("S_S["&amp;Selectivo6[[#Headers],[R2]]&amp;"]")),"60 DNC")</f>
        <v>12</v>
      </c>
      <c r="H32" s="19" t="str" cm="1">
        <f t="array" aca="1" ref="H32" ca="1">IFERROR(_xlfn.XLOOKUP(Selectivo6[[#This Row],[DNI]],S_S[DNI],INDIRECT("S_S["&amp;Selectivo6[[#Headers],[R3]]&amp;"]")),"60 DNC")</f>
        <v>13</v>
      </c>
      <c r="I32" s="20" t="str" cm="1">
        <f t="array" aca="1" ref="I32" ca="1">IFERROR(_xlfn.XLOOKUP(Selectivo6[[#This Row],[DNI]],S_S[DNI],INDIRECT("S_S["&amp;Selectivo6[[#Headers],[R4]]&amp;"]")),"60 DNC")</f>
        <v>46</v>
      </c>
      <c r="J32" s="19" t="str" cm="1">
        <f t="array" aca="1" ref="J32" ca="1">IFERROR(_xlfn.XLOOKUP(Selectivo6[[#This Row],[DNI]],S_S[DNI],INDIRECT("S_S["&amp;Selectivo6[[#Headers],[R5]]&amp;"]")),"60 DNC")</f>
        <v>7</v>
      </c>
      <c r="K32" s="19" t="str" cm="1">
        <f t="array" aca="1" ref="K32" ca="1">IFERROR(_xlfn.XLOOKUP(Selectivo6[[#This Row],[DNI]],S_S[DNI],INDIRECT("S_S["&amp;Selectivo6[[#Headers],[R6]]&amp;"]")),"60 DNC")</f>
        <v>8</v>
      </c>
      <c r="L32" s="19" t="str" cm="1">
        <f t="array" aca="1" ref="L32" ca="1">IFERROR(_xlfn.XLOOKUP(Selectivo6[[#This Row],[DNI]],S_S[DNI],INDIRECT("S_S["&amp;Selectivo6[[#Headers],[R7]]&amp;"]")),"60 DNC")</f>
        <v>7</v>
      </c>
      <c r="M32" s="19" t="str" cm="1">
        <f t="array" aca="1" ref="M32" ca="1">IFERROR(_xlfn.XLOOKUP(Selectivo6[[#This Row],[DNI]],S_S[DNI],INDIRECT("S_S["&amp;Selectivo6[[#Headers],[R8]]&amp;"]")),"60 DNC")</f>
        <v>8</v>
      </c>
      <c r="N32" s="19" t="str" cm="1">
        <f t="array" aca="1" ref="N32" ca="1">IFERROR(_xlfn.XLOOKUP(Selectivo6[[#This Row],[DNI]],S_S[DNI],INDIRECT("S_S["&amp;Selectivo6[[#Headers],[R9]]&amp;"]")),"60 DNC")</f>
        <v>3</v>
      </c>
      <c r="O32" s="19" t="str">
        <f>IFERROR(_xlfn.XLOOKUP(Selectivo6[[#This Row],[DNI]],_VF2026[DNI],_VF2026[R1]),"65 DNC")</f>
        <v>17</v>
      </c>
      <c r="P32" s="19" t="str">
        <f>IFERROR(_xlfn.XLOOKUP(Selectivo6[[#This Row],[DNI]],_VF2026[DNI],_VF2026[R2]),"65 DNC")</f>
        <v>10</v>
      </c>
      <c r="Q32" s="19" t="str">
        <f>IFERROR(_xlfn.XLOOKUP(Selectivo6[[#This Row],[DNI]],_VF2026[DNI],_VF2026[R3]),"65 DNC")</f>
        <v>14</v>
      </c>
      <c r="R32" s="19" t="str">
        <f>IFERROR(_xlfn.XLOOKUP(Selectivo6[[#This Row],[DNI]],_VF2026[DNI],_VF2026[R4]),"65 DNC")</f>
        <v>4</v>
      </c>
      <c r="S32" s="19" t="str">
        <f>IFERROR(_xlfn.XLOOKUP(Selectivo6[[#This Row],[DNI]],_VF2026[DNI],_VF2026[R5]),"65 DNC")</f>
        <v>1</v>
      </c>
      <c r="T32" s="20" t="str">
        <f>IFERROR(_xlfn.XLOOKUP(Selectivo6[[#This Row],[DNI]],_VF2026[DNI],_VF2026[R6]),"65 DNC")</f>
        <v>65 DSQ</v>
      </c>
      <c r="U32" s="19" t="str">
        <f>IFERROR(_xlfn.XLOOKUP(Selectivo6[[#This Row],[DNI]],_VF2026[DNI],_VF2026[R7]),"65 DNC")</f>
        <v>13</v>
      </c>
      <c r="V32" s="19" t="str">
        <f>IFERROR(_xlfn.XLOOKUP(Selectivo6[[#This Row],[DNI]],_VF2026[DNI],_VF2026[R8]),"65 DNC")</f>
        <v>28</v>
      </c>
      <c r="W32" s="19"/>
      <c r="X32" s="19"/>
      <c r="Y32" s="19"/>
      <c r="Z32" s="19"/>
      <c r="AA32" s="19"/>
      <c r="AB32" s="8" cm="1">
        <f t="array" aca="1" ref="AB32" ca="1">SUM(IFERROR(VALUE(LEFT(Regatas, FIND(" ",Regatas&amp; " ") - 1)), 0))</f>
        <v>260</v>
      </c>
      <c r="AC32" s="9" cm="1">
        <f t="array" aca="1" ref="AC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149</v>
      </c>
      <c r="AD32" s="6" cm="1">
        <f t="array" aca="1" ref="AD32" ca="1">SMALL(_xlfn._xlws.FILTER(RegatasN, RegatasN&lt;&gt;0), 1)</f>
        <v>1</v>
      </c>
      <c r="AE32" s="6" cm="1">
        <f t="array" aca="1" ref="AE32" ca="1">SMALL(_xlfn._xlws.FILTER(RegatasN, RegatasN&lt;&gt;0), 2)</f>
        <v>3</v>
      </c>
      <c r="AF32" s="6" cm="1">
        <f t="array" aca="1" ref="AF32" ca="1">SMALL(_xlfn._xlws.FILTER(RegatasN, RegatasN&lt;&gt;0), 3)</f>
        <v>4</v>
      </c>
      <c r="AG32" s="5" cm="1">
        <f t="array" aca="1" ref="AG32" ca="1">COUNTIF(Regatas,SMALL(_xlfn._xlws.FILTER(RegatasN, RegatasN&lt;&gt;0), 1))</f>
        <v>1</v>
      </c>
      <c r="AH32" s="6" t="e" cm="1">
        <f t="array" ref="AH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3" spans="1:34">
      <c r="A33">
        <v>53956527</v>
      </c>
      <c r="B33" s="10">
        <f>ROW()-ROW(Selectivo6[[#Headers],[Pos]])</f>
        <v>27</v>
      </c>
      <c r="C33" s="5">
        <v>3832</v>
      </c>
      <c r="D33" t="s">
        <v>221</v>
      </c>
      <c r="E33" t="s">
        <v>39</v>
      </c>
      <c r="F33" s="19" t="str" cm="1">
        <f t="array" aca="1" ref="F33" ca="1">IFERROR(_xlfn.XLOOKUP(Selectivo6[[#This Row],[DNI]],S_S[DNI],INDIRECT("S_S["&amp;Selectivo6[[#Headers],[R1]]&amp;"]")),"60 DNC")</f>
        <v>10</v>
      </c>
      <c r="G33" s="19" t="str" cm="1">
        <f t="array" aca="1" ref="G33" ca="1">IFERROR(_xlfn.XLOOKUP(Selectivo6[[#This Row],[DNI]],S_S[DNI],INDIRECT("S_S["&amp;Selectivo6[[#Headers],[R2]]&amp;"]")),"60 DNC")</f>
        <v>22</v>
      </c>
      <c r="H33" s="19" t="str" cm="1">
        <f t="array" aca="1" ref="H33" ca="1">IFERROR(_xlfn.XLOOKUP(Selectivo6[[#This Row],[DNI]],S_S[DNI],INDIRECT("S_S["&amp;Selectivo6[[#Headers],[R3]]&amp;"]")),"60 DNC")</f>
        <v>5</v>
      </c>
      <c r="I33" s="19" t="str" cm="1">
        <f t="array" aca="1" ref="I33" ca="1">IFERROR(_xlfn.XLOOKUP(Selectivo6[[#This Row],[DNI]],S_S[DNI],INDIRECT("S_S["&amp;Selectivo6[[#Headers],[R4]]&amp;"]")),"60 DNC")</f>
        <v>8</v>
      </c>
      <c r="J33" s="19" t="str" cm="1">
        <f t="array" aca="1" ref="J33" ca="1">IFERROR(_xlfn.XLOOKUP(Selectivo6[[#This Row],[DNI]],S_S[DNI],INDIRECT("S_S["&amp;Selectivo6[[#Headers],[R5]]&amp;"]")),"60 DNC")</f>
        <v>9</v>
      </c>
      <c r="K33" s="19" t="str" cm="1">
        <f t="array" aca="1" ref="K33" ca="1">IFERROR(_xlfn.XLOOKUP(Selectivo6[[#This Row],[DNI]],S_S[DNI],INDIRECT("S_S["&amp;Selectivo6[[#Headers],[R6]]&amp;"]")),"60 DNC")</f>
        <v>3</v>
      </c>
      <c r="L33" s="19" t="str" cm="1">
        <f t="array" aca="1" ref="L33" ca="1">IFERROR(_xlfn.XLOOKUP(Selectivo6[[#This Row],[DNI]],S_S[DNI],INDIRECT("S_S["&amp;Selectivo6[[#Headers],[R7]]&amp;"]")),"60 DNC")</f>
        <v>12</v>
      </c>
      <c r="M33" s="19" t="str" cm="1">
        <f t="array" aca="1" ref="M33" ca="1">IFERROR(_xlfn.XLOOKUP(Selectivo6[[#This Row],[DNI]],S_S[DNI],INDIRECT("S_S["&amp;Selectivo6[[#Headers],[R8]]&amp;"]")),"60 DNC")</f>
        <v>12</v>
      </c>
      <c r="N33" s="19" t="str" cm="1">
        <f t="array" aca="1" ref="N33" ca="1">IFERROR(_xlfn.XLOOKUP(Selectivo6[[#This Row],[DNI]],S_S[DNI],INDIRECT("S_S["&amp;Selectivo6[[#Headers],[R9]]&amp;"]")),"60 DNC")</f>
        <v>13</v>
      </c>
      <c r="O33" s="19" t="str">
        <f>IFERROR(_xlfn.XLOOKUP(Selectivo6[[#This Row],[DNI]],_VF2026[DNI],_VF2026[R1]),"65 DNC")</f>
        <v>18</v>
      </c>
      <c r="P33" s="20" t="str">
        <f>IFERROR(_xlfn.XLOOKUP(Selectivo6[[#This Row],[DNI]],_VF2026[DNI],_VF2026[R2]),"65 DNC")</f>
        <v>23</v>
      </c>
      <c r="Q33" s="19" t="str">
        <f>IFERROR(_xlfn.XLOOKUP(Selectivo6[[#This Row],[DNI]],_VF2026[DNI],_VF2026[R3]),"65 DNC")</f>
        <v>11</v>
      </c>
      <c r="R33" s="19" t="str">
        <f>IFERROR(_xlfn.XLOOKUP(Selectivo6[[#This Row],[DNI]],_VF2026[DNI],_VF2026[R4]),"65 DNC")</f>
        <v>16</v>
      </c>
      <c r="S33" s="20" t="str">
        <f>IFERROR(_xlfn.XLOOKUP(Selectivo6[[#This Row],[DNI]],_VF2026[DNI],_VF2026[R5]),"65 DNC")</f>
        <v>27</v>
      </c>
      <c r="T33" s="19" t="str">
        <f>IFERROR(_xlfn.XLOOKUP(Selectivo6[[#This Row],[DNI]],_VF2026[DNI],_VF2026[R6]),"65 DNC")</f>
        <v>1</v>
      </c>
      <c r="U33" s="19" t="str">
        <f>IFERROR(_xlfn.XLOOKUP(Selectivo6[[#This Row],[DNI]],_VF2026[DNI],_VF2026[R7]),"65 DNC")</f>
        <v>4</v>
      </c>
      <c r="V33" s="19" t="str">
        <f>IFERROR(_xlfn.XLOOKUP(Selectivo6[[#This Row],[DNI]],_VF2026[DNI],_VF2026[R8]),"65 DNC")</f>
        <v>6</v>
      </c>
      <c r="W33" s="19"/>
      <c r="X33" s="19"/>
      <c r="Y33" s="19"/>
      <c r="Z33" s="19"/>
      <c r="AA33" s="19"/>
      <c r="AB33" s="8" cm="1">
        <f t="array" aca="1" ref="AB33" ca="1">SUM(IFERROR(VALUE(LEFT(Regatas, FIND(" ",Regatas&amp; " ") - 1)), 0))</f>
        <v>200</v>
      </c>
      <c r="AC33" s="9" cm="1">
        <f t="array" aca="1" ref="AC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150</v>
      </c>
      <c r="AD33" s="6" cm="1">
        <f t="array" aca="1" ref="AD33" ca="1">SMALL(_xlfn._xlws.FILTER(RegatasN, RegatasN&lt;&gt;0), 1)</f>
        <v>1</v>
      </c>
      <c r="AE33" s="6" cm="1">
        <f t="array" aca="1" ref="AE33" ca="1">SMALL(_xlfn._xlws.FILTER(RegatasN, RegatasN&lt;&gt;0), 2)</f>
        <v>3</v>
      </c>
      <c r="AF33" s="6" cm="1">
        <f t="array" aca="1" ref="AF33" ca="1">SMALL(_xlfn._xlws.FILTER(RegatasN, RegatasN&lt;&gt;0), 3)</f>
        <v>4</v>
      </c>
      <c r="AG33" s="5" cm="1">
        <f t="array" aca="1" ref="AG33" ca="1">COUNTIF(Regatas,SMALL(_xlfn._xlws.FILTER(RegatasN, RegatasN&lt;&gt;0), 1))</f>
        <v>1</v>
      </c>
      <c r="AH33" s="6" t="e" cm="1">
        <f t="array" ref="AH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4" spans="1:34">
      <c r="A34">
        <v>51167440</v>
      </c>
      <c r="B34" s="10">
        <f>ROW()-ROW(Selectivo6[[#Headers],[Pos]])</f>
        <v>28</v>
      </c>
      <c r="C34" s="5">
        <v>4001</v>
      </c>
      <c r="D34" t="s">
        <v>239</v>
      </c>
      <c r="E34" t="s">
        <v>23</v>
      </c>
      <c r="F34" s="19" t="str" cm="1">
        <f t="array" aca="1" ref="F34" ca="1">IFERROR(_xlfn.XLOOKUP(Selectivo6[[#This Row],[DNI]],S_S[DNI],INDIRECT("S_S["&amp;Selectivo6[[#Headers],[R1]]&amp;"]")),"60 DNC")</f>
        <v>8</v>
      </c>
      <c r="G34" s="19" t="str" cm="1">
        <f t="array" aca="1" ref="G34" ca="1">IFERROR(_xlfn.XLOOKUP(Selectivo6[[#This Row],[DNI]],S_S[DNI],INDIRECT("S_S["&amp;Selectivo6[[#Headers],[R2]]&amp;"]")),"60 DNC")</f>
        <v>15</v>
      </c>
      <c r="H34" s="19" t="str" cm="1">
        <f t="array" aca="1" ref="H34" ca="1">IFERROR(_xlfn.XLOOKUP(Selectivo6[[#This Row],[DNI]],S_S[DNI],INDIRECT("S_S["&amp;Selectivo6[[#Headers],[R3]]&amp;"]")),"60 DNC")</f>
        <v>11</v>
      </c>
      <c r="I34" s="20" t="str" cm="1">
        <f t="array" aca="1" ref="I34" ca="1">IFERROR(_xlfn.XLOOKUP(Selectivo6[[#This Row],[DNI]],S_S[DNI],INDIRECT("S_S["&amp;Selectivo6[[#Headers],[R4]]&amp;"]")),"60 DNC")</f>
        <v>25</v>
      </c>
      <c r="J34" s="20" t="str" cm="1">
        <f t="array" aca="1" ref="J34" ca="1">IFERROR(_xlfn.XLOOKUP(Selectivo6[[#This Row],[DNI]],S_S[DNI],INDIRECT("S_S["&amp;Selectivo6[[#Headers],[R5]]&amp;"]")),"60 DNC")</f>
        <v>37</v>
      </c>
      <c r="K34" s="19" t="str" cm="1">
        <f t="array" aca="1" ref="K34" ca="1">IFERROR(_xlfn.XLOOKUP(Selectivo6[[#This Row],[DNI]],S_S[DNI],INDIRECT("S_S["&amp;Selectivo6[[#Headers],[R6]]&amp;"]")),"60 DNC")</f>
        <v>6</v>
      </c>
      <c r="L34" s="19" t="str" cm="1">
        <f t="array" aca="1" ref="L34" ca="1">IFERROR(_xlfn.XLOOKUP(Selectivo6[[#This Row],[DNI]],S_S[DNI],INDIRECT("S_S["&amp;Selectivo6[[#Headers],[R7]]&amp;"]")),"60 DNC")</f>
        <v>2</v>
      </c>
      <c r="M34" s="19" t="str" cm="1">
        <f t="array" aca="1" ref="M34" ca="1">IFERROR(_xlfn.XLOOKUP(Selectivo6[[#This Row],[DNI]],S_S[DNI],INDIRECT("S_S["&amp;Selectivo6[[#Headers],[R8]]&amp;"]")),"60 DNC")</f>
        <v>25</v>
      </c>
      <c r="N34" s="19" t="str" cm="1">
        <f t="array" aca="1" ref="N34" ca="1">IFERROR(_xlfn.XLOOKUP(Selectivo6[[#This Row],[DNI]],S_S[DNI],INDIRECT("S_S["&amp;Selectivo6[[#Headers],[R9]]&amp;"]")),"60 DNC")</f>
        <v>4</v>
      </c>
      <c r="O34" s="19" t="str">
        <f>IFERROR(_xlfn.XLOOKUP(Selectivo6[[#This Row],[DNI]],_VF2026[DNI],_VF2026[R1]),"65 DNC")</f>
        <v>16</v>
      </c>
      <c r="P34" s="19" t="str">
        <f>IFERROR(_xlfn.XLOOKUP(Selectivo6[[#This Row],[DNI]],_VF2026[DNI],_VF2026[R2]),"65 DNC")</f>
        <v>15</v>
      </c>
      <c r="Q34" s="19" t="str">
        <f>IFERROR(_xlfn.XLOOKUP(Selectivo6[[#This Row],[DNI]],_VF2026[DNI],_VF2026[R3]),"65 DNC")</f>
        <v>9</v>
      </c>
      <c r="R34" s="19" t="str">
        <f>IFERROR(_xlfn.XLOOKUP(Selectivo6[[#This Row],[DNI]],_VF2026[DNI],_VF2026[R4]),"65 DNC")</f>
        <v>9</v>
      </c>
      <c r="S34" s="19" t="str">
        <f>IFERROR(_xlfn.XLOOKUP(Selectivo6[[#This Row],[DNI]],_VF2026[DNI],_VF2026[R5]),"65 DNC")</f>
        <v>6</v>
      </c>
      <c r="T34" s="19" t="str">
        <f>IFERROR(_xlfn.XLOOKUP(Selectivo6[[#This Row],[DNI]],_VF2026[DNI],_VF2026[R6]),"65 DNC")</f>
        <v>8</v>
      </c>
      <c r="U34" s="19" t="str">
        <f>IFERROR(_xlfn.XLOOKUP(Selectivo6[[#This Row],[DNI]],_VF2026[DNI],_VF2026[R7]),"65 DNC")</f>
        <v>17</v>
      </c>
      <c r="V34" s="19" t="str">
        <f>IFERROR(_xlfn.XLOOKUP(Selectivo6[[#This Row],[DNI]],_VF2026[DNI],_VF2026[R8]),"65 DNC")</f>
        <v>7</v>
      </c>
      <c r="W34" s="19"/>
      <c r="X34" s="19"/>
      <c r="Y34" s="19"/>
      <c r="Z34" s="19"/>
      <c r="AA34" s="19"/>
      <c r="AB34" s="8" cm="1">
        <f t="array" aca="1" ref="AB34" ca="1">SUM(IFERROR(VALUE(LEFT(Regatas, FIND(" ",Regatas&amp; " ") - 1)), 0))</f>
        <v>220</v>
      </c>
      <c r="AC34" s="9" cm="1">
        <f t="array" aca="1" ref="AC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158</v>
      </c>
      <c r="AD34" s="6" cm="1">
        <f t="array" aca="1" ref="AD34" ca="1">SMALL(_xlfn._xlws.FILTER(RegatasN, RegatasN&lt;&gt;0), 1)</f>
        <v>2</v>
      </c>
      <c r="AE34" s="6" cm="1">
        <f t="array" aca="1" ref="AE34" ca="1">SMALL(_xlfn._xlws.FILTER(RegatasN, RegatasN&lt;&gt;0), 2)</f>
        <v>4</v>
      </c>
      <c r="AF34" s="6" cm="1">
        <f t="array" aca="1" ref="AF34" ca="1">SMALL(_xlfn._xlws.FILTER(RegatasN, RegatasN&lt;&gt;0), 3)</f>
        <v>6</v>
      </c>
      <c r="AG34" s="5" cm="1">
        <f t="array" aca="1" ref="AG34" ca="1">COUNTIF(Regatas,SMALL(_xlfn._xlws.FILTER(RegatasN, RegatasN&lt;&gt;0), 1))</f>
        <v>1</v>
      </c>
      <c r="AH34" s="6" t="e" cm="1">
        <f t="array" ref="AH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5" spans="1:34">
      <c r="A35">
        <v>52073632</v>
      </c>
      <c r="B35" s="10">
        <f>ROW()-ROW(Selectivo6[[#Headers],[Pos]])</f>
        <v>29</v>
      </c>
      <c r="C35" s="5">
        <v>4139</v>
      </c>
      <c r="D35" t="s">
        <v>235</v>
      </c>
      <c r="E35" t="s">
        <v>33</v>
      </c>
      <c r="F35" s="20" t="str" cm="1">
        <f t="array" aca="1" ref="F35" ca="1">IFERROR(_xlfn.XLOOKUP(Selectivo6[[#This Row],[DNI]],S_S[DNI],INDIRECT("S_S["&amp;Selectivo6[[#Headers],[R1]]&amp;"]")),"60 DNC")</f>
        <v>29</v>
      </c>
      <c r="G35" s="19" t="str" cm="1">
        <f t="array" aca="1" ref="G35" ca="1">IFERROR(_xlfn.XLOOKUP(Selectivo6[[#This Row],[DNI]],S_S[DNI],INDIRECT("S_S["&amp;Selectivo6[[#Headers],[R2]]&amp;"]")),"60 DNC")</f>
        <v>13</v>
      </c>
      <c r="H35" s="19" t="str" cm="1">
        <f t="array" aca="1" ref="H35" ca="1">IFERROR(_xlfn.XLOOKUP(Selectivo6[[#This Row],[DNI]],S_S[DNI],INDIRECT("S_S["&amp;Selectivo6[[#Headers],[R3]]&amp;"]")),"60 DNC")</f>
        <v>12</v>
      </c>
      <c r="I35" s="19" t="str" cm="1">
        <f t="array" aca="1" ref="I35" ca="1">IFERROR(_xlfn.XLOOKUP(Selectivo6[[#This Row],[DNI]],S_S[DNI],INDIRECT("S_S["&amp;Selectivo6[[#Headers],[R4]]&amp;"]")),"60 DNC")</f>
        <v>6</v>
      </c>
      <c r="J35" s="19" t="str" cm="1">
        <f t="array" aca="1" ref="J35" ca="1">IFERROR(_xlfn.XLOOKUP(Selectivo6[[#This Row],[DNI]],S_S[DNI],INDIRECT("S_S["&amp;Selectivo6[[#Headers],[R5]]&amp;"]")),"60 DNC")</f>
        <v>10</v>
      </c>
      <c r="K35" s="19" t="str" cm="1">
        <f t="array" aca="1" ref="K35" ca="1">IFERROR(_xlfn.XLOOKUP(Selectivo6[[#This Row],[DNI]],S_S[DNI],INDIRECT("S_S["&amp;Selectivo6[[#Headers],[R6]]&amp;"]")),"60 DNC")</f>
        <v>15</v>
      </c>
      <c r="L35" s="19" t="str" cm="1">
        <f t="array" aca="1" ref="L35" ca="1">IFERROR(_xlfn.XLOOKUP(Selectivo6[[#This Row],[DNI]],S_S[DNI],INDIRECT("S_S["&amp;Selectivo6[[#Headers],[R7]]&amp;"]")),"60 DNC")</f>
        <v>13</v>
      </c>
      <c r="M35" s="19" t="str" cm="1">
        <f t="array" aca="1" ref="M35" ca="1">IFERROR(_xlfn.XLOOKUP(Selectivo6[[#This Row],[DNI]],S_S[DNI],INDIRECT("S_S["&amp;Selectivo6[[#Headers],[R8]]&amp;"]")),"60 DNC")</f>
        <v>15</v>
      </c>
      <c r="N35" s="19" t="str" cm="1">
        <f t="array" aca="1" ref="N35" ca="1">IFERROR(_xlfn.XLOOKUP(Selectivo6[[#This Row],[DNI]],S_S[DNI],INDIRECT("S_S["&amp;Selectivo6[[#Headers],[R9]]&amp;"]")),"60 DNC")</f>
        <v>7</v>
      </c>
      <c r="O35" s="19" t="str">
        <f>IFERROR(_xlfn.XLOOKUP(Selectivo6[[#This Row],[DNI]],_VF2026[DNI],_VF2026[R1]),"65 DNC")</f>
        <v>13</v>
      </c>
      <c r="P35" s="20" t="str">
        <f>IFERROR(_xlfn.XLOOKUP(Selectivo6[[#This Row],[DNI]],_VF2026[DNI],_VF2026[R2]),"65 DNC")</f>
        <v>29</v>
      </c>
      <c r="Q35" s="19" t="str">
        <f>IFERROR(_xlfn.XLOOKUP(Selectivo6[[#This Row],[DNI]],_VF2026[DNI],_VF2026[R3]),"65 DNC")</f>
        <v>7</v>
      </c>
      <c r="R35" s="19" t="str">
        <f>IFERROR(_xlfn.XLOOKUP(Selectivo6[[#This Row],[DNI]],_VF2026[DNI],_VF2026[R4]),"65 DNC")</f>
        <v>11</v>
      </c>
      <c r="S35" s="19" t="str">
        <f>IFERROR(_xlfn.XLOOKUP(Selectivo6[[#This Row],[DNI]],_VF2026[DNI],_VF2026[R5]),"65 DNC")</f>
        <v>14</v>
      </c>
      <c r="T35" s="19" t="str">
        <f>IFERROR(_xlfn.XLOOKUP(Selectivo6[[#This Row],[DNI]],_VF2026[DNI],_VF2026[R6]),"65 DNC")</f>
        <v>2</v>
      </c>
      <c r="U35" s="19" t="str">
        <f>IFERROR(_xlfn.XLOOKUP(Selectivo6[[#This Row],[DNI]],_VF2026[DNI],_VF2026[R7]),"65 DNC")</f>
        <v>7</v>
      </c>
      <c r="V35" s="19" t="str">
        <f>IFERROR(_xlfn.XLOOKUP(Selectivo6[[#This Row],[DNI]],_VF2026[DNI],_VF2026[R8]),"65 DNC")</f>
        <v>16</v>
      </c>
      <c r="W35" s="19"/>
      <c r="X35" s="19"/>
      <c r="Y35" s="19"/>
      <c r="Z35" s="19"/>
      <c r="AA35" s="19"/>
      <c r="AB35" s="8" cm="1">
        <f t="array" aca="1" ref="AB35" ca="1">SUM(IFERROR(VALUE(LEFT(Regatas, FIND(" ",Regatas&amp; " ") - 1)), 0))</f>
        <v>219</v>
      </c>
      <c r="AC35" s="9" cm="1">
        <f t="array" aca="1" ref="AC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35" s="6" cm="1">
        <f t="array" aca="1" ref="AD35" ca="1">SMALL(_xlfn._xlws.FILTER(RegatasN, RegatasN&lt;&gt;0), 1)</f>
        <v>2</v>
      </c>
      <c r="AE35" s="6" cm="1">
        <f t="array" aca="1" ref="AE35" ca="1">SMALL(_xlfn._xlws.FILTER(RegatasN, RegatasN&lt;&gt;0), 2)</f>
        <v>6</v>
      </c>
      <c r="AF35" s="6" cm="1">
        <f t="array" aca="1" ref="AF35" ca="1">SMALL(_xlfn._xlws.FILTER(RegatasN, RegatasN&lt;&gt;0), 3)</f>
        <v>7</v>
      </c>
      <c r="AG35" s="5" cm="1">
        <f t="array" aca="1" ref="AG35" ca="1">COUNTIF(Regatas,SMALL(_xlfn._xlws.FILTER(RegatasN, RegatasN&lt;&gt;0), 1))</f>
        <v>1</v>
      </c>
      <c r="AH35" s="6" t="e" cm="1">
        <f t="array" ref="AH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6" spans="1:34">
      <c r="A36">
        <v>52699830</v>
      </c>
      <c r="B36" s="10">
        <f>ROW()-ROW(Selectivo6[[#Headers],[Pos]])</f>
        <v>30</v>
      </c>
      <c r="C36" s="5">
        <v>4181</v>
      </c>
      <c r="D36" t="s">
        <v>207</v>
      </c>
      <c r="E36" t="s">
        <v>5</v>
      </c>
      <c r="F36" s="19" t="str" cm="1">
        <f t="array" aca="1" ref="F36" ca="1">IFERROR(_xlfn.XLOOKUP(Selectivo6[[#This Row],[DNI]],S_S[DNI],INDIRECT("S_S["&amp;Selectivo6[[#Headers],[R1]]&amp;"]")),"60 DNC")</f>
        <v>15</v>
      </c>
      <c r="G36" s="19" t="str" cm="1">
        <f t="array" aca="1" ref="G36" ca="1">IFERROR(_xlfn.XLOOKUP(Selectivo6[[#This Row],[DNI]],S_S[DNI],INDIRECT("S_S["&amp;Selectivo6[[#Headers],[R2]]&amp;"]")),"60 DNC")</f>
        <v>6</v>
      </c>
      <c r="H36" s="19" t="str" cm="1">
        <f t="array" aca="1" ref="H36" ca="1">IFERROR(_xlfn.XLOOKUP(Selectivo6[[#This Row],[DNI]],S_S[DNI],INDIRECT("S_S["&amp;Selectivo6[[#Headers],[R3]]&amp;"]")),"60 DNC")</f>
        <v>4</v>
      </c>
      <c r="I36" s="19" t="str" cm="1">
        <f t="array" aca="1" ref="I36" ca="1">IFERROR(_xlfn.XLOOKUP(Selectivo6[[#This Row],[DNI]],S_S[DNI],INDIRECT("S_S["&amp;Selectivo6[[#Headers],[R4]]&amp;"]")),"60 DNC")</f>
        <v>14</v>
      </c>
      <c r="J36" s="20" t="str" cm="1">
        <f t="array" aca="1" ref="J36" ca="1">IFERROR(_xlfn.XLOOKUP(Selectivo6[[#This Row],[DNI]],S_S[DNI],INDIRECT("S_S["&amp;Selectivo6[[#Headers],[R5]]&amp;"]")),"60 DNC")</f>
        <v>20</v>
      </c>
      <c r="K36" s="19" t="str" cm="1">
        <f t="array" aca="1" ref="K36" ca="1">IFERROR(_xlfn.XLOOKUP(Selectivo6[[#This Row],[DNI]],S_S[DNI],INDIRECT("S_S["&amp;Selectivo6[[#Headers],[R6]]&amp;"]")),"60 DNC")</f>
        <v>4</v>
      </c>
      <c r="L36" s="19" t="str" cm="1">
        <f t="array" aca="1" ref="L36" ca="1">IFERROR(_xlfn.XLOOKUP(Selectivo6[[#This Row],[DNI]],S_S[DNI],INDIRECT("S_S["&amp;Selectivo6[[#Headers],[R7]]&amp;"]")),"60 DNC")</f>
        <v>9</v>
      </c>
      <c r="M36" s="19" t="str" cm="1">
        <f t="array" aca="1" ref="M36" ca="1">IFERROR(_xlfn.XLOOKUP(Selectivo6[[#This Row],[DNI]],S_S[DNI],INDIRECT("S_S["&amp;Selectivo6[[#Headers],[R8]]&amp;"]")),"60 DNC")</f>
        <v>5</v>
      </c>
      <c r="N36" s="19" t="str" cm="1">
        <f t="array" aca="1" ref="N36" ca="1">IFERROR(_xlfn.XLOOKUP(Selectivo6[[#This Row],[DNI]],S_S[DNI],INDIRECT("S_S["&amp;Selectivo6[[#Headers],[R9]]&amp;"]")),"60 DNC")</f>
        <v>5</v>
      </c>
      <c r="O36" s="20" t="str">
        <f>IFERROR(_xlfn.XLOOKUP(Selectivo6[[#This Row],[DNI]],_VF2026[DNI],_VF2026[R1]),"65 DNC")</f>
        <v>20</v>
      </c>
      <c r="P36" s="19" t="str">
        <f>IFERROR(_xlfn.XLOOKUP(Selectivo6[[#This Row],[DNI]],_VF2026[DNI],_VF2026[R2]),"65 DNC")</f>
        <v>13</v>
      </c>
      <c r="Q36" s="19" t="str">
        <f>IFERROR(_xlfn.XLOOKUP(Selectivo6[[#This Row],[DNI]],_VF2026[DNI],_VF2026[R3]),"65 DNC")</f>
        <v>8</v>
      </c>
      <c r="R36" s="19" t="str">
        <f>IFERROR(_xlfn.XLOOKUP(Selectivo6[[#This Row],[DNI]],_VF2026[DNI],_VF2026[R4]),"65 DNC")</f>
        <v>13</v>
      </c>
      <c r="S36" s="19" t="str">
        <f>IFERROR(_xlfn.XLOOKUP(Selectivo6[[#This Row],[DNI]],_VF2026[DNI],_VF2026[R5]),"65 DNC")</f>
        <v>19</v>
      </c>
      <c r="T36" s="19" t="str">
        <f>IFERROR(_xlfn.XLOOKUP(Selectivo6[[#This Row],[DNI]],_VF2026[DNI],_VF2026[R6]),"65 DNC")</f>
        <v>13 RDG</v>
      </c>
      <c r="U36" s="19" t="str">
        <f>IFERROR(_xlfn.XLOOKUP(Selectivo6[[#This Row],[DNI]],_VF2026[DNI],_VF2026[R7]),"65 DNC")</f>
        <v>18</v>
      </c>
      <c r="V36" s="19" t="str">
        <f>IFERROR(_xlfn.XLOOKUP(Selectivo6[[#This Row],[DNI]],_VF2026[DNI],_VF2026[R8]),"65 DNC")</f>
        <v>15</v>
      </c>
      <c r="W36" s="19"/>
      <c r="X36" s="19"/>
      <c r="Y36" s="19"/>
      <c r="Z36" s="19"/>
      <c r="AA36" s="19"/>
      <c r="AB36" s="8" cm="1">
        <f t="array" aca="1" ref="AB36" ca="1">SUM(IFERROR(VALUE(LEFT(Regatas, FIND(" ",Regatas&amp; " ") - 1)), 0))</f>
        <v>201</v>
      </c>
      <c r="AC36" s="9" cm="1">
        <f t="array" aca="1" ref="AC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36" s="6" cm="1">
        <f t="array" aca="1" ref="AD36" ca="1">SMALL(_xlfn._xlws.FILTER(RegatasN, RegatasN&lt;&gt;0), 1)</f>
        <v>4</v>
      </c>
      <c r="AE36" s="6" cm="1">
        <f t="array" aca="1" ref="AE36" ca="1">SMALL(_xlfn._xlws.FILTER(RegatasN, RegatasN&lt;&gt;0), 2)</f>
        <v>4</v>
      </c>
      <c r="AF36" s="6" cm="1">
        <f t="array" aca="1" ref="AF36" ca="1">SMALL(_xlfn._xlws.FILTER(RegatasN, RegatasN&lt;&gt;0), 3)</f>
        <v>5</v>
      </c>
      <c r="AG36" s="5" cm="1">
        <f t="array" aca="1" ref="AG36" ca="1">COUNTIF(Regatas,SMALL(_xlfn._xlws.FILTER(RegatasN, RegatasN&lt;&gt;0), 1))</f>
        <v>2</v>
      </c>
      <c r="AH36" s="6" t="e" cm="1">
        <f t="array" ref="AH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7" spans="1:34">
      <c r="A37">
        <v>51339867</v>
      </c>
      <c r="B37" s="10">
        <f>ROW()-ROW(Selectivo6[[#Headers],[Pos]])</f>
        <v>31</v>
      </c>
      <c r="C37" s="5">
        <v>4144</v>
      </c>
      <c r="D37" t="s">
        <v>227</v>
      </c>
      <c r="E37" t="s">
        <v>23</v>
      </c>
      <c r="F37" s="19" t="str" cm="1">
        <f t="array" aca="1" ref="F37" ca="1">IFERROR(_xlfn.XLOOKUP(Selectivo6[[#This Row],[DNI]],S_S[DNI],INDIRECT("S_S["&amp;Selectivo6[[#Headers],[R1]]&amp;"]")),"60 DNC")</f>
        <v>10</v>
      </c>
      <c r="G37" s="19" t="str" cm="1">
        <f t="array" aca="1" ref="G37" ca="1">IFERROR(_xlfn.XLOOKUP(Selectivo6[[#This Row],[DNI]],S_S[DNI],INDIRECT("S_S["&amp;Selectivo6[[#Headers],[R2]]&amp;"]")),"60 DNC")</f>
        <v>7</v>
      </c>
      <c r="H37" s="19" t="str" cm="1">
        <f t="array" aca="1" ref="H37" ca="1">IFERROR(_xlfn.XLOOKUP(Selectivo6[[#This Row],[DNI]],S_S[DNI],INDIRECT("S_S["&amp;Selectivo6[[#Headers],[R3]]&amp;"]")),"60 DNC")</f>
        <v>6</v>
      </c>
      <c r="I37" s="20" t="str" cm="1">
        <f t="array" aca="1" ref="I37" ca="1">IFERROR(_xlfn.XLOOKUP(Selectivo6[[#This Row],[DNI]],S_S[DNI],INDIRECT("S_S["&amp;Selectivo6[[#Headers],[R4]]&amp;"]")),"60 DNC")</f>
        <v>60 BFD</v>
      </c>
      <c r="J37" s="19" t="str" cm="1">
        <f t="array" aca="1" ref="J37" ca="1">IFERROR(_xlfn.XLOOKUP(Selectivo6[[#This Row],[DNI]],S_S[DNI],INDIRECT("S_S["&amp;Selectivo6[[#Headers],[R5]]&amp;"]")),"60 DNC")</f>
        <v>12</v>
      </c>
      <c r="K37" s="19" t="str" cm="1">
        <f t="array" aca="1" ref="K37" ca="1">IFERROR(_xlfn.XLOOKUP(Selectivo6[[#This Row],[DNI]],S_S[DNI],INDIRECT("S_S["&amp;Selectivo6[[#Headers],[R6]]&amp;"]")),"60 DNC")</f>
        <v>14</v>
      </c>
      <c r="L37" s="19" t="str" cm="1">
        <f t="array" aca="1" ref="L37" ca="1">IFERROR(_xlfn.XLOOKUP(Selectivo6[[#This Row],[DNI]],S_S[DNI],INDIRECT("S_S["&amp;Selectivo6[[#Headers],[R7]]&amp;"]")),"60 DNC")</f>
        <v>9</v>
      </c>
      <c r="M37" s="19" t="str" cm="1">
        <f t="array" aca="1" ref="M37" ca="1">IFERROR(_xlfn.XLOOKUP(Selectivo6[[#This Row],[DNI]],S_S[DNI],INDIRECT("S_S["&amp;Selectivo6[[#Headers],[R8]]&amp;"]")),"60 DNC")</f>
        <v>11</v>
      </c>
      <c r="N37" s="19" t="str" cm="1">
        <f t="array" aca="1" ref="N37" ca="1">IFERROR(_xlfn.XLOOKUP(Selectivo6[[#This Row],[DNI]],S_S[DNI],INDIRECT("S_S["&amp;Selectivo6[[#Headers],[R9]]&amp;"]")),"60 DNC")</f>
        <v>10</v>
      </c>
      <c r="O37" s="19" t="str">
        <f>IFERROR(_xlfn.XLOOKUP(Selectivo6[[#This Row],[DNI]],_VF2026[DNI],_VF2026[R1]),"65 DNC")</f>
        <v>5</v>
      </c>
      <c r="P37" s="19" t="str">
        <f>IFERROR(_xlfn.XLOOKUP(Selectivo6[[#This Row],[DNI]],_VF2026[DNI],_VF2026[R2]),"65 DNC")</f>
        <v>14</v>
      </c>
      <c r="Q37" s="19" t="str">
        <f>IFERROR(_xlfn.XLOOKUP(Selectivo6[[#This Row],[DNI]],_VF2026[DNI],_VF2026[R3]),"65 DNC")</f>
        <v>16</v>
      </c>
      <c r="R37" s="19" t="str">
        <f>IFERROR(_xlfn.XLOOKUP(Selectivo6[[#This Row],[DNI]],_VF2026[DNI],_VF2026[R4]),"65 DNC")</f>
        <v>13</v>
      </c>
      <c r="S37" s="19" t="str">
        <f>IFERROR(_xlfn.XLOOKUP(Selectivo6[[#This Row],[DNI]],_VF2026[DNI],_VF2026[R5]),"65 DNC")</f>
        <v>16</v>
      </c>
      <c r="T37" s="19" t="str">
        <f>IFERROR(_xlfn.XLOOKUP(Selectivo6[[#This Row],[DNI]],_VF2026[DNI],_VF2026[R6]),"65 DNC")</f>
        <v>6</v>
      </c>
      <c r="U37" s="19" t="str">
        <f>IFERROR(_xlfn.XLOOKUP(Selectivo6[[#This Row],[DNI]],_VF2026[DNI],_VF2026[R7]),"65 DNC")</f>
        <v>12</v>
      </c>
      <c r="V37" s="20" t="str">
        <f>IFERROR(_xlfn.XLOOKUP(Selectivo6[[#This Row],[DNI]],_VF2026[DNI],_VF2026[R8]),"65 DNC")</f>
        <v>19</v>
      </c>
      <c r="W37" s="19"/>
      <c r="X37" s="19"/>
      <c r="Y37" s="19"/>
      <c r="Z37" s="19"/>
      <c r="AA37" s="19"/>
      <c r="AB37" s="8" cm="1">
        <f t="array" aca="1" ref="AB37" ca="1">SUM(IFERROR(VALUE(LEFT(Regatas, FIND(" ",Regatas&amp; " ") - 1)), 0))</f>
        <v>240</v>
      </c>
      <c r="AC37" s="9" cm="1">
        <f t="array" aca="1" ref="AC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161</v>
      </c>
      <c r="AD37" s="6" cm="1">
        <f t="array" aca="1" ref="AD37" ca="1">SMALL(_xlfn._xlws.FILTER(RegatasN, RegatasN&lt;&gt;0), 1)</f>
        <v>5</v>
      </c>
      <c r="AE37" s="6" cm="1">
        <f t="array" aca="1" ref="AE37" ca="1">SMALL(_xlfn._xlws.FILTER(RegatasN, RegatasN&lt;&gt;0), 2)</f>
        <v>6</v>
      </c>
      <c r="AF37" s="6" cm="1">
        <f t="array" aca="1" ref="AF37" ca="1">SMALL(_xlfn._xlws.FILTER(RegatasN, RegatasN&lt;&gt;0), 3)</f>
        <v>6</v>
      </c>
      <c r="AG37" s="5" cm="1">
        <f t="array" aca="1" ref="AG37" ca="1">COUNTIF(Regatas,SMALL(_xlfn._xlws.FILTER(RegatasN, RegatasN&lt;&gt;0), 1))</f>
        <v>1</v>
      </c>
      <c r="AH37" s="6" t="e" cm="1">
        <f t="array" ref="AH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8" spans="1:34">
      <c r="A38">
        <v>50670497</v>
      </c>
      <c r="B38" s="10">
        <f>ROW()-ROW(Selectivo6[[#Headers],[Pos]])</f>
        <v>32</v>
      </c>
      <c r="C38" s="5">
        <v>3936</v>
      </c>
      <c r="D38" t="s">
        <v>253</v>
      </c>
      <c r="E38" t="s">
        <v>21</v>
      </c>
      <c r="F38" s="19" t="str" cm="1">
        <f t="array" aca="1" ref="F38" ca="1">IFERROR(_xlfn.XLOOKUP(Selectivo6[[#This Row],[DNI]],S_S[DNI],INDIRECT("S_S["&amp;Selectivo6[[#Headers],[R1]]&amp;"]")),"60 DNC")</f>
        <v>11</v>
      </c>
      <c r="G38" s="19" t="str" cm="1">
        <f t="array" aca="1" ref="G38" ca="1">IFERROR(_xlfn.XLOOKUP(Selectivo6[[#This Row],[DNI]],S_S[DNI],INDIRECT("S_S["&amp;Selectivo6[[#Headers],[R2]]&amp;"]")),"60 DNC")</f>
        <v>2</v>
      </c>
      <c r="H38" s="19" t="str" cm="1">
        <f t="array" aca="1" ref="H38" ca="1">IFERROR(_xlfn.XLOOKUP(Selectivo6[[#This Row],[DNI]],S_S[DNI],INDIRECT("S_S["&amp;Selectivo6[[#Headers],[R3]]&amp;"]")),"60 DNC")</f>
        <v>4</v>
      </c>
      <c r="I38" s="19" t="str" cm="1">
        <f t="array" aca="1" ref="I38" ca="1">IFERROR(_xlfn.XLOOKUP(Selectivo6[[#This Row],[DNI]],S_S[DNI],INDIRECT("S_S["&amp;Selectivo6[[#Headers],[R4]]&amp;"]")),"60 DNC")</f>
        <v>33 SCP</v>
      </c>
      <c r="J38" s="19" t="str" cm="1">
        <f t="array" aca="1" ref="J38" ca="1">IFERROR(_xlfn.XLOOKUP(Selectivo6[[#This Row],[DNI]],S_S[DNI],INDIRECT("S_S["&amp;Selectivo6[[#Headers],[R5]]&amp;"]")),"60 DNC")</f>
        <v>13</v>
      </c>
      <c r="K38" s="19" t="str" cm="1">
        <f t="array" aca="1" ref="K38" ca="1">IFERROR(_xlfn.XLOOKUP(Selectivo6[[#This Row],[DNI]],S_S[DNI],INDIRECT("S_S["&amp;Selectivo6[[#Headers],[R6]]&amp;"]")),"60 DNC")</f>
        <v>26</v>
      </c>
      <c r="L38" s="20" t="str" cm="1">
        <f t="array" aca="1" ref="L38" ca="1">IFERROR(_xlfn.XLOOKUP(Selectivo6[[#This Row],[DNI]],S_S[DNI],INDIRECT("S_S["&amp;Selectivo6[[#Headers],[R7]]&amp;"]")),"60 DNC")</f>
        <v>60 BFD</v>
      </c>
      <c r="M38" s="19" t="str" cm="1">
        <f t="array" aca="1" ref="M38" ca="1">IFERROR(_xlfn.XLOOKUP(Selectivo6[[#This Row],[DNI]],S_S[DNI],INDIRECT("S_S["&amp;Selectivo6[[#Headers],[R8]]&amp;"]")),"60 DNC")</f>
        <v>13</v>
      </c>
      <c r="N38" s="19" t="str" cm="1">
        <f t="array" aca="1" ref="N38" ca="1">IFERROR(_xlfn.XLOOKUP(Selectivo6[[#This Row],[DNI]],S_S[DNI],INDIRECT("S_S["&amp;Selectivo6[[#Headers],[R9]]&amp;"]")),"60 DNC")</f>
        <v>3</v>
      </c>
      <c r="O38" s="19" t="str">
        <f>IFERROR(_xlfn.XLOOKUP(Selectivo6[[#This Row],[DNI]],_VF2026[DNI],_VF2026[R1]),"65 DNC")</f>
        <v>4</v>
      </c>
      <c r="P38" s="19" t="str">
        <f>IFERROR(_xlfn.XLOOKUP(Selectivo6[[#This Row],[DNI]],_VF2026[DNI],_VF2026[R2]),"65 DNC")</f>
        <v>18</v>
      </c>
      <c r="Q38" s="19" t="str">
        <f>IFERROR(_xlfn.XLOOKUP(Selectivo6[[#This Row],[DNI]],_VF2026[DNI],_VF2026[R3]),"65 DNC")</f>
        <v>1</v>
      </c>
      <c r="R38" s="19" t="str">
        <f>IFERROR(_xlfn.XLOOKUP(Selectivo6[[#This Row],[DNI]],_VF2026[DNI],_VF2026[R4]),"65 DNC")</f>
        <v>2</v>
      </c>
      <c r="S38" s="19" t="str">
        <f>IFERROR(_xlfn.XLOOKUP(Selectivo6[[#This Row],[DNI]],_VF2026[DNI],_VF2026[R5]),"65 DNC")</f>
        <v>11</v>
      </c>
      <c r="T38" s="19" t="str">
        <f>IFERROR(_xlfn.XLOOKUP(Selectivo6[[#This Row],[DNI]],_VF2026[DNI],_VF2026[R6]),"65 DNC")</f>
        <v>23</v>
      </c>
      <c r="U38" s="20" t="str">
        <f>IFERROR(_xlfn.XLOOKUP(Selectivo6[[#This Row],[DNI]],_VF2026[DNI],_VF2026[R7]),"65 DNC")</f>
        <v>65 BFD</v>
      </c>
      <c r="V38" s="19" t="str">
        <f>IFERROR(_xlfn.XLOOKUP(Selectivo6[[#This Row],[DNI]],_VF2026[DNI],_VF2026[R8]),"65 DNC")</f>
        <v>3</v>
      </c>
      <c r="W38" s="19"/>
      <c r="X38" s="19"/>
      <c r="Y38" s="19"/>
      <c r="Z38" s="19"/>
      <c r="AA38" s="19"/>
      <c r="AB38" s="8" cm="1">
        <f t="array" aca="1" ref="AB38" ca="1">SUM(IFERROR(VALUE(LEFT(Regatas, FIND(" ",Regatas&amp; " ") - 1)), 0))</f>
        <v>292</v>
      </c>
      <c r="AC38" s="9" cm="1">
        <f t="array" aca="1" ref="AC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167</v>
      </c>
      <c r="AD38" s="6" cm="1">
        <f t="array" aca="1" ref="AD38" ca="1">SMALL(_xlfn._xlws.FILTER(RegatasN, RegatasN&lt;&gt;0), 1)</f>
        <v>1</v>
      </c>
      <c r="AE38" s="6" cm="1">
        <f t="array" aca="1" ref="AE38" ca="1">SMALL(_xlfn._xlws.FILTER(RegatasN, RegatasN&lt;&gt;0), 2)</f>
        <v>2</v>
      </c>
      <c r="AF38" s="6" cm="1">
        <f t="array" aca="1" ref="AF38" ca="1">SMALL(_xlfn._xlws.FILTER(RegatasN, RegatasN&lt;&gt;0), 3)</f>
        <v>2</v>
      </c>
      <c r="AG38" s="5" cm="1">
        <f t="array" aca="1" ref="AG38" ca="1">COUNTIF(Regatas,SMALL(_xlfn._xlws.FILTER(RegatasN, RegatasN&lt;&gt;0), 1))</f>
        <v>1</v>
      </c>
      <c r="AH38" s="6" t="e" cm="1">
        <f t="array" ref="AH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39" spans="1:34">
      <c r="A39">
        <v>51261170</v>
      </c>
      <c r="B39" s="10">
        <f>ROW()-ROW(Selectivo6[[#Headers],[Pos]])</f>
        <v>33</v>
      </c>
      <c r="C39" s="5">
        <v>4193</v>
      </c>
      <c r="D39" t="s">
        <v>232</v>
      </c>
      <c r="E39" t="s">
        <v>10</v>
      </c>
      <c r="F39" s="19" t="str" cm="1">
        <f t="array" aca="1" ref="F39" ca="1">IFERROR(_xlfn.XLOOKUP(Selectivo6[[#This Row],[DNI]],S_S[DNI],INDIRECT("S_S["&amp;Selectivo6[[#Headers],[R1]]&amp;"]")),"60 DNC")</f>
        <v>2</v>
      </c>
      <c r="G39" s="19" t="str" cm="1">
        <f t="array" aca="1" ref="G39" ca="1">IFERROR(_xlfn.XLOOKUP(Selectivo6[[#This Row],[DNI]],S_S[DNI],INDIRECT("S_S["&amp;Selectivo6[[#Headers],[R2]]&amp;"]")),"60 DNC")</f>
        <v>9</v>
      </c>
      <c r="H39" s="19" t="str" cm="1">
        <f t="array" aca="1" ref="H39" ca="1">IFERROR(_xlfn.XLOOKUP(Selectivo6[[#This Row],[DNI]],S_S[DNI],INDIRECT("S_S["&amp;Selectivo6[[#Headers],[R3]]&amp;"]")),"60 DNC")</f>
        <v>9</v>
      </c>
      <c r="I39" s="19" t="str" cm="1">
        <f t="array" aca="1" ref="I39" ca="1">IFERROR(_xlfn.XLOOKUP(Selectivo6[[#This Row],[DNI]],S_S[DNI],INDIRECT("S_S["&amp;Selectivo6[[#Headers],[R4]]&amp;"]")),"60 DNC")</f>
        <v>15</v>
      </c>
      <c r="J39" s="20" t="str" cm="1">
        <f t="array" aca="1" ref="J39" ca="1">IFERROR(_xlfn.XLOOKUP(Selectivo6[[#This Row],[DNI]],S_S[DNI],INDIRECT("S_S["&amp;Selectivo6[[#Headers],[R5]]&amp;"]")),"60 DNC")</f>
        <v>25</v>
      </c>
      <c r="K39" s="19" t="str" cm="1">
        <f t="array" aca="1" ref="K39" ca="1">IFERROR(_xlfn.XLOOKUP(Selectivo6[[#This Row],[DNI]],S_S[DNI],INDIRECT("S_S["&amp;Selectivo6[[#Headers],[R6]]&amp;"]")),"60 DNC")</f>
        <v>9</v>
      </c>
      <c r="L39" s="19" t="str" cm="1">
        <f t="array" aca="1" ref="L39" ca="1">IFERROR(_xlfn.XLOOKUP(Selectivo6[[#This Row],[DNI]],S_S[DNI],INDIRECT("S_S["&amp;Selectivo6[[#Headers],[R7]]&amp;"]")),"60 DNC")</f>
        <v>10</v>
      </c>
      <c r="M39" s="19" t="str" cm="1">
        <f t="array" aca="1" ref="M39" ca="1">IFERROR(_xlfn.XLOOKUP(Selectivo6[[#This Row],[DNI]],S_S[DNI],INDIRECT("S_S["&amp;Selectivo6[[#Headers],[R8]]&amp;"]")),"60 DNC")</f>
        <v>22</v>
      </c>
      <c r="N39" s="19" t="str" cm="1">
        <f t="array" aca="1" ref="N39" ca="1">IFERROR(_xlfn.XLOOKUP(Selectivo6[[#This Row],[DNI]],S_S[DNI],INDIRECT("S_S["&amp;Selectivo6[[#Headers],[R9]]&amp;"]")),"60 DNC")</f>
        <v>11</v>
      </c>
      <c r="O39" s="19" t="str">
        <f>IFERROR(_xlfn.XLOOKUP(Selectivo6[[#This Row],[DNI]],_VF2026[DNI],_VF2026[R1]),"65 DNC")</f>
        <v>8</v>
      </c>
      <c r="P39" s="19" t="str">
        <f>IFERROR(_xlfn.XLOOKUP(Selectivo6[[#This Row],[DNI]],_VF2026[DNI],_VF2026[R2]),"65 DNC")</f>
        <v>10</v>
      </c>
      <c r="Q39" s="19" t="str">
        <f>IFERROR(_xlfn.XLOOKUP(Selectivo6[[#This Row],[DNI]],_VF2026[DNI],_VF2026[R3]),"65 DNC")</f>
        <v>10</v>
      </c>
      <c r="R39" s="19" t="str">
        <f>IFERROR(_xlfn.XLOOKUP(Selectivo6[[#This Row],[DNI]],_VF2026[DNI],_VF2026[R4]),"65 DNC")</f>
        <v>18</v>
      </c>
      <c r="S39" s="19" t="str">
        <f>IFERROR(_xlfn.XLOOKUP(Selectivo6[[#This Row],[DNI]],_VF2026[DNI],_VF2026[R5]),"65 DNC")</f>
        <v>13</v>
      </c>
      <c r="T39" s="19" t="str">
        <f>IFERROR(_xlfn.XLOOKUP(Selectivo6[[#This Row],[DNI]],_VF2026[DNI],_VF2026[R6]),"65 DNC")</f>
        <v>17</v>
      </c>
      <c r="U39" s="19" t="str">
        <f>IFERROR(_xlfn.XLOOKUP(Selectivo6[[#This Row],[DNI]],_VF2026[DNI],_VF2026[R7]),"65 DNC")</f>
        <v>15</v>
      </c>
      <c r="V39" s="20" t="str">
        <f>IFERROR(_xlfn.XLOOKUP(Selectivo6[[#This Row],[DNI]],_VF2026[DNI],_VF2026[R8]),"65 DNC")</f>
        <v>26</v>
      </c>
      <c r="W39" s="19"/>
      <c r="X39" s="19"/>
      <c r="Y39" s="19"/>
      <c r="Z39" s="19"/>
      <c r="AA39" s="19"/>
      <c r="AB39" s="8" cm="1">
        <f t="array" aca="1" ref="AB39" ca="1">SUM(IFERROR(VALUE(LEFT(Regatas, FIND(" ",Regatas&amp; " ") - 1)), 0))</f>
        <v>229</v>
      </c>
      <c r="AC39" s="9" cm="1">
        <f t="array" aca="1" ref="AC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178</v>
      </c>
      <c r="AD39" s="6" cm="1">
        <f t="array" aca="1" ref="AD39" ca="1">SMALL(_xlfn._xlws.FILTER(RegatasN, RegatasN&lt;&gt;0), 1)</f>
        <v>2</v>
      </c>
      <c r="AE39" s="6" cm="1">
        <f t="array" aca="1" ref="AE39" ca="1">SMALL(_xlfn._xlws.FILTER(RegatasN, RegatasN&lt;&gt;0), 2)</f>
        <v>8</v>
      </c>
      <c r="AF39" s="6" cm="1">
        <f t="array" aca="1" ref="AF39" ca="1">SMALL(_xlfn._xlws.FILTER(RegatasN, RegatasN&lt;&gt;0), 3)</f>
        <v>9</v>
      </c>
      <c r="AG39" s="5" cm="1">
        <f t="array" aca="1" ref="AG39" ca="1">COUNTIF(Regatas,SMALL(_xlfn._xlws.FILTER(RegatasN, RegatasN&lt;&gt;0), 1))</f>
        <v>1</v>
      </c>
      <c r="AH39" s="6" t="e" cm="1">
        <f t="array" ref="AH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0" spans="1:34">
      <c r="A40">
        <v>51270746</v>
      </c>
      <c r="B40" s="10">
        <f>ROW()-ROW(Selectivo6[[#Headers],[Pos]])</f>
        <v>34</v>
      </c>
      <c r="C40" s="5">
        <v>4073</v>
      </c>
      <c r="D40" t="s">
        <v>229</v>
      </c>
      <c r="E40" t="s">
        <v>33</v>
      </c>
      <c r="F40" s="19" t="str" cm="1">
        <f t="array" aca="1" ref="F40" ca="1">IFERROR(_xlfn.XLOOKUP(Selectivo6[[#This Row],[DNI]],S_S[DNI],INDIRECT("S_S["&amp;Selectivo6[[#Headers],[R1]]&amp;"]")),"60 DNC")</f>
        <v>7</v>
      </c>
      <c r="G40" s="19" t="str" cm="1">
        <f t="array" aca="1" ref="G40" ca="1">IFERROR(_xlfn.XLOOKUP(Selectivo6[[#This Row],[DNI]],S_S[DNI],INDIRECT("S_S["&amp;Selectivo6[[#Headers],[R2]]&amp;"]")),"60 DNC")</f>
        <v>9</v>
      </c>
      <c r="H40" s="19" t="str" cm="1">
        <f t="array" aca="1" ref="H40" ca="1">IFERROR(_xlfn.XLOOKUP(Selectivo6[[#This Row],[DNI]],S_S[DNI],INDIRECT("S_S["&amp;Selectivo6[[#Headers],[R3]]&amp;"]")),"60 DNC")</f>
        <v>3</v>
      </c>
      <c r="I40" s="20" t="str" cm="1">
        <f t="array" aca="1" ref="I40" ca="1">IFERROR(_xlfn.XLOOKUP(Selectivo6[[#This Row],[DNI]],S_S[DNI],INDIRECT("S_S["&amp;Selectivo6[[#Headers],[R4]]&amp;"]")),"60 DNC")</f>
        <v>23</v>
      </c>
      <c r="J40" s="20" t="str" cm="1">
        <f t="array" aca="1" ref="J40" ca="1">IFERROR(_xlfn.XLOOKUP(Selectivo6[[#This Row],[DNI]],S_S[DNI],INDIRECT("S_S["&amp;Selectivo6[[#Headers],[R5]]&amp;"]")),"60 DNC")</f>
        <v>60 BFD</v>
      </c>
      <c r="K40" s="19" t="str" cm="1">
        <f t="array" aca="1" ref="K40" ca="1">IFERROR(_xlfn.XLOOKUP(Selectivo6[[#This Row],[DNI]],S_S[DNI],INDIRECT("S_S["&amp;Selectivo6[[#Headers],[R6]]&amp;"]")),"60 DNC")</f>
        <v>6</v>
      </c>
      <c r="L40" s="19" t="str" cm="1">
        <f t="array" aca="1" ref="L40" ca="1">IFERROR(_xlfn.XLOOKUP(Selectivo6[[#This Row],[DNI]],S_S[DNI],INDIRECT("S_S["&amp;Selectivo6[[#Headers],[R7]]&amp;"]")),"60 DNC")</f>
        <v>15</v>
      </c>
      <c r="M40" s="19" t="str" cm="1">
        <f t="array" aca="1" ref="M40" ca="1">IFERROR(_xlfn.XLOOKUP(Selectivo6[[#This Row],[DNI]],S_S[DNI],INDIRECT("S_S["&amp;Selectivo6[[#Headers],[R8]]&amp;"]")),"60 DNC")</f>
        <v>13</v>
      </c>
      <c r="N40" s="19" t="str" cm="1">
        <f t="array" aca="1" ref="N40" ca="1">IFERROR(_xlfn.XLOOKUP(Selectivo6[[#This Row],[DNI]],S_S[DNI],INDIRECT("S_S["&amp;Selectivo6[[#Headers],[R9]]&amp;"]")),"60 DNC")</f>
        <v>6</v>
      </c>
      <c r="O40" s="19" t="str">
        <f>IFERROR(_xlfn.XLOOKUP(Selectivo6[[#This Row],[DNI]],_VF2026[DNI],_VF2026[R1]),"65 DNC")</f>
        <v>23</v>
      </c>
      <c r="P40" s="19" t="str">
        <f>IFERROR(_xlfn.XLOOKUP(Selectivo6[[#This Row],[DNI]],_VF2026[DNI],_VF2026[R2]),"65 DNC")</f>
        <v>16</v>
      </c>
      <c r="Q40" s="19" t="str">
        <f>IFERROR(_xlfn.XLOOKUP(Selectivo6[[#This Row],[DNI]],_VF2026[DNI],_VF2026[R3]),"65 DNC")</f>
        <v>12</v>
      </c>
      <c r="R40" s="19" t="str">
        <f>IFERROR(_xlfn.XLOOKUP(Selectivo6[[#This Row],[DNI]],_VF2026[DNI],_VF2026[R4]),"65 DNC")</f>
        <v>12</v>
      </c>
      <c r="S40" s="19" t="str">
        <f>IFERROR(_xlfn.XLOOKUP(Selectivo6[[#This Row],[DNI]],_VF2026[DNI],_VF2026[R5]),"65 DNC")</f>
        <v>12</v>
      </c>
      <c r="T40" s="19" t="str">
        <f>IFERROR(_xlfn.XLOOKUP(Selectivo6[[#This Row],[DNI]],_VF2026[DNI],_VF2026[R6]),"65 DNC")</f>
        <v>18</v>
      </c>
      <c r="U40" s="19" t="str">
        <f>IFERROR(_xlfn.XLOOKUP(Selectivo6[[#This Row],[DNI]],_VF2026[DNI],_VF2026[R7]),"65 DNC")</f>
        <v>12</v>
      </c>
      <c r="V40" s="19" t="str">
        <f>IFERROR(_xlfn.XLOOKUP(Selectivo6[[#This Row],[DNI]],_VF2026[DNI],_VF2026[R8]),"65 DNC")</f>
        <v>17</v>
      </c>
      <c r="W40" s="19"/>
      <c r="X40" s="19"/>
      <c r="Y40" s="19"/>
      <c r="Z40" s="19"/>
      <c r="AA40" s="19"/>
      <c r="AB40" s="8" cm="1">
        <f t="array" aca="1" ref="AB40" ca="1">SUM(IFERROR(VALUE(LEFT(Regatas, FIND(" ",Regatas&amp; " ") - 1)), 0))</f>
        <v>264</v>
      </c>
      <c r="AC40" s="9" cm="1">
        <f t="array" aca="1" ref="AC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181</v>
      </c>
      <c r="AD40" s="6" cm="1">
        <f t="array" aca="1" ref="AD40" ca="1">SMALL(_xlfn._xlws.FILTER(RegatasN, RegatasN&lt;&gt;0), 1)</f>
        <v>3</v>
      </c>
      <c r="AE40" s="6" cm="1">
        <f t="array" aca="1" ref="AE40" ca="1">SMALL(_xlfn._xlws.FILTER(RegatasN, RegatasN&lt;&gt;0), 2)</f>
        <v>6</v>
      </c>
      <c r="AF40" s="6" cm="1">
        <f t="array" aca="1" ref="AF40" ca="1">SMALL(_xlfn._xlws.FILTER(RegatasN, RegatasN&lt;&gt;0), 3)</f>
        <v>6</v>
      </c>
      <c r="AG40" s="5" cm="1">
        <f t="array" aca="1" ref="AG40" ca="1">COUNTIF(Regatas,SMALL(_xlfn._xlws.FILTER(RegatasN, RegatasN&lt;&gt;0), 1))</f>
        <v>1</v>
      </c>
      <c r="AH40" s="6" t="e" cm="1">
        <f t="array" ref="AH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1" spans="1:34">
      <c r="A41">
        <v>52672616</v>
      </c>
      <c r="B41" s="10">
        <f>ROW()-ROW(Selectivo6[[#Headers],[Pos]])</f>
        <v>35</v>
      </c>
      <c r="C41" s="5">
        <v>4245</v>
      </c>
      <c r="D41" t="s">
        <v>305</v>
      </c>
      <c r="E41" t="s">
        <v>7</v>
      </c>
      <c r="F41" s="20" t="str" cm="1">
        <f t="array" aca="1" ref="F41" ca="1">IFERROR(_xlfn.XLOOKUP(Selectivo6[[#This Row],[DNI]],S_S[DNI],INDIRECT("S_S["&amp;Selectivo6[[#Headers],[R1]]&amp;"]")),"60 DNC")</f>
        <v>60 BFD</v>
      </c>
      <c r="G41" s="19" t="str" cm="1">
        <f t="array" aca="1" ref="G41" ca="1">IFERROR(_xlfn.XLOOKUP(Selectivo6[[#This Row],[DNI]],S_S[DNI],INDIRECT("S_S["&amp;Selectivo6[[#Headers],[R2]]&amp;"]")),"60 DNC")</f>
        <v>18</v>
      </c>
      <c r="H41" s="19" t="str" cm="1">
        <f t="array" aca="1" ref="H41" ca="1">IFERROR(_xlfn.XLOOKUP(Selectivo6[[#This Row],[DNI]],S_S[DNI],INDIRECT("S_S["&amp;Selectivo6[[#Headers],[R3]]&amp;"]")),"60 DNC")</f>
        <v>10</v>
      </c>
      <c r="I41" s="19" t="str" cm="1">
        <f t="array" aca="1" ref="I41" ca="1">IFERROR(_xlfn.XLOOKUP(Selectivo6[[#This Row],[DNI]],S_S[DNI],INDIRECT("S_S["&amp;Selectivo6[[#Headers],[R4]]&amp;"]")),"60 DNC")</f>
        <v>19</v>
      </c>
      <c r="J41" s="19" t="str" cm="1">
        <f t="array" aca="1" ref="J41" ca="1">IFERROR(_xlfn.XLOOKUP(Selectivo6[[#This Row],[DNI]],S_S[DNI],INDIRECT("S_S["&amp;Selectivo6[[#Headers],[R5]]&amp;"]")),"60 DNC")</f>
        <v>33</v>
      </c>
      <c r="K41" s="19" t="str" cm="1">
        <f t="array" aca="1" ref="K41" ca="1">IFERROR(_xlfn.XLOOKUP(Selectivo6[[#This Row],[DNI]],S_S[DNI],INDIRECT("S_S["&amp;Selectivo6[[#Headers],[R6]]&amp;"]")),"60 DNC")</f>
        <v>14</v>
      </c>
      <c r="L41" s="19" t="str" cm="1">
        <f t="array" aca="1" ref="L41" ca="1">IFERROR(_xlfn.XLOOKUP(Selectivo6[[#This Row],[DNI]],S_S[DNI],INDIRECT("S_S["&amp;Selectivo6[[#Headers],[R7]]&amp;"]")),"60 DNC")</f>
        <v>10</v>
      </c>
      <c r="M41" s="20" t="str" cm="1">
        <f t="array" aca="1" ref="M41" ca="1">IFERROR(_xlfn.XLOOKUP(Selectivo6[[#This Row],[DNI]],S_S[DNI],INDIRECT("S_S["&amp;Selectivo6[[#Headers],[R8]]&amp;"]")),"60 DNC")</f>
        <v>35</v>
      </c>
      <c r="N41" s="19" t="str" cm="1">
        <f t="array" aca="1" ref="N41" ca="1">IFERROR(_xlfn.XLOOKUP(Selectivo6[[#This Row],[DNI]],S_S[DNI],INDIRECT("S_S["&amp;Selectivo6[[#Headers],[R9]]&amp;"]")),"60 DNC")</f>
        <v>11</v>
      </c>
      <c r="O41" s="19" t="str">
        <f>IFERROR(_xlfn.XLOOKUP(Selectivo6[[#This Row],[DNI]],_VF2026[DNI],_VF2026[R1]),"65 DNC")</f>
        <v>6</v>
      </c>
      <c r="P41" s="19" t="str">
        <f>IFERROR(_xlfn.XLOOKUP(Selectivo6[[#This Row],[DNI]],_VF2026[DNI],_VF2026[R2]),"65 DNC")</f>
        <v>6</v>
      </c>
      <c r="Q41" s="19" t="str">
        <f>IFERROR(_xlfn.XLOOKUP(Selectivo6[[#This Row],[DNI]],_VF2026[DNI],_VF2026[R3]),"65 DNC")</f>
        <v>3</v>
      </c>
      <c r="R41" s="19" t="str">
        <f>IFERROR(_xlfn.XLOOKUP(Selectivo6[[#This Row],[DNI]],_VF2026[DNI],_VF2026[R4]),"65 DNC")</f>
        <v>11</v>
      </c>
      <c r="S41" s="19" t="str">
        <f>IFERROR(_xlfn.XLOOKUP(Selectivo6[[#This Row],[DNI]],_VF2026[DNI],_VF2026[R5]),"65 DNC")</f>
        <v>12</v>
      </c>
      <c r="T41" s="19" t="str">
        <f>IFERROR(_xlfn.XLOOKUP(Selectivo6[[#This Row],[DNI]],_VF2026[DNI],_VF2026[R6]),"65 DNC")</f>
        <v>10</v>
      </c>
      <c r="U41" s="19" t="str">
        <f>IFERROR(_xlfn.XLOOKUP(Selectivo6[[#This Row],[DNI]],_VF2026[DNI],_VF2026[R7]),"65 DNC")</f>
        <v>7</v>
      </c>
      <c r="V41" s="19" t="str">
        <f>IFERROR(_xlfn.XLOOKUP(Selectivo6[[#This Row],[DNI]],_VF2026[DNI],_VF2026[R8]),"65 DNC")</f>
        <v>12</v>
      </c>
      <c r="W41" s="19"/>
      <c r="X41" s="19"/>
      <c r="Y41" s="19"/>
      <c r="Z41" s="19"/>
      <c r="AA41" s="19"/>
      <c r="AB41" s="8" cm="1">
        <f t="array" aca="1" ref="AB41" ca="1">SUM(IFERROR(VALUE(LEFT(Regatas, FIND(" ",Regatas&amp; " ") - 1)), 0))</f>
        <v>277</v>
      </c>
      <c r="AC41" s="9" cm="1">
        <f t="array" aca="1" ref="AC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182</v>
      </c>
      <c r="AD41" s="6" cm="1">
        <f t="array" aca="1" ref="AD41" ca="1">SMALL(_xlfn._xlws.FILTER(RegatasN, RegatasN&lt;&gt;0), 1)</f>
        <v>3</v>
      </c>
      <c r="AE41" s="6" cm="1">
        <f t="array" aca="1" ref="AE41" ca="1">SMALL(_xlfn._xlws.FILTER(RegatasN, RegatasN&lt;&gt;0), 2)</f>
        <v>6</v>
      </c>
      <c r="AF41" s="6" cm="1">
        <f t="array" aca="1" ref="AF41" ca="1">SMALL(_xlfn._xlws.FILTER(RegatasN, RegatasN&lt;&gt;0), 3)</f>
        <v>6</v>
      </c>
      <c r="AG41" s="5" cm="1">
        <f t="array" aca="1" ref="AG41" ca="1">COUNTIF(Regatas,SMALL(_xlfn._xlws.FILTER(RegatasN, RegatasN&lt;&gt;0), 1))</f>
        <v>1</v>
      </c>
      <c r="AH41" s="6" t="e" cm="1">
        <f t="array" ref="AH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2" spans="1:34">
      <c r="A42">
        <v>52909554</v>
      </c>
      <c r="B42" s="10">
        <f>ROW()-ROW(Selectivo6[[#Headers],[Pos]])</f>
        <v>36</v>
      </c>
      <c r="C42" s="5">
        <v>3828</v>
      </c>
      <c r="D42" t="s">
        <v>237</v>
      </c>
      <c r="E42" t="s">
        <v>11</v>
      </c>
      <c r="F42" s="19" t="str" cm="1">
        <f t="array" aca="1" ref="F42" ca="1">IFERROR(_xlfn.XLOOKUP(Selectivo6[[#This Row],[DNI]],S_S[DNI],INDIRECT("S_S["&amp;Selectivo6[[#Headers],[R1]]&amp;"]")),"60 DNC")</f>
        <v>24</v>
      </c>
      <c r="G42" s="19" t="str" cm="1">
        <f t="array" aca="1" ref="G42" ca="1">IFERROR(_xlfn.XLOOKUP(Selectivo6[[#This Row],[DNI]],S_S[DNI],INDIRECT("S_S["&amp;Selectivo6[[#Headers],[R2]]&amp;"]")),"60 DNC")</f>
        <v>16</v>
      </c>
      <c r="H42" s="19" t="str" cm="1">
        <f t="array" aca="1" ref="H42" ca="1">IFERROR(_xlfn.XLOOKUP(Selectivo6[[#This Row],[DNI]],S_S[DNI],INDIRECT("S_S["&amp;Selectivo6[[#Headers],[R3]]&amp;"]")),"60 DNC")</f>
        <v>3</v>
      </c>
      <c r="I42" s="19" t="str" cm="1">
        <f t="array" aca="1" ref="I42" ca="1">IFERROR(_xlfn.XLOOKUP(Selectivo6[[#This Row],[DNI]],S_S[DNI],INDIRECT("S_S["&amp;Selectivo6[[#Headers],[R4]]&amp;"]")),"60 DNC")</f>
        <v>23</v>
      </c>
      <c r="J42" s="19" t="str" cm="1">
        <f t="array" aca="1" ref="J42" ca="1">IFERROR(_xlfn.XLOOKUP(Selectivo6[[#This Row],[DNI]],S_S[DNI],INDIRECT("S_S["&amp;Selectivo6[[#Headers],[R5]]&amp;"]")),"60 DNC")</f>
        <v>11</v>
      </c>
      <c r="K42" s="19" t="str" cm="1">
        <f t="array" aca="1" ref="K42" ca="1">IFERROR(_xlfn.XLOOKUP(Selectivo6[[#This Row],[DNI]],S_S[DNI],INDIRECT("S_S["&amp;Selectivo6[[#Headers],[R6]]&amp;"]")),"60 DNC")</f>
        <v>2</v>
      </c>
      <c r="L42" s="19" t="str" cm="1">
        <f t="array" aca="1" ref="L42" ca="1">IFERROR(_xlfn.XLOOKUP(Selectivo6[[#This Row],[DNI]],S_S[DNI],INDIRECT("S_S["&amp;Selectivo6[[#Headers],[R7]]&amp;"]")),"60 DNC")</f>
        <v>6</v>
      </c>
      <c r="M42" s="19" t="str" cm="1">
        <f t="array" aca="1" ref="M42" ca="1">IFERROR(_xlfn.XLOOKUP(Selectivo6[[#This Row],[DNI]],S_S[DNI],INDIRECT("S_S["&amp;Selectivo6[[#Headers],[R8]]&amp;"]")),"60 DNC")</f>
        <v>14</v>
      </c>
      <c r="N42" s="19" t="str" cm="1">
        <f t="array" aca="1" ref="N42" ca="1">IFERROR(_xlfn.XLOOKUP(Selectivo6[[#This Row],[DNI]],S_S[DNI],INDIRECT("S_S["&amp;Selectivo6[[#Headers],[R9]]&amp;"]")),"60 DNC")</f>
        <v>18</v>
      </c>
      <c r="O42" s="19" t="str">
        <f>IFERROR(_xlfn.XLOOKUP(Selectivo6[[#This Row],[DNI]],_VF2026[DNI],_VF2026[R1]),"65 DNC")</f>
        <v>21</v>
      </c>
      <c r="P42" s="19" t="str">
        <f>IFERROR(_xlfn.XLOOKUP(Selectivo6[[#This Row],[DNI]],_VF2026[DNI],_VF2026[R2]),"65 DNC")</f>
        <v>5</v>
      </c>
      <c r="Q42" s="19" t="str">
        <f>IFERROR(_xlfn.XLOOKUP(Selectivo6[[#This Row],[DNI]],_VF2026[DNI],_VF2026[R3]),"65 DNC")</f>
        <v>8</v>
      </c>
      <c r="R42" s="19" t="str">
        <f>IFERROR(_xlfn.XLOOKUP(Selectivo6[[#This Row],[DNI]],_VF2026[DNI],_VF2026[R4]),"65 DNC")</f>
        <v>15</v>
      </c>
      <c r="S42" s="20" t="str">
        <f>IFERROR(_xlfn.XLOOKUP(Selectivo6[[#This Row],[DNI]],_VF2026[DNI],_VF2026[R5]),"65 DNC")</f>
        <v>34</v>
      </c>
      <c r="T42" s="19" t="str">
        <f>IFERROR(_xlfn.XLOOKUP(Selectivo6[[#This Row],[DNI]],_VF2026[DNI],_VF2026[R6]),"65 DNC")</f>
        <v>11</v>
      </c>
      <c r="U42" s="19" t="str">
        <f>IFERROR(_xlfn.XLOOKUP(Selectivo6[[#This Row],[DNI]],_VF2026[DNI],_VF2026[R7]),"65 DNC")</f>
        <v>8</v>
      </c>
      <c r="V42" s="20" t="str">
        <f>IFERROR(_xlfn.XLOOKUP(Selectivo6[[#This Row],[DNI]],_VF2026[DNI],_VF2026[R8]),"65 DNC")</f>
        <v>25</v>
      </c>
      <c r="W42" s="19"/>
      <c r="X42" s="19"/>
      <c r="Y42" s="19"/>
      <c r="Z42" s="19"/>
      <c r="AA42" s="19"/>
      <c r="AB42" s="8" cm="1">
        <f t="array" aca="1" ref="AB42" ca="1">SUM(IFERROR(VALUE(LEFT(Regatas, FIND(" ",Regatas&amp; " ") - 1)), 0))</f>
        <v>244</v>
      </c>
      <c r="AC42" s="9" cm="1">
        <f t="array" aca="1" ref="AC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185</v>
      </c>
      <c r="AD42" s="6" cm="1">
        <f t="array" aca="1" ref="AD42" ca="1">SMALL(_xlfn._xlws.FILTER(RegatasN, RegatasN&lt;&gt;0), 1)</f>
        <v>2</v>
      </c>
      <c r="AE42" s="6" cm="1">
        <f t="array" aca="1" ref="AE42" ca="1">SMALL(_xlfn._xlws.FILTER(RegatasN, RegatasN&lt;&gt;0), 2)</f>
        <v>3</v>
      </c>
      <c r="AF42" s="6" cm="1">
        <f t="array" aca="1" ref="AF42" ca="1">SMALL(_xlfn._xlws.FILTER(RegatasN, RegatasN&lt;&gt;0), 3)</f>
        <v>5</v>
      </c>
      <c r="AG42" s="5" cm="1">
        <f t="array" aca="1" ref="AG42" ca="1">COUNTIF(Regatas,SMALL(_xlfn._xlws.FILTER(RegatasN, RegatasN&lt;&gt;0), 1))</f>
        <v>1</v>
      </c>
      <c r="AH42" s="6" t="e" cm="1">
        <f t="array" ref="AH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3" spans="1:34">
      <c r="A43">
        <v>51358051</v>
      </c>
      <c r="B43" s="10">
        <f>ROW()-ROW(Selectivo6[[#Headers],[Pos]])</f>
        <v>37</v>
      </c>
      <c r="C43" s="5">
        <v>4030</v>
      </c>
      <c r="D43" t="s">
        <v>242</v>
      </c>
      <c r="E43" t="s">
        <v>17</v>
      </c>
      <c r="F43" s="19" t="str" cm="1">
        <f t="array" aca="1" ref="F43" ca="1">IFERROR(_xlfn.XLOOKUP(Selectivo6[[#This Row],[DNI]],S_S[DNI],INDIRECT("S_S["&amp;Selectivo6[[#Headers],[R1]]&amp;"]")),"60 DNC")</f>
        <v>29</v>
      </c>
      <c r="G43" s="20" t="str" cm="1">
        <f t="array" aca="1" ref="G43" ca="1">IFERROR(_xlfn.XLOOKUP(Selectivo6[[#This Row],[DNI]],S_S[DNI],INDIRECT("S_S["&amp;Selectivo6[[#Headers],[R2]]&amp;"]")),"60 DNC")</f>
        <v>40</v>
      </c>
      <c r="H43" s="19" t="str" cm="1">
        <f t="array" aca="1" ref="H43" ca="1">IFERROR(_xlfn.XLOOKUP(Selectivo6[[#This Row],[DNI]],S_S[DNI],INDIRECT("S_S["&amp;Selectivo6[[#Headers],[R3]]&amp;"]")),"60 DNC")</f>
        <v>7</v>
      </c>
      <c r="I43" s="19" t="str" cm="1">
        <f t="array" aca="1" ref="I43" ca="1">IFERROR(_xlfn.XLOOKUP(Selectivo6[[#This Row],[DNI]],S_S[DNI],INDIRECT("S_S["&amp;Selectivo6[[#Headers],[R4]]&amp;"]")),"60 DNC")</f>
        <v>10</v>
      </c>
      <c r="J43" s="19" t="str" cm="1">
        <f t="array" aca="1" ref="J43" ca="1">IFERROR(_xlfn.XLOOKUP(Selectivo6[[#This Row],[DNI]],S_S[DNI],INDIRECT("S_S["&amp;Selectivo6[[#Headers],[R5]]&amp;"]")),"60 DNC")</f>
        <v>28</v>
      </c>
      <c r="K43" s="19" t="str" cm="1">
        <f t="array" aca="1" ref="K43" ca="1">IFERROR(_xlfn.XLOOKUP(Selectivo6[[#This Row],[DNI]],S_S[DNI],INDIRECT("S_S["&amp;Selectivo6[[#Headers],[R6]]&amp;"]")),"60 DNC")</f>
        <v>3</v>
      </c>
      <c r="L43" s="19" t="str" cm="1">
        <f t="array" aca="1" ref="L43" ca="1">IFERROR(_xlfn.XLOOKUP(Selectivo6[[#This Row],[DNI]],S_S[DNI],INDIRECT("S_S["&amp;Selectivo6[[#Headers],[R7]]&amp;"]")),"60 DNC")</f>
        <v>6</v>
      </c>
      <c r="M43" s="19" t="str" cm="1">
        <f t="array" aca="1" ref="M43" ca="1">IFERROR(_xlfn.XLOOKUP(Selectivo6[[#This Row],[DNI]],S_S[DNI],INDIRECT("S_S["&amp;Selectivo6[[#Headers],[R8]]&amp;"]")),"60 DNC")</f>
        <v>9</v>
      </c>
      <c r="N43" s="19" t="str" cm="1">
        <f t="array" aca="1" ref="N43" ca="1">IFERROR(_xlfn.XLOOKUP(Selectivo6[[#This Row],[DNI]],S_S[DNI],INDIRECT("S_S["&amp;Selectivo6[[#Headers],[R9]]&amp;"]")),"60 DNC")</f>
        <v>6</v>
      </c>
      <c r="O43" s="19" t="str">
        <f>IFERROR(_xlfn.XLOOKUP(Selectivo6[[#This Row],[DNI]],_VF2026[DNI],_VF2026[R1]),"65 DNC")</f>
        <v>3</v>
      </c>
      <c r="P43" s="19" t="str">
        <f>IFERROR(_xlfn.XLOOKUP(Selectivo6[[#This Row],[DNI]],_VF2026[DNI],_VF2026[R2]),"65 DNC")</f>
        <v>7</v>
      </c>
      <c r="Q43" s="19" t="str">
        <f>IFERROR(_xlfn.XLOOKUP(Selectivo6[[#This Row],[DNI]],_VF2026[DNI],_VF2026[R3]),"65 DNC")</f>
        <v>13</v>
      </c>
      <c r="R43" s="19" t="str">
        <f>IFERROR(_xlfn.XLOOKUP(Selectivo6[[#This Row],[DNI]],_VF2026[DNI],_VF2026[R4]),"65 DNC")</f>
        <v>5</v>
      </c>
      <c r="S43" s="19" t="str">
        <f>IFERROR(_xlfn.XLOOKUP(Selectivo6[[#This Row],[DNI]],_VF2026[DNI],_VF2026[R5]),"65 DNC")</f>
        <v>7</v>
      </c>
      <c r="T43" s="20" t="str">
        <f>IFERROR(_xlfn.XLOOKUP(Selectivo6[[#This Row],[DNI]],_VF2026[DNI],_VF2026[R6]),"65 DNC")</f>
        <v>46</v>
      </c>
      <c r="U43" s="19" t="str">
        <f>IFERROR(_xlfn.XLOOKUP(Selectivo6[[#This Row],[DNI]],_VF2026[DNI],_VF2026[R7]),"65 DNC")</f>
        <v>35</v>
      </c>
      <c r="V43" s="19" t="str">
        <f>IFERROR(_xlfn.XLOOKUP(Selectivo6[[#This Row],[DNI]],_VF2026[DNI],_VF2026[R8]),"65 DNC")</f>
        <v>17</v>
      </c>
      <c r="W43" s="19"/>
      <c r="X43" s="19"/>
      <c r="Y43" s="19"/>
      <c r="Z43" s="19"/>
      <c r="AA43" s="19"/>
      <c r="AB43" s="8" cm="1">
        <f t="array" aca="1" ref="AB43" ca="1">SUM(IFERROR(VALUE(LEFT(Regatas, FIND(" ",Regatas&amp; " ") - 1)), 0))</f>
        <v>271</v>
      </c>
      <c r="AC43" s="9" cm="1">
        <f t="array" aca="1" ref="AC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185</v>
      </c>
      <c r="AD43" s="6" cm="1">
        <f t="array" aca="1" ref="AD43" ca="1">SMALL(_xlfn._xlws.FILTER(RegatasN, RegatasN&lt;&gt;0), 1)</f>
        <v>3</v>
      </c>
      <c r="AE43" s="6" cm="1">
        <f t="array" aca="1" ref="AE43" ca="1">SMALL(_xlfn._xlws.FILTER(RegatasN, RegatasN&lt;&gt;0), 2)</f>
        <v>3</v>
      </c>
      <c r="AF43" s="6" cm="1">
        <f t="array" aca="1" ref="AF43" ca="1">SMALL(_xlfn._xlws.FILTER(RegatasN, RegatasN&lt;&gt;0), 3)</f>
        <v>5</v>
      </c>
      <c r="AG43" s="5" cm="1">
        <f t="array" aca="1" ref="AG43" ca="1">COUNTIF(Regatas,SMALL(_xlfn._xlws.FILTER(RegatasN, RegatasN&lt;&gt;0), 1))</f>
        <v>2</v>
      </c>
      <c r="AH43" s="6" t="e" cm="1">
        <f t="array" ref="AH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4" spans="1:34">
      <c r="A44">
        <v>52875058</v>
      </c>
      <c r="B44" s="10">
        <f>ROW()-ROW(Selectivo6[[#Headers],[Pos]])</f>
        <v>38</v>
      </c>
      <c r="C44" s="5">
        <v>4285</v>
      </c>
      <c r="D44" t="s">
        <v>246</v>
      </c>
      <c r="E44" t="s">
        <v>21</v>
      </c>
      <c r="F44" s="19" t="str" cm="1">
        <f t="array" aca="1" ref="F44" ca="1">IFERROR(_xlfn.XLOOKUP(Selectivo6[[#This Row],[DNI]],S_S[DNI],INDIRECT("S_S["&amp;Selectivo6[[#Headers],[R1]]&amp;"]")),"60 DNC")</f>
        <v>2</v>
      </c>
      <c r="G44" s="19" t="str" cm="1">
        <f t="array" aca="1" ref="G44" ca="1">IFERROR(_xlfn.XLOOKUP(Selectivo6[[#This Row],[DNI]],S_S[DNI],INDIRECT("S_S["&amp;Selectivo6[[#Headers],[R2]]&amp;"]")),"60 DNC")</f>
        <v>12</v>
      </c>
      <c r="H44" s="19" t="str" cm="1">
        <f t="array" aca="1" ref="H44" ca="1">IFERROR(_xlfn.XLOOKUP(Selectivo6[[#This Row],[DNI]],S_S[DNI],INDIRECT("S_S["&amp;Selectivo6[[#Headers],[R3]]&amp;"]")),"60 DNC")</f>
        <v>20</v>
      </c>
      <c r="I44" s="19" t="str" cm="1">
        <f t="array" aca="1" ref="I44" ca="1">IFERROR(_xlfn.XLOOKUP(Selectivo6[[#This Row],[DNI]],S_S[DNI],INDIRECT("S_S["&amp;Selectivo6[[#Headers],[R4]]&amp;"]")),"60 DNC")</f>
        <v>8</v>
      </c>
      <c r="J44" s="19" t="str" cm="1">
        <f t="array" aca="1" ref="J44" ca="1">IFERROR(_xlfn.XLOOKUP(Selectivo6[[#This Row],[DNI]],S_S[DNI],INDIRECT("S_S["&amp;Selectivo6[[#Headers],[R5]]&amp;"]")),"60 DNC")</f>
        <v>10</v>
      </c>
      <c r="K44" s="20" t="str" cm="1">
        <f t="array" aca="1" ref="K44" ca="1">IFERROR(_xlfn.XLOOKUP(Selectivo6[[#This Row],[DNI]],S_S[DNI],INDIRECT("S_S["&amp;Selectivo6[[#Headers],[R6]]&amp;"]")),"60 DNC")</f>
        <v>28</v>
      </c>
      <c r="L44" s="19" t="str" cm="1">
        <f t="array" aca="1" ref="L44" ca="1">IFERROR(_xlfn.XLOOKUP(Selectivo6[[#This Row],[DNI]],S_S[DNI],INDIRECT("S_S["&amp;Selectivo6[[#Headers],[R7]]&amp;"]")),"60 DNC")</f>
        <v>20</v>
      </c>
      <c r="M44" s="19" t="str" cm="1">
        <f t="array" aca="1" ref="M44" ca="1">IFERROR(_xlfn.XLOOKUP(Selectivo6[[#This Row],[DNI]],S_S[DNI],INDIRECT("S_S["&amp;Selectivo6[[#Headers],[R8]]&amp;"]")),"60 DNC")</f>
        <v>1</v>
      </c>
      <c r="N44" s="19" t="str" cm="1">
        <f t="array" aca="1" ref="N44" ca="1">IFERROR(_xlfn.XLOOKUP(Selectivo6[[#This Row],[DNI]],S_S[DNI],INDIRECT("S_S["&amp;Selectivo6[[#Headers],[R9]]&amp;"]")),"60 DNC")</f>
        <v>26</v>
      </c>
      <c r="O44" s="19" t="str">
        <f>IFERROR(_xlfn.XLOOKUP(Selectivo6[[#This Row],[DNI]],_VF2026[DNI],_VF2026[R1]),"65 DNC")</f>
        <v>10</v>
      </c>
      <c r="P44" s="19" t="str">
        <f>IFERROR(_xlfn.XLOOKUP(Selectivo6[[#This Row],[DNI]],_VF2026[DNI],_VF2026[R2]),"65 DNC")</f>
        <v>27</v>
      </c>
      <c r="Q44" s="19" t="str">
        <f>IFERROR(_xlfn.XLOOKUP(Selectivo6[[#This Row],[DNI]],_VF2026[DNI],_VF2026[R3]),"65 DNC")</f>
        <v>16</v>
      </c>
      <c r="R44" s="20" t="str">
        <f>IFERROR(_xlfn.XLOOKUP(Selectivo6[[#This Row],[DNI]],_VF2026[DNI],_VF2026[R4]),"65 DNC")</f>
        <v>38</v>
      </c>
      <c r="S44" s="19" t="str">
        <f>IFERROR(_xlfn.XLOOKUP(Selectivo6[[#This Row],[DNI]],_VF2026[DNI],_VF2026[R5]),"65 DNC")</f>
        <v>25</v>
      </c>
      <c r="T44" s="19" t="str">
        <f>IFERROR(_xlfn.XLOOKUP(Selectivo6[[#This Row],[DNI]],_VF2026[DNI],_VF2026[R6]),"65 DNC")</f>
        <v>5</v>
      </c>
      <c r="U44" s="19" t="str">
        <f>IFERROR(_xlfn.XLOOKUP(Selectivo6[[#This Row],[DNI]],_VF2026[DNI],_VF2026[R7]),"65 DNC")</f>
        <v>4</v>
      </c>
      <c r="V44" s="19" t="str">
        <f>IFERROR(_xlfn.XLOOKUP(Selectivo6[[#This Row],[DNI]],_VF2026[DNI],_VF2026[R8]),"65 DNC")</f>
        <v>3</v>
      </c>
      <c r="W44" s="19"/>
      <c r="X44" s="19"/>
      <c r="Y44" s="19"/>
      <c r="Z44" s="19"/>
      <c r="AA44" s="19"/>
      <c r="AB44" s="8" cm="1">
        <f t="array" aca="1" ref="AB44" ca="1">SUM(IFERROR(VALUE(LEFT(Regatas, FIND(" ",Regatas&amp; " ") - 1)), 0))</f>
        <v>255</v>
      </c>
      <c r="AC44" s="9" cm="1">
        <f t="array" aca="1" ref="AC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189</v>
      </c>
      <c r="AD44" s="6" cm="1">
        <f t="array" aca="1" ref="AD44" ca="1">SMALL(_xlfn._xlws.FILTER(RegatasN, RegatasN&lt;&gt;0), 1)</f>
        <v>1</v>
      </c>
      <c r="AE44" s="6" cm="1">
        <f t="array" aca="1" ref="AE44" ca="1">SMALL(_xlfn._xlws.FILTER(RegatasN, RegatasN&lt;&gt;0), 2)</f>
        <v>2</v>
      </c>
      <c r="AF44" s="6" cm="1">
        <f t="array" aca="1" ref="AF44" ca="1">SMALL(_xlfn._xlws.FILTER(RegatasN, RegatasN&lt;&gt;0), 3)</f>
        <v>3</v>
      </c>
      <c r="AG44" s="5" cm="1">
        <f t="array" aca="1" ref="AG44" ca="1">COUNTIF(Regatas,SMALL(_xlfn._xlws.FILTER(RegatasN, RegatasN&lt;&gt;0), 1))</f>
        <v>1</v>
      </c>
      <c r="AH44" s="6" t="e" cm="1">
        <f t="array" ref="AH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5" spans="1:34">
      <c r="A45">
        <v>51183098</v>
      </c>
      <c r="B45" s="10">
        <f>ROW()-ROW(Selectivo6[[#Headers],[Pos]])</f>
        <v>39</v>
      </c>
      <c r="C45" s="5">
        <v>4171</v>
      </c>
      <c r="D45" t="s">
        <v>260</v>
      </c>
      <c r="E45" t="s">
        <v>9</v>
      </c>
      <c r="F45" s="19" t="str" cm="1">
        <f t="array" aca="1" ref="F45" ca="1">IFERROR(_xlfn.XLOOKUP(Selectivo6[[#This Row],[DNI]],S_S[DNI],INDIRECT("S_S["&amp;Selectivo6[[#Headers],[R1]]&amp;"]")),"60 DNC")</f>
        <v>14</v>
      </c>
      <c r="G45" s="19" t="str" cm="1">
        <f t="array" aca="1" ref="G45" ca="1">IFERROR(_xlfn.XLOOKUP(Selectivo6[[#This Row],[DNI]],S_S[DNI],INDIRECT("S_S["&amp;Selectivo6[[#Headers],[R2]]&amp;"]")),"60 DNC")</f>
        <v>13</v>
      </c>
      <c r="H45" s="19" t="str" cm="1">
        <f t="array" aca="1" ref="H45" ca="1">IFERROR(_xlfn.XLOOKUP(Selectivo6[[#This Row],[DNI]],S_S[DNI],INDIRECT("S_S["&amp;Selectivo6[[#Headers],[R3]]&amp;"]")),"60 DNC")</f>
        <v>9</v>
      </c>
      <c r="I45" s="20" t="str" cm="1">
        <f t="array" aca="1" ref="I45" ca="1">IFERROR(_xlfn.XLOOKUP(Selectivo6[[#This Row],[DNI]],S_S[DNI],INDIRECT("S_S["&amp;Selectivo6[[#Headers],[R4]]&amp;"]")),"60 DNC")</f>
        <v>39</v>
      </c>
      <c r="J45" s="19" t="str" cm="1">
        <f t="array" aca="1" ref="J45" ca="1">IFERROR(_xlfn.XLOOKUP(Selectivo6[[#This Row],[DNI]],S_S[DNI],INDIRECT("S_S["&amp;Selectivo6[[#Headers],[R5]]&amp;"]")),"60 DNC")</f>
        <v>12</v>
      </c>
      <c r="K45" s="19" t="str" cm="1">
        <f t="array" aca="1" ref="K45" ca="1">IFERROR(_xlfn.XLOOKUP(Selectivo6[[#This Row],[DNI]],S_S[DNI],INDIRECT("S_S["&amp;Selectivo6[[#Headers],[R6]]&amp;"]")),"60 DNC")</f>
        <v>23</v>
      </c>
      <c r="L45" s="19" t="str" cm="1">
        <f t="array" aca="1" ref="L45" ca="1">IFERROR(_xlfn.XLOOKUP(Selectivo6[[#This Row],[DNI]],S_S[DNI],INDIRECT("S_S["&amp;Selectivo6[[#Headers],[R7]]&amp;"]")),"60 DNC")</f>
        <v>12</v>
      </c>
      <c r="M45" s="19" t="str" cm="1">
        <f t="array" aca="1" ref="M45" ca="1">IFERROR(_xlfn.XLOOKUP(Selectivo6[[#This Row],[DNI]],S_S[DNI],INDIRECT("S_S["&amp;Selectivo6[[#Headers],[R8]]&amp;"]")),"60 DNC")</f>
        <v>16</v>
      </c>
      <c r="N45" s="19" t="str" cm="1">
        <f t="array" aca="1" ref="N45" ca="1">IFERROR(_xlfn.XLOOKUP(Selectivo6[[#This Row],[DNI]],S_S[DNI],INDIRECT("S_S["&amp;Selectivo6[[#Headers],[R9]]&amp;"]")),"60 DNC")</f>
        <v>12</v>
      </c>
      <c r="O45" s="19" t="str">
        <f>IFERROR(_xlfn.XLOOKUP(Selectivo6[[#This Row],[DNI]],_VF2026[DNI],_VF2026[R1]),"65 DNC")</f>
        <v>11</v>
      </c>
      <c r="P45" s="19" t="str">
        <f>IFERROR(_xlfn.XLOOKUP(Selectivo6[[#This Row],[DNI]],_VF2026[DNI],_VF2026[R2]),"65 DNC")</f>
        <v>7</v>
      </c>
      <c r="Q45" s="19" t="str">
        <f>IFERROR(_xlfn.XLOOKUP(Selectivo6[[#This Row],[DNI]],_VF2026[DNI],_VF2026[R3]),"65 DNC")</f>
        <v>6</v>
      </c>
      <c r="R45" s="19" t="str">
        <f>IFERROR(_xlfn.XLOOKUP(Selectivo6[[#This Row],[DNI]],_VF2026[DNI],_VF2026[R4]),"65 DNC")</f>
        <v>1</v>
      </c>
      <c r="S45" s="19" t="str">
        <f>IFERROR(_xlfn.XLOOKUP(Selectivo6[[#This Row],[DNI]],_VF2026[DNI],_VF2026[R5]),"65 DNC")</f>
        <v>5</v>
      </c>
      <c r="T45" s="19" t="str">
        <f>IFERROR(_xlfn.XLOOKUP(Selectivo6[[#This Row],[DNI]],_VF2026[DNI],_VF2026[R6]),"65 DNC")</f>
        <v>37</v>
      </c>
      <c r="U45" s="20" t="str">
        <f>IFERROR(_xlfn.XLOOKUP(Selectivo6[[#This Row],[DNI]],_VF2026[DNI],_VF2026[R7]),"65 DNC")</f>
        <v>65 BFD</v>
      </c>
      <c r="V45" s="19" t="str">
        <f>IFERROR(_xlfn.XLOOKUP(Selectivo6[[#This Row],[DNI]],_VF2026[DNI],_VF2026[R8]),"65 DNC")</f>
        <v>19</v>
      </c>
      <c r="W45" s="19"/>
      <c r="X45" s="19"/>
      <c r="Y45" s="19"/>
      <c r="Z45" s="19"/>
      <c r="AA45" s="19"/>
      <c r="AB45" s="8" cm="1">
        <f t="array" aca="1" ref="AB45" ca="1">SUM(IFERROR(VALUE(LEFT(Regatas, FIND(" ",Regatas&amp; " ") - 1)), 0))</f>
        <v>301</v>
      </c>
      <c r="AC45" s="9" cm="1">
        <f t="array" aca="1" ref="AC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197</v>
      </c>
      <c r="AD45" s="6" cm="1">
        <f t="array" aca="1" ref="AD45" ca="1">SMALL(_xlfn._xlws.FILTER(RegatasN, RegatasN&lt;&gt;0), 1)</f>
        <v>1</v>
      </c>
      <c r="AE45" s="6" cm="1">
        <f t="array" aca="1" ref="AE45" ca="1">SMALL(_xlfn._xlws.FILTER(RegatasN, RegatasN&lt;&gt;0), 2)</f>
        <v>5</v>
      </c>
      <c r="AF45" s="6" cm="1">
        <f t="array" aca="1" ref="AF45" ca="1">SMALL(_xlfn._xlws.FILTER(RegatasN, RegatasN&lt;&gt;0), 3)</f>
        <v>6</v>
      </c>
      <c r="AG45" s="5" cm="1">
        <f t="array" aca="1" ref="AG45" ca="1">COUNTIF(Regatas,SMALL(_xlfn._xlws.FILTER(RegatasN, RegatasN&lt;&gt;0), 1))</f>
        <v>1</v>
      </c>
      <c r="AH45" s="6" t="e" cm="1">
        <f t="array" ref="AH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6" spans="1:34">
      <c r="A46">
        <v>52366183</v>
      </c>
      <c r="B46" s="10">
        <f>ROW()-ROW(Selectivo6[[#Headers],[Pos]])</f>
        <v>40</v>
      </c>
      <c r="C46" s="5">
        <v>4280</v>
      </c>
      <c r="D46" t="s">
        <v>265</v>
      </c>
      <c r="E46" t="s">
        <v>33</v>
      </c>
      <c r="F46" s="19" t="str" cm="1">
        <f t="array" aca="1" ref="F46" ca="1">IFERROR(_xlfn.XLOOKUP(Selectivo6[[#This Row],[DNI]],S_S[DNI],INDIRECT("S_S["&amp;Selectivo6[[#Headers],[R1]]&amp;"]")),"60 DNC")</f>
        <v>24</v>
      </c>
      <c r="G46" s="19" t="str" cm="1">
        <f t="array" aca="1" ref="G46" ca="1">IFERROR(_xlfn.XLOOKUP(Selectivo6[[#This Row],[DNI]],S_S[DNI],INDIRECT("S_S["&amp;Selectivo6[[#Headers],[R2]]&amp;"]")),"60 DNC")</f>
        <v>16</v>
      </c>
      <c r="H46" s="19" t="str" cm="1">
        <f t="array" aca="1" ref="H46" ca="1">IFERROR(_xlfn.XLOOKUP(Selectivo6[[#This Row],[DNI]],S_S[DNI],INDIRECT("S_S["&amp;Selectivo6[[#Headers],[R3]]&amp;"]")),"60 DNC")</f>
        <v>24</v>
      </c>
      <c r="I46" s="19" t="str" cm="1">
        <f t="array" aca="1" ref="I46" ca="1">IFERROR(_xlfn.XLOOKUP(Selectivo6[[#This Row],[DNI]],S_S[DNI],INDIRECT("S_S["&amp;Selectivo6[[#Headers],[R4]]&amp;"]")),"60 DNC")</f>
        <v>10</v>
      </c>
      <c r="J46" s="19" t="str" cm="1">
        <f t="array" aca="1" ref="J46" ca="1">IFERROR(_xlfn.XLOOKUP(Selectivo6[[#This Row],[DNI]],S_S[DNI],INDIRECT("S_S["&amp;Selectivo6[[#Headers],[R5]]&amp;"]")),"60 DNC")</f>
        <v>6</v>
      </c>
      <c r="K46" s="20" t="str" cm="1">
        <f t="array" aca="1" ref="K46" ca="1">IFERROR(_xlfn.XLOOKUP(Selectivo6[[#This Row],[DNI]],S_S[DNI],INDIRECT("S_S["&amp;Selectivo6[[#Headers],[R6]]&amp;"]")),"60 DNC")</f>
        <v>36</v>
      </c>
      <c r="L46" s="19" t="str" cm="1">
        <f t="array" aca="1" ref="L46" ca="1">IFERROR(_xlfn.XLOOKUP(Selectivo6[[#This Row],[DNI]],S_S[DNI],INDIRECT("S_S["&amp;Selectivo6[[#Headers],[R7]]&amp;"]")),"60 DNC")</f>
        <v>12</v>
      </c>
      <c r="M46" s="19" t="str" cm="1">
        <f t="array" aca="1" ref="M46" ca="1">IFERROR(_xlfn.XLOOKUP(Selectivo6[[#This Row],[DNI]],S_S[DNI],INDIRECT("S_S["&amp;Selectivo6[[#Headers],[R8]]&amp;"]")),"60 DNC")</f>
        <v>14</v>
      </c>
      <c r="N46" s="19" t="str" cm="1">
        <f t="array" aca="1" ref="N46" ca="1">IFERROR(_xlfn.XLOOKUP(Selectivo6[[#This Row],[DNI]],S_S[DNI],INDIRECT("S_S["&amp;Selectivo6[[#Headers],[R9]]&amp;"]")),"60 DNC")</f>
        <v>7</v>
      </c>
      <c r="O46" s="19" t="str">
        <f>IFERROR(_xlfn.XLOOKUP(Selectivo6[[#This Row],[DNI]],_VF2026[DNI],_VF2026[R1]),"65 DNC")</f>
        <v>2</v>
      </c>
      <c r="P46" s="19" t="str">
        <f>IFERROR(_xlfn.XLOOKUP(Selectivo6[[#This Row],[DNI]],_VF2026[DNI],_VF2026[R2]),"65 DNC")</f>
        <v>4</v>
      </c>
      <c r="Q46" s="19" t="str">
        <f>IFERROR(_xlfn.XLOOKUP(Selectivo6[[#This Row],[DNI]],_VF2026[DNI],_VF2026[R3]),"65 DNC")</f>
        <v>18</v>
      </c>
      <c r="R46" s="19" t="str">
        <f>IFERROR(_xlfn.XLOOKUP(Selectivo6[[#This Row],[DNI]],_VF2026[DNI],_VF2026[R4]),"65 DNC")</f>
        <v>19</v>
      </c>
      <c r="S46" s="19" t="str">
        <f>IFERROR(_xlfn.XLOOKUP(Selectivo6[[#This Row],[DNI]],_VF2026[DNI],_VF2026[R5]),"65 DNC")</f>
        <v>16</v>
      </c>
      <c r="T46" s="19" t="str">
        <f>IFERROR(_xlfn.XLOOKUP(Selectivo6[[#This Row],[DNI]],_VF2026[DNI],_VF2026[R6]),"65 DNC")</f>
        <v>2</v>
      </c>
      <c r="U46" s="20" t="str">
        <f>IFERROR(_xlfn.XLOOKUP(Selectivo6[[#This Row],[DNI]],_VF2026[DNI],_VF2026[R7]),"65 DNC")</f>
        <v>34</v>
      </c>
      <c r="V46" s="19" t="str">
        <f>IFERROR(_xlfn.XLOOKUP(Selectivo6[[#This Row],[DNI]],_VF2026[DNI],_VF2026[R8]),"65 DNC")</f>
        <v>27</v>
      </c>
      <c r="W46" s="19"/>
      <c r="X46" s="19"/>
      <c r="Y46" s="19"/>
      <c r="Z46" s="19"/>
      <c r="AA46" s="19"/>
      <c r="AB46" s="8" cm="1">
        <f t="array" aca="1" ref="AB46" ca="1">SUM(IFERROR(VALUE(LEFT(Regatas, FIND(" ",Regatas&amp; " ") - 1)), 0))</f>
        <v>271</v>
      </c>
      <c r="AC46" s="9" cm="1">
        <f t="array" aca="1" ref="AC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201</v>
      </c>
      <c r="AD46" s="6" cm="1">
        <f t="array" aca="1" ref="AD46" ca="1">SMALL(_xlfn._xlws.FILTER(RegatasN, RegatasN&lt;&gt;0), 1)</f>
        <v>2</v>
      </c>
      <c r="AE46" s="6" cm="1">
        <f t="array" aca="1" ref="AE46" ca="1">SMALL(_xlfn._xlws.FILTER(RegatasN, RegatasN&lt;&gt;0), 2)</f>
        <v>2</v>
      </c>
      <c r="AF46" s="6" cm="1">
        <f t="array" aca="1" ref="AF46" ca="1">SMALL(_xlfn._xlws.FILTER(RegatasN, RegatasN&lt;&gt;0), 3)</f>
        <v>4</v>
      </c>
      <c r="AG46" s="5" cm="1">
        <f t="array" aca="1" ref="AG46" ca="1">COUNTIF(Regatas,SMALL(_xlfn._xlws.FILTER(RegatasN, RegatasN&lt;&gt;0), 1))</f>
        <v>2</v>
      </c>
      <c r="AH46" s="6" t="e" cm="1">
        <f t="array" ref="AH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7" spans="1:34">
      <c r="A47">
        <v>52122807</v>
      </c>
      <c r="B47" s="10">
        <f>ROW()-ROW(Selectivo6[[#Headers],[Pos]])</f>
        <v>41</v>
      </c>
      <c r="C47" s="5">
        <v>4204</v>
      </c>
      <c r="D47" t="s">
        <v>188</v>
      </c>
      <c r="E47" t="s">
        <v>26</v>
      </c>
      <c r="F47" s="19" t="str" cm="1">
        <f t="array" aca="1" ref="F47" ca="1">IFERROR(_xlfn.XLOOKUP(Selectivo6[[#This Row],[DNI]],S_S[DNI],INDIRECT("S_S["&amp;Selectivo6[[#Headers],[R1]]&amp;"]")),"60 DNC")</f>
        <v>5</v>
      </c>
      <c r="G47" s="19" t="str" cm="1">
        <f t="array" aca="1" ref="G47" ca="1">IFERROR(_xlfn.XLOOKUP(Selectivo6[[#This Row],[DNI]],S_S[DNI],INDIRECT("S_S["&amp;Selectivo6[[#Headers],[R2]]&amp;"]")),"60 DNC")</f>
        <v>4</v>
      </c>
      <c r="H47" s="19" t="str" cm="1">
        <f t="array" aca="1" ref="H47" ca="1">IFERROR(_xlfn.XLOOKUP(Selectivo6[[#This Row],[DNI]],S_S[DNI],INDIRECT("S_S["&amp;Selectivo6[[#Headers],[R3]]&amp;"]")),"60 DNC")</f>
        <v>9</v>
      </c>
      <c r="I47" s="20" t="str" cm="1">
        <f t="array" aca="1" ref="I47" ca="1">IFERROR(_xlfn.XLOOKUP(Selectivo6[[#This Row],[DNI]],S_S[DNI],INDIRECT("S_S["&amp;Selectivo6[[#Headers],[R4]]&amp;"]")),"60 DNC")</f>
        <v>11</v>
      </c>
      <c r="J47" s="19" t="str" cm="1">
        <f t="array" aca="1" ref="J47" ca="1">IFERROR(_xlfn.XLOOKUP(Selectivo6[[#This Row],[DNI]],S_S[DNI],INDIRECT("S_S["&amp;Selectivo6[[#Headers],[R5]]&amp;"]")),"60 DNC")</f>
        <v>8</v>
      </c>
      <c r="K47" s="20" t="str" cm="1">
        <f t="array" aca="1" ref="K47" ca="1">IFERROR(_xlfn.XLOOKUP(Selectivo6[[#This Row],[DNI]],S_S[DNI],INDIRECT("S_S["&amp;Selectivo6[[#Headers],[R6]]&amp;"]")),"60 DNC")</f>
        <v>15</v>
      </c>
      <c r="L47" s="19" t="str" cm="1">
        <f t="array" aca="1" ref="L47" ca="1">IFERROR(_xlfn.XLOOKUP(Selectivo6[[#This Row],[DNI]],S_S[DNI],INDIRECT("S_S["&amp;Selectivo6[[#Headers],[R7]]&amp;"]")),"60 DNC")</f>
        <v>5</v>
      </c>
      <c r="M47" s="19" t="str" cm="1">
        <f t="array" aca="1" ref="M47" ca="1">IFERROR(_xlfn.XLOOKUP(Selectivo6[[#This Row],[DNI]],S_S[DNI],INDIRECT("S_S["&amp;Selectivo6[[#Headers],[R8]]&amp;"]")),"60 DNC")</f>
        <v>4</v>
      </c>
      <c r="N47" s="19" t="str" cm="1">
        <f t="array" aca="1" ref="N47" ca="1">IFERROR(_xlfn.XLOOKUP(Selectivo6[[#This Row],[DNI]],S_S[DNI],INDIRECT("S_S["&amp;Selectivo6[[#Headers],[R9]]&amp;"]")),"60 DNC")</f>
        <v>4</v>
      </c>
      <c r="O47" s="19" t="str">
        <f>IFERROR(_xlfn.XLOOKUP(Selectivo6[[#This Row],[DNI]],_VF2026[DNI],_VF2026[R1]),"65 DNC")</f>
        <v>2</v>
      </c>
      <c r="P47" s="19" t="str">
        <f>IFERROR(_xlfn.XLOOKUP(Selectivo6[[#This Row],[DNI]],_VF2026[DNI],_VF2026[R2]),"65 DNC")</f>
        <v>9</v>
      </c>
      <c r="Q47" s="19" t="str">
        <f>IFERROR(_xlfn.XLOOKUP(Selectivo6[[#This Row],[DNI]],_VF2026[DNI],_VF2026[R3]),"65 DNC")</f>
        <v>5</v>
      </c>
      <c r="R47" s="19" t="str">
        <f>IFERROR(_xlfn.XLOOKUP(Selectivo6[[#This Row],[DNI]],_VF2026[DNI],_VF2026[R4]),"65 DNC")</f>
        <v>11</v>
      </c>
      <c r="S47" s="19" t="str">
        <f>IFERROR(_xlfn.XLOOKUP(Selectivo6[[#This Row],[DNI]],_VF2026[DNI],_VF2026[R5]),"65 DNC")</f>
        <v>6</v>
      </c>
      <c r="T47" s="19" t="str">
        <f>IFERROR(_xlfn.XLOOKUP(Selectivo6[[#This Row],[DNI]],_VF2026[DNI],_VF2026[R6]),"65 DNC")</f>
        <v>1</v>
      </c>
      <c r="U47" s="19" t="str">
        <f>IFERROR(_xlfn.XLOOKUP(Selectivo6[[#This Row],[DNI]],_VF2026[DNI],_VF2026[R7]),"65 DNC")</f>
        <v>65 DNE</v>
      </c>
      <c r="V47" s="19" t="str">
        <f>IFERROR(_xlfn.XLOOKUP(Selectivo6[[#This Row],[DNI]],_VF2026[DNI],_VF2026[R8]),"65 DNC")</f>
        <v>65 DNE</v>
      </c>
      <c r="W47" s="19"/>
      <c r="X47" s="19"/>
      <c r="Y47" s="19"/>
      <c r="Z47" s="19"/>
      <c r="AA47" s="19"/>
      <c r="AB47" s="8" cm="1">
        <f t="array" aca="1" ref="AB47" ca="1">SUM(IFERROR(VALUE(LEFT(Regatas, FIND(" ",Regatas&amp; " ") - 1)), 0))</f>
        <v>229</v>
      </c>
      <c r="AC47" s="9" cm="1">
        <f t="array" aca="1" ref="AC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203</v>
      </c>
      <c r="AD47" s="6" cm="1">
        <f t="array" aca="1" ref="AD47" ca="1">SMALL(_xlfn._xlws.FILTER(RegatasN, RegatasN&lt;&gt;0), 1)</f>
        <v>1</v>
      </c>
      <c r="AE47" s="6" cm="1">
        <f t="array" aca="1" ref="AE47" ca="1">SMALL(_xlfn._xlws.FILTER(RegatasN, RegatasN&lt;&gt;0), 2)</f>
        <v>2</v>
      </c>
      <c r="AF47" s="6" cm="1">
        <f t="array" aca="1" ref="AF47" ca="1">SMALL(_xlfn._xlws.FILTER(RegatasN, RegatasN&lt;&gt;0), 3)</f>
        <v>4</v>
      </c>
      <c r="AG47" s="5" cm="1">
        <f t="array" aca="1" ref="AG47" ca="1">COUNTIF(Regatas,SMALL(_xlfn._xlws.FILTER(RegatasN, RegatasN&lt;&gt;0), 1))</f>
        <v>1</v>
      </c>
      <c r="AH47" s="6" t="e" cm="1">
        <f t="array" ref="AH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8" spans="1:34">
      <c r="A48">
        <v>54627320</v>
      </c>
      <c r="B48" s="10">
        <f>ROW()-ROW(Selectivo6[[#Headers],[Pos]])</f>
        <v>42</v>
      </c>
      <c r="C48" s="5">
        <v>4195</v>
      </c>
      <c r="D48" t="s">
        <v>251</v>
      </c>
      <c r="E48" t="s">
        <v>26</v>
      </c>
      <c r="F48" s="19" t="str" cm="1">
        <f t="array" aca="1" ref="F48" ca="1">IFERROR(_xlfn.XLOOKUP(Selectivo6[[#This Row],[DNI]],S_S[DNI],INDIRECT("S_S["&amp;Selectivo6[[#Headers],[R1]]&amp;"]")),"60 DNC")</f>
        <v>10</v>
      </c>
      <c r="G48" s="19" t="str" cm="1">
        <f t="array" aca="1" ref="G48" ca="1">IFERROR(_xlfn.XLOOKUP(Selectivo6[[#This Row],[DNI]],S_S[DNI],INDIRECT("S_S["&amp;Selectivo6[[#Headers],[R2]]&amp;"]")),"60 DNC")</f>
        <v>6</v>
      </c>
      <c r="H48" s="19" t="str" cm="1">
        <f t="array" aca="1" ref="H48" ca="1">IFERROR(_xlfn.XLOOKUP(Selectivo6[[#This Row],[DNI]],S_S[DNI],INDIRECT("S_S["&amp;Selectivo6[[#Headers],[R3]]&amp;"]")),"60 DNC")</f>
        <v>7</v>
      </c>
      <c r="I48" s="19" t="str" cm="1">
        <f t="array" aca="1" ref="I48" ca="1">IFERROR(_xlfn.XLOOKUP(Selectivo6[[#This Row],[DNI]],S_S[DNI],INDIRECT("S_S["&amp;Selectivo6[[#Headers],[R4]]&amp;"]")),"60 DNC")</f>
        <v>14</v>
      </c>
      <c r="J48" s="19" t="str" cm="1">
        <f t="array" aca="1" ref="J48" ca="1">IFERROR(_xlfn.XLOOKUP(Selectivo6[[#This Row],[DNI]],S_S[DNI],INDIRECT("S_S["&amp;Selectivo6[[#Headers],[R5]]&amp;"]")),"60 DNC")</f>
        <v>12</v>
      </c>
      <c r="K48" s="19" t="str" cm="1">
        <f t="array" aca="1" ref="K48" ca="1">IFERROR(_xlfn.XLOOKUP(Selectivo6[[#This Row],[DNI]],S_S[DNI],INDIRECT("S_S["&amp;Selectivo6[[#Headers],[R6]]&amp;"]")),"60 DNC")</f>
        <v>16</v>
      </c>
      <c r="L48" s="20" t="str" cm="1">
        <f t="array" aca="1" ref="L48" ca="1">IFERROR(_xlfn.XLOOKUP(Selectivo6[[#This Row],[DNI]],S_S[DNI],INDIRECT("S_S["&amp;Selectivo6[[#Headers],[R7]]&amp;"]")),"60 DNC")</f>
        <v>60 BFD</v>
      </c>
      <c r="M48" s="19" t="str" cm="1">
        <f t="array" aca="1" ref="M48" ca="1">IFERROR(_xlfn.XLOOKUP(Selectivo6[[#This Row],[DNI]],S_S[DNI],INDIRECT("S_S["&amp;Selectivo6[[#Headers],[R8]]&amp;"]")),"60 DNC")</f>
        <v>22</v>
      </c>
      <c r="N48" s="19" t="str" cm="1">
        <f t="array" aca="1" ref="N48" ca="1">IFERROR(_xlfn.XLOOKUP(Selectivo6[[#This Row],[DNI]],S_S[DNI],INDIRECT("S_S["&amp;Selectivo6[[#Headers],[R9]]&amp;"]")),"60 DNC")</f>
        <v>16</v>
      </c>
      <c r="O48" s="19" t="str">
        <f>IFERROR(_xlfn.XLOOKUP(Selectivo6[[#This Row],[DNI]],_VF2026[DNI],_VF2026[R1]),"65 DNC")</f>
        <v>12</v>
      </c>
      <c r="P48" s="19" t="str">
        <f>IFERROR(_xlfn.XLOOKUP(Selectivo6[[#This Row],[DNI]],_VF2026[DNI],_VF2026[R2]),"65 DNC")</f>
        <v>25</v>
      </c>
      <c r="Q48" s="19" t="str">
        <f>IFERROR(_xlfn.XLOOKUP(Selectivo6[[#This Row],[DNI]],_VF2026[DNI],_VF2026[R3]),"65 DNC")</f>
        <v>11</v>
      </c>
      <c r="R48" s="19" t="str">
        <f>IFERROR(_xlfn.XLOOKUP(Selectivo6[[#This Row],[DNI]],_VF2026[DNI],_VF2026[R4]),"65 DNC")</f>
        <v>8</v>
      </c>
      <c r="S48" s="19" t="str">
        <f>IFERROR(_xlfn.XLOOKUP(Selectivo6[[#This Row],[DNI]],_VF2026[DNI],_VF2026[R5]),"65 DNC")</f>
        <v>9</v>
      </c>
      <c r="T48" s="19" t="str">
        <f>IFERROR(_xlfn.XLOOKUP(Selectivo6[[#This Row],[DNI]],_VF2026[DNI],_VF2026[R6]),"65 DNC")</f>
        <v>15</v>
      </c>
      <c r="U48" s="19" t="str">
        <f>IFERROR(_xlfn.XLOOKUP(Selectivo6[[#This Row],[DNI]],_VF2026[DNI],_VF2026[R7]),"65 DNC")</f>
        <v>22</v>
      </c>
      <c r="V48" s="20" t="str">
        <f>IFERROR(_xlfn.XLOOKUP(Selectivo6[[#This Row],[DNI]],_VF2026[DNI],_VF2026[R8]),"65 DNC")</f>
        <v>65 BFD</v>
      </c>
      <c r="W48" s="19"/>
      <c r="X48" s="19"/>
      <c r="Y48" s="19"/>
      <c r="Z48" s="19"/>
      <c r="AA48" s="19"/>
      <c r="AB48" s="8" cm="1">
        <f t="array" aca="1" ref="AB48" ca="1">SUM(IFERROR(VALUE(LEFT(Regatas, FIND(" ",Regatas&amp; " ") - 1)), 0))</f>
        <v>330</v>
      </c>
      <c r="AC48" s="9" cm="1">
        <f t="array" aca="1" ref="AC4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205</v>
      </c>
      <c r="AD48" s="6" cm="1">
        <f t="array" aca="1" ref="AD48" ca="1">SMALL(_xlfn._xlws.FILTER(RegatasN, RegatasN&lt;&gt;0), 1)</f>
        <v>6</v>
      </c>
      <c r="AE48" s="6" cm="1">
        <f t="array" aca="1" ref="AE48" ca="1">SMALL(_xlfn._xlws.FILTER(RegatasN, RegatasN&lt;&gt;0), 2)</f>
        <v>7</v>
      </c>
      <c r="AF48" s="6" cm="1">
        <f t="array" aca="1" ref="AF48" ca="1">SMALL(_xlfn._xlws.FILTER(RegatasN, RegatasN&lt;&gt;0), 3)</f>
        <v>8</v>
      </c>
      <c r="AG48" s="5" cm="1">
        <f t="array" aca="1" ref="AG48" ca="1">COUNTIF(Regatas,SMALL(_xlfn._xlws.FILTER(RegatasN, RegatasN&lt;&gt;0), 1))</f>
        <v>1</v>
      </c>
      <c r="AH48" s="6" t="e" cm="1">
        <f t="array" ref="AH4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49" spans="1:34">
      <c r="A49">
        <v>53454414</v>
      </c>
      <c r="B49" s="10">
        <f>ROW()-ROW(Selectivo6[[#Headers],[Pos]])</f>
        <v>43</v>
      </c>
      <c r="C49" s="5">
        <v>4198</v>
      </c>
      <c r="D49" t="s">
        <v>249</v>
      </c>
      <c r="E49" t="s">
        <v>21</v>
      </c>
      <c r="F49" s="19" t="str" cm="1">
        <f t="array" aca="1" ref="F49" ca="1">IFERROR(_xlfn.XLOOKUP(Selectivo6[[#This Row],[DNI]],S_S[DNI],INDIRECT("S_S["&amp;Selectivo6[[#Headers],[R1]]&amp;"]")),"60 DNC")</f>
        <v>12</v>
      </c>
      <c r="G49" s="19" t="str" cm="1">
        <f t="array" aca="1" ref="G49" ca="1">IFERROR(_xlfn.XLOOKUP(Selectivo6[[#This Row],[DNI]],S_S[DNI],INDIRECT("S_S["&amp;Selectivo6[[#Headers],[R2]]&amp;"]")),"60 DNC")</f>
        <v>9</v>
      </c>
      <c r="H49" s="19" t="str" cm="1">
        <f t="array" aca="1" ref="H49" ca="1">IFERROR(_xlfn.XLOOKUP(Selectivo6[[#This Row],[DNI]],S_S[DNI],INDIRECT("S_S["&amp;Selectivo6[[#Headers],[R3]]&amp;"]")),"60 DNC")</f>
        <v>13</v>
      </c>
      <c r="I49" s="19" t="str" cm="1">
        <f t="array" aca="1" ref="I49" ca="1">IFERROR(_xlfn.XLOOKUP(Selectivo6[[#This Row],[DNI]],S_S[DNI],INDIRECT("S_S["&amp;Selectivo6[[#Headers],[R4]]&amp;"]")),"60 DNC")</f>
        <v>6</v>
      </c>
      <c r="J49" s="19" t="str" cm="1">
        <f t="array" aca="1" ref="J49" ca="1">IFERROR(_xlfn.XLOOKUP(Selectivo6[[#This Row],[DNI]],S_S[DNI],INDIRECT("S_S["&amp;Selectivo6[[#Headers],[R5]]&amp;"]")),"60 DNC")</f>
        <v>19</v>
      </c>
      <c r="K49" s="19" t="str" cm="1">
        <f t="array" aca="1" ref="K49" ca="1">IFERROR(_xlfn.XLOOKUP(Selectivo6[[#This Row],[DNI]],S_S[DNI],INDIRECT("S_S["&amp;Selectivo6[[#Headers],[R6]]&amp;"]")),"60 DNC")</f>
        <v>8</v>
      </c>
      <c r="L49" s="19" t="str" cm="1">
        <f t="array" aca="1" ref="L49" ca="1">IFERROR(_xlfn.XLOOKUP(Selectivo6[[#This Row],[DNI]],S_S[DNI],INDIRECT("S_S["&amp;Selectivo6[[#Headers],[R7]]&amp;"]")),"60 DNC")</f>
        <v>20</v>
      </c>
      <c r="M49" s="19" t="str" cm="1">
        <f t="array" aca="1" ref="M49" ca="1">IFERROR(_xlfn.XLOOKUP(Selectivo6[[#This Row],[DNI]],S_S[DNI],INDIRECT("S_S["&amp;Selectivo6[[#Headers],[R8]]&amp;"]")),"60 DNC")</f>
        <v>19</v>
      </c>
      <c r="N49" s="19" t="str" cm="1">
        <f t="array" aca="1" ref="N49" ca="1">IFERROR(_xlfn.XLOOKUP(Selectivo6[[#This Row],[DNI]],S_S[DNI],INDIRECT("S_S["&amp;Selectivo6[[#Headers],[R9]]&amp;"]")),"60 DNC")</f>
        <v>15</v>
      </c>
      <c r="O49" s="19" t="str">
        <f>IFERROR(_xlfn.XLOOKUP(Selectivo6[[#This Row],[DNI]],_VF2026[DNI],_VF2026[R1]),"65 DNC")</f>
        <v>9</v>
      </c>
      <c r="P49" s="19" t="str">
        <f>IFERROR(_xlfn.XLOOKUP(Selectivo6[[#This Row],[DNI]],_VF2026[DNI],_VF2026[R2]),"65 DNC")</f>
        <v>5</v>
      </c>
      <c r="Q49" s="19" t="str">
        <f>IFERROR(_xlfn.XLOOKUP(Selectivo6[[#This Row],[DNI]],_VF2026[DNI],_VF2026[R3]),"65 DNC")</f>
        <v>36</v>
      </c>
      <c r="R49" s="19" t="str">
        <f>IFERROR(_xlfn.XLOOKUP(Selectivo6[[#This Row],[DNI]],_VF2026[DNI],_VF2026[R4]),"65 DNC")</f>
        <v>25</v>
      </c>
      <c r="S49" s="19" t="str">
        <f>IFERROR(_xlfn.XLOOKUP(Selectivo6[[#This Row],[DNI]],_VF2026[DNI],_VF2026[R5]),"65 DNC")</f>
        <v>24</v>
      </c>
      <c r="T49" s="20" t="str">
        <f>IFERROR(_xlfn.XLOOKUP(Selectivo6[[#This Row],[DNI]],_VF2026[DNI],_VF2026[R6]),"65 DNC")</f>
        <v>65 DSQ</v>
      </c>
      <c r="U49" s="20" t="str">
        <f>IFERROR(_xlfn.XLOOKUP(Selectivo6[[#This Row],[DNI]],_VF2026[DNI],_VF2026[R7]),"65 DNC")</f>
        <v>65 BFD</v>
      </c>
      <c r="V49" s="19" t="str">
        <f>IFERROR(_xlfn.XLOOKUP(Selectivo6[[#This Row],[DNI]],_VF2026[DNI],_VF2026[R8]),"65 DNC")</f>
        <v>4</v>
      </c>
      <c r="W49" s="19"/>
      <c r="X49" s="19"/>
      <c r="Y49" s="19"/>
      <c r="Z49" s="19"/>
      <c r="AA49" s="19"/>
      <c r="AB49" s="8" cm="1">
        <f t="array" aca="1" ref="AB49" ca="1">SUM(IFERROR(VALUE(LEFT(Regatas, FIND(" ",Regatas&amp; " ") - 1)), 0))</f>
        <v>354</v>
      </c>
      <c r="AC49" s="9" cm="1">
        <f t="array" aca="1" ref="AC4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224</v>
      </c>
      <c r="AD49" s="6" cm="1">
        <f t="array" aca="1" ref="AD49" ca="1">SMALL(_xlfn._xlws.FILTER(RegatasN, RegatasN&lt;&gt;0), 1)</f>
        <v>4</v>
      </c>
      <c r="AE49" s="6" cm="1">
        <f t="array" aca="1" ref="AE49" ca="1">SMALL(_xlfn._xlws.FILTER(RegatasN, RegatasN&lt;&gt;0), 2)</f>
        <v>5</v>
      </c>
      <c r="AF49" s="6" cm="1">
        <f t="array" aca="1" ref="AF49" ca="1">SMALL(_xlfn._xlws.FILTER(RegatasN, RegatasN&lt;&gt;0), 3)</f>
        <v>6</v>
      </c>
      <c r="AG49" s="5" cm="1">
        <f t="array" aca="1" ref="AG49" ca="1">COUNTIF(Regatas,SMALL(_xlfn._xlws.FILTER(RegatasN, RegatasN&lt;&gt;0), 1))</f>
        <v>1</v>
      </c>
      <c r="AH49" s="6" t="e" cm="1">
        <f t="array" ref="AH4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0" spans="1:34">
      <c r="A50">
        <v>51588663</v>
      </c>
      <c r="B50" s="10">
        <f>ROW()-ROW(Selectivo6[[#Headers],[Pos]])</f>
        <v>44</v>
      </c>
      <c r="C50" s="5">
        <v>4188</v>
      </c>
      <c r="D50" t="s">
        <v>330</v>
      </c>
      <c r="E50" t="s">
        <v>5</v>
      </c>
      <c r="F50" s="19" t="str" cm="1">
        <f t="array" aca="1" ref="F50" ca="1">IFERROR(_xlfn.XLOOKUP(Selectivo6[[#This Row],[DNI]],S_S[DNI],INDIRECT("S_S["&amp;Selectivo6[[#Headers],[R1]]&amp;"]")),"60 DNC")</f>
        <v>2</v>
      </c>
      <c r="G50" s="20" t="str" cm="1">
        <f t="array" aca="1" ref="G50" ca="1">IFERROR(_xlfn.XLOOKUP(Selectivo6[[#This Row],[DNI]],S_S[DNI],INDIRECT("S_S["&amp;Selectivo6[[#Headers],[R2]]&amp;"]")),"60 DNC")</f>
        <v>60 BFD</v>
      </c>
      <c r="H50" s="19" t="str" cm="1">
        <f t="array" aca="1" ref="H50" ca="1">IFERROR(_xlfn.XLOOKUP(Selectivo6[[#This Row],[DNI]],S_S[DNI],INDIRECT("S_S["&amp;Selectivo6[[#Headers],[R3]]&amp;"]")),"60 DNC")</f>
        <v>10</v>
      </c>
      <c r="I50" s="19" t="str" cm="1">
        <f t="array" aca="1" ref="I50" ca="1">IFERROR(_xlfn.XLOOKUP(Selectivo6[[#This Row],[DNI]],S_S[DNI],INDIRECT("S_S["&amp;Selectivo6[[#Headers],[R4]]&amp;"]")),"60 DNC")</f>
        <v>60 BFD</v>
      </c>
      <c r="J50" s="19" t="str" cm="1">
        <f t="array" aca="1" ref="J50" ca="1">IFERROR(_xlfn.XLOOKUP(Selectivo6[[#This Row],[DNI]],S_S[DNI],INDIRECT("S_S["&amp;Selectivo6[[#Headers],[R5]]&amp;"]")),"60 DNC")</f>
        <v>4</v>
      </c>
      <c r="K50" s="19" t="str" cm="1">
        <f t="array" aca="1" ref="K50" ca="1">IFERROR(_xlfn.XLOOKUP(Selectivo6[[#This Row],[DNI]],S_S[DNI],INDIRECT("S_S["&amp;Selectivo6[[#Headers],[R6]]&amp;"]")),"60 DNC")</f>
        <v>8</v>
      </c>
      <c r="L50" s="19" t="str" cm="1">
        <f t="array" aca="1" ref="L50" ca="1">IFERROR(_xlfn.XLOOKUP(Selectivo6[[#This Row],[DNI]],S_S[DNI],INDIRECT("S_S["&amp;Selectivo6[[#Headers],[R7]]&amp;"]")),"60 DNC")</f>
        <v>60 DSQ</v>
      </c>
      <c r="M50" s="19" t="str" cm="1">
        <f t="array" aca="1" ref="M50" ca="1">IFERROR(_xlfn.XLOOKUP(Selectivo6[[#This Row],[DNI]],S_S[DNI],INDIRECT("S_S["&amp;Selectivo6[[#Headers],[R8]]&amp;"]")),"60 DNC")</f>
        <v>8</v>
      </c>
      <c r="N50" s="19" t="str" cm="1">
        <f t="array" aca="1" ref="N50" ca="1">IFERROR(_xlfn.XLOOKUP(Selectivo6[[#This Row],[DNI]],S_S[DNI],INDIRECT("S_S["&amp;Selectivo6[[#Headers],[R9]]&amp;"]")),"60 DNC")</f>
        <v>13</v>
      </c>
      <c r="O50" s="19" t="str">
        <f>IFERROR(_xlfn.XLOOKUP(Selectivo6[[#This Row],[DNI]],_VF2026[DNI],_VF2026[R1]),"65 DNC")</f>
        <v>13</v>
      </c>
      <c r="P50" s="19" t="str">
        <f>IFERROR(_xlfn.XLOOKUP(Selectivo6[[#This Row],[DNI]],_VF2026[DNI],_VF2026[R2]),"65 DNC")</f>
        <v>4</v>
      </c>
      <c r="Q50" s="19" t="str">
        <f>IFERROR(_xlfn.XLOOKUP(Selectivo6[[#This Row],[DNI]],_VF2026[DNI],_VF2026[R3]),"65 DNC")</f>
        <v>4</v>
      </c>
      <c r="R50" s="19" t="str">
        <f>IFERROR(_xlfn.XLOOKUP(Selectivo6[[#This Row],[DNI]],_VF2026[DNI],_VF2026[R4]),"65 DNC")</f>
        <v>16</v>
      </c>
      <c r="S50" s="19" t="str">
        <f>IFERROR(_xlfn.XLOOKUP(Selectivo6[[#This Row],[DNI]],_VF2026[DNI],_VF2026[R5]),"65 DNC")</f>
        <v>19</v>
      </c>
      <c r="T50" s="20" t="str">
        <f>IFERROR(_xlfn.XLOOKUP(Selectivo6[[#This Row],[DNI]],_VF2026[DNI],_VF2026[R6]),"65 DNC")</f>
        <v>65 BFD</v>
      </c>
      <c r="U50" s="19" t="str">
        <f>IFERROR(_xlfn.XLOOKUP(Selectivo6[[#This Row],[DNI]],_VF2026[DNI],_VF2026[R7]),"65 DNC")</f>
        <v>8</v>
      </c>
      <c r="V50" s="19" t="str">
        <f>IFERROR(_xlfn.XLOOKUP(Selectivo6[[#This Row],[DNI]],_VF2026[DNI],_VF2026[R8]),"65 DNC")</f>
        <v>1</v>
      </c>
      <c r="W50" s="19"/>
      <c r="X50" s="19"/>
      <c r="Y50" s="19"/>
      <c r="Z50" s="19"/>
      <c r="AA50" s="19"/>
      <c r="AB50" s="8" cm="1">
        <f t="array" aca="1" ref="AB50" ca="1">SUM(IFERROR(VALUE(LEFT(Regatas, FIND(" ",Regatas&amp; " ") - 1)), 0))</f>
        <v>355</v>
      </c>
      <c r="AC50" s="9" cm="1">
        <f t="array" aca="1" ref="AC5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230</v>
      </c>
      <c r="AD50" s="6" cm="1">
        <f t="array" aca="1" ref="AD50" ca="1">SMALL(_xlfn._xlws.FILTER(RegatasN, RegatasN&lt;&gt;0), 1)</f>
        <v>1</v>
      </c>
      <c r="AE50" s="6" cm="1">
        <f t="array" aca="1" ref="AE50" ca="1">SMALL(_xlfn._xlws.FILTER(RegatasN, RegatasN&lt;&gt;0), 2)</f>
        <v>2</v>
      </c>
      <c r="AF50" s="6" cm="1">
        <f t="array" aca="1" ref="AF50" ca="1">SMALL(_xlfn._xlws.FILTER(RegatasN, RegatasN&lt;&gt;0), 3)</f>
        <v>4</v>
      </c>
      <c r="AG50" s="5" cm="1">
        <f t="array" aca="1" ref="AG50" ca="1">COUNTIF(Regatas,SMALL(_xlfn._xlws.FILTER(RegatasN, RegatasN&lt;&gt;0), 1))</f>
        <v>1</v>
      </c>
      <c r="AH50" s="6" t="e" cm="1">
        <f t="array" ref="AH5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1" spans="1:34">
      <c r="A51">
        <v>52366875</v>
      </c>
      <c r="B51" s="10">
        <f>ROW()-ROW(Selectivo6[[#Headers],[Pos]])</f>
        <v>45</v>
      </c>
      <c r="C51" s="5">
        <v>4167</v>
      </c>
      <c r="D51" t="s">
        <v>280</v>
      </c>
      <c r="E51" t="s">
        <v>17</v>
      </c>
      <c r="F51" s="19" t="str" cm="1">
        <f t="array" aca="1" ref="F51" ca="1">IFERROR(_xlfn.XLOOKUP(Selectivo6[[#This Row],[DNI]],S_S[DNI],INDIRECT("S_S["&amp;Selectivo6[[#Headers],[R1]]&amp;"]")),"60 DNC")</f>
        <v>16</v>
      </c>
      <c r="G51" s="19" t="str" cm="1">
        <f t="array" aca="1" ref="G51" ca="1">IFERROR(_xlfn.XLOOKUP(Selectivo6[[#This Row],[DNI]],S_S[DNI],INDIRECT("S_S["&amp;Selectivo6[[#Headers],[R2]]&amp;"]")),"60 DNC")</f>
        <v>5</v>
      </c>
      <c r="H51" s="19" t="str" cm="1">
        <f t="array" aca="1" ref="H51" ca="1">IFERROR(_xlfn.XLOOKUP(Selectivo6[[#This Row],[DNI]],S_S[DNI],INDIRECT("S_S["&amp;Selectivo6[[#Headers],[R3]]&amp;"]")),"60 DNC")</f>
        <v>10</v>
      </c>
      <c r="I51" s="19" t="str" cm="1">
        <f t="array" aca="1" ref="I51" ca="1">IFERROR(_xlfn.XLOOKUP(Selectivo6[[#This Row],[DNI]],S_S[DNI],INDIRECT("S_S["&amp;Selectivo6[[#Headers],[R4]]&amp;"]")),"60 DNC")</f>
        <v>17</v>
      </c>
      <c r="J51" s="19" t="str" cm="1">
        <f t="array" aca="1" ref="J51" ca="1">IFERROR(_xlfn.XLOOKUP(Selectivo6[[#This Row],[DNI]],S_S[DNI],INDIRECT("S_S["&amp;Selectivo6[[#Headers],[R5]]&amp;"]")),"60 DNC")</f>
        <v>23</v>
      </c>
      <c r="K51" s="20" t="str" cm="1">
        <f t="array" aca="1" ref="K51" ca="1">IFERROR(_xlfn.XLOOKUP(Selectivo6[[#This Row],[DNI]],S_S[DNI],INDIRECT("S_S["&amp;Selectivo6[[#Headers],[R6]]&amp;"]")),"60 DNC")</f>
        <v>31</v>
      </c>
      <c r="L51" s="19" t="str" cm="1">
        <f t="array" aca="1" ref="L51" ca="1">IFERROR(_xlfn.XLOOKUP(Selectivo6[[#This Row],[DNI]],S_S[DNI],INDIRECT("S_S["&amp;Selectivo6[[#Headers],[R7]]&amp;"]")),"60 DNC")</f>
        <v>18</v>
      </c>
      <c r="M51" s="19" t="str" cm="1">
        <f t="array" aca="1" ref="M51" ca="1">IFERROR(_xlfn.XLOOKUP(Selectivo6[[#This Row],[DNI]],S_S[DNI],INDIRECT("S_S["&amp;Selectivo6[[#Headers],[R8]]&amp;"]")),"60 DNC")</f>
        <v>18</v>
      </c>
      <c r="N51" s="19" t="str" cm="1">
        <f t="array" aca="1" ref="N51" ca="1">IFERROR(_xlfn.XLOOKUP(Selectivo6[[#This Row],[DNI]],S_S[DNI],INDIRECT("S_S["&amp;Selectivo6[[#Headers],[R9]]&amp;"]")),"60 DNC")</f>
        <v>21</v>
      </c>
      <c r="O51" s="19" t="str">
        <f>IFERROR(_xlfn.XLOOKUP(Selectivo6[[#This Row],[DNI]],_VF2026[DNI],_VF2026[R1]),"65 DNC")</f>
        <v>13</v>
      </c>
      <c r="P51" s="19" t="str">
        <f>IFERROR(_xlfn.XLOOKUP(Selectivo6[[#This Row],[DNI]],_VF2026[DNI],_VF2026[R2]),"65 DNC")</f>
        <v>12</v>
      </c>
      <c r="Q51" s="19" t="str">
        <f>IFERROR(_xlfn.XLOOKUP(Selectivo6[[#This Row],[DNI]],_VF2026[DNI],_VF2026[R3]),"65 DNC")</f>
        <v>15</v>
      </c>
      <c r="R51" s="19" t="str">
        <f>IFERROR(_xlfn.XLOOKUP(Selectivo6[[#This Row],[DNI]],_VF2026[DNI],_VF2026[R4]),"65 DNC")</f>
        <v>8</v>
      </c>
      <c r="S51" s="19" t="str">
        <f>IFERROR(_xlfn.XLOOKUP(Selectivo6[[#This Row],[DNI]],_VF2026[DNI],_VF2026[R5]),"65 DNC")</f>
        <v>10</v>
      </c>
      <c r="T51" s="19" t="str">
        <f>IFERROR(_xlfn.XLOOKUP(Selectivo6[[#This Row],[DNI]],_VF2026[DNI],_VF2026[R6]),"65 DNC")</f>
        <v>23</v>
      </c>
      <c r="U51" s="20" t="str">
        <f>IFERROR(_xlfn.XLOOKUP(Selectivo6[[#This Row],[DNI]],_VF2026[DNI],_VF2026[R7]),"65 DNC")</f>
        <v>25</v>
      </c>
      <c r="V51" s="19" t="str">
        <f>IFERROR(_xlfn.XLOOKUP(Selectivo6[[#This Row],[DNI]],_VF2026[DNI],_VF2026[R8]),"65 DNC")</f>
        <v>23</v>
      </c>
      <c r="W51" s="19"/>
      <c r="X51" s="19"/>
      <c r="Y51" s="19"/>
      <c r="Z51" s="19"/>
      <c r="AA51" s="19"/>
      <c r="AB51" s="8" cm="1">
        <f t="array" aca="1" ref="AB51" ca="1">SUM(IFERROR(VALUE(LEFT(Regatas, FIND(" ",Regatas&amp; " ") - 1)), 0))</f>
        <v>288</v>
      </c>
      <c r="AC51" s="9" cm="1">
        <f t="array" aca="1" ref="AC5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232</v>
      </c>
      <c r="AD51" s="6" cm="1">
        <f t="array" aca="1" ref="AD51" ca="1">SMALL(_xlfn._xlws.FILTER(RegatasN, RegatasN&lt;&gt;0), 1)</f>
        <v>5</v>
      </c>
      <c r="AE51" s="6" cm="1">
        <f t="array" aca="1" ref="AE51" ca="1">SMALL(_xlfn._xlws.FILTER(RegatasN, RegatasN&lt;&gt;0), 2)</f>
        <v>8</v>
      </c>
      <c r="AF51" s="6" cm="1">
        <f t="array" aca="1" ref="AF51" ca="1">SMALL(_xlfn._xlws.FILTER(RegatasN, RegatasN&lt;&gt;0), 3)</f>
        <v>10</v>
      </c>
      <c r="AG51" s="5" cm="1">
        <f t="array" aca="1" ref="AG51" ca="1">COUNTIF(Regatas,SMALL(_xlfn._xlws.FILTER(RegatasN, RegatasN&lt;&gt;0), 1))</f>
        <v>1</v>
      </c>
      <c r="AH51" s="6" t="e" cm="1">
        <f t="array" ref="AH5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2" spans="1:34">
      <c r="A52">
        <v>51397535</v>
      </c>
      <c r="B52" s="10">
        <f>ROW()-ROW(Selectivo6[[#Headers],[Pos]])</f>
        <v>46</v>
      </c>
      <c r="C52" s="5">
        <v>4096</v>
      </c>
      <c r="D52" t="s">
        <v>262</v>
      </c>
      <c r="E52" t="s">
        <v>9</v>
      </c>
      <c r="F52" s="19" t="str" cm="1">
        <f t="array" aca="1" ref="F52" ca="1">IFERROR(_xlfn.XLOOKUP(Selectivo6[[#This Row],[DNI]],S_S[DNI],INDIRECT("S_S["&amp;Selectivo6[[#Headers],[R1]]&amp;"]")),"60 DNC")</f>
        <v>1</v>
      </c>
      <c r="G52" s="20" t="str" cm="1">
        <f t="array" aca="1" ref="G52" ca="1">IFERROR(_xlfn.XLOOKUP(Selectivo6[[#This Row],[DNI]],S_S[DNI],INDIRECT("S_S["&amp;Selectivo6[[#Headers],[R2]]&amp;"]")),"60 DNC")</f>
        <v>60 BFD</v>
      </c>
      <c r="H52" s="19" t="str" cm="1">
        <f t="array" aca="1" ref="H52" ca="1">IFERROR(_xlfn.XLOOKUP(Selectivo6[[#This Row],[DNI]],S_S[DNI],INDIRECT("S_S["&amp;Selectivo6[[#Headers],[R3]]&amp;"]")),"60 DNC")</f>
        <v>19</v>
      </c>
      <c r="I52" s="19" t="str" cm="1">
        <f t="array" aca="1" ref="I52" ca="1">IFERROR(_xlfn.XLOOKUP(Selectivo6[[#This Row],[DNI]],S_S[DNI],INDIRECT("S_S["&amp;Selectivo6[[#Headers],[R4]]&amp;"]")),"60 DNC")</f>
        <v>13</v>
      </c>
      <c r="J52" s="19" t="str" cm="1">
        <f t="array" aca="1" ref="J52" ca="1">IFERROR(_xlfn.XLOOKUP(Selectivo6[[#This Row],[DNI]],S_S[DNI],INDIRECT("S_S["&amp;Selectivo6[[#Headers],[R5]]&amp;"]")),"60 DNC")</f>
        <v>21</v>
      </c>
      <c r="K52" s="19" t="str" cm="1">
        <f t="array" aca="1" ref="K52" ca="1">IFERROR(_xlfn.XLOOKUP(Selectivo6[[#This Row],[DNI]],S_S[DNI],INDIRECT("S_S["&amp;Selectivo6[[#Headers],[R6]]&amp;"]")),"60 DNC")</f>
        <v>17</v>
      </c>
      <c r="L52" s="19" t="str" cm="1">
        <f t="array" aca="1" ref="L52" ca="1">IFERROR(_xlfn.XLOOKUP(Selectivo6[[#This Row],[DNI]],S_S[DNI],INDIRECT("S_S["&amp;Selectivo6[[#Headers],[R7]]&amp;"]")),"60 DNC")</f>
        <v>11</v>
      </c>
      <c r="M52" s="19" t="str" cm="1">
        <f t="array" aca="1" ref="M52" ca="1">IFERROR(_xlfn.XLOOKUP(Selectivo6[[#This Row],[DNI]],S_S[DNI],INDIRECT("S_S["&amp;Selectivo6[[#Headers],[R8]]&amp;"]")),"60 DNC")</f>
        <v>16</v>
      </c>
      <c r="N52" s="19" t="str" cm="1">
        <f t="array" aca="1" ref="N52" ca="1">IFERROR(_xlfn.XLOOKUP(Selectivo6[[#This Row],[DNI]],S_S[DNI],INDIRECT("S_S["&amp;Selectivo6[[#Headers],[R9]]&amp;"]")),"60 DNC")</f>
        <v>14</v>
      </c>
      <c r="O52" s="19" t="str">
        <f>IFERROR(_xlfn.XLOOKUP(Selectivo6[[#This Row],[DNI]],_VF2026[DNI],_VF2026[R1]),"65 DNC")</f>
        <v>7</v>
      </c>
      <c r="P52" s="20" t="str">
        <f>IFERROR(_xlfn.XLOOKUP(Selectivo6[[#This Row],[DNI]],_VF2026[DNI],_VF2026[R2]),"65 DNC")</f>
        <v>65 BFD</v>
      </c>
      <c r="Q52" s="19" t="str">
        <f>IFERROR(_xlfn.XLOOKUP(Selectivo6[[#This Row],[DNI]],_VF2026[DNI],_VF2026[R3]),"65 DNC")</f>
        <v>26</v>
      </c>
      <c r="R52" s="19" t="str">
        <f>IFERROR(_xlfn.XLOOKUP(Selectivo6[[#This Row],[DNI]],_VF2026[DNI],_VF2026[R4]),"65 DNC")</f>
        <v>12</v>
      </c>
      <c r="S52" s="19" t="str">
        <f>IFERROR(_xlfn.XLOOKUP(Selectivo6[[#This Row],[DNI]],_VF2026[DNI],_VF2026[R5]),"65 DNC")</f>
        <v>11</v>
      </c>
      <c r="T52" s="19" t="str">
        <f>IFERROR(_xlfn.XLOOKUP(Selectivo6[[#This Row],[DNI]],_VF2026[DNI],_VF2026[R6]),"65 DNC")</f>
        <v>13</v>
      </c>
      <c r="U52" s="19" t="str">
        <f>IFERROR(_xlfn.XLOOKUP(Selectivo6[[#This Row],[DNI]],_VF2026[DNI],_VF2026[R7]),"65 DNC")</f>
        <v>24</v>
      </c>
      <c r="V52" s="19" t="str">
        <f>IFERROR(_xlfn.XLOOKUP(Selectivo6[[#This Row],[DNI]],_VF2026[DNI],_VF2026[R8]),"65 DNC")</f>
        <v>34</v>
      </c>
      <c r="W52" s="19"/>
      <c r="X52" s="19"/>
      <c r="Y52" s="19"/>
      <c r="Z52" s="19"/>
      <c r="AA52" s="19"/>
      <c r="AB52" s="8" cm="1">
        <f t="array" aca="1" ref="AB52" ca="1">SUM(IFERROR(VALUE(LEFT(Regatas, FIND(" ",Regatas&amp; " ") - 1)), 0))</f>
        <v>364</v>
      </c>
      <c r="AC52" s="9" cm="1">
        <f t="array" aca="1" ref="AC5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239</v>
      </c>
      <c r="AD52" s="6" cm="1">
        <f t="array" aca="1" ref="AD52" ca="1">SMALL(_xlfn._xlws.FILTER(RegatasN, RegatasN&lt;&gt;0), 1)</f>
        <v>1</v>
      </c>
      <c r="AE52" s="6" cm="1">
        <f t="array" aca="1" ref="AE52" ca="1">SMALL(_xlfn._xlws.FILTER(RegatasN, RegatasN&lt;&gt;0), 2)</f>
        <v>7</v>
      </c>
      <c r="AF52" s="6" cm="1">
        <f t="array" aca="1" ref="AF52" ca="1">SMALL(_xlfn._xlws.FILTER(RegatasN, RegatasN&lt;&gt;0), 3)</f>
        <v>11</v>
      </c>
      <c r="AG52" s="5" cm="1">
        <f t="array" aca="1" ref="AG52" ca="1">COUNTIF(Regatas,SMALL(_xlfn._xlws.FILTER(RegatasN, RegatasN&lt;&gt;0), 1))</f>
        <v>1</v>
      </c>
      <c r="AH52" s="6" t="e" cm="1">
        <f t="array" ref="AH5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3" spans="1:34">
      <c r="A53">
        <v>52755200</v>
      </c>
      <c r="B53" s="10">
        <f>ROW()-ROW(Selectivo6[[#Headers],[Pos]])</f>
        <v>47</v>
      </c>
      <c r="C53" s="5">
        <v>4234</v>
      </c>
      <c r="D53" t="s">
        <v>312</v>
      </c>
      <c r="E53" t="s">
        <v>17</v>
      </c>
      <c r="F53" s="20" t="str" cm="1">
        <f t="array" aca="1" ref="F53" ca="1">IFERROR(_xlfn.XLOOKUP(Selectivo6[[#This Row],[DNI]],S_S[DNI],INDIRECT("S_S["&amp;Selectivo6[[#Headers],[R1]]&amp;"]")),"60 DNC")</f>
        <v>43</v>
      </c>
      <c r="G53" s="19" t="str" cm="1">
        <f t="array" aca="1" ref="G53" ca="1">IFERROR(_xlfn.XLOOKUP(Selectivo6[[#This Row],[DNI]],S_S[DNI],INDIRECT("S_S["&amp;Selectivo6[[#Headers],[R2]]&amp;"]")),"60 DNC")</f>
        <v>29</v>
      </c>
      <c r="H53" s="19" t="str" cm="1">
        <f t="array" aca="1" ref="H53" ca="1">IFERROR(_xlfn.XLOOKUP(Selectivo6[[#This Row],[DNI]],S_S[DNI],INDIRECT("S_S["&amp;Selectivo6[[#Headers],[R3]]&amp;"]")),"60 DNC")</f>
        <v>14</v>
      </c>
      <c r="I53" s="19" t="str" cm="1">
        <f t="array" aca="1" ref="I53" ca="1">IFERROR(_xlfn.XLOOKUP(Selectivo6[[#This Row],[DNI]],S_S[DNI],INDIRECT("S_S["&amp;Selectivo6[[#Headers],[R4]]&amp;"]")),"60 DNC")</f>
        <v>31</v>
      </c>
      <c r="J53" s="20" t="str" cm="1">
        <f t="array" aca="1" ref="J53" ca="1">IFERROR(_xlfn.XLOOKUP(Selectivo6[[#This Row],[DNI]],S_S[DNI],INDIRECT("S_S["&amp;Selectivo6[[#Headers],[R5]]&amp;"]")),"60 DNC")</f>
        <v>36</v>
      </c>
      <c r="K53" s="19" t="str" cm="1">
        <f t="array" aca="1" ref="K53" ca="1">IFERROR(_xlfn.XLOOKUP(Selectivo6[[#This Row],[DNI]],S_S[DNI],INDIRECT("S_S["&amp;Selectivo6[[#Headers],[R6]]&amp;"]")),"60 DNC")</f>
        <v>5</v>
      </c>
      <c r="L53" s="19" t="str" cm="1">
        <f t="array" aca="1" ref="L53" ca="1">IFERROR(_xlfn.XLOOKUP(Selectivo6[[#This Row],[DNI]],S_S[DNI],INDIRECT("S_S["&amp;Selectivo6[[#Headers],[R7]]&amp;"]")),"60 DNC")</f>
        <v>8</v>
      </c>
      <c r="M53" s="19" t="str" cm="1">
        <f t="array" aca="1" ref="M53" ca="1">IFERROR(_xlfn.XLOOKUP(Selectivo6[[#This Row],[DNI]],S_S[DNI],INDIRECT("S_S["&amp;Selectivo6[[#Headers],[R8]]&amp;"]")),"60 DNC")</f>
        <v>21</v>
      </c>
      <c r="N53" s="19" t="str" cm="1">
        <f t="array" aca="1" ref="N53" ca="1">IFERROR(_xlfn.XLOOKUP(Selectivo6[[#This Row],[DNI]],S_S[DNI],INDIRECT("S_S["&amp;Selectivo6[[#Headers],[R9]]&amp;"]")),"60 DNC")</f>
        <v>13</v>
      </c>
      <c r="O53" s="19" t="str">
        <f>IFERROR(_xlfn.XLOOKUP(Selectivo6[[#This Row],[DNI]],_VF2026[DNI],_VF2026[R1]),"65 DNC")</f>
        <v>17</v>
      </c>
      <c r="P53" s="19" t="str">
        <f>IFERROR(_xlfn.XLOOKUP(Selectivo6[[#This Row],[DNI]],_VF2026[DNI],_VF2026[R2]),"65 DNC")</f>
        <v>7</v>
      </c>
      <c r="Q53" s="19" t="str">
        <f>IFERROR(_xlfn.XLOOKUP(Selectivo6[[#This Row],[DNI]],_VF2026[DNI],_VF2026[R3]),"65 DNC")</f>
        <v>17</v>
      </c>
      <c r="R53" s="19" t="str">
        <f>IFERROR(_xlfn.XLOOKUP(Selectivo6[[#This Row],[DNI]],_VF2026[DNI],_VF2026[R4]),"65 DNC")</f>
        <v>6</v>
      </c>
      <c r="S53" s="19" t="str">
        <f>IFERROR(_xlfn.XLOOKUP(Selectivo6[[#This Row],[DNI]],_VF2026[DNI],_VF2026[R5]),"65 DNC")</f>
        <v>8</v>
      </c>
      <c r="T53" s="19" t="str">
        <f>IFERROR(_xlfn.XLOOKUP(Selectivo6[[#This Row],[DNI]],_VF2026[DNI],_VF2026[R6]),"65 DNC")</f>
        <v>24</v>
      </c>
      <c r="U53" s="19" t="str">
        <f>IFERROR(_xlfn.XLOOKUP(Selectivo6[[#This Row],[DNI]],_VF2026[DNI],_VF2026[R7]),"65 DNC")</f>
        <v>25</v>
      </c>
      <c r="V53" s="19" t="str">
        <f>IFERROR(_xlfn.XLOOKUP(Selectivo6[[#This Row],[DNI]],_VF2026[DNI],_VF2026[R8]),"65 DNC")</f>
        <v>21</v>
      </c>
      <c r="W53" s="19"/>
      <c r="X53" s="19"/>
      <c r="Y53" s="19"/>
      <c r="Z53" s="19"/>
      <c r="AA53" s="19"/>
      <c r="AB53" s="8" cm="1">
        <f t="array" aca="1" ref="AB53" ca="1">SUM(IFERROR(VALUE(LEFT(Regatas, FIND(" ",Regatas&amp; " ") - 1)), 0))</f>
        <v>325</v>
      </c>
      <c r="AC53" s="9" cm="1">
        <f t="array" aca="1" ref="AC5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246</v>
      </c>
      <c r="AD53" s="6" cm="1">
        <f t="array" aca="1" ref="AD53" ca="1">SMALL(_xlfn._xlws.FILTER(RegatasN, RegatasN&lt;&gt;0), 1)</f>
        <v>5</v>
      </c>
      <c r="AE53" s="6" cm="1">
        <f t="array" aca="1" ref="AE53" ca="1">SMALL(_xlfn._xlws.FILTER(RegatasN, RegatasN&lt;&gt;0), 2)</f>
        <v>6</v>
      </c>
      <c r="AF53" s="6" cm="1">
        <f t="array" aca="1" ref="AF53" ca="1">SMALL(_xlfn._xlws.FILTER(RegatasN, RegatasN&lt;&gt;0), 3)</f>
        <v>7</v>
      </c>
      <c r="AG53" s="5" cm="1">
        <f t="array" aca="1" ref="AG53" ca="1">COUNTIF(Regatas,SMALL(_xlfn._xlws.FILTER(RegatasN, RegatasN&lt;&gt;0), 1))</f>
        <v>1</v>
      </c>
      <c r="AH53" s="6" t="e" cm="1">
        <f t="array" ref="AH5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4" spans="1:34">
      <c r="A54">
        <v>52085390</v>
      </c>
      <c r="B54" s="10">
        <f>ROW()-ROW(Selectivo6[[#Headers],[Pos]])</f>
        <v>48</v>
      </c>
      <c r="C54" s="5">
        <v>4218</v>
      </c>
      <c r="D54" t="s">
        <v>268</v>
      </c>
      <c r="E54" t="s">
        <v>33</v>
      </c>
      <c r="F54" s="19" t="str" cm="1">
        <f t="array" aca="1" ref="F54" ca="1">IFERROR(_xlfn.XLOOKUP(Selectivo6[[#This Row],[DNI]],S_S[DNI],INDIRECT("S_S["&amp;Selectivo6[[#Headers],[R1]]&amp;"]")),"60 DNC")</f>
        <v>16</v>
      </c>
      <c r="G54" s="19" t="str" cm="1">
        <f t="array" aca="1" ref="G54" ca="1">IFERROR(_xlfn.XLOOKUP(Selectivo6[[#This Row],[DNI]],S_S[DNI],INDIRECT("S_S["&amp;Selectivo6[[#Headers],[R2]]&amp;"]")),"60 DNC")</f>
        <v>14</v>
      </c>
      <c r="H54" s="19" t="str" cm="1">
        <f t="array" aca="1" ref="H54" ca="1">IFERROR(_xlfn.XLOOKUP(Selectivo6[[#This Row],[DNI]],S_S[DNI],INDIRECT("S_S["&amp;Selectivo6[[#Headers],[R3]]&amp;"]")),"60 DNC")</f>
        <v>10</v>
      </c>
      <c r="I54" s="19" t="str" cm="1">
        <f t="array" aca="1" ref="I54" ca="1">IFERROR(_xlfn.XLOOKUP(Selectivo6[[#This Row],[DNI]],S_S[DNI],INDIRECT("S_S["&amp;Selectivo6[[#Headers],[R4]]&amp;"]")),"60 DNC")</f>
        <v>24</v>
      </c>
      <c r="J54" s="19" t="str" cm="1">
        <f t="array" aca="1" ref="J54" ca="1">IFERROR(_xlfn.XLOOKUP(Selectivo6[[#This Row],[DNI]],S_S[DNI],INDIRECT("S_S["&amp;Selectivo6[[#Headers],[R5]]&amp;"]")),"60 DNC")</f>
        <v>18</v>
      </c>
      <c r="K54" s="19" t="str" cm="1">
        <f t="array" aca="1" ref="K54" ca="1">IFERROR(_xlfn.XLOOKUP(Selectivo6[[#This Row],[DNI]],S_S[DNI],INDIRECT("S_S["&amp;Selectivo6[[#Headers],[R6]]&amp;"]")),"60 DNC")</f>
        <v>26</v>
      </c>
      <c r="L54" s="19" t="str" cm="1">
        <f t="array" aca="1" ref="L54" ca="1">IFERROR(_xlfn.XLOOKUP(Selectivo6[[#This Row],[DNI]],S_S[DNI],INDIRECT("S_S["&amp;Selectivo6[[#Headers],[R7]]&amp;"]")),"60 DNC")</f>
        <v>6</v>
      </c>
      <c r="M54" s="19" t="str" cm="1">
        <f t="array" aca="1" ref="M54" ca="1">IFERROR(_xlfn.XLOOKUP(Selectivo6[[#This Row],[DNI]],S_S[DNI],INDIRECT("S_S["&amp;Selectivo6[[#Headers],[R8]]&amp;"]")),"60 DNC")</f>
        <v>8</v>
      </c>
      <c r="N54" s="19" t="str" cm="1">
        <f t="array" aca="1" ref="N54" ca="1">IFERROR(_xlfn.XLOOKUP(Selectivo6[[#This Row],[DNI]],S_S[DNI],INDIRECT("S_S["&amp;Selectivo6[[#Headers],[R9]]&amp;"]")),"60 DNC")</f>
        <v>21</v>
      </c>
      <c r="O54" s="19" t="str">
        <f>IFERROR(_xlfn.XLOOKUP(Selectivo6[[#This Row],[DNI]],_VF2026[DNI],_VF2026[R1]),"65 DNC")</f>
        <v>14</v>
      </c>
      <c r="P54" s="19" t="str">
        <f>IFERROR(_xlfn.XLOOKUP(Selectivo6[[#This Row],[DNI]],_VF2026[DNI],_VF2026[R2]),"65 DNC")</f>
        <v>8</v>
      </c>
      <c r="Q54" s="19" t="str">
        <f>IFERROR(_xlfn.XLOOKUP(Selectivo6[[#This Row],[DNI]],_VF2026[DNI],_VF2026[R3]),"65 DNC")</f>
        <v>21</v>
      </c>
      <c r="R54" s="19" t="str">
        <f>IFERROR(_xlfn.XLOOKUP(Selectivo6[[#This Row],[DNI]],_VF2026[DNI],_VF2026[R4]),"65 DNC")</f>
        <v>14</v>
      </c>
      <c r="S54" s="20" t="str">
        <f>IFERROR(_xlfn.XLOOKUP(Selectivo6[[#This Row],[DNI]],_VF2026[DNI],_VF2026[R5]),"65 DNC")</f>
        <v>36</v>
      </c>
      <c r="T54" s="20" t="str">
        <f>IFERROR(_xlfn.XLOOKUP(Selectivo6[[#This Row],[DNI]],_VF2026[DNI],_VF2026[R6]),"65 DNC")</f>
        <v>65 DSQ</v>
      </c>
      <c r="U54" s="19" t="str">
        <f>IFERROR(_xlfn.XLOOKUP(Selectivo6[[#This Row],[DNI]],_VF2026[DNI],_VF2026[R7]),"65 DNC")</f>
        <v>17</v>
      </c>
      <c r="V54" s="19" t="str">
        <f>IFERROR(_xlfn.XLOOKUP(Selectivo6[[#This Row],[DNI]],_VF2026[DNI],_VF2026[R8]),"65 DNC")</f>
        <v>32</v>
      </c>
      <c r="W54" s="19"/>
      <c r="X54" s="19"/>
      <c r="Y54" s="19"/>
      <c r="Z54" s="19"/>
      <c r="AA54" s="19"/>
      <c r="AB54" s="8" cm="1">
        <f t="array" aca="1" ref="AB54" ca="1">SUM(IFERROR(VALUE(LEFT(Regatas, FIND(" ",Regatas&amp; " ") - 1)), 0))</f>
        <v>350</v>
      </c>
      <c r="AC54" s="9" cm="1">
        <f t="array" aca="1" ref="AC5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249</v>
      </c>
      <c r="AD54" s="6" cm="1">
        <f t="array" aca="1" ref="AD54" ca="1">SMALL(_xlfn._xlws.FILTER(RegatasN, RegatasN&lt;&gt;0), 1)</f>
        <v>6</v>
      </c>
      <c r="AE54" s="6" cm="1">
        <f t="array" aca="1" ref="AE54" ca="1">SMALL(_xlfn._xlws.FILTER(RegatasN, RegatasN&lt;&gt;0), 2)</f>
        <v>8</v>
      </c>
      <c r="AF54" s="6" cm="1">
        <f t="array" aca="1" ref="AF54" ca="1">SMALL(_xlfn._xlws.FILTER(RegatasN, RegatasN&lt;&gt;0), 3)</f>
        <v>8</v>
      </c>
      <c r="AG54" s="5" cm="1">
        <f t="array" aca="1" ref="AG54" ca="1">COUNTIF(Regatas,SMALL(_xlfn._xlws.FILTER(RegatasN, RegatasN&lt;&gt;0), 1))</f>
        <v>1</v>
      </c>
      <c r="AH54" s="6" t="e" cm="1">
        <f t="array" ref="AH5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5" spans="1:34">
      <c r="A55">
        <v>52857832</v>
      </c>
      <c r="B55" s="10">
        <f>ROW()-ROW(Selectivo6[[#Headers],[Pos]])</f>
        <v>49</v>
      </c>
      <c r="C55" s="5">
        <v>4020</v>
      </c>
      <c r="D55" t="s">
        <v>256</v>
      </c>
      <c r="E55" t="s">
        <v>21</v>
      </c>
      <c r="F55" s="19" t="str" cm="1">
        <f t="array" aca="1" ref="F55" ca="1">IFERROR(_xlfn.XLOOKUP(Selectivo6[[#This Row],[DNI]],S_S[DNI],INDIRECT("S_S["&amp;Selectivo6[[#Headers],[R1]]&amp;"]")),"60 DNC")</f>
        <v>8</v>
      </c>
      <c r="G55" s="19" t="str" cm="1">
        <f t="array" aca="1" ref="G55" ca="1">IFERROR(_xlfn.XLOOKUP(Selectivo6[[#This Row],[DNI]],S_S[DNI],INDIRECT("S_S["&amp;Selectivo6[[#Headers],[R2]]&amp;"]")),"60 DNC")</f>
        <v>12</v>
      </c>
      <c r="H55" s="19" t="str" cm="1">
        <f t="array" aca="1" ref="H55" ca="1">IFERROR(_xlfn.XLOOKUP(Selectivo6[[#This Row],[DNI]],S_S[DNI],INDIRECT("S_S["&amp;Selectivo6[[#Headers],[R3]]&amp;"]")),"60 DNC")</f>
        <v>15</v>
      </c>
      <c r="I55" s="19" t="str" cm="1">
        <f t="array" aca="1" ref="I55" ca="1">IFERROR(_xlfn.XLOOKUP(Selectivo6[[#This Row],[DNI]],S_S[DNI],INDIRECT("S_S["&amp;Selectivo6[[#Headers],[R4]]&amp;"]")),"60 DNC")</f>
        <v>25</v>
      </c>
      <c r="J55" s="19" t="str" cm="1">
        <f t="array" aca="1" ref="J55" ca="1">IFERROR(_xlfn.XLOOKUP(Selectivo6[[#This Row],[DNI]],S_S[DNI],INDIRECT("S_S["&amp;Selectivo6[[#Headers],[R5]]&amp;"]")),"60 DNC")</f>
        <v>25</v>
      </c>
      <c r="K55" s="19" t="str" cm="1">
        <f t="array" aca="1" ref="K55" ca="1">IFERROR(_xlfn.XLOOKUP(Selectivo6[[#This Row],[DNI]],S_S[DNI],INDIRECT("S_S["&amp;Selectivo6[[#Headers],[R6]]&amp;"]")),"60 DNC")</f>
        <v>7</v>
      </c>
      <c r="L55" s="19" t="str" cm="1">
        <f t="array" aca="1" ref="L55" ca="1">IFERROR(_xlfn.XLOOKUP(Selectivo6[[#This Row],[DNI]],S_S[DNI],INDIRECT("S_S["&amp;Selectivo6[[#Headers],[R7]]&amp;"]")),"60 DNC")</f>
        <v>15</v>
      </c>
      <c r="M55" s="19" t="str" cm="1">
        <f t="array" aca="1" ref="M55" ca="1">IFERROR(_xlfn.XLOOKUP(Selectivo6[[#This Row],[DNI]],S_S[DNI],INDIRECT("S_S["&amp;Selectivo6[[#Headers],[R8]]&amp;"]")),"60 DNC")</f>
        <v>11</v>
      </c>
      <c r="N55" s="19" t="str" cm="1">
        <f t="array" aca="1" ref="N55" ca="1">IFERROR(_xlfn.XLOOKUP(Selectivo6[[#This Row],[DNI]],S_S[DNI],INDIRECT("S_S["&amp;Selectivo6[[#Headers],[R9]]&amp;"]")),"60 DNC")</f>
        <v>12</v>
      </c>
      <c r="O55" s="19" t="str">
        <f>IFERROR(_xlfn.XLOOKUP(Selectivo6[[#This Row],[DNI]],_VF2026[DNI],_VF2026[R1]),"65 DNC")</f>
        <v>14</v>
      </c>
      <c r="P55" s="19" t="str">
        <f>IFERROR(_xlfn.XLOOKUP(Selectivo6[[#This Row],[DNI]],_VF2026[DNI],_VF2026[R2]),"65 DNC")</f>
        <v>15</v>
      </c>
      <c r="Q55" s="19" t="str">
        <f>IFERROR(_xlfn.XLOOKUP(Selectivo6[[#This Row],[DNI]],_VF2026[DNI],_VF2026[R3]),"65 DNC")</f>
        <v>28</v>
      </c>
      <c r="R55" s="19" t="str">
        <f>IFERROR(_xlfn.XLOOKUP(Selectivo6[[#This Row],[DNI]],_VF2026[DNI],_VF2026[R4]),"65 DNC")</f>
        <v>9</v>
      </c>
      <c r="S55" s="19" t="str">
        <f>IFERROR(_xlfn.XLOOKUP(Selectivo6[[#This Row],[DNI]],_VF2026[DNI],_VF2026[R5]),"65 DNC")</f>
        <v>15</v>
      </c>
      <c r="T55" s="20" t="str">
        <f>IFERROR(_xlfn.XLOOKUP(Selectivo6[[#This Row],[DNI]],_VF2026[DNI],_VF2026[R6]),"65 DNC")</f>
        <v>47</v>
      </c>
      <c r="U55" s="19" t="str">
        <f>IFERROR(_xlfn.XLOOKUP(Selectivo6[[#This Row],[DNI]],_VF2026[DNI],_VF2026[R7]),"65 DNC")</f>
        <v>39</v>
      </c>
      <c r="V55" s="20" t="str">
        <f>IFERROR(_xlfn.XLOOKUP(Selectivo6[[#This Row],[DNI]],_VF2026[DNI],_VF2026[R8]),"65 DNC")</f>
        <v>65 BFD</v>
      </c>
      <c r="W55" s="19"/>
      <c r="X55" s="19"/>
      <c r="Y55" s="19"/>
      <c r="Z55" s="19"/>
      <c r="AA55" s="19"/>
      <c r="AB55" s="8" cm="1">
        <f t="array" aca="1" ref="AB55" ca="1">SUM(IFERROR(VALUE(LEFT(Regatas, FIND(" ",Regatas&amp; " ") - 1)), 0))</f>
        <v>362</v>
      </c>
      <c r="AC55" s="9" cm="1">
        <f t="array" aca="1" ref="AC5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250</v>
      </c>
      <c r="AD55" s="6" cm="1">
        <f t="array" aca="1" ref="AD55" ca="1">SMALL(_xlfn._xlws.FILTER(RegatasN, RegatasN&lt;&gt;0), 1)</f>
        <v>7</v>
      </c>
      <c r="AE55" s="6" cm="1">
        <f t="array" aca="1" ref="AE55" ca="1">SMALL(_xlfn._xlws.FILTER(RegatasN, RegatasN&lt;&gt;0), 2)</f>
        <v>8</v>
      </c>
      <c r="AF55" s="6" cm="1">
        <f t="array" aca="1" ref="AF55" ca="1">SMALL(_xlfn._xlws.FILTER(RegatasN, RegatasN&lt;&gt;0), 3)</f>
        <v>9</v>
      </c>
      <c r="AG55" s="5" cm="1">
        <f t="array" aca="1" ref="AG55" ca="1">COUNTIF(Regatas,SMALL(_xlfn._xlws.FILTER(RegatasN, RegatasN&lt;&gt;0), 1))</f>
        <v>1</v>
      </c>
      <c r="AH55" s="6" t="e" cm="1">
        <f t="array" ref="AH5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6" spans="1:34">
      <c r="A56">
        <v>52136031</v>
      </c>
      <c r="B56" s="10">
        <f>ROW()-ROW(Selectivo6[[#Headers],[Pos]])</f>
        <v>50</v>
      </c>
      <c r="C56" s="5">
        <v>4093</v>
      </c>
      <c r="D56" t="s">
        <v>270</v>
      </c>
      <c r="E56" t="s">
        <v>23</v>
      </c>
      <c r="F56" s="19" t="str" cm="1">
        <f t="array" aca="1" ref="F56" ca="1">IFERROR(_xlfn.XLOOKUP(Selectivo6[[#This Row],[DNI]],S_S[DNI],INDIRECT("S_S["&amp;Selectivo6[[#Headers],[R1]]&amp;"]")),"60 DNC")</f>
        <v>23</v>
      </c>
      <c r="G56" s="19" t="str" cm="1">
        <f t="array" aca="1" ref="G56" ca="1">IFERROR(_xlfn.XLOOKUP(Selectivo6[[#This Row],[DNI]],S_S[DNI],INDIRECT("S_S["&amp;Selectivo6[[#Headers],[R2]]&amp;"]")),"60 DNC")</f>
        <v>10</v>
      </c>
      <c r="H56" s="19" t="str" cm="1">
        <f t="array" aca="1" ref="H56" ca="1">IFERROR(_xlfn.XLOOKUP(Selectivo6[[#This Row],[DNI]],S_S[DNI],INDIRECT("S_S["&amp;Selectivo6[[#Headers],[R3]]&amp;"]")),"60 DNC")</f>
        <v>14</v>
      </c>
      <c r="I56" s="19" t="str" cm="1">
        <f t="array" aca="1" ref="I56" ca="1">IFERROR(_xlfn.XLOOKUP(Selectivo6[[#This Row],[DNI]],S_S[DNI],INDIRECT("S_S["&amp;Selectivo6[[#Headers],[R4]]&amp;"]")),"60 DNC")</f>
        <v>11</v>
      </c>
      <c r="J56" s="19" t="str" cm="1">
        <f t="array" aca="1" ref="J56" ca="1">IFERROR(_xlfn.XLOOKUP(Selectivo6[[#This Row],[DNI]],S_S[DNI],INDIRECT("S_S["&amp;Selectivo6[[#Headers],[R5]]&amp;"]")),"60 DNC")</f>
        <v>30</v>
      </c>
      <c r="K56" s="19" t="str" cm="1">
        <f t="array" aca="1" ref="K56" ca="1">IFERROR(_xlfn.XLOOKUP(Selectivo6[[#This Row],[DNI]],S_S[DNI],INDIRECT("S_S["&amp;Selectivo6[[#Headers],[R6]]&amp;"]")),"60 DNC")</f>
        <v>11</v>
      </c>
      <c r="L56" s="19" t="str" cm="1">
        <f t="array" aca="1" ref="L56" ca="1">IFERROR(_xlfn.XLOOKUP(Selectivo6[[#This Row],[DNI]],S_S[DNI],INDIRECT("S_S["&amp;Selectivo6[[#Headers],[R7]]&amp;"]")),"60 DNC")</f>
        <v>9</v>
      </c>
      <c r="M56" s="19" t="str" cm="1">
        <f t="array" aca="1" ref="M56" ca="1">IFERROR(_xlfn.XLOOKUP(Selectivo6[[#This Row],[DNI]],S_S[DNI],INDIRECT("S_S["&amp;Selectivo6[[#Headers],[R8]]&amp;"]")),"60 DNC")</f>
        <v>24</v>
      </c>
      <c r="N56" s="19" t="str" cm="1">
        <f t="array" aca="1" ref="N56" ca="1">IFERROR(_xlfn.XLOOKUP(Selectivo6[[#This Row],[DNI]],S_S[DNI],INDIRECT("S_S["&amp;Selectivo6[[#Headers],[R9]]&amp;"]")),"60 DNC")</f>
        <v>15</v>
      </c>
      <c r="O56" s="19" t="str">
        <f>IFERROR(_xlfn.XLOOKUP(Selectivo6[[#This Row],[DNI]],_VF2026[DNI],_VF2026[R1]),"65 DNC")</f>
        <v>15</v>
      </c>
      <c r="P56" s="20" t="str">
        <f>IFERROR(_xlfn.XLOOKUP(Selectivo6[[#This Row],[DNI]],_VF2026[DNI],_VF2026[R2]),"65 DNC")</f>
        <v>65 BFD</v>
      </c>
      <c r="Q56" s="19" t="str">
        <f>IFERROR(_xlfn.XLOOKUP(Selectivo6[[#This Row],[DNI]],_VF2026[DNI],_VF2026[R3]),"65 DNC")</f>
        <v>5</v>
      </c>
      <c r="R56" s="19" t="str">
        <f>IFERROR(_xlfn.XLOOKUP(Selectivo6[[#This Row],[DNI]],_VF2026[DNI],_VF2026[R4]),"65 DNC")</f>
        <v>14</v>
      </c>
      <c r="S56" s="19" t="str">
        <f>IFERROR(_xlfn.XLOOKUP(Selectivo6[[#This Row],[DNI]],_VF2026[DNI],_VF2026[R5]),"65 DNC")</f>
        <v>13</v>
      </c>
      <c r="T56" s="20" t="str">
        <f>IFERROR(_xlfn.XLOOKUP(Selectivo6[[#This Row],[DNI]],_VF2026[DNI],_VF2026[R6]),"65 DNC")</f>
        <v>45</v>
      </c>
      <c r="U56" s="19" t="str">
        <f>IFERROR(_xlfn.XLOOKUP(Selectivo6[[#This Row],[DNI]],_VF2026[DNI],_VF2026[R7]),"65 DNC")</f>
        <v>31</v>
      </c>
      <c r="V56" s="19" t="str">
        <f>IFERROR(_xlfn.XLOOKUP(Selectivo6[[#This Row],[DNI]],_VF2026[DNI],_VF2026[R8]),"65 DNC")</f>
        <v>26</v>
      </c>
      <c r="W56" s="19"/>
      <c r="X56" s="19"/>
      <c r="Y56" s="19"/>
      <c r="Z56" s="19"/>
      <c r="AA56" s="19"/>
      <c r="AB56" s="8" cm="1">
        <f t="array" aca="1" ref="AB56" ca="1">SUM(IFERROR(VALUE(LEFT(Regatas, FIND(" ",Regatas&amp; " ") - 1)), 0))</f>
        <v>361</v>
      </c>
      <c r="AC56" s="9" cm="1">
        <f t="array" aca="1" ref="AC5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251</v>
      </c>
      <c r="AD56" s="6" cm="1">
        <f t="array" aca="1" ref="AD56" ca="1">SMALL(_xlfn._xlws.FILTER(RegatasN, RegatasN&lt;&gt;0), 1)</f>
        <v>5</v>
      </c>
      <c r="AE56" s="6" cm="1">
        <f t="array" aca="1" ref="AE56" ca="1">SMALL(_xlfn._xlws.FILTER(RegatasN, RegatasN&lt;&gt;0), 2)</f>
        <v>9</v>
      </c>
      <c r="AF56" s="6" cm="1">
        <f t="array" aca="1" ref="AF56" ca="1">SMALL(_xlfn._xlws.FILTER(RegatasN, RegatasN&lt;&gt;0), 3)</f>
        <v>10</v>
      </c>
      <c r="AG56" s="5" cm="1">
        <f t="array" aca="1" ref="AG56" ca="1">COUNTIF(Regatas,SMALL(_xlfn._xlws.FILTER(RegatasN, RegatasN&lt;&gt;0), 1))</f>
        <v>1</v>
      </c>
      <c r="AH56" s="6" t="e" cm="1">
        <f t="array" ref="AH5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7" spans="1:34">
      <c r="A57">
        <v>52768606</v>
      </c>
      <c r="B57" s="10">
        <f>ROW()-ROW(Selectivo6[[#Headers],[Pos]])</f>
        <v>51</v>
      </c>
      <c r="C57" s="5">
        <v>4011</v>
      </c>
      <c r="D57" t="s">
        <v>258</v>
      </c>
      <c r="E57" t="s">
        <v>7</v>
      </c>
      <c r="F57" s="19" t="str" cm="1">
        <f t="array" aca="1" ref="F57" ca="1">IFERROR(_xlfn.XLOOKUP(Selectivo6[[#This Row],[DNI]],S_S[DNI],INDIRECT("S_S["&amp;Selectivo6[[#Headers],[R1]]&amp;"]")),"60 DNC")</f>
        <v>17</v>
      </c>
      <c r="G57" s="19" t="str" cm="1">
        <f t="array" aca="1" ref="G57" ca="1">IFERROR(_xlfn.XLOOKUP(Selectivo6[[#This Row],[DNI]],S_S[DNI],INDIRECT("S_S["&amp;Selectivo6[[#Headers],[R2]]&amp;"]")),"60 DNC")</f>
        <v>11</v>
      </c>
      <c r="H57" s="19" t="str" cm="1">
        <f t="array" aca="1" ref="H57" ca="1">IFERROR(_xlfn.XLOOKUP(Selectivo6[[#This Row],[DNI]],S_S[DNI],INDIRECT("S_S["&amp;Selectivo6[[#Headers],[R3]]&amp;"]")),"60 DNC")</f>
        <v>11</v>
      </c>
      <c r="I57" s="19" t="str" cm="1">
        <f t="array" aca="1" ref="I57" ca="1">IFERROR(_xlfn.XLOOKUP(Selectivo6[[#This Row],[DNI]],S_S[DNI],INDIRECT("S_S["&amp;Selectivo6[[#Headers],[R4]]&amp;"]")),"60 DNC")</f>
        <v>11</v>
      </c>
      <c r="J57" s="19" t="str" cm="1">
        <f t="array" aca="1" ref="J57" ca="1">IFERROR(_xlfn.XLOOKUP(Selectivo6[[#This Row],[DNI]],S_S[DNI],INDIRECT("S_S["&amp;Selectivo6[[#Headers],[R5]]&amp;"]")),"60 DNC")</f>
        <v>27</v>
      </c>
      <c r="K57" s="19" t="str" cm="1">
        <f t="array" aca="1" ref="K57" ca="1">IFERROR(_xlfn.XLOOKUP(Selectivo6[[#This Row],[DNI]],S_S[DNI],INDIRECT("S_S["&amp;Selectivo6[[#Headers],[R6]]&amp;"]")),"60 DNC")</f>
        <v>17</v>
      </c>
      <c r="L57" s="19" t="str" cm="1">
        <f t="array" aca="1" ref="L57" ca="1">IFERROR(_xlfn.XLOOKUP(Selectivo6[[#This Row],[DNI]],S_S[DNI],INDIRECT("S_S["&amp;Selectivo6[[#Headers],[R7]]&amp;"]")),"60 DNC")</f>
        <v>7</v>
      </c>
      <c r="M57" s="19" t="str" cm="1">
        <f t="array" aca="1" ref="M57" ca="1">IFERROR(_xlfn.XLOOKUP(Selectivo6[[#This Row],[DNI]],S_S[DNI],INDIRECT("S_S["&amp;Selectivo6[[#Headers],[R8]]&amp;"]")),"60 DNC")</f>
        <v>23</v>
      </c>
      <c r="N57" s="19" t="str" cm="1">
        <f t="array" aca="1" ref="N57" ca="1">IFERROR(_xlfn.XLOOKUP(Selectivo6[[#This Row],[DNI]],S_S[DNI],INDIRECT("S_S["&amp;Selectivo6[[#Headers],[R9]]&amp;"]")),"60 DNC")</f>
        <v>14</v>
      </c>
      <c r="O57" s="19" t="str">
        <f>IFERROR(_xlfn.XLOOKUP(Selectivo6[[#This Row],[DNI]],_VF2026[DNI],_VF2026[R1]),"65 DNC")</f>
        <v>19</v>
      </c>
      <c r="P57" s="19" t="str">
        <f>IFERROR(_xlfn.XLOOKUP(Selectivo6[[#This Row],[DNI]],_VF2026[DNI],_VF2026[R2]),"65 DNC")</f>
        <v>24</v>
      </c>
      <c r="Q57" s="19" t="str">
        <f>IFERROR(_xlfn.XLOOKUP(Selectivo6[[#This Row],[DNI]],_VF2026[DNI],_VF2026[R3]),"65 DNC")</f>
        <v>18</v>
      </c>
      <c r="R57" s="20" t="str">
        <f>IFERROR(_xlfn.XLOOKUP(Selectivo6[[#This Row],[DNI]],_VF2026[DNI],_VF2026[R4]),"65 DNC")</f>
        <v>65 DSQ</v>
      </c>
      <c r="S57" s="19" t="str">
        <f>IFERROR(_xlfn.XLOOKUP(Selectivo6[[#This Row],[DNI]],_VF2026[DNI],_VF2026[R5]),"65 DNC")</f>
        <v>14</v>
      </c>
      <c r="T57" s="19" t="str">
        <f>IFERROR(_xlfn.XLOOKUP(Selectivo6[[#This Row],[DNI]],_VF2026[DNI],_VF2026[R6]),"65 DNC")</f>
        <v>19</v>
      </c>
      <c r="U57" s="20" t="str">
        <f>IFERROR(_xlfn.XLOOKUP(Selectivo6[[#This Row],[DNI]],_VF2026[DNI],_VF2026[R7]),"65 DNC")</f>
        <v>28</v>
      </c>
      <c r="V57" s="19" t="str">
        <f>IFERROR(_xlfn.XLOOKUP(Selectivo6[[#This Row],[DNI]],_VF2026[DNI],_VF2026[R8]),"65 DNC")</f>
        <v>20</v>
      </c>
      <c r="W57" s="19"/>
      <c r="X57" s="19"/>
      <c r="Y57" s="19"/>
      <c r="Z57" s="19"/>
      <c r="AA57" s="19"/>
      <c r="AB57" s="8" cm="1">
        <f t="array" aca="1" ref="AB57" ca="1">SUM(IFERROR(VALUE(LEFT(Regatas, FIND(" ",Regatas&amp; " ") - 1)), 0))</f>
        <v>345</v>
      </c>
      <c r="AC57" s="9" cm="1">
        <f t="array" aca="1" ref="AC5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252</v>
      </c>
      <c r="AD57" s="6" cm="1">
        <f t="array" aca="1" ref="AD57" ca="1">SMALL(_xlfn._xlws.FILTER(RegatasN, RegatasN&lt;&gt;0), 1)</f>
        <v>7</v>
      </c>
      <c r="AE57" s="6" cm="1">
        <f t="array" aca="1" ref="AE57" ca="1">SMALL(_xlfn._xlws.FILTER(RegatasN, RegatasN&lt;&gt;0), 2)</f>
        <v>11</v>
      </c>
      <c r="AF57" s="6" cm="1">
        <f t="array" aca="1" ref="AF57" ca="1">SMALL(_xlfn._xlws.FILTER(RegatasN, RegatasN&lt;&gt;0), 3)</f>
        <v>11</v>
      </c>
      <c r="AG57" s="5" cm="1">
        <f t="array" aca="1" ref="AG57" ca="1">COUNTIF(Regatas,SMALL(_xlfn._xlws.FILTER(RegatasN, RegatasN&lt;&gt;0), 1))</f>
        <v>1</v>
      </c>
      <c r="AH57" s="6" t="e" cm="1">
        <f t="array" ref="AH5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8" spans="1:34">
      <c r="A58">
        <v>52164372</v>
      </c>
      <c r="B58" s="10">
        <f>ROW()-ROW(Selectivo6[[#Headers],[Pos]])</f>
        <v>52</v>
      </c>
      <c r="C58" s="5">
        <v>4117</v>
      </c>
      <c r="D58" t="s">
        <v>289</v>
      </c>
      <c r="E58" t="s">
        <v>9</v>
      </c>
      <c r="F58" s="19" t="str" cm="1">
        <f t="array" aca="1" ref="F58" ca="1">IFERROR(_xlfn.XLOOKUP(Selectivo6[[#This Row],[DNI]],S_S[DNI],INDIRECT("S_S["&amp;Selectivo6[[#Headers],[R1]]&amp;"]")),"60 DNC")</f>
        <v>19</v>
      </c>
      <c r="G58" s="19" t="str" cm="1">
        <f t="array" aca="1" ref="G58" ca="1">IFERROR(_xlfn.XLOOKUP(Selectivo6[[#This Row],[DNI]],S_S[DNI],INDIRECT("S_S["&amp;Selectivo6[[#Headers],[R2]]&amp;"]")),"60 DNC")</f>
        <v>23</v>
      </c>
      <c r="H58" s="19" t="str" cm="1">
        <f t="array" aca="1" ref="H58" ca="1">IFERROR(_xlfn.XLOOKUP(Selectivo6[[#This Row],[DNI]],S_S[DNI],INDIRECT("S_S["&amp;Selectivo6[[#Headers],[R3]]&amp;"]")),"60 DNC")</f>
        <v>15</v>
      </c>
      <c r="I58" s="19" t="str" cm="1">
        <f t="array" aca="1" ref="I58" ca="1">IFERROR(_xlfn.XLOOKUP(Selectivo6[[#This Row],[DNI]],S_S[DNI],INDIRECT("S_S["&amp;Selectivo6[[#Headers],[R4]]&amp;"]")),"60 DNC")</f>
        <v>7</v>
      </c>
      <c r="J58" s="19" t="str" cm="1">
        <f t="array" aca="1" ref="J58" ca="1">IFERROR(_xlfn.XLOOKUP(Selectivo6[[#This Row],[DNI]],S_S[DNI],INDIRECT("S_S["&amp;Selectivo6[[#Headers],[R5]]&amp;"]")),"60 DNC")</f>
        <v>21</v>
      </c>
      <c r="K58" s="20" t="str" cm="1">
        <f t="array" aca="1" ref="K58" ca="1">IFERROR(_xlfn.XLOOKUP(Selectivo6[[#This Row],[DNI]],S_S[DNI],INDIRECT("S_S["&amp;Selectivo6[[#Headers],[R6]]&amp;"]")),"60 DNC")</f>
        <v>46</v>
      </c>
      <c r="L58" s="19" t="str" cm="1">
        <f t="array" aca="1" ref="L58" ca="1">IFERROR(_xlfn.XLOOKUP(Selectivo6[[#This Row],[DNI]],S_S[DNI],INDIRECT("S_S["&amp;Selectivo6[[#Headers],[R7]]&amp;"]")),"60 DNC")</f>
        <v>20</v>
      </c>
      <c r="M58" s="19" t="str" cm="1">
        <f t="array" aca="1" ref="M58" ca="1">IFERROR(_xlfn.XLOOKUP(Selectivo6[[#This Row],[DNI]],S_S[DNI],INDIRECT("S_S["&amp;Selectivo6[[#Headers],[R8]]&amp;"]")),"60 DNC")</f>
        <v>7</v>
      </c>
      <c r="N58" s="19" t="str" cm="1">
        <f t="array" aca="1" ref="N58" ca="1">IFERROR(_xlfn.XLOOKUP(Selectivo6[[#This Row],[DNI]],S_S[DNI],INDIRECT("S_S["&amp;Selectivo6[[#Headers],[R9]]&amp;"]")),"60 DNC")</f>
        <v>27</v>
      </c>
      <c r="O58" s="19" t="str">
        <f>IFERROR(_xlfn.XLOOKUP(Selectivo6[[#This Row],[DNI]],_VF2026[DNI],_VF2026[R1]),"65 DNC")</f>
        <v>5</v>
      </c>
      <c r="P58" s="19" t="str">
        <f>IFERROR(_xlfn.XLOOKUP(Selectivo6[[#This Row],[DNI]],_VF2026[DNI],_VF2026[R2]),"65 DNC")</f>
        <v>17</v>
      </c>
      <c r="Q58" s="19" t="str">
        <f>IFERROR(_xlfn.XLOOKUP(Selectivo6[[#This Row],[DNI]],_VF2026[DNI],_VF2026[R3]),"65 DNC")</f>
        <v>25</v>
      </c>
      <c r="R58" s="19" t="str">
        <f>IFERROR(_xlfn.XLOOKUP(Selectivo6[[#This Row],[DNI]],_VF2026[DNI],_VF2026[R4]),"65 DNC")</f>
        <v>26</v>
      </c>
      <c r="S58" s="19" t="str">
        <f>IFERROR(_xlfn.XLOOKUP(Selectivo6[[#This Row],[DNI]],_VF2026[DNI],_VF2026[R5]),"65 DNC")</f>
        <v>21</v>
      </c>
      <c r="T58" s="20" t="str">
        <f>IFERROR(_xlfn.XLOOKUP(Selectivo6[[#This Row],[DNI]],_VF2026[DNI],_VF2026[R6]),"65 DNC")</f>
        <v>65 BFD</v>
      </c>
      <c r="U58" s="19" t="str">
        <f>IFERROR(_xlfn.XLOOKUP(Selectivo6[[#This Row],[DNI]],_VF2026[DNI],_VF2026[R7]),"65 DNC")</f>
        <v>5</v>
      </c>
      <c r="V58" s="19" t="str">
        <f>IFERROR(_xlfn.XLOOKUP(Selectivo6[[#This Row],[DNI]],_VF2026[DNI],_VF2026[R8]),"65 DNC")</f>
        <v>18</v>
      </c>
      <c r="W58" s="19"/>
      <c r="X58" s="19"/>
      <c r="Y58" s="19"/>
      <c r="Z58" s="19"/>
      <c r="AA58" s="19"/>
      <c r="AB58" s="8" cm="1">
        <f t="array" aca="1" ref="AB58" ca="1">SUM(IFERROR(VALUE(LEFT(Regatas, FIND(" ",Regatas&amp; " ") - 1)), 0))</f>
        <v>367</v>
      </c>
      <c r="AC58" s="9" cm="1">
        <f t="array" aca="1" ref="AC5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256</v>
      </c>
      <c r="AD58" s="6" cm="1">
        <f t="array" aca="1" ref="AD58" ca="1">SMALL(_xlfn._xlws.FILTER(RegatasN, RegatasN&lt;&gt;0), 1)</f>
        <v>5</v>
      </c>
      <c r="AE58" s="6" cm="1">
        <f t="array" aca="1" ref="AE58" ca="1">SMALL(_xlfn._xlws.FILTER(RegatasN, RegatasN&lt;&gt;0), 2)</f>
        <v>5</v>
      </c>
      <c r="AF58" s="6" cm="1">
        <f t="array" aca="1" ref="AF58" ca="1">SMALL(_xlfn._xlws.FILTER(RegatasN, RegatasN&lt;&gt;0), 3)</f>
        <v>7</v>
      </c>
      <c r="AG58" s="5" cm="1">
        <f t="array" aca="1" ref="AG58" ca="1">COUNTIF(Regatas,SMALL(_xlfn._xlws.FILTER(RegatasN, RegatasN&lt;&gt;0), 1))</f>
        <v>2</v>
      </c>
      <c r="AH58" s="6" t="e" cm="1">
        <f t="array" ref="AH5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59" spans="1:34">
      <c r="A59">
        <v>52159528</v>
      </c>
      <c r="B59" s="10">
        <f>ROW()-ROW(Selectivo6[[#Headers],[Pos]])</f>
        <v>53</v>
      </c>
      <c r="C59" s="5">
        <v>4162</v>
      </c>
      <c r="D59" t="s">
        <v>282</v>
      </c>
      <c r="E59" t="s">
        <v>171</v>
      </c>
      <c r="F59" s="19" t="str" cm="1">
        <f t="array" aca="1" ref="F59" ca="1">IFERROR(_xlfn.XLOOKUP(Selectivo6[[#This Row],[DNI]],S_S[DNI],INDIRECT("S_S["&amp;Selectivo6[[#Headers],[R1]]&amp;"]")),"60 DNC")</f>
        <v>21</v>
      </c>
      <c r="G59" s="19" t="str" cm="1">
        <f t="array" aca="1" ref="G59" ca="1">IFERROR(_xlfn.XLOOKUP(Selectivo6[[#This Row],[DNI]],S_S[DNI],INDIRECT("S_S["&amp;Selectivo6[[#Headers],[R2]]&amp;"]")),"60 DNC")</f>
        <v>20</v>
      </c>
      <c r="H59" s="19" t="str" cm="1">
        <f t="array" aca="1" ref="H59" ca="1">IFERROR(_xlfn.XLOOKUP(Selectivo6[[#This Row],[DNI]],S_S[DNI],INDIRECT("S_S["&amp;Selectivo6[[#Headers],[R3]]&amp;"]")),"60 DNC")</f>
        <v>20</v>
      </c>
      <c r="I59" s="19" t="str" cm="1">
        <f t="array" aca="1" ref="I59" ca="1">IFERROR(_xlfn.XLOOKUP(Selectivo6[[#This Row],[DNI]],S_S[DNI],INDIRECT("S_S["&amp;Selectivo6[[#Headers],[R4]]&amp;"]")),"60 DNC")</f>
        <v>18</v>
      </c>
      <c r="J59" s="19" t="str" cm="1">
        <f t="array" aca="1" ref="J59" ca="1">IFERROR(_xlfn.XLOOKUP(Selectivo6[[#This Row],[DNI]],S_S[DNI],INDIRECT("S_S["&amp;Selectivo6[[#Headers],[R5]]&amp;"]")),"60 DNC")</f>
        <v>1</v>
      </c>
      <c r="K59" s="20" t="str" cm="1">
        <f t="array" aca="1" ref="K59" ca="1">IFERROR(_xlfn.XLOOKUP(Selectivo6[[#This Row],[DNI]],S_S[DNI],INDIRECT("S_S["&amp;Selectivo6[[#Headers],[R6]]&amp;"]")),"60 DNC")</f>
        <v>26</v>
      </c>
      <c r="L59" s="19" t="str" cm="1">
        <f t="array" aca="1" ref="L59" ca="1">IFERROR(_xlfn.XLOOKUP(Selectivo6[[#This Row],[DNI]],S_S[DNI],INDIRECT("S_S["&amp;Selectivo6[[#Headers],[R7]]&amp;"]")),"60 DNC")</f>
        <v>20</v>
      </c>
      <c r="M59" s="19" t="str" cm="1">
        <f t="array" aca="1" ref="M59" ca="1">IFERROR(_xlfn.XLOOKUP(Selectivo6[[#This Row],[DNI]],S_S[DNI],INDIRECT("S_S["&amp;Selectivo6[[#Headers],[R8]]&amp;"]")),"60 DNC")</f>
        <v>17</v>
      </c>
      <c r="N59" s="19" t="str" cm="1">
        <f t="array" aca="1" ref="N59" ca="1">IFERROR(_xlfn.XLOOKUP(Selectivo6[[#This Row],[DNI]],S_S[DNI],INDIRECT("S_S["&amp;Selectivo6[[#Headers],[R9]]&amp;"]")),"60 DNC")</f>
        <v>13</v>
      </c>
      <c r="O59" s="19" t="str">
        <f>IFERROR(_xlfn.XLOOKUP(Selectivo6[[#This Row],[DNI]],_VF2026[DNI],_VF2026[R1]),"65 DNC")</f>
        <v>22</v>
      </c>
      <c r="P59" s="19" t="str">
        <f>IFERROR(_xlfn.XLOOKUP(Selectivo6[[#This Row],[DNI]],_VF2026[DNI],_VF2026[R2]),"65 DNC")</f>
        <v>17</v>
      </c>
      <c r="Q59" s="19" t="str">
        <f>IFERROR(_xlfn.XLOOKUP(Selectivo6[[#This Row],[DNI]],_VF2026[DNI],_VF2026[R3]),"65 DNC")</f>
        <v>14</v>
      </c>
      <c r="R59" s="19" t="str">
        <f>IFERROR(_xlfn.XLOOKUP(Selectivo6[[#This Row],[DNI]],_VF2026[DNI],_VF2026[R4]),"65 DNC")</f>
        <v>15</v>
      </c>
      <c r="S59" s="19" t="str">
        <f>IFERROR(_xlfn.XLOOKUP(Selectivo6[[#This Row],[DNI]],_VF2026[DNI],_VF2026[R5]),"65 DNC")</f>
        <v>17</v>
      </c>
      <c r="T59" s="19" t="str">
        <f>IFERROR(_xlfn.XLOOKUP(Selectivo6[[#This Row],[DNI]],_VF2026[DNI],_VF2026[R6]),"65 DNC")</f>
        <v>20</v>
      </c>
      <c r="U59" s="20" t="str">
        <f>IFERROR(_xlfn.XLOOKUP(Selectivo6[[#This Row],[DNI]],_VF2026[DNI],_VF2026[R7]),"65 DNC")</f>
        <v>65 BFD</v>
      </c>
      <c r="V59" s="19" t="str">
        <f>IFERROR(_xlfn.XLOOKUP(Selectivo6[[#This Row],[DNI]],_VF2026[DNI],_VF2026[R8]),"65 DNC")</f>
        <v>23</v>
      </c>
      <c r="W59" s="19"/>
      <c r="X59" s="19"/>
      <c r="Y59" s="19"/>
      <c r="Z59" s="19"/>
      <c r="AA59" s="19"/>
      <c r="AB59" s="8" cm="1">
        <f t="array" aca="1" ref="AB59" ca="1">SUM(IFERROR(VALUE(LEFT(Regatas, FIND(" ",Regatas&amp; " ") - 1)), 0))</f>
        <v>349</v>
      </c>
      <c r="AC59" s="9" cm="1">
        <f t="array" aca="1" ref="AC5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258</v>
      </c>
      <c r="AD59" s="6" cm="1">
        <f t="array" aca="1" ref="AD59" ca="1">SMALL(_xlfn._xlws.FILTER(RegatasN, RegatasN&lt;&gt;0), 1)</f>
        <v>1</v>
      </c>
      <c r="AE59" s="6" cm="1">
        <f t="array" aca="1" ref="AE59" ca="1">SMALL(_xlfn._xlws.FILTER(RegatasN, RegatasN&lt;&gt;0), 2)</f>
        <v>13</v>
      </c>
      <c r="AF59" s="6" cm="1">
        <f t="array" aca="1" ref="AF59" ca="1">SMALL(_xlfn._xlws.FILTER(RegatasN, RegatasN&lt;&gt;0), 3)</f>
        <v>14</v>
      </c>
      <c r="AG59" s="5" cm="1">
        <f t="array" aca="1" ref="AG59" ca="1">COUNTIF(Regatas,SMALL(_xlfn._xlws.FILTER(RegatasN, RegatasN&lt;&gt;0), 1))</f>
        <v>1</v>
      </c>
      <c r="AH59" s="6" t="e" cm="1">
        <f t="array" ref="AH5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0" spans="1:34">
      <c r="A60">
        <v>52856304</v>
      </c>
      <c r="B60" s="10">
        <f>ROW()-ROW(Selectivo6[[#Headers],[Pos]])</f>
        <v>54</v>
      </c>
      <c r="C60" s="5">
        <v>4049</v>
      </c>
      <c r="D60" t="s">
        <v>287</v>
      </c>
      <c r="E60" t="s">
        <v>7</v>
      </c>
      <c r="F60" s="19" t="str" cm="1">
        <f t="array" aca="1" ref="F60" ca="1">IFERROR(_xlfn.XLOOKUP(Selectivo6[[#This Row],[DNI]],S_S[DNI],INDIRECT("S_S["&amp;Selectivo6[[#Headers],[R1]]&amp;"]")),"60 DNC")</f>
        <v>11</v>
      </c>
      <c r="G60" s="19" t="str" cm="1">
        <f t="array" aca="1" ref="G60" ca="1">IFERROR(_xlfn.XLOOKUP(Selectivo6[[#This Row],[DNI]],S_S[DNI],INDIRECT("S_S["&amp;Selectivo6[[#Headers],[R2]]&amp;"]")),"60 DNC")</f>
        <v>14</v>
      </c>
      <c r="H60" s="19" t="str" cm="1">
        <f t="array" aca="1" ref="H60" ca="1">IFERROR(_xlfn.XLOOKUP(Selectivo6[[#This Row],[DNI]],S_S[DNI],INDIRECT("S_S["&amp;Selectivo6[[#Headers],[R3]]&amp;"]")),"60 DNC")</f>
        <v>25</v>
      </c>
      <c r="I60" s="19" t="str" cm="1">
        <f t="array" aca="1" ref="I60" ca="1">IFERROR(_xlfn.XLOOKUP(Selectivo6[[#This Row],[DNI]],S_S[DNI],INDIRECT("S_S["&amp;Selectivo6[[#Headers],[R4]]&amp;"]")),"60 DNC")</f>
        <v>4</v>
      </c>
      <c r="J60" s="19" t="str" cm="1">
        <f t="array" aca="1" ref="J60" ca="1">IFERROR(_xlfn.XLOOKUP(Selectivo6[[#This Row],[DNI]],S_S[DNI],INDIRECT("S_S["&amp;Selectivo6[[#Headers],[R5]]&amp;"]")),"60 DNC")</f>
        <v>24</v>
      </c>
      <c r="K60" s="20" t="str" cm="1">
        <f t="array" aca="1" ref="K60" ca="1">IFERROR(_xlfn.XLOOKUP(Selectivo6[[#This Row],[DNI]],S_S[DNI],INDIRECT("S_S["&amp;Selectivo6[[#Headers],[R6]]&amp;"]")),"60 DNC")</f>
        <v>44</v>
      </c>
      <c r="L60" s="19" t="str" cm="1">
        <f t="array" aca="1" ref="L60" ca="1">IFERROR(_xlfn.XLOOKUP(Selectivo6[[#This Row],[DNI]],S_S[DNI],INDIRECT("S_S["&amp;Selectivo6[[#Headers],[R7]]&amp;"]")),"60 DNC")</f>
        <v>25</v>
      </c>
      <c r="M60" s="19" t="str" cm="1">
        <f t="array" aca="1" ref="M60" ca="1">IFERROR(_xlfn.XLOOKUP(Selectivo6[[#This Row],[DNI]],S_S[DNI],INDIRECT("S_S["&amp;Selectivo6[[#Headers],[R8]]&amp;"]")),"60 DNC")</f>
        <v>7</v>
      </c>
      <c r="N60" s="19" t="str" cm="1">
        <f t="array" aca="1" ref="N60" ca="1">IFERROR(_xlfn.XLOOKUP(Selectivo6[[#This Row],[DNI]],S_S[DNI],INDIRECT("S_S["&amp;Selectivo6[[#Headers],[R9]]&amp;"]")),"60 DNC")</f>
        <v>28</v>
      </c>
      <c r="O60" s="19" t="str">
        <f>IFERROR(_xlfn.XLOOKUP(Selectivo6[[#This Row],[DNI]],_VF2026[DNI],_VF2026[R1]),"65 DNC")</f>
        <v>19</v>
      </c>
      <c r="P60" s="19" t="str">
        <f>IFERROR(_xlfn.XLOOKUP(Selectivo6[[#This Row],[DNI]],_VF2026[DNI],_VF2026[R2]),"65 DNC")</f>
        <v>8</v>
      </c>
      <c r="Q60" s="20" t="str">
        <f>IFERROR(_xlfn.XLOOKUP(Selectivo6[[#This Row],[DNI]],_VF2026[DNI],_VF2026[R3]),"65 DNC")</f>
        <v>37</v>
      </c>
      <c r="R60" s="19" t="str">
        <f>IFERROR(_xlfn.XLOOKUP(Selectivo6[[#This Row],[DNI]],_VF2026[DNI],_VF2026[R4]),"65 DNC")</f>
        <v>21</v>
      </c>
      <c r="S60" s="19" t="str">
        <f>IFERROR(_xlfn.XLOOKUP(Selectivo6[[#This Row],[DNI]],_VF2026[DNI],_VF2026[R5]),"65 DNC")</f>
        <v>33</v>
      </c>
      <c r="T60" s="19" t="str">
        <f>IFERROR(_xlfn.XLOOKUP(Selectivo6[[#This Row],[DNI]],_VF2026[DNI],_VF2026[R6]),"65 DNC")</f>
        <v>17 RDG</v>
      </c>
      <c r="U60" s="19" t="str">
        <f>IFERROR(_xlfn.XLOOKUP(Selectivo6[[#This Row],[DNI]],_VF2026[DNI],_VF2026[R7]),"65 DNC")</f>
        <v>14</v>
      </c>
      <c r="V60" s="19" t="str">
        <f>IFERROR(_xlfn.XLOOKUP(Selectivo6[[#This Row],[DNI]],_VF2026[DNI],_VF2026[R8]),"65 DNC")</f>
        <v>13</v>
      </c>
      <c r="W60" s="19"/>
      <c r="X60" s="19"/>
      <c r="Y60" s="19"/>
      <c r="Z60" s="19"/>
      <c r="AA60" s="19"/>
      <c r="AB60" s="8" cm="1">
        <f t="array" aca="1" ref="AB60" ca="1">SUM(IFERROR(VALUE(LEFT(Regatas, FIND(" ",Regatas&amp; " ") - 1)), 0))</f>
        <v>344</v>
      </c>
      <c r="AC60" s="9" cm="1">
        <f t="array" aca="1" ref="AC6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263</v>
      </c>
      <c r="AD60" s="6" cm="1">
        <f t="array" aca="1" ref="AD60" ca="1">SMALL(_xlfn._xlws.FILTER(RegatasN, RegatasN&lt;&gt;0), 1)</f>
        <v>4</v>
      </c>
      <c r="AE60" s="6" cm="1">
        <f t="array" aca="1" ref="AE60" ca="1">SMALL(_xlfn._xlws.FILTER(RegatasN, RegatasN&lt;&gt;0), 2)</f>
        <v>7</v>
      </c>
      <c r="AF60" s="6" cm="1">
        <f t="array" aca="1" ref="AF60" ca="1">SMALL(_xlfn._xlws.FILTER(RegatasN, RegatasN&lt;&gt;0), 3)</f>
        <v>8</v>
      </c>
      <c r="AG60" s="5" cm="1">
        <f t="array" aca="1" ref="AG60" ca="1">COUNTIF(Regatas,SMALL(_xlfn._xlws.FILTER(RegatasN, RegatasN&lt;&gt;0), 1))</f>
        <v>1</v>
      </c>
      <c r="AH60" s="6" t="e" cm="1">
        <f t="array" ref="AH6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1" spans="1:34">
      <c r="A61">
        <v>52003396</v>
      </c>
      <c r="B61" s="10">
        <f>ROW()-ROW(Selectivo6[[#Headers],[Pos]])</f>
        <v>55</v>
      </c>
      <c r="C61" s="5">
        <v>4152</v>
      </c>
      <c r="D61" t="s">
        <v>325</v>
      </c>
      <c r="E61" t="s">
        <v>11</v>
      </c>
      <c r="F61" s="19" t="str" cm="1">
        <f t="array" aca="1" ref="F61" ca="1">IFERROR(_xlfn.XLOOKUP(Selectivo6[[#This Row],[DNI]],S_S[DNI],INDIRECT("S_S["&amp;Selectivo6[[#Headers],[R1]]&amp;"]")),"60 DNC")</f>
        <v>15</v>
      </c>
      <c r="G61" s="19" t="str" cm="1">
        <f t="array" aca="1" ref="G61" ca="1">IFERROR(_xlfn.XLOOKUP(Selectivo6[[#This Row],[DNI]],S_S[DNI],INDIRECT("S_S["&amp;Selectivo6[[#Headers],[R2]]&amp;"]")),"60 DNC")</f>
        <v>19</v>
      </c>
      <c r="H61" s="19" t="str" cm="1">
        <f t="array" aca="1" ref="H61" ca="1">IFERROR(_xlfn.XLOOKUP(Selectivo6[[#This Row],[DNI]],S_S[DNI],INDIRECT("S_S["&amp;Selectivo6[[#Headers],[R3]]&amp;"]")),"60 DNC")</f>
        <v>18</v>
      </c>
      <c r="I61" s="20" t="str" cm="1">
        <f t="array" aca="1" ref="I61" ca="1">IFERROR(_xlfn.XLOOKUP(Selectivo6[[#This Row],[DNI]],S_S[DNI],INDIRECT("S_S["&amp;Selectivo6[[#Headers],[R4]]&amp;"]")),"60 DNC")</f>
        <v>60 BFD</v>
      </c>
      <c r="J61" s="19" t="str" cm="1">
        <f t="array" aca="1" ref="J61" ca="1">IFERROR(_xlfn.XLOOKUP(Selectivo6[[#This Row],[DNI]],S_S[DNI],INDIRECT("S_S["&amp;Selectivo6[[#Headers],[R5]]&amp;"]")),"60 DNC")</f>
        <v>42</v>
      </c>
      <c r="K61" s="19" t="str" cm="1">
        <f t="array" aca="1" ref="K61" ca="1">IFERROR(_xlfn.XLOOKUP(Selectivo6[[#This Row],[DNI]],S_S[DNI],INDIRECT("S_S["&amp;Selectivo6[[#Headers],[R6]]&amp;"]")),"60 DNC")</f>
        <v>24</v>
      </c>
      <c r="L61" s="19" t="str" cm="1">
        <f t="array" aca="1" ref="L61" ca="1">IFERROR(_xlfn.XLOOKUP(Selectivo6[[#This Row],[DNI]],S_S[DNI],INDIRECT("S_S["&amp;Selectivo6[[#Headers],[R7]]&amp;"]")),"60 DNC")</f>
        <v>10</v>
      </c>
      <c r="M61" s="19" t="str" cm="1">
        <f t="array" aca="1" ref="M61" ca="1">IFERROR(_xlfn.XLOOKUP(Selectivo6[[#This Row],[DNI]],S_S[DNI],INDIRECT("S_S["&amp;Selectivo6[[#Headers],[R8]]&amp;"]")),"60 DNC")</f>
        <v>24</v>
      </c>
      <c r="N61" s="19" t="str" cm="1">
        <f t="array" aca="1" ref="N61" ca="1">IFERROR(_xlfn.XLOOKUP(Selectivo6[[#This Row],[DNI]],S_S[DNI],INDIRECT("S_S["&amp;Selectivo6[[#Headers],[R9]]&amp;"]")),"60 DNC")</f>
        <v>10</v>
      </c>
      <c r="O61" s="19" t="str">
        <f>IFERROR(_xlfn.XLOOKUP(Selectivo6[[#This Row],[DNI]],_VF2026[DNI],_VF2026[R1]),"65 DNC")</f>
        <v>8</v>
      </c>
      <c r="P61" s="19" t="str">
        <f>IFERROR(_xlfn.XLOOKUP(Selectivo6[[#This Row],[DNI]],_VF2026[DNI],_VF2026[R2]),"65 DNC")</f>
        <v>1</v>
      </c>
      <c r="Q61" s="19" t="str">
        <f>IFERROR(_xlfn.XLOOKUP(Selectivo6[[#This Row],[DNI]],_VF2026[DNI],_VF2026[R3]),"65 DNC")</f>
        <v>19</v>
      </c>
      <c r="R61" s="19" t="str">
        <f>IFERROR(_xlfn.XLOOKUP(Selectivo6[[#This Row],[DNI]],_VF2026[DNI],_VF2026[R4]),"65 DNC")</f>
        <v>17</v>
      </c>
      <c r="S61" s="19" t="str">
        <f>IFERROR(_xlfn.XLOOKUP(Selectivo6[[#This Row],[DNI]],_VF2026[DNI],_VF2026[R5]),"65 DNC")</f>
        <v>11</v>
      </c>
      <c r="T61" s="19" t="str">
        <f>IFERROR(_xlfn.XLOOKUP(Selectivo6[[#This Row],[DNI]],_VF2026[DNI],_VF2026[R6]),"65 DNC")</f>
        <v>27</v>
      </c>
      <c r="U61" s="19" t="str">
        <f>IFERROR(_xlfn.XLOOKUP(Selectivo6[[#This Row],[DNI]],_VF2026[DNI],_VF2026[R7]),"65 DNC")</f>
        <v>26</v>
      </c>
      <c r="V61" s="20" t="str">
        <f>IFERROR(_xlfn.XLOOKUP(Selectivo6[[#This Row],[DNI]],_VF2026[DNI],_VF2026[R8]),"65 DNC")</f>
        <v>65 BFD</v>
      </c>
      <c r="W61" s="19"/>
      <c r="X61" s="19"/>
      <c r="Y61" s="19"/>
      <c r="Z61" s="19"/>
      <c r="AA61" s="19"/>
      <c r="AB61" s="8" cm="1">
        <f t="array" aca="1" ref="AB61" ca="1">SUM(IFERROR(VALUE(LEFT(Regatas, FIND(" ",Regatas&amp; " ") - 1)), 0))</f>
        <v>396</v>
      </c>
      <c r="AC61" s="9" cm="1">
        <f t="array" aca="1" ref="AC6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271</v>
      </c>
      <c r="AD61" s="6" cm="1">
        <f t="array" aca="1" ref="AD61" ca="1">SMALL(_xlfn._xlws.FILTER(RegatasN, RegatasN&lt;&gt;0), 1)</f>
        <v>1</v>
      </c>
      <c r="AE61" s="6" cm="1">
        <f t="array" aca="1" ref="AE61" ca="1">SMALL(_xlfn._xlws.FILTER(RegatasN, RegatasN&lt;&gt;0), 2)</f>
        <v>8</v>
      </c>
      <c r="AF61" s="6" cm="1">
        <f t="array" aca="1" ref="AF61" ca="1">SMALL(_xlfn._xlws.FILTER(RegatasN, RegatasN&lt;&gt;0), 3)</f>
        <v>10</v>
      </c>
      <c r="AG61" s="5" cm="1">
        <f t="array" aca="1" ref="AG61" ca="1">COUNTIF(Regatas,SMALL(_xlfn._xlws.FILTER(RegatasN, RegatasN&lt;&gt;0), 1))</f>
        <v>1</v>
      </c>
      <c r="AH61" s="6" t="e" cm="1">
        <f t="array" ref="AH6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2" spans="1:34">
      <c r="A62">
        <v>50903230</v>
      </c>
      <c r="B62" s="10">
        <f>ROW()-ROW(Selectivo6[[#Headers],[Pos]])</f>
        <v>56</v>
      </c>
      <c r="C62" s="5">
        <v>4237</v>
      </c>
      <c r="D62" t="s">
        <v>315</v>
      </c>
      <c r="E62" t="s">
        <v>26</v>
      </c>
      <c r="F62" s="19" t="str" cm="1">
        <f t="array" aca="1" ref="F62" ca="1">IFERROR(_xlfn.XLOOKUP(Selectivo6[[#This Row],[DNI]],S_S[DNI],INDIRECT("S_S["&amp;Selectivo6[[#Headers],[R1]]&amp;"]")),"60 DNC")</f>
        <v>19</v>
      </c>
      <c r="G62" s="19" t="str" cm="1">
        <f t="array" aca="1" ref="G62" ca="1">IFERROR(_xlfn.XLOOKUP(Selectivo6[[#This Row],[DNI]],S_S[DNI],INDIRECT("S_S["&amp;Selectivo6[[#Headers],[R2]]&amp;"]")),"60 DNC")</f>
        <v>25</v>
      </c>
      <c r="H62" s="20" t="str" cm="1">
        <f t="array" aca="1" ref="H62" ca="1">IFERROR(_xlfn.XLOOKUP(Selectivo6[[#This Row],[DNI]],S_S[DNI],INDIRECT("S_S["&amp;Selectivo6[[#Headers],[R3]]&amp;"]")),"60 DNC")</f>
        <v>60 BFD</v>
      </c>
      <c r="I62" s="19" t="str" cm="1">
        <f t="array" aca="1" ref="I62" ca="1">IFERROR(_xlfn.XLOOKUP(Selectivo6[[#This Row],[DNI]],S_S[DNI],INDIRECT("S_S["&amp;Selectivo6[[#Headers],[R4]]&amp;"]")),"60 DNC")</f>
        <v>25</v>
      </c>
      <c r="J62" s="19" t="str" cm="1">
        <f t="array" aca="1" ref="J62" ca="1">IFERROR(_xlfn.XLOOKUP(Selectivo6[[#This Row],[DNI]],S_S[DNI],INDIRECT("S_S["&amp;Selectivo6[[#Headers],[R5]]&amp;"]")),"60 DNC")</f>
        <v>27</v>
      </c>
      <c r="K62" s="19" t="str" cm="1">
        <f t="array" aca="1" ref="K62" ca="1">IFERROR(_xlfn.XLOOKUP(Selectivo6[[#This Row],[DNI]],S_S[DNI],INDIRECT("S_S["&amp;Selectivo6[[#Headers],[R6]]&amp;"]")),"60 DNC")</f>
        <v>19</v>
      </c>
      <c r="L62" s="19" t="str" cm="1">
        <f t="array" aca="1" ref="L62" ca="1">IFERROR(_xlfn.XLOOKUP(Selectivo6[[#This Row],[DNI]],S_S[DNI],INDIRECT("S_S["&amp;Selectivo6[[#Headers],[R7]]&amp;"]")),"60 DNC")</f>
        <v>17</v>
      </c>
      <c r="M62" s="19" t="str" cm="1">
        <f t="array" aca="1" ref="M62" ca="1">IFERROR(_xlfn.XLOOKUP(Selectivo6[[#This Row],[DNI]],S_S[DNI],INDIRECT("S_S["&amp;Selectivo6[[#Headers],[R8]]&amp;"]")),"60 DNC")</f>
        <v>16</v>
      </c>
      <c r="N62" s="19" t="str" cm="1">
        <f t="array" aca="1" ref="N62" ca="1">IFERROR(_xlfn.XLOOKUP(Selectivo6[[#This Row],[DNI]],S_S[DNI],INDIRECT("S_S["&amp;Selectivo6[[#Headers],[R9]]&amp;"]")),"60 DNC")</f>
        <v>9</v>
      </c>
      <c r="O62" s="19" t="str">
        <f>IFERROR(_xlfn.XLOOKUP(Selectivo6[[#This Row],[DNI]],_VF2026[DNI],_VF2026[R1]),"65 DNC")</f>
        <v>11</v>
      </c>
      <c r="P62" s="20" t="str">
        <f>IFERROR(_xlfn.XLOOKUP(Selectivo6[[#This Row],[DNI]],_VF2026[DNI],_VF2026[R2]),"65 DNC")</f>
        <v>37</v>
      </c>
      <c r="Q62" s="19" t="str">
        <f>IFERROR(_xlfn.XLOOKUP(Selectivo6[[#This Row],[DNI]],_VF2026[DNI],_VF2026[R3]),"65 DNC")</f>
        <v>25</v>
      </c>
      <c r="R62" s="19" t="str">
        <f>IFERROR(_xlfn.XLOOKUP(Selectivo6[[#This Row],[DNI]],_VF2026[DNI],_VF2026[R4]),"65 DNC")</f>
        <v>23</v>
      </c>
      <c r="S62" s="19" t="str">
        <f>IFERROR(_xlfn.XLOOKUP(Selectivo6[[#This Row],[DNI]],_VF2026[DNI],_VF2026[R5]),"65 DNC")</f>
        <v>15</v>
      </c>
      <c r="T62" s="19" t="str">
        <f>IFERROR(_xlfn.XLOOKUP(Selectivo6[[#This Row],[DNI]],_VF2026[DNI],_VF2026[R6]),"65 DNC")</f>
        <v>5</v>
      </c>
      <c r="U62" s="19" t="str">
        <f>IFERROR(_xlfn.XLOOKUP(Selectivo6[[#This Row],[DNI]],_VF2026[DNI],_VF2026[R7]),"65 DNC")</f>
        <v>11</v>
      </c>
      <c r="V62" s="19" t="str">
        <f>IFERROR(_xlfn.XLOOKUP(Selectivo6[[#This Row],[DNI]],_VF2026[DNI],_VF2026[R8]),"65 DNC")</f>
        <v>27</v>
      </c>
      <c r="W62" s="19"/>
      <c r="X62" s="19"/>
      <c r="Y62" s="19"/>
      <c r="Z62" s="19"/>
      <c r="AA62" s="19"/>
      <c r="AB62" s="8" cm="1">
        <f t="array" aca="1" ref="AB62" ca="1">SUM(IFERROR(VALUE(LEFT(Regatas, FIND(" ",Regatas&amp; " ") - 1)), 0))</f>
        <v>371</v>
      </c>
      <c r="AC62" s="9" cm="1">
        <f t="array" aca="1" ref="AC6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274</v>
      </c>
      <c r="AD62" s="6" cm="1">
        <f t="array" aca="1" ref="AD62" ca="1">SMALL(_xlfn._xlws.FILTER(RegatasN, RegatasN&lt;&gt;0), 1)</f>
        <v>5</v>
      </c>
      <c r="AE62" s="6" cm="1">
        <f t="array" aca="1" ref="AE62" ca="1">SMALL(_xlfn._xlws.FILTER(RegatasN, RegatasN&lt;&gt;0), 2)</f>
        <v>9</v>
      </c>
      <c r="AF62" s="6" cm="1">
        <f t="array" aca="1" ref="AF62" ca="1">SMALL(_xlfn._xlws.FILTER(RegatasN, RegatasN&lt;&gt;0), 3)</f>
        <v>11</v>
      </c>
      <c r="AG62" s="5" cm="1">
        <f t="array" aca="1" ref="AG62" ca="1">COUNTIF(Regatas,SMALL(_xlfn._xlws.FILTER(RegatasN, RegatasN&lt;&gt;0), 1))</f>
        <v>1</v>
      </c>
      <c r="AH62" s="6" t="e" cm="1">
        <f t="array" ref="AH6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3" spans="1:34">
      <c r="A63">
        <v>53236008</v>
      </c>
      <c r="B63" s="10">
        <f>ROW()-ROW(Selectivo6[[#Headers],[Pos]])</f>
        <v>57</v>
      </c>
      <c r="C63" s="5">
        <v>3675</v>
      </c>
      <c r="D63" t="s">
        <v>296</v>
      </c>
      <c r="E63" t="s">
        <v>7</v>
      </c>
      <c r="F63" s="20" t="str" cm="1">
        <f t="array" aca="1" ref="F63" ca="1">IFERROR(_xlfn.XLOOKUP(Selectivo6[[#This Row],[DNI]],S_S[DNI],INDIRECT("S_S["&amp;Selectivo6[[#Headers],[R1]]&amp;"]")),"60 DNC")</f>
        <v>34</v>
      </c>
      <c r="G63" s="19" t="str" cm="1">
        <f t="array" aca="1" ref="G63" ca="1">IFERROR(_xlfn.XLOOKUP(Selectivo6[[#This Row],[DNI]],S_S[DNI],INDIRECT("S_S["&amp;Selectivo6[[#Headers],[R2]]&amp;"]")),"60 DNC")</f>
        <v>18</v>
      </c>
      <c r="H63" s="19" t="str" cm="1">
        <f t="array" aca="1" ref="H63" ca="1">IFERROR(_xlfn.XLOOKUP(Selectivo6[[#This Row],[DNI]],S_S[DNI],INDIRECT("S_S["&amp;Selectivo6[[#Headers],[R3]]&amp;"]")),"60 DNC")</f>
        <v>23</v>
      </c>
      <c r="I63" s="19" t="str" cm="1">
        <f t="array" aca="1" ref="I63" ca="1">IFERROR(_xlfn.XLOOKUP(Selectivo6[[#This Row],[DNI]],S_S[DNI],INDIRECT("S_S["&amp;Selectivo6[[#Headers],[R4]]&amp;"]")),"60 DNC")</f>
        <v>24</v>
      </c>
      <c r="J63" s="19" t="str" cm="1">
        <f t="array" aca="1" ref="J63" ca="1">IFERROR(_xlfn.XLOOKUP(Selectivo6[[#This Row],[DNI]],S_S[DNI],INDIRECT("S_S["&amp;Selectivo6[[#Headers],[R5]]&amp;"]")),"60 DNC")</f>
        <v>10</v>
      </c>
      <c r="K63" s="19" t="str" cm="1">
        <f t="array" aca="1" ref="K63" ca="1">IFERROR(_xlfn.XLOOKUP(Selectivo6[[#This Row],[DNI]],S_S[DNI],INDIRECT("S_S["&amp;Selectivo6[[#Headers],[R6]]&amp;"]")),"60 DNC")</f>
        <v>23</v>
      </c>
      <c r="L63" s="19" t="str" cm="1">
        <f t="array" aca="1" ref="L63" ca="1">IFERROR(_xlfn.XLOOKUP(Selectivo6[[#This Row],[DNI]],S_S[DNI],INDIRECT("S_S["&amp;Selectivo6[[#Headers],[R7]]&amp;"]")),"60 DNC")</f>
        <v>19</v>
      </c>
      <c r="M63" s="19" t="str" cm="1">
        <f t="array" aca="1" ref="M63" ca="1">IFERROR(_xlfn.XLOOKUP(Selectivo6[[#This Row],[DNI]],S_S[DNI],INDIRECT("S_S["&amp;Selectivo6[[#Headers],[R8]]&amp;"]")),"60 DNC")</f>
        <v>11</v>
      </c>
      <c r="N63" s="19" t="str" cm="1">
        <f t="array" aca="1" ref="N63" ca="1">IFERROR(_xlfn.XLOOKUP(Selectivo6[[#This Row],[DNI]],S_S[DNI],INDIRECT("S_S["&amp;Selectivo6[[#Headers],[R9]]&amp;"]")),"60 DNC")</f>
        <v>16</v>
      </c>
      <c r="O63" s="20" t="str">
        <f>IFERROR(_xlfn.XLOOKUP(Selectivo6[[#This Row],[DNI]],_VF2026[DNI],_VF2026[R1]),"65 DNC")</f>
        <v>65 BFD</v>
      </c>
      <c r="P63" s="19" t="str">
        <f>IFERROR(_xlfn.XLOOKUP(Selectivo6[[#This Row],[DNI]],_VF2026[DNI],_VF2026[R2]),"65 DNC")</f>
        <v>25</v>
      </c>
      <c r="Q63" s="19" t="str">
        <f>IFERROR(_xlfn.XLOOKUP(Selectivo6[[#This Row],[DNI]],_VF2026[DNI],_VF2026[R3]),"65 DNC")</f>
        <v>34</v>
      </c>
      <c r="R63" s="19" t="str">
        <f>IFERROR(_xlfn.XLOOKUP(Selectivo6[[#This Row],[DNI]],_VF2026[DNI],_VF2026[R4]),"65 DNC")</f>
        <v>28</v>
      </c>
      <c r="S63" s="19" t="str">
        <f>IFERROR(_xlfn.XLOOKUP(Selectivo6[[#This Row],[DNI]],_VF2026[DNI],_VF2026[R5]),"65 DNC")</f>
        <v>22</v>
      </c>
      <c r="T63" s="19" t="str">
        <f>IFERROR(_xlfn.XLOOKUP(Selectivo6[[#This Row],[DNI]],_VF2026[DNI],_VF2026[R6]),"65 DNC")</f>
        <v>15</v>
      </c>
      <c r="U63" s="19" t="str">
        <f>IFERROR(_xlfn.XLOOKUP(Selectivo6[[#This Row],[DNI]],_VF2026[DNI],_VF2026[R7]),"65 DNC")</f>
        <v>3</v>
      </c>
      <c r="V63" s="19" t="str">
        <f>IFERROR(_xlfn.XLOOKUP(Selectivo6[[#This Row],[DNI]],_VF2026[DNI],_VF2026[R8]),"65 DNC")</f>
        <v>8</v>
      </c>
      <c r="W63" s="19"/>
      <c r="X63" s="19"/>
      <c r="Y63" s="19"/>
      <c r="Z63" s="19"/>
      <c r="AA63" s="19"/>
      <c r="AB63" s="8" cm="1">
        <f t="array" aca="1" ref="AB63" ca="1">SUM(IFERROR(VALUE(LEFT(Regatas, FIND(" ",Regatas&amp; " ") - 1)), 0))</f>
        <v>378</v>
      </c>
      <c r="AC63" s="9" cm="1">
        <f t="array" aca="1" ref="AC6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279</v>
      </c>
      <c r="AD63" s="6" cm="1">
        <f t="array" aca="1" ref="AD63" ca="1">SMALL(_xlfn._xlws.FILTER(RegatasN, RegatasN&lt;&gt;0), 1)</f>
        <v>3</v>
      </c>
      <c r="AE63" s="6" cm="1">
        <f t="array" aca="1" ref="AE63" ca="1">SMALL(_xlfn._xlws.FILTER(RegatasN, RegatasN&lt;&gt;0), 2)</f>
        <v>8</v>
      </c>
      <c r="AF63" s="6" cm="1">
        <f t="array" aca="1" ref="AF63" ca="1">SMALL(_xlfn._xlws.FILTER(RegatasN, RegatasN&lt;&gt;0), 3)</f>
        <v>10</v>
      </c>
      <c r="AG63" s="5" cm="1">
        <f t="array" aca="1" ref="AG63" ca="1">COUNTIF(Regatas,SMALL(_xlfn._xlws.FILTER(RegatasN, RegatasN&lt;&gt;0), 1))</f>
        <v>1</v>
      </c>
      <c r="AH63" s="6" t="e" cm="1">
        <f t="array" ref="AH6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4" spans="1:34">
      <c r="A64">
        <v>53584723</v>
      </c>
      <c r="B64" s="10">
        <f>ROW()-ROW(Selectivo6[[#Headers],[Pos]])</f>
        <v>58</v>
      </c>
      <c r="C64" s="5">
        <v>4274</v>
      </c>
      <c r="D64" t="s">
        <v>272</v>
      </c>
      <c r="E64" t="s">
        <v>9</v>
      </c>
      <c r="F64" s="19" t="str" cm="1">
        <f t="array" aca="1" ref="F64" ca="1">IFERROR(_xlfn.XLOOKUP(Selectivo6[[#This Row],[DNI]],S_S[DNI],INDIRECT("S_S["&amp;Selectivo6[[#Headers],[R1]]&amp;"]")),"60 DNC")</f>
        <v>14</v>
      </c>
      <c r="G64" s="19" t="str" cm="1">
        <f t="array" aca="1" ref="G64" ca="1">IFERROR(_xlfn.XLOOKUP(Selectivo6[[#This Row],[DNI]],S_S[DNI],INDIRECT("S_S["&amp;Selectivo6[[#Headers],[R2]]&amp;"]")),"60 DNC")</f>
        <v>60 BFD</v>
      </c>
      <c r="H64" s="19" t="str" cm="1">
        <f t="array" aca="1" ref="H64" ca="1">IFERROR(_xlfn.XLOOKUP(Selectivo6[[#This Row],[DNI]],S_S[DNI],INDIRECT("S_S["&amp;Selectivo6[[#Headers],[R3]]&amp;"]")),"60 DNC")</f>
        <v>16</v>
      </c>
      <c r="I64" s="19" t="str" cm="1">
        <f t="array" aca="1" ref="I64" ca="1">IFERROR(_xlfn.XLOOKUP(Selectivo6[[#This Row],[DNI]],S_S[DNI],INDIRECT("S_S["&amp;Selectivo6[[#Headers],[R4]]&amp;"]")),"60 DNC")</f>
        <v>2</v>
      </c>
      <c r="J64" s="19" t="str" cm="1">
        <f t="array" aca="1" ref="J64" ca="1">IFERROR(_xlfn.XLOOKUP(Selectivo6[[#This Row],[DNI]],S_S[DNI],INDIRECT("S_S["&amp;Selectivo6[[#Headers],[R5]]&amp;"]")),"60 DNC")</f>
        <v>2</v>
      </c>
      <c r="K64" s="19" t="str" cm="1">
        <f t="array" aca="1" ref="K64" ca="1">IFERROR(_xlfn.XLOOKUP(Selectivo6[[#This Row],[DNI]],S_S[DNI],INDIRECT("S_S["&amp;Selectivo6[[#Headers],[R6]]&amp;"]")),"60 DNC")</f>
        <v>15</v>
      </c>
      <c r="L64" s="19" t="str" cm="1">
        <f t="array" aca="1" ref="L64" ca="1">IFERROR(_xlfn.XLOOKUP(Selectivo6[[#This Row],[DNI]],S_S[DNI],INDIRECT("S_S["&amp;Selectivo6[[#Headers],[R7]]&amp;"]")),"60 DNC")</f>
        <v>17</v>
      </c>
      <c r="M64" s="19" t="str" cm="1">
        <f t="array" aca="1" ref="M64" ca="1">IFERROR(_xlfn.XLOOKUP(Selectivo6[[#This Row],[DNI]],S_S[DNI],INDIRECT("S_S["&amp;Selectivo6[[#Headers],[R8]]&amp;"]")),"60 DNC")</f>
        <v>15</v>
      </c>
      <c r="N64" s="19" t="str" cm="1">
        <f t="array" aca="1" ref="N64" ca="1">IFERROR(_xlfn.XLOOKUP(Selectivo6[[#This Row],[DNI]],S_S[DNI],INDIRECT("S_S["&amp;Selectivo6[[#Headers],[R9]]&amp;"]")),"60 DNC")</f>
        <v>38</v>
      </c>
      <c r="O64" s="20" t="str">
        <f>IFERROR(_xlfn.XLOOKUP(Selectivo6[[#This Row],[DNI]],_VF2026[DNI],_VF2026[R1]),"65 DNC")</f>
        <v>65 DSQ</v>
      </c>
      <c r="P64" s="19" t="str">
        <f>IFERROR(_xlfn.XLOOKUP(Selectivo6[[#This Row],[DNI]],_VF2026[DNI],_VF2026[R2]),"65 DNC")</f>
        <v>48</v>
      </c>
      <c r="Q64" s="19" t="str">
        <f>IFERROR(_xlfn.XLOOKUP(Selectivo6[[#This Row],[DNI]],_VF2026[DNI],_VF2026[R3]),"65 DNC")</f>
        <v>9</v>
      </c>
      <c r="R64" s="19" t="str">
        <f>IFERROR(_xlfn.XLOOKUP(Selectivo6[[#This Row],[DNI]],_VF2026[DNI],_VF2026[R4]),"65 DNC")</f>
        <v>20</v>
      </c>
      <c r="S64" s="19" t="str">
        <f>IFERROR(_xlfn.XLOOKUP(Selectivo6[[#This Row],[DNI]],_VF2026[DNI],_VF2026[R5]),"65 DNC")</f>
        <v>23</v>
      </c>
      <c r="T64" s="19" t="str">
        <f>IFERROR(_xlfn.XLOOKUP(Selectivo6[[#This Row],[DNI]],_VF2026[DNI],_VF2026[R6]),"65 DNC")</f>
        <v>2</v>
      </c>
      <c r="U64" s="20" t="str">
        <f>IFERROR(_xlfn.XLOOKUP(Selectivo6[[#This Row],[DNI]],_VF2026[DNI],_VF2026[R7]),"65 DNC")</f>
        <v>65 RET</v>
      </c>
      <c r="V64" s="19" t="str">
        <f>IFERROR(_xlfn.XLOOKUP(Selectivo6[[#This Row],[DNI]],_VF2026[DNI],_VF2026[R8]),"65 DNC")</f>
        <v>1</v>
      </c>
      <c r="W64" s="19"/>
      <c r="X64" s="19"/>
      <c r="Y64" s="19"/>
      <c r="Z64" s="19"/>
      <c r="AA64" s="19"/>
      <c r="AB64" s="8" cm="1">
        <f t="array" aca="1" ref="AB64" ca="1">SUM(IFERROR(VALUE(LEFT(Regatas, FIND(" ",Regatas&amp; " ") - 1)), 0))</f>
        <v>412</v>
      </c>
      <c r="AC64" s="9" cm="1">
        <f t="array" aca="1" ref="AC6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282</v>
      </c>
      <c r="AD64" s="6" cm="1">
        <f t="array" aca="1" ref="AD64" ca="1">SMALL(_xlfn._xlws.FILTER(RegatasN, RegatasN&lt;&gt;0), 1)</f>
        <v>1</v>
      </c>
      <c r="AE64" s="6" cm="1">
        <f t="array" aca="1" ref="AE64" ca="1">SMALL(_xlfn._xlws.FILTER(RegatasN, RegatasN&lt;&gt;0), 2)</f>
        <v>2</v>
      </c>
      <c r="AF64" s="6" cm="1">
        <f t="array" aca="1" ref="AF64" ca="1">SMALL(_xlfn._xlws.FILTER(RegatasN, RegatasN&lt;&gt;0), 3)</f>
        <v>2</v>
      </c>
      <c r="AG64" s="5" cm="1">
        <f t="array" aca="1" ref="AG64" ca="1">COUNTIF(Regatas,SMALL(_xlfn._xlws.FILTER(RegatasN, RegatasN&lt;&gt;0), 1))</f>
        <v>1</v>
      </c>
      <c r="AH64" s="6" t="e" cm="1">
        <f t="array" ref="AH6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5" spans="1:34">
      <c r="A65">
        <v>54029308</v>
      </c>
      <c r="B65" s="10">
        <f>ROW()-ROW(Selectivo6[[#Headers],[Pos]])</f>
        <v>59</v>
      </c>
      <c r="C65" s="5">
        <v>4104</v>
      </c>
      <c r="D65" t="s">
        <v>291</v>
      </c>
      <c r="E65" t="s">
        <v>33</v>
      </c>
      <c r="F65" s="19" t="str" cm="1">
        <f t="array" aca="1" ref="F65" ca="1">IFERROR(_xlfn.XLOOKUP(Selectivo6[[#This Row],[DNI]],S_S[DNI],INDIRECT("S_S["&amp;Selectivo6[[#Headers],[R1]]&amp;"]")),"60 DNC")</f>
        <v>10</v>
      </c>
      <c r="G65" s="20" t="str" cm="1">
        <f t="array" aca="1" ref="G65" ca="1">IFERROR(_xlfn.XLOOKUP(Selectivo6[[#This Row],[DNI]],S_S[DNI],INDIRECT("S_S["&amp;Selectivo6[[#Headers],[R2]]&amp;"]")),"60 DNC")</f>
        <v>60 BFD</v>
      </c>
      <c r="H65" s="19" t="str" cm="1">
        <f t="array" aca="1" ref="H65" ca="1">IFERROR(_xlfn.XLOOKUP(Selectivo6[[#This Row],[DNI]],S_S[DNI],INDIRECT("S_S["&amp;Selectivo6[[#Headers],[R3]]&amp;"]")),"60 DNC")</f>
        <v>29</v>
      </c>
      <c r="I65" s="19" t="str" cm="1">
        <f t="array" aca="1" ref="I65" ca="1">IFERROR(_xlfn.XLOOKUP(Selectivo6[[#This Row],[DNI]],S_S[DNI],INDIRECT("S_S["&amp;Selectivo6[[#Headers],[R4]]&amp;"]")),"60 DNC")</f>
        <v>9</v>
      </c>
      <c r="J65" s="19" t="str" cm="1">
        <f t="array" aca="1" ref="J65" ca="1">IFERROR(_xlfn.XLOOKUP(Selectivo6[[#This Row],[DNI]],S_S[DNI],INDIRECT("S_S["&amp;Selectivo6[[#Headers],[R5]]&amp;"]")),"60 DNC")</f>
        <v>9</v>
      </c>
      <c r="K65" s="19" t="str" cm="1">
        <f t="array" aca="1" ref="K65" ca="1">IFERROR(_xlfn.XLOOKUP(Selectivo6[[#This Row],[DNI]],S_S[DNI],INDIRECT("S_S["&amp;Selectivo6[[#Headers],[R6]]&amp;"]")),"60 DNC")</f>
        <v>16</v>
      </c>
      <c r="L65" s="19" t="str" cm="1">
        <f t="array" aca="1" ref="L65" ca="1">IFERROR(_xlfn.XLOOKUP(Selectivo6[[#This Row],[DNI]],S_S[DNI],INDIRECT("S_S["&amp;Selectivo6[[#Headers],[R7]]&amp;"]")),"60 DNC")</f>
        <v>29</v>
      </c>
      <c r="M65" s="19" t="str" cm="1">
        <f t="array" aca="1" ref="M65" ca="1">IFERROR(_xlfn.XLOOKUP(Selectivo6[[#This Row],[DNI]],S_S[DNI],INDIRECT("S_S["&amp;Selectivo6[[#Headers],[R8]]&amp;"]")),"60 DNC")</f>
        <v>20</v>
      </c>
      <c r="N65" s="19" t="str" cm="1">
        <f t="array" aca="1" ref="N65" ca="1">IFERROR(_xlfn.XLOOKUP(Selectivo6[[#This Row],[DNI]],S_S[DNI],INDIRECT("S_S["&amp;Selectivo6[[#Headers],[R9]]&amp;"]")),"60 DNC")</f>
        <v>17</v>
      </c>
      <c r="O65" s="19" t="str">
        <f>IFERROR(_xlfn.XLOOKUP(Selectivo6[[#This Row],[DNI]],_VF2026[DNI],_VF2026[R1]),"65 DNC")</f>
        <v>30</v>
      </c>
      <c r="P65" s="19" t="str">
        <f>IFERROR(_xlfn.XLOOKUP(Selectivo6[[#This Row],[DNI]],_VF2026[DNI],_VF2026[R2]),"65 DNC")</f>
        <v>12</v>
      </c>
      <c r="Q65" s="19" t="str">
        <f>IFERROR(_xlfn.XLOOKUP(Selectivo6[[#This Row],[DNI]],_VF2026[DNI],_VF2026[R3]),"65 DNC")</f>
        <v>20</v>
      </c>
      <c r="R65" s="19" t="str">
        <f>IFERROR(_xlfn.XLOOKUP(Selectivo6[[#This Row],[DNI]],_VF2026[DNI],_VF2026[R4]),"65 DNC")</f>
        <v>32</v>
      </c>
      <c r="S65" s="19" t="str">
        <f>IFERROR(_xlfn.XLOOKUP(Selectivo6[[#This Row],[DNI]],_VF2026[DNI],_VF2026[R5]),"65 DNC")</f>
        <v>24</v>
      </c>
      <c r="T65" s="20" t="str">
        <f>IFERROR(_xlfn.XLOOKUP(Selectivo6[[#This Row],[DNI]],_VF2026[DNI],_VF2026[R6]),"65 DNC")</f>
        <v>65 BFD</v>
      </c>
      <c r="U65" s="19" t="str">
        <f>IFERROR(_xlfn.XLOOKUP(Selectivo6[[#This Row],[DNI]],_VF2026[DNI],_VF2026[R7]),"65 DNC")</f>
        <v>17</v>
      </c>
      <c r="V65" s="19" t="str">
        <f>IFERROR(_xlfn.XLOOKUP(Selectivo6[[#This Row],[DNI]],_VF2026[DNI],_VF2026[R8]),"65 DNC")</f>
        <v>8</v>
      </c>
      <c r="W65" s="19"/>
      <c r="X65" s="19"/>
      <c r="Y65" s="19"/>
      <c r="Z65" s="19"/>
      <c r="AA65" s="19"/>
      <c r="AB65" s="8" cm="1">
        <f t="array" aca="1" ref="AB65" ca="1">SUM(IFERROR(VALUE(LEFT(Regatas, FIND(" ",Regatas&amp; " ") - 1)), 0))</f>
        <v>407</v>
      </c>
      <c r="AC65" s="9" cm="1">
        <f t="array" aca="1" ref="AC6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282</v>
      </c>
      <c r="AD65" s="6" cm="1">
        <f t="array" aca="1" ref="AD65" ca="1">SMALL(_xlfn._xlws.FILTER(RegatasN, RegatasN&lt;&gt;0), 1)</f>
        <v>8</v>
      </c>
      <c r="AE65" s="6" cm="1">
        <f t="array" aca="1" ref="AE65" ca="1">SMALL(_xlfn._xlws.FILTER(RegatasN, RegatasN&lt;&gt;0), 2)</f>
        <v>9</v>
      </c>
      <c r="AF65" s="6" cm="1">
        <f t="array" aca="1" ref="AF65" ca="1">SMALL(_xlfn._xlws.FILTER(RegatasN, RegatasN&lt;&gt;0), 3)</f>
        <v>9</v>
      </c>
      <c r="AG65" s="5" cm="1">
        <f t="array" aca="1" ref="AG65" ca="1">COUNTIF(Regatas,SMALL(_xlfn._xlws.FILTER(RegatasN, RegatasN&lt;&gt;0), 1))</f>
        <v>1</v>
      </c>
      <c r="AH65" s="6" t="e" cm="1">
        <f t="array" ref="AH6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6" spans="1:34">
      <c r="A66">
        <v>52113290</v>
      </c>
      <c r="B66" s="10">
        <f>ROW()-ROW(Selectivo6[[#Headers],[Pos]])</f>
        <v>60</v>
      </c>
      <c r="C66" s="5">
        <v>4267</v>
      </c>
      <c r="D66" t="s">
        <v>303</v>
      </c>
      <c r="E66" t="s">
        <v>9</v>
      </c>
      <c r="F66" s="19" t="str" cm="1">
        <f t="array" aca="1" ref="F66" ca="1">IFERROR(_xlfn.XLOOKUP(Selectivo6[[#This Row],[DNI]],S_S[DNI],INDIRECT("S_S["&amp;Selectivo6[[#Headers],[R1]]&amp;"]")),"60 DNC")</f>
        <v>20</v>
      </c>
      <c r="G66" s="19" t="str" cm="1">
        <f t="array" aca="1" ref="G66" ca="1">IFERROR(_xlfn.XLOOKUP(Selectivo6[[#This Row],[DNI]],S_S[DNI],INDIRECT("S_S["&amp;Selectivo6[[#Headers],[R2]]&amp;"]")),"60 DNC")</f>
        <v>22</v>
      </c>
      <c r="H66" s="19" t="str" cm="1">
        <f t="array" aca="1" ref="H66" ca="1">IFERROR(_xlfn.XLOOKUP(Selectivo6[[#This Row],[DNI]],S_S[DNI],INDIRECT("S_S["&amp;Selectivo6[[#Headers],[R3]]&amp;"]")),"60 DNC")</f>
        <v>22</v>
      </c>
      <c r="I66" s="19" t="str" cm="1">
        <f t="array" aca="1" ref="I66" ca="1">IFERROR(_xlfn.XLOOKUP(Selectivo6[[#This Row],[DNI]],S_S[DNI],INDIRECT("S_S["&amp;Selectivo6[[#Headers],[R4]]&amp;"]")),"60 DNC")</f>
        <v>5</v>
      </c>
      <c r="J66" s="19" t="str" cm="1">
        <f t="array" aca="1" ref="J66" ca="1">IFERROR(_xlfn.XLOOKUP(Selectivo6[[#This Row],[DNI]],S_S[DNI],INDIRECT("S_S["&amp;Selectivo6[[#Headers],[R5]]&amp;"]")),"60 DNC")</f>
        <v>14</v>
      </c>
      <c r="K66" s="19" t="str" cm="1">
        <f t="array" aca="1" ref="K66" ca="1">IFERROR(_xlfn.XLOOKUP(Selectivo6[[#This Row],[DNI]],S_S[DNI],INDIRECT("S_S["&amp;Selectivo6[[#Headers],[R6]]&amp;"]")),"60 DNC")</f>
        <v>24</v>
      </c>
      <c r="L66" s="19" t="str" cm="1">
        <f t="array" aca="1" ref="L66" ca="1">IFERROR(_xlfn.XLOOKUP(Selectivo6[[#This Row],[DNI]],S_S[DNI],INDIRECT("S_S["&amp;Selectivo6[[#Headers],[R7]]&amp;"]")),"60 DNC")</f>
        <v>24</v>
      </c>
      <c r="M66" s="20" t="str" cm="1">
        <f t="array" aca="1" ref="M66" ca="1">IFERROR(_xlfn.XLOOKUP(Selectivo6[[#This Row],[DNI]],S_S[DNI],INDIRECT("S_S["&amp;Selectivo6[[#Headers],[R8]]&amp;"]")),"60 DNC")</f>
        <v>33</v>
      </c>
      <c r="N66" s="19" t="str" cm="1">
        <f t="array" aca="1" ref="N66" ca="1">IFERROR(_xlfn.XLOOKUP(Selectivo6[[#This Row],[DNI]],S_S[DNI],INDIRECT("S_S["&amp;Selectivo6[[#Headers],[R9]]&amp;"]")),"60 DNC")</f>
        <v>17</v>
      </c>
      <c r="O66" s="19" t="str">
        <f>IFERROR(_xlfn.XLOOKUP(Selectivo6[[#This Row],[DNI]],_VF2026[DNI],_VF2026[R1]),"65 DNC")</f>
        <v>20</v>
      </c>
      <c r="P66" s="19" t="str">
        <f>IFERROR(_xlfn.XLOOKUP(Selectivo6[[#This Row],[DNI]],_VF2026[DNI],_VF2026[R2]),"65 DNC")</f>
        <v>25</v>
      </c>
      <c r="Q66" s="19" t="str">
        <f>IFERROR(_xlfn.XLOOKUP(Selectivo6[[#This Row],[DNI]],_VF2026[DNI],_VF2026[R3]),"65 DNC")</f>
        <v>26</v>
      </c>
      <c r="R66" s="19" t="str">
        <f>IFERROR(_xlfn.XLOOKUP(Selectivo6[[#This Row],[DNI]],_VF2026[DNI],_VF2026[R4]),"65 DNC")</f>
        <v>18</v>
      </c>
      <c r="S66" s="19" t="str">
        <f>IFERROR(_xlfn.XLOOKUP(Selectivo6[[#This Row],[DNI]],_VF2026[DNI],_VF2026[R5]),"65 DNC")</f>
        <v>17</v>
      </c>
      <c r="T66" s="19" t="str">
        <f>IFERROR(_xlfn.XLOOKUP(Selectivo6[[#This Row],[DNI]],_VF2026[DNI],_VF2026[R6]),"65 DNC")</f>
        <v>3</v>
      </c>
      <c r="U66" s="19" t="str">
        <f>IFERROR(_xlfn.XLOOKUP(Selectivo6[[#This Row],[DNI]],_VF2026[DNI],_VF2026[R7]),"65 DNC")</f>
        <v>26</v>
      </c>
      <c r="V66" s="20" t="str">
        <f>IFERROR(_xlfn.XLOOKUP(Selectivo6[[#This Row],[DNI]],_VF2026[DNI],_VF2026[R8]),"65 DNC")</f>
        <v>65 BFD</v>
      </c>
      <c r="W66" s="19"/>
      <c r="X66" s="19"/>
      <c r="Y66" s="19"/>
      <c r="Z66" s="19"/>
      <c r="AA66" s="19"/>
      <c r="AB66" s="8" cm="1">
        <f t="array" aca="1" ref="AB66" ca="1">SUM(IFERROR(VALUE(LEFT(Regatas, FIND(" ",Regatas&amp; " ") - 1)), 0))</f>
        <v>381</v>
      </c>
      <c r="AC66" s="9" cm="1">
        <f t="array" aca="1" ref="AC6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283</v>
      </c>
      <c r="AD66" s="6" cm="1">
        <f t="array" aca="1" ref="AD66" ca="1">SMALL(_xlfn._xlws.FILTER(RegatasN, RegatasN&lt;&gt;0), 1)</f>
        <v>3</v>
      </c>
      <c r="AE66" s="6" cm="1">
        <f t="array" aca="1" ref="AE66" ca="1">SMALL(_xlfn._xlws.FILTER(RegatasN, RegatasN&lt;&gt;0), 2)</f>
        <v>5</v>
      </c>
      <c r="AF66" s="6" cm="1">
        <f t="array" aca="1" ref="AF66" ca="1">SMALL(_xlfn._xlws.FILTER(RegatasN, RegatasN&lt;&gt;0), 3)</f>
        <v>14</v>
      </c>
      <c r="AG66" s="5" cm="1">
        <f t="array" aca="1" ref="AG66" ca="1">COUNTIF(Regatas,SMALL(_xlfn._xlws.FILTER(RegatasN, RegatasN&lt;&gt;0), 1))</f>
        <v>1</v>
      </c>
      <c r="AH66" s="6" t="e" cm="1">
        <f t="array" ref="AH6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7" spans="1:34">
      <c r="A67">
        <v>50899423</v>
      </c>
      <c r="B67" s="10">
        <f>ROW()-ROW(Selectivo6[[#Headers],[Pos]])</f>
        <v>61</v>
      </c>
      <c r="C67" s="5">
        <v>3953</v>
      </c>
      <c r="D67" t="s">
        <v>298</v>
      </c>
      <c r="E67" t="s">
        <v>31</v>
      </c>
      <c r="F67" s="19" t="str" cm="1">
        <f t="array" aca="1" ref="F67" ca="1">IFERROR(_xlfn.XLOOKUP(Selectivo6[[#This Row],[DNI]],S_S[DNI],INDIRECT("S_S["&amp;Selectivo6[[#Headers],[R1]]&amp;"]")),"60 DNC")</f>
        <v>25</v>
      </c>
      <c r="G67" s="19" t="str" cm="1">
        <f t="array" aca="1" ref="G67" ca="1">IFERROR(_xlfn.XLOOKUP(Selectivo6[[#This Row],[DNI]],S_S[DNI],INDIRECT("S_S["&amp;Selectivo6[[#Headers],[R2]]&amp;"]")),"60 DNC")</f>
        <v>20</v>
      </c>
      <c r="H67" s="19" t="str" cm="1">
        <f t="array" aca="1" ref="H67" ca="1">IFERROR(_xlfn.XLOOKUP(Selectivo6[[#This Row],[DNI]],S_S[DNI],INDIRECT("S_S["&amp;Selectivo6[[#Headers],[R3]]&amp;"]")),"60 DNC")</f>
        <v>30</v>
      </c>
      <c r="I67" s="20" t="str" cm="1">
        <f t="array" aca="1" ref="I67" ca="1">IFERROR(_xlfn.XLOOKUP(Selectivo6[[#This Row],[DNI]],S_S[DNI],INDIRECT("S_S["&amp;Selectivo6[[#Headers],[R4]]&amp;"]")),"60 DNC")</f>
        <v>37</v>
      </c>
      <c r="J67" s="19" t="str" cm="1">
        <f t="array" aca="1" ref="J67" ca="1">IFERROR(_xlfn.XLOOKUP(Selectivo6[[#This Row],[DNI]],S_S[DNI],INDIRECT("S_S["&amp;Selectivo6[[#Headers],[R5]]&amp;"]")),"60 DNC")</f>
        <v>20</v>
      </c>
      <c r="K67" s="19" t="str" cm="1">
        <f t="array" aca="1" ref="K67" ca="1">IFERROR(_xlfn.XLOOKUP(Selectivo6[[#This Row],[DNI]],S_S[DNI],INDIRECT("S_S["&amp;Selectivo6[[#Headers],[R6]]&amp;"]")),"60 DNC")</f>
        <v>9</v>
      </c>
      <c r="L67" s="19" t="str" cm="1">
        <f t="array" aca="1" ref="L67" ca="1">IFERROR(_xlfn.XLOOKUP(Selectivo6[[#This Row],[DNI]],S_S[DNI],INDIRECT("S_S["&amp;Selectivo6[[#Headers],[R7]]&amp;"]")),"60 DNC")</f>
        <v>21</v>
      </c>
      <c r="M67" s="19" t="str" cm="1">
        <f t="array" aca="1" ref="M67" ca="1">IFERROR(_xlfn.XLOOKUP(Selectivo6[[#This Row],[DNI]],S_S[DNI],INDIRECT("S_S["&amp;Selectivo6[[#Headers],[R8]]&amp;"]")),"60 DNC")</f>
        <v>6</v>
      </c>
      <c r="N67" s="19" t="str" cm="1">
        <f t="array" aca="1" ref="N67" ca="1">IFERROR(_xlfn.XLOOKUP(Selectivo6[[#This Row],[DNI]],S_S[DNI],INDIRECT("S_S["&amp;Selectivo6[[#Headers],[R9]]&amp;"]")),"60 DNC")</f>
        <v>14</v>
      </c>
      <c r="O67" s="19" t="str">
        <f>IFERROR(_xlfn.XLOOKUP(Selectivo6[[#This Row],[DNI]],_VF2026[DNI],_VF2026[R1]),"65 DNC")</f>
        <v>27</v>
      </c>
      <c r="P67" s="19" t="str">
        <f>IFERROR(_xlfn.XLOOKUP(Selectivo6[[#This Row],[DNI]],_VF2026[DNI],_VF2026[R2]),"65 DNC")</f>
        <v>32</v>
      </c>
      <c r="Q67" s="20" t="str">
        <f>IFERROR(_xlfn.XLOOKUP(Selectivo6[[#This Row],[DNI]],_VF2026[DNI],_VF2026[R3]),"65 DNC")</f>
        <v>42</v>
      </c>
      <c r="R67" s="19" t="str">
        <f>IFERROR(_xlfn.XLOOKUP(Selectivo6[[#This Row],[DNI]],_VF2026[DNI],_VF2026[R4]),"65 DNC")</f>
        <v>28</v>
      </c>
      <c r="S67" s="19" t="str">
        <f>IFERROR(_xlfn.XLOOKUP(Selectivo6[[#This Row],[DNI]],_VF2026[DNI],_VF2026[R5]),"65 DNC")</f>
        <v>12</v>
      </c>
      <c r="T67" s="19" t="str">
        <f>IFERROR(_xlfn.XLOOKUP(Selectivo6[[#This Row],[DNI]],_VF2026[DNI],_VF2026[R6]),"65 DNC")</f>
        <v>24</v>
      </c>
      <c r="U67" s="19" t="str">
        <f>IFERROR(_xlfn.XLOOKUP(Selectivo6[[#This Row],[DNI]],_VF2026[DNI],_VF2026[R7]),"65 DNC")</f>
        <v>14</v>
      </c>
      <c r="V67" s="19" t="str">
        <f>IFERROR(_xlfn.XLOOKUP(Selectivo6[[#This Row],[DNI]],_VF2026[DNI],_VF2026[R8]),"65 DNC")</f>
        <v>12</v>
      </c>
      <c r="W67" s="19"/>
      <c r="X67" s="19"/>
      <c r="Y67" s="19"/>
      <c r="Z67" s="19"/>
      <c r="AA67" s="19"/>
      <c r="AB67" s="8" cm="1">
        <f t="array" aca="1" ref="AB67" ca="1">SUM(IFERROR(VALUE(LEFT(Regatas, FIND(" ",Regatas&amp; " ") - 1)), 0))</f>
        <v>373</v>
      </c>
      <c r="AC67" s="9" cm="1">
        <f t="array" aca="1" ref="AC6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294</v>
      </c>
      <c r="AD67" s="6" cm="1">
        <f t="array" aca="1" ref="AD67" ca="1">SMALL(_xlfn._xlws.FILTER(RegatasN, RegatasN&lt;&gt;0), 1)</f>
        <v>6</v>
      </c>
      <c r="AE67" s="6" cm="1">
        <f t="array" aca="1" ref="AE67" ca="1">SMALL(_xlfn._xlws.FILTER(RegatasN, RegatasN&lt;&gt;0), 2)</f>
        <v>9</v>
      </c>
      <c r="AF67" s="6" cm="1">
        <f t="array" aca="1" ref="AF67" ca="1">SMALL(_xlfn._xlws.FILTER(RegatasN, RegatasN&lt;&gt;0), 3)</f>
        <v>12</v>
      </c>
      <c r="AG67" s="5" cm="1">
        <f t="array" aca="1" ref="AG67" ca="1">COUNTIF(Regatas,SMALL(_xlfn._xlws.FILTER(RegatasN, RegatasN&lt;&gt;0), 1))</f>
        <v>1</v>
      </c>
      <c r="AH67" s="6" t="e" cm="1">
        <f t="array" ref="AH6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8" spans="1:34">
      <c r="A68">
        <v>52861772</v>
      </c>
      <c r="B68" s="10">
        <f>ROW()-ROW(Selectivo6[[#Headers],[Pos]])</f>
        <v>62</v>
      </c>
      <c r="C68" s="5">
        <v>3995</v>
      </c>
      <c r="D68" t="s">
        <v>360</v>
      </c>
      <c r="E68" t="s">
        <v>5</v>
      </c>
      <c r="F68" s="19" t="str" cm="1">
        <f t="array" aca="1" ref="F68" ca="1">IFERROR(_xlfn.XLOOKUP(Selectivo6[[#This Row],[DNI]],S_S[DNI],INDIRECT("S_S["&amp;Selectivo6[[#Headers],[R1]]&amp;"]")),"60 DNC")</f>
        <v>17</v>
      </c>
      <c r="G68" s="19" t="str" cm="1">
        <f t="array" aca="1" ref="G68" ca="1">IFERROR(_xlfn.XLOOKUP(Selectivo6[[#This Row],[DNI]],S_S[DNI],INDIRECT("S_S["&amp;Selectivo6[[#Headers],[R2]]&amp;"]")),"60 DNC")</f>
        <v>31</v>
      </c>
      <c r="H68" s="19" t="str" cm="1">
        <f t="array" aca="1" ref="H68" ca="1">IFERROR(_xlfn.XLOOKUP(Selectivo6[[#This Row],[DNI]],S_S[DNI],INDIRECT("S_S["&amp;Selectivo6[[#Headers],[R3]]&amp;"]")),"60 DNC")</f>
        <v>24</v>
      </c>
      <c r="I68" s="19" t="str" cm="1">
        <f t="array" aca="1" ref="I68" ca="1">IFERROR(_xlfn.XLOOKUP(Selectivo6[[#This Row],[DNI]],S_S[DNI],INDIRECT("S_S["&amp;Selectivo6[[#Headers],[R4]]&amp;"]")),"60 DNC")</f>
        <v>13</v>
      </c>
      <c r="J68" s="20" t="str" cm="1">
        <f t="array" aca="1" ref="J68" ca="1">IFERROR(_xlfn.XLOOKUP(Selectivo6[[#This Row],[DNI]],S_S[DNI],INDIRECT("S_S["&amp;Selectivo6[[#Headers],[R5]]&amp;"]")),"60 DNC")</f>
        <v>36</v>
      </c>
      <c r="K68" s="19" t="str" cm="1">
        <f t="array" aca="1" ref="K68" ca="1">IFERROR(_xlfn.XLOOKUP(Selectivo6[[#This Row],[DNI]],S_S[DNI],INDIRECT("S_S["&amp;Selectivo6[[#Headers],[R6]]&amp;"]")),"60 DNC")</f>
        <v>18</v>
      </c>
      <c r="L68" s="19" t="str" cm="1">
        <f t="array" aca="1" ref="L68" ca="1">IFERROR(_xlfn.XLOOKUP(Selectivo6[[#This Row],[DNI]],S_S[DNI],INDIRECT("S_S["&amp;Selectivo6[[#Headers],[R7]]&amp;"]")),"60 DNC")</f>
        <v>29</v>
      </c>
      <c r="M68" s="19" t="str" cm="1">
        <f t="array" aca="1" ref="M68" ca="1">IFERROR(_xlfn.XLOOKUP(Selectivo6[[#This Row],[DNI]],S_S[DNI],INDIRECT("S_S["&amp;Selectivo6[[#Headers],[R8]]&amp;"]")),"60 DNC")</f>
        <v>20</v>
      </c>
      <c r="N68" s="20" t="str" cm="1">
        <f t="array" aca="1" ref="N68" ca="1">IFERROR(_xlfn.XLOOKUP(Selectivo6[[#This Row],[DNI]],S_S[DNI],INDIRECT("S_S["&amp;Selectivo6[[#Headers],[R9]]&amp;"]")),"60 DNC")</f>
        <v>35</v>
      </c>
      <c r="O68" s="19" t="str">
        <f>IFERROR(_xlfn.XLOOKUP(Selectivo6[[#This Row],[DNI]],_VF2026[DNI],_VF2026[R1]),"65 DNC")</f>
        <v>17</v>
      </c>
      <c r="P68" s="19" t="str">
        <f>IFERROR(_xlfn.XLOOKUP(Selectivo6[[#This Row],[DNI]],_VF2026[DNI],_VF2026[R2]),"65 DNC")</f>
        <v>27</v>
      </c>
      <c r="Q68" s="19" t="str">
        <f>IFERROR(_xlfn.XLOOKUP(Selectivo6[[#This Row],[DNI]],_VF2026[DNI],_VF2026[R3]),"65 DNC")</f>
        <v>32</v>
      </c>
      <c r="R68" s="19" t="str">
        <f>IFERROR(_xlfn.XLOOKUP(Selectivo6[[#This Row],[DNI]],_VF2026[DNI],_VF2026[R4]),"65 DNC")</f>
        <v>15</v>
      </c>
      <c r="S68" s="19" t="str">
        <f>IFERROR(_xlfn.XLOOKUP(Selectivo6[[#This Row],[DNI]],_VF2026[DNI],_VF2026[R5]),"65 DNC")</f>
        <v>21</v>
      </c>
      <c r="T68" s="19" t="str">
        <f>IFERROR(_xlfn.XLOOKUP(Selectivo6[[#This Row],[DNI]],_VF2026[DNI],_VF2026[R6]),"65 DNC")</f>
        <v>11</v>
      </c>
      <c r="U68" s="19" t="str">
        <f>IFERROR(_xlfn.XLOOKUP(Selectivo6[[#This Row],[DNI]],_VF2026[DNI],_VF2026[R7]),"65 DNC")</f>
        <v>19</v>
      </c>
      <c r="V68" s="19" t="str">
        <f>IFERROR(_xlfn.XLOOKUP(Selectivo6[[#This Row],[DNI]],_VF2026[DNI],_VF2026[R8]),"65 DNC")</f>
        <v>4</v>
      </c>
      <c r="W68" s="19"/>
      <c r="X68" s="19"/>
      <c r="Y68" s="19"/>
      <c r="Z68" s="19"/>
      <c r="AA68" s="19"/>
      <c r="AB68" s="8" cm="1">
        <f t="array" aca="1" ref="AB68" ca="1">SUM(IFERROR(VALUE(LEFT(Regatas, FIND(" ",Regatas&amp; " ") - 1)), 0))</f>
        <v>369</v>
      </c>
      <c r="AC68" s="9" cm="1">
        <f t="array" aca="1" ref="AC6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298</v>
      </c>
      <c r="AD68" s="6" cm="1">
        <f t="array" aca="1" ref="AD68" ca="1">SMALL(_xlfn._xlws.FILTER(RegatasN, RegatasN&lt;&gt;0), 1)</f>
        <v>4</v>
      </c>
      <c r="AE68" s="6" cm="1">
        <f t="array" aca="1" ref="AE68" ca="1">SMALL(_xlfn._xlws.FILTER(RegatasN, RegatasN&lt;&gt;0), 2)</f>
        <v>11</v>
      </c>
      <c r="AF68" s="6" cm="1">
        <f t="array" aca="1" ref="AF68" ca="1">SMALL(_xlfn._xlws.FILTER(RegatasN, RegatasN&lt;&gt;0), 3)</f>
        <v>13</v>
      </c>
      <c r="AG68" s="5" cm="1">
        <f t="array" aca="1" ref="AG68" ca="1">COUNTIF(Regatas,SMALL(_xlfn._xlws.FILTER(RegatasN, RegatasN&lt;&gt;0), 1))</f>
        <v>1</v>
      </c>
      <c r="AH68" s="6" t="e" cm="1">
        <f t="array" ref="AH6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69" spans="1:34">
      <c r="A69">
        <v>53083955</v>
      </c>
      <c r="B69" s="10">
        <f>ROW()-ROW(Selectivo6[[#Headers],[Pos]])</f>
        <v>63</v>
      </c>
      <c r="C69" s="5">
        <v>3872</v>
      </c>
      <c r="D69" t="s">
        <v>275</v>
      </c>
      <c r="E69" t="s">
        <v>5</v>
      </c>
      <c r="F69" s="19" t="str" cm="1">
        <f t="array" aca="1" ref="F69" ca="1">IFERROR(_xlfn.XLOOKUP(Selectivo6[[#This Row],[DNI]],S_S[DNI],INDIRECT("S_S["&amp;Selectivo6[[#Headers],[R1]]&amp;"]")),"60 DNC")</f>
        <v>18</v>
      </c>
      <c r="G69" s="19" t="str" cm="1">
        <f t="array" aca="1" ref="G69" ca="1">IFERROR(_xlfn.XLOOKUP(Selectivo6[[#This Row],[DNI]],S_S[DNI],INDIRECT("S_S["&amp;Selectivo6[[#Headers],[R2]]&amp;"]")),"60 DNC")</f>
        <v>32</v>
      </c>
      <c r="H69" s="19" t="str" cm="1">
        <f t="array" aca="1" ref="H69" ca="1">IFERROR(_xlfn.XLOOKUP(Selectivo6[[#This Row],[DNI]],S_S[DNI],INDIRECT("S_S["&amp;Selectivo6[[#Headers],[R3]]&amp;"]")),"60 DNC")</f>
        <v>16</v>
      </c>
      <c r="I69" s="19" t="str" cm="1">
        <f t="array" aca="1" ref="I69" ca="1">IFERROR(_xlfn.XLOOKUP(Selectivo6[[#This Row],[DNI]],S_S[DNI],INDIRECT("S_S["&amp;Selectivo6[[#Headers],[R4]]&amp;"]")),"60 DNC")</f>
        <v>16</v>
      </c>
      <c r="J69" s="19" t="str" cm="1">
        <f t="array" aca="1" ref="J69" ca="1">IFERROR(_xlfn.XLOOKUP(Selectivo6[[#This Row],[DNI]],S_S[DNI],INDIRECT("S_S["&amp;Selectivo6[[#Headers],[R5]]&amp;"]")),"60 DNC")</f>
        <v>6</v>
      </c>
      <c r="K69" s="19" t="str" cm="1">
        <f t="array" aca="1" ref="K69" ca="1">IFERROR(_xlfn.XLOOKUP(Selectivo6[[#This Row],[DNI]],S_S[DNI],INDIRECT("S_S["&amp;Selectivo6[[#Headers],[R6]]&amp;"]")),"60 DNC")</f>
        <v>17</v>
      </c>
      <c r="L69" s="19" t="str" cm="1">
        <f t="array" aca="1" ref="L69" ca="1">IFERROR(_xlfn.XLOOKUP(Selectivo6[[#This Row],[DNI]],S_S[DNI],INDIRECT("S_S["&amp;Selectivo6[[#Headers],[R7]]&amp;"]")),"60 DNC")</f>
        <v>15</v>
      </c>
      <c r="M69" s="19" t="str" cm="1">
        <f t="array" aca="1" ref="M69" ca="1">IFERROR(_xlfn.XLOOKUP(Selectivo6[[#This Row],[DNI]],S_S[DNI],INDIRECT("S_S["&amp;Selectivo6[[#Headers],[R8]]&amp;"]")),"60 DNC")</f>
        <v>12</v>
      </c>
      <c r="N69" s="19" t="str" cm="1">
        <f t="array" aca="1" ref="N69" ca="1">IFERROR(_xlfn.XLOOKUP(Selectivo6[[#This Row],[DNI]],S_S[DNI],INDIRECT("S_S["&amp;Selectivo6[[#Headers],[R9]]&amp;"]")),"60 DNC")</f>
        <v>23</v>
      </c>
      <c r="O69" s="19" t="str">
        <f>IFERROR(_xlfn.XLOOKUP(Selectivo6[[#This Row],[DNI]],_VF2026[DNI],_VF2026[R1]),"65 DNC")</f>
        <v>29</v>
      </c>
      <c r="P69" s="19" t="str">
        <f>IFERROR(_xlfn.XLOOKUP(Selectivo6[[#This Row],[DNI]],_VF2026[DNI],_VF2026[R2]),"65 DNC")</f>
        <v>29</v>
      </c>
      <c r="Q69" s="19" t="str">
        <f>IFERROR(_xlfn.XLOOKUP(Selectivo6[[#This Row],[DNI]],_VF2026[DNI],_VF2026[R3]),"65 DNC")</f>
        <v>20</v>
      </c>
      <c r="R69" s="20" t="str">
        <f>IFERROR(_xlfn.XLOOKUP(Selectivo6[[#This Row],[DNI]],_VF2026[DNI],_VF2026[R4]),"65 DNC")</f>
        <v>49</v>
      </c>
      <c r="S69" s="20" t="str">
        <f>IFERROR(_xlfn.XLOOKUP(Selectivo6[[#This Row],[DNI]],_VF2026[DNI],_VF2026[R5]),"65 DNC")</f>
        <v>38</v>
      </c>
      <c r="T69" s="19" t="str">
        <f>IFERROR(_xlfn.XLOOKUP(Selectivo6[[#This Row],[DNI]],_VF2026[DNI],_VF2026[R6]),"65 DNC")</f>
        <v>31</v>
      </c>
      <c r="U69" s="19" t="str">
        <f>IFERROR(_xlfn.XLOOKUP(Selectivo6[[#This Row],[DNI]],_VF2026[DNI],_VF2026[R7]),"65 DNC")</f>
        <v>21</v>
      </c>
      <c r="V69" s="19" t="str">
        <f>IFERROR(_xlfn.XLOOKUP(Selectivo6[[#This Row],[DNI]],_VF2026[DNI],_VF2026[R8]),"65 DNC")</f>
        <v>20</v>
      </c>
      <c r="W69" s="19"/>
      <c r="X69" s="19"/>
      <c r="Y69" s="19"/>
      <c r="Z69" s="19"/>
      <c r="AA69" s="19"/>
      <c r="AB69" s="8" cm="1">
        <f t="array" aca="1" ref="AB69" ca="1">SUM(IFERROR(VALUE(LEFT(Regatas, FIND(" ",Regatas&amp; " ") - 1)), 0))</f>
        <v>392</v>
      </c>
      <c r="AC69" s="9" cm="1">
        <f t="array" aca="1" ref="AC6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305</v>
      </c>
      <c r="AD69" s="6" cm="1">
        <f t="array" aca="1" ref="AD69" ca="1">SMALL(_xlfn._xlws.FILTER(RegatasN, RegatasN&lt;&gt;0), 1)</f>
        <v>6</v>
      </c>
      <c r="AE69" s="6" cm="1">
        <f t="array" aca="1" ref="AE69" ca="1">SMALL(_xlfn._xlws.FILTER(RegatasN, RegatasN&lt;&gt;0), 2)</f>
        <v>12</v>
      </c>
      <c r="AF69" s="6" cm="1">
        <f t="array" aca="1" ref="AF69" ca="1">SMALL(_xlfn._xlws.FILTER(RegatasN, RegatasN&lt;&gt;0), 3)</f>
        <v>15</v>
      </c>
      <c r="AG69" s="5" cm="1">
        <f t="array" aca="1" ref="AG69" ca="1">COUNTIF(Regatas,SMALL(_xlfn._xlws.FILTER(RegatasN, RegatasN&lt;&gt;0), 1))</f>
        <v>1</v>
      </c>
      <c r="AH69" s="6" t="e" cm="1">
        <f t="array" ref="AH6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0" spans="1:34">
      <c r="A70">
        <v>52762420</v>
      </c>
      <c r="B70" s="10">
        <f>ROW()-ROW(Selectivo6[[#Headers],[Pos]])</f>
        <v>64</v>
      </c>
      <c r="C70" s="5">
        <v>4261</v>
      </c>
      <c r="D70" t="s">
        <v>301</v>
      </c>
      <c r="E70" t="s">
        <v>39</v>
      </c>
      <c r="F70" s="19" t="str" cm="1">
        <f t="array" aca="1" ref="F70" ca="1">IFERROR(_xlfn.XLOOKUP(Selectivo6[[#This Row],[DNI]],S_S[DNI],INDIRECT("S_S["&amp;Selectivo6[[#Headers],[R1]]&amp;"]")),"60 DNC")</f>
        <v>12</v>
      </c>
      <c r="G70" s="19" t="str" cm="1">
        <f t="array" aca="1" ref="G70" ca="1">IFERROR(_xlfn.XLOOKUP(Selectivo6[[#This Row],[DNI]],S_S[DNI],INDIRECT("S_S["&amp;Selectivo6[[#Headers],[R2]]&amp;"]")),"60 DNC")</f>
        <v>21</v>
      </c>
      <c r="H70" s="19" t="str" cm="1">
        <f t="array" aca="1" ref="H70" ca="1">IFERROR(_xlfn.XLOOKUP(Selectivo6[[#This Row],[DNI]],S_S[DNI],INDIRECT("S_S["&amp;Selectivo6[[#Headers],[R3]]&amp;"]")),"60 DNC")</f>
        <v>17</v>
      </c>
      <c r="I70" s="20" t="str" cm="1">
        <f t="array" aca="1" ref="I70" ca="1">IFERROR(_xlfn.XLOOKUP(Selectivo6[[#This Row],[DNI]],S_S[DNI],INDIRECT("S_S["&amp;Selectivo6[[#Headers],[R4]]&amp;"]")),"60 DNC")</f>
        <v>60 BFD</v>
      </c>
      <c r="J70" s="19" t="str" cm="1">
        <f t="array" aca="1" ref="J70" ca="1">IFERROR(_xlfn.XLOOKUP(Selectivo6[[#This Row],[DNI]],S_S[DNI],INDIRECT("S_S["&amp;Selectivo6[[#Headers],[R5]]&amp;"]")),"60 DNC")</f>
        <v>24</v>
      </c>
      <c r="K70" s="19" t="str" cm="1">
        <f t="array" aca="1" ref="K70" ca="1">IFERROR(_xlfn.XLOOKUP(Selectivo6[[#This Row],[DNI]],S_S[DNI],INDIRECT("S_S["&amp;Selectivo6[[#Headers],[R6]]&amp;"]")),"60 DNC")</f>
        <v>12</v>
      </c>
      <c r="L70" s="19" t="str" cm="1">
        <f t="array" aca="1" ref="L70" ca="1">IFERROR(_xlfn.XLOOKUP(Selectivo6[[#This Row],[DNI]],S_S[DNI],INDIRECT("S_S["&amp;Selectivo6[[#Headers],[R7]]&amp;"]")),"60 DNC")</f>
        <v>26</v>
      </c>
      <c r="M70" s="19" t="str" cm="1">
        <f t="array" aca="1" ref="M70" ca="1">IFERROR(_xlfn.XLOOKUP(Selectivo6[[#This Row],[DNI]],S_S[DNI],INDIRECT("S_S["&amp;Selectivo6[[#Headers],[R8]]&amp;"]")),"60 DNC")</f>
        <v>20</v>
      </c>
      <c r="N70" s="19" t="str" cm="1">
        <f t="array" aca="1" ref="N70" ca="1">IFERROR(_xlfn.XLOOKUP(Selectivo6[[#This Row],[DNI]],S_S[DNI],INDIRECT("S_S["&amp;Selectivo6[[#Headers],[R9]]&amp;"]")),"60 DNC")</f>
        <v>15</v>
      </c>
      <c r="O70" s="19" t="str">
        <f>IFERROR(_xlfn.XLOOKUP(Selectivo6[[#This Row],[DNI]],_VF2026[DNI],_VF2026[R1]),"65 DNC")</f>
        <v>20</v>
      </c>
      <c r="P70" s="19" t="str">
        <f>IFERROR(_xlfn.XLOOKUP(Selectivo6[[#This Row],[DNI]],_VF2026[DNI],_VF2026[R2]),"65 DNC")</f>
        <v>21</v>
      </c>
      <c r="Q70" s="19" t="str">
        <f>IFERROR(_xlfn.XLOOKUP(Selectivo6[[#This Row],[DNI]],_VF2026[DNI],_VF2026[R3]),"65 DNC")</f>
        <v>23</v>
      </c>
      <c r="R70" s="19" t="str">
        <f>IFERROR(_xlfn.XLOOKUP(Selectivo6[[#This Row],[DNI]],_VF2026[DNI],_VF2026[R4]),"65 DNC")</f>
        <v>21</v>
      </c>
      <c r="S70" s="19" t="str">
        <f>IFERROR(_xlfn.XLOOKUP(Selectivo6[[#This Row],[DNI]],_VF2026[DNI],_VF2026[R5]),"65 DNC")</f>
        <v>31</v>
      </c>
      <c r="T70" s="19" t="str">
        <f>IFERROR(_xlfn.XLOOKUP(Selectivo6[[#This Row],[DNI]],_VF2026[DNI],_VF2026[R6]),"65 DNC")</f>
        <v>42</v>
      </c>
      <c r="U70" s="20" t="str">
        <f>IFERROR(_xlfn.XLOOKUP(Selectivo6[[#This Row],[DNI]],_VF2026[DNI],_VF2026[R7]),"65 DNC")</f>
        <v>65 BFD</v>
      </c>
      <c r="V70" s="19" t="str">
        <f>IFERROR(_xlfn.XLOOKUP(Selectivo6[[#This Row],[DNI]],_VF2026[DNI],_VF2026[R8]),"65 DNC")</f>
        <v>5</v>
      </c>
      <c r="W70" s="19"/>
      <c r="X70" s="19"/>
      <c r="Y70" s="19"/>
      <c r="Z70" s="19"/>
      <c r="AA70" s="19"/>
      <c r="AB70" s="8" cm="1">
        <f t="array" aca="1" ref="AB70" ca="1">SUM(IFERROR(VALUE(LEFT(Regatas, FIND(" ",Regatas&amp; " ") - 1)), 0))</f>
        <v>435</v>
      </c>
      <c r="AC70" s="9" cm="1">
        <f t="array" aca="1" ref="AC7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310</v>
      </c>
      <c r="AD70" s="6" cm="1">
        <f t="array" aca="1" ref="AD70" ca="1">SMALL(_xlfn._xlws.FILTER(RegatasN, RegatasN&lt;&gt;0), 1)</f>
        <v>5</v>
      </c>
      <c r="AE70" s="6" cm="1">
        <f t="array" aca="1" ref="AE70" ca="1">SMALL(_xlfn._xlws.FILTER(RegatasN, RegatasN&lt;&gt;0), 2)</f>
        <v>12</v>
      </c>
      <c r="AF70" s="6" cm="1">
        <f t="array" aca="1" ref="AF70" ca="1">SMALL(_xlfn._xlws.FILTER(RegatasN, RegatasN&lt;&gt;0), 3)</f>
        <v>12</v>
      </c>
      <c r="AG70" s="5" cm="1">
        <f t="array" aca="1" ref="AG70" ca="1">COUNTIF(Regatas,SMALL(_xlfn._xlws.FILTER(RegatasN, RegatasN&lt;&gt;0), 1))</f>
        <v>1</v>
      </c>
      <c r="AH70" s="6" t="e" cm="1">
        <f t="array" ref="AH7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1" spans="1:34">
      <c r="A71">
        <v>53586402</v>
      </c>
      <c r="B71" s="10">
        <f>ROW()-ROW(Selectivo6[[#Headers],[Pos]])</f>
        <v>65</v>
      </c>
      <c r="C71" s="5">
        <v>4244</v>
      </c>
      <c r="D71" t="s">
        <v>284</v>
      </c>
      <c r="E71" t="s">
        <v>22</v>
      </c>
      <c r="F71" s="19" t="str" cm="1">
        <f t="array" aca="1" ref="F71" ca="1">IFERROR(_xlfn.XLOOKUP(Selectivo6[[#This Row],[DNI]],S_S[DNI],INDIRECT("S_S["&amp;Selectivo6[[#Headers],[R1]]&amp;"]")),"60 DNC")</f>
        <v>16</v>
      </c>
      <c r="G71" s="19" t="str" cm="1">
        <f t="array" aca="1" ref="G71" ca="1">IFERROR(_xlfn.XLOOKUP(Selectivo6[[#This Row],[DNI]],S_S[DNI],INDIRECT("S_S["&amp;Selectivo6[[#Headers],[R2]]&amp;"]")),"60 DNC")</f>
        <v>16</v>
      </c>
      <c r="H71" s="19" t="str" cm="1">
        <f t="array" aca="1" ref="H71" ca="1">IFERROR(_xlfn.XLOOKUP(Selectivo6[[#This Row],[DNI]],S_S[DNI],INDIRECT("S_S["&amp;Selectivo6[[#Headers],[R3]]&amp;"]")),"60 DNC")</f>
        <v>25</v>
      </c>
      <c r="I71" s="19" t="str" cm="1">
        <f t="array" aca="1" ref="I71" ca="1">IFERROR(_xlfn.XLOOKUP(Selectivo6[[#This Row],[DNI]],S_S[DNI],INDIRECT("S_S["&amp;Selectivo6[[#Headers],[R4]]&amp;"]")),"60 DNC")</f>
        <v>38</v>
      </c>
      <c r="J71" s="19" t="str" cm="1">
        <f t="array" aca="1" ref="J71" ca="1">IFERROR(_xlfn.XLOOKUP(Selectivo6[[#This Row],[DNI]],S_S[DNI],INDIRECT("S_S["&amp;Selectivo6[[#Headers],[R5]]&amp;"]")),"60 DNC")</f>
        <v>35</v>
      </c>
      <c r="K71" s="19" t="str" cm="1">
        <f t="array" aca="1" ref="K71" ca="1">IFERROR(_xlfn.XLOOKUP(Selectivo6[[#This Row],[DNI]],S_S[DNI],INDIRECT("S_S["&amp;Selectivo6[[#Headers],[R6]]&amp;"]")),"60 DNC")</f>
        <v>12</v>
      </c>
      <c r="L71" s="19" t="str" cm="1">
        <f t="array" aca="1" ref="L71" ca="1">IFERROR(_xlfn.XLOOKUP(Selectivo6[[#This Row],[DNI]],S_S[DNI],INDIRECT("S_S["&amp;Selectivo6[[#Headers],[R7]]&amp;"]")),"60 DNC")</f>
        <v>13</v>
      </c>
      <c r="M71" s="19" t="str" cm="1">
        <f t="array" aca="1" ref="M71" ca="1">IFERROR(_xlfn.XLOOKUP(Selectivo6[[#This Row],[DNI]],S_S[DNI],INDIRECT("S_S["&amp;Selectivo6[[#Headers],[R8]]&amp;"]")),"60 DNC")</f>
        <v>10</v>
      </c>
      <c r="N71" s="19" t="str" cm="1">
        <f t="array" aca="1" ref="N71" ca="1">IFERROR(_xlfn.XLOOKUP(Selectivo6[[#This Row],[DNI]],S_S[DNI],INDIRECT("S_S["&amp;Selectivo6[[#Headers],[R9]]&amp;"]")),"60 DNC")</f>
        <v>7</v>
      </c>
      <c r="O71" s="19" t="str">
        <f>IFERROR(_xlfn.XLOOKUP(Selectivo6[[#This Row],[DNI]],_VF2026[DNI],_VF2026[R1]),"65 DNC")</f>
        <v>18</v>
      </c>
      <c r="P71" s="19" t="str">
        <f>IFERROR(_xlfn.XLOOKUP(Selectivo6[[#This Row],[DNI]],_VF2026[DNI],_VF2026[R2]),"65 DNC")</f>
        <v>13</v>
      </c>
      <c r="Q71" s="20" t="str">
        <f>IFERROR(_xlfn.XLOOKUP(Selectivo6[[#This Row],[DNI]],_VF2026[DNI],_VF2026[R3]),"65 DNC")</f>
        <v>65 DSQ</v>
      </c>
      <c r="R71" s="19" t="str">
        <f>IFERROR(_xlfn.XLOOKUP(Selectivo6[[#This Row],[DNI]],_VF2026[DNI],_VF2026[R4]),"65 DNC")</f>
        <v>22</v>
      </c>
      <c r="S71" s="19" t="str">
        <f>IFERROR(_xlfn.XLOOKUP(Selectivo6[[#This Row],[DNI]],_VF2026[DNI],_VF2026[R5]),"65 DNC")</f>
        <v>23</v>
      </c>
      <c r="T71" s="19" t="str">
        <f>IFERROR(_xlfn.XLOOKUP(Selectivo6[[#This Row],[DNI]],_VF2026[DNI],_VF2026[R6]),"65 DNC")</f>
        <v>30</v>
      </c>
      <c r="U71" s="19" t="str">
        <f>IFERROR(_xlfn.XLOOKUP(Selectivo6[[#This Row],[DNI]],_VF2026[DNI],_VF2026[R7]),"65 DNC")</f>
        <v>34 SPb</v>
      </c>
      <c r="V71" s="20" t="str">
        <f>IFERROR(_xlfn.XLOOKUP(Selectivo6[[#This Row],[DNI]],_VF2026[DNI],_VF2026[R8]),"65 DNC")</f>
        <v>65 BFD</v>
      </c>
      <c r="W71" s="19"/>
      <c r="X71" s="19"/>
      <c r="Y71" s="19"/>
      <c r="Z71" s="19"/>
      <c r="AA71" s="19"/>
      <c r="AB71" s="8" cm="1">
        <f t="array" aca="1" ref="AB71" ca="1">SUM(IFERROR(VALUE(LEFT(Regatas, FIND(" ",Regatas&amp; " ") - 1)), 0))</f>
        <v>442</v>
      </c>
      <c r="AC71" s="9" cm="1">
        <f t="array" aca="1" ref="AC7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312</v>
      </c>
      <c r="AD71" s="6" cm="1">
        <f t="array" aca="1" ref="AD71" ca="1">SMALL(_xlfn._xlws.FILTER(RegatasN, RegatasN&lt;&gt;0), 1)</f>
        <v>7</v>
      </c>
      <c r="AE71" s="6" cm="1">
        <f t="array" aca="1" ref="AE71" ca="1">SMALL(_xlfn._xlws.FILTER(RegatasN, RegatasN&lt;&gt;0), 2)</f>
        <v>10</v>
      </c>
      <c r="AF71" s="6" cm="1">
        <f t="array" aca="1" ref="AF71" ca="1">SMALL(_xlfn._xlws.FILTER(RegatasN, RegatasN&lt;&gt;0), 3)</f>
        <v>12</v>
      </c>
      <c r="AG71" s="5" cm="1">
        <f t="array" aca="1" ref="AG71" ca="1">COUNTIF(Regatas,SMALL(_xlfn._xlws.FILTER(RegatasN, RegatasN&lt;&gt;0), 1))</f>
        <v>1</v>
      </c>
      <c r="AH71" s="6" t="e" cm="1">
        <f t="array" ref="AH7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2" spans="1:34">
      <c r="A72">
        <v>52786122</v>
      </c>
      <c r="B72" s="10">
        <f>ROW()-ROW(Selectivo6[[#Headers],[Pos]])</f>
        <v>66</v>
      </c>
      <c r="C72" s="5">
        <v>4099</v>
      </c>
      <c r="D72" t="s">
        <v>310</v>
      </c>
      <c r="E72" t="s">
        <v>16</v>
      </c>
      <c r="F72" s="19" t="str" cm="1">
        <f t="array" aca="1" ref="F72" ca="1">IFERROR(_xlfn.XLOOKUP(Selectivo6[[#This Row],[DNI]],S_S[DNI],INDIRECT("S_S["&amp;Selectivo6[[#Headers],[R1]]&amp;"]")),"60 DNC")</f>
        <v>27</v>
      </c>
      <c r="G72" s="20" t="str" cm="1">
        <f t="array" aca="1" ref="G72" ca="1">IFERROR(_xlfn.XLOOKUP(Selectivo6[[#This Row],[DNI]],S_S[DNI],INDIRECT("S_S["&amp;Selectivo6[[#Headers],[R2]]&amp;"]")),"60 DNC")</f>
        <v>41</v>
      </c>
      <c r="H72" s="19" t="str" cm="1">
        <f t="array" aca="1" ref="H72" ca="1">IFERROR(_xlfn.XLOOKUP(Selectivo6[[#This Row],[DNI]],S_S[DNI],INDIRECT("S_S["&amp;Selectivo6[[#Headers],[R3]]&amp;"]")),"60 DNC")</f>
        <v>27</v>
      </c>
      <c r="I72" s="19" t="str" cm="1">
        <f t="array" aca="1" ref="I72" ca="1">IFERROR(_xlfn.XLOOKUP(Selectivo6[[#This Row],[DNI]],S_S[DNI],INDIRECT("S_S["&amp;Selectivo6[[#Headers],[R4]]&amp;"]")),"60 DNC")</f>
        <v>21</v>
      </c>
      <c r="J72" s="19" t="str" cm="1">
        <f t="array" aca="1" ref="J72" ca="1">IFERROR(_xlfn.XLOOKUP(Selectivo6[[#This Row],[DNI]],S_S[DNI],INDIRECT("S_S["&amp;Selectivo6[[#Headers],[R5]]&amp;"]")),"60 DNC")</f>
        <v>19</v>
      </c>
      <c r="K72" s="19" t="str" cm="1">
        <f t="array" aca="1" ref="K72" ca="1">IFERROR(_xlfn.XLOOKUP(Selectivo6[[#This Row],[DNI]],S_S[DNI],INDIRECT("S_S["&amp;Selectivo6[[#Headers],[R6]]&amp;"]")),"60 DNC")</f>
        <v>18</v>
      </c>
      <c r="L72" s="19" t="str" cm="1">
        <f t="array" aca="1" ref="L72" ca="1">IFERROR(_xlfn.XLOOKUP(Selectivo6[[#This Row],[DNI]],S_S[DNI],INDIRECT("S_S["&amp;Selectivo6[[#Headers],[R7]]&amp;"]")),"60 DNC")</f>
        <v>16</v>
      </c>
      <c r="M72" s="19" t="str" cm="1">
        <f t="array" aca="1" ref="M72" ca="1">IFERROR(_xlfn.XLOOKUP(Selectivo6[[#This Row],[DNI]],S_S[DNI],INDIRECT("S_S["&amp;Selectivo6[[#Headers],[R8]]&amp;"]")),"60 DNC")</f>
        <v>14</v>
      </c>
      <c r="N72" s="19" t="str" cm="1">
        <f t="array" aca="1" ref="N72" ca="1">IFERROR(_xlfn.XLOOKUP(Selectivo6[[#This Row],[DNI]],S_S[DNI],INDIRECT("S_S["&amp;Selectivo6[[#Headers],[R9]]&amp;"]")),"60 DNC")</f>
        <v>14</v>
      </c>
      <c r="O72" s="19" t="str">
        <f>IFERROR(_xlfn.XLOOKUP(Selectivo6[[#This Row],[DNI]],_VF2026[DNI],_VF2026[R1]),"65 DNC")</f>
        <v>21</v>
      </c>
      <c r="P72" s="19" t="str">
        <f>IFERROR(_xlfn.XLOOKUP(Selectivo6[[#This Row],[DNI]],_VF2026[DNI],_VF2026[R2]),"65 DNC")</f>
        <v>19</v>
      </c>
      <c r="Q72" s="19" t="str">
        <f>IFERROR(_xlfn.XLOOKUP(Selectivo6[[#This Row],[DNI]],_VF2026[DNI],_VF2026[R3]),"65 DNC")</f>
        <v>24</v>
      </c>
      <c r="R72" s="19" t="str">
        <f>IFERROR(_xlfn.XLOOKUP(Selectivo6[[#This Row],[DNI]],_VF2026[DNI],_VF2026[R4]),"65 DNC")</f>
        <v>26</v>
      </c>
      <c r="S72" s="19" t="str">
        <f>IFERROR(_xlfn.XLOOKUP(Selectivo6[[#This Row],[DNI]],_VF2026[DNI],_VF2026[R5]),"65 DNC")</f>
        <v>20</v>
      </c>
      <c r="T72" s="19" t="str">
        <f>IFERROR(_xlfn.XLOOKUP(Selectivo6[[#This Row],[DNI]],_VF2026[DNI],_VF2026[R6]),"65 DNC")</f>
        <v>26</v>
      </c>
      <c r="U72" s="20" t="str">
        <f>IFERROR(_xlfn.XLOOKUP(Selectivo6[[#This Row],[DNI]],_VF2026[DNI],_VF2026[R7]),"65 DNC")</f>
        <v>30</v>
      </c>
      <c r="V72" s="19" t="str">
        <f>IFERROR(_xlfn.XLOOKUP(Selectivo6[[#This Row],[DNI]],_VF2026[DNI],_VF2026[R8]),"65 DNC")</f>
        <v>21</v>
      </c>
      <c r="W72" s="19"/>
      <c r="X72" s="19"/>
      <c r="Y72" s="19"/>
      <c r="Z72" s="19"/>
      <c r="AA72" s="19"/>
      <c r="AB72" s="8" cm="1">
        <f t="array" aca="1" ref="AB72" ca="1">SUM(IFERROR(VALUE(LEFT(Regatas, FIND(" ",Regatas&amp; " ") - 1)), 0))</f>
        <v>384</v>
      </c>
      <c r="AC72" s="9" cm="1">
        <f t="array" aca="1" ref="AC7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313</v>
      </c>
      <c r="AD72" s="6" cm="1">
        <f t="array" aca="1" ref="AD72" ca="1">SMALL(_xlfn._xlws.FILTER(RegatasN, RegatasN&lt;&gt;0), 1)</f>
        <v>14</v>
      </c>
      <c r="AE72" s="6" cm="1">
        <f t="array" aca="1" ref="AE72" ca="1">SMALL(_xlfn._xlws.FILTER(RegatasN, RegatasN&lt;&gt;0), 2)</f>
        <v>14</v>
      </c>
      <c r="AF72" s="6" cm="1">
        <f t="array" aca="1" ref="AF72" ca="1">SMALL(_xlfn._xlws.FILTER(RegatasN, RegatasN&lt;&gt;0), 3)</f>
        <v>16</v>
      </c>
      <c r="AG72" s="5" cm="1">
        <f t="array" aca="1" ref="AG72" ca="1">COUNTIF(Regatas,SMALL(_xlfn._xlws.FILTER(RegatasN, RegatasN&lt;&gt;0), 1))</f>
        <v>2</v>
      </c>
      <c r="AH72" s="6" t="e" cm="1">
        <f t="array" ref="AH7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3" spans="1:34">
      <c r="A73">
        <v>53218075</v>
      </c>
      <c r="B73" s="10">
        <f>ROW()-ROW(Selectivo6[[#Headers],[Pos]])</f>
        <v>67</v>
      </c>
      <c r="C73" s="5">
        <v>4175</v>
      </c>
      <c r="D73" t="s">
        <v>317</v>
      </c>
      <c r="E73" t="s">
        <v>11</v>
      </c>
      <c r="F73" s="20" t="str" cm="1">
        <f t="array" aca="1" ref="F73" ca="1">IFERROR(_xlfn.XLOOKUP(Selectivo6[[#This Row],[DNI]],S_S[DNI],INDIRECT("S_S["&amp;Selectivo6[[#Headers],[R1]]&amp;"]")),"60 DNC")</f>
        <v>60 BFD</v>
      </c>
      <c r="G73" s="19" t="str" cm="1">
        <f t="array" aca="1" ref="G73" ca="1">IFERROR(_xlfn.XLOOKUP(Selectivo6[[#This Row],[DNI]],S_S[DNI],INDIRECT("S_S["&amp;Selectivo6[[#Headers],[R2]]&amp;"]")),"60 DNC")</f>
        <v>13</v>
      </c>
      <c r="H73" s="19" t="str" cm="1">
        <f t="array" aca="1" ref="H73" ca="1">IFERROR(_xlfn.XLOOKUP(Selectivo6[[#This Row],[DNI]],S_S[DNI],INDIRECT("S_S["&amp;Selectivo6[[#Headers],[R3]]&amp;"]")),"60 DNC")</f>
        <v>29</v>
      </c>
      <c r="I73" s="19" t="str" cm="1">
        <f t="array" aca="1" ref="I73" ca="1">IFERROR(_xlfn.XLOOKUP(Selectivo6[[#This Row],[DNI]],S_S[DNI],INDIRECT("S_S["&amp;Selectivo6[[#Headers],[R4]]&amp;"]")),"60 DNC")</f>
        <v>3</v>
      </c>
      <c r="J73" s="19" t="str" cm="1">
        <f t="array" aca="1" ref="J73" ca="1">IFERROR(_xlfn.XLOOKUP(Selectivo6[[#This Row],[DNI]],S_S[DNI],INDIRECT("S_S["&amp;Selectivo6[[#Headers],[R5]]&amp;"]")),"60 DNC")</f>
        <v>32</v>
      </c>
      <c r="K73" s="19" t="str" cm="1">
        <f t="array" aca="1" ref="K73" ca="1">IFERROR(_xlfn.XLOOKUP(Selectivo6[[#This Row],[DNI]],S_S[DNI],INDIRECT("S_S["&amp;Selectivo6[[#Headers],[R6]]&amp;"]")),"60 DNC")</f>
        <v>5</v>
      </c>
      <c r="L73" s="19" t="str" cm="1">
        <f t="array" aca="1" ref="L73" ca="1">IFERROR(_xlfn.XLOOKUP(Selectivo6[[#This Row],[DNI]],S_S[DNI],INDIRECT("S_S["&amp;Selectivo6[[#Headers],[R7]]&amp;"]")),"60 DNC")</f>
        <v>12</v>
      </c>
      <c r="M73" s="19" t="str" cm="1">
        <f t="array" aca="1" ref="M73" ca="1">IFERROR(_xlfn.XLOOKUP(Selectivo6[[#This Row],[DNI]],S_S[DNI],INDIRECT("S_S["&amp;Selectivo6[[#Headers],[R8]]&amp;"]")),"60 DNC")</f>
        <v>30</v>
      </c>
      <c r="N73" s="19" t="str" cm="1">
        <f t="array" aca="1" ref="N73" ca="1">IFERROR(_xlfn.XLOOKUP(Selectivo6[[#This Row],[DNI]],S_S[DNI],INDIRECT("S_S["&amp;Selectivo6[[#Headers],[R9]]&amp;"]")),"60 DNC")</f>
        <v>34</v>
      </c>
      <c r="O73" s="19" t="str">
        <f>IFERROR(_xlfn.XLOOKUP(Selectivo6[[#This Row],[DNI]],_VF2026[DNI],_VF2026[R1]),"65 DNC")</f>
        <v>19</v>
      </c>
      <c r="P73" s="19" t="str">
        <f>IFERROR(_xlfn.XLOOKUP(Selectivo6[[#This Row],[DNI]],_VF2026[DNI],_VF2026[R2]),"65 DNC")</f>
        <v>24</v>
      </c>
      <c r="Q73" s="19" t="str">
        <f>IFERROR(_xlfn.XLOOKUP(Selectivo6[[#This Row],[DNI]],_VF2026[DNI],_VF2026[R3]),"65 DNC")</f>
        <v>22</v>
      </c>
      <c r="R73" s="20" t="str">
        <f>IFERROR(_xlfn.XLOOKUP(Selectivo6[[#This Row],[DNI]],_VF2026[DNI],_VF2026[R4]),"65 DNC")</f>
        <v>39</v>
      </c>
      <c r="S73" s="19" t="str">
        <f>IFERROR(_xlfn.XLOOKUP(Selectivo6[[#This Row],[DNI]],_VF2026[DNI],_VF2026[R5]),"65 DNC")</f>
        <v>30</v>
      </c>
      <c r="T73" s="19" t="str">
        <f>IFERROR(_xlfn.XLOOKUP(Selectivo6[[#This Row],[DNI]],_VF2026[DNI],_VF2026[R6]),"65 DNC")</f>
        <v>25</v>
      </c>
      <c r="U73" s="19" t="str">
        <f>IFERROR(_xlfn.XLOOKUP(Selectivo6[[#This Row],[DNI]],_VF2026[DNI],_VF2026[R7]),"65 DNC")</f>
        <v>24</v>
      </c>
      <c r="V73" s="19" t="str">
        <f>IFERROR(_xlfn.XLOOKUP(Selectivo6[[#This Row],[DNI]],_VF2026[DNI],_VF2026[R8]),"65 DNC")</f>
        <v>13</v>
      </c>
      <c r="W73" s="19"/>
      <c r="X73" s="19"/>
      <c r="Y73" s="19"/>
      <c r="Z73" s="19"/>
      <c r="AA73" s="19"/>
      <c r="AB73" s="8" cm="1">
        <f t="array" aca="1" ref="AB73" ca="1">SUM(IFERROR(VALUE(LEFT(Regatas, FIND(" ",Regatas&amp; " ") - 1)), 0))</f>
        <v>414</v>
      </c>
      <c r="AC73" s="9" cm="1">
        <f t="array" aca="1" ref="AC7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315</v>
      </c>
      <c r="AD73" s="6" cm="1">
        <f t="array" aca="1" ref="AD73" ca="1">SMALL(_xlfn._xlws.FILTER(RegatasN, RegatasN&lt;&gt;0), 1)</f>
        <v>3</v>
      </c>
      <c r="AE73" s="6" cm="1">
        <f t="array" aca="1" ref="AE73" ca="1">SMALL(_xlfn._xlws.FILTER(RegatasN, RegatasN&lt;&gt;0), 2)</f>
        <v>5</v>
      </c>
      <c r="AF73" s="6" cm="1">
        <f t="array" aca="1" ref="AF73" ca="1">SMALL(_xlfn._xlws.FILTER(RegatasN, RegatasN&lt;&gt;0), 3)</f>
        <v>12</v>
      </c>
      <c r="AG73" s="5" cm="1">
        <f t="array" aca="1" ref="AG73" ca="1">COUNTIF(Regatas,SMALL(_xlfn._xlws.FILTER(RegatasN, RegatasN&lt;&gt;0), 1))</f>
        <v>1</v>
      </c>
      <c r="AH73" s="6" t="e" cm="1">
        <f t="array" ref="AH7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4" spans="1:34">
      <c r="A74">
        <v>52099166</v>
      </c>
      <c r="B74" s="10">
        <f>ROW()-ROW(Selectivo6[[#Headers],[Pos]])</f>
        <v>68</v>
      </c>
      <c r="C74" s="5">
        <v>4289</v>
      </c>
      <c r="D74" t="s">
        <v>308</v>
      </c>
      <c r="E74" t="s">
        <v>23</v>
      </c>
      <c r="F74" s="19" t="str" cm="1">
        <f t="array" aca="1" ref="F74" ca="1">IFERROR(_xlfn.XLOOKUP(Selectivo6[[#This Row],[DNI]],S_S[DNI],INDIRECT("S_S["&amp;Selectivo6[[#Headers],[R1]]&amp;"]")),"60 DNC")</f>
        <v>18</v>
      </c>
      <c r="G74" s="19" t="str" cm="1">
        <f t="array" aca="1" ref="G74" ca="1">IFERROR(_xlfn.XLOOKUP(Selectivo6[[#This Row],[DNI]],S_S[DNI],INDIRECT("S_S["&amp;Selectivo6[[#Headers],[R2]]&amp;"]")),"60 DNC")</f>
        <v>17</v>
      </c>
      <c r="H74" s="19" t="str" cm="1">
        <f t="array" aca="1" ref="H74" ca="1">IFERROR(_xlfn.XLOOKUP(Selectivo6[[#This Row],[DNI]],S_S[DNI],INDIRECT("S_S["&amp;Selectivo6[[#Headers],[R3]]&amp;"]")),"60 DNC")</f>
        <v>18</v>
      </c>
      <c r="I74" s="20" t="str" cm="1">
        <f t="array" aca="1" ref="I74" ca="1">IFERROR(_xlfn.XLOOKUP(Selectivo6[[#This Row],[DNI]],S_S[DNI],INDIRECT("S_S["&amp;Selectivo6[[#Headers],[R4]]&amp;"]")),"60 DNC")</f>
        <v>40</v>
      </c>
      <c r="J74" s="19" t="str" cm="1">
        <f t="array" aca="1" ref="J74" ca="1">IFERROR(_xlfn.XLOOKUP(Selectivo6[[#This Row],[DNI]],S_S[DNI],INDIRECT("S_S["&amp;Selectivo6[[#Headers],[R5]]&amp;"]")),"60 DNC")</f>
        <v>23</v>
      </c>
      <c r="K74" s="19" t="str" cm="1">
        <f t="array" aca="1" ref="K74" ca="1">IFERROR(_xlfn.XLOOKUP(Selectivo6[[#This Row],[DNI]],S_S[DNI],INDIRECT("S_S["&amp;Selectivo6[[#Headers],[R6]]&amp;"]")),"60 DNC")</f>
        <v>35</v>
      </c>
      <c r="L74" s="19" t="str" cm="1">
        <f t="array" aca="1" ref="L74" ca="1">IFERROR(_xlfn.XLOOKUP(Selectivo6[[#This Row],[DNI]],S_S[DNI],INDIRECT("S_S["&amp;Selectivo6[[#Headers],[R7]]&amp;"]")),"60 DNC")</f>
        <v>6</v>
      </c>
      <c r="M74" s="19" t="str" cm="1">
        <f t="array" aca="1" ref="M74" ca="1">IFERROR(_xlfn.XLOOKUP(Selectivo6[[#This Row],[DNI]],S_S[DNI],INDIRECT("S_S["&amp;Selectivo6[[#Headers],[R8]]&amp;"]")),"60 DNC")</f>
        <v>15</v>
      </c>
      <c r="N74" s="19" t="str" cm="1">
        <f t="array" aca="1" ref="N74" ca="1">IFERROR(_xlfn.XLOOKUP(Selectivo6[[#This Row],[DNI]],S_S[DNI],INDIRECT("S_S["&amp;Selectivo6[[#Headers],[R9]]&amp;"]")),"60 DNC")</f>
        <v>20</v>
      </c>
      <c r="O74" s="19" t="str">
        <f>IFERROR(_xlfn.XLOOKUP(Selectivo6[[#This Row],[DNI]],_VF2026[DNI],_VF2026[R1]),"65 DNC")</f>
        <v>25</v>
      </c>
      <c r="P74" s="19" t="str">
        <f>IFERROR(_xlfn.XLOOKUP(Selectivo6[[#This Row],[DNI]],_VF2026[DNI],_VF2026[R2]),"65 DNC")</f>
        <v>28</v>
      </c>
      <c r="Q74" s="19" t="str">
        <f>IFERROR(_xlfn.XLOOKUP(Selectivo6[[#This Row],[DNI]],_VF2026[DNI],_VF2026[R3]),"65 DNC")</f>
        <v>17</v>
      </c>
      <c r="R74" s="19" t="str">
        <f>IFERROR(_xlfn.XLOOKUP(Selectivo6[[#This Row],[DNI]],_VF2026[DNI],_VF2026[R4]),"65 DNC")</f>
        <v>20</v>
      </c>
      <c r="S74" s="19" t="str">
        <f>IFERROR(_xlfn.XLOOKUP(Selectivo6[[#This Row],[DNI]],_VF2026[DNI],_VF2026[R5]),"65 DNC")</f>
        <v>23</v>
      </c>
      <c r="T74" s="19" t="str">
        <f>IFERROR(_xlfn.XLOOKUP(Selectivo6[[#This Row],[DNI]],_VF2026[DNI],_VF2026[R6]),"65 DNC")</f>
        <v>31</v>
      </c>
      <c r="U74" s="20" t="str">
        <f>IFERROR(_xlfn.XLOOKUP(Selectivo6[[#This Row],[DNI]],_VF2026[DNI],_VF2026[R7]),"65 DNC")</f>
        <v>65 BFD</v>
      </c>
      <c r="V74" s="19" t="str">
        <f>IFERROR(_xlfn.XLOOKUP(Selectivo6[[#This Row],[DNI]],_VF2026[DNI],_VF2026[R8]),"65 DNC")</f>
        <v>19</v>
      </c>
      <c r="W74" s="19"/>
      <c r="X74" s="19"/>
      <c r="Y74" s="19"/>
      <c r="Z74" s="19"/>
      <c r="AA74" s="19"/>
      <c r="AB74" s="8" cm="1">
        <f t="array" aca="1" ref="AB74" ca="1">SUM(IFERROR(VALUE(LEFT(Regatas, FIND(" ",Regatas&amp; " ") - 1)), 0))</f>
        <v>420</v>
      </c>
      <c r="AC74" s="9" cm="1">
        <f t="array" aca="1" ref="AC7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315</v>
      </c>
      <c r="AD74" s="6" cm="1">
        <f t="array" aca="1" ref="AD74" ca="1">SMALL(_xlfn._xlws.FILTER(RegatasN, RegatasN&lt;&gt;0), 1)</f>
        <v>6</v>
      </c>
      <c r="AE74" s="6" cm="1">
        <f t="array" aca="1" ref="AE74" ca="1">SMALL(_xlfn._xlws.FILTER(RegatasN, RegatasN&lt;&gt;0), 2)</f>
        <v>15</v>
      </c>
      <c r="AF74" s="6" cm="1">
        <f t="array" aca="1" ref="AF74" ca="1">SMALL(_xlfn._xlws.FILTER(RegatasN, RegatasN&lt;&gt;0), 3)</f>
        <v>17</v>
      </c>
      <c r="AG74" s="5" cm="1">
        <f t="array" aca="1" ref="AG74" ca="1">COUNTIF(Regatas,SMALL(_xlfn._xlws.FILTER(RegatasN, RegatasN&lt;&gt;0), 1))</f>
        <v>1</v>
      </c>
      <c r="AH74" s="6" t="e" cm="1">
        <f t="array" ref="AH7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5" spans="1:34">
      <c r="A75">
        <v>54184438</v>
      </c>
      <c r="B75" s="10">
        <f>ROW()-ROW(Selectivo6[[#Headers],[Pos]])</f>
        <v>69</v>
      </c>
      <c r="C75" s="5">
        <v>3895</v>
      </c>
      <c r="D75" t="s">
        <v>293</v>
      </c>
      <c r="E75" t="s">
        <v>5</v>
      </c>
      <c r="F75" s="19" t="str" cm="1">
        <f t="array" aca="1" ref="F75" ca="1">IFERROR(_xlfn.XLOOKUP(Selectivo6[[#This Row],[DNI]],S_S[DNI],INDIRECT("S_S["&amp;Selectivo6[[#Headers],[R1]]&amp;"]")),"60 DNC")</f>
        <v>3</v>
      </c>
      <c r="G75" s="19" t="str" cm="1">
        <f t="array" aca="1" ref="G75" ca="1">IFERROR(_xlfn.XLOOKUP(Selectivo6[[#This Row],[DNI]],S_S[DNI],INDIRECT("S_S["&amp;Selectivo6[[#Headers],[R2]]&amp;"]")),"60 DNC")</f>
        <v>14</v>
      </c>
      <c r="H75" s="19" t="str" cm="1">
        <f t="array" aca="1" ref="H75" ca="1">IFERROR(_xlfn.XLOOKUP(Selectivo6[[#This Row],[DNI]],S_S[DNI],INDIRECT("S_S["&amp;Selectivo6[[#Headers],[R3]]&amp;"]")),"60 DNC")</f>
        <v>24</v>
      </c>
      <c r="I75" s="19" t="str" cm="1">
        <f t="array" aca="1" ref="I75" ca="1">IFERROR(_xlfn.XLOOKUP(Selectivo6[[#This Row],[DNI]],S_S[DNI],INDIRECT("S_S["&amp;Selectivo6[[#Headers],[R4]]&amp;"]")),"60 DNC")</f>
        <v>12</v>
      </c>
      <c r="J75" s="19" t="str" cm="1">
        <f t="array" aca="1" ref="J75" ca="1">IFERROR(_xlfn.XLOOKUP(Selectivo6[[#This Row],[DNI]],S_S[DNI],INDIRECT("S_S["&amp;Selectivo6[[#Headers],[R5]]&amp;"]")),"60 DNC")</f>
        <v>2</v>
      </c>
      <c r="K75" s="19" t="str" cm="1">
        <f t="array" aca="1" ref="K75" ca="1">IFERROR(_xlfn.XLOOKUP(Selectivo6[[#This Row],[DNI]],S_S[DNI],INDIRECT("S_S["&amp;Selectivo6[[#Headers],[R6]]&amp;"]")),"60 DNC")</f>
        <v>22</v>
      </c>
      <c r="L75" s="20" t="str" cm="1">
        <f t="array" aca="1" ref="L75" ca="1">IFERROR(_xlfn.XLOOKUP(Selectivo6[[#This Row],[DNI]],S_S[DNI],INDIRECT("S_S["&amp;Selectivo6[[#Headers],[R7]]&amp;"]")),"60 DNC")</f>
        <v>38</v>
      </c>
      <c r="M75" s="19" t="str" cm="1">
        <f t="array" aca="1" ref="M75" ca="1">IFERROR(_xlfn.XLOOKUP(Selectivo6[[#This Row],[DNI]],S_S[DNI],INDIRECT("S_S["&amp;Selectivo6[[#Headers],[R8]]&amp;"]")),"60 DNC")</f>
        <v>29</v>
      </c>
      <c r="N75" s="19" t="str" cm="1">
        <f t="array" aca="1" ref="N75" ca="1">IFERROR(_xlfn.XLOOKUP(Selectivo6[[#This Row],[DNI]],S_S[DNI],INDIRECT("S_S["&amp;Selectivo6[[#Headers],[R9]]&amp;"]")),"60 DNC")</f>
        <v>36</v>
      </c>
      <c r="O75" s="19" t="str">
        <f>IFERROR(_xlfn.XLOOKUP(Selectivo6[[#This Row],[DNI]],_VF2026[DNI],_VF2026[R1]),"65 DNC")</f>
        <v>32</v>
      </c>
      <c r="P75" s="19" t="str">
        <f>IFERROR(_xlfn.XLOOKUP(Selectivo6[[#This Row],[DNI]],_VF2026[DNI],_VF2026[R2]),"65 DNC")</f>
        <v>34</v>
      </c>
      <c r="Q75" s="19" t="str">
        <f>IFERROR(_xlfn.XLOOKUP(Selectivo6[[#This Row],[DNI]],_VF2026[DNI],_VF2026[R3]),"65 DNC")</f>
        <v>29</v>
      </c>
      <c r="R75" s="19" t="str">
        <f>IFERROR(_xlfn.XLOOKUP(Selectivo6[[#This Row],[DNI]],_VF2026[DNI],_VF2026[R4]),"65 DNC")</f>
        <v>34</v>
      </c>
      <c r="S75" s="20" t="str">
        <f>IFERROR(_xlfn.XLOOKUP(Selectivo6[[#This Row],[DNI]],_VF2026[DNI],_VF2026[R5]),"65 DNC")</f>
        <v>44</v>
      </c>
      <c r="T75" s="19" t="str">
        <f>IFERROR(_xlfn.XLOOKUP(Selectivo6[[#This Row],[DNI]],_VF2026[DNI],_VF2026[R6]),"65 DNC")</f>
        <v>16</v>
      </c>
      <c r="U75" s="19" t="str">
        <f>IFERROR(_xlfn.XLOOKUP(Selectivo6[[#This Row],[DNI]],_VF2026[DNI],_VF2026[R7]),"65 DNC")</f>
        <v>13</v>
      </c>
      <c r="V75" s="19" t="str">
        <f>IFERROR(_xlfn.XLOOKUP(Selectivo6[[#This Row],[DNI]],_VF2026[DNI],_VF2026[R8]),"65 DNC")</f>
        <v>16</v>
      </c>
      <c r="W75" s="19"/>
      <c r="X75" s="19"/>
      <c r="Y75" s="19"/>
      <c r="Z75" s="19"/>
      <c r="AA75" s="19"/>
      <c r="AB75" s="8" cm="1">
        <f t="array" aca="1" ref="AB75" ca="1">SUM(IFERROR(VALUE(LEFT(Regatas, FIND(" ",Regatas&amp; " ") - 1)), 0))</f>
        <v>398</v>
      </c>
      <c r="AC75" s="9" cm="1">
        <f t="array" aca="1" ref="AC7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316</v>
      </c>
      <c r="AD75" s="6" cm="1">
        <f t="array" aca="1" ref="AD75" ca="1">SMALL(_xlfn._xlws.FILTER(RegatasN, RegatasN&lt;&gt;0), 1)</f>
        <v>2</v>
      </c>
      <c r="AE75" s="6" cm="1">
        <f t="array" aca="1" ref="AE75" ca="1">SMALL(_xlfn._xlws.FILTER(RegatasN, RegatasN&lt;&gt;0), 2)</f>
        <v>3</v>
      </c>
      <c r="AF75" s="6" cm="1">
        <f t="array" aca="1" ref="AF75" ca="1">SMALL(_xlfn._xlws.FILTER(RegatasN, RegatasN&lt;&gt;0), 3)</f>
        <v>12</v>
      </c>
      <c r="AG75" s="5" cm="1">
        <f t="array" aca="1" ref="AG75" ca="1">COUNTIF(Regatas,SMALL(_xlfn._xlws.FILTER(RegatasN, RegatasN&lt;&gt;0), 1))</f>
        <v>1</v>
      </c>
      <c r="AH75" s="6" t="e" cm="1">
        <f t="array" ref="AH7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6" spans="1:34">
      <c r="A76">
        <v>52698988</v>
      </c>
      <c r="B76" s="10">
        <f>ROW()-ROW(Selectivo6[[#Headers],[Pos]])</f>
        <v>70</v>
      </c>
      <c r="C76" s="5">
        <v>3908</v>
      </c>
      <c r="D76" t="s">
        <v>344</v>
      </c>
      <c r="E76" t="s">
        <v>11</v>
      </c>
      <c r="F76" s="19" t="str" cm="1">
        <f t="array" aca="1" ref="F76" ca="1">IFERROR(_xlfn.XLOOKUP(Selectivo6[[#This Row],[DNI]],S_S[DNI],INDIRECT("S_S["&amp;Selectivo6[[#Headers],[R1]]&amp;"]")),"60 DNC")</f>
        <v>22</v>
      </c>
      <c r="G76" s="19" t="str" cm="1">
        <f t="array" aca="1" ref="G76" ca="1">IFERROR(_xlfn.XLOOKUP(Selectivo6[[#This Row],[DNI]],S_S[DNI],INDIRECT("S_S["&amp;Selectivo6[[#Headers],[R2]]&amp;"]")),"60 DNC")</f>
        <v>19</v>
      </c>
      <c r="H76" s="20" t="str" cm="1">
        <f t="array" aca="1" ref="H76" ca="1">IFERROR(_xlfn.XLOOKUP(Selectivo6[[#This Row],[DNI]],S_S[DNI],INDIRECT("S_S["&amp;Selectivo6[[#Headers],[R3]]&amp;"]")),"60 DNC")</f>
        <v>29</v>
      </c>
      <c r="I76" s="19" t="str" cm="1">
        <f t="array" aca="1" ref="I76" ca="1">IFERROR(_xlfn.XLOOKUP(Selectivo6[[#This Row],[DNI]],S_S[DNI],INDIRECT("S_S["&amp;Selectivo6[[#Headers],[R4]]&amp;"]")),"60 DNC")</f>
        <v>16</v>
      </c>
      <c r="J76" s="19" t="str" cm="1">
        <f t="array" aca="1" ref="J76" ca="1">IFERROR(_xlfn.XLOOKUP(Selectivo6[[#This Row],[DNI]],S_S[DNI],INDIRECT("S_S["&amp;Selectivo6[[#Headers],[R5]]&amp;"]")),"60 DNC")</f>
        <v>5</v>
      </c>
      <c r="K76" s="19" t="str" cm="1">
        <f t="array" aca="1" ref="K76" ca="1">IFERROR(_xlfn.XLOOKUP(Selectivo6[[#This Row],[DNI]],S_S[DNI],INDIRECT("S_S["&amp;Selectivo6[[#Headers],[R6]]&amp;"]")),"60 DNC")</f>
        <v>25</v>
      </c>
      <c r="L76" s="19" t="str" cm="1">
        <f t="array" aca="1" ref="L76" ca="1">IFERROR(_xlfn.XLOOKUP(Selectivo6[[#This Row],[DNI]],S_S[DNI],INDIRECT("S_S["&amp;Selectivo6[[#Headers],[R7]]&amp;"]")),"60 DNC")</f>
        <v>29</v>
      </c>
      <c r="M76" s="19" t="str" cm="1">
        <f t="array" aca="1" ref="M76" ca="1">IFERROR(_xlfn.XLOOKUP(Selectivo6[[#This Row],[DNI]],S_S[DNI],INDIRECT("S_S["&amp;Selectivo6[[#Headers],[R8]]&amp;"]")),"60 DNC")</f>
        <v>27</v>
      </c>
      <c r="N76" s="20" t="str" cm="1">
        <f t="array" aca="1" ref="N76" ca="1">IFERROR(_xlfn.XLOOKUP(Selectivo6[[#This Row],[DNI]],S_S[DNI],INDIRECT("S_S["&amp;Selectivo6[[#Headers],[R9]]&amp;"]")),"60 DNC")</f>
        <v>31</v>
      </c>
      <c r="O76" s="19" t="str">
        <f>IFERROR(_xlfn.XLOOKUP(Selectivo6[[#This Row],[DNI]],_VF2026[DNI],_VF2026[R1]),"65 DNC")</f>
        <v>24</v>
      </c>
      <c r="P76" s="19" t="str">
        <f>IFERROR(_xlfn.XLOOKUP(Selectivo6[[#This Row],[DNI]],_VF2026[DNI],_VF2026[R2]),"65 DNC")</f>
        <v>26</v>
      </c>
      <c r="Q76" s="19" t="str">
        <f>IFERROR(_xlfn.XLOOKUP(Selectivo6[[#This Row],[DNI]],_VF2026[DNI],_VF2026[R3]),"65 DNC")</f>
        <v>13</v>
      </c>
      <c r="R76" s="19" t="str">
        <f>IFERROR(_xlfn.XLOOKUP(Selectivo6[[#This Row],[DNI]],_VF2026[DNI],_VF2026[R4]),"65 DNC")</f>
        <v>29</v>
      </c>
      <c r="S76" s="19" t="str">
        <f>IFERROR(_xlfn.XLOOKUP(Selectivo6[[#This Row],[DNI]],_VF2026[DNI],_VF2026[R5]),"65 DNC")</f>
        <v>26</v>
      </c>
      <c r="T76" s="19" t="str">
        <f>IFERROR(_xlfn.XLOOKUP(Selectivo6[[#This Row],[DNI]],_VF2026[DNI],_VF2026[R6]),"65 DNC")</f>
        <v>19</v>
      </c>
      <c r="U76" s="19" t="str">
        <f>IFERROR(_xlfn.XLOOKUP(Selectivo6[[#This Row],[DNI]],_VF2026[DNI],_VF2026[R7]),"65 DNC")</f>
        <v>28</v>
      </c>
      <c r="V76" s="19" t="str">
        <f>IFERROR(_xlfn.XLOOKUP(Selectivo6[[#This Row],[DNI]],_VF2026[DNI],_VF2026[R8]),"65 DNC")</f>
        <v>14</v>
      </c>
      <c r="W76" s="19"/>
      <c r="X76" s="19"/>
      <c r="Y76" s="19"/>
      <c r="Z76" s="19"/>
      <c r="AA76" s="19"/>
      <c r="AB76" s="8" cm="1">
        <f t="array" aca="1" ref="AB76" ca="1">SUM(IFERROR(VALUE(LEFT(Regatas, FIND(" ",Regatas&amp; " ") - 1)), 0))</f>
        <v>382</v>
      </c>
      <c r="AC76" s="9" cm="1">
        <f t="array" aca="1" ref="AC7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322</v>
      </c>
      <c r="AD76" s="6" cm="1">
        <f t="array" aca="1" ref="AD76" ca="1">SMALL(_xlfn._xlws.FILTER(RegatasN, RegatasN&lt;&gt;0), 1)</f>
        <v>5</v>
      </c>
      <c r="AE76" s="6" cm="1">
        <f t="array" aca="1" ref="AE76" ca="1">SMALL(_xlfn._xlws.FILTER(RegatasN, RegatasN&lt;&gt;0), 2)</f>
        <v>13</v>
      </c>
      <c r="AF76" s="6" cm="1">
        <f t="array" aca="1" ref="AF76" ca="1">SMALL(_xlfn._xlws.FILTER(RegatasN, RegatasN&lt;&gt;0), 3)</f>
        <v>14</v>
      </c>
      <c r="AG76" s="5" cm="1">
        <f t="array" aca="1" ref="AG76" ca="1">COUNTIF(Regatas,SMALL(_xlfn._xlws.FILTER(RegatasN, RegatasN&lt;&gt;0), 1))</f>
        <v>1</v>
      </c>
      <c r="AH76" s="6" t="e" cm="1">
        <f t="array" ref="AH7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7" spans="1:34">
      <c r="A77">
        <v>52118147</v>
      </c>
      <c r="B77" s="10">
        <f>ROW()-ROW(Selectivo6[[#Headers],[Pos]])</f>
        <v>71</v>
      </c>
      <c r="C77" s="5">
        <v>3793</v>
      </c>
      <c r="D77" t="s">
        <v>352</v>
      </c>
      <c r="E77" t="s">
        <v>31</v>
      </c>
      <c r="F77" s="19" t="str" cm="1">
        <f t="array" aca="1" ref="F77" ca="1">IFERROR(_xlfn.XLOOKUP(Selectivo6[[#This Row],[DNI]],S_S[DNI],INDIRECT("S_S["&amp;Selectivo6[[#Headers],[R1]]&amp;"]")),"60 DNC")</f>
        <v>20</v>
      </c>
      <c r="G77" s="19" t="str" cm="1">
        <f t="array" aca="1" ref="G77" ca="1">IFERROR(_xlfn.XLOOKUP(Selectivo6[[#This Row],[DNI]],S_S[DNI],INDIRECT("S_S["&amp;Selectivo6[[#Headers],[R2]]&amp;"]")),"60 DNC")</f>
        <v>24</v>
      </c>
      <c r="H77" s="19" t="str" cm="1">
        <f t="array" aca="1" ref="H77" ca="1">IFERROR(_xlfn.XLOOKUP(Selectivo6[[#This Row],[DNI]],S_S[DNI],INDIRECT("S_S["&amp;Selectivo6[[#Headers],[R3]]&amp;"]")),"60 DNC")</f>
        <v>31</v>
      </c>
      <c r="I77" s="19" t="str" cm="1">
        <f t="array" aca="1" ref="I77" ca="1">IFERROR(_xlfn.XLOOKUP(Selectivo6[[#This Row],[DNI]],S_S[DNI],INDIRECT("S_S["&amp;Selectivo6[[#Headers],[R4]]&amp;"]")),"60 DNC")</f>
        <v>17</v>
      </c>
      <c r="J77" s="19" t="str" cm="1">
        <f t="array" aca="1" ref="J77" ca="1">IFERROR(_xlfn.XLOOKUP(Selectivo6[[#This Row],[DNI]],S_S[DNI],INDIRECT("S_S["&amp;Selectivo6[[#Headers],[R5]]&amp;"]")),"60 DNC")</f>
        <v>26</v>
      </c>
      <c r="K77" s="19" t="str" cm="1">
        <f t="array" aca="1" ref="K77" ca="1">IFERROR(_xlfn.XLOOKUP(Selectivo6[[#This Row],[DNI]],S_S[DNI],INDIRECT("S_S["&amp;Selectivo6[[#Headers],[R6]]&amp;"]")),"60 DNC")</f>
        <v>42</v>
      </c>
      <c r="L77" s="19" t="str" cm="1">
        <f t="array" aca="1" ref="L77" ca="1">IFERROR(_xlfn.XLOOKUP(Selectivo6[[#This Row],[DNI]],S_S[DNI],INDIRECT("S_S["&amp;Selectivo6[[#Headers],[R7]]&amp;"]")),"60 DNC")</f>
        <v>8</v>
      </c>
      <c r="M77" s="19" t="str" cm="1">
        <f t="array" aca="1" ref="M77" ca="1">IFERROR(_xlfn.XLOOKUP(Selectivo6[[#This Row],[DNI]],S_S[DNI],INDIRECT("S_S["&amp;Selectivo6[[#Headers],[R8]]&amp;"]")),"60 DNC")</f>
        <v>12</v>
      </c>
      <c r="N77" s="20" t="str" cm="1">
        <f t="array" aca="1" ref="N77" ca="1">IFERROR(_xlfn.XLOOKUP(Selectivo6[[#This Row],[DNI]],S_S[DNI],INDIRECT("S_S["&amp;Selectivo6[[#Headers],[R9]]&amp;"]")),"60 DNC")</f>
        <v>60 UFD</v>
      </c>
      <c r="O77" s="19" t="str">
        <f>IFERROR(_xlfn.XLOOKUP(Selectivo6[[#This Row],[DNI]],_VF2026[DNI],_VF2026[R1]),"65 DNC")</f>
        <v>16</v>
      </c>
      <c r="P77" s="19" t="str">
        <f>IFERROR(_xlfn.XLOOKUP(Selectivo6[[#This Row],[DNI]],_VF2026[DNI],_VF2026[R2]),"65 DNC")</f>
        <v>6</v>
      </c>
      <c r="Q77" s="19" t="str">
        <f>IFERROR(_xlfn.XLOOKUP(Selectivo6[[#This Row],[DNI]],_VF2026[DNI],_VF2026[R3]),"65 DNC")</f>
        <v>39</v>
      </c>
      <c r="R77" s="19" t="str">
        <f>IFERROR(_xlfn.XLOOKUP(Selectivo6[[#This Row],[DNI]],_VF2026[DNI],_VF2026[R4]),"65 DNC")</f>
        <v>22</v>
      </c>
      <c r="S77" s="19" t="str">
        <f>IFERROR(_xlfn.XLOOKUP(Selectivo6[[#This Row],[DNI]],_VF2026[DNI],_VF2026[R5]),"65 DNC")</f>
        <v>8</v>
      </c>
      <c r="T77" s="19" t="str">
        <f>IFERROR(_xlfn.XLOOKUP(Selectivo6[[#This Row],[DNI]],_VF2026[DNI],_VF2026[R6]),"65 DNC")</f>
        <v>38</v>
      </c>
      <c r="U77" s="20" t="str">
        <f>IFERROR(_xlfn.XLOOKUP(Selectivo6[[#This Row],[DNI]],_VF2026[DNI],_VF2026[R7]),"65 DNC")</f>
        <v>46</v>
      </c>
      <c r="V77" s="19" t="str">
        <f>IFERROR(_xlfn.XLOOKUP(Selectivo6[[#This Row],[DNI]],_VF2026[DNI],_VF2026[R8]),"65 DNC")</f>
        <v>18</v>
      </c>
      <c r="W77" s="19"/>
      <c r="X77" s="19"/>
      <c r="Y77" s="19"/>
      <c r="Z77" s="19"/>
      <c r="AA77" s="19"/>
      <c r="AB77" s="8" cm="1">
        <f t="array" aca="1" ref="AB77" ca="1">SUM(IFERROR(VALUE(LEFT(Regatas, FIND(" ",Regatas&amp; " ") - 1)), 0))</f>
        <v>433</v>
      </c>
      <c r="AC77" s="9" cm="1">
        <f t="array" aca="1" ref="AC7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327</v>
      </c>
      <c r="AD77" s="6" cm="1">
        <f t="array" aca="1" ref="AD77" ca="1">SMALL(_xlfn._xlws.FILTER(RegatasN, RegatasN&lt;&gt;0), 1)</f>
        <v>6</v>
      </c>
      <c r="AE77" s="6" cm="1">
        <f t="array" aca="1" ref="AE77" ca="1">SMALL(_xlfn._xlws.FILTER(RegatasN, RegatasN&lt;&gt;0), 2)</f>
        <v>8</v>
      </c>
      <c r="AF77" s="6" cm="1">
        <f t="array" aca="1" ref="AF77" ca="1">SMALL(_xlfn._xlws.FILTER(RegatasN, RegatasN&lt;&gt;0), 3)</f>
        <v>8</v>
      </c>
      <c r="AG77" s="5" cm="1">
        <f t="array" aca="1" ref="AG77" ca="1">COUNTIF(Regatas,SMALL(_xlfn._xlws.FILTER(RegatasN, RegatasN&lt;&gt;0), 1))</f>
        <v>1</v>
      </c>
      <c r="AH77" s="6" t="e" cm="1">
        <f t="array" ref="AH7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8" spans="1:34">
      <c r="A78">
        <v>52613001</v>
      </c>
      <c r="B78" s="10">
        <f>ROW()-ROW(Selectivo6[[#Headers],[Pos]])</f>
        <v>72</v>
      </c>
      <c r="C78" s="5">
        <v>4100</v>
      </c>
      <c r="D78" t="s">
        <v>339</v>
      </c>
      <c r="E78" t="s">
        <v>9</v>
      </c>
      <c r="F78" s="19" t="str" cm="1">
        <f t="array" aca="1" ref="F78" ca="1">IFERROR(_xlfn.XLOOKUP(Selectivo6[[#This Row],[DNI]],S_S[DNI],INDIRECT("S_S["&amp;Selectivo6[[#Headers],[R1]]&amp;"]")),"60 DNC")</f>
        <v>7</v>
      </c>
      <c r="G78" s="19" t="str" cm="1">
        <f t="array" aca="1" ref="G78" ca="1">IFERROR(_xlfn.XLOOKUP(Selectivo6[[#This Row],[DNI]],S_S[DNI],INDIRECT("S_S["&amp;Selectivo6[[#Headers],[R2]]&amp;"]")),"60 DNC")</f>
        <v>25</v>
      </c>
      <c r="H78" s="19" t="str" cm="1">
        <f t="array" aca="1" ref="H78" ca="1">IFERROR(_xlfn.XLOOKUP(Selectivo6[[#This Row],[DNI]],S_S[DNI],INDIRECT("S_S["&amp;Selectivo6[[#Headers],[R3]]&amp;"]")),"60 DNC")</f>
        <v>28</v>
      </c>
      <c r="I78" s="19" t="str" cm="1">
        <f t="array" aca="1" ref="I78" ca="1">IFERROR(_xlfn.XLOOKUP(Selectivo6[[#This Row],[DNI]],S_S[DNI],INDIRECT("S_S["&amp;Selectivo6[[#Headers],[R4]]&amp;"]")),"60 DNC")</f>
        <v>29</v>
      </c>
      <c r="J78" s="19" t="str" cm="1">
        <f t="array" aca="1" ref="J78" ca="1">IFERROR(_xlfn.XLOOKUP(Selectivo6[[#This Row],[DNI]],S_S[DNI],INDIRECT("S_S["&amp;Selectivo6[[#Headers],[R5]]&amp;"]")),"60 DNC")</f>
        <v>22</v>
      </c>
      <c r="K78" s="19" t="str" cm="1">
        <f t="array" aca="1" ref="K78" ca="1">IFERROR(_xlfn.XLOOKUP(Selectivo6[[#This Row],[DNI]],S_S[DNI],INDIRECT("S_S["&amp;Selectivo6[[#Headers],[R6]]&amp;"]")),"60 DNC")</f>
        <v>30</v>
      </c>
      <c r="L78" s="19" t="str" cm="1">
        <f t="array" aca="1" ref="L78" ca="1">IFERROR(_xlfn.XLOOKUP(Selectivo6[[#This Row],[DNI]],S_S[DNI],INDIRECT("S_S["&amp;Selectivo6[[#Headers],[R7]]&amp;"]")),"60 DNC")</f>
        <v>18</v>
      </c>
      <c r="M78" s="19" t="str" cm="1">
        <f t="array" aca="1" ref="M78" ca="1">IFERROR(_xlfn.XLOOKUP(Selectivo6[[#This Row],[DNI]],S_S[DNI],INDIRECT("S_S["&amp;Selectivo6[[#Headers],[R8]]&amp;"]")),"60 DNC")</f>
        <v>12</v>
      </c>
      <c r="N78" s="19" t="str" cm="1">
        <f t="array" aca="1" ref="N78" ca="1">IFERROR(_xlfn.XLOOKUP(Selectivo6[[#This Row],[DNI]],S_S[DNI],INDIRECT("S_S["&amp;Selectivo6[[#Headers],[R9]]&amp;"]")),"60 DNC")</f>
        <v>26</v>
      </c>
      <c r="O78" s="19" t="str">
        <f>IFERROR(_xlfn.XLOOKUP(Selectivo6[[#This Row],[DNI]],_VF2026[DNI],_VF2026[R1]),"65 DNC")</f>
        <v>23</v>
      </c>
      <c r="P78" s="19" t="str">
        <f>IFERROR(_xlfn.XLOOKUP(Selectivo6[[#This Row],[DNI]],_VF2026[DNI],_VF2026[R2]),"65 DNC")</f>
        <v>20</v>
      </c>
      <c r="Q78" s="19" t="str">
        <f>IFERROR(_xlfn.XLOOKUP(Selectivo6[[#This Row],[DNI]],_VF2026[DNI],_VF2026[R3]),"65 DNC")</f>
        <v>19</v>
      </c>
      <c r="R78" s="19" t="str">
        <f>IFERROR(_xlfn.XLOOKUP(Selectivo6[[#This Row],[DNI]],_VF2026[DNI],_VF2026[R4]),"65 DNC")</f>
        <v>54</v>
      </c>
      <c r="S78" s="20" t="str">
        <f>IFERROR(_xlfn.XLOOKUP(Selectivo6[[#This Row],[DNI]],_VF2026[DNI],_VF2026[R5]),"65 DNC")</f>
        <v>65 DNC</v>
      </c>
      <c r="T78" s="19" t="str">
        <f>IFERROR(_xlfn.XLOOKUP(Selectivo6[[#This Row],[DNI]],_VF2026[DNI],_VF2026[R6]),"65 DNC")</f>
        <v>8</v>
      </c>
      <c r="U78" s="19" t="str">
        <f>IFERROR(_xlfn.XLOOKUP(Selectivo6[[#This Row],[DNI]],_VF2026[DNI],_VF2026[R7]),"65 DNC")</f>
        <v>9</v>
      </c>
      <c r="V78" s="20" t="str">
        <f>IFERROR(_xlfn.XLOOKUP(Selectivo6[[#This Row],[DNI]],_VF2026[DNI],_VF2026[R8]),"65 DNC")</f>
        <v>65 RET</v>
      </c>
      <c r="W78" s="19"/>
      <c r="X78" s="19"/>
      <c r="Y78" s="19"/>
      <c r="Z78" s="19"/>
      <c r="AA78" s="19"/>
      <c r="AB78" s="8" cm="1">
        <f t="array" aca="1" ref="AB78" ca="1">SUM(IFERROR(VALUE(LEFT(Regatas, FIND(" ",Regatas&amp; " ") - 1)), 0))</f>
        <v>460</v>
      </c>
      <c r="AC78" s="9" cm="1">
        <f t="array" aca="1" ref="AC7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330</v>
      </c>
      <c r="AD78" s="6" cm="1">
        <f t="array" aca="1" ref="AD78" ca="1">SMALL(_xlfn._xlws.FILTER(RegatasN, RegatasN&lt;&gt;0), 1)</f>
        <v>7</v>
      </c>
      <c r="AE78" s="6" cm="1">
        <f t="array" aca="1" ref="AE78" ca="1">SMALL(_xlfn._xlws.FILTER(RegatasN, RegatasN&lt;&gt;0), 2)</f>
        <v>8</v>
      </c>
      <c r="AF78" s="6" cm="1">
        <f t="array" aca="1" ref="AF78" ca="1">SMALL(_xlfn._xlws.FILTER(RegatasN, RegatasN&lt;&gt;0), 3)</f>
        <v>9</v>
      </c>
      <c r="AG78" s="5" cm="1">
        <f t="array" aca="1" ref="AG78" ca="1">COUNTIF(Regatas,SMALL(_xlfn._xlws.FILTER(RegatasN, RegatasN&lt;&gt;0), 1))</f>
        <v>1</v>
      </c>
      <c r="AH78" s="6" t="e" cm="1">
        <f t="array" ref="AH7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79" spans="1:34">
      <c r="A79">
        <v>53236907</v>
      </c>
      <c r="B79" s="10">
        <f>ROW()-ROW(Selectivo6[[#Headers],[Pos]])</f>
        <v>73</v>
      </c>
      <c r="C79" s="5">
        <v>3992</v>
      </c>
      <c r="D79" t="s">
        <v>321</v>
      </c>
      <c r="E79" t="s">
        <v>171</v>
      </c>
      <c r="F79" s="19" t="str" cm="1">
        <f t="array" aca="1" ref="F79" ca="1">IFERROR(_xlfn.XLOOKUP(Selectivo6[[#This Row],[DNI]],S_S[DNI],INDIRECT("S_S["&amp;Selectivo6[[#Headers],[R1]]&amp;"]")),"60 DNC")</f>
        <v>12</v>
      </c>
      <c r="G79" s="19" t="str" cm="1">
        <f t="array" aca="1" ref="G79" ca="1">IFERROR(_xlfn.XLOOKUP(Selectivo6[[#This Row],[DNI]],S_S[DNI],INDIRECT("S_S["&amp;Selectivo6[[#Headers],[R2]]&amp;"]")),"60 DNC")</f>
        <v>18</v>
      </c>
      <c r="H79" s="20" t="str" cm="1">
        <f t="array" aca="1" ref="H79" ca="1">IFERROR(_xlfn.XLOOKUP(Selectivo6[[#This Row],[DNI]],S_S[DNI],INDIRECT("S_S["&amp;Selectivo6[[#Headers],[R3]]&amp;"]")),"60 DNC")</f>
        <v>60 DNC</v>
      </c>
      <c r="I79" s="19" t="str" cm="1">
        <f t="array" aca="1" ref="I79" ca="1">IFERROR(_xlfn.XLOOKUP(Selectivo6[[#This Row],[DNI]],S_S[DNI],INDIRECT("S_S["&amp;Selectivo6[[#Headers],[R4]]&amp;"]")),"60 DNC")</f>
        <v>13</v>
      </c>
      <c r="J79" s="19" t="str" cm="1">
        <f t="array" aca="1" ref="J79" ca="1">IFERROR(_xlfn.XLOOKUP(Selectivo6[[#This Row],[DNI]],S_S[DNI],INDIRECT("S_S["&amp;Selectivo6[[#Headers],[R5]]&amp;"]")),"60 DNC")</f>
        <v>17</v>
      </c>
      <c r="K79" s="19" t="str" cm="1">
        <f t="array" aca="1" ref="K79" ca="1">IFERROR(_xlfn.XLOOKUP(Selectivo6[[#This Row],[DNI]],S_S[DNI],INDIRECT("S_S["&amp;Selectivo6[[#Headers],[R6]]&amp;"]")),"60 DNC")</f>
        <v>34</v>
      </c>
      <c r="L79" s="19" t="str" cm="1">
        <f t="array" aca="1" ref="L79" ca="1">IFERROR(_xlfn.XLOOKUP(Selectivo6[[#This Row],[DNI]],S_S[DNI],INDIRECT("S_S["&amp;Selectivo6[[#Headers],[R7]]&amp;"]")),"60 DNC")</f>
        <v>23</v>
      </c>
      <c r="M79" s="19" t="str" cm="1">
        <f t="array" aca="1" ref="M79" ca="1">IFERROR(_xlfn.XLOOKUP(Selectivo6[[#This Row],[DNI]],S_S[DNI],INDIRECT("S_S["&amp;Selectivo6[[#Headers],[R8]]&amp;"]")),"60 DNC")</f>
        <v>19</v>
      </c>
      <c r="N79" s="19" t="str" cm="1">
        <f t="array" aca="1" ref="N79" ca="1">IFERROR(_xlfn.XLOOKUP(Selectivo6[[#This Row],[DNI]],S_S[DNI],INDIRECT("S_S["&amp;Selectivo6[[#Headers],[R9]]&amp;"]")),"60 DNC")</f>
        <v>23</v>
      </c>
      <c r="O79" s="19" t="str">
        <f>IFERROR(_xlfn.XLOOKUP(Selectivo6[[#This Row],[DNI]],_VF2026[DNI],_VF2026[R1]),"65 DNC")</f>
        <v>18</v>
      </c>
      <c r="P79" s="19" t="str">
        <f>IFERROR(_xlfn.XLOOKUP(Selectivo6[[#This Row],[DNI]],_VF2026[DNI],_VF2026[R2]),"65 DNC")</f>
        <v>24</v>
      </c>
      <c r="Q79" s="19" t="str">
        <f>IFERROR(_xlfn.XLOOKUP(Selectivo6[[#This Row],[DNI]],_VF2026[DNI],_VF2026[R3]),"65 DNC")</f>
        <v>38</v>
      </c>
      <c r="R79" s="19" t="str">
        <f>IFERROR(_xlfn.XLOOKUP(Selectivo6[[#This Row],[DNI]],_VF2026[DNI],_VF2026[R4]),"65 DNC")</f>
        <v>23</v>
      </c>
      <c r="S79" s="19" t="str">
        <f>IFERROR(_xlfn.XLOOKUP(Selectivo6[[#This Row],[DNI]],_VF2026[DNI],_VF2026[R5]),"65 DNC")</f>
        <v>15</v>
      </c>
      <c r="T79" s="19" t="str">
        <f>IFERROR(_xlfn.XLOOKUP(Selectivo6[[#This Row],[DNI]],_VF2026[DNI],_VF2026[R6]),"65 DNC")</f>
        <v>37</v>
      </c>
      <c r="U79" s="19" t="str">
        <f>IFERROR(_xlfn.XLOOKUP(Selectivo6[[#This Row],[DNI]],_VF2026[DNI],_VF2026[R7]),"65 DNC")</f>
        <v>20</v>
      </c>
      <c r="V79" s="20" t="str">
        <f>IFERROR(_xlfn.XLOOKUP(Selectivo6[[#This Row],[DNI]],_VF2026[DNI],_VF2026[R8]),"65 DNC")</f>
        <v>65 DSQ</v>
      </c>
      <c r="W79" s="19"/>
      <c r="X79" s="19"/>
      <c r="Y79" s="19"/>
      <c r="Z79" s="19"/>
      <c r="AA79" s="19"/>
      <c r="AB79" s="8" cm="1">
        <f t="array" aca="1" ref="AB79" ca="1">SUM(IFERROR(VALUE(LEFT(Regatas, FIND(" ",Regatas&amp; " ") - 1)), 0))</f>
        <v>459</v>
      </c>
      <c r="AC79" s="9" cm="1">
        <f t="array" aca="1" ref="AC7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334</v>
      </c>
      <c r="AD79" s="6" cm="1">
        <f t="array" aca="1" ref="AD79" ca="1">SMALL(_xlfn._xlws.FILTER(RegatasN, RegatasN&lt;&gt;0), 1)</f>
        <v>12</v>
      </c>
      <c r="AE79" s="6" cm="1">
        <f t="array" aca="1" ref="AE79" ca="1">SMALL(_xlfn._xlws.FILTER(RegatasN, RegatasN&lt;&gt;0), 2)</f>
        <v>13</v>
      </c>
      <c r="AF79" s="6" cm="1">
        <f t="array" aca="1" ref="AF79" ca="1">SMALL(_xlfn._xlws.FILTER(RegatasN, RegatasN&lt;&gt;0), 3)</f>
        <v>15</v>
      </c>
      <c r="AG79" s="5" cm="1">
        <f t="array" aca="1" ref="AG79" ca="1">COUNTIF(Regatas,SMALL(_xlfn._xlws.FILTER(RegatasN, RegatasN&lt;&gt;0), 1))</f>
        <v>1</v>
      </c>
      <c r="AH79" s="6" t="e" cm="1">
        <f t="array" ref="AH7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0" spans="1:34">
      <c r="A80">
        <v>52448420</v>
      </c>
      <c r="B80" s="10">
        <f>ROW()-ROW(Selectivo6[[#Headers],[Pos]])</f>
        <v>74</v>
      </c>
      <c r="C80" s="5">
        <v>4136</v>
      </c>
      <c r="D80" t="s">
        <v>368</v>
      </c>
      <c r="E80" t="s">
        <v>7</v>
      </c>
      <c r="F80" s="19" t="str" cm="1">
        <f t="array" aca="1" ref="F80" ca="1">IFERROR(_xlfn.XLOOKUP(Selectivo6[[#This Row],[DNI]],S_S[DNI],INDIRECT("S_S["&amp;Selectivo6[[#Headers],[R1]]&amp;"]")),"60 DNC")</f>
        <v>14</v>
      </c>
      <c r="G80" s="19" t="str" cm="1">
        <f t="array" aca="1" ref="G80" ca="1">IFERROR(_xlfn.XLOOKUP(Selectivo6[[#This Row],[DNI]],S_S[DNI],INDIRECT("S_S["&amp;Selectivo6[[#Headers],[R2]]&amp;"]")),"60 DNC")</f>
        <v>22</v>
      </c>
      <c r="H80" s="19" t="str" cm="1">
        <f t="array" aca="1" ref="H80" ca="1">IFERROR(_xlfn.XLOOKUP(Selectivo6[[#This Row],[DNI]],S_S[DNI],INDIRECT("S_S["&amp;Selectivo6[[#Headers],[R3]]&amp;"]")),"60 DNC")</f>
        <v>39</v>
      </c>
      <c r="I80" s="19" t="str" cm="1">
        <f t="array" aca="1" ref="I80" ca="1">IFERROR(_xlfn.XLOOKUP(Selectivo6[[#This Row],[DNI]],S_S[DNI],INDIRECT("S_S["&amp;Selectivo6[[#Headers],[R4]]&amp;"]")),"60 DNC")</f>
        <v>22</v>
      </c>
      <c r="J80" s="19" t="str" cm="1">
        <f t="array" aca="1" ref="J80" ca="1">IFERROR(_xlfn.XLOOKUP(Selectivo6[[#This Row],[DNI]],S_S[DNI],INDIRECT("S_S["&amp;Selectivo6[[#Headers],[R5]]&amp;"]")),"60 DNC")</f>
        <v>32</v>
      </c>
      <c r="K80" s="19" t="str" cm="1">
        <f t="array" aca="1" ref="K80" ca="1">IFERROR(_xlfn.XLOOKUP(Selectivo6[[#This Row],[DNI]],S_S[DNI],INDIRECT("S_S["&amp;Selectivo6[[#Headers],[R6]]&amp;"]")),"60 DNC")</f>
        <v>37</v>
      </c>
      <c r="L80" s="19" t="str" cm="1">
        <f t="array" aca="1" ref="L80" ca="1">IFERROR(_xlfn.XLOOKUP(Selectivo6[[#This Row],[DNI]],S_S[DNI],INDIRECT("S_S["&amp;Selectivo6[[#Headers],[R7]]&amp;"]")),"60 DNC")</f>
        <v>26</v>
      </c>
      <c r="M80" s="19" t="str" cm="1">
        <f t="array" aca="1" ref="M80" ca="1">IFERROR(_xlfn.XLOOKUP(Selectivo6[[#This Row],[DNI]],S_S[DNI],INDIRECT("S_S["&amp;Selectivo6[[#Headers],[R8]]&amp;"]")),"60 DNC")</f>
        <v>22</v>
      </c>
      <c r="N80" s="19" t="str" cm="1">
        <f t="array" aca="1" ref="N80" ca="1">IFERROR(_xlfn.XLOOKUP(Selectivo6[[#This Row],[DNI]],S_S[DNI],INDIRECT("S_S["&amp;Selectivo6[[#Headers],[R9]]&amp;"]")),"60 DNC")</f>
        <v>18</v>
      </c>
      <c r="O80" s="19" t="str">
        <f>IFERROR(_xlfn.XLOOKUP(Selectivo6[[#This Row],[DNI]],_VF2026[DNI],_VF2026[R1]),"65 DNC")</f>
        <v>15</v>
      </c>
      <c r="P80" s="19" t="str">
        <f>IFERROR(_xlfn.XLOOKUP(Selectivo6[[#This Row],[DNI]],_VF2026[DNI],_VF2026[R2]),"65 DNC")</f>
        <v>11</v>
      </c>
      <c r="Q80" s="19" t="str">
        <f>IFERROR(_xlfn.XLOOKUP(Selectivo6[[#This Row],[DNI]],_VF2026[DNI],_VF2026[R3]),"65 DNC")</f>
        <v>19</v>
      </c>
      <c r="R80" s="20" t="str">
        <f>IFERROR(_xlfn.XLOOKUP(Selectivo6[[#This Row],[DNI]],_VF2026[DNI],_VF2026[R4]),"65 DNC")</f>
        <v>40</v>
      </c>
      <c r="S80" s="19" t="str">
        <f>IFERROR(_xlfn.XLOOKUP(Selectivo6[[#This Row],[DNI]],_VF2026[DNI],_VF2026[R5]),"65 DNC")</f>
        <v>20</v>
      </c>
      <c r="T80" s="19" t="str">
        <f>IFERROR(_xlfn.XLOOKUP(Selectivo6[[#This Row],[DNI]],_VF2026[DNI],_VF2026[R6]),"65 DNC")</f>
        <v>21</v>
      </c>
      <c r="U80" s="19" t="str">
        <f>IFERROR(_xlfn.XLOOKUP(Selectivo6[[#This Row],[DNI]],_VF2026[DNI],_VF2026[R7]),"65 DNC")</f>
        <v>21</v>
      </c>
      <c r="V80" s="20" t="str">
        <f>IFERROR(_xlfn.XLOOKUP(Selectivo6[[#This Row],[DNI]],_VF2026[DNI],_VF2026[R8]),"65 DNC")</f>
        <v>65 BFD</v>
      </c>
      <c r="W80" s="19"/>
      <c r="X80" s="19"/>
      <c r="Y80" s="19"/>
      <c r="Z80" s="19"/>
      <c r="AA80" s="19"/>
      <c r="AB80" s="8" cm="1">
        <f t="array" aca="1" ref="AB80" ca="1">SUM(IFERROR(VALUE(LEFT(Regatas, FIND(" ",Regatas&amp; " ") - 1)), 0))</f>
        <v>444</v>
      </c>
      <c r="AC80" s="9" cm="1">
        <f t="array" aca="1" ref="AC8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339</v>
      </c>
      <c r="AD80" s="6" cm="1">
        <f t="array" aca="1" ref="AD80" ca="1">SMALL(_xlfn._xlws.FILTER(RegatasN, RegatasN&lt;&gt;0), 1)</f>
        <v>11</v>
      </c>
      <c r="AE80" s="6" cm="1">
        <f t="array" aca="1" ref="AE80" ca="1">SMALL(_xlfn._xlws.FILTER(RegatasN, RegatasN&lt;&gt;0), 2)</f>
        <v>14</v>
      </c>
      <c r="AF80" s="6" cm="1">
        <f t="array" aca="1" ref="AF80" ca="1">SMALL(_xlfn._xlws.FILTER(RegatasN, RegatasN&lt;&gt;0), 3)</f>
        <v>15</v>
      </c>
      <c r="AG80" s="5" cm="1">
        <f t="array" aca="1" ref="AG80" ca="1">COUNTIF(Regatas,SMALL(_xlfn._xlws.FILTER(RegatasN, RegatasN&lt;&gt;0), 1))</f>
        <v>1</v>
      </c>
      <c r="AH80" s="6" t="e" cm="1">
        <f t="array" ref="AH8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1" spans="1:34">
      <c r="A81">
        <v>53645984</v>
      </c>
      <c r="B81" s="10">
        <f>ROW()-ROW(Selectivo6[[#Headers],[Pos]])</f>
        <v>75</v>
      </c>
      <c r="C81" s="5">
        <v>4210</v>
      </c>
      <c r="D81" t="s">
        <v>354</v>
      </c>
      <c r="E81" t="s">
        <v>21</v>
      </c>
      <c r="F81" s="19" t="str" cm="1">
        <f t="array" aca="1" ref="F81" ca="1">IFERROR(_xlfn.XLOOKUP(Selectivo6[[#This Row],[DNI]],S_S[DNI],INDIRECT("S_S["&amp;Selectivo6[[#Headers],[R1]]&amp;"]")),"60 DNC")</f>
        <v>17</v>
      </c>
      <c r="G81" s="19" t="str" cm="1">
        <f t="array" aca="1" ref="G81" ca="1">IFERROR(_xlfn.XLOOKUP(Selectivo6[[#This Row],[DNI]],S_S[DNI],INDIRECT("S_S["&amp;Selectivo6[[#Headers],[R2]]&amp;"]")),"60 DNC")</f>
        <v>11</v>
      </c>
      <c r="H81" s="19" t="str" cm="1">
        <f t="array" aca="1" ref="H81" ca="1">IFERROR(_xlfn.XLOOKUP(Selectivo6[[#This Row],[DNI]],S_S[DNI],INDIRECT("S_S["&amp;Selectivo6[[#Headers],[R3]]&amp;"]")),"60 DNC")</f>
        <v>13</v>
      </c>
      <c r="I81" s="20" t="str" cm="1">
        <f t="array" aca="1" ref="I81" ca="1">IFERROR(_xlfn.XLOOKUP(Selectivo6[[#This Row],[DNI]],S_S[DNI],INDIRECT("S_S["&amp;Selectivo6[[#Headers],[R4]]&amp;"]")),"60 DNC")</f>
        <v>60 BFD</v>
      </c>
      <c r="J81" s="19" t="str" cm="1">
        <f t="array" aca="1" ref="J81" ca="1">IFERROR(_xlfn.XLOOKUP(Selectivo6[[#This Row],[DNI]],S_S[DNI],INDIRECT("S_S["&amp;Selectivo6[[#Headers],[R5]]&amp;"]")),"60 DNC")</f>
        <v>15</v>
      </c>
      <c r="K81" s="19" t="str" cm="1">
        <f t="array" aca="1" ref="K81" ca="1">IFERROR(_xlfn.XLOOKUP(Selectivo6[[#This Row],[DNI]],S_S[DNI],INDIRECT("S_S["&amp;Selectivo6[[#Headers],[R6]]&amp;"]")),"60 DNC")</f>
        <v>26</v>
      </c>
      <c r="L81" s="19" t="str" cm="1">
        <f t="array" aca="1" ref="L81" ca="1">IFERROR(_xlfn.XLOOKUP(Selectivo6[[#This Row],[DNI]],S_S[DNI],INDIRECT("S_S["&amp;Selectivo6[[#Headers],[R7]]&amp;"]")),"60 DNC")</f>
        <v>41</v>
      </c>
      <c r="M81" s="19" t="str" cm="1">
        <f t="array" aca="1" ref="M81" ca="1">IFERROR(_xlfn.XLOOKUP(Selectivo6[[#This Row],[DNI]],S_S[DNI],INDIRECT("S_S["&amp;Selectivo6[[#Headers],[R8]]&amp;"]")),"60 DNC")</f>
        <v>18</v>
      </c>
      <c r="N81" s="19" t="str" cm="1">
        <f t="array" aca="1" ref="N81" ca="1">IFERROR(_xlfn.XLOOKUP(Selectivo6[[#This Row],[DNI]],S_S[DNI],INDIRECT("S_S["&amp;Selectivo6[[#Headers],[R9]]&amp;"]")),"60 DNC")</f>
        <v>40</v>
      </c>
      <c r="O81" s="19" t="str">
        <f>IFERROR(_xlfn.XLOOKUP(Selectivo6[[#This Row],[DNI]],_VF2026[DNI],_VF2026[R1]),"65 DNC")</f>
        <v>39</v>
      </c>
      <c r="P81" s="19" t="str">
        <f>IFERROR(_xlfn.XLOOKUP(Selectivo6[[#This Row],[DNI]],_VF2026[DNI],_VF2026[R2]),"65 DNC")</f>
        <v>23</v>
      </c>
      <c r="Q81" s="19" t="str">
        <f>IFERROR(_xlfn.XLOOKUP(Selectivo6[[#This Row],[DNI]],_VF2026[DNI],_VF2026[R3]),"65 DNC")</f>
        <v>15</v>
      </c>
      <c r="R81" s="20" t="str">
        <f>IFERROR(_xlfn.XLOOKUP(Selectivo6[[#This Row],[DNI]],_VF2026[DNI],_VF2026[R4]),"65 DNC")</f>
        <v>65 BFD</v>
      </c>
      <c r="S81" s="19" t="str">
        <f>IFERROR(_xlfn.XLOOKUP(Selectivo6[[#This Row],[DNI]],_VF2026[DNI],_VF2026[R5]),"65 DNC")</f>
        <v>47</v>
      </c>
      <c r="T81" s="19" t="str">
        <f>IFERROR(_xlfn.XLOOKUP(Selectivo6[[#This Row],[DNI]],_VF2026[DNI],_VF2026[R6]),"65 DNC")</f>
        <v>14</v>
      </c>
      <c r="U81" s="19" t="str">
        <f>IFERROR(_xlfn.XLOOKUP(Selectivo6[[#This Row],[DNI]],_VF2026[DNI],_VF2026[R7]),"65 DNC")</f>
        <v>18</v>
      </c>
      <c r="V81" s="19" t="str">
        <f>IFERROR(_xlfn.XLOOKUP(Selectivo6[[#This Row],[DNI]],_VF2026[DNI],_VF2026[R8]),"65 DNC")</f>
        <v>10</v>
      </c>
      <c r="W81" s="19"/>
      <c r="X81" s="19"/>
      <c r="Y81" s="19"/>
      <c r="Z81" s="19"/>
      <c r="AA81" s="19"/>
      <c r="AB81" s="8" cm="1">
        <f t="array" aca="1" ref="AB81" ca="1">SUM(IFERROR(VALUE(LEFT(Regatas, FIND(" ",Regatas&amp; " ") - 1)), 0))</f>
        <v>472</v>
      </c>
      <c r="AC81" s="9" cm="1">
        <f t="array" aca="1" ref="AC8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347</v>
      </c>
      <c r="AD81" s="6" cm="1">
        <f t="array" aca="1" ref="AD81" ca="1">SMALL(_xlfn._xlws.FILTER(RegatasN, RegatasN&lt;&gt;0), 1)</f>
        <v>10</v>
      </c>
      <c r="AE81" s="6" cm="1">
        <f t="array" aca="1" ref="AE81" ca="1">SMALL(_xlfn._xlws.FILTER(RegatasN, RegatasN&lt;&gt;0), 2)</f>
        <v>11</v>
      </c>
      <c r="AF81" s="6" cm="1">
        <f t="array" aca="1" ref="AF81" ca="1">SMALL(_xlfn._xlws.FILTER(RegatasN, RegatasN&lt;&gt;0), 3)</f>
        <v>13</v>
      </c>
      <c r="AG81" s="5" cm="1">
        <f t="array" aca="1" ref="AG81" ca="1">COUNTIF(Regatas,SMALL(_xlfn._xlws.FILTER(RegatasN, RegatasN&lt;&gt;0), 1))</f>
        <v>1</v>
      </c>
      <c r="AH81" s="6" t="e" cm="1">
        <f t="array" ref="AH8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2" spans="1:34">
      <c r="A82">
        <v>51511518</v>
      </c>
      <c r="B82" s="10">
        <f>ROW()-ROW(Selectivo6[[#Headers],[Pos]])</f>
        <v>76</v>
      </c>
      <c r="C82" s="5">
        <v>4197</v>
      </c>
      <c r="D82" t="s">
        <v>323</v>
      </c>
      <c r="E82" t="s">
        <v>171</v>
      </c>
      <c r="F82" s="19" t="str" cm="1">
        <f t="array" aca="1" ref="F82" ca="1">IFERROR(_xlfn.XLOOKUP(Selectivo6[[#This Row],[DNI]],S_S[DNI],INDIRECT("S_S["&amp;Selectivo6[[#Headers],[R1]]&amp;"]")),"60 DNC")</f>
        <v>21</v>
      </c>
      <c r="G82" s="19" t="str" cm="1">
        <f t="array" aca="1" ref="G82" ca="1">IFERROR(_xlfn.XLOOKUP(Selectivo6[[#This Row],[DNI]],S_S[DNI],INDIRECT("S_S["&amp;Selectivo6[[#Headers],[R2]]&amp;"]")),"60 DNC")</f>
        <v>24</v>
      </c>
      <c r="H82" s="19" t="str" cm="1">
        <f t="array" aca="1" ref="H82" ca="1">IFERROR(_xlfn.XLOOKUP(Selectivo6[[#This Row],[DNI]],S_S[DNI],INDIRECT("S_S["&amp;Selectivo6[[#Headers],[R3]]&amp;"]")),"60 DNC")</f>
        <v>14</v>
      </c>
      <c r="I82" s="19" t="str" cm="1">
        <f t="array" aca="1" ref="I82" ca="1">IFERROR(_xlfn.XLOOKUP(Selectivo6[[#This Row],[DNI]],S_S[DNI],INDIRECT("S_S["&amp;Selectivo6[[#Headers],[R4]]&amp;"]")),"60 DNC")</f>
        <v>14</v>
      </c>
      <c r="J82" s="19" t="str" cm="1">
        <f t="array" aca="1" ref="J82" ca="1">IFERROR(_xlfn.XLOOKUP(Selectivo6[[#This Row],[DNI]],S_S[DNI],INDIRECT("S_S["&amp;Selectivo6[[#Headers],[R5]]&amp;"]")),"60 DNC")</f>
        <v>20</v>
      </c>
      <c r="K82" s="19" t="str" cm="1">
        <f t="array" aca="1" ref="K82" ca="1">IFERROR(_xlfn.XLOOKUP(Selectivo6[[#This Row],[DNI]],S_S[DNI],INDIRECT("S_S["&amp;Selectivo6[[#Headers],[R6]]&amp;"]")),"60 DNC")</f>
        <v>19</v>
      </c>
      <c r="L82" s="19" t="str" cm="1">
        <f t="array" aca="1" ref="L82" ca="1">IFERROR(_xlfn.XLOOKUP(Selectivo6[[#This Row],[DNI]],S_S[DNI],INDIRECT("S_S["&amp;Selectivo6[[#Headers],[R7]]&amp;"]")),"60 DNC")</f>
        <v>26</v>
      </c>
      <c r="M82" s="20" t="str" cm="1">
        <f t="array" aca="1" ref="M82" ca="1">IFERROR(_xlfn.XLOOKUP(Selectivo6[[#This Row],[DNI]],S_S[DNI],INDIRECT("S_S["&amp;Selectivo6[[#Headers],[R8]]&amp;"]")),"60 DNC")</f>
        <v>45</v>
      </c>
      <c r="N82" s="19" t="str" cm="1">
        <f t="array" aca="1" ref="N82" ca="1">IFERROR(_xlfn.XLOOKUP(Selectivo6[[#This Row],[DNI]],S_S[DNI],INDIRECT("S_S["&amp;Selectivo6[[#Headers],[R9]]&amp;"]")),"60 DNC")</f>
        <v>23</v>
      </c>
      <c r="O82" s="19" t="str">
        <f>IFERROR(_xlfn.XLOOKUP(Selectivo6[[#This Row],[DNI]],_VF2026[DNI],_VF2026[R1]),"65 DNC")</f>
        <v>37</v>
      </c>
      <c r="P82" s="19" t="str">
        <f>IFERROR(_xlfn.XLOOKUP(Selectivo6[[#This Row],[DNI]],_VF2026[DNI],_VF2026[R2]),"65 DNC")</f>
        <v>42</v>
      </c>
      <c r="Q82" s="19" t="str">
        <f>IFERROR(_xlfn.XLOOKUP(Selectivo6[[#This Row],[DNI]],_VF2026[DNI],_VF2026[R3]),"65 DNC")</f>
        <v>27</v>
      </c>
      <c r="R82" s="20" t="str">
        <f>IFERROR(_xlfn.XLOOKUP(Selectivo6[[#This Row],[DNI]],_VF2026[DNI],_VF2026[R4]),"65 DNC")</f>
        <v>65 BFD</v>
      </c>
      <c r="S82" s="19" t="str">
        <f>IFERROR(_xlfn.XLOOKUP(Selectivo6[[#This Row],[DNI]],_VF2026[DNI],_VF2026[R5]),"65 DNC")</f>
        <v>24</v>
      </c>
      <c r="T82" s="19" t="str">
        <f>IFERROR(_xlfn.XLOOKUP(Selectivo6[[#This Row],[DNI]],_VF2026[DNI],_VF2026[R6]),"65 DNC")</f>
        <v>16</v>
      </c>
      <c r="U82" s="19" t="str">
        <f>IFERROR(_xlfn.XLOOKUP(Selectivo6[[#This Row],[DNI]],_VF2026[DNI],_VF2026[R7]),"65 DNC")</f>
        <v>12</v>
      </c>
      <c r="V82" s="19" t="str">
        <f>IFERROR(_xlfn.XLOOKUP(Selectivo6[[#This Row],[DNI]],_VF2026[DNI],_VF2026[R8]),"65 DNC")</f>
        <v>29</v>
      </c>
      <c r="W82" s="19"/>
      <c r="X82" s="19"/>
      <c r="Y82" s="19"/>
      <c r="Z82" s="19"/>
      <c r="AA82" s="19"/>
      <c r="AB82" s="8" cm="1">
        <f t="array" aca="1" ref="AB82" ca="1">SUM(IFERROR(VALUE(LEFT(Regatas, FIND(" ",Regatas&amp; " ") - 1)), 0))</f>
        <v>458</v>
      </c>
      <c r="AC82" s="9" cm="1">
        <f t="array" aca="1" ref="AC8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348</v>
      </c>
      <c r="AD82" s="6" cm="1">
        <f t="array" aca="1" ref="AD82" ca="1">SMALL(_xlfn._xlws.FILTER(RegatasN, RegatasN&lt;&gt;0), 1)</f>
        <v>12</v>
      </c>
      <c r="AE82" s="6" cm="1">
        <f t="array" aca="1" ref="AE82" ca="1">SMALL(_xlfn._xlws.FILTER(RegatasN, RegatasN&lt;&gt;0), 2)</f>
        <v>14</v>
      </c>
      <c r="AF82" s="6" cm="1">
        <f t="array" aca="1" ref="AF82" ca="1">SMALL(_xlfn._xlws.FILTER(RegatasN, RegatasN&lt;&gt;0), 3)</f>
        <v>14</v>
      </c>
      <c r="AG82" s="5" cm="1">
        <f t="array" aca="1" ref="AG82" ca="1">COUNTIF(Regatas,SMALL(_xlfn._xlws.FILTER(RegatasN, RegatasN&lt;&gt;0), 1))</f>
        <v>1</v>
      </c>
      <c r="AH82" s="6" t="e" cm="1">
        <f t="array" ref="AH8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3" spans="1:34">
      <c r="A83">
        <v>52866577</v>
      </c>
      <c r="B83" s="10">
        <f>ROW()-ROW(Selectivo6[[#Headers],[Pos]])</f>
        <v>77</v>
      </c>
      <c r="C83" s="5">
        <v>4225</v>
      </c>
      <c r="D83" t="s">
        <v>334</v>
      </c>
      <c r="E83" t="s">
        <v>335</v>
      </c>
      <c r="F83" s="19" t="str" cm="1">
        <f t="array" aca="1" ref="F83" ca="1">IFERROR(_xlfn.XLOOKUP(Selectivo6[[#This Row],[DNI]],S_S[DNI],INDIRECT("S_S["&amp;Selectivo6[[#Headers],[R1]]&amp;"]")),"60 DNC")</f>
        <v>33</v>
      </c>
      <c r="G83" s="20" t="str" cm="1">
        <f t="array" aca="1" ref="G83" ca="1">IFERROR(_xlfn.XLOOKUP(Selectivo6[[#This Row],[DNI]],S_S[DNI],INDIRECT("S_S["&amp;Selectivo6[[#Headers],[R2]]&amp;"]")),"60 DNC")</f>
        <v>60 BFD</v>
      </c>
      <c r="H83" s="19" t="str" cm="1">
        <f t="array" aca="1" ref="H83" ca="1">IFERROR(_xlfn.XLOOKUP(Selectivo6[[#This Row],[DNI]],S_S[DNI],INDIRECT("S_S["&amp;Selectivo6[[#Headers],[R3]]&amp;"]")),"60 DNC")</f>
        <v>34</v>
      </c>
      <c r="I83" s="19" t="str" cm="1">
        <f t="array" aca="1" ref="I83" ca="1">IFERROR(_xlfn.XLOOKUP(Selectivo6[[#This Row],[DNI]],S_S[DNI],INDIRECT("S_S["&amp;Selectivo6[[#Headers],[R4]]&amp;"]")),"60 DNC")</f>
        <v>18</v>
      </c>
      <c r="J83" s="19" t="str" cm="1">
        <f t="array" aca="1" ref="J83" ca="1">IFERROR(_xlfn.XLOOKUP(Selectivo6[[#This Row],[DNI]],S_S[DNI],INDIRECT("S_S["&amp;Selectivo6[[#Headers],[R5]]&amp;"]")),"60 DNC")</f>
        <v>14</v>
      </c>
      <c r="K83" s="19" t="str" cm="1">
        <f t="array" aca="1" ref="K83" ca="1">IFERROR(_xlfn.XLOOKUP(Selectivo6[[#This Row],[DNI]],S_S[DNI],INDIRECT("S_S["&amp;Selectivo6[[#Headers],[R6]]&amp;"]")),"60 DNC")</f>
        <v>18</v>
      </c>
      <c r="L83" s="19" t="str" cm="1">
        <f t="array" aca="1" ref="L83" ca="1">IFERROR(_xlfn.XLOOKUP(Selectivo6[[#This Row],[DNI]],S_S[DNI],INDIRECT("S_S["&amp;Selectivo6[[#Headers],[R7]]&amp;"]")),"60 DNC")</f>
        <v>16</v>
      </c>
      <c r="M83" s="19" t="str" cm="1">
        <f t="array" aca="1" ref="M83" ca="1">IFERROR(_xlfn.XLOOKUP(Selectivo6[[#This Row],[DNI]],S_S[DNI],INDIRECT("S_S["&amp;Selectivo6[[#Headers],[R8]]&amp;"]")),"60 DNC")</f>
        <v>14</v>
      </c>
      <c r="N83" s="19" t="str" cm="1">
        <f t="array" aca="1" ref="N83" ca="1">IFERROR(_xlfn.XLOOKUP(Selectivo6[[#This Row],[DNI]],S_S[DNI],INDIRECT("S_S["&amp;Selectivo6[[#Headers],[R9]]&amp;"]")),"60 DNC")</f>
        <v>18</v>
      </c>
      <c r="O83" s="20" t="str">
        <f>IFERROR(_xlfn.XLOOKUP(Selectivo6[[#This Row],[DNI]],_VF2026[DNI],_VF2026[R1]),"65 DNC")</f>
        <v>65 BFD</v>
      </c>
      <c r="P83" s="19" t="str">
        <f>IFERROR(_xlfn.XLOOKUP(Selectivo6[[#This Row],[DNI]],_VF2026[DNI],_VF2026[R2]),"65 DNC")</f>
        <v>30</v>
      </c>
      <c r="Q83" s="19" t="str">
        <f>IFERROR(_xlfn.XLOOKUP(Selectivo6[[#This Row],[DNI]],_VF2026[DNI],_VF2026[R3]),"65 DNC")</f>
        <v>17</v>
      </c>
      <c r="R83" s="19" t="str">
        <f>IFERROR(_xlfn.XLOOKUP(Selectivo6[[#This Row],[DNI]],_VF2026[DNI],_VF2026[R4]),"65 DNC")</f>
        <v>19</v>
      </c>
      <c r="S83" s="19" t="str">
        <f>IFERROR(_xlfn.XLOOKUP(Selectivo6[[#This Row],[DNI]],_VF2026[DNI],_VF2026[R5]),"65 DNC")</f>
        <v>21</v>
      </c>
      <c r="T83" s="19" t="str">
        <f>IFERROR(_xlfn.XLOOKUP(Selectivo6[[#This Row],[DNI]],_VF2026[DNI],_VF2026[R6]),"65 DNC")</f>
        <v>48</v>
      </c>
      <c r="U83" s="19" t="str">
        <f>IFERROR(_xlfn.XLOOKUP(Selectivo6[[#This Row],[DNI]],_VF2026[DNI],_VF2026[R7]),"65 DNC")</f>
        <v>31</v>
      </c>
      <c r="V83" s="19" t="str">
        <f>IFERROR(_xlfn.XLOOKUP(Selectivo6[[#This Row],[DNI]],_VF2026[DNI],_VF2026[R8]),"65 DNC")</f>
        <v>24</v>
      </c>
      <c r="W83" s="19"/>
      <c r="X83" s="19"/>
      <c r="Y83" s="19"/>
      <c r="Z83" s="19"/>
      <c r="AA83" s="19"/>
      <c r="AB83" s="8" cm="1">
        <f t="array" aca="1" ref="AB83" ca="1">SUM(IFERROR(VALUE(LEFT(Regatas, FIND(" ",Regatas&amp; " ") - 1)), 0))</f>
        <v>480</v>
      </c>
      <c r="AC83" s="9" cm="1">
        <f t="array" aca="1" ref="AC8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355</v>
      </c>
      <c r="AD83" s="6" cm="1">
        <f t="array" aca="1" ref="AD83" ca="1">SMALL(_xlfn._xlws.FILTER(RegatasN, RegatasN&lt;&gt;0), 1)</f>
        <v>14</v>
      </c>
      <c r="AE83" s="6" cm="1">
        <f t="array" aca="1" ref="AE83" ca="1">SMALL(_xlfn._xlws.FILTER(RegatasN, RegatasN&lt;&gt;0), 2)</f>
        <v>14</v>
      </c>
      <c r="AF83" s="6" cm="1">
        <f t="array" aca="1" ref="AF83" ca="1">SMALL(_xlfn._xlws.FILTER(RegatasN, RegatasN&lt;&gt;0), 3)</f>
        <v>16</v>
      </c>
      <c r="AG83" s="5" cm="1">
        <f t="array" aca="1" ref="AG83" ca="1">COUNTIF(Regatas,SMALL(_xlfn._xlws.FILTER(RegatasN, RegatasN&lt;&gt;0), 1))</f>
        <v>2</v>
      </c>
      <c r="AH83" s="6" t="e" cm="1">
        <f t="array" ref="AH8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4" spans="1:34">
      <c r="A84">
        <v>53456040</v>
      </c>
      <c r="B84" s="10">
        <f>ROW()-ROW(Selectivo6[[#Headers],[Pos]])</f>
        <v>78</v>
      </c>
      <c r="C84" s="5">
        <v>4263</v>
      </c>
      <c r="D84" t="s">
        <v>328</v>
      </c>
      <c r="E84" t="s">
        <v>10</v>
      </c>
      <c r="F84" s="19" t="str" cm="1">
        <f t="array" aca="1" ref="F84" ca="1">IFERROR(_xlfn.XLOOKUP(Selectivo6[[#This Row],[DNI]],S_S[DNI],INDIRECT("S_S["&amp;Selectivo6[[#Headers],[R1]]&amp;"]")),"60 DNC")</f>
        <v>22</v>
      </c>
      <c r="G84" s="19" t="str" cm="1">
        <f t="array" aca="1" ref="G84" ca="1">IFERROR(_xlfn.XLOOKUP(Selectivo6[[#This Row],[DNI]],S_S[DNI],INDIRECT("S_S["&amp;Selectivo6[[#Headers],[R2]]&amp;"]")),"60 DNC")</f>
        <v>27</v>
      </c>
      <c r="H84" s="19" t="str" cm="1">
        <f t="array" aca="1" ref="H84" ca="1">IFERROR(_xlfn.XLOOKUP(Selectivo6[[#This Row],[DNI]],S_S[DNI],INDIRECT("S_S["&amp;Selectivo6[[#Headers],[R3]]&amp;"]")),"60 DNC")</f>
        <v>12</v>
      </c>
      <c r="I84" s="19" t="str" cm="1">
        <f t="array" aca="1" ref="I84" ca="1">IFERROR(_xlfn.XLOOKUP(Selectivo6[[#This Row],[DNI]],S_S[DNI],INDIRECT("S_S["&amp;Selectivo6[[#Headers],[R4]]&amp;"]")),"60 DNC")</f>
        <v>14</v>
      </c>
      <c r="J84" s="19" t="str" cm="1">
        <f t="array" aca="1" ref="J84" ca="1">IFERROR(_xlfn.XLOOKUP(Selectivo6[[#This Row],[DNI]],S_S[DNI],INDIRECT("S_S["&amp;Selectivo6[[#Headers],[R5]]&amp;"]")),"60 DNC")</f>
        <v>5</v>
      </c>
      <c r="K84" s="19" t="str" cm="1">
        <f t="array" aca="1" ref="K84" ca="1">IFERROR(_xlfn.XLOOKUP(Selectivo6[[#This Row],[DNI]],S_S[DNI],INDIRECT("S_S["&amp;Selectivo6[[#Headers],[R6]]&amp;"]")),"60 DNC")</f>
        <v>32</v>
      </c>
      <c r="L84" s="19" t="str" cm="1">
        <f t="array" aca="1" ref="L84" ca="1">IFERROR(_xlfn.XLOOKUP(Selectivo6[[#This Row],[DNI]],S_S[DNI],INDIRECT("S_S["&amp;Selectivo6[[#Headers],[R7]]&amp;"]")),"60 DNC")</f>
        <v>16</v>
      </c>
      <c r="M84" s="19" t="str" cm="1">
        <f t="array" aca="1" ref="M84" ca="1">IFERROR(_xlfn.XLOOKUP(Selectivo6[[#This Row],[DNI]],S_S[DNI],INDIRECT("S_S["&amp;Selectivo6[[#Headers],[R8]]&amp;"]")),"60 DNC")</f>
        <v>38</v>
      </c>
      <c r="N84" s="19" t="str" cm="1">
        <f t="array" aca="1" ref="N84" ca="1">IFERROR(_xlfn.XLOOKUP(Selectivo6[[#This Row],[DNI]],S_S[DNI],INDIRECT("S_S["&amp;Selectivo6[[#Headers],[R9]]&amp;"]")),"60 DNC")</f>
        <v>36</v>
      </c>
      <c r="O84" s="20" t="str">
        <f>IFERROR(_xlfn.XLOOKUP(Selectivo6[[#This Row],[DNI]],_VF2026[DNI],_VF2026[R1]),"65 DNC")</f>
        <v>65 BFD</v>
      </c>
      <c r="P84" s="20" t="str">
        <f>IFERROR(_xlfn.XLOOKUP(Selectivo6[[#This Row],[DNI]],_VF2026[DNI],_VF2026[R2]),"65 DNC")</f>
        <v>65 BFD</v>
      </c>
      <c r="Q84" s="19" t="str">
        <f>IFERROR(_xlfn.XLOOKUP(Selectivo6[[#This Row],[DNI]],_VF2026[DNI],_VF2026[R3]),"65 DNC")</f>
        <v>65 UFD</v>
      </c>
      <c r="R84" s="19" t="str">
        <f>IFERROR(_xlfn.XLOOKUP(Selectivo6[[#This Row],[DNI]],_VF2026[DNI],_VF2026[R4]),"65 DNC")</f>
        <v>14</v>
      </c>
      <c r="S84" s="19" t="str">
        <f>IFERROR(_xlfn.XLOOKUP(Selectivo6[[#This Row],[DNI]],_VF2026[DNI],_VF2026[R5]),"65 DNC")</f>
        <v>29</v>
      </c>
      <c r="T84" s="19" t="str">
        <f>IFERROR(_xlfn.XLOOKUP(Selectivo6[[#This Row],[DNI]],_VF2026[DNI],_VF2026[R6]),"65 DNC")</f>
        <v>17</v>
      </c>
      <c r="U84" s="19" t="str">
        <f>IFERROR(_xlfn.XLOOKUP(Selectivo6[[#This Row],[DNI]],_VF2026[DNI],_VF2026[R7]),"65 DNC")</f>
        <v>13</v>
      </c>
      <c r="V84" s="19" t="str">
        <f>IFERROR(_xlfn.XLOOKUP(Selectivo6[[#This Row],[DNI]],_VF2026[DNI],_VF2026[R8]),"65 DNC")</f>
        <v>16</v>
      </c>
      <c r="W84" s="19"/>
      <c r="X84" s="19"/>
      <c r="Y84" s="19"/>
      <c r="Z84" s="19"/>
      <c r="AA84" s="19"/>
      <c r="AB84" s="8" cm="1">
        <f t="array" aca="1" ref="AB84" ca="1">SUM(IFERROR(VALUE(LEFT(Regatas, FIND(" ",Regatas&amp; " ") - 1)), 0))</f>
        <v>486</v>
      </c>
      <c r="AC84" s="9" cm="1">
        <f t="array" aca="1" ref="AC8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356</v>
      </c>
      <c r="AD84" s="6" cm="1">
        <f t="array" aca="1" ref="AD84" ca="1">SMALL(_xlfn._xlws.FILTER(RegatasN, RegatasN&lt;&gt;0), 1)</f>
        <v>5</v>
      </c>
      <c r="AE84" s="6" cm="1">
        <f t="array" aca="1" ref="AE84" ca="1">SMALL(_xlfn._xlws.FILTER(RegatasN, RegatasN&lt;&gt;0), 2)</f>
        <v>12</v>
      </c>
      <c r="AF84" s="6" cm="1">
        <f t="array" aca="1" ref="AF84" ca="1">SMALL(_xlfn._xlws.FILTER(RegatasN, RegatasN&lt;&gt;0), 3)</f>
        <v>13</v>
      </c>
      <c r="AG84" s="5" cm="1">
        <f t="array" aca="1" ref="AG84" ca="1">COUNTIF(Regatas,SMALL(_xlfn._xlws.FILTER(RegatasN, RegatasN&lt;&gt;0), 1))</f>
        <v>1</v>
      </c>
      <c r="AH84" s="6" t="e" cm="1">
        <f t="array" ref="AH8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5" spans="1:34">
      <c r="A85">
        <v>51422775</v>
      </c>
      <c r="B85" s="10">
        <f>ROW()-ROW(Selectivo6[[#Headers],[Pos]])</f>
        <v>79</v>
      </c>
      <c r="C85" s="5">
        <v>3862</v>
      </c>
      <c r="D85" t="s">
        <v>337</v>
      </c>
      <c r="E85" t="s">
        <v>6</v>
      </c>
      <c r="F85" s="19" t="str" cm="1">
        <f t="array" aca="1" ref="F85" ca="1">IFERROR(_xlfn.XLOOKUP(Selectivo6[[#This Row],[DNI]],S_S[DNI],INDIRECT("S_S["&amp;Selectivo6[[#Headers],[R1]]&amp;"]")),"60 DNC")</f>
        <v>30</v>
      </c>
      <c r="G85" s="19" t="str" cm="1">
        <f t="array" aca="1" ref="G85" ca="1">IFERROR(_xlfn.XLOOKUP(Selectivo6[[#This Row],[DNI]],S_S[DNI],INDIRECT("S_S["&amp;Selectivo6[[#Headers],[R2]]&amp;"]")),"60 DNC")</f>
        <v>6</v>
      </c>
      <c r="H85" s="19" t="str" cm="1">
        <f t="array" aca="1" ref="H85" ca="1">IFERROR(_xlfn.XLOOKUP(Selectivo6[[#This Row],[DNI]],S_S[DNI],INDIRECT("S_S["&amp;Selectivo6[[#Headers],[R3]]&amp;"]")),"60 DNC")</f>
        <v>27</v>
      </c>
      <c r="I85" s="19" t="str" cm="1">
        <f t="array" aca="1" ref="I85" ca="1">IFERROR(_xlfn.XLOOKUP(Selectivo6[[#This Row],[DNI]],S_S[DNI],INDIRECT("S_S["&amp;Selectivo6[[#Headers],[R4]]&amp;"]")),"60 DNC")</f>
        <v>22</v>
      </c>
      <c r="J85" s="19" t="str" cm="1">
        <f t="array" aca="1" ref="J85" ca="1">IFERROR(_xlfn.XLOOKUP(Selectivo6[[#This Row],[DNI]],S_S[DNI],INDIRECT("S_S["&amp;Selectivo6[[#Headers],[R5]]&amp;"]")),"60 DNC")</f>
        <v>34</v>
      </c>
      <c r="K85" s="19" t="str" cm="1">
        <f t="array" aca="1" ref="K85" ca="1">IFERROR(_xlfn.XLOOKUP(Selectivo6[[#This Row],[DNI]],S_S[DNI],INDIRECT("S_S["&amp;Selectivo6[[#Headers],[R6]]&amp;"]")),"60 DNC")</f>
        <v>34</v>
      </c>
      <c r="L85" s="19" t="str" cm="1">
        <f t="array" aca="1" ref="L85" ca="1">IFERROR(_xlfn.XLOOKUP(Selectivo6[[#This Row],[DNI]],S_S[DNI],INDIRECT("S_S["&amp;Selectivo6[[#Headers],[R7]]&amp;"]")),"60 DNC")</f>
        <v>8</v>
      </c>
      <c r="M85" s="19" t="str" cm="1">
        <f t="array" aca="1" ref="M85" ca="1">IFERROR(_xlfn.XLOOKUP(Selectivo6[[#This Row],[DNI]],S_S[DNI],INDIRECT("S_S["&amp;Selectivo6[[#Headers],[R8]]&amp;"]")),"60 DNC")</f>
        <v>28</v>
      </c>
      <c r="N85" s="19" t="str" cm="1">
        <f t="array" aca="1" ref="N85" ca="1">IFERROR(_xlfn.XLOOKUP(Selectivo6[[#This Row],[DNI]],S_S[DNI],INDIRECT("S_S["&amp;Selectivo6[[#Headers],[R9]]&amp;"]")),"60 DNC")</f>
        <v>11</v>
      </c>
      <c r="O85" s="19" t="str">
        <f>IFERROR(_xlfn.XLOOKUP(Selectivo6[[#This Row],[DNI]],_VF2026[DNI],_VF2026[R1]),"65 DNC")</f>
        <v>28</v>
      </c>
      <c r="P85" s="19" t="str">
        <f>IFERROR(_xlfn.XLOOKUP(Selectivo6[[#This Row],[DNI]],_VF2026[DNI],_VF2026[R2]),"65 DNC")</f>
        <v>15</v>
      </c>
      <c r="Q85" s="19" t="str">
        <f>IFERROR(_xlfn.XLOOKUP(Selectivo6[[#This Row],[DNI]],_VF2026[DNI],_VF2026[R3]),"65 DNC")</f>
        <v>20</v>
      </c>
      <c r="R85" s="19" t="str">
        <f>IFERROR(_xlfn.XLOOKUP(Selectivo6[[#This Row],[DNI]],_VF2026[DNI],_VF2026[R4]),"65 DNC")</f>
        <v>12</v>
      </c>
      <c r="S85" s="19" t="str">
        <f>IFERROR(_xlfn.XLOOKUP(Selectivo6[[#This Row],[DNI]],_VF2026[DNI],_VF2026[R5]),"65 DNC")</f>
        <v>18</v>
      </c>
      <c r="T85" s="20" t="str">
        <f>IFERROR(_xlfn.XLOOKUP(Selectivo6[[#This Row],[DNI]],_VF2026[DNI],_VF2026[R6]),"65 DNC")</f>
        <v>65 DNC</v>
      </c>
      <c r="U85" s="20" t="str">
        <f>IFERROR(_xlfn.XLOOKUP(Selectivo6[[#This Row],[DNI]],_VF2026[DNI],_VF2026[R7]),"65 DNC")</f>
        <v>65 DNC</v>
      </c>
      <c r="V85" s="19" t="str">
        <f>IFERROR(_xlfn.XLOOKUP(Selectivo6[[#This Row],[DNI]],_VF2026[DNI],_VF2026[R8]),"65 DNC")</f>
        <v>65 DNC</v>
      </c>
      <c r="W85" s="19"/>
      <c r="X85" s="19"/>
      <c r="Y85" s="19"/>
      <c r="Z85" s="19"/>
      <c r="AA85" s="19"/>
      <c r="AB85" s="8" cm="1">
        <f t="array" aca="1" ref="AB85" ca="1">SUM(IFERROR(VALUE(LEFT(Regatas, FIND(" ",Regatas&amp; " ") - 1)), 0))</f>
        <v>488</v>
      </c>
      <c r="AC85" s="9" cm="1">
        <f t="array" aca="1" ref="AC8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358</v>
      </c>
      <c r="AD85" s="6" cm="1">
        <f t="array" aca="1" ref="AD85" ca="1">SMALL(_xlfn._xlws.FILTER(RegatasN, RegatasN&lt;&gt;0), 1)</f>
        <v>6</v>
      </c>
      <c r="AE85" s="6" cm="1">
        <f t="array" aca="1" ref="AE85" ca="1">SMALL(_xlfn._xlws.FILTER(RegatasN, RegatasN&lt;&gt;0), 2)</f>
        <v>8</v>
      </c>
      <c r="AF85" s="6" cm="1">
        <f t="array" aca="1" ref="AF85" ca="1">SMALL(_xlfn._xlws.FILTER(RegatasN, RegatasN&lt;&gt;0), 3)</f>
        <v>11</v>
      </c>
      <c r="AG85" s="5" cm="1">
        <f t="array" aca="1" ref="AG85" ca="1">COUNTIF(Regatas,SMALL(_xlfn._xlws.FILTER(RegatasN, RegatasN&lt;&gt;0), 1))</f>
        <v>1</v>
      </c>
      <c r="AH85" s="6" t="e" cm="1">
        <f t="array" ref="AH8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6" spans="1:34">
      <c r="A86">
        <v>53327460</v>
      </c>
      <c r="B86" s="10">
        <f>ROW()-ROW(Selectivo6[[#Headers],[Pos]])</f>
        <v>80</v>
      </c>
      <c r="C86" s="5">
        <v>4072</v>
      </c>
      <c r="D86" t="s">
        <v>348</v>
      </c>
      <c r="E86" t="s">
        <v>21</v>
      </c>
      <c r="F86" s="19" t="str" cm="1">
        <f t="array" aca="1" ref="F86" ca="1">IFERROR(_xlfn.XLOOKUP(Selectivo6[[#This Row],[DNI]],S_S[DNI],INDIRECT("S_S["&amp;Selectivo6[[#Headers],[R1]]&amp;"]")),"60 DNC")</f>
        <v>35</v>
      </c>
      <c r="G86" s="19" t="str" cm="1">
        <f t="array" aca="1" ref="G86" ca="1">IFERROR(_xlfn.XLOOKUP(Selectivo6[[#This Row],[DNI]],S_S[DNI],INDIRECT("S_S["&amp;Selectivo6[[#Headers],[R2]]&amp;"]")),"60 DNC")</f>
        <v>35</v>
      </c>
      <c r="H86" s="19" t="str" cm="1">
        <f t="array" aca="1" ref="H86" ca="1">IFERROR(_xlfn.XLOOKUP(Selectivo6[[#This Row],[DNI]],S_S[DNI],INDIRECT("S_S["&amp;Selectivo6[[#Headers],[R3]]&amp;"]")),"60 DNC")</f>
        <v>22</v>
      </c>
      <c r="I86" s="19" t="str" cm="1">
        <f t="array" aca="1" ref="I86" ca="1">IFERROR(_xlfn.XLOOKUP(Selectivo6[[#This Row],[DNI]],S_S[DNI],INDIRECT("S_S["&amp;Selectivo6[[#Headers],[R4]]&amp;"]")),"60 DNC")</f>
        <v>4</v>
      </c>
      <c r="J86" s="19" t="str" cm="1">
        <f t="array" aca="1" ref="J86" ca="1">IFERROR(_xlfn.XLOOKUP(Selectivo6[[#This Row],[DNI]],S_S[DNI],INDIRECT("S_S["&amp;Selectivo6[[#Headers],[R5]]&amp;"]")),"60 DNC")</f>
        <v>22</v>
      </c>
      <c r="K86" s="19" t="str" cm="1">
        <f t="array" aca="1" ref="K86" ca="1">IFERROR(_xlfn.XLOOKUP(Selectivo6[[#This Row],[DNI]],S_S[DNI],INDIRECT("S_S["&amp;Selectivo6[[#Headers],[R6]]&amp;"]")),"60 DNC")</f>
        <v>20</v>
      </c>
      <c r="L86" s="20" t="str" cm="1">
        <f t="array" aca="1" ref="L86" ca="1">IFERROR(_xlfn.XLOOKUP(Selectivo6[[#This Row],[DNI]],S_S[DNI],INDIRECT("S_S["&amp;Selectivo6[[#Headers],[R7]]&amp;"]")),"60 DNC")</f>
        <v>60 BFD</v>
      </c>
      <c r="M86" s="19" t="str" cm="1">
        <f t="array" aca="1" ref="M86" ca="1">IFERROR(_xlfn.XLOOKUP(Selectivo6[[#This Row],[DNI]],S_S[DNI],INDIRECT("S_S["&amp;Selectivo6[[#Headers],[R8]]&amp;"]")),"60 DNC")</f>
        <v>20</v>
      </c>
      <c r="N86" s="19" t="str" cm="1">
        <f t="array" aca="1" ref="N86" ca="1">IFERROR(_xlfn.XLOOKUP(Selectivo6[[#This Row],[DNI]],S_S[DNI],INDIRECT("S_S["&amp;Selectivo6[[#Headers],[R9]]&amp;"]")),"60 DNC")</f>
        <v>19</v>
      </c>
      <c r="O86" s="19" t="str">
        <f>IFERROR(_xlfn.XLOOKUP(Selectivo6[[#This Row],[DNI]],_VF2026[DNI],_VF2026[R1]),"65 DNC")</f>
        <v>23</v>
      </c>
      <c r="P86" s="19" t="str">
        <f>IFERROR(_xlfn.XLOOKUP(Selectivo6[[#This Row],[DNI]],_VF2026[DNI],_VF2026[R2]),"65 DNC")</f>
        <v>31</v>
      </c>
      <c r="Q86" s="20" t="str">
        <f>IFERROR(_xlfn.XLOOKUP(Selectivo6[[#This Row],[DNI]],_VF2026[DNI],_VF2026[R3]),"65 DNC")</f>
        <v>37</v>
      </c>
      <c r="R86" s="19" t="str">
        <f>IFERROR(_xlfn.XLOOKUP(Selectivo6[[#This Row],[DNI]],_VF2026[DNI],_VF2026[R4]),"65 DNC")</f>
        <v>31</v>
      </c>
      <c r="S86" s="19" t="str">
        <f>IFERROR(_xlfn.XLOOKUP(Selectivo6[[#This Row],[DNI]],_VF2026[DNI],_VF2026[R5]),"65 DNC")</f>
        <v>37</v>
      </c>
      <c r="T86" s="19" t="str">
        <f>IFERROR(_xlfn.XLOOKUP(Selectivo6[[#This Row],[DNI]],_VF2026[DNI],_VF2026[R6]),"65 DNC")</f>
        <v>25</v>
      </c>
      <c r="U86" s="19" t="str">
        <f>IFERROR(_xlfn.XLOOKUP(Selectivo6[[#This Row],[DNI]],_VF2026[DNI],_VF2026[R7]),"65 DNC")</f>
        <v>29</v>
      </c>
      <c r="V86" s="19" t="str">
        <f>IFERROR(_xlfn.XLOOKUP(Selectivo6[[#This Row],[DNI]],_VF2026[DNI],_VF2026[R8]),"65 DNC")</f>
        <v>6</v>
      </c>
      <c r="W86" s="19"/>
      <c r="X86" s="19"/>
      <c r="Y86" s="19"/>
      <c r="Z86" s="19"/>
      <c r="AA86" s="19"/>
      <c r="AB86" s="8" cm="1">
        <f t="array" aca="1" ref="AB86" ca="1">SUM(IFERROR(VALUE(LEFT(Regatas, FIND(" ",Regatas&amp; " ") - 1)), 0))</f>
        <v>456</v>
      </c>
      <c r="AC86" s="9" cm="1">
        <f t="array" aca="1" ref="AC8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359</v>
      </c>
      <c r="AD86" s="6" cm="1">
        <f t="array" aca="1" ref="AD86" ca="1">SMALL(_xlfn._xlws.FILTER(RegatasN, RegatasN&lt;&gt;0), 1)</f>
        <v>4</v>
      </c>
      <c r="AE86" s="6" cm="1">
        <f t="array" aca="1" ref="AE86" ca="1">SMALL(_xlfn._xlws.FILTER(RegatasN, RegatasN&lt;&gt;0), 2)</f>
        <v>6</v>
      </c>
      <c r="AF86" s="6" cm="1">
        <f t="array" aca="1" ref="AF86" ca="1">SMALL(_xlfn._xlws.FILTER(RegatasN, RegatasN&lt;&gt;0), 3)</f>
        <v>19</v>
      </c>
      <c r="AG86" s="5" cm="1">
        <f t="array" aca="1" ref="AG86" ca="1">COUNTIF(Regatas,SMALL(_xlfn._xlws.FILTER(RegatasN, RegatasN&lt;&gt;0), 1))</f>
        <v>1</v>
      </c>
      <c r="AH86" s="6" t="e" cm="1">
        <f t="array" ref="AH8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7" spans="1:34">
      <c r="A87">
        <v>51723975</v>
      </c>
      <c r="B87" s="10">
        <f>ROW()-ROW(Selectivo6[[#Headers],[Pos]])</f>
        <v>81</v>
      </c>
      <c r="C87" s="5">
        <v>4118</v>
      </c>
      <c r="D87" t="s">
        <v>350</v>
      </c>
      <c r="E87" t="s">
        <v>21</v>
      </c>
      <c r="F87" s="19" t="str" cm="1">
        <f t="array" aca="1" ref="F87" ca="1">IFERROR(_xlfn.XLOOKUP(Selectivo6[[#This Row],[DNI]],S_S[DNI],INDIRECT("S_S["&amp;Selectivo6[[#Headers],[R1]]&amp;"]")),"60 DNC")</f>
        <v>15</v>
      </c>
      <c r="G87" s="19" t="str" cm="1">
        <f t="array" aca="1" ref="G87" ca="1">IFERROR(_xlfn.XLOOKUP(Selectivo6[[#This Row],[DNI]],S_S[DNI],INDIRECT("S_S["&amp;Selectivo6[[#Headers],[R2]]&amp;"]")),"60 DNC")</f>
        <v>23</v>
      </c>
      <c r="H87" s="19" t="str" cm="1">
        <f t="array" aca="1" ref="H87" ca="1">IFERROR(_xlfn.XLOOKUP(Selectivo6[[#This Row],[DNI]],S_S[DNI],INDIRECT("S_S["&amp;Selectivo6[[#Headers],[R3]]&amp;"]")),"60 DNC")</f>
        <v>26</v>
      </c>
      <c r="I87" s="20" t="str" cm="1">
        <f t="array" aca="1" ref="I87" ca="1">IFERROR(_xlfn.XLOOKUP(Selectivo6[[#This Row],[DNI]],S_S[DNI],INDIRECT("S_S["&amp;Selectivo6[[#Headers],[R4]]&amp;"]")),"60 DNC")</f>
        <v>41</v>
      </c>
      <c r="J87" s="19" t="str" cm="1">
        <f t="array" aca="1" ref="J87" ca="1">IFERROR(_xlfn.XLOOKUP(Selectivo6[[#This Row],[DNI]],S_S[DNI],INDIRECT("S_S["&amp;Selectivo6[[#Headers],[R5]]&amp;"]")),"60 DNC")</f>
        <v>38</v>
      </c>
      <c r="K87" s="19" t="str" cm="1">
        <f t="array" aca="1" ref="K87" ca="1">IFERROR(_xlfn.XLOOKUP(Selectivo6[[#This Row],[DNI]],S_S[DNI],INDIRECT("S_S["&amp;Selectivo6[[#Headers],[R6]]&amp;"]")),"60 DNC")</f>
        <v>14</v>
      </c>
      <c r="L87" s="19" t="str" cm="1">
        <f t="array" aca="1" ref="L87" ca="1">IFERROR(_xlfn.XLOOKUP(Selectivo6[[#This Row],[DNI]],S_S[DNI],INDIRECT("S_S["&amp;Selectivo6[[#Headers],[R7]]&amp;"]")),"60 DNC")</f>
        <v>35</v>
      </c>
      <c r="M87" s="19" t="str" cm="1">
        <f t="array" aca="1" ref="M87" ca="1">IFERROR(_xlfn.XLOOKUP(Selectivo6[[#This Row],[DNI]],S_S[DNI],INDIRECT("S_S["&amp;Selectivo6[[#Headers],[R8]]&amp;"]")),"60 DNC")</f>
        <v>17</v>
      </c>
      <c r="N87" s="19" t="str" cm="1">
        <f t="array" aca="1" ref="N87" ca="1">IFERROR(_xlfn.XLOOKUP(Selectivo6[[#This Row],[DNI]],S_S[DNI],INDIRECT("S_S["&amp;Selectivo6[[#Headers],[R9]]&amp;"]")),"60 DNC")</f>
        <v>10</v>
      </c>
      <c r="O87" s="20" t="str">
        <f>IFERROR(_xlfn.XLOOKUP(Selectivo6[[#This Row],[DNI]],_VF2026[DNI],_VF2026[R1]),"65 DNC")</f>
        <v>65 UFD</v>
      </c>
      <c r="P87" s="19" t="str">
        <f>IFERROR(_xlfn.XLOOKUP(Selectivo6[[#This Row],[DNI]],_VF2026[DNI],_VF2026[R2]),"65 DNC")</f>
        <v>19</v>
      </c>
      <c r="Q87" s="19" t="str">
        <f>IFERROR(_xlfn.XLOOKUP(Selectivo6[[#This Row],[DNI]],_VF2026[DNI],_VF2026[R3]),"65 DNC")</f>
        <v>29</v>
      </c>
      <c r="R87" s="19" t="str">
        <f>IFERROR(_xlfn.XLOOKUP(Selectivo6[[#This Row],[DNI]],_VF2026[DNI],_VF2026[R4]),"65 DNC")</f>
        <v>23</v>
      </c>
      <c r="S87" s="19" t="str">
        <f>IFERROR(_xlfn.XLOOKUP(Selectivo6[[#This Row],[DNI]],_VF2026[DNI],_VF2026[R5]),"65 DNC")</f>
        <v>19</v>
      </c>
      <c r="T87" s="19" t="str">
        <f>IFERROR(_xlfn.XLOOKUP(Selectivo6[[#This Row],[DNI]],_VF2026[DNI],_VF2026[R6]),"65 DNC")</f>
        <v>40</v>
      </c>
      <c r="U87" s="19" t="str">
        <f>IFERROR(_xlfn.XLOOKUP(Selectivo6[[#This Row],[DNI]],_VF2026[DNI],_VF2026[R7]),"65 DNC")</f>
        <v>20</v>
      </c>
      <c r="V87" s="19" t="str">
        <f>IFERROR(_xlfn.XLOOKUP(Selectivo6[[#This Row],[DNI]],_VF2026[DNI],_VF2026[R8]),"65 DNC")</f>
        <v>33</v>
      </c>
      <c r="W87" s="19"/>
      <c r="X87" s="19"/>
      <c r="Y87" s="19"/>
      <c r="Z87" s="19"/>
      <c r="AA87" s="19"/>
      <c r="AB87" s="8" cm="1">
        <f t="array" aca="1" ref="AB87" ca="1">SUM(IFERROR(VALUE(LEFT(Regatas, FIND(" ",Regatas&amp; " ") - 1)), 0))</f>
        <v>467</v>
      </c>
      <c r="AC87" s="9" cm="1">
        <f t="array" aca="1" ref="AC8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361</v>
      </c>
      <c r="AD87" s="6" cm="1">
        <f t="array" aca="1" ref="AD87" ca="1">SMALL(_xlfn._xlws.FILTER(RegatasN, RegatasN&lt;&gt;0), 1)</f>
        <v>10</v>
      </c>
      <c r="AE87" s="6" cm="1">
        <f t="array" aca="1" ref="AE87" ca="1">SMALL(_xlfn._xlws.FILTER(RegatasN, RegatasN&lt;&gt;0), 2)</f>
        <v>14</v>
      </c>
      <c r="AF87" s="6" cm="1">
        <f t="array" aca="1" ref="AF87" ca="1">SMALL(_xlfn._xlws.FILTER(RegatasN, RegatasN&lt;&gt;0), 3)</f>
        <v>15</v>
      </c>
      <c r="AG87" s="5" cm="1">
        <f t="array" aca="1" ref="AG87" ca="1">COUNTIF(Regatas,SMALL(_xlfn._xlws.FILTER(RegatasN, RegatasN&lt;&gt;0), 1))</f>
        <v>1</v>
      </c>
      <c r="AH87" s="6" t="e" cm="1">
        <f t="array" ref="AH8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8" spans="1:34">
      <c r="A88">
        <v>52977090</v>
      </c>
      <c r="B88" s="10">
        <f>ROW()-ROW(Selectivo6[[#Headers],[Pos]])</f>
        <v>82</v>
      </c>
      <c r="C88" s="5">
        <v>3819</v>
      </c>
      <c r="D88" t="s">
        <v>366</v>
      </c>
      <c r="E88" t="s">
        <v>23</v>
      </c>
      <c r="F88" s="19" t="str" cm="1">
        <f t="array" aca="1" ref="F88" ca="1">IFERROR(_xlfn.XLOOKUP(Selectivo6[[#This Row],[DNI]],S_S[DNI],INDIRECT("S_S["&amp;Selectivo6[[#Headers],[R1]]&amp;"]")),"60 DNC")</f>
        <v>30</v>
      </c>
      <c r="G88" s="19" t="str" cm="1">
        <f t="array" aca="1" ref="G88" ca="1">IFERROR(_xlfn.XLOOKUP(Selectivo6[[#This Row],[DNI]],S_S[DNI],INDIRECT("S_S["&amp;Selectivo6[[#Headers],[R2]]&amp;"]")),"60 DNC")</f>
        <v>17</v>
      </c>
      <c r="H88" s="19" t="str" cm="1">
        <f t="array" aca="1" ref="H88" ca="1">IFERROR(_xlfn.XLOOKUP(Selectivo6[[#This Row],[DNI]],S_S[DNI],INDIRECT("S_S["&amp;Selectivo6[[#Headers],[R3]]&amp;"]")),"60 DNC")</f>
        <v>30</v>
      </c>
      <c r="I88" s="19" t="str" cm="1">
        <f t="array" aca="1" ref="I88" ca="1">IFERROR(_xlfn.XLOOKUP(Selectivo6[[#This Row],[DNI]],S_S[DNI],INDIRECT("S_S["&amp;Selectivo6[[#Headers],[R4]]&amp;"]")),"60 DNC")</f>
        <v>21</v>
      </c>
      <c r="J88" s="19" t="str" cm="1">
        <f t="array" aca="1" ref="J88" ca="1">IFERROR(_xlfn.XLOOKUP(Selectivo6[[#This Row],[DNI]],S_S[DNI],INDIRECT("S_S["&amp;Selectivo6[[#Headers],[R5]]&amp;"]")),"60 DNC")</f>
        <v>35</v>
      </c>
      <c r="K88" s="19" t="str" cm="1">
        <f t="array" aca="1" ref="K88" ca="1">IFERROR(_xlfn.XLOOKUP(Selectivo6[[#This Row],[DNI]],S_S[DNI],INDIRECT("S_S["&amp;Selectivo6[[#Headers],[R6]]&amp;"]")),"60 DNC")</f>
        <v>22</v>
      </c>
      <c r="L88" s="19" t="str" cm="1">
        <f t="array" aca="1" ref="L88" ca="1">IFERROR(_xlfn.XLOOKUP(Selectivo6[[#This Row],[DNI]],S_S[DNI],INDIRECT("S_S["&amp;Selectivo6[[#Headers],[R7]]&amp;"]")),"60 DNC")</f>
        <v>18</v>
      </c>
      <c r="M88" s="19" t="str" cm="1">
        <f t="array" aca="1" ref="M88" ca="1">IFERROR(_xlfn.XLOOKUP(Selectivo6[[#This Row],[DNI]],S_S[DNI],INDIRECT("S_S["&amp;Selectivo6[[#Headers],[R8]]&amp;"]")),"60 DNC")</f>
        <v>29</v>
      </c>
      <c r="N88" s="19" t="str" cm="1">
        <f t="array" aca="1" ref="N88" ca="1">IFERROR(_xlfn.XLOOKUP(Selectivo6[[#This Row],[DNI]],S_S[DNI],INDIRECT("S_S["&amp;Selectivo6[[#Headers],[R9]]&amp;"]")),"60 DNC")</f>
        <v>24</v>
      </c>
      <c r="O88" s="19" t="str">
        <f>IFERROR(_xlfn.XLOOKUP(Selectivo6[[#This Row],[DNI]],_VF2026[DNI],_VF2026[R1]),"65 DNC")</f>
        <v>27</v>
      </c>
      <c r="P88" s="19" t="str">
        <f>IFERROR(_xlfn.XLOOKUP(Selectivo6[[#This Row],[DNI]],_VF2026[DNI],_VF2026[R2]),"65 DNC")</f>
        <v>20</v>
      </c>
      <c r="Q88" s="19" t="str">
        <f>IFERROR(_xlfn.XLOOKUP(Selectivo6[[#This Row],[DNI]],_VF2026[DNI],_VF2026[R3]),"65 DNC")</f>
        <v>24</v>
      </c>
      <c r="R88" s="20" t="str">
        <f>IFERROR(_xlfn.XLOOKUP(Selectivo6[[#This Row],[DNI]],_VF2026[DNI],_VF2026[R4]),"65 DNC")</f>
        <v>43</v>
      </c>
      <c r="S88" s="19" t="str">
        <f>IFERROR(_xlfn.XLOOKUP(Selectivo6[[#This Row],[DNI]],_VF2026[DNI],_VF2026[R5]),"65 DNC")</f>
        <v>26</v>
      </c>
      <c r="T88" s="20" t="str">
        <f>IFERROR(_xlfn.XLOOKUP(Selectivo6[[#This Row],[DNI]],_VF2026[DNI],_VF2026[R6]),"65 DNC")</f>
        <v>65 DNC</v>
      </c>
      <c r="U88" s="19" t="str">
        <f>IFERROR(_xlfn.XLOOKUP(Selectivo6[[#This Row],[DNI]],_VF2026[DNI],_VF2026[R7]),"65 DNC")</f>
        <v>15</v>
      </c>
      <c r="V88" s="19" t="str">
        <f>IFERROR(_xlfn.XLOOKUP(Selectivo6[[#This Row],[DNI]],_VF2026[DNI],_VF2026[R8]),"65 DNC")</f>
        <v>35</v>
      </c>
      <c r="W88" s="19"/>
      <c r="X88" s="19"/>
      <c r="Y88" s="19"/>
      <c r="Z88" s="19"/>
      <c r="AA88" s="19"/>
      <c r="AB88" s="8" cm="1">
        <f t="array" aca="1" ref="AB88" ca="1">SUM(IFERROR(VALUE(LEFT(Regatas, FIND(" ",Regatas&amp; " ") - 1)), 0))</f>
        <v>481</v>
      </c>
      <c r="AC88" s="9" cm="1">
        <f t="array" aca="1" ref="AC8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373</v>
      </c>
      <c r="AD88" s="6" cm="1">
        <f t="array" aca="1" ref="AD88" ca="1">SMALL(_xlfn._xlws.FILTER(RegatasN, RegatasN&lt;&gt;0), 1)</f>
        <v>15</v>
      </c>
      <c r="AE88" s="6" cm="1">
        <f t="array" aca="1" ref="AE88" ca="1">SMALL(_xlfn._xlws.FILTER(RegatasN, RegatasN&lt;&gt;0), 2)</f>
        <v>17</v>
      </c>
      <c r="AF88" s="6" cm="1">
        <f t="array" aca="1" ref="AF88" ca="1">SMALL(_xlfn._xlws.FILTER(RegatasN, RegatasN&lt;&gt;0), 3)</f>
        <v>18</v>
      </c>
      <c r="AG88" s="5" cm="1">
        <f t="array" aca="1" ref="AG88" ca="1">COUNTIF(Regatas,SMALL(_xlfn._xlws.FILTER(RegatasN, RegatasN&lt;&gt;0), 1))</f>
        <v>1</v>
      </c>
      <c r="AH88" s="6" t="e" cm="1">
        <f t="array" ref="AH8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89" spans="1:34">
      <c r="A89">
        <v>52448630</v>
      </c>
      <c r="B89" s="10">
        <f>ROW()-ROW(Selectivo6[[#Headers],[Pos]])</f>
        <v>83</v>
      </c>
      <c r="C89" s="5">
        <v>4243</v>
      </c>
      <c r="D89" t="s">
        <v>394</v>
      </c>
      <c r="E89" t="s">
        <v>22</v>
      </c>
      <c r="F89" s="19" t="str" cm="1">
        <f t="array" aca="1" ref="F89" ca="1">IFERROR(_xlfn.XLOOKUP(Selectivo6[[#This Row],[DNI]],S_S[DNI],INDIRECT("S_S["&amp;Selectivo6[[#Headers],[R1]]&amp;"]")),"60 DNC")</f>
        <v>35</v>
      </c>
      <c r="G89" s="19" t="str" cm="1">
        <f t="array" aca="1" ref="G89" ca="1">IFERROR(_xlfn.XLOOKUP(Selectivo6[[#This Row],[DNI]],S_S[DNI],INDIRECT("S_S["&amp;Selectivo6[[#Headers],[R2]]&amp;"]")),"60 DNC")</f>
        <v>31</v>
      </c>
      <c r="H89" s="19" t="str" cm="1">
        <f t="array" aca="1" ref="H89" ca="1">IFERROR(_xlfn.XLOOKUP(Selectivo6[[#This Row],[DNI]],S_S[DNI],INDIRECT("S_S["&amp;Selectivo6[[#Headers],[R3]]&amp;"]")),"60 DNC")</f>
        <v>17</v>
      </c>
      <c r="I89" s="19" t="str" cm="1">
        <f t="array" aca="1" ref="I89" ca="1">IFERROR(_xlfn.XLOOKUP(Selectivo6[[#This Row],[DNI]],S_S[DNI],INDIRECT("S_S["&amp;Selectivo6[[#Headers],[R4]]&amp;"]")),"60 DNC")</f>
        <v>37</v>
      </c>
      <c r="J89" s="19" t="str" cm="1">
        <f t="array" aca="1" ref="J89" ca="1">IFERROR(_xlfn.XLOOKUP(Selectivo6[[#This Row],[DNI]],S_S[DNI],INDIRECT("S_S["&amp;Selectivo6[[#Headers],[R5]]&amp;"]")),"60 DNC")</f>
        <v>37</v>
      </c>
      <c r="K89" s="19" t="str" cm="1">
        <f t="array" aca="1" ref="K89" ca="1">IFERROR(_xlfn.XLOOKUP(Selectivo6[[#This Row],[DNI]],S_S[DNI],INDIRECT("S_S["&amp;Selectivo6[[#Headers],[R6]]&amp;"]")),"60 DNC")</f>
        <v>30</v>
      </c>
      <c r="L89" s="20" t="str" cm="1">
        <f t="array" aca="1" ref="L89" ca="1">IFERROR(_xlfn.XLOOKUP(Selectivo6[[#This Row],[DNI]],S_S[DNI],INDIRECT("S_S["&amp;Selectivo6[[#Headers],[R7]]&amp;"]")),"60 DNC")</f>
        <v>60 BFD</v>
      </c>
      <c r="M89" s="19" t="str" cm="1">
        <f t="array" aca="1" ref="M89" ca="1">IFERROR(_xlfn.XLOOKUP(Selectivo6[[#This Row],[DNI]],S_S[DNI],INDIRECT("S_S["&amp;Selectivo6[[#Headers],[R8]]&amp;"]")),"60 DNC")</f>
        <v>23</v>
      </c>
      <c r="N89" s="19" t="str" cm="1">
        <f t="array" aca="1" ref="N89" ca="1">IFERROR(_xlfn.XLOOKUP(Selectivo6[[#This Row],[DNI]],S_S[DNI],INDIRECT("S_S["&amp;Selectivo6[[#Headers],[R9]]&amp;"]")),"60 DNC")</f>
        <v>22</v>
      </c>
      <c r="O89" s="20" t="str">
        <f>IFERROR(_xlfn.XLOOKUP(Selectivo6[[#This Row],[DNI]],_VF2026[DNI],_VF2026[R1]),"65 DNC")</f>
        <v>65 BFD</v>
      </c>
      <c r="P89" s="19" t="str">
        <f>IFERROR(_xlfn.XLOOKUP(Selectivo6[[#This Row],[DNI]],_VF2026[DNI],_VF2026[R2]),"65 DNC")</f>
        <v>16</v>
      </c>
      <c r="Q89" s="19" t="str">
        <f>IFERROR(_xlfn.XLOOKUP(Selectivo6[[#This Row],[DNI]],_VF2026[DNI],_VF2026[R3]),"65 DNC")</f>
        <v>27</v>
      </c>
      <c r="R89" s="19" t="str">
        <f>IFERROR(_xlfn.XLOOKUP(Selectivo6[[#This Row],[DNI]],_VF2026[DNI],_VF2026[R4]),"65 DNC")</f>
        <v>29</v>
      </c>
      <c r="S89" s="19" t="str">
        <f>IFERROR(_xlfn.XLOOKUP(Selectivo6[[#This Row],[DNI]],_VF2026[DNI],_VF2026[R5]),"65 DNC")</f>
        <v>31</v>
      </c>
      <c r="T89" s="19" t="str">
        <f>IFERROR(_xlfn.XLOOKUP(Selectivo6[[#This Row],[DNI]],_VF2026[DNI],_VF2026[R6]),"65 DNC")</f>
        <v>23</v>
      </c>
      <c r="U89" s="19" t="str">
        <f>IFERROR(_xlfn.XLOOKUP(Selectivo6[[#This Row],[DNI]],_VF2026[DNI],_VF2026[R7]),"65 DNC")</f>
        <v>9</v>
      </c>
      <c r="V89" s="19" t="str">
        <f>IFERROR(_xlfn.XLOOKUP(Selectivo6[[#This Row],[DNI]],_VF2026[DNI],_VF2026[R8]),"65 DNC")</f>
        <v>9</v>
      </c>
      <c r="W89" s="19"/>
      <c r="X89" s="19"/>
      <c r="Y89" s="19"/>
      <c r="Z89" s="19"/>
      <c r="AA89" s="19"/>
      <c r="AB89" s="8" cm="1">
        <f t="array" aca="1" ref="AB89" ca="1">SUM(IFERROR(VALUE(LEFT(Regatas, FIND(" ",Regatas&amp; " ") - 1)), 0))</f>
        <v>501</v>
      </c>
      <c r="AC89" s="9" cm="1">
        <f t="array" aca="1" ref="AC8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376</v>
      </c>
      <c r="AD89" s="6" cm="1">
        <f t="array" aca="1" ref="AD89" ca="1">SMALL(_xlfn._xlws.FILTER(RegatasN, RegatasN&lt;&gt;0), 1)</f>
        <v>9</v>
      </c>
      <c r="AE89" s="6" cm="1">
        <f t="array" aca="1" ref="AE89" ca="1">SMALL(_xlfn._xlws.FILTER(RegatasN, RegatasN&lt;&gt;0), 2)</f>
        <v>9</v>
      </c>
      <c r="AF89" s="6" cm="1">
        <f t="array" aca="1" ref="AF89" ca="1">SMALL(_xlfn._xlws.FILTER(RegatasN, RegatasN&lt;&gt;0), 3)</f>
        <v>16</v>
      </c>
      <c r="AG89" s="5" cm="1">
        <f t="array" aca="1" ref="AG89" ca="1">COUNTIF(Regatas,SMALL(_xlfn._xlws.FILTER(RegatasN, RegatasN&lt;&gt;0), 1))</f>
        <v>2</v>
      </c>
      <c r="AH89" s="6" t="e" cm="1">
        <f t="array" ref="AH8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0" spans="1:34">
      <c r="A90">
        <v>53878557</v>
      </c>
      <c r="B90" s="10">
        <f>ROW()-ROW(Selectivo6[[#Headers],[Pos]])</f>
        <v>84</v>
      </c>
      <c r="C90" s="5">
        <v>4271</v>
      </c>
      <c r="D90" t="s">
        <v>346</v>
      </c>
      <c r="E90" t="s">
        <v>9</v>
      </c>
      <c r="F90" s="19" t="str" cm="1">
        <f t="array" aca="1" ref="F90" ca="1">IFERROR(_xlfn.XLOOKUP(Selectivo6[[#This Row],[DNI]],S_S[DNI],INDIRECT("S_S["&amp;Selectivo6[[#Headers],[R1]]&amp;"]")),"60 DNC")</f>
        <v>28</v>
      </c>
      <c r="G90" s="19" t="str" cm="1">
        <f t="array" aca="1" ref="G90" ca="1">IFERROR(_xlfn.XLOOKUP(Selectivo6[[#This Row],[DNI]],S_S[DNI],INDIRECT("S_S["&amp;Selectivo6[[#Headers],[R2]]&amp;"]")),"60 DNC")</f>
        <v>16</v>
      </c>
      <c r="H90" s="19" t="str" cm="1">
        <f t="array" aca="1" ref="H90" ca="1">IFERROR(_xlfn.XLOOKUP(Selectivo6[[#This Row],[DNI]],S_S[DNI],INDIRECT("S_S["&amp;Selectivo6[[#Headers],[R3]]&amp;"]")),"60 DNC")</f>
        <v>23</v>
      </c>
      <c r="I90" s="19" t="str" cm="1">
        <f t="array" aca="1" ref="I90" ca="1">IFERROR(_xlfn.XLOOKUP(Selectivo6[[#This Row],[DNI]],S_S[DNI],INDIRECT("S_S["&amp;Selectivo6[[#Headers],[R4]]&amp;"]")),"60 DNC")</f>
        <v>11</v>
      </c>
      <c r="J90" s="19" t="str" cm="1">
        <f t="array" aca="1" ref="J90" ca="1">IFERROR(_xlfn.XLOOKUP(Selectivo6[[#This Row],[DNI]],S_S[DNI],INDIRECT("S_S["&amp;Selectivo6[[#Headers],[R5]]&amp;"]")),"60 DNC")</f>
        <v>31</v>
      </c>
      <c r="K90" s="19" t="str" cm="1">
        <f t="array" aca="1" ref="K90" ca="1">IFERROR(_xlfn.XLOOKUP(Selectivo6[[#This Row],[DNI]],S_S[DNI],INDIRECT("S_S["&amp;Selectivo6[[#Headers],[R6]]&amp;"]")),"60 DNC")</f>
        <v>25</v>
      </c>
      <c r="L90" s="19" t="str" cm="1">
        <f t="array" aca="1" ref="L90" ca="1">IFERROR(_xlfn.XLOOKUP(Selectivo6[[#This Row],[DNI]],S_S[DNI],INDIRECT("S_S["&amp;Selectivo6[[#Headers],[R7]]&amp;"]")),"60 DNC")</f>
        <v>23</v>
      </c>
      <c r="M90" s="19" t="str" cm="1">
        <f t="array" aca="1" ref="M90" ca="1">IFERROR(_xlfn.XLOOKUP(Selectivo6[[#This Row],[DNI]],S_S[DNI],INDIRECT("S_S["&amp;Selectivo6[[#Headers],[R8]]&amp;"]")),"60 DNC")</f>
        <v>19</v>
      </c>
      <c r="N90" s="19" t="str" cm="1">
        <f t="array" aca="1" ref="N90" ca="1">IFERROR(_xlfn.XLOOKUP(Selectivo6[[#This Row],[DNI]],S_S[DNI],INDIRECT("S_S["&amp;Selectivo6[[#Headers],[R9]]&amp;"]")),"60 DNC")</f>
        <v>27</v>
      </c>
      <c r="O90" s="20" t="str">
        <f>IFERROR(_xlfn.XLOOKUP(Selectivo6[[#This Row],[DNI]],_VF2026[DNI],_VF2026[R1]),"65 DNC")</f>
        <v>65 BFD</v>
      </c>
      <c r="P90" s="19" t="str">
        <f>IFERROR(_xlfn.XLOOKUP(Selectivo6[[#This Row],[DNI]],_VF2026[DNI],_VF2026[R2]),"65 DNC")</f>
        <v>35</v>
      </c>
      <c r="Q90" s="19" t="str">
        <f>IFERROR(_xlfn.XLOOKUP(Selectivo6[[#This Row],[DNI]],_VF2026[DNI],_VF2026[R3]),"65 DNC")</f>
        <v>28</v>
      </c>
      <c r="R90" s="19" t="str">
        <f>IFERROR(_xlfn.XLOOKUP(Selectivo6[[#This Row],[DNI]],_VF2026[DNI],_VF2026[R4]),"65 DNC")</f>
        <v>26</v>
      </c>
      <c r="S90" s="19" t="str">
        <f>IFERROR(_xlfn.XLOOKUP(Selectivo6[[#This Row],[DNI]],_VF2026[DNI],_VF2026[R5]),"65 DNC")</f>
        <v>42</v>
      </c>
      <c r="T90" s="20" t="str">
        <f>IFERROR(_xlfn.XLOOKUP(Selectivo6[[#This Row],[DNI]],_VF2026[DNI],_VF2026[R6]),"65 DNC")</f>
        <v>65 BFD</v>
      </c>
      <c r="U90" s="19" t="str">
        <f>IFERROR(_xlfn.XLOOKUP(Selectivo6[[#This Row],[DNI]],_VF2026[DNI],_VF2026[R7]),"65 DNC")</f>
        <v>6</v>
      </c>
      <c r="V90" s="19" t="str">
        <f>IFERROR(_xlfn.XLOOKUP(Selectivo6[[#This Row],[DNI]],_VF2026[DNI],_VF2026[R8]),"65 DNC")</f>
        <v>37</v>
      </c>
      <c r="W90" s="19"/>
      <c r="X90" s="19"/>
      <c r="Y90" s="19"/>
      <c r="Z90" s="19"/>
      <c r="AA90" s="19"/>
      <c r="AB90" s="8" cm="1">
        <f t="array" aca="1" ref="AB90" ca="1">SUM(IFERROR(VALUE(LEFT(Regatas, FIND(" ",Regatas&amp; " ") - 1)), 0))</f>
        <v>507</v>
      </c>
      <c r="AC90" s="9" cm="1">
        <f t="array" aca="1" ref="AC9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377</v>
      </c>
      <c r="AD90" s="6" cm="1">
        <f t="array" aca="1" ref="AD90" ca="1">SMALL(_xlfn._xlws.FILTER(RegatasN, RegatasN&lt;&gt;0), 1)</f>
        <v>6</v>
      </c>
      <c r="AE90" s="6" cm="1">
        <f t="array" aca="1" ref="AE90" ca="1">SMALL(_xlfn._xlws.FILTER(RegatasN, RegatasN&lt;&gt;0), 2)</f>
        <v>11</v>
      </c>
      <c r="AF90" s="6" cm="1">
        <f t="array" aca="1" ref="AF90" ca="1">SMALL(_xlfn._xlws.FILTER(RegatasN, RegatasN&lt;&gt;0), 3)</f>
        <v>16</v>
      </c>
      <c r="AG90" s="5" cm="1">
        <f t="array" aca="1" ref="AG90" ca="1">COUNTIF(Regatas,SMALL(_xlfn._xlws.FILTER(RegatasN, RegatasN&lt;&gt;0), 1))</f>
        <v>1</v>
      </c>
      <c r="AH90" s="6" t="e" cm="1">
        <f t="array" ref="AH9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1" spans="1:34">
      <c r="A91">
        <v>51586146</v>
      </c>
      <c r="B91" s="10">
        <f>ROW()-ROW(Selectivo6[[#Headers],[Pos]])</f>
        <v>85</v>
      </c>
      <c r="C91" s="5">
        <v>4194</v>
      </c>
      <c r="D91" t="s">
        <v>375</v>
      </c>
      <c r="E91" t="s">
        <v>5</v>
      </c>
      <c r="F91" s="19" t="str" cm="1">
        <f t="array" aca="1" ref="F91" ca="1">IFERROR(_xlfn.XLOOKUP(Selectivo6[[#This Row],[DNI]],S_S[DNI],INDIRECT("S_S["&amp;Selectivo6[[#Headers],[R1]]&amp;"]")),"60 DNC")</f>
        <v>41</v>
      </c>
      <c r="G91" s="19" t="str" cm="1">
        <f t="array" aca="1" ref="G91" ca="1">IFERROR(_xlfn.XLOOKUP(Selectivo6[[#This Row],[DNI]],S_S[DNI],INDIRECT("S_S["&amp;Selectivo6[[#Headers],[R2]]&amp;"]")),"60 DNC")</f>
        <v>27</v>
      </c>
      <c r="H91" s="19" t="str" cm="1">
        <f t="array" aca="1" ref="H91" ca="1">IFERROR(_xlfn.XLOOKUP(Selectivo6[[#This Row],[DNI]],S_S[DNI],INDIRECT("S_S["&amp;Selectivo6[[#Headers],[R3]]&amp;"]")),"60 DNC")</f>
        <v>26</v>
      </c>
      <c r="I91" s="19" t="str" cm="1">
        <f t="array" aca="1" ref="I91" ca="1">IFERROR(_xlfn.XLOOKUP(Selectivo6[[#This Row],[DNI]],S_S[DNI],INDIRECT("S_S["&amp;Selectivo6[[#Headers],[R4]]&amp;"]")),"60 DNC")</f>
        <v>28</v>
      </c>
      <c r="J91" s="19" t="str" cm="1">
        <f t="array" aca="1" ref="J91" ca="1">IFERROR(_xlfn.XLOOKUP(Selectivo6[[#This Row],[DNI]],S_S[DNI],INDIRECT("S_S["&amp;Selectivo6[[#Headers],[R5]]&amp;"]")),"60 DNC")</f>
        <v>34</v>
      </c>
      <c r="K91" s="19" t="str" cm="1">
        <f t="array" aca="1" ref="K91" ca="1">IFERROR(_xlfn.XLOOKUP(Selectivo6[[#This Row],[DNI]],S_S[DNI],INDIRECT("S_S["&amp;Selectivo6[[#Headers],[R6]]&amp;"]")),"60 DNC")</f>
        <v>13</v>
      </c>
      <c r="L91" s="19" t="str" cm="1">
        <f t="array" aca="1" ref="L91" ca="1">IFERROR(_xlfn.XLOOKUP(Selectivo6[[#This Row],[DNI]],S_S[DNI],INDIRECT("S_S["&amp;Selectivo6[[#Headers],[R7]]&amp;"]")),"60 DNC")</f>
        <v>30</v>
      </c>
      <c r="M91" s="19" t="str" cm="1">
        <f t="array" aca="1" ref="M91" ca="1">IFERROR(_xlfn.XLOOKUP(Selectivo6[[#This Row],[DNI]],S_S[DNI],INDIRECT("S_S["&amp;Selectivo6[[#Headers],[R8]]&amp;"]")),"60 DNC")</f>
        <v>23</v>
      </c>
      <c r="N91" s="19" t="str" cm="1">
        <f t="array" aca="1" ref="N91" ca="1">IFERROR(_xlfn.XLOOKUP(Selectivo6[[#This Row],[DNI]],S_S[DNI],INDIRECT("S_S["&amp;Selectivo6[[#Headers],[R9]]&amp;"]")),"60 DNC")</f>
        <v>32</v>
      </c>
      <c r="O91" s="19" t="str">
        <f>IFERROR(_xlfn.XLOOKUP(Selectivo6[[#This Row],[DNI]],_VF2026[DNI],_VF2026[R1]),"65 DNC")</f>
        <v>34</v>
      </c>
      <c r="P91" s="19" t="str">
        <f>IFERROR(_xlfn.XLOOKUP(Selectivo6[[#This Row],[DNI]],_VF2026[DNI],_VF2026[R2]),"65 DNC")</f>
        <v>16</v>
      </c>
      <c r="Q91" s="19" t="str">
        <f>IFERROR(_xlfn.XLOOKUP(Selectivo6[[#This Row],[DNI]],_VF2026[DNI],_VF2026[R3]),"65 DNC")</f>
        <v>30</v>
      </c>
      <c r="R91" s="19" t="str">
        <f>IFERROR(_xlfn.XLOOKUP(Selectivo6[[#This Row],[DNI]],_VF2026[DNI],_VF2026[R4]),"65 DNC")</f>
        <v>9</v>
      </c>
      <c r="S91" s="19" t="str">
        <f>IFERROR(_xlfn.XLOOKUP(Selectivo6[[#This Row],[DNI]],_VF2026[DNI],_VF2026[R5]),"65 DNC")</f>
        <v>10</v>
      </c>
      <c r="T91" s="20" t="str">
        <f>IFERROR(_xlfn.XLOOKUP(Selectivo6[[#This Row],[DNI]],_VF2026[DNI],_VF2026[R6]),"65 DNC")</f>
        <v>45</v>
      </c>
      <c r="U91" s="20" t="str">
        <f>IFERROR(_xlfn.XLOOKUP(Selectivo6[[#This Row],[DNI]],_VF2026[DNI],_VF2026[R7]),"65 DNC")</f>
        <v>43 SPa</v>
      </c>
      <c r="V91" s="19" t="str">
        <f>IFERROR(_xlfn.XLOOKUP(Selectivo6[[#This Row],[DNI]],_VF2026[DNI],_VF2026[R8]),"65 DNC")</f>
        <v>43</v>
      </c>
      <c r="W91" s="19"/>
      <c r="X91" s="19"/>
      <c r="Y91" s="19"/>
      <c r="Z91" s="19"/>
      <c r="AA91" s="19"/>
      <c r="AB91" s="8" cm="1">
        <f t="array" aca="1" ref="AB91" ca="1">SUM(IFERROR(VALUE(LEFT(Regatas, FIND(" ",Regatas&amp; " ") - 1)), 0))</f>
        <v>484</v>
      </c>
      <c r="AC91" s="9" cm="1">
        <f t="array" aca="1" ref="AC9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396</v>
      </c>
      <c r="AD91" s="6" cm="1">
        <f t="array" aca="1" ref="AD91" ca="1">SMALL(_xlfn._xlws.FILTER(RegatasN, RegatasN&lt;&gt;0), 1)</f>
        <v>9</v>
      </c>
      <c r="AE91" s="6" cm="1">
        <f t="array" aca="1" ref="AE91" ca="1">SMALL(_xlfn._xlws.FILTER(RegatasN, RegatasN&lt;&gt;0), 2)</f>
        <v>10</v>
      </c>
      <c r="AF91" s="6" cm="1">
        <f t="array" aca="1" ref="AF91" ca="1">SMALL(_xlfn._xlws.FILTER(RegatasN, RegatasN&lt;&gt;0), 3)</f>
        <v>13</v>
      </c>
      <c r="AG91" s="5" cm="1">
        <f t="array" aca="1" ref="AG91" ca="1">COUNTIF(Regatas,SMALL(_xlfn._xlws.FILTER(RegatasN, RegatasN&lt;&gt;0), 1))</f>
        <v>1</v>
      </c>
      <c r="AH91" s="6" t="e" cm="1">
        <f t="array" ref="AH9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2" spans="1:34">
      <c r="A92">
        <v>50610292</v>
      </c>
      <c r="B92" s="10">
        <f>ROW()-ROW(Selectivo6[[#Headers],[Pos]])</f>
        <v>86</v>
      </c>
      <c r="C92" s="5">
        <v>4215</v>
      </c>
      <c r="D92" t="s">
        <v>382</v>
      </c>
      <c r="E92" t="s">
        <v>26</v>
      </c>
      <c r="F92" s="19" t="str" cm="1">
        <f t="array" aca="1" ref="F92" ca="1">IFERROR(_xlfn.XLOOKUP(Selectivo6[[#This Row],[DNI]],S_S[DNI],INDIRECT("S_S["&amp;Selectivo6[[#Headers],[R1]]&amp;"]")),"60 DNC")</f>
        <v>9</v>
      </c>
      <c r="G92" s="19" t="str" cm="1">
        <f t="array" aca="1" ref="G92" ca="1">IFERROR(_xlfn.XLOOKUP(Selectivo6[[#This Row],[DNI]],S_S[DNI],INDIRECT("S_S["&amp;Selectivo6[[#Headers],[R2]]&amp;"]")),"60 DNC")</f>
        <v>21</v>
      </c>
      <c r="H92" s="19" t="str" cm="1">
        <f t="array" aca="1" ref="H92" ca="1">IFERROR(_xlfn.XLOOKUP(Selectivo6[[#This Row],[DNI]],S_S[DNI],INDIRECT("S_S["&amp;Selectivo6[[#Headers],[R3]]&amp;"]")),"60 DNC")</f>
        <v>20</v>
      </c>
      <c r="I92" s="20" t="str" cm="1">
        <f t="array" aca="1" ref="I92" ca="1">IFERROR(_xlfn.XLOOKUP(Selectivo6[[#This Row],[DNI]],S_S[DNI],INDIRECT("S_S["&amp;Selectivo6[[#Headers],[R4]]&amp;"]")),"60 DNC")</f>
        <v>49</v>
      </c>
      <c r="J92" s="20" t="str" cm="1">
        <f t="array" aca="1" ref="J92" ca="1">IFERROR(_xlfn.XLOOKUP(Selectivo6[[#This Row],[DNI]],S_S[DNI],INDIRECT("S_S["&amp;Selectivo6[[#Headers],[R5]]&amp;"]")),"60 DNC")</f>
        <v>60 BFD</v>
      </c>
      <c r="K92" s="19" t="str" cm="1">
        <f t="array" aca="1" ref="K92" ca="1">IFERROR(_xlfn.XLOOKUP(Selectivo6[[#This Row],[DNI]],S_S[DNI],INDIRECT("S_S["&amp;Selectivo6[[#Headers],[R6]]&amp;"]")),"60 DNC")</f>
        <v>48</v>
      </c>
      <c r="L92" s="19" t="str" cm="1">
        <f t="array" aca="1" ref="L92" ca="1">IFERROR(_xlfn.XLOOKUP(Selectivo6[[#This Row],[DNI]],S_S[DNI],INDIRECT("S_S["&amp;Selectivo6[[#Headers],[R7]]&amp;"]")),"60 DNC")</f>
        <v>18</v>
      </c>
      <c r="M92" s="19" t="str" cm="1">
        <f t="array" aca="1" ref="M92" ca="1">IFERROR(_xlfn.XLOOKUP(Selectivo6[[#This Row],[DNI]],S_S[DNI],INDIRECT("S_S["&amp;Selectivo6[[#Headers],[R8]]&amp;"]")),"60 DNC")</f>
        <v>30</v>
      </c>
      <c r="N92" s="19" t="str" cm="1">
        <f t="array" aca="1" ref="N92" ca="1">IFERROR(_xlfn.XLOOKUP(Selectivo6[[#This Row],[DNI]],S_S[DNI],INDIRECT("S_S["&amp;Selectivo6[[#Headers],[R9]]&amp;"]")),"60 DNC")</f>
        <v>24</v>
      </c>
      <c r="O92" s="19" t="str">
        <f>IFERROR(_xlfn.XLOOKUP(Selectivo6[[#This Row],[DNI]],_VF2026[DNI],_VF2026[R1]),"65 DNC")</f>
        <v>26</v>
      </c>
      <c r="P92" s="19" t="str">
        <f>IFERROR(_xlfn.XLOOKUP(Selectivo6[[#This Row],[DNI]],_VF2026[DNI],_VF2026[R2]),"65 DNC")</f>
        <v>37</v>
      </c>
      <c r="Q92" s="19" t="str">
        <f>IFERROR(_xlfn.XLOOKUP(Selectivo6[[#This Row],[DNI]],_VF2026[DNI],_VF2026[R3]),"65 DNC")</f>
        <v>21</v>
      </c>
      <c r="R92" s="19" t="str">
        <f>IFERROR(_xlfn.XLOOKUP(Selectivo6[[#This Row],[DNI]],_VF2026[DNI],_VF2026[R4]),"65 DNC")</f>
        <v>35</v>
      </c>
      <c r="S92" s="19" t="str">
        <f>IFERROR(_xlfn.XLOOKUP(Selectivo6[[#This Row],[DNI]],_VF2026[DNI],_VF2026[R5]),"65 DNC")</f>
        <v>29</v>
      </c>
      <c r="T92" s="19" t="str">
        <f>IFERROR(_xlfn.XLOOKUP(Selectivo6[[#This Row],[DNI]],_VF2026[DNI],_VF2026[R6]),"65 DNC")</f>
        <v>30</v>
      </c>
      <c r="U92" s="19" t="str">
        <f>IFERROR(_xlfn.XLOOKUP(Selectivo6[[#This Row],[DNI]],_VF2026[DNI],_VF2026[R7]),"65 DNC")</f>
        <v>14</v>
      </c>
      <c r="V92" s="19" t="str">
        <f>IFERROR(_xlfn.XLOOKUP(Selectivo6[[#This Row],[DNI]],_VF2026[DNI],_VF2026[R8]),"65 DNC")</f>
        <v>36</v>
      </c>
      <c r="W92" s="19"/>
      <c r="X92" s="19"/>
      <c r="Y92" s="19"/>
      <c r="Z92" s="19"/>
      <c r="AA92" s="19"/>
      <c r="AB92" s="8" cm="1">
        <f t="array" aca="1" ref="AB92" ca="1">SUM(IFERROR(VALUE(LEFT(Regatas, FIND(" ",Regatas&amp; " ") - 1)), 0))</f>
        <v>507</v>
      </c>
      <c r="AC92" s="9" cm="1">
        <f t="array" aca="1" ref="AC9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398</v>
      </c>
      <c r="AD92" s="6" cm="1">
        <f t="array" aca="1" ref="AD92" ca="1">SMALL(_xlfn._xlws.FILTER(RegatasN, RegatasN&lt;&gt;0), 1)</f>
        <v>9</v>
      </c>
      <c r="AE92" s="6" cm="1">
        <f t="array" aca="1" ref="AE92" ca="1">SMALL(_xlfn._xlws.FILTER(RegatasN, RegatasN&lt;&gt;0), 2)</f>
        <v>14</v>
      </c>
      <c r="AF92" s="6" cm="1">
        <f t="array" aca="1" ref="AF92" ca="1">SMALL(_xlfn._xlws.FILTER(RegatasN, RegatasN&lt;&gt;0), 3)</f>
        <v>18</v>
      </c>
      <c r="AG92" s="5" cm="1">
        <f t="array" aca="1" ref="AG92" ca="1">COUNTIF(Regatas,SMALL(_xlfn._xlws.FILTER(RegatasN, RegatasN&lt;&gt;0), 1))</f>
        <v>1</v>
      </c>
      <c r="AH92" s="6" t="e" cm="1">
        <f t="array" ref="AH9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3" spans="1:34">
      <c r="A93">
        <v>52756455</v>
      </c>
      <c r="B93" s="10">
        <f>ROW()-ROW(Selectivo6[[#Headers],[Pos]])</f>
        <v>87</v>
      </c>
      <c r="C93" s="5">
        <v>4025</v>
      </c>
      <c r="D93" t="s">
        <v>358</v>
      </c>
      <c r="E93" t="s">
        <v>31</v>
      </c>
      <c r="F93" s="19" t="str" cm="1">
        <f t="array" aca="1" ref="F93" ca="1">IFERROR(_xlfn.XLOOKUP(Selectivo6[[#This Row],[DNI]],S_S[DNI],INDIRECT("S_S["&amp;Selectivo6[[#Headers],[R1]]&amp;"]")),"60 DNC")</f>
        <v>19</v>
      </c>
      <c r="G93" s="19" t="str" cm="1">
        <f t="array" aca="1" ref="G93" ca="1">IFERROR(_xlfn.XLOOKUP(Selectivo6[[#This Row],[DNI]],S_S[DNI],INDIRECT("S_S["&amp;Selectivo6[[#Headers],[R2]]&amp;"]")),"60 DNC")</f>
        <v>20</v>
      </c>
      <c r="H93" s="19" t="str" cm="1">
        <f t="array" aca="1" ref="H93" ca="1">IFERROR(_xlfn.XLOOKUP(Selectivo6[[#This Row],[DNI]],S_S[DNI],INDIRECT("S_S["&amp;Selectivo6[[#Headers],[R3]]&amp;"]")),"60 DNC")</f>
        <v>31</v>
      </c>
      <c r="I93" s="19" t="str" cm="1">
        <f t="array" aca="1" ref="I93" ca="1">IFERROR(_xlfn.XLOOKUP(Selectivo6[[#This Row],[DNI]],S_S[DNI],INDIRECT("S_S["&amp;Selectivo6[[#Headers],[R4]]&amp;"]")),"60 DNC")</f>
        <v>35</v>
      </c>
      <c r="J93" s="19" t="str" cm="1">
        <f t="array" aca="1" ref="J93" ca="1">IFERROR(_xlfn.XLOOKUP(Selectivo6[[#This Row],[DNI]],S_S[DNI],INDIRECT("S_S["&amp;Selectivo6[[#Headers],[R5]]&amp;"]")),"60 DNC")</f>
        <v>22</v>
      </c>
      <c r="K93" s="19" t="str" cm="1">
        <f t="array" aca="1" ref="K93" ca="1">IFERROR(_xlfn.XLOOKUP(Selectivo6[[#This Row],[DNI]],S_S[DNI],INDIRECT("S_S["&amp;Selectivo6[[#Headers],[R6]]&amp;"]")),"60 DNC")</f>
        <v>12</v>
      </c>
      <c r="L93" s="19" t="str" cm="1">
        <f t="array" aca="1" ref="L93" ca="1">IFERROR(_xlfn.XLOOKUP(Selectivo6[[#This Row],[DNI]],S_S[DNI],INDIRECT("S_S["&amp;Selectivo6[[#Headers],[R7]]&amp;"]")),"60 DNC")</f>
        <v>60 BFD</v>
      </c>
      <c r="M93" s="19" t="str" cm="1">
        <f t="array" aca="1" ref="M93" ca="1">IFERROR(_xlfn.XLOOKUP(Selectivo6[[#This Row],[DNI]],S_S[DNI],INDIRECT("S_S["&amp;Selectivo6[[#Headers],[R8]]&amp;"]")),"60 DNC")</f>
        <v>28</v>
      </c>
      <c r="N93" s="19" t="str" cm="1">
        <f t="array" aca="1" ref="N93" ca="1">IFERROR(_xlfn.XLOOKUP(Selectivo6[[#This Row],[DNI]],S_S[DNI],INDIRECT("S_S["&amp;Selectivo6[[#Headers],[R9]]&amp;"]")),"60 DNC")</f>
        <v>16</v>
      </c>
      <c r="O93" s="19" t="str">
        <f>IFERROR(_xlfn.XLOOKUP(Selectivo6[[#This Row],[DNI]],_VF2026[DNI],_VF2026[R1]),"65 DNC")</f>
        <v>31</v>
      </c>
      <c r="P93" s="19" t="str">
        <f>IFERROR(_xlfn.XLOOKUP(Selectivo6[[#This Row],[DNI]],_VF2026[DNI],_VF2026[R2]),"65 DNC")</f>
        <v>14</v>
      </c>
      <c r="Q93" s="20" t="str">
        <f>IFERROR(_xlfn.XLOOKUP(Selectivo6[[#This Row],[DNI]],_VF2026[DNI],_VF2026[R3]),"65 DNC")</f>
        <v>65 UFD</v>
      </c>
      <c r="R93" s="19" t="str">
        <f>IFERROR(_xlfn.XLOOKUP(Selectivo6[[#This Row],[DNI]],_VF2026[DNI],_VF2026[R4]),"65 DNC")</f>
        <v>35</v>
      </c>
      <c r="S93" s="19" t="str">
        <f>IFERROR(_xlfn.XLOOKUP(Selectivo6[[#This Row],[DNI]],_VF2026[DNI],_VF2026[R5]),"65 DNC")</f>
        <v>32</v>
      </c>
      <c r="T93" s="20" t="str">
        <f>IFERROR(_xlfn.XLOOKUP(Selectivo6[[#This Row],[DNI]],_VF2026[DNI],_VF2026[R6]),"65 DNC")</f>
        <v>65 BFD</v>
      </c>
      <c r="U93" s="19" t="str">
        <f>IFERROR(_xlfn.XLOOKUP(Selectivo6[[#This Row],[DNI]],_VF2026[DNI],_VF2026[R7]),"65 DNC")</f>
        <v>29</v>
      </c>
      <c r="V93" s="19" t="str">
        <f>IFERROR(_xlfn.XLOOKUP(Selectivo6[[#This Row],[DNI]],_VF2026[DNI],_VF2026[R8]),"65 DNC")</f>
        <v>22</v>
      </c>
      <c r="W93" s="19"/>
      <c r="X93" s="19"/>
      <c r="Y93" s="19"/>
      <c r="Z93" s="19"/>
      <c r="AA93" s="19"/>
      <c r="AB93" s="8" cm="1">
        <f t="array" aca="1" ref="AB93" ca="1">SUM(IFERROR(VALUE(LEFT(Regatas, FIND(" ",Regatas&amp; " ") - 1)), 0))</f>
        <v>536</v>
      </c>
      <c r="AC93" s="9" cm="1">
        <f t="array" aca="1" ref="AC9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406</v>
      </c>
      <c r="AD93" s="6" cm="1">
        <f t="array" aca="1" ref="AD93" ca="1">SMALL(_xlfn._xlws.FILTER(RegatasN, RegatasN&lt;&gt;0), 1)</f>
        <v>12</v>
      </c>
      <c r="AE93" s="6" cm="1">
        <f t="array" aca="1" ref="AE93" ca="1">SMALL(_xlfn._xlws.FILTER(RegatasN, RegatasN&lt;&gt;0), 2)</f>
        <v>14</v>
      </c>
      <c r="AF93" s="6" cm="1">
        <f t="array" aca="1" ref="AF93" ca="1">SMALL(_xlfn._xlws.FILTER(RegatasN, RegatasN&lt;&gt;0), 3)</f>
        <v>16</v>
      </c>
      <c r="AG93" s="5" cm="1">
        <f t="array" aca="1" ref="AG93" ca="1">COUNTIF(Regatas,SMALL(_xlfn._xlws.FILTER(RegatasN, RegatasN&lt;&gt;0), 1))</f>
        <v>1</v>
      </c>
      <c r="AH93" s="6" t="e" cm="1">
        <f t="array" ref="AH9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4" spans="1:34">
      <c r="A94">
        <v>54765545</v>
      </c>
      <c r="B94" s="10">
        <f>ROW()-ROW(Selectivo6[[#Headers],[Pos]])</f>
        <v>88</v>
      </c>
      <c r="C94" s="5">
        <v>3999</v>
      </c>
      <c r="D94" t="s">
        <v>364</v>
      </c>
      <c r="E94" t="s">
        <v>71</v>
      </c>
      <c r="F94" s="19" t="str" cm="1">
        <f t="array" aca="1" ref="F94" ca="1">IFERROR(_xlfn.XLOOKUP(Selectivo6[[#This Row],[DNI]],S_S[DNI],INDIRECT("S_S["&amp;Selectivo6[[#Headers],[R1]]&amp;"]")),"60 DNC")</f>
        <v>25</v>
      </c>
      <c r="G94" s="19" t="str" cm="1">
        <f t="array" aca="1" ref="G94" ca="1">IFERROR(_xlfn.XLOOKUP(Selectivo6[[#This Row],[DNI]],S_S[DNI],INDIRECT("S_S["&amp;Selectivo6[[#Headers],[R2]]&amp;"]")),"60 DNC")</f>
        <v>29</v>
      </c>
      <c r="H94" s="20" t="str" cm="1">
        <f t="array" aca="1" ref="H94" ca="1">IFERROR(_xlfn.XLOOKUP(Selectivo6[[#This Row],[DNI]],S_S[DNI],INDIRECT("S_S["&amp;Selectivo6[[#Headers],[R3]]&amp;"]")),"60 DNC")</f>
        <v>60 BFD</v>
      </c>
      <c r="I94" s="19" t="str" cm="1">
        <f t="array" aca="1" ref="I94" ca="1">IFERROR(_xlfn.XLOOKUP(Selectivo6[[#This Row],[DNI]],S_S[DNI],INDIRECT("S_S["&amp;Selectivo6[[#Headers],[R4]]&amp;"]")),"60 DNC")</f>
        <v>21</v>
      </c>
      <c r="J94" s="19" t="str" cm="1">
        <f t="array" aca="1" ref="J94" ca="1">IFERROR(_xlfn.XLOOKUP(Selectivo6[[#This Row],[DNI]],S_S[DNI],INDIRECT("S_S["&amp;Selectivo6[[#Headers],[R5]]&amp;"]")),"60 DNC")</f>
        <v>3</v>
      </c>
      <c r="K94" s="19" t="str" cm="1">
        <f t="array" aca="1" ref="K94" ca="1">IFERROR(_xlfn.XLOOKUP(Selectivo6[[#This Row],[DNI]],S_S[DNI],INDIRECT("S_S["&amp;Selectivo6[[#Headers],[R6]]&amp;"]")),"60 DNC")</f>
        <v>23</v>
      </c>
      <c r="L94" s="19" t="str" cm="1">
        <f t="array" aca="1" ref="L94" ca="1">IFERROR(_xlfn.XLOOKUP(Selectivo6[[#This Row],[DNI]],S_S[DNI],INDIRECT("S_S["&amp;Selectivo6[[#Headers],[R7]]&amp;"]")),"60 DNC")</f>
        <v>36</v>
      </c>
      <c r="M94" s="19" t="str" cm="1">
        <f t="array" aca="1" ref="M94" ca="1">IFERROR(_xlfn.XLOOKUP(Selectivo6[[#This Row],[DNI]],S_S[DNI],INDIRECT("S_S["&amp;Selectivo6[[#Headers],[R8]]&amp;"]")),"60 DNC")</f>
        <v>26</v>
      </c>
      <c r="N94" s="19" t="str" cm="1">
        <f t="array" aca="1" ref="N94" ca="1">IFERROR(_xlfn.XLOOKUP(Selectivo6[[#This Row],[DNI]],S_S[DNI],INDIRECT("S_S["&amp;Selectivo6[[#Headers],[R9]]&amp;"]")),"60 DNC")</f>
        <v>26</v>
      </c>
      <c r="O94" s="19" t="str">
        <f>IFERROR(_xlfn.XLOOKUP(Selectivo6[[#This Row],[DNI]],_VF2026[DNI],_VF2026[R1]),"65 DNC")</f>
        <v>33</v>
      </c>
      <c r="P94" s="19" t="str">
        <f>IFERROR(_xlfn.XLOOKUP(Selectivo6[[#This Row],[DNI]],_VF2026[DNI],_VF2026[R2]),"65 DNC")</f>
        <v>44</v>
      </c>
      <c r="Q94" s="19" t="str">
        <f>IFERROR(_xlfn.XLOOKUP(Selectivo6[[#This Row],[DNI]],_VF2026[DNI],_VF2026[R3]),"65 DNC")</f>
        <v>22</v>
      </c>
      <c r="R94" s="19" t="str">
        <f>IFERROR(_xlfn.XLOOKUP(Selectivo6[[#This Row],[DNI]],_VF2026[DNI],_VF2026[R4]),"65 DNC")</f>
        <v>39</v>
      </c>
      <c r="S94" s="20" t="str">
        <f>IFERROR(_xlfn.XLOOKUP(Selectivo6[[#This Row],[DNI]],_VF2026[DNI],_VF2026[R5]),"65 DNC")</f>
        <v>50</v>
      </c>
      <c r="T94" s="19" t="str">
        <f>IFERROR(_xlfn.XLOOKUP(Selectivo6[[#This Row],[DNI]],_VF2026[DNI],_VF2026[R6]),"65 DNC")</f>
        <v>19</v>
      </c>
      <c r="U94" s="19" t="str">
        <f>IFERROR(_xlfn.XLOOKUP(Selectivo6[[#This Row],[DNI]],_VF2026[DNI],_VF2026[R7]),"65 DNC")</f>
        <v>40</v>
      </c>
      <c r="V94" s="19" t="str">
        <f>IFERROR(_xlfn.XLOOKUP(Selectivo6[[#This Row],[DNI]],_VF2026[DNI],_VF2026[R8]),"65 DNC")</f>
        <v>23</v>
      </c>
      <c r="W94" s="19"/>
      <c r="X94" s="19"/>
      <c r="Y94" s="19"/>
      <c r="Z94" s="19"/>
      <c r="AA94" s="19"/>
      <c r="AB94" s="8" cm="1">
        <f t="array" aca="1" ref="AB94" ca="1">SUM(IFERROR(VALUE(LEFT(Regatas, FIND(" ",Regatas&amp; " ") - 1)), 0))</f>
        <v>519</v>
      </c>
      <c r="AC94" s="9" cm="1">
        <f t="array" aca="1" ref="AC9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409</v>
      </c>
      <c r="AD94" s="6" cm="1">
        <f t="array" aca="1" ref="AD94" ca="1">SMALL(_xlfn._xlws.FILTER(RegatasN, RegatasN&lt;&gt;0), 1)</f>
        <v>3</v>
      </c>
      <c r="AE94" s="6" cm="1">
        <f t="array" aca="1" ref="AE94" ca="1">SMALL(_xlfn._xlws.FILTER(RegatasN, RegatasN&lt;&gt;0), 2)</f>
        <v>19</v>
      </c>
      <c r="AF94" s="6" cm="1">
        <f t="array" aca="1" ref="AF94" ca="1">SMALL(_xlfn._xlws.FILTER(RegatasN, RegatasN&lt;&gt;0), 3)</f>
        <v>21</v>
      </c>
      <c r="AG94" s="5" cm="1">
        <f t="array" aca="1" ref="AG94" ca="1">COUNTIF(Regatas,SMALL(_xlfn._xlws.FILTER(RegatasN, RegatasN&lt;&gt;0), 1))</f>
        <v>1</v>
      </c>
      <c r="AH94" s="6" t="e" cm="1">
        <f t="array" ref="AH9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5" spans="1:34">
      <c r="A95">
        <v>52647669</v>
      </c>
      <c r="B95" s="10">
        <f>ROW()-ROW(Selectivo6[[#Headers],[Pos]])</f>
        <v>89</v>
      </c>
      <c r="C95" s="5">
        <v>4174</v>
      </c>
      <c r="D95" t="s">
        <v>277</v>
      </c>
      <c r="E95" t="s">
        <v>5</v>
      </c>
      <c r="F95" s="19" t="str" cm="1">
        <f t="array" aca="1" ref="F95" ca="1">IFERROR(_xlfn.XLOOKUP(Selectivo6[[#This Row],[DNI]],S_S[DNI],INDIRECT("S_S["&amp;Selectivo6[[#Headers],[R1]]&amp;"]")),"60 DNC")</f>
        <v>60 BFD</v>
      </c>
      <c r="G95" s="19" t="str" cm="1">
        <f t="array" aca="1" ref="G95" ca="1">IFERROR(_xlfn.XLOOKUP(Selectivo6[[#This Row],[DNI]],S_S[DNI],INDIRECT("S_S["&amp;Selectivo6[[#Headers],[R2]]&amp;"]")),"60 DNC")</f>
        <v>9</v>
      </c>
      <c r="H95" s="19" t="str" cm="1">
        <f t="array" aca="1" ref="H95" ca="1">IFERROR(_xlfn.XLOOKUP(Selectivo6[[#This Row],[DNI]],S_S[DNI],INDIRECT("S_S["&amp;Selectivo6[[#Headers],[R3]]&amp;"]")),"60 DNC")</f>
        <v>8</v>
      </c>
      <c r="I95" s="19" t="str" cm="1">
        <f t="array" aca="1" ref="I95" ca="1">IFERROR(_xlfn.XLOOKUP(Selectivo6[[#This Row],[DNI]],S_S[DNI],INDIRECT("S_S["&amp;Selectivo6[[#Headers],[R4]]&amp;"]")),"60 DNC")</f>
        <v>9</v>
      </c>
      <c r="J95" s="19" t="str" cm="1">
        <f t="array" aca="1" ref="J95" ca="1">IFERROR(_xlfn.XLOOKUP(Selectivo6[[#This Row],[DNI]],S_S[DNI],INDIRECT("S_S["&amp;Selectivo6[[#Headers],[R5]]&amp;"]")),"60 DNC")</f>
        <v>18</v>
      </c>
      <c r="K95" s="19" t="str" cm="1">
        <f t="array" aca="1" ref="K95" ca="1">IFERROR(_xlfn.XLOOKUP(Selectivo6[[#This Row],[DNI]],S_S[DNI],INDIRECT("S_S["&amp;Selectivo6[[#Headers],[R6]]&amp;"]")),"60 DNC")</f>
        <v>16</v>
      </c>
      <c r="L95" s="19" t="str" cm="1">
        <f t="array" aca="1" ref="L95" ca="1">IFERROR(_xlfn.XLOOKUP(Selectivo6[[#This Row],[DNI]],S_S[DNI],INDIRECT("S_S["&amp;Selectivo6[[#Headers],[R7]]&amp;"]")),"60 DNC")</f>
        <v>22</v>
      </c>
      <c r="M95" s="19" t="str" cm="1">
        <f t="array" aca="1" ref="M95" ca="1">IFERROR(_xlfn.XLOOKUP(Selectivo6[[#This Row],[DNI]],S_S[DNI],INDIRECT("S_S["&amp;Selectivo6[[#Headers],[R8]]&amp;"]")),"60 DNC")</f>
        <v>15</v>
      </c>
      <c r="N95" s="19" t="str" cm="1">
        <f t="array" aca="1" ref="N95" ca="1">IFERROR(_xlfn.XLOOKUP(Selectivo6[[#This Row],[DNI]],S_S[DNI],INDIRECT("S_S["&amp;Selectivo6[[#Headers],[R9]]&amp;"]")),"60 DNC")</f>
        <v>27</v>
      </c>
      <c r="O95" s="19" t="str">
        <f>IFERROR(_xlfn.XLOOKUP(Selectivo6[[#This Row],[DNI]],_VF2026[DNI],_VF2026[R1]),"65 DNC")</f>
        <v>52</v>
      </c>
      <c r="P95" s="19" t="str">
        <f>IFERROR(_xlfn.XLOOKUP(Selectivo6[[#This Row],[DNI]],_VF2026[DNI],_VF2026[R2]),"65 DNC")</f>
        <v>36</v>
      </c>
      <c r="Q95" s="19" t="str">
        <f>IFERROR(_xlfn.XLOOKUP(Selectivo6[[#This Row],[DNI]],_VF2026[DNI],_VF2026[R3]),"65 DNC")</f>
        <v>31 SPb</v>
      </c>
      <c r="R95" s="20" t="str">
        <f>IFERROR(_xlfn.XLOOKUP(Selectivo6[[#This Row],[DNI]],_VF2026[DNI],_VF2026[R4]),"65 DNC")</f>
        <v>65 DNC</v>
      </c>
      <c r="S95" s="19" t="str">
        <f>IFERROR(_xlfn.XLOOKUP(Selectivo6[[#This Row],[DNI]],_VF2026[DNI],_VF2026[R5]),"65 DNC")</f>
        <v>51</v>
      </c>
      <c r="T95" s="19" t="str">
        <f>IFERROR(_xlfn.XLOOKUP(Selectivo6[[#This Row],[DNI]],_VF2026[DNI],_VF2026[R6]),"65 DNC")</f>
        <v>33</v>
      </c>
      <c r="U95" s="20" t="str">
        <f>IFERROR(_xlfn.XLOOKUP(Selectivo6[[#This Row],[DNI]],_VF2026[DNI],_VF2026[R7]),"65 DNC")</f>
        <v>65 BFD</v>
      </c>
      <c r="V95" s="19" t="str">
        <f>IFERROR(_xlfn.XLOOKUP(Selectivo6[[#This Row],[DNI]],_VF2026[DNI],_VF2026[R8]),"65 DNC")</f>
        <v>25</v>
      </c>
      <c r="W95" s="19"/>
      <c r="X95" s="19"/>
      <c r="Y95" s="19"/>
      <c r="Z95" s="19"/>
      <c r="AA95" s="19"/>
      <c r="AB95" s="8" cm="1">
        <f t="array" aca="1" ref="AB95" ca="1">SUM(IFERROR(VALUE(LEFT(Regatas, FIND(" ",Regatas&amp; " ") - 1)), 0))</f>
        <v>542</v>
      </c>
      <c r="AC95" s="9" cm="1">
        <f t="array" aca="1" ref="AC9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412</v>
      </c>
      <c r="AD95" s="6" cm="1">
        <f t="array" aca="1" ref="AD95" ca="1">SMALL(_xlfn._xlws.FILTER(RegatasN, RegatasN&lt;&gt;0), 1)</f>
        <v>8</v>
      </c>
      <c r="AE95" s="6" cm="1">
        <f t="array" aca="1" ref="AE95" ca="1">SMALL(_xlfn._xlws.FILTER(RegatasN, RegatasN&lt;&gt;0), 2)</f>
        <v>9</v>
      </c>
      <c r="AF95" s="6" cm="1">
        <f t="array" aca="1" ref="AF95" ca="1">SMALL(_xlfn._xlws.FILTER(RegatasN, RegatasN&lt;&gt;0), 3)</f>
        <v>9</v>
      </c>
      <c r="AG95" s="5" cm="1">
        <f t="array" aca="1" ref="AG95" ca="1">COUNTIF(Regatas,SMALL(_xlfn._xlws.FILTER(RegatasN, RegatasN&lt;&gt;0), 1))</f>
        <v>1</v>
      </c>
      <c r="AH95" s="6" t="e" cm="1">
        <f t="array" ref="AH9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6" spans="1:34">
      <c r="A96">
        <v>51049537</v>
      </c>
      <c r="B96" s="10">
        <f>ROW()-ROW(Selectivo6[[#Headers],[Pos]])</f>
        <v>90</v>
      </c>
      <c r="C96" s="5">
        <v>4128</v>
      </c>
      <c r="D96" t="s">
        <v>380</v>
      </c>
      <c r="E96" t="s">
        <v>11</v>
      </c>
      <c r="F96" s="19" t="str" cm="1">
        <f t="array" aca="1" ref="F96" ca="1">IFERROR(_xlfn.XLOOKUP(Selectivo6[[#This Row],[DNI]],S_S[DNI],INDIRECT("S_S["&amp;Selectivo6[[#Headers],[R1]]&amp;"]")),"60 DNC")</f>
        <v>36</v>
      </c>
      <c r="G96" s="19" t="str" cm="1">
        <f t="array" aca="1" ref="G96" ca="1">IFERROR(_xlfn.XLOOKUP(Selectivo6[[#This Row],[DNI]],S_S[DNI],INDIRECT("S_S["&amp;Selectivo6[[#Headers],[R2]]&amp;"]")),"60 DNC")</f>
        <v>29</v>
      </c>
      <c r="H96" s="19" t="str" cm="1">
        <f t="array" aca="1" ref="H96" ca="1">IFERROR(_xlfn.XLOOKUP(Selectivo6[[#This Row],[DNI]],S_S[DNI],INDIRECT("S_S["&amp;Selectivo6[[#Headers],[R3]]&amp;"]")),"60 DNC")</f>
        <v>21</v>
      </c>
      <c r="I96" s="19" t="str" cm="1">
        <f t="array" aca="1" ref="I96" ca="1">IFERROR(_xlfn.XLOOKUP(Selectivo6[[#This Row],[DNI]],S_S[DNI],INDIRECT("S_S["&amp;Selectivo6[[#Headers],[R4]]&amp;"]")),"60 DNC")</f>
        <v>16</v>
      </c>
      <c r="J96" s="19" t="str" cm="1">
        <f t="array" aca="1" ref="J96" ca="1">IFERROR(_xlfn.XLOOKUP(Selectivo6[[#This Row],[DNI]],S_S[DNI],INDIRECT("S_S["&amp;Selectivo6[[#Headers],[R5]]&amp;"]")),"60 DNC")</f>
        <v>25</v>
      </c>
      <c r="K96" s="19" t="str" cm="1">
        <f t="array" aca="1" ref="K96" ca="1">IFERROR(_xlfn.XLOOKUP(Selectivo6[[#This Row],[DNI]],S_S[DNI],INDIRECT("S_S["&amp;Selectivo6[[#Headers],[R6]]&amp;"]")),"60 DNC")</f>
        <v>46</v>
      </c>
      <c r="L96" s="19" t="str" cm="1">
        <f t="array" aca="1" ref="L96" ca="1">IFERROR(_xlfn.XLOOKUP(Selectivo6[[#This Row],[DNI]],S_S[DNI],INDIRECT("S_S["&amp;Selectivo6[[#Headers],[R7]]&amp;"]")),"60 DNC")</f>
        <v>17</v>
      </c>
      <c r="M96" s="19" t="str" cm="1">
        <f t="array" aca="1" ref="M96" ca="1">IFERROR(_xlfn.XLOOKUP(Selectivo6[[#This Row],[DNI]],S_S[DNI],INDIRECT("S_S["&amp;Selectivo6[[#Headers],[R8]]&amp;"]")),"60 DNC")</f>
        <v>34</v>
      </c>
      <c r="N96" s="19" t="str" cm="1">
        <f t="array" aca="1" ref="N96" ca="1">IFERROR(_xlfn.XLOOKUP(Selectivo6[[#This Row],[DNI]],S_S[DNI],INDIRECT("S_S["&amp;Selectivo6[[#Headers],[R9]]&amp;"]")),"60 DNC")</f>
        <v>37</v>
      </c>
      <c r="O96" s="19" t="str">
        <f>IFERROR(_xlfn.XLOOKUP(Selectivo6[[#This Row],[DNI]],_VF2026[DNI],_VF2026[R1]),"65 DNC")</f>
        <v>32</v>
      </c>
      <c r="P96" s="20" t="str">
        <f>IFERROR(_xlfn.XLOOKUP(Selectivo6[[#This Row],[DNI]],_VF2026[DNI],_VF2026[R2]),"65 DNC")</f>
        <v>65 BFD</v>
      </c>
      <c r="Q96" s="19" t="str">
        <f>IFERROR(_xlfn.XLOOKUP(Selectivo6[[#This Row],[DNI]],_VF2026[DNI],_VF2026[R3]),"65 DNC")</f>
        <v>41</v>
      </c>
      <c r="R96" s="19" t="str">
        <f>IFERROR(_xlfn.XLOOKUP(Selectivo6[[#This Row],[DNI]],_VF2026[DNI],_VF2026[R4]),"65 DNC")</f>
        <v>48</v>
      </c>
      <c r="S96" s="20" t="str">
        <f>IFERROR(_xlfn.XLOOKUP(Selectivo6[[#This Row],[DNI]],_VF2026[DNI],_VF2026[R5]),"65 DNC")</f>
        <v>54</v>
      </c>
      <c r="T96" s="19" t="str">
        <f>IFERROR(_xlfn.XLOOKUP(Selectivo6[[#This Row],[DNI]],_VF2026[DNI],_VF2026[R6]),"65 DNC")</f>
        <v>26</v>
      </c>
      <c r="U96" s="19" t="str">
        <f>IFERROR(_xlfn.XLOOKUP(Selectivo6[[#This Row],[DNI]],_VF2026[DNI],_VF2026[R7]),"65 DNC")</f>
        <v>11</v>
      </c>
      <c r="V96" s="19" t="str">
        <f>IFERROR(_xlfn.XLOOKUP(Selectivo6[[#This Row],[DNI]],_VF2026[DNI],_VF2026[R8]),"65 DNC")</f>
        <v>11</v>
      </c>
      <c r="W96" s="19"/>
      <c r="X96" s="19"/>
      <c r="Y96" s="19"/>
      <c r="Z96" s="19"/>
      <c r="AA96" s="19"/>
      <c r="AB96" s="8" cm="1">
        <f t="array" aca="1" ref="AB96" ca="1">SUM(IFERROR(VALUE(LEFT(Regatas, FIND(" ",Regatas&amp; " ") - 1)), 0))</f>
        <v>549</v>
      </c>
      <c r="AC96" s="9" cm="1">
        <f t="array" aca="1" ref="AC9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430</v>
      </c>
      <c r="AD96" s="6" cm="1">
        <f t="array" aca="1" ref="AD96" ca="1">SMALL(_xlfn._xlws.FILTER(RegatasN, RegatasN&lt;&gt;0), 1)</f>
        <v>11</v>
      </c>
      <c r="AE96" s="6" cm="1">
        <f t="array" aca="1" ref="AE96" ca="1">SMALL(_xlfn._xlws.FILTER(RegatasN, RegatasN&lt;&gt;0), 2)</f>
        <v>11</v>
      </c>
      <c r="AF96" s="6" cm="1">
        <f t="array" aca="1" ref="AF96" ca="1">SMALL(_xlfn._xlws.FILTER(RegatasN, RegatasN&lt;&gt;0), 3)</f>
        <v>16</v>
      </c>
      <c r="AG96" s="5" cm="1">
        <f t="array" aca="1" ref="AG96" ca="1">COUNTIF(Regatas,SMALL(_xlfn._xlws.FILTER(RegatasN, RegatasN&lt;&gt;0), 1))</f>
        <v>2</v>
      </c>
      <c r="AH96" s="6" t="e" cm="1">
        <f t="array" ref="AH9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7" spans="1:34">
      <c r="A97">
        <v>53761156</v>
      </c>
      <c r="B97" s="10">
        <f>ROW()-ROW(Selectivo6[[#Headers],[Pos]])</f>
        <v>91</v>
      </c>
      <c r="C97" s="5">
        <v>4290</v>
      </c>
      <c r="D97" t="s">
        <v>400</v>
      </c>
      <c r="E97" t="s">
        <v>5</v>
      </c>
      <c r="F97" s="19" t="str" cm="1">
        <f t="array" aca="1" ref="F97" ca="1">IFERROR(_xlfn.XLOOKUP(Selectivo6[[#This Row],[DNI]],S_S[DNI],INDIRECT("S_S["&amp;Selectivo6[[#Headers],[R1]]&amp;"]")),"60 DNC")</f>
        <v>13</v>
      </c>
      <c r="G97" s="19" t="str" cm="1">
        <f t="array" aca="1" ref="G97" ca="1">IFERROR(_xlfn.XLOOKUP(Selectivo6[[#This Row],[DNI]],S_S[DNI],INDIRECT("S_S["&amp;Selectivo6[[#Headers],[R2]]&amp;"]")),"60 DNC")</f>
        <v>38</v>
      </c>
      <c r="H97" s="19" t="str" cm="1">
        <f t="array" aca="1" ref="H97" ca="1">IFERROR(_xlfn.XLOOKUP(Selectivo6[[#This Row],[DNI]],S_S[DNI],INDIRECT("S_S["&amp;Selectivo6[[#Headers],[R3]]&amp;"]")),"60 DNC")</f>
        <v>35</v>
      </c>
      <c r="I97" s="19" t="str" cm="1">
        <f t="array" aca="1" ref="I97" ca="1">IFERROR(_xlfn.XLOOKUP(Selectivo6[[#This Row],[DNI]],S_S[DNI],INDIRECT("S_S["&amp;Selectivo6[[#Headers],[R4]]&amp;"]")),"60 DNC")</f>
        <v>60 BFD</v>
      </c>
      <c r="J97" s="19" t="str" cm="1">
        <f t="array" aca="1" ref="J97" ca="1">IFERROR(_xlfn.XLOOKUP(Selectivo6[[#This Row],[DNI]],S_S[DNI],INDIRECT("S_S["&amp;Selectivo6[[#Headers],[R5]]&amp;"]")),"60 DNC")</f>
        <v>29</v>
      </c>
      <c r="K97" s="19" t="str" cm="1">
        <f t="array" aca="1" ref="K97" ca="1">IFERROR(_xlfn.XLOOKUP(Selectivo6[[#This Row],[DNI]],S_S[DNI],INDIRECT("S_S["&amp;Selectivo6[[#Headers],[R6]]&amp;"]")),"60 DNC")</f>
        <v>38</v>
      </c>
      <c r="L97" s="19" t="str" cm="1">
        <f t="array" aca="1" ref="L97" ca="1">IFERROR(_xlfn.XLOOKUP(Selectivo6[[#This Row],[DNI]],S_S[DNI],INDIRECT("S_S["&amp;Selectivo6[[#Headers],[R7]]&amp;"]")),"60 DNC")</f>
        <v>32</v>
      </c>
      <c r="M97" s="19" t="str" cm="1">
        <f t="array" aca="1" ref="M97" ca="1">IFERROR(_xlfn.XLOOKUP(Selectivo6[[#This Row],[DNI]],S_S[DNI],INDIRECT("S_S["&amp;Selectivo6[[#Headers],[R8]]&amp;"]")),"60 DNC")</f>
        <v>27</v>
      </c>
      <c r="N97" s="19" t="str" cm="1">
        <f t="array" aca="1" ref="N97" ca="1">IFERROR(_xlfn.XLOOKUP(Selectivo6[[#This Row],[DNI]],S_S[DNI],INDIRECT("S_S["&amp;Selectivo6[[#Headers],[R9]]&amp;"]")),"60 DNC")</f>
        <v>30</v>
      </c>
      <c r="O97" s="20" t="str">
        <f>IFERROR(_xlfn.XLOOKUP(Selectivo6[[#This Row],[DNI]],_VF2026[DNI],_VF2026[R1]),"65 DNC")</f>
        <v>65 BFD</v>
      </c>
      <c r="P97" s="20" t="str">
        <f>IFERROR(_xlfn.XLOOKUP(Selectivo6[[#This Row],[DNI]],_VF2026[DNI],_VF2026[R2]),"65 DNC")</f>
        <v>65 BFD</v>
      </c>
      <c r="Q97" s="19" t="str">
        <f>IFERROR(_xlfn.XLOOKUP(Selectivo6[[#This Row],[DNI]],_VF2026[DNI],_VF2026[R3]),"65 DNC")</f>
        <v>23</v>
      </c>
      <c r="R97" s="19" t="str">
        <f>IFERROR(_xlfn.XLOOKUP(Selectivo6[[#This Row],[DNI]],_VF2026[DNI],_VF2026[R4]),"65 DNC")</f>
        <v>24</v>
      </c>
      <c r="S97" s="19" t="str">
        <f>IFERROR(_xlfn.XLOOKUP(Selectivo6[[#This Row],[DNI]],_VF2026[DNI],_VF2026[R5]),"65 DNC")</f>
        <v>31</v>
      </c>
      <c r="T97" s="19" t="str">
        <f>IFERROR(_xlfn.XLOOKUP(Selectivo6[[#This Row],[DNI]],_VF2026[DNI],_VF2026[R6]),"65 DNC")</f>
        <v>24</v>
      </c>
      <c r="U97" s="19" t="str">
        <f>IFERROR(_xlfn.XLOOKUP(Selectivo6[[#This Row],[DNI]],_VF2026[DNI],_VF2026[R7]),"65 DNC")</f>
        <v>16</v>
      </c>
      <c r="V97" s="19" t="str">
        <f>IFERROR(_xlfn.XLOOKUP(Selectivo6[[#This Row],[DNI]],_VF2026[DNI],_VF2026[R8]),"65 DNC")</f>
        <v>14</v>
      </c>
      <c r="W97" s="19"/>
      <c r="X97" s="19"/>
      <c r="Y97" s="19"/>
      <c r="Z97" s="19"/>
      <c r="AA97" s="19"/>
      <c r="AB97" s="8" cm="1">
        <f t="array" aca="1" ref="AB97" ca="1">SUM(IFERROR(VALUE(LEFT(Regatas, FIND(" ",Regatas&amp; " ") - 1)), 0))</f>
        <v>564</v>
      </c>
      <c r="AC97" s="9" cm="1">
        <f t="array" aca="1" ref="AC9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434</v>
      </c>
      <c r="AD97" s="6" cm="1">
        <f t="array" aca="1" ref="AD97" ca="1">SMALL(_xlfn._xlws.FILTER(RegatasN, RegatasN&lt;&gt;0), 1)</f>
        <v>13</v>
      </c>
      <c r="AE97" s="6" cm="1">
        <f t="array" aca="1" ref="AE97" ca="1">SMALL(_xlfn._xlws.FILTER(RegatasN, RegatasN&lt;&gt;0), 2)</f>
        <v>14</v>
      </c>
      <c r="AF97" s="6" cm="1">
        <f t="array" aca="1" ref="AF97" ca="1">SMALL(_xlfn._xlws.FILTER(RegatasN, RegatasN&lt;&gt;0), 3)</f>
        <v>16</v>
      </c>
      <c r="AG97" s="5" cm="1">
        <f t="array" aca="1" ref="AG97" ca="1">COUNTIF(Regatas,SMALL(_xlfn._xlws.FILTER(RegatasN, RegatasN&lt;&gt;0), 1))</f>
        <v>1</v>
      </c>
      <c r="AH97" s="6" t="e" cm="1">
        <f t="array" ref="AH9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8" spans="1:34">
      <c r="A98">
        <v>53204460</v>
      </c>
      <c r="B98" s="10">
        <f>ROW()-ROW(Selectivo6[[#Headers],[Pos]])</f>
        <v>92</v>
      </c>
      <c r="C98" s="5">
        <v>4121</v>
      </c>
      <c r="D98" t="s">
        <v>390</v>
      </c>
      <c r="E98" t="s">
        <v>21</v>
      </c>
      <c r="F98" s="19" t="str" cm="1">
        <f t="array" aca="1" ref="F98" ca="1">IFERROR(_xlfn.XLOOKUP(Selectivo6[[#This Row],[DNI]],S_S[DNI],INDIRECT("S_S["&amp;Selectivo6[[#Headers],[R1]]&amp;"]")),"60 DNC")</f>
        <v>18</v>
      </c>
      <c r="G98" s="19" t="str" cm="1">
        <f t="array" aca="1" ref="G98" ca="1">IFERROR(_xlfn.XLOOKUP(Selectivo6[[#This Row],[DNI]],S_S[DNI],INDIRECT("S_S["&amp;Selectivo6[[#Headers],[R2]]&amp;"]")),"60 DNC")</f>
        <v>21</v>
      </c>
      <c r="H98" s="19" t="str" cm="1">
        <f t="array" aca="1" ref="H98" ca="1">IFERROR(_xlfn.XLOOKUP(Selectivo6[[#This Row],[DNI]],S_S[DNI],INDIRECT("S_S["&amp;Selectivo6[[#Headers],[R3]]&amp;"]")),"60 DNC")</f>
        <v>41</v>
      </c>
      <c r="I98" s="20" t="str" cm="1">
        <f t="array" aca="1" ref="I98" ca="1">IFERROR(_xlfn.XLOOKUP(Selectivo6[[#This Row],[DNI]],S_S[DNI],INDIRECT("S_S["&amp;Selectivo6[[#Headers],[R4]]&amp;"]")),"60 DNC")</f>
        <v>60 BFD</v>
      </c>
      <c r="J98" s="19" t="str" cm="1">
        <f t="array" aca="1" ref="J98" ca="1">IFERROR(_xlfn.XLOOKUP(Selectivo6[[#This Row],[DNI]],S_S[DNI],INDIRECT("S_S["&amp;Selectivo6[[#Headers],[R5]]&amp;"]")),"60 DNC")</f>
        <v>20</v>
      </c>
      <c r="K98" s="19" t="str" cm="1">
        <f t="array" aca="1" ref="K98" ca="1">IFERROR(_xlfn.XLOOKUP(Selectivo6[[#This Row],[DNI]],S_S[DNI],INDIRECT("S_S["&amp;Selectivo6[[#Headers],[R6]]&amp;"]")),"60 DNC")</f>
        <v>28</v>
      </c>
      <c r="L98" s="19" t="str" cm="1">
        <f t="array" aca="1" ref="L98" ca="1">IFERROR(_xlfn.XLOOKUP(Selectivo6[[#This Row],[DNI]],S_S[DNI],INDIRECT("S_S["&amp;Selectivo6[[#Headers],[R7]]&amp;"]")),"60 DNC")</f>
        <v>48</v>
      </c>
      <c r="M98" s="19" t="str" cm="1">
        <f t="array" aca="1" ref="M98" ca="1">IFERROR(_xlfn.XLOOKUP(Selectivo6[[#This Row],[DNI]],S_S[DNI],INDIRECT("S_S["&amp;Selectivo6[[#Headers],[R8]]&amp;"]")),"60 DNC")</f>
        <v>29</v>
      </c>
      <c r="N98" s="19" t="str" cm="1">
        <f t="array" aca="1" ref="N98" ca="1">IFERROR(_xlfn.XLOOKUP(Selectivo6[[#This Row],[DNI]],S_S[DNI],INDIRECT("S_S["&amp;Selectivo6[[#Headers],[R9]]&amp;"]")),"60 DNC")</f>
        <v>17</v>
      </c>
      <c r="O98" s="19" t="str">
        <f>IFERROR(_xlfn.XLOOKUP(Selectivo6[[#This Row],[DNI]],_VF2026[DNI],_VF2026[R1]),"65 DNC")</f>
        <v>51</v>
      </c>
      <c r="P98" s="19" t="str">
        <f>IFERROR(_xlfn.XLOOKUP(Selectivo6[[#This Row],[DNI]],_VF2026[DNI],_VF2026[R2]),"65 DNC")</f>
        <v>41</v>
      </c>
      <c r="Q98" s="19" t="str">
        <f>IFERROR(_xlfn.XLOOKUP(Selectivo6[[#This Row],[DNI]],_VF2026[DNI],_VF2026[R3]),"65 DNC")</f>
        <v>32</v>
      </c>
      <c r="R98" s="19" t="str">
        <f>IFERROR(_xlfn.XLOOKUP(Selectivo6[[#This Row],[DNI]],_VF2026[DNI],_VF2026[R4]),"65 DNC")</f>
        <v>25</v>
      </c>
      <c r="S98" s="19" t="str">
        <f>IFERROR(_xlfn.XLOOKUP(Selectivo6[[#This Row],[DNI]],_VF2026[DNI],_VF2026[R5]),"65 DNC")</f>
        <v>28</v>
      </c>
      <c r="T98" s="19" t="str">
        <f>IFERROR(_xlfn.XLOOKUP(Selectivo6[[#This Row],[DNI]],_VF2026[DNI],_VF2026[R6]),"65 DNC")</f>
        <v>12</v>
      </c>
      <c r="U98" s="19" t="str">
        <f>IFERROR(_xlfn.XLOOKUP(Selectivo6[[#This Row],[DNI]],_VF2026[DNI],_VF2026[R7]),"65 DNC")</f>
        <v>33</v>
      </c>
      <c r="V98" s="20" t="str">
        <f>IFERROR(_xlfn.XLOOKUP(Selectivo6[[#This Row],[DNI]],_VF2026[DNI],_VF2026[R8]),"65 DNC")</f>
        <v>65 BFD</v>
      </c>
      <c r="W98" s="19"/>
      <c r="X98" s="19"/>
      <c r="Y98" s="19"/>
      <c r="Z98" s="19"/>
      <c r="AA98" s="19"/>
      <c r="AB98" s="8" cm="1">
        <f t="array" aca="1" ref="AB98" ca="1">SUM(IFERROR(VALUE(LEFT(Regatas, FIND(" ",Regatas&amp; " ") - 1)), 0))</f>
        <v>569</v>
      </c>
      <c r="AC98" s="9" cm="1">
        <f t="array" aca="1" ref="AC9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444</v>
      </c>
      <c r="AD98" s="6" cm="1">
        <f t="array" aca="1" ref="AD98" ca="1">SMALL(_xlfn._xlws.FILTER(RegatasN, RegatasN&lt;&gt;0), 1)</f>
        <v>12</v>
      </c>
      <c r="AE98" s="6" cm="1">
        <f t="array" aca="1" ref="AE98" ca="1">SMALL(_xlfn._xlws.FILTER(RegatasN, RegatasN&lt;&gt;0), 2)</f>
        <v>17</v>
      </c>
      <c r="AF98" s="6" cm="1">
        <f t="array" aca="1" ref="AF98" ca="1">SMALL(_xlfn._xlws.FILTER(RegatasN, RegatasN&lt;&gt;0), 3)</f>
        <v>18</v>
      </c>
      <c r="AG98" s="5" cm="1">
        <f t="array" aca="1" ref="AG98" ca="1">COUNTIF(Regatas,SMALL(_xlfn._xlws.FILTER(RegatasN, RegatasN&lt;&gt;0), 1))</f>
        <v>1</v>
      </c>
      <c r="AH98" s="6" t="e" cm="1">
        <f t="array" ref="AH9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99" spans="1:34">
      <c r="A99">
        <v>51157369</v>
      </c>
      <c r="B99" s="10">
        <f>ROW()-ROW(Selectivo6[[#Headers],[Pos]])</f>
        <v>93</v>
      </c>
      <c r="C99" s="5">
        <v>4047</v>
      </c>
      <c r="D99" t="s">
        <v>388</v>
      </c>
      <c r="E99" t="s">
        <v>171</v>
      </c>
      <c r="F99" s="19" t="str" cm="1">
        <f t="array" aca="1" ref="F99" ca="1">IFERROR(_xlfn.XLOOKUP(Selectivo6[[#This Row],[DNI]],S_S[DNI],INDIRECT("S_S["&amp;Selectivo6[[#Headers],[R1]]&amp;"]")),"60 DNC")</f>
        <v>43</v>
      </c>
      <c r="G99" s="19" t="str" cm="1">
        <f t="array" aca="1" ref="G99" ca="1">IFERROR(_xlfn.XLOOKUP(Selectivo6[[#This Row],[DNI]],S_S[DNI],INDIRECT("S_S["&amp;Selectivo6[[#Headers],[R2]]&amp;"]")),"60 DNC")</f>
        <v>34</v>
      </c>
      <c r="H99" s="19" t="str" cm="1">
        <f t="array" aca="1" ref="H99" ca="1">IFERROR(_xlfn.XLOOKUP(Selectivo6[[#This Row],[DNI]],S_S[DNI],INDIRECT("S_S["&amp;Selectivo6[[#Headers],[R3]]&amp;"]")),"60 DNC")</f>
        <v>12</v>
      </c>
      <c r="I99" s="19" t="str" cm="1">
        <f t="array" aca="1" ref="I99" ca="1">IFERROR(_xlfn.XLOOKUP(Selectivo6[[#This Row],[DNI]],S_S[DNI],INDIRECT("S_S["&amp;Selectivo6[[#Headers],[R4]]&amp;"]")),"60 DNC")</f>
        <v>42</v>
      </c>
      <c r="J99" s="19" t="str" cm="1">
        <f t="array" aca="1" ref="J99" ca="1">IFERROR(_xlfn.XLOOKUP(Selectivo6[[#This Row],[DNI]],S_S[DNI],INDIRECT("S_S["&amp;Selectivo6[[#Headers],[R5]]&amp;"]")),"60 DNC")</f>
        <v>22</v>
      </c>
      <c r="K99" s="19" t="str" cm="1">
        <f t="array" aca="1" ref="K99" ca="1">IFERROR(_xlfn.XLOOKUP(Selectivo6[[#This Row],[DNI]],S_S[DNI],INDIRECT("S_S["&amp;Selectivo6[[#Headers],[R6]]&amp;"]")),"60 DNC")</f>
        <v>27</v>
      </c>
      <c r="L99" s="19" t="str" cm="1">
        <f t="array" aca="1" ref="L99" ca="1">IFERROR(_xlfn.XLOOKUP(Selectivo6[[#This Row],[DNI]],S_S[DNI],INDIRECT("S_S["&amp;Selectivo6[[#Headers],[R7]]&amp;"]")),"60 DNC")</f>
        <v>21</v>
      </c>
      <c r="M99" s="19" t="str" cm="1">
        <f t="array" aca="1" ref="M99" ca="1">IFERROR(_xlfn.XLOOKUP(Selectivo6[[#This Row],[DNI]],S_S[DNI],INDIRECT("S_S["&amp;Selectivo6[[#Headers],[R8]]&amp;"]")),"60 DNC")</f>
        <v>30</v>
      </c>
      <c r="N99" s="19" t="str" cm="1">
        <f t="array" aca="1" ref="N99" ca="1">IFERROR(_xlfn.XLOOKUP(Selectivo6[[#This Row],[DNI]],S_S[DNI],INDIRECT("S_S["&amp;Selectivo6[[#Headers],[R9]]&amp;"]")),"60 DNC")</f>
        <v>33</v>
      </c>
      <c r="O99" s="19" t="str">
        <f>IFERROR(_xlfn.XLOOKUP(Selectivo6[[#This Row],[DNI]],_VF2026[DNI],_VF2026[R1]),"65 DNC")</f>
        <v>25</v>
      </c>
      <c r="P99" s="19" t="str">
        <f>IFERROR(_xlfn.XLOOKUP(Selectivo6[[#This Row],[DNI]],_VF2026[DNI],_VF2026[R2]),"65 DNC")</f>
        <v>23</v>
      </c>
      <c r="Q99" s="20" t="str">
        <f>IFERROR(_xlfn.XLOOKUP(Selectivo6[[#This Row],[DNI]],_VF2026[DNI],_VF2026[R3]),"65 DNC")</f>
        <v>49</v>
      </c>
      <c r="R99" s="19" t="str">
        <f>IFERROR(_xlfn.XLOOKUP(Selectivo6[[#This Row],[DNI]],_VF2026[DNI],_VF2026[R4]),"65 DNC")</f>
        <v>27</v>
      </c>
      <c r="S99" s="19" t="str">
        <f>IFERROR(_xlfn.XLOOKUP(Selectivo6[[#This Row],[DNI]],_VF2026[DNI],_VF2026[R5]),"65 DNC")</f>
        <v>22</v>
      </c>
      <c r="T99" s="20" t="str">
        <f>IFERROR(_xlfn.XLOOKUP(Selectivo6[[#This Row],[DNI]],_VF2026[DNI],_VF2026[R6]),"65 DNC")</f>
        <v>50</v>
      </c>
      <c r="U99" s="19" t="str">
        <f>IFERROR(_xlfn.XLOOKUP(Selectivo6[[#This Row],[DNI]],_VF2026[DNI],_VF2026[R7]),"65 DNC")</f>
        <v>42</v>
      </c>
      <c r="V99" s="19" t="str">
        <f>IFERROR(_xlfn.XLOOKUP(Selectivo6[[#This Row],[DNI]],_VF2026[DNI],_VF2026[R8]),"65 DNC")</f>
        <v>47</v>
      </c>
      <c r="W99" s="19"/>
      <c r="X99" s="19"/>
      <c r="Y99" s="19"/>
      <c r="Z99" s="19"/>
      <c r="AA99" s="19"/>
      <c r="AB99" s="8" cm="1">
        <f t="array" aca="1" ref="AB99" ca="1">SUM(IFERROR(VALUE(LEFT(Regatas, FIND(" ",Regatas&amp; " ") - 1)), 0))</f>
        <v>549</v>
      </c>
      <c r="AC99" s="9" cm="1">
        <f t="array" aca="1" ref="AC9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450</v>
      </c>
      <c r="AD99" s="6" cm="1">
        <f t="array" aca="1" ref="AD99" ca="1">SMALL(_xlfn._xlws.FILTER(RegatasN, RegatasN&lt;&gt;0), 1)</f>
        <v>12</v>
      </c>
      <c r="AE99" s="6" cm="1">
        <f t="array" aca="1" ref="AE99" ca="1">SMALL(_xlfn._xlws.FILTER(RegatasN, RegatasN&lt;&gt;0), 2)</f>
        <v>21</v>
      </c>
      <c r="AF99" s="6" cm="1">
        <f t="array" aca="1" ref="AF99" ca="1">SMALL(_xlfn._xlws.FILTER(RegatasN, RegatasN&lt;&gt;0), 3)</f>
        <v>22</v>
      </c>
      <c r="AG99" s="5" cm="1">
        <f t="array" aca="1" ref="AG99" ca="1">COUNTIF(Regatas,SMALL(_xlfn._xlws.FILTER(RegatasN, RegatasN&lt;&gt;0), 1))</f>
        <v>1</v>
      </c>
      <c r="AH99" s="6" t="e" cm="1">
        <f t="array" ref="AH9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0" spans="1:34">
      <c r="A100">
        <v>51281593</v>
      </c>
      <c r="B100" s="10">
        <f>ROW()-ROW(Selectivo6[[#Headers],[Pos]])</f>
        <v>94</v>
      </c>
      <c r="C100" s="5">
        <v>3977</v>
      </c>
      <c r="D100" t="s">
        <v>362</v>
      </c>
      <c r="E100" t="s">
        <v>17</v>
      </c>
      <c r="F100" s="19" t="str" cm="1">
        <f t="array" aca="1" ref="F100" ca="1">IFERROR(_xlfn.XLOOKUP(Selectivo6[[#This Row],[DNI]],S_S[DNI],INDIRECT("S_S["&amp;Selectivo6[[#Headers],[R1]]&amp;"]")),"60 DNC")</f>
        <v>60 BFD</v>
      </c>
      <c r="G100" s="19" t="str" cm="1">
        <f t="array" aca="1" ref="G100" ca="1">IFERROR(_xlfn.XLOOKUP(Selectivo6[[#This Row],[DNI]],S_S[DNI],INDIRECT("S_S["&amp;Selectivo6[[#Headers],[R2]]&amp;"]")),"60 DNC")</f>
        <v>29</v>
      </c>
      <c r="H100" s="19" t="str" cm="1">
        <f t="array" aca="1" ref="H100" ca="1">IFERROR(_xlfn.XLOOKUP(Selectivo6[[#This Row],[DNI]],S_S[DNI],INDIRECT("S_S["&amp;Selectivo6[[#Headers],[R3]]&amp;"]")),"60 DNC")</f>
        <v>26</v>
      </c>
      <c r="I100" s="19" t="str" cm="1">
        <f t="array" aca="1" ref="I100" ca="1">IFERROR(_xlfn.XLOOKUP(Selectivo6[[#This Row],[DNI]],S_S[DNI],INDIRECT("S_S["&amp;Selectivo6[[#Headers],[R4]]&amp;"]")),"60 DNC")</f>
        <v>30</v>
      </c>
      <c r="J100" s="19" t="str" cm="1">
        <f t="array" aca="1" ref="J100" ca="1">IFERROR(_xlfn.XLOOKUP(Selectivo6[[#This Row],[DNI]],S_S[DNI],INDIRECT("S_S["&amp;Selectivo6[[#Headers],[R5]]&amp;"]")),"60 DNC")</f>
        <v>29</v>
      </c>
      <c r="K100" s="19" t="str" cm="1">
        <f t="array" aca="1" ref="K100" ca="1">IFERROR(_xlfn.XLOOKUP(Selectivo6[[#This Row],[DNI]],S_S[DNI],INDIRECT("S_S["&amp;Selectivo6[[#Headers],[R6]]&amp;"]")),"60 DNC")</f>
        <v>4</v>
      </c>
      <c r="L100" s="19" t="str" cm="1">
        <f t="array" aca="1" ref="L100" ca="1">IFERROR(_xlfn.XLOOKUP(Selectivo6[[#This Row],[DNI]],S_S[DNI],INDIRECT("S_S["&amp;Selectivo6[[#Headers],[R7]]&amp;"]")),"60 DNC")</f>
        <v>15</v>
      </c>
      <c r="M100" s="19" t="str" cm="1">
        <f t="array" aca="1" ref="M100" ca="1">IFERROR(_xlfn.XLOOKUP(Selectivo6[[#This Row],[DNI]],S_S[DNI],INDIRECT("S_S["&amp;Selectivo6[[#Headers],[R8]]&amp;"]")),"60 DNC")</f>
        <v>28</v>
      </c>
      <c r="N100" s="19" t="str" cm="1">
        <f t="array" aca="1" ref="N100" ca="1">IFERROR(_xlfn.XLOOKUP(Selectivo6[[#This Row],[DNI]],S_S[DNI],INDIRECT("S_S["&amp;Selectivo6[[#Headers],[R9]]&amp;"]")),"60 DNC")</f>
        <v>27</v>
      </c>
      <c r="O100" s="19" t="str">
        <f>IFERROR(_xlfn.XLOOKUP(Selectivo6[[#This Row],[DNI]],_VF2026[DNI],_VF2026[R1]),"65 DNC")</f>
        <v>29</v>
      </c>
      <c r="P100" s="19" t="str">
        <f>IFERROR(_xlfn.XLOOKUP(Selectivo6[[#This Row],[DNI]],_VF2026[DNI],_VF2026[R2]),"65 DNC")</f>
        <v>21</v>
      </c>
      <c r="Q100" s="19" t="str">
        <f>IFERROR(_xlfn.XLOOKUP(Selectivo6[[#This Row],[DNI]],_VF2026[DNI],_VF2026[R3]),"65 DNC")</f>
        <v>22</v>
      </c>
      <c r="R100" s="19" t="str">
        <f>IFERROR(_xlfn.XLOOKUP(Selectivo6[[#This Row],[DNI]],_VF2026[DNI],_VF2026[R4]),"65 DNC")</f>
        <v>54</v>
      </c>
      <c r="S100" s="19" t="str">
        <f>IFERROR(_xlfn.XLOOKUP(Selectivo6[[#This Row],[DNI]],_VF2026[DNI],_VF2026[R5]),"65 DNC")</f>
        <v>44</v>
      </c>
      <c r="T100" s="20" t="str">
        <f>IFERROR(_xlfn.XLOOKUP(Selectivo6[[#This Row],[DNI]],_VF2026[DNI],_VF2026[R6]),"65 DNC")</f>
        <v>65 BFD</v>
      </c>
      <c r="U100" s="20" t="str">
        <f>IFERROR(_xlfn.XLOOKUP(Selectivo6[[#This Row],[DNI]],_VF2026[DNI],_VF2026[R7]),"65 DNC")</f>
        <v>65 BFD</v>
      </c>
      <c r="V100" s="19" t="str">
        <f>IFERROR(_xlfn.XLOOKUP(Selectivo6[[#This Row],[DNI]],_VF2026[DNI],_VF2026[R8]),"65 DNC")</f>
        <v>38</v>
      </c>
      <c r="W100" s="19"/>
      <c r="X100" s="19"/>
      <c r="Y100" s="19"/>
      <c r="Z100" s="19"/>
      <c r="AA100" s="19"/>
      <c r="AB100" s="8" cm="1">
        <f t="array" aca="1" ref="AB100" ca="1">SUM(IFERROR(VALUE(LEFT(Regatas, FIND(" ",Regatas&amp; " ") - 1)), 0))</f>
        <v>586</v>
      </c>
      <c r="AC100" s="9" cm="1">
        <f t="array" aca="1" ref="AC10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456</v>
      </c>
      <c r="AD100" s="6" cm="1">
        <f t="array" aca="1" ref="AD100" ca="1">SMALL(_xlfn._xlws.FILTER(RegatasN, RegatasN&lt;&gt;0), 1)</f>
        <v>4</v>
      </c>
      <c r="AE100" s="6" cm="1">
        <f t="array" aca="1" ref="AE100" ca="1">SMALL(_xlfn._xlws.FILTER(RegatasN, RegatasN&lt;&gt;0), 2)</f>
        <v>15</v>
      </c>
      <c r="AF100" s="6" cm="1">
        <f t="array" aca="1" ref="AF100" ca="1">SMALL(_xlfn._xlws.FILTER(RegatasN, RegatasN&lt;&gt;0), 3)</f>
        <v>21</v>
      </c>
      <c r="AG100" s="5" cm="1">
        <f t="array" aca="1" ref="AG100" ca="1">COUNTIF(Regatas,SMALL(_xlfn._xlws.FILTER(RegatasN, RegatasN&lt;&gt;0), 1))</f>
        <v>1</v>
      </c>
      <c r="AH100" s="6" t="e" cm="1">
        <f t="array" ref="AH10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1" spans="1:34">
      <c r="A101">
        <v>54892590</v>
      </c>
      <c r="B101" s="10">
        <f>ROW()-ROW(Selectivo6[[#Headers],[Pos]])</f>
        <v>95</v>
      </c>
      <c r="C101" s="5">
        <v>4276</v>
      </c>
      <c r="D101" t="s">
        <v>437</v>
      </c>
      <c r="E101" t="s">
        <v>5</v>
      </c>
      <c r="F101" s="19" t="str" cm="1">
        <f t="array" aca="1" ref="F101" ca="1">IFERROR(_xlfn.XLOOKUP(Selectivo6[[#This Row],[DNI]],S_S[DNI],INDIRECT("S_S["&amp;Selectivo6[[#Headers],[R1]]&amp;"]")),"60 DNC")</f>
        <v>24</v>
      </c>
      <c r="G101" s="19" t="str" cm="1">
        <f t="array" aca="1" ref="G101" ca="1">IFERROR(_xlfn.XLOOKUP(Selectivo6[[#This Row],[DNI]],S_S[DNI],INDIRECT("S_S["&amp;Selectivo6[[#Headers],[R2]]&amp;"]")),"60 DNC")</f>
        <v>40</v>
      </c>
      <c r="H101" s="20" t="str" cm="1">
        <f t="array" aca="1" ref="H101" ca="1">IFERROR(_xlfn.XLOOKUP(Selectivo6[[#This Row],[DNI]],S_S[DNI],INDIRECT("S_S["&amp;Selectivo6[[#Headers],[R3]]&amp;"]")),"60 DNC")</f>
        <v>47</v>
      </c>
      <c r="I101" s="19" t="str" cm="1">
        <f t="array" aca="1" ref="I101" ca="1">IFERROR(_xlfn.XLOOKUP(Selectivo6[[#This Row],[DNI]],S_S[DNI],INDIRECT("S_S["&amp;Selectivo6[[#Headers],[R4]]&amp;"]")),"60 DNC")</f>
        <v>24</v>
      </c>
      <c r="J101" s="19" t="str" cm="1">
        <f t="array" aca="1" ref="J101" ca="1">IFERROR(_xlfn.XLOOKUP(Selectivo6[[#This Row],[DNI]],S_S[DNI],INDIRECT("S_S["&amp;Selectivo6[[#Headers],[R5]]&amp;"]")),"60 DNC")</f>
        <v>27</v>
      </c>
      <c r="K101" s="19" t="str" cm="1">
        <f t="array" aca="1" ref="K101" ca="1">IFERROR(_xlfn.XLOOKUP(Selectivo6[[#This Row],[DNI]],S_S[DNI],INDIRECT("S_S["&amp;Selectivo6[[#Headers],[R6]]&amp;"]")),"60 DNC")</f>
        <v>27</v>
      </c>
      <c r="L101" s="19" t="str" cm="1">
        <f t="array" aca="1" ref="L101" ca="1">IFERROR(_xlfn.XLOOKUP(Selectivo6[[#This Row],[DNI]],S_S[DNI],INDIRECT("S_S["&amp;Selectivo6[[#Headers],[R7]]&amp;"]")),"60 DNC")</f>
        <v>43</v>
      </c>
      <c r="M101" s="19" t="str" cm="1">
        <f t="array" aca="1" ref="M101" ca="1">IFERROR(_xlfn.XLOOKUP(Selectivo6[[#This Row],[DNI]],S_S[DNI],INDIRECT("S_S["&amp;Selectivo6[[#Headers],[R8]]&amp;"]")),"60 DNC")</f>
        <v>42</v>
      </c>
      <c r="N101" s="19" t="str" cm="1">
        <f t="array" aca="1" ref="N101" ca="1">IFERROR(_xlfn.XLOOKUP(Selectivo6[[#This Row],[DNI]],S_S[DNI],INDIRECT("S_S["&amp;Selectivo6[[#Headers],[R9]]&amp;"]")),"60 DNC")</f>
        <v>45</v>
      </c>
      <c r="O101" s="19" t="str">
        <f>IFERROR(_xlfn.XLOOKUP(Selectivo6[[#This Row],[DNI]],_VF2026[DNI],_VF2026[R1]),"65 DNC")</f>
        <v>36</v>
      </c>
      <c r="P101" s="19" t="str">
        <f>IFERROR(_xlfn.XLOOKUP(Selectivo6[[#This Row],[DNI]],_VF2026[DNI],_VF2026[R2]),"65 DNC")</f>
        <v>45</v>
      </c>
      <c r="Q101" s="20" t="str">
        <f>IFERROR(_xlfn.XLOOKUP(Selectivo6[[#This Row],[DNI]],_VF2026[DNI],_VF2026[R3]),"65 DNC")</f>
        <v>55</v>
      </c>
      <c r="R101" s="19" t="str">
        <f>IFERROR(_xlfn.XLOOKUP(Selectivo6[[#This Row],[DNI]],_VF2026[DNI],_VF2026[R4]),"65 DNC")</f>
        <v>45</v>
      </c>
      <c r="S101" s="19" t="str">
        <f>IFERROR(_xlfn.XLOOKUP(Selectivo6[[#This Row],[DNI]],_VF2026[DNI],_VF2026[R5]),"65 DNC")</f>
        <v>39</v>
      </c>
      <c r="T101" s="19" t="str">
        <f>IFERROR(_xlfn.XLOOKUP(Selectivo6[[#This Row],[DNI]],_VF2026[DNI],_VF2026[R6]),"65 DNC")</f>
        <v>18</v>
      </c>
      <c r="U101" s="19" t="str">
        <f>IFERROR(_xlfn.XLOOKUP(Selectivo6[[#This Row],[DNI]],_VF2026[DNI],_VF2026[R7]),"65 DNC")</f>
        <v>6</v>
      </c>
      <c r="V101" s="19" t="str">
        <f>IFERROR(_xlfn.XLOOKUP(Selectivo6[[#This Row],[DNI]],_VF2026[DNI],_VF2026[R8]),"65 DNC")</f>
        <v>1</v>
      </c>
      <c r="W101" s="19"/>
      <c r="X101" s="19"/>
      <c r="Y101" s="19"/>
      <c r="Z101" s="19"/>
      <c r="AA101" s="19"/>
      <c r="AB101" s="8" cm="1">
        <f t="array" aca="1" ref="AB101" ca="1">SUM(IFERROR(VALUE(LEFT(Regatas, FIND(" ",Regatas&amp; " ") - 1)), 0))</f>
        <v>564</v>
      </c>
      <c r="AC101" s="9" cm="1">
        <f t="array" aca="1" ref="AC10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462</v>
      </c>
      <c r="AD101" s="6" cm="1">
        <f t="array" aca="1" ref="AD101" ca="1">SMALL(_xlfn._xlws.FILTER(RegatasN, RegatasN&lt;&gt;0), 1)</f>
        <v>1</v>
      </c>
      <c r="AE101" s="6" cm="1">
        <f t="array" aca="1" ref="AE101" ca="1">SMALL(_xlfn._xlws.FILTER(RegatasN, RegatasN&lt;&gt;0), 2)</f>
        <v>6</v>
      </c>
      <c r="AF101" s="6" cm="1">
        <f t="array" aca="1" ref="AF101" ca="1">SMALL(_xlfn._xlws.FILTER(RegatasN, RegatasN&lt;&gt;0), 3)</f>
        <v>18</v>
      </c>
      <c r="AG101" s="5" cm="1">
        <f t="array" aca="1" ref="AG101" ca="1">COUNTIF(Regatas,SMALL(_xlfn._xlws.FILTER(RegatasN, RegatasN&lt;&gt;0), 1))</f>
        <v>1</v>
      </c>
      <c r="AH101" s="6" t="e" cm="1">
        <f t="array" ref="AH10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2" spans="1:34">
      <c r="A102">
        <v>53799215</v>
      </c>
      <c r="B102" s="10">
        <f>ROW()-ROW(Selectivo6[[#Headers],[Pos]])</f>
        <v>96</v>
      </c>
      <c r="C102" s="5">
        <v>4223</v>
      </c>
      <c r="D102" t="s">
        <v>386</v>
      </c>
      <c r="E102" t="s">
        <v>27</v>
      </c>
      <c r="F102" s="19" t="str" cm="1">
        <f t="array" aca="1" ref="F102" ca="1">IFERROR(_xlfn.XLOOKUP(Selectivo6[[#This Row],[DNI]],S_S[DNI],INDIRECT("S_S["&amp;Selectivo6[[#Headers],[R1]]&amp;"]")),"60 DNC")</f>
        <v>27</v>
      </c>
      <c r="G102" s="19" t="str" cm="1">
        <f t="array" aca="1" ref="G102" ca="1">IFERROR(_xlfn.XLOOKUP(Selectivo6[[#This Row],[DNI]],S_S[DNI],INDIRECT("S_S["&amp;Selectivo6[[#Headers],[R2]]&amp;"]")),"60 DNC")</f>
        <v>15</v>
      </c>
      <c r="H102" s="19" t="str" cm="1">
        <f t="array" aca="1" ref="H102" ca="1">IFERROR(_xlfn.XLOOKUP(Selectivo6[[#This Row],[DNI]],S_S[DNI],INDIRECT("S_S["&amp;Selectivo6[[#Headers],[R3]]&amp;"]")),"60 DNC")</f>
        <v>23</v>
      </c>
      <c r="I102" s="19" t="str" cm="1">
        <f t="array" aca="1" ref="I102" ca="1">IFERROR(_xlfn.XLOOKUP(Selectivo6[[#This Row],[DNI]],S_S[DNI],INDIRECT("S_S["&amp;Selectivo6[[#Headers],[R4]]&amp;"]")),"60 DNC")</f>
        <v>21</v>
      </c>
      <c r="J102" s="19" t="str" cm="1">
        <f t="array" aca="1" ref="J102" ca="1">IFERROR(_xlfn.XLOOKUP(Selectivo6[[#This Row],[DNI]],S_S[DNI],INDIRECT("S_S["&amp;Selectivo6[[#Headers],[R5]]&amp;"]")),"60 DNC")</f>
        <v>21</v>
      </c>
      <c r="K102" s="19" t="str" cm="1">
        <f t="array" aca="1" ref="K102" ca="1">IFERROR(_xlfn.XLOOKUP(Selectivo6[[#This Row],[DNI]],S_S[DNI],INDIRECT("S_S["&amp;Selectivo6[[#Headers],[R6]]&amp;"]")),"60 DNC")</f>
        <v>42</v>
      </c>
      <c r="L102" s="19" t="str" cm="1">
        <f t="array" aca="1" ref="L102" ca="1">IFERROR(_xlfn.XLOOKUP(Selectivo6[[#This Row],[DNI]],S_S[DNI],INDIRECT("S_S["&amp;Selectivo6[[#Headers],[R7]]&amp;"]")),"60 DNC")</f>
        <v>47</v>
      </c>
      <c r="M102" s="19" t="str" cm="1">
        <f t="array" aca="1" ref="M102" ca="1">IFERROR(_xlfn.XLOOKUP(Selectivo6[[#This Row],[DNI]],S_S[DNI],INDIRECT("S_S["&amp;Selectivo6[[#Headers],[R8]]&amp;"]")),"60 DNC")</f>
        <v>30</v>
      </c>
      <c r="N102" s="19" t="str" cm="1">
        <f t="array" aca="1" ref="N102" ca="1">IFERROR(_xlfn.XLOOKUP(Selectivo6[[#This Row],[DNI]],S_S[DNI],INDIRECT("S_S["&amp;Selectivo6[[#Headers],[R9]]&amp;"]")),"60 DNC")</f>
        <v>41</v>
      </c>
      <c r="O102" s="19" t="str">
        <f>IFERROR(_xlfn.XLOOKUP(Selectivo6[[#This Row],[DNI]],_VF2026[DNI],_VF2026[R1]),"65 DNC")</f>
        <v>43</v>
      </c>
      <c r="P102" s="19" t="str">
        <f>IFERROR(_xlfn.XLOOKUP(Selectivo6[[#This Row],[DNI]],_VF2026[DNI],_VF2026[R2]),"65 DNC")</f>
        <v>47</v>
      </c>
      <c r="Q102" s="20" t="str">
        <f>IFERROR(_xlfn.XLOOKUP(Selectivo6[[#This Row],[DNI]],_VF2026[DNI],_VF2026[R3]),"65 DNC")</f>
        <v>50</v>
      </c>
      <c r="R102" s="19" t="str">
        <f>IFERROR(_xlfn.XLOOKUP(Selectivo6[[#This Row],[DNI]],_VF2026[DNI],_VF2026[R4]),"65 DNC")</f>
        <v>49</v>
      </c>
      <c r="S102" s="19" t="str">
        <f>IFERROR(_xlfn.XLOOKUP(Selectivo6[[#This Row],[DNI]],_VF2026[DNI],_VF2026[R5]),"65 DNC")</f>
        <v>49</v>
      </c>
      <c r="T102" s="19" t="str">
        <f>IFERROR(_xlfn.XLOOKUP(Selectivo6[[#This Row],[DNI]],_VF2026[DNI],_VF2026[R6]),"65 DNC")</f>
        <v>4</v>
      </c>
      <c r="U102" s="20" t="str">
        <f>IFERROR(_xlfn.XLOOKUP(Selectivo6[[#This Row],[DNI]],_VF2026[DNI],_VF2026[R7]),"65 DNC")</f>
        <v>65 BFD</v>
      </c>
      <c r="V102" s="19" t="str">
        <f>IFERROR(_xlfn.XLOOKUP(Selectivo6[[#This Row],[DNI]],_VF2026[DNI],_VF2026[R8]),"65 DNC")</f>
        <v>17</v>
      </c>
      <c r="W102" s="19"/>
      <c r="X102" s="19"/>
      <c r="Y102" s="19"/>
      <c r="Z102" s="19"/>
      <c r="AA102" s="19"/>
      <c r="AB102" s="8" cm="1">
        <f t="array" aca="1" ref="AB102" ca="1">SUM(IFERROR(VALUE(LEFT(Regatas, FIND(" ",Regatas&amp; " ") - 1)), 0))</f>
        <v>591</v>
      </c>
      <c r="AC102" s="9" cm="1">
        <f t="array" aca="1" ref="AC10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476</v>
      </c>
      <c r="AD102" s="6" cm="1">
        <f t="array" aca="1" ref="AD102" ca="1">SMALL(_xlfn._xlws.FILTER(RegatasN, RegatasN&lt;&gt;0), 1)</f>
        <v>4</v>
      </c>
      <c r="AE102" s="6" cm="1">
        <f t="array" aca="1" ref="AE102" ca="1">SMALL(_xlfn._xlws.FILTER(RegatasN, RegatasN&lt;&gt;0), 2)</f>
        <v>15</v>
      </c>
      <c r="AF102" s="6" cm="1">
        <f t="array" aca="1" ref="AF102" ca="1">SMALL(_xlfn._xlws.FILTER(RegatasN, RegatasN&lt;&gt;0), 3)</f>
        <v>17</v>
      </c>
      <c r="AG102" s="5" cm="1">
        <f t="array" aca="1" ref="AG102" ca="1">COUNTIF(Regatas,SMALL(_xlfn._xlws.FILTER(RegatasN, RegatasN&lt;&gt;0), 1))</f>
        <v>1</v>
      </c>
      <c r="AH102" s="6" t="e" cm="1">
        <f t="array" ref="AH10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3" spans="1:34">
      <c r="A103">
        <v>54297764</v>
      </c>
      <c r="B103" s="10">
        <f>ROW()-ROW(Selectivo6[[#Headers],[Pos]])</f>
        <v>97</v>
      </c>
      <c r="C103" s="5">
        <v>4064</v>
      </c>
      <c r="D103" t="s">
        <v>409</v>
      </c>
      <c r="E103" t="s">
        <v>23</v>
      </c>
      <c r="F103" s="19" t="str" cm="1">
        <f t="array" aca="1" ref="F103" ca="1">IFERROR(_xlfn.XLOOKUP(Selectivo6[[#This Row],[DNI]],S_S[DNI],INDIRECT("S_S["&amp;Selectivo6[[#Headers],[R1]]&amp;"]")),"60 DNC")</f>
        <v>30</v>
      </c>
      <c r="G103" s="19" t="str" cm="1">
        <f t="array" aca="1" ref="G103" ca="1">IFERROR(_xlfn.XLOOKUP(Selectivo6[[#This Row],[DNI]],S_S[DNI],INDIRECT("S_S["&amp;Selectivo6[[#Headers],[R2]]&amp;"]")),"60 DNC")</f>
        <v>38</v>
      </c>
      <c r="H103" s="19" t="str" cm="1">
        <f t="array" aca="1" ref="H103" ca="1">IFERROR(_xlfn.XLOOKUP(Selectivo6[[#This Row],[DNI]],S_S[DNI],INDIRECT("S_S["&amp;Selectivo6[[#Headers],[R3]]&amp;"]")),"60 DNC")</f>
        <v>31</v>
      </c>
      <c r="I103" s="19" t="str" cm="1">
        <f t="array" aca="1" ref="I103" ca="1">IFERROR(_xlfn.XLOOKUP(Selectivo6[[#This Row],[DNI]],S_S[DNI],INDIRECT("S_S["&amp;Selectivo6[[#Headers],[R4]]&amp;"]")),"60 DNC")</f>
        <v>39</v>
      </c>
      <c r="J103" s="19" t="str" cm="1">
        <f t="array" aca="1" ref="J103" ca="1">IFERROR(_xlfn.XLOOKUP(Selectivo6[[#This Row],[DNI]],S_S[DNI],INDIRECT("S_S["&amp;Selectivo6[[#Headers],[R5]]&amp;"]")),"60 DNC")</f>
        <v>12</v>
      </c>
      <c r="K103" s="19" t="str" cm="1">
        <f t="array" aca="1" ref="K103" ca="1">IFERROR(_xlfn.XLOOKUP(Selectivo6[[#This Row],[DNI]],S_S[DNI],INDIRECT("S_S["&amp;Selectivo6[[#Headers],[R6]]&amp;"]")),"60 DNC")</f>
        <v>40</v>
      </c>
      <c r="L103" s="19" t="str" cm="1">
        <f t="array" aca="1" ref="L103" ca="1">IFERROR(_xlfn.XLOOKUP(Selectivo6[[#This Row],[DNI]],S_S[DNI],INDIRECT("S_S["&amp;Selectivo6[[#Headers],[R7]]&amp;"]")),"60 DNC")</f>
        <v>41</v>
      </c>
      <c r="M103" s="19" t="str" cm="1">
        <f t="array" aca="1" ref="M103" ca="1">IFERROR(_xlfn.XLOOKUP(Selectivo6[[#This Row],[DNI]],S_S[DNI],INDIRECT("S_S["&amp;Selectivo6[[#Headers],[R8]]&amp;"]")),"60 DNC")</f>
        <v>32</v>
      </c>
      <c r="N103" s="19" t="str" cm="1">
        <f t="array" aca="1" ref="N103" ca="1">IFERROR(_xlfn.XLOOKUP(Selectivo6[[#This Row],[DNI]],S_S[DNI],INDIRECT("S_S["&amp;Selectivo6[[#Headers],[R9]]&amp;"]")),"60 DNC")</f>
        <v>31</v>
      </c>
      <c r="O103" s="19" t="str">
        <f>IFERROR(_xlfn.XLOOKUP(Selectivo6[[#This Row],[DNI]],_VF2026[DNI],_VF2026[R1]),"65 DNC")</f>
        <v>38</v>
      </c>
      <c r="P103" s="20" t="str">
        <f>IFERROR(_xlfn.XLOOKUP(Selectivo6[[#This Row],[DNI]],_VF2026[DNI],_VF2026[R2]),"65 DNC")</f>
        <v>49</v>
      </c>
      <c r="Q103" s="19" t="str">
        <f>IFERROR(_xlfn.XLOOKUP(Selectivo6[[#This Row],[DNI]],_VF2026[DNI],_VF2026[R3]),"65 DNC")</f>
        <v>40</v>
      </c>
      <c r="R103" s="19" t="str">
        <f>IFERROR(_xlfn.XLOOKUP(Selectivo6[[#This Row],[DNI]],_VF2026[DNI],_VF2026[R4]),"65 DNC")</f>
        <v>32</v>
      </c>
      <c r="S103" s="19" t="str">
        <f>IFERROR(_xlfn.XLOOKUP(Selectivo6[[#This Row],[DNI]],_VF2026[DNI],_VF2026[R5]),"65 DNC")</f>
        <v>33</v>
      </c>
      <c r="T103" s="19" t="str">
        <f>IFERROR(_xlfn.XLOOKUP(Selectivo6[[#This Row],[DNI]],_VF2026[DNI],_VF2026[R6]),"65 DNC")</f>
        <v>35</v>
      </c>
      <c r="U103" s="19" t="str">
        <f>IFERROR(_xlfn.XLOOKUP(Selectivo6[[#This Row],[DNI]],_VF2026[DNI],_VF2026[R7]),"65 DNC")</f>
        <v>10</v>
      </c>
      <c r="V103" s="20" t="str">
        <f>IFERROR(_xlfn.XLOOKUP(Selectivo6[[#This Row],[DNI]],_VF2026[DNI],_VF2026[R8]),"65 DNC")</f>
        <v>65 BFD</v>
      </c>
      <c r="W103" s="19"/>
      <c r="X103" s="19"/>
      <c r="Y103" s="19"/>
      <c r="Z103" s="19"/>
      <c r="AA103" s="19"/>
      <c r="AB103" s="8" cm="1">
        <f t="array" aca="1" ref="AB103" ca="1">SUM(IFERROR(VALUE(LEFT(Regatas, FIND(" ",Regatas&amp; " ") - 1)), 0))</f>
        <v>596</v>
      </c>
      <c r="AC103" s="9" cm="1">
        <f t="array" aca="1" ref="AC10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482</v>
      </c>
      <c r="AD103" s="6" cm="1">
        <f t="array" aca="1" ref="AD103" ca="1">SMALL(_xlfn._xlws.FILTER(RegatasN, RegatasN&lt;&gt;0), 1)</f>
        <v>10</v>
      </c>
      <c r="AE103" s="6" cm="1">
        <f t="array" aca="1" ref="AE103" ca="1">SMALL(_xlfn._xlws.FILTER(RegatasN, RegatasN&lt;&gt;0), 2)</f>
        <v>12</v>
      </c>
      <c r="AF103" s="6" cm="1">
        <f t="array" aca="1" ref="AF103" ca="1">SMALL(_xlfn._xlws.FILTER(RegatasN, RegatasN&lt;&gt;0), 3)</f>
        <v>30</v>
      </c>
      <c r="AG103" s="5" cm="1">
        <f t="array" aca="1" ref="AG103" ca="1">COUNTIF(Regatas,SMALL(_xlfn._xlws.FILTER(RegatasN, RegatasN&lt;&gt;0), 1))</f>
        <v>1</v>
      </c>
      <c r="AH103" s="6" t="e" cm="1">
        <f t="array" ref="AH10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4" spans="1:34">
      <c r="A104">
        <v>52585613</v>
      </c>
      <c r="B104" s="10">
        <f>ROW()-ROW(Selectivo6[[#Headers],[Pos]])</f>
        <v>98</v>
      </c>
      <c r="C104" s="5">
        <v>3767</v>
      </c>
      <c r="D104" t="s">
        <v>407</v>
      </c>
      <c r="E104" t="s">
        <v>11</v>
      </c>
      <c r="F104" s="19" t="str" cm="1">
        <f t="array" aca="1" ref="F104" ca="1">IFERROR(_xlfn.XLOOKUP(Selectivo6[[#This Row],[DNI]],S_S[DNI],INDIRECT("S_S["&amp;Selectivo6[[#Headers],[R1]]&amp;"]")),"60 DNC")</f>
        <v>24</v>
      </c>
      <c r="G104" s="19" t="str" cm="1">
        <f t="array" aca="1" ref="G104" ca="1">IFERROR(_xlfn.XLOOKUP(Selectivo6[[#This Row],[DNI]],S_S[DNI],INDIRECT("S_S["&amp;Selectivo6[[#Headers],[R2]]&amp;"]")),"60 DNC")</f>
        <v>33</v>
      </c>
      <c r="H104" s="19" t="str" cm="1">
        <f t="array" aca="1" ref="H104" ca="1">IFERROR(_xlfn.XLOOKUP(Selectivo6[[#This Row],[DNI]],S_S[DNI],INDIRECT("S_S["&amp;Selectivo6[[#Headers],[R3]]&amp;"]")),"60 DNC")</f>
        <v>28</v>
      </c>
      <c r="I104" s="19" t="str" cm="1">
        <f t="array" aca="1" ref="I104" ca="1">IFERROR(_xlfn.XLOOKUP(Selectivo6[[#This Row],[DNI]],S_S[DNI],INDIRECT("S_S["&amp;Selectivo6[[#Headers],[R4]]&amp;"]")),"60 DNC")</f>
        <v>29</v>
      </c>
      <c r="J104" s="19" t="str" cm="1">
        <f t="array" aca="1" ref="J104" ca="1">IFERROR(_xlfn.XLOOKUP(Selectivo6[[#This Row],[DNI]],S_S[DNI],INDIRECT("S_S["&amp;Selectivo6[[#Headers],[R5]]&amp;"]")),"60 DNC")</f>
        <v>31</v>
      </c>
      <c r="K104" s="19" t="str" cm="1">
        <f t="array" aca="1" ref="K104" ca="1">IFERROR(_xlfn.XLOOKUP(Selectivo6[[#This Row],[DNI]],S_S[DNI],INDIRECT("S_S["&amp;Selectivo6[[#Headers],[R6]]&amp;"]")),"60 DNC")</f>
        <v>31</v>
      </c>
      <c r="L104" s="19" t="str" cm="1">
        <f t="array" aca="1" ref="L104" ca="1">IFERROR(_xlfn.XLOOKUP(Selectivo6[[#This Row],[DNI]],S_S[DNI],INDIRECT("S_S["&amp;Selectivo6[[#Headers],[R7]]&amp;"]")),"60 DNC")</f>
        <v>33</v>
      </c>
      <c r="M104" s="20" t="str" cm="1">
        <f t="array" aca="1" ref="M104" ca="1">IFERROR(_xlfn.XLOOKUP(Selectivo6[[#This Row],[DNI]],S_S[DNI],INDIRECT("S_S["&amp;Selectivo6[[#Headers],[R8]]&amp;"]")),"60 DNC")</f>
        <v>44</v>
      </c>
      <c r="N104" s="20" t="str" cm="1">
        <f t="array" aca="1" ref="N104" ca="1">IFERROR(_xlfn.XLOOKUP(Selectivo6[[#This Row],[DNI]],S_S[DNI],INDIRECT("S_S["&amp;Selectivo6[[#Headers],[R9]]&amp;"]")),"60 DNC")</f>
        <v>43</v>
      </c>
      <c r="O104" s="19" t="str">
        <f>IFERROR(_xlfn.XLOOKUP(Selectivo6[[#This Row],[DNI]],_VF2026[DNI],_VF2026[R1]),"65 DNC")</f>
        <v>33</v>
      </c>
      <c r="P104" s="19" t="str">
        <f>IFERROR(_xlfn.XLOOKUP(Selectivo6[[#This Row],[DNI]],_VF2026[DNI],_VF2026[R2]),"65 DNC")</f>
        <v>33</v>
      </c>
      <c r="Q104" s="19" t="str">
        <f>IFERROR(_xlfn.XLOOKUP(Selectivo6[[#This Row],[DNI]],_VF2026[DNI],_VF2026[R3]),"65 DNC")</f>
        <v>34</v>
      </c>
      <c r="R104" s="19" t="str">
        <f>IFERROR(_xlfn.XLOOKUP(Selectivo6[[#This Row],[DNI]],_VF2026[DNI],_VF2026[R4]),"65 DNC")</f>
        <v>40</v>
      </c>
      <c r="S104" s="19" t="str">
        <f>IFERROR(_xlfn.XLOOKUP(Selectivo6[[#This Row],[DNI]],_VF2026[DNI],_VF2026[R5]),"65 DNC")</f>
        <v>29</v>
      </c>
      <c r="T104" s="19" t="str">
        <f>IFERROR(_xlfn.XLOOKUP(Selectivo6[[#This Row],[DNI]],_VF2026[DNI],_VF2026[R6]),"65 DNC")</f>
        <v>34</v>
      </c>
      <c r="U104" s="19" t="str">
        <f>IFERROR(_xlfn.XLOOKUP(Selectivo6[[#This Row],[DNI]],_VF2026[DNI],_VF2026[R7]),"65 DNC")</f>
        <v>38</v>
      </c>
      <c r="V104" s="19" t="str">
        <f>IFERROR(_xlfn.XLOOKUP(Selectivo6[[#This Row],[DNI]],_VF2026[DNI],_VF2026[R8]),"65 DNC")</f>
        <v>33</v>
      </c>
      <c r="W104" s="19"/>
      <c r="X104" s="19"/>
      <c r="Y104" s="19"/>
      <c r="Z104" s="19"/>
      <c r="AA104" s="19"/>
      <c r="AB104" s="8" cm="1">
        <f t="array" aca="1" ref="AB104" ca="1">SUM(IFERROR(VALUE(LEFT(Regatas, FIND(" ",Regatas&amp; " ") - 1)), 0))</f>
        <v>570</v>
      </c>
      <c r="AC104" s="9" cm="1">
        <f t="array" aca="1" ref="AC10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483</v>
      </c>
      <c r="AD104" s="6" cm="1">
        <f t="array" aca="1" ref="AD104" ca="1">SMALL(_xlfn._xlws.FILTER(RegatasN, RegatasN&lt;&gt;0), 1)</f>
        <v>24</v>
      </c>
      <c r="AE104" s="6" cm="1">
        <f t="array" aca="1" ref="AE104" ca="1">SMALL(_xlfn._xlws.FILTER(RegatasN, RegatasN&lt;&gt;0), 2)</f>
        <v>28</v>
      </c>
      <c r="AF104" s="6" cm="1">
        <f t="array" aca="1" ref="AF104" ca="1">SMALL(_xlfn._xlws.FILTER(RegatasN, RegatasN&lt;&gt;0), 3)</f>
        <v>29</v>
      </c>
      <c r="AG104" s="5" cm="1">
        <f t="array" aca="1" ref="AG104" ca="1">COUNTIF(Regatas,SMALL(_xlfn._xlws.FILTER(RegatasN, RegatasN&lt;&gt;0), 1))</f>
        <v>1</v>
      </c>
      <c r="AH104" s="6" t="e" cm="1">
        <f t="array" ref="AH10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5" spans="1:34">
      <c r="A105">
        <v>52703564</v>
      </c>
      <c r="B105" s="10">
        <f>ROW()-ROW(Selectivo6[[#Headers],[Pos]])</f>
        <v>99</v>
      </c>
      <c r="C105" s="5">
        <v>3527</v>
      </c>
      <c r="D105" t="s">
        <v>434</v>
      </c>
      <c r="E105" t="s">
        <v>26</v>
      </c>
      <c r="F105" s="19" t="str" cm="1">
        <f t="array" aca="1" ref="F105" ca="1">IFERROR(_xlfn.XLOOKUP(Selectivo6[[#This Row],[DNI]],S_S[DNI],INDIRECT("S_S["&amp;Selectivo6[[#Headers],[R1]]&amp;"]")),"60 DNC")</f>
        <v>54</v>
      </c>
      <c r="G105" s="19" t="str" cm="1">
        <f t="array" aca="1" ref="G105" ca="1">IFERROR(_xlfn.XLOOKUP(Selectivo6[[#This Row],[DNI]],S_S[DNI],INDIRECT("S_S["&amp;Selectivo6[[#Headers],[R2]]&amp;"]")),"60 DNC")</f>
        <v>36</v>
      </c>
      <c r="H105" s="19" t="str" cm="1">
        <f t="array" aca="1" ref="H105" ca="1">IFERROR(_xlfn.XLOOKUP(Selectivo6[[#This Row],[DNI]],S_S[DNI],INDIRECT("S_S["&amp;Selectivo6[[#Headers],[R3]]&amp;"]")),"60 DNC")</f>
        <v>17</v>
      </c>
      <c r="I105" s="20" t="str" cm="1">
        <f t="array" aca="1" ref="I105" ca="1">IFERROR(_xlfn.XLOOKUP(Selectivo6[[#This Row],[DNI]],S_S[DNI],INDIRECT("S_S["&amp;Selectivo6[[#Headers],[R4]]&amp;"]")),"60 DNC")</f>
        <v>60 BFD</v>
      </c>
      <c r="J105" s="19" t="str" cm="1">
        <f t="array" aca="1" ref="J105" ca="1">IFERROR(_xlfn.XLOOKUP(Selectivo6[[#This Row],[DNI]],S_S[DNI],INDIRECT("S_S["&amp;Selectivo6[[#Headers],[R5]]&amp;"]")),"60 DNC")</f>
        <v>39</v>
      </c>
      <c r="K105" s="19" t="str" cm="1">
        <f t="array" aca="1" ref="K105" ca="1">IFERROR(_xlfn.XLOOKUP(Selectivo6[[#This Row],[DNI]],S_S[DNI],INDIRECT("S_S["&amp;Selectivo6[[#Headers],[R6]]&amp;"]")),"60 DNC")</f>
        <v>44</v>
      </c>
      <c r="L105" s="19" t="str" cm="1">
        <f t="array" aca="1" ref="L105" ca="1">IFERROR(_xlfn.XLOOKUP(Selectivo6[[#This Row],[DNI]],S_S[DNI],INDIRECT("S_S["&amp;Selectivo6[[#Headers],[R7]]&amp;"]")),"60 DNC")</f>
        <v>23</v>
      </c>
      <c r="M105" s="19" t="str" cm="1">
        <f t="array" aca="1" ref="M105" ca="1">IFERROR(_xlfn.XLOOKUP(Selectivo6[[#This Row],[DNI]],S_S[DNI],INDIRECT("S_S["&amp;Selectivo6[[#Headers],[R8]]&amp;"]")),"60 DNC")</f>
        <v>33</v>
      </c>
      <c r="N105" s="19" t="str" cm="1">
        <f t="array" aca="1" ref="N105" ca="1">IFERROR(_xlfn.XLOOKUP(Selectivo6[[#This Row],[DNI]],S_S[DNI],INDIRECT("S_S["&amp;Selectivo6[[#Headers],[R9]]&amp;"]")),"60 DNC")</f>
        <v>26</v>
      </c>
      <c r="O105" s="19" t="str">
        <f>IFERROR(_xlfn.XLOOKUP(Selectivo6[[#This Row],[DNI]],_VF2026[DNI],_VF2026[R1]),"65 DNC")</f>
        <v>30</v>
      </c>
      <c r="P105" s="19" t="str">
        <f>IFERROR(_xlfn.XLOOKUP(Selectivo6[[#This Row],[DNI]],_VF2026[DNI],_VF2026[R2]),"65 DNC")</f>
        <v>32</v>
      </c>
      <c r="Q105" s="19" t="str">
        <f>IFERROR(_xlfn.XLOOKUP(Selectivo6[[#This Row],[DNI]],_VF2026[DNI],_VF2026[R3]),"65 DNC")</f>
        <v>38</v>
      </c>
      <c r="R105" s="19" t="str">
        <f>IFERROR(_xlfn.XLOOKUP(Selectivo6[[#This Row],[DNI]],_VF2026[DNI],_VF2026[R4]),"65 DNC")</f>
        <v>17</v>
      </c>
      <c r="S105" s="19" t="str">
        <f>IFERROR(_xlfn.XLOOKUP(Selectivo6[[#This Row],[DNI]],_VF2026[DNI],_VF2026[R5]),"65 DNC")</f>
        <v>20</v>
      </c>
      <c r="T105" s="19" t="str">
        <f>IFERROR(_xlfn.XLOOKUP(Selectivo6[[#This Row],[DNI]],_VF2026[DNI],_VF2026[R6]),"65 DNC")</f>
        <v>32</v>
      </c>
      <c r="U105" s="19" t="str">
        <f>IFERROR(_xlfn.XLOOKUP(Selectivo6[[#This Row],[DNI]],_VF2026[DNI],_VF2026[R7]),"65 DNC")</f>
        <v>50</v>
      </c>
      <c r="V105" s="20" t="str">
        <f>IFERROR(_xlfn.XLOOKUP(Selectivo6[[#This Row],[DNI]],_VF2026[DNI],_VF2026[R8]),"65 DNC")</f>
        <v>56</v>
      </c>
      <c r="W105" s="19"/>
      <c r="X105" s="19"/>
      <c r="Y105" s="19"/>
      <c r="Z105" s="19"/>
      <c r="AA105" s="19"/>
      <c r="AB105" s="8" cm="1">
        <f t="array" aca="1" ref="AB105" ca="1">SUM(IFERROR(VALUE(LEFT(Regatas, FIND(" ",Regatas&amp; " ") - 1)), 0))</f>
        <v>607</v>
      </c>
      <c r="AC105" s="9" cm="1">
        <f t="array" aca="1" ref="AC10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491</v>
      </c>
      <c r="AD105" s="6" cm="1">
        <f t="array" aca="1" ref="AD105" ca="1">SMALL(_xlfn._xlws.FILTER(RegatasN, RegatasN&lt;&gt;0), 1)</f>
        <v>17</v>
      </c>
      <c r="AE105" s="6" cm="1">
        <f t="array" aca="1" ref="AE105" ca="1">SMALL(_xlfn._xlws.FILTER(RegatasN, RegatasN&lt;&gt;0), 2)</f>
        <v>17</v>
      </c>
      <c r="AF105" s="6" cm="1">
        <f t="array" aca="1" ref="AF105" ca="1">SMALL(_xlfn._xlws.FILTER(RegatasN, RegatasN&lt;&gt;0), 3)</f>
        <v>20</v>
      </c>
      <c r="AG105" s="5" cm="1">
        <f t="array" aca="1" ref="AG105" ca="1">COUNTIF(Regatas,SMALL(_xlfn._xlws.FILTER(RegatasN, RegatasN&lt;&gt;0), 1))</f>
        <v>2</v>
      </c>
      <c r="AH105" s="6" t="e" cm="1">
        <f t="array" ref="AH10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6" spans="1:34">
      <c r="A106">
        <v>52764604</v>
      </c>
      <c r="B106" s="10">
        <f>ROW()-ROW(Selectivo6[[#Headers],[Pos]])</f>
        <v>100</v>
      </c>
      <c r="C106" s="5">
        <v>4163</v>
      </c>
      <c r="D106" t="s">
        <v>411</v>
      </c>
      <c r="E106" t="s">
        <v>171</v>
      </c>
      <c r="F106" s="19" t="str" cm="1">
        <f t="array" aca="1" ref="F106" ca="1">IFERROR(_xlfn.XLOOKUP(Selectivo6[[#This Row],[DNI]],S_S[DNI],INDIRECT("S_S["&amp;Selectivo6[[#Headers],[R1]]&amp;"]")),"60 DNC")</f>
        <v>26</v>
      </c>
      <c r="G106" s="19" t="str" cm="1">
        <f t="array" aca="1" ref="G106" ca="1">IFERROR(_xlfn.XLOOKUP(Selectivo6[[#This Row],[DNI]],S_S[DNI],INDIRECT("S_S["&amp;Selectivo6[[#Headers],[R2]]&amp;"]")),"60 DNC")</f>
        <v>26</v>
      </c>
      <c r="H106" s="19" t="str" cm="1">
        <f t="array" aca="1" ref="H106" ca="1">IFERROR(_xlfn.XLOOKUP(Selectivo6[[#This Row],[DNI]],S_S[DNI],INDIRECT("S_S["&amp;Selectivo6[[#Headers],[R3]]&amp;"]")),"60 DNC")</f>
        <v>27</v>
      </c>
      <c r="I106" s="19" t="str" cm="1">
        <f t="array" aca="1" ref="I106" ca="1">IFERROR(_xlfn.XLOOKUP(Selectivo6[[#This Row],[DNI]],S_S[DNI],INDIRECT("S_S["&amp;Selectivo6[[#Headers],[R4]]&amp;"]")),"60 DNC")</f>
        <v>20</v>
      </c>
      <c r="J106" s="19" t="str" cm="1">
        <f t="array" aca="1" ref="J106" ca="1">IFERROR(_xlfn.XLOOKUP(Selectivo6[[#This Row],[DNI]],S_S[DNI],INDIRECT("S_S["&amp;Selectivo6[[#Headers],[R5]]&amp;"]")),"60 DNC")</f>
        <v>35</v>
      </c>
      <c r="K106" s="20" t="str" cm="1">
        <f t="array" aca="1" ref="K106" ca="1">IFERROR(_xlfn.XLOOKUP(Selectivo6[[#This Row],[DNI]],S_S[DNI],INDIRECT("S_S["&amp;Selectivo6[[#Headers],[R6]]&amp;"]")),"60 DNC")</f>
        <v>46</v>
      </c>
      <c r="L106" s="19" t="str" cm="1">
        <f t="array" aca="1" ref="L106" ca="1">IFERROR(_xlfn.XLOOKUP(Selectivo6[[#This Row],[DNI]],S_S[DNI],INDIRECT("S_S["&amp;Selectivo6[[#Headers],[R7]]&amp;"]")),"60 DNC")</f>
        <v>40</v>
      </c>
      <c r="M106" s="19" t="str" cm="1">
        <f t="array" aca="1" ref="M106" ca="1">IFERROR(_xlfn.XLOOKUP(Selectivo6[[#This Row],[DNI]],S_S[DNI],INDIRECT("S_S["&amp;Selectivo6[[#Headers],[R8]]&amp;"]")),"60 DNC")</f>
        <v>34</v>
      </c>
      <c r="N106" s="20" t="str" cm="1">
        <f t="array" aca="1" ref="N106" ca="1">IFERROR(_xlfn.XLOOKUP(Selectivo6[[#This Row],[DNI]],S_S[DNI],INDIRECT("S_S["&amp;Selectivo6[[#Headers],[R9]]&amp;"]")),"60 DNC")</f>
        <v>47</v>
      </c>
      <c r="O106" s="19" t="str">
        <f>IFERROR(_xlfn.XLOOKUP(Selectivo6[[#This Row],[DNI]],_VF2026[DNI],_VF2026[R1]),"65 DNC")</f>
        <v>41</v>
      </c>
      <c r="P106" s="19" t="str">
        <f>IFERROR(_xlfn.XLOOKUP(Selectivo6[[#This Row],[DNI]],_VF2026[DNI],_VF2026[R2]),"65 DNC")</f>
        <v>43</v>
      </c>
      <c r="Q106" s="19" t="str">
        <f>IFERROR(_xlfn.XLOOKUP(Selectivo6[[#This Row],[DNI]],_VF2026[DNI],_VF2026[R3]),"65 DNC")</f>
        <v>46</v>
      </c>
      <c r="R106" s="19" t="str">
        <f>IFERROR(_xlfn.XLOOKUP(Selectivo6[[#This Row],[DNI]],_VF2026[DNI],_VF2026[R4]),"65 DNC")</f>
        <v>33</v>
      </c>
      <c r="S106" s="19" t="str">
        <f>IFERROR(_xlfn.XLOOKUP(Selectivo6[[#This Row],[DNI]],_VF2026[DNI],_VF2026[R5]),"65 DNC")</f>
        <v>34</v>
      </c>
      <c r="T106" s="19" t="str">
        <f>IFERROR(_xlfn.XLOOKUP(Selectivo6[[#This Row],[DNI]],_VF2026[DNI],_VF2026[R6]),"65 DNC")</f>
        <v>27</v>
      </c>
      <c r="U106" s="19" t="str">
        <f>IFERROR(_xlfn.XLOOKUP(Selectivo6[[#This Row],[DNI]],_VF2026[DNI],_VF2026[R7]),"65 DNC")</f>
        <v>26</v>
      </c>
      <c r="V106" s="19" t="str">
        <f>IFERROR(_xlfn.XLOOKUP(Selectivo6[[#This Row],[DNI]],_VF2026[DNI],_VF2026[R8]),"65 DNC")</f>
        <v>34</v>
      </c>
      <c r="W106" s="19"/>
      <c r="X106" s="19"/>
      <c r="Y106" s="19"/>
      <c r="Z106" s="19"/>
      <c r="AA106" s="19"/>
      <c r="AB106" s="8" cm="1">
        <f t="array" aca="1" ref="AB106" ca="1">SUM(IFERROR(VALUE(LEFT(Regatas, FIND(" ",Regatas&amp; " ") - 1)), 0))</f>
        <v>585</v>
      </c>
      <c r="AC106" s="9" cm="1">
        <f t="array" aca="1" ref="AC10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492</v>
      </c>
      <c r="AD106" s="6" cm="1">
        <f t="array" aca="1" ref="AD106" ca="1">SMALL(_xlfn._xlws.FILTER(RegatasN, RegatasN&lt;&gt;0), 1)</f>
        <v>20</v>
      </c>
      <c r="AE106" s="6" cm="1">
        <f t="array" aca="1" ref="AE106" ca="1">SMALL(_xlfn._xlws.FILTER(RegatasN, RegatasN&lt;&gt;0), 2)</f>
        <v>26</v>
      </c>
      <c r="AF106" s="6" cm="1">
        <f t="array" aca="1" ref="AF106" ca="1">SMALL(_xlfn._xlws.FILTER(RegatasN, RegatasN&lt;&gt;0), 3)</f>
        <v>26</v>
      </c>
      <c r="AG106" s="5" cm="1">
        <f t="array" aca="1" ref="AG106" ca="1">COUNTIF(Regatas,SMALL(_xlfn._xlws.FILTER(RegatasN, RegatasN&lt;&gt;0), 1))</f>
        <v>1</v>
      </c>
      <c r="AH106" s="6" t="e" cm="1">
        <f t="array" ref="AH10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7" spans="1:34">
      <c r="A107">
        <v>53274297</v>
      </c>
      <c r="B107" s="10">
        <f>ROW()-ROW(Selectivo6[[#Headers],[Pos]])</f>
        <v>101</v>
      </c>
      <c r="C107" s="5">
        <v>4143</v>
      </c>
      <c r="D107" t="s">
        <v>453</v>
      </c>
      <c r="E107" t="s">
        <v>454</v>
      </c>
      <c r="F107" s="19" t="str" cm="1">
        <f t="array" aca="1" ref="F107" ca="1">IFERROR(_xlfn.XLOOKUP(Selectivo6[[#This Row],[DNI]],S_S[DNI],INDIRECT("S_S["&amp;Selectivo6[[#Headers],[R1]]&amp;"]")),"60 DNC")</f>
        <v>38</v>
      </c>
      <c r="G107" s="19" t="str" cm="1">
        <f t="array" aca="1" ref="G107" ca="1">IFERROR(_xlfn.XLOOKUP(Selectivo6[[#This Row],[DNI]],S_S[DNI],INDIRECT("S_S["&amp;Selectivo6[[#Headers],[R2]]&amp;"]")),"60 DNC")</f>
        <v>44</v>
      </c>
      <c r="H107" s="19" t="str" cm="1">
        <f t="array" aca="1" ref="H107" ca="1">IFERROR(_xlfn.XLOOKUP(Selectivo6[[#This Row],[DNI]],S_S[DNI],INDIRECT("S_S["&amp;Selectivo6[[#Headers],[R3]]&amp;"]")),"60 DNC")</f>
        <v>46</v>
      </c>
      <c r="I107" s="20" t="str" cm="1">
        <f t="array" aca="1" ref="I107" ca="1">IFERROR(_xlfn.XLOOKUP(Selectivo6[[#This Row],[DNI]],S_S[DNI],INDIRECT("S_S["&amp;Selectivo6[[#Headers],[R4]]&amp;"]")),"60 DNC")</f>
        <v>60 DNF</v>
      </c>
      <c r="J107" s="20" t="str" cm="1">
        <f t="array" aca="1" ref="J107" ca="1">IFERROR(_xlfn.XLOOKUP(Selectivo6[[#This Row],[DNI]],S_S[DNI],INDIRECT("S_S["&amp;Selectivo6[[#Headers],[R5]]&amp;"]")),"60 DNC")</f>
        <v>51</v>
      </c>
      <c r="K107" s="19" t="str" cm="1">
        <f t="array" aca="1" ref="K107" ca="1">IFERROR(_xlfn.XLOOKUP(Selectivo6[[#This Row],[DNI]],S_S[DNI],INDIRECT("S_S["&amp;Selectivo6[[#Headers],[R6]]&amp;"]")),"60 DNC")</f>
        <v>11</v>
      </c>
      <c r="L107" s="19" t="str" cm="1">
        <f t="array" aca="1" ref="L107" ca="1">IFERROR(_xlfn.XLOOKUP(Selectivo6[[#This Row],[DNI]],S_S[DNI],INDIRECT("S_S["&amp;Selectivo6[[#Headers],[R7]]&amp;"]")),"60 DNC")</f>
        <v>30</v>
      </c>
      <c r="M107" s="19" t="str" cm="1">
        <f t="array" aca="1" ref="M107" ca="1">IFERROR(_xlfn.XLOOKUP(Selectivo6[[#This Row],[DNI]],S_S[DNI],INDIRECT("S_S["&amp;Selectivo6[[#Headers],[R8]]&amp;"]")),"60 DNC")</f>
        <v>33</v>
      </c>
      <c r="N107" s="19" t="str" cm="1">
        <f t="array" aca="1" ref="N107" ca="1">IFERROR(_xlfn.XLOOKUP(Selectivo6[[#This Row],[DNI]],S_S[DNI],INDIRECT("S_S["&amp;Selectivo6[[#Headers],[R9]]&amp;"]")),"60 DNC")</f>
        <v>35</v>
      </c>
      <c r="O107" s="19" t="str">
        <f>IFERROR(_xlfn.XLOOKUP(Selectivo6[[#This Row],[DNI]],_VF2026[DNI],_VF2026[R1]),"65 DNC")</f>
        <v>28</v>
      </c>
      <c r="P107" s="19" t="str">
        <f>IFERROR(_xlfn.XLOOKUP(Selectivo6[[#This Row],[DNI]],_VF2026[DNI],_VF2026[R2]),"65 DNC")</f>
        <v>32</v>
      </c>
      <c r="Q107" s="19" t="str">
        <f>IFERROR(_xlfn.XLOOKUP(Selectivo6[[#This Row],[DNI]],_VF2026[DNI],_VF2026[R3]),"65 DNC")</f>
        <v>51</v>
      </c>
      <c r="R107" s="19" t="str">
        <f>IFERROR(_xlfn.XLOOKUP(Selectivo6[[#This Row],[DNI]],_VF2026[DNI],_VF2026[R4]),"65 DNC")</f>
        <v>30</v>
      </c>
      <c r="S107" s="19" t="str">
        <f>IFERROR(_xlfn.XLOOKUP(Selectivo6[[#This Row],[DNI]],_VF2026[DNI],_VF2026[R5]),"65 DNC")</f>
        <v>26</v>
      </c>
      <c r="T107" s="19" t="str">
        <f>IFERROR(_xlfn.XLOOKUP(Selectivo6[[#This Row],[DNI]],_VF2026[DNI],_VF2026[R6]),"65 DNC")</f>
        <v>32</v>
      </c>
      <c r="U107" s="19" t="str">
        <f>IFERROR(_xlfn.XLOOKUP(Selectivo6[[#This Row],[DNI]],_VF2026[DNI],_VF2026[R7]),"65 DNC")</f>
        <v>32</v>
      </c>
      <c r="V107" s="19" t="str">
        <f>IFERROR(_xlfn.XLOOKUP(Selectivo6[[#This Row],[DNI]],_VF2026[DNI],_VF2026[R8]),"65 DNC")</f>
        <v>26</v>
      </c>
      <c r="W107" s="19"/>
      <c r="X107" s="19"/>
      <c r="Y107" s="19"/>
      <c r="Z107" s="19"/>
      <c r="AA107" s="19"/>
      <c r="AB107" s="8" cm="1">
        <f t="array" aca="1" ref="AB107" ca="1">SUM(IFERROR(VALUE(LEFT(Regatas, FIND(" ",Regatas&amp; " ") - 1)), 0))</f>
        <v>605</v>
      </c>
      <c r="AC107" s="9" cm="1">
        <f t="array" aca="1" ref="AC10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494</v>
      </c>
      <c r="AD107" s="6" cm="1">
        <f t="array" aca="1" ref="AD107" ca="1">SMALL(_xlfn._xlws.FILTER(RegatasN, RegatasN&lt;&gt;0), 1)</f>
        <v>11</v>
      </c>
      <c r="AE107" s="6" cm="1">
        <f t="array" aca="1" ref="AE107" ca="1">SMALL(_xlfn._xlws.FILTER(RegatasN, RegatasN&lt;&gt;0), 2)</f>
        <v>26</v>
      </c>
      <c r="AF107" s="6" cm="1">
        <f t="array" aca="1" ref="AF107" ca="1">SMALL(_xlfn._xlws.FILTER(RegatasN, RegatasN&lt;&gt;0), 3)</f>
        <v>26</v>
      </c>
      <c r="AG107" s="5" cm="1">
        <f t="array" aca="1" ref="AG107" ca="1">COUNTIF(Regatas,SMALL(_xlfn._xlws.FILTER(RegatasN, RegatasN&lt;&gt;0), 1))</f>
        <v>1</v>
      </c>
      <c r="AH107" s="6" t="e" cm="1">
        <f t="array" ref="AH10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8" spans="1:34">
      <c r="A108">
        <v>52827436</v>
      </c>
      <c r="B108" s="10">
        <f>ROW()-ROW(Selectivo6[[#Headers],[Pos]])</f>
        <v>102</v>
      </c>
      <c r="C108" s="5">
        <v>3583</v>
      </c>
      <c r="D108" t="s">
        <v>446</v>
      </c>
      <c r="E108" t="s">
        <v>9</v>
      </c>
      <c r="F108" s="19" t="str" cm="1">
        <f t="array" aca="1" ref="F108" ca="1">IFERROR(_xlfn.XLOOKUP(Selectivo6[[#This Row],[DNI]],S_S[DNI],INDIRECT("S_S["&amp;Selectivo6[[#Headers],[R1]]&amp;"]")),"60 DNC")</f>
        <v>21</v>
      </c>
      <c r="G108" s="19" t="str" cm="1">
        <f t="array" aca="1" ref="G108" ca="1">IFERROR(_xlfn.XLOOKUP(Selectivo6[[#This Row],[DNI]],S_S[DNI],INDIRECT("S_S["&amp;Selectivo6[[#Headers],[R2]]&amp;"]")),"60 DNC")</f>
        <v>38</v>
      </c>
      <c r="H108" s="19" t="str" cm="1">
        <f t="array" aca="1" ref="H108" ca="1">IFERROR(_xlfn.XLOOKUP(Selectivo6[[#This Row],[DNI]],S_S[DNI],INDIRECT("S_S["&amp;Selectivo6[[#Headers],[R3]]&amp;"]")),"60 DNC")</f>
        <v>38</v>
      </c>
      <c r="I108" s="19" t="str" cm="1">
        <f t="array" aca="1" ref="I108" ca="1">IFERROR(_xlfn.XLOOKUP(Selectivo6[[#This Row],[DNI]],S_S[DNI],INDIRECT("S_S["&amp;Selectivo6[[#Headers],[R4]]&amp;"]")),"60 DNC")</f>
        <v>36</v>
      </c>
      <c r="J108" s="19" t="str" cm="1">
        <f t="array" aca="1" ref="J108" ca="1">IFERROR(_xlfn.XLOOKUP(Selectivo6[[#This Row],[DNI]],S_S[DNI],INDIRECT("S_S["&amp;Selectivo6[[#Headers],[R5]]&amp;"]")),"60 DNC")</f>
        <v>33</v>
      </c>
      <c r="K108" s="19" t="str" cm="1">
        <f t="array" aca="1" ref="K108" ca="1">IFERROR(_xlfn.XLOOKUP(Selectivo6[[#This Row],[DNI]],S_S[DNI],INDIRECT("S_S["&amp;Selectivo6[[#Headers],[R6]]&amp;"]")),"60 DNC")</f>
        <v>30</v>
      </c>
      <c r="L108" s="20" t="str" cm="1">
        <f t="array" aca="1" ref="L108" ca="1">IFERROR(_xlfn.XLOOKUP(Selectivo6[[#This Row],[DNI]],S_S[DNI],INDIRECT("S_S["&amp;Selectivo6[[#Headers],[R7]]&amp;"]")),"60 DNC")</f>
        <v>43</v>
      </c>
      <c r="M108" s="20" t="str" cm="1">
        <f t="array" aca="1" ref="M108" ca="1">IFERROR(_xlfn.XLOOKUP(Selectivo6[[#This Row],[DNI]],S_S[DNI],INDIRECT("S_S["&amp;Selectivo6[[#Headers],[R8]]&amp;"]")),"60 DNC")</f>
        <v>56</v>
      </c>
      <c r="N108" s="19" t="str" cm="1">
        <f t="array" aca="1" ref="N108" ca="1">IFERROR(_xlfn.XLOOKUP(Selectivo6[[#This Row],[DNI]],S_S[DNI],INDIRECT("S_S["&amp;Selectivo6[[#Headers],[R9]]&amp;"]")),"60 DNC")</f>
        <v>41</v>
      </c>
      <c r="O108" s="19" t="str">
        <f>IFERROR(_xlfn.XLOOKUP(Selectivo6[[#This Row],[DNI]],_VF2026[DNI],_VF2026[R1]),"65 DNC")</f>
        <v>43</v>
      </c>
      <c r="P108" s="19" t="str">
        <f>IFERROR(_xlfn.XLOOKUP(Selectivo6[[#This Row],[DNI]],_VF2026[DNI],_VF2026[R2]),"65 DNC")</f>
        <v>43</v>
      </c>
      <c r="Q108" s="19" t="str">
        <f>IFERROR(_xlfn.XLOOKUP(Selectivo6[[#This Row],[DNI]],_VF2026[DNI],_VF2026[R3]),"65 DNC")</f>
        <v>31</v>
      </c>
      <c r="R108" s="19" t="str">
        <f>IFERROR(_xlfn.XLOOKUP(Selectivo6[[#This Row],[DNI]],_VF2026[DNI],_VF2026[R4]),"65 DNC")</f>
        <v>40</v>
      </c>
      <c r="S108" s="19" t="str">
        <f>IFERROR(_xlfn.XLOOKUP(Selectivo6[[#This Row],[DNI]],_VF2026[DNI],_VF2026[R5]),"65 DNC")</f>
        <v>37</v>
      </c>
      <c r="T108" s="19" t="str">
        <f>IFERROR(_xlfn.XLOOKUP(Selectivo6[[#This Row],[DNI]],_VF2026[DNI],_VF2026[R6]),"65 DNC")</f>
        <v>17</v>
      </c>
      <c r="U108" s="19" t="str">
        <f>IFERROR(_xlfn.XLOOKUP(Selectivo6[[#This Row],[DNI]],_VF2026[DNI],_VF2026[R7]),"65 DNC")</f>
        <v>24</v>
      </c>
      <c r="V108" s="19" t="str">
        <f>IFERROR(_xlfn.XLOOKUP(Selectivo6[[#This Row],[DNI]],_VF2026[DNI],_VF2026[R8]),"65 DNC")</f>
        <v>22</v>
      </c>
      <c r="W108" s="19"/>
      <c r="X108" s="19"/>
      <c r="Y108" s="19"/>
      <c r="Z108" s="19"/>
      <c r="AA108" s="19"/>
      <c r="AB108" s="8" cm="1">
        <f t="array" aca="1" ref="AB108" ca="1">SUM(IFERROR(VALUE(LEFT(Regatas, FIND(" ",Regatas&amp; " ") - 1)), 0))</f>
        <v>593</v>
      </c>
      <c r="AC108" s="9" cm="1">
        <f t="array" aca="1" ref="AC10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494</v>
      </c>
      <c r="AD108" s="6" cm="1">
        <f t="array" aca="1" ref="AD108" ca="1">SMALL(_xlfn._xlws.FILTER(RegatasN, RegatasN&lt;&gt;0), 1)</f>
        <v>17</v>
      </c>
      <c r="AE108" s="6" cm="1">
        <f t="array" aca="1" ref="AE108" ca="1">SMALL(_xlfn._xlws.FILTER(RegatasN, RegatasN&lt;&gt;0), 2)</f>
        <v>21</v>
      </c>
      <c r="AF108" s="6" cm="1">
        <f t="array" aca="1" ref="AF108" ca="1">SMALL(_xlfn._xlws.FILTER(RegatasN, RegatasN&lt;&gt;0), 3)</f>
        <v>22</v>
      </c>
      <c r="AG108" s="5" cm="1">
        <f t="array" aca="1" ref="AG108" ca="1">COUNTIF(Regatas,SMALL(_xlfn._xlws.FILTER(RegatasN, RegatasN&lt;&gt;0), 1))</f>
        <v>1</v>
      </c>
      <c r="AH108" s="6" t="e" cm="1">
        <f t="array" ref="AH10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09" spans="1:34">
      <c r="A109">
        <v>52364453</v>
      </c>
      <c r="B109" s="10">
        <f>ROW()-ROW(Selectivo6[[#Headers],[Pos]])</f>
        <v>103</v>
      </c>
      <c r="C109" s="5">
        <v>3920</v>
      </c>
      <c r="D109" t="s">
        <v>426</v>
      </c>
      <c r="E109" t="s">
        <v>33</v>
      </c>
      <c r="F109" s="19" t="str" cm="1">
        <f t="array" aca="1" ref="F109" ca="1">IFERROR(_xlfn.XLOOKUP(Selectivo6[[#This Row],[DNI]],S_S[DNI],INDIRECT("S_S["&amp;Selectivo6[[#Headers],[R1]]&amp;"]")),"60 DNC")</f>
        <v>46</v>
      </c>
      <c r="G109" s="19" t="str" cm="1">
        <f t="array" aca="1" ref="G109" ca="1">IFERROR(_xlfn.XLOOKUP(Selectivo6[[#This Row],[DNI]],S_S[DNI],INDIRECT("S_S["&amp;Selectivo6[[#Headers],[R2]]&amp;"]")),"60 DNC")</f>
        <v>36</v>
      </c>
      <c r="H109" s="19" t="str" cm="1">
        <f t="array" aca="1" ref="H109" ca="1">IFERROR(_xlfn.XLOOKUP(Selectivo6[[#This Row],[DNI]],S_S[DNI],INDIRECT("S_S["&amp;Selectivo6[[#Headers],[R3]]&amp;"]")),"60 DNC")</f>
        <v>43</v>
      </c>
      <c r="I109" s="19" t="str" cm="1">
        <f t="array" aca="1" ref="I109" ca="1">IFERROR(_xlfn.XLOOKUP(Selectivo6[[#This Row],[DNI]],S_S[DNI],INDIRECT("S_S["&amp;Selectivo6[[#Headers],[R4]]&amp;"]")),"60 DNC")</f>
        <v>24</v>
      </c>
      <c r="J109" s="19" t="str" cm="1">
        <f t="array" aca="1" ref="J109" ca="1">IFERROR(_xlfn.XLOOKUP(Selectivo6[[#This Row],[DNI]],S_S[DNI],INDIRECT("S_S["&amp;Selectivo6[[#Headers],[R5]]&amp;"]")),"60 DNC")</f>
        <v>15</v>
      </c>
      <c r="K109" s="19" t="str" cm="1">
        <f t="array" aca="1" ref="K109" ca="1">IFERROR(_xlfn.XLOOKUP(Selectivo6[[#This Row],[DNI]],S_S[DNI],INDIRECT("S_S["&amp;Selectivo6[[#Headers],[R6]]&amp;"]")),"60 DNC")</f>
        <v>35</v>
      </c>
      <c r="L109" s="19" t="str" cm="1">
        <f t="array" aca="1" ref="L109" ca="1">IFERROR(_xlfn.XLOOKUP(Selectivo6[[#This Row],[DNI]],S_S[DNI],INDIRECT("S_S["&amp;Selectivo6[[#Headers],[R7]]&amp;"]")),"60 DNC")</f>
        <v>31</v>
      </c>
      <c r="M109" s="19" t="str" cm="1">
        <f t="array" aca="1" ref="M109" ca="1">IFERROR(_xlfn.XLOOKUP(Selectivo6[[#This Row],[DNI]],S_S[DNI],INDIRECT("S_S["&amp;Selectivo6[[#Headers],[R8]]&amp;"]")),"60 DNC")</f>
        <v>47</v>
      </c>
      <c r="N109" s="19" t="str" cm="1">
        <f t="array" aca="1" ref="N109" ca="1">IFERROR(_xlfn.XLOOKUP(Selectivo6[[#This Row],[DNI]],S_S[DNI],INDIRECT("S_S["&amp;Selectivo6[[#Headers],[R9]]&amp;"]")),"60 DNC")</f>
        <v>30</v>
      </c>
      <c r="O109" s="20" t="str">
        <f>IFERROR(_xlfn.XLOOKUP(Selectivo6[[#This Row],[DNI]],_VF2026[DNI],_VF2026[R1]),"65 DNC")</f>
        <v>65 BFD</v>
      </c>
      <c r="P109" s="19" t="str">
        <f>IFERROR(_xlfn.XLOOKUP(Selectivo6[[#This Row],[DNI]],_VF2026[DNI],_VF2026[R2]),"65 DNC")</f>
        <v>22</v>
      </c>
      <c r="Q109" s="19" t="str">
        <f>IFERROR(_xlfn.XLOOKUP(Selectivo6[[#This Row],[DNI]],_VF2026[DNI],_VF2026[R3]),"65 DNC")</f>
        <v>36</v>
      </c>
      <c r="R109" s="19" t="str">
        <f>IFERROR(_xlfn.XLOOKUP(Selectivo6[[#This Row],[DNI]],_VF2026[DNI],_VF2026[R4]),"65 DNC")</f>
        <v>25</v>
      </c>
      <c r="S109" s="19" t="str">
        <f>IFERROR(_xlfn.XLOOKUP(Selectivo6[[#This Row],[DNI]],_VF2026[DNI],_VF2026[R5]),"65 DNC")</f>
        <v>28</v>
      </c>
      <c r="T109" s="19" t="str">
        <f>IFERROR(_xlfn.XLOOKUP(Selectivo6[[#This Row],[DNI]],_VF2026[DNI],_VF2026[R6]),"65 DNC")</f>
        <v>21</v>
      </c>
      <c r="U109" s="19" t="str">
        <f>IFERROR(_xlfn.XLOOKUP(Selectivo6[[#This Row],[DNI]],_VF2026[DNI],_VF2026[R7]),"65 DNC")</f>
        <v>57</v>
      </c>
      <c r="V109" s="20" t="str">
        <f>IFERROR(_xlfn.XLOOKUP(Selectivo6[[#This Row],[DNI]],_VF2026[DNI],_VF2026[R8]),"65 DNC")</f>
        <v>65 BFD</v>
      </c>
      <c r="W109" s="19"/>
      <c r="X109" s="19"/>
      <c r="Y109" s="19"/>
      <c r="Z109" s="19"/>
      <c r="AA109" s="19"/>
      <c r="AB109" s="8" cm="1">
        <f t="array" aca="1" ref="AB109" ca="1">SUM(IFERROR(VALUE(LEFT(Regatas, FIND(" ",Regatas&amp; " ") - 1)), 0))</f>
        <v>626</v>
      </c>
      <c r="AC109" s="9" cm="1">
        <f t="array" aca="1" ref="AC10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496</v>
      </c>
      <c r="AD109" s="6" cm="1">
        <f t="array" aca="1" ref="AD109" ca="1">SMALL(_xlfn._xlws.FILTER(RegatasN, RegatasN&lt;&gt;0), 1)</f>
        <v>15</v>
      </c>
      <c r="AE109" s="6" cm="1">
        <f t="array" aca="1" ref="AE109" ca="1">SMALL(_xlfn._xlws.FILTER(RegatasN, RegatasN&lt;&gt;0), 2)</f>
        <v>21</v>
      </c>
      <c r="AF109" s="6" cm="1">
        <f t="array" aca="1" ref="AF109" ca="1">SMALL(_xlfn._xlws.FILTER(RegatasN, RegatasN&lt;&gt;0), 3)</f>
        <v>22</v>
      </c>
      <c r="AG109" s="5" cm="1">
        <f t="array" aca="1" ref="AG109" ca="1">COUNTIF(Regatas,SMALL(_xlfn._xlws.FILTER(RegatasN, RegatasN&lt;&gt;0), 1))</f>
        <v>1</v>
      </c>
      <c r="AH109" s="6" t="e" cm="1">
        <f t="array" ref="AH10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0" spans="1:34">
      <c r="A110">
        <v>52790163</v>
      </c>
      <c r="B110" s="10">
        <f>ROW()-ROW(Selectivo6[[#Headers],[Pos]])</f>
        <v>104</v>
      </c>
      <c r="C110" s="5">
        <v>4191</v>
      </c>
      <c r="D110" t="s">
        <v>448</v>
      </c>
      <c r="E110" t="s">
        <v>5</v>
      </c>
      <c r="F110" s="19" t="str" cm="1">
        <f t="array" aca="1" ref="F110" ca="1">IFERROR(_xlfn.XLOOKUP(Selectivo6[[#This Row],[DNI]],S_S[DNI],INDIRECT("S_S["&amp;Selectivo6[[#Headers],[R1]]&amp;"]")),"60 DNC")</f>
        <v>42</v>
      </c>
      <c r="G110" s="19" t="str" cm="1">
        <f t="array" aca="1" ref="G110" ca="1">IFERROR(_xlfn.XLOOKUP(Selectivo6[[#This Row],[DNI]],S_S[DNI],INDIRECT("S_S["&amp;Selectivo6[[#Headers],[R2]]&amp;"]")),"60 DNC")</f>
        <v>37</v>
      </c>
      <c r="H110" s="19" t="str" cm="1">
        <f t="array" aca="1" ref="H110" ca="1">IFERROR(_xlfn.XLOOKUP(Selectivo6[[#This Row],[DNI]],S_S[DNI],INDIRECT("S_S["&amp;Selectivo6[[#Headers],[R3]]&amp;"]")),"60 DNC")</f>
        <v>31</v>
      </c>
      <c r="I110" s="20" t="str" cm="1">
        <f t="array" aca="1" ref="I110" ca="1">IFERROR(_xlfn.XLOOKUP(Selectivo6[[#This Row],[DNI]],S_S[DNI],INDIRECT("S_S["&amp;Selectivo6[[#Headers],[R4]]&amp;"]")),"60 DNC")</f>
        <v>45</v>
      </c>
      <c r="J110" s="19" t="str" cm="1">
        <f t="array" aca="1" ref="J110" ca="1">IFERROR(_xlfn.XLOOKUP(Selectivo6[[#This Row],[DNI]],S_S[DNI],INDIRECT("S_S["&amp;Selectivo6[[#Headers],[R5]]&amp;"]")),"60 DNC")</f>
        <v>40</v>
      </c>
      <c r="K110" s="19" t="str" cm="1">
        <f t="array" aca="1" ref="K110" ca="1">IFERROR(_xlfn.XLOOKUP(Selectivo6[[#This Row],[DNI]],S_S[DNI],INDIRECT("S_S["&amp;Selectivo6[[#Headers],[R6]]&amp;"]")),"60 DNC")</f>
        <v>39</v>
      </c>
      <c r="L110" s="19" t="str" cm="1">
        <f t="array" aca="1" ref="L110" ca="1">IFERROR(_xlfn.XLOOKUP(Selectivo6[[#This Row],[DNI]],S_S[DNI],INDIRECT("S_S["&amp;Selectivo6[[#Headers],[R7]]&amp;"]")),"60 DNC")</f>
        <v>21</v>
      </c>
      <c r="M110" s="19" t="str" cm="1">
        <f t="array" aca="1" ref="M110" ca="1">IFERROR(_xlfn.XLOOKUP(Selectivo6[[#This Row],[DNI]],S_S[DNI],INDIRECT("S_S["&amp;Selectivo6[[#Headers],[R8]]&amp;"]")),"60 DNC")</f>
        <v>39</v>
      </c>
      <c r="N110" s="19" t="str" cm="1">
        <f t="array" aca="1" ref="N110" ca="1">IFERROR(_xlfn.XLOOKUP(Selectivo6[[#This Row],[DNI]],S_S[DNI],INDIRECT("S_S["&amp;Selectivo6[[#Headers],[R9]]&amp;"]")),"60 DNC")</f>
        <v>31</v>
      </c>
      <c r="O110" s="19" t="str">
        <f>IFERROR(_xlfn.XLOOKUP(Selectivo6[[#This Row],[DNI]],_VF2026[DNI],_VF2026[R1]),"65 DNC")</f>
        <v>44</v>
      </c>
      <c r="P110" s="19" t="str">
        <f>IFERROR(_xlfn.XLOOKUP(Selectivo6[[#This Row],[DNI]],_VF2026[DNI],_VF2026[R2]),"65 DNC")</f>
        <v>29</v>
      </c>
      <c r="Q110" s="19" t="str">
        <f>IFERROR(_xlfn.XLOOKUP(Selectivo6[[#This Row],[DNI]],_VF2026[DNI],_VF2026[R3]),"65 DNC")</f>
        <v>24</v>
      </c>
      <c r="R110" s="19" t="str">
        <f>IFERROR(_xlfn.XLOOKUP(Selectivo6[[#This Row],[DNI]],_VF2026[DNI],_VF2026[R4]),"65 DNC")</f>
        <v>28</v>
      </c>
      <c r="S110" s="19" t="str">
        <f>IFERROR(_xlfn.XLOOKUP(Selectivo6[[#This Row],[DNI]],_VF2026[DNI],_VF2026[R5]),"65 DNC")</f>
        <v>30</v>
      </c>
      <c r="T110" s="20" t="str">
        <f>IFERROR(_xlfn.XLOOKUP(Selectivo6[[#This Row],[DNI]],_VF2026[DNI],_VF2026[R6]),"65 DNC")</f>
        <v>51</v>
      </c>
      <c r="U110" s="19" t="str">
        <f>IFERROR(_xlfn.XLOOKUP(Selectivo6[[#This Row],[DNI]],_VF2026[DNI],_VF2026[R7]),"65 DNC")</f>
        <v>33</v>
      </c>
      <c r="V110" s="19" t="str">
        <f>IFERROR(_xlfn.XLOOKUP(Selectivo6[[#This Row],[DNI]],_VF2026[DNI],_VF2026[R8]),"65 DNC")</f>
        <v>31</v>
      </c>
      <c r="W110" s="19"/>
      <c r="X110" s="19"/>
      <c r="Y110" s="19"/>
      <c r="Z110" s="19"/>
      <c r="AA110" s="19"/>
      <c r="AB110" s="8" cm="1">
        <f t="array" aca="1" ref="AB110" ca="1">SUM(IFERROR(VALUE(LEFT(Regatas, FIND(" ",Regatas&amp; " ") - 1)), 0))</f>
        <v>595</v>
      </c>
      <c r="AC110" s="9" cm="1">
        <f t="array" aca="1" ref="AC11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499</v>
      </c>
      <c r="AD110" s="6" cm="1">
        <f t="array" aca="1" ref="AD110" ca="1">SMALL(_xlfn._xlws.FILTER(RegatasN, RegatasN&lt;&gt;0), 1)</f>
        <v>21</v>
      </c>
      <c r="AE110" s="6" cm="1">
        <f t="array" aca="1" ref="AE110" ca="1">SMALL(_xlfn._xlws.FILTER(RegatasN, RegatasN&lt;&gt;0), 2)</f>
        <v>24</v>
      </c>
      <c r="AF110" s="6" cm="1">
        <f t="array" aca="1" ref="AF110" ca="1">SMALL(_xlfn._xlws.FILTER(RegatasN, RegatasN&lt;&gt;0), 3)</f>
        <v>28</v>
      </c>
      <c r="AG110" s="5" cm="1">
        <f t="array" aca="1" ref="AG110" ca="1">COUNTIF(Regatas,SMALL(_xlfn._xlws.FILTER(RegatasN, RegatasN&lt;&gt;0), 1))</f>
        <v>1</v>
      </c>
      <c r="AH110" s="6" t="e" cm="1">
        <f t="array" ref="AH11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1" spans="1:34">
      <c r="A111">
        <v>52854980</v>
      </c>
      <c r="B111" s="10">
        <f>ROW()-ROW(Selectivo6[[#Headers],[Pos]])</f>
        <v>105</v>
      </c>
      <c r="C111" s="5">
        <v>4226</v>
      </c>
      <c r="D111" t="s">
        <v>414</v>
      </c>
      <c r="E111" t="s">
        <v>21</v>
      </c>
      <c r="F111" s="19" t="str" cm="1">
        <f t="array" aca="1" ref="F111" ca="1">IFERROR(_xlfn.XLOOKUP(Selectivo6[[#This Row],[DNI]],S_S[DNI],INDIRECT("S_S["&amp;Selectivo6[[#Headers],[R1]]&amp;"]")),"60 DNC")</f>
        <v>36</v>
      </c>
      <c r="G111" s="19" t="str" cm="1">
        <f t="array" aca="1" ref="G111" ca="1">IFERROR(_xlfn.XLOOKUP(Selectivo6[[#This Row],[DNI]],S_S[DNI],INDIRECT("S_S["&amp;Selectivo6[[#Headers],[R2]]&amp;"]")),"60 DNC")</f>
        <v>31</v>
      </c>
      <c r="H111" s="19" t="str" cm="1">
        <f t="array" aca="1" ref="H111" ca="1">IFERROR(_xlfn.XLOOKUP(Selectivo6[[#This Row],[DNI]],S_S[DNI],INDIRECT("S_S["&amp;Selectivo6[[#Headers],[R3]]&amp;"]")),"60 DNC")</f>
        <v>36</v>
      </c>
      <c r="I111" s="19" t="str" cm="1">
        <f t="array" aca="1" ref="I111" ca="1">IFERROR(_xlfn.XLOOKUP(Selectivo6[[#This Row],[DNI]],S_S[DNI],INDIRECT("S_S["&amp;Selectivo6[[#Headers],[R4]]&amp;"]")),"60 DNC")</f>
        <v>38</v>
      </c>
      <c r="J111" s="19" t="str" cm="1">
        <f t="array" aca="1" ref="J111" ca="1">IFERROR(_xlfn.XLOOKUP(Selectivo6[[#This Row],[DNI]],S_S[DNI],INDIRECT("S_S["&amp;Selectivo6[[#Headers],[R5]]&amp;"]")),"60 DNC")</f>
        <v>26</v>
      </c>
      <c r="K111" s="19" t="str" cm="1">
        <f t="array" aca="1" ref="K111" ca="1">IFERROR(_xlfn.XLOOKUP(Selectivo6[[#This Row],[DNI]],S_S[DNI],INDIRECT("S_S["&amp;Selectivo6[[#Headers],[R6]]&amp;"]")),"60 DNC")</f>
        <v>32</v>
      </c>
      <c r="L111" s="19" t="str" cm="1">
        <f t="array" aca="1" ref="L111" ca="1">IFERROR(_xlfn.XLOOKUP(Selectivo6[[#This Row],[DNI]],S_S[DNI],INDIRECT("S_S["&amp;Selectivo6[[#Headers],[R7]]&amp;"]")),"60 DNC")</f>
        <v>22</v>
      </c>
      <c r="M111" s="19" t="str" cm="1">
        <f t="array" aca="1" ref="M111" ca="1">IFERROR(_xlfn.XLOOKUP(Selectivo6[[#This Row],[DNI]],S_S[DNI],INDIRECT("S_S["&amp;Selectivo6[[#Headers],[R8]]&amp;"]")),"60 DNC")</f>
        <v>42</v>
      </c>
      <c r="N111" s="19" t="str" cm="1">
        <f t="array" aca="1" ref="N111" ca="1">IFERROR(_xlfn.XLOOKUP(Selectivo6[[#This Row],[DNI]],S_S[DNI],INDIRECT("S_S["&amp;Selectivo6[[#Headers],[R9]]&amp;"]")),"60 DNC")</f>
        <v>34</v>
      </c>
      <c r="O111" s="20" t="str">
        <f>IFERROR(_xlfn.XLOOKUP(Selectivo6[[#This Row],[DNI]],_VF2026[DNI],_VF2026[R1]),"65 DNC")</f>
        <v>65 BFD</v>
      </c>
      <c r="P111" s="19" t="str">
        <f>IFERROR(_xlfn.XLOOKUP(Selectivo6[[#This Row],[DNI]],_VF2026[DNI],_VF2026[R2]),"65 DNC")</f>
        <v>34</v>
      </c>
      <c r="Q111" s="19" t="str">
        <f>IFERROR(_xlfn.XLOOKUP(Selectivo6[[#This Row],[DNI]],_VF2026[DNI],_VF2026[R3]),"65 DNC")</f>
        <v>32</v>
      </c>
      <c r="R111" s="19" t="str">
        <f>IFERROR(_xlfn.XLOOKUP(Selectivo6[[#This Row],[DNI]],_VF2026[DNI],_VF2026[R4]),"65 DNC")</f>
        <v>35</v>
      </c>
      <c r="S111" s="19" t="str">
        <f>IFERROR(_xlfn.XLOOKUP(Selectivo6[[#This Row],[DNI]],_VF2026[DNI],_VF2026[R5]),"65 DNC")</f>
        <v>32</v>
      </c>
      <c r="T111" s="20" t="str">
        <f>IFERROR(_xlfn.XLOOKUP(Selectivo6[[#This Row],[DNI]],_VF2026[DNI],_VF2026[R6]),"65 DNC")</f>
        <v>52</v>
      </c>
      <c r="U111" s="19" t="str">
        <f>IFERROR(_xlfn.XLOOKUP(Selectivo6[[#This Row],[DNI]],_VF2026[DNI],_VF2026[R7]),"65 DNC")</f>
        <v>33</v>
      </c>
      <c r="V111" s="19" t="str">
        <f>IFERROR(_xlfn.XLOOKUP(Selectivo6[[#This Row],[DNI]],_VF2026[DNI],_VF2026[R8]),"65 DNC")</f>
        <v>41</v>
      </c>
      <c r="W111" s="19"/>
      <c r="X111" s="19"/>
      <c r="Y111" s="19"/>
      <c r="Z111" s="19"/>
      <c r="AA111" s="19"/>
      <c r="AB111" s="8" cm="1">
        <f t="array" aca="1" ref="AB111" ca="1">SUM(IFERROR(VALUE(LEFT(Regatas, FIND(" ",Regatas&amp; " ") - 1)), 0))</f>
        <v>621</v>
      </c>
      <c r="AC111" s="9" cm="1">
        <f t="array" aca="1" ref="AC11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504</v>
      </c>
      <c r="AD111" s="6" cm="1">
        <f t="array" aca="1" ref="AD111" ca="1">SMALL(_xlfn._xlws.FILTER(RegatasN, RegatasN&lt;&gt;0), 1)</f>
        <v>22</v>
      </c>
      <c r="AE111" s="6" cm="1">
        <f t="array" aca="1" ref="AE111" ca="1">SMALL(_xlfn._xlws.FILTER(RegatasN, RegatasN&lt;&gt;0), 2)</f>
        <v>26</v>
      </c>
      <c r="AF111" s="6" cm="1">
        <f t="array" aca="1" ref="AF111" ca="1">SMALL(_xlfn._xlws.FILTER(RegatasN, RegatasN&lt;&gt;0), 3)</f>
        <v>31</v>
      </c>
      <c r="AG111" s="5" cm="1">
        <f t="array" aca="1" ref="AG111" ca="1">COUNTIF(Regatas,SMALL(_xlfn._xlws.FILTER(RegatasN, RegatasN&lt;&gt;0), 1))</f>
        <v>1</v>
      </c>
      <c r="AH111" s="6" t="e" cm="1">
        <f t="array" ref="AH11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2" spans="1:34">
      <c r="A112">
        <v>50901006</v>
      </c>
      <c r="B112" s="10">
        <f>ROW()-ROW(Selectivo6[[#Headers],[Pos]])</f>
        <v>106</v>
      </c>
      <c r="C112" s="5">
        <v>3903</v>
      </c>
      <c r="D112" t="s">
        <v>424</v>
      </c>
      <c r="E112" t="s">
        <v>10</v>
      </c>
      <c r="F112" s="19" t="str" cm="1">
        <f t="array" aca="1" ref="F112" ca="1">IFERROR(_xlfn.XLOOKUP(Selectivo6[[#This Row],[DNI]],S_S[DNI],INDIRECT("S_S["&amp;Selectivo6[[#Headers],[R1]]&amp;"]")),"60 DNC")</f>
        <v>29</v>
      </c>
      <c r="G112" s="19" t="str" cm="1">
        <f t="array" aca="1" ref="G112" ca="1">IFERROR(_xlfn.XLOOKUP(Selectivo6[[#This Row],[DNI]],S_S[DNI],INDIRECT("S_S["&amp;Selectivo6[[#Headers],[R2]]&amp;"]")),"60 DNC")</f>
        <v>23</v>
      </c>
      <c r="H112" s="19" t="str" cm="1">
        <f t="array" aca="1" ref="H112" ca="1">IFERROR(_xlfn.XLOOKUP(Selectivo6[[#This Row],[DNI]],S_S[DNI],INDIRECT("S_S["&amp;Selectivo6[[#Headers],[R3]]&amp;"]")),"60 DNC")</f>
        <v>40</v>
      </c>
      <c r="I112" s="19" t="str" cm="1">
        <f t="array" aca="1" ref="I112" ca="1">IFERROR(_xlfn.XLOOKUP(Selectivo6[[#This Row],[DNI]],S_S[DNI],INDIRECT("S_S["&amp;Selectivo6[[#Headers],[R4]]&amp;"]")),"60 DNC")</f>
        <v>41</v>
      </c>
      <c r="J112" s="20" t="str" cm="1">
        <f t="array" aca="1" ref="J112" ca="1">IFERROR(_xlfn.XLOOKUP(Selectivo6[[#This Row],[DNI]],S_S[DNI],INDIRECT("S_S["&amp;Selectivo6[[#Headers],[R5]]&amp;"]")),"60 DNC")</f>
        <v>60 BFD</v>
      </c>
      <c r="K112" s="19" t="str" cm="1">
        <f t="array" aca="1" ref="K112" ca="1">IFERROR(_xlfn.XLOOKUP(Selectivo6[[#This Row],[DNI]],S_S[DNI],INDIRECT("S_S["&amp;Selectivo6[[#Headers],[R6]]&amp;"]")),"60 DNC")</f>
        <v>20</v>
      </c>
      <c r="L112" s="19" t="str" cm="1">
        <f t="array" aca="1" ref="L112" ca="1">IFERROR(_xlfn.XLOOKUP(Selectivo6[[#This Row],[DNI]],S_S[DNI],INDIRECT("S_S["&amp;Selectivo6[[#Headers],[R7]]&amp;"]")),"60 DNC")</f>
        <v>39</v>
      </c>
      <c r="M112" s="19" t="str" cm="1">
        <f t="array" aca="1" ref="M112" ca="1">IFERROR(_xlfn.XLOOKUP(Selectivo6[[#This Row],[DNI]],S_S[DNI],INDIRECT("S_S["&amp;Selectivo6[[#Headers],[R8]]&amp;"]")),"60 DNC")</f>
        <v>32</v>
      </c>
      <c r="N112" s="19" t="str" cm="1">
        <f t="array" aca="1" ref="N112" ca="1">IFERROR(_xlfn.XLOOKUP(Selectivo6[[#This Row],[DNI]],S_S[DNI],INDIRECT("S_S["&amp;Selectivo6[[#Headers],[R9]]&amp;"]")),"60 DNC")</f>
        <v>34</v>
      </c>
      <c r="O112" s="19" t="str">
        <f>IFERROR(_xlfn.XLOOKUP(Selectivo6[[#This Row],[DNI]],_VF2026[DNI],_VF2026[R1]),"65 DNC")</f>
        <v>41</v>
      </c>
      <c r="P112" s="19" t="str">
        <f>IFERROR(_xlfn.XLOOKUP(Selectivo6[[#This Row],[DNI]],_VF2026[DNI],_VF2026[R2]),"65 DNC")</f>
        <v>35</v>
      </c>
      <c r="Q112" s="19" t="str">
        <f>IFERROR(_xlfn.XLOOKUP(Selectivo6[[#This Row],[DNI]],_VF2026[DNI],_VF2026[R3]),"65 DNC")</f>
        <v>35</v>
      </c>
      <c r="R112" s="19" t="str">
        <f>IFERROR(_xlfn.XLOOKUP(Selectivo6[[#This Row],[DNI]],_VF2026[DNI],_VF2026[R4]),"65 DNC")</f>
        <v>33</v>
      </c>
      <c r="S112" s="19" t="str">
        <f>IFERROR(_xlfn.XLOOKUP(Selectivo6[[#This Row],[DNI]],_VF2026[DNI],_VF2026[R5]),"65 DNC")</f>
        <v>37</v>
      </c>
      <c r="T112" s="19" t="str">
        <f>IFERROR(_xlfn.XLOOKUP(Selectivo6[[#This Row],[DNI]],_VF2026[DNI],_VF2026[R6]),"65 DNC")</f>
        <v>43</v>
      </c>
      <c r="U112" s="19" t="str">
        <f>IFERROR(_xlfn.XLOOKUP(Selectivo6[[#This Row],[DNI]],_VF2026[DNI],_VF2026[R7]),"65 DNC")</f>
        <v>23</v>
      </c>
      <c r="V112" s="20" t="str">
        <f>IFERROR(_xlfn.XLOOKUP(Selectivo6[[#This Row],[DNI]],_VF2026[DNI],_VF2026[R8]),"65 DNC")</f>
        <v>65 BFD</v>
      </c>
      <c r="W112" s="19"/>
      <c r="X112" s="19"/>
      <c r="Y112" s="19"/>
      <c r="Z112" s="19"/>
      <c r="AA112" s="19"/>
      <c r="AB112" s="8" cm="1">
        <f t="array" aca="1" ref="AB112" ca="1">SUM(IFERROR(VALUE(LEFT(Regatas, FIND(" ",Regatas&amp; " ") - 1)), 0))</f>
        <v>630</v>
      </c>
      <c r="AC112" s="9" cm="1">
        <f t="array" aca="1" ref="AC11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505</v>
      </c>
      <c r="AD112" s="6" cm="1">
        <f t="array" aca="1" ref="AD112" ca="1">SMALL(_xlfn._xlws.FILTER(RegatasN, RegatasN&lt;&gt;0), 1)</f>
        <v>20</v>
      </c>
      <c r="AE112" s="6" cm="1">
        <f t="array" aca="1" ref="AE112" ca="1">SMALL(_xlfn._xlws.FILTER(RegatasN, RegatasN&lt;&gt;0), 2)</f>
        <v>23</v>
      </c>
      <c r="AF112" s="6" cm="1">
        <f t="array" aca="1" ref="AF112" ca="1">SMALL(_xlfn._xlws.FILTER(RegatasN, RegatasN&lt;&gt;0), 3)</f>
        <v>23</v>
      </c>
      <c r="AG112" s="5" cm="1">
        <f t="array" aca="1" ref="AG112" ca="1">COUNTIF(Regatas,SMALL(_xlfn._xlws.FILTER(RegatasN, RegatasN&lt;&gt;0), 1))</f>
        <v>1</v>
      </c>
      <c r="AH112" s="6" t="e" cm="1">
        <f t="array" ref="AH11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3" spans="1:34">
      <c r="A113">
        <v>54116095</v>
      </c>
      <c r="B113" s="10">
        <f>ROW()-ROW(Selectivo6[[#Headers],[Pos]])</f>
        <v>107</v>
      </c>
      <c r="C113" s="5">
        <v>4038</v>
      </c>
      <c r="D113" t="s">
        <v>396</v>
      </c>
      <c r="E113" t="s">
        <v>17</v>
      </c>
      <c r="F113" s="19" t="str" cm="1">
        <f t="array" aca="1" ref="F113" ca="1">IFERROR(_xlfn.XLOOKUP(Selectivo6[[#This Row],[DNI]],S_S[DNI],INDIRECT("S_S["&amp;Selectivo6[[#Headers],[R1]]&amp;"]")),"60 DNC")</f>
        <v>28</v>
      </c>
      <c r="G113" s="19" t="str" cm="1">
        <f t="array" aca="1" ref="G113" ca="1">IFERROR(_xlfn.XLOOKUP(Selectivo6[[#This Row],[DNI]],S_S[DNI],INDIRECT("S_S["&amp;Selectivo6[[#Headers],[R2]]&amp;"]")),"60 DNC")</f>
        <v>27</v>
      </c>
      <c r="H113" s="19" t="str" cm="1">
        <f t="array" aca="1" ref="H113" ca="1">IFERROR(_xlfn.XLOOKUP(Selectivo6[[#This Row],[DNI]],S_S[DNI],INDIRECT("S_S["&amp;Selectivo6[[#Headers],[R3]]&amp;"]")),"60 DNC")</f>
        <v>29</v>
      </c>
      <c r="I113" s="19" t="str" cm="1">
        <f t="array" aca="1" ref="I113" ca="1">IFERROR(_xlfn.XLOOKUP(Selectivo6[[#This Row],[DNI]],S_S[DNI],INDIRECT("S_S["&amp;Selectivo6[[#Headers],[R4]]&amp;"]")),"60 DNC")</f>
        <v>15</v>
      </c>
      <c r="J113" s="19" t="str" cm="1">
        <f t="array" aca="1" ref="J113" ca="1">IFERROR(_xlfn.XLOOKUP(Selectivo6[[#This Row],[DNI]],S_S[DNI],INDIRECT("S_S["&amp;Selectivo6[[#Headers],[R5]]&amp;"]")),"60 DNC")</f>
        <v>23</v>
      </c>
      <c r="K113" s="19" t="str" cm="1">
        <f t="array" aca="1" ref="K113" ca="1">IFERROR(_xlfn.XLOOKUP(Selectivo6[[#This Row],[DNI]],S_S[DNI],INDIRECT("S_S["&amp;Selectivo6[[#Headers],[R6]]&amp;"]")),"60 DNC")</f>
        <v>33</v>
      </c>
      <c r="L113" s="19" t="str" cm="1">
        <f t="array" aca="1" ref="L113" ca="1">IFERROR(_xlfn.XLOOKUP(Selectivo6[[#This Row],[DNI]],S_S[DNI],INDIRECT("S_S["&amp;Selectivo6[[#Headers],[R7]]&amp;"]")),"60 DNC")</f>
        <v>42</v>
      </c>
      <c r="M113" s="19" t="str" cm="1">
        <f t="array" aca="1" ref="M113" ca="1">IFERROR(_xlfn.XLOOKUP(Selectivo6[[#This Row],[DNI]],S_S[DNI],INDIRECT("S_S["&amp;Selectivo6[[#Headers],[R8]]&amp;"]")),"60 DNC")</f>
        <v>36</v>
      </c>
      <c r="N113" s="19" t="str" cm="1">
        <f t="array" aca="1" ref="N113" ca="1">IFERROR(_xlfn.XLOOKUP(Selectivo6[[#This Row],[DNI]],S_S[DNI],INDIRECT("S_S["&amp;Selectivo6[[#Headers],[R9]]&amp;"]")),"60 DNC")</f>
        <v>47</v>
      </c>
      <c r="O113" s="19" t="str">
        <f>IFERROR(_xlfn.XLOOKUP(Selectivo6[[#This Row],[DNI]],_VF2026[DNI],_VF2026[R1]),"65 DNC")</f>
        <v>45</v>
      </c>
      <c r="P113" s="19" t="str">
        <f>IFERROR(_xlfn.XLOOKUP(Selectivo6[[#This Row],[DNI]],_VF2026[DNI],_VF2026[R2]),"65 DNC")</f>
        <v>33</v>
      </c>
      <c r="Q113" s="19" t="str">
        <f>IFERROR(_xlfn.XLOOKUP(Selectivo6[[#This Row],[DNI]],_VF2026[DNI],_VF2026[R3]),"65 DNC")</f>
        <v>31</v>
      </c>
      <c r="R113" s="19" t="str">
        <f>IFERROR(_xlfn.XLOOKUP(Selectivo6[[#This Row],[DNI]],_VF2026[DNI],_VF2026[R4]),"65 DNC")</f>
        <v>48</v>
      </c>
      <c r="S113" s="19" t="str">
        <f>IFERROR(_xlfn.XLOOKUP(Selectivo6[[#This Row],[DNI]],_VF2026[DNI],_VF2026[R5]),"65 DNC")</f>
        <v>42</v>
      </c>
      <c r="T113" s="20" t="str">
        <f>IFERROR(_xlfn.XLOOKUP(Selectivo6[[#This Row],[DNI]],_VF2026[DNI],_VF2026[R6]),"65 DNC")</f>
        <v>65 BFD</v>
      </c>
      <c r="U113" s="19" t="str">
        <f>IFERROR(_xlfn.XLOOKUP(Selectivo6[[#This Row],[DNI]],_VF2026[DNI],_VF2026[R7]),"65 DNC")</f>
        <v>31</v>
      </c>
      <c r="V113" s="20" t="str">
        <f>IFERROR(_xlfn.XLOOKUP(Selectivo6[[#This Row],[DNI]],_VF2026[DNI],_VF2026[R8]),"65 DNC")</f>
        <v>65 BFD</v>
      </c>
      <c r="W113" s="19"/>
      <c r="X113" s="19"/>
      <c r="Y113" s="19"/>
      <c r="Z113" s="19"/>
      <c r="AA113" s="19"/>
      <c r="AB113" s="8" cm="1">
        <f t="array" aca="1" ref="AB113" ca="1">SUM(IFERROR(VALUE(LEFT(Regatas, FIND(" ",Regatas&amp; " ") - 1)), 0))</f>
        <v>640</v>
      </c>
      <c r="AC113" s="9" cm="1">
        <f t="array" aca="1" ref="AC11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510</v>
      </c>
      <c r="AD113" s="6" cm="1">
        <f t="array" aca="1" ref="AD113" ca="1">SMALL(_xlfn._xlws.FILTER(RegatasN, RegatasN&lt;&gt;0), 1)</f>
        <v>15</v>
      </c>
      <c r="AE113" s="6" cm="1">
        <f t="array" aca="1" ref="AE113" ca="1">SMALL(_xlfn._xlws.FILTER(RegatasN, RegatasN&lt;&gt;0), 2)</f>
        <v>23</v>
      </c>
      <c r="AF113" s="6" cm="1">
        <f t="array" aca="1" ref="AF113" ca="1">SMALL(_xlfn._xlws.FILTER(RegatasN, RegatasN&lt;&gt;0), 3)</f>
        <v>27</v>
      </c>
      <c r="AG113" s="5" cm="1">
        <f t="array" aca="1" ref="AG113" ca="1">COUNTIF(Regatas,SMALL(_xlfn._xlws.FILTER(RegatasN, RegatasN&lt;&gt;0), 1))</f>
        <v>1</v>
      </c>
      <c r="AH113" s="6" t="e" cm="1">
        <f t="array" ref="AH11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4" spans="1:34">
      <c r="A114">
        <v>52964858</v>
      </c>
      <c r="B114" s="10">
        <f>ROW()-ROW(Selectivo6[[#Headers],[Pos]])</f>
        <v>108</v>
      </c>
      <c r="C114" s="5">
        <v>4157</v>
      </c>
      <c r="D114" t="s">
        <v>416</v>
      </c>
      <c r="E114" t="s">
        <v>417</v>
      </c>
      <c r="F114" s="19" t="str" cm="1">
        <f t="array" aca="1" ref="F114" ca="1">IFERROR(_xlfn.XLOOKUP(Selectivo6[[#This Row],[DNI]],S_S[DNI],INDIRECT("S_S["&amp;Selectivo6[[#Headers],[R1]]&amp;"]")),"60 DNC")</f>
        <v>33</v>
      </c>
      <c r="G114" s="19" t="str" cm="1">
        <f t="array" aca="1" ref="G114" ca="1">IFERROR(_xlfn.XLOOKUP(Selectivo6[[#This Row],[DNI]],S_S[DNI],INDIRECT("S_S["&amp;Selectivo6[[#Headers],[R2]]&amp;"]")),"60 DNC")</f>
        <v>28</v>
      </c>
      <c r="H114" s="19" t="str" cm="1">
        <f t="array" aca="1" ref="H114" ca="1">IFERROR(_xlfn.XLOOKUP(Selectivo6[[#This Row],[DNI]],S_S[DNI],INDIRECT("S_S["&amp;Selectivo6[[#Headers],[R3]]&amp;"]")),"60 DNC")</f>
        <v>9</v>
      </c>
      <c r="I114" s="19" t="str" cm="1">
        <f t="array" aca="1" ref="I114" ca="1">IFERROR(_xlfn.XLOOKUP(Selectivo6[[#This Row],[DNI]],S_S[DNI],INDIRECT("S_S["&amp;Selectivo6[[#Headers],[R4]]&amp;"]")),"60 DNC")</f>
        <v>35</v>
      </c>
      <c r="J114" s="19" t="str" cm="1">
        <f t="array" aca="1" ref="J114" ca="1">IFERROR(_xlfn.XLOOKUP(Selectivo6[[#This Row],[DNI]],S_S[DNI],INDIRECT("S_S["&amp;Selectivo6[[#Headers],[R5]]&amp;"]")),"60 DNC")</f>
        <v>34</v>
      </c>
      <c r="K114" s="19" t="str" cm="1">
        <f t="array" aca="1" ref="K114" ca="1">IFERROR(_xlfn.XLOOKUP(Selectivo6[[#This Row],[DNI]],S_S[DNI],INDIRECT("S_S["&amp;Selectivo6[[#Headers],[R6]]&amp;"]")),"60 DNC")</f>
        <v>37</v>
      </c>
      <c r="L114" s="19" t="str" cm="1">
        <f t="array" aca="1" ref="L114" ca="1">IFERROR(_xlfn.XLOOKUP(Selectivo6[[#This Row],[DNI]],S_S[DNI],INDIRECT("S_S["&amp;Selectivo6[[#Headers],[R7]]&amp;"]")),"60 DNC")</f>
        <v>44</v>
      </c>
      <c r="M114" s="19" t="str" cm="1">
        <f t="array" aca="1" ref="M114" ca="1">IFERROR(_xlfn.XLOOKUP(Selectivo6[[#This Row],[DNI]],S_S[DNI],INDIRECT("S_S["&amp;Selectivo6[[#Headers],[R8]]&amp;"]")),"60 DNC")</f>
        <v>42</v>
      </c>
      <c r="N114" s="19" t="str" cm="1">
        <f t="array" aca="1" ref="N114" ca="1">IFERROR(_xlfn.XLOOKUP(Selectivo6[[#This Row],[DNI]],S_S[DNI],INDIRECT("S_S["&amp;Selectivo6[[#Headers],[R9]]&amp;"]")),"60 DNC")</f>
        <v>39</v>
      </c>
      <c r="O114" s="19" t="str">
        <f>IFERROR(_xlfn.XLOOKUP(Selectivo6[[#This Row],[DNI]],_VF2026[DNI],_VF2026[R1]),"65 DNC")</f>
        <v>25</v>
      </c>
      <c r="P114" s="19" t="str">
        <f>IFERROR(_xlfn.XLOOKUP(Selectivo6[[#This Row],[DNI]],_VF2026[DNI],_VF2026[R2]),"65 DNC")</f>
        <v>21</v>
      </c>
      <c r="Q114" s="19" t="str">
        <f>IFERROR(_xlfn.XLOOKUP(Selectivo6[[#This Row],[DNI]],_VF2026[DNI],_VF2026[R3]),"65 DNC")</f>
        <v>37</v>
      </c>
      <c r="R114" s="19" t="str">
        <f>IFERROR(_xlfn.XLOOKUP(Selectivo6[[#This Row],[DNI]],_VF2026[DNI],_VF2026[R4]),"65 DNC")</f>
        <v>37</v>
      </c>
      <c r="S114" s="19" t="str">
        <f>IFERROR(_xlfn.XLOOKUP(Selectivo6[[#This Row],[DNI]],_VF2026[DNI],_VF2026[R5]),"65 DNC")</f>
        <v>53</v>
      </c>
      <c r="T114" s="20" t="str">
        <f>IFERROR(_xlfn.XLOOKUP(Selectivo6[[#This Row],[DNI]],_VF2026[DNI],_VF2026[R6]),"65 DNC")</f>
        <v>65 BFD</v>
      </c>
      <c r="U114" s="19" t="str">
        <f>IFERROR(_xlfn.XLOOKUP(Selectivo6[[#This Row],[DNI]],_VF2026[DNI],_VF2026[R7]),"65 DNC")</f>
        <v>40</v>
      </c>
      <c r="V114" s="20" t="str">
        <f>IFERROR(_xlfn.XLOOKUP(Selectivo6[[#This Row],[DNI]],_VF2026[DNI],_VF2026[R8]),"65 DNC")</f>
        <v>65 BFD</v>
      </c>
      <c r="W114" s="19"/>
      <c r="X114" s="19"/>
      <c r="Y114" s="19"/>
      <c r="Z114" s="19"/>
      <c r="AA114" s="19"/>
      <c r="AB114" s="8" cm="1">
        <f t="array" aca="1" ref="AB114" ca="1">SUM(IFERROR(VALUE(LEFT(Regatas, FIND(" ",Regatas&amp; " ") - 1)), 0))</f>
        <v>644</v>
      </c>
      <c r="AC114" s="9" cm="1">
        <f t="array" aca="1" ref="AC11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514</v>
      </c>
      <c r="AD114" s="6" cm="1">
        <f t="array" aca="1" ref="AD114" ca="1">SMALL(_xlfn._xlws.FILTER(RegatasN, RegatasN&lt;&gt;0), 1)</f>
        <v>9</v>
      </c>
      <c r="AE114" s="6" cm="1">
        <f t="array" aca="1" ref="AE114" ca="1">SMALL(_xlfn._xlws.FILTER(RegatasN, RegatasN&lt;&gt;0), 2)</f>
        <v>21</v>
      </c>
      <c r="AF114" s="6" cm="1">
        <f t="array" aca="1" ref="AF114" ca="1">SMALL(_xlfn._xlws.FILTER(RegatasN, RegatasN&lt;&gt;0), 3)</f>
        <v>25</v>
      </c>
      <c r="AG114" s="5" cm="1">
        <f t="array" aca="1" ref="AG114" ca="1">COUNTIF(Regatas,SMALL(_xlfn._xlws.FILTER(RegatasN, RegatasN&lt;&gt;0), 1))</f>
        <v>1</v>
      </c>
      <c r="AH114" s="6" t="e" cm="1">
        <f t="array" ref="AH11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5" spans="1:34">
      <c r="A115">
        <v>53285019</v>
      </c>
      <c r="B115" s="10">
        <f>ROW()-ROW(Selectivo6[[#Headers],[Pos]])</f>
        <v>109</v>
      </c>
      <c r="C115" s="5">
        <v>4054</v>
      </c>
      <c r="D115" t="s">
        <v>467</v>
      </c>
      <c r="E115" t="s">
        <v>171</v>
      </c>
      <c r="F115" s="19" t="str" cm="1">
        <f t="array" aca="1" ref="F115" ca="1">IFERROR(_xlfn.XLOOKUP(Selectivo6[[#This Row],[DNI]],S_S[DNI],INDIRECT("S_S["&amp;Selectivo6[[#Headers],[R1]]&amp;"]")),"60 DNC")</f>
        <v>42</v>
      </c>
      <c r="G115" s="19" t="str" cm="1">
        <f t="array" aca="1" ref="G115" ca="1">IFERROR(_xlfn.XLOOKUP(Selectivo6[[#This Row],[DNI]],S_S[DNI],INDIRECT("S_S["&amp;Selectivo6[[#Headers],[R2]]&amp;"]")),"60 DNC")</f>
        <v>45</v>
      </c>
      <c r="H115" s="19" t="str" cm="1">
        <f t="array" aca="1" ref="H115" ca="1">IFERROR(_xlfn.XLOOKUP(Selectivo6[[#This Row],[DNI]],S_S[DNI],INDIRECT("S_S["&amp;Selectivo6[[#Headers],[R3]]&amp;"]")),"60 DNC")</f>
        <v>27</v>
      </c>
      <c r="I115" s="19" t="str" cm="1">
        <f t="array" aca="1" ref="I115" ca="1">IFERROR(_xlfn.XLOOKUP(Selectivo6[[#This Row],[DNI]],S_S[DNI],INDIRECT("S_S["&amp;Selectivo6[[#Headers],[R4]]&amp;"]")),"60 DNC")</f>
        <v>43</v>
      </c>
      <c r="J115" s="19" t="str" cm="1">
        <f t="array" aca="1" ref="J115" ca="1">IFERROR(_xlfn.XLOOKUP(Selectivo6[[#This Row],[DNI]],S_S[DNI],INDIRECT("S_S["&amp;Selectivo6[[#Headers],[R5]]&amp;"]")),"60 DNC")</f>
        <v>26</v>
      </c>
      <c r="K115" s="20" t="str" cm="1">
        <f t="array" aca="1" ref="K115" ca="1">IFERROR(_xlfn.XLOOKUP(Selectivo6[[#This Row],[DNI]],S_S[DNI],INDIRECT("S_S["&amp;Selectivo6[[#Headers],[R6]]&amp;"]")),"60 DNC")</f>
        <v>60 DNC</v>
      </c>
      <c r="L115" s="20" t="str" cm="1">
        <f t="array" aca="1" ref="L115" ca="1">IFERROR(_xlfn.XLOOKUP(Selectivo6[[#This Row],[DNI]],S_S[DNI],INDIRECT("S_S["&amp;Selectivo6[[#Headers],[R7]]&amp;"]")),"60 DNC")</f>
        <v>60 DNC</v>
      </c>
      <c r="M115" s="19" t="str" cm="1">
        <f t="array" aca="1" ref="M115" ca="1">IFERROR(_xlfn.XLOOKUP(Selectivo6[[#This Row],[DNI]],S_S[DNI],INDIRECT("S_S["&amp;Selectivo6[[#Headers],[R8]]&amp;"]")),"60 DNC")</f>
        <v>32</v>
      </c>
      <c r="N115" s="19" t="str" cm="1">
        <f t="array" aca="1" ref="N115" ca="1">IFERROR(_xlfn.XLOOKUP(Selectivo6[[#This Row],[DNI]],S_S[DNI],INDIRECT("S_S["&amp;Selectivo6[[#Headers],[R9]]&amp;"]")),"60 DNC")</f>
        <v>28</v>
      </c>
      <c r="O115" s="19" t="str">
        <f>IFERROR(_xlfn.XLOOKUP(Selectivo6[[#This Row],[DNI]],_VF2026[DNI],_VF2026[R1]),"65 DNC")</f>
        <v>30</v>
      </c>
      <c r="P115" s="19" t="str">
        <f>IFERROR(_xlfn.XLOOKUP(Selectivo6[[#This Row],[DNI]],_VF2026[DNI],_VF2026[R2]),"65 DNC")</f>
        <v>31</v>
      </c>
      <c r="Q115" s="19" t="str">
        <f>IFERROR(_xlfn.XLOOKUP(Selectivo6[[#This Row],[DNI]],_VF2026[DNI],_VF2026[R3]),"65 DNC")</f>
        <v>23</v>
      </c>
      <c r="R115" s="19" t="str">
        <f>IFERROR(_xlfn.XLOOKUP(Selectivo6[[#This Row],[DNI]],_VF2026[DNI],_VF2026[R4]),"65 DNC")</f>
        <v>44</v>
      </c>
      <c r="S115" s="19" t="str">
        <f>IFERROR(_xlfn.XLOOKUP(Selectivo6[[#This Row],[DNI]],_VF2026[DNI],_VF2026[R5]),"65 DNC")</f>
        <v>34</v>
      </c>
      <c r="T115" s="19" t="str">
        <f>IFERROR(_xlfn.XLOOKUP(Selectivo6[[#This Row],[DNI]],_VF2026[DNI],_VF2026[R6]),"65 DNC")</f>
        <v>44</v>
      </c>
      <c r="U115" s="19" t="str">
        <f>IFERROR(_xlfn.XLOOKUP(Selectivo6[[#This Row],[DNI]],_VF2026[DNI],_VF2026[R7]),"65 DNC")</f>
        <v>36</v>
      </c>
      <c r="V115" s="19" t="str">
        <f>IFERROR(_xlfn.XLOOKUP(Selectivo6[[#This Row],[DNI]],_VF2026[DNI],_VF2026[R8]),"65 DNC")</f>
        <v>30</v>
      </c>
      <c r="W115" s="19"/>
      <c r="X115" s="19"/>
      <c r="Y115" s="19"/>
      <c r="Z115" s="19"/>
      <c r="AA115" s="19"/>
      <c r="AB115" s="8" cm="1">
        <f t="array" aca="1" ref="AB115" ca="1">SUM(IFERROR(VALUE(LEFT(Regatas, FIND(" ",Regatas&amp; " ") - 1)), 0))</f>
        <v>635</v>
      </c>
      <c r="AC115" s="9" cm="1">
        <f t="array" aca="1" ref="AC11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515</v>
      </c>
      <c r="AD115" s="6" cm="1">
        <f t="array" aca="1" ref="AD115" ca="1">SMALL(_xlfn._xlws.FILTER(RegatasN, RegatasN&lt;&gt;0), 1)</f>
        <v>23</v>
      </c>
      <c r="AE115" s="6" cm="1">
        <f t="array" aca="1" ref="AE115" ca="1">SMALL(_xlfn._xlws.FILTER(RegatasN, RegatasN&lt;&gt;0), 2)</f>
        <v>26</v>
      </c>
      <c r="AF115" s="6" cm="1">
        <f t="array" aca="1" ref="AF115" ca="1">SMALL(_xlfn._xlws.FILTER(RegatasN, RegatasN&lt;&gt;0), 3)</f>
        <v>27</v>
      </c>
      <c r="AG115" s="5" cm="1">
        <f t="array" aca="1" ref="AG115" ca="1">COUNTIF(Regatas,SMALL(_xlfn._xlws.FILTER(RegatasN, RegatasN&lt;&gt;0), 1))</f>
        <v>1</v>
      </c>
      <c r="AH115" s="6" t="e" cm="1">
        <f t="array" ref="AH11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6" spans="1:34">
      <c r="A116">
        <v>53087006</v>
      </c>
      <c r="B116" s="10">
        <f>ROW()-ROW(Selectivo6[[#Headers],[Pos]])</f>
        <v>110</v>
      </c>
      <c r="C116" s="5">
        <v>4085</v>
      </c>
      <c r="D116" t="s">
        <v>432</v>
      </c>
      <c r="E116" t="s">
        <v>21</v>
      </c>
      <c r="F116" s="19" t="str" cm="1">
        <f t="array" aca="1" ref="F116" ca="1">IFERROR(_xlfn.XLOOKUP(Selectivo6[[#This Row],[DNI]],S_S[DNI],INDIRECT("S_S["&amp;Selectivo6[[#Headers],[R1]]&amp;"]")),"60 DNC")</f>
        <v>32</v>
      </c>
      <c r="G116" s="19" t="str" cm="1">
        <f t="array" aca="1" ref="G116" ca="1">IFERROR(_xlfn.XLOOKUP(Selectivo6[[#This Row],[DNI]],S_S[DNI],INDIRECT("S_S["&amp;Selectivo6[[#Headers],[R2]]&amp;"]")),"60 DNC")</f>
        <v>31</v>
      </c>
      <c r="H116" s="19" t="str" cm="1">
        <f t="array" aca="1" ref="H116" ca="1">IFERROR(_xlfn.XLOOKUP(Selectivo6[[#This Row],[DNI]],S_S[DNI],INDIRECT("S_S["&amp;Selectivo6[[#Headers],[R3]]&amp;"]")),"60 DNC")</f>
        <v>33</v>
      </c>
      <c r="I116" s="19" t="str" cm="1">
        <f t="array" aca="1" ref="I116" ca="1">IFERROR(_xlfn.XLOOKUP(Selectivo6[[#This Row],[DNI]],S_S[DNI],INDIRECT("S_S["&amp;Selectivo6[[#Headers],[R4]]&amp;"]")),"60 DNC")</f>
        <v>32</v>
      </c>
      <c r="J116" s="19" t="str" cm="1">
        <f t="array" aca="1" ref="J116" ca="1">IFERROR(_xlfn.XLOOKUP(Selectivo6[[#This Row],[DNI]],S_S[DNI],INDIRECT("S_S["&amp;Selectivo6[[#Headers],[R5]]&amp;"]")),"60 DNC")</f>
        <v>31</v>
      </c>
      <c r="K116" s="19" t="str" cm="1">
        <f t="array" aca="1" ref="K116" ca="1">IFERROR(_xlfn.XLOOKUP(Selectivo6[[#This Row],[DNI]],S_S[DNI],INDIRECT("S_S["&amp;Selectivo6[[#Headers],[R6]]&amp;"]")),"60 DNC")</f>
        <v>32</v>
      </c>
      <c r="L116" s="19" t="str" cm="1">
        <f t="array" aca="1" ref="L116" ca="1">IFERROR(_xlfn.XLOOKUP(Selectivo6[[#This Row],[DNI]],S_S[DNI],INDIRECT("S_S["&amp;Selectivo6[[#Headers],[R7]]&amp;"]")),"60 DNC")</f>
        <v>40</v>
      </c>
      <c r="M116" s="19" t="str" cm="1">
        <f t="array" aca="1" ref="M116" ca="1">IFERROR(_xlfn.XLOOKUP(Selectivo6[[#This Row],[DNI]],S_S[DNI],INDIRECT("S_S["&amp;Selectivo6[[#Headers],[R8]]&amp;"]")),"60 DNC")</f>
        <v>37</v>
      </c>
      <c r="N116" s="19" t="str" cm="1">
        <f t="array" aca="1" ref="N116" ca="1">IFERROR(_xlfn.XLOOKUP(Selectivo6[[#This Row],[DNI]],S_S[DNI],INDIRECT("S_S["&amp;Selectivo6[[#Headers],[R9]]&amp;"]")),"60 DNC")</f>
        <v>38</v>
      </c>
      <c r="O116" s="20" t="str">
        <f>IFERROR(_xlfn.XLOOKUP(Selectivo6[[#This Row],[DNI]],_VF2026[DNI],_VF2026[R1]),"65 DNC")</f>
        <v>65 UFD</v>
      </c>
      <c r="P116" s="20" t="str">
        <f>IFERROR(_xlfn.XLOOKUP(Selectivo6[[#This Row],[DNI]],_VF2026[DNI],_VF2026[R2]),"65 DNC")</f>
        <v>65 BFD</v>
      </c>
      <c r="Q116" s="19" t="str">
        <f>IFERROR(_xlfn.XLOOKUP(Selectivo6[[#This Row],[DNI]],_VF2026[DNI],_VF2026[R3]),"65 DNC")</f>
        <v>33</v>
      </c>
      <c r="R116" s="19" t="str">
        <f>IFERROR(_xlfn.XLOOKUP(Selectivo6[[#This Row],[DNI]],_VF2026[DNI],_VF2026[R4]),"65 DNC")</f>
        <v>43</v>
      </c>
      <c r="S116" s="19" t="str">
        <f>IFERROR(_xlfn.XLOOKUP(Selectivo6[[#This Row],[DNI]],_VF2026[DNI],_VF2026[R5]),"65 DNC")</f>
        <v>52</v>
      </c>
      <c r="T116" s="19" t="str">
        <f>IFERROR(_xlfn.XLOOKUP(Selectivo6[[#This Row],[DNI]],_VF2026[DNI],_VF2026[R6]),"65 DNC")</f>
        <v>36</v>
      </c>
      <c r="U116" s="19" t="str">
        <f>IFERROR(_xlfn.XLOOKUP(Selectivo6[[#This Row],[DNI]],_VF2026[DNI],_VF2026[R7]),"65 DNC")</f>
        <v>37</v>
      </c>
      <c r="V116" s="19" t="str">
        <f>IFERROR(_xlfn.XLOOKUP(Selectivo6[[#This Row],[DNI]],_VF2026[DNI],_VF2026[R8]),"65 DNC")</f>
        <v>9</v>
      </c>
      <c r="W116" s="19"/>
      <c r="X116" s="19"/>
      <c r="Y116" s="19"/>
      <c r="Z116" s="19"/>
      <c r="AA116" s="19"/>
      <c r="AB116" s="8" cm="1">
        <f t="array" aca="1" ref="AB116" ca="1">SUM(IFERROR(VALUE(LEFT(Regatas, FIND(" ",Regatas&amp; " ") - 1)), 0))</f>
        <v>646</v>
      </c>
      <c r="AC116" s="9" cm="1">
        <f t="array" aca="1" ref="AC11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516</v>
      </c>
      <c r="AD116" s="6" cm="1">
        <f t="array" aca="1" ref="AD116" ca="1">SMALL(_xlfn._xlws.FILTER(RegatasN, RegatasN&lt;&gt;0), 1)</f>
        <v>9</v>
      </c>
      <c r="AE116" s="6" cm="1">
        <f t="array" aca="1" ref="AE116" ca="1">SMALL(_xlfn._xlws.FILTER(RegatasN, RegatasN&lt;&gt;0), 2)</f>
        <v>31</v>
      </c>
      <c r="AF116" s="6" cm="1">
        <f t="array" aca="1" ref="AF116" ca="1">SMALL(_xlfn._xlws.FILTER(RegatasN, RegatasN&lt;&gt;0), 3)</f>
        <v>31</v>
      </c>
      <c r="AG116" s="5" cm="1">
        <f t="array" aca="1" ref="AG116" ca="1">COUNTIF(Regatas,SMALL(_xlfn._xlws.FILTER(RegatasN, RegatasN&lt;&gt;0), 1))</f>
        <v>1</v>
      </c>
      <c r="AH116" s="6" t="e" cm="1">
        <f t="array" ref="AH11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7" spans="1:34">
      <c r="A117">
        <v>51269548</v>
      </c>
      <c r="B117" s="10">
        <f>ROW()-ROW(Selectivo6[[#Headers],[Pos]])</f>
        <v>111</v>
      </c>
      <c r="C117" s="5">
        <v>4239</v>
      </c>
      <c r="D117" t="s">
        <v>470</v>
      </c>
      <c r="E117" t="s">
        <v>5</v>
      </c>
      <c r="F117" s="19" t="str" cm="1">
        <f t="array" aca="1" ref="F117" ca="1">IFERROR(_xlfn.XLOOKUP(Selectivo6[[#This Row],[DNI]],S_S[DNI],INDIRECT("S_S["&amp;Selectivo6[[#Headers],[R1]]&amp;"]")),"60 DNC")</f>
        <v>46</v>
      </c>
      <c r="G117" s="19" t="str" cm="1">
        <f t="array" aca="1" ref="G117" ca="1">IFERROR(_xlfn.XLOOKUP(Selectivo6[[#This Row],[DNI]],S_S[DNI],INDIRECT("S_S["&amp;Selectivo6[[#Headers],[R2]]&amp;"]")),"60 DNC")</f>
        <v>40</v>
      </c>
      <c r="H117" s="19" t="str" cm="1">
        <f t="array" aca="1" ref="H117" ca="1">IFERROR(_xlfn.XLOOKUP(Selectivo6[[#This Row],[DNI]],S_S[DNI],INDIRECT("S_S["&amp;Selectivo6[[#Headers],[R3]]&amp;"]")),"60 DNC")</f>
        <v>36</v>
      </c>
      <c r="I117" s="19" t="str" cm="1">
        <f t="array" aca="1" ref="I117" ca="1">IFERROR(_xlfn.XLOOKUP(Selectivo6[[#This Row],[DNI]],S_S[DNI],INDIRECT("S_S["&amp;Selectivo6[[#Headers],[R4]]&amp;"]")),"60 DNC")</f>
        <v>42</v>
      </c>
      <c r="J117" s="20" t="str" cm="1">
        <f t="array" aca="1" ref="J117" ca="1">IFERROR(_xlfn.XLOOKUP(Selectivo6[[#This Row],[DNI]],S_S[DNI],INDIRECT("S_S["&amp;Selectivo6[[#Headers],[R5]]&amp;"]")),"60 DNC")</f>
        <v>60 BFD</v>
      </c>
      <c r="K117" s="19" t="str" cm="1">
        <f t="array" aca="1" ref="K117" ca="1">IFERROR(_xlfn.XLOOKUP(Selectivo6[[#This Row],[DNI]],S_S[DNI],INDIRECT("S_S["&amp;Selectivo6[[#Headers],[R6]]&amp;"]")),"60 DNC")</f>
        <v>43</v>
      </c>
      <c r="L117" s="19" t="str" cm="1">
        <f t="array" aca="1" ref="L117" ca="1">IFERROR(_xlfn.XLOOKUP(Selectivo6[[#This Row],[DNI]],S_S[DNI],INDIRECT("S_S["&amp;Selectivo6[[#Headers],[R7]]&amp;"]")),"60 DNC")</f>
        <v>37</v>
      </c>
      <c r="M117" s="19" t="str" cm="1">
        <f t="array" aca="1" ref="M117" ca="1">IFERROR(_xlfn.XLOOKUP(Selectivo6[[#This Row],[DNI]],S_S[DNI],INDIRECT("S_S["&amp;Selectivo6[[#Headers],[R8]]&amp;"]")),"60 DNC")</f>
        <v>28</v>
      </c>
      <c r="N117" s="19" t="str" cm="1">
        <f t="array" aca="1" ref="N117" ca="1">IFERROR(_xlfn.XLOOKUP(Selectivo6[[#This Row],[DNI]],S_S[DNI],INDIRECT("S_S["&amp;Selectivo6[[#Headers],[R9]]&amp;"]")),"60 DNC")</f>
        <v>31</v>
      </c>
      <c r="O117" s="20" t="str">
        <f>IFERROR(_xlfn.XLOOKUP(Selectivo6[[#This Row],[DNI]],_VF2026[DNI],_VF2026[R1]),"65 DNC")</f>
        <v>65 BFD</v>
      </c>
      <c r="P117" s="19" t="str">
        <f>IFERROR(_xlfn.XLOOKUP(Selectivo6[[#This Row],[DNI]],_VF2026[DNI],_VF2026[R2]),"65 DNC")</f>
        <v>28</v>
      </c>
      <c r="Q117" s="19" t="str">
        <f>IFERROR(_xlfn.XLOOKUP(Selectivo6[[#This Row],[DNI]],_VF2026[DNI],_VF2026[R3]),"65 DNC")</f>
        <v>26</v>
      </c>
      <c r="R117" s="19" t="str">
        <f>IFERROR(_xlfn.XLOOKUP(Selectivo6[[#This Row],[DNI]],_VF2026[DNI],_VF2026[R4]),"65 DNC")</f>
        <v>33</v>
      </c>
      <c r="S117" s="19" t="str">
        <f>IFERROR(_xlfn.XLOOKUP(Selectivo6[[#This Row],[DNI]],_VF2026[DNI],_VF2026[R5]),"65 DNC")</f>
        <v>38</v>
      </c>
      <c r="T117" s="19" t="str">
        <f>IFERROR(_xlfn.XLOOKUP(Selectivo6[[#This Row],[DNI]],_VF2026[DNI],_VF2026[R6]),"65 DNC")</f>
        <v>13</v>
      </c>
      <c r="U117" s="19" t="str">
        <f>IFERROR(_xlfn.XLOOKUP(Selectivo6[[#This Row],[DNI]],_VF2026[DNI],_VF2026[R7]),"65 DNC")</f>
        <v>34</v>
      </c>
      <c r="V117" s="19" t="str">
        <f>IFERROR(_xlfn.XLOOKUP(Selectivo6[[#This Row],[DNI]],_VF2026[DNI],_VF2026[R8]),"65 DNC")</f>
        <v>51</v>
      </c>
      <c r="W117" s="19"/>
      <c r="X117" s="19"/>
      <c r="Y117" s="19"/>
      <c r="Z117" s="19"/>
      <c r="AA117" s="19"/>
      <c r="AB117" s="8" cm="1">
        <f t="array" aca="1" ref="AB117" ca="1">SUM(IFERROR(VALUE(LEFT(Regatas, FIND(" ",Regatas&amp; " ") - 1)), 0))</f>
        <v>651</v>
      </c>
      <c r="AC117" s="9" cm="1">
        <f t="array" aca="1" ref="AC11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526</v>
      </c>
      <c r="AD117" s="6" cm="1">
        <f t="array" aca="1" ref="AD117" ca="1">SMALL(_xlfn._xlws.FILTER(RegatasN, RegatasN&lt;&gt;0), 1)</f>
        <v>13</v>
      </c>
      <c r="AE117" s="6" cm="1">
        <f t="array" aca="1" ref="AE117" ca="1">SMALL(_xlfn._xlws.FILTER(RegatasN, RegatasN&lt;&gt;0), 2)</f>
        <v>26</v>
      </c>
      <c r="AF117" s="6" cm="1">
        <f t="array" aca="1" ref="AF117" ca="1">SMALL(_xlfn._xlws.FILTER(RegatasN, RegatasN&lt;&gt;0), 3)</f>
        <v>28</v>
      </c>
      <c r="AG117" s="5" cm="1">
        <f t="array" aca="1" ref="AG117" ca="1">COUNTIF(Regatas,SMALL(_xlfn._xlws.FILTER(RegatasN, RegatasN&lt;&gt;0), 1))</f>
        <v>1</v>
      </c>
      <c r="AH117" s="6" t="e" cm="1">
        <f t="array" ref="AH11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8" spans="1:34">
      <c r="A118">
        <v>53801029</v>
      </c>
      <c r="B118" s="10">
        <f>ROW()-ROW(Selectivo6[[#Headers],[Pos]])</f>
        <v>112</v>
      </c>
      <c r="C118" s="5">
        <v>3989</v>
      </c>
      <c r="D118" t="s">
        <v>402</v>
      </c>
      <c r="E118" t="s">
        <v>8</v>
      </c>
      <c r="F118" s="19" t="str" cm="1">
        <f t="array" aca="1" ref="F118" ca="1">IFERROR(_xlfn.XLOOKUP(Selectivo6[[#This Row],[DNI]],S_S[DNI],INDIRECT("S_S["&amp;Selectivo6[[#Headers],[R1]]&amp;"]")),"60 DNC")</f>
        <v>37</v>
      </c>
      <c r="G118" s="19" t="str" cm="1">
        <f t="array" aca="1" ref="G118" ca="1">IFERROR(_xlfn.XLOOKUP(Selectivo6[[#This Row],[DNI]],S_S[DNI],INDIRECT("S_S["&amp;Selectivo6[[#Headers],[R2]]&amp;"]")),"60 DNC")</f>
        <v>25</v>
      </c>
      <c r="H118" s="19" t="str" cm="1">
        <f t="array" aca="1" ref="H118" ca="1">IFERROR(_xlfn.XLOOKUP(Selectivo6[[#This Row],[DNI]],S_S[DNI],INDIRECT("S_S["&amp;Selectivo6[[#Headers],[R3]]&amp;"]")),"60 DNC")</f>
        <v>36</v>
      </c>
      <c r="I118" s="19" t="str" cm="1">
        <f t="array" aca="1" ref="I118" ca="1">IFERROR(_xlfn.XLOOKUP(Selectivo6[[#This Row],[DNI]],S_S[DNI],INDIRECT("S_S["&amp;Selectivo6[[#Headers],[R4]]&amp;"]")),"60 DNC")</f>
        <v>60 BFD</v>
      </c>
      <c r="J118" s="19" t="str" cm="1">
        <f t="array" aca="1" ref="J118" ca="1">IFERROR(_xlfn.XLOOKUP(Selectivo6[[#This Row],[DNI]],S_S[DNI],INDIRECT("S_S["&amp;Selectivo6[[#Headers],[R5]]&amp;"]")),"60 DNC")</f>
        <v>30</v>
      </c>
      <c r="K118" s="19" t="str" cm="1">
        <f t="array" aca="1" ref="K118" ca="1">IFERROR(_xlfn.XLOOKUP(Selectivo6[[#This Row],[DNI]],S_S[DNI],INDIRECT("S_S["&amp;Selectivo6[[#Headers],[R6]]&amp;"]")),"60 DNC")</f>
        <v>34</v>
      </c>
      <c r="L118" s="19" t="str" cm="1">
        <f t="array" aca="1" ref="L118" ca="1">IFERROR(_xlfn.XLOOKUP(Selectivo6[[#This Row],[DNI]],S_S[DNI],INDIRECT("S_S["&amp;Selectivo6[[#Headers],[R7]]&amp;"]")),"60 DNC")</f>
        <v>29</v>
      </c>
      <c r="M118" s="19" t="str" cm="1">
        <f t="array" aca="1" ref="M118" ca="1">IFERROR(_xlfn.XLOOKUP(Selectivo6[[#This Row],[DNI]],S_S[DNI],INDIRECT("S_S["&amp;Selectivo6[[#Headers],[R8]]&amp;"]")),"60 DNC")</f>
        <v>18</v>
      </c>
      <c r="N118" s="19" t="str" cm="1">
        <f t="array" aca="1" ref="N118" ca="1">IFERROR(_xlfn.XLOOKUP(Selectivo6[[#This Row],[DNI]],S_S[DNI],INDIRECT("S_S["&amp;Selectivo6[[#Headers],[R9]]&amp;"]")),"60 DNC")</f>
        <v>39</v>
      </c>
      <c r="O118" s="20" t="str">
        <f>IFERROR(_xlfn.XLOOKUP(Selectivo6[[#This Row],[DNI]],_VF2026[DNI],_VF2026[R1]),"65 DNC")</f>
        <v>65 BFD</v>
      </c>
      <c r="P118" s="19" t="str">
        <f>IFERROR(_xlfn.XLOOKUP(Selectivo6[[#This Row],[DNI]],_VF2026[DNI],_VF2026[R2]),"65 DNC")</f>
        <v>33</v>
      </c>
      <c r="Q118" s="19" t="str">
        <f>IFERROR(_xlfn.XLOOKUP(Selectivo6[[#This Row],[DNI]],_VF2026[DNI],_VF2026[R3]),"65 DNC")</f>
        <v>34</v>
      </c>
      <c r="R118" s="19" t="str">
        <f>IFERROR(_xlfn.XLOOKUP(Selectivo6[[#This Row],[DNI]],_VF2026[DNI],_VF2026[R4]),"65 DNC")</f>
        <v>46</v>
      </c>
      <c r="S118" s="19" t="str">
        <f>IFERROR(_xlfn.XLOOKUP(Selectivo6[[#This Row],[DNI]],_VF2026[DNI],_VF2026[R5]),"65 DNC")</f>
        <v>41</v>
      </c>
      <c r="T118" s="19" t="str">
        <f>IFERROR(_xlfn.XLOOKUP(Selectivo6[[#This Row],[DNI]],_VF2026[DNI],_VF2026[R6]),"65 DNC")</f>
        <v>38</v>
      </c>
      <c r="U118" s="19" t="str">
        <f>IFERROR(_xlfn.XLOOKUP(Selectivo6[[#This Row],[DNI]],_VF2026[DNI],_VF2026[R7]),"65 DNC")</f>
        <v>29</v>
      </c>
      <c r="V118" s="20" t="str">
        <f>IFERROR(_xlfn.XLOOKUP(Selectivo6[[#This Row],[DNI]],_VF2026[DNI],_VF2026[R8]),"65 DNC")</f>
        <v>65 BFD</v>
      </c>
      <c r="W118" s="19"/>
      <c r="X118" s="19"/>
      <c r="Y118" s="19"/>
      <c r="Z118" s="19"/>
      <c r="AA118" s="19"/>
      <c r="AB118" s="8" cm="1">
        <f t="array" aca="1" ref="AB118" ca="1">SUM(IFERROR(VALUE(LEFT(Regatas, FIND(" ",Regatas&amp; " ") - 1)), 0))</f>
        <v>659</v>
      </c>
      <c r="AC118" s="9" cm="1">
        <f t="array" aca="1" ref="AC11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529</v>
      </c>
      <c r="AD118" s="6" cm="1">
        <f t="array" aca="1" ref="AD118" ca="1">SMALL(_xlfn._xlws.FILTER(RegatasN, RegatasN&lt;&gt;0), 1)</f>
        <v>18</v>
      </c>
      <c r="AE118" s="6" cm="1">
        <f t="array" aca="1" ref="AE118" ca="1">SMALL(_xlfn._xlws.FILTER(RegatasN, RegatasN&lt;&gt;0), 2)</f>
        <v>25</v>
      </c>
      <c r="AF118" s="6" cm="1">
        <f t="array" aca="1" ref="AF118" ca="1">SMALL(_xlfn._xlws.FILTER(RegatasN, RegatasN&lt;&gt;0), 3)</f>
        <v>29</v>
      </c>
      <c r="AG118" s="5" cm="1">
        <f t="array" aca="1" ref="AG118" ca="1">COUNTIF(Regatas,SMALL(_xlfn._xlws.FILTER(RegatasN, RegatasN&lt;&gt;0), 1))</f>
        <v>1</v>
      </c>
      <c r="AH118" s="6" t="e" cm="1">
        <f t="array" ref="AH11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19" spans="1:34">
      <c r="A119">
        <v>52454489</v>
      </c>
      <c r="B119" s="10">
        <f>ROW()-ROW(Selectivo6[[#Headers],[Pos]])</f>
        <v>113</v>
      </c>
      <c r="C119" s="5">
        <v>4130</v>
      </c>
      <c r="D119" t="s">
        <v>392</v>
      </c>
      <c r="E119" t="s">
        <v>5</v>
      </c>
      <c r="F119" s="19" t="str" cm="1">
        <f t="array" aca="1" ref="F119" ca="1">IFERROR(_xlfn.XLOOKUP(Selectivo6[[#This Row],[DNI]],S_S[DNI],INDIRECT("S_S["&amp;Selectivo6[[#Headers],[R1]]&amp;"]")),"60 DNC")</f>
        <v>11</v>
      </c>
      <c r="G119" s="19" t="str" cm="1">
        <f t="array" aca="1" ref="G119" ca="1">IFERROR(_xlfn.XLOOKUP(Selectivo6[[#This Row],[DNI]],S_S[DNI],INDIRECT("S_S["&amp;Selectivo6[[#Headers],[R2]]&amp;"]")),"60 DNC")</f>
        <v>20</v>
      </c>
      <c r="H119" s="19" t="str" cm="1">
        <f t="array" aca="1" ref="H119" ca="1">IFERROR(_xlfn.XLOOKUP(Selectivo6[[#This Row],[DNI]],S_S[DNI],INDIRECT("S_S["&amp;Selectivo6[[#Headers],[R3]]&amp;"]")),"60 DNC")</f>
        <v>30</v>
      </c>
      <c r="I119" s="19" t="str" cm="1">
        <f t="array" aca="1" ref="I119" ca="1">IFERROR(_xlfn.XLOOKUP(Selectivo6[[#This Row],[DNI]],S_S[DNI],INDIRECT("S_S["&amp;Selectivo6[[#Headers],[R4]]&amp;"]")),"60 DNC")</f>
        <v>60 BFD</v>
      </c>
      <c r="J119" s="19" t="str" cm="1">
        <f t="array" aca="1" ref="J119" ca="1">IFERROR(_xlfn.XLOOKUP(Selectivo6[[#This Row],[DNI]],S_S[DNI],INDIRECT("S_S["&amp;Selectivo6[[#Headers],[R5]]&amp;"]")),"60 DNC")</f>
        <v>18</v>
      </c>
      <c r="K119" s="19" t="str" cm="1">
        <f t="array" aca="1" ref="K119" ca="1">IFERROR(_xlfn.XLOOKUP(Selectivo6[[#This Row],[DNI]],S_S[DNI],INDIRECT("S_S["&amp;Selectivo6[[#Headers],[R6]]&amp;"]")),"60 DNC")</f>
        <v>41</v>
      </c>
      <c r="L119" s="19" t="str" cm="1">
        <f t="array" aca="1" ref="L119" ca="1">IFERROR(_xlfn.XLOOKUP(Selectivo6[[#This Row],[DNI]],S_S[DNI],INDIRECT("S_S["&amp;Selectivo6[[#Headers],[R7]]&amp;"]")),"60 DNC")</f>
        <v>38</v>
      </c>
      <c r="M119" s="19" t="str" cm="1">
        <f t="array" aca="1" ref="M119" ca="1">IFERROR(_xlfn.XLOOKUP(Selectivo6[[#This Row],[DNI]],S_S[DNI],INDIRECT("S_S["&amp;Selectivo6[[#Headers],[R8]]&amp;"]")),"60 DNC")</f>
        <v>36</v>
      </c>
      <c r="N119" s="19" t="str" cm="1">
        <f t="array" aca="1" ref="N119" ca="1">IFERROR(_xlfn.XLOOKUP(Selectivo6[[#This Row],[DNI]],S_S[DNI],INDIRECT("S_S["&amp;Selectivo6[[#Headers],[R9]]&amp;"]")),"60 DNC")</f>
        <v>29</v>
      </c>
      <c r="O119" s="19" t="str">
        <f>IFERROR(_xlfn.XLOOKUP(Selectivo6[[#This Row],[DNI]],_VF2026[DNI],_VF2026[R1]),"65 DNC")</f>
        <v>36</v>
      </c>
      <c r="P119" s="19" t="str">
        <f>IFERROR(_xlfn.XLOOKUP(Selectivo6[[#This Row],[DNI]],_VF2026[DNI],_VF2026[R2]),"65 DNC")</f>
        <v>39</v>
      </c>
      <c r="Q119" s="19" t="str">
        <f>IFERROR(_xlfn.XLOOKUP(Selectivo6[[#This Row],[DNI]],_VF2026[DNI],_VF2026[R3]),"65 DNC")</f>
        <v>39</v>
      </c>
      <c r="R119" s="19" t="str">
        <f>IFERROR(_xlfn.XLOOKUP(Selectivo6[[#This Row],[DNI]],_VF2026[DNI],_VF2026[R4]),"65 DNC")</f>
        <v>36</v>
      </c>
      <c r="S119" s="19" t="str">
        <f>IFERROR(_xlfn.XLOOKUP(Selectivo6[[#This Row],[DNI]],_VF2026[DNI],_VF2026[R5]),"65 DNC")</f>
        <v>35</v>
      </c>
      <c r="T119" s="20" t="str">
        <f>IFERROR(_xlfn.XLOOKUP(Selectivo6[[#This Row],[DNI]],_VF2026[DNI],_VF2026[R6]),"65 DNC")</f>
        <v>65 DNC</v>
      </c>
      <c r="U119" s="20" t="str">
        <f>IFERROR(_xlfn.XLOOKUP(Selectivo6[[#This Row],[DNI]],_VF2026[DNI],_VF2026[R7]),"65 DNC")</f>
        <v>65 DNC</v>
      </c>
      <c r="V119" s="19" t="str">
        <f>IFERROR(_xlfn.XLOOKUP(Selectivo6[[#This Row],[DNI]],_VF2026[DNI],_VF2026[R8]),"65 DNC")</f>
        <v>65 DNC</v>
      </c>
      <c r="W119" s="19"/>
      <c r="X119" s="19"/>
      <c r="Y119" s="19"/>
      <c r="Z119" s="19"/>
      <c r="AA119" s="19"/>
      <c r="AB119" s="8" cm="1">
        <f t="array" aca="1" ref="AB119" ca="1">SUM(IFERROR(VALUE(LEFT(Regatas, FIND(" ",Regatas&amp; " ") - 1)), 0))</f>
        <v>663</v>
      </c>
      <c r="AC119" s="9" cm="1">
        <f t="array" aca="1" ref="AC11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533</v>
      </c>
      <c r="AD119" s="6" cm="1">
        <f t="array" aca="1" ref="AD119" ca="1">SMALL(_xlfn._xlws.FILTER(RegatasN, RegatasN&lt;&gt;0), 1)</f>
        <v>11</v>
      </c>
      <c r="AE119" s="6" cm="1">
        <f t="array" aca="1" ref="AE119" ca="1">SMALL(_xlfn._xlws.FILTER(RegatasN, RegatasN&lt;&gt;0), 2)</f>
        <v>18</v>
      </c>
      <c r="AF119" s="6" cm="1">
        <f t="array" aca="1" ref="AF119" ca="1">SMALL(_xlfn._xlws.FILTER(RegatasN, RegatasN&lt;&gt;0), 3)</f>
        <v>20</v>
      </c>
      <c r="AG119" s="5" cm="1">
        <f t="array" aca="1" ref="AG119" ca="1">COUNTIF(Regatas,SMALL(_xlfn._xlws.FILTER(RegatasN, RegatasN&lt;&gt;0), 1))</f>
        <v>1</v>
      </c>
      <c r="AH119" s="6" t="e" cm="1">
        <f t="array" ref="AH11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0" spans="1:34">
      <c r="A120">
        <v>53240593</v>
      </c>
      <c r="B120" s="10">
        <f>ROW()-ROW(Selectivo6[[#Headers],[Pos]])</f>
        <v>114</v>
      </c>
      <c r="C120" s="5">
        <v>3969</v>
      </c>
      <c r="D120" t="s">
        <v>377</v>
      </c>
      <c r="E120" t="s">
        <v>9</v>
      </c>
      <c r="F120" s="19" t="str" cm="1">
        <f t="array" aca="1" ref="F120" ca="1">IFERROR(_xlfn.XLOOKUP(Selectivo6[[#This Row],[DNI]],S_S[DNI],INDIRECT("S_S["&amp;Selectivo6[[#Headers],[R1]]&amp;"]")),"60 DNC")</f>
        <v>23</v>
      </c>
      <c r="G120" s="19" t="str" cm="1">
        <f t="array" aca="1" ref="G120" ca="1">IFERROR(_xlfn.XLOOKUP(Selectivo6[[#This Row],[DNI]],S_S[DNI],INDIRECT("S_S["&amp;Selectivo6[[#Headers],[R2]]&amp;"]")),"60 DNC")</f>
        <v>30</v>
      </c>
      <c r="H120" s="19" t="str" cm="1">
        <f t="array" aca="1" ref="H120" ca="1">IFERROR(_xlfn.XLOOKUP(Selectivo6[[#This Row],[DNI]],S_S[DNI],INDIRECT("S_S["&amp;Selectivo6[[#Headers],[R3]]&amp;"]")),"60 DNC")</f>
        <v>32</v>
      </c>
      <c r="I120" s="19" t="str" cm="1">
        <f t="array" aca="1" ref="I120" ca="1">IFERROR(_xlfn.XLOOKUP(Selectivo6[[#This Row],[DNI]],S_S[DNI],INDIRECT("S_S["&amp;Selectivo6[[#Headers],[R4]]&amp;"]")),"60 DNC")</f>
        <v>30</v>
      </c>
      <c r="J120" s="19" t="str" cm="1">
        <f t="array" aca="1" ref="J120" ca="1">IFERROR(_xlfn.XLOOKUP(Selectivo6[[#This Row],[DNI]],S_S[DNI],INDIRECT("S_S["&amp;Selectivo6[[#Headers],[R5]]&amp;"]")),"60 DNC")</f>
        <v>4</v>
      </c>
      <c r="K120" s="19" t="str" cm="1">
        <f t="array" aca="1" ref="K120" ca="1">IFERROR(_xlfn.XLOOKUP(Selectivo6[[#This Row],[DNI]],S_S[DNI],INDIRECT("S_S["&amp;Selectivo6[[#Headers],[R6]]&amp;"]")),"60 DNC")</f>
        <v>28</v>
      </c>
      <c r="L120" s="19" t="str" cm="1">
        <f t="array" aca="1" ref="L120" ca="1">IFERROR(_xlfn.XLOOKUP(Selectivo6[[#This Row],[DNI]],S_S[DNI],INDIRECT("S_S["&amp;Selectivo6[[#Headers],[R7]]&amp;"]")),"60 DNC")</f>
        <v>43</v>
      </c>
      <c r="M120" s="19" t="str" cm="1">
        <f t="array" aca="1" ref="M120" ca="1">IFERROR(_xlfn.XLOOKUP(Selectivo6[[#This Row],[DNI]],S_S[DNI],INDIRECT("S_S["&amp;Selectivo6[[#Headers],[R8]]&amp;"]")),"60 DNC")</f>
        <v>25</v>
      </c>
      <c r="N120" s="19" t="str" cm="1">
        <f t="array" aca="1" ref="N120" ca="1">IFERROR(_xlfn.XLOOKUP(Selectivo6[[#This Row],[DNI]],S_S[DNI],INDIRECT("S_S["&amp;Selectivo6[[#Headers],[R9]]&amp;"]")),"60 DNC")</f>
        <v>60 DNC</v>
      </c>
      <c r="O120" s="20" t="str">
        <f>IFERROR(_xlfn.XLOOKUP(Selectivo6[[#This Row],[DNI]],_VF2026[DNI],_VF2026[R1]),"65 DNC")</f>
        <v>65 BFD</v>
      </c>
      <c r="P120" s="19" t="str">
        <f>IFERROR(_xlfn.XLOOKUP(Selectivo6[[#This Row],[DNI]],_VF2026[DNI],_VF2026[R2]),"65 DNC")</f>
        <v>56</v>
      </c>
      <c r="Q120" s="19" t="str">
        <f>IFERROR(_xlfn.XLOOKUP(Selectivo6[[#This Row],[DNI]],_VF2026[DNI],_VF2026[R3]),"65 DNC")</f>
        <v>58</v>
      </c>
      <c r="R120" s="19" t="str">
        <f>IFERROR(_xlfn.XLOOKUP(Selectivo6[[#This Row],[DNI]],_VF2026[DNI],_VF2026[R4]),"65 DNC")</f>
        <v>50</v>
      </c>
      <c r="S120" s="19" t="str">
        <f>IFERROR(_xlfn.XLOOKUP(Selectivo6[[#This Row],[DNI]],_VF2026[DNI],_VF2026[R5]),"65 DNC")</f>
        <v>43</v>
      </c>
      <c r="T120" s="19" t="str">
        <f>IFERROR(_xlfn.XLOOKUP(Selectivo6[[#This Row],[DNI]],_VF2026[DNI],_VF2026[R6]),"65 DNC")</f>
        <v>14</v>
      </c>
      <c r="U120" s="19" t="str">
        <f>IFERROR(_xlfn.XLOOKUP(Selectivo6[[#This Row],[DNI]],_VF2026[DNI],_VF2026[R7]),"65 DNC")</f>
        <v>38</v>
      </c>
      <c r="V120" s="20" t="str">
        <f>IFERROR(_xlfn.XLOOKUP(Selectivo6[[#This Row],[DNI]],_VF2026[DNI],_VF2026[R8]),"65 DNC")</f>
        <v>65 BFD</v>
      </c>
      <c r="W120" s="19"/>
      <c r="X120" s="19"/>
      <c r="Y120" s="19"/>
      <c r="Z120" s="19"/>
      <c r="AA120" s="19"/>
      <c r="AB120" s="8" cm="1">
        <f t="array" aca="1" ref="AB120" ca="1">SUM(IFERROR(VALUE(LEFT(Regatas, FIND(" ",Regatas&amp; " ") - 1)), 0))</f>
        <v>664</v>
      </c>
      <c r="AC120" s="9" cm="1">
        <f t="array" aca="1" ref="AC12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534</v>
      </c>
      <c r="AD120" s="6" cm="1">
        <f t="array" aca="1" ref="AD120" ca="1">SMALL(_xlfn._xlws.FILTER(RegatasN, RegatasN&lt;&gt;0), 1)</f>
        <v>4</v>
      </c>
      <c r="AE120" s="6" cm="1">
        <f t="array" aca="1" ref="AE120" ca="1">SMALL(_xlfn._xlws.FILTER(RegatasN, RegatasN&lt;&gt;0), 2)</f>
        <v>14</v>
      </c>
      <c r="AF120" s="6" cm="1">
        <f t="array" aca="1" ref="AF120" ca="1">SMALL(_xlfn._xlws.FILTER(RegatasN, RegatasN&lt;&gt;0), 3)</f>
        <v>23</v>
      </c>
      <c r="AG120" s="5" cm="1">
        <f t="array" aca="1" ref="AG120" ca="1">COUNTIF(Regatas,SMALL(_xlfn._xlws.FILTER(RegatasN, RegatasN&lt;&gt;0), 1))</f>
        <v>1</v>
      </c>
      <c r="AH120" s="6" t="e" cm="1">
        <f t="array" ref="AH12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1" spans="1:34">
      <c r="A121">
        <v>52958381</v>
      </c>
      <c r="B121" s="10">
        <f>ROW()-ROW(Selectivo6[[#Headers],[Pos]])</f>
        <v>115</v>
      </c>
      <c r="C121" s="5">
        <v>4098</v>
      </c>
      <c r="D121" t="s">
        <v>422</v>
      </c>
      <c r="E121" t="s">
        <v>67</v>
      </c>
      <c r="F121" s="19" t="str" cm="1">
        <f t="array" aca="1" ref="F121" ca="1">IFERROR(_xlfn.XLOOKUP(Selectivo6[[#This Row],[DNI]],S_S[DNI],INDIRECT("S_S["&amp;Selectivo6[[#Headers],[R1]]&amp;"]")),"60 DNC")</f>
        <v>23</v>
      </c>
      <c r="G121" s="19" t="str" cm="1">
        <f t="array" aca="1" ref="G121" ca="1">IFERROR(_xlfn.XLOOKUP(Selectivo6[[#This Row],[DNI]],S_S[DNI],INDIRECT("S_S["&amp;Selectivo6[[#Headers],[R2]]&amp;"]")),"60 DNC")</f>
        <v>17</v>
      </c>
      <c r="H121" s="19" t="str" cm="1">
        <f t="array" aca="1" ref="H121" ca="1">IFERROR(_xlfn.XLOOKUP(Selectivo6[[#This Row],[DNI]],S_S[DNI],INDIRECT("S_S["&amp;Selectivo6[[#Headers],[R3]]&amp;"]")),"60 DNC")</f>
        <v>43</v>
      </c>
      <c r="I121" s="19" t="str" cm="1">
        <f t="array" aca="1" ref="I121" ca="1">IFERROR(_xlfn.XLOOKUP(Selectivo6[[#This Row],[DNI]],S_S[DNI],INDIRECT("S_S["&amp;Selectivo6[[#Headers],[R4]]&amp;"]")),"60 DNC")</f>
        <v>60 BFD</v>
      </c>
      <c r="J121" s="19" t="str" cm="1">
        <f t="array" aca="1" ref="J121" ca="1">IFERROR(_xlfn.XLOOKUP(Selectivo6[[#This Row],[DNI]],S_S[DNI],INDIRECT("S_S["&amp;Selectivo6[[#Headers],[R5]]&amp;"]")),"60 DNC")</f>
        <v>40</v>
      </c>
      <c r="K121" s="19" t="str" cm="1">
        <f t="array" aca="1" ref="K121" ca="1">IFERROR(_xlfn.XLOOKUP(Selectivo6[[#This Row],[DNI]],S_S[DNI],INDIRECT("S_S["&amp;Selectivo6[[#Headers],[R6]]&amp;"]")),"60 DNC")</f>
        <v>42</v>
      </c>
      <c r="L121" s="19" t="str" cm="1">
        <f t="array" aca="1" ref="L121" ca="1">IFERROR(_xlfn.XLOOKUP(Selectivo6[[#This Row],[DNI]],S_S[DNI],INDIRECT("S_S["&amp;Selectivo6[[#Headers],[R7]]&amp;"]")),"60 DNC")</f>
        <v>36</v>
      </c>
      <c r="M121" s="19" t="str" cm="1">
        <f t="array" aca="1" ref="M121" ca="1">IFERROR(_xlfn.XLOOKUP(Selectivo6[[#This Row],[DNI]],S_S[DNI],INDIRECT("S_S["&amp;Selectivo6[[#Headers],[R8]]&amp;"]")),"60 DNC")</f>
        <v>35</v>
      </c>
      <c r="N121" s="19" t="str" cm="1">
        <f t="array" aca="1" ref="N121" ca="1">IFERROR(_xlfn.XLOOKUP(Selectivo6[[#This Row],[DNI]],S_S[DNI],INDIRECT("S_S["&amp;Selectivo6[[#Headers],[R9]]&amp;"]")),"60 DNC")</f>
        <v>22</v>
      </c>
      <c r="O121" s="20" t="str">
        <f>IFERROR(_xlfn.XLOOKUP(Selectivo6[[#This Row],[DNI]],_VF2026[DNI],_VF2026[R1]),"65 DNC")</f>
        <v>65 BFD</v>
      </c>
      <c r="P121" s="20" t="str">
        <f>IFERROR(_xlfn.XLOOKUP(Selectivo6[[#This Row],[DNI]],_VF2026[DNI],_VF2026[R2]),"65 DNC")</f>
        <v>65 BFD</v>
      </c>
      <c r="Q121" s="19" t="str">
        <f>IFERROR(_xlfn.XLOOKUP(Selectivo6[[#This Row],[DNI]],_VF2026[DNI],_VF2026[R3]),"65 DNC")</f>
        <v>18</v>
      </c>
      <c r="R121" s="19" t="str">
        <f>IFERROR(_xlfn.XLOOKUP(Selectivo6[[#This Row],[DNI]],_VF2026[DNI],_VF2026[R4]),"65 DNC")</f>
        <v>20</v>
      </c>
      <c r="S121" s="19" t="str">
        <f>IFERROR(_xlfn.XLOOKUP(Selectivo6[[#This Row],[DNI]],_VF2026[DNI],_VF2026[R5]),"65 DNC")</f>
        <v>35</v>
      </c>
      <c r="T121" s="19" t="str">
        <f>IFERROR(_xlfn.XLOOKUP(Selectivo6[[#This Row],[DNI]],_VF2026[DNI],_VF2026[R6]),"65 DNC")</f>
        <v>65 DNE</v>
      </c>
      <c r="U121" s="19" t="str">
        <f>IFERROR(_xlfn.XLOOKUP(Selectivo6[[#This Row],[DNI]],_VF2026[DNI],_VF2026[R7]),"65 DNC")</f>
        <v>18</v>
      </c>
      <c r="V121" s="19" t="str">
        <f>IFERROR(_xlfn.XLOOKUP(Selectivo6[[#This Row],[DNI]],_VF2026[DNI],_VF2026[R8]),"65 DNC")</f>
        <v>65 BFD</v>
      </c>
      <c r="W121" s="19"/>
      <c r="X121" s="19"/>
      <c r="Y121" s="19"/>
      <c r="Z121" s="19"/>
      <c r="AA121" s="19"/>
      <c r="AB121" s="8" cm="1">
        <f t="array" aca="1" ref="AB121" ca="1">SUM(IFERROR(VALUE(LEFT(Regatas, FIND(" ",Regatas&amp; " ") - 1)), 0))</f>
        <v>669</v>
      </c>
      <c r="AC121" s="9" cm="1">
        <f t="array" aca="1" ref="AC12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539</v>
      </c>
      <c r="AD121" s="6" cm="1">
        <f t="array" aca="1" ref="AD121" ca="1">SMALL(_xlfn._xlws.FILTER(RegatasN, RegatasN&lt;&gt;0), 1)</f>
        <v>17</v>
      </c>
      <c r="AE121" s="6" cm="1">
        <f t="array" aca="1" ref="AE121" ca="1">SMALL(_xlfn._xlws.FILTER(RegatasN, RegatasN&lt;&gt;0), 2)</f>
        <v>18</v>
      </c>
      <c r="AF121" s="6" cm="1">
        <f t="array" aca="1" ref="AF121" ca="1">SMALL(_xlfn._xlws.FILTER(RegatasN, RegatasN&lt;&gt;0), 3)</f>
        <v>18</v>
      </c>
      <c r="AG121" s="5" cm="1">
        <f t="array" aca="1" ref="AG121" ca="1">COUNTIF(Regatas,SMALL(_xlfn._xlws.FILTER(RegatasN, RegatasN&lt;&gt;0), 1))</f>
        <v>1</v>
      </c>
      <c r="AH121" s="6" t="e" cm="1">
        <f t="array" ref="AH12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2" spans="1:34">
      <c r="A122">
        <v>53583314</v>
      </c>
      <c r="B122" s="10">
        <f>ROW()-ROW(Selectivo6[[#Headers],[Pos]])</f>
        <v>116</v>
      </c>
      <c r="C122" s="5">
        <v>4183</v>
      </c>
      <c r="D122" t="s">
        <v>480</v>
      </c>
      <c r="E122" t="s">
        <v>39</v>
      </c>
      <c r="F122" s="19" t="str" cm="1">
        <f t="array" aca="1" ref="F122" ca="1">IFERROR(_xlfn.XLOOKUP(Selectivo6[[#This Row],[DNI]],S_S[DNI],INDIRECT("S_S["&amp;Selectivo6[[#Headers],[R1]]&amp;"]")),"60 DNC")</f>
        <v>38</v>
      </c>
      <c r="G122" s="20" t="str" cm="1">
        <f t="array" aca="1" ref="G122" ca="1">IFERROR(_xlfn.XLOOKUP(Selectivo6[[#This Row],[DNI]],S_S[DNI],INDIRECT("S_S["&amp;Selectivo6[[#Headers],[R2]]&amp;"]")),"60 DNC")</f>
        <v>52</v>
      </c>
      <c r="H122" s="19" t="str" cm="1">
        <f t="array" aca="1" ref="H122" ca="1">IFERROR(_xlfn.XLOOKUP(Selectivo6[[#This Row],[DNI]],S_S[DNI],INDIRECT("S_S["&amp;Selectivo6[[#Headers],[R3]]&amp;"]")),"60 DNC")</f>
        <v>35</v>
      </c>
      <c r="I122" s="19" t="str" cm="1">
        <f t="array" aca="1" ref="I122" ca="1">IFERROR(_xlfn.XLOOKUP(Selectivo6[[#This Row],[DNI]],S_S[DNI],INDIRECT("S_S["&amp;Selectivo6[[#Headers],[R4]]&amp;"]")),"60 DNC")</f>
        <v>44</v>
      </c>
      <c r="J122" s="19" t="str" cm="1">
        <f t="array" aca="1" ref="J122" ca="1">IFERROR(_xlfn.XLOOKUP(Selectivo6[[#This Row],[DNI]],S_S[DNI],INDIRECT("S_S["&amp;Selectivo6[[#Headers],[R5]]&amp;"]")),"60 DNC")</f>
        <v>42</v>
      </c>
      <c r="K122" s="19" t="str" cm="1">
        <f t="array" aca="1" ref="K122" ca="1">IFERROR(_xlfn.XLOOKUP(Selectivo6[[#This Row],[DNI]],S_S[DNI],INDIRECT("S_S["&amp;Selectivo6[[#Headers],[R6]]&amp;"]")),"60 DNC")</f>
        <v>43</v>
      </c>
      <c r="L122" s="19" t="str" cm="1">
        <f t="array" aca="1" ref="L122" ca="1">IFERROR(_xlfn.XLOOKUP(Selectivo6[[#This Row],[DNI]],S_S[DNI],INDIRECT("S_S["&amp;Selectivo6[[#Headers],[R7]]&amp;"]")),"60 DNC")</f>
        <v>39</v>
      </c>
      <c r="M122" s="19" t="str" cm="1">
        <f t="array" aca="1" ref="M122" ca="1">IFERROR(_xlfn.XLOOKUP(Selectivo6[[#This Row],[DNI]],S_S[DNI],INDIRECT("S_S["&amp;Selectivo6[[#Headers],[R8]]&amp;"]")),"60 DNC")</f>
        <v>22</v>
      </c>
      <c r="N122" s="20" t="str" cm="1">
        <f t="array" aca="1" ref="N122" ca="1">IFERROR(_xlfn.XLOOKUP(Selectivo6[[#This Row],[DNI]],S_S[DNI],INDIRECT("S_S["&amp;Selectivo6[[#Headers],[R9]]&amp;"]")),"60 DNC")</f>
        <v>60 DNC</v>
      </c>
      <c r="O122" s="19" t="str">
        <f>IFERROR(_xlfn.XLOOKUP(Selectivo6[[#This Row],[DNI]],_VF2026[DNI],_VF2026[R1]),"65 DNC")</f>
        <v>29</v>
      </c>
      <c r="P122" s="19" t="str">
        <f>IFERROR(_xlfn.XLOOKUP(Selectivo6[[#This Row],[DNI]],_VF2026[DNI],_VF2026[R2]),"65 DNC")</f>
        <v>41</v>
      </c>
      <c r="Q122" s="19" t="str">
        <f>IFERROR(_xlfn.XLOOKUP(Selectivo6[[#This Row],[DNI]],_VF2026[DNI],_VF2026[R3]),"65 DNC")</f>
        <v>46</v>
      </c>
      <c r="R122" s="19" t="str">
        <f>IFERROR(_xlfn.XLOOKUP(Selectivo6[[#This Row],[DNI]],_VF2026[DNI],_VF2026[R4]),"65 DNC")</f>
        <v>34</v>
      </c>
      <c r="S122" s="19" t="str">
        <f>IFERROR(_xlfn.XLOOKUP(Selectivo6[[#This Row],[DNI]],_VF2026[DNI],_VF2026[R5]),"65 DNC")</f>
        <v>33</v>
      </c>
      <c r="T122" s="19" t="str">
        <f>IFERROR(_xlfn.XLOOKUP(Selectivo6[[#This Row],[DNI]],_VF2026[DNI],_VF2026[R6]),"65 DNC")</f>
        <v>43</v>
      </c>
      <c r="U122" s="19" t="str">
        <f>IFERROR(_xlfn.XLOOKUP(Selectivo6[[#This Row],[DNI]],_VF2026[DNI],_VF2026[R7]),"65 DNC")</f>
        <v>21</v>
      </c>
      <c r="V122" s="19" t="str">
        <f>IFERROR(_xlfn.XLOOKUP(Selectivo6[[#This Row],[DNI]],_VF2026[DNI],_VF2026[R8]),"65 DNC")</f>
        <v>31</v>
      </c>
      <c r="W122" s="19"/>
      <c r="X122" s="19"/>
      <c r="Y122" s="19"/>
      <c r="Z122" s="19"/>
      <c r="AA122" s="19"/>
      <c r="AB122" s="8" cm="1">
        <f t="array" aca="1" ref="AB122" ca="1">SUM(IFERROR(VALUE(LEFT(Regatas, FIND(" ",Regatas&amp; " ") - 1)), 0))</f>
        <v>653</v>
      </c>
      <c r="AC122" s="9" cm="1">
        <f t="array" aca="1" ref="AC12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541</v>
      </c>
      <c r="AD122" s="6" cm="1">
        <f t="array" aca="1" ref="AD122" ca="1">SMALL(_xlfn._xlws.FILTER(RegatasN, RegatasN&lt;&gt;0), 1)</f>
        <v>21</v>
      </c>
      <c r="AE122" s="6" cm="1">
        <f t="array" aca="1" ref="AE122" ca="1">SMALL(_xlfn._xlws.FILTER(RegatasN, RegatasN&lt;&gt;0), 2)</f>
        <v>22</v>
      </c>
      <c r="AF122" s="6" cm="1">
        <f t="array" aca="1" ref="AF122" ca="1">SMALL(_xlfn._xlws.FILTER(RegatasN, RegatasN&lt;&gt;0), 3)</f>
        <v>29</v>
      </c>
      <c r="AG122" s="5" cm="1">
        <f t="array" aca="1" ref="AG122" ca="1">COUNTIF(Regatas,SMALL(_xlfn._xlws.FILTER(RegatasN, RegatasN&lt;&gt;0), 1))</f>
        <v>1</v>
      </c>
      <c r="AH122" s="6" t="e" cm="1">
        <f t="array" ref="AH12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3" spans="1:34">
      <c r="A123">
        <v>51505113</v>
      </c>
      <c r="B123" s="10">
        <f>ROW()-ROW(Selectivo6[[#Headers],[Pos]])</f>
        <v>117</v>
      </c>
      <c r="C123" s="5">
        <v>3935</v>
      </c>
      <c r="D123" t="s">
        <v>440</v>
      </c>
      <c r="E123" t="s">
        <v>27</v>
      </c>
      <c r="F123" s="19" t="str" cm="1">
        <f t="array" aca="1" ref="F123" ca="1">IFERROR(_xlfn.XLOOKUP(Selectivo6[[#This Row],[DNI]],S_S[DNI],INDIRECT("S_S["&amp;Selectivo6[[#Headers],[R1]]&amp;"]")),"60 DNC")</f>
        <v>47</v>
      </c>
      <c r="G123" s="19" t="str" cm="1">
        <f t="array" aca="1" ref="G123" ca="1">IFERROR(_xlfn.XLOOKUP(Selectivo6[[#This Row],[DNI]],S_S[DNI],INDIRECT("S_S["&amp;Selectivo6[[#Headers],[R2]]&amp;"]")),"60 DNC")</f>
        <v>39</v>
      </c>
      <c r="H123" s="19" t="str" cm="1">
        <f t="array" aca="1" ref="H123" ca="1">IFERROR(_xlfn.XLOOKUP(Selectivo6[[#This Row],[DNI]],S_S[DNI],INDIRECT("S_S["&amp;Selectivo6[[#Headers],[R3]]&amp;"]")),"60 DNC")</f>
        <v>28</v>
      </c>
      <c r="I123" s="19" t="str" cm="1">
        <f t="array" aca="1" ref="I123" ca="1">IFERROR(_xlfn.XLOOKUP(Selectivo6[[#This Row],[DNI]],S_S[DNI],INDIRECT("S_S["&amp;Selectivo6[[#Headers],[R4]]&amp;"]")),"60 DNC")</f>
        <v>60 DSQ</v>
      </c>
      <c r="J123" s="19" t="str" cm="1">
        <f t="array" aca="1" ref="J123" ca="1">IFERROR(_xlfn.XLOOKUP(Selectivo6[[#This Row],[DNI]],S_S[DNI],INDIRECT("S_S["&amp;Selectivo6[[#Headers],[R5]]&amp;"]")),"60 DNC")</f>
        <v>31</v>
      </c>
      <c r="K123" s="19" t="str" cm="1">
        <f t="array" aca="1" ref="K123" ca="1">IFERROR(_xlfn.XLOOKUP(Selectivo6[[#This Row],[DNI]],S_S[DNI],INDIRECT("S_S["&amp;Selectivo6[[#Headers],[R6]]&amp;"]")),"60 DNC")</f>
        <v>27</v>
      </c>
      <c r="L123" s="19" t="str" cm="1">
        <f t="array" aca="1" ref="L123" ca="1">IFERROR(_xlfn.XLOOKUP(Selectivo6[[#This Row],[DNI]],S_S[DNI],INDIRECT("S_S["&amp;Selectivo6[[#Headers],[R7]]&amp;"]")),"60 DNC")</f>
        <v>41</v>
      </c>
      <c r="M123" s="19" t="str" cm="1">
        <f t="array" aca="1" ref="M123" ca="1">IFERROR(_xlfn.XLOOKUP(Selectivo6[[#This Row],[DNI]],S_S[DNI],INDIRECT("S_S["&amp;Selectivo6[[#Headers],[R8]]&amp;"]")),"60 DNC")</f>
        <v>17</v>
      </c>
      <c r="N123" s="19" t="str" cm="1">
        <f t="array" aca="1" ref="N123" ca="1">IFERROR(_xlfn.XLOOKUP(Selectivo6[[#This Row],[DNI]],S_S[DNI],INDIRECT("S_S["&amp;Selectivo6[[#Headers],[R9]]&amp;"]")),"60 DNC")</f>
        <v>44</v>
      </c>
      <c r="O123" s="19" t="str">
        <f>IFERROR(_xlfn.XLOOKUP(Selectivo6[[#This Row],[DNI]],_VF2026[DNI],_VF2026[R1]),"65 DNC")</f>
        <v>27</v>
      </c>
      <c r="P123" s="19" t="str">
        <f>IFERROR(_xlfn.XLOOKUP(Selectivo6[[#This Row],[DNI]],_VF2026[DNI],_VF2026[R2]),"65 DNC")</f>
        <v>28</v>
      </c>
      <c r="Q123" s="19" t="str">
        <f>IFERROR(_xlfn.XLOOKUP(Selectivo6[[#This Row],[DNI]],_VF2026[DNI],_VF2026[R3]),"65 DNC")</f>
        <v>45</v>
      </c>
      <c r="R123" s="19" t="str">
        <f>IFERROR(_xlfn.XLOOKUP(Selectivo6[[#This Row],[DNI]],_VF2026[DNI],_VF2026[R4]),"65 DNC")</f>
        <v>39</v>
      </c>
      <c r="S123" s="19" t="str">
        <f>IFERROR(_xlfn.XLOOKUP(Selectivo6[[#This Row],[DNI]],_VF2026[DNI],_VF2026[R5]),"65 DNC")</f>
        <v>47</v>
      </c>
      <c r="T123" s="19" t="str">
        <f>IFERROR(_xlfn.XLOOKUP(Selectivo6[[#This Row],[DNI]],_VF2026[DNI],_VF2026[R6]),"65 DNC")</f>
        <v>25</v>
      </c>
      <c r="U123" s="20" t="str">
        <f>IFERROR(_xlfn.XLOOKUP(Selectivo6[[#This Row],[DNI]],_VF2026[DNI],_VF2026[R7]),"65 DNC")</f>
        <v>65 BFD</v>
      </c>
      <c r="V123" s="20" t="str">
        <f>IFERROR(_xlfn.XLOOKUP(Selectivo6[[#This Row],[DNI]],_VF2026[DNI],_VF2026[R8]),"65 DNC")</f>
        <v>65 BFD</v>
      </c>
      <c r="W123" s="19"/>
      <c r="X123" s="19"/>
      <c r="Y123" s="19"/>
      <c r="Z123" s="19"/>
      <c r="AA123" s="19"/>
      <c r="AB123" s="8" cm="1">
        <f t="array" aca="1" ref="AB123" ca="1">SUM(IFERROR(VALUE(LEFT(Regatas, FIND(" ",Regatas&amp; " ") - 1)), 0))</f>
        <v>675</v>
      </c>
      <c r="AC123" s="9" cm="1">
        <f t="array" aca="1" ref="AC12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545</v>
      </c>
      <c r="AD123" s="6" cm="1">
        <f t="array" aca="1" ref="AD123" ca="1">SMALL(_xlfn._xlws.FILTER(RegatasN, RegatasN&lt;&gt;0), 1)</f>
        <v>17</v>
      </c>
      <c r="AE123" s="6" cm="1">
        <f t="array" aca="1" ref="AE123" ca="1">SMALL(_xlfn._xlws.FILTER(RegatasN, RegatasN&lt;&gt;0), 2)</f>
        <v>25</v>
      </c>
      <c r="AF123" s="6" cm="1">
        <f t="array" aca="1" ref="AF123" ca="1">SMALL(_xlfn._xlws.FILTER(RegatasN, RegatasN&lt;&gt;0), 3)</f>
        <v>27</v>
      </c>
      <c r="AG123" s="5" cm="1">
        <f t="array" aca="1" ref="AG123" ca="1">COUNTIF(Regatas,SMALL(_xlfn._xlws.FILTER(RegatasN, RegatasN&lt;&gt;0), 1))</f>
        <v>1</v>
      </c>
      <c r="AH123" s="6" t="e" cm="1">
        <f t="array" ref="AH12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4" spans="1:34">
      <c r="A124">
        <v>52906229</v>
      </c>
      <c r="B124" s="10">
        <f>ROW()-ROW(Selectivo6[[#Headers],[Pos]])</f>
        <v>118</v>
      </c>
      <c r="C124" s="5">
        <v>4087</v>
      </c>
      <c r="D124" t="s">
        <v>497</v>
      </c>
      <c r="E124" t="s">
        <v>33</v>
      </c>
      <c r="F124" s="19" t="str" cm="1">
        <f t="array" aca="1" ref="F124" ca="1">IFERROR(_xlfn.XLOOKUP(Selectivo6[[#This Row],[DNI]],S_S[DNI],INDIRECT("S_S["&amp;Selectivo6[[#Headers],[R1]]&amp;"]")),"60 DNC")</f>
        <v>44</v>
      </c>
      <c r="G124" s="20" t="str" cm="1">
        <f t="array" aca="1" ref="G124" ca="1">IFERROR(_xlfn.XLOOKUP(Selectivo6[[#This Row],[DNI]],S_S[DNI],INDIRECT("S_S["&amp;Selectivo6[[#Headers],[R2]]&amp;"]")),"60 DNC")</f>
        <v>60 BFD</v>
      </c>
      <c r="H124" s="19" t="str" cm="1">
        <f t="array" aca="1" ref="H124" ca="1">IFERROR(_xlfn.XLOOKUP(Selectivo6[[#This Row],[DNI]],S_S[DNI],INDIRECT("S_S["&amp;Selectivo6[[#Headers],[R3]]&amp;"]")),"60 DNC")</f>
        <v>53</v>
      </c>
      <c r="I124" s="19" t="str" cm="1">
        <f t="array" aca="1" ref="I124" ca="1">IFERROR(_xlfn.XLOOKUP(Selectivo6[[#This Row],[DNI]],S_S[DNI],INDIRECT("S_S["&amp;Selectivo6[[#Headers],[R4]]&amp;"]")),"60 DNC")</f>
        <v>36</v>
      </c>
      <c r="J124" s="19" t="str" cm="1">
        <f t="array" aca="1" ref="J124" ca="1">IFERROR(_xlfn.XLOOKUP(Selectivo6[[#This Row],[DNI]],S_S[DNI],INDIRECT("S_S["&amp;Selectivo6[[#Headers],[R5]]&amp;"]")),"60 DNC")</f>
        <v>40</v>
      </c>
      <c r="K124" s="19" t="str" cm="1">
        <f t="array" aca="1" ref="K124" ca="1">IFERROR(_xlfn.XLOOKUP(Selectivo6[[#This Row],[DNI]],S_S[DNI],INDIRECT("S_S["&amp;Selectivo6[[#Headers],[R6]]&amp;"]")),"60 DNC")</f>
        <v>32</v>
      </c>
      <c r="L124" s="19" t="str" cm="1">
        <f t="array" aca="1" ref="L124" ca="1">IFERROR(_xlfn.XLOOKUP(Selectivo6[[#This Row],[DNI]],S_S[DNI],INDIRECT("S_S["&amp;Selectivo6[[#Headers],[R7]]&amp;"]")),"60 DNC")</f>
        <v>43</v>
      </c>
      <c r="M124" s="19" t="str" cm="1">
        <f t="array" aca="1" ref="M124" ca="1">IFERROR(_xlfn.XLOOKUP(Selectivo6[[#This Row],[DNI]],S_S[DNI],INDIRECT("S_S["&amp;Selectivo6[[#Headers],[R8]]&amp;"]")),"60 DNC")</f>
        <v>41</v>
      </c>
      <c r="N124" s="19" t="str" cm="1">
        <f t="array" aca="1" ref="N124" ca="1">IFERROR(_xlfn.XLOOKUP(Selectivo6[[#This Row],[DNI]],S_S[DNI],INDIRECT("S_S["&amp;Selectivo6[[#Headers],[R9]]&amp;"]")),"60 DNC")</f>
        <v>42</v>
      </c>
      <c r="O124" s="19" t="str">
        <f>IFERROR(_xlfn.XLOOKUP(Selectivo6[[#This Row],[DNI]],_VF2026[DNI],_VF2026[R1]),"65 DNC")</f>
        <v>31</v>
      </c>
      <c r="P124" s="19" t="str">
        <f>IFERROR(_xlfn.XLOOKUP(Selectivo6[[#This Row],[DNI]],_VF2026[DNI],_VF2026[R2]),"65 DNC")</f>
        <v>44</v>
      </c>
      <c r="Q124" s="19" t="str">
        <f>IFERROR(_xlfn.XLOOKUP(Selectivo6[[#This Row],[DNI]],_VF2026[DNI],_VF2026[R3]),"65 DNC")</f>
        <v>35</v>
      </c>
      <c r="R124" s="20" t="str">
        <f>IFERROR(_xlfn.XLOOKUP(Selectivo6[[#This Row],[DNI]],_VF2026[DNI],_VF2026[R4]),"65 DNC")</f>
        <v>65 DNC</v>
      </c>
      <c r="S124" s="19" t="str">
        <f>IFERROR(_xlfn.XLOOKUP(Selectivo6[[#This Row],[DNI]],_VF2026[DNI],_VF2026[R5]),"65 DNC")</f>
        <v>42</v>
      </c>
      <c r="T124" s="19" t="str">
        <f>IFERROR(_xlfn.XLOOKUP(Selectivo6[[#This Row],[DNI]],_VF2026[DNI],_VF2026[R6]),"65 DNC")</f>
        <v>22</v>
      </c>
      <c r="U124" s="19" t="str">
        <f>IFERROR(_xlfn.XLOOKUP(Selectivo6[[#This Row],[DNI]],_VF2026[DNI],_VF2026[R7]),"65 DNC")</f>
        <v>36</v>
      </c>
      <c r="V124" s="19" t="str">
        <f>IFERROR(_xlfn.XLOOKUP(Selectivo6[[#This Row],[DNI]],_VF2026[DNI],_VF2026[R8]),"65 DNC")</f>
        <v>10</v>
      </c>
      <c r="W124" s="19"/>
      <c r="X124" s="19"/>
      <c r="Y124" s="19"/>
      <c r="Z124" s="19"/>
      <c r="AA124" s="19"/>
      <c r="AB124" s="8" cm="1">
        <f t="array" aca="1" ref="AB124" ca="1">SUM(IFERROR(VALUE(LEFT(Regatas, FIND(" ",Regatas&amp; " ") - 1)), 0))</f>
        <v>676</v>
      </c>
      <c r="AC124" s="9" cm="1">
        <f t="array" aca="1" ref="AC12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551</v>
      </c>
      <c r="AD124" s="6" cm="1">
        <f t="array" aca="1" ref="AD124" ca="1">SMALL(_xlfn._xlws.FILTER(RegatasN, RegatasN&lt;&gt;0), 1)</f>
        <v>10</v>
      </c>
      <c r="AE124" s="6" cm="1">
        <f t="array" aca="1" ref="AE124" ca="1">SMALL(_xlfn._xlws.FILTER(RegatasN, RegatasN&lt;&gt;0), 2)</f>
        <v>22</v>
      </c>
      <c r="AF124" s="6" cm="1">
        <f t="array" aca="1" ref="AF124" ca="1">SMALL(_xlfn._xlws.FILTER(RegatasN, RegatasN&lt;&gt;0), 3)</f>
        <v>31</v>
      </c>
      <c r="AG124" s="5" cm="1">
        <f t="array" aca="1" ref="AG124" ca="1">COUNTIF(Regatas,SMALL(_xlfn._xlws.FILTER(RegatasN, RegatasN&lt;&gt;0), 1))</f>
        <v>1</v>
      </c>
      <c r="AH124" s="6" t="e" cm="1">
        <f t="array" ref="AH12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5" spans="1:34">
      <c r="A125">
        <v>53774618</v>
      </c>
      <c r="B125" s="10">
        <f>ROW()-ROW(Selectivo6[[#Headers],[Pos]])</f>
        <v>119</v>
      </c>
      <c r="C125" s="5">
        <v>3866</v>
      </c>
      <c r="D125" t="s">
        <v>458</v>
      </c>
      <c r="E125" t="s">
        <v>17</v>
      </c>
      <c r="F125" s="19" t="str" cm="1">
        <f t="array" aca="1" ref="F125" ca="1">IFERROR(_xlfn.XLOOKUP(Selectivo6[[#This Row],[DNI]],S_S[DNI],INDIRECT("S_S["&amp;Selectivo6[[#Headers],[R1]]&amp;"]")),"60 DNC")</f>
        <v>29</v>
      </c>
      <c r="G125" s="19" t="str" cm="1">
        <f t="array" aca="1" ref="G125" ca="1">IFERROR(_xlfn.XLOOKUP(Selectivo6[[#This Row],[DNI]],S_S[DNI],INDIRECT("S_S["&amp;Selectivo6[[#Headers],[R2]]&amp;"]")),"60 DNC")</f>
        <v>47</v>
      </c>
      <c r="H125" s="19" t="str" cm="1">
        <f t="array" aca="1" ref="H125" ca="1">IFERROR(_xlfn.XLOOKUP(Selectivo6[[#This Row],[DNI]],S_S[DNI],INDIRECT("S_S["&amp;Selectivo6[[#Headers],[R3]]&amp;"]")),"60 DNC")</f>
        <v>45</v>
      </c>
      <c r="I125" s="19" t="str" cm="1">
        <f t="array" aca="1" ref="I125" ca="1">IFERROR(_xlfn.XLOOKUP(Selectivo6[[#This Row],[DNI]],S_S[DNI],INDIRECT("S_S["&amp;Selectivo6[[#Headers],[R4]]&amp;"]")),"60 DNC")</f>
        <v>29</v>
      </c>
      <c r="J125" s="19" t="str" cm="1">
        <f t="array" aca="1" ref="J125" ca="1">IFERROR(_xlfn.XLOOKUP(Selectivo6[[#This Row],[DNI]],S_S[DNI],INDIRECT("S_S["&amp;Selectivo6[[#Headers],[R5]]&amp;"]")),"60 DNC")</f>
        <v>23</v>
      </c>
      <c r="K125" s="19" t="str" cm="1">
        <f t="array" aca="1" ref="K125" ca="1">IFERROR(_xlfn.XLOOKUP(Selectivo6[[#This Row],[DNI]],S_S[DNI],INDIRECT("S_S["&amp;Selectivo6[[#Headers],[R6]]&amp;"]")),"60 DNC")</f>
        <v>38</v>
      </c>
      <c r="L125" s="19" t="str" cm="1">
        <f t="array" aca="1" ref="L125" ca="1">IFERROR(_xlfn.XLOOKUP(Selectivo6[[#This Row],[DNI]],S_S[DNI],INDIRECT("S_S["&amp;Selectivo6[[#Headers],[R7]]&amp;"]")),"60 DNC")</f>
        <v>39</v>
      </c>
      <c r="M125" s="19" t="str" cm="1">
        <f t="array" aca="1" ref="M125" ca="1">IFERROR(_xlfn.XLOOKUP(Selectivo6[[#This Row],[DNI]],S_S[DNI],INDIRECT("S_S["&amp;Selectivo6[[#Headers],[R8]]&amp;"]")),"60 DNC")</f>
        <v>46</v>
      </c>
      <c r="N125" s="19" t="str" cm="1">
        <f t="array" aca="1" ref="N125" ca="1">IFERROR(_xlfn.XLOOKUP(Selectivo6[[#This Row],[DNI]],S_S[DNI],INDIRECT("S_S["&amp;Selectivo6[[#Headers],[R9]]&amp;"]")),"60 DNC")</f>
        <v>42</v>
      </c>
      <c r="O125" s="20" t="str">
        <f>IFERROR(_xlfn.XLOOKUP(Selectivo6[[#This Row],[DNI]],_VF2026[DNI],_VF2026[R1]),"65 DNC")</f>
        <v>48</v>
      </c>
      <c r="P125" s="19" t="str">
        <f>IFERROR(_xlfn.XLOOKUP(Selectivo6[[#This Row],[DNI]],_VF2026[DNI],_VF2026[R2]),"65 DNC")</f>
        <v>47</v>
      </c>
      <c r="Q125" s="19" t="str">
        <f>IFERROR(_xlfn.XLOOKUP(Selectivo6[[#This Row],[DNI]],_VF2026[DNI],_VF2026[R3]),"65 DNC")</f>
        <v>40</v>
      </c>
      <c r="R125" s="19" t="str">
        <f>IFERROR(_xlfn.XLOOKUP(Selectivo6[[#This Row],[DNI]],_VF2026[DNI],_VF2026[R4]),"65 DNC")</f>
        <v>31</v>
      </c>
      <c r="S125" s="19" t="str">
        <f>IFERROR(_xlfn.XLOOKUP(Selectivo6[[#This Row],[DNI]],_VF2026[DNI],_VF2026[R5]),"65 DNC")</f>
        <v>46</v>
      </c>
      <c r="T125" s="19" t="str">
        <f>IFERROR(_xlfn.XLOOKUP(Selectivo6[[#This Row],[DNI]],_VF2026[DNI],_VF2026[R6]),"65 DNC")</f>
        <v>20</v>
      </c>
      <c r="U125" s="19" t="str">
        <f>IFERROR(_xlfn.XLOOKUP(Selectivo6[[#This Row],[DNI]],_VF2026[DNI],_VF2026[R7]),"65 DNC")</f>
        <v>30</v>
      </c>
      <c r="V125" s="20" t="str">
        <f>IFERROR(_xlfn.XLOOKUP(Selectivo6[[#This Row],[DNI]],_VF2026[DNI],_VF2026[R8]),"65 DNC")</f>
        <v>65 BFD</v>
      </c>
      <c r="W125" s="19"/>
      <c r="X125" s="19"/>
      <c r="Y125" s="19"/>
      <c r="Z125" s="19"/>
      <c r="AA125" s="19"/>
      <c r="AB125" s="8" cm="1">
        <f t="array" aca="1" ref="AB125" ca="1">SUM(IFERROR(VALUE(LEFT(Regatas, FIND(" ",Regatas&amp; " ") - 1)), 0))</f>
        <v>665</v>
      </c>
      <c r="AC125" s="9" cm="1">
        <f t="array" aca="1" ref="AC12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552</v>
      </c>
      <c r="AD125" s="6" cm="1">
        <f t="array" aca="1" ref="AD125" ca="1">SMALL(_xlfn._xlws.FILTER(RegatasN, RegatasN&lt;&gt;0), 1)</f>
        <v>20</v>
      </c>
      <c r="AE125" s="6" cm="1">
        <f t="array" aca="1" ref="AE125" ca="1">SMALL(_xlfn._xlws.FILTER(RegatasN, RegatasN&lt;&gt;0), 2)</f>
        <v>23</v>
      </c>
      <c r="AF125" s="6" cm="1">
        <f t="array" aca="1" ref="AF125" ca="1">SMALL(_xlfn._xlws.FILTER(RegatasN, RegatasN&lt;&gt;0), 3)</f>
        <v>29</v>
      </c>
      <c r="AG125" s="5" cm="1">
        <f t="array" aca="1" ref="AG125" ca="1">COUNTIF(Regatas,SMALL(_xlfn._xlws.FILTER(RegatasN, RegatasN&lt;&gt;0), 1))</f>
        <v>1</v>
      </c>
      <c r="AH125" s="6" t="e" cm="1">
        <f t="array" ref="AH12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6" spans="1:34">
      <c r="A126">
        <v>53690319</v>
      </c>
      <c r="B126" s="10">
        <f>ROW()-ROW(Selectivo6[[#Headers],[Pos]])</f>
        <v>120</v>
      </c>
      <c r="C126" s="5">
        <v>4202</v>
      </c>
      <c r="D126" t="s">
        <v>443</v>
      </c>
      <c r="E126" t="s">
        <v>22</v>
      </c>
      <c r="F126" s="19" t="str" cm="1">
        <f t="array" aca="1" ref="F126" ca="1">IFERROR(_xlfn.XLOOKUP(Selectivo6[[#This Row],[DNI]],S_S[DNI],INDIRECT("S_S["&amp;Selectivo6[[#Headers],[R1]]&amp;"]")),"60 DNC")</f>
        <v>41</v>
      </c>
      <c r="G126" s="19" t="str" cm="1">
        <f t="array" aca="1" ref="G126" ca="1">IFERROR(_xlfn.XLOOKUP(Selectivo6[[#This Row],[DNI]],S_S[DNI],INDIRECT("S_S["&amp;Selectivo6[[#Headers],[R2]]&amp;"]")),"60 DNC")</f>
        <v>52</v>
      </c>
      <c r="H126" s="20" t="str" cm="1">
        <f t="array" aca="1" ref="H126" ca="1">IFERROR(_xlfn.XLOOKUP(Selectivo6[[#This Row],[DNI]],S_S[DNI],INDIRECT("S_S["&amp;Selectivo6[[#Headers],[R3]]&amp;"]")),"60 DNC")</f>
        <v>60 DNC</v>
      </c>
      <c r="I126" s="19" t="str" cm="1">
        <f t="array" aca="1" ref="I126" ca="1">IFERROR(_xlfn.XLOOKUP(Selectivo6[[#This Row],[DNI]],S_S[DNI],INDIRECT("S_S["&amp;Selectivo6[[#Headers],[R4]]&amp;"]")),"60 DNC")</f>
        <v>19</v>
      </c>
      <c r="J126" s="19" t="str" cm="1">
        <f t="array" aca="1" ref="J126" ca="1">IFERROR(_xlfn.XLOOKUP(Selectivo6[[#This Row],[DNI]],S_S[DNI],INDIRECT("S_S["&amp;Selectivo6[[#Headers],[R5]]&amp;"]")),"60 DNC")</f>
        <v>30</v>
      </c>
      <c r="K126" s="19" t="str" cm="1">
        <f t="array" aca="1" ref="K126" ca="1">IFERROR(_xlfn.XLOOKUP(Selectivo6[[#This Row],[DNI]],S_S[DNI],INDIRECT("S_S["&amp;Selectivo6[[#Headers],[R6]]&amp;"]")),"60 DNC")</f>
        <v>28</v>
      </c>
      <c r="L126" s="19" t="str" cm="1">
        <f t="array" aca="1" ref="L126" ca="1">IFERROR(_xlfn.XLOOKUP(Selectivo6[[#This Row],[DNI]],S_S[DNI],INDIRECT("S_S["&amp;Selectivo6[[#Headers],[R7]]&amp;"]")),"60 DNC")</f>
        <v>35</v>
      </c>
      <c r="M126" s="19" t="str" cm="1">
        <f t="array" aca="1" ref="M126" ca="1">IFERROR(_xlfn.XLOOKUP(Selectivo6[[#This Row],[DNI]],S_S[DNI],INDIRECT("S_S["&amp;Selectivo6[[#Headers],[R8]]&amp;"]")),"60 DNC")</f>
        <v>39</v>
      </c>
      <c r="N126" s="19" t="str" cm="1">
        <f t="array" aca="1" ref="N126" ca="1">IFERROR(_xlfn.XLOOKUP(Selectivo6[[#This Row],[DNI]],S_S[DNI],INDIRECT("S_S["&amp;Selectivo6[[#Headers],[R9]]&amp;"]")),"60 DNC")</f>
        <v>32</v>
      </c>
      <c r="O126" s="20" t="str">
        <f>IFERROR(_xlfn.XLOOKUP(Selectivo6[[#This Row],[DNI]],_VF2026[DNI],_VF2026[R1]),"65 DNC")</f>
        <v>65 BFD</v>
      </c>
      <c r="P126" s="19" t="str">
        <f>IFERROR(_xlfn.XLOOKUP(Selectivo6[[#This Row],[DNI]],_VF2026[DNI],_VF2026[R2]),"65 DNC")</f>
        <v>43</v>
      </c>
      <c r="Q126" s="19" t="str">
        <f>IFERROR(_xlfn.XLOOKUP(Selectivo6[[#This Row],[DNI]],_VF2026[DNI],_VF2026[R3]),"65 DNC")</f>
        <v>55</v>
      </c>
      <c r="R126" s="19" t="str">
        <f>IFERROR(_xlfn.XLOOKUP(Selectivo6[[#This Row],[DNI]],_VF2026[DNI],_VF2026[R4]),"65 DNC")</f>
        <v>43</v>
      </c>
      <c r="S126" s="19" t="str">
        <f>IFERROR(_xlfn.XLOOKUP(Selectivo6[[#This Row],[DNI]],_VF2026[DNI],_VF2026[R5]),"65 DNC")</f>
        <v>40</v>
      </c>
      <c r="T126" s="19" t="str">
        <f>IFERROR(_xlfn.XLOOKUP(Selectivo6[[#This Row],[DNI]],_VF2026[DNI],_VF2026[R6]),"65 DNC")</f>
        <v>39</v>
      </c>
      <c r="U126" s="19" t="str">
        <f>IFERROR(_xlfn.XLOOKUP(Selectivo6[[#This Row],[DNI]],_VF2026[DNI],_VF2026[R7]),"65 DNC")</f>
        <v>37</v>
      </c>
      <c r="V126" s="19" t="str">
        <f>IFERROR(_xlfn.XLOOKUP(Selectivo6[[#This Row],[DNI]],_VF2026[DNI],_VF2026[R8]),"65 DNC")</f>
        <v>20</v>
      </c>
      <c r="W126" s="19"/>
      <c r="X126" s="19"/>
      <c r="Y126" s="19"/>
      <c r="Z126" s="19"/>
      <c r="AA126" s="19"/>
      <c r="AB126" s="8" cm="1">
        <f t="array" aca="1" ref="AB126" ca="1">SUM(IFERROR(VALUE(LEFT(Regatas, FIND(" ",Regatas&amp; " ") - 1)), 0))</f>
        <v>678</v>
      </c>
      <c r="AC126" s="9" cm="1">
        <f t="array" aca="1" ref="AC12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553</v>
      </c>
      <c r="AD126" s="6" cm="1">
        <f t="array" aca="1" ref="AD126" ca="1">SMALL(_xlfn._xlws.FILTER(RegatasN, RegatasN&lt;&gt;0), 1)</f>
        <v>19</v>
      </c>
      <c r="AE126" s="6" cm="1">
        <f t="array" aca="1" ref="AE126" ca="1">SMALL(_xlfn._xlws.FILTER(RegatasN, RegatasN&lt;&gt;0), 2)</f>
        <v>20</v>
      </c>
      <c r="AF126" s="6" cm="1">
        <f t="array" aca="1" ref="AF126" ca="1">SMALL(_xlfn._xlws.FILTER(RegatasN, RegatasN&lt;&gt;0), 3)</f>
        <v>28</v>
      </c>
      <c r="AG126" s="5" cm="1">
        <f t="array" aca="1" ref="AG126" ca="1">COUNTIF(Regatas,SMALL(_xlfn._xlws.FILTER(RegatasN, RegatasN&lt;&gt;0), 1))</f>
        <v>1</v>
      </c>
      <c r="AH126" s="6" t="e" cm="1">
        <f t="array" ref="AH12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7" spans="1:34">
      <c r="A127">
        <v>51324832</v>
      </c>
      <c r="B127" s="10">
        <f>ROW()-ROW(Selectivo6[[#Headers],[Pos]])</f>
        <v>121</v>
      </c>
      <c r="C127" s="5">
        <v>3808</v>
      </c>
      <c r="D127" t="s">
        <v>482</v>
      </c>
      <c r="E127" t="s">
        <v>8</v>
      </c>
      <c r="F127" s="19" t="str" cm="1">
        <f t="array" aca="1" ref="F127" ca="1">IFERROR(_xlfn.XLOOKUP(Selectivo6[[#This Row],[DNI]],S_S[DNI],INDIRECT("S_S["&amp;Selectivo6[[#Headers],[R1]]&amp;"]")),"60 DNC")</f>
        <v>38</v>
      </c>
      <c r="G127" s="19" t="str" cm="1">
        <f t="array" aca="1" ref="G127" ca="1">IFERROR(_xlfn.XLOOKUP(Selectivo6[[#This Row],[DNI]],S_S[DNI],INDIRECT("S_S["&amp;Selectivo6[[#Headers],[R2]]&amp;"]")),"60 DNC")</f>
        <v>42</v>
      </c>
      <c r="H127" s="19" t="str" cm="1">
        <f t="array" aca="1" ref="H127" ca="1">IFERROR(_xlfn.XLOOKUP(Selectivo6[[#This Row],[DNI]],S_S[DNI],INDIRECT("S_S["&amp;Selectivo6[[#Headers],[R3]]&amp;"]")),"60 DNC")</f>
        <v>48</v>
      </c>
      <c r="I127" s="19" t="str" cm="1">
        <f t="array" aca="1" ref="I127" ca="1">IFERROR(_xlfn.XLOOKUP(Selectivo6[[#This Row],[DNI]],S_S[DNI],INDIRECT("S_S["&amp;Selectivo6[[#Headers],[R4]]&amp;"]")),"60 DNC")</f>
        <v>37</v>
      </c>
      <c r="J127" s="19" t="str" cm="1">
        <f t="array" aca="1" ref="J127" ca="1">IFERROR(_xlfn.XLOOKUP(Selectivo6[[#This Row],[DNI]],S_S[DNI],INDIRECT("S_S["&amp;Selectivo6[[#Headers],[R5]]&amp;"]")),"60 DNC")</f>
        <v>37</v>
      </c>
      <c r="K127" s="19" t="str" cm="1">
        <f t="array" aca="1" ref="K127" ca="1">IFERROR(_xlfn.XLOOKUP(Selectivo6[[#This Row],[DNI]],S_S[DNI],INDIRECT("S_S["&amp;Selectivo6[[#Headers],[R6]]&amp;"]")),"60 DNC")</f>
        <v>36</v>
      </c>
      <c r="L127" s="19" t="str" cm="1">
        <f t="array" aca="1" ref="L127" ca="1">IFERROR(_xlfn.XLOOKUP(Selectivo6[[#This Row],[DNI]],S_S[DNI],INDIRECT("S_S["&amp;Selectivo6[[#Headers],[R7]]&amp;"]")),"60 DNC")</f>
        <v>39</v>
      </c>
      <c r="M127" s="19" t="str" cm="1">
        <f t="array" aca="1" ref="M127" ca="1">IFERROR(_xlfn.XLOOKUP(Selectivo6[[#This Row],[DNI]],S_S[DNI],INDIRECT("S_S["&amp;Selectivo6[[#Headers],[R8]]&amp;"]")),"60 DNC")</f>
        <v>38</v>
      </c>
      <c r="N127" s="19" t="str" cm="1">
        <f t="array" aca="1" ref="N127" ca="1">IFERROR(_xlfn.XLOOKUP(Selectivo6[[#This Row],[DNI]],S_S[DNI],INDIRECT("S_S["&amp;Selectivo6[[#Headers],[R9]]&amp;"]")),"60 DNC")</f>
        <v>60 DNC</v>
      </c>
      <c r="O127" s="19" t="str">
        <f>IFERROR(_xlfn.XLOOKUP(Selectivo6[[#This Row],[DNI]],_VF2026[DNI],_VF2026[R1]),"65 DNC")</f>
        <v>32</v>
      </c>
      <c r="P127" s="19" t="str">
        <f>IFERROR(_xlfn.XLOOKUP(Selectivo6[[#This Row],[DNI]],_VF2026[DNI],_VF2026[R2]),"65 DNC")</f>
        <v>22</v>
      </c>
      <c r="Q127" s="19" t="str">
        <f>IFERROR(_xlfn.XLOOKUP(Selectivo6[[#This Row],[DNI]],_VF2026[DNI],_VF2026[R3]),"65 DNC")</f>
        <v>30</v>
      </c>
      <c r="R127" s="19" t="str">
        <f>IFERROR(_xlfn.XLOOKUP(Selectivo6[[#This Row],[DNI]],_VF2026[DNI],_VF2026[R4]),"65 DNC")</f>
        <v>45</v>
      </c>
      <c r="S127" s="19" t="str">
        <f>IFERROR(_xlfn.XLOOKUP(Selectivo6[[#This Row],[DNI]],_VF2026[DNI],_VF2026[R5]),"65 DNC")</f>
        <v>25</v>
      </c>
      <c r="T127" s="20" t="str">
        <f>IFERROR(_xlfn.XLOOKUP(Selectivo6[[#This Row],[DNI]],_VF2026[DNI],_VF2026[R6]),"65 DNC")</f>
        <v>65 BFD</v>
      </c>
      <c r="U127" s="19" t="str">
        <f>IFERROR(_xlfn.XLOOKUP(Selectivo6[[#This Row],[DNI]],_VF2026[DNI],_VF2026[R7]),"65 DNC")</f>
        <v>28</v>
      </c>
      <c r="V127" s="20" t="str">
        <f>IFERROR(_xlfn.XLOOKUP(Selectivo6[[#This Row],[DNI]],_VF2026[DNI],_VF2026[R8]),"65 DNC")</f>
        <v>65 BFD</v>
      </c>
      <c r="W127" s="19"/>
      <c r="X127" s="19"/>
      <c r="Y127" s="19"/>
      <c r="Z127" s="19"/>
      <c r="AA127" s="19"/>
      <c r="AB127" s="8" cm="1">
        <f t="array" aca="1" ref="AB127" ca="1">SUM(IFERROR(VALUE(LEFT(Regatas, FIND(" ",Regatas&amp; " ") - 1)), 0))</f>
        <v>687</v>
      </c>
      <c r="AC127" s="9" cm="1">
        <f t="array" aca="1" ref="AC12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557</v>
      </c>
      <c r="AD127" s="6" cm="1">
        <f t="array" aca="1" ref="AD127" ca="1">SMALL(_xlfn._xlws.FILTER(RegatasN, RegatasN&lt;&gt;0), 1)</f>
        <v>22</v>
      </c>
      <c r="AE127" s="6" cm="1">
        <f t="array" aca="1" ref="AE127" ca="1">SMALL(_xlfn._xlws.FILTER(RegatasN, RegatasN&lt;&gt;0), 2)</f>
        <v>25</v>
      </c>
      <c r="AF127" s="6" cm="1">
        <f t="array" aca="1" ref="AF127" ca="1">SMALL(_xlfn._xlws.FILTER(RegatasN, RegatasN&lt;&gt;0), 3)</f>
        <v>28</v>
      </c>
      <c r="AG127" s="5" cm="1">
        <f t="array" aca="1" ref="AG127" ca="1">COUNTIF(Regatas,SMALL(_xlfn._xlws.FILTER(RegatasN, RegatasN&lt;&gt;0), 1))</f>
        <v>1</v>
      </c>
      <c r="AH127" s="6" t="e" cm="1">
        <f t="array" ref="AH12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8" spans="1:34">
      <c r="A128">
        <v>51339874</v>
      </c>
      <c r="B128" s="10">
        <f>ROW()-ROW(Selectivo6[[#Headers],[Pos]])</f>
        <v>122</v>
      </c>
      <c r="C128" s="5">
        <v>4249</v>
      </c>
      <c r="D128" t="s">
        <v>486</v>
      </c>
      <c r="E128" t="s">
        <v>487</v>
      </c>
      <c r="F128" s="19" t="str" cm="1">
        <f t="array" aca="1" ref="F128" ca="1">IFERROR(_xlfn.XLOOKUP(Selectivo6[[#This Row],[DNI]],S_S[DNI],INDIRECT("S_S["&amp;Selectivo6[[#Headers],[R1]]&amp;"]")),"60 DNC")</f>
        <v>47</v>
      </c>
      <c r="G128" s="19" t="str" cm="1">
        <f t="array" aca="1" ref="G128" ca="1">IFERROR(_xlfn.XLOOKUP(Selectivo6[[#This Row],[DNI]],S_S[DNI],INDIRECT("S_S["&amp;Selectivo6[[#Headers],[R2]]&amp;"]")),"60 DNC")</f>
        <v>46</v>
      </c>
      <c r="H128" s="19" t="str" cm="1">
        <f t="array" aca="1" ref="H128" ca="1">IFERROR(_xlfn.XLOOKUP(Selectivo6[[#This Row],[DNI]],S_S[DNI],INDIRECT("S_S["&amp;Selectivo6[[#Headers],[R3]]&amp;"]")),"60 DNC")</f>
        <v>34</v>
      </c>
      <c r="I128" s="19" t="str" cm="1">
        <f t="array" aca="1" ref="I128" ca="1">IFERROR(_xlfn.XLOOKUP(Selectivo6[[#This Row],[DNI]],S_S[DNI],INDIRECT("S_S["&amp;Selectivo6[[#Headers],[R4]]&amp;"]")),"60 DNC")</f>
        <v>44</v>
      </c>
      <c r="J128" s="19" t="str" cm="1">
        <f t="array" aca="1" ref="J128" ca="1">IFERROR(_xlfn.XLOOKUP(Selectivo6[[#This Row],[DNI]],S_S[DNI],INDIRECT("S_S["&amp;Selectivo6[[#Headers],[R5]]&amp;"]")),"60 DNC")</f>
        <v>28</v>
      </c>
      <c r="K128" s="19" t="str" cm="1">
        <f t="array" aca="1" ref="K128" ca="1">IFERROR(_xlfn.XLOOKUP(Selectivo6[[#This Row],[DNI]],S_S[DNI],INDIRECT("S_S["&amp;Selectivo6[[#Headers],[R6]]&amp;"]")),"60 DNC")</f>
        <v>47</v>
      </c>
      <c r="L128" s="19" t="str" cm="1">
        <f t="array" aca="1" ref="L128" ca="1">IFERROR(_xlfn.XLOOKUP(Selectivo6[[#This Row],[DNI]],S_S[DNI],INDIRECT("S_S["&amp;Selectivo6[[#Headers],[R7]]&amp;"]")),"60 DNC")</f>
        <v>31</v>
      </c>
      <c r="M128" s="20" t="str" cm="1">
        <f t="array" aca="1" ref="M128" ca="1">IFERROR(_xlfn.XLOOKUP(Selectivo6[[#This Row],[DNI]],S_S[DNI],INDIRECT("S_S["&amp;Selectivo6[[#Headers],[R8]]&amp;"]")),"60 DNC")</f>
        <v>54</v>
      </c>
      <c r="N128" s="19" t="str" cm="1">
        <f t="array" aca="1" ref="N128" ca="1">IFERROR(_xlfn.XLOOKUP(Selectivo6[[#This Row],[DNI]],S_S[DNI],INDIRECT("S_S["&amp;Selectivo6[[#Headers],[R9]]&amp;"]")),"60 DNC")</f>
        <v>39</v>
      </c>
      <c r="O128" s="19" t="str">
        <f>IFERROR(_xlfn.XLOOKUP(Selectivo6[[#This Row],[DNI]],_VF2026[DNI],_VF2026[R1]),"65 DNC")</f>
        <v>12</v>
      </c>
      <c r="P128" s="19" t="str">
        <f>IFERROR(_xlfn.XLOOKUP(Selectivo6[[#This Row],[DNI]],_VF2026[DNI],_VF2026[R2]),"65 DNC")</f>
        <v>20</v>
      </c>
      <c r="Q128" s="19" t="str">
        <f>IFERROR(_xlfn.XLOOKUP(Selectivo6[[#This Row],[DNI]],_VF2026[DNI],_VF2026[R3]),"65 DNC")</f>
        <v>35</v>
      </c>
      <c r="R128" s="20" t="str">
        <f>IFERROR(_xlfn.XLOOKUP(Selectivo6[[#This Row],[DNI]],_VF2026[DNI],_VF2026[R4]),"65 DNC")</f>
        <v>51</v>
      </c>
      <c r="S128" s="19" t="str">
        <f>IFERROR(_xlfn.XLOOKUP(Selectivo6[[#This Row],[DNI]],_VF2026[DNI],_VF2026[R5]),"65 DNC")</f>
        <v>45</v>
      </c>
      <c r="T128" s="19" t="str">
        <f>IFERROR(_xlfn.XLOOKUP(Selectivo6[[#This Row],[DNI]],_VF2026[DNI],_VF2026[R6]),"65 DNC")</f>
        <v>49</v>
      </c>
      <c r="U128" s="19" t="str">
        <f>IFERROR(_xlfn.XLOOKUP(Selectivo6[[#This Row],[DNI]],_VF2026[DNI],_VF2026[R7]),"65 DNC")</f>
        <v>46</v>
      </c>
      <c r="V128" s="19" t="str">
        <f>IFERROR(_xlfn.XLOOKUP(Selectivo6[[#This Row],[DNI]],_VF2026[DNI],_VF2026[R8]),"65 DNC")</f>
        <v>35</v>
      </c>
      <c r="W128" s="19"/>
      <c r="X128" s="19"/>
      <c r="Y128" s="19"/>
      <c r="Z128" s="19"/>
      <c r="AA128" s="19"/>
      <c r="AB128" s="8" cm="1">
        <f t="array" aca="1" ref="AB128" ca="1">SUM(IFERROR(VALUE(LEFT(Regatas, FIND(" ",Regatas&amp; " ") - 1)), 0))</f>
        <v>663</v>
      </c>
      <c r="AC128" s="9" cm="1">
        <f t="array" aca="1" ref="AC12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558</v>
      </c>
      <c r="AD128" s="6" cm="1">
        <f t="array" aca="1" ref="AD128" ca="1">SMALL(_xlfn._xlws.FILTER(RegatasN, RegatasN&lt;&gt;0), 1)</f>
        <v>12</v>
      </c>
      <c r="AE128" s="6" cm="1">
        <f t="array" aca="1" ref="AE128" ca="1">SMALL(_xlfn._xlws.FILTER(RegatasN, RegatasN&lt;&gt;0), 2)</f>
        <v>20</v>
      </c>
      <c r="AF128" s="6" cm="1">
        <f t="array" aca="1" ref="AF128" ca="1">SMALL(_xlfn._xlws.FILTER(RegatasN, RegatasN&lt;&gt;0), 3)</f>
        <v>28</v>
      </c>
      <c r="AG128" s="5" cm="1">
        <f t="array" aca="1" ref="AG128" ca="1">COUNTIF(Regatas,SMALL(_xlfn._xlws.FILTER(RegatasN, RegatasN&lt;&gt;0), 1))</f>
        <v>1</v>
      </c>
      <c r="AH128" s="6" t="e" cm="1">
        <f t="array" ref="AH12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29" spans="1:34">
      <c r="A129">
        <v>51069814</v>
      </c>
      <c r="B129" s="10">
        <f>ROW()-ROW(Selectivo6[[#Headers],[Pos]])</f>
        <v>123</v>
      </c>
      <c r="C129" s="5">
        <v>4091</v>
      </c>
      <c r="D129" t="s">
        <v>476</v>
      </c>
      <c r="E129" t="s">
        <v>5</v>
      </c>
      <c r="F129" s="19" t="str" cm="1">
        <f t="array" aca="1" ref="F129" ca="1">IFERROR(_xlfn.XLOOKUP(Selectivo6[[#This Row],[DNI]],S_S[DNI],INDIRECT("S_S["&amp;Selectivo6[[#Headers],[R1]]&amp;"]")),"60 DNC")</f>
        <v>49</v>
      </c>
      <c r="G129" s="19" t="str" cm="1">
        <f t="array" aca="1" ref="G129" ca="1">IFERROR(_xlfn.XLOOKUP(Selectivo6[[#This Row],[DNI]],S_S[DNI],INDIRECT("S_S["&amp;Selectivo6[[#Headers],[R2]]&amp;"]")),"60 DNC")</f>
        <v>50</v>
      </c>
      <c r="H129" s="19" t="str" cm="1">
        <f t="array" aca="1" ref="H129" ca="1">IFERROR(_xlfn.XLOOKUP(Selectivo6[[#This Row],[DNI]],S_S[DNI],INDIRECT("S_S["&amp;Selectivo6[[#Headers],[R3]]&amp;"]")),"60 DNC")</f>
        <v>53</v>
      </c>
      <c r="I129" s="20" t="str" cm="1">
        <f t="array" aca="1" ref="I129" ca="1">IFERROR(_xlfn.XLOOKUP(Selectivo6[[#This Row],[DNI]],S_S[DNI],INDIRECT("S_S["&amp;Selectivo6[[#Headers],[R4]]&amp;"]")),"60 DNC")</f>
        <v>60 DNF</v>
      </c>
      <c r="J129" s="19" t="str" cm="1">
        <f t="array" aca="1" ref="J129" ca="1">IFERROR(_xlfn.XLOOKUP(Selectivo6[[#This Row],[DNI]],S_S[DNI],INDIRECT("S_S["&amp;Selectivo6[[#Headers],[R5]]&amp;"]")),"60 DNC")</f>
        <v>49</v>
      </c>
      <c r="K129" s="19" t="str" cm="1">
        <f t="array" aca="1" ref="K129" ca="1">IFERROR(_xlfn.XLOOKUP(Selectivo6[[#This Row],[DNI]],S_S[DNI],INDIRECT("S_S["&amp;Selectivo6[[#Headers],[R6]]&amp;"]")),"60 DNC")</f>
        <v>20</v>
      </c>
      <c r="L129" s="19" t="str" cm="1">
        <f t="array" aca="1" ref="L129" ca="1">IFERROR(_xlfn.XLOOKUP(Selectivo6[[#This Row],[DNI]],S_S[DNI],INDIRECT("S_S["&amp;Selectivo6[[#Headers],[R7]]&amp;"]")),"60 DNC")</f>
        <v>28</v>
      </c>
      <c r="M129" s="19" t="str" cm="1">
        <f t="array" aca="1" ref="M129" ca="1">IFERROR(_xlfn.XLOOKUP(Selectivo6[[#This Row],[DNI]],S_S[DNI],INDIRECT("S_S["&amp;Selectivo6[[#Headers],[R8]]&amp;"]")),"60 DNC")</f>
        <v>36</v>
      </c>
      <c r="N129" s="19" t="str" cm="1">
        <f t="array" aca="1" ref="N129" ca="1">IFERROR(_xlfn.XLOOKUP(Selectivo6[[#This Row],[DNI]],S_S[DNI],INDIRECT("S_S["&amp;Selectivo6[[#Headers],[R9]]&amp;"]")),"60 DNC")</f>
        <v>29</v>
      </c>
      <c r="O129" s="19" t="str">
        <f>IFERROR(_xlfn.XLOOKUP(Selectivo6[[#This Row],[DNI]],_VF2026[DNI],_VF2026[R1]),"65 DNC")</f>
        <v>35</v>
      </c>
      <c r="P129" s="19" t="str">
        <f>IFERROR(_xlfn.XLOOKUP(Selectivo6[[#This Row],[DNI]],_VF2026[DNI],_VF2026[R2]),"65 DNC")</f>
        <v>26</v>
      </c>
      <c r="Q129" s="19" t="str">
        <f>IFERROR(_xlfn.XLOOKUP(Selectivo6[[#This Row],[DNI]],_VF2026[DNI],_VF2026[R3]),"65 DNC")</f>
        <v>33</v>
      </c>
      <c r="R129" s="19" t="str">
        <f>IFERROR(_xlfn.XLOOKUP(Selectivo6[[#This Row],[DNI]],_VF2026[DNI],_VF2026[R4]),"65 DNC")</f>
        <v>32</v>
      </c>
      <c r="S129" s="19" t="str">
        <f>IFERROR(_xlfn.XLOOKUP(Selectivo6[[#This Row],[DNI]],_VF2026[DNI],_VF2026[R5]),"65 DNC")</f>
        <v>52</v>
      </c>
      <c r="T129" s="19" t="str">
        <f>IFERROR(_xlfn.XLOOKUP(Selectivo6[[#This Row],[DNI]],_VF2026[DNI],_VF2026[R6]),"65 DNC")</f>
        <v>27</v>
      </c>
      <c r="U129" s="19" t="str">
        <f>IFERROR(_xlfn.XLOOKUP(Selectivo6[[#This Row],[DNI]],_VF2026[DNI],_VF2026[R7]),"65 DNC")</f>
        <v>44</v>
      </c>
      <c r="V129" s="20" t="str">
        <f>IFERROR(_xlfn.XLOOKUP(Selectivo6[[#This Row],[DNI]],_VF2026[DNI],_VF2026[R8]),"65 DNC")</f>
        <v>65 BFD</v>
      </c>
      <c r="W129" s="19"/>
      <c r="X129" s="19"/>
      <c r="Y129" s="19"/>
      <c r="Z129" s="19"/>
      <c r="AA129" s="19"/>
      <c r="AB129" s="8" cm="1">
        <f t="array" aca="1" ref="AB129" ca="1">SUM(IFERROR(VALUE(LEFT(Regatas, FIND(" ",Regatas&amp; " ") - 1)), 0))</f>
        <v>688</v>
      </c>
      <c r="AC129" s="9" cm="1">
        <f t="array" aca="1" ref="AC12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563</v>
      </c>
      <c r="AD129" s="6" cm="1">
        <f t="array" aca="1" ref="AD129" ca="1">SMALL(_xlfn._xlws.FILTER(RegatasN, RegatasN&lt;&gt;0), 1)</f>
        <v>20</v>
      </c>
      <c r="AE129" s="6" cm="1">
        <f t="array" aca="1" ref="AE129" ca="1">SMALL(_xlfn._xlws.FILTER(RegatasN, RegatasN&lt;&gt;0), 2)</f>
        <v>26</v>
      </c>
      <c r="AF129" s="6" cm="1">
        <f t="array" aca="1" ref="AF129" ca="1">SMALL(_xlfn._xlws.FILTER(RegatasN, RegatasN&lt;&gt;0), 3)</f>
        <v>27</v>
      </c>
      <c r="AG129" s="5" cm="1">
        <f t="array" aca="1" ref="AG129" ca="1">COUNTIF(Regatas,SMALL(_xlfn._xlws.FILTER(RegatasN, RegatasN&lt;&gt;0), 1))</f>
        <v>1</v>
      </c>
      <c r="AH129" s="6" t="e" cm="1">
        <f t="array" ref="AH12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0" spans="1:34">
      <c r="A130">
        <v>52441977</v>
      </c>
      <c r="B130" s="10">
        <f>ROW()-ROW(Selectivo6[[#Headers],[Pos]])</f>
        <v>124</v>
      </c>
      <c r="C130" s="5">
        <v>3970</v>
      </c>
      <c r="D130" t="s">
        <v>465</v>
      </c>
      <c r="E130" t="s">
        <v>21</v>
      </c>
      <c r="F130" s="19" t="str" cm="1">
        <f t="array" aca="1" ref="F130" ca="1">IFERROR(_xlfn.XLOOKUP(Selectivo6[[#This Row],[DNI]],S_S[DNI],INDIRECT("S_S["&amp;Selectivo6[[#Headers],[R1]]&amp;"]")),"60 DNC")</f>
        <v>36</v>
      </c>
      <c r="G130" s="19" t="str" cm="1">
        <f t="array" aca="1" ref="G130" ca="1">IFERROR(_xlfn.XLOOKUP(Selectivo6[[#This Row],[DNI]],S_S[DNI],INDIRECT("S_S["&amp;Selectivo6[[#Headers],[R2]]&amp;"]")),"60 DNC")</f>
        <v>28</v>
      </c>
      <c r="H130" s="19" t="str" cm="1">
        <f t="array" aca="1" ref="H130" ca="1">IFERROR(_xlfn.XLOOKUP(Selectivo6[[#This Row],[DNI]],S_S[DNI],INDIRECT("S_S["&amp;Selectivo6[[#Headers],[R3]]&amp;"]")),"60 DNC")</f>
        <v>47</v>
      </c>
      <c r="I130" s="19" t="str" cm="1">
        <f t="array" aca="1" ref="I130" ca="1">IFERROR(_xlfn.XLOOKUP(Selectivo6[[#This Row],[DNI]],S_S[DNI],INDIRECT("S_S["&amp;Selectivo6[[#Headers],[R4]]&amp;"]")),"60 DNC")</f>
        <v>34</v>
      </c>
      <c r="J130" s="19" t="str" cm="1">
        <f t="array" aca="1" ref="J130" ca="1">IFERROR(_xlfn.XLOOKUP(Selectivo6[[#This Row],[DNI]],S_S[DNI],INDIRECT("S_S["&amp;Selectivo6[[#Headers],[R5]]&amp;"]")),"60 DNC")</f>
        <v>24</v>
      </c>
      <c r="K130" s="19" t="str" cm="1">
        <f t="array" aca="1" ref="K130" ca="1">IFERROR(_xlfn.XLOOKUP(Selectivo6[[#This Row],[DNI]],S_S[DNI],INDIRECT("S_S["&amp;Selectivo6[[#Headers],[R6]]&amp;"]")),"60 DNC")</f>
        <v>39</v>
      </c>
      <c r="L130" s="19" t="str" cm="1">
        <f t="array" aca="1" ref="L130" ca="1">IFERROR(_xlfn.XLOOKUP(Selectivo6[[#This Row],[DNI]],S_S[DNI],INDIRECT("S_S["&amp;Selectivo6[[#Headers],[R7]]&amp;"]")),"60 DNC")</f>
        <v>60 DNC</v>
      </c>
      <c r="M130" s="19" t="str" cm="1">
        <f t="array" aca="1" ref="M130" ca="1">IFERROR(_xlfn.XLOOKUP(Selectivo6[[#This Row],[DNI]],S_S[DNI],INDIRECT("S_S["&amp;Selectivo6[[#Headers],[R8]]&amp;"]")),"60 DNC")</f>
        <v>49</v>
      </c>
      <c r="N130" s="19" t="str" cm="1">
        <f t="array" aca="1" ref="N130" ca="1">IFERROR(_xlfn.XLOOKUP(Selectivo6[[#This Row],[DNI]],S_S[DNI],INDIRECT("S_S["&amp;Selectivo6[[#Headers],[R9]]&amp;"]")),"60 DNC")</f>
        <v>43</v>
      </c>
      <c r="O130" s="19" t="str">
        <f>IFERROR(_xlfn.XLOOKUP(Selectivo6[[#This Row],[DNI]],_VF2026[DNI],_VF2026[R1]),"65 DNC")</f>
        <v>46</v>
      </c>
      <c r="P130" s="19" t="str">
        <f>IFERROR(_xlfn.XLOOKUP(Selectivo6[[#This Row],[DNI]],_VF2026[DNI],_VF2026[R2]),"65 DNC")</f>
        <v>36</v>
      </c>
      <c r="Q130" s="19" t="str">
        <f>IFERROR(_xlfn.XLOOKUP(Selectivo6[[#This Row],[DNI]],_VF2026[DNI],_VF2026[R3]),"65 DNC")</f>
        <v>27</v>
      </c>
      <c r="R130" s="19" t="str">
        <f>IFERROR(_xlfn.XLOOKUP(Selectivo6[[#This Row],[DNI]],_VF2026[DNI],_VF2026[R4]),"65 DNC")</f>
        <v>30</v>
      </c>
      <c r="S130" s="19" t="str">
        <f>IFERROR(_xlfn.XLOOKUP(Selectivo6[[#This Row],[DNI]],_VF2026[DNI],_VF2026[R5]),"65 DNC")</f>
        <v>41</v>
      </c>
      <c r="T130" s="20" t="str">
        <f>IFERROR(_xlfn.XLOOKUP(Selectivo6[[#This Row],[DNI]],_VF2026[DNI],_VF2026[R6]),"65 DNC")</f>
        <v>65 BFD</v>
      </c>
      <c r="U130" s="20" t="str">
        <f>IFERROR(_xlfn.XLOOKUP(Selectivo6[[#This Row],[DNI]],_VF2026[DNI],_VF2026[R7]),"65 DNC")</f>
        <v>65 BFD</v>
      </c>
      <c r="V130" s="19" t="str">
        <f>IFERROR(_xlfn.XLOOKUP(Selectivo6[[#This Row],[DNI]],_VF2026[DNI],_VF2026[R8]),"65 DNC")</f>
        <v>29</v>
      </c>
      <c r="W130" s="19"/>
      <c r="X130" s="19"/>
      <c r="Y130" s="19"/>
      <c r="Z130" s="19"/>
      <c r="AA130" s="19"/>
      <c r="AB130" s="8" cm="1">
        <f t="array" aca="1" ref="AB130" ca="1">SUM(IFERROR(VALUE(LEFT(Regatas, FIND(" ",Regatas&amp; " ") - 1)), 0))</f>
        <v>699</v>
      </c>
      <c r="AC130" s="9" cm="1">
        <f t="array" aca="1" ref="AC13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569</v>
      </c>
      <c r="AD130" s="6" cm="1">
        <f t="array" aca="1" ref="AD130" ca="1">SMALL(_xlfn._xlws.FILTER(RegatasN, RegatasN&lt;&gt;0), 1)</f>
        <v>24</v>
      </c>
      <c r="AE130" s="6" cm="1">
        <f t="array" aca="1" ref="AE130" ca="1">SMALL(_xlfn._xlws.FILTER(RegatasN, RegatasN&lt;&gt;0), 2)</f>
        <v>27</v>
      </c>
      <c r="AF130" s="6" cm="1">
        <f t="array" aca="1" ref="AF130" ca="1">SMALL(_xlfn._xlws.FILTER(RegatasN, RegatasN&lt;&gt;0), 3)</f>
        <v>28</v>
      </c>
      <c r="AG130" s="5" cm="1">
        <f t="array" aca="1" ref="AG130" ca="1">COUNTIF(Regatas,SMALL(_xlfn._xlws.FILTER(RegatasN, RegatasN&lt;&gt;0), 1))</f>
        <v>1</v>
      </c>
      <c r="AH130" s="6" t="e" cm="1">
        <f t="array" ref="AH13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1" spans="1:34">
      <c r="A131">
        <v>53240699</v>
      </c>
      <c r="B131" s="10">
        <f>ROW()-ROW(Selectivo6[[#Headers],[Pos]])</f>
        <v>125</v>
      </c>
      <c r="C131" s="5">
        <v>4048</v>
      </c>
      <c r="D131" t="s">
        <v>495</v>
      </c>
      <c r="E131" t="s">
        <v>21</v>
      </c>
      <c r="F131" s="19" t="str" cm="1">
        <f t="array" aca="1" ref="F131" ca="1">IFERROR(_xlfn.XLOOKUP(Selectivo6[[#This Row],[DNI]],S_S[DNI],INDIRECT("S_S["&amp;Selectivo6[[#Headers],[R1]]&amp;"]")),"60 DNC")</f>
        <v>47</v>
      </c>
      <c r="G131" s="19" t="str" cm="1">
        <f t="array" aca="1" ref="G131" ca="1">IFERROR(_xlfn.XLOOKUP(Selectivo6[[#This Row],[DNI]],S_S[DNI],INDIRECT("S_S["&amp;Selectivo6[[#Headers],[R2]]&amp;"]")),"60 DNC")</f>
        <v>48</v>
      </c>
      <c r="H131" s="19" t="str" cm="1">
        <f t="array" aca="1" ref="H131" ca="1">IFERROR(_xlfn.XLOOKUP(Selectivo6[[#This Row],[DNI]],S_S[DNI],INDIRECT("S_S["&amp;Selectivo6[[#Headers],[R3]]&amp;"]")),"60 DNC")</f>
        <v>37</v>
      </c>
      <c r="I131" s="19" t="str" cm="1">
        <f t="array" aca="1" ref="I131" ca="1">IFERROR(_xlfn.XLOOKUP(Selectivo6[[#This Row],[DNI]],S_S[DNI],INDIRECT("S_S["&amp;Selectivo6[[#Headers],[R4]]&amp;"]")),"60 DNC")</f>
        <v>39</v>
      </c>
      <c r="J131" s="20" t="str" cm="1">
        <f t="array" aca="1" ref="J131" ca="1">IFERROR(_xlfn.XLOOKUP(Selectivo6[[#This Row],[DNI]],S_S[DNI],INDIRECT("S_S["&amp;Selectivo6[[#Headers],[R5]]&amp;"]")),"60 DNC")</f>
        <v>60 BFD</v>
      </c>
      <c r="K131" s="19" t="str" cm="1">
        <f t="array" aca="1" ref="K131" ca="1">IFERROR(_xlfn.XLOOKUP(Selectivo6[[#This Row],[DNI]],S_S[DNI],INDIRECT("S_S["&amp;Selectivo6[[#Headers],[R6]]&amp;"]")),"60 DNC")</f>
        <v>29</v>
      </c>
      <c r="L131" s="19" t="str" cm="1">
        <f t="array" aca="1" ref="L131" ca="1">IFERROR(_xlfn.XLOOKUP(Selectivo6[[#This Row],[DNI]],S_S[DNI],INDIRECT("S_S["&amp;Selectivo6[[#Headers],[R7]]&amp;"]")),"60 DNC")</f>
        <v>35</v>
      </c>
      <c r="M131" s="19" t="str" cm="1">
        <f t="array" aca="1" ref="M131" ca="1">IFERROR(_xlfn.XLOOKUP(Selectivo6[[#This Row],[DNI]],S_S[DNI],INDIRECT("S_S["&amp;Selectivo6[[#Headers],[R8]]&amp;"]")),"60 DNC")</f>
        <v>35</v>
      </c>
      <c r="N131" s="20" t="str" cm="1">
        <f t="array" aca="1" ref="N131" ca="1">IFERROR(_xlfn.XLOOKUP(Selectivo6[[#This Row],[DNI]],S_S[DNI],INDIRECT("S_S["&amp;Selectivo6[[#Headers],[R9]]&amp;"]")),"60 DNC")</f>
        <v>60 DNC</v>
      </c>
      <c r="O131" s="19" t="str">
        <f>IFERROR(_xlfn.XLOOKUP(Selectivo6[[#This Row],[DNI]],_VF2026[DNI],_VF2026[R1]),"65 DNC")</f>
        <v>49</v>
      </c>
      <c r="P131" s="19" t="str">
        <f>IFERROR(_xlfn.XLOOKUP(Selectivo6[[#This Row],[DNI]],_VF2026[DNI],_VF2026[R2]),"65 DNC")</f>
        <v>46</v>
      </c>
      <c r="Q131" s="19" t="str">
        <f>IFERROR(_xlfn.XLOOKUP(Selectivo6[[#This Row],[DNI]],_VF2026[DNI],_VF2026[R3]),"65 DNC")</f>
        <v>42</v>
      </c>
      <c r="R131" s="19" t="str">
        <f>IFERROR(_xlfn.XLOOKUP(Selectivo6[[#This Row],[DNI]],_VF2026[DNI],_VF2026[R4]),"65 DNC")</f>
        <v>42</v>
      </c>
      <c r="S131" s="19" t="str">
        <f>IFERROR(_xlfn.XLOOKUP(Selectivo6[[#This Row],[DNI]],_VF2026[DNI],_VF2026[R5]),"65 DNC")</f>
        <v>41</v>
      </c>
      <c r="T131" s="19" t="str">
        <f>IFERROR(_xlfn.XLOOKUP(Selectivo6[[#This Row],[DNI]],_VF2026[DNI],_VF2026[R6]),"65 DNC")</f>
        <v>15</v>
      </c>
      <c r="U131" s="19" t="str">
        <f>IFERROR(_xlfn.XLOOKUP(Selectivo6[[#This Row],[DNI]],_VF2026[DNI],_VF2026[R7]),"65 DNC")</f>
        <v>42</v>
      </c>
      <c r="V131" s="19" t="str">
        <f>IFERROR(_xlfn.XLOOKUP(Selectivo6[[#This Row],[DNI]],_VF2026[DNI],_VF2026[R8]),"65 DNC")</f>
        <v>29</v>
      </c>
      <c r="W131" s="19"/>
      <c r="X131" s="19"/>
      <c r="Y131" s="19"/>
      <c r="Z131" s="19"/>
      <c r="AA131" s="19"/>
      <c r="AB131" s="8" cm="1">
        <f t="array" aca="1" ref="AB131" ca="1">SUM(IFERROR(VALUE(LEFT(Regatas, FIND(" ",Regatas&amp; " ") - 1)), 0))</f>
        <v>696</v>
      </c>
      <c r="AC131" s="9" cm="1">
        <f t="array" aca="1" ref="AC13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576</v>
      </c>
      <c r="AD131" s="6" cm="1">
        <f t="array" aca="1" ref="AD131" ca="1">SMALL(_xlfn._xlws.FILTER(RegatasN, RegatasN&lt;&gt;0), 1)</f>
        <v>15</v>
      </c>
      <c r="AE131" s="6" cm="1">
        <f t="array" aca="1" ref="AE131" ca="1">SMALL(_xlfn._xlws.FILTER(RegatasN, RegatasN&lt;&gt;0), 2)</f>
        <v>29</v>
      </c>
      <c r="AF131" s="6" cm="1">
        <f t="array" aca="1" ref="AF131" ca="1">SMALL(_xlfn._xlws.FILTER(RegatasN, RegatasN&lt;&gt;0), 3)</f>
        <v>29</v>
      </c>
      <c r="AG131" s="5" cm="1">
        <f t="array" aca="1" ref="AG131" ca="1">COUNTIF(Regatas,SMALL(_xlfn._xlws.FILTER(RegatasN, RegatasN&lt;&gt;0), 1))</f>
        <v>1</v>
      </c>
      <c r="AH131" s="6" t="e" cm="1">
        <f t="array" ref="AH13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2" spans="1:34">
      <c r="A132">
        <v>52373551</v>
      </c>
      <c r="B132" s="10">
        <f>ROW()-ROW(Selectivo6[[#Headers],[Pos]])</f>
        <v>126</v>
      </c>
      <c r="C132" s="5">
        <v>4264</v>
      </c>
      <c r="D132" t="s">
        <v>472</v>
      </c>
      <c r="E132" t="s">
        <v>17</v>
      </c>
      <c r="F132" s="19" t="str" cm="1">
        <f t="array" aca="1" ref="F132" ca="1">IFERROR(_xlfn.XLOOKUP(Selectivo6[[#This Row],[DNI]],S_S[DNI],INDIRECT("S_S["&amp;Selectivo6[[#Headers],[R1]]&amp;"]")),"60 DNC")</f>
        <v>48</v>
      </c>
      <c r="G132" s="19" t="str" cm="1">
        <f t="array" aca="1" ref="G132" ca="1">IFERROR(_xlfn.XLOOKUP(Selectivo6[[#This Row],[DNI]],S_S[DNI],INDIRECT("S_S["&amp;Selectivo6[[#Headers],[R2]]&amp;"]")),"60 DNC")</f>
        <v>42</v>
      </c>
      <c r="H132" s="19" t="str" cm="1">
        <f t="array" aca="1" ref="H132" ca="1">IFERROR(_xlfn.XLOOKUP(Selectivo6[[#This Row],[DNI]],S_S[DNI],INDIRECT("S_S["&amp;Selectivo6[[#Headers],[R3]]&amp;"]")),"60 DNC")</f>
        <v>38</v>
      </c>
      <c r="I132" s="20" t="str" cm="1">
        <f t="array" aca="1" ref="I132" ca="1">IFERROR(_xlfn.XLOOKUP(Selectivo6[[#This Row],[DNI]],S_S[DNI],INDIRECT("S_S["&amp;Selectivo6[[#Headers],[R4]]&amp;"]")),"60 DNC")</f>
        <v>53</v>
      </c>
      <c r="J132" s="19" t="str" cm="1">
        <f t="array" aca="1" ref="J132" ca="1">IFERROR(_xlfn.XLOOKUP(Selectivo6[[#This Row],[DNI]],S_S[DNI],INDIRECT("S_S["&amp;Selectivo6[[#Headers],[R5]]&amp;"]")),"60 DNC")</f>
        <v>47</v>
      </c>
      <c r="K132" s="19" t="str" cm="1">
        <f t="array" aca="1" ref="K132" ca="1">IFERROR(_xlfn.XLOOKUP(Selectivo6[[#This Row],[DNI]],S_S[DNI],INDIRECT("S_S["&amp;Selectivo6[[#Headers],[R6]]&amp;"]")),"60 DNC")</f>
        <v>19</v>
      </c>
      <c r="L132" s="19" t="str" cm="1">
        <f t="array" aca="1" ref="L132" ca="1">IFERROR(_xlfn.XLOOKUP(Selectivo6[[#This Row],[DNI]],S_S[DNI],INDIRECT("S_S["&amp;Selectivo6[[#Headers],[R7]]&amp;"]")),"60 DNC")</f>
        <v>32</v>
      </c>
      <c r="M132" s="19" t="str" cm="1">
        <f t="array" aca="1" ref="M132" ca="1">IFERROR(_xlfn.XLOOKUP(Selectivo6[[#This Row],[DNI]],S_S[DNI],INDIRECT("S_S["&amp;Selectivo6[[#Headers],[R8]]&amp;"]")),"60 DNC")</f>
        <v>35</v>
      </c>
      <c r="N132" s="19" t="str" cm="1">
        <f t="array" aca="1" ref="N132" ca="1">IFERROR(_xlfn.XLOOKUP(Selectivo6[[#This Row],[DNI]],S_S[DNI],INDIRECT("S_S["&amp;Selectivo6[[#Headers],[R9]]&amp;"]")),"60 DNC")</f>
        <v>45</v>
      </c>
      <c r="O132" s="19" t="str">
        <f>IFERROR(_xlfn.XLOOKUP(Selectivo6[[#This Row],[DNI]],_VF2026[DNI],_VF2026[R1]),"65 DNC")</f>
        <v>33</v>
      </c>
      <c r="P132" s="19" t="str">
        <f>IFERROR(_xlfn.XLOOKUP(Selectivo6[[#This Row],[DNI]],_VF2026[DNI],_VF2026[R2]),"65 DNC")</f>
        <v>38</v>
      </c>
      <c r="Q132" s="19" t="str">
        <f>IFERROR(_xlfn.XLOOKUP(Selectivo6[[#This Row],[DNI]],_VF2026[DNI],_VF2026[R3]),"65 DNC")</f>
        <v>43</v>
      </c>
      <c r="R132" s="19" t="str">
        <f>IFERROR(_xlfn.XLOOKUP(Selectivo6[[#This Row],[DNI]],_VF2026[DNI],_VF2026[R4]),"65 DNC")</f>
        <v>29</v>
      </c>
      <c r="S132" s="19" t="str">
        <f>IFERROR(_xlfn.XLOOKUP(Selectivo6[[#This Row],[DNI]],_VF2026[DNI],_VF2026[R5]),"65 DNC")</f>
        <v>45</v>
      </c>
      <c r="T132" s="19" t="str">
        <f>IFERROR(_xlfn.XLOOKUP(Selectivo6[[#This Row],[DNI]],_VF2026[DNI],_VF2026[R6]),"65 DNC")</f>
        <v>45</v>
      </c>
      <c r="U132" s="19" t="str">
        <f>IFERROR(_xlfn.XLOOKUP(Selectivo6[[#This Row],[DNI]],_VF2026[DNI],_VF2026[R7]),"65 DNC")</f>
        <v>43</v>
      </c>
      <c r="V132" s="20" t="str">
        <f>IFERROR(_xlfn.XLOOKUP(Selectivo6[[#This Row],[DNI]],_VF2026[DNI],_VF2026[R8]),"65 DNC")</f>
        <v>65 BFD</v>
      </c>
      <c r="W132" s="19"/>
      <c r="X132" s="19"/>
      <c r="Y132" s="19"/>
      <c r="Z132" s="19"/>
      <c r="AA132" s="19"/>
      <c r="AB132" s="8" cm="1">
        <f t="array" aca="1" ref="AB132" ca="1">SUM(IFERROR(VALUE(LEFT(Regatas, FIND(" ",Regatas&amp; " ") - 1)), 0))</f>
        <v>700</v>
      </c>
      <c r="AC132" s="9" cm="1">
        <f t="array" aca="1" ref="AC13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582</v>
      </c>
      <c r="AD132" s="6" cm="1">
        <f t="array" aca="1" ref="AD132" ca="1">SMALL(_xlfn._xlws.FILTER(RegatasN, RegatasN&lt;&gt;0), 1)</f>
        <v>19</v>
      </c>
      <c r="AE132" s="6" cm="1">
        <f t="array" aca="1" ref="AE132" ca="1">SMALL(_xlfn._xlws.FILTER(RegatasN, RegatasN&lt;&gt;0), 2)</f>
        <v>29</v>
      </c>
      <c r="AF132" s="6" cm="1">
        <f t="array" aca="1" ref="AF132" ca="1">SMALL(_xlfn._xlws.FILTER(RegatasN, RegatasN&lt;&gt;0), 3)</f>
        <v>32</v>
      </c>
      <c r="AG132" s="5" cm="1">
        <f t="array" aca="1" ref="AG132" ca="1">COUNTIF(Regatas,SMALL(_xlfn._xlws.FILTER(RegatasN, RegatasN&lt;&gt;0), 1))</f>
        <v>1</v>
      </c>
      <c r="AH132" s="6" t="e" cm="1">
        <f t="array" ref="AH13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3" spans="1:34">
      <c r="A133">
        <v>53242979</v>
      </c>
      <c r="B133" s="10">
        <f>ROW()-ROW(Selectivo6[[#Headers],[Pos]])</f>
        <v>127</v>
      </c>
      <c r="C133" s="5">
        <v>3688</v>
      </c>
      <c r="D133" t="s">
        <v>489</v>
      </c>
      <c r="E133" t="s">
        <v>26</v>
      </c>
      <c r="F133" s="19" t="str" cm="1">
        <f t="array" aca="1" ref="F133" ca="1">IFERROR(_xlfn.XLOOKUP(Selectivo6[[#This Row],[DNI]],S_S[DNI],INDIRECT("S_S["&amp;Selectivo6[[#Headers],[R1]]&amp;"]")),"60 DNC")</f>
        <v>32</v>
      </c>
      <c r="G133" s="19" t="str" cm="1">
        <f t="array" aca="1" ref="G133" ca="1">IFERROR(_xlfn.XLOOKUP(Selectivo6[[#This Row],[DNI]],S_S[DNI],INDIRECT("S_S["&amp;Selectivo6[[#Headers],[R2]]&amp;"]")),"60 DNC")</f>
        <v>34</v>
      </c>
      <c r="H133" s="20" t="str" cm="1">
        <f t="array" aca="1" ref="H133" ca="1">IFERROR(_xlfn.XLOOKUP(Selectivo6[[#This Row],[DNI]],S_S[DNI],INDIRECT("S_S["&amp;Selectivo6[[#Headers],[R3]]&amp;"]")),"60 DNC")</f>
        <v>56</v>
      </c>
      <c r="I133" s="19" t="str" cm="1">
        <f t="array" aca="1" ref="I133" ca="1">IFERROR(_xlfn.XLOOKUP(Selectivo6[[#This Row],[DNI]],S_S[DNI],INDIRECT("S_S["&amp;Selectivo6[[#Headers],[R4]]&amp;"]")),"60 DNC")</f>
        <v>32</v>
      </c>
      <c r="J133" s="19" t="str" cm="1">
        <f t="array" aca="1" ref="J133" ca="1">IFERROR(_xlfn.XLOOKUP(Selectivo6[[#This Row],[DNI]],S_S[DNI],INDIRECT("S_S["&amp;Selectivo6[[#Headers],[R5]]&amp;"]")),"60 DNC")</f>
        <v>29</v>
      </c>
      <c r="K133" s="19" t="str" cm="1">
        <f t="array" aca="1" ref="K133" ca="1">IFERROR(_xlfn.XLOOKUP(Selectivo6[[#This Row],[DNI]],S_S[DNI],INDIRECT("S_S["&amp;Selectivo6[[#Headers],[R6]]&amp;"]")),"60 DNC")</f>
        <v>52</v>
      </c>
      <c r="L133" s="19" t="str" cm="1">
        <f t="array" aca="1" ref="L133" ca="1">IFERROR(_xlfn.XLOOKUP(Selectivo6[[#This Row],[DNI]],S_S[DNI],INDIRECT("S_S["&amp;Selectivo6[[#Headers],[R7]]&amp;"]")),"60 DNC")</f>
        <v>51</v>
      </c>
      <c r="M133" s="19" t="str" cm="1">
        <f t="array" aca="1" ref="M133" ca="1">IFERROR(_xlfn.XLOOKUP(Selectivo6[[#This Row],[DNI]],S_S[DNI],INDIRECT("S_S["&amp;Selectivo6[[#Headers],[R8]]&amp;"]")),"60 DNC")</f>
        <v>40</v>
      </c>
      <c r="N133" s="20" t="str" cm="1">
        <f t="array" aca="1" ref="N133" ca="1">IFERROR(_xlfn.XLOOKUP(Selectivo6[[#This Row],[DNI]],S_S[DNI],INDIRECT("S_S["&amp;Selectivo6[[#Headers],[R9]]&amp;"]")),"60 DNC")</f>
        <v>60 DNC</v>
      </c>
      <c r="O133" s="19" t="str">
        <f>IFERROR(_xlfn.XLOOKUP(Selectivo6[[#This Row],[DNI]],_VF2026[DNI],_VF2026[R1]),"65 DNC")</f>
        <v>43</v>
      </c>
      <c r="P133" s="19" t="str">
        <f>IFERROR(_xlfn.XLOOKUP(Selectivo6[[#This Row],[DNI]],_VF2026[DNI],_VF2026[R2]),"65 DNC")</f>
        <v>50</v>
      </c>
      <c r="Q133" s="19" t="str">
        <f>IFERROR(_xlfn.XLOOKUP(Selectivo6[[#This Row],[DNI]],_VF2026[DNI],_VF2026[R3]),"65 DNC")</f>
        <v>52</v>
      </c>
      <c r="R133" s="19" t="str">
        <f>IFERROR(_xlfn.XLOOKUP(Selectivo6[[#This Row],[DNI]],_VF2026[DNI],_VF2026[R4]),"65 DNC")</f>
        <v>47</v>
      </c>
      <c r="S133" s="19" t="str">
        <f>IFERROR(_xlfn.XLOOKUP(Selectivo6[[#This Row],[DNI]],_VF2026[DNI],_VF2026[R5]),"65 DNC")</f>
        <v>43</v>
      </c>
      <c r="T133" s="19" t="str">
        <f>IFERROR(_xlfn.XLOOKUP(Selectivo6[[#This Row],[DNI]],_VF2026[DNI],_VF2026[R6]),"65 DNC")</f>
        <v>48</v>
      </c>
      <c r="U133" s="19" t="str">
        <f>IFERROR(_xlfn.XLOOKUP(Selectivo6[[#This Row],[DNI]],_VF2026[DNI],_VF2026[R7]),"65 DNC")</f>
        <v>4</v>
      </c>
      <c r="V133" s="19" t="str">
        <f>IFERROR(_xlfn.XLOOKUP(Selectivo6[[#This Row],[DNI]],_VF2026[DNI],_VF2026[R8]),"65 DNC")</f>
        <v>27</v>
      </c>
      <c r="W133" s="19"/>
      <c r="X133" s="19"/>
      <c r="Y133" s="19"/>
      <c r="Z133" s="19"/>
      <c r="AA133" s="19"/>
      <c r="AB133" s="8" cm="1">
        <f t="array" aca="1" ref="AB133" ca="1">SUM(IFERROR(VALUE(LEFT(Regatas, FIND(" ",Regatas&amp; " ") - 1)), 0))</f>
        <v>700</v>
      </c>
      <c r="AC133" s="9" cm="1">
        <f t="array" aca="1" ref="AC13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584</v>
      </c>
      <c r="AD133" s="6" cm="1">
        <f t="array" aca="1" ref="AD133" ca="1">SMALL(_xlfn._xlws.FILTER(RegatasN, RegatasN&lt;&gt;0), 1)</f>
        <v>4</v>
      </c>
      <c r="AE133" s="6" cm="1">
        <f t="array" aca="1" ref="AE133" ca="1">SMALL(_xlfn._xlws.FILTER(RegatasN, RegatasN&lt;&gt;0), 2)</f>
        <v>27</v>
      </c>
      <c r="AF133" s="6" cm="1">
        <f t="array" aca="1" ref="AF133" ca="1">SMALL(_xlfn._xlws.FILTER(RegatasN, RegatasN&lt;&gt;0), 3)</f>
        <v>29</v>
      </c>
      <c r="AG133" s="5" cm="1">
        <f t="array" aca="1" ref="AG133" ca="1">COUNTIF(Regatas,SMALL(_xlfn._xlws.FILTER(RegatasN, RegatasN&lt;&gt;0), 1))</f>
        <v>1</v>
      </c>
      <c r="AH133" s="6" t="e" cm="1">
        <f t="array" ref="AH13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4" spans="1:34">
      <c r="A134">
        <v>53957972</v>
      </c>
      <c r="B134" s="10">
        <f>ROW()-ROW(Selectivo6[[#Headers],[Pos]])</f>
        <v>128</v>
      </c>
      <c r="C134" s="5">
        <v>3946</v>
      </c>
      <c r="D134" t="s">
        <v>506</v>
      </c>
      <c r="E134" t="s">
        <v>21</v>
      </c>
      <c r="F134" s="19" t="str" cm="1">
        <f t="array" aca="1" ref="F134" ca="1">IFERROR(_xlfn.XLOOKUP(Selectivo6[[#This Row],[DNI]],S_S[DNI],INDIRECT("S_S["&amp;Selectivo6[[#Headers],[R1]]&amp;"]")),"60 DNC")</f>
        <v>31</v>
      </c>
      <c r="G134" s="19" t="str" cm="1">
        <f t="array" aca="1" ref="G134" ca="1">IFERROR(_xlfn.XLOOKUP(Selectivo6[[#This Row],[DNI]],S_S[DNI],INDIRECT("S_S["&amp;Selectivo6[[#Headers],[R2]]&amp;"]")),"60 DNC")</f>
        <v>60 BFD</v>
      </c>
      <c r="H134" s="19" t="str" cm="1">
        <f t="array" aca="1" ref="H134" ca="1">IFERROR(_xlfn.XLOOKUP(Selectivo6[[#This Row],[DNI]],S_S[DNI],INDIRECT("S_S["&amp;Selectivo6[[#Headers],[R3]]&amp;"]")),"60 DNC")</f>
        <v>41</v>
      </c>
      <c r="I134" s="19" t="str" cm="1">
        <f t="array" aca="1" ref="I134" ca="1">IFERROR(_xlfn.XLOOKUP(Selectivo6[[#This Row],[DNI]],S_S[DNI],INDIRECT("S_S["&amp;Selectivo6[[#Headers],[R4]]&amp;"]")),"60 DNC")</f>
        <v>42</v>
      </c>
      <c r="J134" s="19" t="str" cm="1">
        <f t="array" aca="1" ref="J134" ca="1">IFERROR(_xlfn.XLOOKUP(Selectivo6[[#This Row],[DNI]],S_S[DNI],INDIRECT("S_S["&amp;Selectivo6[[#Headers],[R5]]&amp;"]")),"60 DNC")</f>
        <v>32</v>
      </c>
      <c r="K134" s="19" t="str" cm="1">
        <f t="array" aca="1" ref="K134" ca="1">IFERROR(_xlfn.XLOOKUP(Selectivo6[[#This Row],[DNI]],S_S[DNI],INDIRECT("S_S["&amp;Selectivo6[[#Headers],[R6]]&amp;"]")),"60 DNC")</f>
        <v>44</v>
      </c>
      <c r="L134" s="19" t="str" cm="1">
        <f t="array" aca="1" ref="L134" ca="1">IFERROR(_xlfn.XLOOKUP(Selectivo6[[#This Row],[DNI]],S_S[DNI],INDIRECT("S_S["&amp;Selectivo6[[#Headers],[R7]]&amp;"]")),"60 DNC")</f>
        <v>45</v>
      </c>
      <c r="M134" s="19" t="str" cm="1">
        <f t="array" aca="1" ref="M134" ca="1">IFERROR(_xlfn.XLOOKUP(Selectivo6[[#This Row],[DNI]],S_S[DNI],INDIRECT("S_S["&amp;Selectivo6[[#Headers],[R8]]&amp;"]")),"60 DNC")</f>
        <v>52</v>
      </c>
      <c r="N134" s="19" t="str" cm="1">
        <f t="array" aca="1" ref="N134" ca="1">IFERROR(_xlfn.XLOOKUP(Selectivo6[[#This Row],[DNI]],S_S[DNI],INDIRECT("S_S["&amp;Selectivo6[[#Headers],[R9]]&amp;"]")),"60 DNC")</f>
        <v>48</v>
      </c>
      <c r="O134" s="19" t="str">
        <f>IFERROR(_xlfn.XLOOKUP(Selectivo6[[#This Row],[DNI]],_VF2026[DNI],_VF2026[R1]),"65 DNC")</f>
        <v>36</v>
      </c>
      <c r="P134" s="20" t="str">
        <f>IFERROR(_xlfn.XLOOKUP(Selectivo6[[#This Row],[DNI]],_VF2026[DNI],_VF2026[R2]),"65 DNC")</f>
        <v>65 BFD</v>
      </c>
      <c r="Q134" s="19" t="str">
        <f>IFERROR(_xlfn.XLOOKUP(Selectivo6[[#This Row],[DNI]],_VF2026[DNI],_VF2026[R3]),"65 DNC")</f>
        <v>43</v>
      </c>
      <c r="R134" s="19" t="str">
        <f>IFERROR(_xlfn.XLOOKUP(Selectivo6[[#This Row],[DNI]],_VF2026[DNI],_VF2026[R4]),"65 DNC")</f>
        <v>47</v>
      </c>
      <c r="S134" s="19" t="str">
        <f>IFERROR(_xlfn.XLOOKUP(Selectivo6[[#This Row],[DNI]],_VF2026[DNI],_VF2026[R5]),"65 DNC")</f>
        <v>47</v>
      </c>
      <c r="T134" s="20" t="str">
        <f>IFERROR(_xlfn.XLOOKUP(Selectivo6[[#This Row],[DNI]],_VF2026[DNI],_VF2026[R6]),"65 DNC")</f>
        <v>65 BFD</v>
      </c>
      <c r="U134" s="19" t="str">
        <f>IFERROR(_xlfn.XLOOKUP(Selectivo6[[#This Row],[DNI]],_VF2026[DNI],_VF2026[R7]),"65 DNC")</f>
        <v>9</v>
      </c>
      <c r="V134" s="19" t="str">
        <f>IFERROR(_xlfn.XLOOKUP(Selectivo6[[#This Row],[DNI]],_VF2026[DNI],_VF2026[R8]),"65 DNC")</f>
        <v>11</v>
      </c>
      <c r="W134" s="19"/>
      <c r="X134" s="19"/>
      <c r="Y134" s="19"/>
      <c r="Z134" s="19"/>
      <c r="AA134" s="19"/>
      <c r="AB134" s="8" cm="1">
        <f t="array" aca="1" ref="AB134" ca="1">SUM(IFERROR(VALUE(LEFT(Regatas, FIND(" ",Regatas&amp; " ") - 1)), 0))</f>
        <v>718</v>
      </c>
      <c r="AC134" s="9" cm="1">
        <f t="array" aca="1" ref="AC13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588</v>
      </c>
      <c r="AD134" s="6" cm="1">
        <f t="array" aca="1" ref="AD134" ca="1">SMALL(_xlfn._xlws.FILTER(RegatasN, RegatasN&lt;&gt;0), 1)</f>
        <v>9</v>
      </c>
      <c r="AE134" s="6" cm="1">
        <f t="array" aca="1" ref="AE134" ca="1">SMALL(_xlfn._xlws.FILTER(RegatasN, RegatasN&lt;&gt;0), 2)</f>
        <v>11</v>
      </c>
      <c r="AF134" s="6" cm="1">
        <f t="array" aca="1" ref="AF134" ca="1">SMALL(_xlfn._xlws.FILTER(RegatasN, RegatasN&lt;&gt;0), 3)</f>
        <v>31</v>
      </c>
      <c r="AG134" s="5" cm="1">
        <f t="array" aca="1" ref="AG134" ca="1">COUNTIF(Regatas,SMALL(_xlfn._xlws.FILTER(RegatasN, RegatasN&lt;&gt;0), 1))</f>
        <v>1</v>
      </c>
      <c r="AH134" s="6" t="e" cm="1">
        <f t="array" ref="AH13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5" spans="1:34">
      <c r="A135">
        <v>53825401</v>
      </c>
      <c r="B135" s="10">
        <f>ROW()-ROW(Selectivo6[[#Headers],[Pos]])</f>
        <v>129</v>
      </c>
      <c r="C135" s="5">
        <v>3123</v>
      </c>
      <c r="D135" t="s">
        <v>502</v>
      </c>
      <c r="E135" t="s">
        <v>503</v>
      </c>
      <c r="F135" s="19" t="str" cm="1">
        <f t="array" aca="1" ref="F135" ca="1">IFERROR(_xlfn.XLOOKUP(Selectivo6[[#This Row],[DNI]],S_S[DNI],INDIRECT("S_S["&amp;Selectivo6[[#Headers],[R1]]&amp;"]")),"60 DNC")</f>
        <v>23</v>
      </c>
      <c r="G135" s="19" t="str" cm="1">
        <f t="array" aca="1" ref="G135" ca="1">IFERROR(_xlfn.XLOOKUP(Selectivo6[[#This Row],[DNI]],S_S[DNI],INDIRECT("S_S["&amp;Selectivo6[[#Headers],[R2]]&amp;"]")),"60 DNC")</f>
        <v>44</v>
      </c>
      <c r="H135" s="19" t="str" cm="1">
        <f t="array" aca="1" ref="H135" ca="1">IFERROR(_xlfn.XLOOKUP(Selectivo6[[#This Row],[DNI]],S_S[DNI],INDIRECT("S_S["&amp;Selectivo6[[#Headers],[R3]]&amp;"]")),"60 DNC")</f>
        <v>49</v>
      </c>
      <c r="I135" s="19" t="str" cm="1">
        <f t="array" aca="1" ref="I135" ca="1">IFERROR(_xlfn.XLOOKUP(Selectivo6[[#This Row],[DNI]],S_S[DNI],INDIRECT("S_S["&amp;Selectivo6[[#Headers],[R4]]&amp;"]")),"60 DNC")</f>
        <v>40</v>
      </c>
      <c r="J135" s="19" t="str" cm="1">
        <f t="array" aca="1" ref="J135" ca="1">IFERROR(_xlfn.XLOOKUP(Selectivo6[[#This Row],[DNI]],S_S[DNI],INDIRECT("S_S["&amp;Selectivo6[[#Headers],[R5]]&amp;"]")),"60 DNC")</f>
        <v>24</v>
      </c>
      <c r="K135" s="19" t="str" cm="1">
        <f t="array" aca="1" ref="K135" ca="1">IFERROR(_xlfn.XLOOKUP(Selectivo6[[#This Row],[DNI]],S_S[DNI],INDIRECT("S_S["&amp;Selectivo6[[#Headers],[R6]]&amp;"]")),"60 DNC")</f>
        <v>60 DNC</v>
      </c>
      <c r="L135" s="19" t="str" cm="1">
        <f t="array" aca="1" ref="L135" ca="1">IFERROR(_xlfn.XLOOKUP(Selectivo6[[#This Row],[DNI]],S_S[DNI],INDIRECT("S_S["&amp;Selectivo6[[#Headers],[R7]]&amp;"]")),"60 DNC")</f>
        <v>60 DNC</v>
      </c>
      <c r="M135" s="19" t="str" cm="1">
        <f t="array" aca="1" ref="M135" ca="1">IFERROR(_xlfn.XLOOKUP(Selectivo6[[#This Row],[DNI]],S_S[DNI],INDIRECT("S_S["&amp;Selectivo6[[#Headers],[R8]]&amp;"]")),"60 DNC")</f>
        <v>60 UFD</v>
      </c>
      <c r="N135" s="19" t="str" cm="1">
        <f t="array" aca="1" ref="N135" ca="1">IFERROR(_xlfn.XLOOKUP(Selectivo6[[#This Row],[DNI]],S_S[DNI],INDIRECT("S_S["&amp;Selectivo6[[#Headers],[R9]]&amp;"]")),"60 DNC")</f>
        <v>35</v>
      </c>
      <c r="O135" s="19" t="str">
        <f>IFERROR(_xlfn.XLOOKUP(Selectivo6[[#This Row],[DNI]],_VF2026[DNI],_VF2026[R1]),"65 DNC")</f>
        <v>39</v>
      </c>
      <c r="P135" s="19" t="str">
        <f>IFERROR(_xlfn.XLOOKUP(Selectivo6[[#This Row],[DNI]],_VF2026[DNI],_VF2026[R2]),"65 DNC")</f>
        <v>22</v>
      </c>
      <c r="Q135" s="20" t="str">
        <f>IFERROR(_xlfn.XLOOKUP(Selectivo6[[#This Row],[DNI]],_VF2026[DNI],_VF2026[R3]),"65 DNC")</f>
        <v>65 DNC</v>
      </c>
      <c r="R135" s="20" t="str">
        <f>IFERROR(_xlfn.XLOOKUP(Selectivo6[[#This Row],[DNI]],_VF2026[DNI],_VF2026[R4]),"65 DNC")</f>
        <v>65 DNC</v>
      </c>
      <c r="S135" s="19" t="str">
        <f>IFERROR(_xlfn.XLOOKUP(Selectivo6[[#This Row],[DNI]],_VF2026[DNI],_VF2026[R5]),"65 DNC")</f>
        <v>65 DNC</v>
      </c>
      <c r="T135" s="19" t="str">
        <f>IFERROR(_xlfn.XLOOKUP(Selectivo6[[#This Row],[DNI]],_VF2026[DNI],_VF2026[R6]),"65 DNC")</f>
        <v>30</v>
      </c>
      <c r="U135" s="19" t="str">
        <f>IFERROR(_xlfn.XLOOKUP(Selectivo6[[#This Row],[DNI]],_VF2026[DNI],_VF2026[R7]),"65 DNC")</f>
        <v>19</v>
      </c>
      <c r="V135" s="19" t="str">
        <f>IFERROR(_xlfn.XLOOKUP(Selectivo6[[#This Row],[DNI]],_VF2026[DNI],_VF2026[R8]),"65 DNC")</f>
        <v>33</v>
      </c>
      <c r="W135" s="19"/>
      <c r="X135" s="19"/>
      <c r="Y135" s="19"/>
      <c r="Z135" s="19"/>
      <c r="AA135" s="19"/>
      <c r="AB135" s="8" cm="1">
        <f t="array" aca="1" ref="AB135" ca="1">SUM(IFERROR(VALUE(LEFT(Regatas, FIND(" ",Regatas&amp; " ") - 1)), 0))</f>
        <v>733</v>
      </c>
      <c r="AC135" s="9" cm="1">
        <f t="array" aca="1" ref="AC13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603</v>
      </c>
      <c r="AD135" s="6" cm="1">
        <f t="array" aca="1" ref="AD135" ca="1">SMALL(_xlfn._xlws.FILTER(RegatasN, RegatasN&lt;&gt;0), 1)</f>
        <v>19</v>
      </c>
      <c r="AE135" s="6" cm="1">
        <f t="array" aca="1" ref="AE135" ca="1">SMALL(_xlfn._xlws.FILTER(RegatasN, RegatasN&lt;&gt;0), 2)</f>
        <v>22</v>
      </c>
      <c r="AF135" s="6" cm="1">
        <f t="array" aca="1" ref="AF135" ca="1">SMALL(_xlfn._xlws.FILTER(RegatasN, RegatasN&lt;&gt;0), 3)</f>
        <v>23</v>
      </c>
      <c r="AG135" s="5" cm="1">
        <f t="array" aca="1" ref="AG135" ca="1">COUNTIF(Regatas,SMALL(_xlfn._xlws.FILTER(RegatasN, RegatasN&lt;&gt;0), 1))</f>
        <v>1</v>
      </c>
      <c r="AH135" s="6" t="e" cm="1">
        <f t="array" ref="AH13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6" spans="1:34">
      <c r="A136">
        <v>52325904</v>
      </c>
      <c r="B136" s="10">
        <f>ROW()-ROW(Selectivo6[[#Headers],[Pos]])</f>
        <v>130</v>
      </c>
      <c r="C136" s="5">
        <v>4138</v>
      </c>
      <c r="D136" t="s">
        <v>462</v>
      </c>
      <c r="E136" t="s">
        <v>463</v>
      </c>
      <c r="F136" s="19" t="str" cm="1">
        <f t="array" aca="1" ref="F136" ca="1">IFERROR(_xlfn.XLOOKUP(Selectivo6[[#This Row],[DNI]],S_S[DNI],INDIRECT("S_S["&amp;Selectivo6[[#Headers],[R1]]&amp;"]")),"60 DNC")</f>
        <v>54</v>
      </c>
      <c r="G136" s="19" t="str" cm="1">
        <f t="array" aca="1" ref="G136" ca="1">IFERROR(_xlfn.XLOOKUP(Selectivo6[[#This Row],[DNI]],S_S[DNI],INDIRECT("S_S["&amp;Selectivo6[[#Headers],[R2]]&amp;"]")),"60 DNC")</f>
        <v>37</v>
      </c>
      <c r="H136" s="19" t="str" cm="1">
        <f t="array" aca="1" ref="H136" ca="1">IFERROR(_xlfn.XLOOKUP(Selectivo6[[#This Row],[DNI]],S_S[DNI],INDIRECT("S_S["&amp;Selectivo6[[#Headers],[R3]]&amp;"]")),"60 DNC")</f>
        <v>28</v>
      </c>
      <c r="I136" s="19" t="str" cm="1">
        <f t="array" aca="1" ref="I136" ca="1">IFERROR(_xlfn.XLOOKUP(Selectivo6[[#This Row],[DNI]],S_S[DNI],INDIRECT("S_S["&amp;Selectivo6[[#Headers],[R4]]&amp;"]")),"60 DNC")</f>
        <v>52</v>
      </c>
      <c r="J136" s="19" t="str" cm="1">
        <f t="array" aca="1" ref="J136" ca="1">IFERROR(_xlfn.XLOOKUP(Selectivo6[[#This Row],[DNI]],S_S[DNI],INDIRECT("S_S["&amp;Selectivo6[[#Headers],[R5]]&amp;"]")),"60 DNC")</f>
        <v>16</v>
      </c>
      <c r="K136" s="19" t="str" cm="1">
        <f t="array" aca="1" ref="K136" ca="1">IFERROR(_xlfn.XLOOKUP(Selectivo6[[#This Row],[DNI]],S_S[DNI],INDIRECT("S_S["&amp;Selectivo6[[#Headers],[R6]]&amp;"]")),"60 DNC")</f>
        <v>19</v>
      </c>
      <c r="L136" s="19" t="str" cm="1">
        <f t="array" aca="1" ref="L136" ca="1">IFERROR(_xlfn.XLOOKUP(Selectivo6[[#This Row],[DNI]],S_S[DNI],INDIRECT("S_S["&amp;Selectivo6[[#Headers],[R7]]&amp;"]")),"60 DNC")</f>
        <v>60 BFD</v>
      </c>
      <c r="M136" s="19" t="str" cm="1">
        <f t="array" aca="1" ref="M136" ca="1">IFERROR(_xlfn.XLOOKUP(Selectivo6[[#This Row],[DNI]],S_S[DNI],INDIRECT("S_S["&amp;Selectivo6[[#Headers],[R8]]&amp;"]")),"60 DNC")</f>
        <v>51</v>
      </c>
      <c r="N136" s="19" t="str" cm="1">
        <f t="array" aca="1" ref="N136" ca="1">IFERROR(_xlfn.XLOOKUP(Selectivo6[[#This Row],[DNI]],S_S[DNI],INDIRECT("S_S["&amp;Selectivo6[[#Headers],[R9]]&amp;"]")),"60 DNC")</f>
        <v>39</v>
      </c>
      <c r="O136" s="20" t="str">
        <f>IFERROR(_xlfn.XLOOKUP(Selectivo6[[#This Row],[DNI]],_VF2026[DNI],_VF2026[R1]),"65 DNC")</f>
        <v>65 BFD</v>
      </c>
      <c r="P136" s="19" t="str">
        <f>IFERROR(_xlfn.XLOOKUP(Selectivo6[[#This Row],[DNI]],_VF2026[DNI],_VF2026[R2]),"65 DNC")</f>
        <v>52</v>
      </c>
      <c r="Q136" s="19" t="str">
        <f>IFERROR(_xlfn.XLOOKUP(Selectivo6[[#This Row],[DNI]],_VF2026[DNI],_VF2026[R3]),"65 DNC")</f>
        <v>54</v>
      </c>
      <c r="R136" s="20" t="str">
        <f>IFERROR(_xlfn.XLOOKUP(Selectivo6[[#This Row],[DNI]],_VF2026[DNI],_VF2026[R4]),"65 DNC")</f>
        <v>65 DNC</v>
      </c>
      <c r="S136" s="19" t="str">
        <f>IFERROR(_xlfn.XLOOKUP(Selectivo6[[#This Row],[DNI]],_VF2026[DNI],_VF2026[R5]),"65 DNC")</f>
        <v>56</v>
      </c>
      <c r="T136" s="19" t="str">
        <f>IFERROR(_xlfn.XLOOKUP(Selectivo6[[#This Row],[DNI]],_VF2026[DNI],_VF2026[R6]),"65 DNC")</f>
        <v>9</v>
      </c>
      <c r="U136" s="19" t="str">
        <f>IFERROR(_xlfn.XLOOKUP(Selectivo6[[#This Row],[DNI]],_VF2026[DNI],_VF2026[R7]),"65 DNC")</f>
        <v>52</v>
      </c>
      <c r="V136" s="19" t="str">
        <f>IFERROR(_xlfn.XLOOKUP(Selectivo6[[#This Row],[DNI]],_VF2026[DNI],_VF2026[R8]),"65 DNC")</f>
        <v>32</v>
      </c>
      <c r="W136" s="19"/>
      <c r="X136" s="19"/>
      <c r="Y136" s="19"/>
      <c r="Z136" s="19"/>
      <c r="AA136" s="19"/>
      <c r="AB136" s="8" cm="1">
        <f t="array" aca="1" ref="AB136" ca="1">SUM(IFERROR(VALUE(LEFT(Regatas, FIND(" ",Regatas&amp; " ") - 1)), 0))</f>
        <v>741</v>
      </c>
      <c r="AC136" s="9" cm="1">
        <f t="array" aca="1" ref="AC13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611</v>
      </c>
      <c r="AD136" s="6" cm="1">
        <f t="array" aca="1" ref="AD136" ca="1">SMALL(_xlfn._xlws.FILTER(RegatasN, RegatasN&lt;&gt;0), 1)</f>
        <v>9</v>
      </c>
      <c r="AE136" s="6" cm="1">
        <f t="array" aca="1" ref="AE136" ca="1">SMALL(_xlfn._xlws.FILTER(RegatasN, RegatasN&lt;&gt;0), 2)</f>
        <v>16</v>
      </c>
      <c r="AF136" s="6" cm="1">
        <f t="array" aca="1" ref="AF136" ca="1">SMALL(_xlfn._xlws.FILTER(RegatasN, RegatasN&lt;&gt;0), 3)</f>
        <v>19</v>
      </c>
      <c r="AG136" s="5" cm="1">
        <f t="array" aca="1" ref="AG136" ca="1">COUNTIF(Regatas,SMALL(_xlfn._xlws.FILTER(RegatasN, RegatasN&lt;&gt;0), 1))</f>
        <v>1</v>
      </c>
      <c r="AH136" s="6" t="e" cm="1">
        <f t="array" ref="AH13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7" spans="1:34">
      <c r="A137">
        <v>51069680</v>
      </c>
      <c r="B137" s="10">
        <f>ROW()-ROW(Selectivo6[[#Headers],[Pos]])</f>
        <v>131</v>
      </c>
      <c r="C137" s="5">
        <v>4164</v>
      </c>
      <c r="D137" t="s">
        <v>508</v>
      </c>
      <c r="E137" t="s">
        <v>171</v>
      </c>
      <c r="F137" s="19" t="str" cm="1">
        <f t="array" aca="1" ref="F137" ca="1">IFERROR(_xlfn.XLOOKUP(Selectivo6[[#This Row],[DNI]],S_S[DNI],INDIRECT("S_S["&amp;Selectivo6[[#Headers],[R1]]&amp;"]")),"60 DNC")</f>
        <v>48</v>
      </c>
      <c r="G137" s="19" t="str" cm="1">
        <f t="array" aca="1" ref="G137" ca="1">IFERROR(_xlfn.XLOOKUP(Selectivo6[[#This Row],[DNI]],S_S[DNI],INDIRECT("S_S["&amp;Selectivo6[[#Headers],[R2]]&amp;"]")),"60 DNC")</f>
        <v>51</v>
      </c>
      <c r="H137" s="19" t="str" cm="1">
        <f t="array" aca="1" ref="H137" ca="1">IFERROR(_xlfn.XLOOKUP(Selectivo6[[#This Row],[DNI]],S_S[DNI],INDIRECT("S_S["&amp;Selectivo6[[#Headers],[R3]]&amp;"]")),"60 DNC")</f>
        <v>47</v>
      </c>
      <c r="I137" s="19" t="str" cm="1">
        <f t="array" aca="1" ref="I137" ca="1">IFERROR(_xlfn.XLOOKUP(Selectivo6[[#This Row],[DNI]],S_S[DNI],INDIRECT("S_S["&amp;Selectivo6[[#Headers],[R4]]&amp;"]")),"60 DNC")</f>
        <v>57</v>
      </c>
      <c r="J137" s="19" t="str" cm="1">
        <f t="array" aca="1" ref="J137" ca="1">IFERROR(_xlfn.XLOOKUP(Selectivo6[[#This Row],[DNI]],S_S[DNI],INDIRECT("S_S["&amp;Selectivo6[[#Headers],[R5]]&amp;"]")),"60 DNC")</f>
        <v>53</v>
      </c>
      <c r="K137" s="19" t="str" cm="1">
        <f t="array" aca="1" ref="K137" ca="1">IFERROR(_xlfn.XLOOKUP(Selectivo6[[#This Row],[DNI]],S_S[DNI],INDIRECT("S_S["&amp;Selectivo6[[#Headers],[R6]]&amp;"]")),"60 DNC")</f>
        <v>37</v>
      </c>
      <c r="L137" s="19" t="str" cm="1">
        <f t="array" aca="1" ref="L137" ca="1">IFERROR(_xlfn.XLOOKUP(Selectivo6[[#This Row],[DNI]],S_S[DNI],INDIRECT("S_S["&amp;Selectivo6[[#Headers],[R7]]&amp;"]")),"60 DNC")</f>
        <v>35</v>
      </c>
      <c r="M137" s="19" t="str" cm="1">
        <f t="array" aca="1" ref="M137" ca="1">IFERROR(_xlfn.XLOOKUP(Selectivo6[[#This Row],[DNI]],S_S[DNI],INDIRECT("S_S["&amp;Selectivo6[[#Headers],[R8]]&amp;"]")),"60 DNC")</f>
        <v>44</v>
      </c>
      <c r="N137" s="19" t="str" cm="1">
        <f t="array" aca="1" ref="N137" ca="1">IFERROR(_xlfn.XLOOKUP(Selectivo6[[#This Row],[DNI]],S_S[DNI],INDIRECT("S_S["&amp;Selectivo6[[#Headers],[R9]]&amp;"]")),"60 DNC")</f>
        <v>22</v>
      </c>
      <c r="O137" s="19" t="str">
        <f>IFERROR(_xlfn.XLOOKUP(Selectivo6[[#This Row],[DNI]],_VF2026[DNI],_VF2026[R1]),"65 DNC")</f>
        <v>37</v>
      </c>
      <c r="P137" s="19" t="str">
        <f>IFERROR(_xlfn.XLOOKUP(Selectivo6[[#This Row],[DNI]],_VF2026[DNI],_VF2026[R2]),"65 DNC")</f>
        <v>40</v>
      </c>
      <c r="Q137" s="20" t="str">
        <f>IFERROR(_xlfn.XLOOKUP(Selectivo6[[#This Row],[DNI]],_VF2026[DNI],_VF2026[R3]),"65 DNC")</f>
        <v>65 UFD</v>
      </c>
      <c r="R137" s="19" t="str">
        <f>IFERROR(_xlfn.XLOOKUP(Selectivo6[[#This Row],[DNI]],_VF2026[DNI],_VF2026[R4]),"65 DNC")</f>
        <v>27</v>
      </c>
      <c r="S137" s="19" t="str">
        <f>IFERROR(_xlfn.XLOOKUP(Selectivo6[[#This Row],[DNI]],_VF2026[DNI],_VF2026[R5]),"65 DNC")</f>
        <v>40</v>
      </c>
      <c r="T137" s="20" t="str">
        <f>IFERROR(_xlfn.XLOOKUP(Selectivo6[[#This Row],[DNI]],_VF2026[DNI],_VF2026[R6]),"65 DNC")</f>
        <v>65 BFD</v>
      </c>
      <c r="U137" s="19" t="str">
        <f>IFERROR(_xlfn.XLOOKUP(Selectivo6[[#This Row],[DNI]],_VF2026[DNI],_VF2026[R7]),"65 DNC")</f>
        <v>44</v>
      </c>
      <c r="V137" s="19" t="str">
        <f>IFERROR(_xlfn.XLOOKUP(Selectivo6[[#This Row],[DNI]],_VF2026[DNI],_VF2026[R8]),"65 DNC")</f>
        <v>42</v>
      </c>
      <c r="W137" s="19"/>
      <c r="X137" s="19"/>
      <c r="Y137" s="19"/>
      <c r="Z137" s="19"/>
      <c r="AA137" s="19"/>
      <c r="AB137" s="8" cm="1">
        <f t="array" aca="1" ref="AB137" ca="1">SUM(IFERROR(VALUE(LEFT(Regatas, FIND(" ",Regatas&amp; " ") - 1)), 0))</f>
        <v>754</v>
      </c>
      <c r="AC137" s="9" cm="1">
        <f t="array" aca="1" ref="AC13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624</v>
      </c>
      <c r="AD137" s="6" cm="1">
        <f t="array" aca="1" ref="AD137" ca="1">SMALL(_xlfn._xlws.FILTER(RegatasN, RegatasN&lt;&gt;0), 1)</f>
        <v>22</v>
      </c>
      <c r="AE137" s="6" cm="1">
        <f t="array" aca="1" ref="AE137" ca="1">SMALL(_xlfn._xlws.FILTER(RegatasN, RegatasN&lt;&gt;0), 2)</f>
        <v>27</v>
      </c>
      <c r="AF137" s="6" cm="1">
        <f t="array" aca="1" ref="AF137" ca="1">SMALL(_xlfn._xlws.FILTER(RegatasN, RegatasN&lt;&gt;0), 3)</f>
        <v>35</v>
      </c>
      <c r="AG137" s="5" cm="1">
        <f t="array" aca="1" ref="AG137" ca="1">COUNTIF(Regatas,SMALL(_xlfn._xlws.FILTER(RegatasN, RegatasN&lt;&gt;0), 1))</f>
        <v>1</v>
      </c>
      <c r="AH137" s="6" t="e" cm="1">
        <f t="array" ref="AH13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8" spans="1:34">
      <c r="A138">
        <v>52636932</v>
      </c>
      <c r="B138" s="10">
        <f>ROW()-ROW(Selectivo6[[#Headers],[Pos]])</f>
        <v>132</v>
      </c>
      <c r="C138" s="5">
        <v>3849</v>
      </c>
      <c r="D138" t="s">
        <v>492</v>
      </c>
      <c r="E138" t="s">
        <v>8</v>
      </c>
      <c r="F138" s="19" t="str" cm="1">
        <f t="array" aca="1" ref="F138" ca="1">IFERROR(_xlfn.XLOOKUP(Selectivo6[[#This Row],[DNI]],S_S[DNI],INDIRECT("S_S["&amp;Selectivo6[[#Headers],[R1]]&amp;"]")),"60 DNC")</f>
        <v>30</v>
      </c>
      <c r="G138" s="19" t="str" cm="1">
        <f t="array" aca="1" ref="G138" ca="1">IFERROR(_xlfn.XLOOKUP(Selectivo6[[#This Row],[DNI]],S_S[DNI],INDIRECT("S_S["&amp;Selectivo6[[#Headers],[R2]]&amp;"]")),"60 DNC")</f>
        <v>45</v>
      </c>
      <c r="H138" s="19" t="str" cm="1">
        <f t="array" aca="1" ref="H138" ca="1">IFERROR(_xlfn.XLOOKUP(Selectivo6[[#This Row],[DNI]],S_S[DNI],INDIRECT("S_S["&amp;Selectivo6[[#Headers],[R3]]&amp;"]")),"60 DNC")</f>
        <v>16</v>
      </c>
      <c r="I138" s="19" t="str" cm="1">
        <f t="array" aca="1" ref="I138" ca="1">IFERROR(_xlfn.XLOOKUP(Selectivo6[[#This Row],[DNI]],S_S[DNI],INDIRECT("S_S["&amp;Selectivo6[[#Headers],[R4]]&amp;"]")),"60 DNC")</f>
        <v>26</v>
      </c>
      <c r="J138" s="19" t="str" cm="1">
        <f t="array" aca="1" ref="J138" ca="1">IFERROR(_xlfn.XLOOKUP(Selectivo6[[#This Row],[DNI]],S_S[DNI],INDIRECT("S_S["&amp;Selectivo6[[#Headers],[R5]]&amp;"]")),"60 DNC")</f>
        <v>55</v>
      </c>
      <c r="K138" s="19" t="str" cm="1">
        <f t="array" aca="1" ref="K138" ca="1">IFERROR(_xlfn.XLOOKUP(Selectivo6[[#This Row],[DNI]],S_S[DNI],INDIRECT("S_S["&amp;Selectivo6[[#Headers],[R6]]&amp;"]")),"60 DNC")</f>
        <v>52</v>
      </c>
      <c r="L138" s="20" t="str" cm="1">
        <f t="array" aca="1" ref="L138" ca="1">IFERROR(_xlfn.XLOOKUP(Selectivo6[[#This Row],[DNI]],S_S[DNI],INDIRECT("S_S["&amp;Selectivo6[[#Headers],[R7]]&amp;"]")),"60 DNC")</f>
        <v>60 DNC</v>
      </c>
      <c r="M138" s="19" t="str" cm="1">
        <f t="array" aca="1" ref="M138" ca="1">IFERROR(_xlfn.XLOOKUP(Selectivo6[[#This Row],[DNI]],S_S[DNI],INDIRECT("S_S["&amp;Selectivo6[[#Headers],[R8]]&amp;"]")),"60 DNC")</f>
        <v>43</v>
      </c>
      <c r="N138" s="20" t="str" cm="1">
        <f t="array" aca="1" ref="N138" ca="1">IFERROR(_xlfn.XLOOKUP(Selectivo6[[#This Row],[DNI]],S_S[DNI],INDIRECT("S_S["&amp;Selectivo6[[#Headers],[R9]]&amp;"]")),"60 DNC")</f>
        <v>60 DNC</v>
      </c>
      <c r="O138" s="19" t="str">
        <f>IFERROR(_xlfn.XLOOKUP(Selectivo6[[#This Row],[DNI]],_VF2026[DNI],_VF2026[R1]),"65 DNC")</f>
        <v>37</v>
      </c>
      <c r="P138" s="19" t="str">
        <f>IFERROR(_xlfn.XLOOKUP(Selectivo6[[#This Row],[DNI]],_VF2026[DNI],_VF2026[R2]),"65 DNC")</f>
        <v>42</v>
      </c>
      <c r="Q138" s="19" t="str">
        <f>IFERROR(_xlfn.XLOOKUP(Selectivo6[[#This Row],[DNI]],_VF2026[DNI],_VF2026[R3]),"65 DNC")</f>
        <v>51</v>
      </c>
      <c r="R138" s="19" t="str">
        <f>IFERROR(_xlfn.XLOOKUP(Selectivo6[[#This Row],[DNI]],_VF2026[DNI],_VF2026[R4]),"65 DNC")</f>
        <v>49</v>
      </c>
      <c r="S138" s="19" t="str">
        <f>IFERROR(_xlfn.XLOOKUP(Selectivo6[[#This Row],[DNI]],_VF2026[DNI],_VF2026[R5]),"65 DNC")</f>
        <v>45</v>
      </c>
      <c r="T138" s="19" t="str">
        <f>IFERROR(_xlfn.XLOOKUP(Selectivo6[[#This Row],[DNI]],_VF2026[DNI],_VF2026[R6]),"65 DNC")</f>
        <v>38</v>
      </c>
      <c r="U138" s="19" t="str">
        <f>IFERROR(_xlfn.XLOOKUP(Selectivo6[[#This Row],[DNI]],_VF2026[DNI],_VF2026[R7]),"65 DNC")</f>
        <v>51</v>
      </c>
      <c r="V138" s="19" t="str">
        <f>IFERROR(_xlfn.XLOOKUP(Selectivo6[[#This Row],[DNI]],_VF2026[DNI],_VF2026[R8]),"65 DNC")</f>
        <v>53</v>
      </c>
      <c r="W138" s="19"/>
      <c r="X138" s="19"/>
      <c r="Y138" s="19"/>
      <c r="Z138" s="19"/>
      <c r="AA138" s="19"/>
      <c r="AB138" s="8" cm="1">
        <f t="array" aca="1" ref="AB138" ca="1">SUM(IFERROR(VALUE(LEFT(Regatas, FIND(" ",Regatas&amp; " ") - 1)), 0))</f>
        <v>753</v>
      </c>
      <c r="AC138" s="9" cm="1">
        <f t="array" aca="1" ref="AC138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633</v>
      </c>
      <c r="AD138" s="6" cm="1">
        <f t="array" aca="1" ref="AD138" ca="1">SMALL(_xlfn._xlws.FILTER(RegatasN, RegatasN&lt;&gt;0), 1)</f>
        <v>16</v>
      </c>
      <c r="AE138" s="6" cm="1">
        <f t="array" aca="1" ref="AE138" ca="1">SMALL(_xlfn._xlws.FILTER(RegatasN, RegatasN&lt;&gt;0), 2)</f>
        <v>26</v>
      </c>
      <c r="AF138" s="6" cm="1">
        <f t="array" aca="1" ref="AF138" ca="1">SMALL(_xlfn._xlws.FILTER(RegatasN, RegatasN&lt;&gt;0), 3)</f>
        <v>30</v>
      </c>
      <c r="AG138" s="5" cm="1">
        <f t="array" aca="1" ref="AG138" ca="1">COUNTIF(Regatas,SMALL(_xlfn._xlws.FILTER(RegatasN, RegatasN&lt;&gt;0), 1))</f>
        <v>1</v>
      </c>
      <c r="AH138" s="6" t="e" cm="1">
        <f t="array" ref="AH138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39" spans="1:34">
      <c r="A139">
        <v>51330536</v>
      </c>
      <c r="B139" s="10">
        <f>ROW()-ROW(Selectivo6[[#Headers],[Pos]])</f>
        <v>133</v>
      </c>
      <c r="C139" s="5">
        <v>3630</v>
      </c>
      <c r="D139" t="s">
        <v>524</v>
      </c>
      <c r="E139" t="s">
        <v>26</v>
      </c>
      <c r="F139" s="19" t="str" cm="1">
        <f t="array" aca="1" ref="F139" ca="1">IFERROR(_xlfn.XLOOKUP(Selectivo6[[#This Row],[DNI]],S_S[DNI],INDIRECT("S_S["&amp;Selectivo6[[#Headers],[R1]]&amp;"]")),"60 DNC")</f>
        <v>41</v>
      </c>
      <c r="G139" s="20" t="str" cm="1">
        <f t="array" aca="1" ref="G139" ca="1">IFERROR(_xlfn.XLOOKUP(Selectivo6[[#This Row],[DNI]],S_S[DNI],INDIRECT("S_S["&amp;Selectivo6[[#Headers],[R2]]&amp;"]")),"60 DNC")</f>
        <v>60 BFD</v>
      </c>
      <c r="H139" s="19" t="str" cm="1">
        <f t="array" aca="1" ref="H139" ca="1">IFERROR(_xlfn.XLOOKUP(Selectivo6[[#This Row],[DNI]],S_S[DNI],INDIRECT("S_S["&amp;Selectivo6[[#Headers],[R3]]&amp;"]")),"60 DNC")</f>
        <v>42</v>
      </c>
      <c r="I139" s="19" t="str" cm="1">
        <f t="array" aca="1" ref="I139" ca="1">IFERROR(_xlfn.XLOOKUP(Selectivo6[[#This Row],[DNI]],S_S[DNI],INDIRECT("S_S["&amp;Selectivo6[[#Headers],[R4]]&amp;"]")),"60 DNC")</f>
        <v>60 BFD</v>
      </c>
      <c r="J139" s="19" t="str" cm="1">
        <f t="array" aca="1" ref="J139" ca="1">IFERROR(_xlfn.XLOOKUP(Selectivo6[[#This Row],[DNI]],S_S[DNI],INDIRECT("S_S["&amp;Selectivo6[[#Headers],[R5]]&amp;"]")),"60 DNC")</f>
        <v>54</v>
      </c>
      <c r="K139" s="19" t="str" cm="1">
        <f t="array" aca="1" ref="K139" ca="1">IFERROR(_xlfn.XLOOKUP(Selectivo6[[#This Row],[DNI]],S_S[DNI],INDIRECT("S_S["&amp;Selectivo6[[#Headers],[R6]]&amp;"]")),"60 DNC")</f>
        <v>45</v>
      </c>
      <c r="L139" s="19" t="str" cm="1">
        <f t="array" aca="1" ref="L139" ca="1">IFERROR(_xlfn.XLOOKUP(Selectivo6[[#This Row],[DNI]],S_S[DNI],INDIRECT("S_S["&amp;Selectivo6[[#Headers],[R7]]&amp;"]")),"60 DNC")</f>
        <v>31</v>
      </c>
      <c r="M139" s="19" t="str" cm="1">
        <f t="array" aca="1" ref="M139" ca="1">IFERROR(_xlfn.XLOOKUP(Selectivo6[[#This Row],[DNI]],S_S[DNI],INDIRECT("S_S["&amp;Selectivo6[[#Headers],[R8]]&amp;"]")),"60 DNC")</f>
        <v>44</v>
      </c>
      <c r="N139" s="19" t="str" cm="1">
        <f t="array" aca="1" ref="N139" ca="1">IFERROR(_xlfn.XLOOKUP(Selectivo6[[#This Row],[DNI]],S_S[DNI],INDIRECT("S_S["&amp;Selectivo6[[#Headers],[R9]]&amp;"]")),"60 DNC")</f>
        <v>60 DNC</v>
      </c>
      <c r="O139" s="19" t="str">
        <f>IFERROR(_xlfn.XLOOKUP(Selectivo6[[#This Row],[DNI]],_VF2026[DNI],_VF2026[R1]),"65 DNC")</f>
        <v>26</v>
      </c>
      <c r="P139" s="19" t="str">
        <f>IFERROR(_xlfn.XLOOKUP(Selectivo6[[#This Row],[DNI]],_VF2026[DNI],_VF2026[R2]),"65 DNC")</f>
        <v>36</v>
      </c>
      <c r="Q139" s="19" t="str">
        <f>IFERROR(_xlfn.XLOOKUP(Selectivo6[[#This Row],[DNI]],_VF2026[DNI],_VF2026[R3]),"65 DNC")</f>
        <v>47</v>
      </c>
      <c r="R139" s="19" t="str">
        <f>IFERROR(_xlfn.XLOOKUP(Selectivo6[[#This Row],[DNI]],_VF2026[DNI],_VF2026[R4]),"65 DNC")</f>
        <v>36</v>
      </c>
      <c r="S139" s="19" t="str">
        <f>IFERROR(_xlfn.XLOOKUP(Selectivo6[[#This Row],[DNI]],_VF2026[DNI],_VF2026[R5]),"65 DNC")</f>
        <v>48</v>
      </c>
      <c r="T139" s="19" t="str">
        <f>IFERROR(_xlfn.XLOOKUP(Selectivo6[[#This Row],[DNI]],_VF2026[DNI],_VF2026[R6]),"65 DNC")</f>
        <v>28</v>
      </c>
      <c r="U139" s="19" t="str">
        <f>IFERROR(_xlfn.XLOOKUP(Selectivo6[[#This Row],[DNI]],_VF2026[DNI],_VF2026[R7]),"65 DNC")</f>
        <v>42</v>
      </c>
      <c r="V139" s="20" t="str">
        <f>IFERROR(_xlfn.XLOOKUP(Selectivo6[[#This Row],[DNI]],_VF2026[DNI],_VF2026[R8]),"65 DNC")</f>
        <v>65 BFD</v>
      </c>
      <c r="W139" s="19"/>
      <c r="X139" s="19"/>
      <c r="Y139" s="19"/>
      <c r="Z139" s="19"/>
      <c r="AA139" s="19"/>
      <c r="AB139" s="8" cm="1">
        <f t="array" aca="1" ref="AB139" ca="1">SUM(IFERROR(VALUE(LEFT(Regatas, FIND(" ",Regatas&amp; " ") - 1)), 0))</f>
        <v>765</v>
      </c>
      <c r="AC139" s="9" cm="1">
        <f t="array" aca="1" ref="AC139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640</v>
      </c>
      <c r="AD139" s="6" cm="1">
        <f t="array" aca="1" ref="AD139" ca="1">SMALL(_xlfn._xlws.FILTER(RegatasN, RegatasN&lt;&gt;0), 1)</f>
        <v>26</v>
      </c>
      <c r="AE139" s="6" cm="1">
        <f t="array" aca="1" ref="AE139" ca="1">SMALL(_xlfn._xlws.FILTER(RegatasN, RegatasN&lt;&gt;0), 2)</f>
        <v>28</v>
      </c>
      <c r="AF139" s="6" cm="1">
        <f t="array" aca="1" ref="AF139" ca="1">SMALL(_xlfn._xlws.FILTER(RegatasN, RegatasN&lt;&gt;0), 3)</f>
        <v>31</v>
      </c>
      <c r="AG139" s="5" cm="1">
        <f t="array" aca="1" ref="AG139" ca="1">COUNTIF(Regatas,SMALL(_xlfn._xlws.FILTER(RegatasN, RegatasN&lt;&gt;0), 1))</f>
        <v>1</v>
      </c>
      <c r="AH139" s="6" t="e" cm="1">
        <f t="array" ref="AH139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0" spans="1:34">
      <c r="A140">
        <v>51183107</v>
      </c>
      <c r="B140" s="10">
        <f>ROW()-ROW(Selectivo6[[#Headers],[Pos]])</f>
        <v>134</v>
      </c>
      <c r="C140" s="5">
        <v>3856</v>
      </c>
      <c r="D140" t="s">
        <v>518</v>
      </c>
      <c r="E140" t="s">
        <v>26</v>
      </c>
      <c r="F140" s="19" t="str" cm="1">
        <f t="array" aca="1" ref="F140" ca="1">IFERROR(_xlfn.XLOOKUP(Selectivo6[[#This Row],[DNI]],S_S[DNI],INDIRECT("S_S["&amp;Selectivo6[[#Headers],[R1]]&amp;"]")),"60 DNC")</f>
        <v>51</v>
      </c>
      <c r="G140" s="19" t="str" cm="1">
        <f t="array" aca="1" ref="G140" ca="1">IFERROR(_xlfn.XLOOKUP(Selectivo6[[#This Row],[DNI]],S_S[DNI],INDIRECT("S_S["&amp;Selectivo6[[#Headers],[R2]]&amp;"]")),"60 DNC")</f>
        <v>39</v>
      </c>
      <c r="H140" s="19" t="str" cm="1">
        <f t="array" aca="1" ref="H140" ca="1">IFERROR(_xlfn.XLOOKUP(Selectivo6[[#This Row],[DNI]],S_S[DNI],INDIRECT("S_S["&amp;Selectivo6[[#Headers],[R3]]&amp;"]")),"60 DNC")</f>
        <v>47</v>
      </c>
      <c r="I140" s="20" t="str" cm="1">
        <f t="array" aca="1" ref="I140" ca="1">IFERROR(_xlfn.XLOOKUP(Selectivo6[[#This Row],[DNI]],S_S[DNI],INDIRECT("S_S["&amp;Selectivo6[[#Headers],[R4]]&amp;"]")),"60 DNC")</f>
        <v>60 DNF</v>
      </c>
      <c r="J140" s="19" t="str" cm="1">
        <f t="array" aca="1" ref="J140" ca="1">IFERROR(_xlfn.XLOOKUP(Selectivo6[[#This Row],[DNI]],S_S[DNI],INDIRECT("S_S["&amp;Selectivo6[[#Headers],[R5]]&amp;"]")),"60 DNC")</f>
        <v>52</v>
      </c>
      <c r="K140" s="19" t="str" cm="1">
        <f t="array" aca="1" ref="K140" ca="1">IFERROR(_xlfn.XLOOKUP(Selectivo6[[#This Row],[DNI]],S_S[DNI],INDIRECT("S_S["&amp;Selectivo6[[#Headers],[R6]]&amp;"]")),"60 DNC")</f>
        <v>48</v>
      </c>
      <c r="L140" s="19" t="str" cm="1">
        <f t="array" aca="1" ref="L140" ca="1">IFERROR(_xlfn.XLOOKUP(Selectivo6[[#This Row],[DNI]],S_S[DNI],INDIRECT("S_S["&amp;Selectivo6[[#Headers],[R7]]&amp;"]")),"60 DNC")</f>
        <v>41</v>
      </c>
      <c r="M140" s="19" t="str" cm="1">
        <f t="array" aca="1" ref="M140" ca="1">IFERROR(_xlfn.XLOOKUP(Selectivo6[[#This Row],[DNI]],S_S[DNI],INDIRECT("S_S["&amp;Selectivo6[[#Headers],[R8]]&amp;"]")),"60 DNC")</f>
        <v>40</v>
      </c>
      <c r="N140" s="19" t="str" cm="1">
        <f t="array" aca="1" ref="N140" ca="1">IFERROR(_xlfn.XLOOKUP(Selectivo6[[#This Row],[DNI]],S_S[DNI],INDIRECT("S_S["&amp;Selectivo6[[#Headers],[R9]]&amp;"]")),"60 DNC")</f>
        <v>47</v>
      </c>
      <c r="O140" s="19" t="str">
        <f>IFERROR(_xlfn.XLOOKUP(Selectivo6[[#This Row],[DNI]],_VF2026[DNI],_VF2026[R1]),"65 DNC")</f>
        <v>34</v>
      </c>
      <c r="P140" s="19" t="str">
        <f>IFERROR(_xlfn.XLOOKUP(Selectivo6[[#This Row],[DNI]],_VF2026[DNI],_VF2026[R2]),"65 DNC")</f>
        <v>37</v>
      </c>
      <c r="Q140" s="19" t="str">
        <f>IFERROR(_xlfn.XLOOKUP(Selectivo6[[#This Row],[DNI]],_VF2026[DNI],_VF2026[R3]),"65 DNC")</f>
        <v>42</v>
      </c>
      <c r="R140" s="19" t="str">
        <f>IFERROR(_xlfn.XLOOKUP(Selectivo6[[#This Row],[DNI]],_VF2026[DNI],_VF2026[R4]),"65 DNC")</f>
        <v>37</v>
      </c>
      <c r="S140" s="19" t="str">
        <f>IFERROR(_xlfn.XLOOKUP(Selectivo6[[#This Row],[DNI]],_VF2026[DNI],_VF2026[R5]),"65 DNC")</f>
        <v>36</v>
      </c>
      <c r="T140" s="19" t="str">
        <f>IFERROR(_xlfn.XLOOKUP(Selectivo6[[#This Row],[DNI]],_VF2026[DNI],_VF2026[R6]),"65 DNC")</f>
        <v>53</v>
      </c>
      <c r="U140" s="19" t="str">
        <f>IFERROR(_xlfn.XLOOKUP(Selectivo6[[#This Row],[DNI]],_VF2026[DNI],_VF2026[R7]),"65 DNC")</f>
        <v>52</v>
      </c>
      <c r="V140" s="20" t="str">
        <f>IFERROR(_xlfn.XLOOKUP(Selectivo6[[#This Row],[DNI]],_VF2026[DNI],_VF2026[R8]),"65 DNC")</f>
        <v>65 BFD</v>
      </c>
      <c r="W140" s="19"/>
      <c r="X140" s="19"/>
      <c r="Y140" s="19"/>
      <c r="Z140" s="19"/>
      <c r="AA140" s="19"/>
      <c r="AB140" s="8" cm="1">
        <f t="array" aca="1" ref="AB140" ca="1">SUM(IFERROR(VALUE(LEFT(Regatas, FIND(" ",Regatas&amp; " ") - 1)), 0))</f>
        <v>781</v>
      </c>
      <c r="AC140" s="9" cm="1">
        <f t="array" aca="1" ref="AC140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656</v>
      </c>
      <c r="AD140" s="6" cm="1">
        <f t="array" aca="1" ref="AD140" ca="1">SMALL(_xlfn._xlws.FILTER(RegatasN, RegatasN&lt;&gt;0), 1)</f>
        <v>34</v>
      </c>
      <c r="AE140" s="6" cm="1">
        <f t="array" aca="1" ref="AE140" ca="1">SMALL(_xlfn._xlws.FILTER(RegatasN, RegatasN&lt;&gt;0), 2)</f>
        <v>36</v>
      </c>
      <c r="AF140" s="6" cm="1">
        <f t="array" aca="1" ref="AF140" ca="1">SMALL(_xlfn._xlws.FILTER(RegatasN, RegatasN&lt;&gt;0), 3)</f>
        <v>37</v>
      </c>
      <c r="AG140" s="5" cm="1">
        <f t="array" aca="1" ref="AG140" ca="1">COUNTIF(Regatas,SMALL(_xlfn._xlws.FILTER(RegatasN, RegatasN&lt;&gt;0), 1))</f>
        <v>1</v>
      </c>
      <c r="AH140" s="6" t="e" cm="1">
        <f t="array" ref="AH140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1" spans="1:34">
      <c r="A141">
        <v>54602290</v>
      </c>
      <c r="B141" s="10">
        <f>ROW()-ROW(Selectivo6[[#Headers],[Pos]])</f>
        <v>135</v>
      </c>
      <c r="C141" s="5">
        <v>4232</v>
      </c>
      <c r="D141" t="s">
        <v>499</v>
      </c>
      <c r="E141" t="s">
        <v>500</v>
      </c>
      <c r="F141" s="19" t="str" cm="1">
        <f t="array" aca="1" ref="F141" ca="1">IFERROR(_xlfn.XLOOKUP(Selectivo6[[#This Row],[DNI]],S_S[DNI],INDIRECT("S_S["&amp;Selectivo6[[#Headers],[R1]]&amp;"]")),"60 DNC")</f>
        <v>49</v>
      </c>
      <c r="G141" s="19" t="str" cm="1">
        <f t="array" aca="1" ref="G141" ca="1">IFERROR(_xlfn.XLOOKUP(Selectivo6[[#This Row],[DNI]],S_S[DNI],INDIRECT("S_S["&amp;Selectivo6[[#Headers],[R2]]&amp;"]")),"60 DNC")</f>
        <v>52</v>
      </c>
      <c r="H141" s="19" t="str" cm="1">
        <f t="array" aca="1" ref="H141" ca="1">IFERROR(_xlfn.XLOOKUP(Selectivo6[[#This Row],[DNI]],S_S[DNI],INDIRECT("S_S["&amp;Selectivo6[[#Headers],[R3]]&amp;"]")),"60 DNC")</f>
        <v>60 BFD</v>
      </c>
      <c r="I141" s="19" t="str" cm="1">
        <f t="array" aca="1" ref="I141" ca="1">IFERROR(_xlfn.XLOOKUP(Selectivo6[[#This Row],[DNI]],S_S[DNI],INDIRECT("S_S["&amp;Selectivo6[[#Headers],[R4]]&amp;"]")),"60 DNC")</f>
        <v>26</v>
      </c>
      <c r="J141" s="19" t="str" cm="1">
        <f t="array" aca="1" ref="J141" ca="1">IFERROR(_xlfn.XLOOKUP(Selectivo6[[#This Row],[DNI]],S_S[DNI],INDIRECT("S_S["&amp;Selectivo6[[#Headers],[R5]]&amp;"]")),"60 DNC")</f>
        <v>10</v>
      </c>
      <c r="K141" s="19" t="str" cm="1">
        <f t="array" aca="1" ref="K141" ca="1">IFERROR(_xlfn.XLOOKUP(Selectivo6[[#This Row],[DNI]],S_S[DNI],INDIRECT("S_S["&amp;Selectivo6[[#Headers],[R6]]&amp;"]")),"60 DNC")</f>
        <v>48</v>
      </c>
      <c r="L141" s="19" t="str" cm="1">
        <f t="array" aca="1" ref="L141" ca="1">IFERROR(_xlfn.XLOOKUP(Selectivo6[[#This Row],[DNI]],S_S[DNI],INDIRECT("S_S["&amp;Selectivo6[[#Headers],[R7]]&amp;"]")),"60 DNC")</f>
        <v>50</v>
      </c>
      <c r="M141" s="19" t="str" cm="1">
        <f t="array" aca="1" ref="M141" ca="1">IFERROR(_xlfn.XLOOKUP(Selectivo6[[#This Row],[DNI]],S_S[DNI],INDIRECT("S_S["&amp;Selectivo6[[#Headers],[R8]]&amp;"]")),"60 DNC")</f>
        <v>49</v>
      </c>
      <c r="N141" s="19" t="str" cm="1">
        <f t="array" aca="1" ref="N141" ca="1">IFERROR(_xlfn.XLOOKUP(Selectivo6[[#This Row],[DNI]],S_S[DNI],INDIRECT("S_S["&amp;Selectivo6[[#Headers],[R9]]&amp;"]")),"60 DNC")</f>
        <v>48</v>
      </c>
      <c r="O141" s="19" t="str">
        <f>IFERROR(_xlfn.XLOOKUP(Selectivo6[[#This Row],[DNI]],_VF2026[DNI],_VF2026[R1]),"65 DNC")</f>
        <v>40</v>
      </c>
      <c r="P141" s="19" t="str">
        <f>IFERROR(_xlfn.XLOOKUP(Selectivo6[[#This Row],[DNI]],_VF2026[DNI],_VF2026[R2]),"65 DNC")</f>
        <v>51</v>
      </c>
      <c r="Q141" s="19" t="str">
        <f>IFERROR(_xlfn.XLOOKUP(Selectivo6[[#This Row],[DNI]],_VF2026[DNI],_VF2026[R3]),"65 DNC")</f>
        <v>59</v>
      </c>
      <c r="R141" s="20" t="str">
        <f>IFERROR(_xlfn.XLOOKUP(Selectivo6[[#This Row],[DNI]],_VF2026[DNI],_VF2026[R4]),"65 DNC")</f>
        <v>65 DNC</v>
      </c>
      <c r="S141" s="19" t="str">
        <f>IFERROR(_xlfn.XLOOKUP(Selectivo6[[#This Row],[DNI]],_VF2026[DNI],_VF2026[R5]),"65 DNC")</f>
        <v>40</v>
      </c>
      <c r="T141" s="19" t="str">
        <f>IFERROR(_xlfn.XLOOKUP(Selectivo6[[#This Row],[DNI]],_VF2026[DNI],_VF2026[R6]),"65 DNC")</f>
        <v>20</v>
      </c>
      <c r="U141" s="20" t="str">
        <f>IFERROR(_xlfn.XLOOKUP(Selectivo6[[#This Row],[DNI]],_VF2026[DNI],_VF2026[R7]),"65 DNC")</f>
        <v>65 BFD</v>
      </c>
      <c r="V141" s="19" t="str">
        <f>IFERROR(_xlfn.XLOOKUP(Selectivo6[[#This Row],[DNI]],_VF2026[DNI],_VF2026[R8]),"65 DNC")</f>
        <v>65 BFD</v>
      </c>
      <c r="W141" s="19"/>
      <c r="X141" s="19"/>
      <c r="Y141" s="19"/>
      <c r="Z141" s="19"/>
      <c r="AA141" s="19"/>
      <c r="AB141" s="8" cm="1">
        <f t="array" aca="1" ref="AB141" ca="1">SUM(IFERROR(VALUE(LEFT(Regatas, FIND(" ",Regatas&amp; " ") - 1)), 0))</f>
        <v>797</v>
      </c>
      <c r="AC141" s="9" cm="1">
        <f t="array" aca="1" ref="AC141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667</v>
      </c>
      <c r="AD141" s="6" cm="1">
        <f t="array" aca="1" ref="AD141" ca="1">SMALL(_xlfn._xlws.FILTER(RegatasN, RegatasN&lt;&gt;0), 1)</f>
        <v>10</v>
      </c>
      <c r="AE141" s="6" cm="1">
        <f t="array" aca="1" ref="AE141" ca="1">SMALL(_xlfn._xlws.FILTER(RegatasN, RegatasN&lt;&gt;0), 2)</f>
        <v>20</v>
      </c>
      <c r="AF141" s="6" cm="1">
        <f t="array" aca="1" ref="AF141" ca="1">SMALL(_xlfn._xlws.FILTER(RegatasN, RegatasN&lt;&gt;0), 3)</f>
        <v>26</v>
      </c>
      <c r="AG141" s="5" cm="1">
        <f t="array" aca="1" ref="AG141" ca="1">COUNTIF(Regatas,SMALL(_xlfn._xlws.FILTER(RegatasN, RegatasN&lt;&gt;0), 1))</f>
        <v>1</v>
      </c>
      <c r="AH141" s="6" t="e" cm="1">
        <f t="array" ref="AH141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2" spans="1:34">
      <c r="A142">
        <v>53477120</v>
      </c>
      <c r="B142" s="10">
        <f>ROW()-ROW(Selectivo6[[#Headers],[Pos]])</f>
        <v>136</v>
      </c>
      <c r="C142" s="5">
        <v>4055</v>
      </c>
      <c r="D142" t="s">
        <v>526</v>
      </c>
      <c r="E142" t="s">
        <v>8</v>
      </c>
      <c r="F142" s="19" t="str" cm="1">
        <f t="array" aca="1" ref="F142" ca="1">IFERROR(_xlfn.XLOOKUP(Selectivo6[[#This Row],[DNI]],S_S[DNI],INDIRECT("S_S["&amp;Selectivo6[[#Headers],[R1]]&amp;"]")),"60 DNC")</f>
        <v>40</v>
      </c>
      <c r="G142" s="20" t="str" cm="1">
        <f t="array" aca="1" ref="G142" ca="1">IFERROR(_xlfn.XLOOKUP(Selectivo6[[#This Row],[DNI]],S_S[DNI],INDIRECT("S_S["&amp;Selectivo6[[#Headers],[R2]]&amp;"]")),"60 DNC")</f>
        <v>58</v>
      </c>
      <c r="H142" s="19" t="str" cm="1">
        <f t="array" aca="1" ref="H142" ca="1">IFERROR(_xlfn.XLOOKUP(Selectivo6[[#This Row],[DNI]],S_S[DNI],INDIRECT("S_S["&amp;Selectivo6[[#Headers],[R3]]&amp;"]")),"60 DNC")</f>
        <v>52</v>
      </c>
      <c r="I142" s="19" t="str" cm="1">
        <f t="array" aca="1" ref="I142" ca="1">IFERROR(_xlfn.XLOOKUP(Selectivo6[[#This Row],[DNI]],S_S[DNI],INDIRECT("S_S["&amp;Selectivo6[[#Headers],[R4]]&amp;"]")),"60 DNC")</f>
        <v>40</v>
      </c>
      <c r="J142" s="19" t="str" cm="1">
        <f t="array" aca="1" ref="J142" ca="1">IFERROR(_xlfn.XLOOKUP(Selectivo6[[#This Row],[DNI]],S_S[DNI],INDIRECT("S_S["&amp;Selectivo6[[#Headers],[R5]]&amp;"]")),"60 DNC")</f>
        <v>51</v>
      </c>
      <c r="K142" s="19" t="str" cm="1">
        <f t="array" aca="1" ref="K142" ca="1">IFERROR(_xlfn.XLOOKUP(Selectivo6[[#This Row],[DNI]],S_S[DNI],INDIRECT("S_S["&amp;Selectivo6[[#Headers],[R6]]&amp;"]")),"60 DNC")</f>
        <v>45</v>
      </c>
      <c r="L142" s="19" t="str" cm="1">
        <f t="array" aca="1" ref="L142" ca="1">IFERROR(_xlfn.XLOOKUP(Selectivo6[[#This Row],[DNI]],S_S[DNI],INDIRECT("S_S["&amp;Selectivo6[[#Headers],[R7]]&amp;"]")),"60 DNC")</f>
        <v>48</v>
      </c>
      <c r="M142" s="19" t="str" cm="1">
        <f t="array" aca="1" ref="M142" ca="1">IFERROR(_xlfn.XLOOKUP(Selectivo6[[#This Row],[DNI]],S_S[DNI],INDIRECT("S_S["&amp;Selectivo6[[#Headers],[R8]]&amp;"]")),"60 DNC")</f>
        <v>55</v>
      </c>
      <c r="N142" s="19" t="str" cm="1">
        <f t="array" aca="1" ref="N142" ca="1">IFERROR(_xlfn.XLOOKUP(Selectivo6[[#This Row],[DNI]],S_S[DNI],INDIRECT("S_S["&amp;Selectivo6[[#Headers],[R9]]&amp;"]")),"60 DNC")</f>
        <v>47</v>
      </c>
      <c r="O142" s="19" t="str">
        <f>IFERROR(_xlfn.XLOOKUP(Selectivo6[[#This Row],[DNI]],_VF2026[DNI],_VF2026[R1]),"65 DNC")</f>
        <v>46</v>
      </c>
      <c r="P142" s="19" t="str">
        <f>IFERROR(_xlfn.XLOOKUP(Selectivo6[[#This Row],[DNI]],_VF2026[DNI],_VF2026[R2]),"65 DNC")</f>
        <v>52</v>
      </c>
      <c r="Q142" s="19" t="str">
        <f>IFERROR(_xlfn.XLOOKUP(Selectivo6[[#This Row],[DNI]],_VF2026[DNI],_VF2026[R3]),"65 DNC")</f>
        <v>50</v>
      </c>
      <c r="R142" s="19" t="str">
        <f>IFERROR(_xlfn.XLOOKUP(Selectivo6[[#This Row],[DNI]],_VF2026[DNI],_VF2026[R4]),"65 DNC")</f>
        <v>36</v>
      </c>
      <c r="S142" s="19" t="str">
        <f>IFERROR(_xlfn.XLOOKUP(Selectivo6[[#This Row],[DNI]],_VF2026[DNI],_VF2026[R5]),"65 DNC")</f>
        <v>43</v>
      </c>
      <c r="T142" s="19" t="str">
        <f>IFERROR(_xlfn.XLOOKUP(Selectivo6[[#This Row],[DNI]],_VF2026[DNI],_VF2026[R6]),"65 DNC")</f>
        <v>42</v>
      </c>
      <c r="U142" s="20" t="str">
        <f>IFERROR(_xlfn.XLOOKUP(Selectivo6[[#This Row],[DNI]],_VF2026[DNI],_VF2026[R7]),"65 DNC")</f>
        <v>58</v>
      </c>
      <c r="V142" s="19" t="str">
        <f>IFERROR(_xlfn.XLOOKUP(Selectivo6[[#This Row],[DNI]],_VF2026[DNI],_VF2026[R8]),"65 DNC")</f>
        <v>28</v>
      </c>
      <c r="W142" s="19"/>
      <c r="X142" s="19"/>
      <c r="Y142" s="19"/>
      <c r="Z142" s="19"/>
      <c r="AA142" s="19"/>
      <c r="AB142" s="8" cm="1">
        <f t="array" aca="1" ref="AB142" ca="1">SUM(IFERROR(VALUE(LEFT(Regatas, FIND(" ",Regatas&amp; " ") - 1)), 0))</f>
        <v>791</v>
      </c>
      <c r="AC142" s="9" cm="1">
        <f t="array" aca="1" ref="AC142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675</v>
      </c>
      <c r="AD142" s="6" cm="1">
        <f t="array" aca="1" ref="AD142" ca="1">SMALL(_xlfn._xlws.FILTER(RegatasN, RegatasN&lt;&gt;0), 1)</f>
        <v>28</v>
      </c>
      <c r="AE142" s="6" cm="1">
        <f t="array" aca="1" ref="AE142" ca="1">SMALL(_xlfn._xlws.FILTER(RegatasN, RegatasN&lt;&gt;0), 2)</f>
        <v>36</v>
      </c>
      <c r="AF142" s="6" cm="1">
        <f t="array" aca="1" ref="AF142" ca="1">SMALL(_xlfn._xlws.FILTER(RegatasN, RegatasN&lt;&gt;0), 3)</f>
        <v>40</v>
      </c>
      <c r="AG142" s="5" cm="1">
        <f t="array" aca="1" ref="AG142" ca="1">COUNTIF(Regatas,SMALL(_xlfn._xlws.FILTER(RegatasN, RegatasN&lt;&gt;0), 1))</f>
        <v>1</v>
      </c>
      <c r="AH142" s="6" t="e" cm="1">
        <f t="array" ref="AH142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3" spans="1:34">
      <c r="A143">
        <v>52141180</v>
      </c>
      <c r="B143" s="10">
        <f>ROW()-ROW(Selectivo6[[#Headers],[Pos]])</f>
        <v>137</v>
      </c>
      <c r="C143" s="5">
        <v>4279</v>
      </c>
      <c r="D143" t="s">
        <v>533</v>
      </c>
      <c r="E143" t="s">
        <v>5</v>
      </c>
      <c r="F143" s="19" t="str" cm="1">
        <f t="array" aca="1" ref="F143" ca="1">IFERROR(_xlfn.XLOOKUP(Selectivo6[[#This Row],[DNI]],S_S[DNI],INDIRECT("S_S["&amp;Selectivo6[[#Headers],[R1]]&amp;"]")),"60 DNC")</f>
        <v>50</v>
      </c>
      <c r="G143" s="19" t="str" cm="1">
        <f t="array" aca="1" ref="G143" ca="1">IFERROR(_xlfn.XLOOKUP(Selectivo6[[#This Row],[DNI]],S_S[DNI],INDIRECT("S_S["&amp;Selectivo6[[#Headers],[R2]]&amp;"]")),"60 DNC")</f>
        <v>53</v>
      </c>
      <c r="H143" s="19" t="str" cm="1">
        <f t="array" aca="1" ref="H143" ca="1">IFERROR(_xlfn.XLOOKUP(Selectivo6[[#This Row],[DNI]],S_S[DNI],INDIRECT("S_S["&amp;Selectivo6[[#Headers],[R3]]&amp;"]")),"60 DNC")</f>
        <v>50</v>
      </c>
      <c r="I143" s="20" t="str" cm="1">
        <f t="array" aca="1" ref="I143" ca="1">IFERROR(_xlfn.XLOOKUP(Selectivo6[[#This Row],[DNI]],S_S[DNI],INDIRECT("S_S["&amp;Selectivo6[[#Headers],[R4]]&amp;"]")),"60 DNC")</f>
        <v>60 DNF</v>
      </c>
      <c r="J143" s="19" t="str" cm="1">
        <f t="array" aca="1" ref="J143" ca="1">IFERROR(_xlfn.XLOOKUP(Selectivo6[[#This Row],[DNI]],S_S[DNI],INDIRECT("S_S["&amp;Selectivo6[[#Headers],[R5]]&amp;"]")),"60 DNC")</f>
        <v>45</v>
      </c>
      <c r="K143" s="20" t="str" cm="1">
        <f t="array" aca="1" ref="K143" ca="1">IFERROR(_xlfn.XLOOKUP(Selectivo6[[#This Row],[DNI]],S_S[DNI],INDIRECT("S_S["&amp;Selectivo6[[#Headers],[R6]]&amp;"]")),"60 DNC")</f>
        <v>60 DNC</v>
      </c>
      <c r="L143" s="19" t="str" cm="1">
        <f t="array" aca="1" ref="L143" ca="1">IFERROR(_xlfn.XLOOKUP(Selectivo6[[#This Row],[DNI]],S_S[DNI],INDIRECT("S_S["&amp;Selectivo6[[#Headers],[R7]]&amp;"]")),"60 DNC")</f>
        <v>60 DNC</v>
      </c>
      <c r="M143" s="19" t="str" cm="1">
        <f t="array" aca="1" ref="M143" ca="1">IFERROR(_xlfn.XLOOKUP(Selectivo6[[#This Row],[DNI]],S_S[DNI],INDIRECT("S_S["&amp;Selectivo6[[#Headers],[R8]]&amp;"]")),"60 DNC")</f>
        <v>49</v>
      </c>
      <c r="N143" s="19" t="str" cm="1">
        <f t="array" aca="1" ref="N143" ca="1">IFERROR(_xlfn.XLOOKUP(Selectivo6[[#This Row],[DNI]],S_S[DNI],INDIRECT("S_S["&amp;Selectivo6[[#Headers],[R9]]&amp;"]")),"60 DNC")</f>
        <v>46</v>
      </c>
      <c r="O143" s="19" t="str">
        <f>IFERROR(_xlfn.XLOOKUP(Selectivo6[[#This Row],[DNI]],_VF2026[DNI],_VF2026[R1]),"65 DNC")</f>
        <v>35</v>
      </c>
      <c r="P143" s="19" t="str">
        <f>IFERROR(_xlfn.XLOOKUP(Selectivo6[[#This Row],[DNI]],_VF2026[DNI],_VF2026[R2]),"65 DNC")</f>
        <v>39</v>
      </c>
      <c r="Q143" s="19" t="str">
        <f>IFERROR(_xlfn.XLOOKUP(Selectivo6[[#This Row],[DNI]],_VF2026[DNI],_VF2026[R3]),"65 DNC")</f>
        <v>49</v>
      </c>
      <c r="R143" s="19" t="str">
        <f>IFERROR(_xlfn.XLOOKUP(Selectivo6[[#This Row],[DNI]],_VF2026[DNI],_VF2026[R4]),"65 DNC")</f>
        <v>45</v>
      </c>
      <c r="S143" s="19" t="str">
        <f>IFERROR(_xlfn.XLOOKUP(Selectivo6[[#This Row],[DNI]],_VF2026[DNI],_VF2026[R5]),"65 DNC")</f>
        <v>38</v>
      </c>
      <c r="T143" s="19" t="str">
        <f>IFERROR(_xlfn.XLOOKUP(Selectivo6[[#This Row],[DNI]],_VF2026[DNI],_VF2026[R6]),"65 DNC")</f>
        <v>44</v>
      </c>
      <c r="U143" s="19" t="str">
        <f>IFERROR(_xlfn.XLOOKUP(Selectivo6[[#This Row],[DNI]],_VF2026[DNI],_VF2026[R7]),"65 DNC")</f>
        <v>45</v>
      </c>
      <c r="V143" s="19" t="str">
        <f>IFERROR(_xlfn.XLOOKUP(Selectivo6[[#This Row],[DNI]],_VF2026[DNI],_VF2026[R8]),"65 DNC")</f>
        <v>36</v>
      </c>
      <c r="W143" s="19"/>
      <c r="X143" s="19"/>
      <c r="Y143" s="19"/>
      <c r="Z143" s="19"/>
      <c r="AA143" s="19"/>
      <c r="AB143" s="8" cm="1">
        <f t="array" aca="1" ref="AB143" ca="1">SUM(IFERROR(VALUE(LEFT(Regatas, FIND(" ",Regatas&amp; " ") - 1)), 0))</f>
        <v>804</v>
      </c>
      <c r="AC143" s="9" cm="1">
        <f t="array" aca="1" ref="AC143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684</v>
      </c>
      <c r="AD143" s="6" cm="1">
        <f t="array" aca="1" ref="AD143" ca="1">SMALL(_xlfn._xlws.FILTER(RegatasN, RegatasN&lt;&gt;0), 1)</f>
        <v>35</v>
      </c>
      <c r="AE143" s="6" cm="1">
        <f t="array" aca="1" ref="AE143" ca="1">SMALL(_xlfn._xlws.FILTER(RegatasN, RegatasN&lt;&gt;0), 2)</f>
        <v>36</v>
      </c>
      <c r="AF143" s="6" cm="1">
        <f t="array" aca="1" ref="AF143" ca="1">SMALL(_xlfn._xlws.FILTER(RegatasN, RegatasN&lt;&gt;0), 3)</f>
        <v>38</v>
      </c>
      <c r="AG143" s="5" cm="1">
        <f t="array" aca="1" ref="AG143" ca="1">COUNTIF(Regatas,SMALL(_xlfn._xlws.FILTER(RegatasN, RegatasN&lt;&gt;0), 1))</f>
        <v>1</v>
      </c>
      <c r="AH143" s="6" t="e" cm="1">
        <f t="array" ref="AH143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4" spans="1:34">
      <c r="A144">
        <v>52168000</v>
      </c>
      <c r="B144" s="10">
        <f>ROW()-ROW(Selectivo6[[#Headers],[Pos]])</f>
        <v>138</v>
      </c>
      <c r="C144" s="5">
        <v>3685</v>
      </c>
      <c r="D144" t="s">
        <v>535</v>
      </c>
      <c r="E144" t="s">
        <v>9</v>
      </c>
      <c r="F144" s="19" t="str" cm="1">
        <f t="array" aca="1" ref="F144" ca="1">IFERROR(_xlfn.XLOOKUP(Selectivo6[[#This Row],[DNI]],S_S[DNI],INDIRECT("S_S["&amp;Selectivo6[[#Headers],[R1]]&amp;"]")),"60 DNC")</f>
        <v>60 BFD</v>
      </c>
      <c r="G144" s="19" t="str" cm="1">
        <f t="array" aca="1" ref="G144" ca="1">IFERROR(_xlfn.XLOOKUP(Selectivo6[[#This Row],[DNI]],S_S[DNI],INDIRECT("S_S["&amp;Selectivo6[[#Headers],[R2]]&amp;"]")),"60 DNC")</f>
        <v>57</v>
      </c>
      <c r="H144" s="19" t="str" cm="1">
        <f t="array" aca="1" ref="H144" ca="1">IFERROR(_xlfn.XLOOKUP(Selectivo6[[#This Row],[DNI]],S_S[DNI],INDIRECT("S_S["&amp;Selectivo6[[#Headers],[R3]]&amp;"]")),"60 DNC")</f>
        <v>58</v>
      </c>
      <c r="I144" s="19" t="str" cm="1">
        <f t="array" aca="1" ref="I144" ca="1">IFERROR(_xlfn.XLOOKUP(Selectivo6[[#This Row],[DNI]],S_S[DNI],INDIRECT("S_S["&amp;Selectivo6[[#Headers],[R4]]&amp;"]")),"60 DNC")</f>
        <v>60 DNC</v>
      </c>
      <c r="J144" s="19" t="str" cm="1">
        <f t="array" aca="1" ref="J144" ca="1">IFERROR(_xlfn.XLOOKUP(Selectivo6[[#This Row],[DNI]],S_S[DNI],INDIRECT("S_S["&amp;Selectivo6[[#Headers],[R5]]&amp;"]")),"60 DNC")</f>
        <v>19</v>
      </c>
      <c r="K144" s="19" t="str" cm="1">
        <f t="array" aca="1" ref="K144" ca="1">IFERROR(_xlfn.XLOOKUP(Selectivo6[[#This Row],[DNI]],S_S[DNI],INDIRECT("S_S["&amp;Selectivo6[[#Headers],[R6]]&amp;"]")),"60 DNC")</f>
        <v>60 DNC</v>
      </c>
      <c r="L144" s="19" t="str" cm="1">
        <f t="array" aca="1" ref="L144" ca="1">IFERROR(_xlfn.XLOOKUP(Selectivo6[[#This Row],[DNI]],S_S[DNI],INDIRECT("S_S["&amp;Selectivo6[[#Headers],[R7]]&amp;"]")),"60 DNC")</f>
        <v>60 DNC</v>
      </c>
      <c r="M144" s="19" t="str" cm="1">
        <f t="array" aca="1" ref="M144" ca="1">IFERROR(_xlfn.XLOOKUP(Selectivo6[[#This Row],[DNI]],S_S[DNI],INDIRECT("S_S["&amp;Selectivo6[[#Headers],[R8]]&amp;"]")),"60 DNC")</f>
        <v>50</v>
      </c>
      <c r="N144" s="19" t="str" cm="1">
        <f t="array" aca="1" ref="N144" ca="1">IFERROR(_xlfn.XLOOKUP(Selectivo6[[#This Row],[DNI]],S_S[DNI],INDIRECT("S_S["&amp;Selectivo6[[#Headers],[R9]]&amp;"]")),"60 DNC")</f>
        <v>60 DNF</v>
      </c>
      <c r="O144" s="20" t="str">
        <f>IFERROR(_xlfn.XLOOKUP(Selectivo6[[#This Row],[DNI]],_VF2026[DNI],_VF2026[R1]),"65 DNC")</f>
        <v>65 BFD</v>
      </c>
      <c r="P144" s="19" t="str">
        <f>IFERROR(_xlfn.XLOOKUP(Selectivo6[[#This Row],[DNI]],_VF2026[DNI],_VF2026[R2]),"65 DNC")</f>
        <v>54</v>
      </c>
      <c r="Q144" s="19" t="str">
        <f>IFERROR(_xlfn.XLOOKUP(Selectivo6[[#This Row],[DNI]],_VF2026[DNI],_VF2026[R3]),"65 DNC")</f>
        <v>55</v>
      </c>
      <c r="R144" s="19" t="str">
        <f>IFERROR(_xlfn.XLOOKUP(Selectivo6[[#This Row],[DNI]],_VF2026[DNI],_VF2026[R4]),"65 DNC")</f>
        <v>53</v>
      </c>
      <c r="S144" s="19" t="str">
        <f>IFERROR(_xlfn.XLOOKUP(Selectivo6[[#This Row],[DNI]],_VF2026[DNI],_VF2026[R5]),"65 DNC")</f>
        <v>53</v>
      </c>
      <c r="T144" s="19" t="str">
        <f>IFERROR(_xlfn.XLOOKUP(Selectivo6[[#This Row],[DNI]],_VF2026[DNI],_VF2026[R6]),"65 DNC")</f>
        <v>9</v>
      </c>
      <c r="U144" s="20" t="str">
        <f>IFERROR(_xlfn.XLOOKUP(Selectivo6[[#This Row],[DNI]],_VF2026[DNI],_VF2026[R7]),"65 DNC")</f>
        <v>65 BFD</v>
      </c>
      <c r="V144" s="19" t="str">
        <f>IFERROR(_xlfn.XLOOKUP(Selectivo6[[#This Row],[DNI]],_VF2026[DNI],_VF2026[R8]),"65 DNC")</f>
        <v>24</v>
      </c>
      <c r="W144" s="19"/>
      <c r="X144" s="19"/>
      <c r="Y144" s="19"/>
      <c r="Z144" s="19"/>
      <c r="AA144" s="19"/>
      <c r="AB144" s="8" cm="1">
        <f t="array" aca="1" ref="AB144" ca="1">SUM(IFERROR(VALUE(LEFT(Regatas, FIND(" ",Regatas&amp; " ") - 1)), 0))</f>
        <v>862</v>
      </c>
      <c r="AC144" s="9" cm="1">
        <f t="array" aca="1" ref="AC144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732</v>
      </c>
      <c r="AD144" s="6" cm="1">
        <f t="array" aca="1" ref="AD144" ca="1">SMALL(_xlfn._xlws.FILTER(RegatasN, RegatasN&lt;&gt;0), 1)</f>
        <v>9</v>
      </c>
      <c r="AE144" s="6" cm="1">
        <f t="array" aca="1" ref="AE144" ca="1">SMALL(_xlfn._xlws.FILTER(RegatasN, RegatasN&lt;&gt;0), 2)</f>
        <v>19</v>
      </c>
      <c r="AF144" s="6" cm="1">
        <f t="array" aca="1" ref="AF144" ca="1">SMALL(_xlfn._xlws.FILTER(RegatasN, RegatasN&lt;&gt;0), 3)</f>
        <v>24</v>
      </c>
      <c r="AG144" s="5" cm="1">
        <f t="array" aca="1" ref="AG144" ca="1">COUNTIF(Regatas,SMALL(_xlfn._xlws.FILTER(RegatasN, RegatasN&lt;&gt;0), 1))</f>
        <v>1</v>
      </c>
      <c r="AH144" s="6" t="e" cm="1">
        <f t="array" ref="AH144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5" spans="1:34">
      <c r="A145">
        <v>52764600</v>
      </c>
      <c r="B145" s="10">
        <f>ROW()-ROW(Selectivo6[[#Headers],[Pos]])</f>
        <v>139</v>
      </c>
      <c r="C145" s="5">
        <v>4187</v>
      </c>
      <c r="D145" t="s">
        <v>522</v>
      </c>
      <c r="E145" t="s">
        <v>67</v>
      </c>
      <c r="F145" s="19" t="str" cm="1">
        <f t="array" aca="1" ref="F145" ca="1">IFERROR(_xlfn.XLOOKUP(Selectivo6[[#This Row],[DNI]],S_S[DNI],INDIRECT("S_S["&amp;Selectivo6[[#Headers],[R1]]&amp;"]")),"60 DNC")</f>
        <v>44</v>
      </c>
      <c r="G145" s="19" t="str" cm="1">
        <f t="array" aca="1" ref="G145" ca="1">IFERROR(_xlfn.XLOOKUP(Selectivo6[[#This Row],[DNI]],S_S[DNI],INDIRECT("S_S["&amp;Selectivo6[[#Headers],[R2]]&amp;"]")),"60 DNC")</f>
        <v>55</v>
      </c>
      <c r="H145" s="19" t="str" cm="1">
        <f t="array" aca="1" ref="H145" ca="1">IFERROR(_xlfn.XLOOKUP(Selectivo6[[#This Row],[DNI]],S_S[DNI],INDIRECT("S_S["&amp;Selectivo6[[#Headers],[R3]]&amp;"]")),"60 DNC")</f>
        <v>32</v>
      </c>
      <c r="I145" s="19" t="str" cm="1">
        <f t="array" aca="1" ref="I145" ca="1">IFERROR(_xlfn.XLOOKUP(Selectivo6[[#This Row],[DNI]],S_S[DNI],INDIRECT("S_S["&amp;Selectivo6[[#Headers],[R4]]&amp;"]")),"60 DNC")</f>
        <v>50</v>
      </c>
      <c r="J145" s="19" t="str" cm="1">
        <f t="array" aca="1" ref="J145" ca="1">IFERROR(_xlfn.XLOOKUP(Selectivo6[[#This Row],[DNI]],S_S[DNI],INDIRECT("S_S["&amp;Selectivo6[[#Headers],[R5]]&amp;"]")),"60 DNC")</f>
        <v>43</v>
      </c>
      <c r="K145" s="19" t="str" cm="1">
        <f t="array" aca="1" ref="K145" ca="1">IFERROR(_xlfn.XLOOKUP(Selectivo6[[#This Row],[DNI]],S_S[DNI],INDIRECT("S_S["&amp;Selectivo6[[#Headers],[R6]]&amp;"]")),"60 DNC")</f>
        <v>60 DNC</v>
      </c>
      <c r="L145" s="19" t="str" cm="1">
        <f t="array" aca="1" ref="L145" ca="1">IFERROR(_xlfn.XLOOKUP(Selectivo6[[#This Row],[DNI]],S_S[DNI],INDIRECT("S_S["&amp;Selectivo6[[#Headers],[R7]]&amp;"]")),"60 DNC")</f>
        <v>60 DNC</v>
      </c>
      <c r="M145" s="19" t="str" cm="1">
        <f t="array" aca="1" ref="M145" ca="1">IFERROR(_xlfn.XLOOKUP(Selectivo6[[#This Row],[DNI]],S_S[DNI],INDIRECT("S_S["&amp;Selectivo6[[#Headers],[R8]]&amp;"]")),"60 DNC")</f>
        <v>37</v>
      </c>
      <c r="N145" s="19" t="str" cm="1">
        <f t="array" aca="1" ref="N145" ca="1">IFERROR(_xlfn.XLOOKUP(Selectivo6[[#This Row],[DNI]],S_S[DNI],INDIRECT("S_S["&amp;Selectivo6[[#Headers],[R9]]&amp;"]")),"60 DNC")</f>
        <v>46</v>
      </c>
      <c r="O145" s="19" t="str">
        <f>IFERROR(_xlfn.XLOOKUP(Selectivo6[[#This Row],[DNI]],_VF2026[DNI],_VF2026[R1]),"65 DNC")</f>
        <v>50</v>
      </c>
      <c r="P145" s="19" t="str">
        <f>IFERROR(_xlfn.XLOOKUP(Selectivo6[[#This Row],[DNI]],_VF2026[DNI],_VF2026[R2]),"65 DNC")</f>
        <v>38</v>
      </c>
      <c r="Q145" s="20" t="str">
        <f>IFERROR(_xlfn.XLOOKUP(Selectivo6[[#This Row],[DNI]],_VF2026[DNI],_VF2026[R3]),"65 DNC")</f>
        <v>65 DNC</v>
      </c>
      <c r="R145" s="20" t="str">
        <f>IFERROR(_xlfn.XLOOKUP(Selectivo6[[#This Row],[DNI]],_VF2026[DNI],_VF2026[R4]),"65 DNC")</f>
        <v>65 DNC</v>
      </c>
      <c r="S145" s="19" t="str">
        <f>IFERROR(_xlfn.XLOOKUP(Selectivo6[[#This Row],[DNI]],_VF2026[DNI],_VF2026[R5]),"65 DNC")</f>
        <v>65 DNC</v>
      </c>
      <c r="T145" s="19" t="str">
        <f>IFERROR(_xlfn.XLOOKUP(Selectivo6[[#This Row],[DNI]],_VF2026[DNI],_VF2026[R6]),"65 DNC")</f>
        <v>41</v>
      </c>
      <c r="U145" s="19" t="str">
        <f>IFERROR(_xlfn.XLOOKUP(Selectivo6[[#This Row],[DNI]],_VF2026[DNI],_VF2026[R7]),"65 DNC")</f>
        <v>65 BFD</v>
      </c>
      <c r="V145" s="19" t="str">
        <f>IFERROR(_xlfn.XLOOKUP(Selectivo6[[#This Row],[DNI]],_VF2026[DNI],_VF2026[R8]),"65 DNC")</f>
        <v>65 BFD</v>
      </c>
      <c r="W145" s="19"/>
      <c r="X145" s="19"/>
      <c r="Y145" s="19"/>
      <c r="Z145" s="19"/>
      <c r="AA145" s="19"/>
      <c r="AB145" s="8" cm="1">
        <f t="array" aca="1" ref="AB145" ca="1">SUM(IFERROR(VALUE(LEFT(Regatas, FIND(" ",Regatas&amp; " ") - 1)), 0))</f>
        <v>881</v>
      </c>
      <c r="AC145" s="9" cm="1">
        <f t="array" aca="1" ref="AC145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751</v>
      </c>
      <c r="AD145" s="6" cm="1">
        <f t="array" aca="1" ref="AD145" ca="1">SMALL(_xlfn._xlws.FILTER(RegatasN, RegatasN&lt;&gt;0), 1)</f>
        <v>32</v>
      </c>
      <c r="AE145" s="6" cm="1">
        <f t="array" aca="1" ref="AE145" ca="1">SMALL(_xlfn._xlws.FILTER(RegatasN, RegatasN&lt;&gt;0), 2)</f>
        <v>37</v>
      </c>
      <c r="AF145" s="6" cm="1">
        <f t="array" aca="1" ref="AF145" ca="1">SMALL(_xlfn._xlws.FILTER(RegatasN, RegatasN&lt;&gt;0), 3)</f>
        <v>38</v>
      </c>
      <c r="AG145" s="5" cm="1">
        <f t="array" aca="1" ref="AG145" ca="1">COUNTIF(Regatas,SMALL(_xlfn._xlws.FILTER(RegatasN, RegatasN&lt;&gt;0), 1))</f>
        <v>1</v>
      </c>
      <c r="AH145" s="6" t="e" cm="1">
        <f t="array" ref="AH145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6" spans="1:34">
      <c r="A146">
        <v>54099646</v>
      </c>
      <c r="B146" s="10">
        <f>ROW()-ROW(Selectivo6[[#Headers],[Pos]])</f>
        <v>140</v>
      </c>
      <c r="C146" s="5">
        <v>4241</v>
      </c>
      <c r="D146" t="s">
        <v>531</v>
      </c>
      <c r="E146" t="s">
        <v>23</v>
      </c>
      <c r="F146" s="19" t="str" cm="1">
        <f t="array" aca="1" ref="F146" ca="1">IFERROR(_xlfn.XLOOKUP(Selectivo6[[#This Row],[DNI]],S_S[DNI],INDIRECT("S_S["&amp;Selectivo6[[#Headers],[R1]]&amp;"]")),"60 DNC")</f>
        <v>54</v>
      </c>
      <c r="G146" s="19" t="str" cm="1">
        <f t="array" aca="1" ref="G146" ca="1">IFERROR(_xlfn.XLOOKUP(Selectivo6[[#This Row],[DNI]],S_S[DNI],INDIRECT("S_S["&amp;Selectivo6[[#Headers],[R2]]&amp;"]")),"60 DNC")</f>
        <v>53</v>
      </c>
      <c r="H146" s="19" t="str" cm="1">
        <f t="array" aca="1" ref="H146" ca="1">IFERROR(_xlfn.XLOOKUP(Selectivo6[[#This Row],[DNI]],S_S[DNI],INDIRECT("S_S["&amp;Selectivo6[[#Headers],[R3]]&amp;"]")),"60 DNC")</f>
        <v>55</v>
      </c>
      <c r="I146" s="19" t="str" cm="1">
        <f t="array" aca="1" ref="I146" ca="1">IFERROR(_xlfn.XLOOKUP(Selectivo6[[#This Row],[DNI]],S_S[DNI],INDIRECT("S_S["&amp;Selectivo6[[#Headers],[R4]]&amp;"]")),"60 DNC")</f>
        <v>52</v>
      </c>
      <c r="J146" s="19" t="str" cm="1">
        <f t="array" aca="1" ref="J146" ca="1">IFERROR(_xlfn.XLOOKUP(Selectivo6[[#This Row],[DNI]],S_S[DNI],INDIRECT("S_S["&amp;Selectivo6[[#Headers],[R5]]&amp;"]")),"60 DNC")</f>
        <v>42</v>
      </c>
      <c r="K146" s="19" t="str" cm="1">
        <f t="array" aca="1" ref="K146" ca="1">IFERROR(_xlfn.XLOOKUP(Selectivo6[[#This Row],[DNI]],S_S[DNI],INDIRECT("S_S["&amp;Selectivo6[[#Headers],[R6]]&amp;"]")),"60 DNC")</f>
        <v>51</v>
      </c>
      <c r="L146" s="19" t="str" cm="1">
        <f t="array" aca="1" ref="L146" ca="1">IFERROR(_xlfn.XLOOKUP(Selectivo6[[#This Row],[DNI]],S_S[DNI],INDIRECT("S_S["&amp;Selectivo6[[#Headers],[R7]]&amp;"]")),"60 DNC")</f>
        <v>49</v>
      </c>
      <c r="M146" s="20" t="str" cm="1">
        <f t="array" aca="1" ref="M146" ca="1">IFERROR(_xlfn.XLOOKUP(Selectivo6[[#This Row],[DNI]],S_S[DNI],INDIRECT("S_S["&amp;Selectivo6[[#Headers],[R8]]&amp;"]")),"60 DNC")</f>
        <v>57</v>
      </c>
      <c r="N146" s="20" t="str" cm="1">
        <f t="array" aca="1" ref="N146" ca="1">IFERROR(_xlfn.XLOOKUP(Selectivo6[[#This Row],[DNI]],S_S[DNI],INDIRECT("S_S["&amp;Selectivo6[[#Headers],[R9]]&amp;"]")),"60 DNC")</f>
        <v>60 DNC</v>
      </c>
      <c r="O146" s="19" t="str">
        <f>IFERROR(_xlfn.XLOOKUP(Selectivo6[[#This Row],[DNI]],_VF2026[DNI],_VF2026[R1]),"65 DNC")</f>
        <v>47</v>
      </c>
      <c r="P146" s="19" t="str">
        <f>IFERROR(_xlfn.XLOOKUP(Selectivo6[[#This Row],[DNI]],_VF2026[DNI],_VF2026[R2]),"65 DNC")</f>
        <v>53</v>
      </c>
      <c r="Q146" s="19" t="str">
        <f>IFERROR(_xlfn.XLOOKUP(Selectivo6[[#This Row],[DNI]],_VF2026[DNI],_VF2026[R3]),"65 DNC")</f>
        <v>57</v>
      </c>
      <c r="R146" s="19" t="str">
        <f>IFERROR(_xlfn.XLOOKUP(Selectivo6[[#This Row],[DNI]],_VF2026[DNI],_VF2026[R4]),"65 DNC")</f>
        <v>53</v>
      </c>
      <c r="S146" s="19" t="str">
        <f>IFERROR(_xlfn.XLOOKUP(Selectivo6[[#This Row],[DNI]],_VF2026[DNI],_VF2026[R5]),"65 DNC")</f>
        <v>55</v>
      </c>
      <c r="T146" s="19" t="str">
        <f>IFERROR(_xlfn.XLOOKUP(Selectivo6[[#This Row],[DNI]],_VF2026[DNI],_VF2026[R6]),"65 DNC")</f>
        <v>47</v>
      </c>
      <c r="U146" s="19" t="str">
        <f>IFERROR(_xlfn.XLOOKUP(Selectivo6[[#This Row],[DNI]],_VF2026[DNI],_VF2026[R7]),"65 DNC")</f>
        <v>49</v>
      </c>
      <c r="V146" s="19" t="str">
        <f>IFERROR(_xlfn.XLOOKUP(Selectivo6[[#This Row],[DNI]],_VF2026[DNI],_VF2026[R8]),"65 DNC")</f>
        <v>54</v>
      </c>
      <c r="W146" s="19"/>
      <c r="X146" s="19"/>
      <c r="Y146" s="19"/>
      <c r="Z146" s="19"/>
      <c r="AA146" s="19"/>
      <c r="AB146" s="8" cm="1">
        <f t="array" aca="1" ref="AB146" ca="1">SUM(IFERROR(VALUE(LEFT(Regatas, FIND(" ",Regatas&amp; " ") - 1)), 0))</f>
        <v>888</v>
      </c>
      <c r="AC146" s="9" cm="1">
        <f t="array" aca="1" ref="AC146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771</v>
      </c>
      <c r="AD146" s="6" cm="1">
        <f t="array" aca="1" ref="AD146" ca="1">SMALL(_xlfn._xlws.FILTER(RegatasN, RegatasN&lt;&gt;0), 1)</f>
        <v>42</v>
      </c>
      <c r="AE146" s="6" cm="1">
        <f t="array" aca="1" ref="AE146" ca="1">SMALL(_xlfn._xlws.FILTER(RegatasN, RegatasN&lt;&gt;0), 2)</f>
        <v>47</v>
      </c>
      <c r="AF146" s="6" cm="1">
        <f t="array" aca="1" ref="AF146" ca="1">SMALL(_xlfn._xlws.FILTER(RegatasN, RegatasN&lt;&gt;0), 3)</f>
        <v>47</v>
      </c>
      <c r="AG146" s="5" cm="1">
        <f t="array" aca="1" ref="AG146" ca="1">COUNTIF(Regatas,SMALL(_xlfn._xlws.FILTER(RegatasN, RegatasN&lt;&gt;0), 1))</f>
        <v>1</v>
      </c>
      <c r="AH146" s="6" t="e" cm="1">
        <f t="array" ref="AH146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7" spans="1:34">
      <c r="A147">
        <v>52725071</v>
      </c>
      <c r="B147" s="10">
        <f>ROW()-ROW(Selectivo6[[#Headers],[Pos]])</f>
        <v>141</v>
      </c>
      <c r="C147" s="5">
        <v>3827</v>
      </c>
      <c r="D147" t="s">
        <v>539</v>
      </c>
      <c r="E147" t="s">
        <v>10</v>
      </c>
      <c r="F147" s="19" t="str" cm="1">
        <f t="array" aca="1" ref="F147" ca="1">IFERROR(_xlfn.XLOOKUP(Selectivo6[[#This Row],[DNI]],S_S[DNI],INDIRECT("S_S["&amp;Selectivo6[[#Headers],[R1]]&amp;"]")),"60 DNC")</f>
        <v>59</v>
      </c>
      <c r="G147" s="19" t="str" cm="1">
        <f t="array" aca="1" ref="G147" ca="1">IFERROR(_xlfn.XLOOKUP(Selectivo6[[#This Row],[DNI]],S_S[DNI],INDIRECT("S_S["&amp;Selectivo6[[#Headers],[R2]]&amp;"]")),"60 DNC")</f>
        <v>50</v>
      </c>
      <c r="H147" s="19" t="str" cm="1">
        <f t="array" aca="1" ref="H147" ca="1">IFERROR(_xlfn.XLOOKUP(Selectivo6[[#This Row],[DNI]],S_S[DNI],INDIRECT("S_S["&amp;Selectivo6[[#Headers],[R3]]&amp;"]")),"60 DNC")</f>
        <v>55</v>
      </c>
      <c r="I147" s="19" t="str" cm="1">
        <f t="array" aca="1" ref="I147" ca="1">IFERROR(_xlfn.XLOOKUP(Selectivo6[[#This Row],[DNI]],S_S[DNI],INDIRECT("S_S["&amp;Selectivo6[[#Headers],[R4]]&amp;"]")),"60 DNC")</f>
        <v>54</v>
      </c>
      <c r="J147" s="19" t="str" cm="1">
        <f t="array" aca="1" ref="J147" ca="1">IFERROR(_xlfn.XLOOKUP(Selectivo6[[#This Row],[DNI]],S_S[DNI],INDIRECT("S_S["&amp;Selectivo6[[#Headers],[R5]]&amp;"]")),"60 DNC")</f>
        <v>45</v>
      </c>
      <c r="K147" s="20" t="str" cm="1">
        <f t="array" aca="1" ref="K147" ca="1">IFERROR(_xlfn.XLOOKUP(Selectivo6[[#This Row],[DNI]],S_S[DNI],INDIRECT("S_S["&amp;Selectivo6[[#Headers],[R6]]&amp;"]")),"60 DNC")</f>
        <v>60 DNC</v>
      </c>
      <c r="L147" s="19" t="str" cm="1">
        <f t="array" aca="1" ref="L147" ca="1">IFERROR(_xlfn.XLOOKUP(Selectivo6[[#This Row],[DNI]],S_S[DNI],INDIRECT("S_S["&amp;Selectivo6[[#Headers],[R7]]&amp;"]")),"60 DNC")</f>
        <v>60 DNC</v>
      </c>
      <c r="M147" s="19" t="str" cm="1">
        <f t="array" aca="1" ref="M147" ca="1">IFERROR(_xlfn.XLOOKUP(Selectivo6[[#This Row],[DNI]],S_S[DNI],INDIRECT("S_S["&amp;Selectivo6[[#Headers],[R8]]&amp;"]")),"60 DNC")</f>
        <v>53</v>
      </c>
      <c r="N147" s="19" t="str" cm="1">
        <f t="array" aca="1" ref="N147" ca="1">IFERROR(_xlfn.XLOOKUP(Selectivo6[[#This Row],[DNI]],S_S[DNI],INDIRECT("S_S["&amp;Selectivo6[[#Headers],[R9]]&amp;"]")),"60 DNC")</f>
        <v>60 DNC</v>
      </c>
      <c r="O147" s="19" t="str">
        <f>IFERROR(_xlfn.XLOOKUP(Selectivo6[[#This Row],[DNI]],_VF2026[DNI],_VF2026[R1]),"65 DNC")</f>
        <v>54</v>
      </c>
      <c r="P147" s="19" t="str">
        <f>IFERROR(_xlfn.XLOOKUP(Selectivo6[[#This Row],[DNI]],_VF2026[DNI],_VF2026[R2]),"65 DNC")</f>
        <v>52</v>
      </c>
      <c r="Q147" s="19" t="str">
        <f>IFERROR(_xlfn.XLOOKUP(Selectivo6[[#This Row],[DNI]],_VF2026[DNI],_VF2026[R3]),"65 DNC")</f>
        <v>45</v>
      </c>
      <c r="R147" s="20" t="str">
        <f>IFERROR(_xlfn.XLOOKUP(Selectivo6[[#This Row],[DNI]],_VF2026[DNI],_VF2026[R4]),"65 DNC")</f>
        <v>65 DNC</v>
      </c>
      <c r="S147" s="19" t="str">
        <f>IFERROR(_xlfn.XLOOKUP(Selectivo6[[#This Row],[DNI]],_VF2026[DNI],_VF2026[R5]),"65 DNC")</f>
        <v>55</v>
      </c>
      <c r="T147" s="19" t="str">
        <f>IFERROR(_xlfn.XLOOKUP(Selectivo6[[#This Row],[DNI]],_VF2026[DNI],_VF2026[R6]),"65 DNC")</f>
        <v>47</v>
      </c>
      <c r="U147" s="19" t="str">
        <f>IFERROR(_xlfn.XLOOKUP(Selectivo6[[#This Row],[DNI]],_VF2026[DNI],_VF2026[R7]),"65 DNC")</f>
        <v>53</v>
      </c>
      <c r="V147" s="19" t="str">
        <f>IFERROR(_xlfn.XLOOKUP(Selectivo6[[#This Row],[DNI]],_VF2026[DNI],_VF2026[R8]),"65 DNC")</f>
        <v>44</v>
      </c>
      <c r="W147" s="19"/>
      <c r="X147" s="19"/>
      <c r="Y147" s="19"/>
      <c r="Z147" s="19"/>
      <c r="AA147" s="19"/>
      <c r="AB147" s="8" cm="1">
        <f t="array" aca="1" ref="AB147" ca="1">SUM(IFERROR(VALUE(LEFT(Regatas, FIND(" ",Regatas&amp; " ") - 1)), 0))</f>
        <v>911</v>
      </c>
      <c r="AC147" s="9" cm="1">
        <f t="array" aca="1" ref="AC147" ca="1">SUM(IFERROR(VALUE(LEFT(Regatas, FIND(" ", Regatas &amp; " ")-1)), 0)) - _xlfn.IFS($AJ$7=0, 0, $AJ$7&gt;0, SUM(LARGE(IF((ISNUMBER(SEARCH("DNE", Regatas)) = FALSE), IFERROR(VALUE(LEFT(Regatas, FIND(" ", Regatas &amp; " ")-1)), 0)), _xlfn.SEQUENCE($AJ$7, 1, 1, 1))))</f>
        <v>786</v>
      </c>
      <c r="AD147" s="6" cm="1">
        <f t="array" aca="1" ref="AD147" ca="1">SMALL(_xlfn._xlws.FILTER(RegatasN, RegatasN&lt;&gt;0), 1)</f>
        <v>44</v>
      </c>
      <c r="AE147" s="6" cm="1">
        <f t="array" aca="1" ref="AE147" ca="1">SMALL(_xlfn._xlws.FILTER(RegatasN, RegatasN&lt;&gt;0), 2)</f>
        <v>45</v>
      </c>
      <c r="AF147" s="6" cm="1">
        <f t="array" aca="1" ref="AF147" ca="1">SMALL(_xlfn._xlws.FILTER(RegatasN, RegatasN&lt;&gt;0), 3)</f>
        <v>45</v>
      </c>
      <c r="AG147" s="5" cm="1">
        <f t="array" aca="1" ref="AG147" ca="1">COUNTIF(Regatas,SMALL(_xlfn._xlws.FILTER(RegatasN, RegatasN&lt;&gt;0), 1))</f>
        <v>1</v>
      </c>
      <c r="AH147" s="6" t="e" cm="1">
        <f t="array" ref="AH147">VALUE(LEFT(INDEX(Selectivo6[#This Row],,MATCH(Selectivo6[[#Headers],[Total]],Selectivo6[#Headers],0)-1),SEARCH(" ",INDEX(Selectivo6[#This Row],,MATCH(Selectivo6[[#Headers],[Total]],Selectivo6[#Headers],0)-1)&amp;" ")-1))</f>
        <v>#VALUE!</v>
      </c>
    </row>
    <row r="148" spans="1:34"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</row>
    <row r="149" spans="1:34"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</row>
    <row r="150" spans="1:34"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</row>
    <row r="151" spans="1:34"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</row>
    <row r="152" spans="1:34"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</row>
    <row r="153" spans="1:34"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</row>
    <row r="154" spans="1:34"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</row>
    <row r="155" spans="1:34"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</row>
    <row r="156" spans="1:34"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</row>
    <row r="157" spans="1:34"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</row>
    <row r="158" spans="1:34"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</row>
    <row r="159" spans="1:34"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</row>
    <row r="160" spans="1:34"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</row>
    <row r="161" spans="6:27"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</row>
    <row r="162" spans="6:27"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</row>
    <row r="163" spans="6:27"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</row>
    <row r="164" spans="6:27"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6:27"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</row>
    <row r="166" spans="6:27"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6:27"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  <row r="168" spans="6:27"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</row>
    <row r="169" spans="6:27"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</row>
    <row r="170" spans="6:27"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</row>
    <row r="171" spans="6:27"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</row>
    <row r="172" spans="6:27"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</row>
    <row r="173" spans="6:27"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</row>
    <row r="174" spans="6:27"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6:27"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</row>
    <row r="176" spans="6:27"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</sheetData>
  <mergeCells count="2">
    <mergeCell ref="B2:AC2"/>
    <mergeCell ref="B4:AC4"/>
  </mergeCells>
  <printOptions horizontalCentered="1"/>
  <pageMargins left="7.874015748031496E-2" right="7.874015748031496E-2" top="7.874015748031496E-2" bottom="7.874015748031496E-2" header="7.874015748031496E-2" footer="7.874015748031496E-2"/>
  <pageSetup paperSize="8" scale="95" fitToHeight="0" orientation="landscape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68BC7-314C-4707-88E4-9C316C6C92C9}">
  <dimension ref="A1:D20"/>
  <sheetViews>
    <sheetView workbookViewId="0">
      <selection activeCell="F9" sqref="F9"/>
    </sheetView>
  </sheetViews>
  <sheetFormatPr defaultRowHeight="14.4"/>
  <cols>
    <col min="3" max="3" width="32.88671875" customWidth="1"/>
  </cols>
  <sheetData>
    <row r="1" spans="1:4">
      <c r="A1">
        <v>51469973</v>
      </c>
      <c r="B1">
        <v>4221</v>
      </c>
      <c r="C1" t="s">
        <v>341</v>
      </c>
      <c r="D1" t="s">
        <v>342</v>
      </c>
    </row>
    <row r="2" spans="1:4">
      <c r="A2">
        <v>51098290</v>
      </c>
      <c r="B2">
        <v>4269</v>
      </c>
      <c r="C2" t="s">
        <v>373</v>
      </c>
      <c r="D2" t="s">
        <v>6</v>
      </c>
    </row>
    <row r="3" spans="1:4">
      <c r="A3">
        <v>52029216</v>
      </c>
      <c r="B3">
        <v>4140</v>
      </c>
      <c r="C3" t="s">
        <v>398</v>
      </c>
      <c r="D3" t="s">
        <v>16</v>
      </c>
    </row>
    <row r="4" spans="1:4">
      <c r="A4">
        <v>51261460</v>
      </c>
      <c r="B4">
        <v>4043</v>
      </c>
      <c r="C4" t="s">
        <v>405</v>
      </c>
      <c r="D4" t="s">
        <v>10</v>
      </c>
    </row>
    <row r="5" spans="1:4">
      <c r="A5">
        <v>51193310</v>
      </c>
      <c r="B5">
        <v>3718</v>
      </c>
      <c r="C5" t="s">
        <v>419</v>
      </c>
      <c r="D5" t="s">
        <v>8</v>
      </c>
    </row>
    <row r="6" spans="1:4">
      <c r="A6">
        <v>52305556</v>
      </c>
      <c r="B6">
        <v>4107</v>
      </c>
      <c r="C6" t="s">
        <v>428</v>
      </c>
      <c r="D6" t="s">
        <v>63</v>
      </c>
    </row>
    <row r="7" spans="1:4">
      <c r="A7">
        <v>51012774</v>
      </c>
      <c r="B7">
        <v>4018</v>
      </c>
      <c r="C7" t="s">
        <v>430</v>
      </c>
      <c r="D7" t="s">
        <v>17</v>
      </c>
    </row>
    <row r="8" spans="1:4">
      <c r="A8">
        <v>51358936</v>
      </c>
      <c r="B8">
        <v>4190</v>
      </c>
      <c r="C8" t="s">
        <v>456</v>
      </c>
      <c r="D8" t="s">
        <v>5</v>
      </c>
    </row>
    <row r="9" spans="1:4">
      <c r="A9">
        <v>53090658</v>
      </c>
      <c r="B9">
        <v>3327</v>
      </c>
      <c r="C9" t="s">
        <v>450</v>
      </c>
      <c r="D9" t="s">
        <v>63</v>
      </c>
    </row>
    <row r="10" spans="1:4">
      <c r="A10">
        <v>53084239</v>
      </c>
      <c r="B10">
        <v>3885</v>
      </c>
      <c r="C10" t="s">
        <v>460</v>
      </c>
      <c r="D10" t="s">
        <v>21</v>
      </c>
    </row>
    <row r="11" spans="1:4">
      <c r="A11">
        <v>50837734</v>
      </c>
      <c r="B11">
        <v>4186</v>
      </c>
      <c r="C11" t="s">
        <v>484</v>
      </c>
      <c r="D11" t="s">
        <v>16</v>
      </c>
    </row>
    <row r="12" spans="1:4">
      <c r="A12">
        <v>27658632</v>
      </c>
      <c r="B12">
        <v>3739</v>
      </c>
      <c r="C12" t="s">
        <v>474</v>
      </c>
      <c r="D12" t="s">
        <v>7</v>
      </c>
    </row>
    <row r="13" spans="1:4">
      <c r="A13">
        <v>53341018</v>
      </c>
      <c r="B13">
        <v>3929</v>
      </c>
      <c r="C13" t="s">
        <v>512</v>
      </c>
      <c r="D13" t="s">
        <v>76</v>
      </c>
    </row>
    <row r="14" spans="1:4">
      <c r="A14">
        <v>51028493</v>
      </c>
      <c r="B14">
        <v>3401</v>
      </c>
      <c r="C14" t="s">
        <v>510</v>
      </c>
      <c r="D14" t="s">
        <v>76</v>
      </c>
    </row>
    <row r="15" spans="1:4">
      <c r="A15">
        <v>53398109</v>
      </c>
      <c r="B15">
        <v>3769</v>
      </c>
      <c r="C15" t="s">
        <v>514</v>
      </c>
      <c r="D15" t="s">
        <v>6</v>
      </c>
    </row>
    <row r="16" spans="1:4">
      <c r="A16">
        <v>51344534</v>
      </c>
      <c r="B16">
        <v>4177</v>
      </c>
      <c r="C16" t="s">
        <v>516</v>
      </c>
      <c r="D16" t="s">
        <v>11</v>
      </c>
    </row>
    <row r="17" spans="1:4">
      <c r="A17">
        <v>26569045</v>
      </c>
      <c r="B17">
        <v>3980</v>
      </c>
      <c r="C17" t="s">
        <v>520</v>
      </c>
      <c r="D17" t="s">
        <v>16</v>
      </c>
    </row>
    <row r="18" spans="1:4">
      <c r="A18">
        <v>54310735</v>
      </c>
      <c r="B18">
        <v>3722</v>
      </c>
      <c r="C18" t="s">
        <v>528</v>
      </c>
      <c r="D18" t="s">
        <v>63</v>
      </c>
    </row>
    <row r="19" spans="1:4">
      <c r="A19">
        <v>53586158</v>
      </c>
      <c r="B19">
        <v>4238</v>
      </c>
      <c r="C19" t="s">
        <v>759</v>
      </c>
      <c r="D19" t="s">
        <v>9</v>
      </c>
    </row>
    <row r="20" spans="1:4">
      <c r="A20">
        <v>54222551</v>
      </c>
      <c r="B20">
        <v>4034</v>
      </c>
      <c r="C20" t="s">
        <v>758</v>
      </c>
      <c r="D20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F2FB7D-AB93-46DF-AC6F-C851F7F55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INSCRIPTOS</vt:lpstr>
      <vt:lpstr>S S</vt:lpstr>
      <vt:lpstr>VF2026</vt:lpstr>
      <vt:lpstr>RESULTADOS</vt:lpstr>
      <vt:lpstr>Eliminados</vt:lpstr>
      <vt:lpstr>RESULTADOS!Print_Area</vt:lpstr>
      <vt:lpstr>RESULTADOS!Print_Titles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Cloos</dc:creator>
  <cp:lastModifiedBy>Nicolas Cloos</cp:lastModifiedBy>
  <cp:lastPrinted>2026-03-15T19:46:09Z</cp:lastPrinted>
  <dcterms:created xsi:type="dcterms:W3CDTF">2015-06-05T18:17:20Z</dcterms:created>
  <dcterms:modified xsi:type="dcterms:W3CDTF">2026-03-15T23:35:45Z</dcterms:modified>
</cp:coreProperties>
</file>