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IMPORTANTE\CAMPEONATOS\velafest26\Docs\"/>
    </mc:Choice>
  </mc:AlternateContent>
  <xr:revisionPtr revIDLastSave="0" documentId="13_ncr:1_{A455749F-7E13-47E7-A089-91B1611C6242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2" sheetId="4" state="hidden" r:id="rId1"/>
    <sheet name="420" sheetId="6" r:id="rId2"/>
    <sheet name="49er" sheetId="12" state="hidden" r:id="rId3"/>
    <sheet name="Nacra 17" sheetId="13" state="hidden" r:id="rId4"/>
  </sheets>
  <definedNames>
    <definedName name="_xlnm._FilterDatabase" localSheetId="1" hidden="1">'420'!$A$1:$J$37</definedName>
    <definedName name="CategoryCompetitors">#REF!</definedName>
    <definedName name="HeadersCompetitors">#REF!</definedName>
    <definedName name="ResponsesCompetito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3" l="1"/>
  <c r="AS1" i="13"/>
  <c r="AR1" i="13"/>
  <c r="AQ1" i="13"/>
  <c r="AP1" i="13"/>
  <c r="AO1" i="13"/>
  <c r="AN1" i="13"/>
  <c r="AM1" i="13"/>
  <c r="AL1" i="13"/>
  <c r="AK1" i="13"/>
  <c r="AJ1" i="13"/>
  <c r="AI1" i="13"/>
  <c r="AH1" i="13"/>
  <c r="AG1" i="13"/>
  <c r="AF1" i="13"/>
  <c r="AE1" i="13"/>
  <c r="AD1" i="13"/>
  <c r="AC1" i="13"/>
  <c r="AB1" i="13"/>
  <c r="AA1" i="13"/>
  <c r="Z1" i="13"/>
  <c r="Y1" i="13"/>
  <c r="X1" i="13"/>
  <c r="W1" i="13"/>
  <c r="V1" i="13"/>
  <c r="U1" i="13"/>
  <c r="T1" i="13"/>
  <c r="S1" i="13"/>
  <c r="R1" i="13"/>
  <c r="Q1" i="13"/>
  <c r="P1" i="13"/>
  <c r="O1" i="13"/>
  <c r="N1" i="13"/>
  <c r="M1" i="13"/>
  <c r="L1" i="13"/>
  <c r="K1" i="13"/>
  <c r="J1" i="13"/>
  <c r="I1" i="13"/>
  <c r="H1" i="13"/>
  <c r="G1" i="13"/>
  <c r="F1" i="13"/>
  <c r="E1" i="13"/>
  <c r="D1" i="13"/>
  <c r="C1" i="13"/>
  <c r="B1" i="13"/>
  <c r="A1" i="13"/>
  <c r="A2" i="12"/>
  <c r="AS1" i="12"/>
  <c r="AR1" i="12"/>
  <c r="AQ1" i="12"/>
  <c r="AP1" i="12"/>
  <c r="AO1" i="12"/>
  <c r="AN1" i="12"/>
  <c r="AM1" i="12"/>
  <c r="AL1" i="12"/>
  <c r="AK1" i="12"/>
  <c r="AJ1" i="12"/>
  <c r="AI1" i="12"/>
  <c r="AH1" i="12"/>
  <c r="AG1" i="12"/>
  <c r="AF1" i="12"/>
  <c r="AE1" i="12"/>
  <c r="AD1" i="12"/>
  <c r="AC1" i="12"/>
  <c r="AB1" i="12"/>
  <c r="AA1" i="12"/>
  <c r="Z1" i="12"/>
  <c r="Y1" i="12"/>
  <c r="X1" i="12"/>
  <c r="W1" i="12"/>
  <c r="V1" i="12"/>
  <c r="U1" i="12"/>
  <c r="T1" i="12"/>
  <c r="S1" i="12"/>
  <c r="R1" i="12"/>
  <c r="Q1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A1" i="12"/>
</calcChain>
</file>

<file path=xl/sharedStrings.xml><?xml version="1.0" encoding="utf-8"?>
<sst xmlns="http://schemas.openxmlformats.org/spreadsheetml/2006/main" count="300" uniqueCount="156">
  <si>
    <t>Club</t>
  </si>
  <si>
    <t>Pais</t>
  </si>
  <si>
    <t>CPNLB - Club de Pesca y Náutica Las Barrancas</t>
  </si>
  <si>
    <t>YCA - Yacht Club Argentino</t>
  </si>
  <si>
    <t>CUBA - Club Universitario de Buenos Aires</t>
  </si>
  <si>
    <t>CVB - Club de Veleros Barlovento</t>
  </si>
  <si>
    <t>CNSI - Club Náutico San Isidro</t>
  </si>
  <si>
    <t>ARG</t>
  </si>
  <si>
    <t>CVSI - Club de Veleros San Isidro</t>
  </si>
  <si>
    <t>24/01/2010</t>
  </si>
  <si>
    <t/>
  </si>
  <si>
    <t>24/09/2009</t>
  </si>
  <si>
    <t>13/10/2009</t>
  </si>
  <si>
    <t>20/08/2009</t>
  </si>
  <si>
    <t>4/06/1978</t>
  </si>
  <si>
    <t>3/04/2007</t>
  </si>
  <si>
    <t>25/06/2010</t>
  </si>
  <si>
    <t>14/01/2010</t>
  </si>
  <si>
    <t>10/05/2010</t>
  </si>
  <si>
    <t>14/11/2011</t>
  </si>
  <si>
    <t>29/09/2009</t>
  </si>
  <si>
    <t>27/08/2009</t>
  </si>
  <si>
    <t>21/01/2010</t>
  </si>
  <si>
    <t>4/03/2010</t>
  </si>
  <si>
    <t>10/06/2008</t>
  </si>
  <si>
    <t>31/03/1998</t>
  </si>
  <si>
    <t>9/02/2010</t>
  </si>
  <si>
    <t>20/10/2009</t>
  </si>
  <si>
    <t>10/09/2010</t>
  </si>
  <si>
    <t>3/09/2007</t>
  </si>
  <si>
    <t>4/10/2008</t>
  </si>
  <si>
    <t>9/01/2008</t>
  </si>
  <si>
    <t>7/06/2008</t>
  </si>
  <si>
    <t>23/01/2007</t>
  </si>
  <si>
    <t>4/04/2009</t>
  </si>
  <si>
    <t>12/06/2010</t>
  </si>
  <si>
    <t>23/02/2010</t>
  </si>
  <si>
    <t>5/12/2010</t>
  </si>
  <si>
    <t>8/12/2003</t>
  </si>
  <si>
    <t>2/09/2008</t>
  </si>
  <si>
    <t>8/06/2008</t>
  </si>
  <si>
    <t>22/11/2006</t>
  </si>
  <si>
    <t>19/01/2010</t>
  </si>
  <si>
    <t>4/03/2009</t>
  </si>
  <si>
    <t>28/06/2004</t>
  </si>
  <si>
    <t>11/11/2008</t>
  </si>
  <si>
    <t>12/04/2008</t>
  </si>
  <si>
    <t>6/11/2006</t>
  </si>
  <si>
    <t>9/05/2010</t>
  </si>
  <si>
    <t>3/02/2009</t>
  </si>
  <si>
    <t>8/01/2008</t>
  </si>
  <si>
    <t>12/03/2008</t>
  </si>
  <si>
    <t>13/08/2008</t>
  </si>
  <si>
    <t>29/09/2008</t>
  </si>
  <si>
    <t>16/02/2009</t>
  </si>
  <si>
    <t>9/10/2008</t>
  </si>
  <si>
    <t>30/06/2006</t>
  </si>
  <si>
    <t>2/03/2010</t>
  </si>
  <si>
    <t>3/05/2010</t>
  </si>
  <si>
    <t>19/08/2004</t>
  </si>
  <si>
    <t>20/09/2012</t>
  </si>
  <si>
    <t>8/05/2010</t>
  </si>
  <si>
    <t>2/10/2010</t>
  </si>
  <si>
    <t>6/12/2006</t>
  </si>
  <si>
    <t>19/02/2002</t>
  </si>
  <si>
    <t>18/02/2001</t>
  </si>
  <si>
    <t>15/10/2008</t>
  </si>
  <si>
    <t>7/03/2026</t>
  </si>
  <si>
    <t>17/08/2006</t>
  </si>
  <si>
    <t>10/04/2010</t>
  </si>
  <si>
    <t>10/03/2010</t>
  </si>
  <si>
    <t>19/01/2009</t>
  </si>
  <si>
    <t>12/01/2009</t>
  </si>
  <si>
    <t>15/08/2008</t>
  </si>
  <si>
    <t>Timonel</t>
  </si>
  <si>
    <t>MAGNANI Juliana</t>
  </si>
  <si>
    <t>BIANCHI Agustín</t>
  </si>
  <si>
    <t xml:space="preserve">DELLA VECCHIA Abril </t>
  </si>
  <si>
    <t>ZORRAQUIN Facundo</t>
  </si>
  <si>
    <t>VARELA Lola</t>
  </si>
  <si>
    <t>DURAÑONA Mateo</t>
  </si>
  <si>
    <t>GIBERT Isabel</t>
  </si>
  <si>
    <t>GIBERT Sofia</t>
  </si>
  <si>
    <t>COZAR Olivia</t>
  </si>
  <si>
    <t xml:space="preserve">LOPEZ ORIOLO Andres </t>
  </si>
  <si>
    <t xml:space="preserve">DONÓ MOYA Joaquin </t>
  </si>
  <si>
    <t>BALBUENA Cayetana</t>
  </si>
  <si>
    <t xml:space="preserve">POZZO Tobias </t>
  </si>
  <si>
    <t>CONSTANTIN Ana</t>
  </si>
  <si>
    <t>BOERI DI GIORGIO Mateo</t>
  </si>
  <si>
    <t>CAV Iñaki</t>
  </si>
  <si>
    <t>JOVANOVICH Lorna</t>
  </si>
  <si>
    <t>MANTECA Manuel</t>
  </si>
  <si>
    <t>DI MARTINO Bianca</t>
  </si>
  <si>
    <t>TROILO Tiago</t>
  </si>
  <si>
    <t xml:space="preserve">BLOUSSON Joaquin </t>
  </si>
  <si>
    <t>PIÑEYRO Facundo</t>
  </si>
  <si>
    <t>BARONE Franco</t>
  </si>
  <si>
    <t>BELLI Gregorio</t>
  </si>
  <si>
    <t>GUAGLIANONE Facu</t>
  </si>
  <si>
    <t xml:space="preserve">NAVRATIL Sophia </t>
  </si>
  <si>
    <t>MANRIQUE GASME Lucia</t>
  </si>
  <si>
    <t>RACER Meteoro</t>
  </si>
  <si>
    <t xml:space="preserve">IRIBERRI Bautista </t>
  </si>
  <si>
    <t>BRADLEY Eugenio</t>
  </si>
  <si>
    <t>BALBUENA Joaquin</t>
  </si>
  <si>
    <t xml:space="preserve">PANASCI DUBRA Maria Ines </t>
  </si>
  <si>
    <t>SILVA Catalina</t>
  </si>
  <si>
    <t>LEON HERRAN Maria Trinidad</t>
  </si>
  <si>
    <t>HARIRI Felipe</t>
  </si>
  <si>
    <t>PERALTA Fausto</t>
  </si>
  <si>
    <t>DURAÑONA Pilar</t>
  </si>
  <si>
    <t>BIASI Miranda</t>
  </si>
  <si>
    <t>LOPEZ ORIOLO Mia</t>
  </si>
  <si>
    <t>DE BAGGE Antonella</t>
  </si>
  <si>
    <t xml:space="preserve">TORINO Pito </t>
  </si>
  <si>
    <t>MAINE Tomas</t>
  </si>
  <si>
    <t>DÍAZ Franco</t>
  </si>
  <si>
    <t>ORELLA Sofía</t>
  </si>
  <si>
    <t>HERRERA BARRERA Brandon</t>
  </si>
  <si>
    <t xml:space="preserve"> Pelado</t>
  </si>
  <si>
    <t>STOCIK Marina</t>
  </si>
  <si>
    <t>PILIPIS Alonso</t>
  </si>
  <si>
    <t>LEMOS Ayleen</t>
  </si>
  <si>
    <t xml:space="preserve">FERNANDEZ Matias </t>
  </si>
  <si>
    <t>BLOUSSON Franco</t>
  </si>
  <si>
    <t>GARCIA Matias</t>
  </si>
  <si>
    <t>BAMBILL Iñaki</t>
  </si>
  <si>
    <t xml:space="preserve">CAREAGA Nico </t>
  </si>
  <si>
    <t>NERTONE Marco</t>
  </si>
  <si>
    <t>CASTRO MOYA Josefina</t>
  </si>
  <si>
    <t>X Corredor</t>
  </si>
  <si>
    <t>BALLESY Felix</t>
  </si>
  <si>
    <t>ORELLA Carola</t>
  </si>
  <si>
    <t>CARANTI Alejandro</t>
  </si>
  <si>
    <t>Tripulante</t>
  </si>
  <si>
    <t>Vela</t>
  </si>
  <si>
    <t>NacTim</t>
  </si>
  <si>
    <t>SexoTim</t>
  </si>
  <si>
    <t>NacTrip</t>
  </si>
  <si>
    <t>SexoTrip</t>
  </si>
  <si>
    <t>F</t>
  </si>
  <si>
    <t>M</t>
  </si>
  <si>
    <t>Proa</t>
  </si>
  <si>
    <t>CHICHOWOLSKI IRIBAS Manuel</t>
  </si>
  <si>
    <t>COTS Delfina</t>
  </si>
  <si>
    <t>CARANTI Magda</t>
  </si>
  <si>
    <t>BÜRG Felix</t>
  </si>
  <si>
    <t>PILIPIS Sol</t>
  </si>
  <si>
    <t xml:space="preserve">FINSTERBUSCH Matias </t>
  </si>
  <si>
    <t xml:space="preserve">LEPORI Beltrán </t>
  </si>
  <si>
    <t xml:space="preserve">PARINI Celeste </t>
  </si>
  <si>
    <t>PADILLA Ignacio</t>
  </si>
  <si>
    <t xml:space="preserve">LOPEZ TILLI Claire </t>
  </si>
  <si>
    <t>LOPEZ TILLI Joaco</t>
  </si>
  <si>
    <t>BIZZOZERO Lucila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</si>
</sst>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NumberFormat="1" applyFont="1"/>
  </cellXfs>
  <cellStyles count="1">
    <cellStyle name="Normal" xfId="0" builtinId="0"/>
  </cellStyles>
  <dxfs count="1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Competidores-style" pivot="0" count="4" xr9:uid="{00000000-0011-0000-FFFF-FFFF00000000}">
      <tableStyleElement type="wholeTable" size="0" dxfId="11"/>
      <tableStyleElement type="headerRow" dxfId="14"/>
      <tableStyleElement type="firstRowStripe" dxfId="13"/>
      <tableStyleElement type="secondRowStripe" dxfId="12"/>
    </tableStyle>
    <tableStyle name="Entrenadores-style" pivot="0" count="4" xr9:uid="{00000000-0011-0000-FFFF-FFFF01000000}">
      <tableStyleElement type="wholeTable" size="0" dxfId="7"/>
      <tableStyleElement type="headerRow" dxfId="10"/>
      <tableStyleElement type="firstRowStripe" dxfId="9"/>
      <tableStyleElement type="secondRowStripe" dxfId="8"/>
    </tableStyle>
    <tableStyle name="Entrenadores-style 2" pivot="0" count="2" xr9:uid="{00000000-0011-0000-FFFF-FFFF02000000}">
      <tableStyleElement type="firstRowStripe" dxfId="6"/>
      <tableStyleElement type="secondRowStripe" dxfId="5"/>
    </tableStyle>
    <tableStyle name="Entrenadores-style 3" pivot="0" count="2" xr9:uid="{00000000-0011-0000-FFFF-FFFF03000000}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defaultColWidth="12.6640625" defaultRowHeight="15.75" customHeight="1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5999"/>
  <sheetViews>
    <sheetView tabSelected="1" workbookViewId="0">
      <selection activeCell="D8" sqref="D8"/>
    </sheetView>
  </sheetViews>
  <sheetFormatPr defaultColWidth="12.6640625" defaultRowHeight="15.75" customHeight="1" x14ac:dyDescent="0.25"/>
  <cols>
    <col min="1" max="1" width="41" customWidth="1"/>
    <col min="2" max="2" width="10.6640625" customWidth="1"/>
    <col min="3" max="3" width="8.5546875" customWidth="1"/>
    <col min="8" max="8" width="9.109375" customWidth="1"/>
  </cols>
  <sheetData>
    <row r="1" spans="1:10" ht="15.75" customHeight="1" x14ac:dyDescent="0.25">
      <c r="A1" s="1" t="s">
        <v>74</v>
      </c>
      <c r="B1" s="1" t="s">
        <v>136</v>
      </c>
      <c r="C1" s="1" t="s">
        <v>143</v>
      </c>
      <c r="D1" s="1" t="s">
        <v>0</v>
      </c>
      <c r="E1" s="1" t="s">
        <v>137</v>
      </c>
      <c r="F1" s="1" t="s">
        <v>138</v>
      </c>
      <c r="G1" s="1" t="s">
        <v>1</v>
      </c>
      <c r="H1" s="1" t="s">
        <v>135</v>
      </c>
      <c r="I1" s="1" t="s">
        <v>139</v>
      </c>
      <c r="J1" s="1" t="s">
        <v>140</v>
      </c>
    </row>
    <row r="2" spans="1:10" ht="15.75" customHeight="1" x14ac:dyDescent="0.25">
      <c r="A2" s="1" t="s">
        <v>150</v>
      </c>
      <c r="B2" s="3">
        <v>57295</v>
      </c>
      <c r="C2" s="1">
        <v>2</v>
      </c>
      <c r="D2" s="1" t="s">
        <v>3</v>
      </c>
      <c r="E2" s="1" t="s">
        <v>68</v>
      </c>
      <c r="F2" s="1" t="s">
        <v>142</v>
      </c>
      <c r="G2" s="1" t="s">
        <v>7</v>
      </c>
      <c r="H2" s="1" t="s">
        <v>151</v>
      </c>
      <c r="I2" s="1" t="s">
        <v>10</v>
      </c>
      <c r="J2" s="1" t="s">
        <v>10</v>
      </c>
    </row>
    <row r="3" spans="1:10" ht="15.75" customHeight="1" x14ac:dyDescent="0.25">
      <c r="A3" s="1" t="s">
        <v>102</v>
      </c>
      <c r="B3" s="3">
        <v>50478</v>
      </c>
      <c r="C3" s="1">
        <v>3</v>
      </c>
      <c r="D3" s="1" t="s">
        <v>3</v>
      </c>
      <c r="E3" s="1" t="s">
        <v>64</v>
      </c>
      <c r="F3" s="1" t="s">
        <v>142</v>
      </c>
      <c r="G3" s="1" t="s">
        <v>7</v>
      </c>
      <c r="H3" s="1" t="s">
        <v>131</v>
      </c>
      <c r="I3" s="1" t="s">
        <v>65</v>
      </c>
      <c r="J3" s="1" t="s">
        <v>142</v>
      </c>
    </row>
    <row r="4" spans="1:10" ht="15.75" customHeight="1" x14ac:dyDescent="0.25">
      <c r="A4" s="1" t="s">
        <v>100</v>
      </c>
      <c r="B4" s="3">
        <v>57443</v>
      </c>
      <c r="C4" s="1">
        <v>5</v>
      </c>
      <c r="D4" s="1" t="s">
        <v>3</v>
      </c>
      <c r="E4" s="1" t="s">
        <v>60</v>
      </c>
      <c r="F4" s="1" t="s">
        <v>141</v>
      </c>
      <c r="G4" s="1" t="s">
        <v>7</v>
      </c>
      <c r="H4" s="1" t="s">
        <v>129</v>
      </c>
      <c r="I4" s="1" t="s">
        <v>61</v>
      </c>
      <c r="J4" s="1" t="s">
        <v>142</v>
      </c>
    </row>
    <row r="5" spans="1:10" ht="15.75" customHeight="1" x14ac:dyDescent="0.25">
      <c r="A5" s="1" t="s">
        <v>92</v>
      </c>
      <c r="B5" s="3">
        <v>57292</v>
      </c>
      <c r="C5" s="1">
        <v>7</v>
      </c>
      <c r="D5" s="1" t="s">
        <v>4</v>
      </c>
      <c r="E5" s="1" t="s">
        <v>47</v>
      </c>
      <c r="F5" s="1" t="s">
        <v>142</v>
      </c>
      <c r="G5" s="1" t="s">
        <v>7</v>
      </c>
      <c r="H5" s="1" t="s">
        <v>122</v>
      </c>
      <c r="I5" s="1" t="s">
        <v>41</v>
      </c>
      <c r="J5" s="1" t="s">
        <v>142</v>
      </c>
    </row>
    <row r="6" spans="1:10" ht="15.75" customHeight="1" x14ac:dyDescent="0.25">
      <c r="A6" s="1" t="s">
        <v>82</v>
      </c>
      <c r="B6" s="3">
        <v>57444</v>
      </c>
      <c r="C6" s="1">
        <v>8</v>
      </c>
      <c r="D6" s="1" t="s">
        <v>4</v>
      </c>
      <c r="E6" s="1" t="s">
        <v>29</v>
      </c>
      <c r="F6" s="1" t="s">
        <v>141</v>
      </c>
      <c r="G6" s="1" t="s">
        <v>7</v>
      </c>
      <c r="H6" s="1" t="s">
        <v>113</v>
      </c>
      <c r="I6" s="1" t="s">
        <v>30</v>
      </c>
      <c r="J6" s="1" t="s">
        <v>141</v>
      </c>
    </row>
    <row r="7" spans="1:10" ht="15.75" customHeight="1" x14ac:dyDescent="0.25">
      <c r="A7" s="1" t="s">
        <v>89</v>
      </c>
      <c r="B7" s="3">
        <v>50484</v>
      </c>
      <c r="C7" s="1">
        <v>9</v>
      </c>
      <c r="D7" s="1" t="s">
        <v>2</v>
      </c>
      <c r="E7" s="1" t="s">
        <v>42</v>
      </c>
      <c r="F7" s="1" t="s">
        <v>142</v>
      </c>
      <c r="G7" s="1" t="s">
        <v>7</v>
      </c>
      <c r="H7" s="1" t="s">
        <v>119</v>
      </c>
      <c r="I7" s="1" t="s">
        <v>43</v>
      </c>
      <c r="J7" s="1" t="s">
        <v>142</v>
      </c>
    </row>
    <row r="8" spans="1:10" ht="15.75" customHeight="1" x14ac:dyDescent="0.25">
      <c r="A8" s="1" t="s">
        <v>99</v>
      </c>
      <c r="B8" s="3">
        <v>50485</v>
      </c>
      <c r="C8" s="1">
        <v>10</v>
      </c>
      <c r="D8" s="1" t="s">
        <v>3</v>
      </c>
      <c r="E8" s="1" t="s">
        <v>59</v>
      </c>
      <c r="F8" s="1" t="s">
        <v>142</v>
      </c>
      <c r="G8" s="1" t="s">
        <v>7</v>
      </c>
      <c r="H8" s="1" t="s">
        <v>128</v>
      </c>
      <c r="I8" s="1" t="s">
        <v>10</v>
      </c>
      <c r="J8" s="1" t="s">
        <v>10</v>
      </c>
    </row>
    <row r="9" spans="1:10" ht="15.75" customHeight="1" x14ac:dyDescent="0.25">
      <c r="A9" s="1" t="s">
        <v>155</v>
      </c>
      <c r="B9" s="3">
        <v>57450</v>
      </c>
      <c r="C9" s="1">
        <v>11</v>
      </c>
      <c r="D9" s="1" t="s">
        <v>3</v>
      </c>
      <c r="E9" s="1" t="s">
        <v>16</v>
      </c>
      <c r="F9" s="1" t="s">
        <v>141</v>
      </c>
      <c r="G9" s="1" t="s">
        <v>7</v>
      </c>
      <c r="H9" s="1" t="s">
        <v>106</v>
      </c>
      <c r="I9" s="1" t="s">
        <v>17</v>
      </c>
      <c r="J9" s="1" t="s">
        <v>141</v>
      </c>
    </row>
    <row r="10" spans="1:10" ht="15.75" customHeight="1" x14ac:dyDescent="0.25">
      <c r="A10" s="1" t="s">
        <v>147</v>
      </c>
      <c r="B10" s="3">
        <v>57442</v>
      </c>
      <c r="C10" s="1">
        <v>12</v>
      </c>
      <c r="D10" s="1" t="s">
        <v>6</v>
      </c>
      <c r="E10" s="1" t="s">
        <v>18</v>
      </c>
      <c r="F10" s="1" t="s">
        <v>142</v>
      </c>
      <c r="G10" s="1" t="s">
        <v>7</v>
      </c>
      <c r="H10" s="1" t="s">
        <v>107</v>
      </c>
      <c r="I10" s="1" t="s">
        <v>19</v>
      </c>
      <c r="J10" s="1" t="s">
        <v>141</v>
      </c>
    </row>
    <row r="11" spans="1:10" ht="15.75" customHeight="1" x14ac:dyDescent="0.25">
      <c r="A11" s="1" t="s">
        <v>75</v>
      </c>
      <c r="B11" s="3">
        <v>57447</v>
      </c>
      <c r="C11" s="1">
        <v>20</v>
      </c>
      <c r="D11" s="1" t="s">
        <v>3</v>
      </c>
      <c r="E11" s="1" t="s">
        <v>12</v>
      </c>
      <c r="F11" s="1" t="s">
        <v>141</v>
      </c>
      <c r="G11" s="1" t="s">
        <v>7</v>
      </c>
      <c r="H11" s="1" t="s">
        <v>145</v>
      </c>
      <c r="I11" s="1" t="s">
        <v>13</v>
      </c>
      <c r="J11" s="1" t="s">
        <v>141</v>
      </c>
    </row>
    <row r="12" spans="1:10" ht="15.75" customHeight="1" x14ac:dyDescent="0.25">
      <c r="A12" s="1" t="s">
        <v>86</v>
      </c>
      <c r="B12" s="3">
        <v>57294</v>
      </c>
      <c r="C12" s="1">
        <v>21</v>
      </c>
      <c r="D12" s="1" t="s">
        <v>2</v>
      </c>
      <c r="E12" s="1" t="s">
        <v>37</v>
      </c>
      <c r="F12" s="1" t="s">
        <v>141</v>
      </c>
      <c r="G12" s="1" t="s">
        <v>7</v>
      </c>
      <c r="H12" s="1" t="s">
        <v>117</v>
      </c>
      <c r="I12" s="1" t="s">
        <v>38</v>
      </c>
      <c r="J12" s="1" t="s">
        <v>142</v>
      </c>
    </row>
    <row r="13" spans="1:10" ht="15.75" customHeight="1" x14ac:dyDescent="0.25">
      <c r="A13" s="1" t="s">
        <v>84</v>
      </c>
      <c r="B13" s="3">
        <v>57297</v>
      </c>
      <c r="C13" s="1">
        <v>23</v>
      </c>
      <c r="D13" s="1" t="s">
        <v>5</v>
      </c>
      <c r="E13" s="1" t="s">
        <v>33</v>
      </c>
      <c r="F13" s="1" t="s">
        <v>142</v>
      </c>
      <c r="G13" s="1" t="s">
        <v>7</v>
      </c>
      <c r="H13" s="1" t="s">
        <v>115</v>
      </c>
      <c r="I13" s="1" t="s">
        <v>34</v>
      </c>
      <c r="J13" s="1" t="s">
        <v>142</v>
      </c>
    </row>
    <row r="14" spans="1:10" ht="15.75" customHeight="1" x14ac:dyDescent="0.25">
      <c r="A14" s="1" t="s">
        <v>94</v>
      </c>
      <c r="B14" s="3">
        <v>57449</v>
      </c>
      <c r="C14" s="1">
        <v>24</v>
      </c>
      <c r="D14" s="1" t="s">
        <v>5</v>
      </c>
      <c r="E14" s="1" t="s">
        <v>50</v>
      </c>
      <c r="F14" s="1" t="s">
        <v>142</v>
      </c>
      <c r="G14" s="1" t="s">
        <v>7</v>
      </c>
      <c r="H14" s="1" t="s">
        <v>124</v>
      </c>
      <c r="I14" s="1" t="s">
        <v>51</v>
      </c>
      <c r="J14" s="1" t="s">
        <v>142</v>
      </c>
    </row>
    <row r="15" spans="1:10" ht="15.75" customHeight="1" x14ac:dyDescent="0.25">
      <c r="A15" s="1" t="s">
        <v>87</v>
      </c>
      <c r="B15" s="3">
        <v>57029</v>
      </c>
      <c r="C15" s="1">
        <v>29</v>
      </c>
      <c r="D15" s="1" t="s">
        <v>4</v>
      </c>
      <c r="E15" s="1" t="s">
        <v>39</v>
      </c>
      <c r="F15" s="1" t="s">
        <v>142</v>
      </c>
      <c r="G15" s="1" t="s">
        <v>7</v>
      </c>
      <c r="H15" s="1" t="s">
        <v>118</v>
      </c>
      <c r="I15" s="1" t="s">
        <v>10</v>
      </c>
      <c r="J15" s="1" t="s">
        <v>141</v>
      </c>
    </row>
    <row r="16" spans="1:10" ht="15.75" customHeight="1" x14ac:dyDescent="0.25">
      <c r="A16" s="1" t="s">
        <v>152</v>
      </c>
      <c r="B16" s="3">
        <v>57299</v>
      </c>
      <c r="C16" s="1">
        <v>31</v>
      </c>
      <c r="D16" s="1" t="s">
        <v>6</v>
      </c>
      <c r="E16" s="1" t="s">
        <v>69</v>
      </c>
      <c r="F16" s="1" t="s">
        <v>142</v>
      </c>
      <c r="G16" s="1" t="s">
        <v>7</v>
      </c>
      <c r="H16" s="1" t="s">
        <v>133</v>
      </c>
      <c r="I16" s="1" t="s">
        <v>70</v>
      </c>
      <c r="J16" s="1" t="s">
        <v>141</v>
      </c>
    </row>
    <row r="17" spans="1:10" ht="15.75" customHeight="1" x14ac:dyDescent="0.25">
      <c r="A17" s="1" t="s">
        <v>93</v>
      </c>
      <c r="B17" s="3">
        <v>57448</v>
      </c>
      <c r="C17" s="1">
        <v>39</v>
      </c>
      <c r="D17" s="1" t="s">
        <v>5</v>
      </c>
      <c r="E17" s="1" t="s">
        <v>48</v>
      </c>
      <c r="F17" s="1" t="s">
        <v>141</v>
      </c>
      <c r="G17" s="1" t="s">
        <v>7</v>
      </c>
      <c r="H17" s="1" t="s">
        <v>123</v>
      </c>
      <c r="I17" s="1" t="s">
        <v>49</v>
      </c>
      <c r="J17" s="1" t="s">
        <v>141</v>
      </c>
    </row>
    <row r="18" spans="1:10" ht="15.75" customHeight="1" x14ac:dyDescent="0.25">
      <c r="A18" s="1" t="s">
        <v>153</v>
      </c>
      <c r="B18" s="3">
        <v>57445</v>
      </c>
      <c r="C18" s="1">
        <v>40</v>
      </c>
      <c r="D18" s="1" t="s">
        <v>4</v>
      </c>
      <c r="E18" s="1" t="s">
        <v>73</v>
      </c>
      <c r="F18" s="1" t="s">
        <v>141</v>
      </c>
      <c r="G18" s="1" t="s">
        <v>7</v>
      </c>
      <c r="H18" s="1" t="s">
        <v>154</v>
      </c>
      <c r="I18" s="1" t="s">
        <v>73</v>
      </c>
      <c r="J18" s="1" t="s">
        <v>142</v>
      </c>
    </row>
    <row r="19" spans="1:10" ht="15.75" customHeight="1" x14ac:dyDescent="0.25">
      <c r="A19" s="1" t="s">
        <v>80</v>
      </c>
      <c r="B19" s="3">
        <v>52654</v>
      </c>
      <c r="C19" s="1">
        <v>41</v>
      </c>
      <c r="D19" s="1" t="s">
        <v>3</v>
      </c>
      <c r="E19" s="1" t="s">
        <v>26</v>
      </c>
      <c r="F19" s="1" t="s">
        <v>142</v>
      </c>
      <c r="G19" s="1" t="s">
        <v>7</v>
      </c>
      <c r="H19" s="1" t="s">
        <v>111</v>
      </c>
      <c r="I19" s="1" t="s">
        <v>26</v>
      </c>
      <c r="J19" s="1" t="s">
        <v>141</v>
      </c>
    </row>
    <row r="20" spans="1:10" ht="15.75" customHeight="1" x14ac:dyDescent="0.25">
      <c r="A20" s="1" t="s">
        <v>78</v>
      </c>
      <c r="B20" s="3">
        <v>51700</v>
      </c>
      <c r="C20" s="1">
        <v>54</v>
      </c>
      <c r="D20" s="1" t="s">
        <v>6</v>
      </c>
      <c r="E20" s="1" t="s">
        <v>22</v>
      </c>
      <c r="F20" s="1" t="s">
        <v>142</v>
      </c>
      <c r="G20" s="1" t="s">
        <v>7</v>
      </c>
      <c r="H20" s="1" t="s">
        <v>109</v>
      </c>
      <c r="I20" s="1" t="s">
        <v>23</v>
      </c>
      <c r="J20" s="1" t="s">
        <v>142</v>
      </c>
    </row>
    <row r="21" spans="1:10" ht="15.75" customHeight="1" x14ac:dyDescent="0.25">
      <c r="A21" s="1" t="s">
        <v>91</v>
      </c>
      <c r="B21" s="3">
        <v>54835</v>
      </c>
      <c r="C21" s="1">
        <v>56</v>
      </c>
      <c r="D21" s="1" t="s">
        <v>3</v>
      </c>
      <c r="E21" s="1" t="s">
        <v>45</v>
      </c>
      <c r="F21" s="1" t="s">
        <v>141</v>
      </c>
      <c r="G21" s="1" t="s">
        <v>7</v>
      </c>
      <c r="H21" s="1" t="s">
        <v>121</v>
      </c>
      <c r="I21" s="1" t="s">
        <v>46</v>
      </c>
      <c r="J21" s="1" t="s">
        <v>141</v>
      </c>
    </row>
    <row r="22" spans="1:10" ht="15.75" customHeight="1" x14ac:dyDescent="0.25">
      <c r="A22" s="1" t="s">
        <v>76</v>
      </c>
      <c r="B22" s="3">
        <v>54838</v>
      </c>
      <c r="C22" s="1">
        <v>59</v>
      </c>
      <c r="D22" s="1" t="s">
        <v>3</v>
      </c>
      <c r="E22" s="1" t="s">
        <v>14</v>
      </c>
      <c r="F22" s="1" t="s">
        <v>142</v>
      </c>
      <c r="G22" s="1" t="s">
        <v>7</v>
      </c>
      <c r="H22" s="1" t="s">
        <v>146</v>
      </c>
      <c r="I22" s="1" t="s">
        <v>15</v>
      </c>
      <c r="J22" s="1" t="s">
        <v>141</v>
      </c>
    </row>
    <row r="23" spans="1:10" ht="15.75" customHeight="1" x14ac:dyDescent="0.25">
      <c r="A23" s="1" t="s">
        <v>103</v>
      </c>
      <c r="B23" s="3">
        <v>54839</v>
      </c>
      <c r="C23" s="1">
        <v>60</v>
      </c>
      <c r="D23" s="1" t="s">
        <v>5</v>
      </c>
      <c r="E23" s="1" t="s">
        <v>66</v>
      </c>
      <c r="F23" s="1" t="s">
        <v>142</v>
      </c>
      <c r="G23" s="1" t="s">
        <v>7</v>
      </c>
      <c r="H23" s="1" t="s">
        <v>132</v>
      </c>
      <c r="I23" s="1" t="s">
        <v>67</v>
      </c>
      <c r="J23" s="1" t="s">
        <v>142</v>
      </c>
    </row>
    <row r="24" spans="1:10" ht="15.75" customHeight="1" x14ac:dyDescent="0.25">
      <c r="A24" s="1" t="s">
        <v>95</v>
      </c>
      <c r="B24" s="3">
        <v>54842</v>
      </c>
      <c r="C24" s="1">
        <v>63</v>
      </c>
      <c r="D24" s="1" t="s">
        <v>3</v>
      </c>
      <c r="E24" s="1" t="s">
        <v>52</v>
      </c>
      <c r="F24" s="1" t="s">
        <v>142</v>
      </c>
      <c r="G24" s="1" t="s">
        <v>7</v>
      </c>
      <c r="H24" s="1" t="s">
        <v>125</v>
      </c>
      <c r="I24" s="1" t="s">
        <v>52</v>
      </c>
      <c r="J24" s="1" t="s">
        <v>142</v>
      </c>
    </row>
    <row r="25" spans="1:10" ht="15.75" customHeight="1" x14ac:dyDescent="0.25">
      <c r="A25" s="1" t="s">
        <v>83</v>
      </c>
      <c r="B25" s="3">
        <v>54844</v>
      </c>
      <c r="C25" s="1">
        <v>66</v>
      </c>
      <c r="D25" s="1" t="s">
        <v>5</v>
      </c>
      <c r="E25" s="1" t="s">
        <v>31</v>
      </c>
      <c r="F25" s="1" t="s">
        <v>141</v>
      </c>
      <c r="G25" s="1" t="s">
        <v>7</v>
      </c>
      <c r="H25" s="1" t="s">
        <v>114</v>
      </c>
      <c r="I25" s="1" t="s">
        <v>32</v>
      </c>
      <c r="J25" s="1" t="s">
        <v>141</v>
      </c>
    </row>
    <row r="26" spans="1:10" ht="15.75" customHeight="1" x14ac:dyDescent="0.25">
      <c r="A26" s="1" t="s">
        <v>79</v>
      </c>
      <c r="B26" s="3">
        <v>55343</v>
      </c>
      <c r="C26" s="1">
        <v>68</v>
      </c>
      <c r="D26" s="1" t="s">
        <v>3</v>
      </c>
      <c r="E26" s="1" t="s">
        <v>24</v>
      </c>
      <c r="F26" s="1" t="s">
        <v>141</v>
      </c>
      <c r="G26" s="1" t="s">
        <v>7</v>
      </c>
      <c r="H26" s="1" t="s">
        <v>110</v>
      </c>
      <c r="I26" s="1" t="s">
        <v>25</v>
      </c>
      <c r="J26" s="1" t="s">
        <v>142</v>
      </c>
    </row>
    <row r="27" spans="1:10" ht="15.75" customHeight="1" x14ac:dyDescent="0.25">
      <c r="A27" s="1" t="s">
        <v>77</v>
      </c>
      <c r="B27" s="3">
        <v>55350</v>
      </c>
      <c r="C27" s="1">
        <v>74</v>
      </c>
      <c r="D27" s="1" t="s">
        <v>2</v>
      </c>
      <c r="E27" s="1" t="s">
        <v>20</v>
      </c>
      <c r="F27" s="1" t="s">
        <v>141</v>
      </c>
      <c r="G27" s="1" t="s">
        <v>7</v>
      </c>
      <c r="H27" s="1" t="s">
        <v>108</v>
      </c>
      <c r="I27" s="1" t="s">
        <v>21</v>
      </c>
      <c r="J27" s="1" t="s">
        <v>141</v>
      </c>
    </row>
    <row r="28" spans="1:10" ht="15.75" customHeight="1" x14ac:dyDescent="0.25">
      <c r="A28" s="1" t="s">
        <v>88</v>
      </c>
      <c r="B28" s="3">
        <v>57293</v>
      </c>
      <c r="C28" s="1">
        <v>75</v>
      </c>
      <c r="D28" s="1" t="s">
        <v>4</v>
      </c>
      <c r="E28" s="1" t="s">
        <v>40</v>
      </c>
      <c r="F28" s="1" t="s">
        <v>141</v>
      </c>
      <c r="G28" s="1" t="s">
        <v>7</v>
      </c>
      <c r="H28" s="1" t="s">
        <v>148</v>
      </c>
      <c r="I28" s="1" t="s">
        <v>41</v>
      </c>
      <c r="J28" s="1" t="s">
        <v>141</v>
      </c>
    </row>
    <row r="29" spans="1:10" ht="15.75" customHeight="1" x14ac:dyDescent="0.25">
      <c r="A29" s="1" t="s">
        <v>97</v>
      </c>
      <c r="B29" s="3">
        <v>56304</v>
      </c>
      <c r="C29" s="1">
        <v>78</v>
      </c>
      <c r="D29" s="1" t="s">
        <v>8</v>
      </c>
      <c r="E29" s="1" t="s">
        <v>55</v>
      </c>
      <c r="F29" s="1" t="s">
        <v>142</v>
      </c>
      <c r="G29" s="1" t="s">
        <v>7</v>
      </c>
      <c r="H29" s="1" t="s">
        <v>149</v>
      </c>
      <c r="I29" s="1" t="s">
        <v>56</v>
      </c>
      <c r="J29" s="1" t="s">
        <v>142</v>
      </c>
    </row>
    <row r="30" spans="1:10" ht="15.75" customHeight="1" x14ac:dyDescent="0.25">
      <c r="A30" s="1" t="s">
        <v>81</v>
      </c>
      <c r="B30" s="3">
        <v>56307</v>
      </c>
      <c r="C30" s="1">
        <v>81</v>
      </c>
      <c r="D30" s="1" t="s">
        <v>4</v>
      </c>
      <c r="E30" s="1" t="s">
        <v>27</v>
      </c>
      <c r="F30" s="1" t="s">
        <v>141</v>
      </c>
      <c r="G30" s="1" t="s">
        <v>7</v>
      </c>
      <c r="H30" s="1" t="s">
        <v>112</v>
      </c>
      <c r="I30" s="1" t="s">
        <v>28</v>
      </c>
      <c r="J30" s="1" t="s">
        <v>141</v>
      </c>
    </row>
    <row r="31" spans="1:10" ht="15.75" customHeight="1" x14ac:dyDescent="0.25">
      <c r="A31" s="1" t="s">
        <v>98</v>
      </c>
      <c r="B31" s="3">
        <v>57022</v>
      </c>
      <c r="C31" s="1">
        <v>83</v>
      </c>
      <c r="D31" s="1" t="s">
        <v>3</v>
      </c>
      <c r="E31" s="1" t="s">
        <v>57</v>
      </c>
      <c r="F31" s="1" t="s">
        <v>142</v>
      </c>
      <c r="G31" s="1" t="s">
        <v>7</v>
      </c>
      <c r="H31" s="1" t="s">
        <v>127</v>
      </c>
      <c r="I31" s="1" t="s">
        <v>58</v>
      </c>
      <c r="J31" s="1" t="s">
        <v>142</v>
      </c>
    </row>
    <row r="32" spans="1:10" ht="15.75" customHeight="1" x14ac:dyDescent="0.25">
      <c r="A32" s="1" t="s">
        <v>85</v>
      </c>
      <c r="B32" s="3">
        <v>57023</v>
      </c>
      <c r="C32" s="1">
        <v>84</v>
      </c>
      <c r="D32" s="1" t="s">
        <v>8</v>
      </c>
      <c r="E32" s="1" t="s">
        <v>35</v>
      </c>
      <c r="F32" s="1" t="s">
        <v>142</v>
      </c>
      <c r="G32" s="1" t="s">
        <v>7</v>
      </c>
      <c r="H32" s="1" t="s">
        <v>116</v>
      </c>
      <c r="I32" s="1" t="s">
        <v>36</v>
      </c>
      <c r="J32" s="1" t="s">
        <v>142</v>
      </c>
    </row>
    <row r="33" spans="1:10" ht="15.75" customHeight="1" x14ac:dyDescent="0.25">
      <c r="A33" s="1" t="s">
        <v>104</v>
      </c>
      <c r="B33" s="3">
        <v>57026</v>
      </c>
      <c r="C33" s="1">
        <v>87</v>
      </c>
      <c r="D33" s="1" t="s">
        <v>6</v>
      </c>
      <c r="E33" s="1" t="s">
        <v>71</v>
      </c>
      <c r="F33" s="1" t="s">
        <v>142</v>
      </c>
      <c r="G33" s="1" t="s">
        <v>7</v>
      </c>
      <c r="H33" s="1" t="s">
        <v>134</v>
      </c>
      <c r="I33" s="1" t="s">
        <v>72</v>
      </c>
      <c r="J33" s="1" t="s">
        <v>142</v>
      </c>
    </row>
    <row r="34" spans="1:10" ht="15.75" customHeight="1" x14ac:dyDescent="0.25">
      <c r="A34" s="1" t="s">
        <v>144</v>
      </c>
      <c r="B34" s="3">
        <v>57027</v>
      </c>
      <c r="C34" s="1">
        <v>88</v>
      </c>
      <c r="D34" s="1" t="s">
        <v>2</v>
      </c>
      <c r="E34" s="1" t="s">
        <v>9</v>
      </c>
      <c r="F34" s="1" t="s">
        <v>142</v>
      </c>
      <c r="G34" s="1" t="s">
        <v>7</v>
      </c>
      <c r="H34" s="1" t="s">
        <v>105</v>
      </c>
      <c r="I34" s="1" t="s">
        <v>11</v>
      </c>
      <c r="J34" s="1" t="s">
        <v>142</v>
      </c>
    </row>
    <row r="35" spans="1:10" ht="15.75" customHeight="1" x14ac:dyDescent="0.25">
      <c r="A35" s="1" t="s">
        <v>90</v>
      </c>
      <c r="B35" s="3">
        <v>52651</v>
      </c>
      <c r="C35" s="1">
        <v>89</v>
      </c>
      <c r="D35" s="1" t="s">
        <v>6</v>
      </c>
      <c r="E35" s="1" t="s">
        <v>44</v>
      </c>
      <c r="F35" s="1" t="s">
        <v>142</v>
      </c>
      <c r="G35" s="1" t="s">
        <v>7</v>
      </c>
      <c r="H35" s="1" t="s">
        <v>120</v>
      </c>
      <c r="I35" s="1" t="s">
        <v>10</v>
      </c>
      <c r="J35" s="1" t="s">
        <v>142</v>
      </c>
    </row>
    <row r="36" spans="1:10" ht="15.75" customHeight="1" x14ac:dyDescent="0.25">
      <c r="A36" s="1" t="s">
        <v>101</v>
      </c>
      <c r="B36" s="3">
        <v>54240</v>
      </c>
      <c r="C36" s="1">
        <v>91</v>
      </c>
      <c r="D36" s="1" t="s">
        <v>8</v>
      </c>
      <c r="E36" s="1" t="s">
        <v>62</v>
      </c>
      <c r="F36" s="1" t="s">
        <v>141</v>
      </c>
      <c r="G36" s="1" t="s">
        <v>7</v>
      </c>
      <c r="H36" s="1" t="s">
        <v>130</v>
      </c>
      <c r="I36" s="1" t="s">
        <v>63</v>
      </c>
      <c r="J36" s="1" t="s">
        <v>141</v>
      </c>
    </row>
    <row r="37" spans="1:10" ht="13.2" x14ac:dyDescent="0.25">
      <c r="A37" s="1" t="s">
        <v>96</v>
      </c>
      <c r="B37" s="3">
        <v>54245</v>
      </c>
      <c r="C37" s="1">
        <v>94</v>
      </c>
      <c r="D37" s="1" t="s">
        <v>5</v>
      </c>
      <c r="E37" s="1" t="s">
        <v>53</v>
      </c>
      <c r="F37" s="1" t="s">
        <v>142</v>
      </c>
      <c r="G37" s="1" t="s">
        <v>7</v>
      </c>
      <c r="H37" s="1" t="s">
        <v>126</v>
      </c>
      <c r="I37" s="1" t="s">
        <v>54</v>
      </c>
      <c r="J37" s="1" t="s">
        <v>142</v>
      </c>
    </row>
    <row r="38" spans="1:10" x14ac:dyDescent="0.25"/>
    <row r="39" spans="1:10" x14ac:dyDescent="0.25"/>
    <row r="40" spans="1:10" x14ac:dyDescent="0.25"/>
    <row r="41" spans="1:10" x14ac:dyDescent="0.25"/>
    <row r="42" spans="1:10" x14ac:dyDescent="0.25"/>
    <row r="43" spans="1:10" x14ac:dyDescent="0.25"/>
    <row r="44" spans="1:10" x14ac:dyDescent="0.25"/>
    <row r="45" spans="1:10" x14ac:dyDescent="0.25"/>
    <row r="46" spans="1:10" x14ac:dyDescent="0.25"/>
    <row r="47" spans="1:10" x14ac:dyDescent="0.25"/>
    <row r="48" spans="1:10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</sheetData>
  <autoFilter ref="A1:J37" xr:uid="{00000000-0001-0000-0500-000000000000}">
    <sortState xmlns:xlrd2="http://schemas.microsoft.com/office/spreadsheetml/2017/richdata2" ref="A2:J37">
      <sortCondition ref="C1:C37"/>
    </sortState>
  </autoFilter>
  <conditionalFormatting sqref="A2:J5999">
    <cfRule type="expression" dxfId="2" priority="2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CA6000"/>
  <sheetViews>
    <sheetView workbookViewId="0"/>
  </sheetViews>
  <sheetFormatPr defaultColWidth="12.6640625" defaultRowHeight="15.75" customHeight="1" x14ac:dyDescent="0.25"/>
  <cols>
    <col min="1" max="1" width="6.88671875" customWidth="1"/>
    <col min="2" max="2" width="15.33203125" customWidth="1"/>
    <col min="3" max="3" width="24" customWidth="1"/>
    <col min="4" max="4" width="33.44140625" customWidth="1"/>
  </cols>
  <sheetData>
    <row r="1" spans="1:79" x14ac:dyDescent="0.25">
      <c r="A1" s="1" t="str">
        <f ca="1">IFERROR(__xludf.DUMMYFUNCTION("QUERY(HeadersCompetitors)"),"Pago?")</f>
        <v>Pago?</v>
      </c>
      <c r="B1" s="1" t="str">
        <f ca="1">IFERROR(__xludf.DUMMYFUNCTION("""COMPUTED_VALUE"""),"Dirección de correo electrónico")</f>
        <v>Dirección de correo electrónico</v>
      </c>
      <c r="C1" s="1" t="str">
        <f ca="1">IFERROR(__xludf.DUMMYFUNCTION("""COMPUTED_VALUE"""),"Seleccione la categoria en la que inscribirse")</f>
        <v>Seleccione la categoria en la que inscribirse</v>
      </c>
      <c r="D1" s="1" t="str">
        <f ca="1">IFERROR(__xludf.DUMMYFUNCTION("""COMPUTED_VALUE"""),"Nombre")</f>
        <v>Nombre</v>
      </c>
      <c r="E1" s="1" t="str">
        <f ca="1">IFERROR(__xludf.DUMMYFUNCTION("""COMPUTED_VALUE"""),"Apellido")</f>
        <v>Apellido</v>
      </c>
      <c r="F1" s="1" t="str">
        <f ca="1">IFERROR(__xludf.DUMMYFUNCTION("""COMPUTED_VALUE"""),"Numero de Vela")</f>
        <v>Numero de Vela</v>
      </c>
      <c r="G1" s="1" t="str">
        <f ca="1">IFERROR(__xludf.DUMMYFUNCTION("""COMPUTED_VALUE"""),"Club")</f>
        <v>Club</v>
      </c>
      <c r="H1" s="1" t="str">
        <f ca="1">IFERROR(__xludf.DUMMYFUNCTION("""COMPUTED_VALUE"""),"DNI")</f>
        <v>DNI</v>
      </c>
      <c r="I1" s="1" t="str">
        <f ca="1">IFERROR(__xludf.DUMMYFUNCTION("""COMPUTED_VALUE"""),"Feha nacimiento")</f>
        <v>Feha nacimiento</v>
      </c>
      <c r="J1" s="1" t="str">
        <f ca="1">IFERROR(__xludf.DUMMYFUNCTION("""COMPUTED_VALUE"""),"Correo electronico")</f>
        <v>Correo electronico</v>
      </c>
      <c r="K1" s="1" t="str">
        <f ca="1">IFERROR(__xludf.DUMMYFUNCTION("""COMPUTED_VALUE"""),"Sexo")</f>
        <v>Sexo</v>
      </c>
      <c r="L1" s="1" t="str">
        <f ca="1">IFERROR(__xludf.DUMMYFUNCTION("""COMPUTED_VALUE"""),"Pais")</f>
        <v>Pais</v>
      </c>
      <c r="M1" s="1" t="str">
        <f ca="1">IFERROR(__xludf.DUMMYFUNCTION("""COMPUTED_VALUE"""),"Region / Provincia")</f>
        <v>Region / Provincia</v>
      </c>
      <c r="N1" s="1" t="str">
        <f ca="1">IFERROR(__xludf.DUMMYFUNCTION("""COMPUTED_VALUE"""),"Localidad / Ciudad")</f>
        <v>Localidad / Ciudad</v>
      </c>
      <c r="O1" s="1" t="str">
        <f ca="1">IFERROR(__xludf.DUMMYFUNCTION("""COMPUTED_VALUE"""),"Direccion")</f>
        <v>Direccion</v>
      </c>
      <c r="P1" s="1" t="str">
        <f ca="1">IFERROR(__xludf.DUMMYFUNCTION("""COMPUTED_VALUE"""),"Codigo postal")</f>
        <v>Codigo postal</v>
      </c>
      <c r="Q1" s="1" t="str">
        <f ca="1">IFERROR(__xludf.DUMMYFUNCTION("""COMPUTED_VALUE"""),"Nombre del Padre o Madre (Solo para competidores menores)")</f>
        <v>Nombre del Padre o Madre (Solo para competidores menores)</v>
      </c>
      <c r="R1" s="1" t="str">
        <f ca="1">IFERROR(__xludf.DUMMYFUNCTION("""COMPUTED_VALUE"""),"Apellido del Padre o Madre (Solo para competidores menores)")</f>
        <v>Apellido del Padre o Madre (Solo para competidores menores)</v>
      </c>
      <c r="S1" s="1" t="str">
        <f ca="1">IFERROR(__xludf.DUMMYFUNCTION("""COMPUTED_VALUE"""),"Email del Padre o Madre (Solo para competidores menores)")</f>
        <v>Email del Padre o Madre (Solo para competidores menores)</v>
      </c>
      <c r="T1" s="1" t="str">
        <f ca="1">IFERROR(__xludf.DUMMYFUNCTION("""COMPUTED_VALUE"""),"Numero de contacto del Padre o Madre (Solo para competidores menores)")</f>
        <v>Numero de contacto del Padre o Madre (Solo para competidores menores)</v>
      </c>
      <c r="U1" s="1" t="str">
        <f ca="1">IFERROR(__xludf.DUMMYFUNCTION("""COMPUTED_VALUE"""),"Contacto de emergencia 1")</f>
        <v>Contacto de emergencia 1</v>
      </c>
      <c r="V1" s="1" t="str">
        <f ca="1">IFERROR(__xludf.DUMMYFUNCTION("""COMPUTED_VALUE"""),"Contacto de emergencia 2")</f>
        <v>Contacto de emergencia 2</v>
      </c>
      <c r="W1" s="1" t="str">
        <f ca="1">IFERROR(__xludf.DUMMYFUNCTION("""COMPUTED_VALUE"""),"Obra social")</f>
        <v>Obra social</v>
      </c>
      <c r="X1" s="1" t="str">
        <f ca="1">IFERROR(__xludf.DUMMYFUNCTION("""COMPUTED_VALUE"""),"Numero de afiliado")</f>
        <v>Numero de afiliado</v>
      </c>
      <c r="Y1" s="1" t="str">
        <f ca="1">IFERROR(__xludf.DUMMYFUNCTION("""COMPUTED_VALUE"""),"Nombre")</f>
        <v>Nombre</v>
      </c>
      <c r="Z1" s="1" t="str">
        <f ca="1">IFERROR(__xludf.DUMMYFUNCTION("""COMPUTED_VALUE"""),"Apellido")</f>
        <v>Apellido</v>
      </c>
      <c r="AA1" s="1" t="str">
        <f ca="1">IFERROR(__xludf.DUMMYFUNCTION("""COMPUTED_VALUE"""),"Numero de Vela")</f>
        <v>Numero de Vela</v>
      </c>
      <c r="AB1" s="1" t="str">
        <f ca="1">IFERROR(__xludf.DUMMYFUNCTION("""COMPUTED_VALUE"""),"Club")</f>
        <v>Club</v>
      </c>
      <c r="AC1" s="1" t="str">
        <f ca="1">IFERROR(__xludf.DUMMYFUNCTION("""COMPUTED_VALUE"""),"DNI")</f>
        <v>DNI</v>
      </c>
      <c r="AD1" s="1" t="str">
        <f ca="1">IFERROR(__xludf.DUMMYFUNCTION("""COMPUTED_VALUE"""),"Feha nacimiento")</f>
        <v>Feha nacimiento</v>
      </c>
      <c r="AE1" s="1" t="str">
        <f ca="1">IFERROR(__xludf.DUMMYFUNCTION("""COMPUTED_VALUE"""),"Correo electronico")</f>
        <v>Correo electronico</v>
      </c>
      <c r="AF1" s="1" t="str">
        <f ca="1">IFERROR(__xludf.DUMMYFUNCTION("""COMPUTED_VALUE"""),"Sexo")</f>
        <v>Sexo</v>
      </c>
      <c r="AG1" s="1" t="str">
        <f ca="1">IFERROR(__xludf.DUMMYFUNCTION("""COMPUTED_VALUE"""),"Pais")</f>
        <v>Pais</v>
      </c>
      <c r="AH1" s="1" t="str">
        <f ca="1">IFERROR(__xludf.DUMMYFUNCTION("""COMPUTED_VALUE"""),"Region / Provincia")</f>
        <v>Region / Provincia</v>
      </c>
      <c r="AI1" s="1" t="str">
        <f ca="1">IFERROR(__xludf.DUMMYFUNCTION("""COMPUTED_VALUE"""),"Localidad / Ciudad")</f>
        <v>Localidad / Ciudad</v>
      </c>
      <c r="AJ1" s="1" t="str">
        <f ca="1">IFERROR(__xludf.DUMMYFUNCTION("""COMPUTED_VALUE"""),"Direccion")</f>
        <v>Direccion</v>
      </c>
      <c r="AK1" s="1" t="str">
        <f ca="1">IFERROR(__xludf.DUMMYFUNCTION("""COMPUTED_VALUE"""),"Codigo postal")</f>
        <v>Codigo postal</v>
      </c>
      <c r="AL1" s="1" t="str">
        <f ca="1">IFERROR(__xludf.DUMMYFUNCTION("""COMPUTED_VALUE"""),"Nombre del Padre o Madre (Solo para competidores menores)")</f>
        <v>Nombre del Padre o Madre (Solo para competidores menores)</v>
      </c>
      <c r="AM1" s="1" t="str">
        <f ca="1">IFERROR(__xludf.DUMMYFUNCTION("""COMPUTED_VALUE"""),"Apellido del Padre o Madre (Solo para competidores menores)")</f>
        <v>Apellido del Padre o Madre (Solo para competidores menores)</v>
      </c>
      <c r="AN1" s="1" t="str">
        <f ca="1">IFERROR(__xludf.DUMMYFUNCTION("""COMPUTED_VALUE"""),"Email del Padre o Madre (Solo para competidores menores)")</f>
        <v>Email del Padre o Madre (Solo para competidores menores)</v>
      </c>
      <c r="AO1" s="1" t="str">
        <f ca="1">IFERROR(__xludf.DUMMYFUNCTION("""COMPUTED_VALUE"""),"Numero de contacto del Padre o Madre (Solo para competidores menores)")</f>
        <v>Numero de contacto del Padre o Madre (Solo para competidores menores)</v>
      </c>
      <c r="AP1" s="1" t="str">
        <f ca="1">IFERROR(__xludf.DUMMYFUNCTION("""COMPUTED_VALUE"""),"Contacto de emergencia 1")</f>
        <v>Contacto de emergencia 1</v>
      </c>
      <c r="AQ1" s="1" t="str">
        <f ca="1">IFERROR(__xludf.DUMMYFUNCTION("""COMPUTED_VALUE"""),"Contacto de emergencia 2")</f>
        <v>Contacto de emergencia 2</v>
      </c>
      <c r="AR1" s="1" t="str">
        <f ca="1">IFERROR(__xludf.DUMMYFUNCTION("""COMPUTED_VALUE"""),"Obra social")</f>
        <v>Obra social</v>
      </c>
      <c r="AS1" s="1" t="str">
        <f ca="1">IFERROR(__xludf.DUMMYFUNCTION("""COMPUTED_VALUE"""),"Numero de afiliado")</f>
        <v>Numero de afiliado</v>
      </c>
      <c r="AT1" s="1"/>
      <c r="AU1" s="1"/>
      <c r="AV1" s="1"/>
      <c r="AW1" s="1"/>
      <c r="AX1" s="1"/>
      <c r="AY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2" t="str">
        <f ca="1">IFERROR(__xludf.DUMMYFUNCTION("IFERROR(ARRAYFORMULA(SUBSTITUTE(SUBSTITUTE(FILTER(ResponsesCompetitors,CategoryCompetitors=""49er""),TRUE,""✅""),FALSE,""❌"")),"""")"),"")</f>
        <v/>
      </c>
    </row>
    <row r="3" spans="1:79" x14ac:dyDescent="0.25">
      <c r="A3" s="2"/>
    </row>
    <row r="4" spans="1:79" x14ac:dyDescent="0.25">
      <c r="A4" s="2"/>
    </row>
    <row r="5" spans="1:79" x14ac:dyDescent="0.25">
      <c r="A5" s="2"/>
    </row>
    <row r="6" spans="1:79" x14ac:dyDescent="0.25">
      <c r="A6" s="2"/>
    </row>
    <row r="7" spans="1:79" x14ac:dyDescent="0.25">
      <c r="A7" s="2"/>
    </row>
    <row r="8" spans="1:79" x14ac:dyDescent="0.25">
      <c r="A8" s="2"/>
    </row>
    <row r="9" spans="1:79" x14ac:dyDescent="0.25">
      <c r="A9" s="2"/>
    </row>
    <row r="10" spans="1:79" x14ac:dyDescent="0.25">
      <c r="A10" s="2"/>
    </row>
    <row r="11" spans="1:79" x14ac:dyDescent="0.25">
      <c r="A11" s="2"/>
    </row>
    <row r="12" spans="1:79" x14ac:dyDescent="0.25">
      <c r="A12" s="2"/>
    </row>
    <row r="13" spans="1:79" x14ac:dyDescent="0.25">
      <c r="A13" s="2"/>
    </row>
    <row r="14" spans="1:79" x14ac:dyDescent="0.25">
      <c r="A14" s="2"/>
    </row>
    <row r="15" spans="1:79" x14ac:dyDescent="0.25">
      <c r="A15" s="2"/>
    </row>
    <row r="16" spans="1:79" x14ac:dyDescent="0.25">
      <c r="A16" s="2"/>
    </row>
    <row r="17" spans="1:4" x14ac:dyDescent="0.25">
      <c r="A17" s="2"/>
    </row>
    <row r="18" spans="1:4" x14ac:dyDescent="0.25">
      <c r="A18" s="2"/>
      <c r="D18" s="1"/>
    </row>
    <row r="19" spans="1:4" x14ac:dyDescent="0.25">
      <c r="A19" s="2"/>
    </row>
    <row r="20" spans="1:4" x14ac:dyDescent="0.25">
      <c r="A20" s="2"/>
    </row>
    <row r="21" spans="1:4" x14ac:dyDescent="0.25">
      <c r="A21" s="2"/>
    </row>
    <row r="22" spans="1:4" x14ac:dyDescent="0.25">
      <c r="A22" s="2"/>
    </row>
    <row r="23" spans="1:4" x14ac:dyDescent="0.25">
      <c r="A23" s="2"/>
    </row>
    <row r="24" spans="1:4" x14ac:dyDescent="0.25">
      <c r="A24" s="2"/>
    </row>
    <row r="25" spans="1:4" x14ac:dyDescent="0.25">
      <c r="A25" s="2"/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</sheetData>
  <conditionalFormatting sqref="A2:CA6000">
    <cfRule type="expression" dxfId="1" priority="1">
      <formula>$A:$A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A6000"/>
  <sheetViews>
    <sheetView workbookViewId="0"/>
  </sheetViews>
  <sheetFormatPr defaultColWidth="12.6640625" defaultRowHeight="15.75" customHeight="1" x14ac:dyDescent="0.25"/>
  <cols>
    <col min="1" max="1" width="6.88671875" customWidth="1"/>
    <col min="2" max="2" width="15.33203125" customWidth="1"/>
    <col min="3" max="3" width="24" customWidth="1"/>
    <col min="4" max="4" width="33.44140625" customWidth="1"/>
  </cols>
  <sheetData>
    <row r="1" spans="1:79" x14ac:dyDescent="0.25">
      <c r="A1" s="1" t="str">
        <f ca="1">IFERROR(__xludf.DUMMYFUNCTION("QUERY(HeadersCompetitors)"),"Pago?")</f>
        <v>Pago?</v>
      </c>
      <c r="B1" s="1" t="str">
        <f ca="1">IFERROR(__xludf.DUMMYFUNCTION("""COMPUTED_VALUE"""),"Dirección de correo electrónico")</f>
        <v>Dirección de correo electrónico</v>
      </c>
      <c r="C1" s="1" t="str">
        <f ca="1">IFERROR(__xludf.DUMMYFUNCTION("""COMPUTED_VALUE"""),"Seleccione la categoria en la que inscribirse")</f>
        <v>Seleccione la categoria en la que inscribirse</v>
      </c>
      <c r="D1" s="1" t="str">
        <f ca="1">IFERROR(__xludf.DUMMYFUNCTION("""COMPUTED_VALUE"""),"Nombre")</f>
        <v>Nombre</v>
      </c>
      <c r="E1" s="1" t="str">
        <f ca="1">IFERROR(__xludf.DUMMYFUNCTION("""COMPUTED_VALUE"""),"Apellido")</f>
        <v>Apellido</v>
      </c>
      <c r="F1" s="1" t="str">
        <f ca="1">IFERROR(__xludf.DUMMYFUNCTION("""COMPUTED_VALUE"""),"Numero de Vela")</f>
        <v>Numero de Vela</v>
      </c>
      <c r="G1" s="1" t="str">
        <f ca="1">IFERROR(__xludf.DUMMYFUNCTION("""COMPUTED_VALUE"""),"Club")</f>
        <v>Club</v>
      </c>
      <c r="H1" s="1" t="str">
        <f ca="1">IFERROR(__xludf.DUMMYFUNCTION("""COMPUTED_VALUE"""),"DNI")</f>
        <v>DNI</v>
      </c>
      <c r="I1" s="1" t="str">
        <f ca="1">IFERROR(__xludf.DUMMYFUNCTION("""COMPUTED_VALUE"""),"Feha nacimiento")</f>
        <v>Feha nacimiento</v>
      </c>
      <c r="J1" s="1" t="str">
        <f ca="1">IFERROR(__xludf.DUMMYFUNCTION("""COMPUTED_VALUE"""),"Correo electronico")</f>
        <v>Correo electronico</v>
      </c>
      <c r="K1" s="1" t="str">
        <f ca="1">IFERROR(__xludf.DUMMYFUNCTION("""COMPUTED_VALUE"""),"Sexo")</f>
        <v>Sexo</v>
      </c>
      <c r="L1" s="1" t="str">
        <f ca="1">IFERROR(__xludf.DUMMYFUNCTION("""COMPUTED_VALUE"""),"Pais")</f>
        <v>Pais</v>
      </c>
      <c r="M1" s="1" t="str">
        <f ca="1">IFERROR(__xludf.DUMMYFUNCTION("""COMPUTED_VALUE"""),"Region / Provincia")</f>
        <v>Region / Provincia</v>
      </c>
      <c r="N1" s="1" t="str">
        <f ca="1">IFERROR(__xludf.DUMMYFUNCTION("""COMPUTED_VALUE"""),"Localidad / Ciudad")</f>
        <v>Localidad / Ciudad</v>
      </c>
      <c r="O1" s="1" t="str">
        <f ca="1">IFERROR(__xludf.DUMMYFUNCTION("""COMPUTED_VALUE"""),"Direccion")</f>
        <v>Direccion</v>
      </c>
      <c r="P1" s="1" t="str">
        <f ca="1">IFERROR(__xludf.DUMMYFUNCTION("""COMPUTED_VALUE"""),"Codigo postal")</f>
        <v>Codigo postal</v>
      </c>
      <c r="Q1" s="1" t="str">
        <f ca="1">IFERROR(__xludf.DUMMYFUNCTION("""COMPUTED_VALUE"""),"Nombre del Padre o Madre (Solo para competidores menores)")</f>
        <v>Nombre del Padre o Madre (Solo para competidores menores)</v>
      </c>
      <c r="R1" s="1" t="str">
        <f ca="1">IFERROR(__xludf.DUMMYFUNCTION("""COMPUTED_VALUE"""),"Apellido del Padre o Madre (Solo para competidores menores)")</f>
        <v>Apellido del Padre o Madre (Solo para competidores menores)</v>
      </c>
      <c r="S1" s="1" t="str">
        <f ca="1">IFERROR(__xludf.DUMMYFUNCTION("""COMPUTED_VALUE"""),"Email del Padre o Madre (Solo para competidores menores)")</f>
        <v>Email del Padre o Madre (Solo para competidores menores)</v>
      </c>
      <c r="T1" s="1" t="str">
        <f ca="1">IFERROR(__xludf.DUMMYFUNCTION("""COMPUTED_VALUE"""),"Numero de contacto del Padre o Madre (Solo para competidores menores)")</f>
        <v>Numero de contacto del Padre o Madre (Solo para competidores menores)</v>
      </c>
      <c r="U1" s="1" t="str">
        <f ca="1">IFERROR(__xludf.DUMMYFUNCTION("""COMPUTED_VALUE"""),"Contacto de emergencia 1")</f>
        <v>Contacto de emergencia 1</v>
      </c>
      <c r="V1" s="1" t="str">
        <f ca="1">IFERROR(__xludf.DUMMYFUNCTION("""COMPUTED_VALUE"""),"Contacto de emergencia 2")</f>
        <v>Contacto de emergencia 2</v>
      </c>
      <c r="W1" s="1" t="str">
        <f ca="1">IFERROR(__xludf.DUMMYFUNCTION("""COMPUTED_VALUE"""),"Obra social")</f>
        <v>Obra social</v>
      </c>
      <c r="X1" s="1" t="str">
        <f ca="1">IFERROR(__xludf.DUMMYFUNCTION("""COMPUTED_VALUE"""),"Numero de afiliado")</f>
        <v>Numero de afiliado</v>
      </c>
      <c r="Y1" s="1" t="str">
        <f ca="1">IFERROR(__xludf.DUMMYFUNCTION("""COMPUTED_VALUE"""),"Nombre")</f>
        <v>Nombre</v>
      </c>
      <c r="Z1" s="1" t="str">
        <f ca="1">IFERROR(__xludf.DUMMYFUNCTION("""COMPUTED_VALUE"""),"Apellido")</f>
        <v>Apellido</v>
      </c>
      <c r="AA1" s="1" t="str">
        <f ca="1">IFERROR(__xludf.DUMMYFUNCTION("""COMPUTED_VALUE"""),"Numero de Vela")</f>
        <v>Numero de Vela</v>
      </c>
      <c r="AB1" s="1" t="str">
        <f ca="1">IFERROR(__xludf.DUMMYFUNCTION("""COMPUTED_VALUE"""),"Club")</f>
        <v>Club</v>
      </c>
      <c r="AC1" s="1" t="str">
        <f ca="1">IFERROR(__xludf.DUMMYFUNCTION("""COMPUTED_VALUE"""),"DNI")</f>
        <v>DNI</v>
      </c>
      <c r="AD1" s="1" t="str">
        <f ca="1">IFERROR(__xludf.DUMMYFUNCTION("""COMPUTED_VALUE"""),"Feha nacimiento")</f>
        <v>Feha nacimiento</v>
      </c>
      <c r="AE1" s="1" t="str">
        <f ca="1">IFERROR(__xludf.DUMMYFUNCTION("""COMPUTED_VALUE"""),"Correo electronico")</f>
        <v>Correo electronico</v>
      </c>
      <c r="AF1" s="1" t="str">
        <f ca="1">IFERROR(__xludf.DUMMYFUNCTION("""COMPUTED_VALUE"""),"Sexo")</f>
        <v>Sexo</v>
      </c>
      <c r="AG1" s="1" t="str">
        <f ca="1">IFERROR(__xludf.DUMMYFUNCTION("""COMPUTED_VALUE"""),"Pais")</f>
        <v>Pais</v>
      </c>
      <c r="AH1" s="1" t="str">
        <f ca="1">IFERROR(__xludf.DUMMYFUNCTION("""COMPUTED_VALUE"""),"Region / Provincia")</f>
        <v>Region / Provincia</v>
      </c>
      <c r="AI1" s="1" t="str">
        <f ca="1">IFERROR(__xludf.DUMMYFUNCTION("""COMPUTED_VALUE"""),"Localidad / Ciudad")</f>
        <v>Localidad / Ciudad</v>
      </c>
      <c r="AJ1" s="1" t="str">
        <f ca="1">IFERROR(__xludf.DUMMYFUNCTION("""COMPUTED_VALUE"""),"Direccion")</f>
        <v>Direccion</v>
      </c>
      <c r="AK1" s="1" t="str">
        <f ca="1">IFERROR(__xludf.DUMMYFUNCTION("""COMPUTED_VALUE"""),"Codigo postal")</f>
        <v>Codigo postal</v>
      </c>
      <c r="AL1" s="1" t="str">
        <f ca="1">IFERROR(__xludf.DUMMYFUNCTION("""COMPUTED_VALUE"""),"Nombre del Padre o Madre (Solo para competidores menores)")</f>
        <v>Nombre del Padre o Madre (Solo para competidores menores)</v>
      </c>
      <c r="AM1" s="1" t="str">
        <f ca="1">IFERROR(__xludf.DUMMYFUNCTION("""COMPUTED_VALUE"""),"Apellido del Padre o Madre (Solo para competidores menores)")</f>
        <v>Apellido del Padre o Madre (Solo para competidores menores)</v>
      </c>
      <c r="AN1" s="1" t="str">
        <f ca="1">IFERROR(__xludf.DUMMYFUNCTION("""COMPUTED_VALUE"""),"Email del Padre o Madre (Solo para competidores menores)")</f>
        <v>Email del Padre o Madre (Solo para competidores menores)</v>
      </c>
      <c r="AO1" s="1" t="str">
        <f ca="1">IFERROR(__xludf.DUMMYFUNCTION("""COMPUTED_VALUE"""),"Numero de contacto del Padre o Madre (Solo para competidores menores)")</f>
        <v>Numero de contacto del Padre o Madre (Solo para competidores menores)</v>
      </c>
      <c r="AP1" s="1" t="str">
        <f ca="1">IFERROR(__xludf.DUMMYFUNCTION("""COMPUTED_VALUE"""),"Contacto de emergencia 1")</f>
        <v>Contacto de emergencia 1</v>
      </c>
      <c r="AQ1" s="1" t="str">
        <f ca="1">IFERROR(__xludf.DUMMYFUNCTION("""COMPUTED_VALUE"""),"Contacto de emergencia 2")</f>
        <v>Contacto de emergencia 2</v>
      </c>
      <c r="AR1" s="1" t="str">
        <f ca="1">IFERROR(__xludf.DUMMYFUNCTION("""COMPUTED_VALUE"""),"Obra social")</f>
        <v>Obra social</v>
      </c>
      <c r="AS1" s="1" t="str">
        <f ca="1">IFERROR(__xludf.DUMMYFUNCTION("""COMPUTED_VALUE"""),"Numero de afiliado")</f>
        <v>Numero de afiliado</v>
      </c>
      <c r="AT1" s="1"/>
      <c r="AU1" s="1"/>
      <c r="AV1" s="1"/>
      <c r="AW1" s="1"/>
      <c r="AX1" s="1"/>
      <c r="AY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25">
      <c r="A2" s="2" t="str">
        <f ca="1">IFERROR(__xludf.DUMMYFUNCTION("IFERROR(ARRAYFORMULA(SUBSTITUTE(SUBSTITUTE(FILTER(ResponsesCompetitors,CategoryCompetitors=""Nacra 17""),TRUE,""✅""),FALSE,""❌"")),"""")"),"")</f>
        <v/>
      </c>
    </row>
    <row r="3" spans="1:79" x14ac:dyDescent="0.25">
      <c r="A3" s="2"/>
    </row>
    <row r="4" spans="1:79" x14ac:dyDescent="0.25">
      <c r="A4" s="2"/>
    </row>
    <row r="5" spans="1:79" x14ac:dyDescent="0.25">
      <c r="A5" s="2"/>
    </row>
    <row r="6" spans="1:79" x14ac:dyDescent="0.25">
      <c r="A6" s="2"/>
    </row>
    <row r="7" spans="1:79" x14ac:dyDescent="0.25">
      <c r="A7" s="2"/>
    </row>
    <row r="8" spans="1:79" x14ac:dyDescent="0.25">
      <c r="A8" s="2"/>
    </row>
    <row r="9" spans="1:79" x14ac:dyDescent="0.25">
      <c r="A9" s="2"/>
    </row>
    <row r="10" spans="1:79" x14ac:dyDescent="0.25">
      <c r="A10" s="2"/>
    </row>
    <row r="11" spans="1:79" x14ac:dyDescent="0.25">
      <c r="A11" s="2"/>
    </row>
    <row r="12" spans="1:79" x14ac:dyDescent="0.25">
      <c r="A12" s="2"/>
    </row>
    <row r="13" spans="1:79" x14ac:dyDescent="0.25">
      <c r="A13" s="2"/>
    </row>
    <row r="14" spans="1:79" x14ac:dyDescent="0.25">
      <c r="A14" s="2"/>
    </row>
    <row r="15" spans="1:79" x14ac:dyDescent="0.25">
      <c r="A15" s="2"/>
    </row>
    <row r="16" spans="1:79" x14ac:dyDescent="0.25">
      <c r="A16" s="2"/>
    </row>
    <row r="17" spans="1:4" x14ac:dyDescent="0.25">
      <c r="A17" s="2"/>
    </row>
    <row r="18" spans="1:4" x14ac:dyDescent="0.25">
      <c r="A18" s="2"/>
      <c r="D18" s="1"/>
    </row>
    <row r="19" spans="1:4" x14ac:dyDescent="0.25">
      <c r="A19" s="2"/>
    </row>
    <row r="20" spans="1:4" x14ac:dyDescent="0.25">
      <c r="A20" s="2"/>
    </row>
    <row r="21" spans="1:4" x14ac:dyDescent="0.25">
      <c r="A21" s="2"/>
    </row>
    <row r="22" spans="1:4" x14ac:dyDescent="0.25">
      <c r="A22" s="2"/>
    </row>
    <row r="23" spans="1:4" x14ac:dyDescent="0.25">
      <c r="A23" s="2"/>
    </row>
    <row r="24" spans="1:4" x14ac:dyDescent="0.25">
      <c r="A24" s="2"/>
    </row>
    <row r="25" spans="1:4" x14ac:dyDescent="0.25">
      <c r="A25" s="2"/>
    </row>
    <row r="26" spans="1:4" x14ac:dyDescent="0.25">
      <c r="A26" s="2"/>
    </row>
    <row r="27" spans="1:4" x14ac:dyDescent="0.25">
      <c r="A27" s="2"/>
    </row>
    <row r="28" spans="1:4" x14ac:dyDescent="0.25">
      <c r="A28" s="2"/>
    </row>
    <row r="29" spans="1:4" x14ac:dyDescent="0.25">
      <c r="A29" s="2"/>
    </row>
    <row r="30" spans="1:4" x14ac:dyDescent="0.25">
      <c r="A30" s="2"/>
    </row>
    <row r="31" spans="1:4" x14ac:dyDescent="0.25">
      <c r="A31" s="2"/>
    </row>
    <row r="32" spans="1:4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</sheetData>
  <conditionalFormatting sqref="A2:CA6000">
    <cfRule type="expression" dxfId="0" priority="1">
      <formula>$A:$A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Hoja 2</vt:lpstr>
      <vt:lpstr>420</vt:lpstr>
      <vt:lpstr>49er</vt:lpstr>
      <vt:lpstr>Nacra 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Cloos</dc:creator>
  <cp:lastModifiedBy>Nicolas Cloos</cp:lastModifiedBy>
  <dcterms:created xsi:type="dcterms:W3CDTF">2026-03-14T17:01:53Z</dcterms:created>
  <dcterms:modified xsi:type="dcterms:W3CDTF">2026-03-14T17:19:12Z</dcterms:modified>
</cp:coreProperties>
</file>